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<sst xmlns="http://schemas.openxmlformats.org/spreadsheetml/2006/main" count="204" uniqueCount="149">
  <si>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</si>
  <si>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</si>
  <si>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</si>
  <si>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</si>
  <si>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</si>
  <si>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</si>
  <si>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</si>
  <si>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</si>
  <si>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</si>
  <si>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</si>
  <si>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</si>
  <si>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</si>
  <si>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</si>
  <si>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</si>
  <si>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</si>
  <si>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</si>
  <si>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</si>
  <si>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</si>
  <si>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</si>
  <si>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</si>
  <si>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</si>
  <si>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</si>
  <si>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</si>
  <si>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</si>
  <si>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</si>
  <si>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</si>
  <si>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</si>
  <si>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</si>
  <si>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</si>
  <si>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</si>
  <si>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</si>
  <si>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</si>
  <si>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</si>
  <si>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</si>
  <si>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</si>
  <si>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</si>
  <si>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</si>
  <si>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</si>
  <si>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</si>
  <si>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</si>
  <si>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</si>
  <si>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</si>
  <si>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</si>
  <si>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</si>
  <si>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</si>
  <si>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</si>
  <si>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</si>
  <si>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</si>
  <si>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</si>
  <si>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</si>
  <si>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</si>
  <si>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</si>
  <si>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</si>
  <si>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</si>
  <si>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</si>
  <si>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</si>
  <si>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</si>
  <si>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</si>
  <si>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</si>
  <si>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</si>
  <si>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</si>
  <si>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</si>
  <si>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</si>
  <si>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</si>
  <si>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</si>
  <si>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</si>
  <si>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</si>
  <si>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</si>
  <si>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</si>
  <si>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</si>
  <si>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</si>
  <si>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</si>
  <si>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</si>
  <si>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</si>
  <si>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</si>
  <si>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</si>
  <si>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</si>
  <si>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</si>
  <si>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</si>
  <si>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</si>
  <si>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</si>
  <si>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</si>
  <si>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</si>
  <si>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</si>
  <si>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</si>
  <si>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</si>
  <si>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</si>
  <si>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</si>
  <si>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</si>
  <si>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</si>
  <si>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</si>
  <si>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</si>
  <si>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</si>
  <si>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</si>
  <si>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</si>
  <si>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</si>
  <si>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</si>
  <si>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</si>
  <si>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</si>
  <si>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</si>
  <si>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</si>
  <si>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</si>
  <si>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</si>
  <si>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</si>
  <si>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</si>
  <si>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</si>
  <si>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</si>
  <si>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</si>
  <si>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</si>
  <si>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</si>
  <si>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</si>
  <si>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</si>
  <si>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</si>
  <si>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</si>
  <si>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</si>
  <si>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</si>
  <si>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</si>
  <si>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</si>
  <si>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</si>
  <si>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</si>
  <si>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</si>
  <si>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</si>
  <si>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</si>
  <si>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</si>
  <si>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</si>
  <si>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</si>
  <si>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</si>
  <si>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</si>
  <si>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1.0.0</t>
  </si>
  <si>
    <t xml:space="preserve">First main release of scoresheet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</si>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</sst>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000000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IF($D$7&lt;10,   0, IF($D$7&gt;20,   0,   MOD($D$7,0.5)=0 ))))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6328125" defaultRowHeight="15.75" customHeight="true" zeroHeight="false" outlineLevelRow="0" outlineLevelCol="0"/>
  <cols>
    <col collapsed="false" customWidth="false" hidden="false" outlineLevel="0" max="2" min="1" style="187" width="12.63"/>
    <col collapsed="false" customWidth="true" hidden="false" outlineLevel="0" max="3" min="3" style="188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9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true" outlineLevel="0" collapsed="false">
      <c r="A3" s="189" t="n">
        <v>46296</v>
      </c>
      <c r="B3" s="187" t="s">
        <v>128</v>
      </c>
      <c r="C3" s="187" t="s">
        <v>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90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91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91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91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91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91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91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91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91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91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91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91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91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91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91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91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91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91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91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91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91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91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91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91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91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91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91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91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91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91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91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91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91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91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91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91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91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91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91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91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91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91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91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91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91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91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91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91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91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91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91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91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91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91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91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91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91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91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91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91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91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91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91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91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91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91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91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91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91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91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91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91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91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91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91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91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91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91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91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91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91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91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91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91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91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91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91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91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91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91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91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91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91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91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91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91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91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91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91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91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91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91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91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91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91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91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91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91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91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91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91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91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91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91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91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91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91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91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91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91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91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91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91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91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91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91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91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91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91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91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91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91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91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91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91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91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91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91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91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91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91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91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91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91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91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91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91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91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91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91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91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91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91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91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91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91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91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91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91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91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91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91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91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91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91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91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91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91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91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91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91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91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91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91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91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91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91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91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91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91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91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91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91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91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91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91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91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91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91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91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91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91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91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91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91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91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91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91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91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91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91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91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91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91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91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91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91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91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91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91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91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91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91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91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91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91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91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91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91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91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91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91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91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91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91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91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91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91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91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91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91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91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91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91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91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91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91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91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91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91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91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91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91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91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91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91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91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91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91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91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91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91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91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91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91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91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91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91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91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91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91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91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91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91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91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91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91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91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91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91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91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91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91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91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91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91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91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91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91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91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91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91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91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91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91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91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91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91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91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91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91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91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91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91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91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91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91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91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91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91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91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91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91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91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91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91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91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91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91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91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91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91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91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91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91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91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91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91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91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91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91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91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91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91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91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91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91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91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91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91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91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91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91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91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91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91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91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91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91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91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91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91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91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91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91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91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91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91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91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91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91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91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91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91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91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91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91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91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91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91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91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91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91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91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91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91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91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91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91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91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91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91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91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91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91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91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91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91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91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91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91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91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91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91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91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91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91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91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91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91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91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91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91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91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91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91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91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91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91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91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91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91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91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91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91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91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91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91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91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91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91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91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91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91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91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91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91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91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91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91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91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91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91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91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91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91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91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91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91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91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91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91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91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91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91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91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91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91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91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91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91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91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91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91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91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91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91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91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91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91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91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91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91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91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91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91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91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91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91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91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91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91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91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91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91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91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91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91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91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91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91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91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91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91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91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91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91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91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91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91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91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91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91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91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91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91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91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91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91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91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91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91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91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91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91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91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91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91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91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91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91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91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91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91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91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91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91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91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91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91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91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91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91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91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91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91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91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91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91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91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91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91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91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91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91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91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91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91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91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91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91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91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91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91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91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91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91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91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91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91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91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91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91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91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91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91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91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91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91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91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91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91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91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91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91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91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91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91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91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91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91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91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91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91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91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91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91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91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91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91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91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91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91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91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91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91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91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91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91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91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91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91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91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91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91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91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91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91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91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91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91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91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91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91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91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91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91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91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91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91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91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91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91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91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91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91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91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91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91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91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91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91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91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91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91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91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91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91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91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91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91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91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91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91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91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91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91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91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91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91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91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91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91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91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91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91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91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91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91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91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91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91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91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91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91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91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91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91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91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91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91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91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91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91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91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91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91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91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91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91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91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91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91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91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91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91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91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91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91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91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91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91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91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91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91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91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91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91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91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91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91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91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91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91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91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91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91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91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91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91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91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91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91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91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91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91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91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91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91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91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91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91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91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91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91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91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91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91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91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91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91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91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91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91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91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91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91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91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91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91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91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91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91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91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91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91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91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91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91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91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91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91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91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91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91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91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91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91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91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91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91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91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91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91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91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91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91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91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91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91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91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91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91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91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91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91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91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91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91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91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91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91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91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91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91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91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91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91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91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91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91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91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91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91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91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91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91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91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91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91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91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91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91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91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91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91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91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91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91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91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91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91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91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91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91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91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91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91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91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91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91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91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91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91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91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91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91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91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91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91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91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91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91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91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91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91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91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91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91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91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91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91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91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91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91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91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91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91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91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91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91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91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91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91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91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91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91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91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91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91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91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91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91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91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91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91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91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91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91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91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91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91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91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91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91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91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91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91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91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91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91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91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91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91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91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91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91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91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91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91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91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91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91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91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91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91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91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91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91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91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91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91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91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91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91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91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91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91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91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91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91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91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91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91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91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91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91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91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91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91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91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91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91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91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91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91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91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91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91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91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91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91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91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91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91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91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91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91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91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91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91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91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91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91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91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91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91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91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91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91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91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91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91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91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91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91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91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91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91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91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91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91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91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91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91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91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91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91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91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91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91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91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91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91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91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91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91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91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91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91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91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91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91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91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91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91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91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91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91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91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91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91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91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91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91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91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91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91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91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91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91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91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91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91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91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91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91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91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91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91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91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91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91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91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91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91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91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91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91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91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91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3.49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130</v>
      </c>
      <c r="B1" s="184" t="s">
        <v>131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132</v>
      </c>
      <c r="B2" s="192" t="n">
        <v>46296</v>
      </c>
      <c r="C2" s="184"/>
      <c r="D2" s="184" t="s">
        <v>133</v>
      </c>
      <c r="E2" s="184" t="s">
        <v>134</v>
      </c>
      <c r="F2" s="184" t="s">
        <v>135</v>
      </c>
      <c r="G2" s="184" t="s">
        <v>136</v>
      </c>
      <c r="H2" s="184" t="s">
        <v>137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138</v>
      </c>
      <c r="B3" s="184" t="s">
        <v>128</v>
      </c>
      <c r="C3" s="184"/>
      <c r="D3" s="190" t="n">
        <f aca="false">FIND(".",B3)</f>
        <v>2</v>
      </c>
      <c r="E3" s="190" t="n">
        <f aca="false">FIND(".",B3,D3+1)</f>
        <v>4</v>
      </c>
      <c r="F3" s="184" t="str">
        <f aca="false">LEFT(B3,D3-1)</f>
        <v>1</v>
      </c>
      <c r="G3" s="184" t="str">
        <f aca="false">MID(B3,D3+1,E3-D3-1)</f>
        <v>0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139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140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141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142</v>
      </c>
      <c r="B7" s="184" t="s">
        <v>128</v>
      </c>
      <c r="C7" s="184"/>
      <c r="D7" s="190" t="n">
        <f aca="false">FIND(".",B7)</f>
        <v>2</v>
      </c>
      <c r="E7" s="190" t="n">
        <f aca="false">FIND(".",B7,D7+1)</f>
        <v>4</v>
      </c>
      <c r="F7" s="184" t="str">
        <f aca="false">LEFT(B7,D7-1)</f>
        <v>1</v>
      </c>
      <c r="G7" s="184" t="str">
        <f aca="false">MID(B7,D7+1,E7-D7-1)</f>
        <v>0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143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144</v>
      </c>
      <c r="B1" s="184" t="s">
        <v>145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146</v>
      </c>
      <c r="B2" s="184" t="s">
        <v>146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147</v>
      </c>
      <c r="B3" s="184" t="s">
        <v>148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148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3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4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3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4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3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4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3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4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3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4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3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4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3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4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3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4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3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4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3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4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3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4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3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4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3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4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3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4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3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4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3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4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3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4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3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4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3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4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3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4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3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4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3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4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3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4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3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4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3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4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3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4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3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4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3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4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3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4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3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4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3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4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3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4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3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4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3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4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3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4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3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4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3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4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3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4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3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4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3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4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3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4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3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4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3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4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3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4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3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4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3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4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3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4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3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4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3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4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3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4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3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4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3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4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3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4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3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4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3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4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3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4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3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4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3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4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3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4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3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4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3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4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3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4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3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4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3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4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3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4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3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4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3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4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3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4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3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4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3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4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3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4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3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4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3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4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3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4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3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4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3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4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3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4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3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4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3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4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3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4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3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4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3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4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3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4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3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4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3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4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3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4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3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4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3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4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3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4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3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4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3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4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3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4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3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4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3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4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3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4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3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4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3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4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3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4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3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4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3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4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3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4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3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4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3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4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3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4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3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4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3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4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3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4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3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4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3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4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3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4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3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4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3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4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3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4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3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4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3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4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3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4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3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4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3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4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3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4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3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4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3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4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3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4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3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4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3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4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3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4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3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4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3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4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3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4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3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4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3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4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3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4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3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4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3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4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3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4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3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4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3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4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3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4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3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4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3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4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3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4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3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4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3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4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3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4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3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4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3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4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3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4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3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4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3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4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3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4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3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4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3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4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3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4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3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4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3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4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3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4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3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4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3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4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3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4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3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4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3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4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3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4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3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4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3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4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3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4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3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4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3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4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3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4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3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4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3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4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3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4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3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4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3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4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3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4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3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4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3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4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3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4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3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4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3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4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3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4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3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4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3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4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3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4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3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4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3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4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3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4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3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4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3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4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3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4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3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4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3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4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3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4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3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4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3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4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3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4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3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4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3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4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3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4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3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4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3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4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3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4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3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4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3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4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3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4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3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4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3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4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3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4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3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4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3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4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3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4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3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4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3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4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3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4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3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4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3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4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3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4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3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4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3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4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3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4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3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4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3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4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3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4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3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4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3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4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3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4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3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4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3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4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3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4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3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4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3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4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3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4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3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4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3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4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3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4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3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4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3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4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3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4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3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4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3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4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3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4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3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4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3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4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3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4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3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4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3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4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3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4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3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4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3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4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3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4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3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4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3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4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3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4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3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4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3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4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3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4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3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4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3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4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3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4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3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4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3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4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3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4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3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4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3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4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3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4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3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4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3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4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3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4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3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4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3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4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3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4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3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4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3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4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3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4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3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4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3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4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3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4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3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4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3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4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3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4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3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4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3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4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3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4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3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4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3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4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3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4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3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4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3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4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3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4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3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4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3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4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3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4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3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4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3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4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3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4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3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4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3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4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3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4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3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4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3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4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3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4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3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4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3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4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3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4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3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4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3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4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3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4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3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4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3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4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3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4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3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4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3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4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3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4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3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4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3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4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3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4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3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4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3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4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3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4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3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4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3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4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3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4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3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4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3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4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3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4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3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4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3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4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3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4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3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4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3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4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3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4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3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4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3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4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3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4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3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4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3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4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3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4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3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4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3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4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3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4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3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4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3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4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3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4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3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4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3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4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3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4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3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4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3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4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3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4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3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4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3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4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3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4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3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4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3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4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3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4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3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4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3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4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3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4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3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4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3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4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3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4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3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4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3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4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3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4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3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4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3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4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3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4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3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4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3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4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3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4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3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4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3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4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3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4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3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4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3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4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3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4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3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4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3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4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3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4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3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4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3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4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3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4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3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4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3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4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3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4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3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4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3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4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3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4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3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4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3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4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3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4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3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4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3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4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3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4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3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4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3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4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3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4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3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4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3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4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3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4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3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4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3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4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3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4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3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4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3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4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3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4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3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4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3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4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3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4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3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4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3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4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3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4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3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4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3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4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3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4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3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4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3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4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3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4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3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4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3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4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3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4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3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4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3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4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3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4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3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4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3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4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3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4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3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4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3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4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3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4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3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4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3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4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3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4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3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4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3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4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3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4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3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4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3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4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3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4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3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4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3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4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3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4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3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4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3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4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3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4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3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4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3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4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3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4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3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4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3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4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3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4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3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4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3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4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3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4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3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4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3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4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3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4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3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4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3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4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3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4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3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4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3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4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3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4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3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4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3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4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3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4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3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4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3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4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3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4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3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4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3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4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3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4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3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4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3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4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3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4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3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4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3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4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3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4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3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4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3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4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3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4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3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4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3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4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3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4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3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4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3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4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3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4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3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4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3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4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3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4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3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4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3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4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3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4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3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4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3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4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3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4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3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4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3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4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3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4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3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4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3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4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3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4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2026-10-01T22:25:29Z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