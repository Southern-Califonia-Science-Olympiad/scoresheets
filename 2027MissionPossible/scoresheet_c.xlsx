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<sst xmlns="http://schemas.openxmlformats.org/spreadsheetml/2006/main" count="227" uniqueCount="187">
  <si>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</si>
  <si>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</si>
  <si>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</si>
  <si>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</si>
  <si>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</si>
  <si>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</si>
  <si>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</si>
  <si>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</si>
  <si>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</si>
  <si>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</si>
  <si>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</si>
  <si>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</si>
  <si>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</si>
  <si>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</si>
  <si>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</si>
  <si>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</si>
  <si>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State/Nats Only: Device Impounded (T/F)</t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</si>
  <si>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</si>
  <si>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</si>
  <si>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</si>
  <si>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</si>
  <si>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</si>
  <si>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</si>
  <si>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</si>
  <si>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</si>
  <si>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</si>
  <si>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</si>
  <si>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Stayed in event area, no outside help (T/F)</t>
  </si>
  <si>
    <t xml:space="preserve">13. &lt;= 30 min to set up (T/F)</t>
  </si>
  <si>
    <t xml:space="preserve">14. State/Nats Only: &lt;= 15 min to set up (T/F)</t>
  </si>
  <si>
    <t xml:space="preserve">15. ASL proper format (T/F)</t>
  </si>
  <si>
    <t xml:space="preserve">16. All actions included and accurate (T/F)</t>
  </si>
  <si>
    <t xml:space="preserve">17. ASL # properly labelled (T/F)</t>
  </si>
  <si>
    <t xml:space="preserve">18. Start Action (# of coins or Touch)</t>
  </si>
  <si>
    <t xml:space="preserve">19. # of successful actions</t>
  </si>
  <si>
    <t xml:space="preserve">20. Water Timer (sec)</t>
  </si>
  <si>
    <t xml:space="preserve">21. No Touches leading to Final Action (T/F)</t>
  </si>
  <si>
    <t xml:space="preserve">22. Final Action Satisfied (T/F)</t>
  </si>
  <si>
    <t xml:space="preserve">23. Adjustments/Touches</t>
  </si>
  <si>
    <t xml:space="preserve">24. No electricity used after 30 s (T/F)</t>
  </si>
  <si>
    <t xml:space="preserve">25. No Solid/liquid leaving (T/F)</t>
  </si>
  <si>
    <t xml:space="preserve">26. All coins returned to ES (T/F)</t>
  </si>
  <si>
    <t xml:space="preserve">27. Device Time (s)</t>
  </si>
  <si>
    <t xml:space="preserve">28.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</si>
  <si>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</si>
  <si>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</si>
  <si>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</si>
  <si>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</si>
  <si>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</si>
  <si>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</si>
  <si>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</si>
  <si>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</si>
  <si>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</si>
  <si>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</si>
  <si>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</si>
  <si>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</si>
  <si>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</si>
  <si>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</si>
  <si>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</si>
  <si>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</si>
  <si>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</si>
  <si>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</si>
  <si>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</si>
  <si>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</si>
  <si>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</si>
  <si>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</si>
  <si>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</si>
  <si>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</si>
  <si>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22)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</si>
  <si>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</si>
  <si>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</si>
  <si>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</si>
  <si>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</si>
  <si>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</si>
  <si>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</si>
  <si>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</si>
  <si>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</si>
  <si>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</si>
  <si>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</si>
  <si>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</si>
  <si>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</si>
  <si>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</si>
  <si>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</si>
  <si>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</si>
  <si>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</si>
  <si>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</si>
  <si>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</si>
  <si>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</si>
  <si>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</si>
  <si>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</si>
  <si>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</si>
  <si>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</si>
  <si>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</si>
  <si>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</si>
  <si>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</si>
  <si>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</si>
  <si>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</si>
  <si>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</si>
  <si>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</si>
  <si>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</si>
  <si>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</si>
  <si>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</si>
  <si>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</si>
  <si>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</si>
  <si>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</si>
  <si>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</si>
  <si>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</si>
  <si>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</si>
  <si>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</si>
  <si>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</si>
  <si>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</si>
  <si>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</si>
  <si>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</si>
  <si>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</si>
  <si>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</si>
  <si>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</si>
  <si>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</si>
  <si>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</si>
  <si>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</si>
  <si>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</si>
  <si>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</si>
  <si>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</si>
  <si>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</si>
  <si>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</si>
  <si>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</si>
  <si>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</si>
  <si>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</si>
  <si>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</si>
  <si>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</si>
  <si>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</si>
  <si>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</si>
  <si>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</si>
  <si>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</si>
  <si>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</si>
  <si>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</si>
  <si>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</si>
  <si>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</si>
  <si>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</si>
  <si>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</si>
  <si>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</si>
  <si>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</si>
  <si>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</si>
  <si>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</si>
  <si>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</si>
  <si>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</si>
  <si>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</si>
  <si>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</si>
  <si>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</si>
  <si>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</si>
  <si>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</si>
  <si>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</si>
  <si>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</si>
  <si>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0.0.0</t>
  </si>
  <si>
    <t xml:space="preserve">First draft of scoresheet completed</t>
  </si>
  <si>
    <t xml:space="preserve">0.0.1</t>
  </si>
  <si>
    <t xml:space="preserve">Fixed Tiebreaker to show status (P, NS, DQ) if team is not Completed status </t>
  </si>
  <si>
    <t xml:space="preserve">0.1.0</t>
  </si>
  <si>
    <t xml:space="preserve">Fixed to include solid/liquid leaving penalty to score. Fixed dimension bonus from going negative. Fixed awarding of points for # of marbles sorted correctly. Added coloring for invalid number of items sorted incorrectly.</t>
  </si>
  <si>
    <t xml:space="preserve">0.2.0</t>
  </si>
  <si>
    <t xml:space="preserve">Fixed tiering to correctly group rankings by tier.</t>
  </si>
  <si>
    <t xml:space="preserve">0.3.0</t>
  </si>
  <si>
    <t xml:space="preserve">Make final action touches void points awarded for final scoring bell and sorting. Remove target time column in favor of global cell. Fix box numbering to align with checklist</t>
  </si>
  <si>
    <t xml:space="preserve">0.4.0</t>
  </si>
  <si>
    <t xml:space="preserve">Fixed #REF! errors related to time score</t>
  </si>
  <si>
    <t xml:space="preserve">0.5.0</t>
  </si>
  <si>
    <t xml:space="preserve">Removed box 17 to align with checklist</t>
  </si>
  <si>
    <t xml:space="preserve">0.5.1</t>
  </si>
  <si>
    <t xml:space="preserve">Add coloring for abnormal (red) and bonuses (green) where applicable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</si>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</sst>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Y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D7" activeCellId="0" sqref="D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6" min="13" style="1" width="6.39"/>
    <col collapsed="false" customWidth="true" hidden="false" outlineLevel="0" max="17" min="17" style="1" width="4.5"/>
    <col collapsed="false" customWidth="true" hidden="false" outlineLevel="0" max="18" min="18" style="1" width="6.53"/>
    <col collapsed="false" customWidth="true" hidden="false" outlineLevel="0" max="19" min="19" style="1" width="6.68"/>
    <col collapsed="false" customWidth="true" hidden="false" outlineLevel="0" max="21" min="20" style="1" width="6.39"/>
    <col collapsed="false" customWidth="true" hidden="false" outlineLevel="0" max="22" min="22" style="1" width="6.53"/>
    <col collapsed="false" customWidth="true" hidden="false" outlineLevel="0" max="23" min="23" style="1" width="5"/>
    <col collapsed="false" customWidth="true" hidden="false" outlineLevel="0" max="24" min="24" style="1" width="7.5"/>
    <col collapsed="false" customWidth="true" hidden="false" outlineLevel="0" max="25" min="25" style="1" width="7.65"/>
    <col collapsed="false" customWidth="true" hidden="false" outlineLevel="0" max="26" min="26" style="1" width="7.37"/>
    <col collapsed="false" customWidth="true" hidden="false" outlineLevel="0" max="30" min="27" style="1" width="5.98"/>
    <col collapsed="false" customWidth="true" hidden="false" outlineLevel="0" max="31" min="31" style="1" width="6"/>
    <col collapsed="false" customWidth="true" hidden="false" outlineLevel="0" max="32" min="32" style="1" width="4"/>
    <col collapsed="false" customWidth="true" hidden="true" outlineLevel="0" max="33" min="33" style="1" width="4.63"/>
    <col collapsed="false" customWidth="true" hidden="true" outlineLevel="0" max="34" min="34" style="1" width="4.07"/>
    <col collapsed="false" customWidth="true" hidden="true" outlineLevel="0" max="35" min="35" style="1" width="6.58"/>
    <col collapsed="false" customWidth="true" hidden="true" outlineLevel="0" max="39" min="36" style="1" width="7.42"/>
    <col collapsed="false" customWidth="true" hidden="true" outlineLevel="0" max="42" min="40" style="1" width="7.5"/>
    <col collapsed="false" customWidth="true" hidden="true" outlineLevel="0" max="53" min="43" style="1" width="7.42"/>
    <col collapsed="false" customWidth="true" hidden="true" outlineLevel="0" max="54" min="54" style="1" width="5"/>
    <col collapsed="false" customWidth="true" hidden="true" outlineLevel="0" max="55" min="55" style="1" width="7.5"/>
    <col collapsed="false" customWidth="true" hidden="true" outlineLevel="0" max="56" min="56" style="1" width="7.65"/>
    <col collapsed="false" customWidth="true" hidden="true" outlineLevel="0" max="57" min="57" style="1" width="7.42"/>
    <col collapsed="false" customWidth="true" hidden="true" outlineLevel="0" max="58" min="58" style="1" width="5.98"/>
    <col collapsed="false" customWidth="true" hidden="true" outlineLevel="0" max="61" min="59" style="1" width="7.42"/>
    <col collapsed="false" customWidth="true" hidden="true" outlineLevel="0" max="62" min="62" style="1" width="6"/>
    <col collapsed="false" customWidth="true" hidden="true" outlineLevel="0" max="64" min="63" style="1" width="7.42"/>
    <col collapsed="false" customWidth="true" hidden="true" outlineLevel="0" max="65" min="65" style="1" width="5.19"/>
    <col collapsed="false" customWidth="true" hidden="true" outlineLevel="0" max="66" min="66" style="1" width="31.21"/>
    <col collapsed="false" customWidth="true" hidden="true" outlineLevel="0" max="67" min="67" style="1" width="13.81"/>
    <col collapsed="false" customWidth="true" hidden="true" outlineLevel="0" max="68" min="68" style="1" width="11.03"/>
    <col collapsed="false" customWidth="true" hidden="true" outlineLevel="0" max="69" min="69" style="1" width="18.54"/>
    <col collapsed="false" customWidth="true" hidden="true" outlineLevel="0" max="70" min="70" style="1" width="23.27"/>
    <col collapsed="false" customWidth="true" hidden="true" outlineLevel="0" max="71" min="71" style="1" width="18.68"/>
    <col collapsed="false" customWidth="true" hidden="true" outlineLevel="0" max="72" min="72" style="1" width="12.15"/>
    <col collapsed="false" customWidth="true" hidden="true" outlineLevel="0" max="73" min="73" style="1" width="20.07"/>
    <col collapsed="false" customWidth="true" hidden="true" outlineLevel="0" max="74" min="74" style="1" width="23.69"/>
    <col collapsed="false" customWidth="true" hidden="true" outlineLevel="0" max="75" min="75" style="1" width="18.13"/>
    <col collapsed="false" customWidth="true" hidden="true" outlineLevel="0" max="76" min="76" style="1" width="10.61"/>
    <col collapsed="false" customWidth="true" hidden="true" outlineLevel="0" max="77" min="77" style="1" width="24.39"/>
    <col collapsed="false" customWidth="true" hidden="true" outlineLevel="0" max="78" min="78" style="1" width="20.35"/>
    <col collapsed="false" customWidth="true" hidden="true" outlineLevel="0" max="79" min="79" style="1" width="9.52"/>
    <col collapsed="false" customWidth="true" hidden="true" outlineLevel="0" max="80" min="80" style="1" width="20.63"/>
    <col collapsed="false" customWidth="true" hidden="true" outlineLevel="0" max="81" min="81" style="1" width="20.35"/>
    <col collapsed="false" customWidth="true" hidden="true" outlineLevel="0" max="82" min="82" style="1" width="20.91"/>
    <col collapsed="false" customWidth="true" hidden="true" outlineLevel="0" max="83" min="83" style="1" width="12.01"/>
    <col collapsed="false" customWidth="true" hidden="true" outlineLevel="0" max="84" min="84" style="1" width="12.15"/>
    <col collapsed="false" customWidth="true" hidden="true" outlineLevel="0" max="85" min="85" style="1" width="18.26"/>
    <col collapsed="false" customWidth="true" hidden="true" outlineLevel="0" max="86" min="86" style="1" width="10.61"/>
    <col collapsed="false" customWidth="true" hidden="true" outlineLevel="0" max="87" min="87" style="1" width="25.64"/>
    <col collapsed="false" customWidth="true" hidden="true" outlineLevel="0" max="88" min="88" style="1" width="10.61"/>
    <col collapsed="false" customWidth="true" hidden="true" outlineLevel="0" max="89" min="89" style="1" width="12.42"/>
    <col collapsed="false" customWidth="true" hidden="true" outlineLevel="0" max="90" min="90" style="1" width="10.33"/>
    <col collapsed="false" customWidth="true" hidden="true" outlineLevel="0" max="91" min="91" style="1" width="52.07"/>
    <col collapsed="false" customWidth="true" hidden="true" outlineLevel="0" max="92" min="92" style="1" width="17.43"/>
    <col collapsed="false" customWidth="true" hidden="true" outlineLevel="0" max="93" min="93" style="1" width="18.13"/>
    <col collapsed="false" customWidth="true" hidden="true" outlineLevel="0" max="94" min="94" style="1" width="22.86"/>
    <col collapsed="false" customWidth="true" hidden="true" outlineLevel="0" max="95" min="95" style="1" width="18.82"/>
    <col collapsed="false" customWidth="true" hidden="true" outlineLevel="0" max="96" min="96" style="1" width="14.93"/>
    <col collapsed="false" customWidth="true" hidden="true" outlineLevel="0" max="97" min="97" style="1" width="18.68"/>
    <col collapsed="false" customWidth="true" hidden="true" outlineLevel="0" max="99" min="98" style="1" width="4.63"/>
    <col collapsed="false" customWidth="true" hidden="false" outlineLevel="0" max="100" min="100" style="1" width="52.07"/>
    <col collapsed="false" customWidth="true" hidden="false" outlineLevel="0" max="101" min="101" style="1" width="5.32"/>
    <col collapsed="false" customWidth="true" hidden="false" outlineLevel="0" max="102" min="102" style="1" width="6.58"/>
    <col collapsed="false" customWidth="true" hidden="false" outlineLevel="0" max="104" min="103" style="1" width="5.32"/>
    <col collapsed="false" customWidth="true" hidden="false" outlineLevel="0" max="105" min="105" style="1" width="5.88"/>
    <col collapsed="false" customWidth="true" hidden="false" outlineLevel="0" max="106" min="106" style="1" width="6.02"/>
    <col collapsed="false" customWidth="true" hidden="false" outlineLevel="0" max="107" min="107" style="1" width="8.63"/>
    <col collapsed="false" customWidth="true" hidden="false" outlineLevel="0" max="111" min="108" style="1" width="4"/>
    <col collapsed="false" customWidth="true" hidden="false" outlineLevel="0" max="112" min="112" style="1" width="2"/>
    <col collapsed="false" customWidth="true" hidden="true" outlineLevel="0" max="122" min="113" style="1" width="4.63"/>
    <col collapsed="false" customWidth="true" hidden="false" outlineLevel="0" max="123" min="123" style="1" width="4.63"/>
    <col collapsed="false" customWidth="true" hidden="false" outlineLevel="0" max="124" min="124" style="1" width="6.88"/>
    <col collapsed="false" customWidth="true" hidden="false" outlineLevel="0" max="125" min="125" style="1" width="30.75"/>
    <col collapsed="false" customWidth="true" hidden="false" outlineLevel="0" max="126" min="126" style="1" width="15.63"/>
    <col collapsed="false" customWidth="true" hidden="false" outlineLevel="0" max="127" min="127" style="1" width="4.63"/>
    <col collapsed="false" customWidth="true" hidden="false" outlineLevel="0" max="128" min="128" style="1" width="8.63"/>
    <col collapsed="false" customWidth="true" hidden="true" outlineLevel="0" max="129" min="12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4"/>
      <c r="AA1" s="4"/>
      <c r="AB1" s="4"/>
      <c r="AC1" s="2"/>
      <c r="AD1" s="2"/>
      <c r="AE1" s="5"/>
      <c r="AF1" s="2"/>
      <c r="AG1" s="2"/>
      <c r="CT1" s="2"/>
      <c r="CU1" s="2"/>
      <c r="CV1" s="2"/>
      <c r="DC1" s="2"/>
      <c r="DD1" s="6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0"/>
      <c r="Q2" s="11" t="s">
        <v>2</v>
      </c>
      <c r="R2" s="11"/>
      <c r="S2" s="11"/>
      <c r="T2" s="11"/>
      <c r="U2" s="11"/>
      <c r="V2" s="12" t="s">
        <v>3</v>
      </c>
      <c r="W2" s="12"/>
      <c r="X2" s="12"/>
      <c r="Y2" s="12"/>
      <c r="Z2" s="12"/>
      <c r="AA2" s="12"/>
      <c r="AB2" s="12"/>
      <c r="AC2" s="12"/>
      <c r="AD2" s="12"/>
      <c r="AE2" s="12"/>
      <c r="AF2" s="13"/>
      <c r="AG2" s="14"/>
      <c r="AJ2" s="15" t="s">
        <v>4</v>
      </c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 t="s">
        <v>5</v>
      </c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T2" s="16"/>
      <c r="CU2" s="17"/>
      <c r="CV2" s="18"/>
      <c r="CW2" s="19" t="s">
        <v>6</v>
      </c>
      <c r="CX2" s="19"/>
      <c r="CY2" s="19"/>
      <c r="CZ2" s="19"/>
      <c r="DA2" s="19"/>
      <c r="DB2" s="19"/>
      <c r="DC2" s="20"/>
      <c r="DD2" s="20"/>
      <c r="DE2" s="20"/>
      <c r="DF2" s="20"/>
      <c r="DG2" s="19"/>
      <c r="DH2" s="21"/>
      <c r="DI2" s="22"/>
      <c r="DJ2" s="22"/>
      <c r="DK2" s="23" t="s">
        <v>7</v>
      </c>
      <c r="DL2" s="24" t="s">
        <v>8</v>
      </c>
      <c r="DM2" s="24" t="s">
        <v>9</v>
      </c>
      <c r="DN2" s="24" t="s">
        <v>10</v>
      </c>
      <c r="DO2" s="24" t="s">
        <v>11</v>
      </c>
      <c r="DP2" s="24" t="s">
        <v>12</v>
      </c>
      <c r="DQ2" s="24" t="s">
        <v>13</v>
      </c>
      <c r="DR2" s="25" t="s">
        <v>14</v>
      </c>
      <c r="DS2" s="26" t="s">
        <v>15</v>
      </c>
      <c r="DT2" s="26"/>
      <c r="DU2" s="26"/>
      <c r="DV2" s="26"/>
      <c r="DW2" s="26"/>
      <c r="DX2" s="26"/>
      <c r="DY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8" t="s">
        <v>27</v>
      </c>
      <c r="Q3" s="27" t="s">
        <v>28</v>
      </c>
      <c r="R3" s="27" t="s">
        <v>29</v>
      </c>
      <c r="S3" s="27" t="s">
        <v>30</v>
      </c>
      <c r="T3" s="27" t="s">
        <v>31</v>
      </c>
      <c r="U3" s="28" t="s">
        <v>32</v>
      </c>
      <c r="V3" s="27" t="s">
        <v>33</v>
      </c>
      <c r="W3" s="32" t="s">
        <v>34</v>
      </c>
      <c r="X3" s="27" t="s">
        <v>35</v>
      </c>
      <c r="Y3" s="31" t="s">
        <v>36</v>
      </c>
      <c r="Z3" s="32" t="s">
        <v>37</v>
      </c>
      <c r="AA3" s="32" t="s">
        <v>38</v>
      </c>
      <c r="AB3" s="27" t="s">
        <v>39</v>
      </c>
      <c r="AC3" s="27" t="s">
        <v>40</v>
      </c>
      <c r="AD3" s="27" t="s">
        <v>41</v>
      </c>
      <c r="AE3" s="33" t="s">
        <v>42</v>
      </c>
      <c r="AF3" s="31" t="s">
        <v>43</v>
      </c>
      <c r="AG3" s="14"/>
      <c r="AH3" s="34" t="s">
        <v>44</v>
      </c>
      <c r="AI3" s="34" t="s">
        <v>45</v>
      </c>
      <c r="AJ3" s="35" t="str">
        <f aca="false">E3</f>
        <v>1. State/Nats Only: Device Impounded (T/F)</v>
      </c>
      <c r="AK3" s="36" t="str">
        <f aca="false">F3</f>
        <v>2. ASL Impounded (T/F)</v>
      </c>
      <c r="AL3" s="35" t="str">
        <f aca="false">G3</f>
        <v>3. Eye Protection (T/F)</v>
      </c>
      <c r="AM3" s="37" t="str">
        <f aca="false">H3</f>
        <v>4. Device is safe (T/F)</v>
      </c>
      <c r="AN3" s="38" t="str">
        <f aca="false">I3</f>
        <v>5. Dimension 1 (cm)</v>
      </c>
      <c r="AO3" s="38" t="str">
        <f aca="false">J3</f>
        <v>6. Dimension 2 (cm)</v>
      </c>
      <c r="AP3" s="38" t="str">
        <f aca="false">K3</f>
        <v>7. Dimension 3 (cm)</v>
      </c>
      <c r="AQ3" s="39" t="str">
        <f aca="false">L3</f>
        <v>8. Top &amp; 2+ vertical walls transparent/open (T/F)</v>
      </c>
      <c r="AR3" s="39" t="str">
        <f aca="false">M3</f>
        <v>9. All const params met (T/F)</v>
      </c>
      <c r="AS3" s="39" t="str">
        <f aca="false">N3</f>
        <v>10. Not Remote Controlled (T/F)</v>
      </c>
      <c r="AT3" s="36" t="str">
        <f aca="false">O3</f>
        <v>11. Team able to answer questions (T/F)</v>
      </c>
      <c r="AU3" s="36" t="str">
        <f aca="false">P3</f>
        <v>12. Stayed in event area, no outside help (T/F)</v>
      </c>
      <c r="AV3" s="35" t="str">
        <f aca="false">Q3</f>
        <v>13. &lt;= 30 min to set up (T/F)</v>
      </c>
      <c r="AW3" s="35" t="str">
        <f aca="false">R3</f>
        <v>14. State/Nats Only: &lt;= 15 min to set up (T/F)</v>
      </c>
      <c r="AX3" s="35" t="str">
        <f aca="false">S3</f>
        <v>15. ASL proper format (T/F)</v>
      </c>
      <c r="AY3" s="35" t="str">
        <f aca="false">T3</f>
        <v>16. All actions included and accurate (T/F)</v>
      </c>
      <c r="AZ3" s="36" t="str">
        <f aca="false">U3</f>
        <v>17. ASL # properly labelled (T/F)</v>
      </c>
      <c r="BA3" s="35" t="str">
        <f aca="false">V3</f>
        <v>18. Start Action (# of coins or Touch)</v>
      </c>
      <c r="BB3" s="40" t="str">
        <f aca="false">W3</f>
        <v>19. # of successful actions</v>
      </c>
      <c r="BC3" s="35" t="str">
        <f aca="false">X3</f>
        <v>20. Water Timer (sec)</v>
      </c>
      <c r="BD3" s="39" t="str">
        <f aca="false">Y3</f>
        <v>21. No Touches leading to Final Action (T/F)</v>
      </c>
      <c r="BE3" s="40" t="str">
        <f aca="false">Z3</f>
        <v>22. Final Action Satisfied (T/F)</v>
      </c>
      <c r="BF3" s="40" t="str">
        <f aca="false">AA3</f>
        <v>23. Adjustments/Touches</v>
      </c>
      <c r="BG3" s="35" t="str">
        <f aca="false">AB3</f>
        <v>24. No electricity used after 30 s (T/F)</v>
      </c>
      <c r="BH3" s="35" t="str">
        <f aca="false">AC3</f>
        <v>25. No Solid/liquid leaving (T/F)</v>
      </c>
      <c r="BI3" s="35" t="str">
        <f aca="false">AD3</f>
        <v>26. All coins returned to ES (T/F)</v>
      </c>
      <c r="BJ3" s="41" t="str">
        <f aca="false">AE3</f>
        <v>27. Device Time (s)</v>
      </c>
      <c r="BK3" s="39" t="str">
        <f aca="false">AF3</f>
        <v>28. Disqualify (T/F)</v>
      </c>
      <c r="CT3" s="16"/>
      <c r="CU3" s="42"/>
      <c r="CV3" s="43"/>
      <c r="CW3" s="44" t="s">
        <v>46</v>
      </c>
      <c r="CX3" s="44" t="s">
        <v>47</v>
      </c>
      <c r="CY3" s="44" t="s">
        <v>48</v>
      </c>
      <c r="CZ3" s="44" t="s">
        <v>49</v>
      </c>
      <c r="DA3" s="44" t="s">
        <v>50</v>
      </c>
      <c r="DB3" s="45" t="s">
        <v>51</v>
      </c>
      <c r="DC3" s="46" t="s">
        <v>52</v>
      </c>
      <c r="DD3" s="44" t="s">
        <v>53</v>
      </c>
      <c r="DE3" s="47" t="s">
        <v>54</v>
      </c>
      <c r="DF3" s="44" t="s">
        <v>55</v>
      </c>
      <c r="DG3" s="45" t="s">
        <v>56</v>
      </c>
      <c r="DH3" s="48"/>
      <c r="DI3" s="22"/>
      <c r="DJ3" s="22"/>
      <c r="DK3" s="23"/>
      <c r="DL3" s="24"/>
      <c r="DM3" s="24"/>
      <c r="DN3" s="24"/>
      <c r="DO3" s="24"/>
      <c r="DP3" s="24"/>
      <c r="DQ3" s="24"/>
      <c r="DR3" s="25"/>
      <c r="DS3" s="49" t="s">
        <v>55</v>
      </c>
      <c r="DT3" s="50" t="s">
        <v>57</v>
      </c>
      <c r="DU3" s="50" t="s">
        <v>58</v>
      </c>
      <c r="DV3" s="50" t="s">
        <v>59</v>
      </c>
      <c r="DW3" s="50" t="s">
        <v>53</v>
      </c>
      <c r="DX3" s="51" t="s">
        <v>52</v>
      </c>
      <c r="DY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8"/>
      <c r="Q4" s="27"/>
      <c r="R4" s="27"/>
      <c r="S4" s="27"/>
      <c r="T4" s="27"/>
      <c r="U4" s="28"/>
      <c r="V4" s="27"/>
      <c r="W4" s="27"/>
      <c r="X4" s="27"/>
      <c r="Y4" s="27"/>
      <c r="Z4" s="27"/>
      <c r="AA4" s="27"/>
      <c r="AB4" s="27"/>
      <c r="AC4" s="27"/>
      <c r="AD4" s="27"/>
      <c r="AE4" s="33"/>
      <c r="AF4" s="31"/>
      <c r="AG4" s="1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CT4" s="16"/>
      <c r="CU4" s="42"/>
      <c r="CV4" s="43"/>
      <c r="CW4" s="44"/>
      <c r="CX4" s="44"/>
      <c r="CY4" s="44"/>
      <c r="CZ4" s="44"/>
      <c r="DA4" s="44"/>
      <c r="DB4" s="45"/>
      <c r="DC4" s="46"/>
      <c r="DD4" s="44"/>
      <c r="DE4" s="44"/>
      <c r="DF4" s="44"/>
      <c r="DG4" s="45"/>
      <c r="DH4" s="48"/>
      <c r="DI4" s="22"/>
      <c r="DJ4" s="22"/>
      <c r="DK4" s="23"/>
      <c r="DL4" s="24"/>
      <c r="DM4" s="24"/>
      <c r="DN4" s="24"/>
      <c r="DO4" s="24"/>
      <c r="DP4" s="24"/>
      <c r="DQ4" s="24"/>
      <c r="DR4" s="25"/>
      <c r="DS4" s="49"/>
      <c r="DT4" s="50"/>
      <c r="DU4" s="50"/>
      <c r="DV4" s="50"/>
      <c r="DW4" s="50"/>
      <c r="DX4" s="51"/>
      <c r="DY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8"/>
      <c r="Q5" s="27"/>
      <c r="R5" s="27"/>
      <c r="S5" s="27"/>
      <c r="T5" s="27"/>
      <c r="U5" s="28"/>
      <c r="V5" s="27"/>
      <c r="W5" s="27"/>
      <c r="X5" s="27"/>
      <c r="Y5" s="27"/>
      <c r="Z5" s="27"/>
      <c r="AA5" s="27"/>
      <c r="AB5" s="27"/>
      <c r="AC5" s="27"/>
      <c r="AD5" s="27"/>
      <c r="AE5" s="33"/>
      <c r="AF5" s="31"/>
      <c r="AG5" s="1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CM5" s="15" t="s">
        <v>60</v>
      </c>
      <c r="CT5" s="16"/>
      <c r="CU5" s="42"/>
      <c r="CV5" s="43"/>
      <c r="CW5" s="44"/>
      <c r="CX5" s="44"/>
      <c r="CY5" s="44"/>
      <c r="CZ5" s="44"/>
      <c r="DA5" s="44"/>
      <c r="DB5" s="45"/>
      <c r="DC5" s="46"/>
      <c r="DD5" s="44"/>
      <c r="DE5" s="44"/>
      <c r="DF5" s="44"/>
      <c r="DG5" s="45"/>
      <c r="DH5" s="48"/>
      <c r="DI5" s="22"/>
      <c r="DJ5" s="22"/>
      <c r="DK5" s="23"/>
      <c r="DL5" s="24"/>
      <c r="DM5" s="24"/>
      <c r="DN5" s="24"/>
      <c r="DO5" s="24"/>
      <c r="DP5" s="24"/>
      <c r="DQ5" s="24"/>
      <c r="DR5" s="25"/>
      <c r="DS5" s="49"/>
      <c r="DT5" s="50"/>
      <c r="DU5" s="50"/>
      <c r="DV5" s="50"/>
      <c r="DW5" s="50"/>
      <c r="DX5" s="51"/>
      <c r="DY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8"/>
      <c r="Q6" s="27"/>
      <c r="R6" s="27"/>
      <c r="S6" s="27"/>
      <c r="T6" s="27"/>
      <c r="U6" s="28"/>
      <c r="V6" s="27"/>
      <c r="W6" s="27"/>
      <c r="X6" s="27"/>
      <c r="Y6" s="27"/>
      <c r="Z6" s="27"/>
      <c r="AA6" s="27"/>
      <c r="AB6" s="27"/>
      <c r="AC6" s="27"/>
      <c r="AD6" s="27"/>
      <c r="AE6" s="33"/>
      <c r="AF6" s="31"/>
      <c r="AG6" s="1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CM6" s="15" t="s">
        <v>61</v>
      </c>
      <c r="CT6" s="16"/>
      <c r="CU6" s="42"/>
      <c r="CV6" s="43"/>
      <c r="CW6" s="44"/>
      <c r="CX6" s="44"/>
      <c r="CY6" s="44"/>
      <c r="CZ6" s="44"/>
      <c r="DA6" s="44"/>
      <c r="DB6" s="45"/>
      <c r="DC6" s="46"/>
      <c r="DD6" s="44"/>
      <c r="DE6" s="44"/>
      <c r="DF6" s="44"/>
      <c r="DG6" s="45"/>
      <c r="DH6" s="48"/>
      <c r="DI6" s="22"/>
      <c r="DJ6" s="22"/>
      <c r="DK6" s="23"/>
      <c r="DL6" s="24"/>
      <c r="DM6" s="24"/>
      <c r="DN6" s="24"/>
      <c r="DO6" s="24"/>
      <c r="DP6" s="24"/>
      <c r="DQ6" s="24"/>
      <c r="DR6" s="25"/>
      <c r="DS6" s="49"/>
      <c r="DT6" s="50"/>
      <c r="DU6" s="50"/>
      <c r="DV6" s="50"/>
      <c r="DW6" s="50"/>
      <c r="DX6" s="51"/>
      <c r="DY6" s="22"/>
    </row>
    <row r="7" customFormat="false" ht="28.8" hidden="false" customHeight="true" outlineLevel="0" collapsed="false">
      <c r="A7" s="7"/>
      <c r="B7" s="55" t="s">
        <v>62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8"/>
      <c r="Q7" s="27"/>
      <c r="R7" s="27"/>
      <c r="S7" s="27"/>
      <c r="T7" s="27"/>
      <c r="U7" s="28"/>
      <c r="V7" s="27"/>
      <c r="W7" s="27"/>
      <c r="X7" s="27"/>
      <c r="Y7" s="27"/>
      <c r="Z7" s="27"/>
      <c r="AA7" s="27"/>
      <c r="AB7" s="27"/>
      <c r="AC7" s="27"/>
      <c r="AD7" s="27"/>
      <c r="AE7" s="33"/>
      <c r="AF7" s="31"/>
      <c r="AG7" s="1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O7" s="15" t="s">
        <v>63</v>
      </c>
      <c r="BP7" s="15"/>
      <c r="BQ7" s="15"/>
      <c r="BR7" s="15"/>
      <c r="BS7" s="15"/>
      <c r="BT7" s="15"/>
      <c r="BU7" s="15"/>
      <c r="BV7" s="15"/>
      <c r="BW7" s="15"/>
      <c r="BX7" s="15" t="s">
        <v>64</v>
      </c>
      <c r="BY7" s="15"/>
      <c r="BZ7" s="15"/>
      <c r="CA7" s="15"/>
      <c r="CB7" s="15"/>
      <c r="CC7" s="15"/>
      <c r="CF7" s="15" t="s">
        <v>65</v>
      </c>
      <c r="CG7" s="15"/>
      <c r="CH7" s="15"/>
      <c r="CI7" s="15"/>
      <c r="CJ7" s="15"/>
      <c r="CK7" s="15"/>
      <c r="CL7" s="15"/>
      <c r="CM7" s="15" t="s">
        <v>66</v>
      </c>
      <c r="CN7" s="15"/>
      <c r="CO7" s="15"/>
      <c r="CP7" s="15"/>
      <c r="CQ7" s="15"/>
      <c r="CR7" s="15"/>
      <c r="CS7" s="15"/>
      <c r="CT7" s="22"/>
      <c r="CU7" s="42"/>
      <c r="CV7" s="43"/>
      <c r="CW7" s="44"/>
      <c r="CX7" s="44"/>
      <c r="CY7" s="44"/>
      <c r="CZ7" s="44"/>
      <c r="DA7" s="44"/>
      <c r="DB7" s="45"/>
      <c r="DC7" s="46"/>
      <c r="DD7" s="44"/>
      <c r="DE7" s="44"/>
      <c r="DF7" s="44"/>
      <c r="DG7" s="45"/>
      <c r="DH7" s="48"/>
      <c r="DI7" s="22"/>
      <c r="DJ7" s="22"/>
      <c r="DK7" s="23"/>
      <c r="DL7" s="24"/>
      <c r="DM7" s="24"/>
      <c r="DN7" s="24"/>
      <c r="DO7" s="24"/>
      <c r="DP7" s="24"/>
      <c r="DQ7" s="24"/>
      <c r="DR7" s="25"/>
      <c r="DS7" s="49"/>
      <c r="DT7" s="50"/>
      <c r="DU7" s="50"/>
      <c r="DV7" s="50"/>
      <c r="DW7" s="50"/>
      <c r="DX7" s="51"/>
      <c r="DY7" s="22"/>
    </row>
    <row r="8" customFormat="false" ht="15.75" hidden="false" customHeight="false" outlineLevel="0" collapsed="false">
      <c r="A8" s="7"/>
      <c r="B8" s="57" t="s">
        <v>57</v>
      </c>
      <c r="C8" s="58" t="s">
        <v>58</v>
      </c>
      <c r="D8" s="59" t="s">
        <v>59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8"/>
      <c r="Q8" s="27"/>
      <c r="R8" s="27"/>
      <c r="S8" s="27"/>
      <c r="T8" s="27"/>
      <c r="U8" s="28"/>
      <c r="V8" s="27"/>
      <c r="W8" s="27"/>
      <c r="X8" s="27"/>
      <c r="Y8" s="27"/>
      <c r="Z8" s="27"/>
      <c r="AA8" s="27"/>
      <c r="AB8" s="27"/>
      <c r="AC8" s="27"/>
      <c r="AD8" s="27"/>
      <c r="AE8" s="33"/>
      <c r="AF8" s="31"/>
      <c r="AG8" s="60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61" t="s">
        <v>67</v>
      </c>
      <c r="BM8" s="61" t="s">
        <v>53</v>
      </c>
      <c r="BN8" s="61" t="s">
        <v>68</v>
      </c>
      <c r="BO8" s="61" t="s">
        <v>69</v>
      </c>
      <c r="BP8" s="61" t="s">
        <v>70</v>
      </c>
      <c r="BQ8" s="61" t="s">
        <v>71</v>
      </c>
      <c r="BR8" s="61" t="s">
        <v>72</v>
      </c>
      <c r="BS8" s="61" t="s">
        <v>73</v>
      </c>
      <c r="BT8" s="61" t="s">
        <v>48</v>
      </c>
      <c r="BU8" s="61" t="s">
        <v>74</v>
      </c>
      <c r="BV8" s="61" t="s">
        <v>75</v>
      </c>
      <c r="BW8" s="61" t="s">
        <v>76</v>
      </c>
      <c r="BX8" s="61" t="s">
        <v>77</v>
      </c>
      <c r="BY8" s="61" t="s">
        <v>78</v>
      </c>
      <c r="BZ8" s="61" t="s">
        <v>79</v>
      </c>
      <c r="CA8" s="61" t="s">
        <v>80</v>
      </c>
      <c r="CB8" s="61" t="s">
        <v>81</v>
      </c>
      <c r="CC8" s="61" t="s">
        <v>82</v>
      </c>
      <c r="CD8" s="61" t="s">
        <v>83</v>
      </c>
      <c r="CE8" s="61" t="s">
        <v>84</v>
      </c>
      <c r="CF8" s="61" t="s">
        <v>85</v>
      </c>
      <c r="CG8" s="61" t="s">
        <v>86</v>
      </c>
      <c r="CH8" s="61" t="s">
        <v>87</v>
      </c>
      <c r="CI8" s="61" t="s">
        <v>88</v>
      </c>
      <c r="CJ8" s="61" t="s">
        <v>89</v>
      </c>
      <c r="CK8" s="61" t="s">
        <v>90</v>
      </c>
      <c r="CL8" s="61" t="s">
        <v>91</v>
      </c>
      <c r="CM8" s="61" t="s">
        <v>92</v>
      </c>
      <c r="CN8" s="61" t="s">
        <v>93</v>
      </c>
      <c r="CO8" s="61" t="s">
        <v>94</v>
      </c>
      <c r="CP8" s="61" t="s">
        <v>95</v>
      </c>
      <c r="CQ8" s="61" t="s">
        <v>96</v>
      </c>
      <c r="CR8" s="61" t="s">
        <v>97</v>
      </c>
      <c r="CS8" s="61" t="s">
        <v>98</v>
      </c>
      <c r="CT8" s="62"/>
      <c r="CU8" s="42"/>
      <c r="CV8" s="63" t="s">
        <v>99</v>
      </c>
      <c r="CW8" s="44"/>
      <c r="CX8" s="44"/>
      <c r="CY8" s="44"/>
      <c r="CZ8" s="44"/>
      <c r="DA8" s="44"/>
      <c r="DB8" s="45"/>
      <c r="DC8" s="46"/>
      <c r="DD8" s="44"/>
      <c r="DE8" s="44"/>
      <c r="DF8" s="44"/>
      <c r="DG8" s="45"/>
      <c r="DH8" s="48"/>
      <c r="DI8" s="22" t="n">
        <f aca="false">SUM($DI$9:$DI$508)</f>
        <v>0</v>
      </c>
      <c r="DJ8" s="22"/>
      <c r="DK8" s="23"/>
      <c r="DL8" s="24"/>
      <c r="DM8" s="24"/>
      <c r="DN8" s="24"/>
      <c r="DO8" s="24"/>
      <c r="DP8" s="24"/>
      <c r="DQ8" s="24"/>
      <c r="DR8" s="25"/>
      <c r="DS8" s="49"/>
      <c r="DT8" s="50"/>
      <c r="DU8" s="50"/>
      <c r="DV8" s="50"/>
      <c r="DW8" s="50"/>
      <c r="DX8" s="51"/>
      <c r="DY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8"/>
      <c r="Q9" s="67"/>
      <c r="R9" s="67"/>
      <c r="S9" s="67"/>
      <c r="T9" s="67"/>
      <c r="U9" s="68"/>
      <c r="V9" s="67"/>
      <c r="W9" s="70"/>
      <c r="X9" s="67"/>
      <c r="Y9" s="67"/>
      <c r="Z9" s="70"/>
      <c r="AA9" s="70"/>
      <c r="AB9" s="67"/>
      <c r="AC9" s="67"/>
      <c r="AD9" s="67"/>
      <c r="AE9" s="71"/>
      <c r="AF9" s="72"/>
      <c r="AG9" s="73"/>
      <c r="AH9" s="73" t="str">
        <f aca="false">IF(ISNUMBER($D$7),$D$7,"")</f>
        <v/>
      </c>
      <c r="AI9" s="74" t="str">
        <f aca="false">IF(ISBLANK($D$7),"",IF(NOT(ISNUMBER($D$7)),FALSE(),IF($D$7&lt;Constants!$B$38,FALSE(),IF($D$7&gt;Constants!$B$39,FALSE(),MOD($D$7,Constants!$B$40)=0))))</f>
        <v/>
      </c>
      <c r="AJ9" s="74" t="str">
        <f aca="false">IF(ISBLANK($C9),"",IF($E9=Constants!$B$2,TRUE(),IF($E9=Constants!$B$3,FALSE(),TRUE())))</f>
        <v/>
      </c>
      <c r="AK9" s="74" t="str">
        <f aca="false">IF(ISBLANK($C9),"",IF($F9=Constants!$B$2,TRUE(),IF($F9=Constants!$B$3,FALSE(),FALSE())))</f>
        <v/>
      </c>
      <c r="AL9" s="74" t="str">
        <f aca="false">IF(ISBLANK($C9),"",IF($G9=Constants!$B$2,TRUE(),IF($G9=Constants!$B$3,FALSE(),TRUE())))</f>
        <v/>
      </c>
      <c r="AM9" s="74" t="str">
        <f aca="false">IF(ISBLANK($C9),"",IF($H9=Constants!$B$2,TRUE(),IF($H9=Constants!$B$3,FALSE(),TRUE())))</f>
        <v/>
      </c>
      <c r="AN9" s="74" t="str">
        <f aca="false">IF(ISBLANK($C9),"",IF(ISNUMBER($I9),IF($I9&gt;=0,$I9,""),""))</f>
        <v/>
      </c>
      <c r="AO9" s="74" t="str">
        <f aca="false">IF(ISBLANK($C9),"",IF(ISNUMBER($J9),IF($J9&gt;=0,$J9,""),""))</f>
        <v/>
      </c>
      <c r="AP9" s="74" t="str">
        <f aca="false">IF(ISBLANK($C9),"",IF(ISNUMBER($K9),IF($K9&gt;=0,$K9,""),""))</f>
        <v/>
      </c>
      <c r="AQ9" s="74" t="str">
        <f aca="false">IF(ISBLANK($C9),"",IF($L9=Constants!$B$2,TRUE(),IF($L9=Constants!$B$3,FALSE(),TRUE())))</f>
        <v/>
      </c>
      <c r="AR9" s="74" t="str">
        <f aca="false">IF(ISBLANK($C9),"",IF($M9=Constants!$B$2,TRUE(),IF($M9=Constants!$B$3,FALSE(),TRUE())))</f>
        <v/>
      </c>
      <c r="AS9" s="74" t="str">
        <f aca="false">IF(ISBLANK($C9),"",IF($N9=Constants!$B$2,TRUE(),IF($N9=Constants!$B$3,FALSE(),FALSE())))</f>
        <v/>
      </c>
      <c r="AT9" s="74" t="str">
        <f aca="false">IF(ISBLANK($C9),"",IF($O9=Constants!$B$2,TRUE(),IF($O9=Constants!$B$3,FALSE(),TRUE())))</f>
        <v/>
      </c>
      <c r="AU9" s="74" t="str">
        <f aca="false">IF(ISBLANK($C9),"",IF($P9=Constants!$B$2,TRUE(),IF($P9=Constants!$B$3,FALSE(),TRUE())))</f>
        <v/>
      </c>
      <c r="AV9" s="74" t="str">
        <f aca="false">IF(ISBLANK($C9),"",IF($Q9=Constants!$B$2,TRUE(),IF($Q9=Constants!$B$3,FALSE(),FALSE())))</f>
        <v/>
      </c>
      <c r="AW9" s="74" t="str">
        <f aca="false">IF(ISBLANK($C9),"",IF($R9=Constants!$B$2,TRUE(),IF($R9=Constants!$B$3,FALSE(),FALSE())))</f>
        <v/>
      </c>
      <c r="AX9" s="74" t="str">
        <f aca="false">IF(ISBLANK($C9),"",IF($S9=Constants!$B$2,TRUE(),IF($S9=Constants!$B$3,FALSE(),FALSE())))</f>
        <v/>
      </c>
      <c r="AY9" s="74" t="str">
        <f aca="false">IF(ISBLANK($C9),"",IF($T9=Constants!$B$2,TRUE(),IF($T9=Constants!$B$3,FALSE(),FALSE())))</f>
        <v/>
      </c>
      <c r="AZ9" s="74" t="str">
        <f aca="false">IF(ISBLANK($C9),"",IF($U9=Constants!$B$2,TRUE(),IF($U9=Constants!$B$3,FALSE(),FALSE())))</f>
        <v/>
      </c>
      <c r="BA9" s="74" t="str">
        <f aca="false">IF(ISBLANK($C9),"",IF(OR($V9&amp;""="1",$V9&amp;""="2",$V9&amp;""="3",$V9&amp;""="4"),VALUE($V9&amp;""),IF($V9=Constants!$B$12,Constants!$B$12,"")))</f>
        <v/>
      </c>
      <c r="BB9" s="74" t="str">
        <f aca="false">IF(ISBLANK($C9),"",IF(ISBLANK($W9),0,IF(ISNUMBER($W9),IF(AND($W9&gt;=0,$W9&lt;=Constants!$B$21,$W9=INT($W9)),$W9,""),"")))</f>
        <v/>
      </c>
      <c r="BC9" s="74" t="str">
        <f aca="false">IF(ISBLANK($C9),"",IF(ISBLANK($X9),0,IF(ISNUMBER($X9),IF($X9&gt;=0,$X9,""),"")))</f>
        <v/>
      </c>
      <c r="BD9" s="74" t="str">
        <f aca="false">IF(ISBLANK($C9),"",IF($Y9=Constants!$B$2,TRUE(),IF($Y9=Constants!$B$3,FALSE(),TRUE())))</f>
        <v/>
      </c>
      <c r="BE9" s="74" t="str">
        <f aca="false">IF(ISBLANK($C9),"",IF($Z9=Constants!$B$2,TRUE(),IF($Z9=Constants!$B$3,FALSE(),FALSE())))</f>
        <v/>
      </c>
      <c r="BF9" s="74" t="str">
        <f aca="false">IF(ISBLANK($C9),"",IF(ISBLANK($AA9),0,IF(ISNUMBER($AA9),IF(AND($AA9&gt;=0,$AA9&lt;=Constants!$B$35,$AA9=INT($AA9)),$AA9,""),"")))</f>
        <v/>
      </c>
      <c r="BG9" s="74" t="str">
        <f aca="false">IF(ISBLANK($C9),"",IF($AB9=Constants!$B$2,TRUE(),IF($AB9=Constants!$B$3,FALSE(),TRUE())))</f>
        <v/>
      </c>
      <c r="BH9" s="74" t="str">
        <f aca="false">IF(ISBLANK($C9),"",IF($AC9=Constants!$B$2,TRUE(),IF($AC9=Constants!$B$3,FALSE(),TRUE())))</f>
        <v/>
      </c>
      <c r="BI9" s="74" t="str">
        <f aca="false">IF(ISBLANK($C9),"",IF($AD9=Constants!$B$2,TRUE(),IF($AD9=Constants!$B$3,FALSE(),TRUE())))</f>
        <v/>
      </c>
      <c r="BJ9" s="74" t="str">
        <f aca="false">IF(ISBLANK($C9),"",IF(ISNUMBER($AE9),IF($AE9&gt;=0,$AE9,""),""))</f>
        <v/>
      </c>
      <c r="BK9" s="74" t="str">
        <f aca="false">IF(ISBLANK($C9),"",IF($AF9=Constants!$B$2,TRUE(),IF($AF9=Constants!$B$3,FALSE(),FALSE())))</f>
        <v/>
      </c>
      <c r="BL9" s="73" t="str">
        <f aca="false">IF(ISBLANK($C9),"",IF($BK9,Constants!$B$7,IF(COUNTA($E9:$AE9)=0,Constants!$B$6,IF(OR(COUNTA($G9:$AE9)=0,NOT($AM9),$AS9),Constants!$B$5,IF(OR($CM9&lt;&gt;"",$CN9,$CO9,$CP9,$CQ9,$CR9,$CS9),Constants!$B$8,Constants!$B$4)))))</f>
        <v/>
      </c>
      <c r="BM9" s="74" t="str">
        <f aca="false">IF(ISBLANK($C9),"",IF($BL9&lt;&gt;Constants!$B$4,$BL9,IF(OR(NOT($AJ9),NOT($AL9),NOT($AT9)),Constants!$B$11,IF(OR(NOT($AR9),NOT($AU9),NOT($BI9),MAX($AN9,$AO9,$AP9)&gt;Constants!$B$30),Constants!$B$10,Constants!$B$9))))</f>
        <v/>
      </c>
      <c r="BN9" s="74" t="str">
        <f aca="false">IF($BL9&lt;&gt;Constants!$B$4,"",IF(NOT($AL9),0,MIN(Constants!$B$35,$BF9)))</f>
        <v/>
      </c>
      <c r="BO9" s="74" t="str">
        <f aca="false">IF($BL9&lt;&gt;Constants!$B$4,"",IF(NOT($AL9),0,IF($AW9,Constants!$B$18,IF($AV9,Constants!$B$17,0))))</f>
        <v/>
      </c>
      <c r="BP9" s="74" t="str">
        <f aca="false">IF($BL9&lt;&gt;Constants!$B$4,"",IF(NOT($AL9),0,Constants!$B$19*($AK9+$AX9+$AY9+$AZ9)))</f>
        <v/>
      </c>
      <c r="BQ9" s="74" t="str">
        <f aca="false">IF($BL9&lt;&gt;Constants!$B$4,"",IF(OR(NOT($AL9),NOT(ISNUMBER($BA9))),0,CHOOSE($BA9,Constants!$B$13,Constants!$B$14,Constants!$B$15,Constants!$B$16)))</f>
        <v/>
      </c>
      <c r="BR9" s="74" t="str">
        <f aca="false">IF($BL9&lt;&gt;Constants!$B$4,"",IF(NOT($AL9),0,Constants!$B$20*$BB9))</f>
        <v/>
      </c>
      <c r="BS9" s="74" t="str">
        <f aca="false">IF($BL9&lt;&gt;Constants!$B$4,"",IF(AND($AL9,$BD9,$BE9),Constants!$B$22,0))</f>
        <v/>
      </c>
      <c r="BT9" s="74" t="str">
        <f aca="false">IF($BL9&lt;&gt;Constants!$B$4,"",IF(OR(NOT($AL9),NOT($BD9)),0,IF($BJ9&gt;=2*$AH$9,0,Constants!$B$23*INT(ROUND(MIN($BJ9,$AH$9),6)))))</f>
        <v/>
      </c>
      <c r="BU9" s="74" t="str">
        <f aca="false">IF($BL9&lt;&gt;Constants!$B$4,"",IF(NOT($AL9),0,Constants!$B$24*INT(ROUND(MIN($BC9,$AH$9),6))))</f>
        <v/>
      </c>
      <c r="BV9" s="74" t="str">
        <f aca="false">IF($BL9&lt;&gt;Constants!$B$4,"",IF(AND($AL9,$BN9=0),Constants!$B$25,0))</f>
        <v/>
      </c>
      <c r="BW9" s="74" t="str">
        <f aca="false">IF($BL9&lt;&gt;Constants!$B$4,"",MIN(Constants!$B$29,MAX(0,Constants!$B$27*Constants!$B$28*INT(ROUND((Constants!$B$26-$AN9)/Constants!$B$28,6))))+MIN(Constants!$B$29,MAX(0,Constants!$B$27*Constants!$B$28*INT(ROUND((Constants!$B$26-$AO9)/Constants!$B$28,6))))+MIN(Constants!$B$29,MAX(0,Constants!$B$27*Constants!$B$28*INT(ROUND((Constants!$B$26-$AP9)/Constants!$B$28,6)))))</f>
        <v/>
      </c>
      <c r="BX9" s="74" t="str">
        <f aca="false">IF($BL9&lt;&gt;Constants!$B$4,"",IF(NOT($AL9),0,Constants!$B$31*INT(ROUND(MAX(0,MIN($BJ9,2*$AH$9)-$AH$9),6))))</f>
        <v/>
      </c>
      <c r="BY9" s="74" t="str">
        <f aca="false">IF($BL9&lt;&gt;Constants!$B$4,"",Constants!$B$32*(($AN9&gt;Constants!$B$26)+($AO9&gt;Constants!$B$26)+($AP9&gt;Constants!$B$26)))</f>
        <v/>
      </c>
      <c r="BZ9" s="74" t="str">
        <f aca="false">IF($BL9&lt;&gt;Constants!$B$4,"",IF(OR(NOT($AL9),$AQ9),0,Constants!$B$33))</f>
        <v/>
      </c>
      <c r="CA9" s="74" t="str">
        <f aca="false">IF($BL9&lt;&gt;Constants!$B$4,"",Constants!$B$34*$BN9)</f>
        <v/>
      </c>
      <c r="CB9" s="74" t="str">
        <f aca="false">IF($BL9&lt;&gt;Constants!$B$4,"",IF(OR(NOT($AL9),$BH9),0,Constants!$B$36))</f>
        <v/>
      </c>
      <c r="CC9" s="74" t="str">
        <f aca="false">IF($BL9&lt;&gt;Constants!$B$4,"",IF(OR(NOT($AL9),$BG9),0,Constants!$B$37))</f>
        <v/>
      </c>
      <c r="CD9" s="74" t="str">
        <f aca="false">IF($BL9&lt;&gt;Constants!$B$4,"",SUM($BX9:$CC9))</f>
        <v/>
      </c>
      <c r="CE9" s="74" t="str">
        <f aca="false">IF(ISBLANK($C9),"",IF($BL9&lt;&gt;Constants!$B$4,$BL9,SUM($BO9:$BW9)-$CD9))</f>
        <v/>
      </c>
      <c r="CF9" s="74" t="str">
        <f aca="false">IF(ISBLANK($C9),"",IF($BL9&lt;&gt;Constants!$B$4,$BL9,RANK($CE9,$CE$9:$CE$508)))</f>
        <v/>
      </c>
      <c r="CG9" s="74" t="str">
        <f aca="false">IF(ISBLANK($C9),"",IF($BL9&lt;&gt;Constants!$B$4,$BL9,COUNTIFS($BM$9:$BM$508,"&lt;"&amp;$BM9)+COUNTIFS($BM$9:$BM$508,$BM9,$CF$9:$CF$508,"&lt;"&amp;$CF9)+1))</f>
        <v/>
      </c>
      <c r="CH9" s="74" t="str">
        <f aca="false">IF(ISBLANK($C9),"",IF($BL9&lt;&gt;Constants!$B$4,$BL9,RANK($CD9,$CD$9:$CD$508,1)))</f>
        <v/>
      </c>
      <c r="CI9" s="74" t="str">
        <f aca="false">IF($BL9&lt;&gt;Constants!$B$4,"",$AN9+$AO9+$AP9)</f>
        <v/>
      </c>
      <c r="CJ9" s="74" t="str">
        <f aca="false">IF(ISBLANK($C9),"",IF($BL9&lt;&gt;Constants!$B$4,$BL9,RANK($CI9,$CI$9:$CI$508,1)))</f>
        <v/>
      </c>
      <c r="CK9" s="74" t="str">
        <f aca="false">IF(ISBLANK($C9),"",IF($BL9&lt;&gt;Constants!$B$4,$BL9,COUNTIFS($BM$9:$BM$508,"&lt;"&amp;$BM9)+COUNTIFS($BM$9:$BM$508,$BM9,$CF$9:$CF$508,"&lt;"&amp;$CF9)+COUNTIFS($BM$9:$BM$508,$BM9,$CF$9:$CF$508,$CF9,$CH$9:$CH$508,"&lt;"&amp;$CH9)+COUNTIFS($BM$9:$BM$508,$BM9,$CF$9:$CF$508,$CF9,$CH$9:$CH$508,$CH9,$CJ$9:$CJ$508,"&lt;"&amp;$CJ9)+1))</f>
        <v/>
      </c>
      <c r="CL9" s="74" t="str">
        <f aca="false">IF(ISBLANK($C9),"",IF($BL9&lt;&gt;Constants!$B$4,$BL9,$CG9-$CK9))</f>
        <v/>
      </c>
      <c r="CM9" s="74" t="str">
        <f aca="false">IF(ISBLANK($C9),"",IF(NOT($AL9),"",IF(ISBLANK($D$7),$CM$5,IF(NOT(ISNUMBER($D$7)),$CM$6,""))))</f>
        <v/>
      </c>
      <c r="CN9" s="74" t="str">
        <f aca="false">IF(ISBLANK($C9),"",OR($AN9="",$AO9="",$AP9=""))</f>
        <v/>
      </c>
      <c r="CO9" s="74" t="str">
        <f aca="false">IF(ISBLANK($C9),"",AND($AL9,$BA9=""))</f>
        <v/>
      </c>
      <c r="CP9" s="74" t="str">
        <f aca="false">IF(ISBLANK($C9),"",AND($AL9,$BB9=""))</f>
        <v/>
      </c>
      <c r="CQ9" s="74" t="str">
        <f aca="false">IF(ISBLANK($C9),"",AND($AL9,$BC9=""))</f>
        <v/>
      </c>
      <c r="CR9" s="74" t="str">
        <f aca="false">IF(ISBLANK($C9),"",AND($AL9,$BF9=""))</f>
        <v/>
      </c>
      <c r="CS9" s="74" t="str">
        <f aca="false">IF(ISBLANK($C9),"",AND($AL9,$BJ9=""))</f>
        <v/>
      </c>
      <c r="CT9" s="75"/>
      <c r="CU9" s="76"/>
      <c r="CV9" s="77" t="str">
        <f aca="false">IF(ISBLANK($C9),"",IF($BL9=Constants!$B$8,$CM9,""))</f>
        <v/>
      </c>
      <c r="CW9" s="76" t="str">
        <f aca="false">IF(ISBLANK($C9),"",IF($BL9&lt;&gt;Constants!$B$4,"",$BO9+$BP9))</f>
        <v/>
      </c>
      <c r="CX9" s="78" t="str">
        <f aca="false">IF(ISBLANK($C9),"",IF($BL9&lt;&gt;Constants!$B$4,"",$BQ9+$BR9+$BS9))</f>
        <v/>
      </c>
      <c r="CY9" s="78" t="str">
        <f aca="false">IF(ISBLANK($C9),"",IF($BL9&lt;&gt;Constants!$B$4,"",$BT9))</f>
        <v/>
      </c>
      <c r="CZ9" s="78" t="str">
        <f aca="false">IF(ISBLANK($C9),"",IF($BL9&lt;&gt;Constants!$B$4,"",$BU9+$BV9))</f>
        <v/>
      </c>
      <c r="DA9" s="78" t="str">
        <f aca="false">IF(ISBLANK($C9),"",IF($BL9&lt;&gt;Constants!$B$4,"",$BW9))</f>
        <v/>
      </c>
      <c r="DB9" s="78" t="str">
        <f aca="false">IF(ISBLANK($C9),"",IF($BL9&lt;&gt;Constants!$B$4,"",-$CD9))</f>
        <v/>
      </c>
      <c r="DC9" s="79" t="str">
        <f aca="false">IF(ISBLANK($C9),"",$CE9)</f>
        <v/>
      </c>
      <c r="DD9" s="80" t="str">
        <f aca="false">IF(ISBLANK($C9),"",$BM9)</f>
        <v/>
      </c>
      <c r="DE9" s="78" t="str">
        <f aca="false">IF(ISBLANK($C9),"",$CL9)</f>
        <v/>
      </c>
      <c r="DF9" s="78" t="str">
        <f aca="false">IF(ISBLANK($C9),"",$CK9)</f>
        <v/>
      </c>
      <c r="DG9" s="81" t="str">
        <f aca="false">IF(ISBLANK($C9),"",IF($DF9=Constants!$B$7,COUNTA($C$9:$C$508)+2,IF($DF9=Constants!$B$6,COUNTA($C$9:$C$508)+1,IF($DF9=Constants!$B$5,COUNTA($C$9:$C$508),$DF9))))</f>
        <v/>
      </c>
      <c r="DH9" s="7"/>
      <c r="DI9" s="82" t="n">
        <f aca="false">IF(OR(ISNUMBER($DF9),$DF9=Constants!$B$7,$DF9=Constants!$B$5,$DF9=Constants!$B$6),1,0)</f>
        <v>0</v>
      </c>
      <c r="DJ9" s="82" t="n">
        <v>1</v>
      </c>
      <c r="DK9" s="82" t="str">
        <f aca="false">IF(ISBLANK($C9),"",IF(ISNUMBER($DG9),$DG9+ROW($B9)/1000,""))</f>
        <v/>
      </c>
      <c r="DL9" s="82" t="str">
        <f aca="false">IF(ISNUMBER($DK9),RANK($DK9,$DK$9:$DK$508,1),"")</f>
        <v/>
      </c>
      <c r="DM9" s="82" t="str">
        <f aca="false">IF(ISBLANK($C9),"",$B9)</f>
        <v/>
      </c>
      <c r="DN9" s="82" t="str">
        <f aca="false">IF(ISBLANK($C9),"",$C9)</f>
        <v/>
      </c>
      <c r="DO9" s="82" t="str">
        <f aca="false">IF(ISBLANK($C9),"",$D9)</f>
        <v/>
      </c>
      <c r="DP9" s="83" t="str">
        <f aca="false">$DD9</f>
        <v/>
      </c>
      <c r="DQ9" s="84" t="str">
        <f aca="false">$DC9</f>
        <v/>
      </c>
      <c r="DR9" s="82" t="str">
        <f aca="false">IF(ISBLANK($C9),"",$DF9)</f>
        <v/>
      </c>
      <c r="DS9" s="85" t="str">
        <f aca="false">IF($DJ9&gt;$DI$8,"",VLOOKUP($DJ9,$DL$9:$DR$508,7,FALSE()))</f>
        <v/>
      </c>
      <c r="DT9" s="86" t="str">
        <f aca="false">IF($DJ9&gt;$DI$8,"",VLOOKUP($DJ9,$DL$9:$DR$508,2,FALSE()))</f>
        <v/>
      </c>
      <c r="DU9" s="86" t="str">
        <f aca="false">IF($DJ9&gt;$DI$8,"",VLOOKUP($DJ9,$DL$9:$DR$508,3,FALSE()))</f>
        <v/>
      </c>
      <c r="DV9" s="86" t="str">
        <f aca="false">IF($DJ9&gt;$DI$8,"",VLOOKUP($DJ9,$DL$9:$DR$508,4,FALSE()))</f>
        <v/>
      </c>
      <c r="DW9" s="86" t="str">
        <f aca="false">IF($DJ9&gt;$DI$8,"",VLOOKUP($DJ9,$DL$9:$DR$508,5,FALSE()))</f>
        <v/>
      </c>
      <c r="DX9" s="87" t="str">
        <f aca="false">IF($DJ9&gt;$DI$8,"",VLOOKUP($DJ9,$DL$9:$DR$508,6,FALSE()))</f>
        <v/>
      </c>
      <c r="DY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8"/>
      <c r="Q10" s="67"/>
      <c r="R10" s="67"/>
      <c r="S10" s="67"/>
      <c r="T10" s="67"/>
      <c r="U10" s="68"/>
      <c r="V10" s="67"/>
      <c r="W10" s="70"/>
      <c r="X10" s="67"/>
      <c r="Y10" s="67"/>
      <c r="Z10" s="70"/>
      <c r="AA10" s="70"/>
      <c r="AB10" s="67"/>
      <c r="AC10" s="67"/>
      <c r="AD10" s="67"/>
      <c r="AE10" s="71"/>
      <c r="AF10" s="88"/>
      <c r="AG10" s="73"/>
      <c r="AH10" s="74"/>
      <c r="AI10" s="74"/>
      <c r="AJ10" s="74" t="str">
        <f aca="false">IF(ISBLANK($C10),"",IF($E10=Constants!$B$2,TRUE(),IF($E10=Constants!$B$3,FALSE(),TRUE())))</f>
        <v/>
      </c>
      <c r="AK10" s="74" t="str">
        <f aca="false">IF(ISBLANK($C10),"",IF($F10=Constants!$B$2,TRUE(),IF($F10=Constants!$B$3,FALSE(),FALSE())))</f>
        <v/>
      </c>
      <c r="AL10" s="74" t="str">
        <f aca="false">IF(ISBLANK($C10),"",IF($G10=Constants!$B$2,TRUE(),IF($G10=Constants!$B$3,FALSE(),TRUE())))</f>
        <v/>
      </c>
      <c r="AM10" s="74" t="str">
        <f aca="false">IF(ISBLANK($C10),"",IF($H10=Constants!$B$2,TRUE(),IF($H10=Constants!$B$3,FALSE(),TRUE())))</f>
        <v/>
      </c>
      <c r="AN10" s="74" t="str">
        <f aca="false">IF(ISBLANK($C10),"",IF(ISNUMBER($I10),IF($I10&gt;=0,$I10,""),""))</f>
        <v/>
      </c>
      <c r="AO10" s="74" t="str">
        <f aca="false">IF(ISBLANK($C10),"",IF(ISNUMBER($J10),IF($J10&gt;=0,$J10,""),""))</f>
        <v/>
      </c>
      <c r="AP10" s="74" t="str">
        <f aca="false">IF(ISBLANK($C10),"",IF(ISNUMBER($K10),IF($K10&gt;=0,$K10,""),""))</f>
        <v/>
      </c>
      <c r="AQ10" s="74" t="str">
        <f aca="false">IF(ISBLANK($C10),"",IF($L10=Constants!$B$2,TRUE(),IF($L10=Constants!$B$3,FALSE(),TRUE())))</f>
        <v/>
      </c>
      <c r="AR10" s="74" t="str">
        <f aca="false">IF(ISBLANK($C10),"",IF($M10=Constants!$B$2,TRUE(),IF($M10=Constants!$B$3,FALSE(),TRUE())))</f>
        <v/>
      </c>
      <c r="AS10" s="74" t="str">
        <f aca="false">IF(ISBLANK($C10),"",IF($N10=Constants!$B$2,TRUE(),IF($N10=Constants!$B$3,FALSE(),FALSE())))</f>
        <v/>
      </c>
      <c r="AT10" s="74" t="str">
        <f aca="false">IF(ISBLANK($C10),"",IF($O10=Constants!$B$2,TRUE(),IF($O10=Constants!$B$3,FALSE(),TRUE())))</f>
        <v/>
      </c>
      <c r="AU10" s="74" t="str">
        <f aca="false">IF(ISBLANK($C10),"",IF($P10=Constants!$B$2,TRUE(),IF($P10=Constants!$B$3,FALSE(),TRUE())))</f>
        <v/>
      </c>
      <c r="AV10" s="74" t="str">
        <f aca="false">IF(ISBLANK($C10),"",IF($Q10=Constants!$B$2,TRUE(),IF($Q10=Constants!$B$3,FALSE(),FALSE())))</f>
        <v/>
      </c>
      <c r="AW10" s="74" t="str">
        <f aca="false">IF(ISBLANK($C10),"",IF($R10=Constants!$B$2,TRUE(),IF($R10=Constants!$B$3,FALSE(),FALSE())))</f>
        <v/>
      </c>
      <c r="AX10" s="74" t="str">
        <f aca="false">IF(ISBLANK($C10),"",IF($S10=Constants!$B$2,TRUE(),IF($S10=Constants!$B$3,FALSE(),FALSE())))</f>
        <v/>
      </c>
      <c r="AY10" s="74" t="str">
        <f aca="false">IF(ISBLANK($C10),"",IF($T10=Constants!$B$2,TRUE(),IF($T10=Constants!$B$3,FALSE(),FALSE())))</f>
        <v/>
      </c>
      <c r="AZ10" s="74" t="str">
        <f aca="false">IF(ISBLANK($C10),"",IF($U10=Constants!$B$2,TRUE(),IF($U10=Constants!$B$3,FALSE(),FALSE())))</f>
        <v/>
      </c>
      <c r="BA10" s="74" t="str">
        <f aca="false">IF(ISBLANK($C10),"",IF(OR($V10&amp;""="1",$V10&amp;""="2",$V10&amp;""="3",$V10&amp;""="4"),VALUE($V10&amp;""),IF($V10=Constants!$B$12,Constants!$B$12,"")))</f>
        <v/>
      </c>
      <c r="BB10" s="74" t="str">
        <f aca="false">IF(ISBLANK($C10),"",IF(ISBLANK($W10),0,IF(ISNUMBER($W10),IF(AND($W10&gt;=0,$W10&lt;=Constants!$B$21,$W10=INT($W10)),$W10,""),"")))</f>
        <v/>
      </c>
      <c r="BC10" s="74" t="str">
        <f aca="false">IF(ISBLANK($C10),"",IF(ISBLANK($X10),0,IF(ISNUMBER($X10),IF($X10&gt;=0,$X10,""),"")))</f>
        <v/>
      </c>
      <c r="BD10" s="74" t="str">
        <f aca="false">IF(ISBLANK($C10),"",IF($Y10=Constants!$B$2,TRUE(),IF($Y10=Constants!$B$3,FALSE(),TRUE())))</f>
        <v/>
      </c>
      <c r="BE10" s="74" t="str">
        <f aca="false">IF(ISBLANK($C10),"",IF($Z10=Constants!$B$2,TRUE(),IF($Z10=Constants!$B$3,FALSE(),FALSE())))</f>
        <v/>
      </c>
      <c r="BF10" s="74" t="str">
        <f aca="false">IF(ISBLANK($C10),"",IF(ISBLANK($AA10),0,IF(ISNUMBER($AA10),IF(AND($AA10&gt;=0,$AA10&lt;=Constants!$B$35,$AA10=INT($AA10)),$AA10,""),"")))</f>
        <v/>
      </c>
      <c r="BG10" s="74" t="str">
        <f aca="false">IF(ISBLANK($C10),"",IF($AB10=Constants!$B$2,TRUE(),IF($AB10=Constants!$B$3,FALSE(),TRUE())))</f>
        <v/>
      </c>
      <c r="BH10" s="74" t="str">
        <f aca="false">IF(ISBLANK($C10),"",IF($AC10=Constants!$B$2,TRUE(),IF($AC10=Constants!$B$3,FALSE(),TRUE())))</f>
        <v/>
      </c>
      <c r="BI10" s="74" t="str">
        <f aca="false">IF(ISBLANK($C10),"",IF($AD10=Constants!$B$2,TRUE(),IF($AD10=Constants!$B$3,FALSE(),TRUE())))</f>
        <v/>
      </c>
      <c r="BJ10" s="74" t="str">
        <f aca="false">IF(ISBLANK($C10),"",IF(ISNUMBER($AE10),IF($AE10&gt;=0,$AE10,""),""))</f>
        <v/>
      </c>
      <c r="BK10" s="74" t="str">
        <f aca="false">IF(ISBLANK($C10),"",IF($AF10=Constants!$B$2,TRUE(),IF($AF10=Constants!$B$3,FALSE(),FALSE())))</f>
        <v/>
      </c>
      <c r="BL10" s="73" t="str">
        <f aca="false">IF(ISBLANK($C10),"",IF($BK10,Constants!$B$7,IF(COUNTA($E10:$AE10)=0,Constants!$B$6,IF(OR(COUNTA($G10:$AE10)=0,NOT($AM10),$AS10),Constants!$B$5,IF(OR($CM10&lt;&gt;"",$CN10,$CO10,$CP10,$CQ10,$CR10,$CS10),Constants!$B$8,Constants!$B$4)))))</f>
        <v/>
      </c>
      <c r="BM10" s="74" t="str">
        <f aca="false">IF(ISBLANK($C10),"",IF($BL10&lt;&gt;Constants!$B$4,$BL10,IF(OR(NOT($AJ10),NOT($AL10),NOT($AT10)),Constants!$B$11,IF(OR(NOT($AR10),NOT($AU10),NOT($BI10),MAX($AN10,$AO10,$AP10)&gt;Constants!$B$30),Constants!$B$10,Constants!$B$9))))</f>
        <v/>
      </c>
      <c r="BN10" s="74" t="str">
        <f aca="false">IF($BL10&lt;&gt;Constants!$B$4,"",IF(NOT($AL10),0,MIN(Constants!$B$35,$BF10)))</f>
        <v/>
      </c>
      <c r="BO10" s="74" t="str">
        <f aca="false">IF($BL10&lt;&gt;Constants!$B$4,"",IF(NOT($AL10),0,IF($AW10,Constants!$B$18,IF($AV10,Constants!$B$17,0))))</f>
        <v/>
      </c>
      <c r="BP10" s="74" t="str">
        <f aca="false">IF($BL10&lt;&gt;Constants!$B$4,"",IF(NOT($AL10),0,Constants!$B$19*($AK10+$AX10+$AY10+$AZ10)))</f>
        <v/>
      </c>
      <c r="BQ10" s="74" t="str">
        <f aca="false">IF($BL10&lt;&gt;Constants!$B$4,"",IF(OR(NOT($AL10),NOT(ISNUMBER($BA10))),0,CHOOSE($BA10,Constants!$B$13,Constants!$B$14,Constants!$B$15,Constants!$B$16)))</f>
        <v/>
      </c>
      <c r="BR10" s="74" t="str">
        <f aca="false">IF($BL10&lt;&gt;Constants!$B$4,"",IF(NOT($AL10),0,Constants!$B$20*$BB10))</f>
        <v/>
      </c>
      <c r="BS10" s="74" t="str">
        <f aca="false">IF($BL10&lt;&gt;Constants!$B$4,"",IF(AND($AL10,$BD10,$BE10),Constants!$B$22,0))</f>
        <v/>
      </c>
      <c r="BT10" s="74" t="str">
        <f aca="false">IF($BL10&lt;&gt;Constants!$B$4,"",IF(OR(NOT($AL10),NOT($BD10)),0,IF($BJ10&gt;=2*$AH$9,0,Constants!$B$23*INT(ROUND(MIN($BJ10,$AH$9),6)))))</f>
        <v/>
      </c>
      <c r="BU10" s="74" t="str">
        <f aca="false">IF($BL10&lt;&gt;Constants!$B$4,"",IF(NOT($AL10),0,Constants!$B$24*INT(ROUND(MIN($BC10,$AH$9),6))))</f>
        <v/>
      </c>
      <c r="BV10" s="74" t="str">
        <f aca="false">IF($BL10&lt;&gt;Constants!$B$4,"",IF(AND($AL10,$BN10=0),Constants!$B$25,0))</f>
        <v/>
      </c>
      <c r="BW10" s="74" t="str">
        <f aca="false">IF($BL10&lt;&gt;Constants!$B$4,"",MIN(Constants!$B$29,MAX(0,Constants!$B$27*Constants!$B$28*INT(ROUND((Constants!$B$26-$AN10)/Constants!$B$28,6))))+MIN(Constants!$B$29,MAX(0,Constants!$B$27*Constants!$B$28*INT(ROUND((Constants!$B$26-$AO10)/Constants!$B$28,6))))+MIN(Constants!$B$29,MAX(0,Constants!$B$27*Constants!$B$28*INT(ROUND((Constants!$B$26-$AP10)/Constants!$B$28,6)))))</f>
        <v/>
      </c>
      <c r="BX10" s="74" t="str">
        <f aca="false">IF($BL10&lt;&gt;Constants!$B$4,"",IF(NOT($AL10),0,Constants!$B$31*INT(ROUND(MAX(0,MIN($BJ10,2*$AH$9)-$AH$9),6))))</f>
        <v/>
      </c>
      <c r="BY10" s="74" t="str">
        <f aca="false">IF($BL10&lt;&gt;Constants!$B$4,"",Constants!$B$32*(($AN10&gt;Constants!$B$26)+($AO10&gt;Constants!$B$26)+($AP10&gt;Constants!$B$26)))</f>
        <v/>
      </c>
      <c r="BZ10" s="74" t="str">
        <f aca="false">IF($BL10&lt;&gt;Constants!$B$4,"",IF(OR(NOT($AL10),$AQ10),0,Constants!$B$33))</f>
        <v/>
      </c>
      <c r="CA10" s="74" t="str">
        <f aca="false">IF($BL10&lt;&gt;Constants!$B$4,"",Constants!$B$34*$BN10)</f>
        <v/>
      </c>
      <c r="CB10" s="74" t="str">
        <f aca="false">IF($BL10&lt;&gt;Constants!$B$4,"",IF(OR(NOT($AL10),$BH10),0,Constants!$B$36))</f>
        <v/>
      </c>
      <c r="CC10" s="74" t="str">
        <f aca="false">IF($BL10&lt;&gt;Constants!$B$4,"",IF(OR(NOT($AL10),$BG10),0,Constants!$B$37))</f>
        <v/>
      </c>
      <c r="CD10" s="74" t="str">
        <f aca="false">IF($BL10&lt;&gt;Constants!$B$4,"",SUM($BX10:$CC10))</f>
        <v/>
      </c>
      <c r="CE10" s="74" t="str">
        <f aca="false">IF(ISBLANK($C10),"",IF($BL10&lt;&gt;Constants!$B$4,$BL10,SUM($BO10:$BW10)-$CD10))</f>
        <v/>
      </c>
      <c r="CF10" s="74" t="str">
        <f aca="false">IF(ISBLANK($C10),"",IF($BL10&lt;&gt;Constants!$B$4,$BL10,RANK($CE10,$CE$9:$CE$508)))</f>
        <v/>
      </c>
      <c r="CG10" s="74" t="str">
        <f aca="false">IF(ISBLANK($C10),"",IF($BL10&lt;&gt;Constants!$B$4,$BL10,COUNTIFS($BM$9:$BM$508,"&lt;"&amp;$BM10)+COUNTIFS($BM$9:$BM$508,$BM10,$CF$9:$CF$508,"&lt;"&amp;$CF10)+1))</f>
        <v/>
      </c>
      <c r="CH10" s="74" t="str">
        <f aca="false">IF(ISBLANK($C10),"",IF($BL10&lt;&gt;Constants!$B$4,$BL10,RANK($CD10,$CD$9:$CD$508,1)))</f>
        <v/>
      </c>
      <c r="CI10" s="74" t="str">
        <f aca="false">IF($BL10&lt;&gt;Constants!$B$4,"",$AN10+$AO10+$AP10)</f>
        <v/>
      </c>
      <c r="CJ10" s="74" t="str">
        <f aca="false">IF(ISBLANK($C10),"",IF($BL10&lt;&gt;Constants!$B$4,$BL10,RANK($CI10,$CI$9:$CI$508,1)))</f>
        <v/>
      </c>
      <c r="CK10" s="74" t="str">
        <f aca="false">IF(ISBLANK($C10),"",IF($BL10&lt;&gt;Constants!$B$4,$BL10,COUNTIFS($BM$9:$BM$508,"&lt;"&amp;$BM10)+COUNTIFS($BM$9:$BM$508,$BM10,$CF$9:$CF$508,"&lt;"&amp;$CF10)+COUNTIFS($BM$9:$BM$508,$BM10,$CF$9:$CF$508,$CF10,$CH$9:$CH$508,"&lt;"&amp;$CH10)+COUNTIFS($BM$9:$BM$508,$BM10,$CF$9:$CF$508,$CF10,$CH$9:$CH$508,$CH10,$CJ$9:$CJ$508,"&lt;"&amp;$CJ10)+1))</f>
        <v/>
      </c>
      <c r="CL10" s="74" t="str">
        <f aca="false">IF(ISBLANK($C10),"",IF($BL10&lt;&gt;Constants!$B$4,$BL10,$CG10-$CK10))</f>
        <v/>
      </c>
      <c r="CM10" s="74" t="str">
        <f aca="false">IF(ISBLANK($C10),"",IF(NOT($AL10),"",IF(ISBLANK($D$7),$CM$5,IF(NOT(ISNUMBER($D$7)),$CM$6,""))))</f>
        <v/>
      </c>
      <c r="CN10" s="74" t="str">
        <f aca="false">IF(ISBLANK($C10),"",OR($AN10="",$AO10="",$AP10=""))</f>
        <v/>
      </c>
      <c r="CO10" s="74" t="str">
        <f aca="false">IF(ISBLANK($C10),"",AND($AL10,$BA10=""))</f>
        <v/>
      </c>
      <c r="CP10" s="74" t="str">
        <f aca="false">IF(ISBLANK($C10),"",AND($AL10,$BB10=""))</f>
        <v/>
      </c>
      <c r="CQ10" s="74" t="str">
        <f aca="false">IF(ISBLANK($C10),"",AND($AL10,$BC10=""))</f>
        <v/>
      </c>
      <c r="CR10" s="74" t="str">
        <f aca="false">IF(ISBLANK($C10),"",AND($AL10,$BF10=""))</f>
        <v/>
      </c>
      <c r="CS10" s="74" t="str">
        <f aca="false">IF(ISBLANK($C10),"",AND($AL10,$BJ10=""))</f>
        <v/>
      </c>
      <c r="CT10" s="75"/>
      <c r="CU10" s="76"/>
      <c r="CV10" s="79" t="str">
        <f aca="false">IF(ISBLANK($C10),"",IF($BL10=Constants!$B$8,$CM10,""))</f>
        <v/>
      </c>
      <c r="CW10" s="76" t="str">
        <f aca="false">IF(ISBLANK($C10),"",IF($BL10&lt;&gt;Constants!$B$4,"",$BO10+$BP10))</f>
        <v/>
      </c>
      <c r="CX10" s="78" t="str">
        <f aca="false">IF(ISBLANK($C10),"",IF($BL10&lt;&gt;Constants!$B$4,"",$BQ10+$BR10+$BS10))</f>
        <v/>
      </c>
      <c r="CY10" s="78" t="str">
        <f aca="false">IF(ISBLANK($C10),"",IF($BL10&lt;&gt;Constants!$B$4,"",$BT10))</f>
        <v/>
      </c>
      <c r="CZ10" s="78" t="str">
        <f aca="false">IF(ISBLANK($C10),"",IF($BL10&lt;&gt;Constants!$B$4,"",$BU10+$BV10))</f>
        <v/>
      </c>
      <c r="DA10" s="78" t="str">
        <f aca="false">IF(ISBLANK($C10),"",IF($BL10&lt;&gt;Constants!$B$4,"",$BW10))</f>
        <v/>
      </c>
      <c r="DB10" s="78" t="str">
        <f aca="false">IF(ISBLANK($C10),"",IF($BL10&lt;&gt;Constants!$B$4,"",-$CD10))</f>
        <v/>
      </c>
      <c r="DC10" s="79" t="str">
        <f aca="false">IF(ISBLANK($C10),"",$CE10)</f>
        <v/>
      </c>
      <c r="DD10" s="80" t="str">
        <f aca="false">IF(ISBLANK($C10),"",$BM10)</f>
        <v/>
      </c>
      <c r="DE10" s="78" t="str">
        <f aca="false">IF(ISBLANK($C10),"",$CL10)</f>
        <v/>
      </c>
      <c r="DF10" s="78" t="str">
        <f aca="false">IF(ISBLANK($C10),"",$CK10)</f>
        <v/>
      </c>
      <c r="DG10" s="81" t="str">
        <f aca="false">IF(ISBLANK($C10),"",IF($DF10=Constants!$B$7,COUNTA($C$9:$C$508)+2,IF($DF10=Constants!$B$6,COUNTA($C$9:$C$508)+1,IF($DF10=Constants!$B$5,COUNTA($C$9:$C$508),$DF10))))</f>
        <v/>
      </c>
      <c r="DH10" s="7"/>
      <c r="DI10" s="82" t="n">
        <f aca="false">IF(OR(ISNUMBER($DF10),$DF10=Constants!$B$7,$DF10=Constants!$B$5,$DF10=Constants!$B$6),1,0)</f>
        <v>0</v>
      </c>
      <c r="DJ10" s="82" t="n">
        <v>2</v>
      </c>
      <c r="DK10" s="82" t="str">
        <f aca="false">IF(ISBLANK($C10),"",IF(ISNUMBER($DG10),$DG10+ROW($B10)/1000,""))</f>
        <v/>
      </c>
      <c r="DL10" s="82" t="str">
        <f aca="false">IF(ISNUMBER($DK10),RANK($DK10,$DK$9:$DK$508,1),"")</f>
        <v/>
      </c>
      <c r="DM10" s="82" t="str">
        <f aca="false">IF(ISBLANK($C10),"",$B10)</f>
        <v/>
      </c>
      <c r="DN10" s="82" t="str">
        <f aca="false">IF(ISBLANK($C10),"",$C10)</f>
        <v/>
      </c>
      <c r="DO10" s="82" t="str">
        <f aca="false">IF(ISBLANK($C10),"",$D10)</f>
        <v/>
      </c>
      <c r="DP10" s="83" t="str">
        <f aca="false">$DD10</f>
        <v/>
      </c>
      <c r="DQ10" s="84" t="str">
        <f aca="false">$DC10</f>
        <v/>
      </c>
      <c r="DR10" s="82" t="str">
        <f aca="false">IF(ISBLANK($C10),"",$DF10)</f>
        <v/>
      </c>
      <c r="DS10" s="85" t="str">
        <f aca="false">IF($DJ10&gt;$DI$8,"",VLOOKUP($DJ10,$DL$9:$DR$508,7,FALSE()))</f>
        <v/>
      </c>
      <c r="DT10" s="86" t="str">
        <f aca="false">IF($DJ10&gt;$DI$8,"",VLOOKUP($DJ10,$DL$9:$DR$508,2,FALSE()))</f>
        <v/>
      </c>
      <c r="DU10" s="86" t="str">
        <f aca="false">IF($DJ10&gt;$DI$8,"",VLOOKUP($DJ10,$DL$9:$DR$508,3,FALSE()))</f>
        <v/>
      </c>
      <c r="DV10" s="86" t="str">
        <f aca="false">IF($DJ10&gt;$DI$8,"",VLOOKUP($DJ10,$DL$9:$DR$508,4,FALSE()))</f>
        <v/>
      </c>
      <c r="DW10" s="86" t="str">
        <f aca="false">IF($DJ10&gt;$DI$8,"",VLOOKUP($DJ10,$DL$9:$DR$508,5,FALSE()))</f>
        <v/>
      </c>
      <c r="DX10" s="87" t="str">
        <f aca="false">IF($DJ10&gt;$DI$8,"",VLOOKUP($DJ10,$DL$9:$DR$508,6,FALSE()))</f>
        <v/>
      </c>
      <c r="DY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8"/>
      <c r="Q11" s="67"/>
      <c r="R11" s="67"/>
      <c r="S11" s="67"/>
      <c r="T11" s="67"/>
      <c r="U11" s="68"/>
      <c r="V11" s="67"/>
      <c r="W11" s="70"/>
      <c r="X11" s="67"/>
      <c r="Y11" s="67"/>
      <c r="Z11" s="70"/>
      <c r="AA11" s="70"/>
      <c r="AB11" s="67"/>
      <c r="AC11" s="67"/>
      <c r="AD11" s="67"/>
      <c r="AE11" s="71"/>
      <c r="AF11" s="72"/>
      <c r="AG11" s="73"/>
      <c r="AH11" s="74"/>
      <c r="AI11" s="74"/>
      <c r="AJ11" s="74" t="str">
        <f aca="false">IF(ISBLANK($C11),"",IF($E11=Constants!$B$2,TRUE(),IF($E11=Constants!$B$3,FALSE(),TRUE())))</f>
        <v/>
      </c>
      <c r="AK11" s="74" t="str">
        <f aca="false">IF(ISBLANK($C11),"",IF($F11=Constants!$B$2,TRUE(),IF($F11=Constants!$B$3,FALSE(),FALSE())))</f>
        <v/>
      </c>
      <c r="AL11" s="74" t="str">
        <f aca="false">IF(ISBLANK($C11),"",IF($G11=Constants!$B$2,TRUE(),IF($G11=Constants!$B$3,FALSE(),TRUE())))</f>
        <v/>
      </c>
      <c r="AM11" s="74" t="str">
        <f aca="false">IF(ISBLANK($C11),"",IF($H11=Constants!$B$2,TRUE(),IF($H11=Constants!$B$3,FALSE(),TRUE())))</f>
        <v/>
      </c>
      <c r="AN11" s="74" t="str">
        <f aca="false">IF(ISBLANK($C11),"",IF(ISNUMBER($I11),IF($I11&gt;=0,$I11,""),""))</f>
        <v/>
      </c>
      <c r="AO11" s="74" t="str">
        <f aca="false">IF(ISBLANK($C11),"",IF(ISNUMBER($J11),IF($J11&gt;=0,$J11,""),""))</f>
        <v/>
      </c>
      <c r="AP11" s="74" t="str">
        <f aca="false">IF(ISBLANK($C11),"",IF(ISNUMBER($K11),IF($K11&gt;=0,$K11,""),""))</f>
        <v/>
      </c>
      <c r="AQ11" s="74" t="str">
        <f aca="false">IF(ISBLANK($C11),"",IF($L11=Constants!$B$2,TRUE(),IF($L11=Constants!$B$3,FALSE(),TRUE())))</f>
        <v/>
      </c>
      <c r="AR11" s="74" t="str">
        <f aca="false">IF(ISBLANK($C11),"",IF($M11=Constants!$B$2,TRUE(),IF($M11=Constants!$B$3,FALSE(),TRUE())))</f>
        <v/>
      </c>
      <c r="AS11" s="74" t="str">
        <f aca="false">IF(ISBLANK($C11),"",IF($N11=Constants!$B$2,TRUE(),IF($N11=Constants!$B$3,FALSE(),FALSE())))</f>
        <v/>
      </c>
      <c r="AT11" s="74" t="str">
        <f aca="false">IF(ISBLANK($C11),"",IF($O11=Constants!$B$2,TRUE(),IF($O11=Constants!$B$3,FALSE(),TRUE())))</f>
        <v/>
      </c>
      <c r="AU11" s="74" t="str">
        <f aca="false">IF(ISBLANK($C11),"",IF($P11=Constants!$B$2,TRUE(),IF($P11=Constants!$B$3,FALSE(),TRUE())))</f>
        <v/>
      </c>
      <c r="AV11" s="74" t="str">
        <f aca="false">IF(ISBLANK($C11),"",IF($Q11=Constants!$B$2,TRUE(),IF($Q11=Constants!$B$3,FALSE(),FALSE())))</f>
        <v/>
      </c>
      <c r="AW11" s="74" t="str">
        <f aca="false">IF(ISBLANK($C11),"",IF($R11=Constants!$B$2,TRUE(),IF($R11=Constants!$B$3,FALSE(),FALSE())))</f>
        <v/>
      </c>
      <c r="AX11" s="74" t="str">
        <f aca="false">IF(ISBLANK($C11),"",IF($S11=Constants!$B$2,TRUE(),IF($S11=Constants!$B$3,FALSE(),FALSE())))</f>
        <v/>
      </c>
      <c r="AY11" s="74" t="str">
        <f aca="false">IF(ISBLANK($C11),"",IF($T11=Constants!$B$2,TRUE(),IF($T11=Constants!$B$3,FALSE(),FALSE())))</f>
        <v/>
      </c>
      <c r="AZ11" s="74" t="str">
        <f aca="false">IF(ISBLANK($C11),"",IF($U11=Constants!$B$2,TRUE(),IF($U11=Constants!$B$3,FALSE(),FALSE())))</f>
        <v/>
      </c>
      <c r="BA11" s="74" t="str">
        <f aca="false">IF(ISBLANK($C11),"",IF(OR($V11&amp;""="1",$V11&amp;""="2",$V11&amp;""="3",$V11&amp;""="4"),VALUE($V11&amp;""),IF($V11=Constants!$B$12,Constants!$B$12,"")))</f>
        <v/>
      </c>
      <c r="BB11" s="74" t="str">
        <f aca="false">IF(ISBLANK($C11),"",IF(ISBLANK($W11),0,IF(ISNUMBER($W11),IF(AND($W11&gt;=0,$W11&lt;=Constants!$B$21,$W11=INT($W11)),$W11,""),"")))</f>
        <v/>
      </c>
      <c r="BC11" s="74" t="str">
        <f aca="false">IF(ISBLANK($C11),"",IF(ISBLANK($X11),0,IF(ISNUMBER($X11),IF($X11&gt;=0,$X11,""),"")))</f>
        <v/>
      </c>
      <c r="BD11" s="74" t="str">
        <f aca="false">IF(ISBLANK($C11),"",IF($Y11=Constants!$B$2,TRUE(),IF($Y11=Constants!$B$3,FALSE(),TRUE())))</f>
        <v/>
      </c>
      <c r="BE11" s="74" t="str">
        <f aca="false">IF(ISBLANK($C11),"",IF($Z11=Constants!$B$2,TRUE(),IF($Z11=Constants!$B$3,FALSE(),FALSE())))</f>
        <v/>
      </c>
      <c r="BF11" s="74" t="str">
        <f aca="false">IF(ISBLANK($C11),"",IF(ISBLANK($AA11),0,IF(ISNUMBER($AA11),IF(AND($AA11&gt;=0,$AA11&lt;=Constants!$B$35,$AA11=INT($AA11)),$AA11,""),"")))</f>
        <v/>
      </c>
      <c r="BG11" s="74" t="str">
        <f aca="false">IF(ISBLANK($C11),"",IF($AB11=Constants!$B$2,TRUE(),IF($AB11=Constants!$B$3,FALSE(),TRUE())))</f>
        <v/>
      </c>
      <c r="BH11" s="74" t="str">
        <f aca="false">IF(ISBLANK($C11),"",IF($AC11=Constants!$B$2,TRUE(),IF($AC11=Constants!$B$3,FALSE(),TRUE())))</f>
        <v/>
      </c>
      <c r="BI11" s="74" t="str">
        <f aca="false">IF(ISBLANK($C11),"",IF($AD11=Constants!$B$2,TRUE(),IF($AD11=Constants!$B$3,FALSE(),TRUE())))</f>
        <v/>
      </c>
      <c r="BJ11" s="74" t="str">
        <f aca="false">IF(ISBLANK($C11),"",IF(ISNUMBER($AE11),IF($AE11&gt;=0,$AE11,""),""))</f>
        <v/>
      </c>
      <c r="BK11" s="74" t="str">
        <f aca="false">IF(ISBLANK($C11),"",IF($AF11=Constants!$B$2,TRUE(),IF($AF11=Constants!$B$3,FALSE(),FALSE())))</f>
        <v/>
      </c>
      <c r="BL11" s="73" t="str">
        <f aca="false">IF(ISBLANK($C11),"",IF($BK11,Constants!$B$7,IF(COUNTA($E11:$AE11)=0,Constants!$B$6,IF(OR(COUNTA($G11:$AE11)=0,NOT($AM11),$AS11),Constants!$B$5,IF(OR($CM11&lt;&gt;"",$CN11,$CO11,$CP11,$CQ11,$CR11,$CS11),Constants!$B$8,Constants!$B$4)))))</f>
        <v/>
      </c>
      <c r="BM11" s="74" t="str">
        <f aca="false">IF(ISBLANK($C11),"",IF($BL11&lt;&gt;Constants!$B$4,$BL11,IF(OR(NOT($AJ11),NOT($AL11),NOT($AT11)),Constants!$B$11,IF(OR(NOT($AR11),NOT($AU11),NOT($BI11),MAX($AN11,$AO11,$AP11)&gt;Constants!$B$30),Constants!$B$10,Constants!$B$9))))</f>
        <v/>
      </c>
      <c r="BN11" s="74" t="str">
        <f aca="false">IF($BL11&lt;&gt;Constants!$B$4,"",IF(NOT($AL11),0,MIN(Constants!$B$35,$BF11)))</f>
        <v/>
      </c>
      <c r="BO11" s="74" t="str">
        <f aca="false">IF($BL11&lt;&gt;Constants!$B$4,"",IF(NOT($AL11),0,IF($AW11,Constants!$B$18,IF($AV11,Constants!$B$17,0))))</f>
        <v/>
      </c>
      <c r="BP11" s="74" t="str">
        <f aca="false">IF($BL11&lt;&gt;Constants!$B$4,"",IF(NOT($AL11),0,Constants!$B$19*($AK11+$AX11+$AY11+$AZ11)))</f>
        <v/>
      </c>
      <c r="BQ11" s="74" t="str">
        <f aca="false">IF($BL11&lt;&gt;Constants!$B$4,"",IF(OR(NOT($AL11),NOT(ISNUMBER($BA11))),0,CHOOSE($BA11,Constants!$B$13,Constants!$B$14,Constants!$B$15,Constants!$B$16)))</f>
        <v/>
      </c>
      <c r="BR11" s="74" t="str">
        <f aca="false">IF($BL11&lt;&gt;Constants!$B$4,"",IF(NOT($AL11),0,Constants!$B$20*$BB11))</f>
        <v/>
      </c>
      <c r="BS11" s="74" t="str">
        <f aca="false">IF($BL11&lt;&gt;Constants!$B$4,"",IF(AND($AL11,$BD11,$BE11),Constants!$B$22,0))</f>
        <v/>
      </c>
      <c r="BT11" s="74" t="str">
        <f aca="false">IF($BL11&lt;&gt;Constants!$B$4,"",IF(OR(NOT($AL11),NOT($BD11)),0,IF($BJ11&gt;=2*$AH$9,0,Constants!$B$23*INT(ROUND(MIN($BJ11,$AH$9),6)))))</f>
        <v/>
      </c>
      <c r="BU11" s="74" t="str">
        <f aca="false">IF($BL11&lt;&gt;Constants!$B$4,"",IF(NOT($AL11),0,Constants!$B$24*INT(ROUND(MIN($BC11,$AH$9),6))))</f>
        <v/>
      </c>
      <c r="BV11" s="74" t="str">
        <f aca="false">IF($BL11&lt;&gt;Constants!$B$4,"",IF(AND($AL11,$BN11=0),Constants!$B$25,0))</f>
        <v/>
      </c>
      <c r="BW11" s="74" t="str">
        <f aca="false">IF($BL11&lt;&gt;Constants!$B$4,"",MIN(Constants!$B$29,MAX(0,Constants!$B$27*Constants!$B$28*INT(ROUND((Constants!$B$26-$AN11)/Constants!$B$28,6))))+MIN(Constants!$B$29,MAX(0,Constants!$B$27*Constants!$B$28*INT(ROUND((Constants!$B$26-$AO11)/Constants!$B$28,6))))+MIN(Constants!$B$29,MAX(0,Constants!$B$27*Constants!$B$28*INT(ROUND((Constants!$B$26-$AP11)/Constants!$B$28,6)))))</f>
        <v/>
      </c>
      <c r="BX11" s="74" t="str">
        <f aca="false">IF($BL11&lt;&gt;Constants!$B$4,"",IF(NOT($AL11),0,Constants!$B$31*INT(ROUND(MAX(0,MIN($BJ11,2*$AH$9)-$AH$9),6))))</f>
        <v/>
      </c>
      <c r="BY11" s="74" t="str">
        <f aca="false">IF($BL11&lt;&gt;Constants!$B$4,"",Constants!$B$32*(($AN11&gt;Constants!$B$26)+($AO11&gt;Constants!$B$26)+($AP11&gt;Constants!$B$26)))</f>
        <v/>
      </c>
      <c r="BZ11" s="74" t="str">
        <f aca="false">IF($BL11&lt;&gt;Constants!$B$4,"",IF(OR(NOT($AL11),$AQ11),0,Constants!$B$33))</f>
        <v/>
      </c>
      <c r="CA11" s="74" t="str">
        <f aca="false">IF($BL11&lt;&gt;Constants!$B$4,"",Constants!$B$34*$BN11)</f>
        <v/>
      </c>
      <c r="CB11" s="74" t="str">
        <f aca="false">IF($BL11&lt;&gt;Constants!$B$4,"",IF(OR(NOT($AL11),$BH11),0,Constants!$B$36))</f>
        <v/>
      </c>
      <c r="CC11" s="74" t="str">
        <f aca="false">IF($BL11&lt;&gt;Constants!$B$4,"",IF(OR(NOT($AL11),$BG11),0,Constants!$B$37))</f>
        <v/>
      </c>
      <c r="CD11" s="74" t="str">
        <f aca="false">IF($BL11&lt;&gt;Constants!$B$4,"",SUM($BX11:$CC11))</f>
        <v/>
      </c>
      <c r="CE11" s="74" t="str">
        <f aca="false">IF(ISBLANK($C11),"",IF($BL11&lt;&gt;Constants!$B$4,$BL11,SUM($BO11:$BW11)-$CD11))</f>
        <v/>
      </c>
      <c r="CF11" s="74" t="str">
        <f aca="false">IF(ISBLANK($C11),"",IF($BL11&lt;&gt;Constants!$B$4,$BL11,RANK($CE11,$CE$9:$CE$508)))</f>
        <v/>
      </c>
      <c r="CG11" s="74" t="str">
        <f aca="false">IF(ISBLANK($C11),"",IF($BL11&lt;&gt;Constants!$B$4,$BL11,COUNTIFS($BM$9:$BM$508,"&lt;"&amp;$BM11)+COUNTIFS($BM$9:$BM$508,$BM11,$CF$9:$CF$508,"&lt;"&amp;$CF11)+1))</f>
        <v/>
      </c>
      <c r="CH11" s="74" t="str">
        <f aca="false">IF(ISBLANK($C11),"",IF($BL11&lt;&gt;Constants!$B$4,$BL11,RANK($CD11,$CD$9:$CD$508,1)))</f>
        <v/>
      </c>
      <c r="CI11" s="74" t="str">
        <f aca="false">IF($BL11&lt;&gt;Constants!$B$4,"",$AN11+$AO11+$AP11)</f>
        <v/>
      </c>
      <c r="CJ11" s="74" t="str">
        <f aca="false">IF(ISBLANK($C11),"",IF($BL11&lt;&gt;Constants!$B$4,$BL11,RANK($CI11,$CI$9:$CI$508,1)))</f>
        <v/>
      </c>
      <c r="CK11" s="74" t="str">
        <f aca="false">IF(ISBLANK($C11),"",IF($BL11&lt;&gt;Constants!$B$4,$BL11,COUNTIFS($BM$9:$BM$508,"&lt;"&amp;$BM11)+COUNTIFS($BM$9:$BM$508,$BM11,$CF$9:$CF$508,"&lt;"&amp;$CF11)+COUNTIFS($BM$9:$BM$508,$BM11,$CF$9:$CF$508,$CF11,$CH$9:$CH$508,"&lt;"&amp;$CH11)+COUNTIFS($BM$9:$BM$508,$BM11,$CF$9:$CF$508,$CF11,$CH$9:$CH$508,$CH11,$CJ$9:$CJ$508,"&lt;"&amp;$CJ11)+1))</f>
        <v/>
      </c>
      <c r="CL11" s="74" t="str">
        <f aca="false">IF(ISBLANK($C11),"",IF($BL11&lt;&gt;Constants!$B$4,$BL11,$CG11-$CK11))</f>
        <v/>
      </c>
      <c r="CM11" s="74" t="str">
        <f aca="false">IF(ISBLANK($C11),"",IF(NOT($AL11),"",IF(ISBLANK($D$7),$CM$5,IF(NOT(ISNUMBER($D$7)),$CM$6,""))))</f>
        <v/>
      </c>
      <c r="CN11" s="74" t="str">
        <f aca="false">IF(ISBLANK($C11),"",OR($AN11="",$AO11="",$AP11=""))</f>
        <v/>
      </c>
      <c r="CO11" s="74" t="str">
        <f aca="false">IF(ISBLANK($C11),"",AND($AL11,$BA11=""))</f>
        <v/>
      </c>
      <c r="CP11" s="74" t="str">
        <f aca="false">IF(ISBLANK($C11),"",AND($AL11,$BB11=""))</f>
        <v/>
      </c>
      <c r="CQ11" s="74" t="str">
        <f aca="false">IF(ISBLANK($C11),"",AND($AL11,$BC11=""))</f>
        <v/>
      </c>
      <c r="CR11" s="74" t="str">
        <f aca="false">IF(ISBLANK($C11),"",AND($AL11,$BF11=""))</f>
        <v/>
      </c>
      <c r="CS11" s="74" t="str">
        <f aca="false">IF(ISBLANK($C11),"",AND($AL11,$BJ11=""))</f>
        <v/>
      </c>
      <c r="CT11" s="75"/>
      <c r="CU11" s="76"/>
      <c r="CV11" s="79" t="str">
        <f aca="false">IF(ISBLANK($C11),"",IF($BL11=Constants!$B$8,$CM11,""))</f>
        <v/>
      </c>
      <c r="CW11" s="76" t="str">
        <f aca="false">IF(ISBLANK($C11),"",IF($BL11&lt;&gt;Constants!$B$4,"",$BO11+$BP11))</f>
        <v/>
      </c>
      <c r="CX11" s="78" t="str">
        <f aca="false">IF(ISBLANK($C11),"",IF($BL11&lt;&gt;Constants!$B$4,"",$BQ11+$BR11+$BS11))</f>
        <v/>
      </c>
      <c r="CY11" s="78" t="str">
        <f aca="false">IF(ISBLANK($C11),"",IF($BL11&lt;&gt;Constants!$B$4,"",$BT11))</f>
        <v/>
      </c>
      <c r="CZ11" s="78" t="str">
        <f aca="false">IF(ISBLANK($C11),"",IF($BL11&lt;&gt;Constants!$B$4,"",$BU11+$BV11))</f>
        <v/>
      </c>
      <c r="DA11" s="78" t="str">
        <f aca="false">IF(ISBLANK($C11),"",IF($BL11&lt;&gt;Constants!$B$4,"",$BW11))</f>
        <v/>
      </c>
      <c r="DB11" s="78" t="str">
        <f aca="false">IF(ISBLANK($C11),"",IF($BL11&lt;&gt;Constants!$B$4,"",-$CD11))</f>
        <v/>
      </c>
      <c r="DC11" s="79" t="str">
        <f aca="false">IF(ISBLANK($C11),"",$CE11)</f>
        <v/>
      </c>
      <c r="DD11" s="80" t="str">
        <f aca="false">IF(ISBLANK($C11),"",$BM11)</f>
        <v/>
      </c>
      <c r="DE11" s="78" t="str">
        <f aca="false">IF(ISBLANK($C11),"",$CL11)</f>
        <v/>
      </c>
      <c r="DF11" s="78" t="str">
        <f aca="false">IF(ISBLANK($C11),"",$CK11)</f>
        <v/>
      </c>
      <c r="DG11" s="81" t="str">
        <f aca="false">IF(ISBLANK($C11),"",IF($DF11=Constants!$B$7,COUNTA($C$9:$C$508)+2,IF($DF11=Constants!$B$6,COUNTA($C$9:$C$508)+1,IF($DF11=Constants!$B$5,COUNTA($C$9:$C$508),$DF11))))</f>
        <v/>
      </c>
      <c r="DH11" s="7"/>
      <c r="DI11" s="82" t="n">
        <f aca="false">IF(OR(ISNUMBER($DF11),$DF11=Constants!$B$7,$DF11=Constants!$B$5,$DF11=Constants!$B$6),1,0)</f>
        <v>0</v>
      </c>
      <c r="DJ11" s="82" t="n">
        <v>3</v>
      </c>
      <c r="DK11" s="82" t="str">
        <f aca="false">IF(ISBLANK($C11),"",IF(ISNUMBER($DG11),$DG11+ROW($B11)/1000,""))</f>
        <v/>
      </c>
      <c r="DL11" s="82" t="str">
        <f aca="false">IF(ISNUMBER($DK11),RANK($DK11,$DK$9:$DK$508,1),"")</f>
        <v/>
      </c>
      <c r="DM11" s="82" t="str">
        <f aca="false">IF(ISBLANK($C11),"",$B11)</f>
        <v/>
      </c>
      <c r="DN11" s="82" t="str">
        <f aca="false">IF(ISBLANK($C11),"",$C11)</f>
        <v/>
      </c>
      <c r="DO11" s="82" t="str">
        <f aca="false">IF(ISBLANK($C11),"",$D11)</f>
        <v/>
      </c>
      <c r="DP11" s="83" t="str">
        <f aca="false">$DD11</f>
        <v/>
      </c>
      <c r="DQ11" s="84" t="str">
        <f aca="false">$DC11</f>
        <v/>
      </c>
      <c r="DR11" s="82" t="str">
        <f aca="false">IF(ISBLANK($C11),"",$DF11)</f>
        <v/>
      </c>
      <c r="DS11" s="85" t="str">
        <f aca="false">IF($DJ11&gt;$DI$8,"",VLOOKUP($DJ11,$DL$9:$DR$508,7,FALSE()))</f>
        <v/>
      </c>
      <c r="DT11" s="86" t="str">
        <f aca="false">IF($DJ11&gt;$DI$8,"",VLOOKUP($DJ11,$DL$9:$DR$508,2,FALSE()))</f>
        <v/>
      </c>
      <c r="DU11" s="86" t="str">
        <f aca="false">IF($DJ11&gt;$DI$8,"",VLOOKUP($DJ11,$DL$9:$DR$508,3,FALSE()))</f>
        <v/>
      </c>
      <c r="DV11" s="86" t="str">
        <f aca="false">IF($DJ11&gt;$DI$8,"",VLOOKUP($DJ11,$DL$9:$DR$508,4,FALSE()))</f>
        <v/>
      </c>
      <c r="DW11" s="86" t="str">
        <f aca="false">IF($DJ11&gt;$DI$8,"",VLOOKUP($DJ11,$DL$9:$DR$508,5,FALSE()))</f>
        <v/>
      </c>
      <c r="DX11" s="87" t="str">
        <f aca="false">IF($DJ11&gt;$DI$8,"",VLOOKUP($DJ11,$DL$9:$DR$508,6,FALSE()))</f>
        <v/>
      </c>
      <c r="DY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3"/>
      <c r="N12" s="93"/>
      <c r="O12" s="94"/>
      <c r="P12" s="94"/>
      <c r="Q12" s="93"/>
      <c r="R12" s="93"/>
      <c r="S12" s="93"/>
      <c r="T12" s="93"/>
      <c r="U12" s="94"/>
      <c r="V12" s="93"/>
      <c r="W12" s="96"/>
      <c r="X12" s="93"/>
      <c r="Y12" s="93"/>
      <c r="Z12" s="96"/>
      <c r="AA12" s="96"/>
      <c r="AB12" s="93"/>
      <c r="AC12" s="93"/>
      <c r="AD12" s="93"/>
      <c r="AE12" s="97"/>
      <c r="AF12" s="98"/>
      <c r="AG12" s="99"/>
      <c r="AH12" s="100"/>
      <c r="AI12" s="100"/>
      <c r="AJ12" s="100" t="str">
        <f aca="false">IF(ISBLANK($C12),"",IF($E12=Constants!$B$2,TRUE(),IF($E12=Constants!$B$3,FALSE(),TRUE())))</f>
        <v/>
      </c>
      <c r="AK12" s="100" t="str">
        <f aca="false">IF(ISBLANK($C12),"",IF($F12=Constants!$B$2,TRUE(),IF($F12=Constants!$B$3,FALSE(),FALSE())))</f>
        <v/>
      </c>
      <c r="AL12" s="100" t="str">
        <f aca="false">IF(ISBLANK($C12),"",IF($G12=Constants!$B$2,TRUE(),IF($G12=Constants!$B$3,FALSE(),TRUE())))</f>
        <v/>
      </c>
      <c r="AM12" s="100" t="str">
        <f aca="false">IF(ISBLANK($C12),"",IF($H12=Constants!$B$2,TRUE(),IF($H12=Constants!$B$3,FALSE(),TRUE())))</f>
        <v/>
      </c>
      <c r="AN12" s="100" t="str">
        <f aca="false">IF(ISBLANK($C12),"",IF(ISNUMBER($I12),IF($I12&gt;=0,$I12,""),""))</f>
        <v/>
      </c>
      <c r="AO12" s="100" t="str">
        <f aca="false">IF(ISBLANK($C12),"",IF(ISNUMBER($J12),IF($J12&gt;=0,$J12,""),""))</f>
        <v/>
      </c>
      <c r="AP12" s="100" t="str">
        <f aca="false">IF(ISBLANK($C12),"",IF(ISNUMBER($K12),IF($K12&gt;=0,$K12,""),""))</f>
        <v/>
      </c>
      <c r="AQ12" s="100" t="str">
        <f aca="false">IF(ISBLANK($C12),"",IF($L12=Constants!$B$2,TRUE(),IF($L12=Constants!$B$3,FALSE(),TRUE())))</f>
        <v/>
      </c>
      <c r="AR12" s="100" t="str">
        <f aca="false">IF(ISBLANK($C12),"",IF($M12=Constants!$B$2,TRUE(),IF($M12=Constants!$B$3,FALSE(),TRUE())))</f>
        <v/>
      </c>
      <c r="AS12" s="100" t="str">
        <f aca="false">IF(ISBLANK($C12),"",IF($N12=Constants!$B$2,TRUE(),IF($N12=Constants!$B$3,FALSE(),FALSE())))</f>
        <v/>
      </c>
      <c r="AT12" s="100" t="str">
        <f aca="false">IF(ISBLANK($C12),"",IF($O12=Constants!$B$2,TRUE(),IF($O12=Constants!$B$3,FALSE(),TRUE())))</f>
        <v/>
      </c>
      <c r="AU12" s="100" t="str">
        <f aca="false">IF(ISBLANK($C12),"",IF($P12=Constants!$B$2,TRUE(),IF($P12=Constants!$B$3,FALSE(),TRUE())))</f>
        <v/>
      </c>
      <c r="AV12" s="100" t="str">
        <f aca="false">IF(ISBLANK($C12),"",IF($Q12=Constants!$B$2,TRUE(),IF($Q12=Constants!$B$3,FALSE(),FALSE())))</f>
        <v/>
      </c>
      <c r="AW12" s="100" t="str">
        <f aca="false">IF(ISBLANK($C12),"",IF($R12=Constants!$B$2,TRUE(),IF($R12=Constants!$B$3,FALSE(),FALSE())))</f>
        <v/>
      </c>
      <c r="AX12" s="100" t="str">
        <f aca="false">IF(ISBLANK($C12),"",IF($S12=Constants!$B$2,TRUE(),IF($S12=Constants!$B$3,FALSE(),FALSE())))</f>
        <v/>
      </c>
      <c r="AY12" s="100" t="str">
        <f aca="false">IF(ISBLANK($C12),"",IF($T12=Constants!$B$2,TRUE(),IF($T12=Constants!$B$3,FALSE(),FALSE())))</f>
        <v/>
      </c>
      <c r="AZ12" s="100" t="str">
        <f aca="false">IF(ISBLANK($C12),"",IF($U12=Constants!$B$2,TRUE(),IF($U12=Constants!$B$3,FALSE(),FALSE())))</f>
        <v/>
      </c>
      <c r="BA12" s="100" t="str">
        <f aca="false">IF(ISBLANK($C12),"",IF(OR($V12&amp;""="1",$V12&amp;""="2",$V12&amp;""="3",$V12&amp;""="4"),VALUE($V12&amp;""),IF($V12=Constants!$B$12,Constants!$B$12,"")))</f>
        <v/>
      </c>
      <c r="BB12" s="100" t="str">
        <f aca="false">IF(ISBLANK($C12),"",IF(ISBLANK($W12),0,IF(ISNUMBER($W12),IF(AND($W12&gt;=0,$W12&lt;=Constants!$B$21,$W12=INT($W12)),$W12,""),"")))</f>
        <v/>
      </c>
      <c r="BC12" s="100" t="str">
        <f aca="false">IF(ISBLANK($C12),"",IF(ISBLANK($X12),0,IF(ISNUMBER($X12),IF($X12&gt;=0,$X12,""),"")))</f>
        <v/>
      </c>
      <c r="BD12" s="100" t="str">
        <f aca="false">IF(ISBLANK($C12),"",IF($Y12=Constants!$B$2,TRUE(),IF($Y12=Constants!$B$3,FALSE(),TRUE())))</f>
        <v/>
      </c>
      <c r="BE12" s="100" t="str">
        <f aca="false">IF(ISBLANK($C12),"",IF($Z12=Constants!$B$2,TRUE(),IF($Z12=Constants!$B$3,FALSE(),FALSE())))</f>
        <v/>
      </c>
      <c r="BF12" s="100" t="str">
        <f aca="false">IF(ISBLANK($C12),"",IF(ISBLANK($AA12),0,IF(ISNUMBER($AA12),IF(AND($AA12&gt;=0,$AA12&lt;=Constants!$B$35,$AA12=INT($AA12)),$AA12,""),"")))</f>
        <v/>
      </c>
      <c r="BG12" s="100" t="str">
        <f aca="false">IF(ISBLANK($C12),"",IF($AB12=Constants!$B$2,TRUE(),IF($AB12=Constants!$B$3,FALSE(),TRUE())))</f>
        <v/>
      </c>
      <c r="BH12" s="100" t="str">
        <f aca="false">IF(ISBLANK($C12),"",IF($AC12=Constants!$B$2,TRUE(),IF($AC12=Constants!$B$3,FALSE(),TRUE())))</f>
        <v/>
      </c>
      <c r="BI12" s="100" t="str">
        <f aca="false">IF(ISBLANK($C12),"",IF($AD12=Constants!$B$2,TRUE(),IF($AD12=Constants!$B$3,FALSE(),TRUE())))</f>
        <v/>
      </c>
      <c r="BJ12" s="100" t="str">
        <f aca="false">IF(ISBLANK($C12),"",IF(ISNUMBER($AE12),IF($AE12&gt;=0,$AE12,""),""))</f>
        <v/>
      </c>
      <c r="BK12" s="100" t="str">
        <f aca="false">IF(ISBLANK($C12),"",IF($AF12=Constants!$B$2,TRUE(),IF($AF12=Constants!$B$3,FALSE(),FALSE())))</f>
        <v/>
      </c>
      <c r="BL12" s="99" t="str">
        <f aca="false">IF(ISBLANK($C12),"",IF($BK12,Constants!$B$7,IF(COUNTA($E12:$AE12)=0,Constants!$B$6,IF(OR(COUNTA($G12:$AE12)=0,NOT($AM12),$AS12),Constants!$B$5,IF(OR($CM12&lt;&gt;"",$CN12,$CO12,$CP12,$CQ12,$CR12,$CS12),Constants!$B$8,Constants!$B$4)))))</f>
        <v/>
      </c>
      <c r="BM12" s="100" t="str">
        <f aca="false">IF(ISBLANK($C12),"",IF($BL12&lt;&gt;Constants!$B$4,$BL12,IF(OR(NOT($AJ12),NOT($AL12),NOT($AT12)),Constants!$B$11,IF(OR(NOT($AR12),NOT($AU12),NOT($BI12),MAX($AN12,$AO12,$AP12)&gt;Constants!$B$30),Constants!$B$10,Constants!$B$9))))</f>
        <v/>
      </c>
      <c r="BN12" s="100" t="str">
        <f aca="false">IF($BL12&lt;&gt;Constants!$B$4,"",IF(NOT($AL12),0,MIN(Constants!$B$35,$BF12)))</f>
        <v/>
      </c>
      <c r="BO12" s="100" t="str">
        <f aca="false">IF($BL12&lt;&gt;Constants!$B$4,"",IF(NOT($AL12),0,IF($AW12,Constants!$B$18,IF($AV12,Constants!$B$17,0))))</f>
        <v/>
      </c>
      <c r="BP12" s="100" t="str">
        <f aca="false">IF($BL12&lt;&gt;Constants!$B$4,"",IF(NOT($AL12),0,Constants!$B$19*($AK12+$AX12+$AY12+$AZ12)))</f>
        <v/>
      </c>
      <c r="BQ12" s="100" t="str">
        <f aca="false">IF($BL12&lt;&gt;Constants!$B$4,"",IF(OR(NOT($AL12),NOT(ISNUMBER($BA12))),0,CHOOSE($BA12,Constants!$B$13,Constants!$B$14,Constants!$B$15,Constants!$B$16)))</f>
        <v/>
      </c>
      <c r="BR12" s="100" t="str">
        <f aca="false">IF($BL12&lt;&gt;Constants!$B$4,"",IF(NOT($AL12),0,Constants!$B$20*$BB12))</f>
        <v/>
      </c>
      <c r="BS12" s="100" t="str">
        <f aca="false">IF($BL12&lt;&gt;Constants!$B$4,"",IF(AND($AL12,$BD12,$BE12),Constants!$B$22,0))</f>
        <v/>
      </c>
      <c r="BT12" s="100" t="str">
        <f aca="false">IF($BL12&lt;&gt;Constants!$B$4,"",IF(OR(NOT($AL12),NOT($BD12)),0,IF($BJ12&gt;=2*$AH$9,0,Constants!$B$23*INT(ROUND(MIN($BJ12,$AH$9),6)))))</f>
        <v/>
      </c>
      <c r="BU12" s="100" t="str">
        <f aca="false">IF($BL12&lt;&gt;Constants!$B$4,"",IF(NOT($AL12),0,Constants!$B$24*INT(ROUND(MIN($BC12,$AH$9),6))))</f>
        <v/>
      </c>
      <c r="BV12" s="100" t="str">
        <f aca="false">IF($BL12&lt;&gt;Constants!$B$4,"",IF(AND($AL12,$BN12=0),Constants!$B$25,0))</f>
        <v/>
      </c>
      <c r="BW12" s="100" t="str">
        <f aca="false">IF($BL12&lt;&gt;Constants!$B$4,"",MIN(Constants!$B$29,MAX(0,Constants!$B$27*Constants!$B$28*INT(ROUND((Constants!$B$26-$AN12)/Constants!$B$28,6))))+MIN(Constants!$B$29,MAX(0,Constants!$B$27*Constants!$B$28*INT(ROUND((Constants!$B$26-$AO12)/Constants!$B$28,6))))+MIN(Constants!$B$29,MAX(0,Constants!$B$27*Constants!$B$28*INT(ROUND((Constants!$B$26-$AP12)/Constants!$B$28,6)))))</f>
        <v/>
      </c>
      <c r="BX12" s="100" t="str">
        <f aca="false">IF($BL12&lt;&gt;Constants!$B$4,"",IF(NOT($AL12),0,Constants!$B$31*INT(ROUND(MAX(0,MIN($BJ12,2*$AH$9)-$AH$9),6))))</f>
        <v/>
      </c>
      <c r="BY12" s="100" t="str">
        <f aca="false">IF($BL12&lt;&gt;Constants!$B$4,"",Constants!$B$32*(($AN12&gt;Constants!$B$26)+($AO12&gt;Constants!$B$26)+($AP12&gt;Constants!$B$26)))</f>
        <v/>
      </c>
      <c r="BZ12" s="100" t="str">
        <f aca="false">IF($BL12&lt;&gt;Constants!$B$4,"",IF(OR(NOT($AL12),$AQ12),0,Constants!$B$33))</f>
        <v/>
      </c>
      <c r="CA12" s="100" t="str">
        <f aca="false">IF($BL12&lt;&gt;Constants!$B$4,"",Constants!$B$34*$BN12)</f>
        <v/>
      </c>
      <c r="CB12" s="100" t="str">
        <f aca="false">IF($BL12&lt;&gt;Constants!$B$4,"",IF(OR(NOT($AL12),$BH12),0,Constants!$B$36))</f>
        <v/>
      </c>
      <c r="CC12" s="100" t="str">
        <f aca="false">IF($BL12&lt;&gt;Constants!$B$4,"",IF(OR(NOT($AL12),$BG12),0,Constants!$B$37))</f>
        <v/>
      </c>
      <c r="CD12" s="100" t="str">
        <f aca="false">IF($BL12&lt;&gt;Constants!$B$4,"",SUM($BX12:$CC12))</f>
        <v/>
      </c>
      <c r="CE12" s="100" t="str">
        <f aca="false">IF(ISBLANK($C12),"",IF($BL12&lt;&gt;Constants!$B$4,$BL12,SUM($BO12:$BW12)-$CD12))</f>
        <v/>
      </c>
      <c r="CF12" s="100" t="str">
        <f aca="false">IF(ISBLANK($C12),"",IF($BL12&lt;&gt;Constants!$B$4,$BL12,RANK($CE12,$CE$9:$CE$508)))</f>
        <v/>
      </c>
      <c r="CG12" s="100" t="str">
        <f aca="false">IF(ISBLANK($C12),"",IF($BL12&lt;&gt;Constants!$B$4,$BL12,COUNTIFS($BM$9:$BM$508,"&lt;"&amp;$BM12)+COUNTIFS($BM$9:$BM$508,$BM12,$CF$9:$CF$508,"&lt;"&amp;$CF12)+1))</f>
        <v/>
      </c>
      <c r="CH12" s="100" t="str">
        <f aca="false">IF(ISBLANK($C12),"",IF($BL12&lt;&gt;Constants!$B$4,$BL12,RANK($CD12,$CD$9:$CD$508,1)))</f>
        <v/>
      </c>
      <c r="CI12" s="100" t="str">
        <f aca="false">IF($BL12&lt;&gt;Constants!$B$4,"",$AN12+$AO12+$AP12)</f>
        <v/>
      </c>
      <c r="CJ12" s="100" t="str">
        <f aca="false">IF(ISBLANK($C12),"",IF($BL12&lt;&gt;Constants!$B$4,$BL12,RANK($CI12,$CI$9:$CI$508,1)))</f>
        <v/>
      </c>
      <c r="CK12" s="100" t="str">
        <f aca="false">IF(ISBLANK($C12),"",IF($BL12&lt;&gt;Constants!$B$4,$BL12,COUNTIFS($BM$9:$BM$508,"&lt;"&amp;$BM12)+COUNTIFS($BM$9:$BM$508,$BM12,$CF$9:$CF$508,"&lt;"&amp;$CF12)+COUNTIFS($BM$9:$BM$508,$BM12,$CF$9:$CF$508,$CF12,$CH$9:$CH$508,"&lt;"&amp;$CH12)+COUNTIFS($BM$9:$BM$508,$BM12,$CF$9:$CF$508,$CF12,$CH$9:$CH$508,$CH12,$CJ$9:$CJ$508,"&lt;"&amp;$CJ12)+1))</f>
        <v/>
      </c>
      <c r="CL12" s="100" t="str">
        <f aca="false">IF(ISBLANK($C12),"",IF($BL12&lt;&gt;Constants!$B$4,$BL12,$CG12-$CK12))</f>
        <v/>
      </c>
      <c r="CM12" s="100" t="str">
        <f aca="false">IF(ISBLANK($C12),"",IF(NOT($AL12),"",IF(ISBLANK($D$7),$CM$5,IF(NOT(ISNUMBER($D$7)),$CM$6,""))))</f>
        <v/>
      </c>
      <c r="CN12" s="100" t="str">
        <f aca="false">IF(ISBLANK($C12),"",OR($AN12="",$AO12="",$AP12=""))</f>
        <v/>
      </c>
      <c r="CO12" s="100" t="str">
        <f aca="false">IF(ISBLANK($C12),"",AND($AL12,$BA12=""))</f>
        <v/>
      </c>
      <c r="CP12" s="100" t="str">
        <f aca="false">IF(ISBLANK($C12),"",AND($AL12,$BB12=""))</f>
        <v/>
      </c>
      <c r="CQ12" s="100" t="str">
        <f aca="false">IF(ISBLANK($C12),"",AND($AL12,$BC12=""))</f>
        <v/>
      </c>
      <c r="CR12" s="100" t="str">
        <f aca="false">IF(ISBLANK($C12),"",AND($AL12,$BF12=""))</f>
        <v/>
      </c>
      <c r="CS12" s="100" t="str">
        <f aca="false">IF(ISBLANK($C12),"",AND($AL12,$BJ12=""))</f>
        <v/>
      </c>
      <c r="CT12" s="101"/>
      <c r="CU12" s="102"/>
      <c r="CV12" s="103" t="str">
        <f aca="false">IF(ISBLANK($C12),"",IF($BL12=Constants!$B$8,$CM12,""))</f>
        <v/>
      </c>
      <c r="CW12" s="102" t="str">
        <f aca="false">IF(ISBLANK($C12),"",IF($BL12&lt;&gt;Constants!$B$4,"",$BO12+$BP12))</f>
        <v/>
      </c>
      <c r="CX12" s="104" t="str">
        <f aca="false">IF(ISBLANK($C12),"",IF($BL12&lt;&gt;Constants!$B$4,"",$BQ12+$BR12+$BS12))</f>
        <v/>
      </c>
      <c r="CY12" s="104" t="str">
        <f aca="false">IF(ISBLANK($C12),"",IF($BL12&lt;&gt;Constants!$B$4,"",$BT12))</f>
        <v/>
      </c>
      <c r="CZ12" s="104" t="str">
        <f aca="false">IF(ISBLANK($C12),"",IF($BL12&lt;&gt;Constants!$B$4,"",$BU12+$BV12))</f>
        <v/>
      </c>
      <c r="DA12" s="104" t="str">
        <f aca="false">IF(ISBLANK($C12),"",IF($BL12&lt;&gt;Constants!$B$4,"",$BW12))</f>
        <v/>
      </c>
      <c r="DB12" s="104" t="str">
        <f aca="false">IF(ISBLANK($C12),"",IF($BL12&lt;&gt;Constants!$B$4,"",-$CD12))</f>
        <v/>
      </c>
      <c r="DC12" s="103" t="str">
        <f aca="false">IF(ISBLANK($C12),"",$CE12)</f>
        <v/>
      </c>
      <c r="DD12" s="105" t="str">
        <f aca="false">IF(ISBLANK($C12),"",$BM12)</f>
        <v/>
      </c>
      <c r="DE12" s="104" t="str">
        <f aca="false">IF(ISBLANK($C12),"",$CL12)</f>
        <v/>
      </c>
      <c r="DF12" s="104" t="str">
        <f aca="false">IF(ISBLANK($C12),"",$CK12)</f>
        <v/>
      </c>
      <c r="DG12" s="106" t="str">
        <f aca="false">IF(ISBLANK($C12),"",IF($DF12=Constants!$B$7,COUNTA($C$9:$C$508)+2,IF($DF12=Constants!$B$6,COUNTA($C$9:$C$508)+1,IF($DF12=Constants!$B$5,COUNTA($C$9:$C$508),$DF12))))</f>
        <v/>
      </c>
      <c r="DH12" s="7"/>
      <c r="DI12" s="107" t="n">
        <f aca="false">IF(OR(ISNUMBER($DF12),$DF12=Constants!$B$7,$DF12=Constants!$B$5,$DF12=Constants!$B$6),1,0)</f>
        <v>0</v>
      </c>
      <c r="DJ12" s="107" t="n">
        <v>4</v>
      </c>
      <c r="DK12" s="107" t="str">
        <f aca="false">IF(ISBLANK($C12),"",IF(ISNUMBER($DG12),$DG12+ROW($B12)/1000,""))</f>
        <v/>
      </c>
      <c r="DL12" s="107" t="str">
        <f aca="false">IF(ISNUMBER($DK12),RANK($DK12,$DK$9:$DK$508,1),"")</f>
        <v/>
      </c>
      <c r="DM12" s="107" t="str">
        <f aca="false">IF(ISBLANK($C12),"",$B12)</f>
        <v/>
      </c>
      <c r="DN12" s="107" t="str">
        <f aca="false">IF(ISBLANK($C12),"",$C12)</f>
        <v/>
      </c>
      <c r="DO12" s="107" t="str">
        <f aca="false">IF(ISBLANK($C12),"",$D12)</f>
        <v/>
      </c>
      <c r="DP12" s="108" t="str">
        <f aca="false">$DD12</f>
        <v/>
      </c>
      <c r="DQ12" s="109" t="str">
        <f aca="false">$DC12</f>
        <v/>
      </c>
      <c r="DR12" s="107" t="str">
        <f aca="false">IF(ISBLANK($C12),"",$DF12)</f>
        <v/>
      </c>
      <c r="DS12" s="110" t="str">
        <f aca="false">IF($DJ12&gt;$DI$8,"",VLOOKUP($DJ12,$DL$9:$DR$508,7,FALSE()))</f>
        <v/>
      </c>
      <c r="DT12" s="111" t="str">
        <f aca="false">IF($DJ12&gt;$DI$8,"",VLOOKUP($DJ12,$DL$9:$DR$508,2,FALSE()))</f>
        <v/>
      </c>
      <c r="DU12" s="111" t="str">
        <f aca="false">IF($DJ12&gt;$DI$8,"",VLOOKUP($DJ12,$DL$9:$DR$508,3,FALSE()))</f>
        <v/>
      </c>
      <c r="DV12" s="111" t="str">
        <f aca="false">IF($DJ12&gt;$DI$8,"",VLOOKUP($DJ12,$DL$9:$DR$508,4,FALSE()))</f>
        <v/>
      </c>
      <c r="DW12" s="111" t="str">
        <f aca="false">IF($DJ12&gt;$DI$8,"",VLOOKUP($DJ12,$DL$9:$DR$508,5,FALSE()))</f>
        <v/>
      </c>
      <c r="DX12" s="112" t="str">
        <f aca="false">IF($DJ12&gt;$DI$8,"",VLOOKUP($DJ12,$DL$9:$DR$508,6,FALSE()))</f>
        <v/>
      </c>
      <c r="DY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3"/>
      <c r="N13" s="93"/>
      <c r="O13" s="94"/>
      <c r="P13" s="94"/>
      <c r="Q13" s="93"/>
      <c r="R13" s="93"/>
      <c r="S13" s="93"/>
      <c r="T13" s="93"/>
      <c r="U13" s="94"/>
      <c r="V13" s="93"/>
      <c r="W13" s="96"/>
      <c r="X13" s="93"/>
      <c r="Y13" s="93"/>
      <c r="Z13" s="96"/>
      <c r="AA13" s="96"/>
      <c r="AB13" s="93"/>
      <c r="AC13" s="93"/>
      <c r="AD13" s="93"/>
      <c r="AE13" s="97"/>
      <c r="AF13" s="98"/>
      <c r="AG13" s="99"/>
      <c r="AH13" s="100"/>
      <c r="AI13" s="100"/>
      <c r="AJ13" s="100" t="str">
        <f aca="false">IF(ISBLANK($C13),"",IF($E13=Constants!$B$2,TRUE(),IF($E13=Constants!$B$3,FALSE(),TRUE())))</f>
        <v/>
      </c>
      <c r="AK13" s="100" t="str">
        <f aca="false">IF(ISBLANK($C13),"",IF($F13=Constants!$B$2,TRUE(),IF($F13=Constants!$B$3,FALSE(),FALSE())))</f>
        <v/>
      </c>
      <c r="AL13" s="100" t="str">
        <f aca="false">IF(ISBLANK($C13),"",IF($G13=Constants!$B$2,TRUE(),IF($G13=Constants!$B$3,FALSE(),TRUE())))</f>
        <v/>
      </c>
      <c r="AM13" s="100" t="str">
        <f aca="false">IF(ISBLANK($C13),"",IF($H13=Constants!$B$2,TRUE(),IF($H13=Constants!$B$3,FALSE(),TRUE())))</f>
        <v/>
      </c>
      <c r="AN13" s="100" t="str">
        <f aca="false">IF(ISBLANK($C13),"",IF(ISNUMBER($I13),IF($I13&gt;=0,$I13,""),""))</f>
        <v/>
      </c>
      <c r="AO13" s="100" t="str">
        <f aca="false">IF(ISBLANK($C13),"",IF(ISNUMBER($J13),IF($J13&gt;=0,$J13,""),""))</f>
        <v/>
      </c>
      <c r="AP13" s="100" t="str">
        <f aca="false">IF(ISBLANK($C13),"",IF(ISNUMBER($K13),IF($K13&gt;=0,$K13,""),""))</f>
        <v/>
      </c>
      <c r="AQ13" s="100" t="str">
        <f aca="false">IF(ISBLANK($C13),"",IF($L13=Constants!$B$2,TRUE(),IF($L13=Constants!$B$3,FALSE(),TRUE())))</f>
        <v/>
      </c>
      <c r="AR13" s="100" t="str">
        <f aca="false">IF(ISBLANK($C13),"",IF($M13=Constants!$B$2,TRUE(),IF($M13=Constants!$B$3,FALSE(),TRUE())))</f>
        <v/>
      </c>
      <c r="AS13" s="100" t="str">
        <f aca="false">IF(ISBLANK($C13),"",IF($N13=Constants!$B$2,TRUE(),IF($N13=Constants!$B$3,FALSE(),FALSE())))</f>
        <v/>
      </c>
      <c r="AT13" s="100" t="str">
        <f aca="false">IF(ISBLANK($C13),"",IF($O13=Constants!$B$2,TRUE(),IF($O13=Constants!$B$3,FALSE(),TRUE())))</f>
        <v/>
      </c>
      <c r="AU13" s="100" t="str">
        <f aca="false">IF(ISBLANK($C13),"",IF($P13=Constants!$B$2,TRUE(),IF($P13=Constants!$B$3,FALSE(),TRUE())))</f>
        <v/>
      </c>
      <c r="AV13" s="100" t="str">
        <f aca="false">IF(ISBLANK($C13),"",IF($Q13=Constants!$B$2,TRUE(),IF($Q13=Constants!$B$3,FALSE(),FALSE())))</f>
        <v/>
      </c>
      <c r="AW13" s="100" t="str">
        <f aca="false">IF(ISBLANK($C13),"",IF($R13=Constants!$B$2,TRUE(),IF($R13=Constants!$B$3,FALSE(),FALSE())))</f>
        <v/>
      </c>
      <c r="AX13" s="100" t="str">
        <f aca="false">IF(ISBLANK($C13),"",IF($S13=Constants!$B$2,TRUE(),IF($S13=Constants!$B$3,FALSE(),FALSE())))</f>
        <v/>
      </c>
      <c r="AY13" s="100" t="str">
        <f aca="false">IF(ISBLANK($C13),"",IF($T13=Constants!$B$2,TRUE(),IF($T13=Constants!$B$3,FALSE(),FALSE())))</f>
        <v/>
      </c>
      <c r="AZ13" s="100" t="str">
        <f aca="false">IF(ISBLANK($C13),"",IF($U13=Constants!$B$2,TRUE(),IF($U13=Constants!$B$3,FALSE(),FALSE())))</f>
        <v/>
      </c>
      <c r="BA13" s="100" t="str">
        <f aca="false">IF(ISBLANK($C13),"",IF(OR($V13&amp;""="1",$V13&amp;""="2",$V13&amp;""="3",$V13&amp;""="4"),VALUE($V13&amp;""),IF($V13=Constants!$B$12,Constants!$B$12,"")))</f>
        <v/>
      </c>
      <c r="BB13" s="100" t="str">
        <f aca="false">IF(ISBLANK($C13),"",IF(ISBLANK($W13),0,IF(ISNUMBER($W13),IF(AND($W13&gt;=0,$W13&lt;=Constants!$B$21,$W13=INT($W13)),$W13,""),"")))</f>
        <v/>
      </c>
      <c r="BC13" s="100" t="str">
        <f aca="false">IF(ISBLANK($C13),"",IF(ISBLANK($X13),0,IF(ISNUMBER($X13),IF($X13&gt;=0,$X13,""),"")))</f>
        <v/>
      </c>
      <c r="BD13" s="100" t="str">
        <f aca="false">IF(ISBLANK($C13),"",IF($Y13=Constants!$B$2,TRUE(),IF($Y13=Constants!$B$3,FALSE(),TRUE())))</f>
        <v/>
      </c>
      <c r="BE13" s="100" t="str">
        <f aca="false">IF(ISBLANK($C13),"",IF($Z13=Constants!$B$2,TRUE(),IF($Z13=Constants!$B$3,FALSE(),FALSE())))</f>
        <v/>
      </c>
      <c r="BF13" s="100" t="str">
        <f aca="false">IF(ISBLANK($C13),"",IF(ISBLANK($AA13),0,IF(ISNUMBER($AA13),IF(AND($AA13&gt;=0,$AA13&lt;=Constants!$B$35,$AA13=INT($AA13)),$AA13,""),"")))</f>
        <v/>
      </c>
      <c r="BG13" s="100" t="str">
        <f aca="false">IF(ISBLANK($C13),"",IF($AB13=Constants!$B$2,TRUE(),IF($AB13=Constants!$B$3,FALSE(),TRUE())))</f>
        <v/>
      </c>
      <c r="BH13" s="100" t="str">
        <f aca="false">IF(ISBLANK($C13),"",IF($AC13=Constants!$B$2,TRUE(),IF($AC13=Constants!$B$3,FALSE(),TRUE())))</f>
        <v/>
      </c>
      <c r="BI13" s="100" t="str">
        <f aca="false">IF(ISBLANK($C13),"",IF($AD13=Constants!$B$2,TRUE(),IF($AD13=Constants!$B$3,FALSE(),TRUE())))</f>
        <v/>
      </c>
      <c r="BJ13" s="100" t="str">
        <f aca="false">IF(ISBLANK($C13),"",IF(ISNUMBER($AE13),IF($AE13&gt;=0,$AE13,""),""))</f>
        <v/>
      </c>
      <c r="BK13" s="100" t="str">
        <f aca="false">IF(ISBLANK($C13),"",IF($AF13=Constants!$B$2,TRUE(),IF($AF13=Constants!$B$3,FALSE(),FALSE())))</f>
        <v/>
      </c>
      <c r="BL13" s="99" t="str">
        <f aca="false">IF(ISBLANK($C13),"",IF($BK13,Constants!$B$7,IF(COUNTA($E13:$AE13)=0,Constants!$B$6,IF(OR(COUNTA($G13:$AE13)=0,NOT($AM13),$AS13),Constants!$B$5,IF(OR($CM13&lt;&gt;"",$CN13,$CO13,$CP13,$CQ13,$CR13,$CS13),Constants!$B$8,Constants!$B$4)))))</f>
        <v/>
      </c>
      <c r="BM13" s="100" t="str">
        <f aca="false">IF(ISBLANK($C13),"",IF($BL13&lt;&gt;Constants!$B$4,$BL13,IF(OR(NOT($AJ13),NOT($AL13),NOT($AT13)),Constants!$B$11,IF(OR(NOT($AR13),NOT($AU13),NOT($BI13),MAX($AN13,$AO13,$AP13)&gt;Constants!$B$30),Constants!$B$10,Constants!$B$9))))</f>
        <v/>
      </c>
      <c r="BN13" s="100" t="str">
        <f aca="false">IF($BL13&lt;&gt;Constants!$B$4,"",IF(NOT($AL13),0,MIN(Constants!$B$35,$BF13)))</f>
        <v/>
      </c>
      <c r="BO13" s="100" t="str">
        <f aca="false">IF($BL13&lt;&gt;Constants!$B$4,"",IF(NOT($AL13),0,IF($AW13,Constants!$B$18,IF($AV13,Constants!$B$17,0))))</f>
        <v/>
      </c>
      <c r="BP13" s="100" t="str">
        <f aca="false">IF($BL13&lt;&gt;Constants!$B$4,"",IF(NOT($AL13),0,Constants!$B$19*($AK13+$AX13+$AY13+$AZ13)))</f>
        <v/>
      </c>
      <c r="BQ13" s="100" t="str">
        <f aca="false">IF($BL13&lt;&gt;Constants!$B$4,"",IF(OR(NOT($AL13),NOT(ISNUMBER($BA13))),0,CHOOSE($BA13,Constants!$B$13,Constants!$B$14,Constants!$B$15,Constants!$B$16)))</f>
        <v/>
      </c>
      <c r="BR13" s="100" t="str">
        <f aca="false">IF($BL13&lt;&gt;Constants!$B$4,"",IF(NOT($AL13),0,Constants!$B$20*$BB13))</f>
        <v/>
      </c>
      <c r="BS13" s="100" t="str">
        <f aca="false">IF($BL13&lt;&gt;Constants!$B$4,"",IF(AND($AL13,$BD13,$BE13),Constants!$B$22,0))</f>
        <v/>
      </c>
      <c r="BT13" s="100" t="str">
        <f aca="false">IF($BL13&lt;&gt;Constants!$B$4,"",IF(OR(NOT($AL13),NOT($BD13)),0,IF($BJ13&gt;=2*$AH$9,0,Constants!$B$23*INT(ROUND(MIN($BJ13,$AH$9),6)))))</f>
        <v/>
      </c>
      <c r="BU13" s="100" t="str">
        <f aca="false">IF($BL13&lt;&gt;Constants!$B$4,"",IF(NOT($AL13),0,Constants!$B$24*INT(ROUND(MIN($BC13,$AH$9),6))))</f>
        <v/>
      </c>
      <c r="BV13" s="100" t="str">
        <f aca="false">IF($BL13&lt;&gt;Constants!$B$4,"",IF(AND($AL13,$BN13=0),Constants!$B$25,0))</f>
        <v/>
      </c>
      <c r="BW13" s="100" t="str">
        <f aca="false">IF($BL13&lt;&gt;Constants!$B$4,"",MIN(Constants!$B$29,MAX(0,Constants!$B$27*Constants!$B$28*INT(ROUND((Constants!$B$26-$AN13)/Constants!$B$28,6))))+MIN(Constants!$B$29,MAX(0,Constants!$B$27*Constants!$B$28*INT(ROUND((Constants!$B$26-$AO13)/Constants!$B$28,6))))+MIN(Constants!$B$29,MAX(0,Constants!$B$27*Constants!$B$28*INT(ROUND((Constants!$B$26-$AP13)/Constants!$B$28,6)))))</f>
        <v/>
      </c>
      <c r="BX13" s="100" t="str">
        <f aca="false">IF($BL13&lt;&gt;Constants!$B$4,"",IF(NOT($AL13),0,Constants!$B$31*INT(ROUND(MAX(0,MIN($BJ13,2*$AH$9)-$AH$9),6))))</f>
        <v/>
      </c>
      <c r="BY13" s="100" t="str">
        <f aca="false">IF($BL13&lt;&gt;Constants!$B$4,"",Constants!$B$32*(($AN13&gt;Constants!$B$26)+($AO13&gt;Constants!$B$26)+($AP13&gt;Constants!$B$26)))</f>
        <v/>
      </c>
      <c r="BZ13" s="100" t="str">
        <f aca="false">IF($BL13&lt;&gt;Constants!$B$4,"",IF(OR(NOT($AL13),$AQ13),0,Constants!$B$33))</f>
        <v/>
      </c>
      <c r="CA13" s="100" t="str">
        <f aca="false">IF($BL13&lt;&gt;Constants!$B$4,"",Constants!$B$34*$BN13)</f>
        <v/>
      </c>
      <c r="CB13" s="100" t="str">
        <f aca="false">IF($BL13&lt;&gt;Constants!$B$4,"",IF(OR(NOT($AL13),$BH13),0,Constants!$B$36))</f>
        <v/>
      </c>
      <c r="CC13" s="100" t="str">
        <f aca="false">IF($BL13&lt;&gt;Constants!$B$4,"",IF(OR(NOT($AL13),$BG13),0,Constants!$B$37))</f>
        <v/>
      </c>
      <c r="CD13" s="100" t="str">
        <f aca="false">IF($BL13&lt;&gt;Constants!$B$4,"",SUM($BX13:$CC13))</f>
        <v/>
      </c>
      <c r="CE13" s="100" t="str">
        <f aca="false">IF(ISBLANK($C13),"",IF($BL13&lt;&gt;Constants!$B$4,$BL13,SUM($BO13:$BW13)-$CD13))</f>
        <v/>
      </c>
      <c r="CF13" s="100" t="str">
        <f aca="false">IF(ISBLANK($C13),"",IF($BL13&lt;&gt;Constants!$B$4,$BL13,RANK($CE13,$CE$9:$CE$508)))</f>
        <v/>
      </c>
      <c r="CG13" s="100" t="str">
        <f aca="false">IF(ISBLANK($C13),"",IF($BL13&lt;&gt;Constants!$B$4,$BL13,COUNTIFS($BM$9:$BM$508,"&lt;"&amp;$BM13)+COUNTIFS($BM$9:$BM$508,$BM13,$CF$9:$CF$508,"&lt;"&amp;$CF13)+1))</f>
        <v/>
      </c>
      <c r="CH13" s="100" t="str">
        <f aca="false">IF(ISBLANK($C13),"",IF($BL13&lt;&gt;Constants!$B$4,$BL13,RANK($CD13,$CD$9:$CD$508,1)))</f>
        <v/>
      </c>
      <c r="CI13" s="100" t="str">
        <f aca="false">IF($BL13&lt;&gt;Constants!$B$4,"",$AN13+$AO13+$AP13)</f>
        <v/>
      </c>
      <c r="CJ13" s="100" t="str">
        <f aca="false">IF(ISBLANK($C13),"",IF($BL13&lt;&gt;Constants!$B$4,$BL13,RANK($CI13,$CI$9:$CI$508,1)))</f>
        <v/>
      </c>
      <c r="CK13" s="100" t="str">
        <f aca="false">IF(ISBLANK($C13),"",IF($BL13&lt;&gt;Constants!$B$4,$BL13,COUNTIFS($BM$9:$BM$508,"&lt;"&amp;$BM13)+COUNTIFS($BM$9:$BM$508,$BM13,$CF$9:$CF$508,"&lt;"&amp;$CF13)+COUNTIFS($BM$9:$BM$508,$BM13,$CF$9:$CF$508,$CF13,$CH$9:$CH$508,"&lt;"&amp;$CH13)+COUNTIFS($BM$9:$BM$508,$BM13,$CF$9:$CF$508,$CF13,$CH$9:$CH$508,$CH13,$CJ$9:$CJ$508,"&lt;"&amp;$CJ13)+1))</f>
        <v/>
      </c>
      <c r="CL13" s="100" t="str">
        <f aca="false">IF(ISBLANK($C13),"",IF($BL13&lt;&gt;Constants!$B$4,$BL13,$CG13-$CK13))</f>
        <v/>
      </c>
      <c r="CM13" s="100" t="str">
        <f aca="false">IF(ISBLANK($C13),"",IF(NOT($AL13),"",IF(ISBLANK($D$7),$CM$5,IF(NOT(ISNUMBER($D$7)),$CM$6,""))))</f>
        <v/>
      </c>
      <c r="CN13" s="100" t="str">
        <f aca="false">IF(ISBLANK($C13),"",OR($AN13="",$AO13="",$AP13=""))</f>
        <v/>
      </c>
      <c r="CO13" s="100" t="str">
        <f aca="false">IF(ISBLANK($C13),"",AND($AL13,$BA13=""))</f>
        <v/>
      </c>
      <c r="CP13" s="100" t="str">
        <f aca="false">IF(ISBLANK($C13),"",AND($AL13,$BB13=""))</f>
        <v/>
      </c>
      <c r="CQ13" s="100" t="str">
        <f aca="false">IF(ISBLANK($C13),"",AND($AL13,$BC13=""))</f>
        <v/>
      </c>
      <c r="CR13" s="100" t="str">
        <f aca="false">IF(ISBLANK($C13),"",AND($AL13,$BF13=""))</f>
        <v/>
      </c>
      <c r="CS13" s="100" t="str">
        <f aca="false">IF(ISBLANK($C13),"",AND($AL13,$BJ13=""))</f>
        <v/>
      </c>
      <c r="CT13" s="101"/>
      <c r="CU13" s="102"/>
      <c r="CV13" s="103" t="str">
        <f aca="false">IF(ISBLANK($C13),"",IF($BL13=Constants!$B$8,$CM13,""))</f>
        <v/>
      </c>
      <c r="CW13" s="102" t="str">
        <f aca="false">IF(ISBLANK($C13),"",IF($BL13&lt;&gt;Constants!$B$4,"",$BO13+$BP13))</f>
        <v/>
      </c>
      <c r="CX13" s="104" t="str">
        <f aca="false">IF(ISBLANK($C13),"",IF($BL13&lt;&gt;Constants!$B$4,"",$BQ13+$BR13+$BS13))</f>
        <v/>
      </c>
      <c r="CY13" s="104" t="str">
        <f aca="false">IF(ISBLANK($C13),"",IF($BL13&lt;&gt;Constants!$B$4,"",$BT13))</f>
        <v/>
      </c>
      <c r="CZ13" s="104" t="str">
        <f aca="false">IF(ISBLANK($C13),"",IF($BL13&lt;&gt;Constants!$B$4,"",$BU13+$BV13))</f>
        <v/>
      </c>
      <c r="DA13" s="104" t="str">
        <f aca="false">IF(ISBLANK($C13),"",IF($BL13&lt;&gt;Constants!$B$4,"",$BW13))</f>
        <v/>
      </c>
      <c r="DB13" s="104" t="str">
        <f aca="false">IF(ISBLANK($C13),"",IF($BL13&lt;&gt;Constants!$B$4,"",-$CD13))</f>
        <v/>
      </c>
      <c r="DC13" s="103" t="str">
        <f aca="false">IF(ISBLANK($C13),"",$CE13)</f>
        <v/>
      </c>
      <c r="DD13" s="105" t="str">
        <f aca="false">IF(ISBLANK($C13),"",$BM13)</f>
        <v/>
      </c>
      <c r="DE13" s="104" t="str">
        <f aca="false">IF(ISBLANK($C13),"",$CL13)</f>
        <v/>
      </c>
      <c r="DF13" s="104" t="str">
        <f aca="false">IF(ISBLANK($C13),"",$CK13)</f>
        <v/>
      </c>
      <c r="DG13" s="106" t="str">
        <f aca="false">IF(ISBLANK($C13),"",IF($DF13=Constants!$B$7,COUNTA($C$9:$C$508)+2,IF($DF13=Constants!$B$6,COUNTA($C$9:$C$508)+1,IF($DF13=Constants!$B$5,COUNTA($C$9:$C$508),$DF13))))</f>
        <v/>
      </c>
      <c r="DH13" s="7"/>
      <c r="DI13" s="107" t="n">
        <f aca="false">IF(OR(ISNUMBER($DF13),$DF13=Constants!$B$7,$DF13=Constants!$B$5,$DF13=Constants!$B$6),1,0)</f>
        <v>0</v>
      </c>
      <c r="DJ13" s="107" t="n">
        <v>5</v>
      </c>
      <c r="DK13" s="107" t="str">
        <f aca="false">IF(ISBLANK($C13),"",IF(ISNUMBER($DG13),$DG13+ROW($B13)/1000,""))</f>
        <v/>
      </c>
      <c r="DL13" s="107" t="str">
        <f aca="false">IF(ISNUMBER($DK13),RANK($DK13,$DK$9:$DK$508,1),"")</f>
        <v/>
      </c>
      <c r="DM13" s="107" t="str">
        <f aca="false">IF(ISBLANK($C13),"",$B13)</f>
        <v/>
      </c>
      <c r="DN13" s="107" t="str">
        <f aca="false">IF(ISBLANK($C13),"",$C13)</f>
        <v/>
      </c>
      <c r="DO13" s="107" t="str">
        <f aca="false">IF(ISBLANK($C13),"",$D13)</f>
        <v/>
      </c>
      <c r="DP13" s="108" t="str">
        <f aca="false">$DD13</f>
        <v/>
      </c>
      <c r="DQ13" s="109" t="str">
        <f aca="false">$DC13</f>
        <v/>
      </c>
      <c r="DR13" s="107" t="str">
        <f aca="false">IF(ISBLANK($C13),"",$DF13)</f>
        <v/>
      </c>
      <c r="DS13" s="110" t="str">
        <f aca="false">IF($DJ13&gt;$DI$8,"",VLOOKUP($DJ13,$DL$9:$DR$508,7,FALSE()))</f>
        <v/>
      </c>
      <c r="DT13" s="111" t="str">
        <f aca="false">IF($DJ13&gt;$DI$8,"",VLOOKUP($DJ13,$DL$9:$DR$508,2,FALSE()))</f>
        <v/>
      </c>
      <c r="DU13" s="111" t="str">
        <f aca="false">IF($DJ13&gt;$DI$8,"",VLOOKUP($DJ13,$DL$9:$DR$508,3,FALSE()))</f>
        <v/>
      </c>
      <c r="DV13" s="111" t="str">
        <f aca="false">IF($DJ13&gt;$DI$8,"",VLOOKUP($DJ13,$DL$9:$DR$508,4,FALSE()))</f>
        <v/>
      </c>
      <c r="DW13" s="111" t="str">
        <f aca="false">IF($DJ13&gt;$DI$8,"",VLOOKUP($DJ13,$DL$9:$DR$508,5,FALSE()))</f>
        <v/>
      </c>
      <c r="DX13" s="112" t="str">
        <f aca="false">IF($DJ13&gt;$DI$8,"",VLOOKUP($DJ13,$DL$9:$DR$508,6,FALSE()))</f>
        <v/>
      </c>
      <c r="DY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114"/>
      <c r="N14" s="114"/>
      <c r="O14" s="115"/>
      <c r="P14" s="115"/>
      <c r="Q14" s="114"/>
      <c r="R14" s="114"/>
      <c r="S14" s="114"/>
      <c r="T14" s="114"/>
      <c r="U14" s="115"/>
      <c r="V14" s="114"/>
      <c r="W14" s="96"/>
      <c r="X14" s="114"/>
      <c r="Y14" s="114"/>
      <c r="Z14" s="96"/>
      <c r="AA14" s="96"/>
      <c r="AB14" s="114"/>
      <c r="AC14" s="114"/>
      <c r="AD14" s="114"/>
      <c r="AE14" s="97"/>
      <c r="AF14" s="116"/>
      <c r="AG14" s="99"/>
      <c r="AH14" s="100"/>
      <c r="AI14" s="100"/>
      <c r="AJ14" s="100" t="str">
        <f aca="false">IF(ISBLANK($C14),"",IF($E14=Constants!$B$2,TRUE(),IF($E14=Constants!$B$3,FALSE(),TRUE())))</f>
        <v/>
      </c>
      <c r="AK14" s="100" t="str">
        <f aca="false">IF(ISBLANK($C14),"",IF($F14=Constants!$B$2,TRUE(),IF($F14=Constants!$B$3,FALSE(),FALSE())))</f>
        <v/>
      </c>
      <c r="AL14" s="100" t="str">
        <f aca="false">IF(ISBLANK($C14),"",IF($G14=Constants!$B$2,TRUE(),IF($G14=Constants!$B$3,FALSE(),TRUE())))</f>
        <v/>
      </c>
      <c r="AM14" s="100" t="str">
        <f aca="false">IF(ISBLANK($C14),"",IF($H14=Constants!$B$2,TRUE(),IF($H14=Constants!$B$3,FALSE(),TRUE())))</f>
        <v/>
      </c>
      <c r="AN14" s="100" t="str">
        <f aca="false">IF(ISBLANK($C14),"",IF(ISNUMBER($I14),IF($I14&gt;=0,$I14,""),""))</f>
        <v/>
      </c>
      <c r="AO14" s="100" t="str">
        <f aca="false">IF(ISBLANK($C14),"",IF(ISNUMBER($J14),IF($J14&gt;=0,$J14,""),""))</f>
        <v/>
      </c>
      <c r="AP14" s="100" t="str">
        <f aca="false">IF(ISBLANK($C14),"",IF(ISNUMBER($K14),IF($K14&gt;=0,$K14,""),""))</f>
        <v/>
      </c>
      <c r="AQ14" s="100" t="str">
        <f aca="false">IF(ISBLANK($C14),"",IF($L14=Constants!$B$2,TRUE(),IF($L14=Constants!$B$3,FALSE(),TRUE())))</f>
        <v/>
      </c>
      <c r="AR14" s="100" t="str">
        <f aca="false">IF(ISBLANK($C14),"",IF($M14=Constants!$B$2,TRUE(),IF($M14=Constants!$B$3,FALSE(),TRUE())))</f>
        <v/>
      </c>
      <c r="AS14" s="100" t="str">
        <f aca="false">IF(ISBLANK($C14),"",IF($N14=Constants!$B$2,TRUE(),IF($N14=Constants!$B$3,FALSE(),FALSE())))</f>
        <v/>
      </c>
      <c r="AT14" s="100" t="str">
        <f aca="false">IF(ISBLANK($C14),"",IF($O14=Constants!$B$2,TRUE(),IF($O14=Constants!$B$3,FALSE(),TRUE())))</f>
        <v/>
      </c>
      <c r="AU14" s="100" t="str">
        <f aca="false">IF(ISBLANK($C14),"",IF($P14=Constants!$B$2,TRUE(),IF($P14=Constants!$B$3,FALSE(),TRUE())))</f>
        <v/>
      </c>
      <c r="AV14" s="100" t="str">
        <f aca="false">IF(ISBLANK($C14),"",IF($Q14=Constants!$B$2,TRUE(),IF($Q14=Constants!$B$3,FALSE(),FALSE())))</f>
        <v/>
      </c>
      <c r="AW14" s="100" t="str">
        <f aca="false">IF(ISBLANK($C14),"",IF($R14=Constants!$B$2,TRUE(),IF($R14=Constants!$B$3,FALSE(),FALSE())))</f>
        <v/>
      </c>
      <c r="AX14" s="100" t="str">
        <f aca="false">IF(ISBLANK($C14),"",IF($S14=Constants!$B$2,TRUE(),IF($S14=Constants!$B$3,FALSE(),FALSE())))</f>
        <v/>
      </c>
      <c r="AY14" s="100" t="str">
        <f aca="false">IF(ISBLANK($C14),"",IF($T14=Constants!$B$2,TRUE(),IF($T14=Constants!$B$3,FALSE(),FALSE())))</f>
        <v/>
      </c>
      <c r="AZ14" s="100" t="str">
        <f aca="false">IF(ISBLANK($C14),"",IF($U14=Constants!$B$2,TRUE(),IF($U14=Constants!$B$3,FALSE(),FALSE())))</f>
        <v/>
      </c>
      <c r="BA14" s="100" t="str">
        <f aca="false">IF(ISBLANK($C14),"",IF(OR($V14&amp;""="1",$V14&amp;""="2",$V14&amp;""="3",$V14&amp;""="4"),VALUE($V14&amp;""),IF($V14=Constants!$B$12,Constants!$B$12,"")))</f>
        <v/>
      </c>
      <c r="BB14" s="100" t="str">
        <f aca="false">IF(ISBLANK($C14),"",IF(ISBLANK($W14),0,IF(ISNUMBER($W14),IF(AND($W14&gt;=0,$W14&lt;=Constants!$B$21,$W14=INT($W14)),$W14,""),"")))</f>
        <v/>
      </c>
      <c r="BC14" s="100" t="str">
        <f aca="false">IF(ISBLANK($C14),"",IF(ISBLANK($X14),0,IF(ISNUMBER($X14),IF($X14&gt;=0,$X14,""),"")))</f>
        <v/>
      </c>
      <c r="BD14" s="100" t="str">
        <f aca="false">IF(ISBLANK($C14),"",IF($Y14=Constants!$B$2,TRUE(),IF($Y14=Constants!$B$3,FALSE(),TRUE())))</f>
        <v/>
      </c>
      <c r="BE14" s="100" t="str">
        <f aca="false">IF(ISBLANK($C14),"",IF($Z14=Constants!$B$2,TRUE(),IF($Z14=Constants!$B$3,FALSE(),FALSE())))</f>
        <v/>
      </c>
      <c r="BF14" s="100" t="str">
        <f aca="false">IF(ISBLANK($C14),"",IF(ISBLANK($AA14),0,IF(ISNUMBER($AA14),IF(AND($AA14&gt;=0,$AA14&lt;=Constants!$B$35,$AA14=INT($AA14)),$AA14,""),"")))</f>
        <v/>
      </c>
      <c r="BG14" s="100" t="str">
        <f aca="false">IF(ISBLANK($C14),"",IF($AB14=Constants!$B$2,TRUE(),IF($AB14=Constants!$B$3,FALSE(),TRUE())))</f>
        <v/>
      </c>
      <c r="BH14" s="100" t="str">
        <f aca="false">IF(ISBLANK($C14),"",IF($AC14=Constants!$B$2,TRUE(),IF($AC14=Constants!$B$3,FALSE(),TRUE())))</f>
        <v/>
      </c>
      <c r="BI14" s="100" t="str">
        <f aca="false">IF(ISBLANK($C14),"",IF($AD14=Constants!$B$2,TRUE(),IF($AD14=Constants!$B$3,FALSE(),TRUE())))</f>
        <v/>
      </c>
      <c r="BJ14" s="100" t="str">
        <f aca="false">IF(ISBLANK($C14),"",IF(ISNUMBER($AE14),IF($AE14&gt;=0,$AE14,""),""))</f>
        <v/>
      </c>
      <c r="BK14" s="100" t="str">
        <f aca="false">IF(ISBLANK($C14),"",IF($AF14=Constants!$B$2,TRUE(),IF($AF14=Constants!$B$3,FALSE(),FALSE())))</f>
        <v/>
      </c>
      <c r="BL14" s="99" t="str">
        <f aca="false">IF(ISBLANK($C14),"",IF($BK14,Constants!$B$7,IF(COUNTA($E14:$AE14)=0,Constants!$B$6,IF(OR(COUNTA($G14:$AE14)=0,NOT($AM14),$AS14),Constants!$B$5,IF(OR($CM14&lt;&gt;"",$CN14,$CO14,$CP14,$CQ14,$CR14,$CS14),Constants!$B$8,Constants!$B$4)))))</f>
        <v/>
      </c>
      <c r="BM14" s="100" t="str">
        <f aca="false">IF(ISBLANK($C14),"",IF($BL14&lt;&gt;Constants!$B$4,$BL14,IF(OR(NOT($AJ14),NOT($AL14),NOT($AT14)),Constants!$B$11,IF(OR(NOT($AR14),NOT($AU14),NOT($BI14),MAX($AN14,$AO14,$AP14)&gt;Constants!$B$30),Constants!$B$10,Constants!$B$9))))</f>
        <v/>
      </c>
      <c r="BN14" s="100" t="str">
        <f aca="false">IF($BL14&lt;&gt;Constants!$B$4,"",IF(NOT($AL14),0,MIN(Constants!$B$35,$BF14)))</f>
        <v/>
      </c>
      <c r="BO14" s="100" t="str">
        <f aca="false">IF($BL14&lt;&gt;Constants!$B$4,"",IF(NOT($AL14),0,IF($AW14,Constants!$B$18,IF($AV14,Constants!$B$17,0))))</f>
        <v/>
      </c>
      <c r="BP14" s="100" t="str">
        <f aca="false">IF($BL14&lt;&gt;Constants!$B$4,"",IF(NOT($AL14),0,Constants!$B$19*($AK14+$AX14+$AY14+$AZ14)))</f>
        <v/>
      </c>
      <c r="BQ14" s="100" t="str">
        <f aca="false">IF($BL14&lt;&gt;Constants!$B$4,"",IF(OR(NOT($AL14),NOT(ISNUMBER($BA14))),0,CHOOSE($BA14,Constants!$B$13,Constants!$B$14,Constants!$B$15,Constants!$B$16)))</f>
        <v/>
      </c>
      <c r="BR14" s="100" t="str">
        <f aca="false">IF($BL14&lt;&gt;Constants!$B$4,"",IF(NOT($AL14),0,Constants!$B$20*$BB14))</f>
        <v/>
      </c>
      <c r="BS14" s="100" t="str">
        <f aca="false">IF($BL14&lt;&gt;Constants!$B$4,"",IF(AND($AL14,$BD14,$BE14),Constants!$B$22,0))</f>
        <v/>
      </c>
      <c r="BT14" s="100" t="str">
        <f aca="false">IF($BL14&lt;&gt;Constants!$B$4,"",IF(OR(NOT($AL14),NOT($BD14)),0,IF($BJ14&gt;=2*$AH$9,0,Constants!$B$23*INT(ROUND(MIN($BJ14,$AH$9),6)))))</f>
        <v/>
      </c>
      <c r="BU14" s="100" t="str">
        <f aca="false">IF($BL14&lt;&gt;Constants!$B$4,"",IF(NOT($AL14),0,Constants!$B$24*INT(ROUND(MIN($BC14,$AH$9),6))))</f>
        <v/>
      </c>
      <c r="BV14" s="100" t="str">
        <f aca="false">IF($BL14&lt;&gt;Constants!$B$4,"",IF(AND($AL14,$BN14=0),Constants!$B$25,0))</f>
        <v/>
      </c>
      <c r="BW14" s="100" t="str">
        <f aca="false">IF($BL14&lt;&gt;Constants!$B$4,"",MIN(Constants!$B$29,MAX(0,Constants!$B$27*Constants!$B$28*INT(ROUND((Constants!$B$26-$AN14)/Constants!$B$28,6))))+MIN(Constants!$B$29,MAX(0,Constants!$B$27*Constants!$B$28*INT(ROUND((Constants!$B$26-$AO14)/Constants!$B$28,6))))+MIN(Constants!$B$29,MAX(0,Constants!$B$27*Constants!$B$28*INT(ROUND((Constants!$B$26-$AP14)/Constants!$B$28,6)))))</f>
        <v/>
      </c>
      <c r="BX14" s="100" t="str">
        <f aca="false">IF($BL14&lt;&gt;Constants!$B$4,"",IF(NOT($AL14),0,Constants!$B$31*INT(ROUND(MAX(0,MIN($BJ14,2*$AH$9)-$AH$9),6))))</f>
        <v/>
      </c>
      <c r="BY14" s="100" t="str">
        <f aca="false">IF($BL14&lt;&gt;Constants!$B$4,"",Constants!$B$32*(($AN14&gt;Constants!$B$26)+($AO14&gt;Constants!$B$26)+($AP14&gt;Constants!$B$26)))</f>
        <v/>
      </c>
      <c r="BZ14" s="100" t="str">
        <f aca="false">IF($BL14&lt;&gt;Constants!$B$4,"",IF(OR(NOT($AL14),$AQ14),0,Constants!$B$33))</f>
        <v/>
      </c>
      <c r="CA14" s="100" t="str">
        <f aca="false">IF($BL14&lt;&gt;Constants!$B$4,"",Constants!$B$34*$BN14)</f>
        <v/>
      </c>
      <c r="CB14" s="100" t="str">
        <f aca="false">IF($BL14&lt;&gt;Constants!$B$4,"",IF(OR(NOT($AL14),$BH14),0,Constants!$B$36))</f>
        <v/>
      </c>
      <c r="CC14" s="100" t="str">
        <f aca="false">IF($BL14&lt;&gt;Constants!$B$4,"",IF(OR(NOT($AL14),$BG14),0,Constants!$B$37))</f>
        <v/>
      </c>
      <c r="CD14" s="100" t="str">
        <f aca="false">IF($BL14&lt;&gt;Constants!$B$4,"",SUM($BX14:$CC14))</f>
        <v/>
      </c>
      <c r="CE14" s="100" t="str">
        <f aca="false">IF(ISBLANK($C14),"",IF($BL14&lt;&gt;Constants!$B$4,$BL14,SUM($BO14:$BW14)-$CD14))</f>
        <v/>
      </c>
      <c r="CF14" s="100" t="str">
        <f aca="false">IF(ISBLANK($C14),"",IF($BL14&lt;&gt;Constants!$B$4,$BL14,RANK($CE14,$CE$9:$CE$508)))</f>
        <v/>
      </c>
      <c r="CG14" s="100" t="str">
        <f aca="false">IF(ISBLANK($C14),"",IF($BL14&lt;&gt;Constants!$B$4,$BL14,COUNTIFS($BM$9:$BM$508,"&lt;"&amp;$BM14)+COUNTIFS($BM$9:$BM$508,$BM14,$CF$9:$CF$508,"&lt;"&amp;$CF14)+1))</f>
        <v/>
      </c>
      <c r="CH14" s="100" t="str">
        <f aca="false">IF(ISBLANK($C14),"",IF($BL14&lt;&gt;Constants!$B$4,$BL14,RANK($CD14,$CD$9:$CD$508,1)))</f>
        <v/>
      </c>
      <c r="CI14" s="100" t="str">
        <f aca="false">IF($BL14&lt;&gt;Constants!$B$4,"",$AN14+$AO14+$AP14)</f>
        <v/>
      </c>
      <c r="CJ14" s="100" t="str">
        <f aca="false">IF(ISBLANK($C14),"",IF($BL14&lt;&gt;Constants!$B$4,$BL14,RANK($CI14,$CI$9:$CI$508,1)))</f>
        <v/>
      </c>
      <c r="CK14" s="100" t="str">
        <f aca="false">IF(ISBLANK($C14),"",IF($BL14&lt;&gt;Constants!$B$4,$BL14,COUNTIFS($BM$9:$BM$508,"&lt;"&amp;$BM14)+COUNTIFS($BM$9:$BM$508,$BM14,$CF$9:$CF$508,"&lt;"&amp;$CF14)+COUNTIFS($BM$9:$BM$508,$BM14,$CF$9:$CF$508,$CF14,$CH$9:$CH$508,"&lt;"&amp;$CH14)+COUNTIFS($BM$9:$BM$508,$BM14,$CF$9:$CF$508,$CF14,$CH$9:$CH$508,$CH14,$CJ$9:$CJ$508,"&lt;"&amp;$CJ14)+1))</f>
        <v/>
      </c>
      <c r="CL14" s="100" t="str">
        <f aca="false">IF(ISBLANK($C14),"",IF($BL14&lt;&gt;Constants!$B$4,$BL14,$CG14-$CK14))</f>
        <v/>
      </c>
      <c r="CM14" s="100" t="str">
        <f aca="false">IF(ISBLANK($C14),"",IF(NOT($AL14),"",IF(ISBLANK($D$7),$CM$5,IF(NOT(ISNUMBER($D$7)),$CM$6,""))))</f>
        <v/>
      </c>
      <c r="CN14" s="100" t="str">
        <f aca="false">IF(ISBLANK($C14),"",OR($AN14="",$AO14="",$AP14=""))</f>
        <v/>
      </c>
      <c r="CO14" s="100" t="str">
        <f aca="false">IF(ISBLANK($C14),"",AND($AL14,$BA14=""))</f>
        <v/>
      </c>
      <c r="CP14" s="100" t="str">
        <f aca="false">IF(ISBLANK($C14),"",AND($AL14,$BB14=""))</f>
        <v/>
      </c>
      <c r="CQ14" s="100" t="str">
        <f aca="false">IF(ISBLANK($C14),"",AND($AL14,$BC14=""))</f>
        <v/>
      </c>
      <c r="CR14" s="100" t="str">
        <f aca="false">IF(ISBLANK($C14),"",AND($AL14,$BF14=""))</f>
        <v/>
      </c>
      <c r="CS14" s="100" t="str">
        <f aca="false">IF(ISBLANK($C14),"",AND($AL14,$BJ14=""))</f>
        <v/>
      </c>
      <c r="CT14" s="101"/>
      <c r="CU14" s="102"/>
      <c r="CV14" s="103" t="str">
        <f aca="false">IF(ISBLANK($C14),"",IF($BL14=Constants!$B$8,$CM14,""))</f>
        <v/>
      </c>
      <c r="CW14" s="102" t="str">
        <f aca="false">IF(ISBLANK($C14),"",IF($BL14&lt;&gt;Constants!$B$4,"",$BO14+$BP14))</f>
        <v/>
      </c>
      <c r="CX14" s="104" t="str">
        <f aca="false">IF(ISBLANK($C14),"",IF($BL14&lt;&gt;Constants!$B$4,"",$BQ14+$BR14+$BS14))</f>
        <v/>
      </c>
      <c r="CY14" s="104" t="str">
        <f aca="false">IF(ISBLANK($C14),"",IF($BL14&lt;&gt;Constants!$B$4,"",$BT14))</f>
        <v/>
      </c>
      <c r="CZ14" s="104" t="str">
        <f aca="false">IF(ISBLANK($C14),"",IF($BL14&lt;&gt;Constants!$B$4,"",$BU14+$BV14))</f>
        <v/>
      </c>
      <c r="DA14" s="104" t="str">
        <f aca="false">IF(ISBLANK($C14),"",IF($BL14&lt;&gt;Constants!$B$4,"",$BW14))</f>
        <v/>
      </c>
      <c r="DB14" s="104" t="str">
        <f aca="false">IF(ISBLANK($C14),"",IF($BL14&lt;&gt;Constants!$B$4,"",-$CD14))</f>
        <v/>
      </c>
      <c r="DC14" s="103" t="str">
        <f aca="false">IF(ISBLANK($C14),"",$CE14)</f>
        <v/>
      </c>
      <c r="DD14" s="105" t="str">
        <f aca="false">IF(ISBLANK($C14),"",$BM14)</f>
        <v/>
      </c>
      <c r="DE14" s="104" t="str">
        <f aca="false">IF(ISBLANK($C14),"",$CL14)</f>
        <v/>
      </c>
      <c r="DF14" s="104" t="str">
        <f aca="false">IF(ISBLANK($C14),"",$CK14)</f>
        <v/>
      </c>
      <c r="DG14" s="106" t="str">
        <f aca="false">IF(ISBLANK($C14),"",IF($DF14=Constants!$B$7,COUNTA($C$9:$C$508)+2,IF($DF14=Constants!$B$6,COUNTA($C$9:$C$508)+1,IF($DF14=Constants!$B$5,COUNTA($C$9:$C$508),$DF14))))</f>
        <v/>
      </c>
      <c r="DH14" s="7"/>
      <c r="DI14" s="107" t="n">
        <f aca="false">IF(OR(ISNUMBER($DF14),$DF14=Constants!$B$7,$DF14=Constants!$B$5,$DF14=Constants!$B$6),1,0)</f>
        <v>0</v>
      </c>
      <c r="DJ14" s="107" t="n">
        <v>6</v>
      </c>
      <c r="DK14" s="107" t="str">
        <f aca="false">IF(ISBLANK($C14),"",IF(ISNUMBER($DG14),$DG14+ROW($B14)/1000,""))</f>
        <v/>
      </c>
      <c r="DL14" s="107" t="str">
        <f aca="false">IF(ISNUMBER($DK14),RANK($DK14,$DK$9:$DK$508,1),"")</f>
        <v/>
      </c>
      <c r="DM14" s="107" t="str">
        <f aca="false">IF(ISBLANK($C14),"",$B14)</f>
        <v/>
      </c>
      <c r="DN14" s="107" t="str">
        <f aca="false">IF(ISBLANK($C14),"",$C14)</f>
        <v/>
      </c>
      <c r="DO14" s="107" t="str">
        <f aca="false">IF(ISBLANK($C14),"",$D14)</f>
        <v/>
      </c>
      <c r="DP14" s="108" t="str">
        <f aca="false">$DD14</f>
        <v/>
      </c>
      <c r="DQ14" s="109" t="str">
        <f aca="false">$DC14</f>
        <v/>
      </c>
      <c r="DR14" s="107" t="str">
        <f aca="false">IF(ISBLANK($C14),"",$DF14)</f>
        <v/>
      </c>
      <c r="DS14" s="110" t="str">
        <f aca="false">IF($DJ14&gt;$DI$8,"",VLOOKUP($DJ14,$DL$9:$DR$508,7,FALSE()))</f>
        <v/>
      </c>
      <c r="DT14" s="111" t="str">
        <f aca="false">IF($DJ14&gt;$DI$8,"",VLOOKUP($DJ14,$DL$9:$DR$508,2,FALSE()))</f>
        <v/>
      </c>
      <c r="DU14" s="111" t="str">
        <f aca="false">IF($DJ14&gt;$DI$8,"",VLOOKUP($DJ14,$DL$9:$DR$508,3,FALSE()))</f>
        <v/>
      </c>
      <c r="DV14" s="111" t="str">
        <f aca="false">IF($DJ14&gt;$DI$8,"",VLOOKUP($DJ14,$DL$9:$DR$508,4,FALSE()))</f>
        <v/>
      </c>
      <c r="DW14" s="111" t="str">
        <f aca="false">IF($DJ14&gt;$DI$8,"",VLOOKUP($DJ14,$DL$9:$DR$508,5,FALSE()))</f>
        <v/>
      </c>
      <c r="DX14" s="112" t="str">
        <f aca="false">IF($DJ14&gt;$DI$8,"",VLOOKUP($DJ14,$DL$9:$DR$508,6,FALSE()))</f>
        <v/>
      </c>
      <c r="DY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17"/>
      <c r="N15" s="117"/>
      <c r="O15" s="118"/>
      <c r="P15" s="118"/>
      <c r="Q15" s="117"/>
      <c r="R15" s="117"/>
      <c r="S15" s="117"/>
      <c r="T15" s="117"/>
      <c r="U15" s="118"/>
      <c r="V15" s="117"/>
      <c r="W15" s="120"/>
      <c r="X15" s="117"/>
      <c r="Y15" s="117"/>
      <c r="Z15" s="120"/>
      <c r="AA15" s="120"/>
      <c r="AB15" s="117"/>
      <c r="AC15" s="117"/>
      <c r="AD15" s="117"/>
      <c r="AE15" s="121"/>
      <c r="AF15" s="122"/>
      <c r="AG15" s="73"/>
      <c r="AH15" s="74"/>
      <c r="AI15" s="74"/>
      <c r="AJ15" s="74" t="str">
        <f aca="false">IF(ISBLANK($C15),"",IF($E15=Constants!$B$2,TRUE(),IF($E15=Constants!$B$3,FALSE(),TRUE())))</f>
        <v/>
      </c>
      <c r="AK15" s="74" t="str">
        <f aca="false">IF(ISBLANK($C15),"",IF($F15=Constants!$B$2,TRUE(),IF($F15=Constants!$B$3,FALSE(),FALSE())))</f>
        <v/>
      </c>
      <c r="AL15" s="74" t="str">
        <f aca="false">IF(ISBLANK($C15),"",IF($G15=Constants!$B$2,TRUE(),IF($G15=Constants!$B$3,FALSE(),TRUE())))</f>
        <v/>
      </c>
      <c r="AM15" s="74" t="str">
        <f aca="false">IF(ISBLANK($C15),"",IF($H15=Constants!$B$2,TRUE(),IF($H15=Constants!$B$3,FALSE(),TRUE())))</f>
        <v/>
      </c>
      <c r="AN15" s="74" t="str">
        <f aca="false">IF(ISBLANK($C15),"",IF(ISNUMBER($I15),IF($I15&gt;=0,$I15,""),""))</f>
        <v/>
      </c>
      <c r="AO15" s="74" t="str">
        <f aca="false">IF(ISBLANK($C15),"",IF(ISNUMBER($J15),IF($J15&gt;=0,$J15,""),""))</f>
        <v/>
      </c>
      <c r="AP15" s="74" t="str">
        <f aca="false">IF(ISBLANK($C15),"",IF(ISNUMBER($K15),IF($K15&gt;=0,$K15,""),""))</f>
        <v/>
      </c>
      <c r="AQ15" s="74" t="str">
        <f aca="false">IF(ISBLANK($C15),"",IF($L15=Constants!$B$2,TRUE(),IF($L15=Constants!$B$3,FALSE(),TRUE())))</f>
        <v/>
      </c>
      <c r="AR15" s="74" t="str">
        <f aca="false">IF(ISBLANK($C15),"",IF($M15=Constants!$B$2,TRUE(),IF($M15=Constants!$B$3,FALSE(),TRUE())))</f>
        <v/>
      </c>
      <c r="AS15" s="74" t="str">
        <f aca="false">IF(ISBLANK($C15),"",IF($N15=Constants!$B$2,TRUE(),IF($N15=Constants!$B$3,FALSE(),FALSE())))</f>
        <v/>
      </c>
      <c r="AT15" s="74" t="str">
        <f aca="false">IF(ISBLANK($C15),"",IF($O15=Constants!$B$2,TRUE(),IF($O15=Constants!$B$3,FALSE(),TRUE())))</f>
        <v/>
      </c>
      <c r="AU15" s="74" t="str">
        <f aca="false">IF(ISBLANK($C15),"",IF($P15=Constants!$B$2,TRUE(),IF($P15=Constants!$B$3,FALSE(),TRUE())))</f>
        <v/>
      </c>
      <c r="AV15" s="74" t="str">
        <f aca="false">IF(ISBLANK($C15),"",IF($Q15=Constants!$B$2,TRUE(),IF($Q15=Constants!$B$3,FALSE(),FALSE())))</f>
        <v/>
      </c>
      <c r="AW15" s="74" t="str">
        <f aca="false">IF(ISBLANK($C15),"",IF($R15=Constants!$B$2,TRUE(),IF($R15=Constants!$B$3,FALSE(),FALSE())))</f>
        <v/>
      </c>
      <c r="AX15" s="74" t="str">
        <f aca="false">IF(ISBLANK($C15),"",IF($S15=Constants!$B$2,TRUE(),IF($S15=Constants!$B$3,FALSE(),FALSE())))</f>
        <v/>
      </c>
      <c r="AY15" s="74" t="str">
        <f aca="false">IF(ISBLANK($C15),"",IF($T15=Constants!$B$2,TRUE(),IF($T15=Constants!$B$3,FALSE(),FALSE())))</f>
        <v/>
      </c>
      <c r="AZ15" s="74" t="str">
        <f aca="false">IF(ISBLANK($C15),"",IF($U15=Constants!$B$2,TRUE(),IF($U15=Constants!$B$3,FALSE(),FALSE())))</f>
        <v/>
      </c>
      <c r="BA15" s="74" t="str">
        <f aca="false">IF(ISBLANK($C15),"",IF(OR($V15&amp;""="1",$V15&amp;""="2",$V15&amp;""="3",$V15&amp;""="4"),VALUE($V15&amp;""),IF($V15=Constants!$B$12,Constants!$B$12,"")))</f>
        <v/>
      </c>
      <c r="BB15" s="74" t="str">
        <f aca="false">IF(ISBLANK($C15),"",IF(ISBLANK($W15),0,IF(ISNUMBER($W15),IF(AND($W15&gt;=0,$W15&lt;=Constants!$B$21,$W15=INT($W15)),$W15,""),"")))</f>
        <v/>
      </c>
      <c r="BC15" s="74" t="str">
        <f aca="false">IF(ISBLANK($C15),"",IF(ISBLANK($X15),0,IF(ISNUMBER($X15),IF($X15&gt;=0,$X15,""),"")))</f>
        <v/>
      </c>
      <c r="BD15" s="74" t="str">
        <f aca="false">IF(ISBLANK($C15),"",IF($Y15=Constants!$B$2,TRUE(),IF($Y15=Constants!$B$3,FALSE(),TRUE())))</f>
        <v/>
      </c>
      <c r="BE15" s="74" t="str">
        <f aca="false">IF(ISBLANK($C15),"",IF($Z15=Constants!$B$2,TRUE(),IF($Z15=Constants!$B$3,FALSE(),FALSE())))</f>
        <v/>
      </c>
      <c r="BF15" s="74" t="str">
        <f aca="false">IF(ISBLANK($C15),"",IF(ISBLANK($AA15),0,IF(ISNUMBER($AA15),IF(AND($AA15&gt;=0,$AA15&lt;=Constants!$B$35,$AA15=INT($AA15)),$AA15,""),"")))</f>
        <v/>
      </c>
      <c r="BG15" s="74" t="str">
        <f aca="false">IF(ISBLANK($C15),"",IF($AB15=Constants!$B$2,TRUE(),IF($AB15=Constants!$B$3,FALSE(),TRUE())))</f>
        <v/>
      </c>
      <c r="BH15" s="74" t="str">
        <f aca="false">IF(ISBLANK($C15),"",IF($AC15=Constants!$B$2,TRUE(),IF($AC15=Constants!$B$3,FALSE(),TRUE())))</f>
        <v/>
      </c>
      <c r="BI15" s="74" t="str">
        <f aca="false">IF(ISBLANK($C15),"",IF($AD15=Constants!$B$2,TRUE(),IF($AD15=Constants!$B$3,FALSE(),TRUE())))</f>
        <v/>
      </c>
      <c r="BJ15" s="74" t="str">
        <f aca="false">IF(ISBLANK($C15),"",IF(ISNUMBER($AE15),IF($AE15&gt;=0,$AE15,""),""))</f>
        <v/>
      </c>
      <c r="BK15" s="74" t="str">
        <f aca="false">IF(ISBLANK($C15),"",IF($AF15=Constants!$B$2,TRUE(),IF($AF15=Constants!$B$3,FALSE(),FALSE())))</f>
        <v/>
      </c>
      <c r="BL15" s="73" t="str">
        <f aca="false">IF(ISBLANK($C15),"",IF($BK15,Constants!$B$7,IF(COUNTA($E15:$AE15)=0,Constants!$B$6,IF(OR(COUNTA($G15:$AE15)=0,NOT($AM15),$AS15),Constants!$B$5,IF(OR($CM15&lt;&gt;"",$CN15,$CO15,$CP15,$CQ15,$CR15,$CS15),Constants!$B$8,Constants!$B$4)))))</f>
        <v/>
      </c>
      <c r="BM15" s="74" t="str">
        <f aca="false">IF(ISBLANK($C15),"",IF($BL15&lt;&gt;Constants!$B$4,$BL15,IF(OR(NOT($AJ15),NOT($AL15),NOT($AT15)),Constants!$B$11,IF(OR(NOT($AR15),NOT($AU15),NOT($BI15),MAX($AN15,$AO15,$AP15)&gt;Constants!$B$30),Constants!$B$10,Constants!$B$9))))</f>
        <v/>
      </c>
      <c r="BN15" s="74" t="str">
        <f aca="false">IF($BL15&lt;&gt;Constants!$B$4,"",IF(NOT($AL15),0,MIN(Constants!$B$35,$BF15)))</f>
        <v/>
      </c>
      <c r="BO15" s="74" t="str">
        <f aca="false">IF($BL15&lt;&gt;Constants!$B$4,"",IF(NOT($AL15),0,IF($AW15,Constants!$B$18,IF($AV15,Constants!$B$17,0))))</f>
        <v/>
      </c>
      <c r="BP15" s="74" t="str">
        <f aca="false">IF($BL15&lt;&gt;Constants!$B$4,"",IF(NOT($AL15),0,Constants!$B$19*($AK15+$AX15+$AY15+$AZ15)))</f>
        <v/>
      </c>
      <c r="BQ15" s="74" t="str">
        <f aca="false">IF($BL15&lt;&gt;Constants!$B$4,"",IF(OR(NOT($AL15),NOT(ISNUMBER($BA15))),0,CHOOSE($BA15,Constants!$B$13,Constants!$B$14,Constants!$B$15,Constants!$B$16)))</f>
        <v/>
      </c>
      <c r="BR15" s="74" t="str">
        <f aca="false">IF($BL15&lt;&gt;Constants!$B$4,"",IF(NOT($AL15),0,Constants!$B$20*$BB15))</f>
        <v/>
      </c>
      <c r="BS15" s="74" t="str">
        <f aca="false">IF($BL15&lt;&gt;Constants!$B$4,"",IF(AND($AL15,$BD15,$BE15),Constants!$B$22,0))</f>
        <v/>
      </c>
      <c r="BT15" s="74" t="str">
        <f aca="false">IF($BL15&lt;&gt;Constants!$B$4,"",IF(OR(NOT($AL15),NOT($BD15)),0,IF($BJ15&gt;=2*$AH$9,0,Constants!$B$23*INT(ROUND(MIN($BJ15,$AH$9),6)))))</f>
        <v/>
      </c>
      <c r="BU15" s="74" t="str">
        <f aca="false">IF($BL15&lt;&gt;Constants!$B$4,"",IF(NOT($AL15),0,Constants!$B$24*INT(ROUND(MIN($BC15,$AH$9),6))))</f>
        <v/>
      </c>
      <c r="BV15" s="74" t="str">
        <f aca="false">IF($BL15&lt;&gt;Constants!$B$4,"",IF(AND($AL15,$BN15=0),Constants!$B$25,0))</f>
        <v/>
      </c>
      <c r="BW15" s="74" t="str">
        <f aca="false">IF($BL15&lt;&gt;Constants!$B$4,"",MIN(Constants!$B$29,MAX(0,Constants!$B$27*Constants!$B$28*INT(ROUND((Constants!$B$26-$AN15)/Constants!$B$28,6))))+MIN(Constants!$B$29,MAX(0,Constants!$B$27*Constants!$B$28*INT(ROUND((Constants!$B$26-$AO15)/Constants!$B$28,6))))+MIN(Constants!$B$29,MAX(0,Constants!$B$27*Constants!$B$28*INT(ROUND((Constants!$B$26-$AP15)/Constants!$B$28,6)))))</f>
        <v/>
      </c>
      <c r="BX15" s="74" t="str">
        <f aca="false">IF($BL15&lt;&gt;Constants!$B$4,"",IF(NOT($AL15),0,Constants!$B$31*INT(ROUND(MAX(0,MIN($BJ15,2*$AH$9)-$AH$9),6))))</f>
        <v/>
      </c>
      <c r="BY15" s="74" t="str">
        <f aca="false">IF($BL15&lt;&gt;Constants!$B$4,"",Constants!$B$32*(($AN15&gt;Constants!$B$26)+($AO15&gt;Constants!$B$26)+($AP15&gt;Constants!$B$26)))</f>
        <v/>
      </c>
      <c r="BZ15" s="74" t="str">
        <f aca="false">IF($BL15&lt;&gt;Constants!$B$4,"",IF(OR(NOT($AL15),$AQ15),0,Constants!$B$33))</f>
        <v/>
      </c>
      <c r="CA15" s="74" t="str">
        <f aca="false">IF($BL15&lt;&gt;Constants!$B$4,"",Constants!$B$34*$BN15)</f>
        <v/>
      </c>
      <c r="CB15" s="74" t="str">
        <f aca="false">IF($BL15&lt;&gt;Constants!$B$4,"",IF(OR(NOT($AL15),$BH15),0,Constants!$B$36))</f>
        <v/>
      </c>
      <c r="CC15" s="74" t="str">
        <f aca="false">IF($BL15&lt;&gt;Constants!$B$4,"",IF(OR(NOT($AL15),$BG15),0,Constants!$B$37))</f>
        <v/>
      </c>
      <c r="CD15" s="74" t="str">
        <f aca="false">IF($BL15&lt;&gt;Constants!$B$4,"",SUM($BX15:$CC15))</f>
        <v/>
      </c>
      <c r="CE15" s="74" t="str">
        <f aca="false">IF(ISBLANK($C15),"",IF($BL15&lt;&gt;Constants!$B$4,$BL15,SUM($BO15:$BW15)-$CD15))</f>
        <v/>
      </c>
      <c r="CF15" s="74" t="str">
        <f aca="false">IF(ISBLANK($C15),"",IF($BL15&lt;&gt;Constants!$B$4,$BL15,RANK($CE15,$CE$9:$CE$508)))</f>
        <v/>
      </c>
      <c r="CG15" s="74" t="str">
        <f aca="false">IF(ISBLANK($C15),"",IF($BL15&lt;&gt;Constants!$B$4,$BL15,COUNTIFS($BM$9:$BM$508,"&lt;"&amp;$BM15)+COUNTIFS($BM$9:$BM$508,$BM15,$CF$9:$CF$508,"&lt;"&amp;$CF15)+1))</f>
        <v/>
      </c>
      <c r="CH15" s="74" t="str">
        <f aca="false">IF(ISBLANK($C15),"",IF($BL15&lt;&gt;Constants!$B$4,$BL15,RANK($CD15,$CD$9:$CD$508,1)))</f>
        <v/>
      </c>
      <c r="CI15" s="74" t="str">
        <f aca="false">IF($BL15&lt;&gt;Constants!$B$4,"",$AN15+$AO15+$AP15)</f>
        <v/>
      </c>
      <c r="CJ15" s="74" t="str">
        <f aca="false">IF(ISBLANK($C15),"",IF($BL15&lt;&gt;Constants!$B$4,$BL15,RANK($CI15,$CI$9:$CI$508,1)))</f>
        <v/>
      </c>
      <c r="CK15" s="74" t="str">
        <f aca="false">IF(ISBLANK($C15),"",IF($BL15&lt;&gt;Constants!$B$4,$BL15,COUNTIFS($BM$9:$BM$508,"&lt;"&amp;$BM15)+COUNTIFS($BM$9:$BM$508,$BM15,$CF$9:$CF$508,"&lt;"&amp;$CF15)+COUNTIFS($BM$9:$BM$508,$BM15,$CF$9:$CF$508,$CF15,$CH$9:$CH$508,"&lt;"&amp;$CH15)+COUNTIFS($BM$9:$BM$508,$BM15,$CF$9:$CF$508,$CF15,$CH$9:$CH$508,$CH15,$CJ$9:$CJ$508,"&lt;"&amp;$CJ15)+1))</f>
        <v/>
      </c>
      <c r="CL15" s="74" t="str">
        <f aca="false">IF(ISBLANK($C15),"",IF($BL15&lt;&gt;Constants!$B$4,$BL15,$CG15-$CK15))</f>
        <v/>
      </c>
      <c r="CM15" s="74" t="str">
        <f aca="false">IF(ISBLANK($C15),"",IF(NOT($AL15),"",IF(ISBLANK($D$7),$CM$5,IF(NOT(ISNUMBER($D$7)),$CM$6,""))))</f>
        <v/>
      </c>
      <c r="CN15" s="74" t="str">
        <f aca="false">IF(ISBLANK($C15),"",OR($AN15="",$AO15="",$AP15=""))</f>
        <v/>
      </c>
      <c r="CO15" s="74" t="str">
        <f aca="false">IF(ISBLANK($C15),"",AND($AL15,$BA15=""))</f>
        <v/>
      </c>
      <c r="CP15" s="74" t="str">
        <f aca="false">IF(ISBLANK($C15),"",AND($AL15,$BB15=""))</f>
        <v/>
      </c>
      <c r="CQ15" s="74" t="str">
        <f aca="false">IF(ISBLANK($C15),"",AND($AL15,$BC15=""))</f>
        <v/>
      </c>
      <c r="CR15" s="74" t="str">
        <f aca="false">IF(ISBLANK($C15),"",AND($AL15,$BF15=""))</f>
        <v/>
      </c>
      <c r="CS15" s="74" t="str">
        <f aca="false">IF(ISBLANK($C15),"",AND($AL15,$BJ15=""))</f>
        <v/>
      </c>
      <c r="CT15" s="75"/>
      <c r="CU15" s="76"/>
      <c r="CV15" s="79" t="str">
        <f aca="false">IF(ISBLANK($C15),"",IF($BL15=Constants!$B$8,$CM15,""))</f>
        <v/>
      </c>
      <c r="CW15" s="76" t="str">
        <f aca="false">IF(ISBLANK($C15),"",IF($BL15&lt;&gt;Constants!$B$4,"",$BO15+$BP15))</f>
        <v/>
      </c>
      <c r="CX15" s="78" t="str">
        <f aca="false">IF(ISBLANK($C15),"",IF($BL15&lt;&gt;Constants!$B$4,"",$BQ15+$BR15+$BS15))</f>
        <v/>
      </c>
      <c r="CY15" s="78" t="str">
        <f aca="false">IF(ISBLANK($C15),"",IF($BL15&lt;&gt;Constants!$B$4,"",$BT15))</f>
        <v/>
      </c>
      <c r="CZ15" s="78" t="str">
        <f aca="false">IF(ISBLANK($C15),"",IF($BL15&lt;&gt;Constants!$B$4,"",$BU15+$BV15))</f>
        <v/>
      </c>
      <c r="DA15" s="78" t="str">
        <f aca="false">IF(ISBLANK($C15),"",IF($BL15&lt;&gt;Constants!$B$4,"",$BW15))</f>
        <v/>
      </c>
      <c r="DB15" s="78" t="str">
        <f aca="false">IF(ISBLANK($C15),"",IF($BL15&lt;&gt;Constants!$B$4,"",-$CD15))</f>
        <v/>
      </c>
      <c r="DC15" s="79" t="str">
        <f aca="false">IF(ISBLANK($C15),"",$CE15)</f>
        <v/>
      </c>
      <c r="DD15" s="80" t="str">
        <f aca="false">IF(ISBLANK($C15),"",$BM15)</f>
        <v/>
      </c>
      <c r="DE15" s="78" t="str">
        <f aca="false">IF(ISBLANK($C15),"",$CL15)</f>
        <v/>
      </c>
      <c r="DF15" s="78" t="str">
        <f aca="false">IF(ISBLANK($C15),"",$CK15)</f>
        <v/>
      </c>
      <c r="DG15" s="81" t="str">
        <f aca="false">IF(ISBLANK($C15),"",IF($DF15=Constants!$B$7,COUNTA($C$9:$C$508)+2,IF($DF15=Constants!$B$6,COUNTA($C$9:$C$508)+1,IF($DF15=Constants!$B$5,COUNTA($C$9:$C$508),$DF15))))</f>
        <v/>
      </c>
      <c r="DH15" s="7"/>
      <c r="DI15" s="82" t="n">
        <f aca="false">IF(OR(ISNUMBER($DF15),$DF15=Constants!$B$7,$DF15=Constants!$B$5,$DF15=Constants!$B$6),1,0)</f>
        <v>0</v>
      </c>
      <c r="DJ15" s="82" t="n">
        <v>7</v>
      </c>
      <c r="DK15" s="82" t="str">
        <f aca="false">IF(ISBLANK($C15),"",IF(ISNUMBER($DG15),$DG15+ROW($B15)/1000,""))</f>
        <v/>
      </c>
      <c r="DL15" s="82" t="str">
        <f aca="false">IF(ISNUMBER($DK15),RANK($DK15,$DK$9:$DK$508,1),"")</f>
        <v/>
      </c>
      <c r="DM15" s="82" t="str">
        <f aca="false">IF(ISBLANK($C15),"",$B15)</f>
        <v/>
      </c>
      <c r="DN15" s="82" t="str">
        <f aca="false">IF(ISBLANK($C15),"",$C15)</f>
        <v/>
      </c>
      <c r="DO15" s="82" t="str">
        <f aca="false">IF(ISBLANK($C15),"",$D15)</f>
        <v/>
      </c>
      <c r="DP15" s="83" t="str">
        <f aca="false">$DD15</f>
        <v/>
      </c>
      <c r="DQ15" s="84" t="str">
        <f aca="false">$DC15</f>
        <v/>
      </c>
      <c r="DR15" s="82" t="str">
        <f aca="false">IF(ISBLANK($C15),"",$DF15)</f>
        <v/>
      </c>
      <c r="DS15" s="85" t="str">
        <f aca="false">IF($DJ15&gt;$DI$8,"",VLOOKUP($DJ15,$DL$9:$DR$508,7,FALSE()))</f>
        <v/>
      </c>
      <c r="DT15" s="86" t="str">
        <f aca="false">IF($DJ15&gt;$DI$8,"",VLOOKUP($DJ15,$DL$9:$DR$508,2,FALSE()))</f>
        <v/>
      </c>
      <c r="DU15" s="86" t="str">
        <f aca="false">IF($DJ15&gt;$DI$8,"",VLOOKUP($DJ15,$DL$9:$DR$508,3,FALSE()))</f>
        <v/>
      </c>
      <c r="DV15" s="86" t="str">
        <f aca="false">IF($DJ15&gt;$DI$8,"",VLOOKUP($DJ15,$DL$9:$DR$508,4,FALSE()))</f>
        <v/>
      </c>
      <c r="DW15" s="86" t="str">
        <f aca="false">IF($DJ15&gt;$DI$8,"",VLOOKUP($DJ15,$DL$9:$DR$508,5,FALSE()))</f>
        <v/>
      </c>
      <c r="DX15" s="87" t="str">
        <f aca="false">IF($DJ15&gt;$DI$8,"",VLOOKUP($DJ15,$DL$9:$DR$508,6,FALSE()))</f>
        <v/>
      </c>
      <c r="DY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124"/>
      <c r="N16" s="124"/>
      <c r="O16" s="125"/>
      <c r="P16" s="125"/>
      <c r="Q16" s="124"/>
      <c r="R16" s="124"/>
      <c r="S16" s="124"/>
      <c r="T16" s="124"/>
      <c r="U16" s="125"/>
      <c r="V16" s="124"/>
      <c r="W16" s="70"/>
      <c r="X16" s="124"/>
      <c r="Y16" s="124"/>
      <c r="Z16" s="70"/>
      <c r="AA16" s="70"/>
      <c r="AB16" s="124"/>
      <c r="AC16" s="124"/>
      <c r="AD16" s="124"/>
      <c r="AE16" s="71"/>
      <c r="AF16" s="72"/>
      <c r="AG16" s="73"/>
      <c r="AH16" s="74"/>
      <c r="AI16" s="74"/>
      <c r="AJ16" s="74" t="str">
        <f aca="false">IF(ISBLANK($C16),"",IF($E16=Constants!$B$2,TRUE(),IF($E16=Constants!$B$3,FALSE(),TRUE())))</f>
        <v/>
      </c>
      <c r="AK16" s="74" t="str">
        <f aca="false">IF(ISBLANK($C16),"",IF($F16=Constants!$B$2,TRUE(),IF($F16=Constants!$B$3,FALSE(),FALSE())))</f>
        <v/>
      </c>
      <c r="AL16" s="74" t="str">
        <f aca="false">IF(ISBLANK($C16),"",IF($G16=Constants!$B$2,TRUE(),IF($G16=Constants!$B$3,FALSE(),TRUE())))</f>
        <v/>
      </c>
      <c r="AM16" s="74" t="str">
        <f aca="false">IF(ISBLANK($C16),"",IF($H16=Constants!$B$2,TRUE(),IF($H16=Constants!$B$3,FALSE(),TRUE())))</f>
        <v/>
      </c>
      <c r="AN16" s="74" t="str">
        <f aca="false">IF(ISBLANK($C16),"",IF(ISNUMBER($I16),IF($I16&gt;=0,$I16,""),""))</f>
        <v/>
      </c>
      <c r="AO16" s="74" t="str">
        <f aca="false">IF(ISBLANK($C16),"",IF(ISNUMBER($J16),IF($J16&gt;=0,$J16,""),""))</f>
        <v/>
      </c>
      <c r="AP16" s="74" t="str">
        <f aca="false">IF(ISBLANK($C16),"",IF(ISNUMBER($K16),IF($K16&gt;=0,$K16,""),""))</f>
        <v/>
      </c>
      <c r="AQ16" s="74" t="str">
        <f aca="false">IF(ISBLANK($C16),"",IF($L16=Constants!$B$2,TRUE(),IF($L16=Constants!$B$3,FALSE(),TRUE())))</f>
        <v/>
      </c>
      <c r="AR16" s="74" t="str">
        <f aca="false">IF(ISBLANK($C16),"",IF($M16=Constants!$B$2,TRUE(),IF($M16=Constants!$B$3,FALSE(),TRUE())))</f>
        <v/>
      </c>
      <c r="AS16" s="74" t="str">
        <f aca="false">IF(ISBLANK($C16),"",IF($N16=Constants!$B$2,TRUE(),IF($N16=Constants!$B$3,FALSE(),FALSE())))</f>
        <v/>
      </c>
      <c r="AT16" s="74" t="str">
        <f aca="false">IF(ISBLANK($C16),"",IF($O16=Constants!$B$2,TRUE(),IF($O16=Constants!$B$3,FALSE(),TRUE())))</f>
        <v/>
      </c>
      <c r="AU16" s="74" t="str">
        <f aca="false">IF(ISBLANK($C16),"",IF($P16=Constants!$B$2,TRUE(),IF($P16=Constants!$B$3,FALSE(),TRUE())))</f>
        <v/>
      </c>
      <c r="AV16" s="74" t="str">
        <f aca="false">IF(ISBLANK($C16),"",IF($Q16=Constants!$B$2,TRUE(),IF($Q16=Constants!$B$3,FALSE(),FALSE())))</f>
        <v/>
      </c>
      <c r="AW16" s="74" t="str">
        <f aca="false">IF(ISBLANK($C16),"",IF($R16=Constants!$B$2,TRUE(),IF($R16=Constants!$B$3,FALSE(),FALSE())))</f>
        <v/>
      </c>
      <c r="AX16" s="74" t="str">
        <f aca="false">IF(ISBLANK($C16),"",IF($S16=Constants!$B$2,TRUE(),IF($S16=Constants!$B$3,FALSE(),FALSE())))</f>
        <v/>
      </c>
      <c r="AY16" s="74" t="str">
        <f aca="false">IF(ISBLANK($C16),"",IF($T16=Constants!$B$2,TRUE(),IF($T16=Constants!$B$3,FALSE(),FALSE())))</f>
        <v/>
      </c>
      <c r="AZ16" s="74" t="str">
        <f aca="false">IF(ISBLANK($C16),"",IF($U16=Constants!$B$2,TRUE(),IF($U16=Constants!$B$3,FALSE(),FALSE())))</f>
        <v/>
      </c>
      <c r="BA16" s="74" t="str">
        <f aca="false">IF(ISBLANK($C16),"",IF(OR($V16&amp;""="1",$V16&amp;""="2",$V16&amp;""="3",$V16&amp;""="4"),VALUE($V16&amp;""),IF($V16=Constants!$B$12,Constants!$B$12,"")))</f>
        <v/>
      </c>
      <c r="BB16" s="74" t="str">
        <f aca="false">IF(ISBLANK($C16),"",IF(ISBLANK($W16),0,IF(ISNUMBER($W16),IF(AND($W16&gt;=0,$W16&lt;=Constants!$B$21,$W16=INT($W16)),$W16,""),"")))</f>
        <v/>
      </c>
      <c r="BC16" s="74" t="str">
        <f aca="false">IF(ISBLANK($C16),"",IF(ISBLANK($X16),0,IF(ISNUMBER($X16),IF($X16&gt;=0,$X16,""),"")))</f>
        <v/>
      </c>
      <c r="BD16" s="74" t="str">
        <f aca="false">IF(ISBLANK($C16),"",IF($Y16=Constants!$B$2,TRUE(),IF($Y16=Constants!$B$3,FALSE(),TRUE())))</f>
        <v/>
      </c>
      <c r="BE16" s="74" t="str">
        <f aca="false">IF(ISBLANK($C16),"",IF($Z16=Constants!$B$2,TRUE(),IF($Z16=Constants!$B$3,FALSE(),FALSE())))</f>
        <v/>
      </c>
      <c r="BF16" s="74" t="str">
        <f aca="false">IF(ISBLANK($C16),"",IF(ISBLANK($AA16),0,IF(ISNUMBER($AA16),IF(AND($AA16&gt;=0,$AA16&lt;=Constants!$B$35,$AA16=INT($AA16)),$AA16,""),"")))</f>
        <v/>
      </c>
      <c r="BG16" s="74" t="str">
        <f aca="false">IF(ISBLANK($C16),"",IF($AB16=Constants!$B$2,TRUE(),IF($AB16=Constants!$B$3,FALSE(),TRUE())))</f>
        <v/>
      </c>
      <c r="BH16" s="74" t="str">
        <f aca="false">IF(ISBLANK($C16),"",IF($AC16=Constants!$B$2,TRUE(),IF($AC16=Constants!$B$3,FALSE(),TRUE())))</f>
        <v/>
      </c>
      <c r="BI16" s="74" t="str">
        <f aca="false">IF(ISBLANK($C16),"",IF($AD16=Constants!$B$2,TRUE(),IF($AD16=Constants!$B$3,FALSE(),TRUE())))</f>
        <v/>
      </c>
      <c r="BJ16" s="74" t="str">
        <f aca="false">IF(ISBLANK($C16),"",IF(ISNUMBER($AE16),IF($AE16&gt;=0,$AE16,""),""))</f>
        <v/>
      </c>
      <c r="BK16" s="74" t="str">
        <f aca="false">IF(ISBLANK($C16),"",IF($AF16=Constants!$B$2,TRUE(),IF($AF16=Constants!$B$3,FALSE(),FALSE())))</f>
        <v/>
      </c>
      <c r="BL16" s="73" t="str">
        <f aca="false">IF(ISBLANK($C16),"",IF($BK16,Constants!$B$7,IF(COUNTA($E16:$AE16)=0,Constants!$B$6,IF(OR(COUNTA($G16:$AE16)=0,NOT($AM16),$AS16),Constants!$B$5,IF(OR($CM16&lt;&gt;"",$CN16,$CO16,$CP16,$CQ16,$CR16,$CS16),Constants!$B$8,Constants!$B$4)))))</f>
        <v/>
      </c>
      <c r="BM16" s="74" t="str">
        <f aca="false">IF(ISBLANK($C16),"",IF($BL16&lt;&gt;Constants!$B$4,$BL16,IF(OR(NOT($AJ16),NOT($AL16),NOT($AT16)),Constants!$B$11,IF(OR(NOT($AR16),NOT($AU16),NOT($BI16),MAX($AN16,$AO16,$AP16)&gt;Constants!$B$30),Constants!$B$10,Constants!$B$9))))</f>
        <v/>
      </c>
      <c r="BN16" s="74" t="str">
        <f aca="false">IF($BL16&lt;&gt;Constants!$B$4,"",IF(NOT($AL16),0,MIN(Constants!$B$35,$BF16)))</f>
        <v/>
      </c>
      <c r="BO16" s="74" t="str">
        <f aca="false">IF($BL16&lt;&gt;Constants!$B$4,"",IF(NOT($AL16),0,IF($AW16,Constants!$B$18,IF($AV16,Constants!$B$17,0))))</f>
        <v/>
      </c>
      <c r="BP16" s="74" t="str">
        <f aca="false">IF($BL16&lt;&gt;Constants!$B$4,"",IF(NOT($AL16),0,Constants!$B$19*($AK16+$AX16+$AY16+$AZ16)))</f>
        <v/>
      </c>
      <c r="BQ16" s="74" t="str">
        <f aca="false">IF($BL16&lt;&gt;Constants!$B$4,"",IF(OR(NOT($AL16),NOT(ISNUMBER($BA16))),0,CHOOSE($BA16,Constants!$B$13,Constants!$B$14,Constants!$B$15,Constants!$B$16)))</f>
        <v/>
      </c>
      <c r="BR16" s="74" t="str">
        <f aca="false">IF($BL16&lt;&gt;Constants!$B$4,"",IF(NOT($AL16),0,Constants!$B$20*$BB16))</f>
        <v/>
      </c>
      <c r="BS16" s="74" t="str">
        <f aca="false">IF($BL16&lt;&gt;Constants!$B$4,"",IF(AND($AL16,$BD16,$BE16),Constants!$B$22,0))</f>
        <v/>
      </c>
      <c r="BT16" s="74" t="str">
        <f aca="false">IF($BL16&lt;&gt;Constants!$B$4,"",IF(OR(NOT($AL16),NOT($BD16)),0,IF($BJ16&gt;=2*$AH$9,0,Constants!$B$23*INT(ROUND(MIN($BJ16,$AH$9),6)))))</f>
        <v/>
      </c>
      <c r="BU16" s="74" t="str">
        <f aca="false">IF($BL16&lt;&gt;Constants!$B$4,"",IF(NOT($AL16),0,Constants!$B$24*INT(ROUND(MIN($BC16,$AH$9),6))))</f>
        <v/>
      </c>
      <c r="BV16" s="74" t="str">
        <f aca="false">IF($BL16&lt;&gt;Constants!$B$4,"",IF(AND($AL16,$BN16=0),Constants!$B$25,0))</f>
        <v/>
      </c>
      <c r="BW16" s="74" t="str">
        <f aca="false">IF($BL16&lt;&gt;Constants!$B$4,"",MIN(Constants!$B$29,MAX(0,Constants!$B$27*Constants!$B$28*INT(ROUND((Constants!$B$26-$AN16)/Constants!$B$28,6))))+MIN(Constants!$B$29,MAX(0,Constants!$B$27*Constants!$B$28*INT(ROUND((Constants!$B$26-$AO16)/Constants!$B$28,6))))+MIN(Constants!$B$29,MAX(0,Constants!$B$27*Constants!$B$28*INT(ROUND((Constants!$B$26-$AP16)/Constants!$B$28,6)))))</f>
        <v/>
      </c>
      <c r="BX16" s="74" t="str">
        <f aca="false">IF($BL16&lt;&gt;Constants!$B$4,"",IF(NOT($AL16),0,Constants!$B$31*INT(ROUND(MAX(0,MIN($BJ16,2*$AH$9)-$AH$9),6))))</f>
        <v/>
      </c>
      <c r="BY16" s="74" t="str">
        <f aca="false">IF($BL16&lt;&gt;Constants!$B$4,"",Constants!$B$32*(($AN16&gt;Constants!$B$26)+($AO16&gt;Constants!$B$26)+($AP16&gt;Constants!$B$26)))</f>
        <v/>
      </c>
      <c r="BZ16" s="74" t="str">
        <f aca="false">IF($BL16&lt;&gt;Constants!$B$4,"",IF(OR(NOT($AL16),$AQ16),0,Constants!$B$33))</f>
        <v/>
      </c>
      <c r="CA16" s="74" t="str">
        <f aca="false">IF($BL16&lt;&gt;Constants!$B$4,"",Constants!$B$34*$BN16)</f>
        <v/>
      </c>
      <c r="CB16" s="74" t="str">
        <f aca="false">IF($BL16&lt;&gt;Constants!$B$4,"",IF(OR(NOT($AL16),$BH16),0,Constants!$B$36))</f>
        <v/>
      </c>
      <c r="CC16" s="74" t="str">
        <f aca="false">IF($BL16&lt;&gt;Constants!$B$4,"",IF(OR(NOT($AL16),$BG16),0,Constants!$B$37))</f>
        <v/>
      </c>
      <c r="CD16" s="74" t="str">
        <f aca="false">IF($BL16&lt;&gt;Constants!$B$4,"",SUM($BX16:$CC16))</f>
        <v/>
      </c>
      <c r="CE16" s="74" t="str">
        <f aca="false">IF(ISBLANK($C16),"",IF($BL16&lt;&gt;Constants!$B$4,$BL16,SUM($BO16:$BW16)-$CD16))</f>
        <v/>
      </c>
      <c r="CF16" s="74" t="str">
        <f aca="false">IF(ISBLANK($C16),"",IF($BL16&lt;&gt;Constants!$B$4,$BL16,RANK($CE16,$CE$9:$CE$508)))</f>
        <v/>
      </c>
      <c r="CG16" s="74" t="str">
        <f aca="false">IF(ISBLANK($C16),"",IF($BL16&lt;&gt;Constants!$B$4,$BL16,COUNTIFS($BM$9:$BM$508,"&lt;"&amp;$BM16)+COUNTIFS($BM$9:$BM$508,$BM16,$CF$9:$CF$508,"&lt;"&amp;$CF16)+1))</f>
        <v/>
      </c>
      <c r="CH16" s="74" t="str">
        <f aca="false">IF(ISBLANK($C16),"",IF($BL16&lt;&gt;Constants!$B$4,$BL16,RANK($CD16,$CD$9:$CD$508,1)))</f>
        <v/>
      </c>
      <c r="CI16" s="74" t="str">
        <f aca="false">IF($BL16&lt;&gt;Constants!$B$4,"",$AN16+$AO16+$AP16)</f>
        <v/>
      </c>
      <c r="CJ16" s="74" t="str">
        <f aca="false">IF(ISBLANK($C16),"",IF($BL16&lt;&gt;Constants!$B$4,$BL16,RANK($CI16,$CI$9:$CI$508,1)))</f>
        <v/>
      </c>
      <c r="CK16" s="74" t="str">
        <f aca="false">IF(ISBLANK($C16),"",IF($BL16&lt;&gt;Constants!$B$4,$BL16,COUNTIFS($BM$9:$BM$508,"&lt;"&amp;$BM16)+COUNTIFS($BM$9:$BM$508,$BM16,$CF$9:$CF$508,"&lt;"&amp;$CF16)+COUNTIFS($BM$9:$BM$508,$BM16,$CF$9:$CF$508,$CF16,$CH$9:$CH$508,"&lt;"&amp;$CH16)+COUNTIFS($BM$9:$BM$508,$BM16,$CF$9:$CF$508,$CF16,$CH$9:$CH$508,$CH16,$CJ$9:$CJ$508,"&lt;"&amp;$CJ16)+1))</f>
        <v/>
      </c>
      <c r="CL16" s="74" t="str">
        <f aca="false">IF(ISBLANK($C16),"",IF($BL16&lt;&gt;Constants!$B$4,$BL16,$CG16-$CK16))</f>
        <v/>
      </c>
      <c r="CM16" s="74" t="str">
        <f aca="false">IF(ISBLANK($C16),"",IF(NOT($AL16),"",IF(ISBLANK($D$7),$CM$5,IF(NOT(ISNUMBER($D$7)),$CM$6,""))))</f>
        <v/>
      </c>
      <c r="CN16" s="74" t="str">
        <f aca="false">IF(ISBLANK($C16),"",OR($AN16="",$AO16="",$AP16=""))</f>
        <v/>
      </c>
      <c r="CO16" s="74" t="str">
        <f aca="false">IF(ISBLANK($C16),"",AND($AL16,$BA16=""))</f>
        <v/>
      </c>
      <c r="CP16" s="74" t="str">
        <f aca="false">IF(ISBLANK($C16),"",AND($AL16,$BB16=""))</f>
        <v/>
      </c>
      <c r="CQ16" s="74" t="str">
        <f aca="false">IF(ISBLANK($C16),"",AND($AL16,$BC16=""))</f>
        <v/>
      </c>
      <c r="CR16" s="74" t="str">
        <f aca="false">IF(ISBLANK($C16),"",AND($AL16,$BF16=""))</f>
        <v/>
      </c>
      <c r="CS16" s="74" t="str">
        <f aca="false">IF(ISBLANK($C16),"",AND($AL16,$BJ16=""))</f>
        <v/>
      </c>
      <c r="CT16" s="75"/>
      <c r="CU16" s="76"/>
      <c r="CV16" s="79" t="str">
        <f aca="false">IF(ISBLANK($C16),"",IF($BL16=Constants!$B$8,$CM16,""))</f>
        <v/>
      </c>
      <c r="CW16" s="76" t="str">
        <f aca="false">IF(ISBLANK($C16),"",IF($BL16&lt;&gt;Constants!$B$4,"",$BO16+$BP16))</f>
        <v/>
      </c>
      <c r="CX16" s="78" t="str">
        <f aca="false">IF(ISBLANK($C16),"",IF($BL16&lt;&gt;Constants!$B$4,"",$BQ16+$BR16+$BS16))</f>
        <v/>
      </c>
      <c r="CY16" s="78" t="str">
        <f aca="false">IF(ISBLANK($C16),"",IF($BL16&lt;&gt;Constants!$B$4,"",$BT16))</f>
        <v/>
      </c>
      <c r="CZ16" s="78" t="str">
        <f aca="false">IF(ISBLANK($C16),"",IF($BL16&lt;&gt;Constants!$B$4,"",$BU16+$BV16))</f>
        <v/>
      </c>
      <c r="DA16" s="78" t="str">
        <f aca="false">IF(ISBLANK($C16),"",IF($BL16&lt;&gt;Constants!$B$4,"",$BW16))</f>
        <v/>
      </c>
      <c r="DB16" s="78" t="str">
        <f aca="false">IF(ISBLANK($C16),"",IF($BL16&lt;&gt;Constants!$B$4,"",-$CD16))</f>
        <v/>
      </c>
      <c r="DC16" s="79" t="str">
        <f aca="false">IF(ISBLANK($C16),"",$CE16)</f>
        <v/>
      </c>
      <c r="DD16" s="80" t="str">
        <f aca="false">IF(ISBLANK($C16),"",$BM16)</f>
        <v/>
      </c>
      <c r="DE16" s="78" t="str">
        <f aca="false">IF(ISBLANK($C16),"",$CL16)</f>
        <v/>
      </c>
      <c r="DF16" s="78" t="str">
        <f aca="false">IF(ISBLANK($C16),"",$CK16)</f>
        <v/>
      </c>
      <c r="DG16" s="81" t="str">
        <f aca="false">IF(ISBLANK($C16),"",IF($DF16=Constants!$B$7,COUNTA($C$9:$C$508)+2,IF($DF16=Constants!$B$6,COUNTA($C$9:$C$508)+1,IF($DF16=Constants!$B$5,COUNTA($C$9:$C$508),$DF16))))</f>
        <v/>
      </c>
      <c r="DH16" s="7"/>
      <c r="DI16" s="82" t="n">
        <f aca="false">IF(OR(ISNUMBER($DF16),$DF16=Constants!$B$7,$DF16=Constants!$B$5,$DF16=Constants!$B$6),1,0)</f>
        <v>0</v>
      </c>
      <c r="DJ16" s="82" t="n">
        <v>8</v>
      </c>
      <c r="DK16" s="82" t="str">
        <f aca="false">IF(ISBLANK($C16),"",IF(ISNUMBER($DG16),$DG16+ROW($B16)/1000,""))</f>
        <v/>
      </c>
      <c r="DL16" s="82" t="str">
        <f aca="false">IF(ISNUMBER($DK16),RANK($DK16,$DK$9:$DK$508,1),"")</f>
        <v/>
      </c>
      <c r="DM16" s="82" t="str">
        <f aca="false">IF(ISBLANK($C16),"",$B16)</f>
        <v/>
      </c>
      <c r="DN16" s="82" t="str">
        <f aca="false">IF(ISBLANK($C16),"",$C16)</f>
        <v/>
      </c>
      <c r="DO16" s="82" t="str">
        <f aca="false">IF(ISBLANK($C16),"",$D16)</f>
        <v/>
      </c>
      <c r="DP16" s="83" t="str">
        <f aca="false">$DD16</f>
        <v/>
      </c>
      <c r="DQ16" s="84" t="str">
        <f aca="false">$DC16</f>
        <v/>
      </c>
      <c r="DR16" s="82" t="str">
        <f aca="false">IF(ISBLANK($C16),"",$DF16)</f>
        <v/>
      </c>
      <c r="DS16" s="85" t="str">
        <f aca="false">IF($DJ16&gt;$DI$8,"",VLOOKUP($DJ16,$DL$9:$DR$508,7,FALSE()))</f>
        <v/>
      </c>
      <c r="DT16" s="86" t="str">
        <f aca="false">IF($DJ16&gt;$DI$8,"",VLOOKUP($DJ16,$DL$9:$DR$508,2,FALSE()))</f>
        <v/>
      </c>
      <c r="DU16" s="86" t="str">
        <f aca="false">IF($DJ16&gt;$DI$8,"",VLOOKUP($DJ16,$DL$9:$DR$508,3,FALSE()))</f>
        <v/>
      </c>
      <c r="DV16" s="86" t="str">
        <f aca="false">IF($DJ16&gt;$DI$8,"",VLOOKUP($DJ16,$DL$9:$DR$508,4,FALSE()))</f>
        <v/>
      </c>
      <c r="DW16" s="86" t="str">
        <f aca="false">IF($DJ16&gt;$DI$8,"",VLOOKUP($DJ16,$DL$9:$DR$508,5,FALSE()))</f>
        <v/>
      </c>
      <c r="DX16" s="87" t="str">
        <f aca="false">IF($DJ16&gt;$DI$8,"",VLOOKUP($DJ16,$DL$9:$DR$508,6,FALSE()))</f>
        <v/>
      </c>
      <c r="DY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8"/>
      <c r="Q17" s="67"/>
      <c r="R17" s="67"/>
      <c r="S17" s="67"/>
      <c r="T17" s="67"/>
      <c r="U17" s="68"/>
      <c r="V17" s="67"/>
      <c r="W17" s="70"/>
      <c r="X17" s="67"/>
      <c r="Y17" s="67"/>
      <c r="Z17" s="70"/>
      <c r="AA17" s="70"/>
      <c r="AB17" s="67"/>
      <c r="AC17" s="67"/>
      <c r="AD17" s="67"/>
      <c r="AE17" s="71"/>
      <c r="AF17" s="72"/>
      <c r="AG17" s="73"/>
      <c r="AH17" s="74"/>
      <c r="AI17" s="74"/>
      <c r="AJ17" s="74" t="str">
        <f aca="false">IF(ISBLANK($C17),"",IF($E17=Constants!$B$2,TRUE(),IF($E17=Constants!$B$3,FALSE(),TRUE())))</f>
        <v/>
      </c>
      <c r="AK17" s="74" t="str">
        <f aca="false">IF(ISBLANK($C17),"",IF($F17=Constants!$B$2,TRUE(),IF($F17=Constants!$B$3,FALSE(),FALSE())))</f>
        <v/>
      </c>
      <c r="AL17" s="74" t="str">
        <f aca="false">IF(ISBLANK($C17),"",IF($G17=Constants!$B$2,TRUE(),IF($G17=Constants!$B$3,FALSE(),TRUE())))</f>
        <v/>
      </c>
      <c r="AM17" s="74" t="str">
        <f aca="false">IF(ISBLANK($C17),"",IF($H17=Constants!$B$2,TRUE(),IF($H17=Constants!$B$3,FALSE(),TRUE())))</f>
        <v/>
      </c>
      <c r="AN17" s="74" t="str">
        <f aca="false">IF(ISBLANK($C17),"",IF(ISNUMBER($I17),IF($I17&gt;=0,$I17,""),""))</f>
        <v/>
      </c>
      <c r="AO17" s="74" t="str">
        <f aca="false">IF(ISBLANK($C17),"",IF(ISNUMBER($J17),IF($J17&gt;=0,$J17,""),""))</f>
        <v/>
      </c>
      <c r="AP17" s="74" t="str">
        <f aca="false">IF(ISBLANK($C17),"",IF(ISNUMBER($K17),IF($K17&gt;=0,$K17,""),""))</f>
        <v/>
      </c>
      <c r="AQ17" s="74" t="str">
        <f aca="false">IF(ISBLANK($C17),"",IF($L17=Constants!$B$2,TRUE(),IF($L17=Constants!$B$3,FALSE(),TRUE())))</f>
        <v/>
      </c>
      <c r="AR17" s="74" t="str">
        <f aca="false">IF(ISBLANK($C17),"",IF($M17=Constants!$B$2,TRUE(),IF($M17=Constants!$B$3,FALSE(),TRUE())))</f>
        <v/>
      </c>
      <c r="AS17" s="74" t="str">
        <f aca="false">IF(ISBLANK($C17),"",IF($N17=Constants!$B$2,TRUE(),IF($N17=Constants!$B$3,FALSE(),FALSE())))</f>
        <v/>
      </c>
      <c r="AT17" s="74" t="str">
        <f aca="false">IF(ISBLANK($C17),"",IF($O17=Constants!$B$2,TRUE(),IF($O17=Constants!$B$3,FALSE(),TRUE())))</f>
        <v/>
      </c>
      <c r="AU17" s="74" t="str">
        <f aca="false">IF(ISBLANK($C17),"",IF($P17=Constants!$B$2,TRUE(),IF($P17=Constants!$B$3,FALSE(),TRUE())))</f>
        <v/>
      </c>
      <c r="AV17" s="74" t="str">
        <f aca="false">IF(ISBLANK($C17),"",IF($Q17=Constants!$B$2,TRUE(),IF($Q17=Constants!$B$3,FALSE(),FALSE())))</f>
        <v/>
      </c>
      <c r="AW17" s="74" t="str">
        <f aca="false">IF(ISBLANK($C17),"",IF($R17=Constants!$B$2,TRUE(),IF($R17=Constants!$B$3,FALSE(),FALSE())))</f>
        <v/>
      </c>
      <c r="AX17" s="74" t="str">
        <f aca="false">IF(ISBLANK($C17),"",IF($S17=Constants!$B$2,TRUE(),IF($S17=Constants!$B$3,FALSE(),FALSE())))</f>
        <v/>
      </c>
      <c r="AY17" s="74" t="str">
        <f aca="false">IF(ISBLANK($C17),"",IF($T17=Constants!$B$2,TRUE(),IF($T17=Constants!$B$3,FALSE(),FALSE())))</f>
        <v/>
      </c>
      <c r="AZ17" s="74" t="str">
        <f aca="false">IF(ISBLANK($C17),"",IF($U17=Constants!$B$2,TRUE(),IF($U17=Constants!$B$3,FALSE(),FALSE())))</f>
        <v/>
      </c>
      <c r="BA17" s="74" t="str">
        <f aca="false">IF(ISBLANK($C17),"",IF(OR($V17&amp;""="1",$V17&amp;""="2",$V17&amp;""="3",$V17&amp;""="4"),VALUE($V17&amp;""),IF($V17=Constants!$B$12,Constants!$B$12,"")))</f>
        <v/>
      </c>
      <c r="BB17" s="74" t="str">
        <f aca="false">IF(ISBLANK($C17),"",IF(ISBLANK($W17),0,IF(ISNUMBER($W17),IF(AND($W17&gt;=0,$W17&lt;=Constants!$B$21,$W17=INT($W17)),$W17,""),"")))</f>
        <v/>
      </c>
      <c r="BC17" s="74" t="str">
        <f aca="false">IF(ISBLANK($C17),"",IF(ISBLANK($X17),0,IF(ISNUMBER($X17),IF($X17&gt;=0,$X17,""),"")))</f>
        <v/>
      </c>
      <c r="BD17" s="74" t="str">
        <f aca="false">IF(ISBLANK($C17),"",IF($Y17=Constants!$B$2,TRUE(),IF($Y17=Constants!$B$3,FALSE(),TRUE())))</f>
        <v/>
      </c>
      <c r="BE17" s="74" t="str">
        <f aca="false">IF(ISBLANK($C17),"",IF($Z17=Constants!$B$2,TRUE(),IF($Z17=Constants!$B$3,FALSE(),FALSE())))</f>
        <v/>
      </c>
      <c r="BF17" s="74" t="str">
        <f aca="false">IF(ISBLANK($C17),"",IF(ISBLANK($AA17),0,IF(ISNUMBER($AA17),IF(AND($AA17&gt;=0,$AA17&lt;=Constants!$B$35,$AA17=INT($AA17)),$AA17,""),"")))</f>
        <v/>
      </c>
      <c r="BG17" s="74" t="str">
        <f aca="false">IF(ISBLANK($C17),"",IF($AB17=Constants!$B$2,TRUE(),IF($AB17=Constants!$B$3,FALSE(),TRUE())))</f>
        <v/>
      </c>
      <c r="BH17" s="74" t="str">
        <f aca="false">IF(ISBLANK($C17),"",IF($AC17=Constants!$B$2,TRUE(),IF($AC17=Constants!$B$3,FALSE(),TRUE())))</f>
        <v/>
      </c>
      <c r="BI17" s="74" t="str">
        <f aca="false">IF(ISBLANK($C17),"",IF($AD17=Constants!$B$2,TRUE(),IF($AD17=Constants!$B$3,FALSE(),TRUE())))</f>
        <v/>
      </c>
      <c r="BJ17" s="74" t="str">
        <f aca="false">IF(ISBLANK($C17),"",IF(ISNUMBER($AE17),IF($AE17&gt;=0,$AE17,""),""))</f>
        <v/>
      </c>
      <c r="BK17" s="74" t="str">
        <f aca="false">IF(ISBLANK($C17),"",IF($AF17=Constants!$B$2,TRUE(),IF($AF17=Constants!$B$3,FALSE(),FALSE())))</f>
        <v/>
      </c>
      <c r="BL17" s="73" t="str">
        <f aca="false">IF(ISBLANK($C17),"",IF($BK17,Constants!$B$7,IF(COUNTA($E17:$AE17)=0,Constants!$B$6,IF(OR(COUNTA($G17:$AE17)=0,NOT($AM17),$AS17),Constants!$B$5,IF(OR($CM17&lt;&gt;"",$CN17,$CO17,$CP17,$CQ17,$CR17,$CS17),Constants!$B$8,Constants!$B$4)))))</f>
        <v/>
      </c>
      <c r="BM17" s="74" t="str">
        <f aca="false">IF(ISBLANK($C17),"",IF($BL17&lt;&gt;Constants!$B$4,$BL17,IF(OR(NOT($AJ17),NOT($AL17),NOT($AT17)),Constants!$B$11,IF(OR(NOT($AR17),NOT($AU17),NOT($BI17),MAX($AN17,$AO17,$AP17)&gt;Constants!$B$30),Constants!$B$10,Constants!$B$9))))</f>
        <v/>
      </c>
      <c r="BN17" s="74" t="str">
        <f aca="false">IF($BL17&lt;&gt;Constants!$B$4,"",IF(NOT($AL17),0,MIN(Constants!$B$35,$BF17)))</f>
        <v/>
      </c>
      <c r="BO17" s="74" t="str">
        <f aca="false">IF($BL17&lt;&gt;Constants!$B$4,"",IF(NOT($AL17),0,IF($AW17,Constants!$B$18,IF($AV17,Constants!$B$17,0))))</f>
        <v/>
      </c>
      <c r="BP17" s="74" t="str">
        <f aca="false">IF($BL17&lt;&gt;Constants!$B$4,"",IF(NOT($AL17),0,Constants!$B$19*($AK17+$AX17+$AY17+$AZ17)))</f>
        <v/>
      </c>
      <c r="BQ17" s="74" t="str">
        <f aca="false">IF($BL17&lt;&gt;Constants!$B$4,"",IF(OR(NOT($AL17),NOT(ISNUMBER($BA17))),0,CHOOSE($BA17,Constants!$B$13,Constants!$B$14,Constants!$B$15,Constants!$B$16)))</f>
        <v/>
      </c>
      <c r="BR17" s="74" t="str">
        <f aca="false">IF($BL17&lt;&gt;Constants!$B$4,"",IF(NOT($AL17),0,Constants!$B$20*$BB17))</f>
        <v/>
      </c>
      <c r="BS17" s="74" t="str">
        <f aca="false">IF($BL17&lt;&gt;Constants!$B$4,"",IF(AND($AL17,$BD17,$BE17),Constants!$B$22,0))</f>
        <v/>
      </c>
      <c r="BT17" s="74" t="str">
        <f aca="false">IF($BL17&lt;&gt;Constants!$B$4,"",IF(OR(NOT($AL17),NOT($BD17)),0,IF($BJ17&gt;=2*$AH$9,0,Constants!$B$23*INT(ROUND(MIN($BJ17,$AH$9),6)))))</f>
        <v/>
      </c>
      <c r="BU17" s="74" t="str">
        <f aca="false">IF($BL17&lt;&gt;Constants!$B$4,"",IF(NOT($AL17),0,Constants!$B$24*INT(ROUND(MIN($BC17,$AH$9),6))))</f>
        <v/>
      </c>
      <c r="BV17" s="74" t="str">
        <f aca="false">IF($BL17&lt;&gt;Constants!$B$4,"",IF(AND($AL17,$BN17=0),Constants!$B$25,0))</f>
        <v/>
      </c>
      <c r="BW17" s="74" t="str">
        <f aca="false">IF($BL17&lt;&gt;Constants!$B$4,"",MIN(Constants!$B$29,MAX(0,Constants!$B$27*Constants!$B$28*INT(ROUND((Constants!$B$26-$AN17)/Constants!$B$28,6))))+MIN(Constants!$B$29,MAX(0,Constants!$B$27*Constants!$B$28*INT(ROUND((Constants!$B$26-$AO17)/Constants!$B$28,6))))+MIN(Constants!$B$29,MAX(0,Constants!$B$27*Constants!$B$28*INT(ROUND((Constants!$B$26-$AP17)/Constants!$B$28,6)))))</f>
        <v/>
      </c>
      <c r="BX17" s="74" t="str">
        <f aca="false">IF($BL17&lt;&gt;Constants!$B$4,"",IF(NOT($AL17),0,Constants!$B$31*INT(ROUND(MAX(0,MIN($BJ17,2*$AH$9)-$AH$9),6))))</f>
        <v/>
      </c>
      <c r="BY17" s="74" t="str">
        <f aca="false">IF($BL17&lt;&gt;Constants!$B$4,"",Constants!$B$32*(($AN17&gt;Constants!$B$26)+($AO17&gt;Constants!$B$26)+($AP17&gt;Constants!$B$26)))</f>
        <v/>
      </c>
      <c r="BZ17" s="74" t="str">
        <f aca="false">IF($BL17&lt;&gt;Constants!$B$4,"",IF(OR(NOT($AL17),$AQ17),0,Constants!$B$33))</f>
        <v/>
      </c>
      <c r="CA17" s="74" t="str">
        <f aca="false">IF($BL17&lt;&gt;Constants!$B$4,"",Constants!$B$34*$BN17)</f>
        <v/>
      </c>
      <c r="CB17" s="74" t="str">
        <f aca="false">IF($BL17&lt;&gt;Constants!$B$4,"",IF(OR(NOT($AL17),$BH17),0,Constants!$B$36))</f>
        <v/>
      </c>
      <c r="CC17" s="74" t="str">
        <f aca="false">IF($BL17&lt;&gt;Constants!$B$4,"",IF(OR(NOT($AL17),$BG17),0,Constants!$B$37))</f>
        <v/>
      </c>
      <c r="CD17" s="74" t="str">
        <f aca="false">IF($BL17&lt;&gt;Constants!$B$4,"",SUM($BX17:$CC17))</f>
        <v/>
      </c>
      <c r="CE17" s="74" t="str">
        <f aca="false">IF(ISBLANK($C17),"",IF($BL17&lt;&gt;Constants!$B$4,$BL17,SUM($BO17:$BW17)-$CD17))</f>
        <v/>
      </c>
      <c r="CF17" s="74" t="str">
        <f aca="false">IF(ISBLANK($C17),"",IF($BL17&lt;&gt;Constants!$B$4,$BL17,RANK($CE17,$CE$9:$CE$508)))</f>
        <v/>
      </c>
      <c r="CG17" s="74" t="str">
        <f aca="false">IF(ISBLANK($C17),"",IF($BL17&lt;&gt;Constants!$B$4,$BL17,COUNTIFS($BM$9:$BM$508,"&lt;"&amp;$BM17)+COUNTIFS($BM$9:$BM$508,$BM17,$CF$9:$CF$508,"&lt;"&amp;$CF17)+1))</f>
        <v/>
      </c>
      <c r="CH17" s="74" t="str">
        <f aca="false">IF(ISBLANK($C17),"",IF($BL17&lt;&gt;Constants!$B$4,$BL17,RANK($CD17,$CD$9:$CD$508,1)))</f>
        <v/>
      </c>
      <c r="CI17" s="74" t="str">
        <f aca="false">IF($BL17&lt;&gt;Constants!$B$4,"",$AN17+$AO17+$AP17)</f>
        <v/>
      </c>
      <c r="CJ17" s="74" t="str">
        <f aca="false">IF(ISBLANK($C17),"",IF($BL17&lt;&gt;Constants!$B$4,$BL17,RANK($CI17,$CI$9:$CI$508,1)))</f>
        <v/>
      </c>
      <c r="CK17" s="74" t="str">
        <f aca="false">IF(ISBLANK($C17),"",IF($BL17&lt;&gt;Constants!$B$4,$BL17,COUNTIFS($BM$9:$BM$508,"&lt;"&amp;$BM17)+COUNTIFS($BM$9:$BM$508,$BM17,$CF$9:$CF$508,"&lt;"&amp;$CF17)+COUNTIFS($BM$9:$BM$508,$BM17,$CF$9:$CF$508,$CF17,$CH$9:$CH$508,"&lt;"&amp;$CH17)+COUNTIFS($BM$9:$BM$508,$BM17,$CF$9:$CF$508,$CF17,$CH$9:$CH$508,$CH17,$CJ$9:$CJ$508,"&lt;"&amp;$CJ17)+1))</f>
        <v/>
      </c>
      <c r="CL17" s="74" t="str">
        <f aca="false">IF(ISBLANK($C17),"",IF($BL17&lt;&gt;Constants!$B$4,$BL17,$CG17-$CK17))</f>
        <v/>
      </c>
      <c r="CM17" s="74" t="str">
        <f aca="false">IF(ISBLANK($C17),"",IF(NOT($AL17),"",IF(ISBLANK($D$7),$CM$5,IF(NOT(ISNUMBER($D$7)),$CM$6,""))))</f>
        <v/>
      </c>
      <c r="CN17" s="74" t="str">
        <f aca="false">IF(ISBLANK($C17),"",OR($AN17="",$AO17="",$AP17=""))</f>
        <v/>
      </c>
      <c r="CO17" s="74" t="str">
        <f aca="false">IF(ISBLANK($C17),"",AND($AL17,$BA17=""))</f>
        <v/>
      </c>
      <c r="CP17" s="74" t="str">
        <f aca="false">IF(ISBLANK($C17),"",AND($AL17,$BB17=""))</f>
        <v/>
      </c>
      <c r="CQ17" s="74" t="str">
        <f aca="false">IF(ISBLANK($C17),"",AND($AL17,$BC17=""))</f>
        <v/>
      </c>
      <c r="CR17" s="74" t="str">
        <f aca="false">IF(ISBLANK($C17),"",AND($AL17,$BF17=""))</f>
        <v/>
      </c>
      <c r="CS17" s="74" t="str">
        <f aca="false">IF(ISBLANK($C17),"",AND($AL17,$BJ17=""))</f>
        <v/>
      </c>
      <c r="CT17" s="75"/>
      <c r="CU17" s="76"/>
      <c r="CV17" s="79" t="str">
        <f aca="false">IF(ISBLANK($C17),"",IF($BL17=Constants!$B$8,$CM17,""))</f>
        <v/>
      </c>
      <c r="CW17" s="76" t="str">
        <f aca="false">IF(ISBLANK($C17),"",IF($BL17&lt;&gt;Constants!$B$4,"",$BO17+$BP17))</f>
        <v/>
      </c>
      <c r="CX17" s="78" t="str">
        <f aca="false">IF(ISBLANK($C17),"",IF($BL17&lt;&gt;Constants!$B$4,"",$BQ17+$BR17+$BS17))</f>
        <v/>
      </c>
      <c r="CY17" s="78" t="str">
        <f aca="false">IF(ISBLANK($C17),"",IF($BL17&lt;&gt;Constants!$B$4,"",$BT17))</f>
        <v/>
      </c>
      <c r="CZ17" s="78" t="str">
        <f aca="false">IF(ISBLANK($C17),"",IF($BL17&lt;&gt;Constants!$B$4,"",$BU17+$BV17))</f>
        <v/>
      </c>
      <c r="DA17" s="78" t="str">
        <f aca="false">IF(ISBLANK($C17),"",IF($BL17&lt;&gt;Constants!$B$4,"",$BW17))</f>
        <v/>
      </c>
      <c r="DB17" s="78" t="str">
        <f aca="false">IF(ISBLANK($C17),"",IF($BL17&lt;&gt;Constants!$B$4,"",-$CD17))</f>
        <v/>
      </c>
      <c r="DC17" s="79" t="str">
        <f aca="false">IF(ISBLANK($C17),"",$CE17)</f>
        <v/>
      </c>
      <c r="DD17" s="80" t="str">
        <f aca="false">IF(ISBLANK($C17),"",$BM17)</f>
        <v/>
      </c>
      <c r="DE17" s="78" t="str">
        <f aca="false">IF(ISBLANK($C17),"",$CL17)</f>
        <v/>
      </c>
      <c r="DF17" s="78" t="str">
        <f aca="false">IF(ISBLANK($C17),"",$CK17)</f>
        <v/>
      </c>
      <c r="DG17" s="81" t="str">
        <f aca="false">IF(ISBLANK($C17),"",IF($DF17=Constants!$B$7,COUNTA($C$9:$C$508)+2,IF($DF17=Constants!$B$6,COUNTA($C$9:$C$508)+1,IF($DF17=Constants!$B$5,COUNTA($C$9:$C$508),$DF17))))</f>
        <v/>
      </c>
      <c r="DH17" s="7"/>
      <c r="DI17" s="82" t="n">
        <f aca="false">IF(OR(ISNUMBER($DF17),$DF17=Constants!$B$7,$DF17=Constants!$B$5,$DF17=Constants!$B$6),1,0)</f>
        <v>0</v>
      </c>
      <c r="DJ17" s="82" t="n">
        <v>9</v>
      </c>
      <c r="DK17" s="82" t="str">
        <f aca="false">IF(ISBLANK($C17),"",IF(ISNUMBER($DG17),$DG17+ROW($B17)/1000,""))</f>
        <v/>
      </c>
      <c r="DL17" s="82" t="str">
        <f aca="false">IF(ISNUMBER($DK17),RANK($DK17,$DK$9:$DK$508,1),"")</f>
        <v/>
      </c>
      <c r="DM17" s="82" t="str">
        <f aca="false">IF(ISBLANK($C17),"",$B17)</f>
        <v/>
      </c>
      <c r="DN17" s="82" t="str">
        <f aca="false">IF(ISBLANK($C17),"",$C17)</f>
        <v/>
      </c>
      <c r="DO17" s="82" t="str">
        <f aca="false">IF(ISBLANK($C17),"",$D17)</f>
        <v/>
      </c>
      <c r="DP17" s="83" t="str">
        <f aca="false">$DD17</f>
        <v/>
      </c>
      <c r="DQ17" s="84" t="str">
        <f aca="false">$DC17</f>
        <v/>
      </c>
      <c r="DR17" s="82" t="str">
        <f aca="false">IF(ISBLANK($C17),"",$DF17)</f>
        <v/>
      </c>
      <c r="DS17" s="85" t="str">
        <f aca="false">IF($DJ17&gt;$DI$8,"",VLOOKUP($DJ17,$DL$9:$DR$508,7,FALSE()))</f>
        <v/>
      </c>
      <c r="DT17" s="86" t="str">
        <f aca="false">IF($DJ17&gt;$DI$8,"",VLOOKUP($DJ17,$DL$9:$DR$508,2,FALSE()))</f>
        <v/>
      </c>
      <c r="DU17" s="86" t="str">
        <f aca="false">IF($DJ17&gt;$DI$8,"",VLOOKUP($DJ17,$DL$9:$DR$508,3,FALSE()))</f>
        <v/>
      </c>
      <c r="DV17" s="86" t="str">
        <f aca="false">IF($DJ17&gt;$DI$8,"",VLOOKUP($DJ17,$DL$9:$DR$508,4,FALSE()))</f>
        <v/>
      </c>
      <c r="DW17" s="86" t="str">
        <f aca="false">IF($DJ17&gt;$DI$8,"",VLOOKUP($DJ17,$DL$9:$DR$508,5,FALSE()))</f>
        <v/>
      </c>
      <c r="DX17" s="87" t="str">
        <f aca="false">IF($DJ17&gt;$DI$8,"",VLOOKUP($DJ17,$DL$9:$DR$508,6,FALSE()))</f>
        <v/>
      </c>
      <c r="DY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127"/>
      <c r="N18" s="127"/>
      <c r="O18" s="128"/>
      <c r="P18" s="128"/>
      <c r="Q18" s="127"/>
      <c r="R18" s="127"/>
      <c r="S18" s="127"/>
      <c r="T18" s="127"/>
      <c r="U18" s="128"/>
      <c r="V18" s="129"/>
      <c r="W18" s="96"/>
      <c r="X18" s="127"/>
      <c r="Y18" s="127"/>
      <c r="Z18" s="96"/>
      <c r="AA18" s="96"/>
      <c r="AB18" s="127"/>
      <c r="AC18" s="127"/>
      <c r="AD18" s="127"/>
      <c r="AE18" s="97"/>
      <c r="AF18" s="130"/>
      <c r="AG18" s="99"/>
      <c r="AH18" s="100"/>
      <c r="AI18" s="100"/>
      <c r="AJ18" s="100" t="str">
        <f aca="false">IF(ISBLANK($C18),"",IF($E18=Constants!$B$2,TRUE(),IF($E18=Constants!$B$3,FALSE(),TRUE())))</f>
        <v/>
      </c>
      <c r="AK18" s="100" t="str">
        <f aca="false">IF(ISBLANK($C18),"",IF($F18=Constants!$B$2,TRUE(),IF($F18=Constants!$B$3,FALSE(),FALSE())))</f>
        <v/>
      </c>
      <c r="AL18" s="100" t="str">
        <f aca="false">IF(ISBLANK($C18),"",IF($G18=Constants!$B$2,TRUE(),IF($G18=Constants!$B$3,FALSE(),TRUE())))</f>
        <v/>
      </c>
      <c r="AM18" s="100" t="str">
        <f aca="false">IF(ISBLANK($C18),"",IF($H18=Constants!$B$2,TRUE(),IF($H18=Constants!$B$3,FALSE(),TRUE())))</f>
        <v/>
      </c>
      <c r="AN18" s="100" t="str">
        <f aca="false">IF(ISBLANK($C18),"",IF(ISNUMBER($I18),IF($I18&gt;=0,$I18,""),""))</f>
        <v/>
      </c>
      <c r="AO18" s="100" t="str">
        <f aca="false">IF(ISBLANK($C18),"",IF(ISNUMBER($J18),IF($J18&gt;=0,$J18,""),""))</f>
        <v/>
      </c>
      <c r="AP18" s="100" t="str">
        <f aca="false">IF(ISBLANK($C18),"",IF(ISNUMBER($K18),IF($K18&gt;=0,$K18,""),""))</f>
        <v/>
      </c>
      <c r="AQ18" s="100" t="str">
        <f aca="false">IF(ISBLANK($C18),"",IF($L18=Constants!$B$2,TRUE(),IF($L18=Constants!$B$3,FALSE(),TRUE())))</f>
        <v/>
      </c>
      <c r="AR18" s="100" t="str">
        <f aca="false">IF(ISBLANK($C18),"",IF($M18=Constants!$B$2,TRUE(),IF($M18=Constants!$B$3,FALSE(),TRUE())))</f>
        <v/>
      </c>
      <c r="AS18" s="100" t="str">
        <f aca="false">IF(ISBLANK($C18),"",IF($N18=Constants!$B$2,TRUE(),IF($N18=Constants!$B$3,FALSE(),FALSE())))</f>
        <v/>
      </c>
      <c r="AT18" s="100" t="str">
        <f aca="false">IF(ISBLANK($C18),"",IF($O18=Constants!$B$2,TRUE(),IF($O18=Constants!$B$3,FALSE(),TRUE())))</f>
        <v/>
      </c>
      <c r="AU18" s="100" t="str">
        <f aca="false">IF(ISBLANK($C18),"",IF($P18=Constants!$B$2,TRUE(),IF($P18=Constants!$B$3,FALSE(),TRUE())))</f>
        <v/>
      </c>
      <c r="AV18" s="100" t="str">
        <f aca="false">IF(ISBLANK($C18),"",IF($Q18=Constants!$B$2,TRUE(),IF($Q18=Constants!$B$3,FALSE(),FALSE())))</f>
        <v/>
      </c>
      <c r="AW18" s="100" t="str">
        <f aca="false">IF(ISBLANK($C18),"",IF($R18=Constants!$B$2,TRUE(),IF($R18=Constants!$B$3,FALSE(),FALSE())))</f>
        <v/>
      </c>
      <c r="AX18" s="100" t="str">
        <f aca="false">IF(ISBLANK($C18),"",IF($S18=Constants!$B$2,TRUE(),IF($S18=Constants!$B$3,FALSE(),FALSE())))</f>
        <v/>
      </c>
      <c r="AY18" s="100" t="str">
        <f aca="false">IF(ISBLANK($C18),"",IF($T18=Constants!$B$2,TRUE(),IF($T18=Constants!$B$3,FALSE(),FALSE())))</f>
        <v/>
      </c>
      <c r="AZ18" s="100" t="str">
        <f aca="false">IF(ISBLANK($C18),"",IF($U18=Constants!$B$2,TRUE(),IF($U18=Constants!$B$3,FALSE(),FALSE())))</f>
        <v/>
      </c>
      <c r="BA18" s="100" t="str">
        <f aca="false">IF(ISBLANK($C18),"",IF(OR($V18&amp;""="1",$V18&amp;""="2",$V18&amp;""="3",$V18&amp;""="4"),VALUE($V18&amp;""),IF($V18=Constants!$B$12,Constants!$B$12,"")))</f>
        <v/>
      </c>
      <c r="BB18" s="100" t="str">
        <f aca="false">IF(ISBLANK($C18),"",IF(ISBLANK($W18),0,IF(ISNUMBER($W18),IF(AND($W18&gt;=0,$W18&lt;=Constants!$B$21,$W18=INT($W18)),$W18,""),"")))</f>
        <v/>
      </c>
      <c r="BC18" s="100" t="str">
        <f aca="false">IF(ISBLANK($C18),"",IF(ISBLANK($X18),0,IF(ISNUMBER($X18),IF($X18&gt;=0,$X18,""),"")))</f>
        <v/>
      </c>
      <c r="BD18" s="100" t="str">
        <f aca="false">IF(ISBLANK($C18),"",IF($Y18=Constants!$B$2,TRUE(),IF($Y18=Constants!$B$3,FALSE(),TRUE())))</f>
        <v/>
      </c>
      <c r="BE18" s="100" t="str">
        <f aca="false">IF(ISBLANK($C18),"",IF($Z18=Constants!$B$2,TRUE(),IF($Z18=Constants!$B$3,FALSE(),FALSE())))</f>
        <v/>
      </c>
      <c r="BF18" s="100" t="str">
        <f aca="false">IF(ISBLANK($C18),"",IF(ISBLANK($AA18),0,IF(ISNUMBER($AA18),IF(AND($AA18&gt;=0,$AA18&lt;=Constants!$B$35,$AA18=INT($AA18)),$AA18,""),"")))</f>
        <v/>
      </c>
      <c r="BG18" s="100" t="str">
        <f aca="false">IF(ISBLANK($C18),"",IF($AB18=Constants!$B$2,TRUE(),IF($AB18=Constants!$B$3,FALSE(),TRUE())))</f>
        <v/>
      </c>
      <c r="BH18" s="100" t="str">
        <f aca="false">IF(ISBLANK($C18),"",IF($AC18=Constants!$B$2,TRUE(),IF($AC18=Constants!$B$3,FALSE(),TRUE())))</f>
        <v/>
      </c>
      <c r="BI18" s="100" t="str">
        <f aca="false">IF(ISBLANK($C18),"",IF($AD18=Constants!$B$2,TRUE(),IF($AD18=Constants!$B$3,FALSE(),TRUE())))</f>
        <v/>
      </c>
      <c r="BJ18" s="100" t="str">
        <f aca="false">IF(ISBLANK($C18),"",IF(ISNUMBER($AE18),IF($AE18&gt;=0,$AE18,""),""))</f>
        <v/>
      </c>
      <c r="BK18" s="100" t="str">
        <f aca="false">IF(ISBLANK($C18),"",IF($AF18=Constants!$B$2,TRUE(),IF($AF18=Constants!$B$3,FALSE(),FALSE())))</f>
        <v/>
      </c>
      <c r="BL18" s="99" t="str">
        <f aca="false">IF(ISBLANK($C18),"",IF($BK18,Constants!$B$7,IF(COUNTA($E18:$AE18)=0,Constants!$B$6,IF(OR(COUNTA($G18:$AE18)=0,NOT($AM18),$AS18),Constants!$B$5,IF(OR($CM18&lt;&gt;"",$CN18,$CO18,$CP18,$CQ18,$CR18,$CS18),Constants!$B$8,Constants!$B$4)))))</f>
        <v/>
      </c>
      <c r="BM18" s="100" t="str">
        <f aca="false">IF(ISBLANK($C18),"",IF($BL18&lt;&gt;Constants!$B$4,$BL18,IF(OR(NOT($AJ18),NOT($AL18),NOT($AT18)),Constants!$B$11,IF(OR(NOT($AR18),NOT($AU18),NOT($BI18),MAX($AN18,$AO18,$AP18)&gt;Constants!$B$30),Constants!$B$10,Constants!$B$9))))</f>
        <v/>
      </c>
      <c r="BN18" s="100" t="str">
        <f aca="false">IF($BL18&lt;&gt;Constants!$B$4,"",IF(NOT($AL18),0,MIN(Constants!$B$35,$BF18)))</f>
        <v/>
      </c>
      <c r="BO18" s="100" t="str">
        <f aca="false">IF($BL18&lt;&gt;Constants!$B$4,"",IF(NOT($AL18),0,IF($AW18,Constants!$B$18,IF($AV18,Constants!$B$17,0))))</f>
        <v/>
      </c>
      <c r="BP18" s="100" t="str">
        <f aca="false">IF($BL18&lt;&gt;Constants!$B$4,"",IF(NOT($AL18),0,Constants!$B$19*($AK18+$AX18+$AY18+$AZ18)))</f>
        <v/>
      </c>
      <c r="BQ18" s="100" t="str">
        <f aca="false">IF($BL18&lt;&gt;Constants!$B$4,"",IF(OR(NOT($AL18),NOT(ISNUMBER($BA18))),0,CHOOSE($BA18,Constants!$B$13,Constants!$B$14,Constants!$B$15,Constants!$B$16)))</f>
        <v/>
      </c>
      <c r="BR18" s="100" t="str">
        <f aca="false">IF($BL18&lt;&gt;Constants!$B$4,"",IF(NOT($AL18),0,Constants!$B$20*$BB18))</f>
        <v/>
      </c>
      <c r="BS18" s="100" t="str">
        <f aca="false">IF($BL18&lt;&gt;Constants!$B$4,"",IF(AND($AL18,$BD18,$BE18),Constants!$B$22,0))</f>
        <v/>
      </c>
      <c r="BT18" s="100" t="str">
        <f aca="false">IF($BL18&lt;&gt;Constants!$B$4,"",IF(OR(NOT($AL18),NOT($BD18)),0,IF($BJ18&gt;=2*$AH$9,0,Constants!$B$23*INT(ROUND(MIN($BJ18,$AH$9),6)))))</f>
        <v/>
      </c>
      <c r="BU18" s="100" t="str">
        <f aca="false">IF($BL18&lt;&gt;Constants!$B$4,"",IF(NOT($AL18),0,Constants!$B$24*INT(ROUND(MIN($BC18,$AH$9),6))))</f>
        <v/>
      </c>
      <c r="BV18" s="100" t="str">
        <f aca="false">IF($BL18&lt;&gt;Constants!$B$4,"",IF(AND($AL18,$BN18=0),Constants!$B$25,0))</f>
        <v/>
      </c>
      <c r="BW18" s="100" t="str">
        <f aca="false">IF($BL18&lt;&gt;Constants!$B$4,"",MIN(Constants!$B$29,MAX(0,Constants!$B$27*Constants!$B$28*INT(ROUND((Constants!$B$26-$AN18)/Constants!$B$28,6))))+MIN(Constants!$B$29,MAX(0,Constants!$B$27*Constants!$B$28*INT(ROUND((Constants!$B$26-$AO18)/Constants!$B$28,6))))+MIN(Constants!$B$29,MAX(0,Constants!$B$27*Constants!$B$28*INT(ROUND((Constants!$B$26-$AP18)/Constants!$B$28,6)))))</f>
        <v/>
      </c>
      <c r="BX18" s="100" t="str">
        <f aca="false">IF($BL18&lt;&gt;Constants!$B$4,"",IF(NOT($AL18),0,Constants!$B$31*INT(ROUND(MAX(0,MIN($BJ18,2*$AH$9)-$AH$9),6))))</f>
        <v/>
      </c>
      <c r="BY18" s="100" t="str">
        <f aca="false">IF($BL18&lt;&gt;Constants!$B$4,"",Constants!$B$32*(($AN18&gt;Constants!$B$26)+($AO18&gt;Constants!$B$26)+($AP18&gt;Constants!$B$26)))</f>
        <v/>
      </c>
      <c r="BZ18" s="100" t="str">
        <f aca="false">IF($BL18&lt;&gt;Constants!$B$4,"",IF(OR(NOT($AL18),$AQ18),0,Constants!$B$33))</f>
        <v/>
      </c>
      <c r="CA18" s="100" t="str">
        <f aca="false">IF($BL18&lt;&gt;Constants!$B$4,"",Constants!$B$34*$BN18)</f>
        <v/>
      </c>
      <c r="CB18" s="100" t="str">
        <f aca="false">IF($BL18&lt;&gt;Constants!$B$4,"",IF(OR(NOT($AL18),$BH18),0,Constants!$B$36))</f>
        <v/>
      </c>
      <c r="CC18" s="100" t="str">
        <f aca="false">IF($BL18&lt;&gt;Constants!$B$4,"",IF(OR(NOT($AL18),$BG18),0,Constants!$B$37))</f>
        <v/>
      </c>
      <c r="CD18" s="100" t="str">
        <f aca="false">IF($BL18&lt;&gt;Constants!$B$4,"",SUM($BX18:$CC18))</f>
        <v/>
      </c>
      <c r="CE18" s="100" t="str">
        <f aca="false">IF(ISBLANK($C18),"",IF($BL18&lt;&gt;Constants!$B$4,$BL18,SUM($BO18:$BW18)-$CD18))</f>
        <v/>
      </c>
      <c r="CF18" s="100" t="str">
        <f aca="false">IF(ISBLANK($C18),"",IF($BL18&lt;&gt;Constants!$B$4,$BL18,RANK($CE18,$CE$9:$CE$508)))</f>
        <v/>
      </c>
      <c r="CG18" s="100" t="str">
        <f aca="false">IF(ISBLANK($C18),"",IF($BL18&lt;&gt;Constants!$B$4,$BL18,COUNTIFS($BM$9:$BM$508,"&lt;"&amp;$BM18)+COUNTIFS($BM$9:$BM$508,$BM18,$CF$9:$CF$508,"&lt;"&amp;$CF18)+1))</f>
        <v/>
      </c>
      <c r="CH18" s="100" t="str">
        <f aca="false">IF(ISBLANK($C18),"",IF($BL18&lt;&gt;Constants!$B$4,$BL18,RANK($CD18,$CD$9:$CD$508,1)))</f>
        <v/>
      </c>
      <c r="CI18" s="100" t="str">
        <f aca="false">IF($BL18&lt;&gt;Constants!$B$4,"",$AN18+$AO18+$AP18)</f>
        <v/>
      </c>
      <c r="CJ18" s="100" t="str">
        <f aca="false">IF(ISBLANK($C18),"",IF($BL18&lt;&gt;Constants!$B$4,$BL18,RANK($CI18,$CI$9:$CI$508,1)))</f>
        <v/>
      </c>
      <c r="CK18" s="100" t="str">
        <f aca="false">IF(ISBLANK($C18),"",IF($BL18&lt;&gt;Constants!$B$4,$BL18,COUNTIFS($BM$9:$BM$508,"&lt;"&amp;$BM18)+COUNTIFS($BM$9:$BM$508,$BM18,$CF$9:$CF$508,"&lt;"&amp;$CF18)+COUNTIFS($BM$9:$BM$508,$BM18,$CF$9:$CF$508,$CF18,$CH$9:$CH$508,"&lt;"&amp;$CH18)+COUNTIFS($BM$9:$BM$508,$BM18,$CF$9:$CF$508,$CF18,$CH$9:$CH$508,$CH18,$CJ$9:$CJ$508,"&lt;"&amp;$CJ18)+1))</f>
        <v/>
      </c>
      <c r="CL18" s="100" t="str">
        <f aca="false">IF(ISBLANK($C18),"",IF($BL18&lt;&gt;Constants!$B$4,$BL18,$CG18-$CK18))</f>
        <v/>
      </c>
      <c r="CM18" s="100" t="str">
        <f aca="false">IF(ISBLANK($C18),"",IF(NOT($AL18),"",IF(ISBLANK($D$7),$CM$5,IF(NOT(ISNUMBER($D$7)),$CM$6,""))))</f>
        <v/>
      </c>
      <c r="CN18" s="100" t="str">
        <f aca="false">IF(ISBLANK($C18),"",OR($AN18="",$AO18="",$AP18=""))</f>
        <v/>
      </c>
      <c r="CO18" s="100" t="str">
        <f aca="false">IF(ISBLANK($C18),"",AND($AL18,$BA18=""))</f>
        <v/>
      </c>
      <c r="CP18" s="100" t="str">
        <f aca="false">IF(ISBLANK($C18),"",AND($AL18,$BB18=""))</f>
        <v/>
      </c>
      <c r="CQ18" s="100" t="str">
        <f aca="false">IF(ISBLANK($C18),"",AND($AL18,$BC18=""))</f>
        <v/>
      </c>
      <c r="CR18" s="100" t="str">
        <f aca="false">IF(ISBLANK($C18),"",AND($AL18,$BF18=""))</f>
        <v/>
      </c>
      <c r="CS18" s="100" t="str">
        <f aca="false">IF(ISBLANK($C18),"",AND($AL18,$BJ18=""))</f>
        <v/>
      </c>
      <c r="CT18" s="101"/>
      <c r="CU18" s="102"/>
      <c r="CV18" s="103" t="str">
        <f aca="false">IF(ISBLANK($C18),"",IF($BL18=Constants!$B$8,$CM18,""))</f>
        <v/>
      </c>
      <c r="CW18" s="102" t="str">
        <f aca="false">IF(ISBLANK($C18),"",IF($BL18&lt;&gt;Constants!$B$4,"",$BO18+$BP18))</f>
        <v/>
      </c>
      <c r="CX18" s="104" t="str">
        <f aca="false">IF(ISBLANK($C18),"",IF($BL18&lt;&gt;Constants!$B$4,"",$BQ18+$BR18+$BS18))</f>
        <v/>
      </c>
      <c r="CY18" s="104" t="str">
        <f aca="false">IF(ISBLANK($C18),"",IF($BL18&lt;&gt;Constants!$B$4,"",$BT18))</f>
        <v/>
      </c>
      <c r="CZ18" s="104" t="str">
        <f aca="false">IF(ISBLANK($C18),"",IF($BL18&lt;&gt;Constants!$B$4,"",$BU18+$BV18))</f>
        <v/>
      </c>
      <c r="DA18" s="104" t="str">
        <f aca="false">IF(ISBLANK($C18),"",IF($BL18&lt;&gt;Constants!$B$4,"",$BW18))</f>
        <v/>
      </c>
      <c r="DB18" s="104" t="str">
        <f aca="false">IF(ISBLANK($C18),"",IF($BL18&lt;&gt;Constants!$B$4,"",-$CD18))</f>
        <v/>
      </c>
      <c r="DC18" s="103" t="str">
        <f aca="false">IF(ISBLANK($C18),"",$CE18)</f>
        <v/>
      </c>
      <c r="DD18" s="105" t="str">
        <f aca="false">IF(ISBLANK($C18),"",$BM18)</f>
        <v/>
      </c>
      <c r="DE18" s="104" t="str">
        <f aca="false">IF(ISBLANK($C18),"",$CL18)</f>
        <v/>
      </c>
      <c r="DF18" s="104" t="str">
        <f aca="false">IF(ISBLANK($C18),"",$CK18)</f>
        <v/>
      </c>
      <c r="DG18" s="106" t="str">
        <f aca="false">IF(ISBLANK($C18),"",IF($DF18=Constants!$B$7,COUNTA($C$9:$C$508)+2,IF($DF18=Constants!$B$6,COUNTA($C$9:$C$508)+1,IF($DF18=Constants!$B$5,COUNTA($C$9:$C$508),$DF18))))</f>
        <v/>
      </c>
      <c r="DH18" s="7"/>
      <c r="DI18" s="107" t="n">
        <f aca="false">IF(OR(ISNUMBER($DF18),$DF18=Constants!$B$7,$DF18=Constants!$B$5,$DF18=Constants!$B$6),1,0)</f>
        <v>0</v>
      </c>
      <c r="DJ18" s="107" t="n">
        <v>10</v>
      </c>
      <c r="DK18" s="107" t="str">
        <f aca="false">IF(ISBLANK($C18),"",IF(ISNUMBER($DG18),$DG18+ROW($B18)/1000,""))</f>
        <v/>
      </c>
      <c r="DL18" s="107" t="str">
        <f aca="false">IF(ISNUMBER($DK18),RANK($DK18,$DK$9:$DK$508,1),"")</f>
        <v/>
      </c>
      <c r="DM18" s="107" t="str">
        <f aca="false">IF(ISBLANK($C18),"",$B18)</f>
        <v/>
      </c>
      <c r="DN18" s="107" t="str">
        <f aca="false">IF(ISBLANK($C18),"",$C18)</f>
        <v/>
      </c>
      <c r="DO18" s="107" t="str">
        <f aca="false">IF(ISBLANK($C18),"",$D18)</f>
        <v/>
      </c>
      <c r="DP18" s="108" t="str">
        <f aca="false">$DD18</f>
        <v/>
      </c>
      <c r="DQ18" s="109" t="str">
        <f aca="false">$DC18</f>
        <v/>
      </c>
      <c r="DR18" s="107" t="str">
        <f aca="false">IF(ISBLANK($C18),"",$DF18)</f>
        <v/>
      </c>
      <c r="DS18" s="110" t="str">
        <f aca="false">IF($DJ18&gt;$DI$8,"",VLOOKUP($DJ18,$DL$9:$DR$508,7,FALSE()))</f>
        <v/>
      </c>
      <c r="DT18" s="111" t="str">
        <f aca="false">IF($DJ18&gt;$DI$8,"",VLOOKUP($DJ18,$DL$9:$DR$508,2,FALSE()))</f>
        <v/>
      </c>
      <c r="DU18" s="111" t="str">
        <f aca="false">IF($DJ18&gt;$DI$8,"",VLOOKUP($DJ18,$DL$9:$DR$508,3,FALSE()))</f>
        <v/>
      </c>
      <c r="DV18" s="111" t="str">
        <f aca="false">IF($DJ18&gt;$DI$8,"",VLOOKUP($DJ18,$DL$9:$DR$508,4,FALSE()))</f>
        <v/>
      </c>
      <c r="DW18" s="111" t="str">
        <f aca="false">IF($DJ18&gt;$DI$8,"",VLOOKUP($DJ18,$DL$9:$DR$508,5,FALSE()))</f>
        <v/>
      </c>
      <c r="DX18" s="112" t="str">
        <f aca="false">IF($DJ18&gt;$DI$8,"",VLOOKUP($DJ18,$DL$9:$DR$508,6,FALSE()))</f>
        <v/>
      </c>
      <c r="DY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127"/>
      <c r="N19" s="127"/>
      <c r="O19" s="128"/>
      <c r="P19" s="128"/>
      <c r="Q19" s="127"/>
      <c r="R19" s="127"/>
      <c r="S19" s="127"/>
      <c r="T19" s="127"/>
      <c r="U19" s="128"/>
      <c r="V19" s="127"/>
      <c r="W19" s="96"/>
      <c r="X19" s="127"/>
      <c r="Y19" s="127"/>
      <c r="Z19" s="96"/>
      <c r="AA19" s="96"/>
      <c r="AB19" s="127"/>
      <c r="AC19" s="127"/>
      <c r="AD19" s="127"/>
      <c r="AE19" s="97"/>
      <c r="AF19" s="130"/>
      <c r="AG19" s="99"/>
      <c r="AH19" s="100"/>
      <c r="AI19" s="100"/>
      <c r="AJ19" s="100" t="str">
        <f aca="false">IF(ISBLANK($C19),"",IF($E19=Constants!$B$2,TRUE(),IF($E19=Constants!$B$3,FALSE(),TRUE())))</f>
        <v/>
      </c>
      <c r="AK19" s="100" t="str">
        <f aca="false">IF(ISBLANK($C19),"",IF($F19=Constants!$B$2,TRUE(),IF($F19=Constants!$B$3,FALSE(),FALSE())))</f>
        <v/>
      </c>
      <c r="AL19" s="100" t="str">
        <f aca="false">IF(ISBLANK($C19),"",IF($G19=Constants!$B$2,TRUE(),IF($G19=Constants!$B$3,FALSE(),TRUE())))</f>
        <v/>
      </c>
      <c r="AM19" s="100" t="str">
        <f aca="false">IF(ISBLANK($C19),"",IF($H19=Constants!$B$2,TRUE(),IF($H19=Constants!$B$3,FALSE(),TRUE())))</f>
        <v/>
      </c>
      <c r="AN19" s="100" t="str">
        <f aca="false">IF(ISBLANK($C19),"",IF(ISNUMBER($I19),IF($I19&gt;=0,$I19,""),""))</f>
        <v/>
      </c>
      <c r="AO19" s="100" t="str">
        <f aca="false">IF(ISBLANK($C19),"",IF(ISNUMBER($J19),IF($J19&gt;=0,$J19,""),""))</f>
        <v/>
      </c>
      <c r="AP19" s="100" t="str">
        <f aca="false">IF(ISBLANK($C19),"",IF(ISNUMBER($K19),IF($K19&gt;=0,$K19,""),""))</f>
        <v/>
      </c>
      <c r="AQ19" s="100" t="str">
        <f aca="false">IF(ISBLANK($C19),"",IF($L19=Constants!$B$2,TRUE(),IF($L19=Constants!$B$3,FALSE(),TRUE())))</f>
        <v/>
      </c>
      <c r="AR19" s="100" t="str">
        <f aca="false">IF(ISBLANK($C19),"",IF($M19=Constants!$B$2,TRUE(),IF($M19=Constants!$B$3,FALSE(),TRUE())))</f>
        <v/>
      </c>
      <c r="AS19" s="100" t="str">
        <f aca="false">IF(ISBLANK($C19),"",IF($N19=Constants!$B$2,TRUE(),IF($N19=Constants!$B$3,FALSE(),FALSE())))</f>
        <v/>
      </c>
      <c r="AT19" s="100" t="str">
        <f aca="false">IF(ISBLANK($C19),"",IF($O19=Constants!$B$2,TRUE(),IF($O19=Constants!$B$3,FALSE(),TRUE())))</f>
        <v/>
      </c>
      <c r="AU19" s="100" t="str">
        <f aca="false">IF(ISBLANK($C19),"",IF($P19=Constants!$B$2,TRUE(),IF($P19=Constants!$B$3,FALSE(),TRUE())))</f>
        <v/>
      </c>
      <c r="AV19" s="100" t="str">
        <f aca="false">IF(ISBLANK($C19),"",IF($Q19=Constants!$B$2,TRUE(),IF($Q19=Constants!$B$3,FALSE(),FALSE())))</f>
        <v/>
      </c>
      <c r="AW19" s="100" t="str">
        <f aca="false">IF(ISBLANK($C19),"",IF($R19=Constants!$B$2,TRUE(),IF($R19=Constants!$B$3,FALSE(),FALSE())))</f>
        <v/>
      </c>
      <c r="AX19" s="100" t="str">
        <f aca="false">IF(ISBLANK($C19),"",IF($S19=Constants!$B$2,TRUE(),IF($S19=Constants!$B$3,FALSE(),FALSE())))</f>
        <v/>
      </c>
      <c r="AY19" s="100" t="str">
        <f aca="false">IF(ISBLANK($C19),"",IF($T19=Constants!$B$2,TRUE(),IF($T19=Constants!$B$3,FALSE(),FALSE())))</f>
        <v/>
      </c>
      <c r="AZ19" s="100" t="str">
        <f aca="false">IF(ISBLANK($C19),"",IF($U19=Constants!$B$2,TRUE(),IF($U19=Constants!$B$3,FALSE(),FALSE())))</f>
        <v/>
      </c>
      <c r="BA19" s="100" t="str">
        <f aca="false">IF(ISBLANK($C19),"",IF(OR($V19&amp;""="1",$V19&amp;""="2",$V19&amp;""="3",$V19&amp;""="4"),VALUE($V19&amp;""),IF($V19=Constants!$B$12,Constants!$B$12,"")))</f>
        <v/>
      </c>
      <c r="BB19" s="100" t="str">
        <f aca="false">IF(ISBLANK($C19),"",IF(ISBLANK($W19),0,IF(ISNUMBER($W19),IF(AND($W19&gt;=0,$W19&lt;=Constants!$B$21,$W19=INT($W19)),$W19,""),"")))</f>
        <v/>
      </c>
      <c r="BC19" s="100" t="str">
        <f aca="false">IF(ISBLANK($C19),"",IF(ISBLANK($X19),0,IF(ISNUMBER($X19),IF($X19&gt;=0,$X19,""),"")))</f>
        <v/>
      </c>
      <c r="BD19" s="100" t="str">
        <f aca="false">IF(ISBLANK($C19),"",IF($Y19=Constants!$B$2,TRUE(),IF($Y19=Constants!$B$3,FALSE(),TRUE())))</f>
        <v/>
      </c>
      <c r="BE19" s="100" t="str">
        <f aca="false">IF(ISBLANK($C19),"",IF($Z19=Constants!$B$2,TRUE(),IF($Z19=Constants!$B$3,FALSE(),FALSE())))</f>
        <v/>
      </c>
      <c r="BF19" s="100" t="str">
        <f aca="false">IF(ISBLANK($C19),"",IF(ISBLANK($AA19),0,IF(ISNUMBER($AA19),IF(AND($AA19&gt;=0,$AA19&lt;=Constants!$B$35,$AA19=INT($AA19)),$AA19,""),"")))</f>
        <v/>
      </c>
      <c r="BG19" s="100" t="str">
        <f aca="false">IF(ISBLANK($C19),"",IF($AB19=Constants!$B$2,TRUE(),IF($AB19=Constants!$B$3,FALSE(),TRUE())))</f>
        <v/>
      </c>
      <c r="BH19" s="100" t="str">
        <f aca="false">IF(ISBLANK($C19),"",IF($AC19=Constants!$B$2,TRUE(),IF($AC19=Constants!$B$3,FALSE(),TRUE())))</f>
        <v/>
      </c>
      <c r="BI19" s="100" t="str">
        <f aca="false">IF(ISBLANK($C19),"",IF($AD19=Constants!$B$2,TRUE(),IF($AD19=Constants!$B$3,FALSE(),TRUE())))</f>
        <v/>
      </c>
      <c r="BJ19" s="100" t="str">
        <f aca="false">IF(ISBLANK($C19),"",IF(ISNUMBER($AE19),IF($AE19&gt;=0,$AE19,""),""))</f>
        <v/>
      </c>
      <c r="BK19" s="100" t="str">
        <f aca="false">IF(ISBLANK($C19),"",IF($AF19=Constants!$B$2,TRUE(),IF($AF19=Constants!$B$3,FALSE(),FALSE())))</f>
        <v/>
      </c>
      <c r="BL19" s="99" t="str">
        <f aca="false">IF(ISBLANK($C19),"",IF($BK19,Constants!$B$7,IF(COUNTA($E19:$AE19)=0,Constants!$B$6,IF(OR(COUNTA($G19:$AE19)=0,NOT($AM19),$AS19),Constants!$B$5,IF(OR($CM19&lt;&gt;"",$CN19,$CO19,$CP19,$CQ19,$CR19,$CS19),Constants!$B$8,Constants!$B$4)))))</f>
        <v/>
      </c>
      <c r="BM19" s="100" t="str">
        <f aca="false">IF(ISBLANK($C19),"",IF($BL19&lt;&gt;Constants!$B$4,$BL19,IF(OR(NOT($AJ19),NOT($AL19),NOT($AT19)),Constants!$B$11,IF(OR(NOT($AR19),NOT($AU19),NOT($BI19),MAX($AN19,$AO19,$AP19)&gt;Constants!$B$30),Constants!$B$10,Constants!$B$9))))</f>
        <v/>
      </c>
      <c r="BN19" s="100" t="str">
        <f aca="false">IF($BL19&lt;&gt;Constants!$B$4,"",IF(NOT($AL19),0,MIN(Constants!$B$35,$BF19)))</f>
        <v/>
      </c>
      <c r="BO19" s="100" t="str">
        <f aca="false">IF($BL19&lt;&gt;Constants!$B$4,"",IF(NOT($AL19),0,IF($AW19,Constants!$B$18,IF($AV19,Constants!$B$17,0))))</f>
        <v/>
      </c>
      <c r="BP19" s="100" t="str">
        <f aca="false">IF($BL19&lt;&gt;Constants!$B$4,"",IF(NOT($AL19),0,Constants!$B$19*($AK19+$AX19+$AY19+$AZ19)))</f>
        <v/>
      </c>
      <c r="BQ19" s="100" t="str">
        <f aca="false">IF($BL19&lt;&gt;Constants!$B$4,"",IF(OR(NOT($AL19),NOT(ISNUMBER($BA19))),0,CHOOSE($BA19,Constants!$B$13,Constants!$B$14,Constants!$B$15,Constants!$B$16)))</f>
        <v/>
      </c>
      <c r="BR19" s="100" t="str">
        <f aca="false">IF($BL19&lt;&gt;Constants!$B$4,"",IF(NOT($AL19),0,Constants!$B$20*$BB19))</f>
        <v/>
      </c>
      <c r="BS19" s="100" t="str">
        <f aca="false">IF($BL19&lt;&gt;Constants!$B$4,"",IF(AND($AL19,$BD19,$BE19),Constants!$B$22,0))</f>
        <v/>
      </c>
      <c r="BT19" s="100" t="str">
        <f aca="false">IF($BL19&lt;&gt;Constants!$B$4,"",IF(OR(NOT($AL19),NOT($BD19)),0,IF($BJ19&gt;=2*$AH$9,0,Constants!$B$23*INT(ROUND(MIN($BJ19,$AH$9),6)))))</f>
        <v/>
      </c>
      <c r="BU19" s="100" t="str">
        <f aca="false">IF($BL19&lt;&gt;Constants!$B$4,"",IF(NOT($AL19),0,Constants!$B$24*INT(ROUND(MIN($BC19,$AH$9),6))))</f>
        <v/>
      </c>
      <c r="BV19" s="100" t="str">
        <f aca="false">IF($BL19&lt;&gt;Constants!$B$4,"",IF(AND($AL19,$BN19=0),Constants!$B$25,0))</f>
        <v/>
      </c>
      <c r="BW19" s="100" t="str">
        <f aca="false">IF($BL19&lt;&gt;Constants!$B$4,"",MIN(Constants!$B$29,MAX(0,Constants!$B$27*Constants!$B$28*INT(ROUND((Constants!$B$26-$AN19)/Constants!$B$28,6))))+MIN(Constants!$B$29,MAX(0,Constants!$B$27*Constants!$B$28*INT(ROUND((Constants!$B$26-$AO19)/Constants!$B$28,6))))+MIN(Constants!$B$29,MAX(0,Constants!$B$27*Constants!$B$28*INT(ROUND((Constants!$B$26-$AP19)/Constants!$B$28,6)))))</f>
        <v/>
      </c>
      <c r="BX19" s="100" t="str">
        <f aca="false">IF($BL19&lt;&gt;Constants!$B$4,"",IF(NOT($AL19),0,Constants!$B$31*INT(ROUND(MAX(0,MIN($BJ19,2*$AH$9)-$AH$9),6))))</f>
        <v/>
      </c>
      <c r="BY19" s="100" t="str">
        <f aca="false">IF($BL19&lt;&gt;Constants!$B$4,"",Constants!$B$32*(($AN19&gt;Constants!$B$26)+($AO19&gt;Constants!$B$26)+($AP19&gt;Constants!$B$26)))</f>
        <v/>
      </c>
      <c r="BZ19" s="100" t="str">
        <f aca="false">IF($BL19&lt;&gt;Constants!$B$4,"",IF(OR(NOT($AL19),$AQ19),0,Constants!$B$33))</f>
        <v/>
      </c>
      <c r="CA19" s="100" t="str">
        <f aca="false">IF($BL19&lt;&gt;Constants!$B$4,"",Constants!$B$34*$BN19)</f>
        <v/>
      </c>
      <c r="CB19" s="100" t="str">
        <f aca="false">IF($BL19&lt;&gt;Constants!$B$4,"",IF(OR(NOT($AL19),$BH19),0,Constants!$B$36))</f>
        <v/>
      </c>
      <c r="CC19" s="100" t="str">
        <f aca="false">IF($BL19&lt;&gt;Constants!$B$4,"",IF(OR(NOT($AL19),$BG19),0,Constants!$B$37))</f>
        <v/>
      </c>
      <c r="CD19" s="100" t="str">
        <f aca="false">IF($BL19&lt;&gt;Constants!$B$4,"",SUM($BX19:$CC19))</f>
        <v/>
      </c>
      <c r="CE19" s="100" t="str">
        <f aca="false">IF(ISBLANK($C19),"",IF($BL19&lt;&gt;Constants!$B$4,$BL19,SUM($BO19:$BW19)-$CD19))</f>
        <v/>
      </c>
      <c r="CF19" s="100" t="str">
        <f aca="false">IF(ISBLANK($C19),"",IF($BL19&lt;&gt;Constants!$B$4,$BL19,RANK($CE19,$CE$9:$CE$508)))</f>
        <v/>
      </c>
      <c r="CG19" s="100" t="str">
        <f aca="false">IF(ISBLANK($C19),"",IF($BL19&lt;&gt;Constants!$B$4,$BL19,COUNTIFS($BM$9:$BM$508,"&lt;"&amp;$BM19)+COUNTIFS($BM$9:$BM$508,$BM19,$CF$9:$CF$508,"&lt;"&amp;$CF19)+1))</f>
        <v/>
      </c>
      <c r="CH19" s="100" t="str">
        <f aca="false">IF(ISBLANK($C19),"",IF($BL19&lt;&gt;Constants!$B$4,$BL19,RANK($CD19,$CD$9:$CD$508,1)))</f>
        <v/>
      </c>
      <c r="CI19" s="100" t="str">
        <f aca="false">IF($BL19&lt;&gt;Constants!$B$4,"",$AN19+$AO19+$AP19)</f>
        <v/>
      </c>
      <c r="CJ19" s="100" t="str">
        <f aca="false">IF(ISBLANK($C19),"",IF($BL19&lt;&gt;Constants!$B$4,$BL19,RANK($CI19,$CI$9:$CI$508,1)))</f>
        <v/>
      </c>
      <c r="CK19" s="100" t="str">
        <f aca="false">IF(ISBLANK($C19),"",IF($BL19&lt;&gt;Constants!$B$4,$BL19,COUNTIFS($BM$9:$BM$508,"&lt;"&amp;$BM19)+COUNTIFS($BM$9:$BM$508,$BM19,$CF$9:$CF$508,"&lt;"&amp;$CF19)+COUNTIFS($BM$9:$BM$508,$BM19,$CF$9:$CF$508,$CF19,$CH$9:$CH$508,"&lt;"&amp;$CH19)+COUNTIFS($BM$9:$BM$508,$BM19,$CF$9:$CF$508,$CF19,$CH$9:$CH$508,$CH19,$CJ$9:$CJ$508,"&lt;"&amp;$CJ19)+1))</f>
        <v/>
      </c>
      <c r="CL19" s="100" t="str">
        <f aca="false">IF(ISBLANK($C19),"",IF($BL19&lt;&gt;Constants!$B$4,$BL19,$CG19-$CK19))</f>
        <v/>
      </c>
      <c r="CM19" s="100" t="str">
        <f aca="false">IF(ISBLANK($C19),"",IF(NOT($AL19),"",IF(ISBLANK($D$7),$CM$5,IF(NOT(ISNUMBER($D$7)),$CM$6,""))))</f>
        <v/>
      </c>
      <c r="CN19" s="100" t="str">
        <f aca="false">IF(ISBLANK($C19),"",OR($AN19="",$AO19="",$AP19=""))</f>
        <v/>
      </c>
      <c r="CO19" s="100" t="str">
        <f aca="false">IF(ISBLANK($C19),"",AND($AL19,$BA19=""))</f>
        <v/>
      </c>
      <c r="CP19" s="100" t="str">
        <f aca="false">IF(ISBLANK($C19),"",AND($AL19,$BB19=""))</f>
        <v/>
      </c>
      <c r="CQ19" s="100" t="str">
        <f aca="false">IF(ISBLANK($C19),"",AND($AL19,$BC19=""))</f>
        <v/>
      </c>
      <c r="CR19" s="100" t="str">
        <f aca="false">IF(ISBLANK($C19),"",AND($AL19,$BF19=""))</f>
        <v/>
      </c>
      <c r="CS19" s="100" t="str">
        <f aca="false">IF(ISBLANK($C19),"",AND($AL19,$BJ19=""))</f>
        <v/>
      </c>
      <c r="CT19" s="101"/>
      <c r="CU19" s="102"/>
      <c r="CV19" s="103" t="str">
        <f aca="false">IF(ISBLANK($C19),"",IF($BL19=Constants!$B$8,$CM19,""))</f>
        <v/>
      </c>
      <c r="CW19" s="102" t="str">
        <f aca="false">IF(ISBLANK($C19),"",IF($BL19&lt;&gt;Constants!$B$4,"",$BO19+$BP19))</f>
        <v/>
      </c>
      <c r="CX19" s="104" t="str">
        <f aca="false">IF(ISBLANK($C19),"",IF($BL19&lt;&gt;Constants!$B$4,"",$BQ19+$BR19+$BS19))</f>
        <v/>
      </c>
      <c r="CY19" s="104" t="str">
        <f aca="false">IF(ISBLANK($C19),"",IF($BL19&lt;&gt;Constants!$B$4,"",$BT19))</f>
        <v/>
      </c>
      <c r="CZ19" s="104" t="str">
        <f aca="false">IF(ISBLANK($C19),"",IF($BL19&lt;&gt;Constants!$B$4,"",$BU19+$BV19))</f>
        <v/>
      </c>
      <c r="DA19" s="104" t="str">
        <f aca="false">IF(ISBLANK($C19),"",IF($BL19&lt;&gt;Constants!$B$4,"",$BW19))</f>
        <v/>
      </c>
      <c r="DB19" s="104" t="str">
        <f aca="false">IF(ISBLANK($C19),"",IF($BL19&lt;&gt;Constants!$B$4,"",-$CD19))</f>
        <v/>
      </c>
      <c r="DC19" s="103" t="str">
        <f aca="false">IF(ISBLANK($C19),"",$CE19)</f>
        <v/>
      </c>
      <c r="DD19" s="105" t="str">
        <f aca="false">IF(ISBLANK($C19),"",$BM19)</f>
        <v/>
      </c>
      <c r="DE19" s="104" t="str">
        <f aca="false">IF(ISBLANK($C19),"",$CL19)</f>
        <v/>
      </c>
      <c r="DF19" s="104" t="str">
        <f aca="false">IF(ISBLANK($C19),"",$CK19)</f>
        <v/>
      </c>
      <c r="DG19" s="106" t="str">
        <f aca="false">IF(ISBLANK($C19),"",IF($DF19=Constants!$B$7,COUNTA($C$9:$C$508)+2,IF($DF19=Constants!$B$6,COUNTA($C$9:$C$508)+1,IF($DF19=Constants!$B$5,COUNTA($C$9:$C$508),$DF19))))</f>
        <v/>
      </c>
      <c r="DH19" s="7"/>
      <c r="DI19" s="107" t="n">
        <f aca="false">IF(OR(ISNUMBER($DF19),$DF19=Constants!$B$7,$DF19=Constants!$B$5,$DF19=Constants!$B$6),1,0)</f>
        <v>0</v>
      </c>
      <c r="DJ19" s="107" t="n">
        <v>11</v>
      </c>
      <c r="DK19" s="107" t="str">
        <f aca="false">IF(ISBLANK($C19),"",IF(ISNUMBER($DG19),$DG19+ROW($B19)/1000,""))</f>
        <v/>
      </c>
      <c r="DL19" s="107" t="str">
        <f aca="false">IF(ISNUMBER($DK19),RANK($DK19,$DK$9:$DK$508,1),"")</f>
        <v/>
      </c>
      <c r="DM19" s="107" t="str">
        <f aca="false">IF(ISBLANK($C19),"",$B19)</f>
        <v/>
      </c>
      <c r="DN19" s="107" t="str">
        <f aca="false">IF(ISBLANK($C19),"",$C19)</f>
        <v/>
      </c>
      <c r="DO19" s="107" t="str">
        <f aca="false">IF(ISBLANK($C19),"",$D19)</f>
        <v/>
      </c>
      <c r="DP19" s="108" t="str">
        <f aca="false">$DD19</f>
        <v/>
      </c>
      <c r="DQ19" s="109" t="str">
        <f aca="false">$DC19</f>
        <v/>
      </c>
      <c r="DR19" s="107" t="str">
        <f aca="false">IF(ISBLANK($C19),"",$DF19)</f>
        <v/>
      </c>
      <c r="DS19" s="110" t="str">
        <f aca="false">IF($DJ19&gt;$DI$8,"",VLOOKUP($DJ19,$DL$9:$DR$508,7,FALSE()))</f>
        <v/>
      </c>
      <c r="DT19" s="111" t="str">
        <f aca="false">IF($DJ19&gt;$DI$8,"",VLOOKUP($DJ19,$DL$9:$DR$508,2,FALSE()))</f>
        <v/>
      </c>
      <c r="DU19" s="111" t="str">
        <f aca="false">IF($DJ19&gt;$DI$8,"",VLOOKUP($DJ19,$DL$9:$DR$508,3,FALSE()))</f>
        <v/>
      </c>
      <c r="DV19" s="111" t="str">
        <f aca="false">IF($DJ19&gt;$DI$8,"",VLOOKUP($DJ19,$DL$9:$DR$508,4,FALSE()))</f>
        <v/>
      </c>
      <c r="DW19" s="111" t="str">
        <f aca="false">IF($DJ19&gt;$DI$8,"",VLOOKUP($DJ19,$DL$9:$DR$508,5,FALSE()))</f>
        <v/>
      </c>
      <c r="DX19" s="112" t="str">
        <f aca="false">IF($DJ19&gt;$DI$8,"",VLOOKUP($DJ19,$DL$9:$DR$508,6,FALSE()))</f>
        <v/>
      </c>
      <c r="DY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127"/>
      <c r="N20" s="127"/>
      <c r="O20" s="128"/>
      <c r="P20" s="128"/>
      <c r="Q20" s="127"/>
      <c r="R20" s="127"/>
      <c r="S20" s="127"/>
      <c r="T20" s="127"/>
      <c r="U20" s="128"/>
      <c r="V20" s="127"/>
      <c r="W20" s="96"/>
      <c r="X20" s="127"/>
      <c r="Y20" s="127"/>
      <c r="Z20" s="96"/>
      <c r="AA20" s="96"/>
      <c r="AB20" s="127"/>
      <c r="AC20" s="127"/>
      <c r="AD20" s="127"/>
      <c r="AE20" s="97"/>
      <c r="AF20" s="130"/>
      <c r="AG20" s="99"/>
      <c r="AH20" s="100"/>
      <c r="AI20" s="100"/>
      <c r="AJ20" s="100" t="str">
        <f aca="false">IF(ISBLANK($C20),"",IF($E20=Constants!$B$2,TRUE(),IF($E20=Constants!$B$3,FALSE(),TRUE())))</f>
        <v/>
      </c>
      <c r="AK20" s="100" t="str">
        <f aca="false">IF(ISBLANK($C20),"",IF($F20=Constants!$B$2,TRUE(),IF($F20=Constants!$B$3,FALSE(),FALSE())))</f>
        <v/>
      </c>
      <c r="AL20" s="100" t="str">
        <f aca="false">IF(ISBLANK($C20),"",IF($G20=Constants!$B$2,TRUE(),IF($G20=Constants!$B$3,FALSE(),TRUE())))</f>
        <v/>
      </c>
      <c r="AM20" s="100" t="str">
        <f aca="false">IF(ISBLANK($C20),"",IF($H20=Constants!$B$2,TRUE(),IF($H20=Constants!$B$3,FALSE(),TRUE())))</f>
        <v/>
      </c>
      <c r="AN20" s="100" t="str">
        <f aca="false">IF(ISBLANK($C20),"",IF(ISNUMBER($I20),IF($I20&gt;=0,$I20,""),""))</f>
        <v/>
      </c>
      <c r="AO20" s="100" t="str">
        <f aca="false">IF(ISBLANK($C20),"",IF(ISNUMBER($J20),IF($J20&gt;=0,$J20,""),""))</f>
        <v/>
      </c>
      <c r="AP20" s="100" t="str">
        <f aca="false">IF(ISBLANK($C20),"",IF(ISNUMBER($K20),IF($K20&gt;=0,$K20,""),""))</f>
        <v/>
      </c>
      <c r="AQ20" s="100" t="str">
        <f aca="false">IF(ISBLANK($C20),"",IF($L20=Constants!$B$2,TRUE(),IF($L20=Constants!$B$3,FALSE(),TRUE())))</f>
        <v/>
      </c>
      <c r="AR20" s="100" t="str">
        <f aca="false">IF(ISBLANK($C20),"",IF($M20=Constants!$B$2,TRUE(),IF($M20=Constants!$B$3,FALSE(),TRUE())))</f>
        <v/>
      </c>
      <c r="AS20" s="100" t="str">
        <f aca="false">IF(ISBLANK($C20),"",IF($N20=Constants!$B$2,TRUE(),IF($N20=Constants!$B$3,FALSE(),FALSE())))</f>
        <v/>
      </c>
      <c r="AT20" s="100" t="str">
        <f aca="false">IF(ISBLANK($C20),"",IF($O20=Constants!$B$2,TRUE(),IF($O20=Constants!$B$3,FALSE(),TRUE())))</f>
        <v/>
      </c>
      <c r="AU20" s="100" t="str">
        <f aca="false">IF(ISBLANK($C20),"",IF($P20=Constants!$B$2,TRUE(),IF($P20=Constants!$B$3,FALSE(),TRUE())))</f>
        <v/>
      </c>
      <c r="AV20" s="100" t="str">
        <f aca="false">IF(ISBLANK($C20),"",IF($Q20=Constants!$B$2,TRUE(),IF($Q20=Constants!$B$3,FALSE(),FALSE())))</f>
        <v/>
      </c>
      <c r="AW20" s="100" t="str">
        <f aca="false">IF(ISBLANK($C20),"",IF($R20=Constants!$B$2,TRUE(),IF($R20=Constants!$B$3,FALSE(),FALSE())))</f>
        <v/>
      </c>
      <c r="AX20" s="100" t="str">
        <f aca="false">IF(ISBLANK($C20),"",IF($S20=Constants!$B$2,TRUE(),IF($S20=Constants!$B$3,FALSE(),FALSE())))</f>
        <v/>
      </c>
      <c r="AY20" s="100" t="str">
        <f aca="false">IF(ISBLANK($C20),"",IF($T20=Constants!$B$2,TRUE(),IF($T20=Constants!$B$3,FALSE(),FALSE())))</f>
        <v/>
      </c>
      <c r="AZ20" s="100" t="str">
        <f aca="false">IF(ISBLANK($C20),"",IF($U20=Constants!$B$2,TRUE(),IF($U20=Constants!$B$3,FALSE(),FALSE())))</f>
        <v/>
      </c>
      <c r="BA20" s="100" t="str">
        <f aca="false">IF(ISBLANK($C20),"",IF(OR($V20&amp;""="1",$V20&amp;""="2",$V20&amp;""="3",$V20&amp;""="4"),VALUE($V20&amp;""),IF($V20=Constants!$B$12,Constants!$B$12,"")))</f>
        <v/>
      </c>
      <c r="BB20" s="100" t="str">
        <f aca="false">IF(ISBLANK($C20),"",IF(ISBLANK($W20),0,IF(ISNUMBER($W20),IF(AND($W20&gt;=0,$W20&lt;=Constants!$B$21,$W20=INT($W20)),$W20,""),"")))</f>
        <v/>
      </c>
      <c r="BC20" s="100" t="str">
        <f aca="false">IF(ISBLANK($C20),"",IF(ISBLANK($X20),0,IF(ISNUMBER($X20),IF($X20&gt;=0,$X20,""),"")))</f>
        <v/>
      </c>
      <c r="BD20" s="100" t="str">
        <f aca="false">IF(ISBLANK($C20),"",IF($Y20=Constants!$B$2,TRUE(),IF($Y20=Constants!$B$3,FALSE(),TRUE())))</f>
        <v/>
      </c>
      <c r="BE20" s="100" t="str">
        <f aca="false">IF(ISBLANK($C20),"",IF($Z20=Constants!$B$2,TRUE(),IF($Z20=Constants!$B$3,FALSE(),FALSE())))</f>
        <v/>
      </c>
      <c r="BF20" s="100" t="str">
        <f aca="false">IF(ISBLANK($C20),"",IF(ISBLANK($AA20),0,IF(ISNUMBER($AA20),IF(AND($AA20&gt;=0,$AA20&lt;=Constants!$B$35,$AA20=INT($AA20)),$AA20,""),"")))</f>
        <v/>
      </c>
      <c r="BG20" s="100" t="str">
        <f aca="false">IF(ISBLANK($C20),"",IF($AB20=Constants!$B$2,TRUE(),IF($AB20=Constants!$B$3,FALSE(),TRUE())))</f>
        <v/>
      </c>
      <c r="BH20" s="100" t="str">
        <f aca="false">IF(ISBLANK($C20),"",IF($AC20=Constants!$B$2,TRUE(),IF($AC20=Constants!$B$3,FALSE(),TRUE())))</f>
        <v/>
      </c>
      <c r="BI20" s="100" t="str">
        <f aca="false">IF(ISBLANK($C20),"",IF($AD20=Constants!$B$2,TRUE(),IF($AD20=Constants!$B$3,FALSE(),TRUE())))</f>
        <v/>
      </c>
      <c r="BJ20" s="100" t="str">
        <f aca="false">IF(ISBLANK($C20),"",IF(ISNUMBER($AE20),IF($AE20&gt;=0,$AE20,""),""))</f>
        <v/>
      </c>
      <c r="BK20" s="100" t="str">
        <f aca="false">IF(ISBLANK($C20),"",IF($AF20=Constants!$B$2,TRUE(),IF($AF20=Constants!$B$3,FALSE(),FALSE())))</f>
        <v/>
      </c>
      <c r="BL20" s="99" t="str">
        <f aca="false">IF(ISBLANK($C20),"",IF($BK20,Constants!$B$7,IF(COUNTA($E20:$AE20)=0,Constants!$B$6,IF(OR(COUNTA($G20:$AE20)=0,NOT($AM20),$AS20),Constants!$B$5,IF(OR($CM20&lt;&gt;"",$CN20,$CO20,$CP20,$CQ20,$CR20,$CS20),Constants!$B$8,Constants!$B$4)))))</f>
        <v/>
      </c>
      <c r="BM20" s="100" t="str">
        <f aca="false">IF(ISBLANK($C20),"",IF($BL20&lt;&gt;Constants!$B$4,$BL20,IF(OR(NOT($AJ20),NOT($AL20),NOT($AT20)),Constants!$B$11,IF(OR(NOT($AR20),NOT($AU20),NOT($BI20),MAX($AN20,$AO20,$AP20)&gt;Constants!$B$30),Constants!$B$10,Constants!$B$9))))</f>
        <v/>
      </c>
      <c r="BN20" s="100" t="str">
        <f aca="false">IF($BL20&lt;&gt;Constants!$B$4,"",IF(NOT($AL20),0,MIN(Constants!$B$35,$BF20)))</f>
        <v/>
      </c>
      <c r="BO20" s="100" t="str">
        <f aca="false">IF($BL20&lt;&gt;Constants!$B$4,"",IF(NOT($AL20),0,IF($AW20,Constants!$B$18,IF($AV20,Constants!$B$17,0))))</f>
        <v/>
      </c>
      <c r="BP20" s="100" t="str">
        <f aca="false">IF($BL20&lt;&gt;Constants!$B$4,"",IF(NOT($AL20),0,Constants!$B$19*($AK20+$AX20+$AY20+$AZ20)))</f>
        <v/>
      </c>
      <c r="BQ20" s="100" t="str">
        <f aca="false">IF($BL20&lt;&gt;Constants!$B$4,"",IF(OR(NOT($AL20),NOT(ISNUMBER($BA20))),0,CHOOSE($BA20,Constants!$B$13,Constants!$B$14,Constants!$B$15,Constants!$B$16)))</f>
        <v/>
      </c>
      <c r="BR20" s="100" t="str">
        <f aca="false">IF($BL20&lt;&gt;Constants!$B$4,"",IF(NOT($AL20),0,Constants!$B$20*$BB20))</f>
        <v/>
      </c>
      <c r="BS20" s="100" t="str">
        <f aca="false">IF($BL20&lt;&gt;Constants!$B$4,"",IF(AND($AL20,$BD20,$BE20),Constants!$B$22,0))</f>
        <v/>
      </c>
      <c r="BT20" s="100" t="str">
        <f aca="false">IF($BL20&lt;&gt;Constants!$B$4,"",IF(OR(NOT($AL20),NOT($BD20)),0,IF($BJ20&gt;=2*$AH$9,0,Constants!$B$23*INT(ROUND(MIN($BJ20,$AH$9),6)))))</f>
        <v/>
      </c>
      <c r="BU20" s="100" t="str">
        <f aca="false">IF($BL20&lt;&gt;Constants!$B$4,"",IF(NOT($AL20),0,Constants!$B$24*INT(ROUND(MIN($BC20,$AH$9),6))))</f>
        <v/>
      </c>
      <c r="BV20" s="100" t="str">
        <f aca="false">IF($BL20&lt;&gt;Constants!$B$4,"",IF(AND($AL20,$BN20=0),Constants!$B$25,0))</f>
        <v/>
      </c>
      <c r="BW20" s="100" t="str">
        <f aca="false">IF($BL20&lt;&gt;Constants!$B$4,"",MIN(Constants!$B$29,MAX(0,Constants!$B$27*Constants!$B$28*INT(ROUND((Constants!$B$26-$AN20)/Constants!$B$28,6))))+MIN(Constants!$B$29,MAX(0,Constants!$B$27*Constants!$B$28*INT(ROUND((Constants!$B$26-$AO20)/Constants!$B$28,6))))+MIN(Constants!$B$29,MAX(0,Constants!$B$27*Constants!$B$28*INT(ROUND((Constants!$B$26-$AP20)/Constants!$B$28,6)))))</f>
        <v/>
      </c>
      <c r="BX20" s="100" t="str">
        <f aca="false">IF($BL20&lt;&gt;Constants!$B$4,"",IF(NOT($AL20),0,Constants!$B$31*INT(ROUND(MAX(0,MIN($BJ20,2*$AH$9)-$AH$9),6))))</f>
        <v/>
      </c>
      <c r="BY20" s="100" t="str">
        <f aca="false">IF($BL20&lt;&gt;Constants!$B$4,"",Constants!$B$32*(($AN20&gt;Constants!$B$26)+($AO20&gt;Constants!$B$26)+($AP20&gt;Constants!$B$26)))</f>
        <v/>
      </c>
      <c r="BZ20" s="100" t="str">
        <f aca="false">IF($BL20&lt;&gt;Constants!$B$4,"",IF(OR(NOT($AL20),$AQ20),0,Constants!$B$33))</f>
        <v/>
      </c>
      <c r="CA20" s="100" t="str">
        <f aca="false">IF($BL20&lt;&gt;Constants!$B$4,"",Constants!$B$34*$BN20)</f>
        <v/>
      </c>
      <c r="CB20" s="100" t="str">
        <f aca="false">IF($BL20&lt;&gt;Constants!$B$4,"",IF(OR(NOT($AL20),$BH20),0,Constants!$B$36))</f>
        <v/>
      </c>
      <c r="CC20" s="100" t="str">
        <f aca="false">IF($BL20&lt;&gt;Constants!$B$4,"",IF(OR(NOT($AL20),$BG20),0,Constants!$B$37))</f>
        <v/>
      </c>
      <c r="CD20" s="100" t="str">
        <f aca="false">IF($BL20&lt;&gt;Constants!$B$4,"",SUM($BX20:$CC20))</f>
        <v/>
      </c>
      <c r="CE20" s="100" t="str">
        <f aca="false">IF(ISBLANK($C20),"",IF($BL20&lt;&gt;Constants!$B$4,$BL20,SUM($BO20:$BW20)-$CD20))</f>
        <v/>
      </c>
      <c r="CF20" s="100" t="str">
        <f aca="false">IF(ISBLANK($C20),"",IF($BL20&lt;&gt;Constants!$B$4,$BL20,RANK($CE20,$CE$9:$CE$508)))</f>
        <v/>
      </c>
      <c r="CG20" s="100" t="str">
        <f aca="false">IF(ISBLANK($C20),"",IF($BL20&lt;&gt;Constants!$B$4,$BL20,COUNTIFS($BM$9:$BM$508,"&lt;"&amp;$BM20)+COUNTIFS($BM$9:$BM$508,$BM20,$CF$9:$CF$508,"&lt;"&amp;$CF20)+1))</f>
        <v/>
      </c>
      <c r="CH20" s="100" t="str">
        <f aca="false">IF(ISBLANK($C20),"",IF($BL20&lt;&gt;Constants!$B$4,$BL20,RANK($CD20,$CD$9:$CD$508,1)))</f>
        <v/>
      </c>
      <c r="CI20" s="100" t="str">
        <f aca="false">IF($BL20&lt;&gt;Constants!$B$4,"",$AN20+$AO20+$AP20)</f>
        <v/>
      </c>
      <c r="CJ20" s="100" t="str">
        <f aca="false">IF(ISBLANK($C20),"",IF($BL20&lt;&gt;Constants!$B$4,$BL20,RANK($CI20,$CI$9:$CI$508,1)))</f>
        <v/>
      </c>
      <c r="CK20" s="100" t="str">
        <f aca="false">IF(ISBLANK($C20),"",IF($BL20&lt;&gt;Constants!$B$4,$BL20,COUNTIFS($BM$9:$BM$508,"&lt;"&amp;$BM20)+COUNTIFS($BM$9:$BM$508,$BM20,$CF$9:$CF$508,"&lt;"&amp;$CF20)+COUNTIFS($BM$9:$BM$508,$BM20,$CF$9:$CF$508,$CF20,$CH$9:$CH$508,"&lt;"&amp;$CH20)+COUNTIFS($BM$9:$BM$508,$BM20,$CF$9:$CF$508,$CF20,$CH$9:$CH$508,$CH20,$CJ$9:$CJ$508,"&lt;"&amp;$CJ20)+1))</f>
        <v/>
      </c>
      <c r="CL20" s="100" t="str">
        <f aca="false">IF(ISBLANK($C20),"",IF($BL20&lt;&gt;Constants!$B$4,$BL20,$CG20-$CK20))</f>
        <v/>
      </c>
      <c r="CM20" s="100" t="str">
        <f aca="false">IF(ISBLANK($C20),"",IF(NOT($AL20),"",IF(ISBLANK($D$7),$CM$5,IF(NOT(ISNUMBER($D$7)),$CM$6,""))))</f>
        <v/>
      </c>
      <c r="CN20" s="100" t="str">
        <f aca="false">IF(ISBLANK($C20),"",OR($AN20="",$AO20="",$AP20=""))</f>
        <v/>
      </c>
      <c r="CO20" s="100" t="str">
        <f aca="false">IF(ISBLANK($C20),"",AND($AL20,$BA20=""))</f>
        <v/>
      </c>
      <c r="CP20" s="100" t="str">
        <f aca="false">IF(ISBLANK($C20),"",AND($AL20,$BB20=""))</f>
        <v/>
      </c>
      <c r="CQ20" s="100" t="str">
        <f aca="false">IF(ISBLANK($C20),"",AND($AL20,$BC20=""))</f>
        <v/>
      </c>
      <c r="CR20" s="100" t="str">
        <f aca="false">IF(ISBLANK($C20),"",AND($AL20,$BF20=""))</f>
        <v/>
      </c>
      <c r="CS20" s="100" t="str">
        <f aca="false">IF(ISBLANK($C20),"",AND($AL20,$BJ20=""))</f>
        <v/>
      </c>
      <c r="CT20" s="101"/>
      <c r="CU20" s="102"/>
      <c r="CV20" s="103" t="str">
        <f aca="false">IF(ISBLANK($C20),"",IF($BL20=Constants!$B$8,$CM20,""))</f>
        <v/>
      </c>
      <c r="CW20" s="102" t="str">
        <f aca="false">IF(ISBLANK($C20),"",IF($BL20&lt;&gt;Constants!$B$4,"",$BO20+$BP20))</f>
        <v/>
      </c>
      <c r="CX20" s="104" t="str">
        <f aca="false">IF(ISBLANK($C20),"",IF($BL20&lt;&gt;Constants!$B$4,"",$BQ20+$BR20+$BS20))</f>
        <v/>
      </c>
      <c r="CY20" s="104" t="str">
        <f aca="false">IF(ISBLANK($C20),"",IF($BL20&lt;&gt;Constants!$B$4,"",$BT20))</f>
        <v/>
      </c>
      <c r="CZ20" s="104" t="str">
        <f aca="false">IF(ISBLANK($C20),"",IF($BL20&lt;&gt;Constants!$B$4,"",$BU20+$BV20))</f>
        <v/>
      </c>
      <c r="DA20" s="104" t="str">
        <f aca="false">IF(ISBLANK($C20),"",IF($BL20&lt;&gt;Constants!$B$4,"",$BW20))</f>
        <v/>
      </c>
      <c r="DB20" s="104" t="str">
        <f aca="false">IF(ISBLANK($C20),"",IF($BL20&lt;&gt;Constants!$B$4,"",-$CD20))</f>
        <v/>
      </c>
      <c r="DC20" s="103" t="str">
        <f aca="false">IF(ISBLANK($C20),"",$CE20)</f>
        <v/>
      </c>
      <c r="DD20" s="105" t="str">
        <f aca="false">IF(ISBLANK($C20),"",$BM20)</f>
        <v/>
      </c>
      <c r="DE20" s="104" t="str">
        <f aca="false">IF(ISBLANK($C20),"",$CL20)</f>
        <v/>
      </c>
      <c r="DF20" s="104" t="str">
        <f aca="false">IF(ISBLANK($C20),"",$CK20)</f>
        <v/>
      </c>
      <c r="DG20" s="106" t="str">
        <f aca="false">IF(ISBLANK($C20),"",IF($DF20=Constants!$B$7,COUNTA($C$9:$C$508)+2,IF($DF20=Constants!$B$6,COUNTA($C$9:$C$508)+1,IF($DF20=Constants!$B$5,COUNTA($C$9:$C$508),$DF20))))</f>
        <v/>
      </c>
      <c r="DH20" s="7"/>
      <c r="DI20" s="107" t="n">
        <f aca="false">IF(OR(ISNUMBER($DF20),$DF20=Constants!$B$7,$DF20=Constants!$B$5,$DF20=Constants!$B$6),1,0)</f>
        <v>0</v>
      </c>
      <c r="DJ20" s="107" t="n">
        <v>12</v>
      </c>
      <c r="DK20" s="107" t="str">
        <f aca="false">IF(ISBLANK($C20),"",IF(ISNUMBER($DG20),$DG20+ROW($B20)/1000,""))</f>
        <v/>
      </c>
      <c r="DL20" s="107" t="str">
        <f aca="false">IF(ISNUMBER($DK20),RANK($DK20,$DK$9:$DK$508,1),"")</f>
        <v/>
      </c>
      <c r="DM20" s="107" t="str">
        <f aca="false">IF(ISBLANK($C20),"",$B20)</f>
        <v/>
      </c>
      <c r="DN20" s="107" t="str">
        <f aca="false">IF(ISBLANK($C20),"",$C20)</f>
        <v/>
      </c>
      <c r="DO20" s="107" t="str">
        <f aca="false">IF(ISBLANK($C20),"",$D20)</f>
        <v/>
      </c>
      <c r="DP20" s="108" t="str">
        <f aca="false">$DD20</f>
        <v/>
      </c>
      <c r="DQ20" s="109" t="str">
        <f aca="false">$DC20</f>
        <v/>
      </c>
      <c r="DR20" s="107" t="str">
        <f aca="false">IF(ISBLANK($C20),"",$DF20)</f>
        <v/>
      </c>
      <c r="DS20" s="110" t="str">
        <f aca="false">IF($DJ20&gt;$DI$8,"",VLOOKUP($DJ20,$DL$9:$DR$508,7,FALSE()))</f>
        <v/>
      </c>
      <c r="DT20" s="111" t="str">
        <f aca="false">IF($DJ20&gt;$DI$8,"",VLOOKUP($DJ20,$DL$9:$DR$508,2,FALSE()))</f>
        <v/>
      </c>
      <c r="DU20" s="111" t="str">
        <f aca="false">IF($DJ20&gt;$DI$8,"",VLOOKUP($DJ20,$DL$9:$DR$508,3,FALSE()))</f>
        <v/>
      </c>
      <c r="DV20" s="111" t="str">
        <f aca="false">IF($DJ20&gt;$DI$8,"",VLOOKUP($DJ20,$DL$9:$DR$508,4,FALSE()))</f>
        <v/>
      </c>
      <c r="DW20" s="111" t="str">
        <f aca="false">IF($DJ20&gt;$DI$8,"",VLOOKUP($DJ20,$DL$9:$DR$508,5,FALSE()))</f>
        <v/>
      </c>
      <c r="DX20" s="112" t="str">
        <f aca="false">IF($DJ20&gt;$DI$8,"",VLOOKUP($DJ20,$DL$9:$DR$508,6,FALSE()))</f>
        <v/>
      </c>
      <c r="DY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124"/>
      <c r="N21" s="124"/>
      <c r="O21" s="125"/>
      <c r="P21" s="125"/>
      <c r="Q21" s="124"/>
      <c r="R21" s="124"/>
      <c r="S21" s="124"/>
      <c r="T21" s="124"/>
      <c r="U21" s="125"/>
      <c r="V21" s="124"/>
      <c r="W21" s="70"/>
      <c r="X21" s="124"/>
      <c r="Y21" s="124"/>
      <c r="Z21" s="70"/>
      <c r="AA21" s="70"/>
      <c r="AB21" s="124"/>
      <c r="AC21" s="124"/>
      <c r="AD21" s="124"/>
      <c r="AE21" s="71"/>
      <c r="AF21" s="88"/>
      <c r="AG21" s="73"/>
      <c r="AH21" s="74"/>
      <c r="AI21" s="74"/>
      <c r="AJ21" s="74" t="str">
        <f aca="false">IF(ISBLANK($C21),"",IF($E21=Constants!$B$2,TRUE(),IF($E21=Constants!$B$3,FALSE(),TRUE())))</f>
        <v/>
      </c>
      <c r="AK21" s="74" t="str">
        <f aca="false">IF(ISBLANK($C21),"",IF($F21=Constants!$B$2,TRUE(),IF($F21=Constants!$B$3,FALSE(),FALSE())))</f>
        <v/>
      </c>
      <c r="AL21" s="74" t="str">
        <f aca="false">IF(ISBLANK($C21),"",IF($G21=Constants!$B$2,TRUE(),IF($G21=Constants!$B$3,FALSE(),TRUE())))</f>
        <v/>
      </c>
      <c r="AM21" s="74" t="str">
        <f aca="false">IF(ISBLANK($C21),"",IF($H21=Constants!$B$2,TRUE(),IF($H21=Constants!$B$3,FALSE(),TRUE())))</f>
        <v/>
      </c>
      <c r="AN21" s="74" t="str">
        <f aca="false">IF(ISBLANK($C21),"",IF(ISNUMBER($I21),IF($I21&gt;=0,$I21,""),""))</f>
        <v/>
      </c>
      <c r="AO21" s="74" t="str">
        <f aca="false">IF(ISBLANK($C21),"",IF(ISNUMBER($J21),IF($J21&gt;=0,$J21,""),""))</f>
        <v/>
      </c>
      <c r="AP21" s="74" t="str">
        <f aca="false">IF(ISBLANK($C21),"",IF(ISNUMBER($K21),IF($K21&gt;=0,$K21,""),""))</f>
        <v/>
      </c>
      <c r="AQ21" s="74" t="str">
        <f aca="false">IF(ISBLANK($C21),"",IF($L21=Constants!$B$2,TRUE(),IF($L21=Constants!$B$3,FALSE(),TRUE())))</f>
        <v/>
      </c>
      <c r="AR21" s="74" t="str">
        <f aca="false">IF(ISBLANK($C21),"",IF($M21=Constants!$B$2,TRUE(),IF($M21=Constants!$B$3,FALSE(),TRUE())))</f>
        <v/>
      </c>
      <c r="AS21" s="74" t="str">
        <f aca="false">IF(ISBLANK($C21),"",IF($N21=Constants!$B$2,TRUE(),IF($N21=Constants!$B$3,FALSE(),FALSE())))</f>
        <v/>
      </c>
      <c r="AT21" s="74" t="str">
        <f aca="false">IF(ISBLANK($C21),"",IF($O21=Constants!$B$2,TRUE(),IF($O21=Constants!$B$3,FALSE(),TRUE())))</f>
        <v/>
      </c>
      <c r="AU21" s="74" t="str">
        <f aca="false">IF(ISBLANK($C21),"",IF($P21=Constants!$B$2,TRUE(),IF($P21=Constants!$B$3,FALSE(),TRUE())))</f>
        <v/>
      </c>
      <c r="AV21" s="74" t="str">
        <f aca="false">IF(ISBLANK($C21),"",IF($Q21=Constants!$B$2,TRUE(),IF($Q21=Constants!$B$3,FALSE(),FALSE())))</f>
        <v/>
      </c>
      <c r="AW21" s="74" t="str">
        <f aca="false">IF(ISBLANK($C21),"",IF($R21=Constants!$B$2,TRUE(),IF($R21=Constants!$B$3,FALSE(),FALSE())))</f>
        <v/>
      </c>
      <c r="AX21" s="74" t="str">
        <f aca="false">IF(ISBLANK($C21),"",IF($S21=Constants!$B$2,TRUE(),IF($S21=Constants!$B$3,FALSE(),FALSE())))</f>
        <v/>
      </c>
      <c r="AY21" s="74" t="str">
        <f aca="false">IF(ISBLANK($C21),"",IF($T21=Constants!$B$2,TRUE(),IF($T21=Constants!$B$3,FALSE(),FALSE())))</f>
        <v/>
      </c>
      <c r="AZ21" s="74" t="str">
        <f aca="false">IF(ISBLANK($C21),"",IF($U21=Constants!$B$2,TRUE(),IF($U21=Constants!$B$3,FALSE(),FALSE())))</f>
        <v/>
      </c>
      <c r="BA21" s="74" t="str">
        <f aca="false">IF(ISBLANK($C21),"",IF(OR($V21&amp;""="1",$V21&amp;""="2",$V21&amp;""="3",$V21&amp;""="4"),VALUE($V21&amp;""),IF($V21=Constants!$B$12,Constants!$B$12,"")))</f>
        <v/>
      </c>
      <c r="BB21" s="74" t="str">
        <f aca="false">IF(ISBLANK($C21),"",IF(ISBLANK($W21),0,IF(ISNUMBER($W21),IF(AND($W21&gt;=0,$W21&lt;=Constants!$B$21,$W21=INT($W21)),$W21,""),"")))</f>
        <v/>
      </c>
      <c r="BC21" s="74" t="str">
        <f aca="false">IF(ISBLANK($C21),"",IF(ISBLANK($X21),0,IF(ISNUMBER($X21),IF($X21&gt;=0,$X21,""),"")))</f>
        <v/>
      </c>
      <c r="BD21" s="74" t="str">
        <f aca="false">IF(ISBLANK($C21),"",IF($Y21=Constants!$B$2,TRUE(),IF($Y21=Constants!$B$3,FALSE(),TRUE())))</f>
        <v/>
      </c>
      <c r="BE21" s="74" t="str">
        <f aca="false">IF(ISBLANK($C21),"",IF($Z21=Constants!$B$2,TRUE(),IF($Z21=Constants!$B$3,FALSE(),FALSE())))</f>
        <v/>
      </c>
      <c r="BF21" s="74" t="str">
        <f aca="false">IF(ISBLANK($C21),"",IF(ISBLANK($AA21),0,IF(ISNUMBER($AA21),IF(AND($AA21&gt;=0,$AA21&lt;=Constants!$B$35,$AA21=INT($AA21)),$AA21,""),"")))</f>
        <v/>
      </c>
      <c r="BG21" s="74" t="str">
        <f aca="false">IF(ISBLANK($C21),"",IF($AB21=Constants!$B$2,TRUE(),IF($AB21=Constants!$B$3,FALSE(),TRUE())))</f>
        <v/>
      </c>
      <c r="BH21" s="74" t="str">
        <f aca="false">IF(ISBLANK($C21),"",IF($AC21=Constants!$B$2,TRUE(),IF($AC21=Constants!$B$3,FALSE(),TRUE())))</f>
        <v/>
      </c>
      <c r="BI21" s="74" t="str">
        <f aca="false">IF(ISBLANK($C21),"",IF($AD21=Constants!$B$2,TRUE(),IF($AD21=Constants!$B$3,FALSE(),TRUE())))</f>
        <v/>
      </c>
      <c r="BJ21" s="74" t="str">
        <f aca="false">IF(ISBLANK($C21),"",IF(ISNUMBER($AE21),IF($AE21&gt;=0,$AE21,""),""))</f>
        <v/>
      </c>
      <c r="BK21" s="74" t="str">
        <f aca="false">IF(ISBLANK($C21),"",IF($AF21=Constants!$B$2,TRUE(),IF($AF21=Constants!$B$3,FALSE(),FALSE())))</f>
        <v/>
      </c>
      <c r="BL21" s="73" t="str">
        <f aca="false">IF(ISBLANK($C21),"",IF($BK21,Constants!$B$7,IF(COUNTA($E21:$AE21)=0,Constants!$B$6,IF(OR(COUNTA($G21:$AE21)=0,NOT($AM21),$AS21),Constants!$B$5,IF(OR($CM21&lt;&gt;"",$CN21,$CO21,$CP21,$CQ21,$CR21,$CS21),Constants!$B$8,Constants!$B$4)))))</f>
        <v/>
      </c>
      <c r="BM21" s="74" t="str">
        <f aca="false">IF(ISBLANK($C21),"",IF($BL21&lt;&gt;Constants!$B$4,$BL21,IF(OR(NOT($AJ21),NOT($AL21),NOT($AT21)),Constants!$B$11,IF(OR(NOT($AR21),NOT($AU21),NOT($BI21),MAX($AN21,$AO21,$AP21)&gt;Constants!$B$30),Constants!$B$10,Constants!$B$9))))</f>
        <v/>
      </c>
      <c r="BN21" s="74" t="str">
        <f aca="false">IF($BL21&lt;&gt;Constants!$B$4,"",IF(NOT($AL21),0,MIN(Constants!$B$35,$BF21)))</f>
        <v/>
      </c>
      <c r="BO21" s="74" t="str">
        <f aca="false">IF($BL21&lt;&gt;Constants!$B$4,"",IF(NOT($AL21),0,IF($AW21,Constants!$B$18,IF($AV21,Constants!$B$17,0))))</f>
        <v/>
      </c>
      <c r="BP21" s="74" t="str">
        <f aca="false">IF($BL21&lt;&gt;Constants!$B$4,"",IF(NOT($AL21),0,Constants!$B$19*($AK21+$AX21+$AY21+$AZ21)))</f>
        <v/>
      </c>
      <c r="BQ21" s="74" t="str">
        <f aca="false">IF($BL21&lt;&gt;Constants!$B$4,"",IF(OR(NOT($AL21),NOT(ISNUMBER($BA21))),0,CHOOSE($BA21,Constants!$B$13,Constants!$B$14,Constants!$B$15,Constants!$B$16)))</f>
        <v/>
      </c>
      <c r="BR21" s="74" t="str">
        <f aca="false">IF($BL21&lt;&gt;Constants!$B$4,"",IF(NOT($AL21),0,Constants!$B$20*$BB21))</f>
        <v/>
      </c>
      <c r="BS21" s="74" t="str">
        <f aca="false">IF($BL21&lt;&gt;Constants!$B$4,"",IF(AND($AL21,$BD21,$BE21),Constants!$B$22,0))</f>
        <v/>
      </c>
      <c r="BT21" s="74" t="str">
        <f aca="false">IF($BL21&lt;&gt;Constants!$B$4,"",IF(OR(NOT($AL21),NOT($BD21)),0,IF($BJ21&gt;=2*$AH$9,0,Constants!$B$23*INT(ROUND(MIN($BJ21,$AH$9),6)))))</f>
        <v/>
      </c>
      <c r="BU21" s="74" t="str">
        <f aca="false">IF($BL21&lt;&gt;Constants!$B$4,"",IF(NOT($AL21),0,Constants!$B$24*INT(ROUND(MIN($BC21,$AH$9),6))))</f>
        <v/>
      </c>
      <c r="BV21" s="74" t="str">
        <f aca="false">IF($BL21&lt;&gt;Constants!$B$4,"",IF(AND($AL21,$BN21=0),Constants!$B$25,0))</f>
        <v/>
      </c>
      <c r="BW21" s="74" t="str">
        <f aca="false">IF($BL21&lt;&gt;Constants!$B$4,"",MIN(Constants!$B$29,MAX(0,Constants!$B$27*Constants!$B$28*INT(ROUND((Constants!$B$26-$AN21)/Constants!$B$28,6))))+MIN(Constants!$B$29,MAX(0,Constants!$B$27*Constants!$B$28*INT(ROUND((Constants!$B$26-$AO21)/Constants!$B$28,6))))+MIN(Constants!$B$29,MAX(0,Constants!$B$27*Constants!$B$28*INT(ROUND((Constants!$B$26-$AP21)/Constants!$B$28,6)))))</f>
        <v/>
      </c>
      <c r="BX21" s="74" t="str">
        <f aca="false">IF($BL21&lt;&gt;Constants!$B$4,"",IF(NOT($AL21),0,Constants!$B$31*INT(ROUND(MAX(0,MIN($BJ21,2*$AH$9)-$AH$9),6))))</f>
        <v/>
      </c>
      <c r="BY21" s="74" t="str">
        <f aca="false">IF($BL21&lt;&gt;Constants!$B$4,"",Constants!$B$32*(($AN21&gt;Constants!$B$26)+($AO21&gt;Constants!$B$26)+($AP21&gt;Constants!$B$26)))</f>
        <v/>
      </c>
      <c r="BZ21" s="74" t="str">
        <f aca="false">IF($BL21&lt;&gt;Constants!$B$4,"",IF(OR(NOT($AL21),$AQ21),0,Constants!$B$33))</f>
        <v/>
      </c>
      <c r="CA21" s="74" t="str">
        <f aca="false">IF($BL21&lt;&gt;Constants!$B$4,"",Constants!$B$34*$BN21)</f>
        <v/>
      </c>
      <c r="CB21" s="74" t="str">
        <f aca="false">IF($BL21&lt;&gt;Constants!$B$4,"",IF(OR(NOT($AL21),$BH21),0,Constants!$B$36))</f>
        <v/>
      </c>
      <c r="CC21" s="74" t="str">
        <f aca="false">IF($BL21&lt;&gt;Constants!$B$4,"",IF(OR(NOT($AL21),$BG21),0,Constants!$B$37))</f>
        <v/>
      </c>
      <c r="CD21" s="74" t="str">
        <f aca="false">IF($BL21&lt;&gt;Constants!$B$4,"",SUM($BX21:$CC21))</f>
        <v/>
      </c>
      <c r="CE21" s="74" t="str">
        <f aca="false">IF(ISBLANK($C21),"",IF($BL21&lt;&gt;Constants!$B$4,$BL21,SUM($BO21:$BW21)-$CD21))</f>
        <v/>
      </c>
      <c r="CF21" s="74" t="str">
        <f aca="false">IF(ISBLANK($C21),"",IF($BL21&lt;&gt;Constants!$B$4,$BL21,RANK($CE21,$CE$9:$CE$508)))</f>
        <v/>
      </c>
      <c r="CG21" s="74" t="str">
        <f aca="false">IF(ISBLANK($C21),"",IF($BL21&lt;&gt;Constants!$B$4,$BL21,COUNTIFS($BM$9:$BM$508,"&lt;"&amp;$BM21)+COUNTIFS($BM$9:$BM$508,$BM21,$CF$9:$CF$508,"&lt;"&amp;$CF21)+1))</f>
        <v/>
      </c>
      <c r="CH21" s="74" t="str">
        <f aca="false">IF(ISBLANK($C21),"",IF($BL21&lt;&gt;Constants!$B$4,$BL21,RANK($CD21,$CD$9:$CD$508,1)))</f>
        <v/>
      </c>
      <c r="CI21" s="74" t="str">
        <f aca="false">IF($BL21&lt;&gt;Constants!$B$4,"",$AN21+$AO21+$AP21)</f>
        <v/>
      </c>
      <c r="CJ21" s="74" t="str">
        <f aca="false">IF(ISBLANK($C21),"",IF($BL21&lt;&gt;Constants!$B$4,$BL21,RANK($CI21,$CI$9:$CI$508,1)))</f>
        <v/>
      </c>
      <c r="CK21" s="74" t="str">
        <f aca="false">IF(ISBLANK($C21),"",IF($BL21&lt;&gt;Constants!$B$4,$BL21,COUNTIFS($BM$9:$BM$508,"&lt;"&amp;$BM21)+COUNTIFS($BM$9:$BM$508,$BM21,$CF$9:$CF$508,"&lt;"&amp;$CF21)+COUNTIFS($BM$9:$BM$508,$BM21,$CF$9:$CF$508,$CF21,$CH$9:$CH$508,"&lt;"&amp;$CH21)+COUNTIFS($BM$9:$BM$508,$BM21,$CF$9:$CF$508,$CF21,$CH$9:$CH$508,$CH21,$CJ$9:$CJ$508,"&lt;"&amp;$CJ21)+1))</f>
        <v/>
      </c>
      <c r="CL21" s="74" t="str">
        <f aca="false">IF(ISBLANK($C21),"",IF($BL21&lt;&gt;Constants!$B$4,$BL21,$CG21-$CK21))</f>
        <v/>
      </c>
      <c r="CM21" s="74" t="str">
        <f aca="false">IF(ISBLANK($C21),"",IF(NOT($AL21),"",IF(ISBLANK($D$7),$CM$5,IF(NOT(ISNUMBER($D$7)),$CM$6,""))))</f>
        <v/>
      </c>
      <c r="CN21" s="74" t="str">
        <f aca="false">IF(ISBLANK($C21),"",OR($AN21="",$AO21="",$AP21=""))</f>
        <v/>
      </c>
      <c r="CO21" s="74" t="str">
        <f aca="false">IF(ISBLANK($C21),"",AND($AL21,$BA21=""))</f>
        <v/>
      </c>
      <c r="CP21" s="74" t="str">
        <f aca="false">IF(ISBLANK($C21),"",AND($AL21,$BB21=""))</f>
        <v/>
      </c>
      <c r="CQ21" s="74" t="str">
        <f aca="false">IF(ISBLANK($C21),"",AND($AL21,$BC21=""))</f>
        <v/>
      </c>
      <c r="CR21" s="74" t="str">
        <f aca="false">IF(ISBLANK($C21),"",AND($AL21,$BF21=""))</f>
        <v/>
      </c>
      <c r="CS21" s="74" t="str">
        <f aca="false">IF(ISBLANK($C21),"",AND($AL21,$BJ21=""))</f>
        <v/>
      </c>
      <c r="CT21" s="75"/>
      <c r="CU21" s="76"/>
      <c r="CV21" s="79" t="str">
        <f aca="false">IF(ISBLANK($C21),"",IF($BL21=Constants!$B$8,$CM21,""))</f>
        <v/>
      </c>
      <c r="CW21" s="76" t="str">
        <f aca="false">IF(ISBLANK($C21),"",IF($BL21&lt;&gt;Constants!$B$4,"",$BO21+$BP21))</f>
        <v/>
      </c>
      <c r="CX21" s="78" t="str">
        <f aca="false">IF(ISBLANK($C21),"",IF($BL21&lt;&gt;Constants!$B$4,"",$BQ21+$BR21+$BS21))</f>
        <v/>
      </c>
      <c r="CY21" s="78" t="str">
        <f aca="false">IF(ISBLANK($C21),"",IF($BL21&lt;&gt;Constants!$B$4,"",$BT21))</f>
        <v/>
      </c>
      <c r="CZ21" s="78" t="str">
        <f aca="false">IF(ISBLANK($C21),"",IF($BL21&lt;&gt;Constants!$B$4,"",$BU21+$BV21))</f>
        <v/>
      </c>
      <c r="DA21" s="78" t="str">
        <f aca="false">IF(ISBLANK($C21),"",IF($BL21&lt;&gt;Constants!$B$4,"",$BW21))</f>
        <v/>
      </c>
      <c r="DB21" s="78" t="str">
        <f aca="false">IF(ISBLANK($C21),"",IF($BL21&lt;&gt;Constants!$B$4,"",-$CD21))</f>
        <v/>
      </c>
      <c r="DC21" s="79" t="str">
        <f aca="false">IF(ISBLANK($C21),"",$CE21)</f>
        <v/>
      </c>
      <c r="DD21" s="80" t="str">
        <f aca="false">IF(ISBLANK($C21),"",$BM21)</f>
        <v/>
      </c>
      <c r="DE21" s="78" t="str">
        <f aca="false">IF(ISBLANK($C21),"",$CL21)</f>
        <v/>
      </c>
      <c r="DF21" s="78" t="str">
        <f aca="false">IF(ISBLANK($C21),"",$CK21)</f>
        <v/>
      </c>
      <c r="DG21" s="81" t="str">
        <f aca="false">IF(ISBLANK($C21),"",IF($DF21=Constants!$B$7,COUNTA($C$9:$C$508)+2,IF($DF21=Constants!$B$6,COUNTA($C$9:$C$508)+1,IF($DF21=Constants!$B$5,COUNTA($C$9:$C$508),$DF21))))</f>
        <v/>
      </c>
      <c r="DH21" s="7"/>
      <c r="DI21" s="82" t="n">
        <f aca="false">IF(OR(ISNUMBER($DF21),$DF21=Constants!$B$7,$DF21=Constants!$B$5,$DF21=Constants!$B$6),1,0)</f>
        <v>0</v>
      </c>
      <c r="DJ21" s="82" t="n">
        <v>13</v>
      </c>
      <c r="DK21" s="82" t="str">
        <f aca="false">IF(ISBLANK($C21),"",IF(ISNUMBER($DG21),$DG21+ROW($B21)/1000,""))</f>
        <v/>
      </c>
      <c r="DL21" s="82" t="str">
        <f aca="false">IF(ISNUMBER($DK21),RANK($DK21,$DK$9:$DK$508,1),"")</f>
        <v/>
      </c>
      <c r="DM21" s="82" t="str">
        <f aca="false">IF(ISBLANK($C21),"",$B21)</f>
        <v/>
      </c>
      <c r="DN21" s="82" t="str">
        <f aca="false">IF(ISBLANK($C21),"",$C21)</f>
        <v/>
      </c>
      <c r="DO21" s="82" t="str">
        <f aca="false">IF(ISBLANK($C21),"",$D21)</f>
        <v/>
      </c>
      <c r="DP21" s="83" t="str">
        <f aca="false">$DD21</f>
        <v/>
      </c>
      <c r="DQ21" s="84" t="str">
        <f aca="false">$DC21</f>
        <v/>
      </c>
      <c r="DR21" s="82" t="str">
        <f aca="false">IF(ISBLANK($C21),"",$DF21)</f>
        <v/>
      </c>
      <c r="DS21" s="85" t="str">
        <f aca="false">IF($DJ21&gt;$DI$8,"",VLOOKUP($DJ21,$DL$9:$DR$508,7,FALSE()))</f>
        <v/>
      </c>
      <c r="DT21" s="86" t="str">
        <f aca="false">IF($DJ21&gt;$DI$8,"",VLOOKUP($DJ21,$DL$9:$DR$508,2,FALSE()))</f>
        <v/>
      </c>
      <c r="DU21" s="86" t="str">
        <f aca="false">IF($DJ21&gt;$DI$8,"",VLOOKUP($DJ21,$DL$9:$DR$508,3,FALSE()))</f>
        <v/>
      </c>
      <c r="DV21" s="86" t="str">
        <f aca="false">IF($DJ21&gt;$DI$8,"",VLOOKUP($DJ21,$DL$9:$DR$508,4,FALSE()))</f>
        <v/>
      </c>
      <c r="DW21" s="86" t="str">
        <f aca="false">IF($DJ21&gt;$DI$8,"",VLOOKUP($DJ21,$DL$9:$DR$508,5,FALSE()))</f>
        <v/>
      </c>
      <c r="DX21" s="87" t="str">
        <f aca="false">IF($DJ21&gt;$DI$8,"",VLOOKUP($DJ21,$DL$9:$DR$508,6,FALSE()))</f>
        <v/>
      </c>
      <c r="DY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17"/>
      <c r="N22" s="117"/>
      <c r="O22" s="118"/>
      <c r="P22" s="118"/>
      <c r="Q22" s="117"/>
      <c r="R22" s="117"/>
      <c r="S22" s="117"/>
      <c r="T22" s="117"/>
      <c r="U22" s="118"/>
      <c r="V22" s="117"/>
      <c r="W22" s="120"/>
      <c r="X22" s="117"/>
      <c r="Y22" s="117"/>
      <c r="Z22" s="120"/>
      <c r="AA22" s="120"/>
      <c r="AB22" s="117"/>
      <c r="AC22" s="117"/>
      <c r="AD22" s="117"/>
      <c r="AE22" s="121"/>
      <c r="AF22" s="122"/>
      <c r="AG22" s="73"/>
      <c r="AH22" s="74"/>
      <c r="AI22" s="74"/>
      <c r="AJ22" s="74" t="str">
        <f aca="false">IF(ISBLANK($C22),"",IF($E22=Constants!$B$2,TRUE(),IF($E22=Constants!$B$3,FALSE(),TRUE())))</f>
        <v/>
      </c>
      <c r="AK22" s="74" t="str">
        <f aca="false">IF(ISBLANK($C22),"",IF($F22=Constants!$B$2,TRUE(),IF($F22=Constants!$B$3,FALSE(),FALSE())))</f>
        <v/>
      </c>
      <c r="AL22" s="74" t="str">
        <f aca="false">IF(ISBLANK($C22),"",IF($G22=Constants!$B$2,TRUE(),IF($G22=Constants!$B$3,FALSE(),TRUE())))</f>
        <v/>
      </c>
      <c r="AM22" s="74" t="str">
        <f aca="false">IF(ISBLANK($C22),"",IF($H22=Constants!$B$2,TRUE(),IF($H22=Constants!$B$3,FALSE(),TRUE())))</f>
        <v/>
      </c>
      <c r="AN22" s="74" t="str">
        <f aca="false">IF(ISBLANK($C22),"",IF(ISNUMBER($I22),IF($I22&gt;=0,$I22,""),""))</f>
        <v/>
      </c>
      <c r="AO22" s="74" t="str">
        <f aca="false">IF(ISBLANK($C22),"",IF(ISNUMBER($J22),IF($J22&gt;=0,$J22,""),""))</f>
        <v/>
      </c>
      <c r="AP22" s="74" t="str">
        <f aca="false">IF(ISBLANK($C22),"",IF(ISNUMBER($K22),IF($K22&gt;=0,$K22,""),""))</f>
        <v/>
      </c>
      <c r="AQ22" s="74" t="str">
        <f aca="false">IF(ISBLANK($C22),"",IF($L22=Constants!$B$2,TRUE(),IF($L22=Constants!$B$3,FALSE(),TRUE())))</f>
        <v/>
      </c>
      <c r="AR22" s="74" t="str">
        <f aca="false">IF(ISBLANK($C22),"",IF($M22=Constants!$B$2,TRUE(),IF($M22=Constants!$B$3,FALSE(),TRUE())))</f>
        <v/>
      </c>
      <c r="AS22" s="74" t="str">
        <f aca="false">IF(ISBLANK($C22),"",IF($N22=Constants!$B$2,TRUE(),IF($N22=Constants!$B$3,FALSE(),FALSE())))</f>
        <v/>
      </c>
      <c r="AT22" s="74" t="str">
        <f aca="false">IF(ISBLANK($C22),"",IF($O22=Constants!$B$2,TRUE(),IF($O22=Constants!$B$3,FALSE(),TRUE())))</f>
        <v/>
      </c>
      <c r="AU22" s="74" t="str">
        <f aca="false">IF(ISBLANK($C22),"",IF($P22=Constants!$B$2,TRUE(),IF($P22=Constants!$B$3,FALSE(),TRUE())))</f>
        <v/>
      </c>
      <c r="AV22" s="74" t="str">
        <f aca="false">IF(ISBLANK($C22),"",IF($Q22=Constants!$B$2,TRUE(),IF($Q22=Constants!$B$3,FALSE(),FALSE())))</f>
        <v/>
      </c>
      <c r="AW22" s="74" t="str">
        <f aca="false">IF(ISBLANK($C22),"",IF($R22=Constants!$B$2,TRUE(),IF($R22=Constants!$B$3,FALSE(),FALSE())))</f>
        <v/>
      </c>
      <c r="AX22" s="74" t="str">
        <f aca="false">IF(ISBLANK($C22),"",IF($S22=Constants!$B$2,TRUE(),IF($S22=Constants!$B$3,FALSE(),FALSE())))</f>
        <v/>
      </c>
      <c r="AY22" s="74" t="str">
        <f aca="false">IF(ISBLANK($C22),"",IF($T22=Constants!$B$2,TRUE(),IF($T22=Constants!$B$3,FALSE(),FALSE())))</f>
        <v/>
      </c>
      <c r="AZ22" s="74" t="str">
        <f aca="false">IF(ISBLANK($C22),"",IF($U22=Constants!$B$2,TRUE(),IF($U22=Constants!$B$3,FALSE(),FALSE())))</f>
        <v/>
      </c>
      <c r="BA22" s="74" t="str">
        <f aca="false">IF(ISBLANK($C22),"",IF(OR($V22&amp;""="1",$V22&amp;""="2",$V22&amp;""="3",$V22&amp;""="4"),VALUE($V22&amp;""),IF($V22=Constants!$B$12,Constants!$B$12,"")))</f>
        <v/>
      </c>
      <c r="BB22" s="74" t="str">
        <f aca="false">IF(ISBLANK($C22),"",IF(ISBLANK($W22),0,IF(ISNUMBER($W22),IF(AND($W22&gt;=0,$W22&lt;=Constants!$B$21,$W22=INT($W22)),$W22,""),"")))</f>
        <v/>
      </c>
      <c r="BC22" s="74" t="str">
        <f aca="false">IF(ISBLANK($C22),"",IF(ISBLANK($X22),0,IF(ISNUMBER($X22),IF($X22&gt;=0,$X22,""),"")))</f>
        <v/>
      </c>
      <c r="BD22" s="74" t="str">
        <f aca="false">IF(ISBLANK($C22),"",IF($Y22=Constants!$B$2,TRUE(),IF($Y22=Constants!$B$3,FALSE(),TRUE())))</f>
        <v/>
      </c>
      <c r="BE22" s="74" t="str">
        <f aca="false">IF(ISBLANK($C22),"",IF($Z22=Constants!$B$2,TRUE(),IF($Z22=Constants!$B$3,FALSE(),FALSE())))</f>
        <v/>
      </c>
      <c r="BF22" s="74" t="str">
        <f aca="false">IF(ISBLANK($C22),"",IF(ISBLANK($AA22),0,IF(ISNUMBER($AA22),IF(AND($AA22&gt;=0,$AA22&lt;=Constants!$B$35,$AA22=INT($AA22)),$AA22,""),"")))</f>
        <v/>
      </c>
      <c r="BG22" s="74" t="str">
        <f aca="false">IF(ISBLANK($C22),"",IF($AB22=Constants!$B$2,TRUE(),IF($AB22=Constants!$B$3,FALSE(),TRUE())))</f>
        <v/>
      </c>
      <c r="BH22" s="74" t="str">
        <f aca="false">IF(ISBLANK($C22),"",IF($AC22=Constants!$B$2,TRUE(),IF($AC22=Constants!$B$3,FALSE(),TRUE())))</f>
        <v/>
      </c>
      <c r="BI22" s="74" t="str">
        <f aca="false">IF(ISBLANK($C22),"",IF($AD22=Constants!$B$2,TRUE(),IF($AD22=Constants!$B$3,FALSE(),TRUE())))</f>
        <v/>
      </c>
      <c r="BJ22" s="74" t="str">
        <f aca="false">IF(ISBLANK($C22),"",IF(ISNUMBER($AE22),IF($AE22&gt;=0,$AE22,""),""))</f>
        <v/>
      </c>
      <c r="BK22" s="74" t="str">
        <f aca="false">IF(ISBLANK($C22),"",IF($AF22=Constants!$B$2,TRUE(),IF($AF22=Constants!$B$3,FALSE(),FALSE())))</f>
        <v/>
      </c>
      <c r="BL22" s="73" t="str">
        <f aca="false">IF(ISBLANK($C22),"",IF($BK22,Constants!$B$7,IF(COUNTA($E22:$AE22)=0,Constants!$B$6,IF(OR(COUNTA($G22:$AE22)=0,NOT($AM22),$AS22),Constants!$B$5,IF(OR($CM22&lt;&gt;"",$CN22,$CO22,$CP22,$CQ22,$CR22,$CS22),Constants!$B$8,Constants!$B$4)))))</f>
        <v/>
      </c>
      <c r="BM22" s="74" t="str">
        <f aca="false">IF(ISBLANK($C22),"",IF($BL22&lt;&gt;Constants!$B$4,$BL22,IF(OR(NOT($AJ22),NOT($AL22),NOT($AT22)),Constants!$B$11,IF(OR(NOT($AR22),NOT($AU22),NOT($BI22),MAX($AN22,$AO22,$AP22)&gt;Constants!$B$30),Constants!$B$10,Constants!$B$9))))</f>
        <v/>
      </c>
      <c r="BN22" s="74" t="str">
        <f aca="false">IF($BL22&lt;&gt;Constants!$B$4,"",IF(NOT($AL22),0,MIN(Constants!$B$35,$BF22)))</f>
        <v/>
      </c>
      <c r="BO22" s="74" t="str">
        <f aca="false">IF($BL22&lt;&gt;Constants!$B$4,"",IF(NOT($AL22),0,IF($AW22,Constants!$B$18,IF($AV22,Constants!$B$17,0))))</f>
        <v/>
      </c>
      <c r="BP22" s="74" t="str">
        <f aca="false">IF($BL22&lt;&gt;Constants!$B$4,"",IF(NOT($AL22),0,Constants!$B$19*($AK22+$AX22+$AY22+$AZ22)))</f>
        <v/>
      </c>
      <c r="BQ22" s="74" t="str">
        <f aca="false">IF($BL22&lt;&gt;Constants!$B$4,"",IF(OR(NOT($AL22),NOT(ISNUMBER($BA22))),0,CHOOSE($BA22,Constants!$B$13,Constants!$B$14,Constants!$B$15,Constants!$B$16)))</f>
        <v/>
      </c>
      <c r="BR22" s="74" t="str">
        <f aca="false">IF($BL22&lt;&gt;Constants!$B$4,"",IF(NOT($AL22),0,Constants!$B$20*$BB22))</f>
        <v/>
      </c>
      <c r="BS22" s="74" t="str">
        <f aca="false">IF($BL22&lt;&gt;Constants!$B$4,"",IF(AND($AL22,$BD22,$BE22),Constants!$B$22,0))</f>
        <v/>
      </c>
      <c r="BT22" s="74" t="str">
        <f aca="false">IF($BL22&lt;&gt;Constants!$B$4,"",IF(OR(NOT($AL22),NOT($BD22)),0,IF($BJ22&gt;=2*$AH$9,0,Constants!$B$23*INT(ROUND(MIN($BJ22,$AH$9),6)))))</f>
        <v/>
      </c>
      <c r="BU22" s="74" t="str">
        <f aca="false">IF($BL22&lt;&gt;Constants!$B$4,"",IF(NOT($AL22),0,Constants!$B$24*INT(ROUND(MIN($BC22,$AH$9),6))))</f>
        <v/>
      </c>
      <c r="BV22" s="74" t="str">
        <f aca="false">IF($BL22&lt;&gt;Constants!$B$4,"",IF(AND($AL22,$BN22=0),Constants!$B$25,0))</f>
        <v/>
      </c>
      <c r="BW22" s="74" t="str">
        <f aca="false">IF($BL22&lt;&gt;Constants!$B$4,"",MIN(Constants!$B$29,MAX(0,Constants!$B$27*Constants!$B$28*INT(ROUND((Constants!$B$26-$AN22)/Constants!$B$28,6))))+MIN(Constants!$B$29,MAX(0,Constants!$B$27*Constants!$B$28*INT(ROUND((Constants!$B$26-$AO22)/Constants!$B$28,6))))+MIN(Constants!$B$29,MAX(0,Constants!$B$27*Constants!$B$28*INT(ROUND((Constants!$B$26-$AP22)/Constants!$B$28,6)))))</f>
        <v/>
      </c>
      <c r="BX22" s="74" t="str">
        <f aca="false">IF($BL22&lt;&gt;Constants!$B$4,"",IF(NOT($AL22),0,Constants!$B$31*INT(ROUND(MAX(0,MIN($BJ22,2*$AH$9)-$AH$9),6))))</f>
        <v/>
      </c>
      <c r="BY22" s="74" t="str">
        <f aca="false">IF($BL22&lt;&gt;Constants!$B$4,"",Constants!$B$32*(($AN22&gt;Constants!$B$26)+($AO22&gt;Constants!$B$26)+($AP22&gt;Constants!$B$26)))</f>
        <v/>
      </c>
      <c r="BZ22" s="74" t="str">
        <f aca="false">IF($BL22&lt;&gt;Constants!$B$4,"",IF(OR(NOT($AL22),$AQ22),0,Constants!$B$33))</f>
        <v/>
      </c>
      <c r="CA22" s="74" t="str">
        <f aca="false">IF($BL22&lt;&gt;Constants!$B$4,"",Constants!$B$34*$BN22)</f>
        <v/>
      </c>
      <c r="CB22" s="74" t="str">
        <f aca="false">IF($BL22&lt;&gt;Constants!$B$4,"",IF(OR(NOT($AL22),$BH22),0,Constants!$B$36))</f>
        <v/>
      </c>
      <c r="CC22" s="74" t="str">
        <f aca="false">IF($BL22&lt;&gt;Constants!$B$4,"",IF(OR(NOT($AL22),$BG22),0,Constants!$B$37))</f>
        <v/>
      </c>
      <c r="CD22" s="74" t="str">
        <f aca="false">IF($BL22&lt;&gt;Constants!$B$4,"",SUM($BX22:$CC22))</f>
        <v/>
      </c>
      <c r="CE22" s="74" t="str">
        <f aca="false">IF(ISBLANK($C22),"",IF($BL22&lt;&gt;Constants!$B$4,$BL22,SUM($BO22:$BW22)-$CD22))</f>
        <v/>
      </c>
      <c r="CF22" s="74" t="str">
        <f aca="false">IF(ISBLANK($C22),"",IF($BL22&lt;&gt;Constants!$B$4,$BL22,RANK($CE22,$CE$9:$CE$508)))</f>
        <v/>
      </c>
      <c r="CG22" s="74" t="str">
        <f aca="false">IF(ISBLANK($C22),"",IF($BL22&lt;&gt;Constants!$B$4,$BL22,COUNTIFS($BM$9:$BM$508,"&lt;"&amp;$BM22)+COUNTIFS($BM$9:$BM$508,$BM22,$CF$9:$CF$508,"&lt;"&amp;$CF22)+1))</f>
        <v/>
      </c>
      <c r="CH22" s="74" t="str">
        <f aca="false">IF(ISBLANK($C22),"",IF($BL22&lt;&gt;Constants!$B$4,$BL22,RANK($CD22,$CD$9:$CD$508,1)))</f>
        <v/>
      </c>
      <c r="CI22" s="74" t="str">
        <f aca="false">IF($BL22&lt;&gt;Constants!$B$4,"",$AN22+$AO22+$AP22)</f>
        <v/>
      </c>
      <c r="CJ22" s="74" t="str">
        <f aca="false">IF(ISBLANK($C22),"",IF($BL22&lt;&gt;Constants!$B$4,$BL22,RANK($CI22,$CI$9:$CI$508,1)))</f>
        <v/>
      </c>
      <c r="CK22" s="74" t="str">
        <f aca="false">IF(ISBLANK($C22),"",IF($BL22&lt;&gt;Constants!$B$4,$BL22,COUNTIFS($BM$9:$BM$508,"&lt;"&amp;$BM22)+COUNTIFS($BM$9:$BM$508,$BM22,$CF$9:$CF$508,"&lt;"&amp;$CF22)+COUNTIFS($BM$9:$BM$508,$BM22,$CF$9:$CF$508,$CF22,$CH$9:$CH$508,"&lt;"&amp;$CH22)+COUNTIFS($BM$9:$BM$508,$BM22,$CF$9:$CF$508,$CF22,$CH$9:$CH$508,$CH22,$CJ$9:$CJ$508,"&lt;"&amp;$CJ22)+1))</f>
        <v/>
      </c>
      <c r="CL22" s="74" t="str">
        <f aca="false">IF(ISBLANK($C22),"",IF($BL22&lt;&gt;Constants!$B$4,$BL22,$CG22-$CK22))</f>
        <v/>
      </c>
      <c r="CM22" s="74" t="str">
        <f aca="false">IF(ISBLANK($C22),"",IF(NOT($AL22),"",IF(ISBLANK($D$7),$CM$5,IF(NOT(ISNUMBER($D$7)),$CM$6,""))))</f>
        <v/>
      </c>
      <c r="CN22" s="74" t="str">
        <f aca="false">IF(ISBLANK($C22),"",OR($AN22="",$AO22="",$AP22=""))</f>
        <v/>
      </c>
      <c r="CO22" s="74" t="str">
        <f aca="false">IF(ISBLANK($C22),"",AND($AL22,$BA22=""))</f>
        <v/>
      </c>
      <c r="CP22" s="74" t="str">
        <f aca="false">IF(ISBLANK($C22),"",AND($AL22,$BB22=""))</f>
        <v/>
      </c>
      <c r="CQ22" s="74" t="str">
        <f aca="false">IF(ISBLANK($C22),"",AND($AL22,$BC22=""))</f>
        <v/>
      </c>
      <c r="CR22" s="74" t="str">
        <f aca="false">IF(ISBLANK($C22),"",AND($AL22,$BF22=""))</f>
        <v/>
      </c>
      <c r="CS22" s="74" t="str">
        <f aca="false">IF(ISBLANK($C22),"",AND($AL22,$BJ22=""))</f>
        <v/>
      </c>
      <c r="CT22" s="75"/>
      <c r="CU22" s="76"/>
      <c r="CV22" s="79" t="str">
        <f aca="false">IF(ISBLANK($C22),"",IF($BL22=Constants!$B$8,$CM22,""))</f>
        <v/>
      </c>
      <c r="CW22" s="76" t="str">
        <f aca="false">IF(ISBLANK($C22),"",IF($BL22&lt;&gt;Constants!$B$4,"",$BO22+$BP22))</f>
        <v/>
      </c>
      <c r="CX22" s="78" t="str">
        <f aca="false">IF(ISBLANK($C22),"",IF($BL22&lt;&gt;Constants!$B$4,"",$BQ22+$BR22+$BS22))</f>
        <v/>
      </c>
      <c r="CY22" s="78" t="str">
        <f aca="false">IF(ISBLANK($C22),"",IF($BL22&lt;&gt;Constants!$B$4,"",$BT22))</f>
        <v/>
      </c>
      <c r="CZ22" s="78" t="str">
        <f aca="false">IF(ISBLANK($C22),"",IF($BL22&lt;&gt;Constants!$B$4,"",$BU22+$BV22))</f>
        <v/>
      </c>
      <c r="DA22" s="78" t="str">
        <f aca="false">IF(ISBLANK($C22),"",IF($BL22&lt;&gt;Constants!$B$4,"",$BW22))</f>
        <v/>
      </c>
      <c r="DB22" s="78" t="str">
        <f aca="false">IF(ISBLANK($C22),"",IF($BL22&lt;&gt;Constants!$B$4,"",-$CD22))</f>
        <v/>
      </c>
      <c r="DC22" s="79" t="str">
        <f aca="false">IF(ISBLANK($C22),"",$CE22)</f>
        <v/>
      </c>
      <c r="DD22" s="80" t="str">
        <f aca="false">IF(ISBLANK($C22),"",$BM22)</f>
        <v/>
      </c>
      <c r="DE22" s="78" t="str">
        <f aca="false">IF(ISBLANK($C22),"",$CL22)</f>
        <v/>
      </c>
      <c r="DF22" s="78" t="str">
        <f aca="false">IF(ISBLANK($C22),"",$CK22)</f>
        <v/>
      </c>
      <c r="DG22" s="81" t="str">
        <f aca="false">IF(ISBLANK($C22),"",IF($DF22=Constants!$B$7,COUNTA($C$9:$C$508)+2,IF($DF22=Constants!$B$6,COUNTA($C$9:$C$508)+1,IF($DF22=Constants!$B$5,COUNTA($C$9:$C$508),$DF22))))</f>
        <v/>
      </c>
      <c r="DH22" s="7"/>
      <c r="DI22" s="82" t="n">
        <f aca="false">IF(OR(ISNUMBER($DF22),$DF22=Constants!$B$7,$DF22=Constants!$B$5,$DF22=Constants!$B$6),1,0)</f>
        <v>0</v>
      </c>
      <c r="DJ22" s="82" t="n">
        <v>14</v>
      </c>
      <c r="DK22" s="82" t="str">
        <f aca="false">IF(ISBLANK($C22),"",IF(ISNUMBER($DG22),$DG22+ROW($B22)/1000,""))</f>
        <v/>
      </c>
      <c r="DL22" s="82" t="str">
        <f aca="false">IF(ISNUMBER($DK22),RANK($DK22,$DK$9:$DK$508,1),"")</f>
        <v/>
      </c>
      <c r="DM22" s="82" t="str">
        <f aca="false">IF(ISBLANK($C22),"",$B22)</f>
        <v/>
      </c>
      <c r="DN22" s="82" t="str">
        <f aca="false">IF(ISBLANK($C22),"",$C22)</f>
        <v/>
      </c>
      <c r="DO22" s="82" t="str">
        <f aca="false">IF(ISBLANK($C22),"",$D22)</f>
        <v/>
      </c>
      <c r="DP22" s="83" t="str">
        <f aca="false">$DD22</f>
        <v/>
      </c>
      <c r="DQ22" s="84" t="str">
        <f aca="false">$DC22</f>
        <v/>
      </c>
      <c r="DR22" s="82" t="str">
        <f aca="false">IF(ISBLANK($C22),"",$DF22)</f>
        <v/>
      </c>
      <c r="DS22" s="85" t="str">
        <f aca="false">IF($DJ22&gt;$DI$8,"",VLOOKUP($DJ22,$DL$9:$DR$508,7,FALSE()))</f>
        <v/>
      </c>
      <c r="DT22" s="86" t="str">
        <f aca="false">IF($DJ22&gt;$DI$8,"",VLOOKUP($DJ22,$DL$9:$DR$508,2,FALSE()))</f>
        <v/>
      </c>
      <c r="DU22" s="86" t="str">
        <f aca="false">IF($DJ22&gt;$DI$8,"",VLOOKUP($DJ22,$DL$9:$DR$508,3,FALSE()))</f>
        <v/>
      </c>
      <c r="DV22" s="86" t="str">
        <f aca="false">IF($DJ22&gt;$DI$8,"",VLOOKUP($DJ22,$DL$9:$DR$508,4,FALSE()))</f>
        <v/>
      </c>
      <c r="DW22" s="86" t="str">
        <f aca="false">IF($DJ22&gt;$DI$8,"",VLOOKUP($DJ22,$DL$9:$DR$508,5,FALSE()))</f>
        <v/>
      </c>
      <c r="DX22" s="87" t="str">
        <f aca="false">IF($DJ22&gt;$DI$8,"",VLOOKUP($DJ22,$DL$9:$DR$508,6,FALSE()))</f>
        <v/>
      </c>
      <c r="DY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17"/>
      <c r="N23" s="117"/>
      <c r="O23" s="118"/>
      <c r="P23" s="118"/>
      <c r="Q23" s="117"/>
      <c r="R23" s="117"/>
      <c r="S23" s="117"/>
      <c r="T23" s="117"/>
      <c r="U23" s="118"/>
      <c r="V23" s="117"/>
      <c r="W23" s="120"/>
      <c r="X23" s="117"/>
      <c r="Y23" s="117"/>
      <c r="Z23" s="120"/>
      <c r="AA23" s="120"/>
      <c r="AB23" s="117"/>
      <c r="AC23" s="117"/>
      <c r="AD23" s="117"/>
      <c r="AE23" s="121"/>
      <c r="AF23" s="122"/>
      <c r="AG23" s="73"/>
      <c r="AH23" s="74"/>
      <c r="AI23" s="74"/>
      <c r="AJ23" s="74" t="str">
        <f aca="false">IF(ISBLANK($C23),"",IF($E23=Constants!$B$2,TRUE(),IF($E23=Constants!$B$3,FALSE(),TRUE())))</f>
        <v/>
      </c>
      <c r="AK23" s="74" t="str">
        <f aca="false">IF(ISBLANK($C23),"",IF($F23=Constants!$B$2,TRUE(),IF($F23=Constants!$B$3,FALSE(),FALSE())))</f>
        <v/>
      </c>
      <c r="AL23" s="74" t="str">
        <f aca="false">IF(ISBLANK($C23),"",IF($G23=Constants!$B$2,TRUE(),IF($G23=Constants!$B$3,FALSE(),TRUE())))</f>
        <v/>
      </c>
      <c r="AM23" s="74" t="str">
        <f aca="false">IF(ISBLANK($C23),"",IF($H23=Constants!$B$2,TRUE(),IF($H23=Constants!$B$3,FALSE(),TRUE())))</f>
        <v/>
      </c>
      <c r="AN23" s="74" t="str">
        <f aca="false">IF(ISBLANK($C23),"",IF(ISNUMBER($I23),IF($I23&gt;=0,$I23,""),""))</f>
        <v/>
      </c>
      <c r="AO23" s="74" t="str">
        <f aca="false">IF(ISBLANK($C23),"",IF(ISNUMBER($J23),IF($J23&gt;=0,$J23,""),""))</f>
        <v/>
      </c>
      <c r="AP23" s="74" t="str">
        <f aca="false">IF(ISBLANK($C23),"",IF(ISNUMBER($K23),IF($K23&gt;=0,$K23,""),""))</f>
        <v/>
      </c>
      <c r="AQ23" s="74" t="str">
        <f aca="false">IF(ISBLANK($C23),"",IF($L23=Constants!$B$2,TRUE(),IF($L23=Constants!$B$3,FALSE(),TRUE())))</f>
        <v/>
      </c>
      <c r="AR23" s="74" t="str">
        <f aca="false">IF(ISBLANK($C23),"",IF($M23=Constants!$B$2,TRUE(),IF($M23=Constants!$B$3,FALSE(),TRUE())))</f>
        <v/>
      </c>
      <c r="AS23" s="74" t="str">
        <f aca="false">IF(ISBLANK($C23),"",IF($N23=Constants!$B$2,TRUE(),IF($N23=Constants!$B$3,FALSE(),FALSE())))</f>
        <v/>
      </c>
      <c r="AT23" s="74" t="str">
        <f aca="false">IF(ISBLANK($C23),"",IF($O23=Constants!$B$2,TRUE(),IF($O23=Constants!$B$3,FALSE(),TRUE())))</f>
        <v/>
      </c>
      <c r="AU23" s="74" t="str">
        <f aca="false">IF(ISBLANK($C23),"",IF($P23=Constants!$B$2,TRUE(),IF($P23=Constants!$B$3,FALSE(),TRUE())))</f>
        <v/>
      </c>
      <c r="AV23" s="74" t="str">
        <f aca="false">IF(ISBLANK($C23),"",IF($Q23=Constants!$B$2,TRUE(),IF($Q23=Constants!$B$3,FALSE(),FALSE())))</f>
        <v/>
      </c>
      <c r="AW23" s="74" t="str">
        <f aca="false">IF(ISBLANK($C23),"",IF($R23=Constants!$B$2,TRUE(),IF($R23=Constants!$B$3,FALSE(),FALSE())))</f>
        <v/>
      </c>
      <c r="AX23" s="74" t="str">
        <f aca="false">IF(ISBLANK($C23),"",IF($S23=Constants!$B$2,TRUE(),IF($S23=Constants!$B$3,FALSE(),FALSE())))</f>
        <v/>
      </c>
      <c r="AY23" s="74" t="str">
        <f aca="false">IF(ISBLANK($C23),"",IF($T23=Constants!$B$2,TRUE(),IF($T23=Constants!$B$3,FALSE(),FALSE())))</f>
        <v/>
      </c>
      <c r="AZ23" s="74" t="str">
        <f aca="false">IF(ISBLANK($C23),"",IF($U23=Constants!$B$2,TRUE(),IF($U23=Constants!$B$3,FALSE(),FALSE())))</f>
        <v/>
      </c>
      <c r="BA23" s="74" t="str">
        <f aca="false">IF(ISBLANK($C23),"",IF(OR($V23&amp;""="1",$V23&amp;""="2",$V23&amp;""="3",$V23&amp;""="4"),VALUE($V23&amp;""),IF($V23=Constants!$B$12,Constants!$B$12,"")))</f>
        <v/>
      </c>
      <c r="BB23" s="74" t="str">
        <f aca="false">IF(ISBLANK($C23),"",IF(ISBLANK($W23),0,IF(ISNUMBER($W23),IF(AND($W23&gt;=0,$W23&lt;=Constants!$B$21,$W23=INT($W23)),$W23,""),"")))</f>
        <v/>
      </c>
      <c r="BC23" s="74" t="str">
        <f aca="false">IF(ISBLANK($C23),"",IF(ISBLANK($X23),0,IF(ISNUMBER($X23),IF($X23&gt;=0,$X23,""),"")))</f>
        <v/>
      </c>
      <c r="BD23" s="74" t="str">
        <f aca="false">IF(ISBLANK($C23),"",IF($Y23=Constants!$B$2,TRUE(),IF($Y23=Constants!$B$3,FALSE(),TRUE())))</f>
        <v/>
      </c>
      <c r="BE23" s="74" t="str">
        <f aca="false">IF(ISBLANK($C23),"",IF($Z23=Constants!$B$2,TRUE(),IF($Z23=Constants!$B$3,FALSE(),FALSE())))</f>
        <v/>
      </c>
      <c r="BF23" s="74" t="str">
        <f aca="false">IF(ISBLANK($C23),"",IF(ISBLANK($AA23),0,IF(ISNUMBER($AA23),IF(AND($AA23&gt;=0,$AA23&lt;=Constants!$B$35,$AA23=INT($AA23)),$AA23,""),"")))</f>
        <v/>
      </c>
      <c r="BG23" s="74" t="str">
        <f aca="false">IF(ISBLANK($C23),"",IF($AB23=Constants!$B$2,TRUE(),IF($AB23=Constants!$B$3,FALSE(),TRUE())))</f>
        <v/>
      </c>
      <c r="BH23" s="74" t="str">
        <f aca="false">IF(ISBLANK($C23),"",IF($AC23=Constants!$B$2,TRUE(),IF($AC23=Constants!$B$3,FALSE(),TRUE())))</f>
        <v/>
      </c>
      <c r="BI23" s="74" t="str">
        <f aca="false">IF(ISBLANK($C23),"",IF($AD23=Constants!$B$2,TRUE(),IF($AD23=Constants!$B$3,FALSE(),TRUE())))</f>
        <v/>
      </c>
      <c r="BJ23" s="74" t="str">
        <f aca="false">IF(ISBLANK($C23),"",IF(ISNUMBER($AE23),IF($AE23&gt;=0,$AE23,""),""))</f>
        <v/>
      </c>
      <c r="BK23" s="74" t="str">
        <f aca="false">IF(ISBLANK($C23),"",IF($AF23=Constants!$B$2,TRUE(),IF($AF23=Constants!$B$3,FALSE(),FALSE())))</f>
        <v/>
      </c>
      <c r="BL23" s="73" t="str">
        <f aca="false">IF(ISBLANK($C23),"",IF($BK23,Constants!$B$7,IF(COUNTA($E23:$AE23)=0,Constants!$B$6,IF(OR(COUNTA($G23:$AE23)=0,NOT($AM23),$AS23),Constants!$B$5,IF(OR($CM23&lt;&gt;"",$CN23,$CO23,$CP23,$CQ23,$CR23,$CS23),Constants!$B$8,Constants!$B$4)))))</f>
        <v/>
      </c>
      <c r="BM23" s="74" t="str">
        <f aca="false">IF(ISBLANK($C23),"",IF($BL23&lt;&gt;Constants!$B$4,$BL23,IF(OR(NOT($AJ23),NOT($AL23),NOT($AT23)),Constants!$B$11,IF(OR(NOT($AR23),NOT($AU23),NOT($BI23),MAX($AN23,$AO23,$AP23)&gt;Constants!$B$30),Constants!$B$10,Constants!$B$9))))</f>
        <v/>
      </c>
      <c r="BN23" s="74" t="str">
        <f aca="false">IF($BL23&lt;&gt;Constants!$B$4,"",IF(NOT($AL23),0,MIN(Constants!$B$35,$BF23)))</f>
        <v/>
      </c>
      <c r="BO23" s="74" t="str">
        <f aca="false">IF($BL23&lt;&gt;Constants!$B$4,"",IF(NOT($AL23),0,IF($AW23,Constants!$B$18,IF($AV23,Constants!$B$17,0))))</f>
        <v/>
      </c>
      <c r="BP23" s="74" t="str">
        <f aca="false">IF($BL23&lt;&gt;Constants!$B$4,"",IF(NOT($AL23),0,Constants!$B$19*($AK23+$AX23+$AY23+$AZ23)))</f>
        <v/>
      </c>
      <c r="BQ23" s="74" t="str">
        <f aca="false">IF($BL23&lt;&gt;Constants!$B$4,"",IF(OR(NOT($AL23),NOT(ISNUMBER($BA23))),0,CHOOSE($BA23,Constants!$B$13,Constants!$B$14,Constants!$B$15,Constants!$B$16)))</f>
        <v/>
      </c>
      <c r="BR23" s="74" t="str">
        <f aca="false">IF($BL23&lt;&gt;Constants!$B$4,"",IF(NOT($AL23),0,Constants!$B$20*$BB23))</f>
        <v/>
      </c>
      <c r="BS23" s="74" t="str">
        <f aca="false">IF($BL23&lt;&gt;Constants!$B$4,"",IF(AND($AL23,$BD23,$BE23),Constants!$B$22,0))</f>
        <v/>
      </c>
      <c r="BT23" s="74" t="str">
        <f aca="false">IF($BL23&lt;&gt;Constants!$B$4,"",IF(OR(NOT($AL23),NOT($BD23)),0,IF($BJ23&gt;=2*$AH$9,0,Constants!$B$23*INT(ROUND(MIN($BJ23,$AH$9),6)))))</f>
        <v/>
      </c>
      <c r="BU23" s="74" t="str">
        <f aca="false">IF($BL23&lt;&gt;Constants!$B$4,"",IF(NOT($AL23),0,Constants!$B$24*INT(ROUND(MIN($BC23,$AH$9),6))))</f>
        <v/>
      </c>
      <c r="BV23" s="74" t="str">
        <f aca="false">IF($BL23&lt;&gt;Constants!$B$4,"",IF(AND($AL23,$BN23=0),Constants!$B$25,0))</f>
        <v/>
      </c>
      <c r="BW23" s="74" t="str">
        <f aca="false">IF($BL23&lt;&gt;Constants!$B$4,"",MIN(Constants!$B$29,MAX(0,Constants!$B$27*Constants!$B$28*INT(ROUND((Constants!$B$26-$AN23)/Constants!$B$28,6))))+MIN(Constants!$B$29,MAX(0,Constants!$B$27*Constants!$B$28*INT(ROUND((Constants!$B$26-$AO23)/Constants!$B$28,6))))+MIN(Constants!$B$29,MAX(0,Constants!$B$27*Constants!$B$28*INT(ROUND((Constants!$B$26-$AP23)/Constants!$B$28,6)))))</f>
        <v/>
      </c>
      <c r="BX23" s="74" t="str">
        <f aca="false">IF($BL23&lt;&gt;Constants!$B$4,"",IF(NOT($AL23),0,Constants!$B$31*INT(ROUND(MAX(0,MIN($BJ23,2*$AH$9)-$AH$9),6))))</f>
        <v/>
      </c>
      <c r="BY23" s="74" t="str">
        <f aca="false">IF($BL23&lt;&gt;Constants!$B$4,"",Constants!$B$32*(($AN23&gt;Constants!$B$26)+($AO23&gt;Constants!$B$26)+($AP23&gt;Constants!$B$26)))</f>
        <v/>
      </c>
      <c r="BZ23" s="74" t="str">
        <f aca="false">IF($BL23&lt;&gt;Constants!$B$4,"",IF(OR(NOT($AL23),$AQ23),0,Constants!$B$33))</f>
        <v/>
      </c>
      <c r="CA23" s="74" t="str">
        <f aca="false">IF($BL23&lt;&gt;Constants!$B$4,"",Constants!$B$34*$BN23)</f>
        <v/>
      </c>
      <c r="CB23" s="74" t="str">
        <f aca="false">IF($BL23&lt;&gt;Constants!$B$4,"",IF(OR(NOT($AL23),$BH23),0,Constants!$B$36))</f>
        <v/>
      </c>
      <c r="CC23" s="74" t="str">
        <f aca="false">IF($BL23&lt;&gt;Constants!$B$4,"",IF(OR(NOT($AL23),$BG23),0,Constants!$B$37))</f>
        <v/>
      </c>
      <c r="CD23" s="74" t="str">
        <f aca="false">IF($BL23&lt;&gt;Constants!$B$4,"",SUM($BX23:$CC23))</f>
        <v/>
      </c>
      <c r="CE23" s="74" t="str">
        <f aca="false">IF(ISBLANK($C23),"",IF($BL23&lt;&gt;Constants!$B$4,$BL23,SUM($BO23:$BW23)-$CD23))</f>
        <v/>
      </c>
      <c r="CF23" s="74" t="str">
        <f aca="false">IF(ISBLANK($C23),"",IF($BL23&lt;&gt;Constants!$B$4,$BL23,RANK($CE23,$CE$9:$CE$508)))</f>
        <v/>
      </c>
      <c r="CG23" s="74" t="str">
        <f aca="false">IF(ISBLANK($C23),"",IF($BL23&lt;&gt;Constants!$B$4,$BL23,COUNTIFS($BM$9:$BM$508,"&lt;"&amp;$BM23)+COUNTIFS($BM$9:$BM$508,$BM23,$CF$9:$CF$508,"&lt;"&amp;$CF23)+1))</f>
        <v/>
      </c>
      <c r="CH23" s="74" t="str">
        <f aca="false">IF(ISBLANK($C23),"",IF($BL23&lt;&gt;Constants!$B$4,$BL23,RANK($CD23,$CD$9:$CD$508,1)))</f>
        <v/>
      </c>
      <c r="CI23" s="74" t="str">
        <f aca="false">IF($BL23&lt;&gt;Constants!$B$4,"",$AN23+$AO23+$AP23)</f>
        <v/>
      </c>
      <c r="CJ23" s="74" t="str">
        <f aca="false">IF(ISBLANK($C23),"",IF($BL23&lt;&gt;Constants!$B$4,$BL23,RANK($CI23,$CI$9:$CI$508,1)))</f>
        <v/>
      </c>
      <c r="CK23" s="74" t="str">
        <f aca="false">IF(ISBLANK($C23),"",IF($BL23&lt;&gt;Constants!$B$4,$BL23,COUNTIFS($BM$9:$BM$508,"&lt;"&amp;$BM23)+COUNTIFS($BM$9:$BM$508,$BM23,$CF$9:$CF$508,"&lt;"&amp;$CF23)+COUNTIFS($BM$9:$BM$508,$BM23,$CF$9:$CF$508,$CF23,$CH$9:$CH$508,"&lt;"&amp;$CH23)+COUNTIFS($BM$9:$BM$508,$BM23,$CF$9:$CF$508,$CF23,$CH$9:$CH$508,$CH23,$CJ$9:$CJ$508,"&lt;"&amp;$CJ23)+1))</f>
        <v/>
      </c>
      <c r="CL23" s="74" t="str">
        <f aca="false">IF(ISBLANK($C23),"",IF($BL23&lt;&gt;Constants!$B$4,$BL23,$CG23-$CK23))</f>
        <v/>
      </c>
      <c r="CM23" s="74" t="str">
        <f aca="false">IF(ISBLANK($C23),"",IF(NOT($AL23),"",IF(ISBLANK($D$7),$CM$5,IF(NOT(ISNUMBER($D$7)),$CM$6,""))))</f>
        <v/>
      </c>
      <c r="CN23" s="74" t="str">
        <f aca="false">IF(ISBLANK($C23),"",OR($AN23="",$AO23="",$AP23=""))</f>
        <v/>
      </c>
      <c r="CO23" s="74" t="str">
        <f aca="false">IF(ISBLANK($C23),"",AND($AL23,$BA23=""))</f>
        <v/>
      </c>
      <c r="CP23" s="74" t="str">
        <f aca="false">IF(ISBLANK($C23),"",AND($AL23,$BB23=""))</f>
        <v/>
      </c>
      <c r="CQ23" s="74" t="str">
        <f aca="false">IF(ISBLANK($C23),"",AND($AL23,$BC23=""))</f>
        <v/>
      </c>
      <c r="CR23" s="74" t="str">
        <f aca="false">IF(ISBLANK($C23),"",AND($AL23,$BF23=""))</f>
        <v/>
      </c>
      <c r="CS23" s="74" t="str">
        <f aca="false">IF(ISBLANK($C23),"",AND($AL23,$BJ23=""))</f>
        <v/>
      </c>
      <c r="CT23" s="75"/>
      <c r="CU23" s="76"/>
      <c r="CV23" s="79" t="str">
        <f aca="false">IF(ISBLANK($C23),"",IF($BL23=Constants!$B$8,$CM23,""))</f>
        <v/>
      </c>
      <c r="CW23" s="76" t="str">
        <f aca="false">IF(ISBLANK($C23),"",IF($BL23&lt;&gt;Constants!$B$4,"",$BO23+$BP23))</f>
        <v/>
      </c>
      <c r="CX23" s="78" t="str">
        <f aca="false">IF(ISBLANK($C23),"",IF($BL23&lt;&gt;Constants!$B$4,"",$BQ23+$BR23+$BS23))</f>
        <v/>
      </c>
      <c r="CY23" s="78" t="str">
        <f aca="false">IF(ISBLANK($C23),"",IF($BL23&lt;&gt;Constants!$B$4,"",$BT23))</f>
        <v/>
      </c>
      <c r="CZ23" s="78" t="str">
        <f aca="false">IF(ISBLANK($C23),"",IF($BL23&lt;&gt;Constants!$B$4,"",$BU23+$BV23))</f>
        <v/>
      </c>
      <c r="DA23" s="78" t="str">
        <f aca="false">IF(ISBLANK($C23),"",IF($BL23&lt;&gt;Constants!$B$4,"",$BW23))</f>
        <v/>
      </c>
      <c r="DB23" s="78" t="str">
        <f aca="false">IF(ISBLANK($C23),"",IF($BL23&lt;&gt;Constants!$B$4,"",-$CD23))</f>
        <v/>
      </c>
      <c r="DC23" s="79" t="str">
        <f aca="false">IF(ISBLANK($C23),"",$CE23)</f>
        <v/>
      </c>
      <c r="DD23" s="80" t="str">
        <f aca="false">IF(ISBLANK($C23),"",$BM23)</f>
        <v/>
      </c>
      <c r="DE23" s="78" t="str">
        <f aca="false">IF(ISBLANK($C23),"",$CL23)</f>
        <v/>
      </c>
      <c r="DF23" s="78" t="str">
        <f aca="false">IF(ISBLANK($C23),"",$CK23)</f>
        <v/>
      </c>
      <c r="DG23" s="81" t="str">
        <f aca="false">IF(ISBLANK($C23),"",IF($DF23=Constants!$B$7,COUNTA($C$9:$C$508)+2,IF($DF23=Constants!$B$6,COUNTA($C$9:$C$508)+1,IF($DF23=Constants!$B$5,COUNTA($C$9:$C$508),$DF23))))</f>
        <v/>
      </c>
      <c r="DH23" s="7"/>
      <c r="DI23" s="82" t="n">
        <f aca="false">IF(OR(ISNUMBER($DF23),$DF23=Constants!$B$7,$DF23=Constants!$B$5,$DF23=Constants!$B$6),1,0)</f>
        <v>0</v>
      </c>
      <c r="DJ23" s="82" t="n">
        <v>15</v>
      </c>
      <c r="DK23" s="82" t="str">
        <f aca="false">IF(ISBLANK($C23),"",IF(ISNUMBER($DG23),$DG23+ROW($B23)/1000,""))</f>
        <v/>
      </c>
      <c r="DL23" s="82" t="str">
        <f aca="false">IF(ISNUMBER($DK23),RANK($DK23,$DK$9:$DK$508,1),"")</f>
        <v/>
      </c>
      <c r="DM23" s="82" t="str">
        <f aca="false">IF(ISBLANK($C23),"",$B23)</f>
        <v/>
      </c>
      <c r="DN23" s="82" t="str">
        <f aca="false">IF(ISBLANK($C23),"",$C23)</f>
        <v/>
      </c>
      <c r="DO23" s="82" t="str">
        <f aca="false">IF(ISBLANK($C23),"",$D23)</f>
        <v/>
      </c>
      <c r="DP23" s="83" t="str">
        <f aca="false">$DD23</f>
        <v/>
      </c>
      <c r="DQ23" s="84" t="str">
        <f aca="false">$DC23</f>
        <v/>
      </c>
      <c r="DR23" s="82" t="str">
        <f aca="false">IF(ISBLANK($C23),"",$DF23)</f>
        <v/>
      </c>
      <c r="DS23" s="85" t="str">
        <f aca="false">IF($DJ23&gt;$DI$8,"",VLOOKUP($DJ23,$DL$9:$DR$508,7,FALSE()))</f>
        <v/>
      </c>
      <c r="DT23" s="86" t="str">
        <f aca="false">IF($DJ23&gt;$DI$8,"",VLOOKUP($DJ23,$DL$9:$DR$508,2,FALSE()))</f>
        <v/>
      </c>
      <c r="DU23" s="86" t="str">
        <f aca="false">IF($DJ23&gt;$DI$8,"",VLOOKUP($DJ23,$DL$9:$DR$508,3,FALSE()))</f>
        <v/>
      </c>
      <c r="DV23" s="86" t="str">
        <f aca="false">IF($DJ23&gt;$DI$8,"",VLOOKUP($DJ23,$DL$9:$DR$508,4,FALSE()))</f>
        <v/>
      </c>
      <c r="DW23" s="86" t="str">
        <f aca="false">IF($DJ23&gt;$DI$8,"",VLOOKUP($DJ23,$DL$9:$DR$508,5,FALSE()))</f>
        <v/>
      </c>
      <c r="DX23" s="87" t="str">
        <f aca="false">IF($DJ23&gt;$DI$8,"",VLOOKUP($DJ23,$DL$9:$DR$508,6,FALSE()))</f>
        <v/>
      </c>
      <c r="DY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127"/>
      <c r="N24" s="127"/>
      <c r="O24" s="128"/>
      <c r="P24" s="128"/>
      <c r="Q24" s="127"/>
      <c r="R24" s="127"/>
      <c r="S24" s="127"/>
      <c r="T24" s="127"/>
      <c r="U24" s="128"/>
      <c r="V24" s="127"/>
      <c r="W24" s="96"/>
      <c r="X24" s="127"/>
      <c r="Y24" s="127"/>
      <c r="Z24" s="96"/>
      <c r="AA24" s="96"/>
      <c r="AB24" s="127"/>
      <c r="AC24" s="127"/>
      <c r="AD24" s="127"/>
      <c r="AE24" s="97"/>
      <c r="AF24" s="130"/>
      <c r="AG24" s="99"/>
      <c r="AH24" s="100"/>
      <c r="AI24" s="100"/>
      <c r="AJ24" s="100" t="str">
        <f aca="false">IF(ISBLANK($C24),"",IF($E24=Constants!$B$2,TRUE(),IF($E24=Constants!$B$3,FALSE(),TRUE())))</f>
        <v/>
      </c>
      <c r="AK24" s="100" t="str">
        <f aca="false">IF(ISBLANK($C24),"",IF($F24=Constants!$B$2,TRUE(),IF($F24=Constants!$B$3,FALSE(),FALSE())))</f>
        <v/>
      </c>
      <c r="AL24" s="100" t="str">
        <f aca="false">IF(ISBLANK($C24),"",IF($G24=Constants!$B$2,TRUE(),IF($G24=Constants!$B$3,FALSE(),TRUE())))</f>
        <v/>
      </c>
      <c r="AM24" s="100" t="str">
        <f aca="false">IF(ISBLANK($C24),"",IF($H24=Constants!$B$2,TRUE(),IF($H24=Constants!$B$3,FALSE(),TRUE())))</f>
        <v/>
      </c>
      <c r="AN24" s="100" t="str">
        <f aca="false">IF(ISBLANK($C24),"",IF(ISNUMBER($I24),IF($I24&gt;=0,$I24,""),""))</f>
        <v/>
      </c>
      <c r="AO24" s="100" t="str">
        <f aca="false">IF(ISBLANK($C24),"",IF(ISNUMBER($J24),IF($J24&gt;=0,$J24,""),""))</f>
        <v/>
      </c>
      <c r="AP24" s="100" t="str">
        <f aca="false">IF(ISBLANK($C24),"",IF(ISNUMBER($K24),IF($K24&gt;=0,$K24,""),""))</f>
        <v/>
      </c>
      <c r="AQ24" s="100" t="str">
        <f aca="false">IF(ISBLANK($C24),"",IF($L24=Constants!$B$2,TRUE(),IF($L24=Constants!$B$3,FALSE(),TRUE())))</f>
        <v/>
      </c>
      <c r="AR24" s="100" t="str">
        <f aca="false">IF(ISBLANK($C24),"",IF($M24=Constants!$B$2,TRUE(),IF($M24=Constants!$B$3,FALSE(),TRUE())))</f>
        <v/>
      </c>
      <c r="AS24" s="100" t="str">
        <f aca="false">IF(ISBLANK($C24),"",IF($N24=Constants!$B$2,TRUE(),IF($N24=Constants!$B$3,FALSE(),FALSE())))</f>
        <v/>
      </c>
      <c r="AT24" s="100" t="str">
        <f aca="false">IF(ISBLANK($C24),"",IF($O24=Constants!$B$2,TRUE(),IF($O24=Constants!$B$3,FALSE(),TRUE())))</f>
        <v/>
      </c>
      <c r="AU24" s="100" t="str">
        <f aca="false">IF(ISBLANK($C24),"",IF($P24=Constants!$B$2,TRUE(),IF($P24=Constants!$B$3,FALSE(),TRUE())))</f>
        <v/>
      </c>
      <c r="AV24" s="100" t="str">
        <f aca="false">IF(ISBLANK($C24),"",IF($Q24=Constants!$B$2,TRUE(),IF($Q24=Constants!$B$3,FALSE(),FALSE())))</f>
        <v/>
      </c>
      <c r="AW24" s="100" t="str">
        <f aca="false">IF(ISBLANK($C24),"",IF($R24=Constants!$B$2,TRUE(),IF($R24=Constants!$B$3,FALSE(),FALSE())))</f>
        <v/>
      </c>
      <c r="AX24" s="100" t="str">
        <f aca="false">IF(ISBLANK($C24),"",IF($S24=Constants!$B$2,TRUE(),IF($S24=Constants!$B$3,FALSE(),FALSE())))</f>
        <v/>
      </c>
      <c r="AY24" s="100" t="str">
        <f aca="false">IF(ISBLANK($C24),"",IF($T24=Constants!$B$2,TRUE(),IF($T24=Constants!$B$3,FALSE(),FALSE())))</f>
        <v/>
      </c>
      <c r="AZ24" s="100" t="str">
        <f aca="false">IF(ISBLANK($C24),"",IF($U24=Constants!$B$2,TRUE(),IF($U24=Constants!$B$3,FALSE(),FALSE())))</f>
        <v/>
      </c>
      <c r="BA24" s="100" t="str">
        <f aca="false">IF(ISBLANK($C24),"",IF(OR($V24&amp;""="1",$V24&amp;""="2",$V24&amp;""="3",$V24&amp;""="4"),VALUE($V24&amp;""),IF($V24=Constants!$B$12,Constants!$B$12,"")))</f>
        <v/>
      </c>
      <c r="BB24" s="100" t="str">
        <f aca="false">IF(ISBLANK($C24),"",IF(ISBLANK($W24),0,IF(ISNUMBER($W24),IF(AND($W24&gt;=0,$W24&lt;=Constants!$B$21,$W24=INT($W24)),$W24,""),"")))</f>
        <v/>
      </c>
      <c r="BC24" s="100" t="str">
        <f aca="false">IF(ISBLANK($C24),"",IF(ISBLANK($X24),0,IF(ISNUMBER($X24),IF($X24&gt;=0,$X24,""),"")))</f>
        <v/>
      </c>
      <c r="BD24" s="100" t="str">
        <f aca="false">IF(ISBLANK($C24),"",IF($Y24=Constants!$B$2,TRUE(),IF($Y24=Constants!$B$3,FALSE(),TRUE())))</f>
        <v/>
      </c>
      <c r="BE24" s="100" t="str">
        <f aca="false">IF(ISBLANK($C24),"",IF($Z24=Constants!$B$2,TRUE(),IF($Z24=Constants!$B$3,FALSE(),FALSE())))</f>
        <v/>
      </c>
      <c r="BF24" s="100" t="str">
        <f aca="false">IF(ISBLANK($C24),"",IF(ISBLANK($AA24),0,IF(ISNUMBER($AA24),IF(AND($AA24&gt;=0,$AA24&lt;=Constants!$B$35,$AA24=INT($AA24)),$AA24,""),"")))</f>
        <v/>
      </c>
      <c r="BG24" s="100" t="str">
        <f aca="false">IF(ISBLANK($C24),"",IF($AB24=Constants!$B$2,TRUE(),IF($AB24=Constants!$B$3,FALSE(),TRUE())))</f>
        <v/>
      </c>
      <c r="BH24" s="100" t="str">
        <f aca="false">IF(ISBLANK($C24),"",IF($AC24=Constants!$B$2,TRUE(),IF($AC24=Constants!$B$3,FALSE(),TRUE())))</f>
        <v/>
      </c>
      <c r="BI24" s="100" t="str">
        <f aca="false">IF(ISBLANK($C24),"",IF($AD24=Constants!$B$2,TRUE(),IF($AD24=Constants!$B$3,FALSE(),TRUE())))</f>
        <v/>
      </c>
      <c r="BJ24" s="100" t="str">
        <f aca="false">IF(ISBLANK($C24),"",IF(ISNUMBER($AE24),IF($AE24&gt;=0,$AE24,""),""))</f>
        <v/>
      </c>
      <c r="BK24" s="100" t="str">
        <f aca="false">IF(ISBLANK($C24),"",IF($AF24=Constants!$B$2,TRUE(),IF($AF24=Constants!$B$3,FALSE(),FALSE())))</f>
        <v/>
      </c>
      <c r="BL24" s="99" t="str">
        <f aca="false">IF(ISBLANK($C24),"",IF($BK24,Constants!$B$7,IF(COUNTA($E24:$AE24)=0,Constants!$B$6,IF(OR(COUNTA($G24:$AE24)=0,NOT($AM24),$AS24),Constants!$B$5,IF(OR($CM24&lt;&gt;"",$CN24,$CO24,$CP24,$CQ24,$CR24,$CS24),Constants!$B$8,Constants!$B$4)))))</f>
        <v/>
      </c>
      <c r="BM24" s="100" t="str">
        <f aca="false">IF(ISBLANK($C24),"",IF($BL24&lt;&gt;Constants!$B$4,$BL24,IF(OR(NOT($AJ24),NOT($AL24),NOT($AT24)),Constants!$B$11,IF(OR(NOT($AR24),NOT($AU24),NOT($BI24),MAX($AN24,$AO24,$AP24)&gt;Constants!$B$30),Constants!$B$10,Constants!$B$9))))</f>
        <v/>
      </c>
      <c r="BN24" s="100" t="str">
        <f aca="false">IF($BL24&lt;&gt;Constants!$B$4,"",IF(NOT($AL24),0,MIN(Constants!$B$35,$BF24)))</f>
        <v/>
      </c>
      <c r="BO24" s="100" t="str">
        <f aca="false">IF($BL24&lt;&gt;Constants!$B$4,"",IF(NOT($AL24),0,IF($AW24,Constants!$B$18,IF($AV24,Constants!$B$17,0))))</f>
        <v/>
      </c>
      <c r="BP24" s="100" t="str">
        <f aca="false">IF($BL24&lt;&gt;Constants!$B$4,"",IF(NOT($AL24),0,Constants!$B$19*($AK24+$AX24+$AY24+$AZ24)))</f>
        <v/>
      </c>
      <c r="BQ24" s="100" t="str">
        <f aca="false">IF($BL24&lt;&gt;Constants!$B$4,"",IF(OR(NOT($AL24),NOT(ISNUMBER($BA24))),0,CHOOSE($BA24,Constants!$B$13,Constants!$B$14,Constants!$B$15,Constants!$B$16)))</f>
        <v/>
      </c>
      <c r="BR24" s="100" t="str">
        <f aca="false">IF($BL24&lt;&gt;Constants!$B$4,"",IF(NOT($AL24),0,Constants!$B$20*$BB24))</f>
        <v/>
      </c>
      <c r="BS24" s="100" t="str">
        <f aca="false">IF($BL24&lt;&gt;Constants!$B$4,"",IF(AND($AL24,$BD24,$BE24),Constants!$B$22,0))</f>
        <v/>
      </c>
      <c r="BT24" s="100" t="str">
        <f aca="false">IF($BL24&lt;&gt;Constants!$B$4,"",IF(OR(NOT($AL24),NOT($BD24)),0,IF($BJ24&gt;=2*$AH$9,0,Constants!$B$23*INT(ROUND(MIN($BJ24,$AH$9),6)))))</f>
        <v/>
      </c>
      <c r="BU24" s="100" t="str">
        <f aca="false">IF($BL24&lt;&gt;Constants!$B$4,"",IF(NOT($AL24),0,Constants!$B$24*INT(ROUND(MIN($BC24,$AH$9),6))))</f>
        <v/>
      </c>
      <c r="BV24" s="100" t="str">
        <f aca="false">IF($BL24&lt;&gt;Constants!$B$4,"",IF(AND($AL24,$BN24=0),Constants!$B$25,0))</f>
        <v/>
      </c>
      <c r="BW24" s="100" t="str">
        <f aca="false">IF($BL24&lt;&gt;Constants!$B$4,"",MIN(Constants!$B$29,MAX(0,Constants!$B$27*Constants!$B$28*INT(ROUND((Constants!$B$26-$AN24)/Constants!$B$28,6))))+MIN(Constants!$B$29,MAX(0,Constants!$B$27*Constants!$B$28*INT(ROUND((Constants!$B$26-$AO24)/Constants!$B$28,6))))+MIN(Constants!$B$29,MAX(0,Constants!$B$27*Constants!$B$28*INT(ROUND((Constants!$B$26-$AP24)/Constants!$B$28,6)))))</f>
        <v/>
      </c>
      <c r="BX24" s="100" t="str">
        <f aca="false">IF($BL24&lt;&gt;Constants!$B$4,"",IF(NOT($AL24),0,Constants!$B$31*INT(ROUND(MAX(0,MIN($BJ24,2*$AH$9)-$AH$9),6))))</f>
        <v/>
      </c>
      <c r="BY24" s="100" t="str">
        <f aca="false">IF($BL24&lt;&gt;Constants!$B$4,"",Constants!$B$32*(($AN24&gt;Constants!$B$26)+($AO24&gt;Constants!$B$26)+($AP24&gt;Constants!$B$26)))</f>
        <v/>
      </c>
      <c r="BZ24" s="100" t="str">
        <f aca="false">IF($BL24&lt;&gt;Constants!$B$4,"",IF(OR(NOT($AL24),$AQ24),0,Constants!$B$33))</f>
        <v/>
      </c>
      <c r="CA24" s="100" t="str">
        <f aca="false">IF($BL24&lt;&gt;Constants!$B$4,"",Constants!$B$34*$BN24)</f>
        <v/>
      </c>
      <c r="CB24" s="100" t="str">
        <f aca="false">IF($BL24&lt;&gt;Constants!$B$4,"",IF(OR(NOT($AL24),$BH24),0,Constants!$B$36))</f>
        <v/>
      </c>
      <c r="CC24" s="100" t="str">
        <f aca="false">IF($BL24&lt;&gt;Constants!$B$4,"",IF(OR(NOT($AL24),$BG24),0,Constants!$B$37))</f>
        <v/>
      </c>
      <c r="CD24" s="100" t="str">
        <f aca="false">IF($BL24&lt;&gt;Constants!$B$4,"",SUM($BX24:$CC24))</f>
        <v/>
      </c>
      <c r="CE24" s="100" t="str">
        <f aca="false">IF(ISBLANK($C24),"",IF($BL24&lt;&gt;Constants!$B$4,$BL24,SUM($BO24:$BW24)-$CD24))</f>
        <v/>
      </c>
      <c r="CF24" s="100" t="str">
        <f aca="false">IF(ISBLANK($C24),"",IF($BL24&lt;&gt;Constants!$B$4,$BL24,RANK($CE24,$CE$9:$CE$508)))</f>
        <v/>
      </c>
      <c r="CG24" s="100" t="str">
        <f aca="false">IF(ISBLANK($C24),"",IF($BL24&lt;&gt;Constants!$B$4,$BL24,COUNTIFS($BM$9:$BM$508,"&lt;"&amp;$BM24)+COUNTIFS($BM$9:$BM$508,$BM24,$CF$9:$CF$508,"&lt;"&amp;$CF24)+1))</f>
        <v/>
      </c>
      <c r="CH24" s="100" t="str">
        <f aca="false">IF(ISBLANK($C24),"",IF($BL24&lt;&gt;Constants!$B$4,$BL24,RANK($CD24,$CD$9:$CD$508,1)))</f>
        <v/>
      </c>
      <c r="CI24" s="100" t="str">
        <f aca="false">IF($BL24&lt;&gt;Constants!$B$4,"",$AN24+$AO24+$AP24)</f>
        <v/>
      </c>
      <c r="CJ24" s="100" t="str">
        <f aca="false">IF(ISBLANK($C24),"",IF($BL24&lt;&gt;Constants!$B$4,$BL24,RANK($CI24,$CI$9:$CI$508,1)))</f>
        <v/>
      </c>
      <c r="CK24" s="100" t="str">
        <f aca="false">IF(ISBLANK($C24),"",IF($BL24&lt;&gt;Constants!$B$4,$BL24,COUNTIFS($BM$9:$BM$508,"&lt;"&amp;$BM24)+COUNTIFS($BM$9:$BM$508,$BM24,$CF$9:$CF$508,"&lt;"&amp;$CF24)+COUNTIFS($BM$9:$BM$508,$BM24,$CF$9:$CF$508,$CF24,$CH$9:$CH$508,"&lt;"&amp;$CH24)+COUNTIFS($BM$9:$BM$508,$BM24,$CF$9:$CF$508,$CF24,$CH$9:$CH$508,$CH24,$CJ$9:$CJ$508,"&lt;"&amp;$CJ24)+1))</f>
        <v/>
      </c>
      <c r="CL24" s="100" t="str">
        <f aca="false">IF(ISBLANK($C24),"",IF($BL24&lt;&gt;Constants!$B$4,$BL24,$CG24-$CK24))</f>
        <v/>
      </c>
      <c r="CM24" s="100" t="str">
        <f aca="false">IF(ISBLANK($C24),"",IF(NOT($AL24),"",IF(ISBLANK($D$7),$CM$5,IF(NOT(ISNUMBER($D$7)),$CM$6,""))))</f>
        <v/>
      </c>
      <c r="CN24" s="100" t="str">
        <f aca="false">IF(ISBLANK($C24),"",OR($AN24="",$AO24="",$AP24=""))</f>
        <v/>
      </c>
      <c r="CO24" s="100" t="str">
        <f aca="false">IF(ISBLANK($C24),"",AND($AL24,$BA24=""))</f>
        <v/>
      </c>
      <c r="CP24" s="100" t="str">
        <f aca="false">IF(ISBLANK($C24),"",AND($AL24,$BB24=""))</f>
        <v/>
      </c>
      <c r="CQ24" s="100" t="str">
        <f aca="false">IF(ISBLANK($C24),"",AND($AL24,$BC24=""))</f>
        <v/>
      </c>
      <c r="CR24" s="100" t="str">
        <f aca="false">IF(ISBLANK($C24),"",AND($AL24,$BF24=""))</f>
        <v/>
      </c>
      <c r="CS24" s="100" t="str">
        <f aca="false">IF(ISBLANK($C24),"",AND($AL24,$BJ24=""))</f>
        <v/>
      </c>
      <c r="CT24" s="101"/>
      <c r="CU24" s="102"/>
      <c r="CV24" s="103" t="str">
        <f aca="false">IF(ISBLANK($C24),"",IF($BL24=Constants!$B$8,$CM24,""))</f>
        <v/>
      </c>
      <c r="CW24" s="102" t="str">
        <f aca="false">IF(ISBLANK($C24),"",IF($BL24&lt;&gt;Constants!$B$4,"",$BO24+$BP24))</f>
        <v/>
      </c>
      <c r="CX24" s="104" t="str">
        <f aca="false">IF(ISBLANK($C24),"",IF($BL24&lt;&gt;Constants!$B$4,"",$BQ24+$BR24+$BS24))</f>
        <v/>
      </c>
      <c r="CY24" s="104" t="str">
        <f aca="false">IF(ISBLANK($C24),"",IF($BL24&lt;&gt;Constants!$B$4,"",$BT24))</f>
        <v/>
      </c>
      <c r="CZ24" s="104" t="str">
        <f aca="false">IF(ISBLANK($C24),"",IF($BL24&lt;&gt;Constants!$B$4,"",$BU24+$BV24))</f>
        <v/>
      </c>
      <c r="DA24" s="104" t="str">
        <f aca="false">IF(ISBLANK($C24),"",IF($BL24&lt;&gt;Constants!$B$4,"",$BW24))</f>
        <v/>
      </c>
      <c r="DB24" s="104" t="str">
        <f aca="false">IF(ISBLANK($C24),"",IF($BL24&lt;&gt;Constants!$B$4,"",-$CD24))</f>
        <v/>
      </c>
      <c r="DC24" s="103" t="str">
        <f aca="false">IF(ISBLANK($C24),"",$CE24)</f>
        <v/>
      </c>
      <c r="DD24" s="105" t="str">
        <f aca="false">IF(ISBLANK($C24),"",$BM24)</f>
        <v/>
      </c>
      <c r="DE24" s="104" t="str">
        <f aca="false">IF(ISBLANK($C24),"",$CL24)</f>
        <v/>
      </c>
      <c r="DF24" s="104" t="str">
        <f aca="false">IF(ISBLANK($C24),"",$CK24)</f>
        <v/>
      </c>
      <c r="DG24" s="106" t="str">
        <f aca="false">IF(ISBLANK($C24),"",IF($DF24=Constants!$B$7,COUNTA($C$9:$C$508)+2,IF($DF24=Constants!$B$6,COUNTA($C$9:$C$508)+1,IF($DF24=Constants!$B$5,COUNTA($C$9:$C$508),$DF24))))</f>
        <v/>
      </c>
      <c r="DH24" s="7"/>
      <c r="DI24" s="107" t="n">
        <f aca="false">IF(OR(ISNUMBER($DF24),$DF24=Constants!$B$7,$DF24=Constants!$B$5,$DF24=Constants!$B$6),1,0)</f>
        <v>0</v>
      </c>
      <c r="DJ24" s="107" t="n">
        <v>16</v>
      </c>
      <c r="DK24" s="107" t="str">
        <f aca="false">IF(ISBLANK($C24),"",IF(ISNUMBER($DG24),$DG24+ROW($B24)/1000,""))</f>
        <v/>
      </c>
      <c r="DL24" s="107" t="str">
        <f aca="false">IF(ISNUMBER($DK24),RANK($DK24,$DK$9:$DK$508,1),"")</f>
        <v/>
      </c>
      <c r="DM24" s="107" t="str">
        <f aca="false">IF(ISBLANK($C24),"",$B24)</f>
        <v/>
      </c>
      <c r="DN24" s="107" t="str">
        <f aca="false">IF(ISBLANK($C24),"",$C24)</f>
        <v/>
      </c>
      <c r="DO24" s="107" t="str">
        <f aca="false">IF(ISBLANK($C24),"",$D24)</f>
        <v/>
      </c>
      <c r="DP24" s="108" t="str">
        <f aca="false">$DD24</f>
        <v/>
      </c>
      <c r="DQ24" s="109" t="str">
        <f aca="false">$DC24</f>
        <v/>
      </c>
      <c r="DR24" s="107" t="str">
        <f aca="false">IF(ISBLANK($C24),"",$DF24)</f>
        <v/>
      </c>
      <c r="DS24" s="110" t="str">
        <f aca="false">IF($DJ24&gt;$DI$8,"",VLOOKUP($DJ24,$DL$9:$DR$508,7,FALSE()))</f>
        <v/>
      </c>
      <c r="DT24" s="111" t="str">
        <f aca="false">IF($DJ24&gt;$DI$8,"",VLOOKUP($DJ24,$DL$9:$DR$508,2,FALSE()))</f>
        <v/>
      </c>
      <c r="DU24" s="111" t="str">
        <f aca="false">IF($DJ24&gt;$DI$8,"",VLOOKUP($DJ24,$DL$9:$DR$508,3,FALSE()))</f>
        <v/>
      </c>
      <c r="DV24" s="111" t="str">
        <f aca="false">IF($DJ24&gt;$DI$8,"",VLOOKUP($DJ24,$DL$9:$DR$508,4,FALSE()))</f>
        <v/>
      </c>
      <c r="DW24" s="111" t="str">
        <f aca="false">IF($DJ24&gt;$DI$8,"",VLOOKUP($DJ24,$DL$9:$DR$508,5,FALSE()))</f>
        <v/>
      </c>
      <c r="DX24" s="112" t="str">
        <f aca="false">IF($DJ24&gt;$DI$8,"",VLOOKUP($DJ24,$DL$9:$DR$508,6,FALSE()))</f>
        <v/>
      </c>
      <c r="DY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127"/>
      <c r="N25" s="127"/>
      <c r="O25" s="128"/>
      <c r="P25" s="128"/>
      <c r="Q25" s="127"/>
      <c r="R25" s="127"/>
      <c r="S25" s="127"/>
      <c r="T25" s="127"/>
      <c r="U25" s="128"/>
      <c r="V25" s="127"/>
      <c r="W25" s="96"/>
      <c r="X25" s="127"/>
      <c r="Y25" s="127"/>
      <c r="Z25" s="96"/>
      <c r="AA25" s="96"/>
      <c r="AB25" s="127"/>
      <c r="AC25" s="127"/>
      <c r="AD25" s="127"/>
      <c r="AE25" s="97"/>
      <c r="AF25" s="130"/>
      <c r="AG25" s="99"/>
      <c r="AH25" s="100"/>
      <c r="AI25" s="100"/>
      <c r="AJ25" s="100" t="str">
        <f aca="false">IF(ISBLANK($C25),"",IF($E25=Constants!$B$2,TRUE(),IF($E25=Constants!$B$3,FALSE(),TRUE())))</f>
        <v/>
      </c>
      <c r="AK25" s="100" t="str">
        <f aca="false">IF(ISBLANK($C25),"",IF($F25=Constants!$B$2,TRUE(),IF($F25=Constants!$B$3,FALSE(),FALSE())))</f>
        <v/>
      </c>
      <c r="AL25" s="100" t="str">
        <f aca="false">IF(ISBLANK($C25),"",IF($G25=Constants!$B$2,TRUE(),IF($G25=Constants!$B$3,FALSE(),TRUE())))</f>
        <v/>
      </c>
      <c r="AM25" s="100" t="str">
        <f aca="false">IF(ISBLANK($C25),"",IF($H25=Constants!$B$2,TRUE(),IF($H25=Constants!$B$3,FALSE(),TRUE())))</f>
        <v/>
      </c>
      <c r="AN25" s="100" t="str">
        <f aca="false">IF(ISBLANK($C25),"",IF(ISNUMBER($I25),IF($I25&gt;=0,$I25,""),""))</f>
        <v/>
      </c>
      <c r="AO25" s="100" t="str">
        <f aca="false">IF(ISBLANK($C25),"",IF(ISNUMBER($J25),IF($J25&gt;=0,$J25,""),""))</f>
        <v/>
      </c>
      <c r="AP25" s="100" t="str">
        <f aca="false">IF(ISBLANK($C25),"",IF(ISNUMBER($K25),IF($K25&gt;=0,$K25,""),""))</f>
        <v/>
      </c>
      <c r="AQ25" s="100" t="str">
        <f aca="false">IF(ISBLANK($C25),"",IF($L25=Constants!$B$2,TRUE(),IF($L25=Constants!$B$3,FALSE(),TRUE())))</f>
        <v/>
      </c>
      <c r="AR25" s="100" t="str">
        <f aca="false">IF(ISBLANK($C25),"",IF($M25=Constants!$B$2,TRUE(),IF($M25=Constants!$B$3,FALSE(),TRUE())))</f>
        <v/>
      </c>
      <c r="AS25" s="100" t="str">
        <f aca="false">IF(ISBLANK($C25),"",IF($N25=Constants!$B$2,TRUE(),IF($N25=Constants!$B$3,FALSE(),FALSE())))</f>
        <v/>
      </c>
      <c r="AT25" s="100" t="str">
        <f aca="false">IF(ISBLANK($C25),"",IF($O25=Constants!$B$2,TRUE(),IF($O25=Constants!$B$3,FALSE(),TRUE())))</f>
        <v/>
      </c>
      <c r="AU25" s="100" t="str">
        <f aca="false">IF(ISBLANK($C25),"",IF($P25=Constants!$B$2,TRUE(),IF($P25=Constants!$B$3,FALSE(),TRUE())))</f>
        <v/>
      </c>
      <c r="AV25" s="100" t="str">
        <f aca="false">IF(ISBLANK($C25),"",IF($Q25=Constants!$B$2,TRUE(),IF($Q25=Constants!$B$3,FALSE(),FALSE())))</f>
        <v/>
      </c>
      <c r="AW25" s="100" t="str">
        <f aca="false">IF(ISBLANK($C25),"",IF($R25=Constants!$B$2,TRUE(),IF($R25=Constants!$B$3,FALSE(),FALSE())))</f>
        <v/>
      </c>
      <c r="AX25" s="100" t="str">
        <f aca="false">IF(ISBLANK($C25),"",IF($S25=Constants!$B$2,TRUE(),IF($S25=Constants!$B$3,FALSE(),FALSE())))</f>
        <v/>
      </c>
      <c r="AY25" s="100" t="str">
        <f aca="false">IF(ISBLANK($C25),"",IF($T25=Constants!$B$2,TRUE(),IF($T25=Constants!$B$3,FALSE(),FALSE())))</f>
        <v/>
      </c>
      <c r="AZ25" s="100" t="str">
        <f aca="false">IF(ISBLANK($C25),"",IF($U25=Constants!$B$2,TRUE(),IF($U25=Constants!$B$3,FALSE(),FALSE())))</f>
        <v/>
      </c>
      <c r="BA25" s="100" t="str">
        <f aca="false">IF(ISBLANK($C25),"",IF(OR($V25&amp;""="1",$V25&amp;""="2",$V25&amp;""="3",$V25&amp;""="4"),VALUE($V25&amp;""),IF($V25=Constants!$B$12,Constants!$B$12,"")))</f>
        <v/>
      </c>
      <c r="BB25" s="100" t="str">
        <f aca="false">IF(ISBLANK($C25),"",IF(ISBLANK($W25),0,IF(ISNUMBER($W25),IF(AND($W25&gt;=0,$W25&lt;=Constants!$B$21,$W25=INT($W25)),$W25,""),"")))</f>
        <v/>
      </c>
      <c r="BC25" s="100" t="str">
        <f aca="false">IF(ISBLANK($C25),"",IF(ISBLANK($X25),0,IF(ISNUMBER($X25),IF($X25&gt;=0,$X25,""),"")))</f>
        <v/>
      </c>
      <c r="BD25" s="100" t="str">
        <f aca="false">IF(ISBLANK($C25),"",IF($Y25=Constants!$B$2,TRUE(),IF($Y25=Constants!$B$3,FALSE(),TRUE())))</f>
        <v/>
      </c>
      <c r="BE25" s="100" t="str">
        <f aca="false">IF(ISBLANK($C25),"",IF($Z25=Constants!$B$2,TRUE(),IF($Z25=Constants!$B$3,FALSE(),FALSE())))</f>
        <v/>
      </c>
      <c r="BF25" s="100" t="str">
        <f aca="false">IF(ISBLANK($C25),"",IF(ISBLANK($AA25),0,IF(ISNUMBER($AA25),IF(AND($AA25&gt;=0,$AA25&lt;=Constants!$B$35,$AA25=INT($AA25)),$AA25,""),"")))</f>
        <v/>
      </c>
      <c r="BG25" s="100" t="str">
        <f aca="false">IF(ISBLANK($C25),"",IF($AB25=Constants!$B$2,TRUE(),IF($AB25=Constants!$B$3,FALSE(),TRUE())))</f>
        <v/>
      </c>
      <c r="BH25" s="100" t="str">
        <f aca="false">IF(ISBLANK($C25),"",IF($AC25=Constants!$B$2,TRUE(),IF($AC25=Constants!$B$3,FALSE(),TRUE())))</f>
        <v/>
      </c>
      <c r="BI25" s="100" t="str">
        <f aca="false">IF(ISBLANK($C25),"",IF($AD25=Constants!$B$2,TRUE(),IF($AD25=Constants!$B$3,FALSE(),TRUE())))</f>
        <v/>
      </c>
      <c r="BJ25" s="100" t="str">
        <f aca="false">IF(ISBLANK($C25),"",IF(ISNUMBER($AE25),IF($AE25&gt;=0,$AE25,""),""))</f>
        <v/>
      </c>
      <c r="BK25" s="100" t="str">
        <f aca="false">IF(ISBLANK($C25),"",IF($AF25=Constants!$B$2,TRUE(),IF($AF25=Constants!$B$3,FALSE(),FALSE())))</f>
        <v/>
      </c>
      <c r="BL25" s="99" t="str">
        <f aca="false">IF(ISBLANK($C25),"",IF($BK25,Constants!$B$7,IF(COUNTA($E25:$AE25)=0,Constants!$B$6,IF(OR(COUNTA($G25:$AE25)=0,NOT($AM25),$AS25),Constants!$B$5,IF(OR($CM25&lt;&gt;"",$CN25,$CO25,$CP25,$CQ25,$CR25,$CS25),Constants!$B$8,Constants!$B$4)))))</f>
        <v/>
      </c>
      <c r="BM25" s="100" t="str">
        <f aca="false">IF(ISBLANK($C25),"",IF($BL25&lt;&gt;Constants!$B$4,$BL25,IF(OR(NOT($AJ25),NOT($AL25),NOT($AT25)),Constants!$B$11,IF(OR(NOT($AR25),NOT($AU25),NOT($BI25),MAX($AN25,$AO25,$AP25)&gt;Constants!$B$30),Constants!$B$10,Constants!$B$9))))</f>
        <v/>
      </c>
      <c r="BN25" s="100" t="str">
        <f aca="false">IF($BL25&lt;&gt;Constants!$B$4,"",IF(NOT($AL25),0,MIN(Constants!$B$35,$BF25)))</f>
        <v/>
      </c>
      <c r="BO25" s="100" t="str">
        <f aca="false">IF($BL25&lt;&gt;Constants!$B$4,"",IF(NOT($AL25),0,IF($AW25,Constants!$B$18,IF($AV25,Constants!$B$17,0))))</f>
        <v/>
      </c>
      <c r="BP25" s="100" t="str">
        <f aca="false">IF($BL25&lt;&gt;Constants!$B$4,"",IF(NOT($AL25),0,Constants!$B$19*($AK25+$AX25+$AY25+$AZ25)))</f>
        <v/>
      </c>
      <c r="BQ25" s="100" t="str">
        <f aca="false">IF($BL25&lt;&gt;Constants!$B$4,"",IF(OR(NOT($AL25),NOT(ISNUMBER($BA25))),0,CHOOSE($BA25,Constants!$B$13,Constants!$B$14,Constants!$B$15,Constants!$B$16)))</f>
        <v/>
      </c>
      <c r="BR25" s="100" t="str">
        <f aca="false">IF($BL25&lt;&gt;Constants!$B$4,"",IF(NOT($AL25),0,Constants!$B$20*$BB25))</f>
        <v/>
      </c>
      <c r="BS25" s="100" t="str">
        <f aca="false">IF($BL25&lt;&gt;Constants!$B$4,"",IF(AND($AL25,$BD25,$BE25),Constants!$B$22,0))</f>
        <v/>
      </c>
      <c r="BT25" s="100" t="str">
        <f aca="false">IF($BL25&lt;&gt;Constants!$B$4,"",IF(OR(NOT($AL25),NOT($BD25)),0,IF($BJ25&gt;=2*$AH$9,0,Constants!$B$23*INT(ROUND(MIN($BJ25,$AH$9),6)))))</f>
        <v/>
      </c>
      <c r="BU25" s="100" t="str">
        <f aca="false">IF($BL25&lt;&gt;Constants!$B$4,"",IF(NOT($AL25),0,Constants!$B$24*INT(ROUND(MIN($BC25,$AH$9),6))))</f>
        <v/>
      </c>
      <c r="BV25" s="100" t="str">
        <f aca="false">IF($BL25&lt;&gt;Constants!$B$4,"",IF(AND($AL25,$BN25=0),Constants!$B$25,0))</f>
        <v/>
      </c>
      <c r="BW25" s="100" t="str">
        <f aca="false">IF($BL25&lt;&gt;Constants!$B$4,"",MIN(Constants!$B$29,MAX(0,Constants!$B$27*Constants!$B$28*INT(ROUND((Constants!$B$26-$AN25)/Constants!$B$28,6))))+MIN(Constants!$B$29,MAX(0,Constants!$B$27*Constants!$B$28*INT(ROUND((Constants!$B$26-$AO25)/Constants!$B$28,6))))+MIN(Constants!$B$29,MAX(0,Constants!$B$27*Constants!$B$28*INT(ROUND((Constants!$B$26-$AP25)/Constants!$B$28,6)))))</f>
        <v/>
      </c>
      <c r="BX25" s="100" t="str">
        <f aca="false">IF($BL25&lt;&gt;Constants!$B$4,"",IF(NOT($AL25),0,Constants!$B$31*INT(ROUND(MAX(0,MIN($BJ25,2*$AH$9)-$AH$9),6))))</f>
        <v/>
      </c>
      <c r="BY25" s="100" t="str">
        <f aca="false">IF($BL25&lt;&gt;Constants!$B$4,"",Constants!$B$32*(($AN25&gt;Constants!$B$26)+($AO25&gt;Constants!$B$26)+($AP25&gt;Constants!$B$26)))</f>
        <v/>
      </c>
      <c r="BZ25" s="100" t="str">
        <f aca="false">IF($BL25&lt;&gt;Constants!$B$4,"",IF(OR(NOT($AL25),$AQ25),0,Constants!$B$33))</f>
        <v/>
      </c>
      <c r="CA25" s="100" t="str">
        <f aca="false">IF($BL25&lt;&gt;Constants!$B$4,"",Constants!$B$34*$BN25)</f>
        <v/>
      </c>
      <c r="CB25" s="100" t="str">
        <f aca="false">IF($BL25&lt;&gt;Constants!$B$4,"",IF(OR(NOT($AL25),$BH25),0,Constants!$B$36))</f>
        <v/>
      </c>
      <c r="CC25" s="100" t="str">
        <f aca="false">IF($BL25&lt;&gt;Constants!$B$4,"",IF(OR(NOT($AL25),$BG25),0,Constants!$B$37))</f>
        <v/>
      </c>
      <c r="CD25" s="100" t="str">
        <f aca="false">IF($BL25&lt;&gt;Constants!$B$4,"",SUM($BX25:$CC25))</f>
        <v/>
      </c>
      <c r="CE25" s="100" t="str">
        <f aca="false">IF(ISBLANK($C25),"",IF($BL25&lt;&gt;Constants!$B$4,$BL25,SUM($BO25:$BW25)-$CD25))</f>
        <v/>
      </c>
      <c r="CF25" s="100" t="str">
        <f aca="false">IF(ISBLANK($C25),"",IF($BL25&lt;&gt;Constants!$B$4,$BL25,RANK($CE25,$CE$9:$CE$508)))</f>
        <v/>
      </c>
      <c r="CG25" s="100" t="str">
        <f aca="false">IF(ISBLANK($C25),"",IF($BL25&lt;&gt;Constants!$B$4,$BL25,COUNTIFS($BM$9:$BM$508,"&lt;"&amp;$BM25)+COUNTIFS($BM$9:$BM$508,$BM25,$CF$9:$CF$508,"&lt;"&amp;$CF25)+1))</f>
        <v/>
      </c>
      <c r="CH25" s="100" t="str">
        <f aca="false">IF(ISBLANK($C25),"",IF($BL25&lt;&gt;Constants!$B$4,$BL25,RANK($CD25,$CD$9:$CD$508,1)))</f>
        <v/>
      </c>
      <c r="CI25" s="100" t="str">
        <f aca="false">IF($BL25&lt;&gt;Constants!$B$4,"",$AN25+$AO25+$AP25)</f>
        <v/>
      </c>
      <c r="CJ25" s="100" t="str">
        <f aca="false">IF(ISBLANK($C25),"",IF($BL25&lt;&gt;Constants!$B$4,$BL25,RANK($CI25,$CI$9:$CI$508,1)))</f>
        <v/>
      </c>
      <c r="CK25" s="100" t="str">
        <f aca="false">IF(ISBLANK($C25),"",IF($BL25&lt;&gt;Constants!$B$4,$BL25,COUNTIFS($BM$9:$BM$508,"&lt;"&amp;$BM25)+COUNTIFS($BM$9:$BM$508,$BM25,$CF$9:$CF$508,"&lt;"&amp;$CF25)+COUNTIFS($BM$9:$BM$508,$BM25,$CF$9:$CF$508,$CF25,$CH$9:$CH$508,"&lt;"&amp;$CH25)+COUNTIFS($BM$9:$BM$508,$BM25,$CF$9:$CF$508,$CF25,$CH$9:$CH$508,$CH25,$CJ$9:$CJ$508,"&lt;"&amp;$CJ25)+1))</f>
        <v/>
      </c>
      <c r="CL25" s="100" t="str">
        <f aca="false">IF(ISBLANK($C25),"",IF($BL25&lt;&gt;Constants!$B$4,$BL25,$CG25-$CK25))</f>
        <v/>
      </c>
      <c r="CM25" s="100" t="str">
        <f aca="false">IF(ISBLANK($C25),"",IF(NOT($AL25),"",IF(ISBLANK($D$7),$CM$5,IF(NOT(ISNUMBER($D$7)),$CM$6,""))))</f>
        <v/>
      </c>
      <c r="CN25" s="100" t="str">
        <f aca="false">IF(ISBLANK($C25),"",OR($AN25="",$AO25="",$AP25=""))</f>
        <v/>
      </c>
      <c r="CO25" s="100" t="str">
        <f aca="false">IF(ISBLANK($C25),"",AND($AL25,$BA25=""))</f>
        <v/>
      </c>
      <c r="CP25" s="100" t="str">
        <f aca="false">IF(ISBLANK($C25),"",AND($AL25,$BB25=""))</f>
        <v/>
      </c>
      <c r="CQ25" s="100" t="str">
        <f aca="false">IF(ISBLANK($C25),"",AND($AL25,$BC25=""))</f>
        <v/>
      </c>
      <c r="CR25" s="100" t="str">
        <f aca="false">IF(ISBLANK($C25),"",AND($AL25,$BF25=""))</f>
        <v/>
      </c>
      <c r="CS25" s="100" t="str">
        <f aca="false">IF(ISBLANK($C25),"",AND($AL25,$BJ25=""))</f>
        <v/>
      </c>
      <c r="CT25" s="101"/>
      <c r="CU25" s="102"/>
      <c r="CV25" s="103" t="str">
        <f aca="false">IF(ISBLANK($C25),"",IF($BL25=Constants!$B$8,$CM25,""))</f>
        <v/>
      </c>
      <c r="CW25" s="102" t="str">
        <f aca="false">IF(ISBLANK($C25),"",IF($BL25&lt;&gt;Constants!$B$4,"",$BO25+$BP25))</f>
        <v/>
      </c>
      <c r="CX25" s="104" t="str">
        <f aca="false">IF(ISBLANK($C25),"",IF($BL25&lt;&gt;Constants!$B$4,"",$BQ25+$BR25+$BS25))</f>
        <v/>
      </c>
      <c r="CY25" s="104" t="str">
        <f aca="false">IF(ISBLANK($C25),"",IF($BL25&lt;&gt;Constants!$B$4,"",$BT25))</f>
        <v/>
      </c>
      <c r="CZ25" s="104" t="str">
        <f aca="false">IF(ISBLANK($C25),"",IF($BL25&lt;&gt;Constants!$B$4,"",$BU25+$BV25))</f>
        <v/>
      </c>
      <c r="DA25" s="104" t="str">
        <f aca="false">IF(ISBLANK($C25),"",IF($BL25&lt;&gt;Constants!$B$4,"",$BW25))</f>
        <v/>
      </c>
      <c r="DB25" s="104" t="str">
        <f aca="false">IF(ISBLANK($C25),"",IF($BL25&lt;&gt;Constants!$B$4,"",-$CD25))</f>
        <v/>
      </c>
      <c r="DC25" s="103" t="str">
        <f aca="false">IF(ISBLANK($C25),"",$CE25)</f>
        <v/>
      </c>
      <c r="DD25" s="105" t="str">
        <f aca="false">IF(ISBLANK($C25),"",$BM25)</f>
        <v/>
      </c>
      <c r="DE25" s="104" t="str">
        <f aca="false">IF(ISBLANK($C25),"",$CL25)</f>
        <v/>
      </c>
      <c r="DF25" s="104" t="str">
        <f aca="false">IF(ISBLANK($C25),"",$CK25)</f>
        <v/>
      </c>
      <c r="DG25" s="106" t="str">
        <f aca="false">IF(ISBLANK($C25),"",IF($DF25=Constants!$B$7,COUNTA($C$9:$C$508)+2,IF($DF25=Constants!$B$6,COUNTA($C$9:$C$508)+1,IF($DF25=Constants!$B$5,COUNTA($C$9:$C$508),$DF25))))</f>
        <v/>
      </c>
      <c r="DH25" s="7"/>
      <c r="DI25" s="107" t="n">
        <f aca="false">IF(OR(ISNUMBER($DF25),$DF25=Constants!$B$7,$DF25=Constants!$B$5,$DF25=Constants!$B$6),1,0)</f>
        <v>0</v>
      </c>
      <c r="DJ25" s="107" t="n">
        <v>17</v>
      </c>
      <c r="DK25" s="107" t="str">
        <f aca="false">IF(ISBLANK($C25),"",IF(ISNUMBER($DG25),$DG25+ROW($B25)/1000,""))</f>
        <v/>
      </c>
      <c r="DL25" s="107" t="str">
        <f aca="false">IF(ISNUMBER($DK25),RANK($DK25,$DK$9:$DK$508,1),"")</f>
        <v/>
      </c>
      <c r="DM25" s="107" t="str">
        <f aca="false">IF(ISBLANK($C25),"",$B25)</f>
        <v/>
      </c>
      <c r="DN25" s="107" t="str">
        <f aca="false">IF(ISBLANK($C25),"",$C25)</f>
        <v/>
      </c>
      <c r="DO25" s="107" t="str">
        <f aca="false">IF(ISBLANK($C25),"",$D25)</f>
        <v/>
      </c>
      <c r="DP25" s="108" t="str">
        <f aca="false">$DD25</f>
        <v/>
      </c>
      <c r="DQ25" s="109" t="str">
        <f aca="false">$DC25</f>
        <v/>
      </c>
      <c r="DR25" s="107" t="str">
        <f aca="false">IF(ISBLANK($C25),"",$DF25)</f>
        <v/>
      </c>
      <c r="DS25" s="110" t="str">
        <f aca="false">IF($DJ25&gt;$DI$8,"",VLOOKUP($DJ25,$DL$9:$DR$508,7,FALSE()))</f>
        <v/>
      </c>
      <c r="DT25" s="111" t="str">
        <f aca="false">IF($DJ25&gt;$DI$8,"",VLOOKUP($DJ25,$DL$9:$DR$508,2,FALSE()))</f>
        <v/>
      </c>
      <c r="DU25" s="111" t="str">
        <f aca="false">IF($DJ25&gt;$DI$8,"",VLOOKUP($DJ25,$DL$9:$DR$508,3,FALSE()))</f>
        <v/>
      </c>
      <c r="DV25" s="111" t="str">
        <f aca="false">IF($DJ25&gt;$DI$8,"",VLOOKUP($DJ25,$DL$9:$DR$508,4,FALSE()))</f>
        <v/>
      </c>
      <c r="DW25" s="111" t="str">
        <f aca="false">IF($DJ25&gt;$DI$8,"",VLOOKUP($DJ25,$DL$9:$DR$508,5,FALSE()))</f>
        <v/>
      </c>
      <c r="DX25" s="112" t="str">
        <f aca="false">IF($DJ25&gt;$DI$8,"",VLOOKUP($DJ25,$DL$9:$DR$508,6,FALSE()))</f>
        <v/>
      </c>
      <c r="DY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127"/>
      <c r="N26" s="127"/>
      <c r="O26" s="128"/>
      <c r="P26" s="128"/>
      <c r="Q26" s="127"/>
      <c r="R26" s="127"/>
      <c r="S26" s="127"/>
      <c r="T26" s="127"/>
      <c r="U26" s="128"/>
      <c r="V26" s="127"/>
      <c r="W26" s="96"/>
      <c r="X26" s="127"/>
      <c r="Y26" s="127"/>
      <c r="Z26" s="96"/>
      <c r="AA26" s="96"/>
      <c r="AB26" s="127"/>
      <c r="AC26" s="127"/>
      <c r="AD26" s="127"/>
      <c r="AE26" s="97"/>
      <c r="AF26" s="130"/>
      <c r="AG26" s="99"/>
      <c r="AH26" s="100"/>
      <c r="AI26" s="100"/>
      <c r="AJ26" s="100" t="str">
        <f aca="false">IF(ISBLANK($C26),"",IF($E26=Constants!$B$2,TRUE(),IF($E26=Constants!$B$3,FALSE(),TRUE())))</f>
        <v/>
      </c>
      <c r="AK26" s="100" t="str">
        <f aca="false">IF(ISBLANK($C26),"",IF($F26=Constants!$B$2,TRUE(),IF($F26=Constants!$B$3,FALSE(),FALSE())))</f>
        <v/>
      </c>
      <c r="AL26" s="100" t="str">
        <f aca="false">IF(ISBLANK($C26),"",IF($G26=Constants!$B$2,TRUE(),IF($G26=Constants!$B$3,FALSE(),TRUE())))</f>
        <v/>
      </c>
      <c r="AM26" s="100" t="str">
        <f aca="false">IF(ISBLANK($C26),"",IF($H26=Constants!$B$2,TRUE(),IF($H26=Constants!$B$3,FALSE(),TRUE())))</f>
        <v/>
      </c>
      <c r="AN26" s="100" t="str">
        <f aca="false">IF(ISBLANK($C26),"",IF(ISNUMBER($I26),IF($I26&gt;=0,$I26,""),""))</f>
        <v/>
      </c>
      <c r="AO26" s="100" t="str">
        <f aca="false">IF(ISBLANK($C26),"",IF(ISNUMBER($J26),IF($J26&gt;=0,$J26,""),""))</f>
        <v/>
      </c>
      <c r="AP26" s="100" t="str">
        <f aca="false">IF(ISBLANK($C26),"",IF(ISNUMBER($K26),IF($K26&gt;=0,$K26,""),""))</f>
        <v/>
      </c>
      <c r="AQ26" s="100" t="str">
        <f aca="false">IF(ISBLANK($C26),"",IF($L26=Constants!$B$2,TRUE(),IF($L26=Constants!$B$3,FALSE(),TRUE())))</f>
        <v/>
      </c>
      <c r="AR26" s="100" t="str">
        <f aca="false">IF(ISBLANK($C26),"",IF($M26=Constants!$B$2,TRUE(),IF($M26=Constants!$B$3,FALSE(),TRUE())))</f>
        <v/>
      </c>
      <c r="AS26" s="100" t="str">
        <f aca="false">IF(ISBLANK($C26),"",IF($N26=Constants!$B$2,TRUE(),IF($N26=Constants!$B$3,FALSE(),FALSE())))</f>
        <v/>
      </c>
      <c r="AT26" s="100" t="str">
        <f aca="false">IF(ISBLANK($C26),"",IF($O26=Constants!$B$2,TRUE(),IF($O26=Constants!$B$3,FALSE(),TRUE())))</f>
        <v/>
      </c>
      <c r="AU26" s="100" t="str">
        <f aca="false">IF(ISBLANK($C26),"",IF($P26=Constants!$B$2,TRUE(),IF($P26=Constants!$B$3,FALSE(),TRUE())))</f>
        <v/>
      </c>
      <c r="AV26" s="100" t="str">
        <f aca="false">IF(ISBLANK($C26),"",IF($Q26=Constants!$B$2,TRUE(),IF($Q26=Constants!$B$3,FALSE(),FALSE())))</f>
        <v/>
      </c>
      <c r="AW26" s="100" t="str">
        <f aca="false">IF(ISBLANK($C26),"",IF($R26=Constants!$B$2,TRUE(),IF($R26=Constants!$B$3,FALSE(),FALSE())))</f>
        <v/>
      </c>
      <c r="AX26" s="100" t="str">
        <f aca="false">IF(ISBLANK($C26),"",IF($S26=Constants!$B$2,TRUE(),IF($S26=Constants!$B$3,FALSE(),FALSE())))</f>
        <v/>
      </c>
      <c r="AY26" s="100" t="str">
        <f aca="false">IF(ISBLANK($C26),"",IF($T26=Constants!$B$2,TRUE(),IF($T26=Constants!$B$3,FALSE(),FALSE())))</f>
        <v/>
      </c>
      <c r="AZ26" s="100" t="str">
        <f aca="false">IF(ISBLANK($C26),"",IF($U26=Constants!$B$2,TRUE(),IF($U26=Constants!$B$3,FALSE(),FALSE())))</f>
        <v/>
      </c>
      <c r="BA26" s="100" t="str">
        <f aca="false">IF(ISBLANK($C26),"",IF(OR($V26&amp;""="1",$V26&amp;""="2",$V26&amp;""="3",$V26&amp;""="4"),VALUE($V26&amp;""),IF($V26=Constants!$B$12,Constants!$B$12,"")))</f>
        <v/>
      </c>
      <c r="BB26" s="100" t="str">
        <f aca="false">IF(ISBLANK($C26),"",IF(ISBLANK($W26),0,IF(ISNUMBER($W26),IF(AND($W26&gt;=0,$W26&lt;=Constants!$B$21,$W26=INT($W26)),$W26,""),"")))</f>
        <v/>
      </c>
      <c r="BC26" s="100" t="str">
        <f aca="false">IF(ISBLANK($C26),"",IF(ISBLANK($X26),0,IF(ISNUMBER($X26),IF($X26&gt;=0,$X26,""),"")))</f>
        <v/>
      </c>
      <c r="BD26" s="100" t="str">
        <f aca="false">IF(ISBLANK($C26),"",IF($Y26=Constants!$B$2,TRUE(),IF($Y26=Constants!$B$3,FALSE(),TRUE())))</f>
        <v/>
      </c>
      <c r="BE26" s="100" t="str">
        <f aca="false">IF(ISBLANK($C26),"",IF($Z26=Constants!$B$2,TRUE(),IF($Z26=Constants!$B$3,FALSE(),FALSE())))</f>
        <v/>
      </c>
      <c r="BF26" s="100" t="str">
        <f aca="false">IF(ISBLANK($C26),"",IF(ISBLANK($AA26),0,IF(ISNUMBER($AA26),IF(AND($AA26&gt;=0,$AA26&lt;=Constants!$B$35,$AA26=INT($AA26)),$AA26,""),"")))</f>
        <v/>
      </c>
      <c r="BG26" s="100" t="str">
        <f aca="false">IF(ISBLANK($C26),"",IF($AB26=Constants!$B$2,TRUE(),IF($AB26=Constants!$B$3,FALSE(),TRUE())))</f>
        <v/>
      </c>
      <c r="BH26" s="100" t="str">
        <f aca="false">IF(ISBLANK($C26),"",IF($AC26=Constants!$B$2,TRUE(),IF($AC26=Constants!$B$3,FALSE(),TRUE())))</f>
        <v/>
      </c>
      <c r="BI26" s="100" t="str">
        <f aca="false">IF(ISBLANK($C26),"",IF($AD26=Constants!$B$2,TRUE(),IF($AD26=Constants!$B$3,FALSE(),TRUE())))</f>
        <v/>
      </c>
      <c r="BJ26" s="100" t="str">
        <f aca="false">IF(ISBLANK($C26),"",IF(ISNUMBER($AE26),IF($AE26&gt;=0,$AE26,""),""))</f>
        <v/>
      </c>
      <c r="BK26" s="100" t="str">
        <f aca="false">IF(ISBLANK($C26),"",IF($AF26=Constants!$B$2,TRUE(),IF($AF26=Constants!$B$3,FALSE(),FALSE())))</f>
        <v/>
      </c>
      <c r="BL26" s="99" t="str">
        <f aca="false">IF(ISBLANK($C26),"",IF($BK26,Constants!$B$7,IF(COUNTA($E26:$AE26)=0,Constants!$B$6,IF(OR(COUNTA($G26:$AE26)=0,NOT($AM26),$AS26),Constants!$B$5,IF(OR($CM26&lt;&gt;"",$CN26,$CO26,$CP26,$CQ26,$CR26,$CS26),Constants!$B$8,Constants!$B$4)))))</f>
        <v/>
      </c>
      <c r="BM26" s="100" t="str">
        <f aca="false">IF(ISBLANK($C26),"",IF($BL26&lt;&gt;Constants!$B$4,$BL26,IF(OR(NOT($AJ26),NOT($AL26),NOT($AT26)),Constants!$B$11,IF(OR(NOT($AR26),NOT($AU26),NOT($BI26),MAX($AN26,$AO26,$AP26)&gt;Constants!$B$30),Constants!$B$10,Constants!$B$9))))</f>
        <v/>
      </c>
      <c r="BN26" s="100" t="str">
        <f aca="false">IF($BL26&lt;&gt;Constants!$B$4,"",IF(NOT($AL26),0,MIN(Constants!$B$35,$BF26)))</f>
        <v/>
      </c>
      <c r="BO26" s="100" t="str">
        <f aca="false">IF($BL26&lt;&gt;Constants!$B$4,"",IF(NOT($AL26),0,IF($AW26,Constants!$B$18,IF($AV26,Constants!$B$17,0))))</f>
        <v/>
      </c>
      <c r="BP26" s="100" t="str">
        <f aca="false">IF($BL26&lt;&gt;Constants!$B$4,"",IF(NOT($AL26),0,Constants!$B$19*($AK26+$AX26+$AY26+$AZ26)))</f>
        <v/>
      </c>
      <c r="BQ26" s="100" t="str">
        <f aca="false">IF($BL26&lt;&gt;Constants!$B$4,"",IF(OR(NOT($AL26),NOT(ISNUMBER($BA26))),0,CHOOSE($BA26,Constants!$B$13,Constants!$B$14,Constants!$B$15,Constants!$B$16)))</f>
        <v/>
      </c>
      <c r="BR26" s="100" t="str">
        <f aca="false">IF($BL26&lt;&gt;Constants!$B$4,"",IF(NOT($AL26),0,Constants!$B$20*$BB26))</f>
        <v/>
      </c>
      <c r="BS26" s="100" t="str">
        <f aca="false">IF($BL26&lt;&gt;Constants!$B$4,"",IF(AND($AL26,$BD26,$BE26),Constants!$B$22,0))</f>
        <v/>
      </c>
      <c r="BT26" s="100" t="str">
        <f aca="false">IF($BL26&lt;&gt;Constants!$B$4,"",IF(OR(NOT($AL26),NOT($BD26)),0,IF($BJ26&gt;=2*$AH$9,0,Constants!$B$23*INT(ROUND(MIN($BJ26,$AH$9),6)))))</f>
        <v/>
      </c>
      <c r="BU26" s="100" t="str">
        <f aca="false">IF($BL26&lt;&gt;Constants!$B$4,"",IF(NOT($AL26),0,Constants!$B$24*INT(ROUND(MIN($BC26,$AH$9),6))))</f>
        <v/>
      </c>
      <c r="BV26" s="100" t="str">
        <f aca="false">IF($BL26&lt;&gt;Constants!$B$4,"",IF(AND($AL26,$BN26=0),Constants!$B$25,0))</f>
        <v/>
      </c>
      <c r="BW26" s="100" t="str">
        <f aca="false">IF($BL26&lt;&gt;Constants!$B$4,"",MIN(Constants!$B$29,MAX(0,Constants!$B$27*Constants!$B$28*INT(ROUND((Constants!$B$26-$AN26)/Constants!$B$28,6))))+MIN(Constants!$B$29,MAX(0,Constants!$B$27*Constants!$B$28*INT(ROUND((Constants!$B$26-$AO26)/Constants!$B$28,6))))+MIN(Constants!$B$29,MAX(0,Constants!$B$27*Constants!$B$28*INT(ROUND((Constants!$B$26-$AP26)/Constants!$B$28,6)))))</f>
        <v/>
      </c>
      <c r="BX26" s="100" t="str">
        <f aca="false">IF($BL26&lt;&gt;Constants!$B$4,"",IF(NOT($AL26),0,Constants!$B$31*INT(ROUND(MAX(0,MIN($BJ26,2*$AH$9)-$AH$9),6))))</f>
        <v/>
      </c>
      <c r="BY26" s="100" t="str">
        <f aca="false">IF($BL26&lt;&gt;Constants!$B$4,"",Constants!$B$32*(($AN26&gt;Constants!$B$26)+($AO26&gt;Constants!$B$26)+($AP26&gt;Constants!$B$26)))</f>
        <v/>
      </c>
      <c r="BZ26" s="100" t="str">
        <f aca="false">IF($BL26&lt;&gt;Constants!$B$4,"",IF(OR(NOT($AL26),$AQ26),0,Constants!$B$33))</f>
        <v/>
      </c>
      <c r="CA26" s="100" t="str">
        <f aca="false">IF($BL26&lt;&gt;Constants!$B$4,"",Constants!$B$34*$BN26)</f>
        <v/>
      </c>
      <c r="CB26" s="100" t="str">
        <f aca="false">IF($BL26&lt;&gt;Constants!$B$4,"",IF(OR(NOT($AL26),$BH26),0,Constants!$B$36))</f>
        <v/>
      </c>
      <c r="CC26" s="100" t="str">
        <f aca="false">IF($BL26&lt;&gt;Constants!$B$4,"",IF(OR(NOT($AL26),$BG26),0,Constants!$B$37))</f>
        <v/>
      </c>
      <c r="CD26" s="100" t="str">
        <f aca="false">IF($BL26&lt;&gt;Constants!$B$4,"",SUM($BX26:$CC26))</f>
        <v/>
      </c>
      <c r="CE26" s="100" t="str">
        <f aca="false">IF(ISBLANK($C26),"",IF($BL26&lt;&gt;Constants!$B$4,$BL26,SUM($BO26:$BW26)-$CD26))</f>
        <v/>
      </c>
      <c r="CF26" s="100" t="str">
        <f aca="false">IF(ISBLANK($C26),"",IF($BL26&lt;&gt;Constants!$B$4,$BL26,RANK($CE26,$CE$9:$CE$508)))</f>
        <v/>
      </c>
      <c r="CG26" s="100" t="str">
        <f aca="false">IF(ISBLANK($C26),"",IF($BL26&lt;&gt;Constants!$B$4,$BL26,COUNTIFS($BM$9:$BM$508,"&lt;"&amp;$BM26)+COUNTIFS($BM$9:$BM$508,$BM26,$CF$9:$CF$508,"&lt;"&amp;$CF26)+1))</f>
        <v/>
      </c>
      <c r="CH26" s="100" t="str">
        <f aca="false">IF(ISBLANK($C26),"",IF($BL26&lt;&gt;Constants!$B$4,$BL26,RANK($CD26,$CD$9:$CD$508,1)))</f>
        <v/>
      </c>
      <c r="CI26" s="100" t="str">
        <f aca="false">IF($BL26&lt;&gt;Constants!$B$4,"",$AN26+$AO26+$AP26)</f>
        <v/>
      </c>
      <c r="CJ26" s="100" t="str">
        <f aca="false">IF(ISBLANK($C26),"",IF($BL26&lt;&gt;Constants!$B$4,$BL26,RANK($CI26,$CI$9:$CI$508,1)))</f>
        <v/>
      </c>
      <c r="CK26" s="100" t="str">
        <f aca="false">IF(ISBLANK($C26),"",IF($BL26&lt;&gt;Constants!$B$4,$BL26,COUNTIFS($BM$9:$BM$508,"&lt;"&amp;$BM26)+COUNTIFS($BM$9:$BM$508,$BM26,$CF$9:$CF$508,"&lt;"&amp;$CF26)+COUNTIFS($BM$9:$BM$508,$BM26,$CF$9:$CF$508,$CF26,$CH$9:$CH$508,"&lt;"&amp;$CH26)+COUNTIFS($BM$9:$BM$508,$BM26,$CF$9:$CF$508,$CF26,$CH$9:$CH$508,$CH26,$CJ$9:$CJ$508,"&lt;"&amp;$CJ26)+1))</f>
        <v/>
      </c>
      <c r="CL26" s="100" t="str">
        <f aca="false">IF(ISBLANK($C26),"",IF($BL26&lt;&gt;Constants!$B$4,$BL26,$CG26-$CK26))</f>
        <v/>
      </c>
      <c r="CM26" s="100" t="str">
        <f aca="false">IF(ISBLANK($C26),"",IF(NOT($AL26),"",IF(ISBLANK($D$7),$CM$5,IF(NOT(ISNUMBER($D$7)),$CM$6,""))))</f>
        <v/>
      </c>
      <c r="CN26" s="100" t="str">
        <f aca="false">IF(ISBLANK($C26),"",OR($AN26="",$AO26="",$AP26=""))</f>
        <v/>
      </c>
      <c r="CO26" s="100" t="str">
        <f aca="false">IF(ISBLANK($C26),"",AND($AL26,$BA26=""))</f>
        <v/>
      </c>
      <c r="CP26" s="100" t="str">
        <f aca="false">IF(ISBLANK($C26),"",AND($AL26,$BB26=""))</f>
        <v/>
      </c>
      <c r="CQ26" s="100" t="str">
        <f aca="false">IF(ISBLANK($C26),"",AND($AL26,$BC26=""))</f>
        <v/>
      </c>
      <c r="CR26" s="100" t="str">
        <f aca="false">IF(ISBLANK($C26),"",AND($AL26,$BF26=""))</f>
        <v/>
      </c>
      <c r="CS26" s="100" t="str">
        <f aca="false">IF(ISBLANK($C26),"",AND($AL26,$BJ26=""))</f>
        <v/>
      </c>
      <c r="CT26" s="101"/>
      <c r="CU26" s="102"/>
      <c r="CV26" s="103" t="str">
        <f aca="false">IF(ISBLANK($C26),"",IF($BL26=Constants!$B$8,$CM26,""))</f>
        <v/>
      </c>
      <c r="CW26" s="102" t="str">
        <f aca="false">IF(ISBLANK($C26),"",IF($BL26&lt;&gt;Constants!$B$4,"",$BO26+$BP26))</f>
        <v/>
      </c>
      <c r="CX26" s="104" t="str">
        <f aca="false">IF(ISBLANK($C26),"",IF($BL26&lt;&gt;Constants!$B$4,"",$BQ26+$BR26+$BS26))</f>
        <v/>
      </c>
      <c r="CY26" s="104" t="str">
        <f aca="false">IF(ISBLANK($C26),"",IF($BL26&lt;&gt;Constants!$B$4,"",$BT26))</f>
        <v/>
      </c>
      <c r="CZ26" s="104" t="str">
        <f aca="false">IF(ISBLANK($C26),"",IF($BL26&lt;&gt;Constants!$B$4,"",$BU26+$BV26))</f>
        <v/>
      </c>
      <c r="DA26" s="104" t="str">
        <f aca="false">IF(ISBLANK($C26),"",IF($BL26&lt;&gt;Constants!$B$4,"",$BW26))</f>
        <v/>
      </c>
      <c r="DB26" s="104" t="str">
        <f aca="false">IF(ISBLANK($C26),"",IF($BL26&lt;&gt;Constants!$B$4,"",-$CD26))</f>
        <v/>
      </c>
      <c r="DC26" s="103" t="str">
        <f aca="false">IF(ISBLANK($C26),"",$CE26)</f>
        <v/>
      </c>
      <c r="DD26" s="105" t="str">
        <f aca="false">IF(ISBLANK($C26),"",$BM26)</f>
        <v/>
      </c>
      <c r="DE26" s="104" t="str">
        <f aca="false">IF(ISBLANK($C26),"",$CL26)</f>
        <v/>
      </c>
      <c r="DF26" s="104" t="str">
        <f aca="false">IF(ISBLANK($C26),"",$CK26)</f>
        <v/>
      </c>
      <c r="DG26" s="106" t="str">
        <f aca="false">IF(ISBLANK($C26),"",IF($DF26=Constants!$B$7,COUNTA($C$9:$C$508)+2,IF($DF26=Constants!$B$6,COUNTA($C$9:$C$508)+1,IF($DF26=Constants!$B$5,COUNTA($C$9:$C$508),$DF26))))</f>
        <v/>
      </c>
      <c r="DH26" s="7"/>
      <c r="DI26" s="107" t="n">
        <f aca="false">IF(OR(ISNUMBER($DF26),$DF26=Constants!$B$7,$DF26=Constants!$B$5,$DF26=Constants!$B$6),1,0)</f>
        <v>0</v>
      </c>
      <c r="DJ26" s="107" t="n">
        <v>18</v>
      </c>
      <c r="DK26" s="107" t="str">
        <f aca="false">IF(ISBLANK($C26),"",IF(ISNUMBER($DG26),$DG26+ROW($B26)/1000,""))</f>
        <v/>
      </c>
      <c r="DL26" s="107" t="str">
        <f aca="false">IF(ISNUMBER($DK26),RANK($DK26,$DK$9:$DK$508,1),"")</f>
        <v/>
      </c>
      <c r="DM26" s="107" t="str">
        <f aca="false">IF(ISBLANK($C26),"",$B26)</f>
        <v/>
      </c>
      <c r="DN26" s="107" t="str">
        <f aca="false">IF(ISBLANK($C26),"",$C26)</f>
        <v/>
      </c>
      <c r="DO26" s="107" t="str">
        <f aca="false">IF(ISBLANK($C26),"",$D26)</f>
        <v/>
      </c>
      <c r="DP26" s="108" t="str">
        <f aca="false">$DD26</f>
        <v/>
      </c>
      <c r="DQ26" s="109" t="str">
        <f aca="false">$DC26</f>
        <v/>
      </c>
      <c r="DR26" s="107" t="str">
        <f aca="false">IF(ISBLANK($C26),"",$DF26)</f>
        <v/>
      </c>
      <c r="DS26" s="110" t="str">
        <f aca="false">IF($DJ26&gt;$DI$8,"",VLOOKUP($DJ26,$DL$9:$DR$508,7,FALSE()))</f>
        <v/>
      </c>
      <c r="DT26" s="111" t="str">
        <f aca="false">IF($DJ26&gt;$DI$8,"",VLOOKUP($DJ26,$DL$9:$DR$508,2,FALSE()))</f>
        <v/>
      </c>
      <c r="DU26" s="111" t="str">
        <f aca="false">IF($DJ26&gt;$DI$8,"",VLOOKUP($DJ26,$DL$9:$DR$508,3,FALSE()))</f>
        <v/>
      </c>
      <c r="DV26" s="111" t="str">
        <f aca="false">IF($DJ26&gt;$DI$8,"",VLOOKUP($DJ26,$DL$9:$DR$508,4,FALSE()))</f>
        <v/>
      </c>
      <c r="DW26" s="111" t="str">
        <f aca="false">IF($DJ26&gt;$DI$8,"",VLOOKUP($DJ26,$DL$9:$DR$508,5,FALSE()))</f>
        <v/>
      </c>
      <c r="DX26" s="112" t="str">
        <f aca="false">IF($DJ26&gt;$DI$8,"",VLOOKUP($DJ26,$DL$9:$DR$508,6,FALSE()))</f>
        <v/>
      </c>
      <c r="DY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124"/>
      <c r="N27" s="124"/>
      <c r="O27" s="125"/>
      <c r="P27" s="125"/>
      <c r="Q27" s="124"/>
      <c r="R27" s="124"/>
      <c r="S27" s="124"/>
      <c r="T27" s="124"/>
      <c r="U27" s="125"/>
      <c r="V27" s="124"/>
      <c r="W27" s="70"/>
      <c r="X27" s="124"/>
      <c r="Y27" s="124"/>
      <c r="Z27" s="70"/>
      <c r="AA27" s="70"/>
      <c r="AB27" s="124"/>
      <c r="AC27" s="124"/>
      <c r="AD27" s="124"/>
      <c r="AE27" s="71"/>
      <c r="AF27" s="88"/>
      <c r="AG27" s="73"/>
      <c r="AH27" s="74"/>
      <c r="AI27" s="74"/>
      <c r="AJ27" s="74" t="str">
        <f aca="false">IF(ISBLANK($C27),"",IF($E27=Constants!$B$2,TRUE(),IF($E27=Constants!$B$3,FALSE(),TRUE())))</f>
        <v/>
      </c>
      <c r="AK27" s="74" t="str">
        <f aca="false">IF(ISBLANK($C27),"",IF($F27=Constants!$B$2,TRUE(),IF($F27=Constants!$B$3,FALSE(),FALSE())))</f>
        <v/>
      </c>
      <c r="AL27" s="74" t="str">
        <f aca="false">IF(ISBLANK($C27),"",IF($G27=Constants!$B$2,TRUE(),IF($G27=Constants!$B$3,FALSE(),TRUE())))</f>
        <v/>
      </c>
      <c r="AM27" s="74" t="str">
        <f aca="false">IF(ISBLANK($C27),"",IF($H27=Constants!$B$2,TRUE(),IF($H27=Constants!$B$3,FALSE(),TRUE())))</f>
        <v/>
      </c>
      <c r="AN27" s="74" t="str">
        <f aca="false">IF(ISBLANK($C27),"",IF(ISNUMBER($I27),IF($I27&gt;=0,$I27,""),""))</f>
        <v/>
      </c>
      <c r="AO27" s="74" t="str">
        <f aca="false">IF(ISBLANK($C27),"",IF(ISNUMBER($J27),IF($J27&gt;=0,$J27,""),""))</f>
        <v/>
      </c>
      <c r="AP27" s="74" t="str">
        <f aca="false">IF(ISBLANK($C27),"",IF(ISNUMBER($K27),IF($K27&gt;=0,$K27,""),""))</f>
        <v/>
      </c>
      <c r="AQ27" s="74" t="str">
        <f aca="false">IF(ISBLANK($C27),"",IF($L27=Constants!$B$2,TRUE(),IF($L27=Constants!$B$3,FALSE(),TRUE())))</f>
        <v/>
      </c>
      <c r="AR27" s="74" t="str">
        <f aca="false">IF(ISBLANK($C27),"",IF($M27=Constants!$B$2,TRUE(),IF($M27=Constants!$B$3,FALSE(),TRUE())))</f>
        <v/>
      </c>
      <c r="AS27" s="74" t="str">
        <f aca="false">IF(ISBLANK($C27),"",IF($N27=Constants!$B$2,TRUE(),IF($N27=Constants!$B$3,FALSE(),FALSE())))</f>
        <v/>
      </c>
      <c r="AT27" s="74" t="str">
        <f aca="false">IF(ISBLANK($C27),"",IF($O27=Constants!$B$2,TRUE(),IF($O27=Constants!$B$3,FALSE(),TRUE())))</f>
        <v/>
      </c>
      <c r="AU27" s="74" t="str">
        <f aca="false">IF(ISBLANK($C27),"",IF($P27=Constants!$B$2,TRUE(),IF($P27=Constants!$B$3,FALSE(),TRUE())))</f>
        <v/>
      </c>
      <c r="AV27" s="74" t="str">
        <f aca="false">IF(ISBLANK($C27),"",IF($Q27=Constants!$B$2,TRUE(),IF($Q27=Constants!$B$3,FALSE(),FALSE())))</f>
        <v/>
      </c>
      <c r="AW27" s="74" t="str">
        <f aca="false">IF(ISBLANK($C27),"",IF($R27=Constants!$B$2,TRUE(),IF($R27=Constants!$B$3,FALSE(),FALSE())))</f>
        <v/>
      </c>
      <c r="AX27" s="74" t="str">
        <f aca="false">IF(ISBLANK($C27),"",IF($S27=Constants!$B$2,TRUE(),IF($S27=Constants!$B$3,FALSE(),FALSE())))</f>
        <v/>
      </c>
      <c r="AY27" s="74" t="str">
        <f aca="false">IF(ISBLANK($C27),"",IF($T27=Constants!$B$2,TRUE(),IF($T27=Constants!$B$3,FALSE(),FALSE())))</f>
        <v/>
      </c>
      <c r="AZ27" s="74" t="str">
        <f aca="false">IF(ISBLANK($C27),"",IF($U27=Constants!$B$2,TRUE(),IF($U27=Constants!$B$3,FALSE(),FALSE())))</f>
        <v/>
      </c>
      <c r="BA27" s="74" t="str">
        <f aca="false">IF(ISBLANK($C27),"",IF(OR($V27&amp;""="1",$V27&amp;""="2",$V27&amp;""="3",$V27&amp;""="4"),VALUE($V27&amp;""),IF($V27=Constants!$B$12,Constants!$B$12,"")))</f>
        <v/>
      </c>
      <c r="BB27" s="74" t="str">
        <f aca="false">IF(ISBLANK($C27),"",IF(ISBLANK($W27),0,IF(ISNUMBER($W27),IF(AND($W27&gt;=0,$W27&lt;=Constants!$B$21,$W27=INT($W27)),$W27,""),"")))</f>
        <v/>
      </c>
      <c r="BC27" s="74" t="str">
        <f aca="false">IF(ISBLANK($C27),"",IF(ISBLANK($X27),0,IF(ISNUMBER($X27),IF($X27&gt;=0,$X27,""),"")))</f>
        <v/>
      </c>
      <c r="BD27" s="74" t="str">
        <f aca="false">IF(ISBLANK($C27),"",IF($Y27=Constants!$B$2,TRUE(),IF($Y27=Constants!$B$3,FALSE(),TRUE())))</f>
        <v/>
      </c>
      <c r="BE27" s="74" t="str">
        <f aca="false">IF(ISBLANK($C27),"",IF($Z27=Constants!$B$2,TRUE(),IF($Z27=Constants!$B$3,FALSE(),FALSE())))</f>
        <v/>
      </c>
      <c r="BF27" s="74" t="str">
        <f aca="false">IF(ISBLANK($C27),"",IF(ISBLANK($AA27),0,IF(ISNUMBER($AA27),IF(AND($AA27&gt;=0,$AA27&lt;=Constants!$B$35,$AA27=INT($AA27)),$AA27,""),"")))</f>
        <v/>
      </c>
      <c r="BG27" s="74" t="str">
        <f aca="false">IF(ISBLANK($C27),"",IF($AB27=Constants!$B$2,TRUE(),IF($AB27=Constants!$B$3,FALSE(),TRUE())))</f>
        <v/>
      </c>
      <c r="BH27" s="74" t="str">
        <f aca="false">IF(ISBLANK($C27),"",IF($AC27=Constants!$B$2,TRUE(),IF($AC27=Constants!$B$3,FALSE(),TRUE())))</f>
        <v/>
      </c>
      <c r="BI27" s="74" t="str">
        <f aca="false">IF(ISBLANK($C27),"",IF($AD27=Constants!$B$2,TRUE(),IF($AD27=Constants!$B$3,FALSE(),TRUE())))</f>
        <v/>
      </c>
      <c r="BJ27" s="74" t="str">
        <f aca="false">IF(ISBLANK($C27),"",IF(ISNUMBER($AE27),IF($AE27&gt;=0,$AE27,""),""))</f>
        <v/>
      </c>
      <c r="BK27" s="74" t="str">
        <f aca="false">IF(ISBLANK($C27),"",IF($AF27=Constants!$B$2,TRUE(),IF($AF27=Constants!$B$3,FALSE(),FALSE())))</f>
        <v/>
      </c>
      <c r="BL27" s="73" t="str">
        <f aca="false">IF(ISBLANK($C27),"",IF($BK27,Constants!$B$7,IF(COUNTA($E27:$AE27)=0,Constants!$B$6,IF(OR(COUNTA($G27:$AE27)=0,NOT($AM27),$AS27),Constants!$B$5,IF(OR($CM27&lt;&gt;"",$CN27,$CO27,$CP27,$CQ27,$CR27,$CS27),Constants!$B$8,Constants!$B$4)))))</f>
        <v/>
      </c>
      <c r="BM27" s="74" t="str">
        <f aca="false">IF(ISBLANK($C27),"",IF($BL27&lt;&gt;Constants!$B$4,$BL27,IF(OR(NOT($AJ27),NOT($AL27),NOT($AT27)),Constants!$B$11,IF(OR(NOT($AR27),NOT($AU27),NOT($BI27),MAX($AN27,$AO27,$AP27)&gt;Constants!$B$30),Constants!$B$10,Constants!$B$9))))</f>
        <v/>
      </c>
      <c r="BN27" s="74" t="str">
        <f aca="false">IF($BL27&lt;&gt;Constants!$B$4,"",IF(NOT($AL27),0,MIN(Constants!$B$35,$BF27)))</f>
        <v/>
      </c>
      <c r="BO27" s="74" t="str">
        <f aca="false">IF($BL27&lt;&gt;Constants!$B$4,"",IF(NOT($AL27),0,IF($AW27,Constants!$B$18,IF($AV27,Constants!$B$17,0))))</f>
        <v/>
      </c>
      <c r="BP27" s="74" t="str">
        <f aca="false">IF($BL27&lt;&gt;Constants!$B$4,"",IF(NOT($AL27),0,Constants!$B$19*($AK27+$AX27+$AY27+$AZ27)))</f>
        <v/>
      </c>
      <c r="BQ27" s="74" t="str">
        <f aca="false">IF($BL27&lt;&gt;Constants!$B$4,"",IF(OR(NOT($AL27),NOT(ISNUMBER($BA27))),0,CHOOSE($BA27,Constants!$B$13,Constants!$B$14,Constants!$B$15,Constants!$B$16)))</f>
        <v/>
      </c>
      <c r="BR27" s="74" t="str">
        <f aca="false">IF($BL27&lt;&gt;Constants!$B$4,"",IF(NOT($AL27),0,Constants!$B$20*$BB27))</f>
        <v/>
      </c>
      <c r="BS27" s="74" t="str">
        <f aca="false">IF($BL27&lt;&gt;Constants!$B$4,"",IF(AND($AL27,$BD27,$BE27),Constants!$B$22,0))</f>
        <v/>
      </c>
      <c r="BT27" s="74" t="str">
        <f aca="false">IF($BL27&lt;&gt;Constants!$B$4,"",IF(OR(NOT($AL27),NOT($BD27)),0,IF($BJ27&gt;=2*$AH$9,0,Constants!$B$23*INT(ROUND(MIN($BJ27,$AH$9),6)))))</f>
        <v/>
      </c>
      <c r="BU27" s="74" t="str">
        <f aca="false">IF($BL27&lt;&gt;Constants!$B$4,"",IF(NOT($AL27),0,Constants!$B$24*INT(ROUND(MIN($BC27,$AH$9),6))))</f>
        <v/>
      </c>
      <c r="BV27" s="74" t="str">
        <f aca="false">IF($BL27&lt;&gt;Constants!$B$4,"",IF(AND($AL27,$BN27=0),Constants!$B$25,0))</f>
        <v/>
      </c>
      <c r="BW27" s="74" t="str">
        <f aca="false">IF($BL27&lt;&gt;Constants!$B$4,"",MIN(Constants!$B$29,MAX(0,Constants!$B$27*Constants!$B$28*INT(ROUND((Constants!$B$26-$AN27)/Constants!$B$28,6))))+MIN(Constants!$B$29,MAX(0,Constants!$B$27*Constants!$B$28*INT(ROUND((Constants!$B$26-$AO27)/Constants!$B$28,6))))+MIN(Constants!$B$29,MAX(0,Constants!$B$27*Constants!$B$28*INT(ROUND((Constants!$B$26-$AP27)/Constants!$B$28,6)))))</f>
        <v/>
      </c>
      <c r="BX27" s="74" t="str">
        <f aca="false">IF($BL27&lt;&gt;Constants!$B$4,"",IF(NOT($AL27),0,Constants!$B$31*INT(ROUND(MAX(0,MIN($BJ27,2*$AH$9)-$AH$9),6))))</f>
        <v/>
      </c>
      <c r="BY27" s="74" t="str">
        <f aca="false">IF($BL27&lt;&gt;Constants!$B$4,"",Constants!$B$32*(($AN27&gt;Constants!$B$26)+($AO27&gt;Constants!$B$26)+($AP27&gt;Constants!$B$26)))</f>
        <v/>
      </c>
      <c r="BZ27" s="74" t="str">
        <f aca="false">IF($BL27&lt;&gt;Constants!$B$4,"",IF(OR(NOT($AL27),$AQ27),0,Constants!$B$33))</f>
        <v/>
      </c>
      <c r="CA27" s="74" t="str">
        <f aca="false">IF($BL27&lt;&gt;Constants!$B$4,"",Constants!$B$34*$BN27)</f>
        <v/>
      </c>
      <c r="CB27" s="74" t="str">
        <f aca="false">IF($BL27&lt;&gt;Constants!$B$4,"",IF(OR(NOT($AL27),$BH27),0,Constants!$B$36))</f>
        <v/>
      </c>
      <c r="CC27" s="74" t="str">
        <f aca="false">IF($BL27&lt;&gt;Constants!$B$4,"",IF(OR(NOT($AL27),$BG27),0,Constants!$B$37))</f>
        <v/>
      </c>
      <c r="CD27" s="74" t="str">
        <f aca="false">IF($BL27&lt;&gt;Constants!$B$4,"",SUM($BX27:$CC27))</f>
        <v/>
      </c>
      <c r="CE27" s="74" t="str">
        <f aca="false">IF(ISBLANK($C27),"",IF($BL27&lt;&gt;Constants!$B$4,$BL27,SUM($BO27:$BW27)-$CD27))</f>
        <v/>
      </c>
      <c r="CF27" s="74" t="str">
        <f aca="false">IF(ISBLANK($C27),"",IF($BL27&lt;&gt;Constants!$B$4,$BL27,RANK($CE27,$CE$9:$CE$508)))</f>
        <v/>
      </c>
      <c r="CG27" s="74" t="str">
        <f aca="false">IF(ISBLANK($C27),"",IF($BL27&lt;&gt;Constants!$B$4,$BL27,COUNTIFS($BM$9:$BM$508,"&lt;"&amp;$BM27)+COUNTIFS($BM$9:$BM$508,$BM27,$CF$9:$CF$508,"&lt;"&amp;$CF27)+1))</f>
        <v/>
      </c>
      <c r="CH27" s="74" t="str">
        <f aca="false">IF(ISBLANK($C27),"",IF($BL27&lt;&gt;Constants!$B$4,$BL27,RANK($CD27,$CD$9:$CD$508,1)))</f>
        <v/>
      </c>
      <c r="CI27" s="74" t="str">
        <f aca="false">IF($BL27&lt;&gt;Constants!$B$4,"",$AN27+$AO27+$AP27)</f>
        <v/>
      </c>
      <c r="CJ27" s="74" t="str">
        <f aca="false">IF(ISBLANK($C27),"",IF($BL27&lt;&gt;Constants!$B$4,$BL27,RANK($CI27,$CI$9:$CI$508,1)))</f>
        <v/>
      </c>
      <c r="CK27" s="74" t="str">
        <f aca="false">IF(ISBLANK($C27),"",IF($BL27&lt;&gt;Constants!$B$4,$BL27,COUNTIFS($BM$9:$BM$508,"&lt;"&amp;$BM27)+COUNTIFS($BM$9:$BM$508,$BM27,$CF$9:$CF$508,"&lt;"&amp;$CF27)+COUNTIFS($BM$9:$BM$508,$BM27,$CF$9:$CF$508,$CF27,$CH$9:$CH$508,"&lt;"&amp;$CH27)+COUNTIFS($BM$9:$BM$508,$BM27,$CF$9:$CF$508,$CF27,$CH$9:$CH$508,$CH27,$CJ$9:$CJ$508,"&lt;"&amp;$CJ27)+1))</f>
        <v/>
      </c>
      <c r="CL27" s="74" t="str">
        <f aca="false">IF(ISBLANK($C27),"",IF($BL27&lt;&gt;Constants!$B$4,$BL27,$CG27-$CK27))</f>
        <v/>
      </c>
      <c r="CM27" s="74" t="str">
        <f aca="false">IF(ISBLANK($C27),"",IF(NOT($AL27),"",IF(ISBLANK($D$7),$CM$5,IF(NOT(ISNUMBER($D$7)),$CM$6,""))))</f>
        <v/>
      </c>
      <c r="CN27" s="74" t="str">
        <f aca="false">IF(ISBLANK($C27),"",OR($AN27="",$AO27="",$AP27=""))</f>
        <v/>
      </c>
      <c r="CO27" s="74" t="str">
        <f aca="false">IF(ISBLANK($C27),"",AND($AL27,$BA27=""))</f>
        <v/>
      </c>
      <c r="CP27" s="74" t="str">
        <f aca="false">IF(ISBLANK($C27),"",AND($AL27,$BB27=""))</f>
        <v/>
      </c>
      <c r="CQ27" s="74" t="str">
        <f aca="false">IF(ISBLANK($C27),"",AND($AL27,$BC27=""))</f>
        <v/>
      </c>
      <c r="CR27" s="74" t="str">
        <f aca="false">IF(ISBLANK($C27),"",AND($AL27,$BF27=""))</f>
        <v/>
      </c>
      <c r="CS27" s="74" t="str">
        <f aca="false">IF(ISBLANK($C27),"",AND($AL27,$BJ27=""))</f>
        <v/>
      </c>
      <c r="CT27" s="75"/>
      <c r="CU27" s="76"/>
      <c r="CV27" s="79" t="str">
        <f aca="false">IF(ISBLANK($C27),"",IF($BL27=Constants!$B$8,$CM27,""))</f>
        <v/>
      </c>
      <c r="CW27" s="76" t="str">
        <f aca="false">IF(ISBLANK($C27),"",IF($BL27&lt;&gt;Constants!$B$4,"",$BO27+$BP27))</f>
        <v/>
      </c>
      <c r="CX27" s="78" t="str">
        <f aca="false">IF(ISBLANK($C27),"",IF($BL27&lt;&gt;Constants!$B$4,"",$BQ27+$BR27+$BS27))</f>
        <v/>
      </c>
      <c r="CY27" s="78" t="str">
        <f aca="false">IF(ISBLANK($C27),"",IF($BL27&lt;&gt;Constants!$B$4,"",$BT27))</f>
        <v/>
      </c>
      <c r="CZ27" s="78" t="str">
        <f aca="false">IF(ISBLANK($C27),"",IF($BL27&lt;&gt;Constants!$B$4,"",$BU27+$BV27))</f>
        <v/>
      </c>
      <c r="DA27" s="78" t="str">
        <f aca="false">IF(ISBLANK($C27),"",IF($BL27&lt;&gt;Constants!$B$4,"",$BW27))</f>
        <v/>
      </c>
      <c r="DB27" s="78" t="str">
        <f aca="false">IF(ISBLANK($C27),"",IF($BL27&lt;&gt;Constants!$B$4,"",-$CD27))</f>
        <v/>
      </c>
      <c r="DC27" s="79" t="str">
        <f aca="false">IF(ISBLANK($C27),"",$CE27)</f>
        <v/>
      </c>
      <c r="DD27" s="80" t="str">
        <f aca="false">IF(ISBLANK($C27),"",$BM27)</f>
        <v/>
      </c>
      <c r="DE27" s="78" t="str">
        <f aca="false">IF(ISBLANK($C27),"",$CL27)</f>
        <v/>
      </c>
      <c r="DF27" s="78" t="str">
        <f aca="false">IF(ISBLANK($C27),"",$CK27)</f>
        <v/>
      </c>
      <c r="DG27" s="81" t="str">
        <f aca="false">IF(ISBLANK($C27),"",IF($DF27=Constants!$B$7,COUNTA($C$9:$C$508)+2,IF($DF27=Constants!$B$6,COUNTA($C$9:$C$508)+1,IF($DF27=Constants!$B$5,COUNTA($C$9:$C$508),$DF27))))</f>
        <v/>
      </c>
      <c r="DH27" s="7"/>
      <c r="DI27" s="82" t="n">
        <f aca="false">IF(OR(ISNUMBER($DF27),$DF27=Constants!$B$7,$DF27=Constants!$B$5,$DF27=Constants!$B$6),1,0)</f>
        <v>0</v>
      </c>
      <c r="DJ27" s="82" t="n">
        <v>19</v>
      </c>
      <c r="DK27" s="82" t="str">
        <f aca="false">IF(ISBLANK($C27),"",IF(ISNUMBER($DG27),$DG27+ROW($B27)/1000,""))</f>
        <v/>
      </c>
      <c r="DL27" s="82" t="str">
        <f aca="false">IF(ISNUMBER($DK27),RANK($DK27,$DK$9:$DK$508,1),"")</f>
        <v/>
      </c>
      <c r="DM27" s="82" t="str">
        <f aca="false">IF(ISBLANK($C27),"",$B27)</f>
        <v/>
      </c>
      <c r="DN27" s="82" t="str">
        <f aca="false">IF(ISBLANK($C27),"",$C27)</f>
        <v/>
      </c>
      <c r="DO27" s="82" t="str">
        <f aca="false">IF(ISBLANK($C27),"",$D27)</f>
        <v/>
      </c>
      <c r="DP27" s="83" t="str">
        <f aca="false">$DD27</f>
        <v/>
      </c>
      <c r="DQ27" s="84" t="str">
        <f aca="false">$DC27</f>
        <v/>
      </c>
      <c r="DR27" s="82" t="str">
        <f aca="false">IF(ISBLANK($C27),"",$DF27)</f>
        <v/>
      </c>
      <c r="DS27" s="85" t="str">
        <f aca="false">IF($DJ27&gt;$DI$8,"",VLOOKUP($DJ27,$DL$9:$DR$508,7,FALSE()))</f>
        <v/>
      </c>
      <c r="DT27" s="86" t="str">
        <f aca="false">IF($DJ27&gt;$DI$8,"",VLOOKUP($DJ27,$DL$9:$DR$508,2,FALSE()))</f>
        <v/>
      </c>
      <c r="DU27" s="86" t="str">
        <f aca="false">IF($DJ27&gt;$DI$8,"",VLOOKUP($DJ27,$DL$9:$DR$508,3,FALSE()))</f>
        <v/>
      </c>
      <c r="DV27" s="86" t="str">
        <f aca="false">IF($DJ27&gt;$DI$8,"",VLOOKUP($DJ27,$DL$9:$DR$508,4,FALSE()))</f>
        <v/>
      </c>
      <c r="DW27" s="86" t="str">
        <f aca="false">IF($DJ27&gt;$DI$8,"",VLOOKUP($DJ27,$DL$9:$DR$508,5,FALSE()))</f>
        <v/>
      </c>
      <c r="DX27" s="87" t="str">
        <f aca="false">IF($DJ27&gt;$DI$8,"",VLOOKUP($DJ27,$DL$9:$DR$508,6,FALSE()))</f>
        <v/>
      </c>
      <c r="DY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124"/>
      <c r="N28" s="124"/>
      <c r="O28" s="125"/>
      <c r="P28" s="125"/>
      <c r="Q28" s="124"/>
      <c r="R28" s="124"/>
      <c r="S28" s="124"/>
      <c r="T28" s="124"/>
      <c r="U28" s="125"/>
      <c r="V28" s="124"/>
      <c r="W28" s="70"/>
      <c r="X28" s="124"/>
      <c r="Y28" s="124"/>
      <c r="Z28" s="70"/>
      <c r="AA28" s="70"/>
      <c r="AB28" s="124"/>
      <c r="AC28" s="124"/>
      <c r="AD28" s="124"/>
      <c r="AE28" s="71"/>
      <c r="AF28" s="88"/>
      <c r="AG28" s="73"/>
      <c r="AH28" s="74"/>
      <c r="AI28" s="74"/>
      <c r="AJ28" s="74" t="str">
        <f aca="false">IF(ISBLANK($C28),"",IF($E28=Constants!$B$2,TRUE(),IF($E28=Constants!$B$3,FALSE(),TRUE())))</f>
        <v/>
      </c>
      <c r="AK28" s="74" t="str">
        <f aca="false">IF(ISBLANK($C28),"",IF($F28=Constants!$B$2,TRUE(),IF($F28=Constants!$B$3,FALSE(),FALSE())))</f>
        <v/>
      </c>
      <c r="AL28" s="74" t="str">
        <f aca="false">IF(ISBLANK($C28),"",IF($G28=Constants!$B$2,TRUE(),IF($G28=Constants!$B$3,FALSE(),TRUE())))</f>
        <v/>
      </c>
      <c r="AM28" s="74" t="str">
        <f aca="false">IF(ISBLANK($C28),"",IF($H28=Constants!$B$2,TRUE(),IF($H28=Constants!$B$3,FALSE(),TRUE())))</f>
        <v/>
      </c>
      <c r="AN28" s="74" t="str">
        <f aca="false">IF(ISBLANK($C28),"",IF(ISNUMBER($I28),IF($I28&gt;=0,$I28,""),""))</f>
        <v/>
      </c>
      <c r="AO28" s="74" t="str">
        <f aca="false">IF(ISBLANK($C28),"",IF(ISNUMBER($J28),IF($J28&gt;=0,$J28,""),""))</f>
        <v/>
      </c>
      <c r="AP28" s="74" t="str">
        <f aca="false">IF(ISBLANK($C28),"",IF(ISNUMBER($K28),IF($K28&gt;=0,$K28,""),""))</f>
        <v/>
      </c>
      <c r="AQ28" s="74" t="str">
        <f aca="false">IF(ISBLANK($C28),"",IF($L28=Constants!$B$2,TRUE(),IF($L28=Constants!$B$3,FALSE(),TRUE())))</f>
        <v/>
      </c>
      <c r="AR28" s="74" t="str">
        <f aca="false">IF(ISBLANK($C28),"",IF($M28=Constants!$B$2,TRUE(),IF($M28=Constants!$B$3,FALSE(),TRUE())))</f>
        <v/>
      </c>
      <c r="AS28" s="74" t="str">
        <f aca="false">IF(ISBLANK($C28),"",IF($N28=Constants!$B$2,TRUE(),IF($N28=Constants!$B$3,FALSE(),FALSE())))</f>
        <v/>
      </c>
      <c r="AT28" s="74" t="str">
        <f aca="false">IF(ISBLANK($C28),"",IF($O28=Constants!$B$2,TRUE(),IF($O28=Constants!$B$3,FALSE(),TRUE())))</f>
        <v/>
      </c>
      <c r="AU28" s="74" t="str">
        <f aca="false">IF(ISBLANK($C28),"",IF($P28=Constants!$B$2,TRUE(),IF($P28=Constants!$B$3,FALSE(),TRUE())))</f>
        <v/>
      </c>
      <c r="AV28" s="74" t="str">
        <f aca="false">IF(ISBLANK($C28),"",IF($Q28=Constants!$B$2,TRUE(),IF($Q28=Constants!$B$3,FALSE(),FALSE())))</f>
        <v/>
      </c>
      <c r="AW28" s="74" t="str">
        <f aca="false">IF(ISBLANK($C28),"",IF($R28=Constants!$B$2,TRUE(),IF($R28=Constants!$B$3,FALSE(),FALSE())))</f>
        <v/>
      </c>
      <c r="AX28" s="74" t="str">
        <f aca="false">IF(ISBLANK($C28),"",IF($S28=Constants!$B$2,TRUE(),IF($S28=Constants!$B$3,FALSE(),FALSE())))</f>
        <v/>
      </c>
      <c r="AY28" s="74" t="str">
        <f aca="false">IF(ISBLANK($C28),"",IF($T28=Constants!$B$2,TRUE(),IF($T28=Constants!$B$3,FALSE(),FALSE())))</f>
        <v/>
      </c>
      <c r="AZ28" s="74" t="str">
        <f aca="false">IF(ISBLANK($C28),"",IF($U28=Constants!$B$2,TRUE(),IF($U28=Constants!$B$3,FALSE(),FALSE())))</f>
        <v/>
      </c>
      <c r="BA28" s="74" t="str">
        <f aca="false">IF(ISBLANK($C28),"",IF(OR($V28&amp;""="1",$V28&amp;""="2",$V28&amp;""="3",$V28&amp;""="4"),VALUE($V28&amp;""),IF($V28=Constants!$B$12,Constants!$B$12,"")))</f>
        <v/>
      </c>
      <c r="BB28" s="74" t="str">
        <f aca="false">IF(ISBLANK($C28),"",IF(ISBLANK($W28),0,IF(ISNUMBER($W28),IF(AND($W28&gt;=0,$W28&lt;=Constants!$B$21,$W28=INT($W28)),$W28,""),"")))</f>
        <v/>
      </c>
      <c r="BC28" s="74" t="str">
        <f aca="false">IF(ISBLANK($C28),"",IF(ISBLANK($X28),0,IF(ISNUMBER($X28),IF($X28&gt;=0,$X28,""),"")))</f>
        <v/>
      </c>
      <c r="BD28" s="74" t="str">
        <f aca="false">IF(ISBLANK($C28),"",IF($Y28=Constants!$B$2,TRUE(),IF($Y28=Constants!$B$3,FALSE(),TRUE())))</f>
        <v/>
      </c>
      <c r="BE28" s="74" t="str">
        <f aca="false">IF(ISBLANK($C28),"",IF($Z28=Constants!$B$2,TRUE(),IF($Z28=Constants!$B$3,FALSE(),FALSE())))</f>
        <v/>
      </c>
      <c r="BF28" s="74" t="str">
        <f aca="false">IF(ISBLANK($C28),"",IF(ISBLANK($AA28),0,IF(ISNUMBER($AA28),IF(AND($AA28&gt;=0,$AA28&lt;=Constants!$B$35,$AA28=INT($AA28)),$AA28,""),"")))</f>
        <v/>
      </c>
      <c r="BG28" s="74" t="str">
        <f aca="false">IF(ISBLANK($C28),"",IF($AB28=Constants!$B$2,TRUE(),IF($AB28=Constants!$B$3,FALSE(),TRUE())))</f>
        <v/>
      </c>
      <c r="BH28" s="74" t="str">
        <f aca="false">IF(ISBLANK($C28),"",IF($AC28=Constants!$B$2,TRUE(),IF($AC28=Constants!$B$3,FALSE(),TRUE())))</f>
        <v/>
      </c>
      <c r="BI28" s="74" t="str">
        <f aca="false">IF(ISBLANK($C28),"",IF($AD28=Constants!$B$2,TRUE(),IF($AD28=Constants!$B$3,FALSE(),TRUE())))</f>
        <v/>
      </c>
      <c r="BJ28" s="74" t="str">
        <f aca="false">IF(ISBLANK($C28),"",IF(ISNUMBER($AE28),IF($AE28&gt;=0,$AE28,""),""))</f>
        <v/>
      </c>
      <c r="BK28" s="74" t="str">
        <f aca="false">IF(ISBLANK($C28),"",IF($AF28=Constants!$B$2,TRUE(),IF($AF28=Constants!$B$3,FALSE(),FALSE())))</f>
        <v/>
      </c>
      <c r="BL28" s="73" t="str">
        <f aca="false">IF(ISBLANK($C28),"",IF($BK28,Constants!$B$7,IF(COUNTA($E28:$AE28)=0,Constants!$B$6,IF(OR(COUNTA($G28:$AE28)=0,NOT($AM28),$AS28),Constants!$B$5,IF(OR($CM28&lt;&gt;"",$CN28,$CO28,$CP28,$CQ28,$CR28,$CS28),Constants!$B$8,Constants!$B$4)))))</f>
        <v/>
      </c>
      <c r="BM28" s="74" t="str">
        <f aca="false">IF(ISBLANK($C28),"",IF($BL28&lt;&gt;Constants!$B$4,$BL28,IF(OR(NOT($AJ28),NOT($AL28),NOT($AT28)),Constants!$B$11,IF(OR(NOT($AR28),NOT($AU28),NOT($BI28),MAX($AN28,$AO28,$AP28)&gt;Constants!$B$30),Constants!$B$10,Constants!$B$9))))</f>
        <v/>
      </c>
      <c r="BN28" s="74" t="str">
        <f aca="false">IF($BL28&lt;&gt;Constants!$B$4,"",IF(NOT($AL28),0,MIN(Constants!$B$35,$BF28)))</f>
        <v/>
      </c>
      <c r="BO28" s="74" t="str">
        <f aca="false">IF($BL28&lt;&gt;Constants!$B$4,"",IF(NOT($AL28),0,IF($AW28,Constants!$B$18,IF($AV28,Constants!$B$17,0))))</f>
        <v/>
      </c>
      <c r="BP28" s="74" t="str">
        <f aca="false">IF($BL28&lt;&gt;Constants!$B$4,"",IF(NOT($AL28),0,Constants!$B$19*($AK28+$AX28+$AY28+$AZ28)))</f>
        <v/>
      </c>
      <c r="BQ28" s="74" t="str">
        <f aca="false">IF($BL28&lt;&gt;Constants!$B$4,"",IF(OR(NOT($AL28),NOT(ISNUMBER($BA28))),0,CHOOSE($BA28,Constants!$B$13,Constants!$B$14,Constants!$B$15,Constants!$B$16)))</f>
        <v/>
      </c>
      <c r="BR28" s="74" t="str">
        <f aca="false">IF($BL28&lt;&gt;Constants!$B$4,"",IF(NOT($AL28),0,Constants!$B$20*$BB28))</f>
        <v/>
      </c>
      <c r="BS28" s="74" t="str">
        <f aca="false">IF($BL28&lt;&gt;Constants!$B$4,"",IF(AND($AL28,$BD28,$BE28),Constants!$B$22,0))</f>
        <v/>
      </c>
      <c r="BT28" s="74" t="str">
        <f aca="false">IF($BL28&lt;&gt;Constants!$B$4,"",IF(OR(NOT($AL28),NOT($BD28)),0,IF($BJ28&gt;=2*$AH$9,0,Constants!$B$23*INT(ROUND(MIN($BJ28,$AH$9),6)))))</f>
        <v/>
      </c>
      <c r="BU28" s="74" t="str">
        <f aca="false">IF($BL28&lt;&gt;Constants!$B$4,"",IF(NOT($AL28),0,Constants!$B$24*INT(ROUND(MIN($BC28,$AH$9),6))))</f>
        <v/>
      </c>
      <c r="BV28" s="74" t="str">
        <f aca="false">IF($BL28&lt;&gt;Constants!$B$4,"",IF(AND($AL28,$BN28=0),Constants!$B$25,0))</f>
        <v/>
      </c>
      <c r="BW28" s="74" t="str">
        <f aca="false">IF($BL28&lt;&gt;Constants!$B$4,"",MIN(Constants!$B$29,MAX(0,Constants!$B$27*Constants!$B$28*INT(ROUND((Constants!$B$26-$AN28)/Constants!$B$28,6))))+MIN(Constants!$B$29,MAX(0,Constants!$B$27*Constants!$B$28*INT(ROUND((Constants!$B$26-$AO28)/Constants!$B$28,6))))+MIN(Constants!$B$29,MAX(0,Constants!$B$27*Constants!$B$28*INT(ROUND((Constants!$B$26-$AP28)/Constants!$B$28,6)))))</f>
        <v/>
      </c>
      <c r="BX28" s="74" t="str">
        <f aca="false">IF($BL28&lt;&gt;Constants!$B$4,"",IF(NOT($AL28),0,Constants!$B$31*INT(ROUND(MAX(0,MIN($BJ28,2*$AH$9)-$AH$9),6))))</f>
        <v/>
      </c>
      <c r="BY28" s="74" t="str">
        <f aca="false">IF($BL28&lt;&gt;Constants!$B$4,"",Constants!$B$32*(($AN28&gt;Constants!$B$26)+($AO28&gt;Constants!$B$26)+($AP28&gt;Constants!$B$26)))</f>
        <v/>
      </c>
      <c r="BZ28" s="74" t="str">
        <f aca="false">IF($BL28&lt;&gt;Constants!$B$4,"",IF(OR(NOT($AL28),$AQ28),0,Constants!$B$33))</f>
        <v/>
      </c>
      <c r="CA28" s="74" t="str">
        <f aca="false">IF($BL28&lt;&gt;Constants!$B$4,"",Constants!$B$34*$BN28)</f>
        <v/>
      </c>
      <c r="CB28" s="74" t="str">
        <f aca="false">IF($BL28&lt;&gt;Constants!$B$4,"",IF(OR(NOT($AL28),$BH28),0,Constants!$B$36))</f>
        <v/>
      </c>
      <c r="CC28" s="74" t="str">
        <f aca="false">IF($BL28&lt;&gt;Constants!$B$4,"",IF(OR(NOT($AL28),$BG28),0,Constants!$B$37))</f>
        <v/>
      </c>
      <c r="CD28" s="74" t="str">
        <f aca="false">IF($BL28&lt;&gt;Constants!$B$4,"",SUM($BX28:$CC28))</f>
        <v/>
      </c>
      <c r="CE28" s="74" t="str">
        <f aca="false">IF(ISBLANK($C28),"",IF($BL28&lt;&gt;Constants!$B$4,$BL28,SUM($BO28:$BW28)-$CD28))</f>
        <v/>
      </c>
      <c r="CF28" s="74" t="str">
        <f aca="false">IF(ISBLANK($C28),"",IF($BL28&lt;&gt;Constants!$B$4,$BL28,RANK($CE28,$CE$9:$CE$508)))</f>
        <v/>
      </c>
      <c r="CG28" s="74" t="str">
        <f aca="false">IF(ISBLANK($C28),"",IF($BL28&lt;&gt;Constants!$B$4,$BL28,COUNTIFS($BM$9:$BM$508,"&lt;"&amp;$BM28)+COUNTIFS($BM$9:$BM$508,$BM28,$CF$9:$CF$508,"&lt;"&amp;$CF28)+1))</f>
        <v/>
      </c>
      <c r="CH28" s="74" t="str">
        <f aca="false">IF(ISBLANK($C28),"",IF($BL28&lt;&gt;Constants!$B$4,$BL28,RANK($CD28,$CD$9:$CD$508,1)))</f>
        <v/>
      </c>
      <c r="CI28" s="74" t="str">
        <f aca="false">IF($BL28&lt;&gt;Constants!$B$4,"",$AN28+$AO28+$AP28)</f>
        <v/>
      </c>
      <c r="CJ28" s="74" t="str">
        <f aca="false">IF(ISBLANK($C28),"",IF($BL28&lt;&gt;Constants!$B$4,$BL28,RANK($CI28,$CI$9:$CI$508,1)))</f>
        <v/>
      </c>
      <c r="CK28" s="74" t="str">
        <f aca="false">IF(ISBLANK($C28),"",IF($BL28&lt;&gt;Constants!$B$4,$BL28,COUNTIFS($BM$9:$BM$508,"&lt;"&amp;$BM28)+COUNTIFS($BM$9:$BM$508,$BM28,$CF$9:$CF$508,"&lt;"&amp;$CF28)+COUNTIFS($BM$9:$BM$508,$BM28,$CF$9:$CF$508,$CF28,$CH$9:$CH$508,"&lt;"&amp;$CH28)+COUNTIFS($BM$9:$BM$508,$BM28,$CF$9:$CF$508,$CF28,$CH$9:$CH$508,$CH28,$CJ$9:$CJ$508,"&lt;"&amp;$CJ28)+1))</f>
        <v/>
      </c>
      <c r="CL28" s="74" t="str">
        <f aca="false">IF(ISBLANK($C28),"",IF($BL28&lt;&gt;Constants!$B$4,$BL28,$CG28-$CK28))</f>
        <v/>
      </c>
      <c r="CM28" s="74" t="str">
        <f aca="false">IF(ISBLANK($C28),"",IF(NOT($AL28),"",IF(ISBLANK($D$7),$CM$5,IF(NOT(ISNUMBER($D$7)),$CM$6,""))))</f>
        <v/>
      </c>
      <c r="CN28" s="74" t="str">
        <f aca="false">IF(ISBLANK($C28),"",OR($AN28="",$AO28="",$AP28=""))</f>
        <v/>
      </c>
      <c r="CO28" s="74" t="str">
        <f aca="false">IF(ISBLANK($C28),"",AND($AL28,$BA28=""))</f>
        <v/>
      </c>
      <c r="CP28" s="74" t="str">
        <f aca="false">IF(ISBLANK($C28),"",AND($AL28,$BB28=""))</f>
        <v/>
      </c>
      <c r="CQ28" s="74" t="str">
        <f aca="false">IF(ISBLANK($C28),"",AND($AL28,$BC28=""))</f>
        <v/>
      </c>
      <c r="CR28" s="74" t="str">
        <f aca="false">IF(ISBLANK($C28),"",AND($AL28,$BF28=""))</f>
        <v/>
      </c>
      <c r="CS28" s="74" t="str">
        <f aca="false">IF(ISBLANK($C28),"",AND($AL28,$BJ28=""))</f>
        <v/>
      </c>
      <c r="CT28" s="75"/>
      <c r="CU28" s="76"/>
      <c r="CV28" s="79" t="str">
        <f aca="false">IF(ISBLANK($C28),"",IF($BL28=Constants!$B$8,$CM28,""))</f>
        <v/>
      </c>
      <c r="CW28" s="76" t="str">
        <f aca="false">IF(ISBLANK($C28),"",IF($BL28&lt;&gt;Constants!$B$4,"",$BO28+$BP28))</f>
        <v/>
      </c>
      <c r="CX28" s="78" t="str">
        <f aca="false">IF(ISBLANK($C28),"",IF($BL28&lt;&gt;Constants!$B$4,"",$BQ28+$BR28+$BS28))</f>
        <v/>
      </c>
      <c r="CY28" s="78" t="str">
        <f aca="false">IF(ISBLANK($C28),"",IF($BL28&lt;&gt;Constants!$B$4,"",$BT28))</f>
        <v/>
      </c>
      <c r="CZ28" s="78" t="str">
        <f aca="false">IF(ISBLANK($C28),"",IF($BL28&lt;&gt;Constants!$B$4,"",$BU28+$BV28))</f>
        <v/>
      </c>
      <c r="DA28" s="78" t="str">
        <f aca="false">IF(ISBLANK($C28),"",IF($BL28&lt;&gt;Constants!$B$4,"",$BW28))</f>
        <v/>
      </c>
      <c r="DB28" s="78" t="str">
        <f aca="false">IF(ISBLANK($C28),"",IF($BL28&lt;&gt;Constants!$B$4,"",-$CD28))</f>
        <v/>
      </c>
      <c r="DC28" s="79" t="str">
        <f aca="false">IF(ISBLANK($C28),"",$CE28)</f>
        <v/>
      </c>
      <c r="DD28" s="80" t="str">
        <f aca="false">IF(ISBLANK($C28),"",$BM28)</f>
        <v/>
      </c>
      <c r="DE28" s="78" t="str">
        <f aca="false">IF(ISBLANK($C28),"",$CL28)</f>
        <v/>
      </c>
      <c r="DF28" s="78" t="str">
        <f aca="false">IF(ISBLANK($C28),"",$CK28)</f>
        <v/>
      </c>
      <c r="DG28" s="81" t="str">
        <f aca="false">IF(ISBLANK($C28),"",IF($DF28=Constants!$B$7,COUNTA($C$9:$C$508)+2,IF($DF28=Constants!$B$6,COUNTA($C$9:$C$508)+1,IF($DF28=Constants!$B$5,COUNTA($C$9:$C$508),$DF28))))</f>
        <v/>
      </c>
      <c r="DH28" s="7"/>
      <c r="DI28" s="82" t="n">
        <f aca="false">IF(OR(ISNUMBER($DF28),$DF28=Constants!$B$7,$DF28=Constants!$B$5,$DF28=Constants!$B$6),1,0)</f>
        <v>0</v>
      </c>
      <c r="DJ28" s="82" t="n">
        <v>20</v>
      </c>
      <c r="DK28" s="82" t="str">
        <f aca="false">IF(ISBLANK($C28),"",IF(ISNUMBER($DG28),$DG28+ROW($B28)/1000,""))</f>
        <v/>
      </c>
      <c r="DL28" s="82" t="str">
        <f aca="false">IF(ISNUMBER($DK28),RANK($DK28,$DK$9:$DK$508,1),"")</f>
        <v/>
      </c>
      <c r="DM28" s="82" t="str">
        <f aca="false">IF(ISBLANK($C28),"",$B28)</f>
        <v/>
      </c>
      <c r="DN28" s="82" t="str">
        <f aca="false">IF(ISBLANK($C28),"",$C28)</f>
        <v/>
      </c>
      <c r="DO28" s="82" t="str">
        <f aca="false">IF(ISBLANK($C28),"",$D28)</f>
        <v/>
      </c>
      <c r="DP28" s="83" t="str">
        <f aca="false">$DD28</f>
        <v/>
      </c>
      <c r="DQ28" s="84" t="str">
        <f aca="false">$DC28</f>
        <v/>
      </c>
      <c r="DR28" s="82" t="str">
        <f aca="false">IF(ISBLANK($C28),"",$DF28)</f>
        <v/>
      </c>
      <c r="DS28" s="85" t="str">
        <f aca="false">IF($DJ28&gt;$DI$8,"",VLOOKUP($DJ28,$DL$9:$DR$508,7,FALSE()))</f>
        <v/>
      </c>
      <c r="DT28" s="86" t="str">
        <f aca="false">IF($DJ28&gt;$DI$8,"",VLOOKUP($DJ28,$DL$9:$DR$508,2,FALSE()))</f>
        <v/>
      </c>
      <c r="DU28" s="86" t="str">
        <f aca="false">IF($DJ28&gt;$DI$8,"",VLOOKUP($DJ28,$DL$9:$DR$508,3,FALSE()))</f>
        <v/>
      </c>
      <c r="DV28" s="86" t="str">
        <f aca="false">IF($DJ28&gt;$DI$8,"",VLOOKUP($DJ28,$DL$9:$DR$508,4,FALSE()))</f>
        <v/>
      </c>
      <c r="DW28" s="86" t="str">
        <f aca="false">IF($DJ28&gt;$DI$8,"",VLOOKUP($DJ28,$DL$9:$DR$508,5,FALSE()))</f>
        <v/>
      </c>
      <c r="DX28" s="87" t="str">
        <f aca="false">IF($DJ28&gt;$DI$8,"",VLOOKUP($DJ28,$DL$9:$DR$508,6,FALSE()))</f>
        <v/>
      </c>
      <c r="DY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17"/>
      <c r="N29" s="117"/>
      <c r="O29" s="118"/>
      <c r="P29" s="118"/>
      <c r="Q29" s="117"/>
      <c r="R29" s="117"/>
      <c r="S29" s="117"/>
      <c r="T29" s="117"/>
      <c r="U29" s="118"/>
      <c r="V29" s="117"/>
      <c r="W29" s="120"/>
      <c r="X29" s="117"/>
      <c r="Y29" s="117"/>
      <c r="Z29" s="120"/>
      <c r="AA29" s="120"/>
      <c r="AB29" s="117"/>
      <c r="AC29" s="117"/>
      <c r="AD29" s="117"/>
      <c r="AE29" s="121"/>
      <c r="AF29" s="122"/>
      <c r="AG29" s="73"/>
      <c r="AH29" s="74"/>
      <c r="AI29" s="74"/>
      <c r="AJ29" s="74" t="str">
        <f aca="false">IF(ISBLANK($C29),"",IF($E29=Constants!$B$2,TRUE(),IF($E29=Constants!$B$3,FALSE(),TRUE())))</f>
        <v/>
      </c>
      <c r="AK29" s="74" t="str">
        <f aca="false">IF(ISBLANK($C29),"",IF($F29=Constants!$B$2,TRUE(),IF($F29=Constants!$B$3,FALSE(),FALSE())))</f>
        <v/>
      </c>
      <c r="AL29" s="74" t="str">
        <f aca="false">IF(ISBLANK($C29),"",IF($G29=Constants!$B$2,TRUE(),IF($G29=Constants!$B$3,FALSE(),TRUE())))</f>
        <v/>
      </c>
      <c r="AM29" s="74" t="str">
        <f aca="false">IF(ISBLANK($C29),"",IF($H29=Constants!$B$2,TRUE(),IF($H29=Constants!$B$3,FALSE(),TRUE())))</f>
        <v/>
      </c>
      <c r="AN29" s="74" t="str">
        <f aca="false">IF(ISBLANK($C29),"",IF(ISNUMBER($I29),IF($I29&gt;=0,$I29,""),""))</f>
        <v/>
      </c>
      <c r="AO29" s="74" t="str">
        <f aca="false">IF(ISBLANK($C29),"",IF(ISNUMBER($J29),IF($J29&gt;=0,$J29,""),""))</f>
        <v/>
      </c>
      <c r="AP29" s="74" t="str">
        <f aca="false">IF(ISBLANK($C29),"",IF(ISNUMBER($K29),IF($K29&gt;=0,$K29,""),""))</f>
        <v/>
      </c>
      <c r="AQ29" s="74" t="str">
        <f aca="false">IF(ISBLANK($C29),"",IF($L29=Constants!$B$2,TRUE(),IF($L29=Constants!$B$3,FALSE(),TRUE())))</f>
        <v/>
      </c>
      <c r="AR29" s="74" t="str">
        <f aca="false">IF(ISBLANK($C29),"",IF($M29=Constants!$B$2,TRUE(),IF($M29=Constants!$B$3,FALSE(),TRUE())))</f>
        <v/>
      </c>
      <c r="AS29" s="74" t="str">
        <f aca="false">IF(ISBLANK($C29),"",IF($N29=Constants!$B$2,TRUE(),IF($N29=Constants!$B$3,FALSE(),FALSE())))</f>
        <v/>
      </c>
      <c r="AT29" s="74" t="str">
        <f aca="false">IF(ISBLANK($C29),"",IF($O29=Constants!$B$2,TRUE(),IF($O29=Constants!$B$3,FALSE(),TRUE())))</f>
        <v/>
      </c>
      <c r="AU29" s="74" t="str">
        <f aca="false">IF(ISBLANK($C29),"",IF($P29=Constants!$B$2,TRUE(),IF($P29=Constants!$B$3,FALSE(),TRUE())))</f>
        <v/>
      </c>
      <c r="AV29" s="74" t="str">
        <f aca="false">IF(ISBLANK($C29),"",IF($Q29=Constants!$B$2,TRUE(),IF($Q29=Constants!$B$3,FALSE(),FALSE())))</f>
        <v/>
      </c>
      <c r="AW29" s="74" t="str">
        <f aca="false">IF(ISBLANK($C29),"",IF($R29=Constants!$B$2,TRUE(),IF($R29=Constants!$B$3,FALSE(),FALSE())))</f>
        <v/>
      </c>
      <c r="AX29" s="74" t="str">
        <f aca="false">IF(ISBLANK($C29),"",IF($S29=Constants!$B$2,TRUE(),IF($S29=Constants!$B$3,FALSE(),FALSE())))</f>
        <v/>
      </c>
      <c r="AY29" s="74" t="str">
        <f aca="false">IF(ISBLANK($C29),"",IF($T29=Constants!$B$2,TRUE(),IF($T29=Constants!$B$3,FALSE(),FALSE())))</f>
        <v/>
      </c>
      <c r="AZ29" s="74" t="str">
        <f aca="false">IF(ISBLANK($C29),"",IF($U29=Constants!$B$2,TRUE(),IF($U29=Constants!$B$3,FALSE(),FALSE())))</f>
        <v/>
      </c>
      <c r="BA29" s="74" t="str">
        <f aca="false">IF(ISBLANK($C29),"",IF(OR($V29&amp;""="1",$V29&amp;""="2",$V29&amp;""="3",$V29&amp;""="4"),VALUE($V29&amp;""),IF($V29=Constants!$B$12,Constants!$B$12,"")))</f>
        <v/>
      </c>
      <c r="BB29" s="74" t="str">
        <f aca="false">IF(ISBLANK($C29),"",IF(ISBLANK($W29),0,IF(ISNUMBER($W29),IF(AND($W29&gt;=0,$W29&lt;=Constants!$B$21,$W29=INT($W29)),$W29,""),"")))</f>
        <v/>
      </c>
      <c r="BC29" s="74" t="str">
        <f aca="false">IF(ISBLANK($C29),"",IF(ISBLANK($X29),0,IF(ISNUMBER($X29),IF($X29&gt;=0,$X29,""),"")))</f>
        <v/>
      </c>
      <c r="BD29" s="74" t="str">
        <f aca="false">IF(ISBLANK($C29),"",IF($Y29=Constants!$B$2,TRUE(),IF($Y29=Constants!$B$3,FALSE(),TRUE())))</f>
        <v/>
      </c>
      <c r="BE29" s="74" t="str">
        <f aca="false">IF(ISBLANK($C29),"",IF($Z29=Constants!$B$2,TRUE(),IF($Z29=Constants!$B$3,FALSE(),FALSE())))</f>
        <v/>
      </c>
      <c r="BF29" s="74" t="str">
        <f aca="false">IF(ISBLANK($C29),"",IF(ISBLANK($AA29),0,IF(ISNUMBER($AA29),IF(AND($AA29&gt;=0,$AA29&lt;=Constants!$B$35,$AA29=INT($AA29)),$AA29,""),"")))</f>
        <v/>
      </c>
      <c r="BG29" s="74" t="str">
        <f aca="false">IF(ISBLANK($C29),"",IF($AB29=Constants!$B$2,TRUE(),IF($AB29=Constants!$B$3,FALSE(),TRUE())))</f>
        <v/>
      </c>
      <c r="BH29" s="74" t="str">
        <f aca="false">IF(ISBLANK($C29),"",IF($AC29=Constants!$B$2,TRUE(),IF($AC29=Constants!$B$3,FALSE(),TRUE())))</f>
        <v/>
      </c>
      <c r="BI29" s="74" t="str">
        <f aca="false">IF(ISBLANK($C29),"",IF($AD29=Constants!$B$2,TRUE(),IF($AD29=Constants!$B$3,FALSE(),TRUE())))</f>
        <v/>
      </c>
      <c r="BJ29" s="74" t="str">
        <f aca="false">IF(ISBLANK($C29),"",IF(ISNUMBER($AE29),IF($AE29&gt;=0,$AE29,""),""))</f>
        <v/>
      </c>
      <c r="BK29" s="74" t="str">
        <f aca="false">IF(ISBLANK($C29),"",IF($AF29=Constants!$B$2,TRUE(),IF($AF29=Constants!$B$3,FALSE(),FALSE())))</f>
        <v/>
      </c>
      <c r="BL29" s="73" t="str">
        <f aca="false">IF(ISBLANK($C29),"",IF($BK29,Constants!$B$7,IF(COUNTA($E29:$AE29)=0,Constants!$B$6,IF(OR(COUNTA($G29:$AE29)=0,NOT($AM29),$AS29),Constants!$B$5,IF(OR($CM29&lt;&gt;"",$CN29,$CO29,$CP29,$CQ29,$CR29,$CS29),Constants!$B$8,Constants!$B$4)))))</f>
        <v/>
      </c>
      <c r="BM29" s="74" t="str">
        <f aca="false">IF(ISBLANK($C29),"",IF($BL29&lt;&gt;Constants!$B$4,$BL29,IF(OR(NOT($AJ29),NOT($AL29),NOT($AT29)),Constants!$B$11,IF(OR(NOT($AR29),NOT($AU29),NOT($BI29),MAX($AN29,$AO29,$AP29)&gt;Constants!$B$30),Constants!$B$10,Constants!$B$9))))</f>
        <v/>
      </c>
      <c r="BN29" s="74" t="str">
        <f aca="false">IF($BL29&lt;&gt;Constants!$B$4,"",IF(NOT($AL29),0,MIN(Constants!$B$35,$BF29)))</f>
        <v/>
      </c>
      <c r="BO29" s="74" t="str">
        <f aca="false">IF($BL29&lt;&gt;Constants!$B$4,"",IF(NOT($AL29),0,IF($AW29,Constants!$B$18,IF($AV29,Constants!$B$17,0))))</f>
        <v/>
      </c>
      <c r="BP29" s="74" t="str">
        <f aca="false">IF($BL29&lt;&gt;Constants!$B$4,"",IF(NOT($AL29),0,Constants!$B$19*($AK29+$AX29+$AY29+$AZ29)))</f>
        <v/>
      </c>
      <c r="BQ29" s="74" t="str">
        <f aca="false">IF($BL29&lt;&gt;Constants!$B$4,"",IF(OR(NOT($AL29),NOT(ISNUMBER($BA29))),0,CHOOSE($BA29,Constants!$B$13,Constants!$B$14,Constants!$B$15,Constants!$B$16)))</f>
        <v/>
      </c>
      <c r="BR29" s="74" t="str">
        <f aca="false">IF($BL29&lt;&gt;Constants!$B$4,"",IF(NOT($AL29),0,Constants!$B$20*$BB29))</f>
        <v/>
      </c>
      <c r="BS29" s="74" t="str">
        <f aca="false">IF($BL29&lt;&gt;Constants!$B$4,"",IF(AND($AL29,$BD29,$BE29),Constants!$B$22,0))</f>
        <v/>
      </c>
      <c r="BT29" s="74" t="str">
        <f aca="false">IF($BL29&lt;&gt;Constants!$B$4,"",IF(OR(NOT($AL29),NOT($BD29)),0,IF($BJ29&gt;=2*$AH$9,0,Constants!$B$23*INT(ROUND(MIN($BJ29,$AH$9),6)))))</f>
        <v/>
      </c>
      <c r="BU29" s="74" t="str">
        <f aca="false">IF($BL29&lt;&gt;Constants!$B$4,"",IF(NOT($AL29),0,Constants!$B$24*INT(ROUND(MIN($BC29,$AH$9),6))))</f>
        <v/>
      </c>
      <c r="BV29" s="74" t="str">
        <f aca="false">IF($BL29&lt;&gt;Constants!$B$4,"",IF(AND($AL29,$BN29=0),Constants!$B$25,0))</f>
        <v/>
      </c>
      <c r="BW29" s="74" t="str">
        <f aca="false">IF($BL29&lt;&gt;Constants!$B$4,"",MIN(Constants!$B$29,MAX(0,Constants!$B$27*Constants!$B$28*INT(ROUND((Constants!$B$26-$AN29)/Constants!$B$28,6))))+MIN(Constants!$B$29,MAX(0,Constants!$B$27*Constants!$B$28*INT(ROUND((Constants!$B$26-$AO29)/Constants!$B$28,6))))+MIN(Constants!$B$29,MAX(0,Constants!$B$27*Constants!$B$28*INT(ROUND((Constants!$B$26-$AP29)/Constants!$B$28,6)))))</f>
        <v/>
      </c>
      <c r="BX29" s="74" t="str">
        <f aca="false">IF($BL29&lt;&gt;Constants!$B$4,"",IF(NOT($AL29),0,Constants!$B$31*INT(ROUND(MAX(0,MIN($BJ29,2*$AH$9)-$AH$9),6))))</f>
        <v/>
      </c>
      <c r="BY29" s="74" t="str">
        <f aca="false">IF($BL29&lt;&gt;Constants!$B$4,"",Constants!$B$32*(($AN29&gt;Constants!$B$26)+($AO29&gt;Constants!$B$26)+($AP29&gt;Constants!$B$26)))</f>
        <v/>
      </c>
      <c r="BZ29" s="74" t="str">
        <f aca="false">IF($BL29&lt;&gt;Constants!$B$4,"",IF(OR(NOT($AL29),$AQ29),0,Constants!$B$33))</f>
        <v/>
      </c>
      <c r="CA29" s="74" t="str">
        <f aca="false">IF($BL29&lt;&gt;Constants!$B$4,"",Constants!$B$34*$BN29)</f>
        <v/>
      </c>
      <c r="CB29" s="74" t="str">
        <f aca="false">IF($BL29&lt;&gt;Constants!$B$4,"",IF(OR(NOT($AL29),$BH29),0,Constants!$B$36))</f>
        <v/>
      </c>
      <c r="CC29" s="74" t="str">
        <f aca="false">IF($BL29&lt;&gt;Constants!$B$4,"",IF(OR(NOT($AL29),$BG29),0,Constants!$B$37))</f>
        <v/>
      </c>
      <c r="CD29" s="74" t="str">
        <f aca="false">IF($BL29&lt;&gt;Constants!$B$4,"",SUM($BX29:$CC29))</f>
        <v/>
      </c>
      <c r="CE29" s="74" t="str">
        <f aca="false">IF(ISBLANK($C29),"",IF($BL29&lt;&gt;Constants!$B$4,$BL29,SUM($BO29:$BW29)-$CD29))</f>
        <v/>
      </c>
      <c r="CF29" s="74" t="str">
        <f aca="false">IF(ISBLANK($C29),"",IF($BL29&lt;&gt;Constants!$B$4,$BL29,RANK($CE29,$CE$9:$CE$508)))</f>
        <v/>
      </c>
      <c r="CG29" s="74" t="str">
        <f aca="false">IF(ISBLANK($C29),"",IF($BL29&lt;&gt;Constants!$B$4,$BL29,COUNTIFS($BM$9:$BM$508,"&lt;"&amp;$BM29)+COUNTIFS($BM$9:$BM$508,$BM29,$CF$9:$CF$508,"&lt;"&amp;$CF29)+1))</f>
        <v/>
      </c>
      <c r="CH29" s="74" t="str">
        <f aca="false">IF(ISBLANK($C29),"",IF($BL29&lt;&gt;Constants!$B$4,$BL29,RANK($CD29,$CD$9:$CD$508,1)))</f>
        <v/>
      </c>
      <c r="CI29" s="74" t="str">
        <f aca="false">IF($BL29&lt;&gt;Constants!$B$4,"",$AN29+$AO29+$AP29)</f>
        <v/>
      </c>
      <c r="CJ29" s="74" t="str">
        <f aca="false">IF(ISBLANK($C29),"",IF($BL29&lt;&gt;Constants!$B$4,$BL29,RANK($CI29,$CI$9:$CI$508,1)))</f>
        <v/>
      </c>
      <c r="CK29" s="74" t="str">
        <f aca="false">IF(ISBLANK($C29),"",IF($BL29&lt;&gt;Constants!$B$4,$BL29,COUNTIFS($BM$9:$BM$508,"&lt;"&amp;$BM29)+COUNTIFS($BM$9:$BM$508,$BM29,$CF$9:$CF$508,"&lt;"&amp;$CF29)+COUNTIFS($BM$9:$BM$508,$BM29,$CF$9:$CF$508,$CF29,$CH$9:$CH$508,"&lt;"&amp;$CH29)+COUNTIFS($BM$9:$BM$508,$BM29,$CF$9:$CF$508,$CF29,$CH$9:$CH$508,$CH29,$CJ$9:$CJ$508,"&lt;"&amp;$CJ29)+1))</f>
        <v/>
      </c>
      <c r="CL29" s="74" t="str">
        <f aca="false">IF(ISBLANK($C29),"",IF($BL29&lt;&gt;Constants!$B$4,$BL29,$CG29-$CK29))</f>
        <v/>
      </c>
      <c r="CM29" s="74" t="str">
        <f aca="false">IF(ISBLANK($C29),"",IF(NOT($AL29),"",IF(ISBLANK($D$7),$CM$5,IF(NOT(ISNUMBER($D$7)),$CM$6,""))))</f>
        <v/>
      </c>
      <c r="CN29" s="74" t="str">
        <f aca="false">IF(ISBLANK($C29),"",OR($AN29="",$AO29="",$AP29=""))</f>
        <v/>
      </c>
      <c r="CO29" s="74" t="str">
        <f aca="false">IF(ISBLANK($C29),"",AND($AL29,$BA29=""))</f>
        <v/>
      </c>
      <c r="CP29" s="74" t="str">
        <f aca="false">IF(ISBLANK($C29),"",AND($AL29,$BB29=""))</f>
        <v/>
      </c>
      <c r="CQ29" s="74" t="str">
        <f aca="false">IF(ISBLANK($C29),"",AND($AL29,$BC29=""))</f>
        <v/>
      </c>
      <c r="CR29" s="74" t="str">
        <f aca="false">IF(ISBLANK($C29),"",AND($AL29,$BF29=""))</f>
        <v/>
      </c>
      <c r="CS29" s="74" t="str">
        <f aca="false">IF(ISBLANK($C29),"",AND($AL29,$BJ29=""))</f>
        <v/>
      </c>
      <c r="CT29" s="75"/>
      <c r="CU29" s="76"/>
      <c r="CV29" s="79" t="str">
        <f aca="false">IF(ISBLANK($C29),"",IF($BL29=Constants!$B$8,$CM29,""))</f>
        <v/>
      </c>
      <c r="CW29" s="76" t="str">
        <f aca="false">IF(ISBLANK($C29),"",IF($BL29&lt;&gt;Constants!$B$4,"",$BO29+$BP29))</f>
        <v/>
      </c>
      <c r="CX29" s="78" t="str">
        <f aca="false">IF(ISBLANK($C29),"",IF($BL29&lt;&gt;Constants!$B$4,"",$BQ29+$BR29+$BS29))</f>
        <v/>
      </c>
      <c r="CY29" s="78" t="str">
        <f aca="false">IF(ISBLANK($C29),"",IF($BL29&lt;&gt;Constants!$B$4,"",$BT29))</f>
        <v/>
      </c>
      <c r="CZ29" s="78" t="str">
        <f aca="false">IF(ISBLANK($C29),"",IF($BL29&lt;&gt;Constants!$B$4,"",$BU29+$BV29))</f>
        <v/>
      </c>
      <c r="DA29" s="78" t="str">
        <f aca="false">IF(ISBLANK($C29),"",IF($BL29&lt;&gt;Constants!$B$4,"",$BW29))</f>
        <v/>
      </c>
      <c r="DB29" s="78" t="str">
        <f aca="false">IF(ISBLANK($C29),"",IF($BL29&lt;&gt;Constants!$B$4,"",-$CD29))</f>
        <v/>
      </c>
      <c r="DC29" s="79" t="str">
        <f aca="false">IF(ISBLANK($C29),"",$CE29)</f>
        <v/>
      </c>
      <c r="DD29" s="80" t="str">
        <f aca="false">IF(ISBLANK($C29),"",$BM29)</f>
        <v/>
      </c>
      <c r="DE29" s="78" t="str">
        <f aca="false">IF(ISBLANK($C29),"",$CL29)</f>
        <v/>
      </c>
      <c r="DF29" s="78" t="str">
        <f aca="false">IF(ISBLANK($C29),"",$CK29)</f>
        <v/>
      </c>
      <c r="DG29" s="81" t="str">
        <f aca="false">IF(ISBLANK($C29),"",IF($DF29=Constants!$B$7,COUNTA($C$9:$C$508)+2,IF($DF29=Constants!$B$6,COUNTA($C$9:$C$508)+1,IF($DF29=Constants!$B$5,COUNTA($C$9:$C$508),$DF29))))</f>
        <v/>
      </c>
      <c r="DH29" s="7"/>
      <c r="DI29" s="82" t="n">
        <f aca="false">IF(OR(ISNUMBER($DF29),$DF29=Constants!$B$7,$DF29=Constants!$B$5,$DF29=Constants!$B$6),1,0)</f>
        <v>0</v>
      </c>
      <c r="DJ29" s="82" t="n">
        <v>21</v>
      </c>
      <c r="DK29" s="82" t="str">
        <f aca="false">IF(ISBLANK($C29),"",IF(ISNUMBER($DG29),$DG29+ROW($B29)/1000,""))</f>
        <v/>
      </c>
      <c r="DL29" s="82" t="str">
        <f aca="false">IF(ISNUMBER($DK29),RANK($DK29,$DK$9:$DK$508,1),"")</f>
        <v/>
      </c>
      <c r="DM29" s="82" t="str">
        <f aca="false">IF(ISBLANK($C29),"",$B29)</f>
        <v/>
      </c>
      <c r="DN29" s="82" t="str">
        <f aca="false">IF(ISBLANK($C29),"",$C29)</f>
        <v/>
      </c>
      <c r="DO29" s="82" t="str">
        <f aca="false">IF(ISBLANK($C29),"",$D29)</f>
        <v/>
      </c>
      <c r="DP29" s="83" t="str">
        <f aca="false">$DD29</f>
        <v/>
      </c>
      <c r="DQ29" s="84" t="str">
        <f aca="false">$DC29</f>
        <v/>
      </c>
      <c r="DR29" s="82" t="str">
        <f aca="false">IF(ISBLANK($C29),"",$DF29)</f>
        <v/>
      </c>
      <c r="DS29" s="85" t="str">
        <f aca="false">IF($DJ29&gt;$DI$8,"",VLOOKUP($DJ29,$DL$9:$DR$508,7,FALSE()))</f>
        <v/>
      </c>
      <c r="DT29" s="86" t="str">
        <f aca="false">IF($DJ29&gt;$DI$8,"",VLOOKUP($DJ29,$DL$9:$DR$508,2,FALSE()))</f>
        <v/>
      </c>
      <c r="DU29" s="86" t="str">
        <f aca="false">IF($DJ29&gt;$DI$8,"",VLOOKUP($DJ29,$DL$9:$DR$508,3,FALSE()))</f>
        <v/>
      </c>
      <c r="DV29" s="86" t="str">
        <f aca="false">IF($DJ29&gt;$DI$8,"",VLOOKUP($DJ29,$DL$9:$DR$508,4,FALSE()))</f>
        <v/>
      </c>
      <c r="DW29" s="86" t="str">
        <f aca="false">IF($DJ29&gt;$DI$8,"",VLOOKUP($DJ29,$DL$9:$DR$508,5,FALSE()))</f>
        <v/>
      </c>
      <c r="DX29" s="87" t="str">
        <f aca="false">IF($DJ29&gt;$DI$8,"",VLOOKUP($DJ29,$DL$9:$DR$508,6,FALSE()))</f>
        <v/>
      </c>
      <c r="DY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127"/>
      <c r="N30" s="127"/>
      <c r="O30" s="128"/>
      <c r="P30" s="128"/>
      <c r="Q30" s="127"/>
      <c r="R30" s="127"/>
      <c r="S30" s="127"/>
      <c r="T30" s="127"/>
      <c r="U30" s="128"/>
      <c r="V30" s="127"/>
      <c r="W30" s="96"/>
      <c r="X30" s="127"/>
      <c r="Y30" s="127"/>
      <c r="Z30" s="96"/>
      <c r="AA30" s="96"/>
      <c r="AB30" s="127"/>
      <c r="AC30" s="127"/>
      <c r="AD30" s="127"/>
      <c r="AE30" s="97"/>
      <c r="AF30" s="130"/>
      <c r="AG30" s="99"/>
      <c r="AH30" s="100"/>
      <c r="AI30" s="100"/>
      <c r="AJ30" s="100" t="str">
        <f aca="false">IF(ISBLANK($C30),"",IF($E30=Constants!$B$2,TRUE(),IF($E30=Constants!$B$3,FALSE(),TRUE())))</f>
        <v/>
      </c>
      <c r="AK30" s="100" t="str">
        <f aca="false">IF(ISBLANK($C30),"",IF($F30=Constants!$B$2,TRUE(),IF($F30=Constants!$B$3,FALSE(),FALSE())))</f>
        <v/>
      </c>
      <c r="AL30" s="100" t="str">
        <f aca="false">IF(ISBLANK($C30),"",IF($G30=Constants!$B$2,TRUE(),IF($G30=Constants!$B$3,FALSE(),TRUE())))</f>
        <v/>
      </c>
      <c r="AM30" s="100" t="str">
        <f aca="false">IF(ISBLANK($C30),"",IF($H30=Constants!$B$2,TRUE(),IF($H30=Constants!$B$3,FALSE(),TRUE())))</f>
        <v/>
      </c>
      <c r="AN30" s="100" t="str">
        <f aca="false">IF(ISBLANK($C30),"",IF(ISNUMBER($I30),IF($I30&gt;=0,$I30,""),""))</f>
        <v/>
      </c>
      <c r="AO30" s="100" t="str">
        <f aca="false">IF(ISBLANK($C30),"",IF(ISNUMBER($J30),IF($J30&gt;=0,$J30,""),""))</f>
        <v/>
      </c>
      <c r="AP30" s="100" t="str">
        <f aca="false">IF(ISBLANK($C30),"",IF(ISNUMBER($K30),IF($K30&gt;=0,$K30,""),""))</f>
        <v/>
      </c>
      <c r="AQ30" s="100" t="str">
        <f aca="false">IF(ISBLANK($C30),"",IF($L30=Constants!$B$2,TRUE(),IF($L30=Constants!$B$3,FALSE(),TRUE())))</f>
        <v/>
      </c>
      <c r="AR30" s="100" t="str">
        <f aca="false">IF(ISBLANK($C30),"",IF($M30=Constants!$B$2,TRUE(),IF($M30=Constants!$B$3,FALSE(),TRUE())))</f>
        <v/>
      </c>
      <c r="AS30" s="100" t="str">
        <f aca="false">IF(ISBLANK($C30),"",IF($N30=Constants!$B$2,TRUE(),IF($N30=Constants!$B$3,FALSE(),FALSE())))</f>
        <v/>
      </c>
      <c r="AT30" s="100" t="str">
        <f aca="false">IF(ISBLANK($C30),"",IF($O30=Constants!$B$2,TRUE(),IF($O30=Constants!$B$3,FALSE(),TRUE())))</f>
        <v/>
      </c>
      <c r="AU30" s="100" t="str">
        <f aca="false">IF(ISBLANK($C30),"",IF($P30=Constants!$B$2,TRUE(),IF($P30=Constants!$B$3,FALSE(),TRUE())))</f>
        <v/>
      </c>
      <c r="AV30" s="100" t="str">
        <f aca="false">IF(ISBLANK($C30),"",IF($Q30=Constants!$B$2,TRUE(),IF($Q30=Constants!$B$3,FALSE(),FALSE())))</f>
        <v/>
      </c>
      <c r="AW30" s="100" t="str">
        <f aca="false">IF(ISBLANK($C30),"",IF($R30=Constants!$B$2,TRUE(),IF($R30=Constants!$B$3,FALSE(),FALSE())))</f>
        <v/>
      </c>
      <c r="AX30" s="100" t="str">
        <f aca="false">IF(ISBLANK($C30),"",IF($S30=Constants!$B$2,TRUE(),IF($S30=Constants!$B$3,FALSE(),FALSE())))</f>
        <v/>
      </c>
      <c r="AY30" s="100" t="str">
        <f aca="false">IF(ISBLANK($C30),"",IF($T30=Constants!$B$2,TRUE(),IF($T30=Constants!$B$3,FALSE(),FALSE())))</f>
        <v/>
      </c>
      <c r="AZ30" s="100" t="str">
        <f aca="false">IF(ISBLANK($C30),"",IF($U30=Constants!$B$2,TRUE(),IF($U30=Constants!$B$3,FALSE(),FALSE())))</f>
        <v/>
      </c>
      <c r="BA30" s="100" t="str">
        <f aca="false">IF(ISBLANK($C30),"",IF(OR($V30&amp;""="1",$V30&amp;""="2",$V30&amp;""="3",$V30&amp;""="4"),VALUE($V30&amp;""),IF($V30=Constants!$B$12,Constants!$B$12,"")))</f>
        <v/>
      </c>
      <c r="BB30" s="100" t="str">
        <f aca="false">IF(ISBLANK($C30),"",IF(ISBLANK($W30),0,IF(ISNUMBER($W30),IF(AND($W30&gt;=0,$W30&lt;=Constants!$B$21,$W30=INT($W30)),$W30,""),"")))</f>
        <v/>
      </c>
      <c r="BC30" s="100" t="str">
        <f aca="false">IF(ISBLANK($C30),"",IF(ISBLANK($X30),0,IF(ISNUMBER($X30),IF($X30&gt;=0,$X30,""),"")))</f>
        <v/>
      </c>
      <c r="BD30" s="100" t="str">
        <f aca="false">IF(ISBLANK($C30),"",IF($Y30=Constants!$B$2,TRUE(),IF($Y30=Constants!$B$3,FALSE(),TRUE())))</f>
        <v/>
      </c>
      <c r="BE30" s="100" t="str">
        <f aca="false">IF(ISBLANK($C30),"",IF($Z30=Constants!$B$2,TRUE(),IF($Z30=Constants!$B$3,FALSE(),FALSE())))</f>
        <v/>
      </c>
      <c r="BF30" s="100" t="str">
        <f aca="false">IF(ISBLANK($C30),"",IF(ISBLANK($AA30),0,IF(ISNUMBER($AA30),IF(AND($AA30&gt;=0,$AA30&lt;=Constants!$B$35,$AA30=INT($AA30)),$AA30,""),"")))</f>
        <v/>
      </c>
      <c r="BG30" s="100" t="str">
        <f aca="false">IF(ISBLANK($C30),"",IF($AB30=Constants!$B$2,TRUE(),IF($AB30=Constants!$B$3,FALSE(),TRUE())))</f>
        <v/>
      </c>
      <c r="BH30" s="100" t="str">
        <f aca="false">IF(ISBLANK($C30),"",IF($AC30=Constants!$B$2,TRUE(),IF($AC30=Constants!$B$3,FALSE(),TRUE())))</f>
        <v/>
      </c>
      <c r="BI30" s="100" t="str">
        <f aca="false">IF(ISBLANK($C30),"",IF($AD30=Constants!$B$2,TRUE(),IF($AD30=Constants!$B$3,FALSE(),TRUE())))</f>
        <v/>
      </c>
      <c r="BJ30" s="100" t="str">
        <f aca="false">IF(ISBLANK($C30),"",IF(ISNUMBER($AE30),IF($AE30&gt;=0,$AE30,""),""))</f>
        <v/>
      </c>
      <c r="BK30" s="100" t="str">
        <f aca="false">IF(ISBLANK($C30),"",IF($AF30=Constants!$B$2,TRUE(),IF($AF30=Constants!$B$3,FALSE(),FALSE())))</f>
        <v/>
      </c>
      <c r="BL30" s="99" t="str">
        <f aca="false">IF(ISBLANK($C30),"",IF($BK30,Constants!$B$7,IF(COUNTA($E30:$AE30)=0,Constants!$B$6,IF(OR(COUNTA($G30:$AE30)=0,NOT($AM30),$AS30),Constants!$B$5,IF(OR($CM30&lt;&gt;"",$CN30,$CO30,$CP30,$CQ30,$CR30,$CS30),Constants!$B$8,Constants!$B$4)))))</f>
        <v/>
      </c>
      <c r="BM30" s="100" t="str">
        <f aca="false">IF(ISBLANK($C30),"",IF($BL30&lt;&gt;Constants!$B$4,$BL30,IF(OR(NOT($AJ30),NOT($AL30),NOT($AT30)),Constants!$B$11,IF(OR(NOT($AR30),NOT($AU30),NOT($BI30),MAX($AN30,$AO30,$AP30)&gt;Constants!$B$30),Constants!$B$10,Constants!$B$9))))</f>
        <v/>
      </c>
      <c r="BN30" s="100" t="str">
        <f aca="false">IF($BL30&lt;&gt;Constants!$B$4,"",IF(NOT($AL30),0,MIN(Constants!$B$35,$BF30)))</f>
        <v/>
      </c>
      <c r="BO30" s="100" t="str">
        <f aca="false">IF($BL30&lt;&gt;Constants!$B$4,"",IF(NOT($AL30),0,IF($AW30,Constants!$B$18,IF($AV30,Constants!$B$17,0))))</f>
        <v/>
      </c>
      <c r="BP30" s="100" t="str">
        <f aca="false">IF($BL30&lt;&gt;Constants!$B$4,"",IF(NOT($AL30),0,Constants!$B$19*($AK30+$AX30+$AY30+$AZ30)))</f>
        <v/>
      </c>
      <c r="BQ30" s="100" t="str">
        <f aca="false">IF($BL30&lt;&gt;Constants!$B$4,"",IF(OR(NOT($AL30),NOT(ISNUMBER($BA30))),0,CHOOSE($BA30,Constants!$B$13,Constants!$B$14,Constants!$B$15,Constants!$B$16)))</f>
        <v/>
      </c>
      <c r="BR30" s="100" t="str">
        <f aca="false">IF($BL30&lt;&gt;Constants!$B$4,"",IF(NOT($AL30),0,Constants!$B$20*$BB30))</f>
        <v/>
      </c>
      <c r="BS30" s="100" t="str">
        <f aca="false">IF($BL30&lt;&gt;Constants!$B$4,"",IF(AND($AL30,$BD30,$BE30),Constants!$B$22,0))</f>
        <v/>
      </c>
      <c r="BT30" s="100" t="str">
        <f aca="false">IF($BL30&lt;&gt;Constants!$B$4,"",IF(OR(NOT($AL30),NOT($BD30)),0,IF($BJ30&gt;=2*$AH$9,0,Constants!$B$23*INT(ROUND(MIN($BJ30,$AH$9),6)))))</f>
        <v/>
      </c>
      <c r="BU30" s="100" t="str">
        <f aca="false">IF($BL30&lt;&gt;Constants!$B$4,"",IF(NOT($AL30),0,Constants!$B$24*INT(ROUND(MIN($BC30,$AH$9),6))))</f>
        <v/>
      </c>
      <c r="BV30" s="100" t="str">
        <f aca="false">IF($BL30&lt;&gt;Constants!$B$4,"",IF(AND($AL30,$BN30=0),Constants!$B$25,0))</f>
        <v/>
      </c>
      <c r="BW30" s="100" t="str">
        <f aca="false">IF($BL30&lt;&gt;Constants!$B$4,"",MIN(Constants!$B$29,MAX(0,Constants!$B$27*Constants!$B$28*INT(ROUND((Constants!$B$26-$AN30)/Constants!$B$28,6))))+MIN(Constants!$B$29,MAX(0,Constants!$B$27*Constants!$B$28*INT(ROUND((Constants!$B$26-$AO30)/Constants!$B$28,6))))+MIN(Constants!$B$29,MAX(0,Constants!$B$27*Constants!$B$28*INT(ROUND((Constants!$B$26-$AP30)/Constants!$B$28,6)))))</f>
        <v/>
      </c>
      <c r="BX30" s="100" t="str">
        <f aca="false">IF($BL30&lt;&gt;Constants!$B$4,"",IF(NOT($AL30),0,Constants!$B$31*INT(ROUND(MAX(0,MIN($BJ30,2*$AH$9)-$AH$9),6))))</f>
        <v/>
      </c>
      <c r="BY30" s="100" t="str">
        <f aca="false">IF($BL30&lt;&gt;Constants!$B$4,"",Constants!$B$32*(($AN30&gt;Constants!$B$26)+($AO30&gt;Constants!$B$26)+($AP30&gt;Constants!$B$26)))</f>
        <v/>
      </c>
      <c r="BZ30" s="100" t="str">
        <f aca="false">IF($BL30&lt;&gt;Constants!$B$4,"",IF(OR(NOT($AL30),$AQ30),0,Constants!$B$33))</f>
        <v/>
      </c>
      <c r="CA30" s="100" t="str">
        <f aca="false">IF($BL30&lt;&gt;Constants!$B$4,"",Constants!$B$34*$BN30)</f>
        <v/>
      </c>
      <c r="CB30" s="100" t="str">
        <f aca="false">IF($BL30&lt;&gt;Constants!$B$4,"",IF(OR(NOT($AL30),$BH30),0,Constants!$B$36))</f>
        <v/>
      </c>
      <c r="CC30" s="100" t="str">
        <f aca="false">IF($BL30&lt;&gt;Constants!$B$4,"",IF(OR(NOT($AL30),$BG30),0,Constants!$B$37))</f>
        <v/>
      </c>
      <c r="CD30" s="100" t="str">
        <f aca="false">IF($BL30&lt;&gt;Constants!$B$4,"",SUM($BX30:$CC30))</f>
        <v/>
      </c>
      <c r="CE30" s="100" t="str">
        <f aca="false">IF(ISBLANK($C30),"",IF($BL30&lt;&gt;Constants!$B$4,$BL30,SUM($BO30:$BW30)-$CD30))</f>
        <v/>
      </c>
      <c r="CF30" s="100" t="str">
        <f aca="false">IF(ISBLANK($C30),"",IF($BL30&lt;&gt;Constants!$B$4,$BL30,RANK($CE30,$CE$9:$CE$508)))</f>
        <v/>
      </c>
      <c r="CG30" s="100" t="str">
        <f aca="false">IF(ISBLANK($C30),"",IF($BL30&lt;&gt;Constants!$B$4,$BL30,COUNTIFS($BM$9:$BM$508,"&lt;"&amp;$BM30)+COUNTIFS($BM$9:$BM$508,$BM30,$CF$9:$CF$508,"&lt;"&amp;$CF30)+1))</f>
        <v/>
      </c>
      <c r="CH30" s="100" t="str">
        <f aca="false">IF(ISBLANK($C30),"",IF($BL30&lt;&gt;Constants!$B$4,$BL30,RANK($CD30,$CD$9:$CD$508,1)))</f>
        <v/>
      </c>
      <c r="CI30" s="100" t="str">
        <f aca="false">IF($BL30&lt;&gt;Constants!$B$4,"",$AN30+$AO30+$AP30)</f>
        <v/>
      </c>
      <c r="CJ30" s="100" t="str">
        <f aca="false">IF(ISBLANK($C30),"",IF($BL30&lt;&gt;Constants!$B$4,$BL30,RANK($CI30,$CI$9:$CI$508,1)))</f>
        <v/>
      </c>
      <c r="CK30" s="100" t="str">
        <f aca="false">IF(ISBLANK($C30),"",IF($BL30&lt;&gt;Constants!$B$4,$BL30,COUNTIFS($BM$9:$BM$508,"&lt;"&amp;$BM30)+COUNTIFS($BM$9:$BM$508,$BM30,$CF$9:$CF$508,"&lt;"&amp;$CF30)+COUNTIFS($BM$9:$BM$508,$BM30,$CF$9:$CF$508,$CF30,$CH$9:$CH$508,"&lt;"&amp;$CH30)+COUNTIFS($BM$9:$BM$508,$BM30,$CF$9:$CF$508,$CF30,$CH$9:$CH$508,$CH30,$CJ$9:$CJ$508,"&lt;"&amp;$CJ30)+1))</f>
        <v/>
      </c>
      <c r="CL30" s="100" t="str">
        <f aca="false">IF(ISBLANK($C30),"",IF($BL30&lt;&gt;Constants!$B$4,$BL30,$CG30-$CK30))</f>
        <v/>
      </c>
      <c r="CM30" s="100" t="str">
        <f aca="false">IF(ISBLANK($C30),"",IF(NOT($AL30),"",IF(ISBLANK($D$7),$CM$5,IF(NOT(ISNUMBER($D$7)),$CM$6,""))))</f>
        <v/>
      </c>
      <c r="CN30" s="100" t="str">
        <f aca="false">IF(ISBLANK($C30),"",OR($AN30="",$AO30="",$AP30=""))</f>
        <v/>
      </c>
      <c r="CO30" s="100" t="str">
        <f aca="false">IF(ISBLANK($C30),"",AND($AL30,$BA30=""))</f>
        <v/>
      </c>
      <c r="CP30" s="100" t="str">
        <f aca="false">IF(ISBLANK($C30),"",AND($AL30,$BB30=""))</f>
        <v/>
      </c>
      <c r="CQ30" s="100" t="str">
        <f aca="false">IF(ISBLANK($C30),"",AND($AL30,$BC30=""))</f>
        <v/>
      </c>
      <c r="CR30" s="100" t="str">
        <f aca="false">IF(ISBLANK($C30),"",AND($AL30,$BF30=""))</f>
        <v/>
      </c>
      <c r="CS30" s="100" t="str">
        <f aca="false">IF(ISBLANK($C30),"",AND($AL30,$BJ30=""))</f>
        <v/>
      </c>
      <c r="CT30" s="101"/>
      <c r="CU30" s="102"/>
      <c r="CV30" s="103" t="str">
        <f aca="false">IF(ISBLANK($C30),"",IF($BL30=Constants!$B$8,$CM30,""))</f>
        <v/>
      </c>
      <c r="CW30" s="102" t="str">
        <f aca="false">IF(ISBLANK($C30),"",IF($BL30&lt;&gt;Constants!$B$4,"",$BO30+$BP30))</f>
        <v/>
      </c>
      <c r="CX30" s="104" t="str">
        <f aca="false">IF(ISBLANK($C30),"",IF($BL30&lt;&gt;Constants!$B$4,"",$BQ30+$BR30+$BS30))</f>
        <v/>
      </c>
      <c r="CY30" s="104" t="str">
        <f aca="false">IF(ISBLANK($C30),"",IF($BL30&lt;&gt;Constants!$B$4,"",$BT30))</f>
        <v/>
      </c>
      <c r="CZ30" s="104" t="str">
        <f aca="false">IF(ISBLANK($C30),"",IF($BL30&lt;&gt;Constants!$B$4,"",$BU30+$BV30))</f>
        <v/>
      </c>
      <c r="DA30" s="104" t="str">
        <f aca="false">IF(ISBLANK($C30),"",IF($BL30&lt;&gt;Constants!$B$4,"",$BW30))</f>
        <v/>
      </c>
      <c r="DB30" s="104" t="str">
        <f aca="false">IF(ISBLANK($C30),"",IF($BL30&lt;&gt;Constants!$B$4,"",-$CD30))</f>
        <v/>
      </c>
      <c r="DC30" s="103" t="str">
        <f aca="false">IF(ISBLANK($C30),"",$CE30)</f>
        <v/>
      </c>
      <c r="DD30" s="105" t="str">
        <f aca="false">IF(ISBLANK($C30),"",$BM30)</f>
        <v/>
      </c>
      <c r="DE30" s="104" t="str">
        <f aca="false">IF(ISBLANK($C30),"",$CL30)</f>
        <v/>
      </c>
      <c r="DF30" s="104" t="str">
        <f aca="false">IF(ISBLANK($C30),"",$CK30)</f>
        <v/>
      </c>
      <c r="DG30" s="106" t="str">
        <f aca="false">IF(ISBLANK($C30),"",IF($DF30=Constants!$B$7,COUNTA($C$9:$C$508)+2,IF($DF30=Constants!$B$6,COUNTA($C$9:$C$508)+1,IF($DF30=Constants!$B$5,COUNTA($C$9:$C$508),$DF30))))</f>
        <v/>
      </c>
      <c r="DH30" s="7"/>
      <c r="DI30" s="107" t="n">
        <f aca="false">IF(OR(ISNUMBER($DF30),$DF30=Constants!$B$7,$DF30=Constants!$B$5,$DF30=Constants!$B$6),1,0)</f>
        <v>0</v>
      </c>
      <c r="DJ30" s="107" t="n">
        <v>22</v>
      </c>
      <c r="DK30" s="107" t="str">
        <f aca="false">IF(ISBLANK($C30),"",IF(ISNUMBER($DG30),$DG30+ROW($B30)/1000,""))</f>
        <v/>
      </c>
      <c r="DL30" s="107" t="str">
        <f aca="false">IF(ISNUMBER($DK30),RANK($DK30,$DK$9:$DK$508,1),"")</f>
        <v/>
      </c>
      <c r="DM30" s="107" t="str">
        <f aca="false">IF(ISBLANK($C30),"",$B30)</f>
        <v/>
      </c>
      <c r="DN30" s="107" t="str">
        <f aca="false">IF(ISBLANK($C30),"",$C30)</f>
        <v/>
      </c>
      <c r="DO30" s="107" t="str">
        <f aca="false">IF(ISBLANK($C30),"",$D30)</f>
        <v/>
      </c>
      <c r="DP30" s="108" t="str">
        <f aca="false">$DD30</f>
        <v/>
      </c>
      <c r="DQ30" s="109" t="str">
        <f aca="false">$DC30</f>
        <v/>
      </c>
      <c r="DR30" s="107" t="str">
        <f aca="false">IF(ISBLANK($C30),"",$DF30)</f>
        <v/>
      </c>
      <c r="DS30" s="110" t="str">
        <f aca="false">IF($DJ30&gt;$DI$8,"",VLOOKUP($DJ30,$DL$9:$DR$508,7,FALSE()))</f>
        <v/>
      </c>
      <c r="DT30" s="111" t="str">
        <f aca="false">IF($DJ30&gt;$DI$8,"",VLOOKUP($DJ30,$DL$9:$DR$508,2,FALSE()))</f>
        <v/>
      </c>
      <c r="DU30" s="111" t="str">
        <f aca="false">IF($DJ30&gt;$DI$8,"",VLOOKUP($DJ30,$DL$9:$DR$508,3,FALSE()))</f>
        <v/>
      </c>
      <c r="DV30" s="111" t="str">
        <f aca="false">IF($DJ30&gt;$DI$8,"",VLOOKUP($DJ30,$DL$9:$DR$508,4,FALSE()))</f>
        <v/>
      </c>
      <c r="DW30" s="111" t="str">
        <f aca="false">IF($DJ30&gt;$DI$8,"",VLOOKUP($DJ30,$DL$9:$DR$508,5,FALSE()))</f>
        <v/>
      </c>
      <c r="DX30" s="112" t="str">
        <f aca="false">IF($DJ30&gt;$DI$8,"",VLOOKUP($DJ30,$DL$9:$DR$508,6,FALSE()))</f>
        <v/>
      </c>
      <c r="DY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127"/>
      <c r="N31" s="127"/>
      <c r="O31" s="128"/>
      <c r="P31" s="128"/>
      <c r="Q31" s="127"/>
      <c r="R31" s="127"/>
      <c r="S31" s="127"/>
      <c r="T31" s="127"/>
      <c r="U31" s="128"/>
      <c r="V31" s="127"/>
      <c r="W31" s="96"/>
      <c r="X31" s="127"/>
      <c r="Y31" s="127"/>
      <c r="Z31" s="96"/>
      <c r="AA31" s="96"/>
      <c r="AB31" s="127"/>
      <c r="AC31" s="127"/>
      <c r="AD31" s="127"/>
      <c r="AE31" s="97"/>
      <c r="AF31" s="130"/>
      <c r="AG31" s="99"/>
      <c r="AH31" s="100"/>
      <c r="AI31" s="100"/>
      <c r="AJ31" s="100" t="str">
        <f aca="false">IF(ISBLANK($C31),"",IF($E31=Constants!$B$2,TRUE(),IF($E31=Constants!$B$3,FALSE(),TRUE())))</f>
        <v/>
      </c>
      <c r="AK31" s="100" t="str">
        <f aca="false">IF(ISBLANK($C31),"",IF($F31=Constants!$B$2,TRUE(),IF($F31=Constants!$B$3,FALSE(),FALSE())))</f>
        <v/>
      </c>
      <c r="AL31" s="100" t="str">
        <f aca="false">IF(ISBLANK($C31),"",IF($G31=Constants!$B$2,TRUE(),IF($G31=Constants!$B$3,FALSE(),TRUE())))</f>
        <v/>
      </c>
      <c r="AM31" s="100" t="str">
        <f aca="false">IF(ISBLANK($C31),"",IF($H31=Constants!$B$2,TRUE(),IF($H31=Constants!$B$3,FALSE(),TRUE())))</f>
        <v/>
      </c>
      <c r="AN31" s="100" t="str">
        <f aca="false">IF(ISBLANK($C31),"",IF(ISNUMBER($I31),IF($I31&gt;=0,$I31,""),""))</f>
        <v/>
      </c>
      <c r="AO31" s="100" t="str">
        <f aca="false">IF(ISBLANK($C31),"",IF(ISNUMBER($J31),IF($J31&gt;=0,$J31,""),""))</f>
        <v/>
      </c>
      <c r="AP31" s="100" t="str">
        <f aca="false">IF(ISBLANK($C31),"",IF(ISNUMBER($K31),IF($K31&gt;=0,$K31,""),""))</f>
        <v/>
      </c>
      <c r="AQ31" s="100" t="str">
        <f aca="false">IF(ISBLANK($C31),"",IF($L31=Constants!$B$2,TRUE(),IF($L31=Constants!$B$3,FALSE(),TRUE())))</f>
        <v/>
      </c>
      <c r="AR31" s="100" t="str">
        <f aca="false">IF(ISBLANK($C31),"",IF($M31=Constants!$B$2,TRUE(),IF($M31=Constants!$B$3,FALSE(),TRUE())))</f>
        <v/>
      </c>
      <c r="AS31" s="100" t="str">
        <f aca="false">IF(ISBLANK($C31),"",IF($N31=Constants!$B$2,TRUE(),IF($N31=Constants!$B$3,FALSE(),FALSE())))</f>
        <v/>
      </c>
      <c r="AT31" s="100" t="str">
        <f aca="false">IF(ISBLANK($C31),"",IF($O31=Constants!$B$2,TRUE(),IF($O31=Constants!$B$3,FALSE(),TRUE())))</f>
        <v/>
      </c>
      <c r="AU31" s="100" t="str">
        <f aca="false">IF(ISBLANK($C31),"",IF($P31=Constants!$B$2,TRUE(),IF($P31=Constants!$B$3,FALSE(),TRUE())))</f>
        <v/>
      </c>
      <c r="AV31" s="100" t="str">
        <f aca="false">IF(ISBLANK($C31),"",IF($Q31=Constants!$B$2,TRUE(),IF($Q31=Constants!$B$3,FALSE(),FALSE())))</f>
        <v/>
      </c>
      <c r="AW31" s="100" t="str">
        <f aca="false">IF(ISBLANK($C31),"",IF($R31=Constants!$B$2,TRUE(),IF($R31=Constants!$B$3,FALSE(),FALSE())))</f>
        <v/>
      </c>
      <c r="AX31" s="100" t="str">
        <f aca="false">IF(ISBLANK($C31),"",IF($S31=Constants!$B$2,TRUE(),IF($S31=Constants!$B$3,FALSE(),FALSE())))</f>
        <v/>
      </c>
      <c r="AY31" s="100" t="str">
        <f aca="false">IF(ISBLANK($C31),"",IF($T31=Constants!$B$2,TRUE(),IF($T31=Constants!$B$3,FALSE(),FALSE())))</f>
        <v/>
      </c>
      <c r="AZ31" s="100" t="str">
        <f aca="false">IF(ISBLANK($C31),"",IF($U31=Constants!$B$2,TRUE(),IF($U31=Constants!$B$3,FALSE(),FALSE())))</f>
        <v/>
      </c>
      <c r="BA31" s="100" t="str">
        <f aca="false">IF(ISBLANK($C31),"",IF(OR($V31&amp;""="1",$V31&amp;""="2",$V31&amp;""="3",$V31&amp;""="4"),VALUE($V31&amp;""),IF($V31=Constants!$B$12,Constants!$B$12,"")))</f>
        <v/>
      </c>
      <c r="BB31" s="100" t="str">
        <f aca="false">IF(ISBLANK($C31),"",IF(ISBLANK($W31),0,IF(ISNUMBER($W31),IF(AND($W31&gt;=0,$W31&lt;=Constants!$B$21,$W31=INT($W31)),$W31,""),"")))</f>
        <v/>
      </c>
      <c r="BC31" s="100" t="str">
        <f aca="false">IF(ISBLANK($C31),"",IF(ISBLANK($X31),0,IF(ISNUMBER($X31),IF($X31&gt;=0,$X31,""),"")))</f>
        <v/>
      </c>
      <c r="BD31" s="100" t="str">
        <f aca="false">IF(ISBLANK($C31),"",IF($Y31=Constants!$B$2,TRUE(),IF($Y31=Constants!$B$3,FALSE(),TRUE())))</f>
        <v/>
      </c>
      <c r="BE31" s="100" t="str">
        <f aca="false">IF(ISBLANK($C31),"",IF($Z31=Constants!$B$2,TRUE(),IF($Z31=Constants!$B$3,FALSE(),FALSE())))</f>
        <v/>
      </c>
      <c r="BF31" s="100" t="str">
        <f aca="false">IF(ISBLANK($C31),"",IF(ISBLANK($AA31),0,IF(ISNUMBER($AA31),IF(AND($AA31&gt;=0,$AA31&lt;=Constants!$B$35,$AA31=INT($AA31)),$AA31,""),"")))</f>
        <v/>
      </c>
      <c r="BG31" s="100" t="str">
        <f aca="false">IF(ISBLANK($C31),"",IF($AB31=Constants!$B$2,TRUE(),IF($AB31=Constants!$B$3,FALSE(),TRUE())))</f>
        <v/>
      </c>
      <c r="BH31" s="100" t="str">
        <f aca="false">IF(ISBLANK($C31),"",IF($AC31=Constants!$B$2,TRUE(),IF($AC31=Constants!$B$3,FALSE(),TRUE())))</f>
        <v/>
      </c>
      <c r="BI31" s="100" t="str">
        <f aca="false">IF(ISBLANK($C31),"",IF($AD31=Constants!$B$2,TRUE(),IF($AD31=Constants!$B$3,FALSE(),TRUE())))</f>
        <v/>
      </c>
      <c r="BJ31" s="100" t="str">
        <f aca="false">IF(ISBLANK($C31),"",IF(ISNUMBER($AE31),IF($AE31&gt;=0,$AE31,""),""))</f>
        <v/>
      </c>
      <c r="BK31" s="100" t="str">
        <f aca="false">IF(ISBLANK($C31),"",IF($AF31=Constants!$B$2,TRUE(),IF($AF31=Constants!$B$3,FALSE(),FALSE())))</f>
        <v/>
      </c>
      <c r="BL31" s="99" t="str">
        <f aca="false">IF(ISBLANK($C31),"",IF($BK31,Constants!$B$7,IF(COUNTA($E31:$AE31)=0,Constants!$B$6,IF(OR(COUNTA($G31:$AE31)=0,NOT($AM31),$AS31),Constants!$B$5,IF(OR($CM31&lt;&gt;"",$CN31,$CO31,$CP31,$CQ31,$CR31,$CS31),Constants!$B$8,Constants!$B$4)))))</f>
        <v/>
      </c>
      <c r="BM31" s="100" t="str">
        <f aca="false">IF(ISBLANK($C31),"",IF($BL31&lt;&gt;Constants!$B$4,$BL31,IF(OR(NOT($AJ31),NOT($AL31),NOT($AT31)),Constants!$B$11,IF(OR(NOT($AR31),NOT($AU31),NOT($BI31),MAX($AN31,$AO31,$AP31)&gt;Constants!$B$30),Constants!$B$10,Constants!$B$9))))</f>
        <v/>
      </c>
      <c r="BN31" s="100" t="str">
        <f aca="false">IF($BL31&lt;&gt;Constants!$B$4,"",IF(NOT($AL31),0,MIN(Constants!$B$35,$BF31)))</f>
        <v/>
      </c>
      <c r="BO31" s="100" t="str">
        <f aca="false">IF($BL31&lt;&gt;Constants!$B$4,"",IF(NOT($AL31),0,IF($AW31,Constants!$B$18,IF($AV31,Constants!$B$17,0))))</f>
        <v/>
      </c>
      <c r="BP31" s="100" t="str">
        <f aca="false">IF($BL31&lt;&gt;Constants!$B$4,"",IF(NOT($AL31),0,Constants!$B$19*($AK31+$AX31+$AY31+$AZ31)))</f>
        <v/>
      </c>
      <c r="BQ31" s="100" t="str">
        <f aca="false">IF($BL31&lt;&gt;Constants!$B$4,"",IF(OR(NOT($AL31),NOT(ISNUMBER($BA31))),0,CHOOSE($BA31,Constants!$B$13,Constants!$B$14,Constants!$B$15,Constants!$B$16)))</f>
        <v/>
      </c>
      <c r="BR31" s="100" t="str">
        <f aca="false">IF($BL31&lt;&gt;Constants!$B$4,"",IF(NOT($AL31),0,Constants!$B$20*$BB31))</f>
        <v/>
      </c>
      <c r="BS31" s="100" t="str">
        <f aca="false">IF($BL31&lt;&gt;Constants!$B$4,"",IF(AND($AL31,$BD31,$BE31),Constants!$B$22,0))</f>
        <v/>
      </c>
      <c r="BT31" s="100" t="str">
        <f aca="false">IF($BL31&lt;&gt;Constants!$B$4,"",IF(OR(NOT($AL31),NOT($BD31)),0,IF($BJ31&gt;=2*$AH$9,0,Constants!$B$23*INT(ROUND(MIN($BJ31,$AH$9),6)))))</f>
        <v/>
      </c>
      <c r="BU31" s="100" t="str">
        <f aca="false">IF($BL31&lt;&gt;Constants!$B$4,"",IF(NOT($AL31),0,Constants!$B$24*INT(ROUND(MIN($BC31,$AH$9),6))))</f>
        <v/>
      </c>
      <c r="BV31" s="100" t="str">
        <f aca="false">IF($BL31&lt;&gt;Constants!$B$4,"",IF(AND($AL31,$BN31=0),Constants!$B$25,0))</f>
        <v/>
      </c>
      <c r="BW31" s="100" t="str">
        <f aca="false">IF($BL31&lt;&gt;Constants!$B$4,"",MIN(Constants!$B$29,MAX(0,Constants!$B$27*Constants!$B$28*INT(ROUND((Constants!$B$26-$AN31)/Constants!$B$28,6))))+MIN(Constants!$B$29,MAX(0,Constants!$B$27*Constants!$B$28*INT(ROUND((Constants!$B$26-$AO31)/Constants!$B$28,6))))+MIN(Constants!$B$29,MAX(0,Constants!$B$27*Constants!$B$28*INT(ROUND((Constants!$B$26-$AP31)/Constants!$B$28,6)))))</f>
        <v/>
      </c>
      <c r="BX31" s="100" t="str">
        <f aca="false">IF($BL31&lt;&gt;Constants!$B$4,"",IF(NOT($AL31),0,Constants!$B$31*INT(ROUND(MAX(0,MIN($BJ31,2*$AH$9)-$AH$9),6))))</f>
        <v/>
      </c>
      <c r="BY31" s="100" t="str">
        <f aca="false">IF($BL31&lt;&gt;Constants!$B$4,"",Constants!$B$32*(($AN31&gt;Constants!$B$26)+($AO31&gt;Constants!$B$26)+($AP31&gt;Constants!$B$26)))</f>
        <v/>
      </c>
      <c r="BZ31" s="100" t="str">
        <f aca="false">IF($BL31&lt;&gt;Constants!$B$4,"",IF(OR(NOT($AL31),$AQ31),0,Constants!$B$33))</f>
        <v/>
      </c>
      <c r="CA31" s="100" t="str">
        <f aca="false">IF($BL31&lt;&gt;Constants!$B$4,"",Constants!$B$34*$BN31)</f>
        <v/>
      </c>
      <c r="CB31" s="100" t="str">
        <f aca="false">IF($BL31&lt;&gt;Constants!$B$4,"",IF(OR(NOT($AL31),$BH31),0,Constants!$B$36))</f>
        <v/>
      </c>
      <c r="CC31" s="100" t="str">
        <f aca="false">IF($BL31&lt;&gt;Constants!$B$4,"",IF(OR(NOT($AL31),$BG31),0,Constants!$B$37))</f>
        <v/>
      </c>
      <c r="CD31" s="100" t="str">
        <f aca="false">IF($BL31&lt;&gt;Constants!$B$4,"",SUM($BX31:$CC31))</f>
        <v/>
      </c>
      <c r="CE31" s="100" t="str">
        <f aca="false">IF(ISBLANK($C31),"",IF($BL31&lt;&gt;Constants!$B$4,$BL31,SUM($BO31:$BW31)-$CD31))</f>
        <v/>
      </c>
      <c r="CF31" s="100" t="str">
        <f aca="false">IF(ISBLANK($C31),"",IF($BL31&lt;&gt;Constants!$B$4,$BL31,RANK($CE31,$CE$9:$CE$508)))</f>
        <v/>
      </c>
      <c r="CG31" s="100" t="str">
        <f aca="false">IF(ISBLANK($C31),"",IF($BL31&lt;&gt;Constants!$B$4,$BL31,COUNTIFS($BM$9:$BM$508,"&lt;"&amp;$BM31)+COUNTIFS($BM$9:$BM$508,$BM31,$CF$9:$CF$508,"&lt;"&amp;$CF31)+1))</f>
        <v/>
      </c>
      <c r="CH31" s="100" t="str">
        <f aca="false">IF(ISBLANK($C31),"",IF($BL31&lt;&gt;Constants!$B$4,$BL31,RANK($CD31,$CD$9:$CD$508,1)))</f>
        <v/>
      </c>
      <c r="CI31" s="100" t="str">
        <f aca="false">IF($BL31&lt;&gt;Constants!$B$4,"",$AN31+$AO31+$AP31)</f>
        <v/>
      </c>
      <c r="CJ31" s="100" t="str">
        <f aca="false">IF(ISBLANK($C31),"",IF($BL31&lt;&gt;Constants!$B$4,$BL31,RANK($CI31,$CI$9:$CI$508,1)))</f>
        <v/>
      </c>
      <c r="CK31" s="100" t="str">
        <f aca="false">IF(ISBLANK($C31),"",IF($BL31&lt;&gt;Constants!$B$4,$BL31,COUNTIFS($BM$9:$BM$508,"&lt;"&amp;$BM31)+COUNTIFS($BM$9:$BM$508,$BM31,$CF$9:$CF$508,"&lt;"&amp;$CF31)+COUNTIFS($BM$9:$BM$508,$BM31,$CF$9:$CF$508,$CF31,$CH$9:$CH$508,"&lt;"&amp;$CH31)+COUNTIFS($BM$9:$BM$508,$BM31,$CF$9:$CF$508,$CF31,$CH$9:$CH$508,$CH31,$CJ$9:$CJ$508,"&lt;"&amp;$CJ31)+1))</f>
        <v/>
      </c>
      <c r="CL31" s="100" t="str">
        <f aca="false">IF(ISBLANK($C31),"",IF($BL31&lt;&gt;Constants!$B$4,$BL31,$CG31-$CK31))</f>
        <v/>
      </c>
      <c r="CM31" s="100" t="str">
        <f aca="false">IF(ISBLANK($C31),"",IF(NOT($AL31),"",IF(ISBLANK($D$7),$CM$5,IF(NOT(ISNUMBER($D$7)),$CM$6,""))))</f>
        <v/>
      </c>
      <c r="CN31" s="100" t="str">
        <f aca="false">IF(ISBLANK($C31),"",OR($AN31="",$AO31="",$AP31=""))</f>
        <v/>
      </c>
      <c r="CO31" s="100" t="str">
        <f aca="false">IF(ISBLANK($C31),"",AND($AL31,$BA31=""))</f>
        <v/>
      </c>
      <c r="CP31" s="100" t="str">
        <f aca="false">IF(ISBLANK($C31),"",AND($AL31,$BB31=""))</f>
        <v/>
      </c>
      <c r="CQ31" s="100" t="str">
        <f aca="false">IF(ISBLANK($C31),"",AND($AL31,$BC31=""))</f>
        <v/>
      </c>
      <c r="CR31" s="100" t="str">
        <f aca="false">IF(ISBLANK($C31),"",AND($AL31,$BF31=""))</f>
        <v/>
      </c>
      <c r="CS31" s="100" t="str">
        <f aca="false">IF(ISBLANK($C31),"",AND($AL31,$BJ31=""))</f>
        <v/>
      </c>
      <c r="CT31" s="101"/>
      <c r="CU31" s="102"/>
      <c r="CV31" s="103" t="str">
        <f aca="false">IF(ISBLANK($C31),"",IF($BL31=Constants!$B$8,$CM31,""))</f>
        <v/>
      </c>
      <c r="CW31" s="102" t="str">
        <f aca="false">IF(ISBLANK($C31),"",IF($BL31&lt;&gt;Constants!$B$4,"",$BO31+$BP31))</f>
        <v/>
      </c>
      <c r="CX31" s="104" t="str">
        <f aca="false">IF(ISBLANK($C31),"",IF($BL31&lt;&gt;Constants!$B$4,"",$BQ31+$BR31+$BS31))</f>
        <v/>
      </c>
      <c r="CY31" s="104" t="str">
        <f aca="false">IF(ISBLANK($C31),"",IF($BL31&lt;&gt;Constants!$B$4,"",$BT31))</f>
        <v/>
      </c>
      <c r="CZ31" s="104" t="str">
        <f aca="false">IF(ISBLANK($C31),"",IF($BL31&lt;&gt;Constants!$B$4,"",$BU31+$BV31))</f>
        <v/>
      </c>
      <c r="DA31" s="104" t="str">
        <f aca="false">IF(ISBLANK($C31),"",IF($BL31&lt;&gt;Constants!$B$4,"",$BW31))</f>
        <v/>
      </c>
      <c r="DB31" s="104" t="str">
        <f aca="false">IF(ISBLANK($C31),"",IF($BL31&lt;&gt;Constants!$B$4,"",-$CD31))</f>
        <v/>
      </c>
      <c r="DC31" s="103" t="str">
        <f aca="false">IF(ISBLANK($C31),"",$CE31)</f>
        <v/>
      </c>
      <c r="DD31" s="105" t="str">
        <f aca="false">IF(ISBLANK($C31),"",$BM31)</f>
        <v/>
      </c>
      <c r="DE31" s="104" t="str">
        <f aca="false">IF(ISBLANK($C31),"",$CL31)</f>
        <v/>
      </c>
      <c r="DF31" s="104" t="str">
        <f aca="false">IF(ISBLANK($C31),"",$CK31)</f>
        <v/>
      </c>
      <c r="DG31" s="106" t="str">
        <f aca="false">IF(ISBLANK($C31),"",IF($DF31=Constants!$B$7,COUNTA($C$9:$C$508)+2,IF($DF31=Constants!$B$6,COUNTA($C$9:$C$508)+1,IF($DF31=Constants!$B$5,COUNTA($C$9:$C$508),$DF31))))</f>
        <v/>
      </c>
      <c r="DH31" s="7"/>
      <c r="DI31" s="107" t="n">
        <f aca="false">IF(OR(ISNUMBER($DF31),$DF31=Constants!$B$7,$DF31=Constants!$B$5,$DF31=Constants!$B$6),1,0)</f>
        <v>0</v>
      </c>
      <c r="DJ31" s="107" t="n">
        <v>23</v>
      </c>
      <c r="DK31" s="107" t="str">
        <f aca="false">IF(ISBLANK($C31),"",IF(ISNUMBER($DG31),$DG31+ROW($B31)/1000,""))</f>
        <v/>
      </c>
      <c r="DL31" s="107" t="str">
        <f aca="false">IF(ISNUMBER($DK31),RANK($DK31,$DK$9:$DK$508,1),"")</f>
        <v/>
      </c>
      <c r="DM31" s="107" t="str">
        <f aca="false">IF(ISBLANK($C31),"",$B31)</f>
        <v/>
      </c>
      <c r="DN31" s="107" t="str">
        <f aca="false">IF(ISBLANK($C31),"",$C31)</f>
        <v/>
      </c>
      <c r="DO31" s="107" t="str">
        <f aca="false">IF(ISBLANK($C31),"",$D31)</f>
        <v/>
      </c>
      <c r="DP31" s="108" t="str">
        <f aca="false">$DD31</f>
        <v/>
      </c>
      <c r="DQ31" s="109" t="str">
        <f aca="false">$DC31</f>
        <v/>
      </c>
      <c r="DR31" s="107" t="str">
        <f aca="false">IF(ISBLANK($C31),"",$DF31)</f>
        <v/>
      </c>
      <c r="DS31" s="110" t="str">
        <f aca="false">IF($DJ31&gt;$DI$8,"",VLOOKUP($DJ31,$DL$9:$DR$508,7,FALSE()))</f>
        <v/>
      </c>
      <c r="DT31" s="111" t="str">
        <f aca="false">IF($DJ31&gt;$DI$8,"",VLOOKUP($DJ31,$DL$9:$DR$508,2,FALSE()))</f>
        <v/>
      </c>
      <c r="DU31" s="111" t="str">
        <f aca="false">IF($DJ31&gt;$DI$8,"",VLOOKUP($DJ31,$DL$9:$DR$508,3,FALSE()))</f>
        <v/>
      </c>
      <c r="DV31" s="111" t="str">
        <f aca="false">IF($DJ31&gt;$DI$8,"",VLOOKUP($DJ31,$DL$9:$DR$508,4,FALSE()))</f>
        <v/>
      </c>
      <c r="DW31" s="111" t="str">
        <f aca="false">IF($DJ31&gt;$DI$8,"",VLOOKUP($DJ31,$DL$9:$DR$508,5,FALSE()))</f>
        <v/>
      </c>
      <c r="DX31" s="112" t="str">
        <f aca="false">IF($DJ31&gt;$DI$8,"",VLOOKUP($DJ31,$DL$9:$DR$508,6,FALSE()))</f>
        <v/>
      </c>
      <c r="DY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127"/>
      <c r="N32" s="127"/>
      <c r="O32" s="128"/>
      <c r="P32" s="128"/>
      <c r="Q32" s="127"/>
      <c r="R32" s="127"/>
      <c r="S32" s="127"/>
      <c r="T32" s="127"/>
      <c r="U32" s="128"/>
      <c r="V32" s="127"/>
      <c r="W32" s="96"/>
      <c r="X32" s="127"/>
      <c r="Y32" s="127"/>
      <c r="Z32" s="96"/>
      <c r="AA32" s="96"/>
      <c r="AB32" s="127"/>
      <c r="AC32" s="127"/>
      <c r="AD32" s="127"/>
      <c r="AE32" s="97"/>
      <c r="AF32" s="130"/>
      <c r="AG32" s="99"/>
      <c r="AH32" s="100"/>
      <c r="AI32" s="100"/>
      <c r="AJ32" s="100" t="str">
        <f aca="false">IF(ISBLANK($C32),"",IF($E32=Constants!$B$2,TRUE(),IF($E32=Constants!$B$3,FALSE(),TRUE())))</f>
        <v/>
      </c>
      <c r="AK32" s="100" t="str">
        <f aca="false">IF(ISBLANK($C32),"",IF($F32=Constants!$B$2,TRUE(),IF($F32=Constants!$B$3,FALSE(),FALSE())))</f>
        <v/>
      </c>
      <c r="AL32" s="100" t="str">
        <f aca="false">IF(ISBLANK($C32),"",IF($G32=Constants!$B$2,TRUE(),IF($G32=Constants!$B$3,FALSE(),TRUE())))</f>
        <v/>
      </c>
      <c r="AM32" s="100" t="str">
        <f aca="false">IF(ISBLANK($C32),"",IF($H32=Constants!$B$2,TRUE(),IF($H32=Constants!$B$3,FALSE(),TRUE())))</f>
        <v/>
      </c>
      <c r="AN32" s="100" t="str">
        <f aca="false">IF(ISBLANK($C32),"",IF(ISNUMBER($I32),IF($I32&gt;=0,$I32,""),""))</f>
        <v/>
      </c>
      <c r="AO32" s="100" t="str">
        <f aca="false">IF(ISBLANK($C32),"",IF(ISNUMBER($J32),IF($J32&gt;=0,$J32,""),""))</f>
        <v/>
      </c>
      <c r="AP32" s="100" t="str">
        <f aca="false">IF(ISBLANK($C32),"",IF(ISNUMBER($K32),IF($K32&gt;=0,$K32,""),""))</f>
        <v/>
      </c>
      <c r="AQ32" s="100" t="str">
        <f aca="false">IF(ISBLANK($C32),"",IF($L32=Constants!$B$2,TRUE(),IF($L32=Constants!$B$3,FALSE(),TRUE())))</f>
        <v/>
      </c>
      <c r="AR32" s="100" t="str">
        <f aca="false">IF(ISBLANK($C32),"",IF($M32=Constants!$B$2,TRUE(),IF($M32=Constants!$B$3,FALSE(),TRUE())))</f>
        <v/>
      </c>
      <c r="AS32" s="100" t="str">
        <f aca="false">IF(ISBLANK($C32),"",IF($N32=Constants!$B$2,TRUE(),IF($N32=Constants!$B$3,FALSE(),FALSE())))</f>
        <v/>
      </c>
      <c r="AT32" s="100" t="str">
        <f aca="false">IF(ISBLANK($C32),"",IF($O32=Constants!$B$2,TRUE(),IF($O32=Constants!$B$3,FALSE(),TRUE())))</f>
        <v/>
      </c>
      <c r="AU32" s="100" t="str">
        <f aca="false">IF(ISBLANK($C32),"",IF($P32=Constants!$B$2,TRUE(),IF($P32=Constants!$B$3,FALSE(),TRUE())))</f>
        <v/>
      </c>
      <c r="AV32" s="100" t="str">
        <f aca="false">IF(ISBLANK($C32),"",IF($Q32=Constants!$B$2,TRUE(),IF($Q32=Constants!$B$3,FALSE(),FALSE())))</f>
        <v/>
      </c>
      <c r="AW32" s="100" t="str">
        <f aca="false">IF(ISBLANK($C32),"",IF($R32=Constants!$B$2,TRUE(),IF($R32=Constants!$B$3,FALSE(),FALSE())))</f>
        <v/>
      </c>
      <c r="AX32" s="100" t="str">
        <f aca="false">IF(ISBLANK($C32),"",IF($S32=Constants!$B$2,TRUE(),IF($S32=Constants!$B$3,FALSE(),FALSE())))</f>
        <v/>
      </c>
      <c r="AY32" s="100" t="str">
        <f aca="false">IF(ISBLANK($C32),"",IF($T32=Constants!$B$2,TRUE(),IF($T32=Constants!$B$3,FALSE(),FALSE())))</f>
        <v/>
      </c>
      <c r="AZ32" s="100" t="str">
        <f aca="false">IF(ISBLANK($C32),"",IF($U32=Constants!$B$2,TRUE(),IF($U32=Constants!$B$3,FALSE(),FALSE())))</f>
        <v/>
      </c>
      <c r="BA32" s="100" t="str">
        <f aca="false">IF(ISBLANK($C32),"",IF(OR($V32&amp;""="1",$V32&amp;""="2",$V32&amp;""="3",$V32&amp;""="4"),VALUE($V32&amp;""),IF($V32=Constants!$B$12,Constants!$B$12,"")))</f>
        <v/>
      </c>
      <c r="BB32" s="100" t="str">
        <f aca="false">IF(ISBLANK($C32),"",IF(ISBLANK($W32),0,IF(ISNUMBER($W32),IF(AND($W32&gt;=0,$W32&lt;=Constants!$B$21,$W32=INT($W32)),$W32,""),"")))</f>
        <v/>
      </c>
      <c r="BC32" s="100" t="str">
        <f aca="false">IF(ISBLANK($C32),"",IF(ISBLANK($X32),0,IF(ISNUMBER($X32),IF($X32&gt;=0,$X32,""),"")))</f>
        <v/>
      </c>
      <c r="BD32" s="100" t="str">
        <f aca="false">IF(ISBLANK($C32),"",IF($Y32=Constants!$B$2,TRUE(),IF($Y32=Constants!$B$3,FALSE(),TRUE())))</f>
        <v/>
      </c>
      <c r="BE32" s="100" t="str">
        <f aca="false">IF(ISBLANK($C32),"",IF($Z32=Constants!$B$2,TRUE(),IF($Z32=Constants!$B$3,FALSE(),FALSE())))</f>
        <v/>
      </c>
      <c r="BF32" s="100" t="str">
        <f aca="false">IF(ISBLANK($C32),"",IF(ISBLANK($AA32),0,IF(ISNUMBER($AA32),IF(AND($AA32&gt;=0,$AA32&lt;=Constants!$B$35,$AA32=INT($AA32)),$AA32,""),"")))</f>
        <v/>
      </c>
      <c r="BG32" s="100" t="str">
        <f aca="false">IF(ISBLANK($C32),"",IF($AB32=Constants!$B$2,TRUE(),IF($AB32=Constants!$B$3,FALSE(),TRUE())))</f>
        <v/>
      </c>
      <c r="BH32" s="100" t="str">
        <f aca="false">IF(ISBLANK($C32),"",IF($AC32=Constants!$B$2,TRUE(),IF($AC32=Constants!$B$3,FALSE(),TRUE())))</f>
        <v/>
      </c>
      <c r="BI32" s="100" t="str">
        <f aca="false">IF(ISBLANK($C32),"",IF($AD32=Constants!$B$2,TRUE(),IF($AD32=Constants!$B$3,FALSE(),TRUE())))</f>
        <v/>
      </c>
      <c r="BJ32" s="100" t="str">
        <f aca="false">IF(ISBLANK($C32),"",IF(ISNUMBER($AE32),IF($AE32&gt;=0,$AE32,""),""))</f>
        <v/>
      </c>
      <c r="BK32" s="100" t="str">
        <f aca="false">IF(ISBLANK($C32),"",IF($AF32=Constants!$B$2,TRUE(),IF($AF32=Constants!$B$3,FALSE(),FALSE())))</f>
        <v/>
      </c>
      <c r="BL32" s="99" t="str">
        <f aca="false">IF(ISBLANK($C32),"",IF($BK32,Constants!$B$7,IF(COUNTA($E32:$AE32)=0,Constants!$B$6,IF(OR(COUNTA($G32:$AE32)=0,NOT($AM32),$AS32),Constants!$B$5,IF(OR($CM32&lt;&gt;"",$CN32,$CO32,$CP32,$CQ32,$CR32,$CS32),Constants!$B$8,Constants!$B$4)))))</f>
        <v/>
      </c>
      <c r="BM32" s="100" t="str">
        <f aca="false">IF(ISBLANK($C32),"",IF($BL32&lt;&gt;Constants!$B$4,$BL32,IF(OR(NOT($AJ32),NOT($AL32),NOT($AT32)),Constants!$B$11,IF(OR(NOT($AR32),NOT($AU32),NOT($BI32),MAX($AN32,$AO32,$AP32)&gt;Constants!$B$30),Constants!$B$10,Constants!$B$9))))</f>
        <v/>
      </c>
      <c r="BN32" s="100" t="str">
        <f aca="false">IF($BL32&lt;&gt;Constants!$B$4,"",IF(NOT($AL32),0,MIN(Constants!$B$35,$BF32)))</f>
        <v/>
      </c>
      <c r="BO32" s="100" t="str">
        <f aca="false">IF($BL32&lt;&gt;Constants!$B$4,"",IF(NOT($AL32),0,IF($AW32,Constants!$B$18,IF($AV32,Constants!$B$17,0))))</f>
        <v/>
      </c>
      <c r="BP32" s="100" t="str">
        <f aca="false">IF($BL32&lt;&gt;Constants!$B$4,"",IF(NOT($AL32),0,Constants!$B$19*($AK32+$AX32+$AY32+$AZ32)))</f>
        <v/>
      </c>
      <c r="BQ32" s="100" t="str">
        <f aca="false">IF($BL32&lt;&gt;Constants!$B$4,"",IF(OR(NOT($AL32),NOT(ISNUMBER($BA32))),0,CHOOSE($BA32,Constants!$B$13,Constants!$B$14,Constants!$B$15,Constants!$B$16)))</f>
        <v/>
      </c>
      <c r="BR32" s="100" t="str">
        <f aca="false">IF($BL32&lt;&gt;Constants!$B$4,"",IF(NOT($AL32),0,Constants!$B$20*$BB32))</f>
        <v/>
      </c>
      <c r="BS32" s="100" t="str">
        <f aca="false">IF($BL32&lt;&gt;Constants!$B$4,"",IF(AND($AL32,$BD32,$BE32),Constants!$B$22,0))</f>
        <v/>
      </c>
      <c r="BT32" s="100" t="str">
        <f aca="false">IF($BL32&lt;&gt;Constants!$B$4,"",IF(OR(NOT($AL32),NOT($BD32)),0,IF($BJ32&gt;=2*$AH$9,0,Constants!$B$23*INT(ROUND(MIN($BJ32,$AH$9),6)))))</f>
        <v/>
      </c>
      <c r="BU32" s="100" t="str">
        <f aca="false">IF($BL32&lt;&gt;Constants!$B$4,"",IF(NOT($AL32),0,Constants!$B$24*INT(ROUND(MIN($BC32,$AH$9),6))))</f>
        <v/>
      </c>
      <c r="BV32" s="100" t="str">
        <f aca="false">IF($BL32&lt;&gt;Constants!$B$4,"",IF(AND($AL32,$BN32=0),Constants!$B$25,0))</f>
        <v/>
      </c>
      <c r="BW32" s="100" t="str">
        <f aca="false">IF($BL32&lt;&gt;Constants!$B$4,"",MIN(Constants!$B$29,MAX(0,Constants!$B$27*Constants!$B$28*INT(ROUND((Constants!$B$26-$AN32)/Constants!$B$28,6))))+MIN(Constants!$B$29,MAX(0,Constants!$B$27*Constants!$B$28*INT(ROUND((Constants!$B$26-$AO32)/Constants!$B$28,6))))+MIN(Constants!$B$29,MAX(0,Constants!$B$27*Constants!$B$28*INT(ROUND((Constants!$B$26-$AP32)/Constants!$B$28,6)))))</f>
        <v/>
      </c>
      <c r="BX32" s="100" t="str">
        <f aca="false">IF($BL32&lt;&gt;Constants!$B$4,"",IF(NOT($AL32),0,Constants!$B$31*INT(ROUND(MAX(0,MIN($BJ32,2*$AH$9)-$AH$9),6))))</f>
        <v/>
      </c>
      <c r="BY32" s="100" t="str">
        <f aca="false">IF($BL32&lt;&gt;Constants!$B$4,"",Constants!$B$32*(($AN32&gt;Constants!$B$26)+($AO32&gt;Constants!$B$26)+($AP32&gt;Constants!$B$26)))</f>
        <v/>
      </c>
      <c r="BZ32" s="100" t="str">
        <f aca="false">IF($BL32&lt;&gt;Constants!$B$4,"",IF(OR(NOT($AL32),$AQ32),0,Constants!$B$33))</f>
        <v/>
      </c>
      <c r="CA32" s="100" t="str">
        <f aca="false">IF($BL32&lt;&gt;Constants!$B$4,"",Constants!$B$34*$BN32)</f>
        <v/>
      </c>
      <c r="CB32" s="100" t="str">
        <f aca="false">IF($BL32&lt;&gt;Constants!$B$4,"",IF(OR(NOT($AL32),$BH32),0,Constants!$B$36))</f>
        <v/>
      </c>
      <c r="CC32" s="100" t="str">
        <f aca="false">IF($BL32&lt;&gt;Constants!$B$4,"",IF(OR(NOT($AL32),$BG32),0,Constants!$B$37))</f>
        <v/>
      </c>
      <c r="CD32" s="100" t="str">
        <f aca="false">IF($BL32&lt;&gt;Constants!$B$4,"",SUM($BX32:$CC32))</f>
        <v/>
      </c>
      <c r="CE32" s="100" t="str">
        <f aca="false">IF(ISBLANK($C32),"",IF($BL32&lt;&gt;Constants!$B$4,$BL32,SUM($BO32:$BW32)-$CD32))</f>
        <v/>
      </c>
      <c r="CF32" s="100" t="str">
        <f aca="false">IF(ISBLANK($C32),"",IF($BL32&lt;&gt;Constants!$B$4,$BL32,RANK($CE32,$CE$9:$CE$508)))</f>
        <v/>
      </c>
      <c r="CG32" s="100" t="str">
        <f aca="false">IF(ISBLANK($C32),"",IF($BL32&lt;&gt;Constants!$B$4,$BL32,COUNTIFS($BM$9:$BM$508,"&lt;"&amp;$BM32)+COUNTIFS($BM$9:$BM$508,$BM32,$CF$9:$CF$508,"&lt;"&amp;$CF32)+1))</f>
        <v/>
      </c>
      <c r="CH32" s="100" t="str">
        <f aca="false">IF(ISBLANK($C32),"",IF($BL32&lt;&gt;Constants!$B$4,$BL32,RANK($CD32,$CD$9:$CD$508,1)))</f>
        <v/>
      </c>
      <c r="CI32" s="100" t="str">
        <f aca="false">IF($BL32&lt;&gt;Constants!$B$4,"",$AN32+$AO32+$AP32)</f>
        <v/>
      </c>
      <c r="CJ32" s="100" t="str">
        <f aca="false">IF(ISBLANK($C32),"",IF($BL32&lt;&gt;Constants!$B$4,$BL32,RANK($CI32,$CI$9:$CI$508,1)))</f>
        <v/>
      </c>
      <c r="CK32" s="100" t="str">
        <f aca="false">IF(ISBLANK($C32),"",IF($BL32&lt;&gt;Constants!$B$4,$BL32,COUNTIFS($BM$9:$BM$508,"&lt;"&amp;$BM32)+COUNTIFS($BM$9:$BM$508,$BM32,$CF$9:$CF$508,"&lt;"&amp;$CF32)+COUNTIFS($BM$9:$BM$508,$BM32,$CF$9:$CF$508,$CF32,$CH$9:$CH$508,"&lt;"&amp;$CH32)+COUNTIFS($BM$9:$BM$508,$BM32,$CF$9:$CF$508,$CF32,$CH$9:$CH$508,$CH32,$CJ$9:$CJ$508,"&lt;"&amp;$CJ32)+1))</f>
        <v/>
      </c>
      <c r="CL32" s="100" t="str">
        <f aca="false">IF(ISBLANK($C32),"",IF($BL32&lt;&gt;Constants!$B$4,$BL32,$CG32-$CK32))</f>
        <v/>
      </c>
      <c r="CM32" s="100" t="str">
        <f aca="false">IF(ISBLANK($C32),"",IF(NOT($AL32),"",IF(ISBLANK($D$7),$CM$5,IF(NOT(ISNUMBER($D$7)),$CM$6,""))))</f>
        <v/>
      </c>
      <c r="CN32" s="100" t="str">
        <f aca="false">IF(ISBLANK($C32),"",OR($AN32="",$AO32="",$AP32=""))</f>
        <v/>
      </c>
      <c r="CO32" s="100" t="str">
        <f aca="false">IF(ISBLANK($C32),"",AND($AL32,$BA32=""))</f>
        <v/>
      </c>
      <c r="CP32" s="100" t="str">
        <f aca="false">IF(ISBLANK($C32),"",AND($AL32,$BB32=""))</f>
        <v/>
      </c>
      <c r="CQ32" s="100" t="str">
        <f aca="false">IF(ISBLANK($C32),"",AND($AL32,$BC32=""))</f>
        <v/>
      </c>
      <c r="CR32" s="100" t="str">
        <f aca="false">IF(ISBLANK($C32),"",AND($AL32,$BF32=""))</f>
        <v/>
      </c>
      <c r="CS32" s="100" t="str">
        <f aca="false">IF(ISBLANK($C32),"",AND($AL32,$BJ32=""))</f>
        <v/>
      </c>
      <c r="CT32" s="101"/>
      <c r="CU32" s="102"/>
      <c r="CV32" s="103" t="str">
        <f aca="false">IF(ISBLANK($C32),"",IF($BL32=Constants!$B$8,$CM32,""))</f>
        <v/>
      </c>
      <c r="CW32" s="102" t="str">
        <f aca="false">IF(ISBLANK($C32),"",IF($BL32&lt;&gt;Constants!$B$4,"",$BO32+$BP32))</f>
        <v/>
      </c>
      <c r="CX32" s="104" t="str">
        <f aca="false">IF(ISBLANK($C32),"",IF($BL32&lt;&gt;Constants!$B$4,"",$BQ32+$BR32+$BS32))</f>
        <v/>
      </c>
      <c r="CY32" s="104" t="str">
        <f aca="false">IF(ISBLANK($C32),"",IF($BL32&lt;&gt;Constants!$B$4,"",$BT32))</f>
        <v/>
      </c>
      <c r="CZ32" s="104" t="str">
        <f aca="false">IF(ISBLANK($C32),"",IF($BL32&lt;&gt;Constants!$B$4,"",$BU32+$BV32))</f>
        <v/>
      </c>
      <c r="DA32" s="104" t="str">
        <f aca="false">IF(ISBLANK($C32),"",IF($BL32&lt;&gt;Constants!$B$4,"",$BW32))</f>
        <v/>
      </c>
      <c r="DB32" s="104" t="str">
        <f aca="false">IF(ISBLANK($C32),"",IF($BL32&lt;&gt;Constants!$B$4,"",-$CD32))</f>
        <v/>
      </c>
      <c r="DC32" s="103" t="str">
        <f aca="false">IF(ISBLANK($C32),"",$CE32)</f>
        <v/>
      </c>
      <c r="DD32" s="105" t="str">
        <f aca="false">IF(ISBLANK($C32),"",$BM32)</f>
        <v/>
      </c>
      <c r="DE32" s="104" t="str">
        <f aca="false">IF(ISBLANK($C32),"",$CL32)</f>
        <v/>
      </c>
      <c r="DF32" s="104" t="str">
        <f aca="false">IF(ISBLANK($C32),"",$CK32)</f>
        <v/>
      </c>
      <c r="DG32" s="106" t="str">
        <f aca="false">IF(ISBLANK($C32),"",IF($DF32=Constants!$B$7,COUNTA($C$9:$C$508)+2,IF($DF32=Constants!$B$6,COUNTA($C$9:$C$508)+1,IF($DF32=Constants!$B$5,COUNTA($C$9:$C$508),$DF32))))</f>
        <v/>
      </c>
      <c r="DH32" s="7"/>
      <c r="DI32" s="107" t="n">
        <f aca="false">IF(OR(ISNUMBER($DF32),$DF32=Constants!$B$7,$DF32=Constants!$B$5,$DF32=Constants!$B$6),1,0)</f>
        <v>0</v>
      </c>
      <c r="DJ32" s="107" t="n">
        <v>24</v>
      </c>
      <c r="DK32" s="107" t="str">
        <f aca="false">IF(ISBLANK($C32),"",IF(ISNUMBER($DG32),$DG32+ROW($B32)/1000,""))</f>
        <v/>
      </c>
      <c r="DL32" s="107" t="str">
        <f aca="false">IF(ISNUMBER($DK32),RANK($DK32,$DK$9:$DK$508,1),"")</f>
        <v/>
      </c>
      <c r="DM32" s="107" t="str">
        <f aca="false">IF(ISBLANK($C32),"",$B32)</f>
        <v/>
      </c>
      <c r="DN32" s="107" t="str">
        <f aca="false">IF(ISBLANK($C32),"",$C32)</f>
        <v/>
      </c>
      <c r="DO32" s="107" t="str">
        <f aca="false">IF(ISBLANK($C32),"",$D32)</f>
        <v/>
      </c>
      <c r="DP32" s="108" t="str">
        <f aca="false">$DD32</f>
        <v/>
      </c>
      <c r="DQ32" s="109" t="str">
        <f aca="false">$DC32</f>
        <v/>
      </c>
      <c r="DR32" s="107" t="str">
        <f aca="false">IF(ISBLANK($C32),"",$DF32)</f>
        <v/>
      </c>
      <c r="DS32" s="110" t="str">
        <f aca="false">IF($DJ32&gt;$DI$8,"",VLOOKUP($DJ32,$DL$9:$DR$508,7,FALSE()))</f>
        <v/>
      </c>
      <c r="DT32" s="111" t="str">
        <f aca="false">IF($DJ32&gt;$DI$8,"",VLOOKUP($DJ32,$DL$9:$DR$508,2,FALSE()))</f>
        <v/>
      </c>
      <c r="DU32" s="111" t="str">
        <f aca="false">IF($DJ32&gt;$DI$8,"",VLOOKUP($DJ32,$DL$9:$DR$508,3,FALSE()))</f>
        <v/>
      </c>
      <c r="DV32" s="111" t="str">
        <f aca="false">IF($DJ32&gt;$DI$8,"",VLOOKUP($DJ32,$DL$9:$DR$508,4,FALSE()))</f>
        <v/>
      </c>
      <c r="DW32" s="111" t="str">
        <f aca="false">IF($DJ32&gt;$DI$8,"",VLOOKUP($DJ32,$DL$9:$DR$508,5,FALSE()))</f>
        <v/>
      </c>
      <c r="DX32" s="112" t="str">
        <f aca="false">IF($DJ32&gt;$DI$8,"",VLOOKUP($DJ32,$DL$9:$DR$508,6,FALSE()))</f>
        <v/>
      </c>
      <c r="DY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124"/>
      <c r="N33" s="124"/>
      <c r="O33" s="125"/>
      <c r="P33" s="125"/>
      <c r="Q33" s="124"/>
      <c r="R33" s="124"/>
      <c r="S33" s="124"/>
      <c r="T33" s="124"/>
      <c r="U33" s="125"/>
      <c r="V33" s="124"/>
      <c r="W33" s="70"/>
      <c r="X33" s="124"/>
      <c r="Y33" s="124"/>
      <c r="Z33" s="70"/>
      <c r="AA33" s="70"/>
      <c r="AB33" s="124"/>
      <c r="AC33" s="124"/>
      <c r="AD33" s="124"/>
      <c r="AE33" s="71"/>
      <c r="AF33" s="88"/>
      <c r="AG33" s="73"/>
      <c r="AH33" s="74"/>
      <c r="AI33" s="74"/>
      <c r="AJ33" s="74" t="str">
        <f aca="false">IF(ISBLANK($C33),"",IF($E33=Constants!$B$2,TRUE(),IF($E33=Constants!$B$3,FALSE(),TRUE())))</f>
        <v/>
      </c>
      <c r="AK33" s="74" t="str">
        <f aca="false">IF(ISBLANK($C33),"",IF($F33=Constants!$B$2,TRUE(),IF($F33=Constants!$B$3,FALSE(),FALSE())))</f>
        <v/>
      </c>
      <c r="AL33" s="74" t="str">
        <f aca="false">IF(ISBLANK($C33),"",IF($G33=Constants!$B$2,TRUE(),IF($G33=Constants!$B$3,FALSE(),TRUE())))</f>
        <v/>
      </c>
      <c r="AM33" s="74" t="str">
        <f aca="false">IF(ISBLANK($C33),"",IF($H33=Constants!$B$2,TRUE(),IF($H33=Constants!$B$3,FALSE(),TRUE())))</f>
        <v/>
      </c>
      <c r="AN33" s="74" t="str">
        <f aca="false">IF(ISBLANK($C33),"",IF(ISNUMBER($I33),IF($I33&gt;=0,$I33,""),""))</f>
        <v/>
      </c>
      <c r="AO33" s="74" t="str">
        <f aca="false">IF(ISBLANK($C33),"",IF(ISNUMBER($J33),IF($J33&gt;=0,$J33,""),""))</f>
        <v/>
      </c>
      <c r="AP33" s="74" t="str">
        <f aca="false">IF(ISBLANK($C33),"",IF(ISNUMBER($K33),IF($K33&gt;=0,$K33,""),""))</f>
        <v/>
      </c>
      <c r="AQ33" s="74" t="str">
        <f aca="false">IF(ISBLANK($C33),"",IF($L33=Constants!$B$2,TRUE(),IF($L33=Constants!$B$3,FALSE(),TRUE())))</f>
        <v/>
      </c>
      <c r="AR33" s="74" t="str">
        <f aca="false">IF(ISBLANK($C33),"",IF($M33=Constants!$B$2,TRUE(),IF($M33=Constants!$B$3,FALSE(),TRUE())))</f>
        <v/>
      </c>
      <c r="AS33" s="74" t="str">
        <f aca="false">IF(ISBLANK($C33),"",IF($N33=Constants!$B$2,TRUE(),IF($N33=Constants!$B$3,FALSE(),FALSE())))</f>
        <v/>
      </c>
      <c r="AT33" s="74" t="str">
        <f aca="false">IF(ISBLANK($C33),"",IF($O33=Constants!$B$2,TRUE(),IF($O33=Constants!$B$3,FALSE(),TRUE())))</f>
        <v/>
      </c>
      <c r="AU33" s="74" t="str">
        <f aca="false">IF(ISBLANK($C33),"",IF($P33=Constants!$B$2,TRUE(),IF($P33=Constants!$B$3,FALSE(),TRUE())))</f>
        <v/>
      </c>
      <c r="AV33" s="74" t="str">
        <f aca="false">IF(ISBLANK($C33),"",IF($Q33=Constants!$B$2,TRUE(),IF($Q33=Constants!$B$3,FALSE(),FALSE())))</f>
        <v/>
      </c>
      <c r="AW33" s="74" t="str">
        <f aca="false">IF(ISBLANK($C33),"",IF($R33=Constants!$B$2,TRUE(),IF($R33=Constants!$B$3,FALSE(),FALSE())))</f>
        <v/>
      </c>
      <c r="AX33" s="74" t="str">
        <f aca="false">IF(ISBLANK($C33),"",IF($S33=Constants!$B$2,TRUE(),IF($S33=Constants!$B$3,FALSE(),FALSE())))</f>
        <v/>
      </c>
      <c r="AY33" s="74" t="str">
        <f aca="false">IF(ISBLANK($C33),"",IF($T33=Constants!$B$2,TRUE(),IF($T33=Constants!$B$3,FALSE(),FALSE())))</f>
        <v/>
      </c>
      <c r="AZ33" s="74" t="str">
        <f aca="false">IF(ISBLANK($C33),"",IF($U33=Constants!$B$2,TRUE(),IF($U33=Constants!$B$3,FALSE(),FALSE())))</f>
        <v/>
      </c>
      <c r="BA33" s="74" t="str">
        <f aca="false">IF(ISBLANK($C33),"",IF(OR($V33&amp;""="1",$V33&amp;""="2",$V33&amp;""="3",$V33&amp;""="4"),VALUE($V33&amp;""),IF($V33=Constants!$B$12,Constants!$B$12,"")))</f>
        <v/>
      </c>
      <c r="BB33" s="74" t="str">
        <f aca="false">IF(ISBLANK($C33),"",IF(ISBLANK($W33),0,IF(ISNUMBER($W33),IF(AND($W33&gt;=0,$W33&lt;=Constants!$B$21,$W33=INT($W33)),$W33,""),"")))</f>
        <v/>
      </c>
      <c r="BC33" s="74" t="str">
        <f aca="false">IF(ISBLANK($C33),"",IF(ISBLANK($X33),0,IF(ISNUMBER($X33),IF($X33&gt;=0,$X33,""),"")))</f>
        <v/>
      </c>
      <c r="BD33" s="74" t="str">
        <f aca="false">IF(ISBLANK($C33),"",IF($Y33=Constants!$B$2,TRUE(),IF($Y33=Constants!$B$3,FALSE(),TRUE())))</f>
        <v/>
      </c>
      <c r="BE33" s="74" t="str">
        <f aca="false">IF(ISBLANK($C33),"",IF($Z33=Constants!$B$2,TRUE(),IF($Z33=Constants!$B$3,FALSE(),FALSE())))</f>
        <v/>
      </c>
      <c r="BF33" s="74" t="str">
        <f aca="false">IF(ISBLANK($C33),"",IF(ISBLANK($AA33),0,IF(ISNUMBER($AA33),IF(AND($AA33&gt;=0,$AA33&lt;=Constants!$B$35,$AA33=INT($AA33)),$AA33,""),"")))</f>
        <v/>
      </c>
      <c r="BG33" s="74" t="str">
        <f aca="false">IF(ISBLANK($C33),"",IF($AB33=Constants!$B$2,TRUE(),IF($AB33=Constants!$B$3,FALSE(),TRUE())))</f>
        <v/>
      </c>
      <c r="BH33" s="74" t="str">
        <f aca="false">IF(ISBLANK($C33),"",IF($AC33=Constants!$B$2,TRUE(),IF($AC33=Constants!$B$3,FALSE(),TRUE())))</f>
        <v/>
      </c>
      <c r="BI33" s="74" t="str">
        <f aca="false">IF(ISBLANK($C33),"",IF($AD33=Constants!$B$2,TRUE(),IF($AD33=Constants!$B$3,FALSE(),TRUE())))</f>
        <v/>
      </c>
      <c r="BJ33" s="74" t="str">
        <f aca="false">IF(ISBLANK($C33),"",IF(ISNUMBER($AE33),IF($AE33&gt;=0,$AE33,""),""))</f>
        <v/>
      </c>
      <c r="BK33" s="74" t="str">
        <f aca="false">IF(ISBLANK($C33),"",IF($AF33=Constants!$B$2,TRUE(),IF($AF33=Constants!$B$3,FALSE(),FALSE())))</f>
        <v/>
      </c>
      <c r="BL33" s="73" t="str">
        <f aca="false">IF(ISBLANK($C33),"",IF($BK33,Constants!$B$7,IF(COUNTA($E33:$AE33)=0,Constants!$B$6,IF(OR(COUNTA($G33:$AE33)=0,NOT($AM33),$AS33),Constants!$B$5,IF(OR($CM33&lt;&gt;"",$CN33,$CO33,$CP33,$CQ33,$CR33,$CS33),Constants!$B$8,Constants!$B$4)))))</f>
        <v/>
      </c>
      <c r="BM33" s="74" t="str">
        <f aca="false">IF(ISBLANK($C33),"",IF($BL33&lt;&gt;Constants!$B$4,$BL33,IF(OR(NOT($AJ33),NOT($AL33),NOT($AT33)),Constants!$B$11,IF(OR(NOT($AR33),NOT($AU33),NOT($BI33),MAX($AN33,$AO33,$AP33)&gt;Constants!$B$30),Constants!$B$10,Constants!$B$9))))</f>
        <v/>
      </c>
      <c r="BN33" s="74" t="str">
        <f aca="false">IF($BL33&lt;&gt;Constants!$B$4,"",IF(NOT($AL33),0,MIN(Constants!$B$35,$BF33)))</f>
        <v/>
      </c>
      <c r="BO33" s="74" t="str">
        <f aca="false">IF($BL33&lt;&gt;Constants!$B$4,"",IF(NOT($AL33),0,IF($AW33,Constants!$B$18,IF($AV33,Constants!$B$17,0))))</f>
        <v/>
      </c>
      <c r="BP33" s="74" t="str">
        <f aca="false">IF($BL33&lt;&gt;Constants!$B$4,"",IF(NOT($AL33),0,Constants!$B$19*($AK33+$AX33+$AY33+$AZ33)))</f>
        <v/>
      </c>
      <c r="BQ33" s="74" t="str">
        <f aca="false">IF($BL33&lt;&gt;Constants!$B$4,"",IF(OR(NOT($AL33),NOT(ISNUMBER($BA33))),0,CHOOSE($BA33,Constants!$B$13,Constants!$B$14,Constants!$B$15,Constants!$B$16)))</f>
        <v/>
      </c>
      <c r="BR33" s="74" t="str">
        <f aca="false">IF($BL33&lt;&gt;Constants!$B$4,"",IF(NOT($AL33),0,Constants!$B$20*$BB33))</f>
        <v/>
      </c>
      <c r="BS33" s="74" t="str">
        <f aca="false">IF($BL33&lt;&gt;Constants!$B$4,"",IF(AND($AL33,$BD33,$BE33),Constants!$B$22,0))</f>
        <v/>
      </c>
      <c r="BT33" s="74" t="str">
        <f aca="false">IF($BL33&lt;&gt;Constants!$B$4,"",IF(OR(NOT($AL33),NOT($BD33)),0,IF($BJ33&gt;=2*$AH$9,0,Constants!$B$23*INT(ROUND(MIN($BJ33,$AH$9),6)))))</f>
        <v/>
      </c>
      <c r="BU33" s="74" t="str">
        <f aca="false">IF($BL33&lt;&gt;Constants!$B$4,"",IF(NOT($AL33),0,Constants!$B$24*INT(ROUND(MIN($BC33,$AH$9),6))))</f>
        <v/>
      </c>
      <c r="BV33" s="74" t="str">
        <f aca="false">IF($BL33&lt;&gt;Constants!$B$4,"",IF(AND($AL33,$BN33=0),Constants!$B$25,0))</f>
        <v/>
      </c>
      <c r="BW33" s="74" t="str">
        <f aca="false">IF($BL33&lt;&gt;Constants!$B$4,"",MIN(Constants!$B$29,MAX(0,Constants!$B$27*Constants!$B$28*INT(ROUND((Constants!$B$26-$AN33)/Constants!$B$28,6))))+MIN(Constants!$B$29,MAX(0,Constants!$B$27*Constants!$B$28*INT(ROUND((Constants!$B$26-$AO33)/Constants!$B$28,6))))+MIN(Constants!$B$29,MAX(0,Constants!$B$27*Constants!$B$28*INT(ROUND((Constants!$B$26-$AP33)/Constants!$B$28,6)))))</f>
        <v/>
      </c>
      <c r="BX33" s="74" t="str">
        <f aca="false">IF($BL33&lt;&gt;Constants!$B$4,"",IF(NOT($AL33),0,Constants!$B$31*INT(ROUND(MAX(0,MIN($BJ33,2*$AH$9)-$AH$9),6))))</f>
        <v/>
      </c>
      <c r="BY33" s="74" t="str">
        <f aca="false">IF($BL33&lt;&gt;Constants!$B$4,"",Constants!$B$32*(($AN33&gt;Constants!$B$26)+($AO33&gt;Constants!$B$26)+($AP33&gt;Constants!$B$26)))</f>
        <v/>
      </c>
      <c r="BZ33" s="74" t="str">
        <f aca="false">IF($BL33&lt;&gt;Constants!$B$4,"",IF(OR(NOT($AL33),$AQ33),0,Constants!$B$33))</f>
        <v/>
      </c>
      <c r="CA33" s="74" t="str">
        <f aca="false">IF($BL33&lt;&gt;Constants!$B$4,"",Constants!$B$34*$BN33)</f>
        <v/>
      </c>
      <c r="CB33" s="74" t="str">
        <f aca="false">IF($BL33&lt;&gt;Constants!$B$4,"",IF(OR(NOT($AL33),$BH33),0,Constants!$B$36))</f>
        <v/>
      </c>
      <c r="CC33" s="74" t="str">
        <f aca="false">IF($BL33&lt;&gt;Constants!$B$4,"",IF(OR(NOT($AL33),$BG33),0,Constants!$B$37))</f>
        <v/>
      </c>
      <c r="CD33" s="74" t="str">
        <f aca="false">IF($BL33&lt;&gt;Constants!$B$4,"",SUM($BX33:$CC33))</f>
        <v/>
      </c>
      <c r="CE33" s="74" t="str">
        <f aca="false">IF(ISBLANK($C33),"",IF($BL33&lt;&gt;Constants!$B$4,$BL33,SUM($BO33:$BW33)-$CD33))</f>
        <v/>
      </c>
      <c r="CF33" s="74" t="str">
        <f aca="false">IF(ISBLANK($C33),"",IF($BL33&lt;&gt;Constants!$B$4,$BL33,RANK($CE33,$CE$9:$CE$508)))</f>
        <v/>
      </c>
      <c r="CG33" s="74" t="str">
        <f aca="false">IF(ISBLANK($C33),"",IF($BL33&lt;&gt;Constants!$B$4,$BL33,COUNTIFS($BM$9:$BM$508,"&lt;"&amp;$BM33)+COUNTIFS($BM$9:$BM$508,$BM33,$CF$9:$CF$508,"&lt;"&amp;$CF33)+1))</f>
        <v/>
      </c>
      <c r="CH33" s="74" t="str">
        <f aca="false">IF(ISBLANK($C33),"",IF($BL33&lt;&gt;Constants!$B$4,$BL33,RANK($CD33,$CD$9:$CD$508,1)))</f>
        <v/>
      </c>
      <c r="CI33" s="74" t="str">
        <f aca="false">IF($BL33&lt;&gt;Constants!$B$4,"",$AN33+$AO33+$AP33)</f>
        <v/>
      </c>
      <c r="CJ33" s="74" t="str">
        <f aca="false">IF(ISBLANK($C33),"",IF($BL33&lt;&gt;Constants!$B$4,$BL33,RANK($CI33,$CI$9:$CI$508,1)))</f>
        <v/>
      </c>
      <c r="CK33" s="74" t="str">
        <f aca="false">IF(ISBLANK($C33),"",IF($BL33&lt;&gt;Constants!$B$4,$BL33,COUNTIFS($BM$9:$BM$508,"&lt;"&amp;$BM33)+COUNTIFS($BM$9:$BM$508,$BM33,$CF$9:$CF$508,"&lt;"&amp;$CF33)+COUNTIFS($BM$9:$BM$508,$BM33,$CF$9:$CF$508,$CF33,$CH$9:$CH$508,"&lt;"&amp;$CH33)+COUNTIFS($BM$9:$BM$508,$BM33,$CF$9:$CF$508,$CF33,$CH$9:$CH$508,$CH33,$CJ$9:$CJ$508,"&lt;"&amp;$CJ33)+1))</f>
        <v/>
      </c>
      <c r="CL33" s="74" t="str">
        <f aca="false">IF(ISBLANK($C33),"",IF($BL33&lt;&gt;Constants!$B$4,$BL33,$CG33-$CK33))</f>
        <v/>
      </c>
      <c r="CM33" s="74" t="str">
        <f aca="false">IF(ISBLANK($C33),"",IF(NOT($AL33),"",IF(ISBLANK($D$7),$CM$5,IF(NOT(ISNUMBER($D$7)),$CM$6,""))))</f>
        <v/>
      </c>
      <c r="CN33" s="74" t="str">
        <f aca="false">IF(ISBLANK($C33),"",OR($AN33="",$AO33="",$AP33=""))</f>
        <v/>
      </c>
      <c r="CO33" s="74" t="str">
        <f aca="false">IF(ISBLANK($C33),"",AND($AL33,$BA33=""))</f>
        <v/>
      </c>
      <c r="CP33" s="74" t="str">
        <f aca="false">IF(ISBLANK($C33),"",AND($AL33,$BB33=""))</f>
        <v/>
      </c>
      <c r="CQ33" s="74" t="str">
        <f aca="false">IF(ISBLANK($C33),"",AND($AL33,$BC33=""))</f>
        <v/>
      </c>
      <c r="CR33" s="74" t="str">
        <f aca="false">IF(ISBLANK($C33),"",AND($AL33,$BF33=""))</f>
        <v/>
      </c>
      <c r="CS33" s="74" t="str">
        <f aca="false">IF(ISBLANK($C33),"",AND($AL33,$BJ33=""))</f>
        <v/>
      </c>
      <c r="CT33" s="75"/>
      <c r="CU33" s="76"/>
      <c r="CV33" s="79" t="str">
        <f aca="false">IF(ISBLANK($C33),"",IF($BL33=Constants!$B$8,$CM33,""))</f>
        <v/>
      </c>
      <c r="CW33" s="76" t="str">
        <f aca="false">IF(ISBLANK($C33),"",IF($BL33&lt;&gt;Constants!$B$4,"",$BO33+$BP33))</f>
        <v/>
      </c>
      <c r="CX33" s="78" t="str">
        <f aca="false">IF(ISBLANK($C33),"",IF($BL33&lt;&gt;Constants!$B$4,"",$BQ33+$BR33+$BS33))</f>
        <v/>
      </c>
      <c r="CY33" s="78" t="str">
        <f aca="false">IF(ISBLANK($C33),"",IF($BL33&lt;&gt;Constants!$B$4,"",$BT33))</f>
        <v/>
      </c>
      <c r="CZ33" s="78" t="str">
        <f aca="false">IF(ISBLANK($C33),"",IF($BL33&lt;&gt;Constants!$B$4,"",$BU33+$BV33))</f>
        <v/>
      </c>
      <c r="DA33" s="78" t="str">
        <f aca="false">IF(ISBLANK($C33),"",IF($BL33&lt;&gt;Constants!$B$4,"",$BW33))</f>
        <v/>
      </c>
      <c r="DB33" s="78" t="str">
        <f aca="false">IF(ISBLANK($C33),"",IF($BL33&lt;&gt;Constants!$B$4,"",-$CD33))</f>
        <v/>
      </c>
      <c r="DC33" s="79" t="str">
        <f aca="false">IF(ISBLANK($C33),"",$CE33)</f>
        <v/>
      </c>
      <c r="DD33" s="80" t="str">
        <f aca="false">IF(ISBLANK($C33),"",$BM33)</f>
        <v/>
      </c>
      <c r="DE33" s="78" t="str">
        <f aca="false">IF(ISBLANK($C33),"",$CL33)</f>
        <v/>
      </c>
      <c r="DF33" s="78" t="str">
        <f aca="false">IF(ISBLANK($C33),"",$CK33)</f>
        <v/>
      </c>
      <c r="DG33" s="81" t="str">
        <f aca="false">IF(ISBLANK($C33),"",IF($DF33=Constants!$B$7,COUNTA($C$9:$C$508)+2,IF($DF33=Constants!$B$6,COUNTA($C$9:$C$508)+1,IF($DF33=Constants!$B$5,COUNTA($C$9:$C$508),$DF33))))</f>
        <v/>
      </c>
      <c r="DH33" s="7"/>
      <c r="DI33" s="82" t="n">
        <f aca="false">IF(OR(ISNUMBER($DF33),$DF33=Constants!$B$7,$DF33=Constants!$B$5,$DF33=Constants!$B$6),1,0)</f>
        <v>0</v>
      </c>
      <c r="DJ33" s="82" t="n">
        <v>25</v>
      </c>
      <c r="DK33" s="82" t="str">
        <f aca="false">IF(ISBLANK($C33),"",IF(ISNUMBER($DG33),$DG33+ROW($B33)/1000,""))</f>
        <v/>
      </c>
      <c r="DL33" s="82" t="str">
        <f aca="false">IF(ISNUMBER($DK33),RANK($DK33,$DK$9:$DK$508,1),"")</f>
        <v/>
      </c>
      <c r="DM33" s="82" t="str">
        <f aca="false">IF(ISBLANK($C33),"",$B33)</f>
        <v/>
      </c>
      <c r="DN33" s="82" t="str">
        <f aca="false">IF(ISBLANK($C33),"",$C33)</f>
        <v/>
      </c>
      <c r="DO33" s="82" t="str">
        <f aca="false">IF(ISBLANK($C33),"",$D33)</f>
        <v/>
      </c>
      <c r="DP33" s="83" t="str">
        <f aca="false">$DD33</f>
        <v/>
      </c>
      <c r="DQ33" s="84" t="str">
        <f aca="false">$DC33</f>
        <v/>
      </c>
      <c r="DR33" s="82" t="str">
        <f aca="false">IF(ISBLANK($C33),"",$DF33)</f>
        <v/>
      </c>
      <c r="DS33" s="85" t="str">
        <f aca="false">IF($DJ33&gt;$DI$8,"",VLOOKUP($DJ33,$DL$9:$DR$508,7,FALSE()))</f>
        <v/>
      </c>
      <c r="DT33" s="86" t="str">
        <f aca="false">IF($DJ33&gt;$DI$8,"",VLOOKUP($DJ33,$DL$9:$DR$508,2,FALSE()))</f>
        <v/>
      </c>
      <c r="DU33" s="86" t="str">
        <f aca="false">IF($DJ33&gt;$DI$8,"",VLOOKUP($DJ33,$DL$9:$DR$508,3,FALSE()))</f>
        <v/>
      </c>
      <c r="DV33" s="86" t="str">
        <f aca="false">IF($DJ33&gt;$DI$8,"",VLOOKUP($DJ33,$DL$9:$DR$508,4,FALSE()))</f>
        <v/>
      </c>
      <c r="DW33" s="86" t="str">
        <f aca="false">IF($DJ33&gt;$DI$8,"",VLOOKUP($DJ33,$DL$9:$DR$508,5,FALSE()))</f>
        <v/>
      </c>
      <c r="DX33" s="87" t="str">
        <f aca="false">IF($DJ33&gt;$DI$8,"",VLOOKUP($DJ33,$DL$9:$DR$508,6,FALSE()))</f>
        <v/>
      </c>
      <c r="DY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124"/>
      <c r="N34" s="124"/>
      <c r="O34" s="125"/>
      <c r="P34" s="125"/>
      <c r="Q34" s="124"/>
      <c r="R34" s="124"/>
      <c r="S34" s="124"/>
      <c r="T34" s="124"/>
      <c r="U34" s="125"/>
      <c r="V34" s="124"/>
      <c r="W34" s="70"/>
      <c r="X34" s="124"/>
      <c r="Y34" s="124"/>
      <c r="Z34" s="70"/>
      <c r="AA34" s="70"/>
      <c r="AB34" s="124"/>
      <c r="AC34" s="124"/>
      <c r="AD34" s="124"/>
      <c r="AE34" s="71"/>
      <c r="AF34" s="88"/>
      <c r="AG34" s="73"/>
      <c r="AH34" s="74"/>
      <c r="AI34" s="74"/>
      <c r="AJ34" s="74" t="str">
        <f aca="false">IF(ISBLANK($C34),"",IF($E34=Constants!$B$2,TRUE(),IF($E34=Constants!$B$3,FALSE(),TRUE())))</f>
        <v/>
      </c>
      <c r="AK34" s="74" t="str">
        <f aca="false">IF(ISBLANK($C34),"",IF($F34=Constants!$B$2,TRUE(),IF($F34=Constants!$B$3,FALSE(),FALSE())))</f>
        <v/>
      </c>
      <c r="AL34" s="74" t="str">
        <f aca="false">IF(ISBLANK($C34),"",IF($G34=Constants!$B$2,TRUE(),IF($G34=Constants!$B$3,FALSE(),TRUE())))</f>
        <v/>
      </c>
      <c r="AM34" s="74" t="str">
        <f aca="false">IF(ISBLANK($C34),"",IF($H34=Constants!$B$2,TRUE(),IF($H34=Constants!$B$3,FALSE(),TRUE())))</f>
        <v/>
      </c>
      <c r="AN34" s="74" t="str">
        <f aca="false">IF(ISBLANK($C34),"",IF(ISNUMBER($I34),IF($I34&gt;=0,$I34,""),""))</f>
        <v/>
      </c>
      <c r="AO34" s="74" t="str">
        <f aca="false">IF(ISBLANK($C34),"",IF(ISNUMBER($J34),IF($J34&gt;=0,$J34,""),""))</f>
        <v/>
      </c>
      <c r="AP34" s="74" t="str">
        <f aca="false">IF(ISBLANK($C34),"",IF(ISNUMBER($K34),IF($K34&gt;=0,$K34,""),""))</f>
        <v/>
      </c>
      <c r="AQ34" s="74" t="str">
        <f aca="false">IF(ISBLANK($C34),"",IF($L34=Constants!$B$2,TRUE(),IF($L34=Constants!$B$3,FALSE(),TRUE())))</f>
        <v/>
      </c>
      <c r="AR34" s="74" t="str">
        <f aca="false">IF(ISBLANK($C34),"",IF($M34=Constants!$B$2,TRUE(),IF($M34=Constants!$B$3,FALSE(),TRUE())))</f>
        <v/>
      </c>
      <c r="AS34" s="74" t="str">
        <f aca="false">IF(ISBLANK($C34),"",IF($N34=Constants!$B$2,TRUE(),IF($N34=Constants!$B$3,FALSE(),FALSE())))</f>
        <v/>
      </c>
      <c r="AT34" s="74" t="str">
        <f aca="false">IF(ISBLANK($C34),"",IF($O34=Constants!$B$2,TRUE(),IF($O34=Constants!$B$3,FALSE(),TRUE())))</f>
        <v/>
      </c>
      <c r="AU34" s="74" t="str">
        <f aca="false">IF(ISBLANK($C34),"",IF($P34=Constants!$B$2,TRUE(),IF($P34=Constants!$B$3,FALSE(),TRUE())))</f>
        <v/>
      </c>
      <c r="AV34" s="74" t="str">
        <f aca="false">IF(ISBLANK($C34),"",IF($Q34=Constants!$B$2,TRUE(),IF($Q34=Constants!$B$3,FALSE(),FALSE())))</f>
        <v/>
      </c>
      <c r="AW34" s="74" t="str">
        <f aca="false">IF(ISBLANK($C34),"",IF($R34=Constants!$B$2,TRUE(),IF($R34=Constants!$B$3,FALSE(),FALSE())))</f>
        <v/>
      </c>
      <c r="AX34" s="74" t="str">
        <f aca="false">IF(ISBLANK($C34),"",IF($S34=Constants!$B$2,TRUE(),IF($S34=Constants!$B$3,FALSE(),FALSE())))</f>
        <v/>
      </c>
      <c r="AY34" s="74" t="str">
        <f aca="false">IF(ISBLANK($C34),"",IF($T34=Constants!$B$2,TRUE(),IF($T34=Constants!$B$3,FALSE(),FALSE())))</f>
        <v/>
      </c>
      <c r="AZ34" s="74" t="str">
        <f aca="false">IF(ISBLANK($C34),"",IF($U34=Constants!$B$2,TRUE(),IF($U34=Constants!$B$3,FALSE(),FALSE())))</f>
        <v/>
      </c>
      <c r="BA34" s="74" t="str">
        <f aca="false">IF(ISBLANK($C34),"",IF(OR($V34&amp;""="1",$V34&amp;""="2",$V34&amp;""="3",$V34&amp;""="4"),VALUE($V34&amp;""),IF($V34=Constants!$B$12,Constants!$B$12,"")))</f>
        <v/>
      </c>
      <c r="BB34" s="74" t="str">
        <f aca="false">IF(ISBLANK($C34),"",IF(ISBLANK($W34),0,IF(ISNUMBER($W34),IF(AND($W34&gt;=0,$W34&lt;=Constants!$B$21,$W34=INT($W34)),$W34,""),"")))</f>
        <v/>
      </c>
      <c r="BC34" s="74" t="str">
        <f aca="false">IF(ISBLANK($C34),"",IF(ISBLANK($X34),0,IF(ISNUMBER($X34),IF($X34&gt;=0,$X34,""),"")))</f>
        <v/>
      </c>
      <c r="BD34" s="74" t="str">
        <f aca="false">IF(ISBLANK($C34),"",IF($Y34=Constants!$B$2,TRUE(),IF($Y34=Constants!$B$3,FALSE(),TRUE())))</f>
        <v/>
      </c>
      <c r="BE34" s="74" t="str">
        <f aca="false">IF(ISBLANK($C34),"",IF($Z34=Constants!$B$2,TRUE(),IF($Z34=Constants!$B$3,FALSE(),FALSE())))</f>
        <v/>
      </c>
      <c r="BF34" s="74" t="str">
        <f aca="false">IF(ISBLANK($C34),"",IF(ISBLANK($AA34),0,IF(ISNUMBER($AA34),IF(AND($AA34&gt;=0,$AA34&lt;=Constants!$B$35,$AA34=INT($AA34)),$AA34,""),"")))</f>
        <v/>
      </c>
      <c r="BG34" s="74" t="str">
        <f aca="false">IF(ISBLANK($C34),"",IF($AB34=Constants!$B$2,TRUE(),IF($AB34=Constants!$B$3,FALSE(),TRUE())))</f>
        <v/>
      </c>
      <c r="BH34" s="74" t="str">
        <f aca="false">IF(ISBLANK($C34),"",IF($AC34=Constants!$B$2,TRUE(),IF($AC34=Constants!$B$3,FALSE(),TRUE())))</f>
        <v/>
      </c>
      <c r="BI34" s="74" t="str">
        <f aca="false">IF(ISBLANK($C34),"",IF($AD34=Constants!$B$2,TRUE(),IF($AD34=Constants!$B$3,FALSE(),TRUE())))</f>
        <v/>
      </c>
      <c r="BJ34" s="74" t="str">
        <f aca="false">IF(ISBLANK($C34),"",IF(ISNUMBER($AE34),IF($AE34&gt;=0,$AE34,""),""))</f>
        <v/>
      </c>
      <c r="BK34" s="74" t="str">
        <f aca="false">IF(ISBLANK($C34),"",IF($AF34=Constants!$B$2,TRUE(),IF($AF34=Constants!$B$3,FALSE(),FALSE())))</f>
        <v/>
      </c>
      <c r="BL34" s="73" t="str">
        <f aca="false">IF(ISBLANK($C34),"",IF($BK34,Constants!$B$7,IF(COUNTA($E34:$AE34)=0,Constants!$B$6,IF(OR(COUNTA($G34:$AE34)=0,NOT($AM34),$AS34),Constants!$B$5,IF(OR($CM34&lt;&gt;"",$CN34,$CO34,$CP34,$CQ34,$CR34,$CS34),Constants!$B$8,Constants!$B$4)))))</f>
        <v/>
      </c>
      <c r="BM34" s="74" t="str">
        <f aca="false">IF(ISBLANK($C34),"",IF($BL34&lt;&gt;Constants!$B$4,$BL34,IF(OR(NOT($AJ34),NOT($AL34),NOT($AT34)),Constants!$B$11,IF(OR(NOT($AR34),NOT($AU34),NOT($BI34),MAX($AN34,$AO34,$AP34)&gt;Constants!$B$30),Constants!$B$10,Constants!$B$9))))</f>
        <v/>
      </c>
      <c r="BN34" s="74" t="str">
        <f aca="false">IF($BL34&lt;&gt;Constants!$B$4,"",IF(NOT($AL34),0,MIN(Constants!$B$35,$BF34)))</f>
        <v/>
      </c>
      <c r="BO34" s="74" t="str">
        <f aca="false">IF($BL34&lt;&gt;Constants!$B$4,"",IF(NOT($AL34),0,IF($AW34,Constants!$B$18,IF($AV34,Constants!$B$17,0))))</f>
        <v/>
      </c>
      <c r="BP34" s="74" t="str">
        <f aca="false">IF($BL34&lt;&gt;Constants!$B$4,"",IF(NOT($AL34),0,Constants!$B$19*($AK34+$AX34+$AY34+$AZ34)))</f>
        <v/>
      </c>
      <c r="BQ34" s="74" t="str">
        <f aca="false">IF($BL34&lt;&gt;Constants!$B$4,"",IF(OR(NOT($AL34),NOT(ISNUMBER($BA34))),0,CHOOSE($BA34,Constants!$B$13,Constants!$B$14,Constants!$B$15,Constants!$B$16)))</f>
        <v/>
      </c>
      <c r="BR34" s="74" t="str">
        <f aca="false">IF($BL34&lt;&gt;Constants!$B$4,"",IF(NOT($AL34),0,Constants!$B$20*$BB34))</f>
        <v/>
      </c>
      <c r="BS34" s="74" t="str">
        <f aca="false">IF($BL34&lt;&gt;Constants!$B$4,"",IF(AND($AL34,$BD34,$BE34),Constants!$B$22,0))</f>
        <v/>
      </c>
      <c r="BT34" s="74" t="str">
        <f aca="false">IF($BL34&lt;&gt;Constants!$B$4,"",IF(OR(NOT($AL34),NOT($BD34)),0,IF($BJ34&gt;=2*$AH$9,0,Constants!$B$23*INT(ROUND(MIN($BJ34,$AH$9),6)))))</f>
        <v/>
      </c>
      <c r="BU34" s="74" t="str">
        <f aca="false">IF($BL34&lt;&gt;Constants!$B$4,"",IF(NOT($AL34),0,Constants!$B$24*INT(ROUND(MIN($BC34,$AH$9),6))))</f>
        <v/>
      </c>
      <c r="BV34" s="74" t="str">
        <f aca="false">IF($BL34&lt;&gt;Constants!$B$4,"",IF(AND($AL34,$BN34=0),Constants!$B$25,0))</f>
        <v/>
      </c>
      <c r="BW34" s="74" t="str">
        <f aca="false">IF($BL34&lt;&gt;Constants!$B$4,"",MIN(Constants!$B$29,MAX(0,Constants!$B$27*Constants!$B$28*INT(ROUND((Constants!$B$26-$AN34)/Constants!$B$28,6))))+MIN(Constants!$B$29,MAX(0,Constants!$B$27*Constants!$B$28*INT(ROUND((Constants!$B$26-$AO34)/Constants!$B$28,6))))+MIN(Constants!$B$29,MAX(0,Constants!$B$27*Constants!$B$28*INT(ROUND((Constants!$B$26-$AP34)/Constants!$B$28,6)))))</f>
        <v/>
      </c>
      <c r="BX34" s="74" t="str">
        <f aca="false">IF($BL34&lt;&gt;Constants!$B$4,"",IF(NOT($AL34),0,Constants!$B$31*INT(ROUND(MAX(0,MIN($BJ34,2*$AH$9)-$AH$9),6))))</f>
        <v/>
      </c>
      <c r="BY34" s="74" t="str">
        <f aca="false">IF($BL34&lt;&gt;Constants!$B$4,"",Constants!$B$32*(($AN34&gt;Constants!$B$26)+($AO34&gt;Constants!$B$26)+($AP34&gt;Constants!$B$26)))</f>
        <v/>
      </c>
      <c r="BZ34" s="74" t="str">
        <f aca="false">IF($BL34&lt;&gt;Constants!$B$4,"",IF(OR(NOT($AL34),$AQ34),0,Constants!$B$33))</f>
        <v/>
      </c>
      <c r="CA34" s="74" t="str">
        <f aca="false">IF($BL34&lt;&gt;Constants!$B$4,"",Constants!$B$34*$BN34)</f>
        <v/>
      </c>
      <c r="CB34" s="74" t="str">
        <f aca="false">IF($BL34&lt;&gt;Constants!$B$4,"",IF(OR(NOT($AL34),$BH34),0,Constants!$B$36))</f>
        <v/>
      </c>
      <c r="CC34" s="74" t="str">
        <f aca="false">IF($BL34&lt;&gt;Constants!$B$4,"",IF(OR(NOT($AL34),$BG34),0,Constants!$B$37))</f>
        <v/>
      </c>
      <c r="CD34" s="74" t="str">
        <f aca="false">IF($BL34&lt;&gt;Constants!$B$4,"",SUM($BX34:$CC34))</f>
        <v/>
      </c>
      <c r="CE34" s="74" t="str">
        <f aca="false">IF(ISBLANK($C34),"",IF($BL34&lt;&gt;Constants!$B$4,$BL34,SUM($BO34:$BW34)-$CD34))</f>
        <v/>
      </c>
      <c r="CF34" s="74" t="str">
        <f aca="false">IF(ISBLANK($C34),"",IF($BL34&lt;&gt;Constants!$B$4,$BL34,RANK($CE34,$CE$9:$CE$508)))</f>
        <v/>
      </c>
      <c r="CG34" s="74" t="str">
        <f aca="false">IF(ISBLANK($C34),"",IF($BL34&lt;&gt;Constants!$B$4,$BL34,COUNTIFS($BM$9:$BM$508,"&lt;"&amp;$BM34)+COUNTIFS($BM$9:$BM$508,$BM34,$CF$9:$CF$508,"&lt;"&amp;$CF34)+1))</f>
        <v/>
      </c>
      <c r="CH34" s="74" t="str">
        <f aca="false">IF(ISBLANK($C34),"",IF($BL34&lt;&gt;Constants!$B$4,$BL34,RANK($CD34,$CD$9:$CD$508,1)))</f>
        <v/>
      </c>
      <c r="CI34" s="74" t="str">
        <f aca="false">IF($BL34&lt;&gt;Constants!$B$4,"",$AN34+$AO34+$AP34)</f>
        <v/>
      </c>
      <c r="CJ34" s="74" t="str">
        <f aca="false">IF(ISBLANK($C34),"",IF($BL34&lt;&gt;Constants!$B$4,$BL34,RANK($CI34,$CI$9:$CI$508,1)))</f>
        <v/>
      </c>
      <c r="CK34" s="74" t="str">
        <f aca="false">IF(ISBLANK($C34),"",IF($BL34&lt;&gt;Constants!$B$4,$BL34,COUNTIFS($BM$9:$BM$508,"&lt;"&amp;$BM34)+COUNTIFS($BM$9:$BM$508,$BM34,$CF$9:$CF$508,"&lt;"&amp;$CF34)+COUNTIFS($BM$9:$BM$508,$BM34,$CF$9:$CF$508,$CF34,$CH$9:$CH$508,"&lt;"&amp;$CH34)+COUNTIFS($BM$9:$BM$508,$BM34,$CF$9:$CF$508,$CF34,$CH$9:$CH$508,$CH34,$CJ$9:$CJ$508,"&lt;"&amp;$CJ34)+1))</f>
        <v/>
      </c>
      <c r="CL34" s="74" t="str">
        <f aca="false">IF(ISBLANK($C34),"",IF($BL34&lt;&gt;Constants!$B$4,$BL34,$CG34-$CK34))</f>
        <v/>
      </c>
      <c r="CM34" s="74" t="str">
        <f aca="false">IF(ISBLANK($C34),"",IF(NOT($AL34),"",IF(ISBLANK($D$7),$CM$5,IF(NOT(ISNUMBER($D$7)),$CM$6,""))))</f>
        <v/>
      </c>
      <c r="CN34" s="74" t="str">
        <f aca="false">IF(ISBLANK($C34),"",OR($AN34="",$AO34="",$AP34=""))</f>
        <v/>
      </c>
      <c r="CO34" s="74" t="str">
        <f aca="false">IF(ISBLANK($C34),"",AND($AL34,$BA34=""))</f>
        <v/>
      </c>
      <c r="CP34" s="74" t="str">
        <f aca="false">IF(ISBLANK($C34),"",AND($AL34,$BB34=""))</f>
        <v/>
      </c>
      <c r="CQ34" s="74" t="str">
        <f aca="false">IF(ISBLANK($C34),"",AND($AL34,$BC34=""))</f>
        <v/>
      </c>
      <c r="CR34" s="74" t="str">
        <f aca="false">IF(ISBLANK($C34),"",AND($AL34,$BF34=""))</f>
        <v/>
      </c>
      <c r="CS34" s="74" t="str">
        <f aca="false">IF(ISBLANK($C34),"",AND($AL34,$BJ34=""))</f>
        <v/>
      </c>
      <c r="CT34" s="75"/>
      <c r="CU34" s="76"/>
      <c r="CV34" s="79" t="str">
        <f aca="false">IF(ISBLANK($C34),"",IF($BL34=Constants!$B$8,$CM34,""))</f>
        <v/>
      </c>
      <c r="CW34" s="76" t="str">
        <f aca="false">IF(ISBLANK($C34),"",IF($BL34&lt;&gt;Constants!$B$4,"",$BO34+$BP34))</f>
        <v/>
      </c>
      <c r="CX34" s="78" t="str">
        <f aca="false">IF(ISBLANK($C34),"",IF($BL34&lt;&gt;Constants!$B$4,"",$BQ34+$BR34+$BS34))</f>
        <v/>
      </c>
      <c r="CY34" s="78" t="str">
        <f aca="false">IF(ISBLANK($C34),"",IF($BL34&lt;&gt;Constants!$B$4,"",$BT34))</f>
        <v/>
      </c>
      <c r="CZ34" s="78" t="str">
        <f aca="false">IF(ISBLANK($C34),"",IF($BL34&lt;&gt;Constants!$B$4,"",$BU34+$BV34))</f>
        <v/>
      </c>
      <c r="DA34" s="78" t="str">
        <f aca="false">IF(ISBLANK($C34),"",IF($BL34&lt;&gt;Constants!$B$4,"",$BW34))</f>
        <v/>
      </c>
      <c r="DB34" s="78" t="str">
        <f aca="false">IF(ISBLANK($C34),"",IF($BL34&lt;&gt;Constants!$B$4,"",-$CD34))</f>
        <v/>
      </c>
      <c r="DC34" s="79" t="str">
        <f aca="false">IF(ISBLANK($C34),"",$CE34)</f>
        <v/>
      </c>
      <c r="DD34" s="80" t="str">
        <f aca="false">IF(ISBLANK($C34),"",$BM34)</f>
        <v/>
      </c>
      <c r="DE34" s="78" t="str">
        <f aca="false">IF(ISBLANK($C34),"",$CL34)</f>
        <v/>
      </c>
      <c r="DF34" s="78" t="str">
        <f aca="false">IF(ISBLANK($C34),"",$CK34)</f>
        <v/>
      </c>
      <c r="DG34" s="81" t="str">
        <f aca="false">IF(ISBLANK($C34),"",IF($DF34=Constants!$B$7,COUNTA($C$9:$C$508)+2,IF($DF34=Constants!$B$6,COUNTA($C$9:$C$508)+1,IF($DF34=Constants!$B$5,COUNTA($C$9:$C$508),$DF34))))</f>
        <v/>
      </c>
      <c r="DH34" s="7"/>
      <c r="DI34" s="82" t="n">
        <f aca="false">IF(OR(ISNUMBER($DF34),$DF34=Constants!$B$7,$DF34=Constants!$B$5,$DF34=Constants!$B$6),1,0)</f>
        <v>0</v>
      </c>
      <c r="DJ34" s="82" t="n">
        <v>26</v>
      </c>
      <c r="DK34" s="82" t="str">
        <f aca="false">IF(ISBLANK($C34),"",IF(ISNUMBER($DG34),$DG34+ROW($B34)/1000,""))</f>
        <v/>
      </c>
      <c r="DL34" s="82" t="str">
        <f aca="false">IF(ISNUMBER($DK34),RANK($DK34,$DK$9:$DK$508,1),"")</f>
        <v/>
      </c>
      <c r="DM34" s="82" t="str">
        <f aca="false">IF(ISBLANK($C34),"",$B34)</f>
        <v/>
      </c>
      <c r="DN34" s="82" t="str">
        <f aca="false">IF(ISBLANK($C34),"",$C34)</f>
        <v/>
      </c>
      <c r="DO34" s="82" t="str">
        <f aca="false">IF(ISBLANK($C34),"",$D34)</f>
        <v/>
      </c>
      <c r="DP34" s="83" t="str">
        <f aca="false">$DD34</f>
        <v/>
      </c>
      <c r="DQ34" s="84" t="str">
        <f aca="false">$DC34</f>
        <v/>
      </c>
      <c r="DR34" s="82" t="str">
        <f aca="false">IF(ISBLANK($C34),"",$DF34)</f>
        <v/>
      </c>
      <c r="DS34" s="85" t="str">
        <f aca="false">IF($DJ34&gt;$DI$8,"",VLOOKUP($DJ34,$DL$9:$DR$508,7,FALSE()))</f>
        <v/>
      </c>
      <c r="DT34" s="86" t="str">
        <f aca="false">IF($DJ34&gt;$DI$8,"",VLOOKUP($DJ34,$DL$9:$DR$508,2,FALSE()))</f>
        <v/>
      </c>
      <c r="DU34" s="86" t="str">
        <f aca="false">IF($DJ34&gt;$DI$8,"",VLOOKUP($DJ34,$DL$9:$DR$508,3,FALSE()))</f>
        <v/>
      </c>
      <c r="DV34" s="86" t="str">
        <f aca="false">IF($DJ34&gt;$DI$8,"",VLOOKUP($DJ34,$DL$9:$DR$508,4,FALSE()))</f>
        <v/>
      </c>
      <c r="DW34" s="86" t="str">
        <f aca="false">IF($DJ34&gt;$DI$8,"",VLOOKUP($DJ34,$DL$9:$DR$508,5,FALSE()))</f>
        <v/>
      </c>
      <c r="DX34" s="87" t="str">
        <f aca="false">IF($DJ34&gt;$DI$8,"",VLOOKUP($DJ34,$DL$9:$DR$508,6,FALSE()))</f>
        <v/>
      </c>
      <c r="DY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124"/>
      <c r="N35" s="124"/>
      <c r="O35" s="125"/>
      <c r="P35" s="125"/>
      <c r="Q35" s="124"/>
      <c r="R35" s="124"/>
      <c r="S35" s="124"/>
      <c r="T35" s="124"/>
      <c r="U35" s="125"/>
      <c r="V35" s="124"/>
      <c r="W35" s="70"/>
      <c r="X35" s="124"/>
      <c r="Y35" s="124"/>
      <c r="Z35" s="70"/>
      <c r="AA35" s="70"/>
      <c r="AB35" s="124"/>
      <c r="AC35" s="124"/>
      <c r="AD35" s="124"/>
      <c r="AE35" s="71"/>
      <c r="AF35" s="88"/>
      <c r="AG35" s="73"/>
      <c r="AH35" s="74"/>
      <c r="AI35" s="74"/>
      <c r="AJ35" s="74" t="str">
        <f aca="false">IF(ISBLANK($C35),"",IF($E35=Constants!$B$2,TRUE(),IF($E35=Constants!$B$3,FALSE(),TRUE())))</f>
        <v/>
      </c>
      <c r="AK35" s="74" t="str">
        <f aca="false">IF(ISBLANK($C35),"",IF($F35=Constants!$B$2,TRUE(),IF($F35=Constants!$B$3,FALSE(),FALSE())))</f>
        <v/>
      </c>
      <c r="AL35" s="74" t="str">
        <f aca="false">IF(ISBLANK($C35),"",IF($G35=Constants!$B$2,TRUE(),IF($G35=Constants!$B$3,FALSE(),TRUE())))</f>
        <v/>
      </c>
      <c r="AM35" s="74" t="str">
        <f aca="false">IF(ISBLANK($C35),"",IF($H35=Constants!$B$2,TRUE(),IF($H35=Constants!$B$3,FALSE(),TRUE())))</f>
        <v/>
      </c>
      <c r="AN35" s="74" t="str">
        <f aca="false">IF(ISBLANK($C35),"",IF(ISNUMBER($I35),IF($I35&gt;=0,$I35,""),""))</f>
        <v/>
      </c>
      <c r="AO35" s="74" t="str">
        <f aca="false">IF(ISBLANK($C35),"",IF(ISNUMBER($J35),IF($J35&gt;=0,$J35,""),""))</f>
        <v/>
      </c>
      <c r="AP35" s="74" t="str">
        <f aca="false">IF(ISBLANK($C35),"",IF(ISNUMBER($K35),IF($K35&gt;=0,$K35,""),""))</f>
        <v/>
      </c>
      <c r="AQ35" s="74" t="str">
        <f aca="false">IF(ISBLANK($C35),"",IF($L35=Constants!$B$2,TRUE(),IF($L35=Constants!$B$3,FALSE(),TRUE())))</f>
        <v/>
      </c>
      <c r="AR35" s="74" t="str">
        <f aca="false">IF(ISBLANK($C35),"",IF($M35=Constants!$B$2,TRUE(),IF($M35=Constants!$B$3,FALSE(),TRUE())))</f>
        <v/>
      </c>
      <c r="AS35" s="74" t="str">
        <f aca="false">IF(ISBLANK($C35),"",IF($N35=Constants!$B$2,TRUE(),IF($N35=Constants!$B$3,FALSE(),FALSE())))</f>
        <v/>
      </c>
      <c r="AT35" s="74" t="str">
        <f aca="false">IF(ISBLANK($C35),"",IF($O35=Constants!$B$2,TRUE(),IF($O35=Constants!$B$3,FALSE(),TRUE())))</f>
        <v/>
      </c>
      <c r="AU35" s="74" t="str">
        <f aca="false">IF(ISBLANK($C35),"",IF($P35=Constants!$B$2,TRUE(),IF($P35=Constants!$B$3,FALSE(),TRUE())))</f>
        <v/>
      </c>
      <c r="AV35" s="74" t="str">
        <f aca="false">IF(ISBLANK($C35),"",IF($Q35=Constants!$B$2,TRUE(),IF($Q35=Constants!$B$3,FALSE(),FALSE())))</f>
        <v/>
      </c>
      <c r="AW35" s="74" t="str">
        <f aca="false">IF(ISBLANK($C35),"",IF($R35=Constants!$B$2,TRUE(),IF($R35=Constants!$B$3,FALSE(),FALSE())))</f>
        <v/>
      </c>
      <c r="AX35" s="74" t="str">
        <f aca="false">IF(ISBLANK($C35),"",IF($S35=Constants!$B$2,TRUE(),IF($S35=Constants!$B$3,FALSE(),FALSE())))</f>
        <v/>
      </c>
      <c r="AY35" s="74" t="str">
        <f aca="false">IF(ISBLANK($C35),"",IF($T35=Constants!$B$2,TRUE(),IF($T35=Constants!$B$3,FALSE(),FALSE())))</f>
        <v/>
      </c>
      <c r="AZ35" s="74" t="str">
        <f aca="false">IF(ISBLANK($C35),"",IF($U35=Constants!$B$2,TRUE(),IF($U35=Constants!$B$3,FALSE(),FALSE())))</f>
        <v/>
      </c>
      <c r="BA35" s="74" t="str">
        <f aca="false">IF(ISBLANK($C35),"",IF(OR($V35&amp;""="1",$V35&amp;""="2",$V35&amp;""="3",$V35&amp;""="4"),VALUE($V35&amp;""),IF($V35=Constants!$B$12,Constants!$B$12,"")))</f>
        <v/>
      </c>
      <c r="BB35" s="74" t="str">
        <f aca="false">IF(ISBLANK($C35),"",IF(ISBLANK($W35),0,IF(ISNUMBER($W35),IF(AND($W35&gt;=0,$W35&lt;=Constants!$B$21,$W35=INT($W35)),$W35,""),"")))</f>
        <v/>
      </c>
      <c r="BC35" s="74" t="str">
        <f aca="false">IF(ISBLANK($C35),"",IF(ISBLANK($X35),0,IF(ISNUMBER($X35),IF($X35&gt;=0,$X35,""),"")))</f>
        <v/>
      </c>
      <c r="BD35" s="74" t="str">
        <f aca="false">IF(ISBLANK($C35),"",IF($Y35=Constants!$B$2,TRUE(),IF($Y35=Constants!$B$3,FALSE(),TRUE())))</f>
        <v/>
      </c>
      <c r="BE35" s="74" t="str">
        <f aca="false">IF(ISBLANK($C35),"",IF($Z35=Constants!$B$2,TRUE(),IF($Z35=Constants!$B$3,FALSE(),FALSE())))</f>
        <v/>
      </c>
      <c r="BF35" s="74" t="str">
        <f aca="false">IF(ISBLANK($C35),"",IF(ISBLANK($AA35),0,IF(ISNUMBER($AA35),IF(AND($AA35&gt;=0,$AA35&lt;=Constants!$B$35,$AA35=INT($AA35)),$AA35,""),"")))</f>
        <v/>
      </c>
      <c r="BG35" s="74" t="str">
        <f aca="false">IF(ISBLANK($C35),"",IF($AB35=Constants!$B$2,TRUE(),IF($AB35=Constants!$B$3,FALSE(),TRUE())))</f>
        <v/>
      </c>
      <c r="BH35" s="74" t="str">
        <f aca="false">IF(ISBLANK($C35),"",IF($AC35=Constants!$B$2,TRUE(),IF($AC35=Constants!$B$3,FALSE(),TRUE())))</f>
        <v/>
      </c>
      <c r="BI35" s="74" t="str">
        <f aca="false">IF(ISBLANK($C35),"",IF($AD35=Constants!$B$2,TRUE(),IF($AD35=Constants!$B$3,FALSE(),TRUE())))</f>
        <v/>
      </c>
      <c r="BJ35" s="74" t="str">
        <f aca="false">IF(ISBLANK($C35),"",IF(ISNUMBER($AE35),IF($AE35&gt;=0,$AE35,""),""))</f>
        <v/>
      </c>
      <c r="BK35" s="74" t="str">
        <f aca="false">IF(ISBLANK($C35),"",IF($AF35=Constants!$B$2,TRUE(),IF($AF35=Constants!$B$3,FALSE(),FALSE())))</f>
        <v/>
      </c>
      <c r="BL35" s="73" t="str">
        <f aca="false">IF(ISBLANK($C35),"",IF($BK35,Constants!$B$7,IF(COUNTA($E35:$AE35)=0,Constants!$B$6,IF(OR(COUNTA($G35:$AE35)=0,NOT($AM35),$AS35),Constants!$B$5,IF(OR($CM35&lt;&gt;"",$CN35,$CO35,$CP35,$CQ35,$CR35,$CS35),Constants!$B$8,Constants!$B$4)))))</f>
        <v/>
      </c>
      <c r="BM35" s="74" t="str">
        <f aca="false">IF(ISBLANK($C35),"",IF($BL35&lt;&gt;Constants!$B$4,$BL35,IF(OR(NOT($AJ35),NOT($AL35),NOT($AT35)),Constants!$B$11,IF(OR(NOT($AR35),NOT($AU35),NOT($BI35),MAX($AN35,$AO35,$AP35)&gt;Constants!$B$30),Constants!$B$10,Constants!$B$9))))</f>
        <v/>
      </c>
      <c r="BN35" s="74" t="str">
        <f aca="false">IF($BL35&lt;&gt;Constants!$B$4,"",IF(NOT($AL35),0,MIN(Constants!$B$35,$BF35)))</f>
        <v/>
      </c>
      <c r="BO35" s="74" t="str">
        <f aca="false">IF($BL35&lt;&gt;Constants!$B$4,"",IF(NOT($AL35),0,IF($AW35,Constants!$B$18,IF($AV35,Constants!$B$17,0))))</f>
        <v/>
      </c>
      <c r="BP35" s="74" t="str">
        <f aca="false">IF($BL35&lt;&gt;Constants!$B$4,"",IF(NOT($AL35),0,Constants!$B$19*($AK35+$AX35+$AY35+$AZ35)))</f>
        <v/>
      </c>
      <c r="BQ35" s="74" t="str">
        <f aca="false">IF($BL35&lt;&gt;Constants!$B$4,"",IF(OR(NOT($AL35),NOT(ISNUMBER($BA35))),0,CHOOSE($BA35,Constants!$B$13,Constants!$B$14,Constants!$B$15,Constants!$B$16)))</f>
        <v/>
      </c>
      <c r="BR35" s="74" t="str">
        <f aca="false">IF($BL35&lt;&gt;Constants!$B$4,"",IF(NOT($AL35),0,Constants!$B$20*$BB35))</f>
        <v/>
      </c>
      <c r="BS35" s="74" t="str">
        <f aca="false">IF($BL35&lt;&gt;Constants!$B$4,"",IF(AND($AL35,$BD35,$BE35),Constants!$B$22,0))</f>
        <v/>
      </c>
      <c r="BT35" s="74" t="str">
        <f aca="false">IF($BL35&lt;&gt;Constants!$B$4,"",IF(OR(NOT($AL35),NOT($BD35)),0,IF($BJ35&gt;=2*$AH$9,0,Constants!$B$23*INT(ROUND(MIN($BJ35,$AH$9),6)))))</f>
        <v/>
      </c>
      <c r="BU35" s="74" t="str">
        <f aca="false">IF($BL35&lt;&gt;Constants!$B$4,"",IF(NOT($AL35),0,Constants!$B$24*INT(ROUND(MIN($BC35,$AH$9),6))))</f>
        <v/>
      </c>
      <c r="BV35" s="74" t="str">
        <f aca="false">IF($BL35&lt;&gt;Constants!$B$4,"",IF(AND($AL35,$BN35=0),Constants!$B$25,0))</f>
        <v/>
      </c>
      <c r="BW35" s="74" t="str">
        <f aca="false">IF($BL35&lt;&gt;Constants!$B$4,"",MIN(Constants!$B$29,MAX(0,Constants!$B$27*Constants!$B$28*INT(ROUND((Constants!$B$26-$AN35)/Constants!$B$28,6))))+MIN(Constants!$B$29,MAX(0,Constants!$B$27*Constants!$B$28*INT(ROUND((Constants!$B$26-$AO35)/Constants!$B$28,6))))+MIN(Constants!$B$29,MAX(0,Constants!$B$27*Constants!$B$28*INT(ROUND((Constants!$B$26-$AP35)/Constants!$B$28,6)))))</f>
        <v/>
      </c>
      <c r="BX35" s="74" t="str">
        <f aca="false">IF($BL35&lt;&gt;Constants!$B$4,"",IF(NOT($AL35),0,Constants!$B$31*INT(ROUND(MAX(0,MIN($BJ35,2*$AH$9)-$AH$9),6))))</f>
        <v/>
      </c>
      <c r="BY35" s="74" t="str">
        <f aca="false">IF($BL35&lt;&gt;Constants!$B$4,"",Constants!$B$32*(($AN35&gt;Constants!$B$26)+($AO35&gt;Constants!$B$26)+($AP35&gt;Constants!$B$26)))</f>
        <v/>
      </c>
      <c r="BZ35" s="74" t="str">
        <f aca="false">IF($BL35&lt;&gt;Constants!$B$4,"",IF(OR(NOT($AL35),$AQ35),0,Constants!$B$33))</f>
        <v/>
      </c>
      <c r="CA35" s="74" t="str">
        <f aca="false">IF($BL35&lt;&gt;Constants!$B$4,"",Constants!$B$34*$BN35)</f>
        <v/>
      </c>
      <c r="CB35" s="74" t="str">
        <f aca="false">IF($BL35&lt;&gt;Constants!$B$4,"",IF(OR(NOT($AL35),$BH35),0,Constants!$B$36))</f>
        <v/>
      </c>
      <c r="CC35" s="74" t="str">
        <f aca="false">IF($BL35&lt;&gt;Constants!$B$4,"",IF(OR(NOT($AL35),$BG35),0,Constants!$B$37))</f>
        <v/>
      </c>
      <c r="CD35" s="74" t="str">
        <f aca="false">IF($BL35&lt;&gt;Constants!$B$4,"",SUM($BX35:$CC35))</f>
        <v/>
      </c>
      <c r="CE35" s="74" t="str">
        <f aca="false">IF(ISBLANK($C35),"",IF($BL35&lt;&gt;Constants!$B$4,$BL35,SUM($BO35:$BW35)-$CD35))</f>
        <v/>
      </c>
      <c r="CF35" s="74" t="str">
        <f aca="false">IF(ISBLANK($C35),"",IF($BL35&lt;&gt;Constants!$B$4,$BL35,RANK($CE35,$CE$9:$CE$508)))</f>
        <v/>
      </c>
      <c r="CG35" s="74" t="str">
        <f aca="false">IF(ISBLANK($C35),"",IF($BL35&lt;&gt;Constants!$B$4,$BL35,COUNTIFS($BM$9:$BM$508,"&lt;"&amp;$BM35)+COUNTIFS($BM$9:$BM$508,$BM35,$CF$9:$CF$508,"&lt;"&amp;$CF35)+1))</f>
        <v/>
      </c>
      <c r="CH35" s="74" t="str">
        <f aca="false">IF(ISBLANK($C35),"",IF($BL35&lt;&gt;Constants!$B$4,$BL35,RANK($CD35,$CD$9:$CD$508,1)))</f>
        <v/>
      </c>
      <c r="CI35" s="74" t="str">
        <f aca="false">IF($BL35&lt;&gt;Constants!$B$4,"",$AN35+$AO35+$AP35)</f>
        <v/>
      </c>
      <c r="CJ35" s="74" t="str">
        <f aca="false">IF(ISBLANK($C35),"",IF($BL35&lt;&gt;Constants!$B$4,$BL35,RANK($CI35,$CI$9:$CI$508,1)))</f>
        <v/>
      </c>
      <c r="CK35" s="74" t="str">
        <f aca="false">IF(ISBLANK($C35),"",IF($BL35&lt;&gt;Constants!$B$4,$BL35,COUNTIFS($BM$9:$BM$508,"&lt;"&amp;$BM35)+COUNTIFS($BM$9:$BM$508,$BM35,$CF$9:$CF$508,"&lt;"&amp;$CF35)+COUNTIFS($BM$9:$BM$508,$BM35,$CF$9:$CF$508,$CF35,$CH$9:$CH$508,"&lt;"&amp;$CH35)+COUNTIFS($BM$9:$BM$508,$BM35,$CF$9:$CF$508,$CF35,$CH$9:$CH$508,$CH35,$CJ$9:$CJ$508,"&lt;"&amp;$CJ35)+1))</f>
        <v/>
      </c>
      <c r="CL35" s="74" t="str">
        <f aca="false">IF(ISBLANK($C35),"",IF($BL35&lt;&gt;Constants!$B$4,$BL35,$CG35-$CK35))</f>
        <v/>
      </c>
      <c r="CM35" s="74" t="str">
        <f aca="false">IF(ISBLANK($C35),"",IF(NOT($AL35),"",IF(ISBLANK($D$7),$CM$5,IF(NOT(ISNUMBER($D$7)),$CM$6,""))))</f>
        <v/>
      </c>
      <c r="CN35" s="74" t="str">
        <f aca="false">IF(ISBLANK($C35),"",OR($AN35="",$AO35="",$AP35=""))</f>
        <v/>
      </c>
      <c r="CO35" s="74" t="str">
        <f aca="false">IF(ISBLANK($C35),"",AND($AL35,$BA35=""))</f>
        <v/>
      </c>
      <c r="CP35" s="74" t="str">
        <f aca="false">IF(ISBLANK($C35),"",AND($AL35,$BB35=""))</f>
        <v/>
      </c>
      <c r="CQ35" s="74" t="str">
        <f aca="false">IF(ISBLANK($C35),"",AND($AL35,$BC35=""))</f>
        <v/>
      </c>
      <c r="CR35" s="74" t="str">
        <f aca="false">IF(ISBLANK($C35),"",AND($AL35,$BF35=""))</f>
        <v/>
      </c>
      <c r="CS35" s="74" t="str">
        <f aca="false">IF(ISBLANK($C35),"",AND($AL35,$BJ35=""))</f>
        <v/>
      </c>
      <c r="CT35" s="75"/>
      <c r="CU35" s="76"/>
      <c r="CV35" s="79" t="str">
        <f aca="false">IF(ISBLANK($C35),"",IF($BL35=Constants!$B$8,$CM35,""))</f>
        <v/>
      </c>
      <c r="CW35" s="76" t="str">
        <f aca="false">IF(ISBLANK($C35),"",IF($BL35&lt;&gt;Constants!$B$4,"",$BO35+$BP35))</f>
        <v/>
      </c>
      <c r="CX35" s="78" t="str">
        <f aca="false">IF(ISBLANK($C35),"",IF($BL35&lt;&gt;Constants!$B$4,"",$BQ35+$BR35+$BS35))</f>
        <v/>
      </c>
      <c r="CY35" s="78" t="str">
        <f aca="false">IF(ISBLANK($C35),"",IF($BL35&lt;&gt;Constants!$B$4,"",$BT35))</f>
        <v/>
      </c>
      <c r="CZ35" s="78" t="str">
        <f aca="false">IF(ISBLANK($C35),"",IF($BL35&lt;&gt;Constants!$B$4,"",$BU35+$BV35))</f>
        <v/>
      </c>
      <c r="DA35" s="78" t="str">
        <f aca="false">IF(ISBLANK($C35),"",IF($BL35&lt;&gt;Constants!$B$4,"",$BW35))</f>
        <v/>
      </c>
      <c r="DB35" s="78" t="str">
        <f aca="false">IF(ISBLANK($C35),"",IF($BL35&lt;&gt;Constants!$B$4,"",-$CD35))</f>
        <v/>
      </c>
      <c r="DC35" s="79" t="str">
        <f aca="false">IF(ISBLANK($C35),"",$CE35)</f>
        <v/>
      </c>
      <c r="DD35" s="80" t="str">
        <f aca="false">IF(ISBLANK($C35),"",$BM35)</f>
        <v/>
      </c>
      <c r="DE35" s="78" t="str">
        <f aca="false">IF(ISBLANK($C35),"",$CL35)</f>
        <v/>
      </c>
      <c r="DF35" s="78" t="str">
        <f aca="false">IF(ISBLANK($C35),"",$CK35)</f>
        <v/>
      </c>
      <c r="DG35" s="81" t="str">
        <f aca="false">IF(ISBLANK($C35),"",IF($DF35=Constants!$B$7,COUNTA($C$9:$C$508)+2,IF($DF35=Constants!$B$6,COUNTA($C$9:$C$508)+1,IF($DF35=Constants!$B$5,COUNTA($C$9:$C$508),$DF35))))</f>
        <v/>
      </c>
      <c r="DH35" s="7"/>
      <c r="DI35" s="82" t="n">
        <f aca="false">IF(OR(ISNUMBER($DF35),$DF35=Constants!$B$7,$DF35=Constants!$B$5,$DF35=Constants!$B$6),1,0)</f>
        <v>0</v>
      </c>
      <c r="DJ35" s="82" t="n">
        <v>27</v>
      </c>
      <c r="DK35" s="82" t="str">
        <f aca="false">IF(ISBLANK($C35),"",IF(ISNUMBER($DG35),$DG35+ROW($B35)/1000,""))</f>
        <v/>
      </c>
      <c r="DL35" s="82" t="str">
        <f aca="false">IF(ISNUMBER($DK35),RANK($DK35,$DK$9:$DK$508,1),"")</f>
        <v/>
      </c>
      <c r="DM35" s="82" t="str">
        <f aca="false">IF(ISBLANK($C35),"",$B35)</f>
        <v/>
      </c>
      <c r="DN35" s="82" t="str">
        <f aca="false">IF(ISBLANK($C35),"",$C35)</f>
        <v/>
      </c>
      <c r="DO35" s="82" t="str">
        <f aca="false">IF(ISBLANK($C35),"",$D35)</f>
        <v/>
      </c>
      <c r="DP35" s="83" t="str">
        <f aca="false">$DD35</f>
        <v/>
      </c>
      <c r="DQ35" s="84" t="str">
        <f aca="false">$DC35</f>
        <v/>
      </c>
      <c r="DR35" s="82" t="str">
        <f aca="false">IF(ISBLANK($C35),"",$DF35)</f>
        <v/>
      </c>
      <c r="DS35" s="85" t="str">
        <f aca="false">IF($DJ35&gt;$DI$8,"",VLOOKUP($DJ35,$DL$9:$DR$508,7,FALSE()))</f>
        <v/>
      </c>
      <c r="DT35" s="86" t="str">
        <f aca="false">IF($DJ35&gt;$DI$8,"",VLOOKUP($DJ35,$DL$9:$DR$508,2,FALSE()))</f>
        <v/>
      </c>
      <c r="DU35" s="86" t="str">
        <f aca="false">IF($DJ35&gt;$DI$8,"",VLOOKUP($DJ35,$DL$9:$DR$508,3,FALSE()))</f>
        <v/>
      </c>
      <c r="DV35" s="86" t="str">
        <f aca="false">IF($DJ35&gt;$DI$8,"",VLOOKUP($DJ35,$DL$9:$DR$508,4,FALSE()))</f>
        <v/>
      </c>
      <c r="DW35" s="86" t="str">
        <f aca="false">IF($DJ35&gt;$DI$8,"",VLOOKUP($DJ35,$DL$9:$DR$508,5,FALSE()))</f>
        <v/>
      </c>
      <c r="DX35" s="87" t="str">
        <f aca="false">IF($DJ35&gt;$DI$8,"",VLOOKUP($DJ35,$DL$9:$DR$508,6,FALSE()))</f>
        <v/>
      </c>
      <c r="DY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127"/>
      <c r="N36" s="127"/>
      <c r="O36" s="128"/>
      <c r="P36" s="128"/>
      <c r="Q36" s="127"/>
      <c r="R36" s="127"/>
      <c r="S36" s="127"/>
      <c r="T36" s="127"/>
      <c r="U36" s="128"/>
      <c r="V36" s="127"/>
      <c r="W36" s="96"/>
      <c r="X36" s="127"/>
      <c r="Y36" s="127"/>
      <c r="Z36" s="96"/>
      <c r="AA36" s="96"/>
      <c r="AB36" s="127"/>
      <c r="AC36" s="127"/>
      <c r="AD36" s="127"/>
      <c r="AE36" s="97"/>
      <c r="AF36" s="130"/>
      <c r="AG36" s="99"/>
      <c r="AH36" s="100"/>
      <c r="AI36" s="100"/>
      <c r="AJ36" s="100" t="str">
        <f aca="false">IF(ISBLANK($C36),"",IF($E36=Constants!$B$2,TRUE(),IF($E36=Constants!$B$3,FALSE(),TRUE())))</f>
        <v/>
      </c>
      <c r="AK36" s="100" t="str">
        <f aca="false">IF(ISBLANK($C36),"",IF($F36=Constants!$B$2,TRUE(),IF($F36=Constants!$B$3,FALSE(),FALSE())))</f>
        <v/>
      </c>
      <c r="AL36" s="100" t="str">
        <f aca="false">IF(ISBLANK($C36),"",IF($G36=Constants!$B$2,TRUE(),IF($G36=Constants!$B$3,FALSE(),TRUE())))</f>
        <v/>
      </c>
      <c r="AM36" s="100" t="str">
        <f aca="false">IF(ISBLANK($C36),"",IF($H36=Constants!$B$2,TRUE(),IF($H36=Constants!$B$3,FALSE(),TRUE())))</f>
        <v/>
      </c>
      <c r="AN36" s="100" t="str">
        <f aca="false">IF(ISBLANK($C36),"",IF(ISNUMBER($I36),IF($I36&gt;=0,$I36,""),""))</f>
        <v/>
      </c>
      <c r="AO36" s="100" t="str">
        <f aca="false">IF(ISBLANK($C36),"",IF(ISNUMBER($J36),IF($J36&gt;=0,$J36,""),""))</f>
        <v/>
      </c>
      <c r="AP36" s="100" t="str">
        <f aca="false">IF(ISBLANK($C36),"",IF(ISNUMBER($K36),IF($K36&gt;=0,$K36,""),""))</f>
        <v/>
      </c>
      <c r="AQ36" s="100" t="str">
        <f aca="false">IF(ISBLANK($C36),"",IF($L36=Constants!$B$2,TRUE(),IF($L36=Constants!$B$3,FALSE(),TRUE())))</f>
        <v/>
      </c>
      <c r="AR36" s="100" t="str">
        <f aca="false">IF(ISBLANK($C36),"",IF($M36=Constants!$B$2,TRUE(),IF($M36=Constants!$B$3,FALSE(),TRUE())))</f>
        <v/>
      </c>
      <c r="AS36" s="100" t="str">
        <f aca="false">IF(ISBLANK($C36),"",IF($N36=Constants!$B$2,TRUE(),IF($N36=Constants!$B$3,FALSE(),FALSE())))</f>
        <v/>
      </c>
      <c r="AT36" s="100" t="str">
        <f aca="false">IF(ISBLANK($C36),"",IF($O36=Constants!$B$2,TRUE(),IF($O36=Constants!$B$3,FALSE(),TRUE())))</f>
        <v/>
      </c>
      <c r="AU36" s="100" t="str">
        <f aca="false">IF(ISBLANK($C36),"",IF($P36=Constants!$B$2,TRUE(),IF($P36=Constants!$B$3,FALSE(),TRUE())))</f>
        <v/>
      </c>
      <c r="AV36" s="100" t="str">
        <f aca="false">IF(ISBLANK($C36),"",IF($Q36=Constants!$B$2,TRUE(),IF($Q36=Constants!$B$3,FALSE(),FALSE())))</f>
        <v/>
      </c>
      <c r="AW36" s="100" t="str">
        <f aca="false">IF(ISBLANK($C36),"",IF($R36=Constants!$B$2,TRUE(),IF($R36=Constants!$B$3,FALSE(),FALSE())))</f>
        <v/>
      </c>
      <c r="AX36" s="100" t="str">
        <f aca="false">IF(ISBLANK($C36),"",IF($S36=Constants!$B$2,TRUE(),IF($S36=Constants!$B$3,FALSE(),FALSE())))</f>
        <v/>
      </c>
      <c r="AY36" s="100" t="str">
        <f aca="false">IF(ISBLANK($C36),"",IF($T36=Constants!$B$2,TRUE(),IF($T36=Constants!$B$3,FALSE(),FALSE())))</f>
        <v/>
      </c>
      <c r="AZ36" s="100" t="str">
        <f aca="false">IF(ISBLANK($C36),"",IF($U36=Constants!$B$2,TRUE(),IF($U36=Constants!$B$3,FALSE(),FALSE())))</f>
        <v/>
      </c>
      <c r="BA36" s="100" t="str">
        <f aca="false">IF(ISBLANK($C36),"",IF(OR($V36&amp;""="1",$V36&amp;""="2",$V36&amp;""="3",$V36&amp;""="4"),VALUE($V36&amp;""),IF($V36=Constants!$B$12,Constants!$B$12,"")))</f>
        <v/>
      </c>
      <c r="BB36" s="100" t="str">
        <f aca="false">IF(ISBLANK($C36),"",IF(ISBLANK($W36),0,IF(ISNUMBER($W36),IF(AND($W36&gt;=0,$W36&lt;=Constants!$B$21,$W36=INT($W36)),$W36,""),"")))</f>
        <v/>
      </c>
      <c r="BC36" s="100" t="str">
        <f aca="false">IF(ISBLANK($C36),"",IF(ISBLANK($X36),0,IF(ISNUMBER($X36),IF($X36&gt;=0,$X36,""),"")))</f>
        <v/>
      </c>
      <c r="BD36" s="100" t="str">
        <f aca="false">IF(ISBLANK($C36),"",IF($Y36=Constants!$B$2,TRUE(),IF($Y36=Constants!$B$3,FALSE(),TRUE())))</f>
        <v/>
      </c>
      <c r="BE36" s="100" t="str">
        <f aca="false">IF(ISBLANK($C36),"",IF($Z36=Constants!$B$2,TRUE(),IF($Z36=Constants!$B$3,FALSE(),FALSE())))</f>
        <v/>
      </c>
      <c r="BF36" s="100" t="str">
        <f aca="false">IF(ISBLANK($C36),"",IF(ISBLANK($AA36),0,IF(ISNUMBER($AA36),IF(AND($AA36&gt;=0,$AA36&lt;=Constants!$B$35,$AA36=INT($AA36)),$AA36,""),"")))</f>
        <v/>
      </c>
      <c r="BG36" s="100" t="str">
        <f aca="false">IF(ISBLANK($C36),"",IF($AB36=Constants!$B$2,TRUE(),IF($AB36=Constants!$B$3,FALSE(),TRUE())))</f>
        <v/>
      </c>
      <c r="BH36" s="100" t="str">
        <f aca="false">IF(ISBLANK($C36),"",IF($AC36=Constants!$B$2,TRUE(),IF($AC36=Constants!$B$3,FALSE(),TRUE())))</f>
        <v/>
      </c>
      <c r="BI36" s="100" t="str">
        <f aca="false">IF(ISBLANK($C36),"",IF($AD36=Constants!$B$2,TRUE(),IF($AD36=Constants!$B$3,FALSE(),TRUE())))</f>
        <v/>
      </c>
      <c r="BJ36" s="100" t="str">
        <f aca="false">IF(ISBLANK($C36),"",IF(ISNUMBER($AE36),IF($AE36&gt;=0,$AE36,""),""))</f>
        <v/>
      </c>
      <c r="BK36" s="100" t="str">
        <f aca="false">IF(ISBLANK($C36),"",IF($AF36=Constants!$B$2,TRUE(),IF($AF36=Constants!$B$3,FALSE(),FALSE())))</f>
        <v/>
      </c>
      <c r="BL36" s="99" t="str">
        <f aca="false">IF(ISBLANK($C36),"",IF($BK36,Constants!$B$7,IF(COUNTA($E36:$AE36)=0,Constants!$B$6,IF(OR(COUNTA($G36:$AE36)=0,NOT($AM36),$AS36),Constants!$B$5,IF(OR($CM36&lt;&gt;"",$CN36,$CO36,$CP36,$CQ36,$CR36,$CS36),Constants!$B$8,Constants!$B$4)))))</f>
        <v/>
      </c>
      <c r="BM36" s="100" t="str">
        <f aca="false">IF(ISBLANK($C36),"",IF($BL36&lt;&gt;Constants!$B$4,$BL36,IF(OR(NOT($AJ36),NOT($AL36),NOT($AT36)),Constants!$B$11,IF(OR(NOT($AR36),NOT($AU36),NOT($BI36),MAX($AN36,$AO36,$AP36)&gt;Constants!$B$30),Constants!$B$10,Constants!$B$9))))</f>
        <v/>
      </c>
      <c r="BN36" s="100" t="str">
        <f aca="false">IF($BL36&lt;&gt;Constants!$B$4,"",IF(NOT($AL36),0,MIN(Constants!$B$35,$BF36)))</f>
        <v/>
      </c>
      <c r="BO36" s="100" t="str">
        <f aca="false">IF($BL36&lt;&gt;Constants!$B$4,"",IF(NOT($AL36),0,IF($AW36,Constants!$B$18,IF($AV36,Constants!$B$17,0))))</f>
        <v/>
      </c>
      <c r="BP36" s="100" t="str">
        <f aca="false">IF($BL36&lt;&gt;Constants!$B$4,"",IF(NOT($AL36),0,Constants!$B$19*($AK36+$AX36+$AY36+$AZ36)))</f>
        <v/>
      </c>
      <c r="BQ36" s="100" t="str">
        <f aca="false">IF($BL36&lt;&gt;Constants!$B$4,"",IF(OR(NOT($AL36),NOT(ISNUMBER($BA36))),0,CHOOSE($BA36,Constants!$B$13,Constants!$B$14,Constants!$B$15,Constants!$B$16)))</f>
        <v/>
      </c>
      <c r="BR36" s="100" t="str">
        <f aca="false">IF($BL36&lt;&gt;Constants!$B$4,"",IF(NOT($AL36),0,Constants!$B$20*$BB36))</f>
        <v/>
      </c>
      <c r="BS36" s="100" t="str">
        <f aca="false">IF($BL36&lt;&gt;Constants!$B$4,"",IF(AND($AL36,$BD36,$BE36),Constants!$B$22,0))</f>
        <v/>
      </c>
      <c r="BT36" s="100" t="str">
        <f aca="false">IF($BL36&lt;&gt;Constants!$B$4,"",IF(OR(NOT($AL36),NOT($BD36)),0,IF($BJ36&gt;=2*$AH$9,0,Constants!$B$23*INT(ROUND(MIN($BJ36,$AH$9),6)))))</f>
        <v/>
      </c>
      <c r="BU36" s="100" t="str">
        <f aca="false">IF($BL36&lt;&gt;Constants!$B$4,"",IF(NOT($AL36),0,Constants!$B$24*INT(ROUND(MIN($BC36,$AH$9),6))))</f>
        <v/>
      </c>
      <c r="BV36" s="100" t="str">
        <f aca="false">IF($BL36&lt;&gt;Constants!$B$4,"",IF(AND($AL36,$BN36=0),Constants!$B$25,0))</f>
        <v/>
      </c>
      <c r="BW36" s="100" t="str">
        <f aca="false">IF($BL36&lt;&gt;Constants!$B$4,"",MIN(Constants!$B$29,MAX(0,Constants!$B$27*Constants!$B$28*INT(ROUND((Constants!$B$26-$AN36)/Constants!$B$28,6))))+MIN(Constants!$B$29,MAX(0,Constants!$B$27*Constants!$B$28*INT(ROUND((Constants!$B$26-$AO36)/Constants!$B$28,6))))+MIN(Constants!$B$29,MAX(0,Constants!$B$27*Constants!$B$28*INT(ROUND((Constants!$B$26-$AP36)/Constants!$B$28,6)))))</f>
        <v/>
      </c>
      <c r="BX36" s="100" t="str">
        <f aca="false">IF($BL36&lt;&gt;Constants!$B$4,"",IF(NOT($AL36),0,Constants!$B$31*INT(ROUND(MAX(0,MIN($BJ36,2*$AH$9)-$AH$9),6))))</f>
        <v/>
      </c>
      <c r="BY36" s="100" t="str">
        <f aca="false">IF($BL36&lt;&gt;Constants!$B$4,"",Constants!$B$32*(($AN36&gt;Constants!$B$26)+($AO36&gt;Constants!$B$26)+($AP36&gt;Constants!$B$26)))</f>
        <v/>
      </c>
      <c r="BZ36" s="100" t="str">
        <f aca="false">IF($BL36&lt;&gt;Constants!$B$4,"",IF(OR(NOT($AL36),$AQ36),0,Constants!$B$33))</f>
        <v/>
      </c>
      <c r="CA36" s="100" t="str">
        <f aca="false">IF($BL36&lt;&gt;Constants!$B$4,"",Constants!$B$34*$BN36)</f>
        <v/>
      </c>
      <c r="CB36" s="100" t="str">
        <f aca="false">IF($BL36&lt;&gt;Constants!$B$4,"",IF(OR(NOT($AL36),$BH36),0,Constants!$B$36))</f>
        <v/>
      </c>
      <c r="CC36" s="100" t="str">
        <f aca="false">IF($BL36&lt;&gt;Constants!$B$4,"",IF(OR(NOT($AL36),$BG36),0,Constants!$B$37))</f>
        <v/>
      </c>
      <c r="CD36" s="100" t="str">
        <f aca="false">IF($BL36&lt;&gt;Constants!$B$4,"",SUM($BX36:$CC36))</f>
        <v/>
      </c>
      <c r="CE36" s="100" t="str">
        <f aca="false">IF(ISBLANK($C36),"",IF($BL36&lt;&gt;Constants!$B$4,$BL36,SUM($BO36:$BW36)-$CD36))</f>
        <v/>
      </c>
      <c r="CF36" s="100" t="str">
        <f aca="false">IF(ISBLANK($C36),"",IF($BL36&lt;&gt;Constants!$B$4,$BL36,RANK($CE36,$CE$9:$CE$508)))</f>
        <v/>
      </c>
      <c r="CG36" s="100" t="str">
        <f aca="false">IF(ISBLANK($C36),"",IF($BL36&lt;&gt;Constants!$B$4,$BL36,COUNTIFS($BM$9:$BM$508,"&lt;"&amp;$BM36)+COUNTIFS($BM$9:$BM$508,$BM36,$CF$9:$CF$508,"&lt;"&amp;$CF36)+1))</f>
        <v/>
      </c>
      <c r="CH36" s="100" t="str">
        <f aca="false">IF(ISBLANK($C36),"",IF($BL36&lt;&gt;Constants!$B$4,$BL36,RANK($CD36,$CD$9:$CD$508,1)))</f>
        <v/>
      </c>
      <c r="CI36" s="100" t="str">
        <f aca="false">IF($BL36&lt;&gt;Constants!$B$4,"",$AN36+$AO36+$AP36)</f>
        <v/>
      </c>
      <c r="CJ36" s="100" t="str">
        <f aca="false">IF(ISBLANK($C36),"",IF($BL36&lt;&gt;Constants!$B$4,$BL36,RANK($CI36,$CI$9:$CI$508,1)))</f>
        <v/>
      </c>
      <c r="CK36" s="100" t="str">
        <f aca="false">IF(ISBLANK($C36),"",IF($BL36&lt;&gt;Constants!$B$4,$BL36,COUNTIFS($BM$9:$BM$508,"&lt;"&amp;$BM36)+COUNTIFS($BM$9:$BM$508,$BM36,$CF$9:$CF$508,"&lt;"&amp;$CF36)+COUNTIFS($BM$9:$BM$508,$BM36,$CF$9:$CF$508,$CF36,$CH$9:$CH$508,"&lt;"&amp;$CH36)+COUNTIFS($BM$9:$BM$508,$BM36,$CF$9:$CF$508,$CF36,$CH$9:$CH$508,$CH36,$CJ$9:$CJ$508,"&lt;"&amp;$CJ36)+1))</f>
        <v/>
      </c>
      <c r="CL36" s="100" t="str">
        <f aca="false">IF(ISBLANK($C36),"",IF($BL36&lt;&gt;Constants!$B$4,$BL36,$CG36-$CK36))</f>
        <v/>
      </c>
      <c r="CM36" s="100" t="str">
        <f aca="false">IF(ISBLANK($C36),"",IF(NOT($AL36),"",IF(ISBLANK($D$7),$CM$5,IF(NOT(ISNUMBER($D$7)),$CM$6,""))))</f>
        <v/>
      </c>
      <c r="CN36" s="100" t="str">
        <f aca="false">IF(ISBLANK($C36),"",OR($AN36="",$AO36="",$AP36=""))</f>
        <v/>
      </c>
      <c r="CO36" s="100" t="str">
        <f aca="false">IF(ISBLANK($C36),"",AND($AL36,$BA36=""))</f>
        <v/>
      </c>
      <c r="CP36" s="100" t="str">
        <f aca="false">IF(ISBLANK($C36),"",AND($AL36,$BB36=""))</f>
        <v/>
      </c>
      <c r="CQ36" s="100" t="str">
        <f aca="false">IF(ISBLANK($C36),"",AND($AL36,$BC36=""))</f>
        <v/>
      </c>
      <c r="CR36" s="100" t="str">
        <f aca="false">IF(ISBLANK($C36),"",AND($AL36,$BF36=""))</f>
        <v/>
      </c>
      <c r="CS36" s="100" t="str">
        <f aca="false">IF(ISBLANK($C36),"",AND($AL36,$BJ36=""))</f>
        <v/>
      </c>
      <c r="CT36" s="101"/>
      <c r="CU36" s="102"/>
      <c r="CV36" s="103" t="str">
        <f aca="false">IF(ISBLANK($C36),"",IF($BL36=Constants!$B$8,$CM36,""))</f>
        <v/>
      </c>
      <c r="CW36" s="102" t="str">
        <f aca="false">IF(ISBLANK($C36),"",IF($BL36&lt;&gt;Constants!$B$4,"",$BO36+$BP36))</f>
        <v/>
      </c>
      <c r="CX36" s="104" t="str">
        <f aca="false">IF(ISBLANK($C36),"",IF($BL36&lt;&gt;Constants!$B$4,"",$BQ36+$BR36+$BS36))</f>
        <v/>
      </c>
      <c r="CY36" s="104" t="str">
        <f aca="false">IF(ISBLANK($C36),"",IF($BL36&lt;&gt;Constants!$B$4,"",$BT36))</f>
        <v/>
      </c>
      <c r="CZ36" s="104" t="str">
        <f aca="false">IF(ISBLANK($C36),"",IF($BL36&lt;&gt;Constants!$B$4,"",$BU36+$BV36))</f>
        <v/>
      </c>
      <c r="DA36" s="104" t="str">
        <f aca="false">IF(ISBLANK($C36),"",IF($BL36&lt;&gt;Constants!$B$4,"",$BW36))</f>
        <v/>
      </c>
      <c r="DB36" s="104" t="str">
        <f aca="false">IF(ISBLANK($C36),"",IF($BL36&lt;&gt;Constants!$B$4,"",-$CD36))</f>
        <v/>
      </c>
      <c r="DC36" s="103" t="str">
        <f aca="false">IF(ISBLANK($C36),"",$CE36)</f>
        <v/>
      </c>
      <c r="DD36" s="105" t="str">
        <f aca="false">IF(ISBLANK($C36),"",$BM36)</f>
        <v/>
      </c>
      <c r="DE36" s="104" t="str">
        <f aca="false">IF(ISBLANK($C36),"",$CL36)</f>
        <v/>
      </c>
      <c r="DF36" s="104" t="str">
        <f aca="false">IF(ISBLANK($C36),"",$CK36)</f>
        <v/>
      </c>
      <c r="DG36" s="106" t="str">
        <f aca="false">IF(ISBLANK($C36),"",IF($DF36=Constants!$B$7,COUNTA($C$9:$C$508)+2,IF($DF36=Constants!$B$6,COUNTA($C$9:$C$508)+1,IF($DF36=Constants!$B$5,COUNTA($C$9:$C$508),$DF36))))</f>
        <v/>
      </c>
      <c r="DH36" s="7"/>
      <c r="DI36" s="107" t="n">
        <f aca="false">IF(OR(ISNUMBER($DF36),$DF36=Constants!$B$7,$DF36=Constants!$B$5,$DF36=Constants!$B$6),1,0)</f>
        <v>0</v>
      </c>
      <c r="DJ36" s="107" t="n">
        <v>28</v>
      </c>
      <c r="DK36" s="107" t="str">
        <f aca="false">IF(ISBLANK($C36),"",IF(ISNUMBER($DG36),$DG36+ROW($B36)/1000,""))</f>
        <v/>
      </c>
      <c r="DL36" s="107" t="str">
        <f aca="false">IF(ISNUMBER($DK36),RANK($DK36,$DK$9:$DK$508,1),"")</f>
        <v/>
      </c>
      <c r="DM36" s="107" t="str">
        <f aca="false">IF(ISBLANK($C36),"",$B36)</f>
        <v/>
      </c>
      <c r="DN36" s="107" t="str">
        <f aca="false">IF(ISBLANK($C36),"",$C36)</f>
        <v/>
      </c>
      <c r="DO36" s="107" t="str">
        <f aca="false">IF(ISBLANK($C36),"",$D36)</f>
        <v/>
      </c>
      <c r="DP36" s="108" t="str">
        <f aca="false">$DD36</f>
        <v/>
      </c>
      <c r="DQ36" s="109" t="str">
        <f aca="false">$DC36</f>
        <v/>
      </c>
      <c r="DR36" s="107" t="str">
        <f aca="false">IF(ISBLANK($C36),"",$DF36)</f>
        <v/>
      </c>
      <c r="DS36" s="110" t="str">
        <f aca="false">IF($DJ36&gt;$DI$8,"",VLOOKUP($DJ36,$DL$9:$DR$508,7,FALSE()))</f>
        <v/>
      </c>
      <c r="DT36" s="111" t="str">
        <f aca="false">IF($DJ36&gt;$DI$8,"",VLOOKUP($DJ36,$DL$9:$DR$508,2,FALSE()))</f>
        <v/>
      </c>
      <c r="DU36" s="111" t="str">
        <f aca="false">IF($DJ36&gt;$DI$8,"",VLOOKUP($DJ36,$DL$9:$DR$508,3,FALSE()))</f>
        <v/>
      </c>
      <c r="DV36" s="111" t="str">
        <f aca="false">IF($DJ36&gt;$DI$8,"",VLOOKUP($DJ36,$DL$9:$DR$508,4,FALSE()))</f>
        <v/>
      </c>
      <c r="DW36" s="111" t="str">
        <f aca="false">IF($DJ36&gt;$DI$8,"",VLOOKUP($DJ36,$DL$9:$DR$508,5,FALSE()))</f>
        <v/>
      </c>
      <c r="DX36" s="112" t="str">
        <f aca="false">IF($DJ36&gt;$DI$8,"",VLOOKUP($DJ36,$DL$9:$DR$508,6,FALSE()))</f>
        <v/>
      </c>
      <c r="DY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14"/>
      <c r="N37" s="114"/>
      <c r="O37" s="115"/>
      <c r="P37" s="115"/>
      <c r="Q37" s="114"/>
      <c r="R37" s="114"/>
      <c r="S37" s="114"/>
      <c r="T37" s="114"/>
      <c r="U37" s="115"/>
      <c r="V37" s="114"/>
      <c r="W37" s="132"/>
      <c r="X37" s="114"/>
      <c r="Y37" s="114"/>
      <c r="Z37" s="132"/>
      <c r="AA37" s="132"/>
      <c r="AB37" s="114"/>
      <c r="AC37" s="114"/>
      <c r="AD37" s="114"/>
      <c r="AE37" s="133"/>
      <c r="AF37" s="116"/>
      <c r="AG37" s="99"/>
      <c r="AH37" s="100"/>
      <c r="AI37" s="100"/>
      <c r="AJ37" s="100" t="str">
        <f aca="false">IF(ISBLANK($C37),"",IF($E37=Constants!$B$2,TRUE(),IF($E37=Constants!$B$3,FALSE(),TRUE())))</f>
        <v/>
      </c>
      <c r="AK37" s="100" t="str">
        <f aca="false">IF(ISBLANK($C37),"",IF($F37=Constants!$B$2,TRUE(),IF($F37=Constants!$B$3,FALSE(),FALSE())))</f>
        <v/>
      </c>
      <c r="AL37" s="100" t="str">
        <f aca="false">IF(ISBLANK($C37),"",IF($G37=Constants!$B$2,TRUE(),IF($G37=Constants!$B$3,FALSE(),TRUE())))</f>
        <v/>
      </c>
      <c r="AM37" s="100" t="str">
        <f aca="false">IF(ISBLANK($C37),"",IF($H37=Constants!$B$2,TRUE(),IF($H37=Constants!$B$3,FALSE(),TRUE())))</f>
        <v/>
      </c>
      <c r="AN37" s="100" t="str">
        <f aca="false">IF(ISBLANK($C37),"",IF(ISNUMBER($I37),IF($I37&gt;=0,$I37,""),""))</f>
        <v/>
      </c>
      <c r="AO37" s="100" t="str">
        <f aca="false">IF(ISBLANK($C37),"",IF(ISNUMBER($J37),IF($J37&gt;=0,$J37,""),""))</f>
        <v/>
      </c>
      <c r="AP37" s="100" t="str">
        <f aca="false">IF(ISBLANK($C37),"",IF(ISNUMBER($K37),IF($K37&gt;=0,$K37,""),""))</f>
        <v/>
      </c>
      <c r="AQ37" s="100" t="str">
        <f aca="false">IF(ISBLANK($C37),"",IF($L37=Constants!$B$2,TRUE(),IF($L37=Constants!$B$3,FALSE(),TRUE())))</f>
        <v/>
      </c>
      <c r="AR37" s="100" t="str">
        <f aca="false">IF(ISBLANK($C37),"",IF($M37=Constants!$B$2,TRUE(),IF($M37=Constants!$B$3,FALSE(),TRUE())))</f>
        <v/>
      </c>
      <c r="AS37" s="100" t="str">
        <f aca="false">IF(ISBLANK($C37),"",IF($N37=Constants!$B$2,TRUE(),IF($N37=Constants!$B$3,FALSE(),FALSE())))</f>
        <v/>
      </c>
      <c r="AT37" s="100" t="str">
        <f aca="false">IF(ISBLANK($C37),"",IF($O37=Constants!$B$2,TRUE(),IF($O37=Constants!$B$3,FALSE(),TRUE())))</f>
        <v/>
      </c>
      <c r="AU37" s="100" t="str">
        <f aca="false">IF(ISBLANK($C37),"",IF($P37=Constants!$B$2,TRUE(),IF($P37=Constants!$B$3,FALSE(),TRUE())))</f>
        <v/>
      </c>
      <c r="AV37" s="100" t="str">
        <f aca="false">IF(ISBLANK($C37),"",IF($Q37=Constants!$B$2,TRUE(),IF($Q37=Constants!$B$3,FALSE(),FALSE())))</f>
        <v/>
      </c>
      <c r="AW37" s="100" t="str">
        <f aca="false">IF(ISBLANK($C37),"",IF($R37=Constants!$B$2,TRUE(),IF($R37=Constants!$B$3,FALSE(),FALSE())))</f>
        <v/>
      </c>
      <c r="AX37" s="100" t="str">
        <f aca="false">IF(ISBLANK($C37),"",IF($S37=Constants!$B$2,TRUE(),IF($S37=Constants!$B$3,FALSE(),FALSE())))</f>
        <v/>
      </c>
      <c r="AY37" s="100" t="str">
        <f aca="false">IF(ISBLANK($C37),"",IF($T37=Constants!$B$2,TRUE(),IF($T37=Constants!$B$3,FALSE(),FALSE())))</f>
        <v/>
      </c>
      <c r="AZ37" s="100" t="str">
        <f aca="false">IF(ISBLANK($C37),"",IF($U37=Constants!$B$2,TRUE(),IF($U37=Constants!$B$3,FALSE(),FALSE())))</f>
        <v/>
      </c>
      <c r="BA37" s="100" t="str">
        <f aca="false">IF(ISBLANK($C37),"",IF(OR($V37&amp;""="1",$V37&amp;""="2",$V37&amp;""="3",$V37&amp;""="4"),VALUE($V37&amp;""),IF($V37=Constants!$B$12,Constants!$B$12,"")))</f>
        <v/>
      </c>
      <c r="BB37" s="100" t="str">
        <f aca="false">IF(ISBLANK($C37),"",IF(ISBLANK($W37),0,IF(ISNUMBER($W37),IF(AND($W37&gt;=0,$W37&lt;=Constants!$B$21,$W37=INT($W37)),$W37,""),"")))</f>
        <v/>
      </c>
      <c r="BC37" s="100" t="str">
        <f aca="false">IF(ISBLANK($C37),"",IF(ISBLANK($X37),0,IF(ISNUMBER($X37),IF($X37&gt;=0,$X37,""),"")))</f>
        <v/>
      </c>
      <c r="BD37" s="100" t="str">
        <f aca="false">IF(ISBLANK($C37),"",IF($Y37=Constants!$B$2,TRUE(),IF($Y37=Constants!$B$3,FALSE(),TRUE())))</f>
        <v/>
      </c>
      <c r="BE37" s="100" t="str">
        <f aca="false">IF(ISBLANK($C37),"",IF($Z37=Constants!$B$2,TRUE(),IF($Z37=Constants!$B$3,FALSE(),FALSE())))</f>
        <v/>
      </c>
      <c r="BF37" s="100" t="str">
        <f aca="false">IF(ISBLANK($C37),"",IF(ISBLANK($AA37),0,IF(ISNUMBER($AA37),IF(AND($AA37&gt;=0,$AA37&lt;=Constants!$B$35,$AA37=INT($AA37)),$AA37,""),"")))</f>
        <v/>
      </c>
      <c r="BG37" s="100" t="str">
        <f aca="false">IF(ISBLANK($C37),"",IF($AB37=Constants!$B$2,TRUE(),IF($AB37=Constants!$B$3,FALSE(),TRUE())))</f>
        <v/>
      </c>
      <c r="BH37" s="100" t="str">
        <f aca="false">IF(ISBLANK($C37),"",IF($AC37=Constants!$B$2,TRUE(),IF($AC37=Constants!$B$3,FALSE(),TRUE())))</f>
        <v/>
      </c>
      <c r="BI37" s="100" t="str">
        <f aca="false">IF(ISBLANK($C37),"",IF($AD37=Constants!$B$2,TRUE(),IF($AD37=Constants!$B$3,FALSE(),TRUE())))</f>
        <v/>
      </c>
      <c r="BJ37" s="100" t="str">
        <f aca="false">IF(ISBLANK($C37),"",IF(ISNUMBER($AE37),IF($AE37&gt;=0,$AE37,""),""))</f>
        <v/>
      </c>
      <c r="BK37" s="100" t="str">
        <f aca="false">IF(ISBLANK($C37),"",IF($AF37=Constants!$B$2,TRUE(),IF($AF37=Constants!$B$3,FALSE(),FALSE())))</f>
        <v/>
      </c>
      <c r="BL37" s="99" t="str">
        <f aca="false">IF(ISBLANK($C37),"",IF($BK37,Constants!$B$7,IF(COUNTA($E37:$AE37)=0,Constants!$B$6,IF(OR(COUNTA($G37:$AE37)=0,NOT($AM37),$AS37),Constants!$B$5,IF(OR($CM37&lt;&gt;"",$CN37,$CO37,$CP37,$CQ37,$CR37,$CS37),Constants!$B$8,Constants!$B$4)))))</f>
        <v/>
      </c>
      <c r="BM37" s="100" t="str">
        <f aca="false">IF(ISBLANK($C37),"",IF($BL37&lt;&gt;Constants!$B$4,$BL37,IF(OR(NOT($AJ37),NOT($AL37),NOT($AT37)),Constants!$B$11,IF(OR(NOT($AR37),NOT($AU37),NOT($BI37),MAX($AN37,$AO37,$AP37)&gt;Constants!$B$30),Constants!$B$10,Constants!$B$9))))</f>
        <v/>
      </c>
      <c r="BN37" s="100" t="str">
        <f aca="false">IF($BL37&lt;&gt;Constants!$B$4,"",IF(NOT($AL37),0,MIN(Constants!$B$35,$BF37)))</f>
        <v/>
      </c>
      <c r="BO37" s="100" t="str">
        <f aca="false">IF($BL37&lt;&gt;Constants!$B$4,"",IF(NOT($AL37),0,IF($AW37,Constants!$B$18,IF($AV37,Constants!$B$17,0))))</f>
        <v/>
      </c>
      <c r="BP37" s="100" t="str">
        <f aca="false">IF($BL37&lt;&gt;Constants!$B$4,"",IF(NOT($AL37),0,Constants!$B$19*($AK37+$AX37+$AY37+$AZ37)))</f>
        <v/>
      </c>
      <c r="BQ37" s="100" t="str">
        <f aca="false">IF($BL37&lt;&gt;Constants!$B$4,"",IF(OR(NOT($AL37),NOT(ISNUMBER($BA37))),0,CHOOSE($BA37,Constants!$B$13,Constants!$B$14,Constants!$B$15,Constants!$B$16)))</f>
        <v/>
      </c>
      <c r="BR37" s="100" t="str">
        <f aca="false">IF($BL37&lt;&gt;Constants!$B$4,"",IF(NOT($AL37),0,Constants!$B$20*$BB37))</f>
        <v/>
      </c>
      <c r="BS37" s="100" t="str">
        <f aca="false">IF($BL37&lt;&gt;Constants!$B$4,"",IF(AND($AL37,$BD37,$BE37),Constants!$B$22,0))</f>
        <v/>
      </c>
      <c r="BT37" s="100" t="str">
        <f aca="false">IF($BL37&lt;&gt;Constants!$B$4,"",IF(OR(NOT($AL37),NOT($BD37)),0,IF($BJ37&gt;=2*$AH$9,0,Constants!$B$23*INT(ROUND(MIN($BJ37,$AH$9),6)))))</f>
        <v/>
      </c>
      <c r="BU37" s="100" t="str">
        <f aca="false">IF($BL37&lt;&gt;Constants!$B$4,"",IF(NOT($AL37),0,Constants!$B$24*INT(ROUND(MIN($BC37,$AH$9),6))))</f>
        <v/>
      </c>
      <c r="BV37" s="100" t="str">
        <f aca="false">IF($BL37&lt;&gt;Constants!$B$4,"",IF(AND($AL37,$BN37=0),Constants!$B$25,0))</f>
        <v/>
      </c>
      <c r="BW37" s="100" t="str">
        <f aca="false">IF($BL37&lt;&gt;Constants!$B$4,"",MIN(Constants!$B$29,MAX(0,Constants!$B$27*Constants!$B$28*INT(ROUND((Constants!$B$26-$AN37)/Constants!$B$28,6))))+MIN(Constants!$B$29,MAX(0,Constants!$B$27*Constants!$B$28*INT(ROUND((Constants!$B$26-$AO37)/Constants!$B$28,6))))+MIN(Constants!$B$29,MAX(0,Constants!$B$27*Constants!$B$28*INT(ROUND((Constants!$B$26-$AP37)/Constants!$B$28,6)))))</f>
        <v/>
      </c>
      <c r="BX37" s="100" t="str">
        <f aca="false">IF($BL37&lt;&gt;Constants!$B$4,"",IF(NOT($AL37),0,Constants!$B$31*INT(ROUND(MAX(0,MIN($BJ37,2*$AH$9)-$AH$9),6))))</f>
        <v/>
      </c>
      <c r="BY37" s="100" t="str">
        <f aca="false">IF($BL37&lt;&gt;Constants!$B$4,"",Constants!$B$32*(($AN37&gt;Constants!$B$26)+($AO37&gt;Constants!$B$26)+($AP37&gt;Constants!$B$26)))</f>
        <v/>
      </c>
      <c r="BZ37" s="100" t="str">
        <f aca="false">IF($BL37&lt;&gt;Constants!$B$4,"",IF(OR(NOT($AL37),$AQ37),0,Constants!$B$33))</f>
        <v/>
      </c>
      <c r="CA37" s="100" t="str">
        <f aca="false">IF($BL37&lt;&gt;Constants!$B$4,"",Constants!$B$34*$BN37)</f>
        <v/>
      </c>
      <c r="CB37" s="100" t="str">
        <f aca="false">IF($BL37&lt;&gt;Constants!$B$4,"",IF(OR(NOT($AL37),$BH37),0,Constants!$B$36))</f>
        <v/>
      </c>
      <c r="CC37" s="100" t="str">
        <f aca="false">IF($BL37&lt;&gt;Constants!$B$4,"",IF(OR(NOT($AL37),$BG37),0,Constants!$B$37))</f>
        <v/>
      </c>
      <c r="CD37" s="100" t="str">
        <f aca="false">IF($BL37&lt;&gt;Constants!$B$4,"",SUM($BX37:$CC37))</f>
        <v/>
      </c>
      <c r="CE37" s="100" t="str">
        <f aca="false">IF(ISBLANK($C37),"",IF($BL37&lt;&gt;Constants!$B$4,$BL37,SUM($BO37:$BW37)-$CD37))</f>
        <v/>
      </c>
      <c r="CF37" s="100" t="str">
        <f aca="false">IF(ISBLANK($C37),"",IF($BL37&lt;&gt;Constants!$B$4,$BL37,RANK($CE37,$CE$9:$CE$508)))</f>
        <v/>
      </c>
      <c r="CG37" s="100" t="str">
        <f aca="false">IF(ISBLANK($C37),"",IF($BL37&lt;&gt;Constants!$B$4,$BL37,COUNTIFS($BM$9:$BM$508,"&lt;"&amp;$BM37)+COUNTIFS($BM$9:$BM$508,$BM37,$CF$9:$CF$508,"&lt;"&amp;$CF37)+1))</f>
        <v/>
      </c>
      <c r="CH37" s="100" t="str">
        <f aca="false">IF(ISBLANK($C37),"",IF($BL37&lt;&gt;Constants!$B$4,$BL37,RANK($CD37,$CD$9:$CD$508,1)))</f>
        <v/>
      </c>
      <c r="CI37" s="100" t="str">
        <f aca="false">IF($BL37&lt;&gt;Constants!$B$4,"",$AN37+$AO37+$AP37)</f>
        <v/>
      </c>
      <c r="CJ37" s="100" t="str">
        <f aca="false">IF(ISBLANK($C37),"",IF($BL37&lt;&gt;Constants!$B$4,$BL37,RANK($CI37,$CI$9:$CI$508,1)))</f>
        <v/>
      </c>
      <c r="CK37" s="100" t="str">
        <f aca="false">IF(ISBLANK($C37),"",IF($BL37&lt;&gt;Constants!$B$4,$BL37,COUNTIFS($BM$9:$BM$508,"&lt;"&amp;$BM37)+COUNTIFS($BM$9:$BM$508,$BM37,$CF$9:$CF$508,"&lt;"&amp;$CF37)+COUNTIFS($BM$9:$BM$508,$BM37,$CF$9:$CF$508,$CF37,$CH$9:$CH$508,"&lt;"&amp;$CH37)+COUNTIFS($BM$9:$BM$508,$BM37,$CF$9:$CF$508,$CF37,$CH$9:$CH$508,$CH37,$CJ$9:$CJ$508,"&lt;"&amp;$CJ37)+1))</f>
        <v/>
      </c>
      <c r="CL37" s="100" t="str">
        <f aca="false">IF(ISBLANK($C37),"",IF($BL37&lt;&gt;Constants!$B$4,$BL37,$CG37-$CK37))</f>
        <v/>
      </c>
      <c r="CM37" s="100" t="str">
        <f aca="false">IF(ISBLANK($C37),"",IF(NOT($AL37),"",IF(ISBLANK($D$7),$CM$5,IF(NOT(ISNUMBER($D$7)),$CM$6,""))))</f>
        <v/>
      </c>
      <c r="CN37" s="100" t="str">
        <f aca="false">IF(ISBLANK($C37),"",OR($AN37="",$AO37="",$AP37=""))</f>
        <v/>
      </c>
      <c r="CO37" s="100" t="str">
        <f aca="false">IF(ISBLANK($C37),"",AND($AL37,$BA37=""))</f>
        <v/>
      </c>
      <c r="CP37" s="100" t="str">
        <f aca="false">IF(ISBLANK($C37),"",AND($AL37,$BB37=""))</f>
        <v/>
      </c>
      <c r="CQ37" s="100" t="str">
        <f aca="false">IF(ISBLANK($C37),"",AND($AL37,$BC37=""))</f>
        <v/>
      </c>
      <c r="CR37" s="100" t="str">
        <f aca="false">IF(ISBLANK($C37),"",AND($AL37,$BF37=""))</f>
        <v/>
      </c>
      <c r="CS37" s="100" t="str">
        <f aca="false">IF(ISBLANK($C37),"",AND($AL37,$BJ37=""))</f>
        <v/>
      </c>
      <c r="CT37" s="101"/>
      <c r="CU37" s="102"/>
      <c r="CV37" s="103" t="str">
        <f aca="false">IF(ISBLANK($C37),"",IF($BL37=Constants!$B$8,$CM37,""))</f>
        <v/>
      </c>
      <c r="CW37" s="102" t="str">
        <f aca="false">IF(ISBLANK($C37),"",IF($BL37&lt;&gt;Constants!$B$4,"",$BO37+$BP37))</f>
        <v/>
      </c>
      <c r="CX37" s="104" t="str">
        <f aca="false">IF(ISBLANK($C37),"",IF($BL37&lt;&gt;Constants!$B$4,"",$BQ37+$BR37+$BS37))</f>
        <v/>
      </c>
      <c r="CY37" s="104" t="str">
        <f aca="false">IF(ISBLANK($C37),"",IF($BL37&lt;&gt;Constants!$B$4,"",$BT37))</f>
        <v/>
      </c>
      <c r="CZ37" s="104" t="str">
        <f aca="false">IF(ISBLANK($C37),"",IF($BL37&lt;&gt;Constants!$B$4,"",$BU37+$BV37))</f>
        <v/>
      </c>
      <c r="DA37" s="104" t="str">
        <f aca="false">IF(ISBLANK($C37),"",IF($BL37&lt;&gt;Constants!$B$4,"",$BW37))</f>
        <v/>
      </c>
      <c r="DB37" s="104" t="str">
        <f aca="false">IF(ISBLANK($C37),"",IF($BL37&lt;&gt;Constants!$B$4,"",-$CD37))</f>
        <v/>
      </c>
      <c r="DC37" s="103" t="str">
        <f aca="false">IF(ISBLANK($C37),"",$CE37)</f>
        <v/>
      </c>
      <c r="DD37" s="105" t="str">
        <f aca="false">IF(ISBLANK($C37),"",$BM37)</f>
        <v/>
      </c>
      <c r="DE37" s="104" t="str">
        <f aca="false">IF(ISBLANK($C37),"",$CL37)</f>
        <v/>
      </c>
      <c r="DF37" s="104" t="str">
        <f aca="false">IF(ISBLANK($C37),"",$CK37)</f>
        <v/>
      </c>
      <c r="DG37" s="106" t="str">
        <f aca="false">IF(ISBLANK($C37),"",IF($DF37=Constants!$B$7,COUNTA($C$9:$C$508)+2,IF($DF37=Constants!$B$6,COUNTA($C$9:$C$508)+1,IF($DF37=Constants!$B$5,COUNTA($C$9:$C$508),$DF37))))</f>
        <v/>
      </c>
      <c r="DH37" s="7"/>
      <c r="DI37" s="107" t="n">
        <f aca="false">IF(OR(ISNUMBER($DF37),$DF37=Constants!$B$7,$DF37=Constants!$B$5,$DF37=Constants!$B$6),1,0)</f>
        <v>0</v>
      </c>
      <c r="DJ37" s="107" t="n">
        <v>29</v>
      </c>
      <c r="DK37" s="107" t="str">
        <f aca="false">IF(ISBLANK($C37),"",IF(ISNUMBER($DG37),$DG37+ROW($B37)/1000,""))</f>
        <v/>
      </c>
      <c r="DL37" s="107" t="str">
        <f aca="false">IF(ISNUMBER($DK37),RANK($DK37,$DK$9:$DK$508,1),"")</f>
        <v/>
      </c>
      <c r="DM37" s="107" t="str">
        <f aca="false">IF(ISBLANK($C37),"",$B37)</f>
        <v/>
      </c>
      <c r="DN37" s="107" t="str">
        <f aca="false">IF(ISBLANK($C37),"",$C37)</f>
        <v/>
      </c>
      <c r="DO37" s="107" t="str">
        <f aca="false">IF(ISBLANK($C37),"",$D37)</f>
        <v/>
      </c>
      <c r="DP37" s="108" t="str">
        <f aca="false">$DD37</f>
        <v/>
      </c>
      <c r="DQ37" s="109" t="str">
        <f aca="false">$DC37</f>
        <v/>
      </c>
      <c r="DR37" s="107" t="str">
        <f aca="false">IF(ISBLANK($C37),"",$DF37)</f>
        <v/>
      </c>
      <c r="DS37" s="110" t="str">
        <f aca="false">IF($DJ37&gt;$DI$8,"",VLOOKUP($DJ37,$DL$9:$DR$508,7,FALSE()))</f>
        <v/>
      </c>
      <c r="DT37" s="111" t="str">
        <f aca="false">IF($DJ37&gt;$DI$8,"",VLOOKUP($DJ37,$DL$9:$DR$508,2,FALSE()))</f>
        <v/>
      </c>
      <c r="DU37" s="111" t="str">
        <f aca="false">IF($DJ37&gt;$DI$8,"",VLOOKUP($DJ37,$DL$9:$DR$508,3,FALSE()))</f>
        <v/>
      </c>
      <c r="DV37" s="111" t="str">
        <f aca="false">IF($DJ37&gt;$DI$8,"",VLOOKUP($DJ37,$DL$9:$DR$508,4,FALSE()))</f>
        <v/>
      </c>
      <c r="DW37" s="111" t="str">
        <f aca="false">IF($DJ37&gt;$DI$8,"",VLOOKUP($DJ37,$DL$9:$DR$508,5,FALSE()))</f>
        <v/>
      </c>
      <c r="DX37" s="112" t="str">
        <f aca="false">IF($DJ37&gt;$DI$8,"",VLOOKUP($DJ37,$DL$9:$DR$508,6,FALSE()))</f>
        <v/>
      </c>
      <c r="DY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127"/>
      <c r="N38" s="127"/>
      <c r="O38" s="128"/>
      <c r="P38" s="128"/>
      <c r="Q38" s="127"/>
      <c r="R38" s="127"/>
      <c r="S38" s="127"/>
      <c r="T38" s="127"/>
      <c r="U38" s="128"/>
      <c r="V38" s="127"/>
      <c r="W38" s="96"/>
      <c r="X38" s="127"/>
      <c r="Y38" s="127"/>
      <c r="Z38" s="96"/>
      <c r="AA38" s="96"/>
      <c r="AB38" s="127"/>
      <c r="AC38" s="127"/>
      <c r="AD38" s="127"/>
      <c r="AE38" s="97"/>
      <c r="AF38" s="130"/>
      <c r="AG38" s="99"/>
      <c r="AH38" s="100"/>
      <c r="AI38" s="100"/>
      <c r="AJ38" s="100" t="str">
        <f aca="false">IF(ISBLANK($C38),"",IF($E38=Constants!$B$2,TRUE(),IF($E38=Constants!$B$3,FALSE(),TRUE())))</f>
        <v/>
      </c>
      <c r="AK38" s="100" t="str">
        <f aca="false">IF(ISBLANK($C38),"",IF($F38=Constants!$B$2,TRUE(),IF($F38=Constants!$B$3,FALSE(),FALSE())))</f>
        <v/>
      </c>
      <c r="AL38" s="100" t="str">
        <f aca="false">IF(ISBLANK($C38),"",IF($G38=Constants!$B$2,TRUE(),IF($G38=Constants!$B$3,FALSE(),TRUE())))</f>
        <v/>
      </c>
      <c r="AM38" s="100" t="str">
        <f aca="false">IF(ISBLANK($C38),"",IF($H38=Constants!$B$2,TRUE(),IF($H38=Constants!$B$3,FALSE(),TRUE())))</f>
        <v/>
      </c>
      <c r="AN38" s="100" t="str">
        <f aca="false">IF(ISBLANK($C38),"",IF(ISNUMBER($I38),IF($I38&gt;=0,$I38,""),""))</f>
        <v/>
      </c>
      <c r="AO38" s="100" t="str">
        <f aca="false">IF(ISBLANK($C38),"",IF(ISNUMBER($J38),IF($J38&gt;=0,$J38,""),""))</f>
        <v/>
      </c>
      <c r="AP38" s="100" t="str">
        <f aca="false">IF(ISBLANK($C38),"",IF(ISNUMBER($K38),IF($K38&gt;=0,$K38,""),""))</f>
        <v/>
      </c>
      <c r="AQ38" s="100" t="str">
        <f aca="false">IF(ISBLANK($C38),"",IF($L38=Constants!$B$2,TRUE(),IF($L38=Constants!$B$3,FALSE(),TRUE())))</f>
        <v/>
      </c>
      <c r="AR38" s="100" t="str">
        <f aca="false">IF(ISBLANK($C38),"",IF($M38=Constants!$B$2,TRUE(),IF($M38=Constants!$B$3,FALSE(),TRUE())))</f>
        <v/>
      </c>
      <c r="AS38" s="100" t="str">
        <f aca="false">IF(ISBLANK($C38),"",IF($N38=Constants!$B$2,TRUE(),IF($N38=Constants!$B$3,FALSE(),FALSE())))</f>
        <v/>
      </c>
      <c r="AT38" s="100" t="str">
        <f aca="false">IF(ISBLANK($C38),"",IF($O38=Constants!$B$2,TRUE(),IF($O38=Constants!$B$3,FALSE(),TRUE())))</f>
        <v/>
      </c>
      <c r="AU38" s="100" t="str">
        <f aca="false">IF(ISBLANK($C38),"",IF($P38=Constants!$B$2,TRUE(),IF($P38=Constants!$B$3,FALSE(),TRUE())))</f>
        <v/>
      </c>
      <c r="AV38" s="100" t="str">
        <f aca="false">IF(ISBLANK($C38),"",IF($Q38=Constants!$B$2,TRUE(),IF($Q38=Constants!$B$3,FALSE(),FALSE())))</f>
        <v/>
      </c>
      <c r="AW38" s="100" t="str">
        <f aca="false">IF(ISBLANK($C38),"",IF($R38=Constants!$B$2,TRUE(),IF($R38=Constants!$B$3,FALSE(),FALSE())))</f>
        <v/>
      </c>
      <c r="AX38" s="100" t="str">
        <f aca="false">IF(ISBLANK($C38),"",IF($S38=Constants!$B$2,TRUE(),IF($S38=Constants!$B$3,FALSE(),FALSE())))</f>
        <v/>
      </c>
      <c r="AY38" s="100" t="str">
        <f aca="false">IF(ISBLANK($C38),"",IF($T38=Constants!$B$2,TRUE(),IF($T38=Constants!$B$3,FALSE(),FALSE())))</f>
        <v/>
      </c>
      <c r="AZ38" s="100" t="str">
        <f aca="false">IF(ISBLANK($C38),"",IF($U38=Constants!$B$2,TRUE(),IF($U38=Constants!$B$3,FALSE(),FALSE())))</f>
        <v/>
      </c>
      <c r="BA38" s="100" t="str">
        <f aca="false">IF(ISBLANK($C38),"",IF(OR($V38&amp;""="1",$V38&amp;""="2",$V38&amp;""="3",$V38&amp;""="4"),VALUE($V38&amp;""),IF($V38=Constants!$B$12,Constants!$B$12,"")))</f>
        <v/>
      </c>
      <c r="BB38" s="100" t="str">
        <f aca="false">IF(ISBLANK($C38),"",IF(ISBLANK($W38),0,IF(ISNUMBER($W38),IF(AND($W38&gt;=0,$W38&lt;=Constants!$B$21,$W38=INT($W38)),$W38,""),"")))</f>
        <v/>
      </c>
      <c r="BC38" s="100" t="str">
        <f aca="false">IF(ISBLANK($C38),"",IF(ISBLANK($X38),0,IF(ISNUMBER($X38),IF($X38&gt;=0,$X38,""),"")))</f>
        <v/>
      </c>
      <c r="BD38" s="100" t="str">
        <f aca="false">IF(ISBLANK($C38),"",IF($Y38=Constants!$B$2,TRUE(),IF($Y38=Constants!$B$3,FALSE(),TRUE())))</f>
        <v/>
      </c>
      <c r="BE38" s="100" t="str">
        <f aca="false">IF(ISBLANK($C38),"",IF($Z38=Constants!$B$2,TRUE(),IF($Z38=Constants!$B$3,FALSE(),FALSE())))</f>
        <v/>
      </c>
      <c r="BF38" s="100" t="str">
        <f aca="false">IF(ISBLANK($C38),"",IF(ISBLANK($AA38),0,IF(ISNUMBER($AA38),IF(AND($AA38&gt;=0,$AA38&lt;=Constants!$B$35,$AA38=INT($AA38)),$AA38,""),"")))</f>
        <v/>
      </c>
      <c r="BG38" s="100" t="str">
        <f aca="false">IF(ISBLANK($C38),"",IF($AB38=Constants!$B$2,TRUE(),IF($AB38=Constants!$B$3,FALSE(),TRUE())))</f>
        <v/>
      </c>
      <c r="BH38" s="100" t="str">
        <f aca="false">IF(ISBLANK($C38),"",IF($AC38=Constants!$B$2,TRUE(),IF($AC38=Constants!$B$3,FALSE(),TRUE())))</f>
        <v/>
      </c>
      <c r="BI38" s="100" t="str">
        <f aca="false">IF(ISBLANK($C38),"",IF($AD38=Constants!$B$2,TRUE(),IF($AD38=Constants!$B$3,FALSE(),TRUE())))</f>
        <v/>
      </c>
      <c r="BJ38" s="100" t="str">
        <f aca="false">IF(ISBLANK($C38),"",IF(ISNUMBER($AE38),IF($AE38&gt;=0,$AE38,""),""))</f>
        <v/>
      </c>
      <c r="BK38" s="100" t="str">
        <f aca="false">IF(ISBLANK($C38),"",IF($AF38=Constants!$B$2,TRUE(),IF($AF38=Constants!$B$3,FALSE(),FALSE())))</f>
        <v/>
      </c>
      <c r="BL38" s="99" t="str">
        <f aca="false">IF(ISBLANK($C38),"",IF($BK38,Constants!$B$7,IF(COUNTA($E38:$AE38)=0,Constants!$B$6,IF(OR(COUNTA($G38:$AE38)=0,NOT($AM38),$AS38),Constants!$B$5,IF(OR($CM38&lt;&gt;"",$CN38,$CO38,$CP38,$CQ38,$CR38,$CS38),Constants!$B$8,Constants!$B$4)))))</f>
        <v/>
      </c>
      <c r="BM38" s="100" t="str">
        <f aca="false">IF(ISBLANK($C38),"",IF($BL38&lt;&gt;Constants!$B$4,$BL38,IF(OR(NOT($AJ38),NOT($AL38),NOT($AT38)),Constants!$B$11,IF(OR(NOT($AR38),NOT($AU38),NOT($BI38),MAX($AN38,$AO38,$AP38)&gt;Constants!$B$30),Constants!$B$10,Constants!$B$9))))</f>
        <v/>
      </c>
      <c r="BN38" s="100" t="str">
        <f aca="false">IF($BL38&lt;&gt;Constants!$B$4,"",IF(NOT($AL38),0,MIN(Constants!$B$35,$BF38)))</f>
        <v/>
      </c>
      <c r="BO38" s="100" t="str">
        <f aca="false">IF($BL38&lt;&gt;Constants!$B$4,"",IF(NOT($AL38),0,IF($AW38,Constants!$B$18,IF($AV38,Constants!$B$17,0))))</f>
        <v/>
      </c>
      <c r="BP38" s="100" t="str">
        <f aca="false">IF($BL38&lt;&gt;Constants!$B$4,"",IF(NOT($AL38),0,Constants!$B$19*($AK38+$AX38+$AY38+$AZ38)))</f>
        <v/>
      </c>
      <c r="BQ38" s="100" t="str">
        <f aca="false">IF($BL38&lt;&gt;Constants!$B$4,"",IF(OR(NOT($AL38),NOT(ISNUMBER($BA38))),0,CHOOSE($BA38,Constants!$B$13,Constants!$B$14,Constants!$B$15,Constants!$B$16)))</f>
        <v/>
      </c>
      <c r="BR38" s="100" t="str">
        <f aca="false">IF($BL38&lt;&gt;Constants!$B$4,"",IF(NOT($AL38),0,Constants!$B$20*$BB38))</f>
        <v/>
      </c>
      <c r="BS38" s="100" t="str">
        <f aca="false">IF($BL38&lt;&gt;Constants!$B$4,"",IF(AND($AL38,$BD38,$BE38),Constants!$B$22,0))</f>
        <v/>
      </c>
      <c r="BT38" s="100" t="str">
        <f aca="false">IF($BL38&lt;&gt;Constants!$B$4,"",IF(OR(NOT($AL38),NOT($BD38)),0,IF($BJ38&gt;=2*$AH$9,0,Constants!$B$23*INT(ROUND(MIN($BJ38,$AH$9),6)))))</f>
        <v/>
      </c>
      <c r="BU38" s="100" t="str">
        <f aca="false">IF($BL38&lt;&gt;Constants!$B$4,"",IF(NOT($AL38),0,Constants!$B$24*INT(ROUND(MIN($BC38,$AH$9),6))))</f>
        <v/>
      </c>
      <c r="BV38" s="100" t="str">
        <f aca="false">IF($BL38&lt;&gt;Constants!$B$4,"",IF(AND($AL38,$BN38=0),Constants!$B$25,0))</f>
        <v/>
      </c>
      <c r="BW38" s="100" t="str">
        <f aca="false">IF($BL38&lt;&gt;Constants!$B$4,"",MIN(Constants!$B$29,MAX(0,Constants!$B$27*Constants!$B$28*INT(ROUND((Constants!$B$26-$AN38)/Constants!$B$28,6))))+MIN(Constants!$B$29,MAX(0,Constants!$B$27*Constants!$B$28*INT(ROUND((Constants!$B$26-$AO38)/Constants!$B$28,6))))+MIN(Constants!$B$29,MAX(0,Constants!$B$27*Constants!$B$28*INT(ROUND((Constants!$B$26-$AP38)/Constants!$B$28,6)))))</f>
        <v/>
      </c>
      <c r="BX38" s="100" t="str">
        <f aca="false">IF($BL38&lt;&gt;Constants!$B$4,"",IF(NOT($AL38),0,Constants!$B$31*INT(ROUND(MAX(0,MIN($BJ38,2*$AH$9)-$AH$9),6))))</f>
        <v/>
      </c>
      <c r="BY38" s="100" t="str">
        <f aca="false">IF($BL38&lt;&gt;Constants!$B$4,"",Constants!$B$32*(($AN38&gt;Constants!$B$26)+($AO38&gt;Constants!$B$26)+($AP38&gt;Constants!$B$26)))</f>
        <v/>
      </c>
      <c r="BZ38" s="100" t="str">
        <f aca="false">IF($BL38&lt;&gt;Constants!$B$4,"",IF(OR(NOT($AL38),$AQ38),0,Constants!$B$33))</f>
        <v/>
      </c>
      <c r="CA38" s="100" t="str">
        <f aca="false">IF($BL38&lt;&gt;Constants!$B$4,"",Constants!$B$34*$BN38)</f>
        <v/>
      </c>
      <c r="CB38" s="100" t="str">
        <f aca="false">IF($BL38&lt;&gt;Constants!$B$4,"",IF(OR(NOT($AL38),$BH38),0,Constants!$B$36))</f>
        <v/>
      </c>
      <c r="CC38" s="100" t="str">
        <f aca="false">IF($BL38&lt;&gt;Constants!$B$4,"",IF(OR(NOT($AL38),$BG38),0,Constants!$B$37))</f>
        <v/>
      </c>
      <c r="CD38" s="100" t="str">
        <f aca="false">IF($BL38&lt;&gt;Constants!$B$4,"",SUM($BX38:$CC38))</f>
        <v/>
      </c>
      <c r="CE38" s="100" t="str">
        <f aca="false">IF(ISBLANK($C38),"",IF($BL38&lt;&gt;Constants!$B$4,$BL38,SUM($BO38:$BW38)-$CD38))</f>
        <v/>
      </c>
      <c r="CF38" s="100" t="str">
        <f aca="false">IF(ISBLANK($C38),"",IF($BL38&lt;&gt;Constants!$B$4,$BL38,RANK($CE38,$CE$9:$CE$508)))</f>
        <v/>
      </c>
      <c r="CG38" s="100" t="str">
        <f aca="false">IF(ISBLANK($C38),"",IF($BL38&lt;&gt;Constants!$B$4,$BL38,COUNTIFS($BM$9:$BM$508,"&lt;"&amp;$BM38)+COUNTIFS($BM$9:$BM$508,$BM38,$CF$9:$CF$508,"&lt;"&amp;$CF38)+1))</f>
        <v/>
      </c>
      <c r="CH38" s="100" t="str">
        <f aca="false">IF(ISBLANK($C38),"",IF($BL38&lt;&gt;Constants!$B$4,$BL38,RANK($CD38,$CD$9:$CD$508,1)))</f>
        <v/>
      </c>
      <c r="CI38" s="100" t="str">
        <f aca="false">IF($BL38&lt;&gt;Constants!$B$4,"",$AN38+$AO38+$AP38)</f>
        <v/>
      </c>
      <c r="CJ38" s="100" t="str">
        <f aca="false">IF(ISBLANK($C38),"",IF($BL38&lt;&gt;Constants!$B$4,$BL38,RANK($CI38,$CI$9:$CI$508,1)))</f>
        <v/>
      </c>
      <c r="CK38" s="100" t="str">
        <f aca="false">IF(ISBLANK($C38),"",IF($BL38&lt;&gt;Constants!$B$4,$BL38,COUNTIFS($BM$9:$BM$508,"&lt;"&amp;$BM38)+COUNTIFS($BM$9:$BM$508,$BM38,$CF$9:$CF$508,"&lt;"&amp;$CF38)+COUNTIFS($BM$9:$BM$508,$BM38,$CF$9:$CF$508,$CF38,$CH$9:$CH$508,"&lt;"&amp;$CH38)+COUNTIFS($BM$9:$BM$508,$BM38,$CF$9:$CF$508,$CF38,$CH$9:$CH$508,$CH38,$CJ$9:$CJ$508,"&lt;"&amp;$CJ38)+1))</f>
        <v/>
      </c>
      <c r="CL38" s="100" t="str">
        <f aca="false">IF(ISBLANK($C38),"",IF($BL38&lt;&gt;Constants!$B$4,$BL38,$CG38-$CK38))</f>
        <v/>
      </c>
      <c r="CM38" s="100" t="str">
        <f aca="false">IF(ISBLANK($C38),"",IF(NOT($AL38),"",IF(ISBLANK($D$7),$CM$5,IF(NOT(ISNUMBER($D$7)),$CM$6,""))))</f>
        <v/>
      </c>
      <c r="CN38" s="100" t="str">
        <f aca="false">IF(ISBLANK($C38),"",OR($AN38="",$AO38="",$AP38=""))</f>
        <v/>
      </c>
      <c r="CO38" s="100" t="str">
        <f aca="false">IF(ISBLANK($C38),"",AND($AL38,$BA38=""))</f>
        <v/>
      </c>
      <c r="CP38" s="100" t="str">
        <f aca="false">IF(ISBLANK($C38),"",AND($AL38,$BB38=""))</f>
        <v/>
      </c>
      <c r="CQ38" s="100" t="str">
        <f aca="false">IF(ISBLANK($C38),"",AND($AL38,$BC38=""))</f>
        <v/>
      </c>
      <c r="CR38" s="100" t="str">
        <f aca="false">IF(ISBLANK($C38),"",AND($AL38,$BF38=""))</f>
        <v/>
      </c>
      <c r="CS38" s="100" t="str">
        <f aca="false">IF(ISBLANK($C38),"",AND($AL38,$BJ38=""))</f>
        <v/>
      </c>
      <c r="CT38" s="101"/>
      <c r="CU38" s="102"/>
      <c r="CV38" s="103" t="str">
        <f aca="false">IF(ISBLANK($C38),"",IF($BL38=Constants!$B$8,$CM38,""))</f>
        <v/>
      </c>
      <c r="CW38" s="102" t="str">
        <f aca="false">IF(ISBLANK($C38),"",IF($BL38&lt;&gt;Constants!$B$4,"",$BO38+$BP38))</f>
        <v/>
      </c>
      <c r="CX38" s="104" t="str">
        <f aca="false">IF(ISBLANK($C38),"",IF($BL38&lt;&gt;Constants!$B$4,"",$BQ38+$BR38+$BS38))</f>
        <v/>
      </c>
      <c r="CY38" s="104" t="str">
        <f aca="false">IF(ISBLANK($C38),"",IF($BL38&lt;&gt;Constants!$B$4,"",$BT38))</f>
        <v/>
      </c>
      <c r="CZ38" s="104" t="str">
        <f aca="false">IF(ISBLANK($C38),"",IF($BL38&lt;&gt;Constants!$B$4,"",$BU38+$BV38))</f>
        <v/>
      </c>
      <c r="DA38" s="104" t="str">
        <f aca="false">IF(ISBLANK($C38),"",IF($BL38&lt;&gt;Constants!$B$4,"",$BW38))</f>
        <v/>
      </c>
      <c r="DB38" s="104" t="str">
        <f aca="false">IF(ISBLANK($C38),"",IF($BL38&lt;&gt;Constants!$B$4,"",-$CD38))</f>
        <v/>
      </c>
      <c r="DC38" s="103" t="str">
        <f aca="false">IF(ISBLANK($C38),"",$CE38)</f>
        <v/>
      </c>
      <c r="DD38" s="105" t="str">
        <f aca="false">IF(ISBLANK($C38),"",$BM38)</f>
        <v/>
      </c>
      <c r="DE38" s="104" t="str">
        <f aca="false">IF(ISBLANK($C38),"",$CL38)</f>
        <v/>
      </c>
      <c r="DF38" s="104" t="str">
        <f aca="false">IF(ISBLANK($C38),"",$CK38)</f>
        <v/>
      </c>
      <c r="DG38" s="106" t="str">
        <f aca="false">IF(ISBLANK($C38),"",IF($DF38=Constants!$B$7,COUNTA($C$9:$C$508)+2,IF($DF38=Constants!$B$6,COUNTA($C$9:$C$508)+1,IF($DF38=Constants!$B$5,COUNTA($C$9:$C$508),$DF38))))</f>
        <v/>
      </c>
      <c r="DH38" s="7"/>
      <c r="DI38" s="107" t="n">
        <f aca="false">IF(OR(ISNUMBER($DF38),$DF38=Constants!$B$7,$DF38=Constants!$B$5,$DF38=Constants!$B$6),1,0)</f>
        <v>0</v>
      </c>
      <c r="DJ38" s="107" t="n">
        <v>30</v>
      </c>
      <c r="DK38" s="107" t="str">
        <f aca="false">IF(ISBLANK($C38),"",IF(ISNUMBER($DG38),$DG38+ROW($B38)/1000,""))</f>
        <v/>
      </c>
      <c r="DL38" s="107" t="str">
        <f aca="false">IF(ISNUMBER($DK38),RANK($DK38,$DK$9:$DK$508,1),"")</f>
        <v/>
      </c>
      <c r="DM38" s="107" t="str">
        <f aca="false">IF(ISBLANK($C38),"",$B38)</f>
        <v/>
      </c>
      <c r="DN38" s="107" t="str">
        <f aca="false">IF(ISBLANK($C38),"",$C38)</f>
        <v/>
      </c>
      <c r="DO38" s="107" t="str">
        <f aca="false">IF(ISBLANK($C38),"",$D38)</f>
        <v/>
      </c>
      <c r="DP38" s="108" t="str">
        <f aca="false">$DD38</f>
        <v/>
      </c>
      <c r="DQ38" s="109" t="str">
        <f aca="false">$DC38</f>
        <v/>
      </c>
      <c r="DR38" s="107" t="str">
        <f aca="false">IF(ISBLANK($C38),"",$DF38)</f>
        <v/>
      </c>
      <c r="DS38" s="110" t="str">
        <f aca="false">IF($DJ38&gt;$DI$8,"",VLOOKUP($DJ38,$DL$9:$DR$508,7,FALSE()))</f>
        <v/>
      </c>
      <c r="DT38" s="111" t="str">
        <f aca="false">IF($DJ38&gt;$DI$8,"",VLOOKUP($DJ38,$DL$9:$DR$508,2,FALSE()))</f>
        <v/>
      </c>
      <c r="DU38" s="111" t="str">
        <f aca="false">IF($DJ38&gt;$DI$8,"",VLOOKUP($DJ38,$DL$9:$DR$508,3,FALSE()))</f>
        <v/>
      </c>
      <c r="DV38" s="111" t="str">
        <f aca="false">IF($DJ38&gt;$DI$8,"",VLOOKUP($DJ38,$DL$9:$DR$508,4,FALSE()))</f>
        <v/>
      </c>
      <c r="DW38" s="111" t="str">
        <f aca="false">IF($DJ38&gt;$DI$8,"",VLOOKUP($DJ38,$DL$9:$DR$508,5,FALSE()))</f>
        <v/>
      </c>
      <c r="DX38" s="112" t="str">
        <f aca="false">IF($DJ38&gt;$DI$8,"",VLOOKUP($DJ38,$DL$9:$DR$508,6,FALSE()))</f>
        <v/>
      </c>
      <c r="DY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124"/>
      <c r="N39" s="124"/>
      <c r="O39" s="125"/>
      <c r="P39" s="125"/>
      <c r="Q39" s="124"/>
      <c r="R39" s="124"/>
      <c r="S39" s="124"/>
      <c r="T39" s="124"/>
      <c r="U39" s="125"/>
      <c r="V39" s="124"/>
      <c r="W39" s="70"/>
      <c r="X39" s="124"/>
      <c r="Y39" s="124"/>
      <c r="Z39" s="70"/>
      <c r="AA39" s="70"/>
      <c r="AB39" s="124"/>
      <c r="AC39" s="124"/>
      <c r="AD39" s="124"/>
      <c r="AE39" s="71"/>
      <c r="AF39" s="88"/>
      <c r="AG39" s="73"/>
      <c r="AH39" s="74"/>
      <c r="AI39" s="74"/>
      <c r="AJ39" s="74" t="str">
        <f aca="false">IF(ISBLANK($C39),"",IF($E39=Constants!$B$2,TRUE(),IF($E39=Constants!$B$3,FALSE(),TRUE())))</f>
        <v/>
      </c>
      <c r="AK39" s="74" t="str">
        <f aca="false">IF(ISBLANK($C39),"",IF($F39=Constants!$B$2,TRUE(),IF($F39=Constants!$B$3,FALSE(),FALSE())))</f>
        <v/>
      </c>
      <c r="AL39" s="74" t="str">
        <f aca="false">IF(ISBLANK($C39),"",IF($G39=Constants!$B$2,TRUE(),IF($G39=Constants!$B$3,FALSE(),TRUE())))</f>
        <v/>
      </c>
      <c r="AM39" s="74" t="str">
        <f aca="false">IF(ISBLANK($C39),"",IF($H39=Constants!$B$2,TRUE(),IF($H39=Constants!$B$3,FALSE(),TRUE())))</f>
        <v/>
      </c>
      <c r="AN39" s="74" t="str">
        <f aca="false">IF(ISBLANK($C39),"",IF(ISNUMBER($I39),IF($I39&gt;=0,$I39,""),""))</f>
        <v/>
      </c>
      <c r="AO39" s="74" t="str">
        <f aca="false">IF(ISBLANK($C39),"",IF(ISNUMBER($J39),IF($J39&gt;=0,$J39,""),""))</f>
        <v/>
      </c>
      <c r="AP39" s="74" t="str">
        <f aca="false">IF(ISBLANK($C39),"",IF(ISNUMBER($K39),IF($K39&gt;=0,$K39,""),""))</f>
        <v/>
      </c>
      <c r="AQ39" s="74" t="str">
        <f aca="false">IF(ISBLANK($C39),"",IF($L39=Constants!$B$2,TRUE(),IF($L39=Constants!$B$3,FALSE(),TRUE())))</f>
        <v/>
      </c>
      <c r="AR39" s="74" t="str">
        <f aca="false">IF(ISBLANK($C39),"",IF($M39=Constants!$B$2,TRUE(),IF($M39=Constants!$B$3,FALSE(),TRUE())))</f>
        <v/>
      </c>
      <c r="AS39" s="74" t="str">
        <f aca="false">IF(ISBLANK($C39),"",IF($N39=Constants!$B$2,TRUE(),IF($N39=Constants!$B$3,FALSE(),FALSE())))</f>
        <v/>
      </c>
      <c r="AT39" s="74" t="str">
        <f aca="false">IF(ISBLANK($C39),"",IF($O39=Constants!$B$2,TRUE(),IF($O39=Constants!$B$3,FALSE(),TRUE())))</f>
        <v/>
      </c>
      <c r="AU39" s="74" t="str">
        <f aca="false">IF(ISBLANK($C39),"",IF($P39=Constants!$B$2,TRUE(),IF($P39=Constants!$B$3,FALSE(),TRUE())))</f>
        <v/>
      </c>
      <c r="AV39" s="74" t="str">
        <f aca="false">IF(ISBLANK($C39),"",IF($Q39=Constants!$B$2,TRUE(),IF($Q39=Constants!$B$3,FALSE(),FALSE())))</f>
        <v/>
      </c>
      <c r="AW39" s="74" t="str">
        <f aca="false">IF(ISBLANK($C39),"",IF($R39=Constants!$B$2,TRUE(),IF($R39=Constants!$B$3,FALSE(),FALSE())))</f>
        <v/>
      </c>
      <c r="AX39" s="74" t="str">
        <f aca="false">IF(ISBLANK($C39),"",IF($S39=Constants!$B$2,TRUE(),IF($S39=Constants!$B$3,FALSE(),FALSE())))</f>
        <v/>
      </c>
      <c r="AY39" s="74" t="str">
        <f aca="false">IF(ISBLANK($C39),"",IF($T39=Constants!$B$2,TRUE(),IF($T39=Constants!$B$3,FALSE(),FALSE())))</f>
        <v/>
      </c>
      <c r="AZ39" s="74" t="str">
        <f aca="false">IF(ISBLANK($C39),"",IF($U39=Constants!$B$2,TRUE(),IF($U39=Constants!$B$3,FALSE(),FALSE())))</f>
        <v/>
      </c>
      <c r="BA39" s="74" t="str">
        <f aca="false">IF(ISBLANK($C39),"",IF(OR($V39&amp;""="1",$V39&amp;""="2",$V39&amp;""="3",$V39&amp;""="4"),VALUE($V39&amp;""),IF($V39=Constants!$B$12,Constants!$B$12,"")))</f>
        <v/>
      </c>
      <c r="BB39" s="74" t="str">
        <f aca="false">IF(ISBLANK($C39),"",IF(ISBLANK($W39),0,IF(ISNUMBER($W39),IF(AND($W39&gt;=0,$W39&lt;=Constants!$B$21,$W39=INT($W39)),$W39,""),"")))</f>
        <v/>
      </c>
      <c r="BC39" s="74" t="str">
        <f aca="false">IF(ISBLANK($C39),"",IF(ISBLANK($X39),0,IF(ISNUMBER($X39),IF($X39&gt;=0,$X39,""),"")))</f>
        <v/>
      </c>
      <c r="BD39" s="74" t="str">
        <f aca="false">IF(ISBLANK($C39),"",IF($Y39=Constants!$B$2,TRUE(),IF($Y39=Constants!$B$3,FALSE(),TRUE())))</f>
        <v/>
      </c>
      <c r="BE39" s="74" t="str">
        <f aca="false">IF(ISBLANK($C39),"",IF($Z39=Constants!$B$2,TRUE(),IF($Z39=Constants!$B$3,FALSE(),FALSE())))</f>
        <v/>
      </c>
      <c r="BF39" s="74" t="str">
        <f aca="false">IF(ISBLANK($C39),"",IF(ISBLANK($AA39),0,IF(ISNUMBER($AA39),IF(AND($AA39&gt;=0,$AA39&lt;=Constants!$B$35,$AA39=INT($AA39)),$AA39,""),"")))</f>
        <v/>
      </c>
      <c r="BG39" s="74" t="str">
        <f aca="false">IF(ISBLANK($C39),"",IF($AB39=Constants!$B$2,TRUE(),IF($AB39=Constants!$B$3,FALSE(),TRUE())))</f>
        <v/>
      </c>
      <c r="BH39" s="74" t="str">
        <f aca="false">IF(ISBLANK($C39),"",IF($AC39=Constants!$B$2,TRUE(),IF($AC39=Constants!$B$3,FALSE(),TRUE())))</f>
        <v/>
      </c>
      <c r="BI39" s="74" t="str">
        <f aca="false">IF(ISBLANK($C39),"",IF($AD39=Constants!$B$2,TRUE(),IF($AD39=Constants!$B$3,FALSE(),TRUE())))</f>
        <v/>
      </c>
      <c r="BJ39" s="74" t="str">
        <f aca="false">IF(ISBLANK($C39),"",IF(ISNUMBER($AE39),IF($AE39&gt;=0,$AE39,""),""))</f>
        <v/>
      </c>
      <c r="BK39" s="74" t="str">
        <f aca="false">IF(ISBLANK($C39),"",IF($AF39=Constants!$B$2,TRUE(),IF($AF39=Constants!$B$3,FALSE(),FALSE())))</f>
        <v/>
      </c>
      <c r="BL39" s="73" t="str">
        <f aca="false">IF(ISBLANK($C39),"",IF($BK39,Constants!$B$7,IF(COUNTA($E39:$AE39)=0,Constants!$B$6,IF(OR(COUNTA($G39:$AE39)=0,NOT($AM39),$AS39),Constants!$B$5,IF(OR($CM39&lt;&gt;"",$CN39,$CO39,$CP39,$CQ39,$CR39,$CS39),Constants!$B$8,Constants!$B$4)))))</f>
        <v/>
      </c>
      <c r="BM39" s="74" t="str">
        <f aca="false">IF(ISBLANK($C39),"",IF($BL39&lt;&gt;Constants!$B$4,$BL39,IF(OR(NOT($AJ39),NOT($AL39),NOT($AT39)),Constants!$B$11,IF(OR(NOT($AR39),NOT($AU39),NOT($BI39),MAX($AN39,$AO39,$AP39)&gt;Constants!$B$30),Constants!$B$10,Constants!$B$9))))</f>
        <v/>
      </c>
      <c r="BN39" s="74" t="str">
        <f aca="false">IF($BL39&lt;&gt;Constants!$B$4,"",IF(NOT($AL39),0,MIN(Constants!$B$35,$BF39)))</f>
        <v/>
      </c>
      <c r="BO39" s="74" t="str">
        <f aca="false">IF($BL39&lt;&gt;Constants!$B$4,"",IF(NOT($AL39),0,IF($AW39,Constants!$B$18,IF($AV39,Constants!$B$17,0))))</f>
        <v/>
      </c>
      <c r="BP39" s="74" t="str">
        <f aca="false">IF($BL39&lt;&gt;Constants!$B$4,"",IF(NOT($AL39),0,Constants!$B$19*($AK39+$AX39+$AY39+$AZ39)))</f>
        <v/>
      </c>
      <c r="BQ39" s="74" t="str">
        <f aca="false">IF($BL39&lt;&gt;Constants!$B$4,"",IF(OR(NOT($AL39),NOT(ISNUMBER($BA39))),0,CHOOSE($BA39,Constants!$B$13,Constants!$B$14,Constants!$B$15,Constants!$B$16)))</f>
        <v/>
      </c>
      <c r="BR39" s="74" t="str">
        <f aca="false">IF($BL39&lt;&gt;Constants!$B$4,"",IF(NOT($AL39),0,Constants!$B$20*$BB39))</f>
        <v/>
      </c>
      <c r="BS39" s="74" t="str">
        <f aca="false">IF($BL39&lt;&gt;Constants!$B$4,"",IF(AND($AL39,$BD39,$BE39),Constants!$B$22,0))</f>
        <v/>
      </c>
      <c r="BT39" s="74" t="str">
        <f aca="false">IF($BL39&lt;&gt;Constants!$B$4,"",IF(OR(NOT($AL39),NOT($BD39)),0,IF($BJ39&gt;=2*$AH$9,0,Constants!$B$23*INT(ROUND(MIN($BJ39,$AH$9),6)))))</f>
        <v/>
      </c>
      <c r="BU39" s="74" t="str">
        <f aca="false">IF($BL39&lt;&gt;Constants!$B$4,"",IF(NOT($AL39),0,Constants!$B$24*INT(ROUND(MIN($BC39,$AH$9),6))))</f>
        <v/>
      </c>
      <c r="BV39" s="74" t="str">
        <f aca="false">IF($BL39&lt;&gt;Constants!$B$4,"",IF(AND($AL39,$BN39=0),Constants!$B$25,0))</f>
        <v/>
      </c>
      <c r="BW39" s="74" t="str">
        <f aca="false">IF($BL39&lt;&gt;Constants!$B$4,"",MIN(Constants!$B$29,MAX(0,Constants!$B$27*Constants!$B$28*INT(ROUND((Constants!$B$26-$AN39)/Constants!$B$28,6))))+MIN(Constants!$B$29,MAX(0,Constants!$B$27*Constants!$B$28*INT(ROUND((Constants!$B$26-$AO39)/Constants!$B$28,6))))+MIN(Constants!$B$29,MAX(0,Constants!$B$27*Constants!$B$28*INT(ROUND((Constants!$B$26-$AP39)/Constants!$B$28,6)))))</f>
        <v/>
      </c>
      <c r="BX39" s="74" t="str">
        <f aca="false">IF($BL39&lt;&gt;Constants!$B$4,"",IF(NOT($AL39),0,Constants!$B$31*INT(ROUND(MAX(0,MIN($BJ39,2*$AH$9)-$AH$9),6))))</f>
        <v/>
      </c>
      <c r="BY39" s="74" t="str">
        <f aca="false">IF($BL39&lt;&gt;Constants!$B$4,"",Constants!$B$32*(($AN39&gt;Constants!$B$26)+($AO39&gt;Constants!$B$26)+($AP39&gt;Constants!$B$26)))</f>
        <v/>
      </c>
      <c r="BZ39" s="74" t="str">
        <f aca="false">IF($BL39&lt;&gt;Constants!$B$4,"",IF(OR(NOT($AL39),$AQ39),0,Constants!$B$33))</f>
        <v/>
      </c>
      <c r="CA39" s="74" t="str">
        <f aca="false">IF($BL39&lt;&gt;Constants!$B$4,"",Constants!$B$34*$BN39)</f>
        <v/>
      </c>
      <c r="CB39" s="74" t="str">
        <f aca="false">IF($BL39&lt;&gt;Constants!$B$4,"",IF(OR(NOT($AL39),$BH39),0,Constants!$B$36))</f>
        <v/>
      </c>
      <c r="CC39" s="74" t="str">
        <f aca="false">IF($BL39&lt;&gt;Constants!$B$4,"",IF(OR(NOT($AL39),$BG39),0,Constants!$B$37))</f>
        <v/>
      </c>
      <c r="CD39" s="74" t="str">
        <f aca="false">IF($BL39&lt;&gt;Constants!$B$4,"",SUM($BX39:$CC39))</f>
        <v/>
      </c>
      <c r="CE39" s="74" t="str">
        <f aca="false">IF(ISBLANK($C39),"",IF($BL39&lt;&gt;Constants!$B$4,$BL39,SUM($BO39:$BW39)-$CD39))</f>
        <v/>
      </c>
      <c r="CF39" s="74" t="str">
        <f aca="false">IF(ISBLANK($C39),"",IF($BL39&lt;&gt;Constants!$B$4,$BL39,RANK($CE39,$CE$9:$CE$508)))</f>
        <v/>
      </c>
      <c r="CG39" s="74" t="str">
        <f aca="false">IF(ISBLANK($C39),"",IF($BL39&lt;&gt;Constants!$B$4,$BL39,COUNTIFS($BM$9:$BM$508,"&lt;"&amp;$BM39)+COUNTIFS($BM$9:$BM$508,$BM39,$CF$9:$CF$508,"&lt;"&amp;$CF39)+1))</f>
        <v/>
      </c>
      <c r="CH39" s="74" t="str">
        <f aca="false">IF(ISBLANK($C39),"",IF($BL39&lt;&gt;Constants!$B$4,$BL39,RANK($CD39,$CD$9:$CD$508,1)))</f>
        <v/>
      </c>
      <c r="CI39" s="74" t="str">
        <f aca="false">IF($BL39&lt;&gt;Constants!$B$4,"",$AN39+$AO39+$AP39)</f>
        <v/>
      </c>
      <c r="CJ39" s="74" t="str">
        <f aca="false">IF(ISBLANK($C39),"",IF($BL39&lt;&gt;Constants!$B$4,$BL39,RANK($CI39,$CI$9:$CI$508,1)))</f>
        <v/>
      </c>
      <c r="CK39" s="74" t="str">
        <f aca="false">IF(ISBLANK($C39),"",IF($BL39&lt;&gt;Constants!$B$4,$BL39,COUNTIFS($BM$9:$BM$508,"&lt;"&amp;$BM39)+COUNTIFS($BM$9:$BM$508,$BM39,$CF$9:$CF$508,"&lt;"&amp;$CF39)+COUNTIFS($BM$9:$BM$508,$BM39,$CF$9:$CF$508,$CF39,$CH$9:$CH$508,"&lt;"&amp;$CH39)+COUNTIFS($BM$9:$BM$508,$BM39,$CF$9:$CF$508,$CF39,$CH$9:$CH$508,$CH39,$CJ$9:$CJ$508,"&lt;"&amp;$CJ39)+1))</f>
        <v/>
      </c>
      <c r="CL39" s="74" t="str">
        <f aca="false">IF(ISBLANK($C39),"",IF($BL39&lt;&gt;Constants!$B$4,$BL39,$CG39-$CK39))</f>
        <v/>
      </c>
      <c r="CM39" s="74" t="str">
        <f aca="false">IF(ISBLANK($C39),"",IF(NOT($AL39),"",IF(ISBLANK($D$7),$CM$5,IF(NOT(ISNUMBER($D$7)),$CM$6,""))))</f>
        <v/>
      </c>
      <c r="CN39" s="74" t="str">
        <f aca="false">IF(ISBLANK($C39),"",OR($AN39="",$AO39="",$AP39=""))</f>
        <v/>
      </c>
      <c r="CO39" s="74" t="str">
        <f aca="false">IF(ISBLANK($C39),"",AND($AL39,$BA39=""))</f>
        <v/>
      </c>
      <c r="CP39" s="74" t="str">
        <f aca="false">IF(ISBLANK($C39),"",AND($AL39,$BB39=""))</f>
        <v/>
      </c>
      <c r="CQ39" s="74" t="str">
        <f aca="false">IF(ISBLANK($C39),"",AND($AL39,$BC39=""))</f>
        <v/>
      </c>
      <c r="CR39" s="74" t="str">
        <f aca="false">IF(ISBLANK($C39),"",AND($AL39,$BF39=""))</f>
        <v/>
      </c>
      <c r="CS39" s="74" t="str">
        <f aca="false">IF(ISBLANK($C39),"",AND($AL39,$BJ39=""))</f>
        <v/>
      </c>
      <c r="CT39" s="75"/>
      <c r="CU39" s="76"/>
      <c r="CV39" s="79" t="str">
        <f aca="false">IF(ISBLANK($C39),"",IF($BL39=Constants!$B$8,$CM39,""))</f>
        <v/>
      </c>
      <c r="CW39" s="76" t="str">
        <f aca="false">IF(ISBLANK($C39),"",IF($BL39&lt;&gt;Constants!$B$4,"",$BO39+$BP39))</f>
        <v/>
      </c>
      <c r="CX39" s="78" t="str">
        <f aca="false">IF(ISBLANK($C39),"",IF($BL39&lt;&gt;Constants!$B$4,"",$BQ39+$BR39+$BS39))</f>
        <v/>
      </c>
      <c r="CY39" s="78" t="str">
        <f aca="false">IF(ISBLANK($C39),"",IF($BL39&lt;&gt;Constants!$B$4,"",$BT39))</f>
        <v/>
      </c>
      <c r="CZ39" s="78" t="str">
        <f aca="false">IF(ISBLANK($C39),"",IF($BL39&lt;&gt;Constants!$B$4,"",$BU39+$BV39))</f>
        <v/>
      </c>
      <c r="DA39" s="78" t="str">
        <f aca="false">IF(ISBLANK($C39),"",IF($BL39&lt;&gt;Constants!$B$4,"",$BW39))</f>
        <v/>
      </c>
      <c r="DB39" s="78" t="str">
        <f aca="false">IF(ISBLANK($C39),"",IF($BL39&lt;&gt;Constants!$B$4,"",-$CD39))</f>
        <v/>
      </c>
      <c r="DC39" s="79" t="str">
        <f aca="false">IF(ISBLANK($C39),"",$CE39)</f>
        <v/>
      </c>
      <c r="DD39" s="80" t="str">
        <f aca="false">IF(ISBLANK($C39),"",$BM39)</f>
        <v/>
      </c>
      <c r="DE39" s="78" t="str">
        <f aca="false">IF(ISBLANK($C39),"",$CL39)</f>
        <v/>
      </c>
      <c r="DF39" s="78" t="str">
        <f aca="false">IF(ISBLANK($C39),"",$CK39)</f>
        <v/>
      </c>
      <c r="DG39" s="81" t="str">
        <f aca="false">IF(ISBLANK($C39),"",IF($DF39=Constants!$B$7,COUNTA($C$9:$C$508)+2,IF($DF39=Constants!$B$6,COUNTA($C$9:$C$508)+1,IF($DF39=Constants!$B$5,COUNTA($C$9:$C$508),$DF39))))</f>
        <v/>
      </c>
      <c r="DH39" s="7"/>
      <c r="DI39" s="82" t="n">
        <f aca="false">IF(OR(ISNUMBER($DF39),$DF39=Constants!$B$7,$DF39=Constants!$B$5,$DF39=Constants!$B$6),1,0)</f>
        <v>0</v>
      </c>
      <c r="DJ39" s="82" t="n">
        <v>31</v>
      </c>
      <c r="DK39" s="82" t="str">
        <f aca="false">IF(ISBLANK($C39),"",IF(ISNUMBER($DG39),$DG39+ROW($B39)/1000,""))</f>
        <v/>
      </c>
      <c r="DL39" s="82" t="str">
        <f aca="false">IF(ISNUMBER($DK39),RANK($DK39,$DK$9:$DK$508,1),"")</f>
        <v/>
      </c>
      <c r="DM39" s="82" t="str">
        <f aca="false">IF(ISBLANK($C39),"",$B39)</f>
        <v/>
      </c>
      <c r="DN39" s="82" t="str">
        <f aca="false">IF(ISBLANK($C39),"",$C39)</f>
        <v/>
      </c>
      <c r="DO39" s="82" t="str">
        <f aca="false">IF(ISBLANK($C39),"",$D39)</f>
        <v/>
      </c>
      <c r="DP39" s="83" t="str">
        <f aca="false">$DD39</f>
        <v/>
      </c>
      <c r="DQ39" s="84" t="str">
        <f aca="false">$DC39</f>
        <v/>
      </c>
      <c r="DR39" s="82" t="str">
        <f aca="false">IF(ISBLANK($C39),"",$DF39)</f>
        <v/>
      </c>
      <c r="DS39" s="85" t="str">
        <f aca="false">IF($DJ39&gt;$DI$8,"",VLOOKUP($DJ39,$DL$9:$DR$508,7,FALSE()))</f>
        <v/>
      </c>
      <c r="DT39" s="86" t="str">
        <f aca="false">IF($DJ39&gt;$DI$8,"",VLOOKUP($DJ39,$DL$9:$DR$508,2,FALSE()))</f>
        <v/>
      </c>
      <c r="DU39" s="86" t="str">
        <f aca="false">IF($DJ39&gt;$DI$8,"",VLOOKUP($DJ39,$DL$9:$DR$508,3,FALSE()))</f>
        <v/>
      </c>
      <c r="DV39" s="86" t="str">
        <f aca="false">IF($DJ39&gt;$DI$8,"",VLOOKUP($DJ39,$DL$9:$DR$508,4,FALSE()))</f>
        <v/>
      </c>
      <c r="DW39" s="86" t="str">
        <f aca="false">IF($DJ39&gt;$DI$8,"",VLOOKUP($DJ39,$DL$9:$DR$508,5,FALSE()))</f>
        <v/>
      </c>
      <c r="DX39" s="87" t="str">
        <f aca="false">IF($DJ39&gt;$DI$8,"",VLOOKUP($DJ39,$DL$9:$DR$508,6,FALSE()))</f>
        <v/>
      </c>
      <c r="DY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88"/>
      <c r="N40" s="88"/>
      <c r="O40" s="134"/>
      <c r="P40" s="134"/>
      <c r="Q40" s="88"/>
      <c r="R40" s="88"/>
      <c r="S40" s="88"/>
      <c r="T40" s="88"/>
      <c r="U40" s="134"/>
      <c r="V40" s="88"/>
      <c r="W40" s="70"/>
      <c r="X40" s="88"/>
      <c r="Y40" s="88"/>
      <c r="Z40" s="70"/>
      <c r="AA40" s="70"/>
      <c r="AB40" s="88"/>
      <c r="AC40" s="88"/>
      <c r="AD40" s="88"/>
      <c r="AE40" s="71"/>
      <c r="AF40" s="88"/>
      <c r="AG40" s="73"/>
      <c r="AH40" s="74"/>
      <c r="AI40" s="74"/>
      <c r="AJ40" s="74" t="str">
        <f aca="false">IF(ISBLANK($C40),"",IF($E40=Constants!$B$2,TRUE(),IF($E40=Constants!$B$3,FALSE(),TRUE())))</f>
        <v/>
      </c>
      <c r="AK40" s="74" t="str">
        <f aca="false">IF(ISBLANK($C40),"",IF($F40=Constants!$B$2,TRUE(),IF($F40=Constants!$B$3,FALSE(),FALSE())))</f>
        <v/>
      </c>
      <c r="AL40" s="74" t="str">
        <f aca="false">IF(ISBLANK($C40),"",IF($G40=Constants!$B$2,TRUE(),IF($G40=Constants!$B$3,FALSE(),TRUE())))</f>
        <v/>
      </c>
      <c r="AM40" s="74" t="str">
        <f aca="false">IF(ISBLANK($C40),"",IF($H40=Constants!$B$2,TRUE(),IF($H40=Constants!$B$3,FALSE(),TRUE())))</f>
        <v/>
      </c>
      <c r="AN40" s="74" t="str">
        <f aca="false">IF(ISBLANK($C40),"",IF(ISNUMBER($I40),IF($I40&gt;=0,$I40,""),""))</f>
        <v/>
      </c>
      <c r="AO40" s="74" t="str">
        <f aca="false">IF(ISBLANK($C40),"",IF(ISNUMBER($J40),IF($J40&gt;=0,$J40,""),""))</f>
        <v/>
      </c>
      <c r="AP40" s="74" t="str">
        <f aca="false">IF(ISBLANK($C40),"",IF(ISNUMBER($K40),IF($K40&gt;=0,$K40,""),""))</f>
        <v/>
      </c>
      <c r="AQ40" s="74" t="str">
        <f aca="false">IF(ISBLANK($C40),"",IF($L40=Constants!$B$2,TRUE(),IF($L40=Constants!$B$3,FALSE(),TRUE())))</f>
        <v/>
      </c>
      <c r="AR40" s="74" t="str">
        <f aca="false">IF(ISBLANK($C40),"",IF($M40=Constants!$B$2,TRUE(),IF($M40=Constants!$B$3,FALSE(),TRUE())))</f>
        <v/>
      </c>
      <c r="AS40" s="74" t="str">
        <f aca="false">IF(ISBLANK($C40),"",IF($N40=Constants!$B$2,TRUE(),IF($N40=Constants!$B$3,FALSE(),FALSE())))</f>
        <v/>
      </c>
      <c r="AT40" s="74" t="str">
        <f aca="false">IF(ISBLANK($C40),"",IF($O40=Constants!$B$2,TRUE(),IF($O40=Constants!$B$3,FALSE(),TRUE())))</f>
        <v/>
      </c>
      <c r="AU40" s="74" t="str">
        <f aca="false">IF(ISBLANK($C40),"",IF($P40=Constants!$B$2,TRUE(),IF($P40=Constants!$B$3,FALSE(),TRUE())))</f>
        <v/>
      </c>
      <c r="AV40" s="74" t="str">
        <f aca="false">IF(ISBLANK($C40),"",IF($Q40=Constants!$B$2,TRUE(),IF($Q40=Constants!$B$3,FALSE(),FALSE())))</f>
        <v/>
      </c>
      <c r="AW40" s="74" t="str">
        <f aca="false">IF(ISBLANK($C40),"",IF($R40=Constants!$B$2,TRUE(),IF($R40=Constants!$B$3,FALSE(),FALSE())))</f>
        <v/>
      </c>
      <c r="AX40" s="74" t="str">
        <f aca="false">IF(ISBLANK($C40),"",IF($S40=Constants!$B$2,TRUE(),IF($S40=Constants!$B$3,FALSE(),FALSE())))</f>
        <v/>
      </c>
      <c r="AY40" s="74" t="str">
        <f aca="false">IF(ISBLANK($C40),"",IF($T40=Constants!$B$2,TRUE(),IF($T40=Constants!$B$3,FALSE(),FALSE())))</f>
        <v/>
      </c>
      <c r="AZ40" s="74" t="str">
        <f aca="false">IF(ISBLANK($C40),"",IF($U40=Constants!$B$2,TRUE(),IF($U40=Constants!$B$3,FALSE(),FALSE())))</f>
        <v/>
      </c>
      <c r="BA40" s="74" t="str">
        <f aca="false">IF(ISBLANK($C40),"",IF(OR($V40&amp;""="1",$V40&amp;""="2",$V40&amp;""="3",$V40&amp;""="4"),VALUE($V40&amp;""),IF($V40=Constants!$B$12,Constants!$B$12,"")))</f>
        <v/>
      </c>
      <c r="BB40" s="74" t="str">
        <f aca="false">IF(ISBLANK($C40),"",IF(ISBLANK($W40),0,IF(ISNUMBER($W40),IF(AND($W40&gt;=0,$W40&lt;=Constants!$B$21,$W40=INT($W40)),$W40,""),"")))</f>
        <v/>
      </c>
      <c r="BC40" s="74" t="str">
        <f aca="false">IF(ISBLANK($C40),"",IF(ISBLANK($X40),0,IF(ISNUMBER($X40),IF($X40&gt;=0,$X40,""),"")))</f>
        <v/>
      </c>
      <c r="BD40" s="74" t="str">
        <f aca="false">IF(ISBLANK($C40),"",IF($Y40=Constants!$B$2,TRUE(),IF($Y40=Constants!$B$3,FALSE(),TRUE())))</f>
        <v/>
      </c>
      <c r="BE40" s="74" t="str">
        <f aca="false">IF(ISBLANK($C40),"",IF($Z40=Constants!$B$2,TRUE(),IF($Z40=Constants!$B$3,FALSE(),FALSE())))</f>
        <v/>
      </c>
      <c r="BF40" s="74" t="str">
        <f aca="false">IF(ISBLANK($C40),"",IF(ISBLANK($AA40),0,IF(ISNUMBER($AA40),IF(AND($AA40&gt;=0,$AA40&lt;=Constants!$B$35,$AA40=INT($AA40)),$AA40,""),"")))</f>
        <v/>
      </c>
      <c r="BG40" s="74" t="str">
        <f aca="false">IF(ISBLANK($C40),"",IF($AB40=Constants!$B$2,TRUE(),IF($AB40=Constants!$B$3,FALSE(),TRUE())))</f>
        <v/>
      </c>
      <c r="BH40" s="74" t="str">
        <f aca="false">IF(ISBLANK($C40),"",IF($AC40=Constants!$B$2,TRUE(),IF($AC40=Constants!$B$3,FALSE(),TRUE())))</f>
        <v/>
      </c>
      <c r="BI40" s="74" t="str">
        <f aca="false">IF(ISBLANK($C40),"",IF($AD40=Constants!$B$2,TRUE(),IF($AD40=Constants!$B$3,FALSE(),TRUE())))</f>
        <v/>
      </c>
      <c r="BJ40" s="74" t="str">
        <f aca="false">IF(ISBLANK($C40),"",IF(ISNUMBER($AE40),IF($AE40&gt;=0,$AE40,""),""))</f>
        <v/>
      </c>
      <c r="BK40" s="74" t="str">
        <f aca="false">IF(ISBLANK($C40),"",IF($AF40=Constants!$B$2,TRUE(),IF($AF40=Constants!$B$3,FALSE(),FALSE())))</f>
        <v/>
      </c>
      <c r="BL40" s="73" t="str">
        <f aca="false">IF(ISBLANK($C40),"",IF($BK40,Constants!$B$7,IF(COUNTA($E40:$AE40)=0,Constants!$B$6,IF(OR(COUNTA($G40:$AE40)=0,NOT($AM40),$AS40),Constants!$B$5,IF(OR($CM40&lt;&gt;"",$CN40,$CO40,$CP40,$CQ40,$CR40,$CS40),Constants!$B$8,Constants!$B$4)))))</f>
        <v/>
      </c>
      <c r="BM40" s="74" t="str">
        <f aca="false">IF(ISBLANK($C40),"",IF($BL40&lt;&gt;Constants!$B$4,$BL40,IF(OR(NOT($AJ40),NOT($AL40),NOT($AT40)),Constants!$B$11,IF(OR(NOT($AR40),NOT($AU40),NOT($BI40),MAX($AN40,$AO40,$AP40)&gt;Constants!$B$30),Constants!$B$10,Constants!$B$9))))</f>
        <v/>
      </c>
      <c r="BN40" s="74" t="str">
        <f aca="false">IF($BL40&lt;&gt;Constants!$B$4,"",IF(NOT($AL40),0,MIN(Constants!$B$35,$BF40)))</f>
        <v/>
      </c>
      <c r="BO40" s="74" t="str">
        <f aca="false">IF($BL40&lt;&gt;Constants!$B$4,"",IF(NOT($AL40),0,IF($AW40,Constants!$B$18,IF($AV40,Constants!$B$17,0))))</f>
        <v/>
      </c>
      <c r="BP40" s="74" t="str">
        <f aca="false">IF($BL40&lt;&gt;Constants!$B$4,"",IF(NOT($AL40),0,Constants!$B$19*($AK40+$AX40+$AY40+$AZ40)))</f>
        <v/>
      </c>
      <c r="BQ40" s="74" t="str">
        <f aca="false">IF($BL40&lt;&gt;Constants!$B$4,"",IF(OR(NOT($AL40),NOT(ISNUMBER($BA40))),0,CHOOSE($BA40,Constants!$B$13,Constants!$B$14,Constants!$B$15,Constants!$B$16)))</f>
        <v/>
      </c>
      <c r="BR40" s="74" t="str">
        <f aca="false">IF($BL40&lt;&gt;Constants!$B$4,"",IF(NOT($AL40),0,Constants!$B$20*$BB40))</f>
        <v/>
      </c>
      <c r="BS40" s="74" t="str">
        <f aca="false">IF($BL40&lt;&gt;Constants!$B$4,"",IF(AND($AL40,$BD40,$BE40),Constants!$B$22,0))</f>
        <v/>
      </c>
      <c r="BT40" s="74" t="str">
        <f aca="false">IF($BL40&lt;&gt;Constants!$B$4,"",IF(OR(NOT($AL40),NOT($BD40)),0,IF($BJ40&gt;=2*$AH$9,0,Constants!$B$23*INT(ROUND(MIN($BJ40,$AH$9),6)))))</f>
        <v/>
      </c>
      <c r="BU40" s="74" t="str">
        <f aca="false">IF($BL40&lt;&gt;Constants!$B$4,"",IF(NOT($AL40),0,Constants!$B$24*INT(ROUND(MIN($BC40,$AH$9),6))))</f>
        <v/>
      </c>
      <c r="BV40" s="74" t="str">
        <f aca="false">IF($BL40&lt;&gt;Constants!$B$4,"",IF(AND($AL40,$BN40=0),Constants!$B$25,0))</f>
        <v/>
      </c>
      <c r="BW40" s="74" t="str">
        <f aca="false">IF($BL40&lt;&gt;Constants!$B$4,"",MIN(Constants!$B$29,MAX(0,Constants!$B$27*Constants!$B$28*INT(ROUND((Constants!$B$26-$AN40)/Constants!$B$28,6))))+MIN(Constants!$B$29,MAX(0,Constants!$B$27*Constants!$B$28*INT(ROUND((Constants!$B$26-$AO40)/Constants!$B$28,6))))+MIN(Constants!$B$29,MAX(0,Constants!$B$27*Constants!$B$28*INT(ROUND((Constants!$B$26-$AP40)/Constants!$B$28,6)))))</f>
        <v/>
      </c>
      <c r="BX40" s="74" t="str">
        <f aca="false">IF($BL40&lt;&gt;Constants!$B$4,"",IF(NOT($AL40),0,Constants!$B$31*INT(ROUND(MAX(0,MIN($BJ40,2*$AH$9)-$AH$9),6))))</f>
        <v/>
      </c>
      <c r="BY40" s="74" t="str">
        <f aca="false">IF($BL40&lt;&gt;Constants!$B$4,"",Constants!$B$32*(($AN40&gt;Constants!$B$26)+($AO40&gt;Constants!$B$26)+($AP40&gt;Constants!$B$26)))</f>
        <v/>
      </c>
      <c r="BZ40" s="74" t="str">
        <f aca="false">IF($BL40&lt;&gt;Constants!$B$4,"",IF(OR(NOT($AL40),$AQ40),0,Constants!$B$33))</f>
        <v/>
      </c>
      <c r="CA40" s="74" t="str">
        <f aca="false">IF($BL40&lt;&gt;Constants!$B$4,"",Constants!$B$34*$BN40)</f>
        <v/>
      </c>
      <c r="CB40" s="74" t="str">
        <f aca="false">IF($BL40&lt;&gt;Constants!$B$4,"",IF(OR(NOT($AL40),$BH40),0,Constants!$B$36))</f>
        <v/>
      </c>
      <c r="CC40" s="74" t="str">
        <f aca="false">IF($BL40&lt;&gt;Constants!$B$4,"",IF(OR(NOT($AL40),$BG40),0,Constants!$B$37))</f>
        <v/>
      </c>
      <c r="CD40" s="74" t="str">
        <f aca="false">IF($BL40&lt;&gt;Constants!$B$4,"",SUM($BX40:$CC40))</f>
        <v/>
      </c>
      <c r="CE40" s="74" t="str">
        <f aca="false">IF(ISBLANK($C40),"",IF($BL40&lt;&gt;Constants!$B$4,$BL40,SUM($BO40:$BW40)-$CD40))</f>
        <v/>
      </c>
      <c r="CF40" s="74" t="str">
        <f aca="false">IF(ISBLANK($C40),"",IF($BL40&lt;&gt;Constants!$B$4,$BL40,RANK($CE40,$CE$9:$CE$508)))</f>
        <v/>
      </c>
      <c r="CG40" s="74" t="str">
        <f aca="false">IF(ISBLANK($C40),"",IF($BL40&lt;&gt;Constants!$B$4,$BL40,COUNTIFS($BM$9:$BM$508,"&lt;"&amp;$BM40)+COUNTIFS($BM$9:$BM$508,$BM40,$CF$9:$CF$508,"&lt;"&amp;$CF40)+1))</f>
        <v/>
      </c>
      <c r="CH40" s="74" t="str">
        <f aca="false">IF(ISBLANK($C40),"",IF($BL40&lt;&gt;Constants!$B$4,$BL40,RANK($CD40,$CD$9:$CD$508,1)))</f>
        <v/>
      </c>
      <c r="CI40" s="74" t="str">
        <f aca="false">IF($BL40&lt;&gt;Constants!$B$4,"",$AN40+$AO40+$AP40)</f>
        <v/>
      </c>
      <c r="CJ40" s="74" t="str">
        <f aca="false">IF(ISBLANK($C40),"",IF($BL40&lt;&gt;Constants!$B$4,$BL40,RANK($CI40,$CI$9:$CI$508,1)))</f>
        <v/>
      </c>
      <c r="CK40" s="74" t="str">
        <f aca="false">IF(ISBLANK($C40),"",IF($BL40&lt;&gt;Constants!$B$4,$BL40,COUNTIFS($BM$9:$BM$508,"&lt;"&amp;$BM40)+COUNTIFS($BM$9:$BM$508,$BM40,$CF$9:$CF$508,"&lt;"&amp;$CF40)+COUNTIFS($BM$9:$BM$508,$BM40,$CF$9:$CF$508,$CF40,$CH$9:$CH$508,"&lt;"&amp;$CH40)+COUNTIFS($BM$9:$BM$508,$BM40,$CF$9:$CF$508,$CF40,$CH$9:$CH$508,$CH40,$CJ$9:$CJ$508,"&lt;"&amp;$CJ40)+1))</f>
        <v/>
      </c>
      <c r="CL40" s="74" t="str">
        <f aca="false">IF(ISBLANK($C40),"",IF($BL40&lt;&gt;Constants!$B$4,$BL40,$CG40-$CK40))</f>
        <v/>
      </c>
      <c r="CM40" s="74" t="str">
        <f aca="false">IF(ISBLANK($C40),"",IF(NOT($AL40),"",IF(ISBLANK($D$7),$CM$5,IF(NOT(ISNUMBER($D$7)),$CM$6,""))))</f>
        <v/>
      </c>
      <c r="CN40" s="74" t="str">
        <f aca="false">IF(ISBLANK($C40),"",OR($AN40="",$AO40="",$AP40=""))</f>
        <v/>
      </c>
      <c r="CO40" s="74" t="str">
        <f aca="false">IF(ISBLANK($C40),"",AND($AL40,$BA40=""))</f>
        <v/>
      </c>
      <c r="CP40" s="74" t="str">
        <f aca="false">IF(ISBLANK($C40),"",AND($AL40,$BB40=""))</f>
        <v/>
      </c>
      <c r="CQ40" s="74" t="str">
        <f aca="false">IF(ISBLANK($C40),"",AND($AL40,$BC40=""))</f>
        <v/>
      </c>
      <c r="CR40" s="74" t="str">
        <f aca="false">IF(ISBLANK($C40),"",AND($AL40,$BF40=""))</f>
        <v/>
      </c>
      <c r="CS40" s="74" t="str">
        <f aca="false">IF(ISBLANK($C40),"",AND($AL40,$BJ40=""))</f>
        <v/>
      </c>
      <c r="CT40" s="75"/>
      <c r="CU40" s="76"/>
      <c r="CV40" s="79" t="str">
        <f aca="false">IF(ISBLANK($C40),"",IF($BL40=Constants!$B$8,$CM40,""))</f>
        <v/>
      </c>
      <c r="CW40" s="76" t="str">
        <f aca="false">IF(ISBLANK($C40),"",IF($BL40&lt;&gt;Constants!$B$4,"",$BO40+$BP40))</f>
        <v/>
      </c>
      <c r="CX40" s="78" t="str">
        <f aca="false">IF(ISBLANK($C40),"",IF($BL40&lt;&gt;Constants!$B$4,"",$BQ40+$BR40+$BS40))</f>
        <v/>
      </c>
      <c r="CY40" s="78" t="str">
        <f aca="false">IF(ISBLANK($C40),"",IF($BL40&lt;&gt;Constants!$B$4,"",$BT40))</f>
        <v/>
      </c>
      <c r="CZ40" s="78" t="str">
        <f aca="false">IF(ISBLANK($C40),"",IF($BL40&lt;&gt;Constants!$B$4,"",$BU40+$BV40))</f>
        <v/>
      </c>
      <c r="DA40" s="78" t="str">
        <f aca="false">IF(ISBLANK($C40),"",IF($BL40&lt;&gt;Constants!$B$4,"",$BW40))</f>
        <v/>
      </c>
      <c r="DB40" s="78" t="str">
        <f aca="false">IF(ISBLANK($C40),"",IF($BL40&lt;&gt;Constants!$B$4,"",-$CD40))</f>
        <v/>
      </c>
      <c r="DC40" s="79" t="str">
        <f aca="false">IF(ISBLANK($C40),"",$CE40)</f>
        <v/>
      </c>
      <c r="DD40" s="80" t="str">
        <f aca="false">IF(ISBLANK($C40),"",$BM40)</f>
        <v/>
      </c>
      <c r="DE40" s="78" t="str">
        <f aca="false">IF(ISBLANK($C40),"",$CL40)</f>
        <v/>
      </c>
      <c r="DF40" s="78" t="str">
        <f aca="false">IF(ISBLANK($C40),"",$CK40)</f>
        <v/>
      </c>
      <c r="DG40" s="81" t="str">
        <f aca="false">IF(ISBLANK($C40),"",IF($DF40=Constants!$B$7,COUNTA($C$9:$C$508)+2,IF($DF40=Constants!$B$6,COUNTA($C$9:$C$508)+1,IF($DF40=Constants!$B$5,COUNTA($C$9:$C$508),$DF40))))</f>
        <v/>
      </c>
      <c r="DH40" s="7"/>
      <c r="DI40" s="82" t="n">
        <f aca="false">IF(OR(ISNUMBER($DF40),$DF40=Constants!$B$7,$DF40=Constants!$B$5,$DF40=Constants!$B$6),1,0)</f>
        <v>0</v>
      </c>
      <c r="DJ40" s="82" t="n">
        <v>32</v>
      </c>
      <c r="DK40" s="82" t="str">
        <f aca="false">IF(ISBLANK($C40),"",IF(ISNUMBER($DG40),$DG40+ROW($B40)/1000,""))</f>
        <v/>
      </c>
      <c r="DL40" s="82" t="str">
        <f aca="false">IF(ISNUMBER($DK40),RANK($DK40,$DK$9:$DK$508,1),"")</f>
        <v/>
      </c>
      <c r="DM40" s="82" t="str">
        <f aca="false">IF(ISBLANK($C40),"",$B40)</f>
        <v/>
      </c>
      <c r="DN40" s="82" t="str">
        <f aca="false">IF(ISBLANK($C40),"",$C40)</f>
        <v/>
      </c>
      <c r="DO40" s="82" t="str">
        <f aca="false">IF(ISBLANK($C40),"",$D40)</f>
        <v/>
      </c>
      <c r="DP40" s="83" t="str">
        <f aca="false">$DD40</f>
        <v/>
      </c>
      <c r="DQ40" s="84" t="str">
        <f aca="false">$DC40</f>
        <v/>
      </c>
      <c r="DR40" s="82" t="str">
        <f aca="false">IF(ISBLANK($C40),"",$DF40)</f>
        <v/>
      </c>
      <c r="DS40" s="85" t="str">
        <f aca="false">IF($DJ40&gt;$DI$8,"",VLOOKUP($DJ40,$DL$9:$DR$508,7,FALSE()))</f>
        <v/>
      </c>
      <c r="DT40" s="86" t="str">
        <f aca="false">IF($DJ40&gt;$DI$8,"",VLOOKUP($DJ40,$DL$9:$DR$508,2,FALSE()))</f>
        <v/>
      </c>
      <c r="DU40" s="86" t="str">
        <f aca="false">IF($DJ40&gt;$DI$8,"",VLOOKUP($DJ40,$DL$9:$DR$508,3,FALSE()))</f>
        <v/>
      </c>
      <c r="DV40" s="86" t="str">
        <f aca="false">IF($DJ40&gt;$DI$8,"",VLOOKUP($DJ40,$DL$9:$DR$508,4,FALSE()))</f>
        <v/>
      </c>
      <c r="DW40" s="86" t="str">
        <f aca="false">IF($DJ40&gt;$DI$8,"",VLOOKUP($DJ40,$DL$9:$DR$508,5,FALSE()))</f>
        <v/>
      </c>
      <c r="DX40" s="87" t="str">
        <f aca="false">IF($DJ40&gt;$DI$8,"",VLOOKUP($DJ40,$DL$9:$DR$508,6,FALSE()))</f>
        <v/>
      </c>
      <c r="DY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88"/>
      <c r="N41" s="88"/>
      <c r="O41" s="134"/>
      <c r="P41" s="134"/>
      <c r="Q41" s="88"/>
      <c r="R41" s="88"/>
      <c r="S41" s="88"/>
      <c r="T41" s="88"/>
      <c r="U41" s="134"/>
      <c r="V41" s="88"/>
      <c r="W41" s="70"/>
      <c r="X41" s="88"/>
      <c r="Y41" s="88"/>
      <c r="Z41" s="70"/>
      <c r="AA41" s="70"/>
      <c r="AB41" s="88"/>
      <c r="AC41" s="88"/>
      <c r="AD41" s="88"/>
      <c r="AE41" s="71"/>
      <c r="AF41" s="88"/>
      <c r="AG41" s="73"/>
      <c r="AH41" s="74"/>
      <c r="AI41" s="74"/>
      <c r="AJ41" s="74" t="str">
        <f aca="false">IF(ISBLANK($C41),"",IF($E41=Constants!$B$2,TRUE(),IF($E41=Constants!$B$3,FALSE(),TRUE())))</f>
        <v/>
      </c>
      <c r="AK41" s="74" t="str">
        <f aca="false">IF(ISBLANK($C41),"",IF($F41=Constants!$B$2,TRUE(),IF($F41=Constants!$B$3,FALSE(),FALSE())))</f>
        <v/>
      </c>
      <c r="AL41" s="74" t="str">
        <f aca="false">IF(ISBLANK($C41),"",IF($G41=Constants!$B$2,TRUE(),IF($G41=Constants!$B$3,FALSE(),TRUE())))</f>
        <v/>
      </c>
      <c r="AM41" s="74" t="str">
        <f aca="false">IF(ISBLANK($C41),"",IF($H41=Constants!$B$2,TRUE(),IF($H41=Constants!$B$3,FALSE(),TRUE())))</f>
        <v/>
      </c>
      <c r="AN41" s="74" t="str">
        <f aca="false">IF(ISBLANK($C41),"",IF(ISNUMBER($I41),IF($I41&gt;=0,$I41,""),""))</f>
        <v/>
      </c>
      <c r="AO41" s="74" t="str">
        <f aca="false">IF(ISBLANK($C41),"",IF(ISNUMBER($J41),IF($J41&gt;=0,$J41,""),""))</f>
        <v/>
      </c>
      <c r="AP41" s="74" t="str">
        <f aca="false">IF(ISBLANK($C41),"",IF(ISNUMBER($K41),IF($K41&gt;=0,$K41,""),""))</f>
        <v/>
      </c>
      <c r="AQ41" s="74" t="str">
        <f aca="false">IF(ISBLANK($C41),"",IF($L41=Constants!$B$2,TRUE(),IF($L41=Constants!$B$3,FALSE(),TRUE())))</f>
        <v/>
      </c>
      <c r="AR41" s="74" t="str">
        <f aca="false">IF(ISBLANK($C41),"",IF($M41=Constants!$B$2,TRUE(),IF($M41=Constants!$B$3,FALSE(),TRUE())))</f>
        <v/>
      </c>
      <c r="AS41" s="74" t="str">
        <f aca="false">IF(ISBLANK($C41),"",IF($N41=Constants!$B$2,TRUE(),IF($N41=Constants!$B$3,FALSE(),FALSE())))</f>
        <v/>
      </c>
      <c r="AT41" s="74" t="str">
        <f aca="false">IF(ISBLANK($C41),"",IF($O41=Constants!$B$2,TRUE(),IF($O41=Constants!$B$3,FALSE(),TRUE())))</f>
        <v/>
      </c>
      <c r="AU41" s="74" t="str">
        <f aca="false">IF(ISBLANK($C41),"",IF($P41=Constants!$B$2,TRUE(),IF($P41=Constants!$B$3,FALSE(),TRUE())))</f>
        <v/>
      </c>
      <c r="AV41" s="74" t="str">
        <f aca="false">IF(ISBLANK($C41),"",IF($Q41=Constants!$B$2,TRUE(),IF($Q41=Constants!$B$3,FALSE(),FALSE())))</f>
        <v/>
      </c>
      <c r="AW41" s="74" t="str">
        <f aca="false">IF(ISBLANK($C41),"",IF($R41=Constants!$B$2,TRUE(),IF($R41=Constants!$B$3,FALSE(),FALSE())))</f>
        <v/>
      </c>
      <c r="AX41" s="74" t="str">
        <f aca="false">IF(ISBLANK($C41),"",IF($S41=Constants!$B$2,TRUE(),IF($S41=Constants!$B$3,FALSE(),FALSE())))</f>
        <v/>
      </c>
      <c r="AY41" s="74" t="str">
        <f aca="false">IF(ISBLANK($C41),"",IF($T41=Constants!$B$2,TRUE(),IF($T41=Constants!$B$3,FALSE(),FALSE())))</f>
        <v/>
      </c>
      <c r="AZ41" s="74" t="str">
        <f aca="false">IF(ISBLANK($C41),"",IF($U41=Constants!$B$2,TRUE(),IF($U41=Constants!$B$3,FALSE(),FALSE())))</f>
        <v/>
      </c>
      <c r="BA41" s="74" t="str">
        <f aca="false">IF(ISBLANK($C41),"",IF(OR($V41&amp;""="1",$V41&amp;""="2",$V41&amp;""="3",$V41&amp;""="4"),VALUE($V41&amp;""),IF($V41=Constants!$B$12,Constants!$B$12,"")))</f>
        <v/>
      </c>
      <c r="BB41" s="74" t="str">
        <f aca="false">IF(ISBLANK($C41),"",IF(ISBLANK($W41),0,IF(ISNUMBER($W41),IF(AND($W41&gt;=0,$W41&lt;=Constants!$B$21,$W41=INT($W41)),$W41,""),"")))</f>
        <v/>
      </c>
      <c r="BC41" s="74" t="str">
        <f aca="false">IF(ISBLANK($C41),"",IF(ISBLANK($X41),0,IF(ISNUMBER($X41),IF($X41&gt;=0,$X41,""),"")))</f>
        <v/>
      </c>
      <c r="BD41" s="74" t="str">
        <f aca="false">IF(ISBLANK($C41),"",IF($Y41=Constants!$B$2,TRUE(),IF($Y41=Constants!$B$3,FALSE(),TRUE())))</f>
        <v/>
      </c>
      <c r="BE41" s="74" t="str">
        <f aca="false">IF(ISBLANK($C41),"",IF($Z41=Constants!$B$2,TRUE(),IF($Z41=Constants!$B$3,FALSE(),FALSE())))</f>
        <v/>
      </c>
      <c r="BF41" s="74" t="str">
        <f aca="false">IF(ISBLANK($C41),"",IF(ISBLANK($AA41),0,IF(ISNUMBER($AA41),IF(AND($AA41&gt;=0,$AA41&lt;=Constants!$B$35,$AA41=INT($AA41)),$AA41,""),"")))</f>
        <v/>
      </c>
      <c r="BG41" s="74" t="str">
        <f aca="false">IF(ISBLANK($C41),"",IF($AB41=Constants!$B$2,TRUE(),IF($AB41=Constants!$B$3,FALSE(),TRUE())))</f>
        <v/>
      </c>
      <c r="BH41" s="74" t="str">
        <f aca="false">IF(ISBLANK($C41),"",IF($AC41=Constants!$B$2,TRUE(),IF($AC41=Constants!$B$3,FALSE(),TRUE())))</f>
        <v/>
      </c>
      <c r="BI41" s="74" t="str">
        <f aca="false">IF(ISBLANK($C41),"",IF($AD41=Constants!$B$2,TRUE(),IF($AD41=Constants!$B$3,FALSE(),TRUE())))</f>
        <v/>
      </c>
      <c r="BJ41" s="74" t="str">
        <f aca="false">IF(ISBLANK($C41),"",IF(ISNUMBER($AE41),IF($AE41&gt;=0,$AE41,""),""))</f>
        <v/>
      </c>
      <c r="BK41" s="74" t="str">
        <f aca="false">IF(ISBLANK($C41),"",IF($AF41=Constants!$B$2,TRUE(),IF($AF41=Constants!$B$3,FALSE(),FALSE())))</f>
        <v/>
      </c>
      <c r="BL41" s="73" t="str">
        <f aca="false">IF(ISBLANK($C41),"",IF($BK41,Constants!$B$7,IF(COUNTA($E41:$AE41)=0,Constants!$B$6,IF(OR(COUNTA($G41:$AE41)=0,NOT($AM41),$AS41),Constants!$B$5,IF(OR($CM41&lt;&gt;"",$CN41,$CO41,$CP41,$CQ41,$CR41,$CS41),Constants!$B$8,Constants!$B$4)))))</f>
        <v/>
      </c>
      <c r="BM41" s="74" t="str">
        <f aca="false">IF(ISBLANK($C41),"",IF($BL41&lt;&gt;Constants!$B$4,$BL41,IF(OR(NOT($AJ41),NOT($AL41),NOT($AT41)),Constants!$B$11,IF(OR(NOT($AR41),NOT($AU41),NOT($BI41),MAX($AN41,$AO41,$AP41)&gt;Constants!$B$30),Constants!$B$10,Constants!$B$9))))</f>
        <v/>
      </c>
      <c r="BN41" s="74" t="str">
        <f aca="false">IF($BL41&lt;&gt;Constants!$B$4,"",IF(NOT($AL41),0,MIN(Constants!$B$35,$BF41)))</f>
        <v/>
      </c>
      <c r="BO41" s="74" t="str">
        <f aca="false">IF($BL41&lt;&gt;Constants!$B$4,"",IF(NOT($AL41),0,IF($AW41,Constants!$B$18,IF($AV41,Constants!$B$17,0))))</f>
        <v/>
      </c>
      <c r="BP41" s="74" t="str">
        <f aca="false">IF($BL41&lt;&gt;Constants!$B$4,"",IF(NOT($AL41),0,Constants!$B$19*($AK41+$AX41+$AY41+$AZ41)))</f>
        <v/>
      </c>
      <c r="BQ41" s="74" t="str">
        <f aca="false">IF($BL41&lt;&gt;Constants!$B$4,"",IF(OR(NOT($AL41),NOT(ISNUMBER($BA41))),0,CHOOSE($BA41,Constants!$B$13,Constants!$B$14,Constants!$B$15,Constants!$B$16)))</f>
        <v/>
      </c>
      <c r="BR41" s="74" t="str">
        <f aca="false">IF($BL41&lt;&gt;Constants!$B$4,"",IF(NOT($AL41),0,Constants!$B$20*$BB41))</f>
        <v/>
      </c>
      <c r="BS41" s="74" t="str">
        <f aca="false">IF($BL41&lt;&gt;Constants!$B$4,"",IF(AND($AL41,$BD41,$BE41),Constants!$B$22,0))</f>
        <v/>
      </c>
      <c r="BT41" s="74" t="str">
        <f aca="false">IF($BL41&lt;&gt;Constants!$B$4,"",IF(OR(NOT($AL41),NOT($BD41)),0,IF($BJ41&gt;=2*$AH$9,0,Constants!$B$23*INT(ROUND(MIN($BJ41,$AH$9),6)))))</f>
        <v/>
      </c>
      <c r="BU41" s="74" t="str">
        <f aca="false">IF($BL41&lt;&gt;Constants!$B$4,"",IF(NOT($AL41),0,Constants!$B$24*INT(ROUND(MIN($BC41,$AH$9),6))))</f>
        <v/>
      </c>
      <c r="BV41" s="74" t="str">
        <f aca="false">IF($BL41&lt;&gt;Constants!$B$4,"",IF(AND($AL41,$BN41=0),Constants!$B$25,0))</f>
        <v/>
      </c>
      <c r="BW41" s="74" t="str">
        <f aca="false">IF($BL41&lt;&gt;Constants!$B$4,"",MIN(Constants!$B$29,MAX(0,Constants!$B$27*Constants!$B$28*INT(ROUND((Constants!$B$26-$AN41)/Constants!$B$28,6))))+MIN(Constants!$B$29,MAX(0,Constants!$B$27*Constants!$B$28*INT(ROUND((Constants!$B$26-$AO41)/Constants!$B$28,6))))+MIN(Constants!$B$29,MAX(0,Constants!$B$27*Constants!$B$28*INT(ROUND((Constants!$B$26-$AP41)/Constants!$B$28,6)))))</f>
        <v/>
      </c>
      <c r="BX41" s="74" t="str">
        <f aca="false">IF($BL41&lt;&gt;Constants!$B$4,"",IF(NOT($AL41),0,Constants!$B$31*INT(ROUND(MAX(0,MIN($BJ41,2*$AH$9)-$AH$9),6))))</f>
        <v/>
      </c>
      <c r="BY41" s="74" t="str">
        <f aca="false">IF($BL41&lt;&gt;Constants!$B$4,"",Constants!$B$32*(($AN41&gt;Constants!$B$26)+($AO41&gt;Constants!$B$26)+($AP41&gt;Constants!$B$26)))</f>
        <v/>
      </c>
      <c r="BZ41" s="74" t="str">
        <f aca="false">IF($BL41&lt;&gt;Constants!$B$4,"",IF(OR(NOT($AL41),$AQ41),0,Constants!$B$33))</f>
        <v/>
      </c>
      <c r="CA41" s="74" t="str">
        <f aca="false">IF($BL41&lt;&gt;Constants!$B$4,"",Constants!$B$34*$BN41)</f>
        <v/>
      </c>
      <c r="CB41" s="74" t="str">
        <f aca="false">IF($BL41&lt;&gt;Constants!$B$4,"",IF(OR(NOT($AL41),$BH41),0,Constants!$B$36))</f>
        <v/>
      </c>
      <c r="CC41" s="74" t="str">
        <f aca="false">IF($BL41&lt;&gt;Constants!$B$4,"",IF(OR(NOT($AL41),$BG41),0,Constants!$B$37))</f>
        <v/>
      </c>
      <c r="CD41" s="74" t="str">
        <f aca="false">IF($BL41&lt;&gt;Constants!$B$4,"",SUM($BX41:$CC41))</f>
        <v/>
      </c>
      <c r="CE41" s="74" t="str">
        <f aca="false">IF(ISBLANK($C41),"",IF($BL41&lt;&gt;Constants!$B$4,$BL41,SUM($BO41:$BW41)-$CD41))</f>
        <v/>
      </c>
      <c r="CF41" s="74" t="str">
        <f aca="false">IF(ISBLANK($C41),"",IF($BL41&lt;&gt;Constants!$B$4,$BL41,RANK($CE41,$CE$9:$CE$508)))</f>
        <v/>
      </c>
      <c r="CG41" s="74" t="str">
        <f aca="false">IF(ISBLANK($C41),"",IF($BL41&lt;&gt;Constants!$B$4,$BL41,COUNTIFS($BM$9:$BM$508,"&lt;"&amp;$BM41)+COUNTIFS($BM$9:$BM$508,$BM41,$CF$9:$CF$508,"&lt;"&amp;$CF41)+1))</f>
        <v/>
      </c>
      <c r="CH41" s="74" t="str">
        <f aca="false">IF(ISBLANK($C41),"",IF($BL41&lt;&gt;Constants!$B$4,$BL41,RANK($CD41,$CD$9:$CD$508,1)))</f>
        <v/>
      </c>
      <c r="CI41" s="74" t="str">
        <f aca="false">IF($BL41&lt;&gt;Constants!$B$4,"",$AN41+$AO41+$AP41)</f>
        <v/>
      </c>
      <c r="CJ41" s="74" t="str">
        <f aca="false">IF(ISBLANK($C41),"",IF($BL41&lt;&gt;Constants!$B$4,$BL41,RANK($CI41,$CI$9:$CI$508,1)))</f>
        <v/>
      </c>
      <c r="CK41" s="74" t="str">
        <f aca="false">IF(ISBLANK($C41),"",IF($BL41&lt;&gt;Constants!$B$4,$BL41,COUNTIFS($BM$9:$BM$508,"&lt;"&amp;$BM41)+COUNTIFS($BM$9:$BM$508,$BM41,$CF$9:$CF$508,"&lt;"&amp;$CF41)+COUNTIFS($BM$9:$BM$508,$BM41,$CF$9:$CF$508,$CF41,$CH$9:$CH$508,"&lt;"&amp;$CH41)+COUNTIFS($BM$9:$BM$508,$BM41,$CF$9:$CF$508,$CF41,$CH$9:$CH$508,$CH41,$CJ$9:$CJ$508,"&lt;"&amp;$CJ41)+1))</f>
        <v/>
      </c>
      <c r="CL41" s="74" t="str">
        <f aca="false">IF(ISBLANK($C41),"",IF($BL41&lt;&gt;Constants!$B$4,$BL41,$CG41-$CK41))</f>
        <v/>
      </c>
      <c r="CM41" s="74" t="str">
        <f aca="false">IF(ISBLANK($C41),"",IF(NOT($AL41),"",IF(ISBLANK($D$7),$CM$5,IF(NOT(ISNUMBER($D$7)),$CM$6,""))))</f>
        <v/>
      </c>
      <c r="CN41" s="74" t="str">
        <f aca="false">IF(ISBLANK($C41),"",OR($AN41="",$AO41="",$AP41=""))</f>
        <v/>
      </c>
      <c r="CO41" s="74" t="str">
        <f aca="false">IF(ISBLANK($C41),"",AND($AL41,$BA41=""))</f>
        <v/>
      </c>
      <c r="CP41" s="74" t="str">
        <f aca="false">IF(ISBLANK($C41),"",AND($AL41,$BB41=""))</f>
        <v/>
      </c>
      <c r="CQ41" s="74" t="str">
        <f aca="false">IF(ISBLANK($C41),"",AND($AL41,$BC41=""))</f>
        <v/>
      </c>
      <c r="CR41" s="74" t="str">
        <f aca="false">IF(ISBLANK($C41),"",AND($AL41,$BF41=""))</f>
        <v/>
      </c>
      <c r="CS41" s="74" t="str">
        <f aca="false">IF(ISBLANK($C41),"",AND($AL41,$BJ41=""))</f>
        <v/>
      </c>
      <c r="CT41" s="75"/>
      <c r="CU41" s="76"/>
      <c r="CV41" s="79" t="str">
        <f aca="false">IF(ISBLANK($C41),"",IF($BL41=Constants!$B$8,$CM41,""))</f>
        <v/>
      </c>
      <c r="CW41" s="76" t="str">
        <f aca="false">IF(ISBLANK($C41),"",IF($BL41&lt;&gt;Constants!$B$4,"",$BO41+$BP41))</f>
        <v/>
      </c>
      <c r="CX41" s="78" t="str">
        <f aca="false">IF(ISBLANK($C41),"",IF($BL41&lt;&gt;Constants!$B$4,"",$BQ41+$BR41+$BS41))</f>
        <v/>
      </c>
      <c r="CY41" s="78" t="str">
        <f aca="false">IF(ISBLANK($C41),"",IF($BL41&lt;&gt;Constants!$B$4,"",$BT41))</f>
        <v/>
      </c>
      <c r="CZ41" s="78" t="str">
        <f aca="false">IF(ISBLANK($C41),"",IF($BL41&lt;&gt;Constants!$B$4,"",$BU41+$BV41))</f>
        <v/>
      </c>
      <c r="DA41" s="78" t="str">
        <f aca="false">IF(ISBLANK($C41),"",IF($BL41&lt;&gt;Constants!$B$4,"",$BW41))</f>
        <v/>
      </c>
      <c r="DB41" s="78" t="str">
        <f aca="false">IF(ISBLANK($C41),"",IF($BL41&lt;&gt;Constants!$B$4,"",-$CD41))</f>
        <v/>
      </c>
      <c r="DC41" s="79" t="str">
        <f aca="false">IF(ISBLANK($C41),"",$CE41)</f>
        <v/>
      </c>
      <c r="DD41" s="80" t="str">
        <f aca="false">IF(ISBLANK($C41),"",$BM41)</f>
        <v/>
      </c>
      <c r="DE41" s="78" t="str">
        <f aca="false">IF(ISBLANK($C41),"",$CL41)</f>
        <v/>
      </c>
      <c r="DF41" s="78" t="str">
        <f aca="false">IF(ISBLANK($C41),"",$CK41)</f>
        <v/>
      </c>
      <c r="DG41" s="81" t="str">
        <f aca="false">IF(ISBLANK($C41),"",IF($DF41=Constants!$B$7,COUNTA($C$9:$C$508)+2,IF($DF41=Constants!$B$6,COUNTA($C$9:$C$508)+1,IF($DF41=Constants!$B$5,COUNTA($C$9:$C$508),$DF41))))</f>
        <v/>
      </c>
      <c r="DH41" s="7"/>
      <c r="DI41" s="82" t="n">
        <f aca="false">IF(OR(ISNUMBER($DF41),$DF41=Constants!$B$7,$DF41=Constants!$B$5,$DF41=Constants!$B$6),1,0)</f>
        <v>0</v>
      </c>
      <c r="DJ41" s="82" t="n">
        <v>33</v>
      </c>
      <c r="DK41" s="82" t="str">
        <f aca="false">IF(ISBLANK($C41),"",IF(ISNUMBER($DG41),$DG41+ROW($B41)/1000,""))</f>
        <v/>
      </c>
      <c r="DL41" s="82" t="str">
        <f aca="false">IF(ISNUMBER($DK41),RANK($DK41,$DK$9:$DK$508,1),"")</f>
        <v/>
      </c>
      <c r="DM41" s="82" t="str">
        <f aca="false">IF(ISBLANK($C41),"",$B41)</f>
        <v/>
      </c>
      <c r="DN41" s="82" t="str">
        <f aca="false">IF(ISBLANK($C41),"",$C41)</f>
        <v/>
      </c>
      <c r="DO41" s="82" t="str">
        <f aca="false">IF(ISBLANK($C41),"",$D41)</f>
        <v/>
      </c>
      <c r="DP41" s="83" t="str">
        <f aca="false">$DD41</f>
        <v/>
      </c>
      <c r="DQ41" s="84" t="str">
        <f aca="false">$DC41</f>
        <v/>
      </c>
      <c r="DR41" s="82" t="str">
        <f aca="false">IF(ISBLANK($C41),"",$DF41)</f>
        <v/>
      </c>
      <c r="DS41" s="85" t="str">
        <f aca="false">IF($DJ41&gt;$DI$8,"",VLOOKUP($DJ41,$DL$9:$DR$508,7,FALSE()))</f>
        <v/>
      </c>
      <c r="DT41" s="86" t="str">
        <f aca="false">IF($DJ41&gt;$DI$8,"",VLOOKUP($DJ41,$DL$9:$DR$508,2,FALSE()))</f>
        <v/>
      </c>
      <c r="DU41" s="86" t="str">
        <f aca="false">IF($DJ41&gt;$DI$8,"",VLOOKUP($DJ41,$DL$9:$DR$508,3,FALSE()))</f>
        <v/>
      </c>
      <c r="DV41" s="86" t="str">
        <f aca="false">IF($DJ41&gt;$DI$8,"",VLOOKUP($DJ41,$DL$9:$DR$508,4,FALSE()))</f>
        <v/>
      </c>
      <c r="DW41" s="86" t="str">
        <f aca="false">IF($DJ41&gt;$DI$8,"",VLOOKUP($DJ41,$DL$9:$DR$508,5,FALSE()))</f>
        <v/>
      </c>
      <c r="DX41" s="87" t="str">
        <f aca="false">IF($DJ41&gt;$DI$8,"",VLOOKUP($DJ41,$DL$9:$DR$508,6,FALSE()))</f>
        <v/>
      </c>
      <c r="DY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130"/>
      <c r="N42" s="130"/>
      <c r="O42" s="135"/>
      <c r="P42" s="135"/>
      <c r="Q42" s="130"/>
      <c r="R42" s="130"/>
      <c r="S42" s="130"/>
      <c r="T42" s="130"/>
      <c r="U42" s="135"/>
      <c r="V42" s="130"/>
      <c r="W42" s="96"/>
      <c r="X42" s="130"/>
      <c r="Y42" s="130"/>
      <c r="Z42" s="96"/>
      <c r="AA42" s="96"/>
      <c r="AB42" s="130"/>
      <c r="AC42" s="130"/>
      <c r="AD42" s="130"/>
      <c r="AE42" s="97"/>
      <c r="AF42" s="130"/>
      <c r="AG42" s="99"/>
      <c r="AH42" s="100"/>
      <c r="AI42" s="100"/>
      <c r="AJ42" s="100" t="str">
        <f aca="false">IF(ISBLANK($C42),"",IF($E42=Constants!$B$2,TRUE(),IF($E42=Constants!$B$3,FALSE(),TRUE())))</f>
        <v/>
      </c>
      <c r="AK42" s="100" t="str">
        <f aca="false">IF(ISBLANK($C42),"",IF($F42=Constants!$B$2,TRUE(),IF($F42=Constants!$B$3,FALSE(),FALSE())))</f>
        <v/>
      </c>
      <c r="AL42" s="100" t="str">
        <f aca="false">IF(ISBLANK($C42),"",IF($G42=Constants!$B$2,TRUE(),IF($G42=Constants!$B$3,FALSE(),TRUE())))</f>
        <v/>
      </c>
      <c r="AM42" s="100" t="str">
        <f aca="false">IF(ISBLANK($C42),"",IF($H42=Constants!$B$2,TRUE(),IF($H42=Constants!$B$3,FALSE(),TRUE())))</f>
        <v/>
      </c>
      <c r="AN42" s="100" t="str">
        <f aca="false">IF(ISBLANK($C42),"",IF(ISNUMBER($I42),IF($I42&gt;=0,$I42,""),""))</f>
        <v/>
      </c>
      <c r="AO42" s="100" t="str">
        <f aca="false">IF(ISBLANK($C42),"",IF(ISNUMBER($J42),IF($J42&gt;=0,$J42,""),""))</f>
        <v/>
      </c>
      <c r="AP42" s="100" t="str">
        <f aca="false">IF(ISBLANK($C42),"",IF(ISNUMBER($K42),IF($K42&gt;=0,$K42,""),""))</f>
        <v/>
      </c>
      <c r="AQ42" s="100" t="str">
        <f aca="false">IF(ISBLANK($C42),"",IF($L42=Constants!$B$2,TRUE(),IF($L42=Constants!$B$3,FALSE(),TRUE())))</f>
        <v/>
      </c>
      <c r="AR42" s="100" t="str">
        <f aca="false">IF(ISBLANK($C42),"",IF($M42=Constants!$B$2,TRUE(),IF($M42=Constants!$B$3,FALSE(),TRUE())))</f>
        <v/>
      </c>
      <c r="AS42" s="100" t="str">
        <f aca="false">IF(ISBLANK($C42),"",IF($N42=Constants!$B$2,TRUE(),IF($N42=Constants!$B$3,FALSE(),FALSE())))</f>
        <v/>
      </c>
      <c r="AT42" s="100" t="str">
        <f aca="false">IF(ISBLANK($C42),"",IF($O42=Constants!$B$2,TRUE(),IF($O42=Constants!$B$3,FALSE(),TRUE())))</f>
        <v/>
      </c>
      <c r="AU42" s="100" t="str">
        <f aca="false">IF(ISBLANK($C42),"",IF($P42=Constants!$B$2,TRUE(),IF($P42=Constants!$B$3,FALSE(),TRUE())))</f>
        <v/>
      </c>
      <c r="AV42" s="100" t="str">
        <f aca="false">IF(ISBLANK($C42),"",IF($Q42=Constants!$B$2,TRUE(),IF($Q42=Constants!$B$3,FALSE(),FALSE())))</f>
        <v/>
      </c>
      <c r="AW42" s="100" t="str">
        <f aca="false">IF(ISBLANK($C42),"",IF($R42=Constants!$B$2,TRUE(),IF($R42=Constants!$B$3,FALSE(),FALSE())))</f>
        <v/>
      </c>
      <c r="AX42" s="100" t="str">
        <f aca="false">IF(ISBLANK($C42),"",IF($S42=Constants!$B$2,TRUE(),IF($S42=Constants!$B$3,FALSE(),FALSE())))</f>
        <v/>
      </c>
      <c r="AY42" s="100" t="str">
        <f aca="false">IF(ISBLANK($C42),"",IF($T42=Constants!$B$2,TRUE(),IF($T42=Constants!$B$3,FALSE(),FALSE())))</f>
        <v/>
      </c>
      <c r="AZ42" s="100" t="str">
        <f aca="false">IF(ISBLANK($C42),"",IF($U42=Constants!$B$2,TRUE(),IF($U42=Constants!$B$3,FALSE(),FALSE())))</f>
        <v/>
      </c>
      <c r="BA42" s="100" t="str">
        <f aca="false">IF(ISBLANK($C42),"",IF(OR($V42&amp;""="1",$V42&amp;""="2",$V42&amp;""="3",$V42&amp;""="4"),VALUE($V42&amp;""),IF($V42=Constants!$B$12,Constants!$B$12,"")))</f>
        <v/>
      </c>
      <c r="BB42" s="100" t="str">
        <f aca="false">IF(ISBLANK($C42),"",IF(ISBLANK($W42),0,IF(ISNUMBER($W42),IF(AND($W42&gt;=0,$W42&lt;=Constants!$B$21,$W42=INT($W42)),$W42,""),"")))</f>
        <v/>
      </c>
      <c r="BC42" s="100" t="str">
        <f aca="false">IF(ISBLANK($C42),"",IF(ISBLANK($X42),0,IF(ISNUMBER($X42),IF($X42&gt;=0,$X42,""),"")))</f>
        <v/>
      </c>
      <c r="BD42" s="100" t="str">
        <f aca="false">IF(ISBLANK($C42),"",IF($Y42=Constants!$B$2,TRUE(),IF($Y42=Constants!$B$3,FALSE(),TRUE())))</f>
        <v/>
      </c>
      <c r="BE42" s="100" t="str">
        <f aca="false">IF(ISBLANK($C42),"",IF($Z42=Constants!$B$2,TRUE(),IF($Z42=Constants!$B$3,FALSE(),FALSE())))</f>
        <v/>
      </c>
      <c r="BF42" s="100" t="str">
        <f aca="false">IF(ISBLANK($C42),"",IF(ISBLANK($AA42),0,IF(ISNUMBER($AA42),IF(AND($AA42&gt;=0,$AA42&lt;=Constants!$B$35,$AA42=INT($AA42)),$AA42,""),"")))</f>
        <v/>
      </c>
      <c r="BG42" s="100" t="str">
        <f aca="false">IF(ISBLANK($C42),"",IF($AB42=Constants!$B$2,TRUE(),IF($AB42=Constants!$B$3,FALSE(),TRUE())))</f>
        <v/>
      </c>
      <c r="BH42" s="100" t="str">
        <f aca="false">IF(ISBLANK($C42),"",IF($AC42=Constants!$B$2,TRUE(),IF($AC42=Constants!$B$3,FALSE(),TRUE())))</f>
        <v/>
      </c>
      <c r="BI42" s="100" t="str">
        <f aca="false">IF(ISBLANK($C42),"",IF($AD42=Constants!$B$2,TRUE(),IF($AD42=Constants!$B$3,FALSE(),TRUE())))</f>
        <v/>
      </c>
      <c r="BJ42" s="100" t="str">
        <f aca="false">IF(ISBLANK($C42),"",IF(ISNUMBER($AE42),IF($AE42&gt;=0,$AE42,""),""))</f>
        <v/>
      </c>
      <c r="BK42" s="100" t="str">
        <f aca="false">IF(ISBLANK($C42),"",IF($AF42=Constants!$B$2,TRUE(),IF($AF42=Constants!$B$3,FALSE(),FALSE())))</f>
        <v/>
      </c>
      <c r="BL42" s="99" t="str">
        <f aca="false">IF(ISBLANK($C42),"",IF($BK42,Constants!$B$7,IF(COUNTA($E42:$AE42)=0,Constants!$B$6,IF(OR(COUNTA($G42:$AE42)=0,NOT($AM42),$AS42),Constants!$B$5,IF(OR($CM42&lt;&gt;"",$CN42,$CO42,$CP42,$CQ42,$CR42,$CS42),Constants!$B$8,Constants!$B$4)))))</f>
        <v/>
      </c>
      <c r="BM42" s="100" t="str">
        <f aca="false">IF(ISBLANK($C42),"",IF($BL42&lt;&gt;Constants!$B$4,$BL42,IF(OR(NOT($AJ42),NOT($AL42),NOT($AT42)),Constants!$B$11,IF(OR(NOT($AR42),NOT($AU42),NOT($BI42),MAX($AN42,$AO42,$AP42)&gt;Constants!$B$30),Constants!$B$10,Constants!$B$9))))</f>
        <v/>
      </c>
      <c r="BN42" s="100" t="str">
        <f aca="false">IF($BL42&lt;&gt;Constants!$B$4,"",IF(NOT($AL42),0,MIN(Constants!$B$35,$BF42)))</f>
        <v/>
      </c>
      <c r="BO42" s="100" t="str">
        <f aca="false">IF($BL42&lt;&gt;Constants!$B$4,"",IF(NOT($AL42),0,IF($AW42,Constants!$B$18,IF($AV42,Constants!$B$17,0))))</f>
        <v/>
      </c>
      <c r="BP42" s="100" t="str">
        <f aca="false">IF($BL42&lt;&gt;Constants!$B$4,"",IF(NOT($AL42),0,Constants!$B$19*($AK42+$AX42+$AY42+$AZ42)))</f>
        <v/>
      </c>
      <c r="BQ42" s="100" t="str">
        <f aca="false">IF($BL42&lt;&gt;Constants!$B$4,"",IF(OR(NOT($AL42),NOT(ISNUMBER($BA42))),0,CHOOSE($BA42,Constants!$B$13,Constants!$B$14,Constants!$B$15,Constants!$B$16)))</f>
        <v/>
      </c>
      <c r="BR42" s="100" t="str">
        <f aca="false">IF($BL42&lt;&gt;Constants!$B$4,"",IF(NOT($AL42),0,Constants!$B$20*$BB42))</f>
        <v/>
      </c>
      <c r="BS42" s="100" t="str">
        <f aca="false">IF($BL42&lt;&gt;Constants!$B$4,"",IF(AND($AL42,$BD42,$BE42),Constants!$B$22,0))</f>
        <v/>
      </c>
      <c r="BT42" s="100" t="str">
        <f aca="false">IF($BL42&lt;&gt;Constants!$B$4,"",IF(OR(NOT($AL42),NOT($BD42)),0,IF($BJ42&gt;=2*$AH$9,0,Constants!$B$23*INT(ROUND(MIN($BJ42,$AH$9),6)))))</f>
        <v/>
      </c>
      <c r="BU42" s="100" t="str">
        <f aca="false">IF($BL42&lt;&gt;Constants!$B$4,"",IF(NOT($AL42),0,Constants!$B$24*INT(ROUND(MIN($BC42,$AH$9),6))))</f>
        <v/>
      </c>
      <c r="BV42" s="100" t="str">
        <f aca="false">IF($BL42&lt;&gt;Constants!$B$4,"",IF(AND($AL42,$BN42=0),Constants!$B$25,0))</f>
        <v/>
      </c>
      <c r="BW42" s="100" t="str">
        <f aca="false">IF($BL42&lt;&gt;Constants!$B$4,"",MIN(Constants!$B$29,MAX(0,Constants!$B$27*Constants!$B$28*INT(ROUND((Constants!$B$26-$AN42)/Constants!$B$28,6))))+MIN(Constants!$B$29,MAX(0,Constants!$B$27*Constants!$B$28*INT(ROUND((Constants!$B$26-$AO42)/Constants!$B$28,6))))+MIN(Constants!$B$29,MAX(0,Constants!$B$27*Constants!$B$28*INT(ROUND((Constants!$B$26-$AP42)/Constants!$B$28,6)))))</f>
        <v/>
      </c>
      <c r="BX42" s="100" t="str">
        <f aca="false">IF($BL42&lt;&gt;Constants!$B$4,"",IF(NOT($AL42),0,Constants!$B$31*INT(ROUND(MAX(0,MIN($BJ42,2*$AH$9)-$AH$9),6))))</f>
        <v/>
      </c>
      <c r="BY42" s="100" t="str">
        <f aca="false">IF($BL42&lt;&gt;Constants!$B$4,"",Constants!$B$32*(($AN42&gt;Constants!$B$26)+($AO42&gt;Constants!$B$26)+($AP42&gt;Constants!$B$26)))</f>
        <v/>
      </c>
      <c r="BZ42" s="100" t="str">
        <f aca="false">IF($BL42&lt;&gt;Constants!$B$4,"",IF(OR(NOT($AL42),$AQ42),0,Constants!$B$33))</f>
        <v/>
      </c>
      <c r="CA42" s="100" t="str">
        <f aca="false">IF($BL42&lt;&gt;Constants!$B$4,"",Constants!$B$34*$BN42)</f>
        <v/>
      </c>
      <c r="CB42" s="100" t="str">
        <f aca="false">IF($BL42&lt;&gt;Constants!$B$4,"",IF(OR(NOT($AL42),$BH42),0,Constants!$B$36))</f>
        <v/>
      </c>
      <c r="CC42" s="100" t="str">
        <f aca="false">IF($BL42&lt;&gt;Constants!$B$4,"",IF(OR(NOT($AL42),$BG42),0,Constants!$B$37))</f>
        <v/>
      </c>
      <c r="CD42" s="100" t="str">
        <f aca="false">IF($BL42&lt;&gt;Constants!$B$4,"",SUM($BX42:$CC42))</f>
        <v/>
      </c>
      <c r="CE42" s="100" t="str">
        <f aca="false">IF(ISBLANK($C42),"",IF($BL42&lt;&gt;Constants!$B$4,$BL42,SUM($BO42:$BW42)-$CD42))</f>
        <v/>
      </c>
      <c r="CF42" s="100" t="str">
        <f aca="false">IF(ISBLANK($C42),"",IF($BL42&lt;&gt;Constants!$B$4,$BL42,RANK($CE42,$CE$9:$CE$508)))</f>
        <v/>
      </c>
      <c r="CG42" s="100" t="str">
        <f aca="false">IF(ISBLANK($C42),"",IF($BL42&lt;&gt;Constants!$B$4,$BL42,COUNTIFS($BM$9:$BM$508,"&lt;"&amp;$BM42)+COUNTIFS($BM$9:$BM$508,$BM42,$CF$9:$CF$508,"&lt;"&amp;$CF42)+1))</f>
        <v/>
      </c>
      <c r="CH42" s="100" t="str">
        <f aca="false">IF(ISBLANK($C42),"",IF($BL42&lt;&gt;Constants!$B$4,$BL42,RANK($CD42,$CD$9:$CD$508,1)))</f>
        <v/>
      </c>
      <c r="CI42" s="100" t="str">
        <f aca="false">IF($BL42&lt;&gt;Constants!$B$4,"",$AN42+$AO42+$AP42)</f>
        <v/>
      </c>
      <c r="CJ42" s="100" t="str">
        <f aca="false">IF(ISBLANK($C42),"",IF($BL42&lt;&gt;Constants!$B$4,$BL42,RANK($CI42,$CI$9:$CI$508,1)))</f>
        <v/>
      </c>
      <c r="CK42" s="100" t="str">
        <f aca="false">IF(ISBLANK($C42),"",IF($BL42&lt;&gt;Constants!$B$4,$BL42,COUNTIFS($BM$9:$BM$508,"&lt;"&amp;$BM42)+COUNTIFS($BM$9:$BM$508,$BM42,$CF$9:$CF$508,"&lt;"&amp;$CF42)+COUNTIFS($BM$9:$BM$508,$BM42,$CF$9:$CF$508,$CF42,$CH$9:$CH$508,"&lt;"&amp;$CH42)+COUNTIFS($BM$9:$BM$508,$BM42,$CF$9:$CF$508,$CF42,$CH$9:$CH$508,$CH42,$CJ$9:$CJ$508,"&lt;"&amp;$CJ42)+1))</f>
        <v/>
      </c>
      <c r="CL42" s="100" t="str">
        <f aca="false">IF(ISBLANK($C42),"",IF($BL42&lt;&gt;Constants!$B$4,$BL42,$CG42-$CK42))</f>
        <v/>
      </c>
      <c r="CM42" s="100" t="str">
        <f aca="false">IF(ISBLANK($C42),"",IF(NOT($AL42),"",IF(ISBLANK($D$7),$CM$5,IF(NOT(ISNUMBER($D$7)),$CM$6,""))))</f>
        <v/>
      </c>
      <c r="CN42" s="100" t="str">
        <f aca="false">IF(ISBLANK($C42),"",OR($AN42="",$AO42="",$AP42=""))</f>
        <v/>
      </c>
      <c r="CO42" s="100" t="str">
        <f aca="false">IF(ISBLANK($C42),"",AND($AL42,$BA42=""))</f>
        <v/>
      </c>
      <c r="CP42" s="100" t="str">
        <f aca="false">IF(ISBLANK($C42),"",AND($AL42,$BB42=""))</f>
        <v/>
      </c>
      <c r="CQ42" s="100" t="str">
        <f aca="false">IF(ISBLANK($C42),"",AND($AL42,$BC42=""))</f>
        <v/>
      </c>
      <c r="CR42" s="100" t="str">
        <f aca="false">IF(ISBLANK($C42),"",AND($AL42,$BF42=""))</f>
        <v/>
      </c>
      <c r="CS42" s="100" t="str">
        <f aca="false">IF(ISBLANK($C42),"",AND($AL42,$BJ42=""))</f>
        <v/>
      </c>
      <c r="CT42" s="101"/>
      <c r="CU42" s="102"/>
      <c r="CV42" s="103" t="str">
        <f aca="false">IF(ISBLANK($C42),"",IF($BL42=Constants!$B$8,$CM42,""))</f>
        <v/>
      </c>
      <c r="CW42" s="102" t="str">
        <f aca="false">IF(ISBLANK($C42),"",IF($BL42&lt;&gt;Constants!$B$4,"",$BO42+$BP42))</f>
        <v/>
      </c>
      <c r="CX42" s="104" t="str">
        <f aca="false">IF(ISBLANK($C42),"",IF($BL42&lt;&gt;Constants!$B$4,"",$BQ42+$BR42+$BS42))</f>
        <v/>
      </c>
      <c r="CY42" s="104" t="str">
        <f aca="false">IF(ISBLANK($C42),"",IF($BL42&lt;&gt;Constants!$B$4,"",$BT42))</f>
        <v/>
      </c>
      <c r="CZ42" s="104" t="str">
        <f aca="false">IF(ISBLANK($C42),"",IF($BL42&lt;&gt;Constants!$B$4,"",$BU42+$BV42))</f>
        <v/>
      </c>
      <c r="DA42" s="104" t="str">
        <f aca="false">IF(ISBLANK($C42),"",IF($BL42&lt;&gt;Constants!$B$4,"",$BW42))</f>
        <v/>
      </c>
      <c r="DB42" s="104" t="str">
        <f aca="false">IF(ISBLANK($C42),"",IF($BL42&lt;&gt;Constants!$B$4,"",-$CD42))</f>
        <v/>
      </c>
      <c r="DC42" s="103" t="str">
        <f aca="false">IF(ISBLANK($C42),"",$CE42)</f>
        <v/>
      </c>
      <c r="DD42" s="105" t="str">
        <f aca="false">IF(ISBLANK($C42),"",$BM42)</f>
        <v/>
      </c>
      <c r="DE42" s="104" t="str">
        <f aca="false">IF(ISBLANK($C42),"",$CL42)</f>
        <v/>
      </c>
      <c r="DF42" s="104" t="str">
        <f aca="false">IF(ISBLANK($C42),"",$CK42)</f>
        <v/>
      </c>
      <c r="DG42" s="106" t="str">
        <f aca="false">IF(ISBLANK($C42),"",IF($DF42=Constants!$B$7,COUNTA($C$9:$C$508)+2,IF($DF42=Constants!$B$6,COUNTA($C$9:$C$508)+1,IF($DF42=Constants!$B$5,COUNTA($C$9:$C$508),$DF42))))</f>
        <v/>
      </c>
      <c r="DH42" s="7"/>
      <c r="DI42" s="107" t="n">
        <f aca="false">IF(OR(ISNUMBER($DF42),$DF42=Constants!$B$7,$DF42=Constants!$B$5,$DF42=Constants!$B$6),1,0)</f>
        <v>0</v>
      </c>
      <c r="DJ42" s="107" t="n">
        <v>34</v>
      </c>
      <c r="DK42" s="107" t="str">
        <f aca="false">IF(ISBLANK($C42),"",IF(ISNUMBER($DG42),$DG42+ROW($B42)/1000,""))</f>
        <v/>
      </c>
      <c r="DL42" s="107" t="str">
        <f aca="false">IF(ISNUMBER($DK42),RANK($DK42,$DK$9:$DK$508,1),"")</f>
        <v/>
      </c>
      <c r="DM42" s="107" t="str">
        <f aca="false">IF(ISBLANK($C42),"",$B42)</f>
        <v/>
      </c>
      <c r="DN42" s="107" t="str">
        <f aca="false">IF(ISBLANK($C42),"",$C42)</f>
        <v/>
      </c>
      <c r="DO42" s="107" t="str">
        <f aca="false">IF(ISBLANK($C42),"",$D42)</f>
        <v/>
      </c>
      <c r="DP42" s="108" t="str">
        <f aca="false">$DD42</f>
        <v/>
      </c>
      <c r="DQ42" s="109" t="str">
        <f aca="false">$DC42</f>
        <v/>
      </c>
      <c r="DR42" s="107" t="str">
        <f aca="false">IF(ISBLANK($C42),"",$DF42)</f>
        <v/>
      </c>
      <c r="DS42" s="110" t="str">
        <f aca="false">IF($DJ42&gt;$DI$8,"",VLOOKUP($DJ42,$DL$9:$DR$508,7,FALSE()))</f>
        <v/>
      </c>
      <c r="DT42" s="111" t="str">
        <f aca="false">IF($DJ42&gt;$DI$8,"",VLOOKUP($DJ42,$DL$9:$DR$508,2,FALSE()))</f>
        <v/>
      </c>
      <c r="DU42" s="111" t="str">
        <f aca="false">IF($DJ42&gt;$DI$8,"",VLOOKUP($DJ42,$DL$9:$DR$508,3,FALSE()))</f>
        <v/>
      </c>
      <c r="DV42" s="111" t="str">
        <f aca="false">IF($DJ42&gt;$DI$8,"",VLOOKUP($DJ42,$DL$9:$DR$508,4,FALSE()))</f>
        <v/>
      </c>
      <c r="DW42" s="111" t="str">
        <f aca="false">IF($DJ42&gt;$DI$8,"",VLOOKUP($DJ42,$DL$9:$DR$508,5,FALSE()))</f>
        <v/>
      </c>
      <c r="DX42" s="112" t="str">
        <f aca="false">IF($DJ42&gt;$DI$8,"",VLOOKUP($DJ42,$DL$9:$DR$508,6,FALSE()))</f>
        <v/>
      </c>
      <c r="DY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130"/>
      <c r="N43" s="130"/>
      <c r="O43" s="135"/>
      <c r="P43" s="135"/>
      <c r="Q43" s="130"/>
      <c r="R43" s="130"/>
      <c r="S43" s="130"/>
      <c r="T43" s="130"/>
      <c r="U43" s="135"/>
      <c r="V43" s="130"/>
      <c r="W43" s="96"/>
      <c r="X43" s="130"/>
      <c r="Y43" s="130"/>
      <c r="Z43" s="96"/>
      <c r="AA43" s="96"/>
      <c r="AB43" s="130"/>
      <c r="AC43" s="130"/>
      <c r="AD43" s="130"/>
      <c r="AE43" s="97"/>
      <c r="AF43" s="130"/>
      <c r="AG43" s="99"/>
      <c r="AH43" s="100"/>
      <c r="AI43" s="100"/>
      <c r="AJ43" s="100" t="str">
        <f aca="false">IF(ISBLANK($C43),"",IF($E43=Constants!$B$2,TRUE(),IF($E43=Constants!$B$3,FALSE(),TRUE())))</f>
        <v/>
      </c>
      <c r="AK43" s="100" t="str">
        <f aca="false">IF(ISBLANK($C43),"",IF($F43=Constants!$B$2,TRUE(),IF($F43=Constants!$B$3,FALSE(),FALSE())))</f>
        <v/>
      </c>
      <c r="AL43" s="100" t="str">
        <f aca="false">IF(ISBLANK($C43),"",IF($G43=Constants!$B$2,TRUE(),IF($G43=Constants!$B$3,FALSE(),TRUE())))</f>
        <v/>
      </c>
      <c r="AM43" s="100" t="str">
        <f aca="false">IF(ISBLANK($C43),"",IF($H43=Constants!$B$2,TRUE(),IF($H43=Constants!$B$3,FALSE(),TRUE())))</f>
        <v/>
      </c>
      <c r="AN43" s="100" t="str">
        <f aca="false">IF(ISBLANK($C43),"",IF(ISNUMBER($I43),IF($I43&gt;=0,$I43,""),""))</f>
        <v/>
      </c>
      <c r="AO43" s="100" t="str">
        <f aca="false">IF(ISBLANK($C43),"",IF(ISNUMBER($J43),IF($J43&gt;=0,$J43,""),""))</f>
        <v/>
      </c>
      <c r="AP43" s="100" t="str">
        <f aca="false">IF(ISBLANK($C43),"",IF(ISNUMBER($K43),IF($K43&gt;=0,$K43,""),""))</f>
        <v/>
      </c>
      <c r="AQ43" s="100" t="str">
        <f aca="false">IF(ISBLANK($C43),"",IF($L43=Constants!$B$2,TRUE(),IF($L43=Constants!$B$3,FALSE(),TRUE())))</f>
        <v/>
      </c>
      <c r="AR43" s="100" t="str">
        <f aca="false">IF(ISBLANK($C43),"",IF($M43=Constants!$B$2,TRUE(),IF($M43=Constants!$B$3,FALSE(),TRUE())))</f>
        <v/>
      </c>
      <c r="AS43" s="100" t="str">
        <f aca="false">IF(ISBLANK($C43),"",IF($N43=Constants!$B$2,TRUE(),IF($N43=Constants!$B$3,FALSE(),FALSE())))</f>
        <v/>
      </c>
      <c r="AT43" s="100" t="str">
        <f aca="false">IF(ISBLANK($C43),"",IF($O43=Constants!$B$2,TRUE(),IF($O43=Constants!$B$3,FALSE(),TRUE())))</f>
        <v/>
      </c>
      <c r="AU43" s="100" t="str">
        <f aca="false">IF(ISBLANK($C43),"",IF($P43=Constants!$B$2,TRUE(),IF($P43=Constants!$B$3,FALSE(),TRUE())))</f>
        <v/>
      </c>
      <c r="AV43" s="100" t="str">
        <f aca="false">IF(ISBLANK($C43),"",IF($Q43=Constants!$B$2,TRUE(),IF($Q43=Constants!$B$3,FALSE(),FALSE())))</f>
        <v/>
      </c>
      <c r="AW43" s="100" t="str">
        <f aca="false">IF(ISBLANK($C43),"",IF($R43=Constants!$B$2,TRUE(),IF($R43=Constants!$B$3,FALSE(),FALSE())))</f>
        <v/>
      </c>
      <c r="AX43" s="100" t="str">
        <f aca="false">IF(ISBLANK($C43),"",IF($S43=Constants!$B$2,TRUE(),IF($S43=Constants!$B$3,FALSE(),FALSE())))</f>
        <v/>
      </c>
      <c r="AY43" s="100" t="str">
        <f aca="false">IF(ISBLANK($C43),"",IF($T43=Constants!$B$2,TRUE(),IF($T43=Constants!$B$3,FALSE(),FALSE())))</f>
        <v/>
      </c>
      <c r="AZ43" s="100" t="str">
        <f aca="false">IF(ISBLANK($C43),"",IF($U43=Constants!$B$2,TRUE(),IF($U43=Constants!$B$3,FALSE(),FALSE())))</f>
        <v/>
      </c>
      <c r="BA43" s="100" t="str">
        <f aca="false">IF(ISBLANK($C43),"",IF(OR($V43&amp;""="1",$V43&amp;""="2",$V43&amp;""="3",$V43&amp;""="4"),VALUE($V43&amp;""),IF($V43=Constants!$B$12,Constants!$B$12,"")))</f>
        <v/>
      </c>
      <c r="BB43" s="100" t="str">
        <f aca="false">IF(ISBLANK($C43),"",IF(ISBLANK($W43),0,IF(ISNUMBER($W43),IF(AND($W43&gt;=0,$W43&lt;=Constants!$B$21,$W43=INT($W43)),$W43,""),"")))</f>
        <v/>
      </c>
      <c r="BC43" s="100" t="str">
        <f aca="false">IF(ISBLANK($C43),"",IF(ISBLANK($X43),0,IF(ISNUMBER($X43),IF($X43&gt;=0,$X43,""),"")))</f>
        <v/>
      </c>
      <c r="BD43" s="100" t="str">
        <f aca="false">IF(ISBLANK($C43),"",IF($Y43=Constants!$B$2,TRUE(),IF($Y43=Constants!$B$3,FALSE(),TRUE())))</f>
        <v/>
      </c>
      <c r="BE43" s="100" t="str">
        <f aca="false">IF(ISBLANK($C43),"",IF($Z43=Constants!$B$2,TRUE(),IF($Z43=Constants!$B$3,FALSE(),FALSE())))</f>
        <v/>
      </c>
      <c r="BF43" s="100" t="str">
        <f aca="false">IF(ISBLANK($C43),"",IF(ISBLANK($AA43),0,IF(ISNUMBER($AA43),IF(AND($AA43&gt;=0,$AA43&lt;=Constants!$B$35,$AA43=INT($AA43)),$AA43,""),"")))</f>
        <v/>
      </c>
      <c r="BG43" s="100" t="str">
        <f aca="false">IF(ISBLANK($C43),"",IF($AB43=Constants!$B$2,TRUE(),IF($AB43=Constants!$B$3,FALSE(),TRUE())))</f>
        <v/>
      </c>
      <c r="BH43" s="100" t="str">
        <f aca="false">IF(ISBLANK($C43),"",IF($AC43=Constants!$B$2,TRUE(),IF($AC43=Constants!$B$3,FALSE(),TRUE())))</f>
        <v/>
      </c>
      <c r="BI43" s="100" t="str">
        <f aca="false">IF(ISBLANK($C43),"",IF($AD43=Constants!$B$2,TRUE(),IF($AD43=Constants!$B$3,FALSE(),TRUE())))</f>
        <v/>
      </c>
      <c r="BJ43" s="100" t="str">
        <f aca="false">IF(ISBLANK($C43),"",IF(ISNUMBER($AE43),IF($AE43&gt;=0,$AE43,""),""))</f>
        <v/>
      </c>
      <c r="BK43" s="100" t="str">
        <f aca="false">IF(ISBLANK($C43),"",IF($AF43=Constants!$B$2,TRUE(),IF($AF43=Constants!$B$3,FALSE(),FALSE())))</f>
        <v/>
      </c>
      <c r="BL43" s="99" t="str">
        <f aca="false">IF(ISBLANK($C43),"",IF($BK43,Constants!$B$7,IF(COUNTA($E43:$AE43)=0,Constants!$B$6,IF(OR(COUNTA($G43:$AE43)=0,NOT($AM43),$AS43),Constants!$B$5,IF(OR($CM43&lt;&gt;"",$CN43,$CO43,$CP43,$CQ43,$CR43,$CS43),Constants!$B$8,Constants!$B$4)))))</f>
        <v/>
      </c>
      <c r="BM43" s="100" t="str">
        <f aca="false">IF(ISBLANK($C43),"",IF($BL43&lt;&gt;Constants!$B$4,$BL43,IF(OR(NOT($AJ43),NOT($AL43),NOT($AT43)),Constants!$B$11,IF(OR(NOT($AR43),NOT($AU43),NOT($BI43),MAX($AN43,$AO43,$AP43)&gt;Constants!$B$30),Constants!$B$10,Constants!$B$9))))</f>
        <v/>
      </c>
      <c r="BN43" s="100" t="str">
        <f aca="false">IF($BL43&lt;&gt;Constants!$B$4,"",IF(NOT($AL43),0,MIN(Constants!$B$35,$BF43)))</f>
        <v/>
      </c>
      <c r="BO43" s="100" t="str">
        <f aca="false">IF($BL43&lt;&gt;Constants!$B$4,"",IF(NOT($AL43),0,IF($AW43,Constants!$B$18,IF($AV43,Constants!$B$17,0))))</f>
        <v/>
      </c>
      <c r="BP43" s="100" t="str">
        <f aca="false">IF($BL43&lt;&gt;Constants!$B$4,"",IF(NOT($AL43),0,Constants!$B$19*($AK43+$AX43+$AY43+$AZ43)))</f>
        <v/>
      </c>
      <c r="BQ43" s="100" t="str">
        <f aca="false">IF($BL43&lt;&gt;Constants!$B$4,"",IF(OR(NOT($AL43),NOT(ISNUMBER($BA43))),0,CHOOSE($BA43,Constants!$B$13,Constants!$B$14,Constants!$B$15,Constants!$B$16)))</f>
        <v/>
      </c>
      <c r="BR43" s="100" t="str">
        <f aca="false">IF($BL43&lt;&gt;Constants!$B$4,"",IF(NOT($AL43),0,Constants!$B$20*$BB43))</f>
        <v/>
      </c>
      <c r="BS43" s="100" t="str">
        <f aca="false">IF($BL43&lt;&gt;Constants!$B$4,"",IF(AND($AL43,$BD43,$BE43),Constants!$B$22,0))</f>
        <v/>
      </c>
      <c r="BT43" s="100" t="str">
        <f aca="false">IF($BL43&lt;&gt;Constants!$B$4,"",IF(OR(NOT($AL43),NOT($BD43)),0,IF($BJ43&gt;=2*$AH$9,0,Constants!$B$23*INT(ROUND(MIN($BJ43,$AH$9),6)))))</f>
        <v/>
      </c>
      <c r="BU43" s="100" t="str">
        <f aca="false">IF($BL43&lt;&gt;Constants!$B$4,"",IF(NOT($AL43),0,Constants!$B$24*INT(ROUND(MIN($BC43,$AH$9),6))))</f>
        <v/>
      </c>
      <c r="BV43" s="100" t="str">
        <f aca="false">IF($BL43&lt;&gt;Constants!$B$4,"",IF(AND($AL43,$BN43=0),Constants!$B$25,0))</f>
        <v/>
      </c>
      <c r="BW43" s="100" t="str">
        <f aca="false">IF($BL43&lt;&gt;Constants!$B$4,"",MIN(Constants!$B$29,MAX(0,Constants!$B$27*Constants!$B$28*INT(ROUND((Constants!$B$26-$AN43)/Constants!$B$28,6))))+MIN(Constants!$B$29,MAX(0,Constants!$B$27*Constants!$B$28*INT(ROUND((Constants!$B$26-$AO43)/Constants!$B$28,6))))+MIN(Constants!$B$29,MAX(0,Constants!$B$27*Constants!$B$28*INT(ROUND((Constants!$B$26-$AP43)/Constants!$B$28,6)))))</f>
        <v/>
      </c>
      <c r="BX43" s="100" t="str">
        <f aca="false">IF($BL43&lt;&gt;Constants!$B$4,"",IF(NOT($AL43),0,Constants!$B$31*INT(ROUND(MAX(0,MIN($BJ43,2*$AH$9)-$AH$9),6))))</f>
        <v/>
      </c>
      <c r="BY43" s="100" t="str">
        <f aca="false">IF($BL43&lt;&gt;Constants!$B$4,"",Constants!$B$32*(($AN43&gt;Constants!$B$26)+($AO43&gt;Constants!$B$26)+($AP43&gt;Constants!$B$26)))</f>
        <v/>
      </c>
      <c r="BZ43" s="100" t="str">
        <f aca="false">IF($BL43&lt;&gt;Constants!$B$4,"",IF(OR(NOT($AL43),$AQ43),0,Constants!$B$33))</f>
        <v/>
      </c>
      <c r="CA43" s="100" t="str">
        <f aca="false">IF($BL43&lt;&gt;Constants!$B$4,"",Constants!$B$34*$BN43)</f>
        <v/>
      </c>
      <c r="CB43" s="100" t="str">
        <f aca="false">IF($BL43&lt;&gt;Constants!$B$4,"",IF(OR(NOT($AL43),$BH43),0,Constants!$B$36))</f>
        <v/>
      </c>
      <c r="CC43" s="100" t="str">
        <f aca="false">IF($BL43&lt;&gt;Constants!$B$4,"",IF(OR(NOT($AL43),$BG43),0,Constants!$B$37))</f>
        <v/>
      </c>
      <c r="CD43" s="100" t="str">
        <f aca="false">IF($BL43&lt;&gt;Constants!$B$4,"",SUM($BX43:$CC43))</f>
        <v/>
      </c>
      <c r="CE43" s="100" t="str">
        <f aca="false">IF(ISBLANK($C43),"",IF($BL43&lt;&gt;Constants!$B$4,$BL43,SUM($BO43:$BW43)-$CD43))</f>
        <v/>
      </c>
      <c r="CF43" s="100" t="str">
        <f aca="false">IF(ISBLANK($C43),"",IF($BL43&lt;&gt;Constants!$B$4,$BL43,RANK($CE43,$CE$9:$CE$508)))</f>
        <v/>
      </c>
      <c r="CG43" s="100" t="str">
        <f aca="false">IF(ISBLANK($C43),"",IF($BL43&lt;&gt;Constants!$B$4,$BL43,COUNTIFS($BM$9:$BM$508,"&lt;"&amp;$BM43)+COUNTIFS($BM$9:$BM$508,$BM43,$CF$9:$CF$508,"&lt;"&amp;$CF43)+1))</f>
        <v/>
      </c>
      <c r="CH43" s="100" t="str">
        <f aca="false">IF(ISBLANK($C43),"",IF($BL43&lt;&gt;Constants!$B$4,$BL43,RANK($CD43,$CD$9:$CD$508,1)))</f>
        <v/>
      </c>
      <c r="CI43" s="100" t="str">
        <f aca="false">IF($BL43&lt;&gt;Constants!$B$4,"",$AN43+$AO43+$AP43)</f>
        <v/>
      </c>
      <c r="CJ43" s="100" t="str">
        <f aca="false">IF(ISBLANK($C43),"",IF($BL43&lt;&gt;Constants!$B$4,$BL43,RANK($CI43,$CI$9:$CI$508,1)))</f>
        <v/>
      </c>
      <c r="CK43" s="100" t="str">
        <f aca="false">IF(ISBLANK($C43),"",IF($BL43&lt;&gt;Constants!$B$4,$BL43,COUNTIFS($BM$9:$BM$508,"&lt;"&amp;$BM43)+COUNTIFS($BM$9:$BM$508,$BM43,$CF$9:$CF$508,"&lt;"&amp;$CF43)+COUNTIFS($BM$9:$BM$508,$BM43,$CF$9:$CF$508,$CF43,$CH$9:$CH$508,"&lt;"&amp;$CH43)+COUNTIFS($BM$9:$BM$508,$BM43,$CF$9:$CF$508,$CF43,$CH$9:$CH$508,$CH43,$CJ$9:$CJ$508,"&lt;"&amp;$CJ43)+1))</f>
        <v/>
      </c>
      <c r="CL43" s="100" t="str">
        <f aca="false">IF(ISBLANK($C43),"",IF($BL43&lt;&gt;Constants!$B$4,$BL43,$CG43-$CK43))</f>
        <v/>
      </c>
      <c r="CM43" s="100" t="str">
        <f aca="false">IF(ISBLANK($C43),"",IF(NOT($AL43),"",IF(ISBLANK($D$7),$CM$5,IF(NOT(ISNUMBER($D$7)),$CM$6,""))))</f>
        <v/>
      </c>
      <c r="CN43" s="100" t="str">
        <f aca="false">IF(ISBLANK($C43),"",OR($AN43="",$AO43="",$AP43=""))</f>
        <v/>
      </c>
      <c r="CO43" s="100" t="str">
        <f aca="false">IF(ISBLANK($C43),"",AND($AL43,$BA43=""))</f>
        <v/>
      </c>
      <c r="CP43" s="100" t="str">
        <f aca="false">IF(ISBLANK($C43),"",AND($AL43,$BB43=""))</f>
        <v/>
      </c>
      <c r="CQ43" s="100" t="str">
        <f aca="false">IF(ISBLANK($C43),"",AND($AL43,$BC43=""))</f>
        <v/>
      </c>
      <c r="CR43" s="100" t="str">
        <f aca="false">IF(ISBLANK($C43),"",AND($AL43,$BF43=""))</f>
        <v/>
      </c>
      <c r="CS43" s="100" t="str">
        <f aca="false">IF(ISBLANK($C43),"",AND($AL43,$BJ43=""))</f>
        <v/>
      </c>
      <c r="CT43" s="101"/>
      <c r="CU43" s="102"/>
      <c r="CV43" s="103" t="str">
        <f aca="false">IF(ISBLANK($C43),"",IF($BL43=Constants!$B$8,$CM43,""))</f>
        <v/>
      </c>
      <c r="CW43" s="102" t="str">
        <f aca="false">IF(ISBLANK($C43),"",IF($BL43&lt;&gt;Constants!$B$4,"",$BO43+$BP43))</f>
        <v/>
      </c>
      <c r="CX43" s="104" t="str">
        <f aca="false">IF(ISBLANK($C43),"",IF($BL43&lt;&gt;Constants!$B$4,"",$BQ43+$BR43+$BS43))</f>
        <v/>
      </c>
      <c r="CY43" s="104" t="str">
        <f aca="false">IF(ISBLANK($C43),"",IF($BL43&lt;&gt;Constants!$B$4,"",$BT43))</f>
        <v/>
      </c>
      <c r="CZ43" s="104" t="str">
        <f aca="false">IF(ISBLANK($C43),"",IF($BL43&lt;&gt;Constants!$B$4,"",$BU43+$BV43))</f>
        <v/>
      </c>
      <c r="DA43" s="104" t="str">
        <f aca="false">IF(ISBLANK($C43),"",IF($BL43&lt;&gt;Constants!$B$4,"",$BW43))</f>
        <v/>
      </c>
      <c r="DB43" s="104" t="str">
        <f aca="false">IF(ISBLANK($C43),"",IF($BL43&lt;&gt;Constants!$B$4,"",-$CD43))</f>
        <v/>
      </c>
      <c r="DC43" s="103" t="str">
        <f aca="false">IF(ISBLANK($C43),"",$CE43)</f>
        <v/>
      </c>
      <c r="DD43" s="105" t="str">
        <f aca="false">IF(ISBLANK($C43),"",$BM43)</f>
        <v/>
      </c>
      <c r="DE43" s="104" t="str">
        <f aca="false">IF(ISBLANK($C43),"",$CL43)</f>
        <v/>
      </c>
      <c r="DF43" s="104" t="str">
        <f aca="false">IF(ISBLANK($C43),"",$CK43)</f>
        <v/>
      </c>
      <c r="DG43" s="106" t="str">
        <f aca="false">IF(ISBLANK($C43),"",IF($DF43=Constants!$B$7,COUNTA($C$9:$C$508)+2,IF($DF43=Constants!$B$6,COUNTA($C$9:$C$508)+1,IF($DF43=Constants!$B$5,COUNTA($C$9:$C$508),$DF43))))</f>
        <v/>
      </c>
      <c r="DH43" s="7"/>
      <c r="DI43" s="107" t="n">
        <f aca="false">IF(OR(ISNUMBER($DF43),$DF43=Constants!$B$7,$DF43=Constants!$B$5,$DF43=Constants!$B$6),1,0)</f>
        <v>0</v>
      </c>
      <c r="DJ43" s="107" t="n">
        <v>35</v>
      </c>
      <c r="DK43" s="107" t="str">
        <f aca="false">IF(ISBLANK($C43),"",IF(ISNUMBER($DG43),$DG43+ROW($B43)/1000,""))</f>
        <v/>
      </c>
      <c r="DL43" s="107" t="str">
        <f aca="false">IF(ISNUMBER($DK43),RANK($DK43,$DK$9:$DK$508,1),"")</f>
        <v/>
      </c>
      <c r="DM43" s="107" t="str">
        <f aca="false">IF(ISBLANK($C43),"",$B43)</f>
        <v/>
      </c>
      <c r="DN43" s="107" t="str">
        <f aca="false">IF(ISBLANK($C43),"",$C43)</f>
        <v/>
      </c>
      <c r="DO43" s="107" t="str">
        <f aca="false">IF(ISBLANK($C43),"",$D43)</f>
        <v/>
      </c>
      <c r="DP43" s="108" t="str">
        <f aca="false">$DD43</f>
        <v/>
      </c>
      <c r="DQ43" s="109" t="str">
        <f aca="false">$DC43</f>
        <v/>
      </c>
      <c r="DR43" s="107" t="str">
        <f aca="false">IF(ISBLANK($C43),"",$DF43)</f>
        <v/>
      </c>
      <c r="DS43" s="110" t="str">
        <f aca="false">IF($DJ43&gt;$DI$8,"",VLOOKUP($DJ43,$DL$9:$DR$508,7,FALSE()))</f>
        <v/>
      </c>
      <c r="DT43" s="111" t="str">
        <f aca="false">IF($DJ43&gt;$DI$8,"",VLOOKUP($DJ43,$DL$9:$DR$508,2,FALSE()))</f>
        <v/>
      </c>
      <c r="DU43" s="111" t="str">
        <f aca="false">IF($DJ43&gt;$DI$8,"",VLOOKUP($DJ43,$DL$9:$DR$508,3,FALSE()))</f>
        <v/>
      </c>
      <c r="DV43" s="111" t="str">
        <f aca="false">IF($DJ43&gt;$DI$8,"",VLOOKUP($DJ43,$DL$9:$DR$508,4,FALSE()))</f>
        <v/>
      </c>
      <c r="DW43" s="111" t="str">
        <f aca="false">IF($DJ43&gt;$DI$8,"",VLOOKUP($DJ43,$DL$9:$DR$508,5,FALSE()))</f>
        <v/>
      </c>
      <c r="DX43" s="112" t="str">
        <f aca="false">IF($DJ43&gt;$DI$8,"",VLOOKUP($DJ43,$DL$9:$DR$508,6,FALSE()))</f>
        <v/>
      </c>
      <c r="DY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130"/>
      <c r="N44" s="130"/>
      <c r="O44" s="135"/>
      <c r="P44" s="135"/>
      <c r="Q44" s="130"/>
      <c r="R44" s="130"/>
      <c r="S44" s="130"/>
      <c r="T44" s="130"/>
      <c r="U44" s="135"/>
      <c r="V44" s="130"/>
      <c r="W44" s="96"/>
      <c r="X44" s="130"/>
      <c r="Y44" s="130"/>
      <c r="Z44" s="96"/>
      <c r="AA44" s="96"/>
      <c r="AB44" s="130"/>
      <c r="AC44" s="130"/>
      <c r="AD44" s="130"/>
      <c r="AE44" s="97"/>
      <c r="AF44" s="130"/>
      <c r="AG44" s="99"/>
      <c r="AH44" s="100"/>
      <c r="AI44" s="100"/>
      <c r="AJ44" s="100" t="str">
        <f aca="false">IF(ISBLANK($C44),"",IF($E44=Constants!$B$2,TRUE(),IF($E44=Constants!$B$3,FALSE(),TRUE())))</f>
        <v/>
      </c>
      <c r="AK44" s="100" t="str">
        <f aca="false">IF(ISBLANK($C44),"",IF($F44=Constants!$B$2,TRUE(),IF($F44=Constants!$B$3,FALSE(),FALSE())))</f>
        <v/>
      </c>
      <c r="AL44" s="100" t="str">
        <f aca="false">IF(ISBLANK($C44),"",IF($G44=Constants!$B$2,TRUE(),IF($G44=Constants!$B$3,FALSE(),TRUE())))</f>
        <v/>
      </c>
      <c r="AM44" s="100" t="str">
        <f aca="false">IF(ISBLANK($C44),"",IF($H44=Constants!$B$2,TRUE(),IF($H44=Constants!$B$3,FALSE(),TRUE())))</f>
        <v/>
      </c>
      <c r="AN44" s="100" t="str">
        <f aca="false">IF(ISBLANK($C44),"",IF(ISNUMBER($I44),IF($I44&gt;=0,$I44,""),""))</f>
        <v/>
      </c>
      <c r="AO44" s="100" t="str">
        <f aca="false">IF(ISBLANK($C44),"",IF(ISNUMBER($J44),IF($J44&gt;=0,$J44,""),""))</f>
        <v/>
      </c>
      <c r="AP44" s="100" t="str">
        <f aca="false">IF(ISBLANK($C44),"",IF(ISNUMBER($K44),IF($K44&gt;=0,$K44,""),""))</f>
        <v/>
      </c>
      <c r="AQ44" s="100" t="str">
        <f aca="false">IF(ISBLANK($C44),"",IF($L44=Constants!$B$2,TRUE(),IF($L44=Constants!$B$3,FALSE(),TRUE())))</f>
        <v/>
      </c>
      <c r="AR44" s="100" t="str">
        <f aca="false">IF(ISBLANK($C44),"",IF($M44=Constants!$B$2,TRUE(),IF($M44=Constants!$B$3,FALSE(),TRUE())))</f>
        <v/>
      </c>
      <c r="AS44" s="100" t="str">
        <f aca="false">IF(ISBLANK($C44),"",IF($N44=Constants!$B$2,TRUE(),IF($N44=Constants!$B$3,FALSE(),FALSE())))</f>
        <v/>
      </c>
      <c r="AT44" s="100" t="str">
        <f aca="false">IF(ISBLANK($C44),"",IF($O44=Constants!$B$2,TRUE(),IF($O44=Constants!$B$3,FALSE(),TRUE())))</f>
        <v/>
      </c>
      <c r="AU44" s="100" t="str">
        <f aca="false">IF(ISBLANK($C44),"",IF($P44=Constants!$B$2,TRUE(),IF($P44=Constants!$B$3,FALSE(),TRUE())))</f>
        <v/>
      </c>
      <c r="AV44" s="100" t="str">
        <f aca="false">IF(ISBLANK($C44),"",IF($Q44=Constants!$B$2,TRUE(),IF($Q44=Constants!$B$3,FALSE(),FALSE())))</f>
        <v/>
      </c>
      <c r="AW44" s="100" t="str">
        <f aca="false">IF(ISBLANK($C44),"",IF($R44=Constants!$B$2,TRUE(),IF($R44=Constants!$B$3,FALSE(),FALSE())))</f>
        <v/>
      </c>
      <c r="AX44" s="100" t="str">
        <f aca="false">IF(ISBLANK($C44),"",IF($S44=Constants!$B$2,TRUE(),IF($S44=Constants!$B$3,FALSE(),FALSE())))</f>
        <v/>
      </c>
      <c r="AY44" s="100" t="str">
        <f aca="false">IF(ISBLANK($C44),"",IF($T44=Constants!$B$2,TRUE(),IF($T44=Constants!$B$3,FALSE(),FALSE())))</f>
        <v/>
      </c>
      <c r="AZ44" s="100" t="str">
        <f aca="false">IF(ISBLANK($C44),"",IF($U44=Constants!$B$2,TRUE(),IF($U44=Constants!$B$3,FALSE(),FALSE())))</f>
        <v/>
      </c>
      <c r="BA44" s="100" t="str">
        <f aca="false">IF(ISBLANK($C44),"",IF(OR($V44&amp;""="1",$V44&amp;""="2",$V44&amp;""="3",$V44&amp;""="4"),VALUE($V44&amp;""),IF($V44=Constants!$B$12,Constants!$B$12,"")))</f>
        <v/>
      </c>
      <c r="BB44" s="100" t="str">
        <f aca="false">IF(ISBLANK($C44),"",IF(ISBLANK($W44),0,IF(ISNUMBER($W44),IF(AND($W44&gt;=0,$W44&lt;=Constants!$B$21,$W44=INT($W44)),$W44,""),"")))</f>
        <v/>
      </c>
      <c r="BC44" s="100" t="str">
        <f aca="false">IF(ISBLANK($C44),"",IF(ISBLANK($X44),0,IF(ISNUMBER($X44),IF($X44&gt;=0,$X44,""),"")))</f>
        <v/>
      </c>
      <c r="BD44" s="100" t="str">
        <f aca="false">IF(ISBLANK($C44),"",IF($Y44=Constants!$B$2,TRUE(),IF($Y44=Constants!$B$3,FALSE(),TRUE())))</f>
        <v/>
      </c>
      <c r="BE44" s="100" t="str">
        <f aca="false">IF(ISBLANK($C44),"",IF($Z44=Constants!$B$2,TRUE(),IF($Z44=Constants!$B$3,FALSE(),FALSE())))</f>
        <v/>
      </c>
      <c r="BF44" s="100" t="str">
        <f aca="false">IF(ISBLANK($C44),"",IF(ISBLANK($AA44),0,IF(ISNUMBER($AA44),IF(AND($AA44&gt;=0,$AA44&lt;=Constants!$B$35,$AA44=INT($AA44)),$AA44,""),"")))</f>
        <v/>
      </c>
      <c r="BG44" s="100" t="str">
        <f aca="false">IF(ISBLANK($C44),"",IF($AB44=Constants!$B$2,TRUE(),IF($AB44=Constants!$B$3,FALSE(),TRUE())))</f>
        <v/>
      </c>
      <c r="BH44" s="100" t="str">
        <f aca="false">IF(ISBLANK($C44),"",IF($AC44=Constants!$B$2,TRUE(),IF($AC44=Constants!$B$3,FALSE(),TRUE())))</f>
        <v/>
      </c>
      <c r="BI44" s="100" t="str">
        <f aca="false">IF(ISBLANK($C44),"",IF($AD44=Constants!$B$2,TRUE(),IF($AD44=Constants!$B$3,FALSE(),TRUE())))</f>
        <v/>
      </c>
      <c r="BJ44" s="100" t="str">
        <f aca="false">IF(ISBLANK($C44),"",IF(ISNUMBER($AE44),IF($AE44&gt;=0,$AE44,""),""))</f>
        <v/>
      </c>
      <c r="BK44" s="100" t="str">
        <f aca="false">IF(ISBLANK($C44),"",IF($AF44=Constants!$B$2,TRUE(),IF($AF44=Constants!$B$3,FALSE(),FALSE())))</f>
        <v/>
      </c>
      <c r="BL44" s="99" t="str">
        <f aca="false">IF(ISBLANK($C44),"",IF($BK44,Constants!$B$7,IF(COUNTA($E44:$AE44)=0,Constants!$B$6,IF(OR(COUNTA($G44:$AE44)=0,NOT($AM44),$AS44),Constants!$B$5,IF(OR($CM44&lt;&gt;"",$CN44,$CO44,$CP44,$CQ44,$CR44,$CS44),Constants!$B$8,Constants!$B$4)))))</f>
        <v/>
      </c>
      <c r="BM44" s="100" t="str">
        <f aca="false">IF(ISBLANK($C44),"",IF($BL44&lt;&gt;Constants!$B$4,$BL44,IF(OR(NOT($AJ44),NOT($AL44),NOT($AT44)),Constants!$B$11,IF(OR(NOT($AR44),NOT($AU44),NOT($BI44),MAX($AN44,$AO44,$AP44)&gt;Constants!$B$30),Constants!$B$10,Constants!$B$9))))</f>
        <v/>
      </c>
      <c r="BN44" s="100" t="str">
        <f aca="false">IF($BL44&lt;&gt;Constants!$B$4,"",IF(NOT($AL44),0,MIN(Constants!$B$35,$BF44)))</f>
        <v/>
      </c>
      <c r="BO44" s="100" t="str">
        <f aca="false">IF($BL44&lt;&gt;Constants!$B$4,"",IF(NOT($AL44),0,IF($AW44,Constants!$B$18,IF($AV44,Constants!$B$17,0))))</f>
        <v/>
      </c>
      <c r="BP44" s="100" t="str">
        <f aca="false">IF($BL44&lt;&gt;Constants!$B$4,"",IF(NOT($AL44),0,Constants!$B$19*($AK44+$AX44+$AY44+$AZ44)))</f>
        <v/>
      </c>
      <c r="BQ44" s="100" t="str">
        <f aca="false">IF($BL44&lt;&gt;Constants!$B$4,"",IF(OR(NOT($AL44),NOT(ISNUMBER($BA44))),0,CHOOSE($BA44,Constants!$B$13,Constants!$B$14,Constants!$B$15,Constants!$B$16)))</f>
        <v/>
      </c>
      <c r="BR44" s="100" t="str">
        <f aca="false">IF($BL44&lt;&gt;Constants!$B$4,"",IF(NOT($AL44),0,Constants!$B$20*$BB44))</f>
        <v/>
      </c>
      <c r="BS44" s="100" t="str">
        <f aca="false">IF($BL44&lt;&gt;Constants!$B$4,"",IF(AND($AL44,$BD44,$BE44),Constants!$B$22,0))</f>
        <v/>
      </c>
      <c r="BT44" s="100" t="str">
        <f aca="false">IF($BL44&lt;&gt;Constants!$B$4,"",IF(OR(NOT($AL44),NOT($BD44)),0,IF($BJ44&gt;=2*$AH$9,0,Constants!$B$23*INT(ROUND(MIN($BJ44,$AH$9),6)))))</f>
        <v/>
      </c>
      <c r="BU44" s="100" t="str">
        <f aca="false">IF($BL44&lt;&gt;Constants!$B$4,"",IF(NOT($AL44),0,Constants!$B$24*INT(ROUND(MIN($BC44,$AH$9),6))))</f>
        <v/>
      </c>
      <c r="BV44" s="100" t="str">
        <f aca="false">IF($BL44&lt;&gt;Constants!$B$4,"",IF(AND($AL44,$BN44=0),Constants!$B$25,0))</f>
        <v/>
      </c>
      <c r="BW44" s="100" t="str">
        <f aca="false">IF($BL44&lt;&gt;Constants!$B$4,"",MIN(Constants!$B$29,MAX(0,Constants!$B$27*Constants!$B$28*INT(ROUND((Constants!$B$26-$AN44)/Constants!$B$28,6))))+MIN(Constants!$B$29,MAX(0,Constants!$B$27*Constants!$B$28*INT(ROUND((Constants!$B$26-$AO44)/Constants!$B$28,6))))+MIN(Constants!$B$29,MAX(0,Constants!$B$27*Constants!$B$28*INT(ROUND((Constants!$B$26-$AP44)/Constants!$B$28,6)))))</f>
        <v/>
      </c>
      <c r="BX44" s="100" t="str">
        <f aca="false">IF($BL44&lt;&gt;Constants!$B$4,"",IF(NOT($AL44),0,Constants!$B$31*INT(ROUND(MAX(0,MIN($BJ44,2*$AH$9)-$AH$9),6))))</f>
        <v/>
      </c>
      <c r="BY44" s="100" t="str">
        <f aca="false">IF($BL44&lt;&gt;Constants!$B$4,"",Constants!$B$32*(($AN44&gt;Constants!$B$26)+($AO44&gt;Constants!$B$26)+($AP44&gt;Constants!$B$26)))</f>
        <v/>
      </c>
      <c r="BZ44" s="100" t="str">
        <f aca="false">IF($BL44&lt;&gt;Constants!$B$4,"",IF(OR(NOT($AL44),$AQ44),0,Constants!$B$33))</f>
        <v/>
      </c>
      <c r="CA44" s="100" t="str">
        <f aca="false">IF($BL44&lt;&gt;Constants!$B$4,"",Constants!$B$34*$BN44)</f>
        <v/>
      </c>
      <c r="CB44" s="100" t="str">
        <f aca="false">IF($BL44&lt;&gt;Constants!$B$4,"",IF(OR(NOT($AL44),$BH44),0,Constants!$B$36))</f>
        <v/>
      </c>
      <c r="CC44" s="100" t="str">
        <f aca="false">IF($BL44&lt;&gt;Constants!$B$4,"",IF(OR(NOT($AL44),$BG44),0,Constants!$B$37))</f>
        <v/>
      </c>
      <c r="CD44" s="100" t="str">
        <f aca="false">IF($BL44&lt;&gt;Constants!$B$4,"",SUM($BX44:$CC44))</f>
        <v/>
      </c>
      <c r="CE44" s="100" t="str">
        <f aca="false">IF(ISBLANK($C44),"",IF($BL44&lt;&gt;Constants!$B$4,$BL44,SUM($BO44:$BW44)-$CD44))</f>
        <v/>
      </c>
      <c r="CF44" s="100" t="str">
        <f aca="false">IF(ISBLANK($C44),"",IF($BL44&lt;&gt;Constants!$B$4,$BL44,RANK($CE44,$CE$9:$CE$508)))</f>
        <v/>
      </c>
      <c r="CG44" s="100" t="str">
        <f aca="false">IF(ISBLANK($C44),"",IF($BL44&lt;&gt;Constants!$B$4,$BL44,COUNTIFS($BM$9:$BM$508,"&lt;"&amp;$BM44)+COUNTIFS($BM$9:$BM$508,$BM44,$CF$9:$CF$508,"&lt;"&amp;$CF44)+1))</f>
        <v/>
      </c>
      <c r="CH44" s="100" t="str">
        <f aca="false">IF(ISBLANK($C44),"",IF($BL44&lt;&gt;Constants!$B$4,$BL44,RANK($CD44,$CD$9:$CD$508,1)))</f>
        <v/>
      </c>
      <c r="CI44" s="100" t="str">
        <f aca="false">IF($BL44&lt;&gt;Constants!$B$4,"",$AN44+$AO44+$AP44)</f>
        <v/>
      </c>
      <c r="CJ44" s="100" t="str">
        <f aca="false">IF(ISBLANK($C44),"",IF($BL44&lt;&gt;Constants!$B$4,$BL44,RANK($CI44,$CI$9:$CI$508,1)))</f>
        <v/>
      </c>
      <c r="CK44" s="100" t="str">
        <f aca="false">IF(ISBLANK($C44),"",IF($BL44&lt;&gt;Constants!$B$4,$BL44,COUNTIFS($BM$9:$BM$508,"&lt;"&amp;$BM44)+COUNTIFS($BM$9:$BM$508,$BM44,$CF$9:$CF$508,"&lt;"&amp;$CF44)+COUNTIFS($BM$9:$BM$508,$BM44,$CF$9:$CF$508,$CF44,$CH$9:$CH$508,"&lt;"&amp;$CH44)+COUNTIFS($BM$9:$BM$508,$BM44,$CF$9:$CF$508,$CF44,$CH$9:$CH$508,$CH44,$CJ$9:$CJ$508,"&lt;"&amp;$CJ44)+1))</f>
        <v/>
      </c>
      <c r="CL44" s="100" t="str">
        <f aca="false">IF(ISBLANK($C44),"",IF($BL44&lt;&gt;Constants!$B$4,$BL44,$CG44-$CK44))</f>
        <v/>
      </c>
      <c r="CM44" s="100" t="str">
        <f aca="false">IF(ISBLANK($C44),"",IF(NOT($AL44),"",IF(ISBLANK($D$7),$CM$5,IF(NOT(ISNUMBER($D$7)),$CM$6,""))))</f>
        <v/>
      </c>
      <c r="CN44" s="100" t="str">
        <f aca="false">IF(ISBLANK($C44),"",OR($AN44="",$AO44="",$AP44=""))</f>
        <v/>
      </c>
      <c r="CO44" s="100" t="str">
        <f aca="false">IF(ISBLANK($C44),"",AND($AL44,$BA44=""))</f>
        <v/>
      </c>
      <c r="CP44" s="100" t="str">
        <f aca="false">IF(ISBLANK($C44),"",AND($AL44,$BB44=""))</f>
        <v/>
      </c>
      <c r="CQ44" s="100" t="str">
        <f aca="false">IF(ISBLANK($C44),"",AND($AL44,$BC44=""))</f>
        <v/>
      </c>
      <c r="CR44" s="100" t="str">
        <f aca="false">IF(ISBLANK($C44),"",AND($AL44,$BF44=""))</f>
        <v/>
      </c>
      <c r="CS44" s="100" t="str">
        <f aca="false">IF(ISBLANK($C44),"",AND($AL44,$BJ44=""))</f>
        <v/>
      </c>
      <c r="CT44" s="101"/>
      <c r="CU44" s="102"/>
      <c r="CV44" s="103" t="str">
        <f aca="false">IF(ISBLANK($C44),"",IF($BL44=Constants!$B$8,$CM44,""))</f>
        <v/>
      </c>
      <c r="CW44" s="102" t="str">
        <f aca="false">IF(ISBLANK($C44),"",IF($BL44&lt;&gt;Constants!$B$4,"",$BO44+$BP44))</f>
        <v/>
      </c>
      <c r="CX44" s="104" t="str">
        <f aca="false">IF(ISBLANK($C44),"",IF($BL44&lt;&gt;Constants!$B$4,"",$BQ44+$BR44+$BS44))</f>
        <v/>
      </c>
      <c r="CY44" s="104" t="str">
        <f aca="false">IF(ISBLANK($C44),"",IF($BL44&lt;&gt;Constants!$B$4,"",$BT44))</f>
        <v/>
      </c>
      <c r="CZ44" s="104" t="str">
        <f aca="false">IF(ISBLANK($C44),"",IF($BL44&lt;&gt;Constants!$B$4,"",$BU44+$BV44))</f>
        <v/>
      </c>
      <c r="DA44" s="104" t="str">
        <f aca="false">IF(ISBLANK($C44),"",IF($BL44&lt;&gt;Constants!$B$4,"",$BW44))</f>
        <v/>
      </c>
      <c r="DB44" s="104" t="str">
        <f aca="false">IF(ISBLANK($C44),"",IF($BL44&lt;&gt;Constants!$B$4,"",-$CD44))</f>
        <v/>
      </c>
      <c r="DC44" s="103" t="str">
        <f aca="false">IF(ISBLANK($C44),"",$CE44)</f>
        <v/>
      </c>
      <c r="DD44" s="105" t="str">
        <f aca="false">IF(ISBLANK($C44),"",$BM44)</f>
        <v/>
      </c>
      <c r="DE44" s="104" t="str">
        <f aca="false">IF(ISBLANK($C44),"",$CL44)</f>
        <v/>
      </c>
      <c r="DF44" s="104" t="str">
        <f aca="false">IF(ISBLANK($C44),"",$CK44)</f>
        <v/>
      </c>
      <c r="DG44" s="106" t="str">
        <f aca="false">IF(ISBLANK($C44),"",IF($DF44=Constants!$B$7,COUNTA($C$9:$C$508)+2,IF($DF44=Constants!$B$6,COUNTA($C$9:$C$508)+1,IF($DF44=Constants!$B$5,COUNTA($C$9:$C$508),$DF44))))</f>
        <v/>
      </c>
      <c r="DH44" s="7"/>
      <c r="DI44" s="107" t="n">
        <f aca="false">IF(OR(ISNUMBER($DF44),$DF44=Constants!$B$7,$DF44=Constants!$B$5,$DF44=Constants!$B$6),1,0)</f>
        <v>0</v>
      </c>
      <c r="DJ44" s="107" t="n">
        <v>36</v>
      </c>
      <c r="DK44" s="107" t="str">
        <f aca="false">IF(ISBLANK($C44),"",IF(ISNUMBER($DG44),$DG44+ROW($B44)/1000,""))</f>
        <v/>
      </c>
      <c r="DL44" s="107" t="str">
        <f aca="false">IF(ISNUMBER($DK44),RANK($DK44,$DK$9:$DK$508,1),"")</f>
        <v/>
      </c>
      <c r="DM44" s="107" t="str">
        <f aca="false">IF(ISBLANK($C44),"",$B44)</f>
        <v/>
      </c>
      <c r="DN44" s="107" t="str">
        <f aca="false">IF(ISBLANK($C44),"",$C44)</f>
        <v/>
      </c>
      <c r="DO44" s="107" t="str">
        <f aca="false">IF(ISBLANK($C44),"",$D44)</f>
        <v/>
      </c>
      <c r="DP44" s="108" t="str">
        <f aca="false">$DD44</f>
        <v/>
      </c>
      <c r="DQ44" s="109" t="str">
        <f aca="false">$DC44</f>
        <v/>
      </c>
      <c r="DR44" s="107" t="str">
        <f aca="false">IF(ISBLANK($C44),"",$DF44)</f>
        <v/>
      </c>
      <c r="DS44" s="110" t="str">
        <f aca="false">IF($DJ44&gt;$DI$8,"",VLOOKUP($DJ44,$DL$9:$DR$508,7,FALSE()))</f>
        <v/>
      </c>
      <c r="DT44" s="111" t="str">
        <f aca="false">IF($DJ44&gt;$DI$8,"",VLOOKUP($DJ44,$DL$9:$DR$508,2,FALSE()))</f>
        <v/>
      </c>
      <c r="DU44" s="111" t="str">
        <f aca="false">IF($DJ44&gt;$DI$8,"",VLOOKUP($DJ44,$DL$9:$DR$508,3,FALSE()))</f>
        <v/>
      </c>
      <c r="DV44" s="111" t="str">
        <f aca="false">IF($DJ44&gt;$DI$8,"",VLOOKUP($DJ44,$DL$9:$DR$508,4,FALSE()))</f>
        <v/>
      </c>
      <c r="DW44" s="111" t="str">
        <f aca="false">IF($DJ44&gt;$DI$8,"",VLOOKUP($DJ44,$DL$9:$DR$508,5,FALSE()))</f>
        <v/>
      </c>
      <c r="DX44" s="112" t="str">
        <f aca="false">IF($DJ44&gt;$DI$8,"",VLOOKUP($DJ44,$DL$9:$DR$508,6,FALSE()))</f>
        <v/>
      </c>
      <c r="DY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88"/>
      <c r="N45" s="88"/>
      <c r="O45" s="134"/>
      <c r="P45" s="134"/>
      <c r="Q45" s="88"/>
      <c r="R45" s="88"/>
      <c r="S45" s="88"/>
      <c r="T45" s="88"/>
      <c r="U45" s="134"/>
      <c r="V45" s="88"/>
      <c r="W45" s="70"/>
      <c r="X45" s="88"/>
      <c r="Y45" s="88"/>
      <c r="Z45" s="70"/>
      <c r="AA45" s="70"/>
      <c r="AB45" s="88"/>
      <c r="AC45" s="88"/>
      <c r="AD45" s="88"/>
      <c r="AE45" s="71"/>
      <c r="AF45" s="88"/>
      <c r="AG45" s="73"/>
      <c r="AH45" s="74"/>
      <c r="AI45" s="74"/>
      <c r="AJ45" s="74" t="str">
        <f aca="false">IF(ISBLANK($C45),"",IF($E45=Constants!$B$2,TRUE(),IF($E45=Constants!$B$3,FALSE(),TRUE())))</f>
        <v/>
      </c>
      <c r="AK45" s="74" t="str">
        <f aca="false">IF(ISBLANK($C45),"",IF($F45=Constants!$B$2,TRUE(),IF($F45=Constants!$B$3,FALSE(),FALSE())))</f>
        <v/>
      </c>
      <c r="AL45" s="74" t="str">
        <f aca="false">IF(ISBLANK($C45),"",IF($G45=Constants!$B$2,TRUE(),IF($G45=Constants!$B$3,FALSE(),TRUE())))</f>
        <v/>
      </c>
      <c r="AM45" s="74" t="str">
        <f aca="false">IF(ISBLANK($C45),"",IF($H45=Constants!$B$2,TRUE(),IF($H45=Constants!$B$3,FALSE(),TRUE())))</f>
        <v/>
      </c>
      <c r="AN45" s="74" t="str">
        <f aca="false">IF(ISBLANK($C45),"",IF(ISNUMBER($I45),IF($I45&gt;=0,$I45,""),""))</f>
        <v/>
      </c>
      <c r="AO45" s="74" t="str">
        <f aca="false">IF(ISBLANK($C45),"",IF(ISNUMBER($J45),IF($J45&gt;=0,$J45,""),""))</f>
        <v/>
      </c>
      <c r="AP45" s="74" t="str">
        <f aca="false">IF(ISBLANK($C45),"",IF(ISNUMBER($K45),IF($K45&gt;=0,$K45,""),""))</f>
        <v/>
      </c>
      <c r="AQ45" s="74" t="str">
        <f aca="false">IF(ISBLANK($C45),"",IF($L45=Constants!$B$2,TRUE(),IF($L45=Constants!$B$3,FALSE(),TRUE())))</f>
        <v/>
      </c>
      <c r="AR45" s="74" t="str">
        <f aca="false">IF(ISBLANK($C45),"",IF($M45=Constants!$B$2,TRUE(),IF($M45=Constants!$B$3,FALSE(),TRUE())))</f>
        <v/>
      </c>
      <c r="AS45" s="74" t="str">
        <f aca="false">IF(ISBLANK($C45),"",IF($N45=Constants!$B$2,TRUE(),IF($N45=Constants!$B$3,FALSE(),FALSE())))</f>
        <v/>
      </c>
      <c r="AT45" s="74" t="str">
        <f aca="false">IF(ISBLANK($C45),"",IF($O45=Constants!$B$2,TRUE(),IF($O45=Constants!$B$3,FALSE(),TRUE())))</f>
        <v/>
      </c>
      <c r="AU45" s="74" t="str">
        <f aca="false">IF(ISBLANK($C45),"",IF($P45=Constants!$B$2,TRUE(),IF($P45=Constants!$B$3,FALSE(),TRUE())))</f>
        <v/>
      </c>
      <c r="AV45" s="74" t="str">
        <f aca="false">IF(ISBLANK($C45),"",IF($Q45=Constants!$B$2,TRUE(),IF($Q45=Constants!$B$3,FALSE(),FALSE())))</f>
        <v/>
      </c>
      <c r="AW45" s="74" t="str">
        <f aca="false">IF(ISBLANK($C45),"",IF($R45=Constants!$B$2,TRUE(),IF($R45=Constants!$B$3,FALSE(),FALSE())))</f>
        <v/>
      </c>
      <c r="AX45" s="74" t="str">
        <f aca="false">IF(ISBLANK($C45),"",IF($S45=Constants!$B$2,TRUE(),IF($S45=Constants!$B$3,FALSE(),FALSE())))</f>
        <v/>
      </c>
      <c r="AY45" s="74" t="str">
        <f aca="false">IF(ISBLANK($C45),"",IF($T45=Constants!$B$2,TRUE(),IF($T45=Constants!$B$3,FALSE(),FALSE())))</f>
        <v/>
      </c>
      <c r="AZ45" s="74" t="str">
        <f aca="false">IF(ISBLANK($C45),"",IF($U45=Constants!$B$2,TRUE(),IF($U45=Constants!$B$3,FALSE(),FALSE())))</f>
        <v/>
      </c>
      <c r="BA45" s="74" t="str">
        <f aca="false">IF(ISBLANK($C45),"",IF(OR($V45&amp;""="1",$V45&amp;""="2",$V45&amp;""="3",$V45&amp;""="4"),VALUE($V45&amp;""),IF($V45=Constants!$B$12,Constants!$B$12,"")))</f>
        <v/>
      </c>
      <c r="BB45" s="74" t="str">
        <f aca="false">IF(ISBLANK($C45),"",IF(ISBLANK($W45),0,IF(ISNUMBER($W45),IF(AND($W45&gt;=0,$W45&lt;=Constants!$B$21,$W45=INT($W45)),$W45,""),"")))</f>
        <v/>
      </c>
      <c r="BC45" s="74" t="str">
        <f aca="false">IF(ISBLANK($C45),"",IF(ISBLANK($X45),0,IF(ISNUMBER($X45),IF($X45&gt;=0,$X45,""),"")))</f>
        <v/>
      </c>
      <c r="BD45" s="74" t="str">
        <f aca="false">IF(ISBLANK($C45),"",IF($Y45=Constants!$B$2,TRUE(),IF($Y45=Constants!$B$3,FALSE(),TRUE())))</f>
        <v/>
      </c>
      <c r="BE45" s="74" t="str">
        <f aca="false">IF(ISBLANK($C45),"",IF($Z45=Constants!$B$2,TRUE(),IF($Z45=Constants!$B$3,FALSE(),FALSE())))</f>
        <v/>
      </c>
      <c r="BF45" s="74" t="str">
        <f aca="false">IF(ISBLANK($C45),"",IF(ISBLANK($AA45),0,IF(ISNUMBER($AA45),IF(AND($AA45&gt;=0,$AA45&lt;=Constants!$B$35,$AA45=INT($AA45)),$AA45,""),"")))</f>
        <v/>
      </c>
      <c r="BG45" s="74" t="str">
        <f aca="false">IF(ISBLANK($C45),"",IF($AB45=Constants!$B$2,TRUE(),IF($AB45=Constants!$B$3,FALSE(),TRUE())))</f>
        <v/>
      </c>
      <c r="BH45" s="74" t="str">
        <f aca="false">IF(ISBLANK($C45),"",IF($AC45=Constants!$B$2,TRUE(),IF($AC45=Constants!$B$3,FALSE(),TRUE())))</f>
        <v/>
      </c>
      <c r="BI45" s="74" t="str">
        <f aca="false">IF(ISBLANK($C45),"",IF($AD45=Constants!$B$2,TRUE(),IF($AD45=Constants!$B$3,FALSE(),TRUE())))</f>
        <v/>
      </c>
      <c r="BJ45" s="74" t="str">
        <f aca="false">IF(ISBLANK($C45),"",IF(ISNUMBER($AE45),IF($AE45&gt;=0,$AE45,""),""))</f>
        <v/>
      </c>
      <c r="BK45" s="74" t="str">
        <f aca="false">IF(ISBLANK($C45),"",IF($AF45=Constants!$B$2,TRUE(),IF($AF45=Constants!$B$3,FALSE(),FALSE())))</f>
        <v/>
      </c>
      <c r="BL45" s="73" t="str">
        <f aca="false">IF(ISBLANK($C45),"",IF($BK45,Constants!$B$7,IF(COUNTA($E45:$AE45)=0,Constants!$B$6,IF(OR(COUNTA($G45:$AE45)=0,NOT($AM45),$AS45),Constants!$B$5,IF(OR($CM45&lt;&gt;"",$CN45,$CO45,$CP45,$CQ45,$CR45,$CS45),Constants!$B$8,Constants!$B$4)))))</f>
        <v/>
      </c>
      <c r="BM45" s="74" t="str">
        <f aca="false">IF(ISBLANK($C45),"",IF($BL45&lt;&gt;Constants!$B$4,$BL45,IF(OR(NOT($AJ45),NOT($AL45),NOT($AT45)),Constants!$B$11,IF(OR(NOT($AR45),NOT($AU45),NOT($BI45),MAX($AN45,$AO45,$AP45)&gt;Constants!$B$30),Constants!$B$10,Constants!$B$9))))</f>
        <v/>
      </c>
      <c r="BN45" s="74" t="str">
        <f aca="false">IF($BL45&lt;&gt;Constants!$B$4,"",IF(NOT($AL45),0,MIN(Constants!$B$35,$BF45)))</f>
        <v/>
      </c>
      <c r="BO45" s="74" t="str">
        <f aca="false">IF($BL45&lt;&gt;Constants!$B$4,"",IF(NOT($AL45),0,IF($AW45,Constants!$B$18,IF($AV45,Constants!$B$17,0))))</f>
        <v/>
      </c>
      <c r="BP45" s="74" t="str">
        <f aca="false">IF($BL45&lt;&gt;Constants!$B$4,"",IF(NOT($AL45),0,Constants!$B$19*($AK45+$AX45+$AY45+$AZ45)))</f>
        <v/>
      </c>
      <c r="BQ45" s="74" t="str">
        <f aca="false">IF($BL45&lt;&gt;Constants!$B$4,"",IF(OR(NOT($AL45),NOT(ISNUMBER($BA45))),0,CHOOSE($BA45,Constants!$B$13,Constants!$B$14,Constants!$B$15,Constants!$B$16)))</f>
        <v/>
      </c>
      <c r="BR45" s="74" t="str">
        <f aca="false">IF($BL45&lt;&gt;Constants!$B$4,"",IF(NOT($AL45),0,Constants!$B$20*$BB45))</f>
        <v/>
      </c>
      <c r="BS45" s="74" t="str">
        <f aca="false">IF($BL45&lt;&gt;Constants!$B$4,"",IF(AND($AL45,$BD45,$BE45),Constants!$B$22,0))</f>
        <v/>
      </c>
      <c r="BT45" s="74" t="str">
        <f aca="false">IF($BL45&lt;&gt;Constants!$B$4,"",IF(OR(NOT($AL45),NOT($BD45)),0,IF($BJ45&gt;=2*$AH$9,0,Constants!$B$23*INT(ROUND(MIN($BJ45,$AH$9),6)))))</f>
        <v/>
      </c>
      <c r="BU45" s="74" t="str">
        <f aca="false">IF($BL45&lt;&gt;Constants!$B$4,"",IF(NOT($AL45),0,Constants!$B$24*INT(ROUND(MIN($BC45,$AH$9),6))))</f>
        <v/>
      </c>
      <c r="BV45" s="74" t="str">
        <f aca="false">IF($BL45&lt;&gt;Constants!$B$4,"",IF(AND($AL45,$BN45=0),Constants!$B$25,0))</f>
        <v/>
      </c>
      <c r="BW45" s="74" t="str">
        <f aca="false">IF($BL45&lt;&gt;Constants!$B$4,"",MIN(Constants!$B$29,MAX(0,Constants!$B$27*Constants!$B$28*INT(ROUND((Constants!$B$26-$AN45)/Constants!$B$28,6))))+MIN(Constants!$B$29,MAX(0,Constants!$B$27*Constants!$B$28*INT(ROUND((Constants!$B$26-$AO45)/Constants!$B$28,6))))+MIN(Constants!$B$29,MAX(0,Constants!$B$27*Constants!$B$28*INT(ROUND((Constants!$B$26-$AP45)/Constants!$B$28,6)))))</f>
        <v/>
      </c>
      <c r="BX45" s="74" t="str">
        <f aca="false">IF($BL45&lt;&gt;Constants!$B$4,"",IF(NOT($AL45),0,Constants!$B$31*INT(ROUND(MAX(0,MIN($BJ45,2*$AH$9)-$AH$9),6))))</f>
        <v/>
      </c>
      <c r="BY45" s="74" t="str">
        <f aca="false">IF($BL45&lt;&gt;Constants!$B$4,"",Constants!$B$32*(($AN45&gt;Constants!$B$26)+($AO45&gt;Constants!$B$26)+($AP45&gt;Constants!$B$26)))</f>
        <v/>
      </c>
      <c r="BZ45" s="74" t="str">
        <f aca="false">IF($BL45&lt;&gt;Constants!$B$4,"",IF(OR(NOT($AL45),$AQ45),0,Constants!$B$33))</f>
        <v/>
      </c>
      <c r="CA45" s="74" t="str">
        <f aca="false">IF($BL45&lt;&gt;Constants!$B$4,"",Constants!$B$34*$BN45)</f>
        <v/>
      </c>
      <c r="CB45" s="74" t="str">
        <f aca="false">IF($BL45&lt;&gt;Constants!$B$4,"",IF(OR(NOT($AL45),$BH45),0,Constants!$B$36))</f>
        <v/>
      </c>
      <c r="CC45" s="74" t="str">
        <f aca="false">IF($BL45&lt;&gt;Constants!$B$4,"",IF(OR(NOT($AL45),$BG45),0,Constants!$B$37))</f>
        <v/>
      </c>
      <c r="CD45" s="74" t="str">
        <f aca="false">IF($BL45&lt;&gt;Constants!$B$4,"",SUM($BX45:$CC45))</f>
        <v/>
      </c>
      <c r="CE45" s="74" t="str">
        <f aca="false">IF(ISBLANK($C45),"",IF($BL45&lt;&gt;Constants!$B$4,$BL45,SUM($BO45:$BW45)-$CD45))</f>
        <v/>
      </c>
      <c r="CF45" s="74" t="str">
        <f aca="false">IF(ISBLANK($C45),"",IF($BL45&lt;&gt;Constants!$B$4,$BL45,RANK($CE45,$CE$9:$CE$508)))</f>
        <v/>
      </c>
      <c r="CG45" s="74" t="str">
        <f aca="false">IF(ISBLANK($C45),"",IF($BL45&lt;&gt;Constants!$B$4,$BL45,COUNTIFS($BM$9:$BM$508,"&lt;"&amp;$BM45)+COUNTIFS($BM$9:$BM$508,$BM45,$CF$9:$CF$508,"&lt;"&amp;$CF45)+1))</f>
        <v/>
      </c>
      <c r="CH45" s="74" t="str">
        <f aca="false">IF(ISBLANK($C45),"",IF($BL45&lt;&gt;Constants!$B$4,$BL45,RANK($CD45,$CD$9:$CD$508,1)))</f>
        <v/>
      </c>
      <c r="CI45" s="74" t="str">
        <f aca="false">IF($BL45&lt;&gt;Constants!$B$4,"",$AN45+$AO45+$AP45)</f>
        <v/>
      </c>
      <c r="CJ45" s="74" t="str">
        <f aca="false">IF(ISBLANK($C45),"",IF($BL45&lt;&gt;Constants!$B$4,$BL45,RANK($CI45,$CI$9:$CI$508,1)))</f>
        <v/>
      </c>
      <c r="CK45" s="74" t="str">
        <f aca="false">IF(ISBLANK($C45),"",IF($BL45&lt;&gt;Constants!$B$4,$BL45,COUNTIFS($BM$9:$BM$508,"&lt;"&amp;$BM45)+COUNTIFS($BM$9:$BM$508,$BM45,$CF$9:$CF$508,"&lt;"&amp;$CF45)+COUNTIFS($BM$9:$BM$508,$BM45,$CF$9:$CF$508,$CF45,$CH$9:$CH$508,"&lt;"&amp;$CH45)+COUNTIFS($BM$9:$BM$508,$BM45,$CF$9:$CF$508,$CF45,$CH$9:$CH$508,$CH45,$CJ$9:$CJ$508,"&lt;"&amp;$CJ45)+1))</f>
        <v/>
      </c>
      <c r="CL45" s="74" t="str">
        <f aca="false">IF(ISBLANK($C45),"",IF($BL45&lt;&gt;Constants!$B$4,$BL45,$CG45-$CK45))</f>
        <v/>
      </c>
      <c r="CM45" s="74" t="str">
        <f aca="false">IF(ISBLANK($C45),"",IF(NOT($AL45),"",IF(ISBLANK($D$7),$CM$5,IF(NOT(ISNUMBER($D$7)),$CM$6,""))))</f>
        <v/>
      </c>
      <c r="CN45" s="74" t="str">
        <f aca="false">IF(ISBLANK($C45),"",OR($AN45="",$AO45="",$AP45=""))</f>
        <v/>
      </c>
      <c r="CO45" s="74" t="str">
        <f aca="false">IF(ISBLANK($C45),"",AND($AL45,$BA45=""))</f>
        <v/>
      </c>
      <c r="CP45" s="74" t="str">
        <f aca="false">IF(ISBLANK($C45),"",AND($AL45,$BB45=""))</f>
        <v/>
      </c>
      <c r="CQ45" s="74" t="str">
        <f aca="false">IF(ISBLANK($C45),"",AND($AL45,$BC45=""))</f>
        <v/>
      </c>
      <c r="CR45" s="74" t="str">
        <f aca="false">IF(ISBLANK($C45),"",AND($AL45,$BF45=""))</f>
        <v/>
      </c>
      <c r="CS45" s="74" t="str">
        <f aca="false">IF(ISBLANK($C45),"",AND($AL45,$BJ45=""))</f>
        <v/>
      </c>
      <c r="CT45" s="75"/>
      <c r="CU45" s="76"/>
      <c r="CV45" s="79" t="str">
        <f aca="false">IF(ISBLANK($C45),"",IF($BL45=Constants!$B$8,$CM45,""))</f>
        <v/>
      </c>
      <c r="CW45" s="76" t="str">
        <f aca="false">IF(ISBLANK($C45),"",IF($BL45&lt;&gt;Constants!$B$4,"",$BO45+$BP45))</f>
        <v/>
      </c>
      <c r="CX45" s="78" t="str">
        <f aca="false">IF(ISBLANK($C45),"",IF($BL45&lt;&gt;Constants!$B$4,"",$BQ45+$BR45+$BS45))</f>
        <v/>
      </c>
      <c r="CY45" s="78" t="str">
        <f aca="false">IF(ISBLANK($C45),"",IF($BL45&lt;&gt;Constants!$B$4,"",$BT45))</f>
        <v/>
      </c>
      <c r="CZ45" s="78" t="str">
        <f aca="false">IF(ISBLANK($C45),"",IF($BL45&lt;&gt;Constants!$B$4,"",$BU45+$BV45))</f>
        <v/>
      </c>
      <c r="DA45" s="78" t="str">
        <f aca="false">IF(ISBLANK($C45),"",IF($BL45&lt;&gt;Constants!$B$4,"",$BW45))</f>
        <v/>
      </c>
      <c r="DB45" s="78" t="str">
        <f aca="false">IF(ISBLANK($C45),"",IF($BL45&lt;&gt;Constants!$B$4,"",-$CD45))</f>
        <v/>
      </c>
      <c r="DC45" s="79" t="str">
        <f aca="false">IF(ISBLANK($C45),"",$CE45)</f>
        <v/>
      </c>
      <c r="DD45" s="80" t="str">
        <f aca="false">IF(ISBLANK($C45),"",$BM45)</f>
        <v/>
      </c>
      <c r="DE45" s="78" t="str">
        <f aca="false">IF(ISBLANK($C45),"",$CL45)</f>
        <v/>
      </c>
      <c r="DF45" s="78" t="str">
        <f aca="false">IF(ISBLANK($C45),"",$CK45)</f>
        <v/>
      </c>
      <c r="DG45" s="81" t="str">
        <f aca="false">IF(ISBLANK($C45),"",IF($DF45=Constants!$B$7,COUNTA($C$9:$C$508)+2,IF($DF45=Constants!$B$6,COUNTA($C$9:$C$508)+1,IF($DF45=Constants!$B$5,COUNTA($C$9:$C$508),$DF45))))</f>
        <v/>
      </c>
      <c r="DH45" s="7"/>
      <c r="DI45" s="82" t="n">
        <f aca="false">IF(OR(ISNUMBER($DF45),$DF45=Constants!$B$7,$DF45=Constants!$B$5,$DF45=Constants!$B$6),1,0)</f>
        <v>0</v>
      </c>
      <c r="DJ45" s="82" t="n">
        <v>37</v>
      </c>
      <c r="DK45" s="82" t="str">
        <f aca="false">IF(ISBLANK($C45),"",IF(ISNUMBER($DG45),$DG45+ROW($B45)/1000,""))</f>
        <v/>
      </c>
      <c r="DL45" s="82" t="str">
        <f aca="false">IF(ISNUMBER($DK45),RANK($DK45,$DK$9:$DK$508,1),"")</f>
        <v/>
      </c>
      <c r="DM45" s="82" t="str">
        <f aca="false">IF(ISBLANK($C45),"",$B45)</f>
        <v/>
      </c>
      <c r="DN45" s="82" t="str">
        <f aca="false">IF(ISBLANK($C45),"",$C45)</f>
        <v/>
      </c>
      <c r="DO45" s="82" t="str">
        <f aca="false">IF(ISBLANK($C45),"",$D45)</f>
        <v/>
      </c>
      <c r="DP45" s="83" t="str">
        <f aca="false">$DD45</f>
        <v/>
      </c>
      <c r="DQ45" s="84" t="str">
        <f aca="false">$DC45</f>
        <v/>
      </c>
      <c r="DR45" s="82" t="str">
        <f aca="false">IF(ISBLANK($C45),"",$DF45)</f>
        <v/>
      </c>
      <c r="DS45" s="85" t="str">
        <f aca="false">IF($DJ45&gt;$DI$8,"",VLOOKUP($DJ45,$DL$9:$DR$508,7,FALSE()))</f>
        <v/>
      </c>
      <c r="DT45" s="86" t="str">
        <f aca="false">IF($DJ45&gt;$DI$8,"",VLOOKUP($DJ45,$DL$9:$DR$508,2,FALSE()))</f>
        <v/>
      </c>
      <c r="DU45" s="86" t="str">
        <f aca="false">IF($DJ45&gt;$DI$8,"",VLOOKUP($DJ45,$DL$9:$DR$508,3,FALSE()))</f>
        <v/>
      </c>
      <c r="DV45" s="86" t="str">
        <f aca="false">IF($DJ45&gt;$DI$8,"",VLOOKUP($DJ45,$DL$9:$DR$508,4,FALSE()))</f>
        <v/>
      </c>
      <c r="DW45" s="86" t="str">
        <f aca="false">IF($DJ45&gt;$DI$8,"",VLOOKUP($DJ45,$DL$9:$DR$508,5,FALSE()))</f>
        <v/>
      </c>
      <c r="DX45" s="87" t="str">
        <f aca="false">IF($DJ45&gt;$DI$8,"",VLOOKUP($DJ45,$DL$9:$DR$508,6,FALSE()))</f>
        <v/>
      </c>
      <c r="DY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88"/>
      <c r="N46" s="88"/>
      <c r="O46" s="134"/>
      <c r="P46" s="134"/>
      <c r="Q46" s="88"/>
      <c r="R46" s="88"/>
      <c r="S46" s="88"/>
      <c r="T46" s="88"/>
      <c r="U46" s="134"/>
      <c r="V46" s="88"/>
      <c r="W46" s="70"/>
      <c r="X46" s="88"/>
      <c r="Y46" s="88"/>
      <c r="Z46" s="70"/>
      <c r="AA46" s="70"/>
      <c r="AB46" s="88"/>
      <c r="AC46" s="88"/>
      <c r="AD46" s="88"/>
      <c r="AE46" s="71"/>
      <c r="AF46" s="88"/>
      <c r="AG46" s="73"/>
      <c r="AH46" s="74"/>
      <c r="AI46" s="74"/>
      <c r="AJ46" s="74" t="str">
        <f aca="false">IF(ISBLANK($C46),"",IF($E46=Constants!$B$2,TRUE(),IF($E46=Constants!$B$3,FALSE(),TRUE())))</f>
        <v/>
      </c>
      <c r="AK46" s="74" t="str">
        <f aca="false">IF(ISBLANK($C46),"",IF($F46=Constants!$B$2,TRUE(),IF($F46=Constants!$B$3,FALSE(),FALSE())))</f>
        <v/>
      </c>
      <c r="AL46" s="74" t="str">
        <f aca="false">IF(ISBLANK($C46),"",IF($G46=Constants!$B$2,TRUE(),IF($G46=Constants!$B$3,FALSE(),TRUE())))</f>
        <v/>
      </c>
      <c r="AM46" s="74" t="str">
        <f aca="false">IF(ISBLANK($C46),"",IF($H46=Constants!$B$2,TRUE(),IF($H46=Constants!$B$3,FALSE(),TRUE())))</f>
        <v/>
      </c>
      <c r="AN46" s="74" t="str">
        <f aca="false">IF(ISBLANK($C46),"",IF(ISNUMBER($I46),IF($I46&gt;=0,$I46,""),""))</f>
        <v/>
      </c>
      <c r="AO46" s="74" t="str">
        <f aca="false">IF(ISBLANK($C46),"",IF(ISNUMBER($J46),IF($J46&gt;=0,$J46,""),""))</f>
        <v/>
      </c>
      <c r="AP46" s="74" t="str">
        <f aca="false">IF(ISBLANK($C46),"",IF(ISNUMBER($K46),IF($K46&gt;=0,$K46,""),""))</f>
        <v/>
      </c>
      <c r="AQ46" s="74" t="str">
        <f aca="false">IF(ISBLANK($C46),"",IF($L46=Constants!$B$2,TRUE(),IF($L46=Constants!$B$3,FALSE(),TRUE())))</f>
        <v/>
      </c>
      <c r="AR46" s="74" t="str">
        <f aca="false">IF(ISBLANK($C46),"",IF($M46=Constants!$B$2,TRUE(),IF($M46=Constants!$B$3,FALSE(),TRUE())))</f>
        <v/>
      </c>
      <c r="AS46" s="74" t="str">
        <f aca="false">IF(ISBLANK($C46),"",IF($N46=Constants!$B$2,TRUE(),IF($N46=Constants!$B$3,FALSE(),FALSE())))</f>
        <v/>
      </c>
      <c r="AT46" s="74" t="str">
        <f aca="false">IF(ISBLANK($C46),"",IF($O46=Constants!$B$2,TRUE(),IF($O46=Constants!$B$3,FALSE(),TRUE())))</f>
        <v/>
      </c>
      <c r="AU46" s="74" t="str">
        <f aca="false">IF(ISBLANK($C46),"",IF($P46=Constants!$B$2,TRUE(),IF($P46=Constants!$B$3,FALSE(),TRUE())))</f>
        <v/>
      </c>
      <c r="AV46" s="74" t="str">
        <f aca="false">IF(ISBLANK($C46),"",IF($Q46=Constants!$B$2,TRUE(),IF($Q46=Constants!$B$3,FALSE(),FALSE())))</f>
        <v/>
      </c>
      <c r="AW46" s="74" t="str">
        <f aca="false">IF(ISBLANK($C46),"",IF($R46=Constants!$B$2,TRUE(),IF($R46=Constants!$B$3,FALSE(),FALSE())))</f>
        <v/>
      </c>
      <c r="AX46" s="74" t="str">
        <f aca="false">IF(ISBLANK($C46),"",IF($S46=Constants!$B$2,TRUE(),IF($S46=Constants!$B$3,FALSE(),FALSE())))</f>
        <v/>
      </c>
      <c r="AY46" s="74" t="str">
        <f aca="false">IF(ISBLANK($C46),"",IF($T46=Constants!$B$2,TRUE(),IF($T46=Constants!$B$3,FALSE(),FALSE())))</f>
        <v/>
      </c>
      <c r="AZ46" s="74" t="str">
        <f aca="false">IF(ISBLANK($C46),"",IF($U46=Constants!$B$2,TRUE(),IF($U46=Constants!$B$3,FALSE(),FALSE())))</f>
        <v/>
      </c>
      <c r="BA46" s="74" t="str">
        <f aca="false">IF(ISBLANK($C46),"",IF(OR($V46&amp;""="1",$V46&amp;""="2",$V46&amp;""="3",$V46&amp;""="4"),VALUE($V46&amp;""),IF($V46=Constants!$B$12,Constants!$B$12,"")))</f>
        <v/>
      </c>
      <c r="BB46" s="74" t="str">
        <f aca="false">IF(ISBLANK($C46),"",IF(ISBLANK($W46),0,IF(ISNUMBER($W46),IF(AND($W46&gt;=0,$W46&lt;=Constants!$B$21,$W46=INT($W46)),$W46,""),"")))</f>
        <v/>
      </c>
      <c r="BC46" s="74" t="str">
        <f aca="false">IF(ISBLANK($C46),"",IF(ISBLANK($X46),0,IF(ISNUMBER($X46),IF($X46&gt;=0,$X46,""),"")))</f>
        <v/>
      </c>
      <c r="BD46" s="74" t="str">
        <f aca="false">IF(ISBLANK($C46),"",IF($Y46=Constants!$B$2,TRUE(),IF($Y46=Constants!$B$3,FALSE(),TRUE())))</f>
        <v/>
      </c>
      <c r="BE46" s="74" t="str">
        <f aca="false">IF(ISBLANK($C46),"",IF($Z46=Constants!$B$2,TRUE(),IF($Z46=Constants!$B$3,FALSE(),FALSE())))</f>
        <v/>
      </c>
      <c r="BF46" s="74" t="str">
        <f aca="false">IF(ISBLANK($C46),"",IF(ISBLANK($AA46),0,IF(ISNUMBER($AA46),IF(AND($AA46&gt;=0,$AA46&lt;=Constants!$B$35,$AA46=INT($AA46)),$AA46,""),"")))</f>
        <v/>
      </c>
      <c r="BG46" s="74" t="str">
        <f aca="false">IF(ISBLANK($C46),"",IF($AB46=Constants!$B$2,TRUE(),IF($AB46=Constants!$B$3,FALSE(),TRUE())))</f>
        <v/>
      </c>
      <c r="BH46" s="74" t="str">
        <f aca="false">IF(ISBLANK($C46),"",IF($AC46=Constants!$B$2,TRUE(),IF($AC46=Constants!$B$3,FALSE(),TRUE())))</f>
        <v/>
      </c>
      <c r="BI46" s="74" t="str">
        <f aca="false">IF(ISBLANK($C46),"",IF($AD46=Constants!$B$2,TRUE(),IF($AD46=Constants!$B$3,FALSE(),TRUE())))</f>
        <v/>
      </c>
      <c r="BJ46" s="74" t="str">
        <f aca="false">IF(ISBLANK($C46),"",IF(ISNUMBER($AE46),IF($AE46&gt;=0,$AE46,""),""))</f>
        <v/>
      </c>
      <c r="BK46" s="74" t="str">
        <f aca="false">IF(ISBLANK($C46),"",IF($AF46=Constants!$B$2,TRUE(),IF($AF46=Constants!$B$3,FALSE(),FALSE())))</f>
        <v/>
      </c>
      <c r="BL46" s="73" t="str">
        <f aca="false">IF(ISBLANK($C46),"",IF($BK46,Constants!$B$7,IF(COUNTA($E46:$AE46)=0,Constants!$B$6,IF(OR(COUNTA($G46:$AE46)=0,NOT($AM46),$AS46),Constants!$B$5,IF(OR($CM46&lt;&gt;"",$CN46,$CO46,$CP46,$CQ46,$CR46,$CS46),Constants!$B$8,Constants!$B$4)))))</f>
        <v/>
      </c>
      <c r="BM46" s="74" t="str">
        <f aca="false">IF(ISBLANK($C46),"",IF($BL46&lt;&gt;Constants!$B$4,$BL46,IF(OR(NOT($AJ46),NOT($AL46),NOT($AT46)),Constants!$B$11,IF(OR(NOT($AR46),NOT($AU46),NOT($BI46),MAX($AN46,$AO46,$AP46)&gt;Constants!$B$30),Constants!$B$10,Constants!$B$9))))</f>
        <v/>
      </c>
      <c r="BN46" s="74" t="str">
        <f aca="false">IF($BL46&lt;&gt;Constants!$B$4,"",IF(NOT($AL46),0,MIN(Constants!$B$35,$BF46)))</f>
        <v/>
      </c>
      <c r="BO46" s="74" t="str">
        <f aca="false">IF($BL46&lt;&gt;Constants!$B$4,"",IF(NOT($AL46),0,IF($AW46,Constants!$B$18,IF($AV46,Constants!$B$17,0))))</f>
        <v/>
      </c>
      <c r="BP46" s="74" t="str">
        <f aca="false">IF($BL46&lt;&gt;Constants!$B$4,"",IF(NOT($AL46),0,Constants!$B$19*($AK46+$AX46+$AY46+$AZ46)))</f>
        <v/>
      </c>
      <c r="BQ46" s="74" t="str">
        <f aca="false">IF($BL46&lt;&gt;Constants!$B$4,"",IF(OR(NOT($AL46),NOT(ISNUMBER($BA46))),0,CHOOSE($BA46,Constants!$B$13,Constants!$B$14,Constants!$B$15,Constants!$B$16)))</f>
        <v/>
      </c>
      <c r="BR46" s="74" t="str">
        <f aca="false">IF($BL46&lt;&gt;Constants!$B$4,"",IF(NOT($AL46),0,Constants!$B$20*$BB46))</f>
        <v/>
      </c>
      <c r="BS46" s="74" t="str">
        <f aca="false">IF($BL46&lt;&gt;Constants!$B$4,"",IF(AND($AL46,$BD46,$BE46),Constants!$B$22,0))</f>
        <v/>
      </c>
      <c r="BT46" s="74" t="str">
        <f aca="false">IF($BL46&lt;&gt;Constants!$B$4,"",IF(OR(NOT($AL46),NOT($BD46)),0,IF($BJ46&gt;=2*$AH$9,0,Constants!$B$23*INT(ROUND(MIN($BJ46,$AH$9),6)))))</f>
        <v/>
      </c>
      <c r="BU46" s="74" t="str">
        <f aca="false">IF($BL46&lt;&gt;Constants!$B$4,"",IF(NOT($AL46),0,Constants!$B$24*INT(ROUND(MIN($BC46,$AH$9),6))))</f>
        <v/>
      </c>
      <c r="BV46" s="74" t="str">
        <f aca="false">IF($BL46&lt;&gt;Constants!$B$4,"",IF(AND($AL46,$BN46=0),Constants!$B$25,0))</f>
        <v/>
      </c>
      <c r="BW46" s="74" t="str">
        <f aca="false">IF($BL46&lt;&gt;Constants!$B$4,"",MIN(Constants!$B$29,MAX(0,Constants!$B$27*Constants!$B$28*INT(ROUND((Constants!$B$26-$AN46)/Constants!$B$28,6))))+MIN(Constants!$B$29,MAX(0,Constants!$B$27*Constants!$B$28*INT(ROUND((Constants!$B$26-$AO46)/Constants!$B$28,6))))+MIN(Constants!$B$29,MAX(0,Constants!$B$27*Constants!$B$28*INT(ROUND((Constants!$B$26-$AP46)/Constants!$B$28,6)))))</f>
        <v/>
      </c>
      <c r="BX46" s="74" t="str">
        <f aca="false">IF($BL46&lt;&gt;Constants!$B$4,"",IF(NOT($AL46),0,Constants!$B$31*INT(ROUND(MAX(0,MIN($BJ46,2*$AH$9)-$AH$9),6))))</f>
        <v/>
      </c>
      <c r="BY46" s="74" t="str">
        <f aca="false">IF($BL46&lt;&gt;Constants!$B$4,"",Constants!$B$32*(($AN46&gt;Constants!$B$26)+($AO46&gt;Constants!$B$26)+($AP46&gt;Constants!$B$26)))</f>
        <v/>
      </c>
      <c r="BZ46" s="74" t="str">
        <f aca="false">IF($BL46&lt;&gt;Constants!$B$4,"",IF(OR(NOT($AL46),$AQ46),0,Constants!$B$33))</f>
        <v/>
      </c>
      <c r="CA46" s="74" t="str">
        <f aca="false">IF($BL46&lt;&gt;Constants!$B$4,"",Constants!$B$34*$BN46)</f>
        <v/>
      </c>
      <c r="CB46" s="74" t="str">
        <f aca="false">IF($BL46&lt;&gt;Constants!$B$4,"",IF(OR(NOT($AL46),$BH46),0,Constants!$B$36))</f>
        <v/>
      </c>
      <c r="CC46" s="74" t="str">
        <f aca="false">IF($BL46&lt;&gt;Constants!$B$4,"",IF(OR(NOT($AL46),$BG46),0,Constants!$B$37))</f>
        <v/>
      </c>
      <c r="CD46" s="74" t="str">
        <f aca="false">IF($BL46&lt;&gt;Constants!$B$4,"",SUM($BX46:$CC46))</f>
        <v/>
      </c>
      <c r="CE46" s="74" t="str">
        <f aca="false">IF(ISBLANK($C46),"",IF($BL46&lt;&gt;Constants!$B$4,$BL46,SUM($BO46:$BW46)-$CD46))</f>
        <v/>
      </c>
      <c r="CF46" s="74" t="str">
        <f aca="false">IF(ISBLANK($C46),"",IF($BL46&lt;&gt;Constants!$B$4,$BL46,RANK($CE46,$CE$9:$CE$508)))</f>
        <v/>
      </c>
      <c r="CG46" s="74" t="str">
        <f aca="false">IF(ISBLANK($C46),"",IF($BL46&lt;&gt;Constants!$B$4,$BL46,COUNTIFS($BM$9:$BM$508,"&lt;"&amp;$BM46)+COUNTIFS($BM$9:$BM$508,$BM46,$CF$9:$CF$508,"&lt;"&amp;$CF46)+1))</f>
        <v/>
      </c>
      <c r="CH46" s="74" t="str">
        <f aca="false">IF(ISBLANK($C46),"",IF($BL46&lt;&gt;Constants!$B$4,$BL46,RANK($CD46,$CD$9:$CD$508,1)))</f>
        <v/>
      </c>
      <c r="CI46" s="74" t="str">
        <f aca="false">IF($BL46&lt;&gt;Constants!$B$4,"",$AN46+$AO46+$AP46)</f>
        <v/>
      </c>
      <c r="CJ46" s="74" t="str">
        <f aca="false">IF(ISBLANK($C46),"",IF($BL46&lt;&gt;Constants!$B$4,$BL46,RANK($CI46,$CI$9:$CI$508,1)))</f>
        <v/>
      </c>
      <c r="CK46" s="74" t="str">
        <f aca="false">IF(ISBLANK($C46),"",IF($BL46&lt;&gt;Constants!$B$4,$BL46,COUNTIFS($BM$9:$BM$508,"&lt;"&amp;$BM46)+COUNTIFS($BM$9:$BM$508,$BM46,$CF$9:$CF$508,"&lt;"&amp;$CF46)+COUNTIFS($BM$9:$BM$508,$BM46,$CF$9:$CF$508,$CF46,$CH$9:$CH$508,"&lt;"&amp;$CH46)+COUNTIFS($BM$9:$BM$508,$BM46,$CF$9:$CF$508,$CF46,$CH$9:$CH$508,$CH46,$CJ$9:$CJ$508,"&lt;"&amp;$CJ46)+1))</f>
        <v/>
      </c>
      <c r="CL46" s="74" t="str">
        <f aca="false">IF(ISBLANK($C46),"",IF($BL46&lt;&gt;Constants!$B$4,$BL46,$CG46-$CK46))</f>
        <v/>
      </c>
      <c r="CM46" s="74" t="str">
        <f aca="false">IF(ISBLANK($C46),"",IF(NOT($AL46),"",IF(ISBLANK($D$7),$CM$5,IF(NOT(ISNUMBER($D$7)),$CM$6,""))))</f>
        <v/>
      </c>
      <c r="CN46" s="74" t="str">
        <f aca="false">IF(ISBLANK($C46),"",OR($AN46="",$AO46="",$AP46=""))</f>
        <v/>
      </c>
      <c r="CO46" s="74" t="str">
        <f aca="false">IF(ISBLANK($C46),"",AND($AL46,$BA46=""))</f>
        <v/>
      </c>
      <c r="CP46" s="74" t="str">
        <f aca="false">IF(ISBLANK($C46),"",AND($AL46,$BB46=""))</f>
        <v/>
      </c>
      <c r="CQ46" s="74" t="str">
        <f aca="false">IF(ISBLANK($C46),"",AND($AL46,$BC46=""))</f>
        <v/>
      </c>
      <c r="CR46" s="74" t="str">
        <f aca="false">IF(ISBLANK($C46),"",AND($AL46,$BF46=""))</f>
        <v/>
      </c>
      <c r="CS46" s="74" t="str">
        <f aca="false">IF(ISBLANK($C46),"",AND($AL46,$BJ46=""))</f>
        <v/>
      </c>
      <c r="CT46" s="75"/>
      <c r="CU46" s="76"/>
      <c r="CV46" s="79" t="str">
        <f aca="false">IF(ISBLANK($C46),"",IF($BL46=Constants!$B$8,$CM46,""))</f>
        <v/>
      </c>
      <c r="CW46" s="76" t="str">
        <f aca="false">IF(ISBLANK($C46),"",IF($BL46&lt;&gt;Constants!$B$4,"",$BO46+$BP46))</f>
        <v/>
      </c>
      <c r="CX46" s="78" t="str">
        <f aca="false">IF(ISBLANK($C46),"",IF($BL46&lt;&gt;Constants!$B$4,"",$BQ46+$BR46+$BS46))</f>
        <v/>
      </c>
      <c r="CY46" s="78" t="str">
        <f aca="false">IF(ISBLANK($C46),"",IF($BL46&lt;&gt;Constants!$B$4,"",$BT46))</f>
        <v/>
      </c>
      <c r="CZ46" s="78" t="str">
        <f aca="false">IF(ISBLANK($C46),"",IF($BL46&lt;&gt;Constants!$B$4,"",$BU46+$BV46))</f>
        <v/>
      </c>
      <c r="DA46" s="78" t="str">
        <f aca="false">IF(ISBLANK($C46),"",IF($BL46&lt;&gt;Constants!$B$4,"",$BW46))</f>
        <v/>
      </c>
      <c r="DB46" s="78" t="str">
        <f aca="false">IF(ISBLANK($C46),"",IF($BL46&lt;&gt;Constants!$B$4,"",-$CD46))</f>
        <v/>
      </c>
      <c r="DC46" s="79" t="str">
        <f aca="false">IF(ISBLANK($C46),"",$CE46)</f>
        <v/>
      </c>
      <c r="DD46" s="80" t="str">
        <f aca="false">IF(ISBLANK($C46),"",$BM46)</f>
        <v/>
      </c>
      <c r="DE46" s="78" t="str">
        <f aca="false">IF(ISBLANK($C46),"",$CL46)</f>
        <v/>
      </c>
      <c r="DF46" s="78" t="str">
        <f aca="false">IF(ISBLANK($C46),"",$CK46)</f>
        <v/>
      </c>
      <c r="DG46" s="81" t="str">
        <f aca="false">IF(ISBLANK($C46),"",IF($DF46=Constants!$B$7,COUNTA($C$9:$C$508)+2,IF($DF46=Constants!$B$6,COUNTA($C$9:$C$508)+1,IF($DF46=Constants!$B$5,COUNTA($C$9:$C$508),$DF46))))</f>
        <v/>
      </c>
      <c r="DH46" s="7"/>
      <c r="DI46" s="82" t="n">
        <f aca="false">IF(OR(ISNUMBER($DF46),$DF46=Constants!$B$7,$DF46=Constants!$B$5,$DF46=Constants!$B$6),1,0)</f>
        <v>0</v>
      </c>
      <c r="DJ46" s="82" t="n">
        <v>38</v>
      </c>
      <c r="DK46" s="82" t="str">
        <f aca="false">IF(ISBLANK($C46),"",IF(ISNUMBER($DG46),$DG46+ROW($B46)/1000,""))</f>
        <v/>
      </c>
      <c r="DL46" s="82" t="str">
        <f aca="false">IF(ISNUMBER($DK46),RANK($DK46,$DK$9:$DK$508,1),"")</f>
        <v/>
      </c>
      <c r="DM46" s="82" t="str">
        <f aca="false">IF(ISBLANK($C46),"",$B46)</f>
        <v/>
      </c>
      <c r="DN46" s="82" t="str">
        <f aca="false">IF(ISBLANK($C46),"",$C46)</f>
        <v/>
      </c>
      <c r="DO46" s="82" t="str">
        <f aca="false">IF(ISBLANK($C46),"",$D46)</f>
        <v/>
      </c>
      <c r="DP46" s="83" t="str">
        <f aca="false">$DD46</f>
        <v/>
      </c>
      <c r="DQ46" s="84" t="str">
        <f aca="false">$DC46</f>
        <v/>
      </c>
      <c r="DR46" s="82" t="str">
        <f aca="false">IF(ISBLANK($C46),"",$DF46)</f>
        <v/>
      </c>
      <c r="DS46" s="85" t="str">
        <f aca="false">IF($DJ46&gt;$DI$8,"",VLOOKUP($DJ46,$DL$9:$DR$508,7,FALSE()))</f>
        <v/>
      </c>
      <c r="DT46" s="86" t="str">
        <f aca="false">IF($DJ46&gt;$DI$8,"",VLOOKUP($DJ46,$DL$9:$DR$508,2,FALSE()))</f>
        <v/>
      </c>
      <c r="DU46" s="86" t="str">
        <f aca="false">IF($DJ46&gt;$DI$8,"",VLOOKUP($DJ46,$DL$9:$DR$508,3,FALSE()))</f>
        <v/>
      </c>
      <c r="DV46" s="86" t="str">
        <f aca="false">IF($DJ46&gt;$DI$8,"",VLOOKUP($DJ46,$DL$9:$DR$508,4,FALSE()))</f>
        <v/>
      </c>
      <c r="DW46" s="86" t="str">
        <f aca="false">IF($DJ46&gt;$DI$8,"",VLOOKUP($DJ46,$DL$9:$DR$508,5,FALSE()))</f>
        <v/>
      </c>
      <c r="DX46" s="87" t="str">
        <f aca="false">IF($DJ46&gt;$DI$8,"",VLOOKUP($DJ46,$DL$9:$DR$508,6,FALSE()))</f>
        <v/>
      </c>
      <c r="DY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88"/>
      <c r="N47" s="88"/>
      <c r="O47" s="134"/>
      <c r="P47" s="134"/>
      <c r="Q47" s="88"/>
      <c r="R47" s="88"/>
      <c r="S47" s="88"/>
      <c r="T47" s="88"/>
      <c r="U47" s="134"/>
      <c r="V47" s="88"/>
      <c r="W47" s="70"/>
      <c r="X47" s="88"/>
      <c r="Y47" s="88"/>
      <c r="Z47" s="70"/>
      <c r="AA47" s="70"/>
      <c r="AB47" s="88"/>
      <c r="AC47" s="88"/>
      <c r="AD47" s="88"/>
      <c r="AE47" s="71"/>
      <c r="AF47" s="88"/>
      <c r="AG47" s="73"/>
      <c r="AH47" s="74"/>
      <c r="AI47" s="74"/>
      <c r="AJ47" s="74" t="str">
        <f aca="false">IF(ISBLANK($C47),"",IF($E47=Constants!$B$2,TRUE(),IF($E47=Constants!$B$3,FALSE(),TRUE())))</f>
        <v/>
      </c>
      <c r="AK47" s="74" t="str">
        <f aca="false">IF(ISBLANK($C47),"",IF($F47=Constants!$B$2,TRUE(),IF($F47=Constants!$B$3,FALSE(),FALSE())))</f>
        <v/>
      </c>
      <c r="AL47" s="74" t="str">
        <f aca="false">IF(ISBLANK($C47),"",IF($G47=Constants!$B$2,TRUE(),IF($G47=Constants!$B$3,FALSE(),TRUE())))</f>
        <v/>
      </c>
      <c r="AM47" s="74" t="str">
        <f aca="false">IF(ISBLANK($C47),"",IF($H47=Constants!$B$2,TRUE(),IF($H47=Constants!$B$3,FALSE(),TRUE())))</f>
        <v/>
      </c>
      <c r="AN47" s="74" t="str">
        <f aca="false">IF(ISBLANK($C47),"",IF(ISNUMBER($I47),IF($I47&gt;=0,$I47,""),""))</f>
        <v/>
      </c>
      <c r="AO47" s="74" t="str">
        <f aca="false">IF(ISBLANK($C47),"",IF(ISNUMBER($J47),IF($J47&gt;=0,$J47,""),""))</f>
        <v/>
      </c>
      <c r="AP47" s="74" t="str">
        <f aca="false">IF(ISBLANK($C47),"",IF(ISNUMBER($K47),IF($K47&gt;=0,$K47,""),""))</f>
        <v/>
      </c>
      <c r="AQ47" s="74" t="str">
        <f aca="false">IF(ISBLANK($C47),"",IF($L47=Constants!$B$2,TRUE(),IF($L47=Constants!$B$3,FALSE(),TRUE())))</f>
        <v/>
      </c>
      <c r="AR47" s="74" t="str">
        <f aca="false">IF(ISBLANK($C47),"",IF($M47=Constants!$B$2,TRUE(),IF($M47=Constants!$B$3,FALSE(),TRUE())))</f>
        <v/>
      </c>
      <c r="AS47" s="74" t="str">
        <f aca="false">IF(ISBLANK($C47),"",IF($N47=Constants!$B$2,TRUE(),IF($N47=Constants!$B$3,FALSE(),FALSE())))</f>
        <v/>
      </c>
      <c r="AT47" s="74" t="str">
        <f aca="false">IF(ISBLANK($C47),"",IF($O47=Constants!$B$2,TRUE(),IF($O47=Constants!$B$3,FALSE(),TRUE())))</f>
        <v/>
      </c>
      <c r="AU47" s="74" t="str">
        <f aca="false">IF(ISBLANK($C47),"",IF($P47=Constants!$B$2,TRUE(),IF($P47=Constants!$B$3,FALSE(),TRUE())))</f>
        <v/>
      </c>
      <c r="AV47" s="74" t="str">
        <f aca="false">IF(ISBLANK($C47),"",IF($Q47=Constants!$B$2,TRUE(),IF($Q47=Constants!$B$3,FALSE(),FALSE())))</f>
        <v/>
      </c>
      <c r="AW47" s="74" t="str">
        <f aca="false">IF(ISBLANK($C47),"",IF($R47=Constants!$B$2,TRUE(),IF($R47=Constants!$B$3,FALSE(),FALSE())))</f>
        <v/>
      </c>
      <c r="AX47" s="74" t="str">
        <f aca="false">IF(ISBLANK($C47),"",IF($S47=Constants!$B$2,TRUE(),IF($S47=Constants!$B$3,FALSE(),FALSE())))</f>
        <v/>
      </c>
      <c r="AY47" s="74" t="str">
        <f aca="false">IF(ISBLANK($C47),"",IF($T47=Constants!$B$2,TRUE(),IF($T47=Constants!$B$3,FALSE(),FALSE())))</f>
        <v/>
      </c>
      <c r="AZ47" s="74" t="str">
        <f aca="false">IF(ISBLANK($C47),"",IF($U47=Constants!$B$2,TRUE(),IF($U47=Constants!$B$3,FALSE(),FALSE())))</f>
        <v/>
      </c>
      <c r="BA47" s="74" t="str">
        <f aca="false">IF(ISBLANK($C47),"",IF(OR($V47&amp;""="1",$V47&amp;""="2",$V47&amp;""="3",$V47&amp;""="4"),VALUE($V47&amp;""),IF($V47=Constants!$B$12,Constants!$B$12,"")))</f>
        <v/>
      </c>
      <c r="BB47" s="74" t="str">
        <f aca="false">IF(ISBLANK($C47),"",IF(ISBLANK($W47),0,IF(ISNUMBER($W47),IF(AND($W47&gt;=0,$W47&lt;=Constants!$B$21,$W47=INT($W47)),$W47,""),"")))</f>
        <v/>
      </c>
      <c r="BC47" s="74" t="str">
        <f aca="false">IF(ISBLANK($C47),"",IF(ISBLANK($X47),0,IF(ISNUMBER($X47),IF($X47&gt;=0,$X47,""),"")))</f>
        <v/>
      </c>
      <c r="BD47" s="74" t="str">
        <f aca="false">IF(ISBLANK($C47),"",IF($Y47=Constants!$B$2,TRUE(),IF($Y47=Constants!$B$3,FALSE(),TRUE())))</f>
        <v/>
      </c>
      <c r="BE47" s="74" t="str">
        <f aca="false">IF(ISBLANK($C47),"",IF($Z47=Constants!$B$2,TRUE(),IF($Z47=Constants!$B$3,FALSE(),FALSE())))</f>
        <v/>
      </c>
      <c r="BF47" s="74" t="str">
        <f aca="false">IF(ISBLANK($C47),"",IF(ISBLANK($AA47),0,IF(ISNUMBER($AA47),IF(AND($AA47&gt;=0,$AA47&lt;=Constants!$B$35,$AA47=INT($AA47)),$AA47,""),"")))</f>
        <v/>
      </c>
      <c r="BG47" s="74" t="str">
        <f aca="false">IF(ISBLANK($C47),"",IF($AB47=Constants!$B$2,TRUE(),IF($AB47=Constants!$B$3,FALSE(),TRUE())))</f>
        <v/>
      </c>
      <c r="BH47" s="74" t="str">
        <f aca="false">IF(ISBLANK($C47),"",IF($AC47=Constants!$B$2,TRUE(),IF($AC47=Constants!$B$3,FALSE(),TRUE())))</f>
        <v/>
      </c>
      <c r="BI47" s="74" t="str">
        <f aca="false">IF(ISBLANK($C47),"",IF($AD47=Constants!$B$2,TRUE(),IF($AD47=Constants!$B$3,FALSE(),TRUE())))</f>
        <v/>
      </c>
      <c r="BJ47" s="74" t="str">
        <f aca="false">IF(ISBLANK($C47),"",IF(ISNUMBER($AE47),IF($AE47&gt;=0,$AE47,""),""))</f>
        <v/>
      </c>
      <c r="BK47" s="74" t="str">
        <f aca="false">IF(ISBLANK($C47),"",IF($AF47=Constants!$B$2,TRUE(),IF($AF47=Constants!$B$3,FALSE(),FALSE())))</f>
        <v/>
      </c>
      <c r="BL47" s="73" t="str">
        <f aca="false">IF(ISBLANK($C47),"",IF($BK47,Constants!$B$7,IF(COUNTA($E47:$AE47)=0,Constants!$B$6,IF(OR(COUNTA($G47:$AE47)=0,NOT($AM47),$AS47),Constants!$B$5,IF(OR($CM47&lt;&gt;"",$CN47,$CO47,$CP47,$CQ47,$CR47,$CS47),Constants!$B$8,Constants!$B$4)))))</f>
        <v/>
      </c>
      <c r="BM47" s="74" t="str">
        <f aca="false">IF(ISBLANK($C47),"",IF($BL47&lt;&gt;Constants!$B$4,$BL47,IF(OR(NOT($AJ47),NOT($AL47),NOT($AT47)),Constants!$B$11,IF(OR(NOT($AR47),NOT($AU47),NOT($BI47),MAX($AN47,$AO47,$AP47)&gt;Constants!$B$30),Constants!$B$10,Constants!$B$9))))</f>
        <v/>
      </c>
      <c r="BN47" s="74" t="str">
        <f aca="false">IF($BL47&lt;&gt;Constants!$B$4,"",IF(NOT($AL47),0,MIN(Constants!$B$35,$BF47)))</f>
        <v/>
      </c>
      <c r="BO47" s="74" t="str">
        <f aca="false">IF($BL47&lt;&gt;Constants!$B$4,"",IF(NOT($AL47),0,IF($AW47,Constants!$B$18,IF($AV47,Constants!$B$17,0))))</f>
        <v/>
      </c>
      <c r="BP47" s="74" t="str">
        <f aca="false">IF($BL47&lt;&gt;Constants!$B$4,"",IF(NOT($AL47),0,Constants!$B$19*($AK47+$AX47+$AY47+$AZ47)))</f>
        <v/>
      </c>
      <c r="BQ47" s="74" t="str">
        <f aca="false">IF($BL47&lt;&gt;Constants!$B$4,"",IF(OR(NOT($AL47),NOT(ISNUMBER($BA47))),0,CHOOSE($BA47,Constants!$B$13,Constants!$B$14,Constants!$B$15,Constants!$B$16)))</f>
        <v/>
      </c>
      <c r="BR47" s="74" t="str">
        <f aca="false">IF($BL47&lt;&gt;Constants!$B$4,"",IF(NOT($AL47),0,Constants!$B$20*$BB47))</f>
        <v/>
      </c>
      <c r="BS47" s="74" t="str">
        <f aca="false">IF($BL47&lt;&gt;Constants!$B$4,"",IF(AND($AL47,$BD47,$BE47),Constants!$B$22,0))</f>
        <v/>
      </c>
      <c r="BT47" s="74" t="str">
        <f aca="false">IF($BL47&lt;&gt;Constants!$B$4,"",IF(OR(NOT($AL47),NOT($BD47)),0,IF($BJ47&gt;=2*$AH$9,0,Constants!$B$23*INT(ROUND(MIN($BJ47,$AH$9),6)))))</f>
        <v/>
      </c>
      <c r="BU47" s="74" t="str">
        <f aca="false">IF($BL47&lt;&gt;Constants!$B$4,"",IF(NOT($AL47),0,Constants!$B$24*INT(ROUND(MIN($BC47,$AH$9),6))))</f>
        <v/>
      </c>
      <c r="BV47" s="74" t="str">
        <f aca="false">IF($BL47&lt;&gt;Constants!$B$4,"",IF(AND($AL47,$BN47=0),Constants!$B$25,0))</f>
        <v/>
      </c>
      <c r="BW47" s="74" t="str">
        <f aca="false">IF($BL47&lt;&gt;Constants!$B$4,"",MIN(Constants!$B$29,MAX(0,Constants!$B$27*Constants!$B$28*INT(ROUND((Constants!$B$26-$AN47)/Constants!$B$28,6))))+MIN(Constants!$B$29,MAX(0,Constants!$B$27*Constants!$B$28*INT(ROUND((Constants!$B$26-$AO47)/Constants!$B$28,6))))+MIN(Constants!$B$29,MAX(0,Constants!$B$27*Constants!$B$28*INT(ROUND((Constants!$B$26-$AP47)/Constants!$B$28,6)))))</f>
        <v/>
      </c>
      <c r="BX47" s="74" t="str">
        <f aca="false">IF($BL47&lt;&gt;Constants!$B$4,"",IF(NOT($AL47),0,Constants!$B$31*INT(ROUND(MAX(0,MIN($BJ47,2*$AH$9)-$AH$9),6))))</f>
        <v/>
      </c>
      <c r="BY47" s="74" t="str">
        <f aca="false">IF($BL47&lt;&gt;Constants!$B$4,"",Constants!$B$32*(($AN47&gt;Constants!$B$26)+($AO47&gt;Constants!$B$26)+($AP47&gt;Constants!$B$26)))</f>
        <v/>
      </c>
      <c r="BZ47" s="74" t="str">
        <f aca="false">IF($BL47&lt;&gt;Constants!$B$4,"",IF(OR(NOT($AL47),$AQ47),0,Constants!$B$33))</f>
        <v/>
      </c>
      <c r="CA47" s="74" t="str">
        <f aca="false">IF($BL47&lt;&gt;Constants!$B$4,"",Constants!$B$34*$BN47)</f>
        <v/>
      </c>
      <c r="CB47" s="74" t="str">
        <f aca="false">IF($BL47&lt;&gt;Constants!$B$4,"",IF(OR(NOT($AL47),$BH47),0,Constants!$B$36))</f>
        <v/>
      </c>
      <c r="CC47" s="74" t="str">
        <f aca="false">IF($BL47&lt;&gt;Constants!$B$4,"",IF(OR(NOT($AL47),$BG47),0,Constants!$B$37))</f>
        <v/>
      </c>
      <c r="CD47" s="74" t="str">
        <f aca="false">IF($BL47&lt;&gt;Constants!$B$4,"",SUM($BX47:$CC47))</f>
        <v/>
      </c>
      <c r="CE47" s="74" t="str">
        <f aca="false">IF(ISBLANK($C47),"",IF($BL47&lt;&gt;Constants!$B$4,$BL47,SUM($BO47:$BW47)-$CD47))</f>
        <v/>
      </c>
      <c r="CF47" s="74" t="str">
        <f aca="false">IF(ISBLANK($C47),"",IF($BL47&lt;&gt;Constants!$B$4,$BL47,RANK($CE47,$CE$9:$CE$508)))</f>
        <v/>
      </c>
      <c r="CG47" s="74" t="str">
        <f aca="false">IF(ISBLANK($C47),"",IF($BL47&lt;&gt;Constants!$B$4,$BL47,COUNTIFS($BM$9:$BM$508,"&lt;"&amp;$BM47)+COUNTIFS($BM$9:$BM$508,$BM47,$CF$9:$CF$508,"&lt;"&amp;$CF47)+1))</f>
        <v/>
      </c>
      <c r="CH47" s="74" t="str">
        <f aca="false">IF(ISBLANK($C47),"",IF($BL47&lt;&gt;Constants!$B$4,$BL47,RANK($CD47,$CD$9:$CD$508,1)))</f>
        <v/>
      </c>
      <c r="CI47" s="74" t="str">
        <f aca="false">IF($BL47&lt;&gt;Constants!$B$4,"",$AN47+$AO47+$AP47)</f>
        <v/>
      </c>
      <c r="CJ47" s="74" t="str">
        <f aca="false">IF(ISBLANK($C47),"",IF($BL47&lt;&gt;Constants!$B$4,$BL47,RANK($CI47,$CI$9:$CI$508,1)))</f>
        <v/>
      </c>
      <c r="CK47" s="74" t="str">
        <f aca="false">IF(ISBLANK($C47),"",IF($BL47&lt;&gt;Constants!$B$4,$BL47,COUNTIFS($BM$9:$BM$508,"&lt;"&amp;$BM47)+COUNTIFS($BM$9:$BM$508,$BM47,$CF$9:$CF$508,"&lt;"&amp;$CF47)+COUNTIFS($BM$9:$BM$508,$BM47,$CF$9:$CF$508,$CF47,$CH$9:$CH$508,"&lt;"&amp;$CH47)+COUNTIFS($BM$9:$BM$508,$BM47,$CF$9:$CF$508,$CF47,$CH$9:$CH$508,$CH47,$CJ$9:$CJ$508,"&lt;"&amp;$CJ47)+1))</f>
        <v/>
      </c>
      <c r="CL47" s="74" t="str">
        <f aca="false">IF(ISBLANK($C47),"",IF($BL47&lt;&gt;Constants!$B$4,$BL47,$CG47-$CK47))</f>
        <v/>
      </c>
      <c r="CM47" s="74" t="str">
        <f aca="false">IF(ISBLANK($C47),"",IF(NOT($AL47),"",IF(ISBLANK($D$7),$CM$5,IF(NOT(ISNUMBER($D$7)),$CM$6,""))))</f>
        <v/>
      </c>
      <c r="CN47" s="74" t="str">
        <f aca="false">IF(ISBLANK($C47),"",OR($AN47="",$AO47="",$AP47=""))</f>
        <v/>
      </c>
      <c r="CO47" s="74" t="str">
        <f aca="false">IF(ISBLANK($C47),"",AND($AL47,$BA47=""))</f>
        <v/>
      </c>
      <c r="CP47" s="74" t="str">
        <f aca="false">IF(ISBLANK($C47),"",AND($AL47,$BB47=""))</f>
        <v/>
      </c>
      <c r="CQ47" s="74" t="str">
        <f aca="false">IF(ISBLANK($C47),"",AND($AL47,$BC47=""))</f>
        <v/>
      </c>
      <c r="CR47" s="74" t="str">
        <f aca="false">IF(ISBLANK($C47),"",AND($AL47,$BF47=""))</f>
        <v/>
      </c>
      <c r="CS47" s="74" t="str">
        <f aca="false">IF(ISBLANK($C47),"",AND($AL47,$BJ47=""))</f>
        <v/>
      </c>
      <c r="CT47" s="75"/>
      <c r="CU47" s="76"/>
      <c r="CV47" s="79" t="str">
        <f aca="false">IF(ISBLANK($C47),"",IF($BL47=Constants!$B$8,$CM47,""))</f>
        <v/>
      </c>
      <c r="CW47" s="76" t="str">
        <f aca="false">IF(ISBLANK($C47),"",IF($BL47&lt;&gt;Constants!$B$4,"",$BO47+$BP47))</f>
        <v/>
      </c>
      <c r="CX47" s="78" t="str">
        <f aca="false">IF(ISBLANK($C47),"",IF($BL47&lt;&gt;Constants!$B$4,"",$BQ47+$BR47+$BS47))</f>
        <v/>
      </c>
      <c r="CY47" s="78" t="str">
        <f aca="false">IF(ISBLANK($C47),"",IF($BL47&lt;&gt;Constants!$B$4,"",$BT47))</f>
        <v/>
      </c>
      <c r="CZ47" s="78" t="str">
        <f aca="false">IF(ISBLANK($C47),"",IF($BL47&lt;&gt;Constants!$B$4,"",$BU47+$BV47))</f>
        <v/>
      </c>
      <c r="DA47" s="78" t="str">
        <f aca="false">IF(ISBLANK($C47),"",IF($BL47&lt;&gt;Constants!$B$4,"",$BW47))</f>
        <v/>
      </c>
      <c r="DB47" s="78" t="str">
        <f aca="false">IF(ISBLANK($C47),"",IF($BL47&lt;&gt;Constants!$B$4,"",-$CD47))</f>
        <v/>
      </c>
      <c r="DC47" s="79" t="str">
        <f aca="false">IF(ISBLANK($C47),"",$CE47)</f>
        <v/>
      </c>
      <c r="DD47" s="80" t="str">
        <f aca="false">IF(ISBLANK($C47),"",$BM47)</f>
        <v/>
      </c>
      <c r="DE47" s="78" t="str">
        <f aca="false">IF(ISBLANK($C47),"",$CL47)</f>
        <v/>
      </c>
      <c r="DF47" s="78" t="str">
        <f aca="false">IF(ISBLANK($C47),"",$CK47)</f>
        <v/>
      </c>
      <c r="DG47" s="81" t="str">
        <f aca="false">IF(ISBLANK($C47),"",IF($DF47=Constants!$B$7,COUNTA($C$9:$C$508)+2,IF($DF47=Constants!$B$6,COUNTA($C$9:$C$508)+1,IF($DF47=Constants!$B$5,COUNTA($C$9:$C$508),$DF47))))</f>
        <v/>
      </c>
      <c r="DH47" s="7"/>
      <c r="DI47" s="82" t="n">
        <f aca="false">IF(OR(ISNUMBER($DF47),$DF47=Constants!$B$7,$DF47=Constants!$B$5,$DF47=Constants!$B$6),1,0)</f>
        <v>0</v>
      </c>
      <c r="DJ47" s="82" t="n">
        <v>39</v>
      </c>
      <c r="DK47" s="82" t="str">
        <f aca="false">IF(ISBLANK($C47),"",IF(ISNUMBER($DG47),$DG47+ROW($B47)/1000,""))</f>
        <v/>
      </c>
      <c r="DL47" s="82" t="str">
        <f aca="false">IF(ISNUMBER($DK47),RANK($DK47,$DK$9:$DK$508,1),"")</f>
        <v/>
      </c>
      <c r="DM47" s="82" t="str">
        <f aca="false">IF(ISBLANK($C47),"",$B47)</f>
        <v/>
      </c>
      <c r="DN47" s="82" t="str">
        <f aca="false">IF(ISBLANK($C47),"",$C47)</f>
        <v/>
      </c>
      <c r="DO47" s="82" t="str">
        <f aca="false">IF(ISBLANK($C47),"",$D47)</f>
        <v/>
      </c>
      <c r="DP47" s="83" t="str">
        <f aca="false">$DD47</f>
        <v/>
      </c>
      <c r="DQ47" s="84" t="str">
        <f aca="false">$DC47</f>
        <v/>
      </c>
      <c r="DR47" s="82" t="str">
        <f aca="false">IF(ISBLANK($C47),"",$DF47)</f>
        <v/>
      </c>
      <c r="DS47" s="85" t="str">
        <f aca="false">IF($DJ47&gt;$DI$8,"",VLOOKUP($DJ47,$DL$9:$DR$508,7,FALSE()))</f>
        <v/>
      </c>
      <c r="DT47" s="86" t="str">
        <f aca="false">IF($DJ47&gt;$DI$8,"",VLOOKUP($DJ47,$DL$9:$DR$508,2,FALSE()))</f>
        <v/>
      </c>
      <c r="DU47" s="86" t="str">
        <f aca="false">IF($DJ47&gt;$DI$8,"",VLOOKUP($DJ47,$DL$9:$DR$508,3,FALSE()))</f>
        <v/>
      </c>
      <c r="DV47" s="86" t="str">
        <f aca="false">IF($DJ47&gt;$DI$8,"",VLOOKUP($DJ47,$DL$9:$DR$508,4,FALSE()))</f>
        <v/>
      </c>
      <c r="DW47" s="86" t="str">
        <f aca="false">IF($DJ47&gt;$DI$8,"",VLOOKUP($DJ47,$DL$9:$DR$508,5,FALSE()))</f>
        <v/>
      </c>
      <c r="DX47" s="87" t="str">
        <f aca="false">IF($DJ47&gt;$DI$8,"",VLOOKUP($DJ47,$DL$9:$DR$508,6,FALSE()))</f>
        <v/>
      </c>
      <c r="DY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130"/>
      <c r="N48" s="130"/>
      <c r="O48" s="135"/>
      <c r="P48" s="135"/>
      <c r="Q48" s="130"/>
      <c r="R48" s="130"/>
      <c r="S48" s="130"/>
      <c r="T48" s="130"/>
      <c r="U48" s="135"/>
      <c r="V48" s="130"/>
      <c r="W48" s="96"/>
      <c r="X48" s="130"/>
      <c r="Y48" s="130"/>
      <c r="Z48" s="96"/>
      <c r="AA48" s="96"/>
      <c r="AB48" s="130"/>
      <c r="AC48" s="130"/>
      <c r="AD48" s="130"/>
      <c r="AE48" s="97"/>
      <c r="AF48" s="130"/>
      <c r="AG48" s="99"/>
      <c r="AH48" s="100"/>
      <c r="AI48" s="100"/>
      <c r="AJ48" s="100" t="str">
        <f aca="false">IF(ISBLANK($C48),"",IF($E48=Constants!$B$2,TRUE(),IF($E48=Constants!$B$3,FALSE(),TRUE())))</f>
        <v/>
      </c>
      <c r="AK48" s="100" t="str">
        <f aca="false">IF(ISBLANK($C48),"",IF($F48=Constants!$B$2,TRUE(),IF($F48=Constants!$B$3,FALSE(),FALSE())))</f>
        <v/>
      </c>
      <c r="AL48" s="100" t="str">
        <f aca="false">IF(ISBLANK($C48),"",IF($G48=Constants!$B$2,TRUE(),IF($G48=Constants!$B$3,FALSE(),TRUE())))</f>
        <v/>
      </c>
      <c r="AM48" s="100" t="str">
        <f aca="false">IF(ISBLANK($C48),"",IF($H48=Constants!$B$2,TRUE(),IF($H48=Constants!$B$3,FALSE(),TRUE())))</f>
        <v/>
      </c>
      <c r="AN48" s="100" t="str">
        <f aca="false">IF(ISBLANK($C48),"",IF(ISNUMBER($I48),IF($I48&gt;=0,$I48,""),""))</f>
        <v/>
      </c>
      <c r="AO48" s="100" t="str">
        <f aca="false">IF(ISBLANK($C48),"",IF(ISNUMBER($J48),IF($J48&gt;=0,$J48,""),""))</f>
        <v/>
      </c>
      <c r="AP48" s="100" t="str">
        <f aca="false">IF(ISBLANK($C48),"",IF(ISNUMBER($K48),IF($K48&gt;=0,$K48,""),""))</f>
        <v/>
      </c>
      <c r="AQ48" s="100" t="str">
        <f aca="false">IF(ISBLANK($C48),"",IF($L48=Constants!$B$2,TRUE(),IF($L48=Constants!$B$3,FALSE(),TRUE())))</f>
        <v/>
      </c>
      <c r="AR48" s="100" t="str">
        <f aca="false">IF(ISBLANK($C48),"",IF($M48=Constants!$B$2,TRUE(),IF($M48=Constants!$B$3,FALSE(),TRUE())))</f>
        <v/>
      </c>
      <c r="AS48" s="100" t="str">
        <f aca="false">IF(ISBLANK($C48),"",IF($N48=Constants!$B$2,TRUE(),IF($N48=Constants!$B$3,FALSE(),FALSE())))</f>
        <v/>
      </c>
      <c r="AT48" s="100" t="str">
        <f aca="false">IF(ISBLANK($C48),"",IF($O48=Constants!$B$2,TRUE(),IF($O48=Constants!$B$3,FALSE(),TRUE())))</f>
        <v/>
      </c>
      <c r="AU48" s="100" t="str">
        <f aca="false">IF(ISBLANK($C48),"",IF($P48=Constants!$B$2,TRUE(),IF($P48=Constants!$B$3,FALSE(),TRUE())))</f>
        <v/>
      </c>
      <c r="AV48" s="100" t="str">
        <f aca="false">IF(ISBLANK($C48),"",IF($Q48=Constants!$B$2,TRUE(),IF($Q48=Constants!$B$3,FALSE(),FALSE())))</f>
        <v/>
      </c>
      <c r="AW48" s="100" t="str">
        <f aca="false">IF(ISBLANK($C48),"",IF($R48=Constants!$B$2,TRUE(),IF($R48=Constants!$B$3,FALSE(),FALSE())))</f>
        <v/>
      </c>
      <c r="AX48" s="100" t="str">
        <f aca="false">IF(ISBLANK($C48),"",IF($S48=Constants!$B$2,TRUE(),IF($S48=Constants!$B$3,FALSE(),FALSE())))</f>
        <v/>
      </c>
      <c r="AY48" s="100" t="str">
        <f aca="false">IF(ISBLANK($C48),"",IF($T48=Constants!$B$2,TRUE(),IF($T48=Constants!$B$3,FALSE(),FALSE())))</f>
        <v/>
      </c>
      <c r="AZ48" s="100" t="str">
        <f aca="false">IF(ISBLANK($C48),"",IF($U48=Constants!$B$2,TRUE(),IF($U48=Constants!$B$3,FALSE(),FALSE())))</f>
        <v/>
      </c>
      <c r="BA48" s="100" t="str">
        <f aca="false">IF(ISBLANK($C48),"",IF(OR($V48&amp;""="1",$V48&amp;""="2",$V48&amp;""="3",$V48&amp;""="4"),VALUE($V48&amp;""),IF($V48=Constants!$B$12,Constants!$B$12,"")))</f>
        <v/>
      </c>
      <c r="BB48" s="100" t="str">
        <f aca="false">IF(ISBLANK($C48),"",IF(ISBLANK($W48),0,IF(ISNUMBER($W48),IF(AND($W48&gt;=0,$W48&lt;=Constants!$B$21,$W48=INT($W48)),$W48,""),"")))</f>
        <v/>
      </c>
      <c r="BC48" s="100" t="str">
        <f aca="false">IF(ISBLANK($C48),"",IF(ISBLANK($X48),0,IF(ISNUMBER($X48),IF($X48&gt;=0,$X48,""),"")))</f>
        <v/>
      </c>
      <c r="BD48" s="100" t="str">
        <f aca="false">IF(ISBLANK($C48),"",IF($Y48=Constants!$B$2,TRUE(),IF($Y48=Constants!$B$3,FALSE(),TRUE())))</f>
        <v/>
      </c>
      <c r="BE48" s="100" t="str">
        <f aca="false">IF(ISBLANK($C48),"",IF($Z48=Constants!$B$2,TRUE(),IF($Z48=Constants!$B$3,FALSE(),FALSE())))</f>
        <v/>
      </c>
      <c r="BF48" s="100" t="str">
        <f aca="false">IF(ISBLANK($C48),"",IF(ISBLANK($AA48),0,IF(ISNUMBER($AA48),IF(AND($AA48&gt;=0,$AA48&lt;=Constants!$B$35,$AA48=INT($AA48)),$AA48,""),"")))</f>
        <v/>
      </c>
      <c r="BG48" s="100" t="str">
        <f aca="false">IF(ISBLANK($C48),"",IF($AB48=Constants!$B$2,TRUE(),IF($AB48=Constants!$B$3,FALSE(),TRUE())))</f>
        <v/>
      </c>
      <c r="BH48" s="100" t="str">
        <f aca="false">IF(ISBLANK($C48),"",IF($AC48=Constants!$B$2,TRUE(),IF($AC48=Constants!$B$3,FALSE(),TRUE())))</f>
        <v/>
      </c>
      <c r="BI48" s="100" t="str">
        <f aca="false">IF(ISBLANK($C48),"",IF($AD48=Constants!$B$2,TRUE(),IF($AD48=Constants!$B$3,FALSE(),TRUE())))</f>
        <v/>
      </c>
      <c r="BJ48" s="100" t="str">
        <f aca="false">IF(ISBLANK($C48),"",IF(ISNUMBER($AE48),IF($AE48&gt;=0,$AE48,""),""))</f>
        <v/>
      </c>
      <c r="BK48" s="100" t="str">
        <f aca="false">IF(ISBLANK($C48),"",IF($AF48=Constants!$B$2,TRUE(),IF($AF48=Constants!$B$3,FALSE(),FALSE())))</f>
        <v/>
      </c>
      <c r="BL48" s="99" t="str">
        <f aca="false">IF(ISBLANK($C48),"",IF($BK48,Constants!$B$7,IF(COUNTA($E48:$AE48)=0,Constants!$B$6,IF(OR(COUNTA($G48:$AE48)=0,NOT($AM48),$AS48),Constants!$B$5,IF(OR($CM48&lt;&gt;"",$CN48,$CO48,$CP48,$CQ48,$CR48,$CS48),Constants!$B$8,Constants!$B$4)))))</f>
        <v/>
      </c>
      <c r="BM48" s="100" t="str">
        <f aca="false">IF(ISBLANK($C48),"",IF($BL48&lt;&gt;Constants!$B$4,$BL48,IF(OR(NOT($AJ48),NOT($AL48),NOT($AT48)),Constants!$B$11,IF(OR(NOT($AR48),NOT($AU48),NOT($BI48),MAX($AN48,$AO48,$AP48)&gt;Constants!$B$30),Constants!$B$10,Constants!$B$9))))</f>
        <v/>
      </c>
      <c r="BN48" s="100" t="str">
        <f aca="false">IF($BL48&lt;&gt;Constants!$B$4,"",IF(NOT($AL48),0,MIN(Constants!$B$35,$BF48)))</f>
        <v/>
      </c>
      <c r="BO48" s="100" t="str">
        <f aca="false">IF($BL48&lt;&gt;Constants!$B$4,"",IF(NOT($AL48),0,IF($AW48,Constants!$B$18,IF($AV48,Constants!$B$17,0))))</f>
        <v/>
      </c>
      <c r="BP48" s="100" t="str">
        <f aca="false">IF($BL48&lt;&gt;Constants!$B$4,"",IF(NOT($AL48),0,Constants!$B$19*($AK48+$AX48+$AY48+$AZ48)))</f>
        <v/>
      </c>
      <c r="BQ48" s="100" t="str">
        <f aca="false">IF($BL48&lt;&gt;Constants!$B$4,"",IF(OR(NOT($AL48),NOT(ISNUMBER($BA48))),0,CHOOSE($BA48,Constants!$B$13,Constants!$B$14,Constants!$B$15,Constants!$B$16)))</f>
        <v/>
      </c>
      <c r="BR48" s="100" t="str">
        <f aca="false">IF($BL48&lt;&gt;Constants!$B$4,"",IF(NOT($AL48),0,Constants!$B$20*$BB48))</f>
        <v/>
      </c>
      <c r="BS48" s="100" t="str">
        <f aca="false">IF($BL48&lt;&gt;Constants!$B$4,"",IF(AND($AL48,$BD48,$BE48),Constants!$B$22,0))</f>
        <v/>
      </c>
      <c r="BT48" s="100" t="str">
        <f aca="false">IF($BL48&lt;&gt;Constants!$B$4,"",IF(OR(NOT($AL48),NOT($BD48)),0,IF($BJ48&gt;=2*$AH$9,0,Constants!$B$23*INT(ROUND(MIN($BJ48,$AH$9),6)))))</f>
        <v/>
      </c>
      <c r="BU48" s="100" t="str">
        <f aca="false">IF($BL48&lt;&gt;Constants!$B$4,"",IF(NOT($AL48),0,Constants!$B$24*INT(ROUND(MIN($BC48,$AH$9),6))))</f>
        <v/>
      </c>
      <c r="BV48" s="100" t="str">
        <f aca="false">IF($BL48&lt;&gt;Constants!$B$4,"",IF(AND($AL48,$BN48=0),Constants!$B$25,0))</f>
        <v/>
      </c>
      <c r="BW48" s="100" t="str">
        <f aca="false">IF($BL48&lt;&gt;Constants!$B$4,"",MIN(Constants!$B$29,MAX(0,Constants!$B$27*Constants!$B$28*INT(ROUND((Constants!$B$26-$AN48)/Constants!$B$28,6))))+MIN(Constants!$B$29,MAX(0,Constants!$B$27*Constants!$B$28*INT(ROUND((Constants!$B$26-$AO48)/Constants!$B$28,6))))+MIN(Constants!$B$29,MAX(0,Constants!$B$27*Constants!$B$28*INT(ROUND((Constants!$B$26-$AP48)/Constants!$B$28,6)))))</f>
        <v/>
      </c>
      <c r="BX48" s="100" t="str">
        <f aca="false">IF($BL48&lt;&gt;Constants!$B$4,"",IF(NOT($AL48),0,Constants!$B$31*INT(ROUND(MAX(0,MIN($BJ48,2*$AH$9)-$AH$9),6))))</f>
        <v/>
      </c>
      <c r="BY48" s="100" t="str">
        <f aca="false">IF($BL48&lt;&gt;Constants!$B$4,"",Constants!$B$32*(($AN48&gt;Constants!$B$26)+($AO48&gt;Constants!$B$26)+($AP48&gt;Constants!$B$26)))</f>
        <v/>
      </c>
      <c r="BZ48" s="100" t="str">
        <f aca="false">IF($BL48&lt;&gt;Constants!$B$4,"",IF(OR(NOT($AL48),$AQ48),0,Constants!$B$33))</f>
        <v/>
      </c>
      <c r="CA48" s="100" t="str">
        <f aca="false">IF($BL48&lt;&gt;Constants!$B$4,"",Constants!$B$34*$BN48)</f>
        <v/>
      </c>
      <c r="CB48" s="100" t="str">
        <f aca="false">IF($BL48&lt;&gt;Constants!$B$4,"",IF(OR(NOT($AL48),$BH48),0,Constants!$B$36))</f>
        <v/>
      </c>
      <c r="CC48" s="100" t="str">
        <f aca="false">IF($BL48&lt;&gt;Constants!$B$4,"",IF(OR(NOT($AL48),$BG48),0,Constants!$B$37))</f>
        <v/>
      </c>
      <c r="CD48" s="100" t="str">
        <f aca="false">IF($BL48&lt;&gt;Constants!$B$4,"",SUM($BX48:$CC48))</f>
        <v/>
      </c>
      <c r="CE48" s="100" t="str">
        <f aca="false">IF(ISBLANK($C48),"",IF($BL48&lt;&gt;Constants!$B$4,$BL48,SUM($BO48:$BW48)-$CD48))</f>
        <v/>
      </c>
      <c r="CF48" s="100" t="str">
        <f aca="false">IF(ISBLANK($C48),"",IF($BL48&lt;&gt;Constants!$B$4,$BL48,RANK($CE48,$CE$9:$CE$508)))</f>
        <v/>
      </c>
      <c r="CG48" s="100" t="str">
        <f aca="false">IF(ISBLANK($C48),"",IF($BL48&lt;&gt;Constants!$B$4,$BL48,COUNTIFS($BM$9:$BM$508,"&lt;"&amp;$BM48)+COUNTIFS($BM$9:$BM$508,$BM48,$CF$9:$CF$508,"&lt;"&amp;$CF48)+1))</f>
        <v/>
      </c>
      <c r="CH48" s="100" t="str">
        <f aca="false">IF(ISBLANK($C48),"",IF($BL48&lt;&gt;Constants!$B$4,$BL48,RANK($CD48,$CD$9:$CD$508,1)))</f>
        <v/>
      </c>
      <c r="CI48" s="100" t="str">
        <f aca="false">IF($BL48&lt;&gt;Constants!$B$4,"",$AN48+$AO48+$AP48)</f>
        <v/>
      </c>
      <c r="CJ48" s="100" t="str">
        <f aca="false">IF(ISBLANK($C48),"",IF($BL48&lt;&gt;Constants!$B$4,$BL48,RANK($CI48,$CI$9:$CI$508,1)))</f>
        <v/>
      </c>
      <c r="CK48" s="100" t="str">
        <f aca="false">IF(ISBLANK($C48),"",IF($BL48&lt;&gt;Constants!$B$4,$BL48,COUNTIFS($BM$9:$BM$508,"&lt;"&amp;$BM48)+COUNTIFS($BM$9:$BM$508,$BM48,$CF$9:$CF$508,"&lt;"&amp;$CF48)+COUNTIFS($BM$9:$BM$508,$BM48,$CF$9:$CF$508,$CF48,$CH$9:$CH$508,"&lt;"&amp;$CH48)+COUNTIFS($BM$9:$BM$508,$BM48,$CF$9:$CF$508,$CF48,$CH$9:$CH$508,$CH48,$CJ$9:$CJ$508,"&lt;"&amp;$CJ48)+1))</f>
        <v/>
      </c>
      <c r="CL48" s="100" t="str">
        <f aca="false">IF(ISBLANK($C48),"",IF($BL48&lt;&gt;Constants!$B$4,$BL48,$CG48-$CK48))</f>
        <v/>
      </c>
      <c r="CM48" s="100" t="str">
        <f aca="false">IF(ISBLANK($C48),"",IF(NOT($AL48),"",IF(ISBLANK($D$7),$CM$5,IF(NOT(ISNUMBER($D$7)),$CM$6,""))))</f>
        <v/>
      </c>
      <c r="CN48" s="100" t="str">
        <f aca="false">IF(ISBLANK($C48),"",OR($AN48="",$AO48="",$AP48=""))</f>
        <v/>
      </c>
      <c r="CO48" s="100" t="str">
        <f aca="false">IF(ISBLANK($C48),"",AND($AL48,$BA48=""))</f>
        <v/>
      </c>
      <c r="CP48" s="100" t="str">
        <f aca="false">IF(ISBLANK($C48),"",AND($AL48,$BB48=""))</f>
        <v/>
      </c>
      <c r="CQ48" s="100" t="str">
        <f aca="false">IF(ISBLANK($C48),"",AND($AL48,$BC48=""))</f>
        <v/>
      </c>
      <c r="CR48" s="100" t="str">
        <f aca="false">IF(ISBLANK($C48),"",AND($AL48,$BF48=""))</f>
        <v/>
      </c>
      <c r="CS48" s="100" t="str">
        <f aca="false">IF(ISBLANK($C48),"",AND($AL48,$BJ48=""))</f>
        <v/>
      </c>
      <c r="CT48" s="101"/>
      <c r="CU48" s="102"/>
      <c r="CV48" s="103" t="str">
        <f aca="false">IF(ISBLANK($C48),"",IF($BL48=Constants!$B$8,$CM48,""))</f>
        <v/>
      </c>
      <c r="CW48" s="102" t="str">
        <f aca="false">IF(ISBLANK($C48),"",IF($BL48&lt;&gt;Constants!$B$4,"",$BO48+$BP48))</f>
        <v/>
      </c>
      <c r="CX48" s="104" t="str">
        <f aca="false">IF(ISBLANK($C48),"",IF($BL48&lt;&gt;Constants!$B$4,"",$BQ48+$BR48+$BS48))</f>
        <v/>
      </c>
      <c r="CY48" s="104" t="str">
        <f aca="false">IF(ISBLANK($C48),"",IF($BL48&lt;&gt;Constants!$B$4,"",$BT48))</f>
        <v/>
      </c>
      <c r="CZ48" s="104" t="str">
        <f aca="false">IF(ISBLANK($C48),"",IF($BL48&lt;&gt;Constants!$B$4,"",$BU48+$BV48))</f>
        <v/>
      </c>
      <c r="DA48" s="104" t="str">
        <f aca="false">IF(ISBLANK($C48),"",IF($BL48&lt;&gt;Constants!$B$4,"",$BW48))</f>
        <v/>
      </c>
      <c r="DB48" s="104" t="str">
        <f aca="false">IF(ISBLANK($C48),"",IF($BL48&lt;&gt;Constants!$B$4,"",-$CD48))</f>
        <v/>
      </c>
      <c r="DC48" s="103" t="str">
        <f aca="false">IF(ISBLANK($C48),"",$CE48)</f>
        <v/>
      </c>
      <c r="DD48" s="105" t="str">
        <f aca="false">IF(ISBLANK($C48),"",$BM48)</f>
        <v/>
      </c>
      <c r="DE48" s="104" t="str">
        <f aca="false">IF(ISBLANK($C48),"",$CL48)</f>
        <v/>
      </c>
      <c r="DF48" s="104" t="str">
        <f aca="false">IF(ISBLANK($C48),"",$CK48)</f>
        <v/>
      </c>
      <c r="DG48" s="106" t="str">
        <f aca="false">IF(ISBLANK($C48),"",IF($DF48=Constants!$B$7,COUNTA($C$9:$C$508)+2,IF($DF48=Constants!$B$6,COUNTA($C$9:$C$508)+1,IF($DF48=Constants!$B$5,COUNTA($C$9:$C$508),$DF48))))</f>
        <v/>
      </c>
      <c r="DH48" s="7"/>
      <c r="DI48" s="107" t="n">
        <f aca="false">IF(OR(ISNUMBER($DF48),$DF48=Constants!$B$7,$DF48=Constants!$B$5,$DF48=Constants!$B$6),1,0)</f>
        <v>0</v>
      </c>
      <c r="DJ48" s="107" t="n">
        <v>40</v>
      </c>
      <c r="DK48" s="107" t="str">
        <f aca="false">IF(ISBLANK($C48),"",IF(ISNUMBER($DG48),$DG48+ROW($B48)/1000,""))</f>
        <v/>
      </c>
      <c r="DL48" s="107" t="str">
        <f aca="false">IF(ISNUMBER($DK48),RANK($DK48,$DK$9:$DK$508,1),"")</f>
        <v/>
      </c>
      <c r="DM48" s="107" t="str">
        <f aca="false">IF(ISBLANK($C48),"",$B48)</f>
        <v/>
      </c>
      <c r="DN48" s="107" t="str">
        <f aca="false">IF(ISBLANK($C48),"",$C48)</f>
        <v/>
      </c>
      <c r="DO48" s="107" t="str">
        <f aca="false">IF(ISBLANK($C48),"",$D48)</f>
        <v/>
      </c>
      <c r="DP48" s="108" t="str">
        <f aca="false">$DD48</f>
        <v/>
      </c>
      <c r="DQ48" s="109" t="str">
        <f aca="false">$DC48</f>
        <v/>
      </c>
      <c r="DR48" s="107" t="str">
        <f aca="false">IF(ISBLANK($C48),"",$DF48)</f>
        <v/>
      </c>
      <c r="DS48" s="110" t="str">
        <f aca="false">IF($DJ48&gt;$DI$8,"",VLOOKUP($DJ48,$DL$9:$DR$508,7,FALSE()))</f>
        <v/>
      </c>
      <c r="DT48" s="111" t="str">
        <f aca="false">IF($DJ48&gt;$DI$8,"",VLOOKUP($DJ48,$DL$9:$DR$508,2,FALSE()))</f>
        <v/>
      </c>
      <c r="DU48" s="111" t="str">
        <f aca="false">IF($DJ48&gt;$DI$8,"",VLOOKUP($DJ48,$DL$9:$DR$508,3,FALSE()))</f>
        <v/>
      </c>
      <c r="DV48" s="111" t="str">
        <f aca="false">IF($DJ48&gt;$DI$8,"",VLOOKUP($DJ48,$DL$9:$DR$508,4,FALSE()))</f>
        <v/>
      </c>
      <c r="DW48" s="111" t="str">
        <f aca="false">IF($DJ48&gt;$DI$8,"",VLOOKUP($DJ48,$DL$9:$DR$508,5,FALSE()))</f>
        <v/>
      </c>
      <c r="DX48" s="112" t="str">
        <f aca="false">IF($DJ48&gt;$DI$8,"",VLOOKUP($DJ48,$DL$9:$DR$508,6,FALSE()))</f>
        <v/>
      </c>
      <c r="DY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130"/>
      <c r="N49" s="130"/>
      <c r="O49" s="135"/>
      <c r="P49" s="135"/>
      <c r="Q49" s="130"/>
      <c r="R49" s="130"/>
      <c r="S49" s="130"/>
      <c r="T49" s="130"/>
      <c r="U49" s="135"/>
      <c r="V49" s="130"/>
      <c r="W49" s="96"/>
      <c r="X49" s="130"/>
      <c r="Y49" s="130"/>
      <c r="Z49" s="96"/>
      <c r="AA49" s="96"/>
      <c r="AB49" s="130"/>
      <c r="AC49" s="130"/>
      <c r="AD49" s="130"/>
      <c r="AE49" s="97"/>
      <c r="AF49" s="130"/>
      <c r="AG49" s="99"/>
      <c r="AH49" s="100"/>
      <c r="AI49" s="100"/>
      <c r="AJ49" s="100" t="str">
        <f aca="false">IF(ISBLANK($C49),"",IF($E49=Constants!$B$2,TRUE(),IF($E49=Constants!$B$3,FALSE(),TRUE())))</f>
        <v/>
      </c>
      <c r="AK49" s="100" t="str">
        <f aca="false">IF(ISBLANK($C49),"",IF($F49=Constants!$B$2,TRUE(),IF($F49=Constants!$B$3,FALSE(),FALSE())))</f>
        <v/>
      </c>
      <c r="AL49" s="100" t="str">
        <f aca="false">IF(ISBLANK($C49),"",IF($G49=Constants!$B$2,TRUE(),IF($G49=Constants!$B$3,FALSE(),TRUE())))</f>
        <v/>
      </c>
      <c r="AM49" s="100" t="str">
        <f aca="false">IF(ISBLANK($C49),"",IF($H49=Constants!$B$2,TRUE(),IF($H49=Constants!$B$3,FALSE(),TRUE())))</f>
        <v/>
      </c>
      <c r="AN49" s="100" t="str">
        <f aca="false">IF(ISBLANK($C49),"",IF(ISNUMBER($I49),IF($I49&gt;=0,$I49,""),""))</f>
        <v/>
      </c>
      <c r="AO49" s="100" t="str">
        <f aca="false">IF(ISBLANK($C49),"",IF(ISNUMBER($J49),IF($J49&gt;=0,$J49,""),""))</f>
        <v/>
      </c>
      <c r="AP49" s="100" t="str">
        <f aca="false">IF(ISBLANK($C49),"",IF(ISNUMBER($K49),IF($K49&gt;=0,$K49,""),""))</f>
        <v/>
      </c>
      <c r="AQ49" s="100" t="str">
        <f aca="false">IF(ISBLANK($C49),"",IF($L49=Constants!$B$2,TRUE(),IF($L49=Constants!$B$3,FALSE(),TRUE())))</f>
        <v/>
      </c>
      <c r="AR49" s="100" t="str">
        <f aca="false">IF(ISBLANK($C49),"",IF($M49=Constants!$B$2,TRUE(),IF($M49=Constants!$B$3,FALSE(),TRUE())))</f>
        <v/>
      </c>
      <c r="AS49" s="100" t="str">
        <f aca="false">IF(ISBLANK($C49),"",IF($N49=Constants!$B$2,TRUE(),IF($N49=Constants!$B$3,FALSE(),FALSE())))</f>
        <v/>
      </c>
      <c r="AT49" s="100" t="str">
        <f aca="false">IF(ISBLANK($C49),"",IF($O49=Constants!$B$2,TRUE(),IF($O49=Constants!$B$3,FALSE(),TRUE())))</f>
        <v/>
      </c>
      <c r="AU49" s="100" t="str">
        <f aca="false">IF(ISBLANK($C49),"",IF($P49=Constants!$B$2,TRUE(),IF($P49=Constants!$B$3,FALSE(),TRUE())))</f>
        <v/>
      </c>
      <c r="AV49" s="100" t="str">
        <f aca="false">IF(ISBLANK($C49),"",IF($Q49=Constants!$B$2,TRUE(),IF($Q49=Constants!$B$3,FALSE(),FALSE())))</f>
        <v/>
      </c>
      <c r="AW49" s="100" t="str">
        <f aca="false">IF(ISBLANK($C49),"",IF($R49=Constants!$B$2,TRUE(),IF($R49=Constants!$B$3,FALSE(),FALSE())))</f>
        <v/>
      </c>
      <c r="AX49" s="100" t="str">
        <f aca="false">IF(ISBLANK($C49),"",IF($S49=Constants!$B$2,TRUE(),IF($S49=Constants!$B$3,FALSE(),FALSE())))</f>
        <v/>
      </c>
      <c r="AY49" s="100" t="str">
        <f aca="false">IF(ISBLANK($C49),"",IF($T49=Constants!$B$2,TRUE(),IF($T49=Constants!$B$3,FALSE(),FALSE())))</f>
        <v/>
      </c>
      <c r="AZ49" s="100" t="str">
        <f aca="false">IF(ISBLANK($C49),"",IF($U49=Constants!$B$2,TRUE(),IF($U49=Constants!$B$3,FALSE(),FALSE())))</f>
        <v/>
      </c>
      <c r="BA49" s="100" t="str">
        <f aca="false">IF(ISBLANK($C49),"",IF(OR($V49&amp;""="1",$V49&amp;""="2",$V49&amp;""="3",$V49&amp;""="4"),VALUE($V49&amp;""),IF($V49=Constants!$B$12,Constants!$B$12,"")))</f>
        <v/>
      </c>
      <c r="BB49" s="100" t="str">
        <f aca="false">IF(ISBLANK($C49),"",IF(ISBLANK($W49),0,IF(ISNUMBER($W49),IF(AND($W49&gt;=0,$W49&lt;=Constants!$B$21,$W49=INT($W49)),$W49,""),"")))</f>
        <v/>
      </c>
      <c r="BC49" s="100" t="str">
        <f aca="false">IF(ISBLANK($C49),"",IF(ISBLANK($X49),0,IF(ISNUMBER($X49),IF($X49&gt;=0,$X49,""),"")))</f>
        <v/>
      </c>
      <c r="BD49" s="100" t="str">
        <f aca="false">IF(ISBLANK($C49),"",IF($Y49=Constants!$B$2,TRUE(),IF($Y49=Constants!$B$3,FALSE(),TRUE())))</f>
        <v/>
      </c>
      <c r="BE49" s="100" t="str">
        <f aca="false">IF(ISBLANK($C49),"",IF($Z49=Constants!$B$2,TRUE(),IF($Z49=Constants!$B$3,FALSE(),FALSE())))</f>
        <v/>
      </c>
      <c r="BF49" s="100" t="str">
        <f aca="false">IF(ISBLANK($C49),"",IF(ISBLANK($AA49),0,IF(ISNUMBER($AA49),IF(AND($AA49&gt;=0,$AA49&lt;=Constants!$B$35,$AA49=INT($AA49)),$AA49,""),"")))</f>
        <v/>
      </c>
      <c r="BG49" s="100" t="str">
        <f aca="false">IF(ISBLANK($C49),"",IF($AB49=Constants!$B$2,TRUE(),IF($AB49=Constants!$B$3,FALSE(),TRUE())))</f>
        <v/>
      </c>
      <c r="BH49" s="100" t="str">
        <f aca="false">IF(ISBLANK($C49),"",IF($AC49=Constants!$B$2,TRUE(),IF($AC49=Constants!$B$3,FALSE(),TRUE())))</f>
        <v/>
      </c>
      <c r="BI49" s="100" t="str">
        <f aca="false">IF(ISBLANK($C49),"",IF($AD49=Constants!$B$2,TRUE(),IF($AD49=Constants!$B$3,FALSE(),TRUE())))</f>
        <v/>
      </c>
      <c r="BJ49" s="100" t="str">
        <f aca="false">IF(ISBLANK($C49),"",IF(ISNUMBER($AE49),IF($AE49&gt;=0,$AE49,""),""))</f>
        <v/>
      </c>
      <c r="BK49" s="100" t="str">
        <f aca="false">IF(ISBLANK($C49),"",IF($AF49=Constants!$B$2,TRUE(),IF($AF49=Constants!$B$3,FALSE(),FALSE())))</f>
        <v/>
      </c>
      <c r="BL49" s="99" t="str">
        <f aca="false">IF(ISBLANK($C49),"",IF($BK49,Constants!$B$7,IF(COUNTA($E49:$AE49)=0,Constants!$B$6,IF(OR(COUNTA($G49:$AE49)=0,NOT($AM49),$AS49),Constants!$B$5,IF(OR($CM49&lt;&gt;"",$CN49,$CO49,$CP49,$CQ49,$CR49,$CS49),Constants!$B$8,Constants!$B$4)))))</f>
        <v/>
      </c>
      <c r="BM49" s="100" t="str">
        <f aca="false">IF(ISBLANK($C49),"",IF($BL49&lt;&gt;Constants!$B$4,$BL49,IF(OR(NOT($AJ49),NOT($AL49),NOT($AT49)),Constants!$B$11,IF(OR(NOT($AR49),NOT($AU49),NOT($BI49),MAX($AN49,$AO49,$AP49)&gt;Constants!$B$30),Constants!$B$10,Constants!$B$9))))</f>
        <v/>
      </c>
      <c r="BN49" s="100" t="str">
        <f aca="false">IF($BL49&lt;&gt;Constants!$B$4,"",IF(NOT($AL49),0,MIN(Constants!$B$35,$BF49)))</f>
        <v/>
      </c>
      <c r="BO49" s="100" t="str">
        <f aca="false">IF($BL49&lt;&gt;Constants!$B$4,"",IF(NOT($AL49),0,IF($AW49,Constants!$B$18,IF($AV49,Constants!$B$17,0))))</f>
        <v/>
      </c>
      <c r="BP49" s="100" t="str">
        <f aca="false">IF($BL49&lt;&gt;Constants!$B$4,"",IF(NOT($AL49),0,Constants!$B$19*($AK49+$AX49+$AY49+$AZ49)))</f>
        <v/>
      </c>
      <c r="BQ49" s="100" t="str">
        <f aca="false">IF($BL49&lt;&gt;Constants!$B$4,"",IF(OR(NOT($AL49),NOT(ISNUMBER($BA49))),0,CHOOSE($BA49,Constants!$B$13,Constants!$B$14,Constants!$B$15,Constants!$B$16)))</f>
        <v/>
      </c>
      <c r="BR49" s="100" t="str">
        <f aca="false">IF($BL49&lt;&gt;Constants!$B$4,"",IF(NOT($AL49),0,Constants!$B$20*$BB49))</f>
        <v/>
      </c>
      <c r="BS49" s="100" t="str">
        <f aca="false">IF($BL49&lt;&gt;Constants!$B$4,"",IF(AND($AL49,$BD49,$BE49),Constants!$B$22,0))</f>
        <v/>
      </c>
      <c r="BT49" s="100" t="str">
        <f aca="false">IF($BL49&lt;&gt;Constants!$B$4,"",IF(OR(NOT($AL49),NOT($BD49)),0,IF($BJ49&gt;=2*$AH$9,0,Constants!$B$23*INT(ROUND(MIN($BJ49,$AH$9),6)))))</f>
        <v/>
      </c>
      <c r="BU49" s="100" t="str">
        <f aca="false">IF($BL49&lt;&gt;Constants!$B$4,"",IF(NOT($AL49),0,Constants!$B$24*INT(ROUND(MIN($BC49,$AH$9),6))))</f>
        <v/>
      </c>
      <c r="BV49" s="100" t="str">
        <f aca="false">IF($BL49&lt;&gt;Constants!$B$4,"",IF(AND($AL49,$BN49=0),Constants!$B$25,0))</f>
        <v/>
      </c>
      <c r="BW49" s="100" t="str">
        <f aca="false">IF($BL49&lt;&gt;Constants!$B$4,"",MIN(Constants!$B$29,MAX(0,Constants!$B$27*Constants!$B$28*INT(ROUND((Constants!$B$26-$AN49)/Constants!$B$28,6))))+MIN(Constants!$B$29,MAX(0,Constants!$B$27*Constants!$B$28*INT(ROUND((Constants!$B$26-$AO49)/Constants!$B$28,6))))+MIN(Constants!$B$29,MAX(0,Constants!$B$27*Constants!$B$28*INT(ROUND((Constants!$B$26-$AP49)/Constants!$B$28,6)))))</f>
        <v/>
      </c>
      <c r="BX49" s="100" t="str">
        <f aca="false">IF($BL49&lt;&gt;Constants!$B$4,"",IF(NOT($AL49),0,Constants!$B$31*INT(ROUND(MAX(0,MIN($BJ49,2*$AH$9)-$AH$9),6))))</f>
        <v/>
      </c>
      <c r="BY49" s="100" t="str">
        <f aca="false">IF($BL49&lt;&gt;Constants!$B$4,"",Constants!$B$32*(($AN49&gt;Constants!$B$26)+($AO49&gt;Constants!$B$26)+($AP49&gt;Constants!$B$26)))</f>
        <v/>
      </c>
      <c r="BZ49" s="100" t="str">
        <f aca="false">IF($BL49&lt;&gt;Constants!$B$4,"",IF(OR(NOT($AL49),$AQ49),0,Constants!$B$33))</f>
        <v/>
      </c>
      <c r="CA49" s="100" t="str">
        <f aca="false">IF($BL49&lt;&gt;Constants!$B$4,"",Constants!$B$34*$BN49)</f>
        <v/>
      </c>
      <c r="CB49" s="100" t="str">
        <f aca="false">IF($BL49&lt;&gt;Constants!$B$4,"",IF(OR(NOT($AL49),$BH49),0,Constants!$B$36))</f>
        <v/>
      </c>
      <c r="CC49" s="100" t="str">
        <f aca="false">IF($BL49&lt;&gt;Constants!$B$4,"",IF(OR(NOT($AL49),$BG49),0,Constants!$B$37))</f>
        <v/>
      </c>
      <c r="CD49" s="100" t="str">
        <f aca="false">IF($BL49&lt;&gt;Constants!$B$4,"",SUM($BX49:$CC49))</f>
        <v/>
      </c>
      <c r="CE49" s="100" t="str">
        <f aca="false">IF(ISBLANK($C49),"",IF($BL49&lt;&gt;Constants!$B$4,$BL49,SUM($BO49:$BW49)-$CD49))</f>
        <v/>
      </c>
      <c r="CF49" s="100" t="str">
        <f aca="false">IF(ISBLANK($C49),"",IF($BL49&lt;&gt;Constants!$B$4,$BL49,RANK($CE49,$CE$9:$CE$508)))</f>
        <v/>
      </c>
      <c r="CG49" s="100" t="str">
        <f aca="false">IF(ISBLANK($C49),"",IF($BL49&lt;&gt;Constants!$B$4,$BL49,COUNTIFS($BM$9:$BM$508,"&lt;"&amp;$BM49)+COUNTIFS($BM$9:$BM$508,$BM49,$CF$9:$CF$508,"&lt;"&amp;$CF49)+1))</f>
        <v/>
      </c>
      <c r="CH49" s="100" t="str">
        <f aca="false">IF(ISBLANK($C49),"",IF($BL49&lt;&gt;Constants!$B$4,$BL49,RANK($CD49,$CD$9:$CD$508,1)))</f>
        <v/>
      </c>
      <c r="CI49" s="100" t="str">
        <f aca="false">IF($BL49&lt;&gt;Constants!$B$4,"",$AN49+$AO49+$AP49)</f>
        <v/>
      </c>
      <c r="CJ49" s="100" t="str">
        <f aca="false">IF(ISBLANK($C49),"",IF($BL49&lt;&gt;Constants!$B$4,$BL49,RANK($CI49,$CI$9:$CI$508,1)))</f>
        <v/>
      </c>
      <c r="CK49" s="100" t="str">
        <f aca="false">IF(ISBLANK($C49),"",IF($BL49&lt;&gt;Constants!$B$4,$BL49,COUNTIFS($BM$9:$BM$508,"&lt;"&amp;$BM49)+COUNTIFS($BM$9:$BM$508,$BM49,$CF$9:$CF$508,"&lt;"&amp;$CF49)+COUNTIFS($BM$9:$BM$508,$BM49,$CF$9:$CF$508,$CF49,$CH$9:$CH$508,"&lt;"&amp;$CH49)+COUNTIFS($BM$9:$BM$508,$BM49,$CF$9:$CF$508,$CF49,$CH$9:$CH$508,$CH49,$CJ$9:$CJ$508,"&lt;"&amp;$CJ49)+1))</f>
        <v/>
      </c>
      <c r="CL49" s="100" t="str">
        <f aca="false">IF(ISBLANK($C49),"",IF($BL49&lt;&gt;Constants!$B$4,$BL49,$CG49-$CK49))</f>
        <v/>
      </c>
      <c r="CM49" s="100" t="str">
        <f aca="false">IF(ISBLANK($C49),"",IF(NOT($AL49),"",IF(ISBLANK($D$7),$CM$5,IF(NOT(ISNUMBER($D$7)),$CM$6,""))))</f>
        <v/>
      </c>
      <c r="CN49" s="100" t="str">
        <f aca="false">IF(ISBLANK($C49),"",OR($AN49="",$AO49="",$AP49=""))</f>
        <v/>
      </c>
      <c r="CO49" s="100" t="str">
        <f aca="false">IF(ISBLANK($C49),"",AND($AL49,$BA49=""))</f>
        <v/>
      </c>
      <c r="CP49" s="100" t="str">
        <f aca="false">IF(ISBLANK($C49),"",AND($AL49,$BB49=""))</f>
        <v/>
      </c>
      <c r="CQ49" s="100" t="str">
        <f aca="false">IF(ISBLANK($C49),"",AND($AL49,$BC49=""))</f>
        <v/>
      </c>
      <c r="CR49" s="100" t="str">
        <f aca="false">IF(ISBLANK($C49),"",AND($AL49,$BF49=""))</f>
        <v/>
      </c>
      <c r="CS49" s="100" t="str">
        <f aca="false">IF(ISBLANK($C49),"",AND($AL49,$BJ49=""))</f>
        <v/>
      </c>
      <c r="CT49" s="101"/>
      <c r="CU49" s="102"/>
      <c r="CV49" s="103" t="str">
        <f aca="false">IF(ISBLANK($C49),"",IF($BL49=Constants!$B$8,$CM49,""))</f>
        <v/>
      </c>
      <c r="CW49" s="102" t="str">
        <f aca="false">IF(ISBLANK($C49),"",IF($BL49&lt;&gt;Constants!$B$4,"",$BO49+$BP49))</f>
        <v/>
      </c>
      <c r="CX49" s="104" t="str">
        <f aca="false">IF(ISBLANK($C49),"",IF($BL49&lt;&gt;Constants!$B$4,"",$BQ49+$BR49+$BS49))</f>
        <v/>
      </c>
      <c r="CY49" s="104" t="str">
        <f aca="false">IF(ISBLANK($C49),"",IF($BL49&lt;&gt;Constants!$B$4,"",$BT49))</f>
        <v/>
      </c>
      <c r="CZ49" s="104" t="str">
        <f aca="false">IF(ISBLANK($C49),"",IF($BL49&lt;&gt;Constants!$B$4,"",$BU49+$BV49))</f>
        <v/>
      </c>
      <c r="DA49" s="104" t="str">
        <f aca="false">IF(ISBLANK($C49),"",IF($BL49&lt;&gt;Constants!$B$4,"",$BW49))</f>
        <v/>
      </c>
      <c r="DB49" s="104" t="str">
        <f aca="false">IF(ISBLANK($C49),"",IF($BL49&lt;&gt;Constants!$B$4,"",-$CD49))</f>
        <v/>
      </c>
      <c r="DC49" s="103" t="str">
        <f aca="false">IF(ISBLANK($C49),"",$CE49)</f>
        <v/>
      </c>
      <c r="DD49" s="105" t="str">
        <f aca="false">IF(ISBLANK($C49),"",$BM49)</f>
        <v/>
      </c>
      <c r="DE49" s="104" t="str">
        <f aca="false">IF(ISBLANK($C49),"",$CL49)</f>
        <v/>
      </c>
      <c r="DF49" s="104" t="str">
        <f aca="false">IF(ISBLANK($C49),"",$CK49)</f>
        <v/>
      </c>
      <c r="DG49" s="106" t="str">
        <f aca="false">IF(ISBLANK($C49),"",IF($DF49=Constants!$B$7,COUNTA($C$9:$C$508)+2,IF($DF49=Constants!$B$6,COUNTA($C$9:$C$508)+1,IF($DF49=Constants!$B$5,COUNTA($C$9:$C$508),$DF49))))</f>
        <v/>
      </c>
      <c r="DH49" s="7"/>
      <c r="DI49" s="107" t="n">
        <f aca="false">IF(OR(ISNUMBER($DF49),$DF49=Constants!$B$7,$DF49=Constants!$B$5,$DF49=Constants!$B$6),1,0)</f>
        <v>0</v>
      </c>
      <c r="DJ49" s="107" t="n">
        <v>41</v>
      </c>
      <c r="DK49" s="107" t="str">
        <f aca="false">IF(ISBLANK($C49),"",IF(ISNUMBER($DG49),$DG49+ROW($B49)/1000,""))</f>
        <v/>
      </c>
      <c r="DL49" s="107" t="str">
        <f aca="false">IF(ISNUMBER($DK49),RANK($DK49,$DK$9:$DK$508,1),"")</f>
        <v/>
      </c>
      <c r="DM49" s="107" t="str">
        <f aca="false">IF(ISBLANK($C49),"",$B49)</f>
        <v/>
      </c>
      <c r="DN49" s="107" t="str">
        <f aca="false">IF(ISBLANK($C49),"",$C49)</f>
        <v/>
      </c>
      <c r="DO49" s="107" t="str">
        <f aca="false">IF(ISBLANK($C49),"",$D49)</f>
        <v/>
      </c>
      <c r="DP49" s="108" t="str">
        <f aca="false">$DD49</f>
        <v/>
      </c>
      <c r="DQ49" s="109" t="str">
        <f aca="false">$DC49</f>
        <v/>
      </c>
      <c r="DR49" s="107" t="str">
        <f aca="false">IF(ISBLANK($C49),"",$DF49)</f>
        <v/>
      </c>
      <c r="DS49" s="110" t="str">
        <f aca="false">IF($DJ49&gt;$DI$8,"",VLOOKUP($DJ49,$DL$9:$DR$508,7,FALSE()))</f>
        <v/>
      </c>
      <c r="DT49" s="111" t="str">
        <f aca="false">IF($DJ49&gt;$DI$8,"",VLOOKUP($DJ49,$DL$9:$DR$508,2,FALSE()))</f>
        <v/>
      </c>
      <c r="DU49" s="111" t="str">
        <f aca="false">IF($DJ49&gt;$DI$8,"",VLOOKUP($DJ49,$DL$9:$DR$508,3,FALSE()))</f>
        <v/>
      </c>
      <c r="DV49" s="111" t="str">
        <f aca="false">IF($DJ49&gt;$DI$8,"",VLOOKUP($DJ49,$DL$9:$DR$508,4,FALSE()))</f>
        <v/>
      </c>
      <c r="DW49" s="111" t="str">
        <f aca="false">IF($DJ49&gt;$DI$8,"",VLOOKUP($DJ49,$DL$9:$DR$508,5,FALSE()))</f>
        <v/>
      </c>
      <c r="DX49" s="112" t="str">
        <f aca="false">IF($DJ49&gt;$DI$8,"",VLOOKUP($DJ49,$DL$9:$DR$508,6,FALSE()))</f>
        <v/>
      </c>
      <c r="DY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130"/>
      <c r="N50" s="130"/>
      <c r="O50" s="135"/>
      <c r="P50" s="135"/>
      <c r="Q50" s="130"/>
      <c r="R50" s="130"/>
      <c r="S50" s="130"/>
      <c r="T50" s="130"/>
      <c r="U50" s="135"/>
      <c r="V50" s="130"/>
      <c r="W50" s="96"/>
      <c r="X50" s="130"/>
      <c r="Y50" s="130"/>
      <c r="Z50" s="96"/>
      <c r="AA50" s="96"/>
      <c r="AB50" s="130"/>
      <c r="AC50" s="130"/>
      <c r="AD50" s="130"/>
      <c r="AE50" s="97"/>
      <c r="AF50" s="130"/>
      <c r="AG50" s="99"/>
      <c r="AH50" s="100"/>
      <c r="AI50" s="100"/>
      <c r="AJ50" s="100" t="str">
        <f aca="false">IF(ISBLANK($C50),"",IF($E50=Constants!$B$2,TRUE(),IF($E50=Constants!$B$3,FALSE(),TRUE())))</f>
        <v/>
      </c>
      <c r="AK50" s="100" t="str">
        <f aca="false">IF(ISBLANK($C50),"",IF($F50=Constants!$B$2,TRUE(),IF($F50=Constants!$B$3,FALSE(),FALSE())))</f>
        <v/>
      </c>
      <c r="AL50" s="100" t="str">
        <f aca="false">IF(ISBLANK($C50),"",IF($G50=Constants!$B$2,TRUE(),IF($G50=Constants!$B$3,FALSE(),TRUE())))</f>
        <v/>
      </c>
      <c r="AM50" s="100" t="str">
        <f aca="false">IF(ISBLANK($C50),"",IF($H50=Constants!$B$2,TRUE(),IF($H50=Constants!$B$3,FALSE(),TRUE())))</f>
        <v/>
      </c>
      <c r="AN50" s="100" t="str">
        <f aca="false">IF(ISBLANK($C50),"",IF(ISNUMBER($I50),IF($I50&gt;=0,$I50,""),""))</f>
        <v/>
      </c>
      <c r="AO50" s="100" t="str">
        <f aca="false">IF(ISBLANK($C50),"",IF(ISNUMBER($J50),IF($J50&gt;=0,$J50,""),""))</f>
        <v/>
      </c>
      <c r="AP50" s="100" t="str">
        <f aca="false">IF(ISBLANK($C50),"",IF(ISNUMBER($K50),IF($K50&gt;=0,$K50,""),""))</f>
        <v/>
      </c>
      <c r="AQ50" s="100" t="str">
        <f aca="false">IF(ISBLANK($C50),"",IF($L50=Constants!$B$2,TRUE(),IF($L50=Constants!$B$3,FALSE(),TRUE())))</f>
        <v/>
      </c>
      <c r="AR50" s="100" t="str">
        <f aca="false">IF(ISBLANK($C50),"",IF($M50=Constants!$B$2,TRUE(),IF($M50=Constants!$B$3,FALSE(),TRUE())))</f>
        <v/>
      </c>
      <c r="AS50" s="100" t="str">
        <f aca="false">IF(ISBLANK($C50),"",IF($N50=Constants!$B$2,TRUE(),IF($N50=Constants!$B$3,FALSE(),FALSE())))</f>
        <v/>
      </c>
      <c r="AT50" s="100" t="str">
        <f aca="false">IF(ISBLANK($C50),"",IF($O50=Constants!$B$2,TRUE(),IF($O50=Constants!$B$3,FALSE(),TRUE())))</f>
        <v/>
      </c>
      <c r="AU50" s="100" t="str">
        <f aca="false">IF(ISBLANK($C50),"",IF($P50=Constants!$B$2,TRUE(),IF($P50=Constants!$B$3,FALSE(),TRUE())))</f>
        <v/>
      </c>
      <c r="AV50" s="100" t="str">
        <f aca="false">IF(ISBLANK($C50),"",IF($Q50=Constants!$B$2,TRUE(),IF($Q50=Constants!$B$3,FALSE(),FALSE())))</f>
        <v/>
      </c>
      <c r="AW50" s="100" t="str">
        <f aca="false">IF(ISBLANK($C50),"",IF($R50=Constants!$B$2,TRUE(),IF($R50=Constants!$B$3,FALSE(),FALSE())))</f>
        <v/>
      </c>
      <c r="AX50" s="100" t="str">
        <f aca="false">IF(ISBLANK($C50),"",IF($S50=Constants!$B$2,TRUE(),IF($S50=Constants!$B$3,FALSE(),FALSE())))</f>
        <v/>
      </c>
      <c r="AY50" s="100" t="str">
        <f aca="false">IF(ISBLANK($C50),"",IF($T50=Constants!$B$2,TRUE(),IF($T50=Constants!$B$3,FALSE(),FALSE())))</f>
        <v/>
      </c>
      <c r="AZ50" s="100" t="str">
        <f aca="false">IF(ISBLANK($C50),"",IF($U50=Constants!$B$2,TRUE(),IF($U50=Constants!$B$3,FALSE(),FALSE())))</f>
        <v/>
      </c>
      <c r="BA50" s="100" t="str">
        <f aca="false">IF(ISBLANK($C50),"",IF(OR($V50&amp;""="1",$V50&amp;""="2",$V50&amp;""="3",$V50&amp;""="4"),VALUE($V50&amp;""),IF($V50=Constants!$B$12,Constants!$B$12,"")))</f>
        <v/>
      </c>
      <c r="BB50" s="100" t="str">
        <f aca="false">IF(ISBLANK($C50),"",IF(ISBLANK($W50),0,IF(ISNUMBER($W50),IF(AND($W50&gt;=0,$W50&lt;=Constants!$B$21,$W50=INT($W50)),$W50,""),"")))</f>
        <v/>
      </c>
      <c r="BC50" s="100" t="str">
        <f aca="false">IF(ISBLANK($C50),"",IF(ISBLANK($X50),0,IF(ISNUMBER($X50),IF($X50&gt;=0,$X50,""),"")))</f>
        <v/>
      </c>
      <c r="BD50" s="100" t="str">
        <f aca="false">IF(ISBLANK($C50),"",IF($Y50=Constants!$B$2,TRUE(),IF($Y50=Constants!$B$3,FALSE(),TRUE())))</f>
        <v/>
      </c>
      <c r="BE50" s="100" t="str">
        <f aca="false">IF(ISBLANK($C50),"",IF($Z50=Constants!$B$2,TRUE(),IF($Z50=Constants!$B$3,FALSE(),FALSE())))</f>
        <v/>
      </c>
      <c r="BF50" s="100" t="str">
        <f aca="false">IF(ISBLANK($C50),"",IF(ISBLANK($AA50),0,IF(ISNUMBER($AA50),IF(AND($AA50&gt;=0,$AA50&lt;=Constants!$B$35,$AA50=INT($AA50)),$AA50,""),"")))</f>
        <v/>
      </c>
      <c r="BG50" s="100" t="str">
        <f aca="false">IF(ISBLANK($C50),"",IF($AB50=Constants!$B$2,TRUE(),IF($AB50=Constants!$B$3,FALSE(),TRUE())))</f>
        <v/>
      </c>
      <c r="BH50" s="100" t="str">
        <f aca="false">IF(ISBLANK($C50),"",IF($AC50=Constants!$B$2,TRUE(),IF($AC50=Constants!$B$3,FALSE(),TRUE())))</f>
        <v/>
      </c>
      <c r="BI50" s="100" t="str">
        <f aca="false">IF(ISBLANK($C50),"",IF($AD50=Constants!$B$2,TRUE(),IF($AD50=Constants!$B$3,FALSE(),TRUE())))</f>
        <v/>
      </c>
      <c r="BJ50" s="100" t="str">
        <f aca="false">IF(ISBLANK($C50),"",IF(ISNUMBER($AE50),IF($AE50&gt;=0,$AE50,""),""))</f>
        <v/>
      </c>
      <c r="BK50" s="100" t="str">
        <f aca="false">IF(ISBLANK($C50),"",IF($AF50=Constants!$B$2,TRUE(),IF($AF50=Constants!$B$3,FALSE(),FALSE())))</f>
        <v/>
      </c>
      <c r="BL50" s="99" t="str">
        <f aca="false">IF(ISBLANK($C50),"",IF($BK50,Constants!$B$7,IF(COUNTA($E50:$AE50)=0,Constants!$B$6,IF(OR(COUNTA($G50:$AE50)=0,NOT($AM50),$AS50),Constants!$B$5,IF(OR($CM50&lt;&gt;"",$CN50,$CO50,$CP50,$CQ50,$CR50,$CS50),Constants!$B$8,Constants!$B$4)))))</f>
        <v/>
      </c>
      <c r="BM50" s="100" t="str">
        <f aca="false">IF(ISBLANK($C50),"",IF($BL50&lt;&gt;Constants!$B$4,$BL50,IF(OR(NOT($AJ50),NOT($AL50),NOT($AT50)),Constants!$B$11,IF(OR(NOT($AR50),NOT($AU50),NOT($BI50),MAX($AN50,$AO50,$AP50)&gt;Constants!$B$30),Constants!$B$10,Constants!$B$9))))</f>
        <v/>
      </c>
      <c r="BN50" s="100" t="str">
        <f aca="false">IF($BL50&lt;&gt;Constants!$B$4,"",IF(NOT($AL50),0,MIN(Constants!$B$35,$BF50)))</f>
        <v/>
      </c>
      <c r="BO50" s="100" t="str">
        <f aca="false">IF($BL50&lt;&gt;Constants!$B$4,"",IF(NOT($AL50),0,IF($AW50,Constants!$B$18,IF($AV50,Constants!$B$17,0))))</f>
        <v/>
      </c>
      <c r="BP50" s="100" t="str">
        <f aca="false">IF($BL50&lt;&gt;Constants!$B$4,"",IF(NOT($AL50),0,Constants!$B$19*($AK50+$AX50+$AY50+$AZ50)))</f>
        <v/>
      </c>
      <c r="BQ50" s="100" t="str">
        <f aca="false">IF($BL50&lt;&gt;Constants!$B$4,"",IF(OR(NOT($AL50),NOT(ISNUMBER($BA50))),0,CHOOSE($BA50,Constants!$B$13,Constants!$B$14,Constants!$B$15,Constants!$B$16)))</f>
        <v/>
      </c>
      <c r="BR50" s="100" t="str">
        <f aca="false">IF($BL50&lt;&gt;Constants!$B$4,"",IF(NOT($AL50),0,Constants!$B$20*$BB50))</f>
        <v/>
      </c>
      <c r="BS50" s="100" t="str">
        <f aca="false">IF($BL50&lt;&gt;Constants!$B$4,"",IF(AND($AL50,$BD50,$BE50),Constants!$B$22,0))</f>
        <v/>
      </c>
      <c r="BT50" s="100" t="str">
        <f aca="false">IF($BL50&lt;&gt;Constants!$B$4,"",IF(OR(NOT($AL50),NOT($BD50)),0,IF($BJ50&gt;=2*$AH$9,0,Constants!$B$23*INT(ROUND(MIN($BJ50,$AH$9),6)))))</f>
        <v/>
      </c>
      <c r="BU50" s="100" t="str">
        <f aca="false">IF($BL50&lt;&gt;Constants!$B$4,"",IF(NOT($AL50),0,Constants!$B$24*INT(ROUND(MIN($BC50,$AH$9),6))))</f>
        <v/>
      </c>
      <c r="BV50" s="100" t="str">
        <f aca="false">IF($BL50&lt;&gt;Constants!$B$4,"",IF(AND($AL50,$BN50=0),Constants!$B$25,0))</f>
        <v/>
      </c>
      <c r="BW50" s="100" t="str">
        <f aca="false">IF($BL50&lt;&gt;Constants!$B$4,"",MIN(Constants!$B$29,MAX(0,Constants!$B$27*Constants!$B$28*INT(ROUND((Constants!$B$26-$AN50)/Constants!$B$28,6))))+MIN(Constants!$B$29,MAX(0,Constants!$B$27*Constants!$B$28*INT(ROUND((Constants!$B$26-$AO50)/Constants!$B$28,6))))+MIN(Constants!$B$29,MAX(0,Constants!$B$27*Constants!$B$28*INT(ROUND((Constants!$B$26-$AP50)/Constants!$B$28,6)))))</f>
        <v/>
      </c>
      <c r="BX50" s="100" t="str">
        <f aca="false">IF($BL50&lt;&gt;Constants!$B$4,"",IF(NOT($AL50),0,Constants!$B$31*INT(ROUND(MAX(0,MIN($BJ50,2*$AH$9)-$AH$9),6))))</f>
        <v/>
      </c>
      <c r="BY50" s="100" t="str">
        <f aca="false">IF($BL50&lt;&gt;Constants!$B$4,"",Constants!$B$32*(($AN50&gt;Constants!$B$26)+($AO50&gt;Constants!$B$26)+($AP50&gt;Constants!$B$26)))</f>
        <v/>
      </c>
      <c r="BZ50" s="100" t="str">
        <f aca="false">IF($BL50&lt;&gt;Constants!$B$4,"",IF(OR(NOT($AL50),$AQ50),0,Constants!$B$33))</f>
        <v/>
      </c>
      <c r="CA50" s="100" t="str">
        <f aca="false">IF($BL50&lt;&gt;Constants!$B$4,"",Constants!$B$34*$BN50)</f>
        <v/>
      </c>
      <c r="CB50" s="100" t="str">
        <f aca="false">IF($BL50&lt;&gt;Constants!$B$4,"",IF(OR(NOT($AL50),$BH50),0,Constants!$B$36))</f>
        <v/>
      </c>
      <c r="CC50" s="100" t="str">
        <f aca="false">IF($BL50&lt;&gt;Constants!$B$4,"",IF(OR(NOT($AL50),$BG50),0,Constants!$B$37))</f>
        <v/>
      </c>
      <c r="CD50" s="100" t="str">
        <f aca="false">IF($BL50&lt;&gt;Constants!$B$4,"",SUM($BX50:$CC50))</f>
        <v/>
      </c>
      <c r="CE50" s="100" t="str">
        <f aca="false">IF(ISBLANK($C50),"",IF($BL50&lt;&gt;Constants!$B$4,$BL50,SUM($BO50:$BW50)-$CD50))</f>
        <v/>
      </c>
      <c r="CF50" s="100" t="str">
        <f aca="false">IF(ISBLANK($C50),"",IF($BL50&lt;&gt;Constants!$B$4,$BL50,RANK($CE50,$CE$9:$CE$508)))</f>
        <v/>
      </c>
      <c r="CG50" s="100" t="str">
        <f aca="false">IF(ISBLANK($C50),"",IF($BL50&lt;&gt;Constants!$B$4,$BL50,COUNTIFS($BM$9:$BM$508,"&lt;"&amp;$BM50)+COUNTIFS($BM$9:$BM$508,$BM50,$CF$9:$CF$508,"&lt;"&amp;$CF50)+1))</f>
        <v/>
      </c>
      <c r="CH50" s="100" t="str">
        <f aca="false">IF(ISBLANK($C50),"",IF($BL50&lt;&gt;Constants!$B$4,$BL50,RANK($CD50,$CD$9:$CD$508,1)))</f>
        <v/>
      </c>
      <c r="CI50" s="100" t="str">
        <f aca="false">IF($BL50&lt;&gt;Constants!$B$4,"",$AN50+$AO50+$AP50)</f>
        <v/>
      </c>
      <c r="CJ50" s="100" t="str">
        <f aca="false">IF(ISBLANK($C50),"",IF($BL50&lt;&gt;Constants!$B$4,$BL50,RANK($CI50,$CI$9:$CI$508,1)))</f>
        <v/>
      </c>
      <c r="CK50" s="100" t="str">
        <f aca="false">IF(ISBLANK($C50),"",IF($BL50&lt;&gt;Constants!$B$4,$BL50,COUNTIFS($BM$9:$BM$508,"&lt;"&amp;$BM50)+COUNTIFS($BM$9:$BM$508,$BM50,$CF$9:$CF$508,"&lt;"&amp;$CF50)+COUNTIFS($BM$9:$BM$508,$BM50,$CF$9:$CF$508,$CF50,$CH$9:$CH$508,"&lt;"&amp;$CH50)+COUNTIFS($BM$9:$BM$508,$BM50,$CF$9:$CF$508,$CF50,$CH$9:$CH$508,$CH50,$CJ$9:$CJ$508,"&lt;"&amp;$CJ50)+1))</f>
        <v/>
      </c>
      <c r="CL50" s="100" t="str">
        <f aca="false">IF(ISBLANK($C50),"",IF($BL50&lt;&gt;Constants!$B$4,$BL50,$CG50-$CK50))</f>
        <v/>
      </c>
      <c r="CM50" s="100" t="str">
        <f aca="false">IF(ISBLANK($C50),"",IF(NOT($AL50),"",IF(ISBLANK($D$7),$CM$5,IF(NOT(ISNUMBER($D$7)),$CM$6,""))))</f>
        <v/>
      </c>
      <c r="CN50" s="100" t="str">
        <f aca="false">IF(ISBLANK($C50),"",OR($AN50="",$AO50="",$AP50=""))</f>
        <v/>
      </c>
      <c r="CO50" s="100" t="str">
        <f aca="false">IF(ISBLANK($C50),"",AND($AL50,$BA50=""))</f>
        <v/>
      </c>
      <c r="CP50" s="100" t="str">
        <f aca="false">IF(ISBLANK($C50),"",AND($AL50,$BB50=""))</f>
        <v/>
      </c>
      <c r="CQ50" s="100" t="str">
        <f aca="false">IF(ISBLANK($C50),"",AND($AL50,$BC50=""))</f>
        <v/>
      </c>
      <c r="CR50" s="100" t="str">
        <f aca="false">IF(ISBLANK($C50),"",AND($AL50,$BF50=""))</f>
        <v/>
      </c>
      <c r="CS50" s="100" t="str">
        <f aca="false">IF(ISBLANK($C50),"",AND($AL50,$BJ50=""))</f>
        <v/>
      </c>
      <c r="CT50" s="101"/>
      <c r="CU50" s="102"/>
      <c r="CV50" s="103" t="str">
        <f aca="false">IF(ISBLANK($C50),"",IF($BL50=Constants!$B$8,$CM50,""))</f>
        <v/>
      </c>
      <c r="CW50" s="102" t="str">
        <f aca="false">IF(ISBLANK($C50),"",IF($BL50&lt;&gt;Constants!$B$4,"",$BO50+$BP50))</f>
        <v/>
      </c>
      <c r="CX50" s="104" t="str">
        <f aca="false">IF(ISBLANK($C50),"",IF($BL50&lt;&gt;Constants!$B$4,"",$BQ50+$BR50+$BS50))</f>
        <v/>
      </c>
      <c r="CY50" s="104" t="str">
        <f aca="false">IF(ISBLANK($C50),"",IF($BL50&lt;&gt;Constants!$B$4,"",$BT50))</f>
        <v/>
      </c>
      <c r="CZ50" s="104" t="str">
        <f aca="false">IF(ISBLANK($C50),"",IF($BL50&lt;&gt;Constants!$B$4,"",$BU50+$BV50))</f>
        <v/>
      </c>
      <c r="DA50" s="104" t="str">
        <f aca="false">IF(ISBLANK($C50),"",IF($BL50&lt;&gt;Constants!$B$4,"",$BW50))</f>
        <v/>
      </c>
      <c r="DB50" s="104" t="str">
        <f aca="false">IF(ISBLANK($C50),"",IF($BL50&lt;&gt;Constants!$B$4,"",-$CD50))</f>
        <v/>
      </c>
      <c r="DC50" s="103" t="str">
        <f aca="false">IF(ISBLANK($C50),"",$CE50)</f>
        <v/>
      </c>
      <c r="DD50" s="105" t="str">
        <f aca="false">IF(ISBLANK($C50),"",$BM50)</f>
        <v/>
      </c>
      <c r="DE50" s="104" t="str">
        <f aca="false">IF(ISBLANK($C50),"",$CL50)</f>
        <v/>
      </c>
      <c r="DF50" s="104" t="str">
        <f aca="false">IF(ISBLANK($C50),"",$CK50)</f>
        <v/>
      </c>
      <c r="DG50" s="106" t="str">
        <f aca="false">IF(ISBLANK($C50),"",IF($DF50=Constants!$B$7,COUNTA($C$9:$C$508)+2,IF($DF50=Constants!$B$6,COUNTA($C$9:$C$508)+1,IF($DF50=Constants!$B$5,COUNTA($C$9:$C$508),$DF50))))</f>
        <v/>
      </c>
      <c r="DH50" s="7"/>
      <c r="DI50" s="107" t="n">
        <f aca="false">IF(OR(ISNUMBER($DF50),$DF50=Constants!$B$7,$DF50=Constants!$B$5,$DF50=Constants!$B$6),1,0)</f>
        <v>0</v>
      </c>
      <c r="DJ50" s="107" t="n">
        <v>42</v>
      </c>
      <c r="DK50" s="107" t="str">
        <f aca="false">IF(ISBLANK($C50),"",IF(ISNUMBER($DG50),$DG50+ROW($B50)/1000,""))</f>
        <v/>
      </c>
      <c r="DL50" s="107" t="str">
        <f aca="false">IF(ISNUMBER($DK50),RANK($DK50,$DK$9:$DK$508,1),"")</f>
        <v/>
      </c>
      <c r="DM50" s="107" t="str">
        <f aca="false">IF(ISBLANK($C50),"",$B50)</f>
        <v/>
      </c>
      <c r="DN50" s="107" t="str">
        <f aca="false">IF(ISBLANK($C50),"",$C50)</f>
        <v/>
      </c>
      <c r="DO50" s="107" t="str">
        <f aca="false">IF(ISBLANK($C50),"",$D50)</f>
        <v/>
      </c>
      <c r="DP50" s="108" t="str">
        <f aca="false">$DD50</f>
        <v/>
      </c>
      <c r="DQ50" s="109" t="str">
        <f aca="false">$DC50</f>
        <v/>
      </c>
      <c r="DR50" s="107" t="str">
        <f aca="false">IF(ISBLANK($C50),"",$DF50)</f>
        <v/>
      </c>
      <c r="DS50" s="110" t="str">
        <f aca="false">IF($DJ50&gt;$DI$8,"",VLOOKUP($DJ50,$DL$9:$DR$508,7,FALSE()))</f>
        <v/>
      </c>
      <c r="DT50" s="111" t="str">
        <f aca="false">IF($DJ50&gt;$DI$8,"",VLOOKUP($DJ50,$DL$9:$DR$508,2,FALSE()))</f>
        <v/>
      </c>
      <c r="DU50" s="111" t="str">
        <f aca="false">IF($DJ50&gt;$DI$8,"",VLOOKUP($DJ50,$DL$9:$DR$508,3,FALSE()))</f>
        <v/>
      </c>
      <c r="DV50" s="111" t="str">
        <f aca="false">IF($DJ50&gt;$DI$8,"",VLOOKUP($DJ50,$DL$9:$DR$508,4,FALSE()))</f>
        <v/>
      </c>
      <c r="DW50" s="111" t="str">
        <f aca="false">IF($DJ50&gt;$DI$8,"",VLOOKUP($DJ50,$DL$9:$DR$508,5,FALSE()))</f>
        <v/>
      </c>
      <c r="DX50" s="112" t="str">
        <f aca="false">IF($DJ50&gt;$DI$8,"",VLOOKUP($DJ50,$DL$9:$DR$508,6,FALSE()))</f>
        <v/>
      </c>
      <c r="DY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2"/>
      <c r="N51" s="122"/>
      <c r="O51" s="66"/>
      <c r="P51" s="66"/>
      <c r="Q51" s="122"/>
      <c r="R51" s="122"/>
      <c r="S51" s="122"/>
      <c r="T51" s="122"/>
      <c r="U51" s="66"/>
      <c r="V51" s="122"/>
      <c r="W51" s="120"/>
      <c r="X51" s="122"/>
      <c r="Y51" s="122"/>
      <c r="Z51" s="120"/>
      <c r="AA51" s="120"/>
      <c r="AB51" s="122"/>
      <c r="AC51" s="122"/>
      <c r="AD51" s="122"/>
      <c r="AE51" s="121"/>
      <c r="AF51" s="122"/>
      <c r="AG51" s="73"/>
      <c r="AH51" s="74"/>
      <c r="AI51" s="74"/>
      <c r="AJ51" s="74" t="str">
        <f aca="false">IF(ISBLANK($C51),"",IF($E51=Constants!$B$2,TRUE(),IF($E51=Constants!$B$3,FALSE(),TRUE())))</f>
        <v/>
      </c>
      <c r="AK51" s="74" t="str">
        <f aca="false">IF(ISBLANK($C51),"",IF($F51=Constants!$B$2,TRUE(),IF($F51=Constants!$B$3,FALSE(),FALSE())))</f>
        <v/>
      </c>
      <c r="AL51" s="74" t="str">
        <f aca="false">IF(ISBLANK($C51),"",IF($G51=Constants!$B$2,TRUE(),IF($G51=Constants!$B$3,FALSE(),TRUE())))</f>
        <v/>
      </c>
      <c r="AM51" s="74" t="str">
        <f aca="false">IF(ISBLANK($C51),"",IF($H51=Constants!$B$2,TRUE(),IF($H51=Constants!$B$3,FALSE(),TRUE())))</f>
        <v/>
      </c>
      <c r="AN51" s="74" t="str">
        <f aca="false">IF(ISBLANK($C51),"",IF(ISNUMBER($I51),IF($I51&gt;=0,$I51,""),""))</f>
        <v/>
      </c>
      <c r="AO51" s="74" t="str">
        <f aca="false">IF(ISBLANK($C51),"",IF(ISNUMBER($J51),IF($J51&gt;=0,$J51,""),""))</f>
        <v/>
      </c>
      <c r="AP51" s="74" t="str">
        <f aca="false">IF(ISBLANK($C51),"",IF(ISNUMBER($K51),IF($K51&gt;=0,$K51,""),""))</f>
        <v/>
      </c>
      <c r="AQ51" s="74" t="str">
        <f aca="false">IF(ISBLANK($C51),"",IF($L51=Constants!$B$2,TRUE(),IF($L51=Constants!$B$3,FALSE(),TRUE())))</f>
        <v/>
      </c>
      <c r="AR51" s="74" t="str">
        <f aca="false">IF(ISBLANK($C51),"",IF($M51=Constants!$B$2,TRUE(),IF($M51=Constants!$B$3,FALSE(),TRUE())))</f>
        <v/>
      </c>
      <c r="AS51" s="74" t="str">
        <f aca="false">IF(ISBLANK($C51),"",IF($N51=Constants!$B$2,TRUE(),IF($N51=Constants!$B$3,FALSE(),FALSE())))</f>
        <v/>
      </c>
      <c r="AT51" s="74" t="str">
        <f aca="false">IF(ISBLANK($C51),"",IF($O51=Constants!$B$2,TRUE(),IF($O51=Constants!$B$3,FALSE(),TRUE())))</f>
        <v/>
      </c>
      <c r="AU51" s="74" t="str">
        <f aca="false">IF(ISBLANK($C51),"",IF($P51=Constants!$B$2,TRUE(),IF($P51=Constants!$B$3,FALSE(),TRUE())))</f>
        <v/>
      </c>
      <c r="AV51" s="74" t="str">
        <f aca="false">IF(ISBLANK($C51),"",IF($Q51=Constants!$B$2,TRUE(),IF($Q51=Constants!$B$3,FALSE(),FALSE())))</f>
        <v/>
      </c>
      <c r="AW51" s="74" t="str">
        <f aca="false">IF(ISBLANK($C51),"",IF($R51=Constants!$B$2,TRUE(),IF($R51=Constants!$B$3,FALSE(),FALSE())))</f>
        <v/>
      </c>
      <c r="AX51" s="74" t="str">
        <f aca="false">IF(ISBLANK($C51),"",IF($S51=Constants!$B$2,TRUE(),IF($S51=Constants!$B$3,FALSE(),FALSE())))</f>
        <v/>
      </c>
      <c r="AY51" s="74" t="str">
        <f aca="false">IF(ISBLANK($C51),"",IF($T51=Constants!$B$2,TRUE(),IF($T51=Constants!$B$3,FALSE(),FALSE())))</f>
        <v/>
      </c>
      <c r="AZ51" s="74" t="str">
        <f aca="false">IF(ISBLANK($C51),"",IF($U51=Constants!$B$2,TRUE(),IF($U51=Constants!$B$3,FALSE(),FALSE())))</f>
        <v/>
      </c>
      <c r="BA51" s="74" t="str">
        <f aca="false">IF(ISBLANK($C51),"",IF(OR($V51&amp;""="1",$V51&amp;""="2",$V51&amp;""="3",$V51&amp;""="4"),VALUE($V51&amp;""),IF($V51=Constants!$B$12,Constants!$B$12,"")))</f>
        <v/>
      </c>
      <c r="BB51" s="74" t="str">
        <f aca="false">IF(ISBLANK($C51),"",IF(ISBLANK($W51),0,IF(ISNUMBER($W51),IF(AND($W51&gt;=0,$W51&lt;=Constants!$B$21,$W51=INT($W51)),$W51,""),"")))</f>
        <v/>
      </c>
      <c r="BC51" s="74" t="str">
        <f aca="false">IF(ISBLANK($C51),"",IF(ISBLANK($X51),0,IF(ISNUMBER($X51),IF($X51&gt;=0,$X51,""),"")))</f>
        <v/>
      </c>
      <c r="BD51" s="74" t="str">
        <f aca="false">IF(ISBLANK($C51),"",IF($Y51=Constants!$B$2,TRUE(),IF($Y51=Constants!$B$3,FALSE(),TRUE())))</f>
        <v/>
      </c>
      <c r="BE51" s="74" t="str">
        <f aca="false">IF(ISBLANK($C51),"",IF($Z51=Constants!$B$2,TRUE(),IF($Z51=Constants!$B$3,FALSE(),FALSE())))</f>
        <v/>
      </c>
      <c r="BF51" s="74" t="str">
        <f aca="false">IF(ISBLANK($C51),"",IF(ISBLANK($AA51),0,IF(ISNUMBER($AA51),IF(AND($AA51&gt;=0,$AA51&lt;=Constants!$B$35,$AA51=INT($AA51)),$AA51,""),"")))</f>
        <v/>
      </c>
      <c r="BG51" s="74" t="str">
        <f aca="false">IF(ISBLANK($C51),"",IF($AB51=Constants!$B$2,TRUE(),IF($AB51=Constants!$B$3,FALSE(),TRUE())))</f>
        <v/>
      </c>
      <c r="BH51" s="74" t="str">
        <f aca="false">IF(ISBLANK($C51),"",IF($AC51=Constants!$B$2,TRUE(),IF($AC51=Constants!$B$3,FALSE(),TRUE())))</f>
        <v/>
      </c>
      <c r="BI51" s="74" t="str">
        <f aca="false">IF(ISBLANK($C51),"",IF($AD51=Constants!$B$2,TRUE(),IF($AD51=Constants!$B$3,FALSE(),TRUE())))</f>
        <v/>
      </c>
      <c r="BJ51" s="74" t="str">
        <f aca="false">IF(ISBLANK($C51),"",IF(ISNUMBER($AE51),IF($AE51&gt;=0,$AE51,""),""))</f>
        <v/>
      </c>
      <c r="BK51" s="74" t="str">
        <f aca="false">IF(ISBLANK($C51),"",IF($AF51=Constants!$B$2,TRUE(),IF($AF51=Constants!$B$3,FALSE(),FALSE())))</f>
        <v/>
      </c>
      <c r="BL51" s="73" t="str">
        <f aca="false">IF(ISBLANK($C51),"",IF($BK51,Constants!$B$7,IF(COUNTA($E51:$AE51)=0,Constants!$B$6,IF(OR(COUNTA($G51:$AE51)=0,NOT($AM51),$AS51),Constants!$B$5,IF(OR($CM51&lt;&gt;"",$CN51,$CO51,$CP51,$CQ51,$CR51,$CS51),Constants!$B$8,Constants!$B$4)))))</f>
        <v/>
      </c>
      <c r="BM51" s="74" t="str">
        <f aca="false">IF(ISBLANK($C51),"",IF($BL51&lt;&gt;Constants!$B$4,$BL51,IF(OR(NOT($AJ51),NOT($AL51),NOT($AT51)),Constants!$B$11,IF(OR(NOT($AR51),NOT($AU51),NOT($BI51),MAX($AN51,$AO51,$AP51)&gt;Constants!$B$30),Constants!$B$10,Constants!$B$9))))</f>
        <v/>
      </c>
      <c r="BN51" s="74" t="str">
        <f aca="false">IF($BL51&lt;&gt;Constants!$B$4,"",IF(NOT($AL51),0,MIN(Constants!$B$35,$BF51)))</f>
        <v/>
      </c>
      <c r="BO51" s="74" t="str">
        <f aca="false">IF($BL51&lt;&gt;Constants!$B$4,"",IF(NOT($AL51),0,IF($AW51,Constants!$B$18,IF($AV51,Constants!$B$17,0))))</f>
        <v/>
      </c>
      <c r="BP51" s="74" t="str">
        <f aca="false">IF($BL51&lt;&gt;Constants!$B$4,"",IF(NOT($AL51),0,Constants!$B$19*($AK51+$AX51+$AY51+$AZ51)))</f>
        <v/>
      </c>
      <c r="BQ51" s="74" t="str">
        <f aca="false">IF($BL51&lt;&gt;Constants!$B$4,"",IF(OR(NOT($AL51),NOT(ISNUMBER($BA51))),0,CHOOSE($BA51,Constants!$B$13,Constants!$B$14,Constants!$B$15,Constants!$B$16)))</f>
        <v/>
      </c>
      <c r="BR51" s="74" t="str">
        <f aca="false">IF($BL51&lt;&gt;Constants!$B$4,"",IF(NOT($AL51),0,Constants!$B$20*$BB51))</f>
        <v/>
      </c>
      <c r="BS51" s="74" t="str">
        <f aca="false">IF($BL51&lt;&gt;Constants!$B$4,"",IF(AND($AL51,$BD51,$BE51),Constants!$B$22,0))</f>
        <v/>
      </c>
      <c r="BT51" s="74" t="str">
        <f aca="false">IF($BL51&lt;&gt;Constants!$B$4,"",IF(OR(NOT($AL51),NOT($BD51)),0,IF($BJ51&gt;=2*$AH$9,0,Constants!$B$23*INT(ROUND(MIN($BJ51,$AH$9),6)))))</f>
        <v/>
      </c>
      <c r="BU51" s="74" t="str">
        <f aca="false">IF($BL51&lt;&gt;Constants!$B$4,"",IF(NOT($AL51),0,Constants!$B$24*INT(ROUND(MIN($BC51,$AH$9),6))))</f>
        <v/>
      </c>
      <c r="BV51" s="74" t="str">
        <f aca="false">IF($BL51&lt;&gt;Constants!$B$4,"",IF(AND($AL51,$BN51=0),Constants!$B$25,0))</f>
        <v/>
      </c>
      <c r="BW51" s="74" t="str">
        <f aca="false">IF($BL51&lt;&gt;Constants!$B$4,"",MIN(Constants!$B$29,MAX(0,Constants!$B$27*Constants!$B$28*INT(ROUND((Constants!$B$26-$AN51)/Constants!$B$28,6))))+MIN(Constants!$B$29,MAX(0,Constants!$B$27*Constants!$B$28*INT(ROUND((Constants!$B$26-$AO51)/Constants!$B$28,6))))+MIN(Constants!$B$29,MAX(0,Constants!$B$27*Constants!$B$28*INT(ROUND((Constants!$B$26-$AP51)/Constants!$B$28,6)))))</f>
        <v/>
      </c>
      <c r="BX51" s="74" t="str">
        <f aca="false">IF($BL51&lt;&gt;Constants!$B$4,"",IF(NOT($AL51),0,Constants!$B$31*INT(ROUND(MAX(0,MIN($BJ51,2*$AH$9)-$AH$9),6))))</f>
        <v/>
      </c>
      <c r="BY51" s="74" t="str">
        <f aca="false">IF($BL51&lt;&gt;Constants!$B$4,"",Constants!$B$32*(($AN51&gt;Constants!$B$26)+($AO51&gt;Constants!$B$26)+($AP51&gt;Constants!$B$26)))</f>
        <v/>
      </c>
      <c r="BZ51" s="74" t="str">
        <f aca="false">IF($BL51&lt;&gt;Constants!$B$4,"",IF(OR(NOT($AL51),$AQ51),0,Constants!$B$33))</f>
        <v/>
      </c>
      <c r="CA51" s="74" t="str">
        <f aca="false">IF($BL51&lt;&gt;Constants!$B$4,"",Constants!$B$34*$BN51)</f>
        <v/>
      </c>
      <c r="CB51" s="74" t="str">
        <f aca="false">IF($BL51&lt;&gt;Constants!$B$4,"",IF(OR(NOT($AL51),$BH51),0,Constants!$B$36))</f>
        <v/>
      </c>
      <c r="CC51" s="74" t="str">
        <f aca="false">IF($BL51&lt;&gt;Constants!$B$4,"",IF(OR(NOT($AL51),$BG51),0,Constants!$B$37))</f>
        <v/>
      </c>
      <c r="CD51" s="74" t="str">
        <f aca="false">IF($BL51&lt;&gt;Constants!$B$4,"",SUM($BX51:$CC51))</f>
        <v/>
      </c>
      <c r="CE51" s="74" t="str">
        <f aca="false">IF(ISBLANK($C51),"",IF($BL51&lt;&gt;Constants!$B$4,$BL51,SUM($BO51:$BW51)-$CD51))</f>
        <v/>
      </c>
      <c r="CF51" s="74" t="str">
        <f aca="false">IF(ISBLANK($C51),"",IF($BL51&lt;&gt;Constants!$B$4,$BL51,RANK($CE51,$CE$9:$CE$508)))</f>
        <v/>
      </c>
      <c r="CG51" s="74" t="str">
        <f aca="false">IF(ISBLANK($C51),"",IF($BL51&lt;&gt;Constants!$B$4,$BL51,COUNTIFS($BM$9:$BM$508,"&lt;"&amp;$BM51)+COUNTIFS($BM$9:$BM$508,$BM51,$CF$9:$CF$508,"&lt;"&amp;$CF51)+1))</f>
        <v/>
      </c>
      <c r="CH51" s="74" t="str">
        <f aca="false">IF(ISBLANK($C51),"",IF($BL51&lt;&gt;Constants!$B$4,$BL51,RANK($CD51,$CD$9:$CD$508,1)))</f>
        <v/>
      </c>
      <c r="CI51" s="74" t="str">
        <f aca="false">IF($BL51&lt;&gt;Constants!$B$4,"",$AN51+$AO51+$AP51)</f>
        <v/>
      </c>
      <c r="CJ51" s="74" t="str">
        <f aca="false">IF(ISBLANK($C51),"",IF($BL51&lt;&gt;Constants!$B$4,$BL51,RANK($CI51,$CI$9:$CI$508,1)))</f>
        <v/>
      </c>
      <c r="CK51" s="74" t="str">
        <f aca="false">IF(ISBLANK($C51),"",IF($BL51&lt;&gt;Constants!$B$4,$BL51,COUNTIFS($BM$9:$BM$508,"&lt;"&amp;$BM51)+COUNTIFS($BM$9:$BM$508,$BM51,$CF$9:$CF$508,"&lt;"&amp;$CF51)+COUNTIFS($BM$9:$BM$508,$BM51,$CF$9:$CF$508,$CF51,$CH$9:$CH$508,"&lt;"&amp;$CH51)+COUNTIFS($BM$9:$BM$508,$BM51,$CF$9:$CF$508,$CF51,$CH$9:$CH$508,$CH51,$CJ$9:$CJ$508,"&lt;"&amp;$CJ51)+1))</f>
        <v/>
      </c>
      <c r="CL51" s="74" t="str">
        <f aca="false">IF(ISBLANK($C51),"",IF($BL51&lt;&gt;Constants!$B$4,$BL51,$CG51-$CK51))</f>
        <v/>
      </c>
      <c r="CM51" s="74" t="str">
        <f aca="false">IF(ISBLANK($C51),"",IF(NOT($AL51),"",IF(ISBLANK($D$7),$CM$5,IF(NOT(ISNUMBER($D$7)),$CM$6,""))))</f>
        <v/>
      </c>
      <c r="CN51" s="74" t="str">
        <f aca="false">IF(ISBLANK($C51),"",OR($AN51="",$AO51="",$AP51=""))</f>
        <v/>
      </c>
      <c r="CO51" s="74" t="str">
        <f aca="false">IF(ISBLANK($C51),"",AND($AL51,$BA51=""))</f>
        <v/>
      </c>
      <c r="CP51" s="74" t="str">
        <f aca="false">IF(ISBLANK($C51),"",AND($AL51,$BB51=""))</f>
        <v/>
      </c>
      <c r="CQ51" s="74" t="str">
        <f aca="false">IF(ISBLANK($C51),"",AND($AL51,$BC51=""))</f>
        <v/>
      </c>
      <c r="CR51" s="74" t="str">
        <f aca="false">IF(ISBLANK($C51),"",AND($AL51,$BF51=""))</f>
        <v/>
      </c>
      <c r="CS51" s="74" t="str">
        <f aca="false">IF(ISBLANK($C51),"",AND($AL51,$BJ51=""))</f>
        <v/>
      </c>
      <c r="CT51" s="75"/>
      <c r="CU51" s="76"/>
      <c r="CV51" s="79" t="str">
        <f aca="false">IF(ISBLANK($C51),"",IF($BL51=Constants!$B$8,$CM51,""))</f>
        <v/>
      </c>
      <c r="CW51" s="76" t="str">
        <f aca="false">IF(ISBLANK($C51),"",IF($BL51&lt;&gt;Constants!$B$4,"",$BO51+$BP51))</f>
        <v/>
      </c>
      <c r="CX51" s="78" t="str">
        <f aca="false">IF(ISBLANK($C51),"",IF($BL51&lt;&gt;Constants!$B$4,"",$BQ51+$BR51+$BS51))</f>
        <v/>
      </c>
      <c r="CY51" s="78" t="str">
        <f aca="false">IF(ISBLANK($C51),"",IF($BL51&lt;&gt;Constants!$B$4,"",$BT51))</f>
        <v/>
      </c>
      <c r="CZ51" s="78" t="str">
        <f aca="false">IF(ISBLANK($C51),"",IF($BL51&lt;&gt;Constants!$B$4,"",$BU51+$BV51))</f>
        <v/>
      </c>
      <c r="DA51" s="78" t="str">
        <f aca="false">IF(ISBLANK($C51),"",IF($BL51&lt;&gt;Constants!$B$4,"",$BW51))</f>
        <v/>
      </c>
      <c r="DB51" s="78" t="str">
        <f aca="false">IF(ISBLANK($C51),"",IF($BL51&lt;&gt;Constants!$B$4,"",-$CD51))</f>
        <v/>
      </c>
      <c r="DC51" s="79" t="str">
        <f aca="false">IF(ISBLANK($C51),"",$CE51)</f>
        <v/>
      </c>
      <c r="DD51" s="80" t="str">
        <f aca="false">IF(ISBLANK($C51),"",$BM51)</f>
        <v/>
      </c>
      <c r="DE51" s="78" t="str">
        <f aca="false">IF(ISBLANK($C51),"",$CL51)</f>
        <v/>
      </c>
      <c r="DF51" s="78" t="str">
        <f aca="false">IF(ISBLANK($C51),"",$CK51)</f>
        <v/>
      </c>
      <c r="DG51" s="81" t="str">
        <f aca="false">IF(ISBLANK($C51),"",IF($DF51=Constants!$B$7,COUNTA($C$9:$C$508)+2,IF($DF51=Constants!$B$6,COUNTA($C$9:$C$508)+1,IF($DF51=Constants!$B$5,COUNTA($C$9:$C$508),$DF51))))</f>
        <v/>
      </c>
      <c r="DH51" s="7"/>
      <c r="DI51" s="82" t="n">
        <f aca="false">IF(OR(ISNUMBER($DF51),$DF51=Constants!$B$7,$DF51=Constants!$B$5,$DF51=Constants!$B$6),1,0)</f>
        <v>0</v>
      </c>
      <c r="DJ51" s="82" t="n">
        <v>43</v>
      </c>
      <c r="DK51" s="82" t="str">
        <f aca="false">IF(ISBLANK($C51),"",IF(ISNUMBER($DG51),$DG51+ROW($B51)/1000,""))</f>
        <v/>
      </c>
      <c r="DL51" s="82" t="str">
        <f aca="false">IF(ISNUMBER($DK51),RANK($DK51,$DK$9:$DK$508,1),"")</f>
        <v/>
      </c>
      <c r="DM51" s="82" t="str">
        <f aca="false">IF(ISBLANK($C51),"",$B51)</f>
        <v/>
      </c>
      <c r="DN51" s="82" t="str">
        <f aca="false">IF(ISBLANK($C51),"",$C51)</f>
        <v/>
      </c>
      <c r="DO51" s="82" t="str">
        <f aca="false">IF(ISBLANK($C51),"",$D51)</f>
        <v/>
      </c>
      <c r="DP51" s="83" t="str">
        <f aca="false">$DD51</f>
        <v/>
      </c>
      <c r="DQ51" s="84" t="str">
        <f aca="false">$DC51</f>
        <v/>
      </c>
      <c r="DR51" s="82" t="str">
        <f aca="false">IF(ISBLANK($C51),"",$DF51)</f>
        <v/>
      </c>
      <c r="DS51" s="85" t="str">
        <f aca="false">IF($DJ51&gt;$DI$8,"",VLOOKUP($DJ51,$DL$9:$DR$508,7,FALSE()))</f>
        <v/>
      </c>
      <c r="DT51" s="86" t="str">
        <f aca="false">IF($DJ51&gt;$DI$8,"",VLOOKUP($DJ51,$DL$9:$DR$508,2,FALSE()))</f>
        <v/>
      </c>
      <c r="DU51" s="86" t="str">
        <f aca="false">IF($DJ51&gt;$DI$8,"",VLOOKUP($DJ51,$DL$9:$DR$508,3,FALSE()))</f>
        <v/>
      </c>
      <c r="DV51" s="86" t="str">
        <f aca="false">IF($DJ51&gt;$DI$8,"",VLOOKUP($DJ51,$DL$9:$DR$508,4,FALSE()))</f>
        <v/>
      </c>
      <c r="DW51" s="86" t="str">
        <f aca="false">IF($DJ51&gt;$DI$8,"",VLOOKUP($DJ51,$DL$9:$DR$508,5,FALSE()))</f>
        <v/>
      </c>
      <c r="DX51" s="87" t="str">
        <f aca="false">IF($DJ51&gt;$DI$8,"",VLOOKUP($DJ51,$DL$9:$DR$508,6,FALSE()))</f>
        <v/>
      </c>
      <c r="DY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88"/>
      <c r="N52" s="88"/>
      <c r="O52" s="134"/>
      <c r="P52" s="134"/>
      <c r="Q52" s="88"/>
      <c r="R52" s="88"/>
      <c r="S52" s="88"/>
      <c r="T52" s="88"/>
      <c r="U52" s="134"/>
      <c r="V52" s="88"/>
      <c r="W52" s="70"/>
      <c r="X52" s="88"/>
      <c r="Y52" s="88"/>
      <c r="Z52" s="70"/>
      <c r="AA52" s="70"/>
      <c r="AB52" s="88"/>
      <c r="AC52" s="88"/>
      <c r="AD52" s="88"/>
      <c r="AE52" s="71"/>
      <c r="AF52" s="88"/>
      <c r="AG52" s="73"/>
      <c r="AH52" s="74"/>
      <c r="AI52" s="74"/>
      <c r="AJ52" s="74" t="str">
        <f aca="false">IF(ISBLANK($C52),"",IF($E52=Constants!$B$2,TRUE(),IF($E52=Constants!$B$3,FALSE(),TRUE())))</f>
        <v/>
      </c>
      <c r="AK52" s="74" t="str">
        <f aca="false">IF(ISBLANK($C52),"",IF($F52=Constants!$B$2,TRUE(),IF($F52=Constants!$B$3,FALSE(),FALSE())))</f>
        <v/>
      </c>
      <c r="AL52" s="74" t="str">
        <f aca="false">IF(ISBLANK($C52),"",IF($G52=Constants!$B$2,TRUE(),IF($G52=Constants!$B$3,FALSE(),TRUE())))</f>
        <v/>
      </c>
      <c r="AM52" s="74" t="str">
        <f aca="false">IF(ISBLANK($C52),"",IF($H52=Constants!$B$2,TRUE(),IF($H52=Constants!$B$3,FALSE(),TRUE())))</f>
        <v/>
      </c>
      <c r="AN52" s="74" t="str">
        <f aca="false">IF(ISBLANK($C52),"",IF(ISNUMBER($I52),IF($I52&gt;=0,$I52,""),""))</f>
        <v/>
      </c>
      <c r="AO52" s="74" t="str">
        <f aca="false">IF(ISBLANK($C52),"",IF(ISNUMBER($J52),IF($J52&gt;=0,$J52,""),""))</f>
        <v/>
      </c>
      <c r="AP52" s="74" t="str">
        <f aca="false">IF(ISBLANK($C52),"",IF(ISNUMBER($K52),IF($K52&gt;=0,$K52,""),""))</f>
        <v/>
      </c>
      <c r="AQ52" s="74" t="str">
        <f aca="false">IF(ISBLANK($C52),"",IF($L52=Constants!$B$2,TRUE(),IF($L52=Constants!$B$3,FALSE(),TRUE())))</f>
        <v/>
      </c>
      <c r="AR52" s="74" t="str">
        <f aca="false">IF(ISBLANK($C52),"",IF($M52=Constants!$B$2,TRUE(),IF($M52=Constants!$B$3,FALSE(),TRUE())))</f>
        <v/>
      </c>
      <c r="AS52" s="74" t="str">
        <f aca="false">IF(ISBLANK($C52),"",IF($N52=Constants!$B$2,TRUE(),IF($N52=Constants!$B$3,FALSE(),FALSE())))</f>
        <v/>
      </c>
      <c r="AT52" s="74" t="str">
        <f aca="false">IF(ISBLANK($C52),"",IF($O52=Constants!$B$2,TRUE(),IF($O52=Constants!$B$3,FALSE(),TRUE())))</f>
        <v/>
      </c>
      <c r="AU52" s="74" t="str">
        <f aca="false">IF(ISBLANK($C52),"",IF($P52=Constants!$B$2,TRUE(),IF($P52=Constants!$B$3,FALSE(),TRUE())))</f>
        <v/>
      </c>
      <c r="AV52" s="74" t="str">
        <f aca="false">IF(ISBLANK($C52),"",IF($Q52=Constants!$B$2,TRUE(),IF($Q52=Constants!$B$3,FALSE(),FALSE())))</f>
        <v/>
      </c>
      <c r="AW52" s="74" t="str">
        <f aca="false">IF(ISBLANK($C52),"",IF($R52=Constants!$B$2,TRUE(),IF($R52=Constants!$B$3,FALSE(),FALSE())))</f>
        <v/>
      </c>
      <c r="AX52" s="74" t="str">
        <f aca="false">IF(ISBLANK($C52),"",IF($S52=Constants!$B$2,TRUE(),IF($S52=Constants!$B$3,FALSE(),FALSE())))</f>
        <v/>
      </c>
      <c r="AY52" s="74" t="str">
        <f aca="false">IF(ISBLANK($C52),"",IF($T52=Constants!$B$2,TRUE(),IF($T52=Constants!$B$3,FALSE(),FALSE())))</f>
        <v/>
      </c>
      <c r="AZ52" s="74" t="str">
        <f aca="false">IF(ISBLANK($C52),"",IF($U52=Constants!$B$2,TRUE(),IF($U52=Constants!$B$3,FALSE(),FALSE())))</f>
        <v/>
      </c>
      <c r="BA52" s="74" t="str">
        <f aca="false">IF(ISBLANK($C52),"",IF(OR($V52&amp;""="1",$V52&amp;""="2",$V52&amp;""="3",$V52&amp;""="4"),VALUE($V52&amp;""),IF($V52=Constants!$B$12,Constants!$B$12,"")))</f>
        <v/>
      </c>
      <c r="BB52" s="74" t="str">
        <f aca="false">IF(ISBLANK($C52),"",IF(ISBLANK($W52),0,IF(ISNUMBER($W52),IF(AND($W52&gt;=0,$W52&lt;=Constants!$B$21,$W52=INT($W52)),$W52,""),"")))</f>
        <v/>
      </c>
      <c r="BC52" s="74" t="str">
        <f aca="false">IF(ISBLANK($C52),"",IF(ISBLANK($X52),0,IF(ISNUMBER($X52),IF($X52&gt;=0,$X52,""),"")))</f>
        <v/>
      </c>
      <c r="BD52" s="74" t="str">
        <f aca="false">IF(ISBLANK($C52),"",IF($Y52=Constants!$B$2,TRUE(),IF($Y52=Constants!$B$3,FALSE(),TRUE())))</f>
        <v/>
      </c>
      <c r="BE52" s="74" t="str">
        <f aca="false">IF(ISBLANK($C52),"",IF($Z52=Constants!$B$2,TRUE(),IF($Z52=Constants!$B$3,FALSE(),FALSE())))</f>
        <v/>
      </c>
      <c r="BF52" s="74" t="str">
        <f aca="false">IF(ISBLANK($C52),"",IF(ISBLANK($AA52),0,IF(ISNUMBER($AA52),IF(AND($AA52&gt;=0,$AA52&lt;=Constants!$B$35,$AA52=INT($AA52)),$AA52,""),"")))</f>
        <v/>
      </c>
      <c r="BG52" s="74" t="str">
        <f aca="false">IF(ISBLANK($C52),"",IF($AB52=Constants!$B$2,TRUE(),IF($AB52=Constants!$B$3,FALSE(),TRUE())))</f>
        <v/>
      </c>
      <c r="BH52" s="74" t="str">
        <f aca="false">IF(ISBLANK($C52),"",IF($AC52=Constants!$B$2,TRUE(),IF($AC52=Constants!$B$3,FALSE(),TRUE())))</f>
        <v/>
      </c>
      <c r="BI52" s="74" t="str">
        <f aca="false">IF(ISBLANK($C52),"",IF($AD52=Constants!$B$2,TRUE(),IF($AD52=Constants!$B$3,FALSE(),TRUE())))</f>
        <v/>
      </c>
      <c r="BJ52" s="74" t="str">
        <f aca="false">IF(ISBLANK($C52),"",IF(ISNUMBER($AE52),IF($AE52&gt;=0,$AE52,""),""))</f>
        <v/>
      </c>
      <c r="BK52" s="74" t="str">
        <f aca="false">IF(ISBLANK($C52),"",IF($AF52=Constants!$B$2,TRUE(),IF($AF52=Constants!$B$3,FALSE(),FALSE())))</f>
        <v/>
      </c>
      <c r="BL52" s="73" t="str">
        <f aca="false">IF(ISBLANK($C52),"",IF($BK52,Constants!$B$7,IF(COUNTA($E52:$AE52)=0,Constants!$B$6,IF(OR(COUNTA($G52:$AE52)=0,NOT($AM52),$AS52),Constants!$B$5,IF(OR($CM52&lt;&gt;"",$CN52,$CO52,$CP52,$CQ52,$CR52,$CS52),Constants!$B$8,Constants!$B$4)))))</f>
        <v/>
      </c>
      <c r="BM52" s="74" t="str">
        <f aca="false">IF(ISBLANK($C52),"",IF($BL52&lt;&gt;Constants!$B$4,$BL52,IF(OR(NOT($AJ52),NOT($AL52),NOT($AT52)),Constants!$B$11,IF(OR(NOT($AR52),NOT($AU52),NOT($BI52),MAX($AN52,$AO52,$AP52)&gt;Constants!$B$30),Constants!$B$10,Constants!$B$9))))</f>
        <v/>
      </c>
      <c r="BN52" s="74" t="str">
        <f aca="false">IF($BL52&lt;&gt;Constants!$B$4,"",IF(NOT($AL52),0,MIN(Constants!$B$35,$BF52)))</f>
        <v/>
      </c>
      <c r="BO52" s="74" t="str">
        <f aca="false">IF($BL52&lt;&gt;Constants!$B$4,"",IF(NOT($AL52),0,IF($AW52,Constants!$B$18,IF($AV52,Constants!$B$17,0))))</f>
        <v/>
      </c>
      <c r="BP52" s="74" t="str">
        <f aca="false">IF($BL52&lt;&gt;Constants!$B$4,"",IF(NOT($AL52),0,Constants!$B$19*($AK52+$AX52+$AY52+$AZ52)))</f>
        <v/>
      </c>
      <c r="BQ52" s="74" t="str">
        <f aca="false">IF($BL52&lt;&gt;Constants!$B$4,"",IF(OR(NOT($AL52),NOT(ISNUMBER($BA52))),0,CHOOSE($BA52,Constants!$B$13,Constants!$B$14,Constants!$B$15,Constants!$B$16)))</f>
        <v/>
      </c>
      <c r="BR52" s="74" t="str">
        <f aca="false">IF($BL52&lt;&gt;Constants!$B$4,"",IF(NOT($AL52),0,Constants!$B$20*$BB52))</f>
        <v/>
      </c>
      <c r="BS52" s="74" t="str">
        <f aca="false">IF($BL52&lt;&gt;Constants!$B$4,"",IF(AND($AL52,$BD52,$BE52),Constants!$B$22,0))</f>
        <v/>
      </c>
      <c r="BT52" s="74" t="str">
        <f aca="false">IF($BL52&lt;&gt;Constants!$B$4,"",IF(OR(NOT($AL52),NOT($BD52)),0,IF($BJ52&gt;=2*$AH$9,0,Constants!$B$23*INT(ROUND(MIN($BJ52,$AH$9),6)))))</f>
        <v/>
      </c>
      <c r="BU52" s="74" t="str">
        <f aca="false">IF($BL52&lt;&gt;Constants!$B$4,"",IF(NOT($AL52),0,Constants!$B$24*INT(ROUND(MIN($BC52,$AH$9),6))))</f>
        <v/>
      </c>
      <c r="BV52" s="74" t="str">
        <f aca="false">IF($BL52&lt;&gt;Constants!$B$4,"",IF(AND($AL52,$BN52=0),Constants!$B$25,0))</f>
        <v/>
      </c>
      <c r="BW52" s="74" t="str">
        <f aca="false">IF($BL52&lt;&gt;Constants!$B$4,"",MIN(Constants!$B$29,MAX(0,Constants!$B$27*Constants!$B$28*INT(ROUND((Constants!$B$26-$AN52)/Constants!$B$28,6))))+MIN(Constants!$B$29,MAX(0,Constants!$B$27*Constants!$B$28*INT(ROUND((Constants!$B$26-$AO52)/Constants!$B$28,6))))+MIN(Constants!$B$29,MAX(0,Constants!$B$27*Constants!$B$28*INT(ROUND((Constants!$B$26-$AP52)/Constants!$B$28,6)))))</f>
        <v/>
      </c>
      <c r="BX52" s="74" t="str">
        <f aca="false">IF($BL52&lt;&gt;Constants!$B$4,"",IF(NOT($AL52),0,Constants!$B$31*INT(ROUND(MAX(0,MIN($BJ52,2*$AH$9)-$AH$9),6))))</f>
        <v/>
      </c>
      <c r="BY52" s="74" t="str">
        <f aca="false">IF($BL52&lt;&gt;Constants!$B$4,"",Constants!$B$32*(($AN52&gt;Constants!$B$26)+($AO52&gt;Constants!$B$26)+($AP52&gt;Constants!$B$26)))</f>
        <v/>
      </c>
      <c r="BZ52" s="74" t="str">
        <f aca="false">IF($BL52&lt;&gt;Constants!$B$4,"",IF(OR(NOT($AL52),$AQ52),0,Constants!$B$33))</f>
        <v/>
      </c>
      <c r="CA52" s="74" t="str">
        <f aca="false">IF($BL52&lt;&gt;Constants!$B$4,"",Constants!$B$34*$BN52)</f>
        <v/>
      </c>
      <c r="CB52" s="74" t="str">
        <f aca="false">IF($BL52&lt;&gt;Constants!$B$4,"",IF(OR(NOT($AL52),$BH52),0,Constants!$B$36))</f>
        <v/>
      </c>
      <c r="CC52" s="74" t="str">
        <f aca="false">IF($BL52&lt;&gt;Constants!$B$4,"",IF(OR(NOT($AL52),$BG52),0,Constants!$B$37))</f>
        <v/>
      </c>
      <c r="CD52" s="74" t="str">
        <f aca="false">IF($BL52&lt;&gt;Constants!$B$4,"",SUM($BX52:$CC52))</f>
        <v/>
      </c>
      <c r="CE52" s="74" t="str">
        <f aca="false">IF(ISBLANK($C52),"",IF($BL52&lt;&gt;Constants!$B$4,$BL52,SUM($BO52:$BW52)-$CD52))</f>
        <v/>
      </c>
      <c r="CF52" s="74" t="str">
        <f aca="false">IF(ISBLANK($C52),"",IF($BL52&lt;&gt;Constants!$B$4,$BL52,RANK($CE52,$CE$9:$CE$508)))</f>
        <v/>
      </c>
      <c r="CG52" s="74" t="str">
        <f aca="false">IF(ISBLANK($C52),"",IF($BL52&lt;&gt;Constants!$B$4,$BL52,COUNTIFS($BM$9:$BM$508,"&lt;"&amp;$BM52)+COUNTIFS($BM$9:$BM$508,$BM52,$CF$9:$CF$508,"&lt;"&amp;$CF52)+1))</f>
        <v/>
      </c>
      <c r="CH52" s="74" t="str">
        <f aca="false">IF(ISBLANK($C52),"",IF($BL52&lt;&gt;Constants!$B$4,$BL52,RANK($CD52,$CD$9:$CD$508,1)))</f>
        <v/>
      </c>
      <c r="CI52" s="74" t="str">
        <f aca="false">IF($BL52&lt;&gt;Constants!$B$4,"",$AN52+$AO52+$AP52)</f>
        <v/>
      </c>
      <c r="CJ52" s="74" t="str">
        <f aca="false">IF(ISBLANK($C52),"",IF($BL52&lt;&gt;Constants!$B$4,$BL52,RANK($CI52,$CI$9:$CI$508,1)))</f>
        <v/>
      </c>
      <c r="CK52" s="74" t="str">
        <f aca="false">IF(ISBLANK($C52),"",IF($BL52&lt;&gt;Constants!$B$4,$BL52,COUNTIFS($BM$9:$BM$508,"&lt;"&amp;$BM52)+COUNTIFS($BM$9:$BM$508,$BM52,$CF$9:$CF$508,"&lt;"&amp;$CF52)+COUNTIFS($BM$9:$BM$508,$BM52,$CF$9:$CF$508,$CF52,$CH$9:$CH$508,"&lt;"&amp;$CH52)+COUNTIFS($BM$9:$BM$508,$BM52,$CF$9:$CF$508,$CF52,$CH$9:$CH$508,$CH52,$CJ$9:$CJ$508,"&lt;"&amp;$CJ52)+1))</f>
        <v/>
      </c>
      <c r="CL52" s="74" t="str">
        <f aca="false">IF(ISBLANK($C52),"",IF($BL52&lt;&gt;Constants!$B$4,$BL52,$CG52-$CK52))</f>
        <v/>
      </c>
      <c r="CM52" s="74" t="str">
        <f aca="false">IF(ISBLANK($C52),"",IF(NOT($AL52),"",IF(ISBLANK($D$7),$CM$5,IF(NOT(ISNUMBER($D$7)),$CM$6,""))))</f>
        <v/>
      </c>
      <c r="CN52" s="74" t="str">
        <f aca="false">IF(ISBLANK($C52),"",OR($AN52="",$AO52="",$AP52=""))</f>
        <v/>
      </c>
      <c r="CO52" s="74" t="str">
        <f aca="false">IF(ISBLANK($C52),"",AND($AL52,$BA52=""))</f>
        <v/>
      </c>
      <c r="CP52" s="74" t="str">
        <f aca="false">IF(ISBLANK($C52),"",AND($AL52,$BB52=""))</f>
        <v/>
      </c>
      <c r="CQ52" s="74" t="str">
        <f aca="false">IF(ISBLANK($C52),"",AND($AL52,$BC52=""))</f>
        <v/>
      </c>
      <c r="CR52" s="74" t="str">
        <f aca="false">IF(ISBLANK($C52),"",AND($AL52,$BF52=""))</f>
        <v/>
      </c>
      <c r="CS52" s="74" t="str">
        <f aca="false">IF(ISBLANK($C52),"",AND($AL52,$BJ52=""))</f>
        <v/>
      </c>
      <c r="CT52" s="75"/>
      <c r="CU52" s="76"/>
      <c r="CV52" s="79" t="str">
        <f aca="false">IF(ISBLANK($C52),"",IF($BL52=Constants!$B$8,$CM52,""))</f>
        <v/>
      </c>
      <c r="CW52" s="76" t="str">
        <f aca="false">IF(ISBLANK($C52),"",IF($BL52&lt;&gt;Constants!$B$4,"",$BO52+$BP52))</f>
        <v/>
      </c>
      <c r="CX52" s="78" t="str">
        <f aca="false">IF(ISBLANK($C52),"",IF($BL52&lt;&gt;Constants!$B$4,"",$BQ52+$BR52+$BS52))</f>
        <v/>
      </c>
      <c r="CY52" s="78" t="str">
        <f aca="false">IF(ISBLANK($C52),"",IF($BL52&lt;&gt;Constants!$B$4,"",$BT52))</f>
        <v/>
      </c>
      <c r="CZ52" s="78" t="str">
        <f aca="false">IF(ISBLANK($C52),"",IF($BL52&lt;&gt;Constants!$B$4,"",$BU52+$BV52))</f>
        <v/>
      </c>
      <c r="DA52" s="78" t="str">
        <f aca="false">IF(ISBLANK($C52),"",IF($BL52&lt;&gt;Constants!$B$4,"",$BW52))</f>
        <v/>
      </c>
      <c r="DB52" s="78" t="str">
        <f aca="false">IF(ISBLANK($C52),"",IF($BL52&lt;&gt;Constants!$B$4,"",-$CD52))</f>
        <v/>
      </c>
      <c r="DC52" s="79" t="str">
        <f aca="false">IF(ISBLANK($C52),"",$CE52)</f>
        <v/>
      </c>
      <c r="DD52" s="80" t="str">
        <f aca="false">IF(ISBLANK($C52),"",$BM52)</f>
        <v/>
      </c>
      <c r="DE52" s="78" t="str">
        <f aca="false">IF(ISBLANK($C52),"",$CL52)</f>
        <v/>
      </c>
      <c r="DF52" s="78" t="str">
        <f aca="false">IF(ISBLANK($C52),"",$CK52)</f>
        <v/>
      </c>
      <c r="DG52" s="81" t="str">
        <f aca="false">IF(ISBLANK($C52),"",IF($DF52=Constants!$B$7,COUNTA($C$9:$C$508)+2,IF($DF52=Constants!$B$6,COUNTA($C$9:$C$508)+1,IF($DF52=Constants!$B$5,COUNTA($C$9:$C$508),$DF52))))</f>
        <v/>
      </c>
      <c r="DH52" s="7"/>
      <c r="DI52" s="82" t="n">
        <f aca="false">IF(OR(ISNUMBER($DF52),$DF52=Constants!$B$7,$DF52=Constants!$B$5,$DF52=Constants!$B$6),1,0)</f>
        <v>0</v>
      </c>
      <c r="DJ52" s="82" t="n">
        <v>44</v>
      </c>
      <c r="DK52" s="82" t="str">
        <f aca="false">IF(ISBLANK($C52),"",IF(ISNUMBER($DG52),$DG52+ROW($B52)/1000,""))</f>
        <v/>
      </c>
      <c r="DL52" s="82" t="str">
        <f aca="false">IF(ISNUMBER($DK52),RANK($DK52,$DK$9:$DK$508,1),"")</f>
        <v/>
      </c>
      <c r="DM52" s="82" t="str">
        <f aca="false">IF(ISBLANK($C52),"",$B52)</f>
        <v/>
      </c>
      <c r="DN52" s="82" t="str">
        <f aca="false">IF(ISBLANK($C52),"",$C52)</f>
        <v/>
      </c>
      <c r="DO52" s="82" t="str">
        <f aca="false">IF(ISBLANK($C52),"",$D52)</f>
        <v/>
      </c>
      <c r="DP52" s="83" t="str">
        <f aca="false">$DD52</f>
        <v/>
      </c>
      <c r="DQ52" s="84" t="str">
        <f aca="false">$DC52</f>
        <v/>
      </c>
      <c r="DR52" s="82" t="str">
        <f aca="false">IF(ISBLANK($C52),"",$DF52)</f>
        <v/>
      </c>
      <c r="DS52" s="85" t="str">
        <f aca="false">IF($DJ52&gt;$DI$8,"",VLOOKUP($DJ52,$DL$9:$DR$508,7,FALSE()))</f>
        <v/>
      </c>
      <c r="DT52" s="86" t="str">
        <f aca="false">IF($DJ52&gt;$DI$8,"",VLOOKUP($DJ52,$DL$9:$DR$508,2,FALSE()))</f>
        <v/>
      </c>
      <c r="DU52" s="86" t="str">
        <f aca="false">IF($DJ52&gt;$DI$8,"",VLOOKUP($DJ52,$DL$9:$DR$508,3,FALSE()))</f>
        <v/>
      </c>
      <c r="DV52" s="86" t="str">
        <f aca="false">IF($DJ52&gt;$DI$8,"",VLOOKUP($DJ52,$DL$9:$DR$508,4,FALSE()))</f>
        <v/>
      </c>
      <c r="DW52" s="86" t="str">
        <f aca="false">IF($DJ52&gt;$DI$8,"",VLOOKUP($DJ52,$DL$9:$DR$508,5,FALSE()))</f>
        <v/>
      </c>
      <c r="DX52" s="87" t="str">
        <f aca="false">IF($DJ52&gt;$DI$8,"",VLOOKUP($DJ52,$DL$9:$DR$508,6,FALSE()))</f>
        <v/>
      </c>
      <c r="DY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88"/>
      <c r="N53" s="88"/>
      <c r="O53" s="134"/>
      <c r="P53" s="134"/>
      <c r="Q53" s="88"/>
      <c r="R53" s="88"/>
      <c r="S53" s="88"/>
      <c r="T53" s="88"/>
      <c r="U53" s="134"/>
      <c r="V53" s="88"/>
      <c r="W53" s="70"/>
      <c r="X53" s="88"/>
      <c r="Y53" s="88"/>
      <c r="Z53" s="70"/>
      <c r="AA53" s="70"/>
      <c r="AB53" s="88"/>
      <c r="AC53" s="88"/>
      <c r="AD53" s="88"/>
      <c r="AE53" s="71"/>
      <c r="AF53" s="88"/>
      <c r="AG53" s="73"/>
      <c r="AH53" s="74"/>
      <c r="AI53" s="74"/>
      <c r="AJ53" s="74" t="str">
        <f aca="false">IF(ISBLANK($C53),"",IF($E53=Constants!$B$2,TRUE(),IF($E53=Constants!$B$3,FALSE(),TRUE())))</f>
        <v/>
      </c>
      <c r="AK53" s="74" t="str">
        <f aca="false">IF(ISBLANK($C53),"",IF($F53=Constants!$B$2,TRUE(),IF($F53=Constants!$B$3,FALSE(),FALSE())))</f>
        <v/>
      </c>
      <c r="AL53" s="74" t="str">
        <f aca="false">IF(ISBLANK($C53),"",IF($G53=Constants!$B$2,TRUE(),IF($G53=Constants!$B$3,FALSE(),TRUE())))</f>
        <v/>
      </c>
      <c r="AM53" s="74" t="str">
        <f aca="false">IF(ISBLANK($C53),"",IF($H53=Constants!$B$2,TRUE(),IF($H53=Constants!$B$3,FALSE(),TRUE())))</f>
        <v/>
      </c>
      <c r="AN53" s="74" t="str">
        <f aca="false">IF(ISBLANK($C53),"",IF(ISNUMBER($I53),IF($I53&gt;=0,$I53,""),""))</f>
        <v/>
      </c>
      <c r="AO53" s="74" t="str">
        <f aca="false">IF(ISBLANK($C53),"",IF(ISNUMBER($J53),IF($J53&gt;=0,$J53,""),""))</f>
        <v/>
      </c>
      <c r="AP53" s="74" t="str">
        <f aca="false">IF(ISBLANK($C53),"",IF(ISNUMBER($K53),IF($K53&gt;=0,$K53,""),""))</f>
        <v/>
      </c>
      <c r="AQ53" s="74" t="str">
        <f aca="false">IF(ISBLANK($C53),"",IF($L53=Constants!$B$2,TRUE(),IF($L53=Constants!$B$3,FALSE(),TRUE())))</f>
        <v/>
      </c>
      <c r="AR53" s="74" t="str">
        <f aca="false">IF(ISBLANK($C53),"",IF($M53=Constants!$B$2,TRUE(),IF($M53=Constants!$B$3,FALSE(),TRUE())))</f>
        <v/>
      </c>
      <c r="AS53" s="74" t="str">
        <f aca="false">IF(ISBLANK($C53),"",IF($N53=Constants!$B$2,TRUE(),IF($N53=Constants!$B$3,FALSE(),FALSE())))</f>
        <v/>
      </c>
      <c r="AT53" s="74" t="str">
        <f aca="false">IF(ISBLANK($C53),"",IF($O53=Constants!$B$2,TRUE(),IF($O53=Constants!$B$3,FALSE(),TRUE())))</f>
        <v/>
      </c>
      <c r="AU53" s="74" t="str">
        <f aca="false">IF(ISBLANK($C53),"",IF($P53=Constants!$B$2,TRUE(),IF($P53=Constants!$B$3,FALSE(),TRUE())))</f>
        <v/>
      </c>
      <c r="AV53" s="74" t="str">
        <f aca="false">IF(ISBLANK($C53),"",IF($Q53=Constants!$B$2,TRUE(),IF($Q53=Constants!$B$3,FALSE(),FALSE())))</f>
        <v/>
      </c>
      <c r="AW53" s="74" t="str">
        <f aca="false">IF(ISBLANK($C53),"",IF($R53=Constants!$B$2,TRUE(),IF($R53=Constants!$B$3,FALSE(),FALSE())))</f>
        <v/>
      </c>
      <c r="AX53" s="74" t="str">
        <f aca="false">IF(ISBLANK($C53),"",IF($S53=Constants!$B$2,TRUE(),IF($S53=Constants!$B$3,FALSE(),FALSE())))</f>
        <v/>
      </c>
      <c r="AY53" s="74" t="str">
        <f aca="false">IF(ISBLANK($C53),"",IF($T53=Constants!$B$2,TRUE(),IF($T53=Constants!$B$3,FALSE(),FALSE())))</f>
        <v/>
      </c>
      <c r="AZ53" s="74" t="str">
        <f aca="false">IF(ISBLANK($C53),"",IF($U53=Constants!$B$2,TRUE(),IF($U53=Constants!$B$3,FALSE(),FALSE())))</f>
        <v/>
      </c>
      <c r="BA53" s="74" t="str">
        <f aca="false">IF(ISBLANK($C53),"",IF(OR($V53&amp;""="1",$V53&amp;""="2",$V53&amp;""="3",$V53&amp;""="4"),VALUE($V53&amp;""),IF($V53=Constants!$B$12,Constants!$B$12,"")))</f>
        <v/>
      </c>
      <c r="BB53" s="74" t="str">
        <f aca="false">IF(ISBLANK($C53),"",IF(ISBLANK($W53),0,IF(ISNUMBER($W53),IF(AND($W53&gt;=0,$W53&lt;=Constants!$B$21,$W53=INT($W53)),$W53,""),"")))</f>
        <v/>
      </c>
      <c r="BC53" s="74" t="str">
        <f aca="false">IF(ISBLANK($C53),"",IF(ISBLANK($X53),0,IF(ISNUMBER($X53),IF($X53&gt;=0,$X53,""),"")))</f>
        <v/>
      </c>
      <c r="BD53" s="74" t="str">
        <f aca="false">IF(ISBLANK($C53),"",IF($Y53=Constants!$B$2,TRUE(),IF($Y53=Constants!$B$3,FALSE(),TRUE())))</f>
        <v/>
      </c>
      <c r="BE53" s="74" t="str">
        <f aca="false">IF(ISBLANK($C53),"",IF($Z53=Constants!$B$2,TRUE(),IF($Z53=Constants!$B$3,FALSE(),FALSE())))</f>
        <v/>
      </c>
      <c r="BF53" s="74" t="str">
        <f aca="false">IF(ISBLANK($C53),"",IF(ISBLANK($AA53),0,IF(ISNUMBER($AA53),IF(AND($AA53&gt;=0,$AA53&lt;=Constants!$B$35,$AA53=INT($AA53)),$AA53,""),"")))</f>
        <v/>
      </c>
      <c r="BG53" s="74" t="str">
        <f aca="false">IF(ISBLANK($C53),"",IF($AB53=Constants!$B$2,TRUE(),IF($AB53=Constants!$B$3,FALSE(),TRUE())))</f>
        <v/>
      </c>
      <c r="BH53" s="74" t="str">
        <f aca="false">IF(ISBLANK($C53),"",IF($AC53=Constants!$B$2,TRUE(),IF($AC53=Constants!$B$3,FALSE(),TRUE())))</f>
        <v/>
      </c>
      <c r="BI53" s="74" t="str">
        <f aca="false">IF(ISBLANK($C53),"",IF($AD53=Constants!$B$2,TRUE(),IF($AD53=Constants!$B$3,FALSE(),TRUE())))</f>
        <v/>
      </c>
      <c r="BJ53" s="74" t="str">
        <f aca="false">IF(ISBLANK($C53),"",IF(ISNUMBER($AE53),IF($AE53&gt;=0,$AE53,""),""))</f>
        <v/>
      </c>
      <c r="BK53" s="74" t="str">
        <f aca="false">IF(ISBLANK($C53),"",IF($AF53=Constants!$B$2,TRUE(),IF($AF53=Constants!$B$3,FALSE(),FALSE())))</f>
        <v/>
      </c>
      <c r="BL53" s="73" t="str">
        <f aca="false">IF(ISBLANK($C53),"",IF($BK53,Constants!$B$7,IF(COUNTA($E53:$AE53)=0,Constants!$B$6,IF(OR(COUNTA($G53:$AE53)=0,NOT($AM53),$AS53),Constants!$B$5,IF(OR($CM53&lt;&gt;"",$CN53,$CO53,$CP53,$CQ53,$CR53,$CS53),Constants!$B$8,Constants!$B$4)))))</f>
        <v/>
      </c>
      <c r="BM53" s="74" t="str">
        <f aca="false">IF(ISBLANK($C53),"",IF($BL53&lt;&gt;Constants!$B$4,$BL53,IF(OR(NOT($AJ53),NOT($AL53),NOT($AT53)),Constants!$B$11,IF(OR(NOT($AR53),NOT($AU53),NOT($BI53),MAX($AN53,$AO53,$AP53)&gt;Constants!$B$30),Constants!$B$10,Constants!$B$9))))</f>
        <v/>
      </c>
      <c r="BN53" s="74" t="str">
        <f aca="false">IF($BL53&lt;&gt;Constants!$B$4,"",IF(NOT($AL53),0,MIN(Constants!$B$35,$BF53)))</f>
        <v/>
      </c>
      <c r="BO53" s="74" t="str">
        <f aca="false">IF($BL53&lt;&gt;Constants!$B$4,"",IF(NOT($AL53),0,IF($AW53,Constants!$B$18,IF($AV53,Constants!$B$17,0))))</f>
        <v/>
      </c>
      <c r="BP53" s="74" t="str">
        <f aca="false">IF($BL53&lt;&gt;Constants!$B$4,"",IF(NOT($AL53),0,Constants!$B$19*($AK53+$AX53+$AY53+$AZ53)))</f>
        <v/>
      </c>
      <c r="BQ53" s="74" t="str">
        <f aca="false">IF($BL53&lt;&gt;Constants!$B$4,"",IF(OR(NOT($AL53),NOT(ISNUMBER($BA53))),0,CHOOSE($BA53,Constants!$B$13,Constants!$B$14,Constants!$B$15,Constants!$B$16)))</f>
        <v/>
      </c>
      <c r="BR53" s="74" t="str">
        <f aca="false">IF($BL53&lt;&gt;Constants!$B$4,"",IF(NOT($AL53),0,Constants!$B$20*$BB53))</f>
        <v/>
      </c>
      <c r="BS53" s="74" t="str">
        <f aca="false">IF($BL53&lt;&gt;Constants!$B$4,"",IF(AND($AL53,$BD53,$BE53),Constants!$B$22,0))</f>
        <v/>
      </c>
      <c r="BT53" s="74" t="str">
        <f aca="false">IF($BL53&lt;&gt;Constants!$B$4,"",IF(OR(NOT($AL53),NOT($BD53)),0,IF($BJ53&gt;=2*$AH$9,0,Constants!$B$23*INT(ROUND(MIN($BJ53,$AH$9),6)))))</f>
        <v/>
      </c>
      <c r="BU53" s="74" t="str">
        <f aca="false">IF($BL53&lt;&gt;Constants!$B$4,"",IF(NOT($AL53),0,Constants!$B$24*INT(ROUND(MIN($BC53,$AH$9),6))))</f>
        <v/>
      </c>
      <c r="BV53" s="74" t="str">
        <f aca="false">IF($BL53&lt;&gt;Constants!$B$4,"",IF(AND($AL53,$BN53=0),Constants!$B$25,0))</f>
        <v/>
      </c>
      <c r="BW53" s="74" t="str">
        <f aca="false">IF($BL53&lt;&gt;Constants!$B$4,"",MIN(Constants!$B$29,MAX(0,Constants!$B$27*Constants!$B$28*INT(ROUND((Constants!$B$26-$AN53)/Constants!$B$28,6))))+MIN(Constants!$B$29,MAX(0,Constants!$B$27*Constants!$B$28*INT(ROUND((Constants!$B$26-$AO53)/Constants!$B$28,6))))+MIN(Constants!$B$29,MAX(0,Constants!$B$27*Constants!$B$28*INT(ROUND((Constants!$B$26-$AP53)/Constants!$B$28,6)))))</f>
        <v/>
      </c>
      <c r="BX53" s="74" t="str">
        <f aca="false">IF($BL53&lt;&gt;Constants!$B$4,"",IF(NOT($AL53),0,Constants!$B$31*INT(ROUND(MAX(0,MIN($BJ53,2*$AH$9)-$AH$9),6))))</f>
        <v/>
      </c>
      <c r="BY53" s="74" t="str">
        <f aca="false">IF($BL53&lt;&gt;Constants!$B$4,"",Constants!$B$32*(($AN53&gt;Constants!$B$26)+($AO53&gt;Constants!$B$26)+($AP53&gt;Constants!$B$26)))</f>
        <v/>
      </c>
      <c r="BZ53" s="74" t="str">
        <f aca="false">IF($BL53&lt;&gt;Constants!$B$4,"",IF(OR(NOT($AL53),$AQ53),0,Constants!$B$33))</f>
        <v/>
      </c>
      <c r="CA53" s="74" t="str">
        <f aca="false">IF($BL53&lt;&gt;Constants!$B$4,"",Constants!$B$34*$BN53)</f>
        <v/>
      </c>
      <c r="CB53" s="74" t="str">
        <f aca="false">IF($BL53&lt;&gt;Constants!$B$4,"",IF(OR(NOT($AL53),$BH53),0,Constants!$B$36))</f>
        <v/>
      </c>
      <c r="CC53" s="74" t="str">
        <f aca="false">IF($BL53&lt;&gt;Constants!$B$4,"",IF(OR(NOT($AL53),$BG53),0,Constants!$B$37))</f>
        <v/>
      </c>
      <c r="CD53" s="74" t="str">
        <f aca="false">IF($BL53&lt;&gt;Constants!$B$4,"",SUM($BX53:$CC53))</f>
        <v/>
      </c>
      <c r="CE53" s="74" t="str">
        <f aca="false">IF(ISBLANK($C53),"",IF($BL53&lt;&gt;Constants!$B$4,$BL53,SUM($BO53:$BW53)-$CD53))</f>
        <v/>
      </c>
      <c r="CF53" s="74" t="str">
        <f aca="false">IF(ISBLANK($C53),"",IF($BL53&lt;&gt;Constants!$B$4,$BL53,RANK($CE53,$CE$9:$CE$508)))</f>
        <v/>
      </c>
      <c r="CG53" s="74" t="str">
        <f aca="false">IF(ISBLANK($C53),"",IF($BL53&lt;&gt;Constants!$B$4,$BL53,COUNTIFS($BM$9:$BM$508,"&lt;"&amp;$BM53)+COUNTIFS($BM$9:$BM$508,$BM53,$CF$9:$CF$508,"&lt;"&amp;$CF53)+1))</f>
        <v/>
      </c>
      <c r="CH53" s="74" t="str">
        <f aca="false">IF(ISBLANK($C53),"",IF($BL53&lt;&gt;Constants!$B$4,$BL53,RANK($CD53,$CD$9:$CD$508,1)))</f>
        <v/>
      </c>
      <c r="CI53" s="74" t="str">
        <f aca="false">IF($BL53&lt;&gt;Constants!$B$4,"",$AN53+$AO53+$AP53)</f>
        <v/>
      </c>
      <c r="CJ53" s="74" t="str">
        <f aca="false">IF(ISBLANK($C53),"",IF($BL53&lt;&gt;Constants!$B$4,$BL53,RANK($CI53,$CI$9:$CI$508,1)))</f>
        <v/>
      </c>
      <c r="CK53" s="74" t="str">
        <f aca="false">IF(ISBLANK($C53),"",IF($BL53&lt;&gt;Constants!$B$4,$BL53,COUNTIFS($BM$9:$BM$508,"&lt;"&amp;$BM53)+COUNTIFS($BM$9:$BM$508,$BM53,$CF$9:$CF$508,"&lt;"&amp;$CF53)+COUNTIFS($BM$9:$BM$508,$BM53,$CF$9:$CF$508,$CF53,$CH$9:$CH$508,"&lt;"&amp;$CH53)+COUNTIFS($BM$9:$BM$508,$BM53,$CF$9:$CF$508,$CF53,$CH$9:$CH$508,$CH53,$CJ$9:$CJ$508,"&lt;"&amp;$CJ53)+1))</f>
        <v/>
      </c>
      <c r="CL53" s="74" t="str">
        <f aca="false">IF(ISBLANK($C53),"",IF($BL53&lt;&gt;Constants!$B$4,$BL53,$CG53-$CK53))</f>
        <v/>
      </c>
      <c r="CM53" s="74" t="str">
        <f aca="false">IF(ISBLANK($C53),"",IF(NOT($AL53),"",IF(ISBLANK($D$7),$CM$5,IF(NOT(ISNUMBER($D$7)),$CM$6,""))))</f>
        <v/>
      </c>
      <c r="CN53" s="74" t="str">
        <f aca="false">IF(ISBLANK($C53),"",OR($AN53="",$AO53="",$AP53=""))</f>
        <v/>
      </c>
      <c r="CO53" s="74" t="str">
        <f aca="false">IF(ISBLANK($C53),"",AND($AL53,$BA53=""))</f>
        <v/>
      </c>
      <c r="CP53" s="74" t="str">
        <f aca="false">IF(ISBLANK($C53),"",AND($AL53,$BB53=""))</f>
        <v/>
      </c>
      <c r="CQ53" s="74" t="str">
        <f aca="false">IF(ISBLANK($C53),"",AND($AL53,$BC53=""))</f>
        <v/>
      </c>
      <c r="CR53" s="74" t="str">
        <f aca="false">IF(ISBLANK($C53),"",AND($AL53,$BF53=""))</f>
        <v/>
      </c>
      <c r="CS53" s="74" t="str">
        <f aca="false">IF(ISBLANK($C53),"",AND($AL53,$BJ53=""))</f>
        <v/>
      </c>
      <c r="CT53" s="75"/>
      <c r="CU53" s="76"/>
      <c r="CV53" s="79" t="str">
        <f aca="false">IF(ISBLANK($C53),"",IF($BL53=Constants!$B$8,$CM53,""))</f>
        <v/>
      </c>
      <c r="CW53" s="76" t="str">
        <f aca="false">IF(ISBLANK($C53),"",IF($BL53&lt;&gt;Constants!$B$4,"",$BO53+$BP53))</f>
        <v/>
      </c>
      <c r="CX53" s="78" t="str">
        <f aca="false">IF(ISBLANK($C53),"",IF($BL53&lt;&gt;Constants!$B$4,"",$BQ53+$BR53+$BS53))</f>
        <v/>
      </c>
      <c r="CY53" s="78" t="str">
        <f aca="false">IF(ISBLANK($C53),"",IF($BL53&lt;&gt;Constants!$B$4,"",$BT53))</f>
        <v/>
      </c>
      <c r="CZ53" s="78" t="str">
        <f aca="false">IF(ISBLANK($C53),"",IF($BL53&lt;&gt;Constants!$B$4,"",$BU53+$BV53))</f>
        <v/>
      </c>
      <c r="DA53" s="78" t="str">
        <f aca="false">IF(ISBLANK($C53),"",IF($BL53&lt;&gt;Constants!$B$4,"",$BW53))</f>
        <v/>
      </c>
      <c r="DB53" s="78" t="str">
        <f aca="false">IF(ISBLANK($C53),"",IF($BL53&lt;&gt;Constants!$B$4,"",-$CD53))</f>
        <v/>
      </c>
      <c r="DC53" s="79" t="str">
        <f aca="false">IF(ISBLANK($C53),"",$CE53)</f>
        <v/>
      </c>
      <c r="DD53" s="80" t="str">
        <f aca="false">IF(ISBLANK($C53),"",$BM53)</f>
        <v/>
      </c>
      <c r="DE53" s="78" t="str">
        <f aca="false">IF(ISBLANK($C53),"",$CL53)</f>
        <v/>
      </c>
      <c r="DF53" s="78" t="str">
        <f aca="false">IF(ISBLANK($C53),"",$CK53)</f>
        <v/>
      </c>
      <c r="DG53" s="81" t="str">
        <f aca="false">IF(ISBLANK($C53),"",IF($DF53=Constants!$B$7,COUNTA($C$9:$C$508)+2,IF($DF53=Constants!$B$6,COUNTA($C$9:$C$508)+1,IF($DF53=Constants!$B$5,COUNTA($C$9:$C$508),$DF53))))</f>
        <v/>
      </c>
      <c r="DH53" s="7"/>
      <c r="DI53" s="82" t="n">
        <f aca="false">IF(OR(ISNUMBER($DF53),$DF53=Constants!$B$7,$DF53=Constants!$B$5,$DF53=Constants!$B$6),1,0)</f>
        <v>0</v>
      </c>
      <c r="DJ53" s="82" t="n">
        <v>45</v>
      </c>
      <c r="DK53" s="82" t="str">
        <f aca="false">IF(ISBLANK($C53),"",IF(ISNUMBER($DG53),$DG53+ROW($B53)/1000,""))</f>
        <v/>
      </c>
      <c r="DL53" s="82" t="str">
        <f aca="false">IF(ISNUMBER($DK53),RANK($DK53,$DK$9:$DK$508,1),"")</f>
        <v/>
      </c>
      <c r="DM53" s="82" t="str">
        <f aca="false">IF(ISBLANK($C53),"",$B53)</f>
        <v/>
      </c>
      <c r="DN53" s="82" t="str">
        <f aca="false">IF(ISBLANK($C53),"",$C53)</f>
        <v/>
      </c>
      <c r="DO53" s="82" t="str">
        <f aca="false">IF(ISBLANK($C53),"",$D53)</f>
        <v/>
      </c>
      <c r="DP53" s="83" t="str">
        <f aca="false">$DD53</f>
        <v/>
      </c>
      <c r="DQ53" s="84" t="str">
        <f aca="false">$DC53</f>
        <v/>
      </c>
      <c r="DR53" s="82" t="str">
        <f aca="false">IF(ISBLANK($C53),"",$DF53)</f>
        <v/>
      </c>
      <c r="DS53" s="85" t="str">
        <f aca="false">IF($DJ53&gt;$DI$8,"",VLOOKUP($DJ53,$DL$9:$DR$508,7,FALSE()))</f>
        <v/>
      </c>
      <c r="DT53" s="86" t="str">
        <f aca="false">IF($DJ53&gt;$DI$8,"",VLOOKUP($DJ53,$DL$9:$DR$508,2,FALSE()))</f>
        <v/>
      </c>
      <c r="DU53" s="86" t="str">
        <f aca="false">IF($DJ53&gt;$DI$8,"",VLOOKUP($DJ53,$DL$9:$DR$508,3,FALSE()))</f>
        <v/>
      </c>
      <c r="DV53" s="86" t="str">
        <f aca="false">IF($DJ53&gt;$DI$8,"",VLOOKUP($DJ53,$DL$9:$DR$508,4,FALSE()))</f>
        <v/>
      </c>
      <c r="DW53" s="86" t="str">
        <f aca="false">IF($DJ53&gt;$DI$8,"",VLOOKUP($DJ53,$DL$9:$DR$508,5,FALSE()))</f>
        <v/>
      </c>
      <c r="DX53" s="87" t="str">
        <f aca="false">IF($DJ53&gt;$DI$8,"",VLOOKUP($DJ53,$DL$9:$DR$508,6,FALSE()))</f>
        <v/>
      </c>
      <c r="DY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130"/>
      <c r="N54" s="130"/>
      <c r="O54" s="135"/>
      <c r="P54" s="135"/>
      <c r="Q54" s="130"/>
      <c r="R54" s="130"/>
      <c r="S54" s="130"/>
      <c r="T54" s="130"/>
      <c r="U54" s="135"/>
      <c r="V54" s="130"/>
      <c r="W54" s="96"/>
      <c r="X54" s="130"/>
      <c r="Y54" s="130"/>
      <c r="Z54" s="96"/>
      <c r="AA54" s="96"/>
      <c r="AB54" s="130"/>
      <c r="AC54" s="130"/>
      <c r="AD54" s="130"/>
      <c r="AE54" s="97"/>
      <c r="AF54" s="130"/>
      <c r="AG54" s="99"/>
      <c r="AH54" s="100"/>
      <c r="AI54" s="100"/>
      <c r="AJ54" s="100" t="str">
        <f aca="false">IF(ISBLANK($C54),"",IF($E54=Constants!$B$2,TRUE(),IF($E54=Constants!$B$3,FALSE(),TRUE())))</f>
        <v/>
      </c>
      <c r="AK54" s="100" t="str">
        <f aca="false">IF(ISBLANK($C54),"",IF($F54=Constants!$B$2,TRUE(),IF($F54=Constants!$B$3,FALSE(),FALSE())))</f>
        <v/>
      </c>
      <c r="AL54" s="100" t="str">
        <f aca="false">IF(ISBLANK($C54),"",IF($G54=Constants!$B$2,TRUE(),IF($G54=Constants!$B$3,FALSE(),TRUE())))</f>
        <v/>
      </c>
      <c r="AM54" s="100" t="str">
        <f aca="false">IF(ISBLANK($C54),"",IF($H54=Constants!$B$2,TRUE(),IF($H54=Constants!$B$3,FALSE(),TRUE())))</f>
        <v/>
      </c>
      <c r="AN54" s="100" t="str">
        <f aca="false">IF(ISBLANK($C54),"",IF(ISNUMBER($I54),IF($I54&gt;=0,$I54,""),""))</f>
        <v/>
      </c>
      <c r="AO54" s="100" t="str">
        <f aca="false">IF(ISBLANK($C54),"",IF(ISNUMBER($J54),IF($J54&gt;=0,$J54,""),""))</f>
        <v/>
      </c>
      <c r="AP54" s="100" t="str">
        <f aca="false">IF(ISBLANK($C54),"",IF(ISNUMBER($K54),IF($K54&gt;=0,$K54,""),""))</f>
        <v/>
      </c>
      <c r="AQ54" s="100" t="str">
        <f aca="false">IF(ISBLANK($C54),"",IF($L54=Constants!$B$2,TRUE(),IF($L54=Constants!$B$3,FALSE(),TRUE())))</f>
        <v/>
      </c>
      <c r="AR54" s="100" t="str">
        <f aca="false">IF(ISBLANK($C54),"",IF($M54=Constants!$B$2,TRUE(),IF($M54=Constants!$B$3,FALSE(),TRUE())))</f>
        <v/>
      </c>
      <c r="AS54" s="100" t="str">
        <f aca="false">IF(ISBLANK($C54),"",IF($N54=Constants!$B$2,TRUE(),IF($N54=Constants!$B$3,FALSE(),FALSE())))</f>
        <v/>
      </c>
      <c r="AT54" s="100" t="str">
        <f aca="false">IF(ISBLANK($C54),"",IF($O54=Constants!$B$2,TRUE(),IF($O54=Constants!$B$3,FALSE(),TRUE())))</f>
        <v/>
      </c>
      <c r="AU54" s="100" t="str">
        <f aca="false">IF(ISBLANK($C54),"",IF($P54=Constants!$B$2,TRUE(),IF($P54=Constants!$B$3,FALSE(),TRUE())))</f>
        <v/>
      </c>
      <c r="AV54" s="100" t="str">
        <f aca="false">IF(ISBLANK($C54),"",IF($Q54=Constants!$B$2,TRUE(),IF($Q54=Constants!$B$3,FALSE(),FALSE())))</f>
        <v/>
      </c>
      <c r="AW54" s="100" t="str">
        <f aca="false">IF(ISBLANK($C54),"",IF($R54=Constants!$B$2,TRUE(),IF($R54=Constants!$B$3,FALSE(),FALSE())))</f>
        <v/>
      </c>
      <c r="AX54" s="100" t="str">
        <f aca="false">IF(ISBLANK($C54),"",IF($S54=Constants!$B$2,TRUE(),IF($S54=Constants!$B$3,FALSE(),FALSE())))</f>
        <v/>
      </c>
      <c r="AY54" s="100" t="str">
        <f aca="false">IF(ISBLANK($C54),"",IF($T54=Constants!$B$2,TRUE(),IF($T54=Constants!$B$3,FALSE(),FALSE())))</f>
        <v/>
      </c>
      <c r="AZ54" s="100" t="str">
        <f aca="false">IF(ISBLANK($C54),"",IF($U54=Constants!$B$2,TRUE(),IF($U54=Constants!$B$3,FALSE(),FALSE())))</f>
        <v/>
      </c>
      <c r="BA54" s="100" t="str">
        <f aca="false">IF(ISBLANK($C54),"",IF(OR($V54&amp;""="1",$V54&amp;""="2",$V54&amp;""="3",$V54&amp;""="4"),VALUE($V54&amp;""),IF($V54=Constants!$B$12,Constants!$B$12,"")))</f>
        <v/>
      </c>
      <c r="BB54" s="100" t="str">
        <f aca="false">IF(ISBLANK($C54),"",IF(ISBLANK($W54),0,IF(ISNUMBER($W54),IF(AND($W54&gt;=0,$W54&lt;=Constants!$B$21,$W54=INT($W54)),$W54,""),"")))</f>
        <v/>
      </c>
      <c r="BC54" s="100" t="str">
        <f aca="false">IF(ISBLANK($C54),"",IF(ISBLANK($X54),0,IF(ISNUMBER($X54),IF($X54&gt;=0,$X54,""),"")))</f>
        <v/>
      </c>
      <c r="BD54" s="100" t="str">
        <f aca="false">IF(ISBLANK($C54),"",IF($Y54=Constants!$B$2,TRUE(),IF($Y54=Constants!$B$3,FALSE(),TRUE())))</f>
        <v/>
      </c>
      <c r="BE54" s="100" t="str">
        <f aca="false">IF(ISBLANK($C54),"",IF($Z54=Constants!$B$2,TRUE(),IF($Z54=Constants!$B$3,FALSE(),FALSE())))</f>
        <v/>
      </c>
      <c r="BF54" s="100" t="str">
        <f aca="false">IF(ISBLANK($C54),"",IF(ISBLANK($AA54),0,IF(ISNUMBER($AA54),IF(AND($AA54&gt;=0,$AA54&lt;=Constants!$B$35,$AA54=INT($AA54)),$AA54,""),"")))</f>
        <v/>
      </c>
      <c r="BG54" s="100" t="str">
        <f aca="false">IF(ISBLANK($C54),"",IF($AB54=Constants!$B$2,TRUE(),IF($AB54=Constants!$B$3,FALSE(),TRUE())))</f>
        <v/>
      </c>
      <c r="BH54" s="100" t="str">
        <f aca="false">IF(ISBLANK($C54),"",IF($AC54=Constants!$B$2,TRUE(),IF($AC54=Constants!$B$3,FALSE(),TRUE())))</f>
        <v/>
      </c>
      <c r="BI54" s="100" t="str">
        <f aca="false">IF(ISBLANK($C54),"",IF($AD54=Constants!$B$2,TRUE(),IF($AD54=Constants!$B$3,FALSE(),TRUE())))</f>
        <v/>
      </c>
      <c r="BJ54" s="100" t="str">
        <f aca="false">IF(ISBLANK($C54),"",IF(ISNUMBER($AE54),IF($AE54&gt;=0,$AE54,""),""))</f>
        <v/>
      </c>
      <c r="BK54" s="100" t="str">
        <f aca="false">IF(ISBLANK($C54),"",IF($AF54=Constants!$B$2,TRUE(),IF($AF54=Constants!$B$3,FALSE(),FALSE())))</f>
        <v/>
      </c>
      <c r="BL54" s="99" t="str">
        <f aca="false">IF(ISBLANK($C54),"",IF($BK54,Constants!$B$7,IF(COUNTA($E54:$AE54)=0,Constants!$B$6,IF(OR(COUNTA($G54:$AE54)=0,NOT($AM54),$AS54),Constants!$B$5,IF(OR($CM54&lt;&gt;"",$CN54,$CO54,$CP54,$CQ54,$CR54,$CS54),Constants!$B$8,Constants!$B$4)))))</f>
        <v/>
      </c>
      <c r="BM54" s="100" t="str">
        <f aca="false">IF(ISBLANK($C54),"",IF($BL54&lt;&gt;Constants!$B$4,$BL54,IF(OR(NOT($AJ54),NOT($AL54),NOT($AT54)),Constants!$B$11,IF(OR(NOT($AR54),NOT($AU54),NOT($BI54),MAX($AN54,$AO54,$AP54)&gt;Constants!$B$30),Constants!$B$10,Constants!$B$9))))</f>
        <v/>
      </c>
      <c r="BN54" s="100" t="str">
        <f aca="false">IF($BL54&lt;&gt;Constants!$B$4,"",IF(NOT($AL54),0,MIN(Constants!$B$35,$BF54)))</f>
        <v/>
      </c>
      <c r="BO54" s="100" t="str">
        <f aca="false">IF($BL54&lt;&gt;Constants!$B$4,"",IF(NOT($AL54),0,IF($AW54,Constants!$B$18,IF($AV54,Constants!$B$17,0))))</f>
        <v/>
      </c>
      <c r="BP54" s="100" t="str">
        <f aca="false">IF($BL54&lt;&gt;Constants!$B$4,"",IF(NOT($AL54),0,Constants!$B$19*($AK54+$AX54+$AY54+$AZ54)))</f>
        <v/>
      </c>
      <c r="BQ54" s="100" t="str">
        <f aca="false">IF($BL54&lt;&gt;Constants!$B$4,"",IF(OR(NOT($AL54),NOT(ISNUMBER($BA54))),0,CHOOSE($BA54,Constants!$B$13,Constants!$B$14,Constants!$B$15,Constants!$B$16)))</f>
        <v/>
      </c>
      <c r="BR54" s="100" t="str">
        <f aca="false">IF($BL54&lt;&gt;Constants!$B$4,"",IF(NOT($AL54),0,Constants!$B$20*$BB54))</f>
        <v/>
      </c>
      <c r="BS54" s="100" t="str">
        <f aca="false">IF($BL54&lt;&gt;Constants!$B$4,"",IF(AND($AL54,$BD54,$BE54),Constants!$B$22,0))</f>
        <v/>
      </c>
      <c r="BT54" s="100" t="str">
        <f aca="false">IF($BL54&lt;&gt;Constants!$B$4,"",IF(OR(NOT($AL54),NOT($BD54)),0,IF($BJ54&gt;=2*$AH$9,0,Constants!$B$23*INT(ROUND(MIN($BJ54,$AH$9),6)))))</f>
        <v/>
      </c>
      <c r="BU54" s="100" t="str">
        <f aca="false">IF($BL54&lt;&gt;Constants!$B$4,"",IF(NOT($AL54),0,Constants!$B$24*INT(ROUND(MIN($BC54,$AH$9),6))))</f>
        <v/>
      </c>
      <c r="BV54" s="100" t="str">
        <f aca="false">IF($BL54&lt;&gt;Constants!$B$4,"",IF(AND($AL54,$BN54=0),Constants!$B$25,0))</f>
        <v/>
      </c>
      <c r="BW54" s="100" t="str">
        <f aca="false">IF($BL54&lt;&gt;Constants!$B$4,"",MIN(Constants!$B$29,MAX(0,Constants!$B$27*Constants!$B$28*INT(ROUND((Constants!$B$26-$AN54)/Constants!$B$28,6))))+MIN(Constants!$B$29,MAX(0,Constants!$B$27*Constants!$B$28*INT(ROUND((Constants!$B$26-$AO54)/Constants!$B$28,6))))+MIN(Constants!$B$29,MAX(0,Constants!$B$27*Constants!$B$28*INT(ROUND((Constants!$B$26-$AP54)/Constants!$B$28,6)))))</f>
        <v/>
      </c>
      <c r="BX54" s="100" t="str">
        <f aca="false">IF($BL54&lt;&gt;Constants!$B$4,"",IF(NOT($AL54),0,Constants!$B$31*INT(ROUND(MAX(0,MIN($BJ54,2*$AH$9)-$AH$9),6))))</f>
        <v/>
      </c>
      <c r="BY54" s="100" t="str">
        <f aca="false">IF($BL54&lt;&gt;Constants!$B$4,"",Constants!$B$32*(($AN54&gt;Constants!$B$26)+($AO54&gt;Constants!$B$26)+($AP54&gt;Constants!$B$26)))</f>
        <v/>
      </c>
      <c r="BZ54" s="100" t="str">
        <f aca="false">IF($BL54&lt;&gt;Constants!$B$4,"",IF(OR(NOT($AL54),$AQ54),0,Constants!$B$33))</f>
        <v/>
      </c>
      <c r="CA54" s="100" t="str">
        <f aca="false">IF($BL54&lt;&gt;Constants!$B$4,"",Constants!$B$34*$BN54)</f>
        <v/>
      </c>
      <c r="CB54" s="100" t="str">
        <f aca="false">IF($BL54&lt;&gt;Constants!$B$4,"",IF(OR(NOT($AL54),$BH54),0,Constants!$B$36))</f>
        <v/>
      </c>
      <c r="CC54" s="100" t="str">
        <f aca="false">IF($BL54&lt;&gt;Constants!$B$4,"",IF(OR(NOT($AL54),$BG54),0,Constants!$B$37))</f>
        <v/>
      </c>
      <c r="CD54" s="100" t="str">
        <f aca="false">IF($BL54&lt;&gt;Constants!$B$4,"",SUM($BX54:$CC54))</f>
        <v/>
      </c>
      <c r="CE54" s="100" t="str">
        <f aca="false">IF(ISBLANK($C54),"",IF($BL54&lt;&gt;Constants!$B$4,$BL54,SUM($BO54:$BW54)-$CD54))</f>
        <v/>
      </c>
      <c r="CF54" s="100" t="str">
        <f aca="false">IF(ISBLANK($C54),"",IF($BL54&lt;&gt;Constants!$B$4,$BL54,RANK($CE54,$CE$9:$CE$508)))</f>
        <v/>
      </c>
      <c r="CG54" s="100" t="str">
        <f aca="false">IF(ISBLANK($C54),"",IF($BL54&lt;&gt;Constants!$B$4,$BL54,COUNTIFS($BM$9:$BM$508,"&lt;"&amp;$BM54)+COUNTIFS($BM$9:$BM$508,$BM54,$CF$9:$CF$508,"&lt;"&amp;$CF54)+1))</f>
        <v/>
      </c>
      <c r="CH54" s="100" t="str">
        <f aca="false">IF(ISBLANK($C54),"",IF($BL54&lt;&gt;Constants!$B$4,$BL54,RANK($CD54,$CD$9:$CD$508,1)))</f>
        <v/>
      </c>
      <c r="CI54" s="100" t="str">
        <f aca="false">IF($BL54&lt;&gt;Constants!$B$4,"",$AN54+$AO54+$AP54)</f>
        <v/>
      </c>
      <c r="CJ54" s="100" t="str">
        <f aca="false">IF(ISBLANK($C54),"",IF($BL54&lt;&gt;Constants!$B$4,$BL54,RANK($CI54,$CI$9:$CI$508,1)))</f>
        <v/>
      </c>
      <c r="CK54" s="100" t="str">
        <f aca="false">IF(ISBLANK($C54),"",IF($BL54&lt;&gt;Constants!$B$4,$BL54,COUNTIFS($BM$9:$BM$508,"&lt;"&amp;$BM54)+COUNTIFS($BM$9:$BM$508,$BM54,$CF$9:$CF$508,"&lt;"&amp;$CF54)+COUNTIFS($BM$9:$BM$508,$BM54,$CF$9:$CF$508,$CF54,$CH$9:$CH$508,"&lt;"&amp;$CH54)+COUNTIFS($BM$9:$BM$508,$BM54,$CF$9:$CF$508,$CF54,$CH$9:$CH$508,$CH54,$CJ$9:$CJ$508,"&lt;"&amp;$CJ54)+1))</f>
        <v/>
      </c>
      <c r="CL54" s="100" t="str">
        <f aca="false">IF(ISBLANK($C54),"",IF($BL54&lt;&gt;Constants!$B$4,$BL54,$CG54-$CK54))</f>
        <v/>
      </c>
      <c r="CM54" s="100" t="str">
        <f aca="false">IF(ISBLANK($C54),"",IF(NOT($AL54),"",IF(ISBLANK($D$7),$CM$5,IF(NOT(ISNUMBER($D$7)),$CM$6,""))))</f>
        <v/>
      </c>
      <c r="CN54" s="100" t="str">
        <f aca="false">IF(ISBLANK($C54),"",OR($AN54="",$AO54="",$AP54=""))</f>
        <v/>
      </c>
      <c r="CO54" s="100" t="str">
        <f aca="false">IF(ISBLANK($C54),"",AND($AL54,$BA54=""))</f>
        <v/>
      </c>
      <c r="CP54" s="100" t="str">
        <f aca="false">IF(ISBLANK($C54),"",AND($AL54,$BB54=""))</f>
        <v/>
      </c>
      <c r="CQ54" s="100" t="str">
        <f aca="false">IF(ISBLANK($C54),"",AND($AL54,$BC54=""))</f>
        <v/>
      </c>
      <c r="CR54" s="100" t="str">
        <f aca="false">IF(ISBLANK($C54),"",AND($AL54,$BF54=""))</f>
        <v/>
      </c>
      <c r="CS54" s="100" t="str">
        <f aca="false">IF(ISBLANK($C54),"",AND($AL54,$BJ54=""))</f>
        <v/>
      </c>
      <c r="CT54" s="101"/>
      <c r="CU54" s="102"/>
      <c r="CV54" s="103" t="str">
        <f aca="false">IF(ISBLANK($C54),"",IF($BL54=Constants!$B$8,$CM54,""))</f>
        <v/>
      </c>
      <c r="CW54" s="102" t="str">
        <f aca="false">IF(ISBLANK($C54),"",IF($BL54&lt;&gt;Constants!$B$4,"",$BO54+$BP54))</f>
        <v/>
      </c>
      <c r="CX54" s="104" t="str">
        <f aca="false">IF(ISBLANK($C54),"",IF($BL54&lt;&gt;Constants!$B$4,"",$BQ54+$BR54+$BS54))</f>
        <v/>
      </c>
      <c r="CY54" s="104" t="str">
        <f aca="false">IF(ISBLANK($C54),"",IF($BL54&lt;&gt;Constants!$B$4,"",$BT54))</f>
        <v/>
      </c>
      <c r="CZ54" s="104" t="str">
        <f aca="false">IF(ISBLANK($C54),"",IF($BL54&lt;&gt;Constants!$B$4,"",$BU54+$BV54))</f>
        <v/>
      </c>
      <c r="DA54" s="104" t="str">
        <f aca="false">IF(ISBLANK($C54),"",IF($BL54&lt;&gt;Constants!$B$4,"",$BW54))</f>
        <v/>
      </c>
      <c r="DB54" s="104" t="str">
        <f aca="false">IF(ISBLANK($C54),"",IF($BL54&lt;&gt;Constants!$B$4,"",-$CD54))</f>
        <v/>
      </c>
      <c r="DC54" s="103" t="str">
        <f aca="false">IF(ISBLANK($C54),"",$CE54)</f>
        <v/>
      </c>
      <c r="DD54" s="105" t="str">
        <f aca="false">IF(ISBLANK($C54),"",$BM54)</f>
        <v/>
      </c>
      <c r="DE54" s="104" t="str">
        <f aca="false">IF(ISBLANK($C54),"",$CL54)</f>
        <v/>
      </c>
      <c r="DF54" s="104" t="str">
        <f aca="false">IF(ISBLANK($C54),"",$CK54)</f>
        <v/>
      </c>
      <c r="DG54" s="106" t="str">
        <f aca="false">IF(ISBLANK($C54),"",IF($DF54=Constants!$B$7,COUNTA($C$9:$C$508)+2,IF($DF54=Constants!$B$6,COUNTA($C$9:$C$508)+1,IF($DF54=Constants!$B$5,COUNTA($C$9:$C$508),$DF54))))</f>
        <v/>
      </c>
      <c r="DH54" s="7"/>
      <c r="DI54" s="107" t="n">
        <f aca="false">IF(OR(ISNUMBER($DF54),$DF54=Constants!$B$7,$DF54=Constants!$B$5,$DF54=Constants!$B$6),1,0)</f>
        <v>0</v>
      </c>
      <c r="DJ54" s="107" t="n">
        <v>46</v>
      </c>
      <c r="DK54" s="107" t="str">
        <f aca="false">IF(ISBLANK($C54),"",IF(ISNUMBER($DG54),$DG54+ROW($B54)/1000,""))</f>
        <v/>
      </c>
      <c r="DL54" s="107" t="str">
        <f aca="false">IF(ISNUMBER($DK54),RANK($DK54,$DK$9:$DK$508,1),"")</f>
        <v/>
      </c>
      <c r="DM54" s="107" t="str">
        <f aca="false">IF(ISBLANK($C54),"",$B54)</f>
        <v/>
      </c>
      <c r="DN54" s="107" t="str">
        <f aca="false">IF(ISBLANK($C54),"",$C54)</f>
        <v/>
      </c>
      <c r="DO54" s="107" t="str">
        <f aca="false">IF(ISBLANK($C54),"",$D54)</f>
        <v/>
      </c>
      <c r="DP54" s="108" t="str">
        <f aca="false">$DD54</f>
        <v/>
      </c>
      <c r="DQ54" s="109" t="str">
        <f aca="false">$DC54</f>
        <v/>
      </c>
      <c r="DR54" s="107" t="str">
        <f aca="false">IF(ISBLANK($C54),"",$DF54)</f>
        <v/>
      </c>
      <c r="DS54" s="110" t="str">
        <f aca="false">IF($DJ54&gt;$DI$8,"",VLOOKUP($DJ54,$DL$9:$DR$508,7,FALSE()))</f>
        <v/>
      </c>
      <c r="DT54" s="111" t="str">
        <f aca="false">IF($DJ54&gt;$DI$8,"",VLOOKUP($DJ54,$DL$9:$DR$508,2,FALSE()))</f>
        <v/>
      </c>
      <c r="DU54" s="111" t="str">
        <f aca="false">IF($DJ54&gt;$DI$8,"",VLOOKUP($DJ54,$DL$9:$DR$508,3,FALSE()))</f>
        <v/>
      </c>
      <c r="DV54" s="111" t="str">
        <f aca="false">IF($DJ54&gt;$DI$8,"",VLOOKUP($DJ54,$DL$9:$DR$508,4,FALSE()))</f>
        <v/>
      </c>
      <c r="DW54" s="111" t="str">
        <f aca="false">IF($DJ54&gt;$DI$8,"",VLOOKUP($DJ54,$DL$9:$DR$508,5,FALSE()))</f>
        <v/>
      </c>
      <c r="DX54" s="112" t="str">
        <f aca="false">IF($DJ54&gt;$DI$8,"",VLOOKUP($DJ54,$DL$9:$DR$508,6,FALSE()))</f>
        <v/>
      </c>
      <c r="DY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16"/>
      <c r="N55" s="116"/>
      <c r="O55" s="113"/>
      <c r="P55" s="113"/>
      <c r="Q55" s="116"/>
      <c r="R55" s="116"/>
      <c r="S55" s="116"/>
      <c r="T55" s="116"/>
      <c r="U55" s="113"/>
      <c r="V55" s="116"/>
      <c r="W55" s="132"/>
      <c r="X55" s="116"/>
      <c r="Y55" s="116"/>
      <c r="Z55" s="132"/>
      <c r="AA55" s="132"/>
      <c r="AB55" s="116"/>
      <c r="AC55" s="116"/>
      <c r="AD55" s="116"/>
      <c r="AE55" s="133"/>
      <c r="AF55" s="116"/>
      <c r="AG55" s="99"/>
      <c r="AH55" s="100"/>
      <c r="AI55" s="100"/>
      <c r="AJ55" s="100" t="str">
        <f aca="false">IF(ISBLANK($C55),"",IF($E55=Constants!$B$2,TRUE(),IF($E55=Constants!$B$3,FALSE(),TRUE())))</f>
        <v/>
      </c>
      <c r="AK55" s="100" t="str">
        <f aca="false">IF(ISBLANK($C55),"",IF($F55=Constants!$B$2,TRUE(),IF($F55=Constants!$B$3,FALSE(),FALSE())))</f>
        <v/>
      </c>
      <c r="AL55" s="100" t="str">
        <f aca="false">IF(ISBLANK($C55),"",IF($G55=Constants!$B$2,TRUE(),IF($G55=Constants!$B$3,FALSE(),TRUE())))</f>
        <v/>
      </c>
      <c r="AM55" s="100" t="str">
        <f aca="false">IF(ISBLANK($C55),"",IF($H55=Constants!$B$2,TRUE(),IF($H55=Constants!$B$3,FALSE(),TRUE())))</f>
        <v/>
      </c>
      <c r="AN55" s="100" t="str">
        <f aca="false">IF(ISBLANK($C55),"",IF(ISNUMBER($I55),IF($I55&gt;=0,$I55,""),""))</f>
        <v/>
      </c>
      <c r="AO55" s="100" t="str">
        <f aca="false">IF(ISBLANK($C55),"",IF(ISNUMBER($J55),IF($J55&gt;=0,$J55,""),""))</f>
        <v/>
      </c>
      <c r="AP55" s="100" t="str">
        <f aca="false">IF(ISBLANK($C55),"",IF(ISNUMBER($K55),IF($K55&gt;=0,$K55,""),""))</f>
        <v/>
      </c>
      <c r="AQ55" s="100" t="str">
        <f aca="false">IF(ISBLANK($C55),"",IF($L55=Constants!$B$2,TRUE(),IF($L55=Constants!$B$3,FALSE(),TRUE())))</f>
        <v/>
      </c>
      <c r="AR55" s="100" t="str">
        <f aca="false">IF(ISBLANK($C55),"",IF($M55=Constants!$B$2,TRUE(),IF($M55=Constants!$B$3,FALSE(),TRUE())))</f>
        <v/>
      </c>
      <c r="AS55" s="100" t="str">
        <f aca="false">IF(ISBLANK($C55),"",IF($N55=Constants!$B$2,TRUE(),IF($N55=Constants!$B$3,FALSE(),FALSE())))</f>
        <v/>
      </c>
      <c r="AT55" s="100" t="str">
        <f aca="false">IF(ISBLANK($C55),"",IF($O55=Constants!$B$2,TRUE(),IF($O55=Constants!$B$3,FALSE(),TRUE())))</f>
        <v/>
      </c>
      <c r="AU55" s="100" t="str">
        <f aca="false">IF(ISBLANK($C55),"",IF($P55=Constants!$B$2,TRUE(),IF($P55=Constants!$B$3,FALSE(),TRUE())))</f>
        <v/>
      </c>
      <c r="AV55" s="100" t="str">
        <f aca="false">IF(ISBLANK($C55),"",IF($Q55=Constants!$B$2,TRUE(),IF($Q55=Constants!$B$3,FALSE(),FALSE())))</f>
        <v/>
      </c>
      <c r="AW55" s="100" t="str">
        <f aca="false">IF(ISBLANK($C55),"",IF($R55=Constants!$B$2,TRUE(),IF($R55=Constants!$B$3,FALSE(),FALSE())))</f>
        <v/>
      </c>
      <c r="AX55" s="100" t="str">
        <f aca="false">IF(ISBLANK($C55),"",IF($S55=Constants!$B$2,TRUE(),IF($S55=Constants!$B$3,FALSE(),FALSE())))</f>
        <v/>
      </c>
      <c r="AY55" s="100" t="str">
        <f aca="false">IF(ISBLANK($C55),"",IF($T55=Constants!$B$2,TRUE(),IF($T55=Constants!$B$3,FALSE(),FALSE())))</f>
        <v/>
      </c>
      <c r="AZ55" s="100" t="str">
        <f aca="false">IF(ISBLANK($C55),"",IF($U55=Constants!$B$2,TRUE(),IF($U55=Constants!$B$3,FALSE(),FALSE())))</f>
        <v/>
      </c>
      <c r="BA55" s="100" t="str">
        <f aca="false">IF(ISBLANK($C55),"",IF(OR($V55&amp;""="1",$V55&amp;""="2",$V55&amp;""="3",$V55&amp;""="4"),VALUE($V55&amp;""),IF($V55=Constants!$B$12,Constants!$B$12,"")))</f>
        <v/>
      </c>
      <c r="BB55" s="100" t="str">
        <f aca="false">IF(ISBLANK($C55),"",IF(ISBLANK($W55),0,IF(ISNUMBER($W55),IF(AND($W55&gt;=0,$W55&lt;=Constants!$B$21,$W55=INT($W55)),$W55,""),"")))</f>
        <v/>
      </c>
      <c r="BC55" s="100" t="str">
        <f aca="false">IF(ISBLANK($C55),"",IF(ISBLANK($X55),0,IF(ISNUMBER($X55),IF($X55&gt;=0,$X55,""),"")))</f>
        <v/>
      </c>
      <c r="BD55" s="100" t="str">
        <f aca="false">IF(ISBLANK($C55),"",IF($Y55=Constants!$B$2,TRUE(),IF($Y55=Constants!$B$3,FALSE(),TRUE())))</f>
        <v/>
      </c>
      <c r="BE55" s="100" t="str">
        <f aca="false">IF(ISBLANK($C55),"",IF($Z55=Constants!$B$2,TRUE(),IF($Z55=Constants!$B$3,FALSE(),FALSE())))</f>
        <v/>
      </c>
      <c r="BF55" s="100" t="str">
        <f aca="false">IF(ISBLANK($C55),"",IF(ISBLANK($AA55),0,IF(ISNUMBER($AA55),IF(AND($AA55&gt;=0,$AA55&lt;=Constants!$B$35,$AA55=INT($AA55)),$AA55,""),"")))</f>
        <v/>
      </c>
      <c r="BG55" s="100" t="str">
        <f aca="false">IF(ISBLANK($C55),"",IF($AB55=Constants!$B$2,TRUE(),IF($AB55=Constants!$B$3,FALSE(),TRUE())))</f>
        <v/>
      </c>
      <c r="BH55" s="100" t="str">
        <f aca="false">IF(ISBLANK($C55),"",IF($AC55=Constants!$B$2,TRUE(),IF($AC55=Constants!$B$3,FALSE(),TRUE())))</f>
        <v/>
      </c>
      <c r="BI55" s="100" t="str">
        <f aca="false">IF(ISBLANK($C55),"",IF($AD55=Constants!$B$2,TRUE(),IF($AD55=Constants!$B$3,FALSE(),TRUE())))</f>
        <v/>
      </c>
      <c r="BJ55" s="100" t="str">
        <f aca="false">IF(ISBLANK($C55),"",IF(ISNUMBER($AE55),IF($AE55&gt;=0,$AE55,""),""))</f>
        <v/>
      </c>
      <c r="BK55" s="100" t="str">
        <f aca="false">IF(ISBLANK($C55),"",IF($AF55=Constants!$B$2,TRUE(),IF($AF55=Constants!$B$3,FALSE(),FALSE())))</f>
        <v/>
      </c>
      <c r="BL55" s="99" t="str">
        <f aca="false">IF(ISBLANK($C55),"",IF($BK55,Constants!$B$7,IF(COUNTA($E55:$AE55)=0,Constants!$B$6,IF(OR(COUNTA($G55:$AE55)=0,NOT($AM55),$AS55),Constants!$B$5,IF(OR($CM55&lt;&gt;"",$CN55,$CO55,$CP55,$CQ55,$CR55,$CS55),Constants!$B$8,Constants!$B$4)))))</f>
        <v/>
      </c>
      <c r="BM55" s="100" t="str">
        <f aca="false">IF(ISBLANK($C55),"",IF($BL55&lt;&gt;Constants!$B$4,$BL55,IF(OR(NOT($AJ55),NOT($AL55),NOT($AT55)),Constants!$B$11,IF(OR(NOT($AR55),NOT($AU55),NOT($BI55),MAX($AN55,$AO55,$AP55)&gt;Constants!$B$30),Constants!$B$10,Constants!$B$9))))</f>
        <v/>
      </c>
      <c r="BN55" s="100" t="str">
        <f aca="false">IF($BL55&lt;&gt;Constants!$B$4,"",IF(NOT($AL55),0,MIN(Constants!$B$35,$BF55)))</f>
        <v/>
      </c>
      <c r="BO55" s="100" t="str">
        <f aca="false">IF($BL55&lt;&gt;Constants!$B$4,"",IF(NOT($AL55),0,IF($AW55,Constants!$B$18,IF($AV55,Constants!$B$17,0))))</f>
        <v/>
      </c>
      <c r="BP55" s="100" t="str">
        <f aca="false">IF($BL55&lt;&gt;Constants!$B$4,"",IF(NOT($AL55),0,Constants!$B$19*($AK55+$AX55+$AY55+$AZ55)))</f>
        <v/>
      </c>
      <c r="BQ55" s="100" t="str">
        <f aca="false">IF($BL55&lt;&gt;Constants!$B$4,"",IF(OR(NOT($AL55),NOT(ISNUMBER($BA55))),0,CHOOSE($BA55,Constants!$B$13,Constants!$B$14,Constants!$B$15,Constants!$B$16)))</f>
        <v/>
      </c>
      <c r="BR55" s="100" t="str">
        <f aca="false">IF($BL55&lt;&gt;Constants!$B$4,"",IF(NOT($AL55),0,Constants!$B$20*$BB55))</f>
        <v/>
      </c>
      <c r="BS55" s="100" t="str">
        <f aca="false">IF($BL55&lt;&gt;Constants!$B$4,"",IF(AND($AL55,$BD55,$BE55),Constants!$B$22,0))</f>
        <v/>
      </c>
      <c r="BT55" s="100" t="str">
        <f aca="false">IF($BL55&lt;&gt;Constants!$B$4,"",IF(OR(NOT($AL55),NOT($BD55)),0,IF($BJ55&gt;=2*$AH$9,0,Constants!$B$23*INT(ROUND(MIN($BJ55,$AH$9),6)))))</f>
        <v/>
      </c>
      <c r="BU55" s="100" t="str">
        <f aca="false">IF($BL55&lt;&gt;Constants!$B$4,"",IF(NOT($AL55),0,Constants!$B$24*INT(ROUND(MIN($BC55,$AH$9),6))))</f>
        <v/>
      </c>
      <c r="BV55" s="100" t="str">
        <f aca="false">IF($BL55&lt;&gt;Constants!$B$4,"",IF(AND($AL55,$BN55=0),Constants!$B$25,0))</f>
        <v/>
      </c>
      <c r="BW55" s="100" t="str">
        <f aca="false">IF($BL55&lt;&gt;Constants!$B$4,"",MIN(Constants!$B$29,MAX(0,Constants!$B$27*Constants!$B$28*INT(ROUND((Constants!$B$26-$AN55)/Constants!$B$28,6))))+MIN(Constants!$B$29,MAX(0,Constants!$B$27*Constants!$B$28*INT(ROUND((Constants!$B$26-$AO55)/Constants!$B$28,6))))+MIN(Constants!$B$29,MAX(0,Constants!$B$27*Constants!$B$28*INT(ROUND((Constants!$B$26-$AP55)/Constants!$B$28,6)))))</f>
        <v/>
      </c>
      <c r="BX55" s="100" t="str">
        <f aca="false">IF($BL55&lt;&gt;Constants!$B$4,"",IF(NOT($AL55),0,Constants!$B$31*INT(ROUND(MAX(0,MIN($BJ55,2*$AH$9)-$AH$9),6))))</f>
        <v/>
      </c>
      <c r="BY55" s="100" t="str">
        <f aca="false">IF($BL55&lt;&gt;Constants!$B$4,"",Constants!$B$32*(($AN55&gt;Constants!$B$26)+($AO55&gt;Constants!$B$26)+($AP55&gt;Constants!$B$26)))</f>
        <v/>
      </c>
      <c r="BZ55" s="100" t="str">
        <f aca="false">IF($BL55&lt;&gt;Constants!$B$4,"",IF(OR(NOT($AL55),$AQ55),0,Constants!$B$33))</f>
        <v/>
      </c>
      <c r="CA55" s="100" t="str">
        <f aca="false">IF($BL55&lt;&gt;Constants!$B$4,"",Constants!$B$34*$BN55)</f>
        <v/>
      </c>
      <c r="CB55" s="100" t="str">
        <f aca="false">IF($BL55&lt;&gt;Constants!$B$4,"",IF(OR(NOT($AL55),$BH55),0,Constants!$B$36))</f>
        <v/>
      </c>
      <c r="CC55" s="100" t="str">
        <f aca="false">IF($BL55&lt;&gt;Constants!$B$4,"",IF(OR(NOT($AL55),$BG55),0,Constants!$B$37))</f>
        <v/>
      </c>
      <c r="CD55" s="100" t="str">
        <f aca="false">IF($BL55&lt;&gt;Constants!$B$4,"",SUM($BX55:$CC55))</f>
        <v/>
      </c>
      <c r="CE55" s="100" t="str">
        <f aca="false">IF(ISBLANK($C55),"",IF($BL55&lt;&gt;Constants!$B$4,$BL55,SUM($BO55:$BW55)-$CD55))</f>
        <v/>
      </c>
      <c r="CF55" s="100" t="str">
        <f aca="false">IF(ISBLANK($C55),"",IF($BL55&lt;&gt;Constants!$B$4,$BL55,RANK($CE55,$CE$9:$CE$508)))</f>
        <v/>
      </c>
      <c r="CG55" s="100" t="str">
        <f aca="false">IF(ISBLANK($C55),"",IF($BL55&lt;&gt;Constants!$B$4,$BL55,COUNTIFS($BM$9:$BM$508,"&lt;"&amp;$BM55)+COUNTIFS($BM$9:$BM$508,$BM55,$CF$9:$CF$508,"&lt;"&amp;$CF55)+1))</f>
        <v/>
      </c>
      <c r="CH55" s="100" t="str">
        <f aca="false">IF(ISBLANK($C55),"",IF($BL55&lt;&gt;Constants!$B$4,$BL55,RANK($CD55,$CD$9:$CD$508,1)))</f>
        <v/>
      </c>
      <c r="CI55" s="100" t="str">
        <f aca="false">IF($BL55&lt;&gt;Constants!$B$4,"",$AN55+$AO55+$AP55)</f>
        <v/>
      </c>
      <c r="CJ55" s="100" t="str">
        <f aca="false">IF(ISBLANK($C55),"",IF($BL55&lt;&gt;Constants!$B$4,$BL55,RANK($CI55,$CI$9:$CI$508,1)))</f>
        <v/>
      </c>
      <c r="CK55" s="100" t="str">
        <f aca="false">IF(ISBLANK($C55),"",IF($BL55&lt;&gt;Constants!$B$4,$BL55,COUNTIFS($BM$9:$BM$508,"&lt;"&amp;$BM55)+COUNTIFS($BM$9:$BM$508,$BM55,$CF$9:$CF$508,"&lt;"&amp;$CF55)+COUNTIFS($BM$9:$BM$508,$BM55,$CF$9:$CF$508,$CF55,$CH$9:$CH$508,"&lt;"&amp;$CH55)+COUNTIFS($BM$9:$BM$508,$BM55,$CF$9:$CF$508,$CF55,$CH$9:$CH$508,$CH55,$CJ$9:$CJ$508,"&lt;"&amp;$CJ55)+1))</f>
        <v/>
      </c>
      <c r="CL55" s="100" t="str">
        <f aca="false">IF(ISBLANK($C55),"",IF($BL55&lt;&gt;Constants!$B$4,$BL55,$CG55-$CK55))</f>
        <v/>
      </c>
      <c r="CM55" s="100" t="str">
        <f aca="false">IF(ISBLANK($C55),"",IF(NOT($AL55),"",IF(ISBLANK($D$7),$CM$5,IF(NOT(ISNUMBER($D$7)),$CM$6,""))))</f>
        <v/>
      </c>
      <c r="CN55" s="100" t="str">
        <f aca="false">IF(ISBLANK($C55),"",OR($AN55="",$AO55="",$AP55=""))</f>
        <v/>
      </c>
      <c r="CO55" s="100" t="str">
        <f aca="false">IF(ISBLANK($C55),"",AND($AL55,$BA55=""))</f>
        <v/>
      </c>
      <c r="CP55" s="100" t="str">
        <f aca="false">IF(ISBLANK($C55),"",AND($AL55,$BB55=""))</f>
        <v/>
      </c>
      <c r="CQ55" s="100" t="str">
        <f aca="false">IF(ISBLANK($C55),"",AND($AL55,$BC55=""))</f>
        <v/>
      </c>
      <c r="CR55" s="100" t="str">
        <f aca="false">IF(ISBLANK($C55),"",AND($AL55,$BF55=""))</f>
        <v/>
      </c>
      <c r="CS55" s="100" t="str">
        <f aca="false">IF(ISBLANK($C55),"",AND($AL55,$BJ55=""))</f>
        <v/>
      </c>
      <c r="CT55" s="101"/>
      <c r="CU55" s="102"/>
      <c r="CV55" s="103" t="str">
        <f aca="false">IF(ISBLANK($C55),"",IF($BL55=Constants!$B$8,$CM55,""))</f>
        <v/>
      </c>
      <c r="CW55" s="102" t="str">
        <f aca="false">IF(ISBLANK($C55),"",IF($BL55&lt;&gt;Constants!$B$4,"",$BO55+$BP55))</f>
        <v/>
      </c>
      <c r="CX55" s="104" t="str">
        <f aca="false">IF(ISBLANK($C55),"",IF($BL55&lt;&gt;Constants!$B$4,"",$BQ55+$BR55+$BS55))</f>
        <v/>
      </c>
      <c r="CY55" s="104" t="str">
        <f aca="false">IF(ISBLANK($C55),"",IF($BL55&lt;&gt;Constants!$B$4,"",$BT55))</f>
        <v/>
      </c>
      <c r="CZ55" s="104" t="str">
        <f aca="false">IF(ISBLANK($C55),"",IF($BL55&lt;&gt;Constants!$B$4,"",$BU55+$BV55))</f>
        <v/>
      </c>
      <c r="DA55" s="104" t="str">
        <f aca="false">IF(ISBLANK($C55),"",IF($BL55&lt;&gt;Constants!$B$4,"",$BW55))</f>
        <v/>
      </c>
      <c r="DB55" s="104" t="str">
        <f aca="false">IF(ISBLANK($C55),"",IF($BL55&lt;&gt;Constants!$B$4,"",-$CD55))</f>
        <v/>
      </c>
      <c r="DC55" s="103" t="str">
        <f aca="false">IF(ISBLANK($C55),"",$CE55)</f>
        <v/>
      </c>
      <c r="DD55" s="105" t="str">
        <f aca="false">IF(ISBLANK($C55),"",$BM55)</f>
        <v/>
      </c>
      <c r="DE55" s="104" t="str">
        <f aca="false">IF(ISBLANK($C55),"",$CL55)</f>
        <v/>
      </c>
      <c r="DF55" s="104" t="str">
        <f aca="false">IF(ISBLANK($C55),"",$CK55)</f>
        <v/>
      </c>
      <c r="DG55" s="106" t="str">
        <f aca="false">IF(ISBLANK($C55),"",IF($DF55=Constants!$B$7,COUNTA($C$9:$C$508)+2,IF($DF55=Constants!$B$6,COUNTA($C$9:$C$508)+1,IF($DF55=Constants!$B$5,COUNTA($C$9:$C$508),$DF55))))</f>
        <v/>
      </c>
      <c r="DH55" s="7"/>
      <c r="DI55" s="107" t="n">
        <f aca="false">IF(OR(ISNUMBER($DF55),$DF55=Constants!$B$7,$DF55=Constants!$B$5,$DF55=Constants!$B$6),1,0)</f>
        <v>0</v>
      </c>
      <c r="DJ55" s="107" t="n">
        <v>47</v>
      </c>
      <c r="DK55" s="107" t="str">
        <f aca="false">IF(ISBLANK($C55),"",IF(ISNUMBER($DG55),$DG55+ROW($B55)/1000,""))</f>
        <v/>
      </c>
      <c r="DL55" s="107" t="str">
        <f aca="false">IF(ISNUMBER($DK55),RANK($DK55,$DK$9:$DK$508,1),"")</f>
        <v/>
      </c>
      <c r="DM55" s="107" t="str">
        <f aca="false">IF(ISBLANK($C55),"",$B55)</f>
        <v/>
      </c>
      <c r="DN55" s="107" t="str">
        <f aca="false">IF(ISBLANK($C55),"",$C55)</f>
        <v/>
      </c>
      <c r="DO55" s="107" t="str">
        <f aca="false">IF(ISBLANK($C55),"",$D55)</f>
        <v/>
      </c>
      <c r="DP55" s="108" t="str">
        <f aca="false">$DD55</f>
        <v/>
      </c>
      <c r="DQ55" s="109" t="str">
        <f aca="false">$DC55</f>
        <v/>
      </c>
      <c r="DR55" s="107" t="str">
        <f aca="false">IF(ISBLANK($C55),"",$DF55)</f>
        <v/>
      </c>
      <c r="DS55" s="110" t="str">
        <f aca="false">IF($DJ55&gt;$DI$8,"",VLOOKUP($DJ55,$DL$9:$DR$508,7,FALSE()))</f>
        <v/>
      </c>
      <c r="DT55" s="111" t="str">
        <f aca="false">IF($DJ55&gt;$DI$8,"",VLOOKUP($DJ55,$DL$9:$DR$508,2,FALSE()))</f>
        <v/>
      </c>
      <c r="DU55" s="111" t="str">
        <f aca="false">IF($DJ55&gt;$DI$8,"",VLOOKUP($DJ55,$DL$9:$DR$508,3,FALSE()))</f>
        <v/>
      </c>
      <c r="DV55" s="111" t="str">
        <f aca="false">IF($DJ55&gt;$DI$8,"",VLOOKUP($DJ55,$DL$9:$DR$508,4,FALSE()))</f>
        <v/>
      </c>
      <c r="DW55" s="111" t="str">
        <f aca="false">IF($DJ55&gt;$DI$8,"",VLOOKUP($DJ55,$DL$9:$DR$508,5,FALSE()))</f>
        <v/>
      </c>
      <c r="DX55" s="112" t="str">
        <f aca="false">IF($DJ55&gt;$DI$8,"",VLOOKUP($DJ55,$DL$9:$DR$508,6,FALSE()))</f>
        <v/>
      </c>
      <c r="DY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130"/>
      <c r="N56" s="130"/>
      <c r="O56" s="135"/>
      <c r="P56" s="135"/>
      <c r="Q56" s="130"/>
      <c r="R56" s="130"/>
      <c r="S56" s="130"/>
      <c r="T56" s="130"/>
      <c r="U56" s="135"/>
      <c r="V56" s="130"/>
      <c r="W56" s="96"/>
      <c r="X56" s="130"/>
      <c r="Y56" s="130"/>
      <c r="Z56" s="96"/>
      <c r="AA56" s="96"/>
      <c r="AB56" s="130"/>
      <c r="AC56" s="130"/>
      <c r="AD56" s="130"/>
      <c r="AE56" s="97"/>
      <c r="AF56" s="130"/>
      <c r="AG56" s="99"/>
      <c r="AH56" s="100"/>
      <c r="AI56" s="100"/>
      <c r="AJ56" s="100" t="str">
        <f aca="false">IF(ISBLANK($C56),"",IF($E56=Constants!$B$2,TRUE(),IF($E56=Constants!$B$3,FALSE(),TRUE())))</f>
        <v/>
      </c>
      <c r="AK56" s="100" t="str">
        <f aca="false">IF(ISBLANK($C56),"",IF($F56=Constants!$B$2,TRUE(),IF($F56=Constants!$B$3,FALSE(),FALSE())))</f>
        <v/>
      </c>
      <c r="AL56" s="100" t="str">
        <f aca="false">IF(ISBLANK($C56),"",IF($G56=Constants!$B$2,TRUE(),IF($G56=Constants!$B$3,FALSE(),TRUE())))</f>
        <v/>
      </c>
      <c r="AM56" s="100" t="str">
        <f aca="false">IF(ISBLANK($C56),"",IF($H56=Constants!$B$2,TRUE(),IF($H56=Constants!$B$3,FALSE(),TRUE())))</f>
        <v/>
      </c>
      <c r="AN56" s="100" t="str">
        <f aca="false">IF(ISBLANK($C56),"",IF(ISNUMBER($I56),IF($I56&gt;=0,$I56,""),""))</f>
        <v/>
      </c>
      <c r="AO56" s="100" t="str">
        <f aca="false">IF(ISBLANK($C56),"",IF(ISNUMBER($J56),IF($J56&gt;=0,$J56,""),""))</f>
        <v/>
      </c>
      <c r="AP56" s="100" t="str">
        <f aca="false">IF(ISBLANK($C56),"",IF(ISNUMBER($K56),IF($K56&gt;=0,$K56,""),""))</f>
        <v/>
      </c>
      <c r="AQ56" s="100" t="str">
        <f aca="false">IF(ISBLANK($C56),"",IF($L56=Constants!$B$2,TRUE(),IF($L56=Constants!$B$3,FALSE(),TRUE())))</f>
        <v/>
      </c>
      <c r="AR56" s="100" t="str">
        <f aca="false">IF(ISBLANK($C56),"",IF($M56=Constants!$B$2,TRUE(),IF($M56=Constants!$B$3,FALSE(),TRUE())))</f>
        <v/>
      </c>
      <c r="AS56" s="100" t="str">
        <f aca="false">IF(ISBLANK($C56),"",IF($N56=Constants!$B$2,TRUE(),IF($N56=Constants!$B$3,FALSE(),FALSE())))</f>
        <v/>
      </c>
      <c r="AT56" s="100" t="str">
        <f aca="false">IF(ISBLANK($C56),"",IF($O56=Constants!$B$2,TRUE(),IF($O56=Constants!$B$3,FALSE(),TRUE())))</f>
        <v/>
      </c>
      <c r="AU56" s="100" t="str">
        <f aca="false">IF(ISBLANK($C56),"",IF($P56=Constants!$B$2,TRUE(),IF($P56=Constants!$B$3,FALSE(),TRUE())))</f>
        <v/>
      </c>
      <c r="AV56" s="100" t="str">
        <f aca="false">IF(ISBLANK($C56),"",IF($Q56=Constants!$B$2,TRUE(),IF($Q56=Constants!$B$3,FALSE(),FALSE())))</f>
        <v/>
      </c>
      <c r="AW56" s="100" t="str">
        <f aca="false">IF(ISBLANK($C56),"",IF($R56=Constants!$B$2,TRUE(),IF($R56=Constants!$B$3,FALSE(),FALSE())))</f>
        <v/>
      </c>
      <c r="AX56" s="100" t="str">
        <f aca="false">IF(ISBLANK($C56),"",IF($S56=Constants!$B$2,TRUE(),IF($S56=Constants!$B$3,FALSE(),FALSE())))</f>
        <v/>
      </c>
      <c r="AY56" s="100" t="str">
        <f aca="false">IF(ISBLANK($C56),"",IF($T56=Constants!$B$2,TRUE(),IF($T56=Constants!$B$3,FALSE(),FALSE())))</f>
        <v/>
      </c>
      <c r="AZ56" s="100" t="str">
        <f aca="false">IF(ISBLANK($C56),"",IF($U56=Constants!$B$2,TRUE(),IF($U56=Constants!$B$3,FALSE(),FALSE())))</f>
        <v/>
      </c>
      <c r="BA56" s="100" t="str">
        <f aca="false">IF(ISBLANK($C56),"",IF(OR($V56&amp;""="1",$V56&amp;""="2",$V56&amp;""="3",$V56&amp;""="4"),VALUE($V56&amp;""),IF($V56=Constants!$B$12,Constants!$B$12,"")))</f>
        <v/>
      </c>
      <c r="BB56" s="100" t="str">
        <f aca="false">IF(ISBLANK($C56),"",IF(ISBLANK($W56),0,IF(ISNUMBER($W56),IF(AND($W56&gt;=0,$W56&lt;=Constants!$B$21,$W56=INT($W56)),$W56,""),"")))</f>
        <v/>
      </c>
      <c r="BC56" s="100" t="str">
        <f aca="false">IF(ISBLANK($C56),"",IF(ISBLANK($X56),0,IF(ISNUMBER($X56),IF($X56&gt;=0,$X56,""),"")))</f>
        <v/>
      </c>
      <c r="BD56" s="100" t="str">
        <f aca="false">IF(ISBLANK($C56),"",IF($Y56=Constants!$B$2,TRUE(),IF($Y56=Constants!$B$3,FALSE(),TRUE())))</f>
        <v/>
      </c>
      <c r="BE56" s="100" t="str">
        <f aca="false">IF(ISBLANK($C56),"",IF($Z56=Constants!$B$2,TRUE(),IF($Z56=Constants!$B$3,FALSE(),FALSE())))</f>
        <v/>
      </c>
      <c r="BF56" s="100" t="str">
        <f aca="false">IF(ISBLANK($C56),"",IF(ISBLANK($AA56),0,IF(ISNUMBER($AA56),IF(AND($AA56&gt;=0,$AA56&lt;=Constants!$B$35,$AA56=INT($AA56)),$AA56,""),"")))</f>
        <v/>
      </c>
      <c r="BG56" s="100" t="str">
        <f aca="false">IF(ISBLANK($C56),"",IF($AB56=Constants!$B$2,TRUE(),IF($AB56=Constants!$B$3,FALSE(),TRUE())))</f>
        <v/>
      </c>
      <c r="BH56" s="100" t="str">
        <f aca="false">IF(ISBLANK($C56),"",IF($AC56=Constants!$B$2,TRUE(),IF($AC56=Constants!$B$3,FALSE(),TRUE())))</f>
        <v/>
      </c>
      <c r="BI56" s="100" t="str">
        <f aca="false">IF(ISBLANK($C56),"",IF($AD56=Constants!$B$2,TRUE(),IF($AD56=Constants!$B$3,FALSE(),TRUE())))</f>
        <v/>
      </c>
      <c r="BJ56" s="100" t="str">
        <f aca="false">IF(ISBLANK($C56),"",IF(ISNUMBER($AE56),IF($AE56&gt;=0,$AE56,""),""))</f>
        <v/>
      </c>
      <c r="BK56" s="100" t="str">
        <f aca="false">IF(ISBLANK($C56),"",IF($AF56=Constants!$B$2,TRUE(),IF($AF56=Constants!$B$3,FALSE(),FALSE())))</f>
        <v/>
      </c>
      <c r="BL56" s="99" t="str">
        <f aca="false">IF(ISBLANK($C56),"",IF($BK56,Constants!$B$7,IF(COUNTA($E56:$AE56)=0,Constants!$B$6,IF(OR(COUNTA($G56:$AE56)=0,NOT($AM56),$AS56),Constants!$B$5,IF(OR($CM56&lt;&gt;"",$CN56,$CO56,$CP56,$CQ56,$CR56,$CS56),Constants!$B$8,Constants!$B$4)))))</f>
        <v/>
      </c>
      <c r="BM56" s="100" t="str">
        <f aca="false">IF(ISBLANK($C56),"",IF($BL56&lt;&gt;Constants!$B$4,$BL56,IF(OR(NOT($AJ56),NOT($AL56),NOT($AT56)),Constants!$B$11,IF(OR(NOT($AR56),NOT($AU56),NOT($BI56),MAX($AN56,$AO56,$AP56)&gt;Constants!$B$30),Constants!$B$10,Constants!$B$9))))</f>
        <v/>
      </c>
      <c r="BN56" s="100" t="str">
        <f aca="false">IF($BL56&lt;&gt;Constants!$B$4,"",IF(NOT($AL56),0,MIN(Constants!$B$35,$BF56)))</f>
        <v/>
      </c>
      <c r="BO56" s="100" t="str">
        <f aca="false">IF($BL56&lt;&gt;Constants!$B$4,"",IF(NOT($AL56),0,IF($AW56,Constants!$B$18,IF($AV56,Constants!$B$17,0))))</f>
        <v/>
      </c>
      <c r="BP56" s="100" t="str">
        <f aca="false">IF($BL56&lt;&gt;Constants!$B$4,"",IF(NOT($AL56),0,Constants!$B$19*($AK56+$AX56+$AY56+$AZ56)))</f>
        <v/>
      </c>
      <c r="BQ56" s="100" t="str">
        <f aca="false">IF($BL56&lt;&gt;Constants!$B$4,"",IF(OR(NOT($AL56),NOT(ISNUMBER($BA56))),0,CHOOSE($BA56,Constants!$B$13,Constants!$B$14,Constants!$B$15,Constants!$B$16)))</f>
        <v/>
      </c>
      <c r="BR56" s="100" t="str">
        <f aca="false">IF($BL56&lt;&gt;Constants!$B$4,"",IF(NOT($AL56),0,Constants!$B$20*$BB56))</f>
        <v/>
      </c>
      <c r="BS56" s="100" t="str">
        <f aca="false">IF($BL56&lt;&gt;Constants!$B$4,"",IF(AND($AL56,$BD56,$BE56),Constants!$B$22,0))</f>
        <v/>
      </c>
      <c r="BT56" s="100" t="str">
        <f aca="false">IF($BL56&lt;&gt;Constants!$B$4,"",IF(OR(NOT($AL56),NOT($BD56)),0,IF($BJ56&gt;=2*$AH$9,0,Constants!$B$23*INT(ROUND(MIN($BJ56,$AH$9),6)))))</f>
        <v/>
      </c>
      <c r="BU56" s="100" t="str">
        <f aca="false">IF($BL56&lt;&gt;Constants!$B$4,"",IF(NOT($AL56),0,Constants!$B$24*INT(ROUND(MIN($BC56,$AH$9),6))))</f>
        <v/>
      </c>
      <c r="BV56" s="100" t="str">
        <f aca="false">IF($BL56&lt;&gt;Constants!$B$4,"",IF(AND($AL56,$BN56=0),Constants!$B$25,0))</f>
        <v/>
      </c>
      <c r="BW56" s="100" t="str">
        <f aca="false">IF($BL56&lt;&gt;Constants!$B$4,"",MIN(Constants!$B$29,MAX(0,Constants!$B$27*Constants!$B$28*INT(ROUND((Constants!$B$26-$AN56)/Constants!$B$28,6))))+MIN(Constants!$B$29,MAX(0,Constants!$B$27*Constants!$B$28*INT(ROUND((Constants!$B$26-$AO56)/Constants!$B$28,6))))+MIN(Constants!$B$29,MAX(0,Constants!$B$27*Constants!$B$28*INT(ROUND((Constants!$B$26-$AP56)/Constants!$B$28,6)))))</f>
        <v/>
      </c>
      <c r="BX56" s="100" t="str">
        <f aca="false">IF($BL56&lt;&gt;Constants!$B$4,"",IF(NOT($AL56),0,Constants!$B$31*INT(ROUND(MAX(0,MIN($BJ56,2*$AH$9)-$AH$9),6))))</f>
        <v/>
      </c>
      <c r="BY56" s="100" t="str">
        <f aca="false">IF($BL56&lt;&gt;Constants!$B$4,"",Constants!$B$32*(($AN56&gt;Constants!$B$26)+($AO56&gt;Constants!$B$26)+($AP56&gt;Constants!$B$26)))</f>
        <v/>
      </c>
      <c r="BZ56" s="100" t="str">
        <f aca="false">IF($BL56&lt;&gt;Constants!$B$4,"",IF(OR(NOT($AL56),$AQ56),0,Constants!$B$33))</f>
        <v/>
      </c>
      <c r="CA56" s="100" t="str">
        <f aca="false">IF($BL56&lt;&gt;Constants!$B$4,"",Constants!$B$34*$BN56)</f>
        <v/>
      </c>
      <c r="CB56" s="100" t="str">
        <f aca="false">IF($BL56&lt;&gt;Constants!$B$4,"",IF(OR(NOT($AL56),$BH56),0,Constants!$B$36))</f>
        <v/>
      </c>
      <c r="CC56" s="100" t="str">
        <f aca="false">IF($BL56&lt;&gt;Constants!$B$4,"",IF(OR(NOT($AL56),$BG56),0,Constants!$B$37))</f>
        <v/>
      </c>
      <c r="CD56" s="100" t="str">
        <f aca="false">IF($BL56&lt;&gt;Constants!$B$4,"",SUM($BX56:$CC56))</f>
        <v/>
      </c>
      <c r="CE56" s="100" t="str">
        <f aca="false">IF(ISBLANK($C56),"",IF($BL56&lt;&gt;Constants!$B$4,$BL56,SUM($BO56:$BW56)-$CD56))</f>
        <v/>
      </c>
      <c r="CF56" s="100" t="str">
        <f aca="false">IF(ISBLANK($C56),"",IF($BL56&lt;&gt;Constants!$B$4,$BL56,RANK($CE56,$CE$9:$CE$508)))</f>
        <v/>
      </c>
      <c r="CG56" s="100" t="str">
        <f aca="false">IF(ISBLANK($C56),"",IF($BL56&lt;&gt;Constants!$B$4,$BL56,COUNTIFS($BM$9:$BM$508,"&lt;"&amp;$BM56)+COUNTIFS($BM$9:$BM$508,$BM56,$CF$9:$CF$508,"&lt;"&amp;$CF56)+1))</f>
        <v/>
      </c>
      <c r="CH56" s="100" t="str">
        <f aca="false">IF(ISBLANK($C56),"",IF($BL56&lt;&gt;Constants!$B$4,$BL56,RANK($CD56,$CD$9:$CD$508,1)))</f>
        <v/>
      </c>
      <c r="CI56" s="100" t="str">
        <f aca="false">IF($BL56&lt;&gt;Constants!$B$4,"",$AN56+$AO56+$AP56)</f>
        <v/>
      </c>
      <c r="CJ56" s="100" t="str">
        <f aca="false">IF(ISBLANK($C56),"",IF($BL56&lt;&gt;Constants!$B$4,$BL56,RANK($CI56,$CI$9:$CI$508,1)))</f>
        <v/>
      </c>
      <c r="CK56" s="100" t="str">
        <f aca="false">IF(ISBLANK($C56),"",IF($BL56&lt;&gt;Constants!$B$4,$BL56,COUNTIFS($BM$9:$BM$508,"&lt;"&amp;$BM56)+COUNTIFS($BM$9:$BM$508,$BM56,$CF$9:$CF$508,"&lt;"&amp;$CF56)+COUNTIFS($BM$9:$BM$508,$BM56,$CF$9:$CF$508,$CF56,$CH$9:$CH$508,"&lt;"&amp;$CH56)+COUNTIFS($BM$9:$BM$508,$BM56,$CF$9:$CF$508,$CF56,$CH$9:$CH$508,$CH56,$CJ$9:$CJ$508,"&lt;"&amp;$CJ56)+1))</f>
        <v/>
      </c>
      <c r="CL56" s="100" t="str">
        <f aca="false">IF(ISBLANK($C56),"",IF($BL56&lt;&gt;Constants!$B$4,$BL56,$CG56-$CK56))</f>
        <v/>
      </c>
      <c r="CM56" s="100" t="str">
        <f aca="false">IF(ISBLANK($C56),"",IF(NOT($AL56),"",IF(ISBLANK($D$7),$CM$5,IF(NOT(ISNUMBER($D$7)),$CM$6,""))))</f>
        <v/>
      </c>
      <c r="CN56" s="100" t="str">
        <f aca="false">IF(ISBLANK($C56),"",OR($AN56="",$AO56="",$AP56=""))</f>
        <v/>
      </c>
      <c r="CO56" s="100" t="str">
        <f aca="false">IF(ISBLANK($C56),"",AND($AL56,$BA56=""))</f>
        <v/>
      </c>
      <c r="CP56" s="100" t="str">
        <f aca="false">IF(ISBLANK($C56),"",AND($AL56,$BB56=""))</f>
        <v/>
      </c>
      <c r="CQ56" s="100" t="str">
        <f aca="false">IF(ISBLANK($C56),"",AND($AL56,$BC56=""))</f>
        <v/>
      </c>
      <c r="CR56" s="100" t="str">
        <f aca="false">IF(ISBLANK($C56),"",AND($AL56,$BF56=""))</f>
        <v/>
      </c>
      <c r="CS56" s="100" t="str">
        <f aca="false">IF(ISBLANK($C56),"",AND($AL56,$BJ56=""))</f>
        <v/>
      </c>
      <c r="CT56" s="101"/>
      <c r="CU56" s="102"/>
      <c r="CV56" s="103" t="str">
        <f aca="false">IF(ISBLANK($C56),"",IF($BL56=Constants!$B$8,$CM56,""))</f>
        <v/>
      </c>
      <c r="CW56" s="102" t="str">
        <f aca="false">IF(ISBLANK($C56),"",IF($BL56&lt;&gt;Constants!$B$4,"",$BO56+$BP56))</f>
        <v/>
      </c>
      <c r="CX56" s="104" t="str">
        <f aca="false">IF(ISBLANK($C56),"",IF($BL56&lt;&gt;Constants!$B$4,"",$BQ56+$BR56+$BS56))</f>
        <v/>
      </c>
      <c r="CY56" s="104" t="str">
        <f aca="false">IF(ISBLANK($C56),"",IF($BL56&lt;&gt;Constants!$B$4,"",$BT56))</f>
        <v/>
      </c>
      <c r="CZ56" s="104" t="str">
        <f aca="false">IF(ISBLANK($C56),"",IF($BL56&lt;&gt;Constants!$B$4,"",$BU56+$BV56))</f>
        <v/>
      </c>
      <c r="DA56" s="104" t="str">
        <f aca="false">IF(ISBLANK($C56),"",IF($BL56&lt;&gt;Constants!$B$4,"",$BW56))</f>
        <v/>
      </c>
      <c r="DB56" s="104" t="str">
        <f aca="false">IF(ISBLANK($C56),"",IF($BL56&lt;&gt;Constants!$B$4,"",-$CD56))</f>
        <v/>
      </c>
      <c r="DC56" s="103" t="str">
        <f aca="false">IF(ISBLANK($C56),"",$CE56)</f>
        <v/>
      </c>
      <c r="DD56" s="105" t="str">
        <f aca="false">IF(ISBLANK($C56),"",$BM56)</f>
        <v/>
      </c>
      <c r="DE56" s="104" t="str">
        <f aca="false">IF(ISBLANK($C56),"",$CL56)</f>
        <v/>
      </c>
      <c r="DF56" s="104" t="str">
        <f aca="false">IF(ISBLANK($C56),"",$CK56)</f>
        <v/>
      </c>
      <c r="DG56" s="106" t="str">
        <f aca="false">IF(ISBLANK($C56),"",IF($DF56=Constants!$B$7,COUNTA($C$9:$C$508)+2,IF($DF56=Constants!$B$6,COUNTA($C$9:$C$508)+1,IF($DF56=Constants!$B$5,COUNTA($C$9:$C$508),$DF56))))</f>
        <v/>
      </c>
      <c r="DH56" s="7"/>
      <c r="DI56" s="107" t="n">
        <f aca="false">IF(OR(ISNUMBER($DF56),$DF56=Constants!$B$7,$DF56=Constants!$B$5,$DF56=Constants!$B$6),1,0)</f>
        <v>0</v>
      </c>
      <c r="DJ56" s="107" t="n">
        <v>48</v>
      </c>
      <c r="DK56" s="107" t="str">
        <f aca="false">IF(ISBLANK($C56),"",IF(ISNUMBER($DG56),$DG56+ROW($B56)/1000,""))</f>
        <v/>
      </c>
      <c r="DL56" s="107" t="str">
        <f aca="false">IF(ISNUMBER($DK56),RANK($DK56,$DK$9:$DK$508,1),"")</f>
        <v/>
      </c>
      <c r="DM56" s="107" t="str">
        <f aca="false">IF(ISBLANK($C56),"",$B56)</f>
        <v/>
      </c>
      <c r="DN56" s="107" t="str">
        <f aca="false">IF(ISBLANK($C56),"",$C56)</f>
        <v/>
      </c>
      <c r="DO56" s="107" t="str">
        <f aca="false">IF(ISBLANK($C56),"",$D56)</f>
        <v/>
      </c>
      <c r="DP56" s="108" t="str">
        <f aca="false">$DD56</f>
        <v/>
      </c>
      <c r="DQ56" s="109" t="str">
        <f aca="false">$DC56</f>
        <v/>
      </c>
      <c r="DR56" s="107" t="str">
        <f aca="false">IF(ISBLANK($C56),"",$DF56)</f>
        <v/>
      </c>
      <c r="DS56" s="110" t="str">
        <f aca="false">IF($DJ56&gt;$DI$8,"",VLOOKUP($DJ56,$DL$9:$DR$508,7,FALSE()))</f>
        <v/>
      </c>
      <c r="DT56" s="111" t="str">
        <f aca="false">IF($DJ56&gt;$DI$8,"",VLOOKUP($DJ56,$DL$9:$DR$508,2,FALSE()))</f>
        <v/>
      </c>
      <c r="DU56" s="111" t="str">
        <f aca="false">IF($DJ56&gt;$DI$8,"",VLOOKUP($DJ56,$DL$9:$DR$508,3,FALSE()))</f>
        <v/>
      </c>
      <c r="DV56" s="111" t="str">
        <f aca="false">IF($DJ56&gt;$DI$8,"",VLOOKUP($DJ56,$DL$9:$DR$508,4,FALSE()))</f>
        <v/>
      </c>
      <c r="DW56" s="111" t="str">
        <f aca="false">IF($DJ56&gt;$DI$8,"",VLOOKUP($DJ56,$DL$9:$DR$508,5,FALSE()))</f>
        <v/>
      </c>
      <c r="DX56" s="112" t="str">
        <f aca="false">IF($DJ56&gt;$DI$8,"",VLOOKUP($DJ56,$DL$9:$DR$508,6,FALSE()))</f>
        <v/>
      </c>
      <c r="DY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88"/>
      <c r="N57" s="88"/>
      <c r="O57" s="134"/>
      <c r="P57" s="134"/>
      <c r="Q57" s="88"/>
      <c r="R57" s="88"/>
      <c r="S57" s="88"/>
      <c r="T57" s="88"/>
      <c r="U57" s="134"/>
      <c r="V57" s="88"/>
      <c r="W57" s="70"/>
      <c r="X57" s="88"/>
      <c r="Y57" s="88"/>
      <c r="Z57" s="70"/>
      <c r="AA57" s="70"/>
      <c r="AB57" s="88"/>
      <c r="AC57" s="88"/>
      <c r="AD57" s="88"/>
      <c r="AE57" s="71"/>
      <c r="AF57" s="88"/>
      <c r="AG57" s="73"/>
      <c r="AH57" s="74"/>
      <c r="AI57" s="74"/>
      <c r="AJ57" s="74" t="str">
        <f aca="false">IF(ISBLANK($C57),"",IF($E57=Constants!$B$2,TRUE(),IF($E57=Constants!$B$3,FALSE(),TRUE())))</f>
        <v/>
      </c>
      <c r="AK57" s="74" t="str">
        <f aca="false">IF(ISBLANK($C57),"",IF($F57=Constants!$B$2,TRUE(),IF($F57=Constants!$B$3,FALSE(),FALSE())))</f>
        <v/>
      </c>
      <c r="AL57" s="74" t="str">
        <f aca="false">IF(ISBLANK($C57),"",IF($G57=Constants!$B$2,TRUE(),IF($G57=Constants!$B$3,FALSE(),TRUE())))</f>
        <v/>
      </c>
      <c r="AM57" s="74" t="str">
        <f aca="false">IF(ISBLANK($C57),"",IF($H57=Constants!$B$2,TRUE(),IF($H57=Constants!$B$3,FALSE(),TRUE())))</f>
        <v/>
      </c>
      <c r="AN57" s="74" t="str">
        <f aca="false">IF(ISBLANK($C57),"",IF(ISNUMBER($I57),IF($I57&gt;=0,$I57,""),""))</f>
        <v/>
      </c>
      <c r="AO57" s="74" t="str">
        <f aca="false">IF(ISBLANK($C57),"",IF(ISNUMBER($J57),IF($J57&gt;=0,$J57,""),""))</f>
        <v/>
      </c>
      <c r="AP57" s="74" t="str">
        <f aca="false">IF(ISBLANK($C57),"",IF(ISNUMBER($K57),IF($K57&gt;=0,$K57,""),""))</f>
        <v/>
      </c>
      <c r="AQ57" s="74" t="str">
        <f aca="false">IF(ISBLANK($C57),"",IF($L57=Constants!$B$2,TRUE(),IF($L57=Constants!$B$3,FALSE(),TRUE())))</f>
        <v/>
      </c>
      <c r="AR57" s="74" t="str">
        <f aca="false">IF(ISBLANK($C57),"",IF($M57=Constants!$B$2,TRUE(),IF($M57=Constants!$B$3,FALSE(),TRUE())))</f>
        <v/>
      </c>
      <c r="AS57" s="74" t="str">
        <f aca="false">IF(ISBLANK($C57),"",IF($N57=Constants!$B$2,TRUE(),IF($N57=Constants!$B$3,FALSE(),FALSE())))</f>
        <v/>
      </c>
      <c r="AT57" s="74" t="str">
        <f aca="false">IF(ISBLANK($C57),"",IF($O57=Constants!$B$2,TRUE(),IF($O57=Constants!$B$3,FALSE(),TRUE())))</f>
        <v/>
      </c>
      <c r="AU57" s="74" t="str">
        <f aca="false">IF(ISBLANK($C57),"",IF($P57=Constants!$B$2,TRUE(),IF($P57=Constants!$B$3,FALSE(),TRUE())))</f>
        <v/>
      </c>
      <c r="AV57" s="74" t="str">
        <f aca="false">IF(ISBLANK($C57),"",IF($Q57=Constants!$B$2,TRUE(),IF($Q57=Constants!$B$3,FALSE(),FALSE())))</f>
        <v/>
      </c>
      <c r="AW57" s="74" t="str">
        <f aca="false">IF(ISBLANK($C57),"",IF($R57=Constants!$B$2,TRUE(),IF($R57=Constants!$B$3,FALSE(),FALSE())))</f>
        <v/>
      </c>
      <c r="AX57" s="74" t="str">
        <f aca="false">IF(ISBLANK($C57),"",IF($S57=Constants!$B$2,TRUE(),IF($S57=Constants!$B$3,FALSE(),FALSE())))</f>
        <v/>
      </c>
      <c r="AY57" s="74" t="str">
        <f aca="false">IF(ISBLANK($C57),"",IF($T57=Constants!$B$2,TRUE(),IF($T57=Constants!$B$3,FALSE(),FALSE())))</f>
        <v/>
      </c>
      <c r="AZ57" s="74" t="str">
        <f aca="false">IF(ISBLANK($C57),"",IF($U57=Constants!$B$2,TRUE(),IF($U57=Constants!$B$3,FALSE(),FALSE())))</f>
        <v/>
      </c>
      <c r="BA57" s="74" t="str">
        <f aca="false">IF(ISBLANK($C57),"",IF(OR($V57&amp;""="1",$V57&amp;""="2",$V57&amp;""="3",$V57&amp;""="4"),VALUE($V57&amp;""),IF($V57=Constants!$B$12,Constants!$B$12,"")))</f>
        <v/>
      </c>
      <c r="BB57" s="74" t="str">
        <f aca="false">IF(ISBLANK($C57),"",IF(ISBLANK($W57),0,IF(ISNUMBER($W57),IF(AND($W57&gt;=0,$W57&lt;=Constants!$B$21,$W57=INT($W57)),$W57,""),"")))</f>
        <v/>
      </c>
      <c r="BC57" s="74" t="str">
        <f aca="false">IF(ISBLANK($C57),"",IF(ISBLANK($X57),0,IF(ISNUMBER($X57),IF($X57&gt;=0,$X57,""),"")))</f>
        <v/>
      </c>
      <c r="BD57" s="74" t="str">
        <f aca="false">IF(ISBLANK($C57),"",IF($Y57=Constants!$B$2,TRUE(),IF($Y57=Constants!$B$3,FALSE(),TRUE())))</f>
        <v/>
      </c>
      <c r="BE57" s="74" t="str">
        <f aca="false">IF(ISBLANK($C57),"",IF($Z57=Constants!$B$2,TRUE(),IF($Z57=Constants!$B$3,FALSE(),FALSE())))</f>
        <v/>
      </c>
      <c r="BF57" s="74" t="str">
        <f aca="false">IF(ISBLANK($C57),"",IF(ISBLANK($AA57),0,IF(ISNUMBER($AA57),IF(AND($AA57&gt;=0,$AA57&lt;=Constants!$B$35,$AA57=INT($AA57)),$AA57,""),"")))</f>
        <v/>
      </c>
      <c r="BG57" s="74" t="str">
        <f aca="false">IF(ISBLANK($C57),"",IF($AB57=Constants!$B$2,TRUE(),IF($AB57=Constants!$B$3,FALSE(),TRUE())))</f>
        <v/>
      </c>
      <c r="BH57" s="74" t="str">
        <f aca="false">IF(ISBLANK($C57),"",IF($AC57=Constants!$B$2,TRUE(),IF($AC57=Constants!$B$3,FALSE(),TRUE())))</f>
        <v/>
      </c>
      <c r="BI57" s="74" t="str">
        <f aca="false">IF(ISBLANK($C57),"",IF($AD57=Constants!$B$2,TRUE(),IF($AD57=Constants!$B$3,FALSE(),TRUE())))</f>
        <v/>
      </c>
      <c r="BJ57" s="74" t="str">
        <f aca="false">IF(ISBLANK($C57),"",IF(ISNUMBER($AE57),IF($AE57&gt;=0,$AE57,""),""))</f>
        <v/>
      </c>
      <c r="BK57" s="74" t="str">
        <f aca="false">IF(ISBLANK($C57),"",IF($AF57=Constants!$B$2,TRUE(),IF($AF57=Constants!$B$3,FALSE(),FALSE())))</f>
        <v/>
      </c>
      <c r="BL57" s="73" t="str">
        <f aca="false">IF(ISBLANK($C57),"",IF($BK57,Constants!$B$7,IF(COUNTA($E57:$AE57)=0,Constants!$B$6,IF(OR(COUNTA($G57:$AE57)=0,NOT($AM57),$AS57),Constants!$B$5,IF(OR($CM57&lt;&gt;"",$CN57,$CO57,$CP57,$CQ57,$CR57,$CS57),Constants!$B$8,Constants!$B$4)))))</f>
        <v/>
      </c>
      <c r="BM57" s="74" t="str">
        <f aca="false">IF(ISBLANK($C57),"",IF($BL57&lt;&gt;Constants!$B$4,$BL57,IF(OR(NOT($AJ57),NOT($AL57),NOT($AT57)),Constants!$B$11,IF(OR(NOT($AR57),NOT($AU57),NOT($BI57),MAX($AN57,$AO57,$AP57)&gt;Constants!$B$30),Constants!$B$10,Constants!$B$9))))</f>
        <v/>
      </c>
      <c r="BN57" s="74" t="str">
        <f aca="false">IF($BL57&lt;&gt;Constants!$B$4,"",IF(NOT($AL57),0,MIN(Constants!$B$35,$BF57)))</f>
        <v/>
      </c>
      <c r="BO57" s="74" t="str">
        <f aca="false">IF($BL57&lt;&gt;Constants!$B$4,"",IF(NOT($AL57),0,IF($AW57,Constants!$B$18,IF($AV57,Constants!$B$17,0))))</f>
        <v/>
      </c>
      <c r="BP57" s="74" t="str">
        <f aca="false">IF($BL57&lt;&gt;Constants!$B$4,"",IF(NOT($AL57),0,Constants!$B$19*($AK57+$AX57+$AY57+$AZ57)))</f>
        <v/>
      </c>
      <c r="BQ57" s="74" t="str">
        <f aca="false">IF($BL57&lt;&gt;Constants!$B$4,"",IF(OR(NOT($AL57),NOT(ISNUMBER($BA57))),0,CHOOSE($BA57,Constants!$B$13,Constants!$B$14,Constants!$B$15,Constants!$B$16)))</f>
        <v/>
      </c>
      <c r="BR57" s="74" t="str">
        <f aca="false">IF($BL57&lt;&gt;Constants!$B$4,"",IF(NOT($AL57),0,Constants!$B$20*$BB57))</f>
        <v/>
      </c>
      <c r="BS57" s="74" t="str">
        <f aca="false">IF($BL57&lt;&gt;Constants!$B$4,"",IF(AND($AL57,$BD57,$BE57),Constants!$B$22,0))</f>
        <v/>
      </c>
      <c r="BT57" s="74" t="str">
        <f aca="false">IF($BL57&lt;&gt;Constants!$B$4,"",IF(OR(NOT($AL57),NOT($BD57)),0,IF($BJ57&gt;=2*$AH$9,0,Constants!$B$23*INT(ROUND(MIN($BJ57,$AH$9),6)))))</f>
        <v/>
      </c>
      <c r="BU57" s="74" t="str">
        <f aca="false">IF($BL57&lt;&gt;Constants!$B$4,"",IF(NOT($AL57),0,Constants!$B$24*INT(ROUND(MIN($BC57,$AH$9),6))))</f>
        <v/>
      </c>
      <c r="BV57" s="74" t="str">
        <f aca="false">IF($BL57&lt;&gt;Constants!$B$4,"",IF(AND($AL57,$BN57=0),Constants!$B$25,0))</f>
        <v/>
      </c>
      <c r="BW57" s="74" t="str">
        <f aca="false">IF($BL57&lt;&gt;Constants!$B$4,"",MIN(Constants!$B$29,MAX(0,Constants!$B$27*Constants!$B$28*INT(ROUND((Constants!$B$26-$AN57)/Constants!$B$28,6))))+MIN(Constants!$B$29,MAX(0,Constants!$B$27*Constants!$B$28*INT(ROUND((Constants!$B$26-$AO57)/Constants!$B$28,6))))+MIN(Constants!$B$29,MAX(0,Constants!$B$27*Constants!$B$28*INT(ROUND((Constants!$B$26-$AP57)/Constants!$B$28,6)))))</f>
        <v/>
      </c>
      <c r="BX57" s="74" t="str">
        <f aca="false">IF($BL57&lt;&gt;Constants!$B$4,"",IF(NOT($AL57),0,Constants!$B$31*INT(ROUND(MAX(0,MIN($BJ57,2*$AH$9)-$AH$9),6))))</f>
        <v/>
      </c>
      <c r="BY57" s="74" t="str">
        <f aca="false">IF($BL57&lt;&gt;Constants!$B$4,"",Constants!$B$32*(($AN57&gt;Constants!$B$26)+($AO57&gt;Constants!$B$26)+($AP57&gt;Constants!$B$26)))</f>
        <v/>
      </c>
      <c r="BZ57" s="74" t="str">
        <f aca="false">IF($BL57&lt;&gt;Constants!$B$4,"",IF(OR(NOT($AL57),$AQ57),0,Constants!$B$33))</f>
        <v/>
      </c>
      <c r="CA57" s="74" t="str">
        <f aca="false">IF($BL57&lt;&gt;Constants!$B$4,"",Constants!$B$34*$BN57)</f>
        <v/>
      </c>
      <c r="CB57" s="74" t="str">
        <f aca="false">IF($BL57&lt;&gt;Constants!$B$4,"",IF(OR(NOT($AL57),$BH57),0,Constants!$B$36))</f>
        <v/>
      </c>
      <c r="CC57" s="74" t="str">
        <f aca="false">IF($BL57&lt;&gt;Constants!$B$4,"",IF(OR(NOT($AL57),$BG57),0,Constants!$B$37))</f>
        <v/>
      </c>
      <c r="CD57" s="74" t="str">
        <f aca="false">IF($BL57&lt;&gt;Constants!$B$4,"",SUM($BX57:$CC57))</f>
        <v/>
      </c>
      <c r="CE57" s="74" t="str">
        <f aca="false">IF(ISBLANK($C57),"",IF($BL57&lt;&gt;Constants!$B$4,$BL57,SUM($BO57:$BW57)-$CD57))</f>
        <v/>
      </c>
      <c r="CF57" s="74" t="str">
        <f aca="false">IF(ISBLANK($C57),"",IF($BL57&lt;&gt;Constants!$B$4,$BL57,RANK($CE57,$CE$9:$CE$508)))</f>
        <v/>
      </c>
      <c r="CG57" s="74" t="str">
        <f aca="false">IF(ISBLANK($C57),"",IF($BL57&lt;&gt;Constants!$B$4,$BL57,COUNTIFS($BM$9:$BM$508,"&lt;"&amp;$BM57)+COUNTIFS($BM$9:$BM$508,$BM57,$CF$9:$CF$508,"&lt;"&amp;$CF57)+1))</f>
        <v/>
      </c>
      <c r="CH57" s="74" t="str">
        <f aca="false">IF(ISBLANK($C57),"",IF($BL57&lt;&gt;Constants!$B$4,$BL57,RANK($CD57,$CD$9:$CD$508,1)))</f>
        <v/>
      </c>
      <c r="CI57" s="74" t="str">
        <f aca="false">IF($BL57&lt;&gt;Constants!$B$4,"",$AN57+$AO57+$AP57)</f>
        <v/>
      </c>
      <c r="CJ57" s="74" t="str">
        <f aca="false">IF(ISBLANK($C57),"",IF($BL57&lt;&gt;Constants!$B$4,$BL57,RANK($CI57,$CI$9:$CI$508,1)))</f>
        <v/>
      </c>
      <c r="CK57" s="74" t="str">
        <f aca="false">IF(ISBLANK($C57),"",IF($BL57&lt;&gt;Constants!$B$4,$BL57,COUNTIFS($BM$9:$BM$508,"&lt;"&amp;$BM57)+COUNTIFS($BM$9:$BM$508,$BM57,$CF$9:$CF$508,"&lt;"&amp;$CF57)+COUNTIFS($BM$9:$BM$508,$BM57,$CF$9:$CF$508,$CF57,$CH$9:$CH$508,"&lt;"&amp;$CH57)+COUNTIFS($BM$9:$BM$508,$BM57,$CF$9:$CF$508,$CF57,$CH$9:$CH$508,$CH57,$CJ$9:$CJ$508,"&lt;"&amp;$CJ57)+1))</f>
        <v/>
      </c>
      <c r="CL57" s="74" t="str">
        <f aca="false">IF(ISBLANK($C57),"",IF($BL57&lt;&gt;Constants!$B$4,$BL57,$CG57-$CK57))</f>
        <v/>
      </c>
      <c r="CM57" s="74" t="str">
        <f aca="false">IF(ISBLANK($C57),"",IF(NOT($AL57),"",IF(ISBLANK($D$7),$CM$5,IF(NOT(ISNUMBER($D$7)),$CM$6,""))))</f>
        <v/>
      </c>
      <c r="CN57" s="74" t="str">
        <f aca="false">IF(ISBLANK($C57),"",OR($AN57="",$AO57="",$AP57=""))</f>
        <v/>
      </c>
      <c r="CO57" s="74" t="str">
        <f aca="false">IF(ISBLANK($C57),"",AND($AL57,$BA57=""))</f>
        <v/>
      </c>
      <c r="CP57" s="74" t="str">
        <f aca="false">IF(ISBLANK($C57),"",AND($AL57,$BB57=""))</f>
        <v/>
      </c>
      <c r="CQ57" s="74" t="str">
        <f aca="false">IF(ISBLANK($C57),"",AND($AL57,$BC57=""))</f>
        <v/>
      </c>
      <c r="CR57" s="74" t="str">
        <f aca="false">IF(ISBLANK($C57),"",AND($AL57,$BF57=""))</f>
        <v/>
      </c>
      <c r="CS57" s="74" t="str">
        <f aca="false">IF(ISBLANK($C57),"",AND($AL57,$BJ57=""))</f>
        <v/>
      </c>
      <c r="CT57" s="75"/>
      <c r="CU57" s="76"/>
      <c r="CV57" s="79" t="str">
        <f aca="false">IF(ISBLANK($C57),"",IF($BL57=Constants!$B$8,$CM57,""))</f>
        <v/>
      </c>
      <c r="CW57" s="76" t="str">
        <f aca="false">IF(ISBLANK($C57),"",IF($BL57&lt;&gt;Constants!$B$4,"",$BO57+$BP57))</f>
        <v/>
      </c>
      <c r="CX57" s="78" t="str">
        <f aca="false">IF(ISBLANK($C57),"",IF($BL57&lt;&gt;Constants!$B$4,"",$BQ57+$BR57+$BS57))</f>
        <v/>
      </c>
      <c r="CY57" s="78" t="str">
        <f aca="false">IF(ISBLANK($C57),"",IF($BL57&lt;&gt;Constants!$B$4,"",$BT57))</f>
        <v/>
      </c>
      <c r="CZ57" s="78" t="str">
        <f aca="false">IF(ISBLANK($C57),"",IF($BL57&lt;&gt;Constants!$B$4,"",$BU57+$BV57))</f>
        <v/>
      </c>
      <c r="DA57" s="78" t="str">
        <f aca="false">IF(ISBLANK($C57),"",IF($BL57&lt;&gt;Constants!$B$4,"",$BW57))</f>
        <v/>
      </c>
      <c r="DB57" s="78" t="str">
        <f aca="false">IF(ISBLANK($C57),"",IF($BL57&lt;&gt;Constants!$B$4,"",-$CD57))</f>
        <v/>
      </c>
      <c r="DC57" s="79" t="str">
        <f aca="false">IF(ISBLANK($C57),"",$CE57)</f>
        <v/>
      </c>
      <c r="DD57" s="80" t="str">
        <f aca="false">IF(ISBLANK($C57),"",$BM57)</f>
        <v/>
      </c>
      <c r="DE57" s="78" t="str">
        <f aca="false">IF(ISBLANK($C57),"",$CL57)</f>
        <v/>
      </c>
      <c r="DF57" s="78" t="str">
        <f aca="false">IF(ISBLANK($C57),"",$CK57)</f>
        <v/>
      </c>
      <c r="DG57" s="81" t="str">
        <f aca="false">IF(ISBLANK($C57),"",IF($DF57=Constants!$B$7,COUNTA($C$9:$C$508)+2,IF($DF57=Constants!$B$6,COUNTA($C$9:$C$508)+1,IF($DF57=Constants!$B$5,COUNTA($C$9:$C$508),$DF57))))</f>
        <v/>
      </c>
      <c r="DH57" s="7"/>
      <c r="DI57" s="82" t="n">
        <f aca="false">IF(OR(ISNUMBER($DF57),$DF57=Constants!$B$7,$DF57=Constants!$B$5,$DF57=Constants!$B$6),1,0)</f>
        <v>0</v>
      </c>
      <c r="DJ57" s="82" t="n">
        <v>49</v>
      </c>
      <c r="DK57" s="82" t="str">
        <f aca="false">IF(ISBLANK($C57),"",IF(ISNUMBER($DG57),$DG57+ROW($B57)/1000,""))</f>
        <v/>
      </c>
      <c r="DL57" s="82" t="str">
        <f aca="false">IF(ISNUMBER($DK57),RANK($DK57,$DK$9:$DK$508,1),"")</f>
        <v/>
      </c>
      <c r="DM57" s="82" t="str">
        <f aca="false">IF(ISBLANK($C57),"",$B57)</f>
        <v/>
      </c>
      <c r="DN57" s="82" t="str">
        <f aca="false">IF(ISBLANK($C57),"",$C57)</f>
        <v/>
      </c>
      <c r="DO57" s="82" t="str">
        <f aca="false">IF(ISBLANK($C57),"",$D57)</f>
        <v/>
      </c>
      <c r="DP57" s="83" t="str">
        <f aca="false">$DD57</f>
        <v/>
      </c>
      <c r="DQ57" s="84" t="str">
        <f aca="false">$DC57</f>
        <v/>
      </c>
      <c r="DR57" s="82" t="str">
        <f aca="false">IF(ISBLANK($C57),"",$DF57)</f>
        <v/>
      </c>
      <c r="DS57" s="85" t="str">
        <f aca="false">IF($DJ57&gt;$DI$8,"",VLOOKUP($DJ57,$DL$9:$DR$508,7,FALSE()))</f>
        <v/>
      </c>
      <c r="DT57" s="86" t="str">
        <f aca="false">IF($DJ57&gt;$DI$8,"",VLOOKUP($DJ57,$DL$9:$DR$508,2,FALSE()))</f>
        <v/>
      </c>
      <c r="DU57" s="86" t="str">
        <f aca="false">IF($DJ57&gt;$DI$8,"",VLOOKUP($DJ57,$DL$9:$DR$508,3,FALSE()))</f>
        <v/>
      </c>
      <c r="DV57" s="86" t="str">
        <f aca="false">IF($DJ57&gt;$DI$8,"",VLOOKUP($DJ57,$DL$9:$DR$508,4,FALSE()))</f>
        <v/>
      </c>
      <c r="DW57" s="86" t="str">
        <f aca="false">IF($DJ57&gt;$DI$8,"",VLOOKUP($DJ57,$DL$9:$DR$508,5,FALSE()))</f>
        <v/>
      </c>
      <c r="DX57" s="87" t="str">
        <f aca="false">IF($DJ57&gt;$DI$8,"",VLOOKUP($DJ57,$DL$9:$DR$508,6,FALSE()))</f>
        <v/>
      </c>
      <c r="DY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88"/>
      <c r="N58" s="88"/>
      <c r="O58" s="134"/>
      <c r="P58" s="134"/>
      <c r="Q58" s="88"/>
      <c r="R58" s="88"/>
      <c r="S58" s="88"/>
      <c r="T58" s="88"/>
      <c r="U58" s="134"/>
      <c r="V58" s="88"/>
      <c r="W58" s="70"/>
      <c r="X58" s="88"/>
      <c r="Y58" s="88"/>
      <c r="Z58" s="70"/>
      <c r="AA58" s="70"/>
      <c r="AB58" s="88"/>
      <c r="AC58" s="88"/>
      <c r="AD58" s="88"/>
      <c r="AE58" s="71"/>
      <c r="AF58" s="88"/>
      <c r="AG58" s="73"/>
      <c r="AH58" s="74"/>
      <c r="AI58" s="74"/>
      <c r="AJ58" s="74" t="str">
        <f aca="false">IF(ISBLANK($C58),"",IF($E58=Constants!$B$2,TRUE(),IF($E58=Constants!$B$3,FALSE(),TRUE())))</f>
        <v/>
      </c>
      <c r="AK58" s="74" t="str">
        <f aca="false">IF(ISBLANK($C58),"",IF($F58=Constants!$B$2,TRUE(),IF($F58=Constants!$B$3,FALSE(),FALSE())))</f>
        <v/>
      </c>
      <c r="AL58" s="74" t="str">
        <f aca="false">IF(ISBLANK($C58),"",IF($G58=Constants!$B$2,TRUE(),IF($G58=Constants!$B$3,FALSE(),TRUE())))</f>
        <v/>
      </c>
      <c r="AM58" s="74" t="str">
        <f aca="false">IF(ISBLANK($C58),"",IF($H58=Constants!$B$2,TRUE(),IF($H58=Constants!$B$3,FALSE(),TRUE())))</f>
        <v/>
      </c>
      <c r="AN58" s="74" t="str">
        <f aca="false">IF(ISBLANK($C58),"",IF(ISNUMBER($I58),IF($I58&gt;=0,$I58,""),""))</f>
        <v/>
      </c>
      <c r="AO58" s="74" t="str">
        <f aca="false">IF(ISBLANK($C58),"",IF(ISNUMBER($J58),IF($J58&gt;=0,$J58,""),""))</f>
        <v/>
      </c>
      <c r="AP58" s="74" t="str">
        <f aca="false">IF(ISBLANK($C58),"",IF(ISNUMBER($K58),IF($K58&gt;=0,$K58,""),""))</f>
        <v/>
      </c>
      <c r="AQ58" s="74" t="str">
        <f aca="false">IF(ISBLANK($C58),"",IF($L58=Constants!$B$2,TRUE(),IF($L58=Constants!$B$3,FALSE(),TRUE())))</f>
        <v/>
      </c>
      <c r="AR58" s="74" t="str">
        <f aca="false">IF(ISBLANK($C58),"",IF($M58=Constants!$B$2,TRUE(),IF($M58=Constants!$B$3,FALSE(),TRUE())))</f>
        <v/>
      </c>
      <c r="AS58" s="74" t="str">
        <f aca="false">IF(ISBLANK($C58),"",IF($N58=Constants!$B$2,TRUE(),IF($N58=Constants!$B$3,FALSE(),FALSE())))</f>
        <v/>
      </c>
      <c r="AT58" s="74" t="str">
        <f aca="false">IF(ISBLANK($C58),"",IF($O58=Constants!$B$2,TRUE(),IF($O58=Constants!$B$3,FALSE(),TRUE())))</f>
        <v/>
      </c>
      <c r="AU58" s="74" t="str">
        <f aca="false">IF(ISBLANK($C58),"",IF($P58=Constants!$B$2,TRUE(),IF($P58=Constants!$B$3,FALSE(),TRUE())))</f>
        <v/>
      </c>
      <c r="AV58" s="74" t="str">
        <f aca="false">IF(ISBLANK($C58),"",IF($Q58=Constants!$B$2,TRUE(),IF($Q58=Constants!$B$3,FALSE(),FALSE())))</f>
        <v/>
      </c>
      <c r="AW58" s="74" t="str">
        <f aca="false">IF(ISBLANK($C58),"",IF($R58=Constants!$B$2,TRUE(),IF($R58=Constants!$B$3,FALSE(),FALSE())))</f>
        <v/>
      </c>
      <c r="AX58" s="74" t="str">
        <f aca="false">IF(ISBLANK($C58),"",IF($S58=Constants!$B$2,TRUE(),IF($S58=Constants!$B$3,FALSE(),FALSE())))</f>
        <v/>
      </c>
      <c r="AY58" s="74" t="str">
        <f aca="false">IF(ISBLANK($C58),"",IF($T58=Constants!$B$2,TRUE(),IF($T58=Constants!$B$3,FALSE(),FALSE())))</f>
        <v/>
      </c>
      <c r="AZ58" s="74" t="str">
        <f aca="false">IF(ISBLANK($C58),"",IF($U58=Constants!$B$2,TRUE(),IF($U58=Constants!$B$3,FALSE(),FALSE())))</f>
        <v/>
      </c>
      <c r="BA58" s="74" t="str">
        <f aca="false">IF(ISBLANK($C58),"",IF(OR($V58&amp;""="1",$V58&amp;""="2",$V58&amp;""="3",$V58&amp;""="4"),VALUE($V58&amp;""),IF($V58=Constants!$B$12,Constants!$B$12,"")))</f>
        <v/>
      </c>
      <c r="BB58" s="74" t="str">
        <f aca="false">IF(ISBLANK($C58),"",IF(ISBLANK($W58),0,IF(ISNUMBER($W58),IF(AND($W58&gt;=0,$W58&lt;=Constants!$B$21,$W58=INT($W58)),$W58,""),"")))</f>
        <v/>
      </c>
      <c r="BC58" s="74" t="str">
        <f aca="false">IF(ISBLANK($C58),"",IF(ISBLANK($X58),0,IF(ISNUMBER($X58),IF($X58&gt;=0,$X58,""),"")))</f>
        <v/>
      </c>
      <c r="BD58" s="74" t="str">
        <f aca="false">IF(ISBLANK($C58),"",IF($Y58=Constants!$B$2,TRUE(),IF($Y58=Constants!$B$3,FALSE(),TRUE())))</f>
        <v/>
      </c>
      <c r="BE58" s="74" t="str">
        <f aca="false">IF(ISBLANK($C58),"",IF($Z58=Constants!$B$2,TRUE(),IF($Z58=Constants!$B$3,FALSE(),FALSE())))</f>
        <v/>
      </c>
      <c r="BF58" s="74" t="str">
        <f aca="false">IF(ISBLANK($C58),"",IF(ISBLANK($AA58),0,IF(ISNUMBER($AA58),IF(AND($AA58&gt;=0,$AA58&lt;=Constants!$B$35,$AA58=INT($AA58)),$AA58,""),"")))</f>
        <v/>
      </c>
      <c r="BG58" s="74" t="str">
        <f aca="false">IF(ISBLANK($C58),"",IF($AB58=Constants!$B$2,TRUE(),IF($AB58=Constants!$B$3,FALSE(),TRUE())))</f>
        <v/>
      </c>
      <c r="BH58" s="74" t="str">
        <f aca="false">IF(ISBLANK($C58),"",IF($AC58=Constants!$B$2,TRUE(),IF($AC58=Constants!$B$3,FALSE(),TRUE())))</f>
        <v/>
      </c>
      <c r="BI58" s="74" t="str">
        <f aca="false">IF(ISBLANK($C58),"",IF($AD58=Constants!$B$2,TRUE(),IF($AD58=Constants!$B$3,FALSE(),TRUE())))</f>
        <v/>
      </c>
      <c r="BJ58" s="74" t="str">
        <f aca="false">IF(ISBLANK($C58),"",IF(ISNUMBER($AE58),IF($AE58&gt;=0,$AE58,""),""))</f>
        <v/>
      </c>
      <c r="BK58" s="74" t="str">
        <f aca="false">IF(ISBLANK($C58),"",IF($AF58=Constants!$B$2,TRUE(),IF($AF58=Constants!$B$3,FALSE(),FALSE())))</f>
        <v/>
      </c>
      <c r="BL58" s="73" t="str">
        <f aca="false">IF(ISBLANK($C58),"",IF($BK58,Constants!$B$7,IF(COUNTA($E58:$AE58)=0,Constants!$B$6,IF(OR(COUNTA($G58:$AE58)=0,NOT($AM58),$AS58),Constants!$B$5,IF(OR($CM58&lt;&gt;"",$CN58,$CO58,$CP58,$CQ58,$CR58,$CS58),Constants!$B$8,Constants!$B$4)))))</f>
        <v/>
      </c>
      <c r="BM58" s="74" t="str">
        <f aca="false">IF(ISBLANK($C58),"",IF($BL58&lt;&gt;Constants!$B$4,$BL58,IF(OR(NOT($AJ58),NOT($AL58),NOT($AT58)),Constants!$B$11,IF(OR(NOT($AR58),NOT($AU58),NOT($BI58),MAX($AN58,$AO58,$AP58)&gt;Constants!$B$30),Constants!$B$10,Constants!$B$9))))</f>
        <v/>
      </c>
      <c r="BN58" s="74" t="str">
        <f aca="false">IF($BL58&lt;&gt;Constants!$B$4,"",IF(NOT($AL58),0,MIN(Constants!$B$35,$BF58)))</f>
        <v/>
      </c>
      <c r="BO58" s="74" t="str">
        <f aca="false">IF($BL58&lt;&gt;Constants!$B$4,"",IF(NOT($AL58),0,IF($AW58,Constants!$B$18,IF($AV58,Constants!$B$17,0))))</f>
        <v/>
      </c>
      <c r="BP58" s="74" t="str">
        <f aca="false">IF($BL58&lt;&gt;Constants!$B$4,"",IF(NOT($AL58),0,Constants!$B$19*($AK58+$AX58+$AY58+$AZ58)))</f>
        <v/>
      </c>
      <c r="BQ58" s="74" t="str">
        <f aca="false">IF($BL58&lt;&gt;Constants!$B$4,"",IF(OR(NOT($AL58),NOT(ISNUMBER($BA58))),0,CHOOSE($BA58,Constants!$B$13,Constants!$B$14,Constants!$B$15,Constants!$B$16)))</f>
        <v/>
      </c>
      <c r="BR58" s="74" t="str">
        <f aca="false">IF($BL58&lt;&gt;Constants!$B$4,"",IF(NOT($AL58),0,Constants!$B$20*$BB58))</f>
        <v/>
      </c>
      <c r="BS58" s="74" t="str">
        <f aca="false">IF($BL58&lt;&gt;Constants!$B$4,"",IF(AND($AL58,$BD58,$BE58),Constants!$B$22,0))</f>
        <v/>
      </c>
      <c r="BT58" s="74" t="str">
        <f aca="false">IF($BL58&lt;&gt;Constants!$B$4,"",IF(OR(NOT($AL58),NOT($BD58)),0,IF($BJ58&gt;=2*$AH$9,0,Constants!$B$23*INT(ROUND(MIN($BJ58,$AH$9),6)))))</f>
        <v/>
      </c>
      <c r="BU58" s="74" t="str">
        <f aca="false">IF($BL58&lt;&gt;Constants!$B$4,"",IF(NOT($AL58),0,Constants!$B$24*INT(ROUND(MIN($BC58,$AH$9),6))))</f>
        <v/>
      </c>
      <c r="BV58" s="74" t="str">
        <f aca="false">IF($BL58&lt;&gt;Constants!$B$4,"",IF(AND($AL58,$BN58=0),Constants!$B$25,0))</f>
        <v/>
      </c>
      <c r="BW58" s="74" t="str">
        <f aca="false">IF($BL58&lt;&gt;Constants!$B$4,"",MIN(Constants!$B$29,MAX(0,Constants!$B$27*Constants!$B$28*INT(ROUND((Constants!$B$26-$AN58)/Constants!$B$28,6))))+MIN(Constants!$B$29,MAX(0,Constants!$B$27*Constants!$B$28*INT(ROUND((Constants!$B$26-$AO58)/Constants!$B$28,6))))+MIN(Constants!$B$29,MAX(0,Constants!$B$27*Constants!$B$28*INT(ROUND((Constants!$B$26-$AP58)/Constants!$B$28,6)))))</f>
        <v/>
      </c>
      <c r="BX58" s="74" t="str">
        <f aca="false">IF($BL58&lt;&gt;Constants!$B$4,"",IF(NOT($AL58),0,Constants!$B$31*INT(ROUND(MAX(0,MIN($BJ58,2*$AH$9)-$AH$9),6))))</f>
        <v/>
      </c>
      <c r="BY58" s="74" t="str">
        <f aca="false">IF($BL58&lt;&gt;Constants!$B$4,"",Constants!$B$32*(($AN58&gt;Constants!$B$26)+($AO58&gt;Constants!$B$26)+($AP58&gt;Constants!$B$26)))</f>
        <v/>
      </c>
      <c r="BZ58" s="74" t="str">
        <f aca="false">IF($BL58&lt;&gt;Constants!$B$4,"",IF(OR(NOT($AL58),$AQ58),0,Constants!$B$33))</f>
        <v/>
      </c>
      <c r="CA58" s="74" t="str">
        <f aca="false">IF($BL58&lt;&gt;Constants!$B$4,"",Constants!$B$34*$BN58)</f>
        <v/>
      </c>
      <c r="CB58" s="74" t="str">
        <f aca="false">IF($BL58&lt;&gt;Constants!$B$4,"",IF(OR(NOT($AL58),$BH58),0,Constants!$B$36))</f>
        <v/>
      </c>
      <c r="CC58" s="74" t="str">
        <f aca="false">IF($BL58&lt;&gt;Constants!$B$4,"",IF(OR(NOT($AL58),$BG58),0,Constants!$B$37))</f>
        <v/>
      </c>
      <c r="CD58" s="74" t="str">
        <f aca="false">IF($BL58&lt;&gt;Constants!$B$4,"",SUM($BX58:$CC58))</f>
        <v/>
      </c>
      <c r="CE58" s="74" t="str">
        <f aca="false">IF(ISBLANK($C58),"",IF($BL58&lt;&gt;Constants!$B$4,$BL58,SUM($BO58:$BW58)-$CD58))</f>
        <v/>
      </c>
      <c r="CF58" s="74" t="str">
        <f aca="false">IF(ISBLANK($C58),"",IF($BL58&lt;&gt;Constants!$B$4,$BL58,RANK($CE58,$CE$9:$CE$508)))</f>
        <v/>
      </c>
      <c r="CG58" s="74" t="str">
        <f aca="false">IF(ISBLANK($C58),"",IF($BL58&lt;&gt;Constants!$B$4,$BL58,COUNTIFS($BM$9:$BM$508,"&lt;"&amp;$BM58)+COUNTIFS($BM$9:$BM$508,$BM58,$CF$9:$CF$508,"&lt;"&amp;$CF58)+1))</f>
        <v/>
      </c>
      <c r="CH58" s="74" t="str">
        <f aca="false">IF(ISBLANK($C58),"",IF($BL58&lt;&gt;Constants!$B$4,$BL58,RANK($CD58,$CD$9:$CD$508,1)))</f>
        <v/>
      </c>
      <c r="CI58" s="74" t="str">
        <f aca="false">IF($BL58&lt;&gt;Constants!$B$4,"",$AN58+$AO58+$AP58)</f>
        <v/>
      </c>
      <c r="CJ58" s="74" t="str">
        <f aca="false">IF(ISBLANK($C58),"",IF($BL58&lt;&gt;Constants!$B$4,$BL58,RANK($CI58,$CI$9:$CI$508,1)))</f>
        <v/>
      </c>
      <c r="CK58" s="74" t="str">
        <f aca="false">IF(ISBLANK($C58),"",IF($BL58&lt;&gt;Constants!$B$4,$BL58,COUNTIFS($BM$9:$BM$508,"&lt;"&amp;$BM58)+COUNTIFS($BM$9:$BM$508,$BM58,$CF$9:$CF$508,"&lt;"&amp;$CF58)+COUNTIFS($BM$9:$BM$508,$BM58,$CF$9:$CF$508,$CF58,$CH$9:$CH$508,"&lt;"&amp;$CH58)+COUNTIFS($BM$9:$BM$508,$BM58,$CF$9:$CF$508,$CF58,$CH$9:$CH$508,$CH58,$CJ$9:$CJ$508,"&lt;"&amp;$CJ58)+1))</f>
        <v/>
      </c>
      <c r="CL58" s="74" t="str">
        <f aca="false">IF(ISBLANK($C58),"",IF($BL58&lt;&gt;Constants!$B$4,$BL58,$CG58-$CK58))</f>
        <v/>
      </c>
      <c r="CM58" s="74" t="str">
        <f aca="false">IF(ISBLANK($C58),"",IF(NOT($AL58),"",IF(ISBLANK($D$7),$CM$5,IF(NOT(ISNUMBER($D$7)),$CM$6,""))))</f>
        <v/>
      </c>
      <c r="CN58" s="74" t="str">
        <f aca="false">IF(ISBLANK($C58),"",OR($AN58="",$AO58="",$AP58=""))</f>
        <v/>
      </c>
      <c r="CO58" s="74" t="str">
        <f aca="false">IF(ISBLANK($C58),"",AND($AL58,$BA58=""))</f>
        <v/>
      </c>
      <c r="CP58" s="74" t="str">
        <f aca="false">IF(ISBLANK($C58),"",AND($AL58,$BB58=""))</f>
        <v/>
      </c>
      <c r="CQ58" s="74" t="str">
        <f aca="false">IF(ISBLANK($C58),"",AND($AL58,$BC58=""))</f>
        <v/>
      </c>
      <c r="CR58" s="74" t="str">
        <f aca="false">IF(ISBLANK($C58),"",AND($AL58,$BF58=""))</f>
        <v/>
      </c>
      <c r="CS58" s="74" t="str">
        <f aca="false">IF(ISBLANK($C58),"",AND($AL58,$BJ58=""))</f>
        <v/>
      </c>
      <c r="CT58" s="75"/>
      <c r="CU58" s="76"/>
      <c r="CV58" s="79" t="str">
        <f aca="false">IF(ISBLANK($C58),"",IF($BL58=Constants!$B$8,$CM58,""))</f>
        <v/>
      </c>
      <c r="CW58" s="76" t="str">
        <f aca="false">IF(ISBLANK($C58),"",IF($BL58&lt;&gt;Constants!$B$4,"",$BO58+$BP58))</f>
        <v/>
      </c>
      <c r="CX58" s="78" t="str">
        <f aca="false">IF(ISBLANK($C58),"",IF($BL58&lt;&gt;Constants!$B$4,"",$BQ58+$BR58+$BS58))</f>
        <v/>
      </c>
      <c r="CY58" s="78" t="str">
        <f aca="false">IF(ISBLANK($C58),"",IF($BL58&lt;&gt;Constants!$B$4,"",$BT58))</f>
        <v/>
      </c>
      <c r="CZ58" s="78" t="str">
        <f aca="false">IF(ISBLANK($C58),"",IF($BL58&lt;&gt;Constants!$B$4,"",$BU58+$BV58))</f>
        <v/>
      </c>
      <c r="DA58" s="78" t="str">
        <f aca="false">IF(ISBLANK($C58),"",IF($BL58&lt;&gt;Constants!$B$4,"",$BW58))</f>
        <v/>
      </c>
      <c r="DB58" s="78" t="str">
        <f aca="false">IF(ISBLANK($C58),"",IF($BL58&lt;&gt;Constants!$B$4,"",-$CD58))</f>
        <v/>
      </c>
      <c r="DC58" s="79" t="str">
        <f aca="false">IF(ISBLANK($C58),"",$CE58)</f>
        <v/>
      </c>
      <c r="DD58" s="80" t="str">
        <f aca="false">IF(ISBLANK($C58),"",$BM58)</f>
        <v/>
      </c>
      <c r="DE58" s="78" t="str">
        <f aca="false">IF(ISBLANK($C58),"",$CL58)</f>
        <v/>
      </c>
      <c r="DF58" s="78" t="str">
        <f aca="false">IF(ISBLANK($C58),"",$CK58)</f>
        <v/>
      </c>
      <c r="DG58" s="81" t="str">
        <f aca="false">IF(ISBLANK($C58),"",IF($DF58=Constants!$B$7,COUNTA($C$9:$C$508)+2,IF($DF58=Constants!$B$6,COUNTA($C$9:$C$508)+1,IF($DF58=Constants!$B$5,COUNTA($C$9:$C$508),$DF58))))</f>
        <v/>
      </c>
      <c r="DH58" s="7"/>
      <c r="DI58" s="82" t="n">
        <f aca="false">IF(OR(ISNUMBER($DF58),$DF58=Constants!$B$7,$DF58=Constants!$B$5,$DF58=Constants!$B$6),1,0)</f>
        <v>0</v>
      </c>
      <c r="DJ58" s="82" t="n">
        <v>50</v>
      </c>
      <c r="DK58" s="82" t="str">
        <f aca="false">IF(ISBLANK($C58),"",IF(ISNUMBER($DG58),$DG58+ROW($B58)/1000,""))</f>
        <v/>
      </c>
      <c r="DL58" s="82" t="str">
        <f aca="false">IF(ISNUMBER($DK58),RANK($DK58,$DK$9:$DK$508,1),"")</f>
        <v/>
      </c>
      <c r="DM58" s="82" t="str">
        <f aca="false">IF(ISBLANK($C58),"",$B58)</f>
        <v/>
      </c>
      <c r="DN58" s="82" t="str">
        <f aca="false">IF(ISBLANK($C58),"",$C58)</f>
        <v/>
      </c>
      <c r="DO58" s="82" t="str">
        <f aca="false">IF(ISBLANK($C58),"",$D58)</f>
        <v/>
      </c>
      <c r="DP58" s="83" t="str">
        <f aca="false">$DD58</f>
        <v/>
      </c>
      <c r="DQ58" s="84" t="str">
        <f aca="false">$DC58</f>
        <v/>
      </c>
      <c r="DR58" s="82" t="str">
        <f aca="false">IF(ISBLANK($C58),"",$DF58)</f>
        <v/>
      </c>
      <c r="DS58" s="85" t="str">
        <f aca="false">IF($DJ58&gt;$DI$8,"",VLOOKUP($DJ58,$DL$9:$DR$508,7,FALSE()))</f>
        <v/>
      </c>
      <c r="DT58" s="86" t="str">
        <f aca="false">IF($DJ58&gt;$DI$8,"",VLOOKUP($DJ58,$DL$9:$DR$508,2,FALSE()))</f>
        <v/>
      </c>
      <c r="DU58" s="86" t="str">
        <f aca="false">IF($DJ58&gt;$DI$8,"",VLOOKUP($DJ58,$DL$9:$DR$508,3,FALSE()))</f>
        <v/>
      </c>
      <c r="DV58" s="86" t="str">
        <f aca="false">IF($DJ58&gt;$DI$8,"",VLOOKUP($DJ58,$DL$9:$DR$508,4,FALSE()))</f>
        <v/>
      </c>
      <c r="DW58" s="86" t="str">
        <f aca="false">IF($DJ58&gt;$DI$8,"",VLOOKUP($DJ58,$DL$9:$DR$508,5,FALSE()))</f>
        <v/>
      </c>
      <c r="DX58" s="87" t="str">
        <f aca="false">IF($DJ58&gt;$DI$8,"",VLOOKUP($DJ58,$DL$9:$DR$508,6,FALSE()))</f>
        <v/>
      </c>
      <c r="DY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2"/>
      <c r="N59" s="122"/>
      <c r="O59" s="66"/>
      <c r="P59" s="66"/>
      <c r="Q59" s="122"/>
      <c r="R59" s="122"/>
      <c r="S59" s="122"/>
      <c r="T59" s="122"/>
      <c r="U59" s="66"/>
      <c r="V59" s="122"/>
      <c r="W59" s="120"/>
      <c r="X59" s="122"/>
      <c r="Y59" s="122"/>
      <c r="Z59" s="120"/>
      <c r="AA59" s="120"/>
      <c r="AB59" s="122"/>
      <c r="AC59" s="122"/>
      <c r="AD59" s="122"/>
      <c r="AE59" s="121"/>
      <c r="AF59" s="122"/>
      <c r="AG59" s="73"/>
      <c r="AH59" s="74"/>
      <c r="AI59" s="74"/>
      <c r="AJ59" s="74" t="str">
        <f aca="false">IF(ISBLANK($C59),"",IF($E59=Constants!$B$2,TRUE(),IF($E59=Constants!$B$3,FALSE(),TRUE())))</f>
        <v/>
      </c>
      <c r="AK59" s="74" t="str">
        <f aca="false">IF(ISBLANK($C59),"",IF($F59=Constants!$B$2,TRUE(),IF($F59=Constants!$B$3,FALSE(),FALSE())))</f>
        <v/>
      </c>
      <c r="AL59" s="74" t="str">
        <f aca="false">IF(ISBLANK($C59),"",IF($G59=Constants!$B$2,TRUE(),IF($G59=Constants!$B$3,FALSE(),TRUE())))</f>
        <v/>
      </c>
      <c r="AM59" s="74" t="str">
        <f aca="false">IF(ISBLANK($C59),"",IF($H59=Constants!$B$2,TRUE(),IF($H59=Constants!$B$3,FALSE(),TRUE())))</f>
        <v/>
      </c>
      <c r="AN59" s="74" t="str">
        <f aca="false">IF(ISBLANK($C59),"",IF(ISNUMBER($I59),IF($I59&gt;=0,$I59,""),""))</f>
        <v/>
      </c>
      <c r="AO59" s="74" t="str">
        <f aca="false">IF(ISBLANK($C59),"",IF(ISNUMBER($J59),IF($J59&gt;=0,$J59,""),""))</f>
        <v/>
      </c>
      <c r="AP59" s="74" t="str">
        <f aca="false">IF(ISBLANK($C59),"",IF(ISNUMBER($K59),IF($K59&gt;=0,$K59,""),""))</f>
        <v/>
      </c>
      <c r="AQ59" s="74" t="str">
        <f aca="false">IF(ISBLANK($C59),"",IF($L59=Constants!$B$2,TRUE(),IF($L59=Constants!$B$3,FALSE(),TRUE())))</f>
        <v/>
      </c>
      <c r="AR59" s="74" t="str">
        <f aca="false">IF(ISBLANK($C59),"",IF($M59=Constants!$B$2,TRUE(),IF($M59=Constants!$B$3,FALSE(),TRUE())))</f>
        <v/>
      </c>
      <c r="AS59" s="74" t="str">
        <f aca="false">IF(ISBLANK($C59),"",IF($N59=Constants!$B$2,TRUE(),IF($N59=Constants!$B$3,FALSE(),FALSE())))</f>
        <v/>
      </c>
      <c r="AT59" s="74" t="str">
        <f aca="false">IF(ISBLANK($C59),"",IF($O59=Constants!$B$2,TRUE(),IF($O59=Constants!$B$3,FALSE(),TRUE())))</f>
        <v/>
      </c>
      <c r="AU59" s="74" t="str">
        <f aca="false">IF(ISBLANK($C59),"",IF($P59=Constants!$B$2,TRUE(),IF($P59=Constants!$B$3,FALSE(),TRUE())))</f>
        <v/>
      </c>
      <c r="AV59" s="74" t="str">
        <f aca="false">IF(ISBLANK($C59),"",IF($Q59=Constants!$B$2,TRUE(),IF($Q59=Constants!$B$3,FALSE(),FALSE())))</f>
        <v/>
      </c>
      <c r="AW59" s="74" t="str">
        <f aca="false">IF(ISBLANK($C59),"",IF($R59=Constants!$B$2,TRUE(),IF($R59=Constants!$B$3,FALSE(),FALSE())))</f>
        <v/>
      </c>
      <c r="AX59" s="74" t="str">
        <f aca="false">IF(ISBLANK($C59),"",IF($S59=Constants!$B$2,TRUE(),IF($S59=Constants!$B$3,FALSE(),FALSE())))</f>
        <v/>
      </c>
      <c r="AY59" s="74" t="str">
        <f aca="false">IF(ISBLANK($C59),"",IF($T59=Constants!$B$2,TRUE(),IF($T59=Constants!$B$3,FALSE(),FALSE())))</f>
        <v/>
      </c>
      <c r="AZ59" s="74" t="str">
        <f aca="false">IF(ISBLANK($C59),"",IF($U59=Constants!$B$2,TRUE(),IF($U59=Constants!$B$3,FALSE(),FALSE())))</f>
        <v/>
      </c>
      <c r="BA59" s="74" t="str">
        <f aca="false">IF(ISBLANK($C59),"",IF(OR($V59&amp;""="1",$V59&amp;""="2",$V59&amp;""="3",$V59&amp;""="4"),VALUE($V59&amp;""),IF($V59=Constants!$B$12,Constants!$B$12,"")))</f>
        <v/>
      </c>
      <c r="BB59" s="74" t="str">
        <f aca="false">IF(ISBLANK($C59),"",IF(ISBLANK($W59),0,IF(ISNUMBER($W59),IF(AND($W59&gt;=0,$W59&lt;=Constants!$B$21,$W59=INT($W59)),$W59,""),"")))</f>
        <v/>
      </c>
      <c r="BC59" s="74" t="str">
        <f aca="false">IF(ISBLANK($C59),"",IF(ISBLANK($X59),0,IF(ISNUMBER($X59),IF($X59&gt;=0,$X59,""),"")))</f>
        <v/>
      </c>
      <c r="BD59" s="74" t="str">
        <f aca="false">IF(ISBLANK($C59),"",IF($Y59=Constants!$B$2,TRUE(),IF($Y59=Constants!$B$3,FALSE(),TRUE())))</f>
        <v/>
      </c>
      <c r="BE59" s="74" t="str">
        <f aca="false">IF(ISBLANK($C59),"",IF($Z59=Constants!$B$2,TRUE(),IF($Z59=Constants!$B$3,FALSE(),FALSE())))</f>
        <v/>
      </c>
      <c r="BF59" s="74" t="str">
        <f aca="false">IF(ISBLANK($C59),"",IF(ISBLANK($AA59),0,IF(ISNUMBER($AA59),IF(AND($AA59&gt;=0,$AA59&lt;=Constants!$B$35,$AA59=INT($AA59)),$AA59,""),"")))</f>
        <v/>
      </c>
      <c r="BG59" s="74" t="str">
        <f aca="false">IF(ISBLANK($C59),"",IF($AB59=Constants!$B$2,TRUE(),IF($AB59=Constants!$B$3,FALSE(),TRUE())))</f>
        <v/>
      </c>
      <c r="BH59" s="74" t="str">
        <f aca="false">IF(ISBLANK($C59),"",IF($AC59=Constants!$B$2,TRUE(),IF($AC59=Constants!$B$3,FALSE(),TRUE())))</f>
        <v/>
      </c>
      <c r="BI59" s="74" t="str">
        <f aca="false">IF(ISBLANK($C59),"",IF($AD59=Constants!$B$2,TRUE(),IF($AD59=Constants!$B$3,FALSE(),TRUE())))</f>
        <v/>
      </c>
      <c r="BJ59" s="74" t="str">
        <f aca="false">IF(ISBLANK($C59),"",IF(ISNUMBER($AE59),IF($AE59&gt;=0,$AE59,""),""))</f>
        <v/>
      </c>
      <c r="BK59" s="74" t="str">
        <f aca="false">IF(ISBLANK($C59),"",IF($AF59=Constants!$B$2,TRUE(),IF($AF59=Constants!$B$3,FALSE(),FALSE())))</f>
        <v/>
      </c>
      <c r="BL59" s="73" t="str">
        <f aca="false">IF(ISBLANK($C59),"",IF($BK59,Constants!$B$7,IF(COUNTA($E59:$AE59)=0,Constants!$B$6,IF(OR(COUNTA($G59:$AE59)=0,NOT($AM59),$AS59),Constants!$B$5,IF(OR($CM59&lt;&gt;"",$CN59,$CO59,$CP59,$CQ59,$CR59,$CS59),Constants!$B$8,Constants!$B$4)))))</f>
        <v/>
      </c>
      <c r="BM59" s="74" t="str">
        <f aca="false">IF(ISBLANK($C59),"",IF($BL59&lt;&gt;Constants!$B$4,$BL59,IF(OR(NOT($AJ59),NOT($AL59),NOT($AT59)),Constants!$B$11,IF(OR(NOT($AR59),NOT($AU59),NOT($BI59),MAX($AN59,$AO59,$AP59)&gt;Constants!$B$30),Constants!$B$10,Constants!$B$9))))</f>
        <v/>
      </c>
      <c r="BN59" s="74" t="str">
        <f aca="false">IF($BL59&lt;&gt;Constants!$B$4,"",IF(NOT($AL59),0,MIN(Constants!$B$35,$BF59)))</f>
        <v/>
      </c>
      <c r="BO59" s="74" t="str">
        <f aca="false">IF($BL59&lt;&gt;Constants!$B$4,"",IF(NOT($AL59),0,IF($AW59,Constants!$B$18,IF($AV59,Constants!$B$17,0))))</f>
        <v/>
      </c>
      <c r="BP59" s="74" t="str">
        <f aca="false">IF($BL59&lt;&gt;Constants!$B$4,"",IF(NOT($AL59),0,Constants!$B$19*($AK59+$AX59+$AY59+$AZ59)))</f>
        <v/>
      </c>
      <c r="BQ59" s="74" t="str">
        <f aca="false">IF($BL59&lt;&gt;Constants!$B$4,"",IF(OR(NOT($AL59),NOT(ISNUMBER($BA59))),0,CHOOSE($BA59,Constants!$B$13,Constants!$B$14,Constants!$B$15,Constants!$B$16)))</f>
        <v/>
      </c>
      <c r="BR59" s="74" t="str">
        <f aca="false">IF($BL59&lt;&gt;Constants!$B$4,"",IF(NOT($AL59),0,Constants!$B$20*$BB59))</f>
        <v/>
      </c>
      <c r="BS59" s="74" t="str">
        <f aca="false">IF($BL59&lt;&gt;Constants!$B$4,"",IF(AND($AL59,$BD59,$BE59),Constants!$B$22,0))</f>
        <v/>
      </c>
      <c r="BT59" s="74" t="str">
        <f aca="false">IF($BL59&lt;&gt;Constants!$B$4,"",IF(OR(NOT($AL59),NOT($BD59)),0,IF($BJ59&gt;=2*$AH$9,0,Constants!$B$23*INT(ROUND(MIN($BJ59,$AH$9),6)))))</f>
        <v/>
      </c>
      <c r="BU59" s="74" t="str">
        <f aca="false">IF($BL59&lt;&gt;Constants!$B$4,"",IF(NOT($AL59),0,Constants!$B$24*INT(ROUND(MIN($BC59,$AH$9),6))))</f>
        <v/>
      </c>
      <c r="BV59" s="74" t="str">
        <f aca="false">IF($BL59&lt;&gt;Constants!$B$4,"",IF(AND($AL59,$BN59=0),Constants!$B$25,0))</f>
        <v/>
      </c>
      <c r="BW59" s="74" t="str">
        <f aca="false">IF($BL59&lt;&gt;Constants!$B$4,"",MIN(Constants!$B$29,MAX(0,Constants!$B$27*Constants!$B$28*INT(ROUND((Constants!$B$26-$AN59)/Constants!$B$28,6))))+MIN(Constants!$B$29,MAX(0,Constants!$B$27*Constants!$B$28*INT(ROUND((Constants!$B$26-$AO59)/Constants!$B$28,6))))+MIN(Constants!$B$29,MAX(0,Constants!$B$27*Constants!$B$28*INT(ROUND((Constants!$B$26-$AP59)/Constants!$B$28,6)))))</f>
        <v/>
      </c>
      <c r="BX59" s="74" t="str">
        <f aca="false">IF($BL59&lt;&gt;Constants!$B$4,"",IF(NOT($AL59),0,Constants!$B$31*INT(ROUND(MAX(0,MIN($BJ59,2*$AH$9)-$AH$9),6))))</f>
        <v/>
      </c>
      <c r="BY59" s="74" t="str">
        <f aca="false">IF($BL59&lt;&gt;Constants!$B$4,"",Constants!$B$32*(($AN59&gt;Constants!$B$26)+($AO59&gt;Constants!$B$26)+($AP59&gt;Constants!$B$26)))</f>
        <v/>
      </c>
      <c r="BZ59" s="74" t="str">
        <f aca="false">IF($BL59&lt;&gt;Constants!$B$4,"",IF(OR(NOT($AL59),$AQ59),0,Constants!$B$33))</f>
        <v/>
      </c>
      <c r="CA59" s="74" t="str">
        <f aca="false">IF($BL59&lt;&gt;Constants!$B$4,"",Constants!$B$34*$BN59)</f>
        <v/>
      </c>
      <c r="CB59" s="74" t="str">
        <f aca="false">IF($BL59&lt;&gt;Constants!$B$4,"",IF(OR(NOT($AL59),$BH59),0,Constants!$B$36))</f>
        <v/>
      </c>
      <c r="CC59" s="74" t="str">
        <f aca="false">IF($BL59&lt;&gt;Constants!$B$4,"",IF(OR(NOT($AL59),$BG59),0,Constants!$B$37))</f>
        <v/>
      </c>
      <c r="CD59" s="74" t="str">
        <f aca="false">IF($BL59&lt;&gt;Constants!$B$4,"",SUM($BX59:$CC59))</f>
        <v/>
      </c>
      <c r="CE59" s="74" t="str">
        <f aca="false">IF(ISBLANK($C59),"",IF($BL59&lt;&gt;Constants!$B$4,$BL59,SUM($BO59:$BW59)-$CD59))</f>
        <v/>
      </c>
      <c r="CF59" s="74" t="str">
        <f aca="false">IF(ISBLANK($C59),"",IF($BL59&lt;&gt;Constants!$B$4,$BL59,RANK($CE59,$CE$9:$CE$508)))</f>
        <v/>
      </c>
      <c r="CG59" s="74" t="str">
        <f aca="false">IF(ISBLANK($C59),"",IF($BL59&lt;&gt;Constants!$B$4,$BL59,COUNTIFS($BM$9:$BM$508,"&lt;"&amp;$BM59)+COUNTIFS($BM$9:$BM$508,$BM59,$CF$9:$CF$508,"&lt;"&amp;$CF59)+1))</f>
        <v/>
      </c>
      <c r="CH59" s="74" t="str">
        <f aca="false">IF(ISBLANK($C59),"",IF($BL59&lt;&gt;Constants!$B$4,$BL59,RANK($CD59,$CD$9:$CD$508,1)))</f>
        <v/>
      </c>
      <c r="CI59" s="74" t="str">
        <f aca="false">IF($BL59&lt;&gt;Constants!$B$4,"",$AN59+$AO59+$AP59)</f>
        <v/>
      </c>
      <c r="CJ59" s="74" t="str">
        <f aca="false">IF(ISBLANK($C59),"",IF($BL59&lt;&gt;Constants!$B$4,$BL59,RANK($CI59,$CI$9:$CI$508,1)))</f>
        <v/>
      </c>
      <c r="CK59" s="74" t="str">
        <f aca="false">IF(ISBLANK($C59),"",IF($BL59&lt;&gt;Constants!$B$4,$BL59,COUNTIFS($BM$9:$BM$508,"&lt;"&amp;$BM59)+COUNTIFS($BM$9:$BM$508,$BM59,$CF$9:$CF$508,"&lt;"&amp;$CF59)+COUNTIFS($BM$9:$BM$508,$BM59,$CF$9:$CF$508,$CF59,$CH$9:$CH$508,"&lt;"&amp;$CH59)+COUNTIFS($BM$9:$BM$508,$BM59,$CF$9:$CF$508,$CF59,$CH$9:$CH$508,$CH59,$CJ$9:$CJ$508,"&lt;"&amp;$CJ59)+1))</f>
        <v/>
      </c>
      <c r="CL59" s="74" t="str">
        <f aca="false">IF(ISBLANK($C59),"",IF($BL59&lt;&gt;Constants!$B$4,$BL59,$CG59-$CK59))</f>
        <v/>
      </c>
      <c r="CM59" s="74" t="str">
        <f aca="false">IF(ISBLANK($C59),"",IF(NOT($AL59),"",IF(ISBLANK($D$7),$CM$5,IF(NOT(ISNUMBER($D$7)),$CM$6,""))))</f>
        <v/>
      </c>
      <c r="CN59" s="74" t="str">
        <f aca="false">IF(ISBLANK($C59),"",OR($AN59="",$AO59="",$AP59=""))</f>
        <v/>
      </c>
      <c r="CO59" s="74" t="str">
        <f aca="false">IF(ISBLANK($C59),"",AND($AL59,$BA59=""))</f>
        <v/>
      </c>
      <c r="CP59" s="74" t="str">
        <f aca="false">IF(ISBLANK($C59),"",AND($AL59,$BB59=""))</f>
        <v/>
      </c>
      <c r="CQ59" s="74" t="str">
        <f aca="false">IF(ISBLANK($C59),"",AND($AL59,$BC59=""))</f>
        <v/>
      </c>
      <c r="CR59" s="74" t="str">
        <f aca="false">IF(ISBLANK($C59),"",AND($AL59,$BF59=""))</f>
        <v/>
      </c>
      <c r="CS59" s="74" t="str">
        <f aca="false">IF(ISBLANK($C59),"",AND($AL59,$BJ59=""))</f>
        <v/>
      </c>
      <c r="CT59" s="75"/>
      <c r="CU59" s="76"/>
      <c r="CV59" s="79" t="str">
        <f aca="false">IF(ISBLANK($C59),"",IF($BL59=Constants!$B$8,$CM59,""))</f>
        <v/>
      </c>
      <c r="CW59" s="76" t="str">
        <f aca="false">IF(ISBLANK($C59),"",IF($BL59&lt;&gt;Constants!$B$4,"",$BO59+$BP59))</f>
        <v/>
      </c>
      <c r="CX59" s="78" t="str">
        <f aca="false">IF(ISBLANK($C59),"",IF($BL59&lt;&gt;Constants!$B$4,"",$BQ59+$BR59+$BS59))</f>
        <v/>
      </c>
      <c r="CY59" s="78" t="str">
        <f aca="false">IF(ISBLANK($C59),"",IF($BL59&lt;&gt;Constants!$B$4,"",$BT59))</f>
        <v/>
      </c>
      <c r="CZ59" s="78" t="str">
        <f aca="false">IF(ISBLANK($C59),"",IF($BL59&lt;&gt;Constants!$B$4,"",$BU59+$BV59))</f>
        <v/>
      </c>
      <c r="DA59" s="78" t="str">
        <f aca="false">IF(ISBLANK($C59),"",IF($BL59&lt;&gt;Constants!$B$4,"",$BW59))</f>
        <v/>
      </c>
      <c r="DB59" s="78" t="str">
        <f aca="false">IF(ISBLANK($C59),"",IF($BL59&lt;&gt;Constants!$B$4,"",-$CD59))</f>
        <v/>
      </c>
      <c r="DC59" s="79" t="str">
        <f aca="false">IF(ISBLANK($C59),"",$CE59)</f>
        <v/>
      </c>
      <c r="DD59" s="80" t="str">
        <f aca="false">IF(ISBLANK($C59),"",$BM59)</f>
        <v/>
      </c>
      <c r="DE59" s="78" t="str">
        <f aca="false">IF(ISBLANK($C59),"",$CL59)</f>
        <v/>
      </c>
      <c r="DF59" s="78" t="str">
        <f aca="false">IF(ISBLANK($C59),"",$CK59)</f>
        <v/>
      </c>
      <c r="DG59" s="81" t="str">
        <f aca="false">IF(ISBLANK($C59),"",IF($DF59=Constants!$B$7,COUNTA($C$9:$C$508)+2,IF($DF59=Constants!$B$6,COUNTA($C$9:$C$508)+1,IF($DF59=Constants!$B$5,COUNTA($C$9:$C$508),$DF59))))</f>
        <v/>
      </c>
      <c r="DH59" s="7"/>
      <c r="DI59" s="82" t="n">
        <f aca="false">IF(OR(ISNUMBER($DF59),$DF59=Constants!$B$7,$DF59=Constants!$B$5,$DF59=Constants!$B$6),1,0)</f>
        <v>0</v>
      </c>
      <c r="DJ59" s="82" t="n">
        <v>51</v>
      </c>
      <c r="DK59" s="82" t="str">
        <f aca="false">IF(ISBLANK($C59),"",IF(ISNUMBER($DG59),$DG59+ROW($B59)/1000,""))</f>
        <v/>
      </c>
      <c r="DL59" s="82" t="str">
        <f aca="false">IF(ISNUMBER($DK59),RANK($DK59,$DK$9:$DK$508,1),"")</f>
        <v/>
      </c>
      <c r="DM59" s="82" t="str">
        <f aca="false">IF(ISBLANK($C59),"",$B59)</f>
        <v/>
      </c>
      <c r="DN59" s="82" t="str">
        <f aca="false">IF(ISBLANK($C59),"",$C59)</f>
        <v/>
      </c>
      <c r="DO59" s="82" t="str">
        <f aca="false">IF(ISBLANK($C59),"",$D59)</f>
        <v/>
      </c>
      <c r="DP59" s="83" t="str">
        <f aca="false">$DD59</f>
        <v/>
      </c>
      <c r="DQ59" s="84" t="str">
        <f aca="false">$DC59</f>
        <v/>
      </c>
      <c r="DR59" s="82" t="str">
        <f aca="false">IF(ISBLANK($C59),"",$DF59)</f>
        <v/>
      </c>
      <c r="DS59" s="85" t="str">
        <f aca="false">IF($DJ59&gt;$DI$8,"",VLOOKUP($DJ59,$DL$9:$DR$508,7,FALSE()))</f>
        <v/>
      </c>
      <c r="DT59" s="86" t="str">
        <f aca="false">IF($DJ59&gt;$DI$8,"",VLOOKUP($DJ59,$DL$9:$DR$508,2,FALSE()))</f>
        <v/>
      </c>
      <c r="DU59" s="86" t="str">
        <f aca="false">IF($DJ59&gt;$DI$8,"",VLOOKUP($DJ59,$DL$9:$DR$508,3,FALSE()))</f>
        <v/>
      </c>
      <c r="DV59" s="86" t="str">
        <f aca="false">IF($DJ59&gt;$DI$8,"",VLOOKUP($DJ59,$DL$9:$DR$508,4,FALSE()))</f>
        <v/>
      </c>
      <c r="DW59" s="86" t="str">
        <f aca="false">IF($DJ59&gt;$DI$8,"",VLOOKUP($DJ59,$DL$9:$DR$508,5,FALSE()))</f>
        <v/>
      </c>
      <c r="DX59" s="87" t="str">
        <f aca="false">IF($DJ59&gt;$DI$8,"",VLOOKUP($DJ59,$DL$9:$DR$508,6,FALSE()))</f>
        <v/>
      </c>
      <c r="DY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130"/>
      <c r="N60" s="130"/>
      <c r="O60" s="135"/>
      <c r="P60" s="135"/>
      <c r="Q60" s="130"/>
      <c r="R60" s="130"/>
      <c r="S60" s="130"/>
      <c r="T60" s="130"/>
      <c r="U60" s="135"/>
      <c r="V60" s="130"/>
      <c r="W60" s="96"/>
      <c r="X60" s="130"/>
      <c r="Y60" s="130"/>
      <c r="Z60" s="96"/>
      <c r="AA60" s="96"/>
      <c r="AB60" s="130"/>
      <c r="AC60" s="130"/>
      <c r="AD60" s="130"/>
      <c r="AE60" s="97"/>
      <c r="AF60" s="130"/>
      <c r="AG60" s="99"/>
      <c r="AH60" s="100"/>
      <c r="AI60" s="100"/>
      <c r="AJ60" s="100" t="str">
        <f aca="false">IF(ISBLANK($C60),"",IF($E60=Constants!$B$2,TRUE(),IF($E60=Constants!$B$3,FALSE(),TRUE())))</f>
        <v/>
      </c>
      <c r="AK60" s="100" t="str">
        <f aca="false">IF(ISBLANK($C60),"",IF($F60=Constants!$B$2,TRUE(),IF($F60=Constants!$B$3,FALSE(),FALSE())))</f>
        <v/>
      </c>
      <c r="AL60" s="100" t="str">
        <f aca="false">IF(ISBLANK($C60),"",IF($G60=Constants!$B$2,TRUE(),IF($G60=Constants!$B$3,FALSE(),TRUE())))</f>
        <v/>
      </c>
      <c r="AM60" s="100" t="str">
        <f aca="false">IF(ISBLANK($C60),"",IF($H60=Constants!$B$2,TRUE(),IF($H60=Constants!$B$3,FALSE(),TRUE())))</f>
        <v/>
      </c>
      <c r="AN60" s="100" t="str">
        <f aca="false">IF(ISBLANK($C60),"",IF(ISNUMBER($I60),IF($I60&gt;=0,$I60,""),""))</f>
        <v/>
      </c>
      <c r="AO60" s="100" t="str">
        <f aca="false">IF(ISBLANK($C60),"",IF(ISNUMBER($J60),IF($J60&gt;=0,$J60,""),""))</f>
        <v/>
      </c>
      <c r="AP60" s="100" t="str">
        <f aca="false">IF(ISBLANK($C60),"",IF(ISNUMBER($K60),IF($K60&gt;=0,$K60,""),""))</f>
        <v/>
      </c>
      <c r="AQ60" s="100" t="str">
        <f aca="false">IF(ISBLANK($C60),"",IF($L60=Constants!$B$2,TRUE(),IF($L60=Constants!$B$3,FALSE(),TRUE())))</f>
        <v/>
      </c>
      <c r="AR60" s="100" t="str">
        <f aca="false">IF(ISBLANK($C60),"",IF($M60=Constants!$B$2,TRUE(),IF($M60=Constants!$B$3,FALSE(),TRUE())))</f>
        <v/>
      </c>
      <c r="AS60" s="100" t="str">
        <f aca="false">IF(ISBLANK($C60),"",IF($N60=Constants!$B$2,TRUE(),IF($N60=Constants!$B$3,FALSE(),FALSE())))</f>
        <v/>
      </c>
      <c r="AT60" s="100" t="str">
        <f aca="false">IF(ISBLANK($C60),"",IF($O60=Constants!$B$2,TRUE(),IF($O60=Constants!$B$3,FALSE(),TRUE())))</f>
        <v/>
      </c>
      <c r="AU60" s="100" t="str">
        <f aca="false">IF(ISBLANK($C60),"",IF($P60=Constants!$B$2,TRUE(),IF($P60=Constants!$B$3,FALSE(),TRUE())))</f>
        <v/>
      </c>
      <c r="AV60" s="100" t="str">
        <f aca="false">IF(ISBLANK($C60),"",IF($Q60=Constants!$B$2,TRUE(),IF($Q60=Constants!$B$3,FALSE(),FALSE())))</f>
        <v/>
      </c>
      <c r="AW60" s="100" t="str">
        <f aca="false">IF(ISBLANK($C60),"",IF($R60=Constants!$B$2,TRUE(),IF($R60=Constants!$B$3,FALSE(),FALSE())))</f>
        <v/>
      </c>
      <c r="AX60" s="100" t="str">
        <f aca="false">IF(ISBLANK($C60),"",IF($S60=Constants!$B$2,TRUE(),IF($S60=Constants!$B$3,FALSE(),FALSE())))</f>
        <v/>
      </c>
      <c r="AY60" s="100" t="str">
        <f aca="false">IF(ISBLANK($C60),"",IF($T60=Constants!$B$2,TRUE(),IF($T60=Constants!$B$3,FALSE(),FALSE())))</f>
        <v/>
      </c>
      <c r="AZ60" s="100" t="str">
        <f aca="false">IF(ISBLANK($C60),"",IF($U60=Constants!$B$2,TRUE(),IF($U60=Constants!$B$3,FALSE(),FALSE())))</f>
        <v/>
      </c>
      <c r="BA60" s="100" t="str">
        <f aca="false">IF(ISBLANK($C60),"",IF(OR($V60&amp;""="1",$V60&amp;""="2",$V60&amp;""="3",$V60&amp;""="4"),VALUE($V60&amp;""),IF($V60=Constants!$B$12,Constants!$B$12,"")))</f>
        <v/>
      </c>
      <c r="BB60" s="100" t="str">
        <f aca="false">IF(ISBLANK($C60),"",IF(ISBLANK($W60),0,IF(ISNUMBER($W60),IF(AND($W60&gt;=0,$W60&lt;=Constants!$B$21,$W60=INT($W60)),$W60,""),"")))</f>
        <v/>
      </c>
      <c r="BC60" s="100" t="str">
        <f aca="false">IF(ISBLANK($C60),"",IF(ISBLANK($X60),0,IF(ISNUMBER($X60),IF($X60&gt;=0,$X60,""),"")))</f>
        <v/>
      </c>
      <c r="BD60" s="100" t="str">
        <f aca="false">IF(ISBLANK($C60),"",IF($Y60=Constants!$B$2,TRUE(),IF($Y60=Constants!$B$3,FALSE(),TRUE())))</f>
        <v/>
      </c>
      <c r="BE60" s="100" t="str">
        <f aca="false">IF(ISBLANK($C60),"",IF($Z60=Constants!$B$2,TRUE(),IF($Z60=Constants!$B$3,FALSE(),FALSE())))</f>
        <v/>
      </c>
      <c r="BF60" s="100" t="str">
        <f aca="false">IF(ISBLANK($C60),"",IF(ISBLANK($AA60),0,IF(ISNUMBER($AA60),IF(AND($AA60&gt;=0,$AA60&lt;=Constants!$B$35,$AA60=INT($AA60)),$AA60,""),"")))</f>
        <v/>
      </c>
      <c r="BG60" s="100" t="str">
        <f aca="false">IF(ISBLANK($C60),"",IF($AB60=Constants!$B$2,TRUE(),IF($AB60=Constants!$B$3,FALSE(),TRUE())))</f>
        <v/>
      </c>
      <c r="BH60" s="100" t="str">
        <f aca="false">IF(ISBLANK($C60),"",IF($AC60=Constants!$B$2,TRUE(),IF($AC60=Constants!$B$3,FALSE(),TRUE())))</f>
        <v/>
      </c>
      <c r="BI60" s="100" t="str">
        <f aca="false">IF(ISBLANK($C60),"",IF($AD60=Constants!$B$2,TRUE(),IF($AD60=Constants!$B$3,FALSE(),TRUE())))</f>
        <v/>
      </c>
      <c r="BJ60" s="100" t="str">
        <f aca="false">IF(ISBLANK($C60),"",IF(ISNUMBER($AE60),IF($AE60&gt;=0,$AE60,""),""))</f>
        <v/>
      </c>
      <c r="BK60" s="100" t="str">
        <f aca="false">IF(ISBLANK($C60),"",IF($AF60=Constants!$B$2,TRUE(),IF($AF60=Constants!$B$3,FALSE(),FALSE())))</f>
        <v/>
      </c>
      <c r="BL60" s="99" t="str">
        <f aca="false">IF(ISBLANK($C60),"",IF($BK60,Constants!$B$7,IF(COUNTA($E60:$AE60)=0,Constants!$B$6,IF(OR(COUNTA($G60:$AE60)=0,NOT($AM60),$AS60),Constants!$B$5,IF(OR($CM60&lt;&gt;"",$CN60,$CO60,$CP60,$CQ60,$CR60,$CS60),Constants!$B$8,Constants!$B$4)))))</f>
        <v/>
      </c>
      <c r="BM60" s="100" t="str">
        <f aca="false">IF(ISBLANK($C60),"",IF($BL60&lt;&gt;Constants!$B$4,$BL60,IF(OR(NOT($AJ60),NOT($AL60),NOT($AT60)),Constants!$B$11,IF(OR(NOT($AR60),NOT($AU60),NOT($BI60),MAX($AN60,$AO60,$AP60)&gt;Constants!$B$30),Constants!$B$10,Constants!$B$9))))</f>
        <v/>
      </c>
      <c r="BN60" s="100" t="str">
        <f aca="false">IF($BL60&lt;&gt;Constants!$B$4,"",IF(NOT($AL60),0,MIN(Constants!$B$35,$BF60)))</f>
        <v/>
      </c>
      <c r="BO60" s="100" t="str">
        <f aca="false">IF($BL60&lt;&gt;Constants!$B$4,"",IF(NOT($AL60),0,IF($AW60,Constants!$B$18,IF($AV60,Constants!$B$17,0))))</f>
        <v/>
      </c>
      <c r="BP60" s="100" t="str">
        <f aca="false">IF($BL60&lt;&gt;Constants!$B$4,"",IF(NOT($AL60),0,Constants!$B$19*($AK60+$AX60+$AY60+$AZ60)))</f>
        <v/>
      </c>
      <c r="BQ60" s="100" t="str">
        <f aca="false">IF($BL60&lt;&gt;Constants!$B$4,"",IF(OR(NOT($AL60),NOT(ISNUMBER($BA60))),0,CHOOSE($BA60,Constants!$B$13,Constants!$B$14,Constants!$B$15,Constants!$B$16)))</f>
        <v/>
      </c>
      <c r="BR60" s="100" t="str">
        <f aca="false">IF($BL60&lt;&gt;Constants!$B$4,"",IF(NOT($AL60),0,Constants!$B$20*$BB60))</f>
        <v/>
      </c>
      <c r="BS60" s="100" t="str">
        <f aca="false">IF($BL60&lt;&gt;Constants!$B$4,"",IF(AND($AL60,$BD60,$BE60),Constants!$B$22,0))</f>
        <v/>
      </c>
      <c r="BT60" s="100" t="str">
        <f aca="false">IF($BL60&lt;&gt;Constants!$B$4,"",IF(OR(NOT($AL60),NOT($BD60)),0,IF($BJ60&gt;=2*$AH$9,0,Constants!$B$23*INT(ROUND(MIN($BJ60,$AH$9),6)))))</f>
        <v/>
      </c>
      <c r="BU60" s="100" t="str">
        <f aca="false">IF($BL60&lt;&gt;Constants!$B$4,"",IF(NOT($AL60),0,Constants!$B$24*INT(ROUND(MIN($BC60,$AH$9),6))))</f>
        <v/>
      </c>
      <c r="BV60" s="100" t="str">
        <f aca="false">IF($BL60&lt;&gt;Constants!$B$4,"",IF(AND($AL60,$BN60=0),Constants!$B$25,0))</f>
        <v/>
      </c>
      <c r="BW60" s="100" t="str">
        <f aca="false">IF($BL60&lt;&gt;Constants!$B$4,"",MIN(Constants!$B$29,MAX(0,Constants!$B$27*Constants!$B$28*INT(ROUND((Constants!$B$26-$AN60)/Constants!$B$28,6))))+MIN(Constants!$B$29,MAX(0,Constants!$B$27*Constants!$B$28*INT(ROUND((Constants!$B$26-$AO60)/Constants!$B$28,6))))+MIN(Constants!$B$29,MAX(0,Constants!$B$27*Constants!$B$28*INT(ROUND((Constants!$B$26-$AP60)/Constants!$B$28,6)))))</f>
        <v/>
      </c>
      <c r="BX60" s="100" t="str">
        <f aca="false">IF($BL60&lt;&gt;Constants!$B$4,"",IF(NOT($AL60),0,Constants!$B$31*INT(ROUND(MAX(0,MIN($BJ60,2*$AH$9)-$AH$9),6))))</f>
        <v/>
      </c>
      <c r="BY60" s="100" t="str">
        <f aca="false">IF($BL60&lt;&gt;Constants!$B$4,"",Constants!$B$32*(($AN60&gt;Constants!$B$26)+($AO60&gt;Constants!$B$26)+($AP60&gt;Constants!$B$26)))</f>
        <v/>
      </c>
      <c r="BZ60" s="100" t="str">
        <f aca="false">IF($BL60&lt;&gt;Constants!$B$4,"",IF(OR(NOT($AL60),$AQ60),0,Constants!$B$33))</f>
        <v/>
      </c>
      <c r="CA60" s="100" t="str">
        <f aca="false">IF($BL60&lt;&gt;Constants!$B$4,"",Constants!$B$34*$BN60)</f>
        <v/>
      </c>
      <c r="CB60" s="100" t="str">
        <f aca="false">IF($BL60&lt;&gt;Constants!$B$4,"",IF(OR(NOT($AL60),$BH60),0,Constants!$B$36))</f>
        <v/>
      </c>
      <c r="CC60" s="100" t="str">
        <f aca="false">IF($BL60&lt;&gt;Constants!$B$4,"",IF(OR(NOT($AL60),$BG60),0,Constants!$B$37))</f>
        <v/>
      </c>
      <c r="CD60" s="100" t="str">
        <f aca="false">IF($BL60&lt;&gt;Constants!$B$4,"",SUM($BX60:$CC60))</f>
        <v/>
      </c>
      <c r="CE60" s="100" t="str">
        <f aca="false">IF(ISBLANK($C60),"",IF($BL60&lt;&gt;Constants!$B$4,$BL60,SUM($BO60:$BW60)-$CD60))</f>
        <v/>
      </c>
      <c r="CF60" s="100" t="str">
        <f aca="false">IF(ISBLANK($C60),"",IF($BL60&lt;&gt;Constants!$B$4,$BL60,RANK($CE60,$CE$9:$CE$508)))</f>
        <v/>
      </c>
      <c r="CG60" s="100" t="str">
        <f aca="false">IF(ISBLANK($C60),"",IF($BL60&lt;&gt;Constants!$B$4,$BL60,COUNTIFS($BM$9:$BM$508,"&lt;"&amp;$BM60)+COUNTIFS($BM$9:$BM$508,$BM60,$CF$9:$CF$508,"&lt;"&amp;$CF60)+1))</f>
        <v/>
      </c>
      <c r="CH60" s="100" t="str">
        <f aca="false">IF(ISBLANK($C60),"",IF($BL60&lt;&gt;Constants!$B$4,$BL60,RANK($CD60,$CD$9:$CD$508,1)))</f>
        <v/>
      </c>
      <c r="CI60" s="100" t="str">
        <f aca="false">IF($BL60&lt;&gt;Constants!$B$4,"",$AN60+$AO60+$AP60)</f>
        <v/>
      </c>
      <c r="CJ60" s="100" t="str">
        <f aca="false">IF(ISBLANK($C60),"",IF($BL60&lt;&gt;Constants!$B$4,$BL60,RANK($CI60,$CI$9:$CI$508,1)))</f>
        <v/>
      </c>
      <c r="CK60" s="100" t="str">
        <f aca="false">IF(ISBLANK($C60),"",IF($BL60&lt;&gt;Constants!$B$4,$BL60,COUNTIFS($BM$9:$BM$508,"&lt;"&amp;$BM60)+COUNTIFS($BM$9:$BM$508,$BM60,$CF$9:$CF$508,"&lt;"&amp;$CF60)+COUNTIFS($BM$9:$BM$508,$BM60,$CF$9:$CF$508,$CF60,$CH$9:$CH$508,"&lt;"&amp;$CH60)+COUNTIFS($BM$9:$BM$508,$BM60,$CF$9:$CF$508,$CF60,$CH$9:$CH$508,$CH60,$CJ$9:$CJ$508,"&lt;"&amp;$CJ60)+1))</f>
        <v/>
      </c>
      <c r="CL60" s="100" t="str">
        <f aca="false">IF(ISBLANK($C60),"",IF($BL60&lt;&gt;Constants!$B$4,$BL60,$CG60-$CK60))</f>
        <v/>
      </c>
      <c r="CM60" s="100" t="str">
        <f aca="false">IF(ISBLANK($C60),"",IF(NOT($AL60),"",IF(ISBLANK($D$7),$CM$5,IF(NOT(ISNUMBER($D$7)),$CM$6,""))))</f>
        <v/>
      </c>
      <c r="CN60" s="100" t="str">
        <f aca="false">IF(ISBLANK($C60),"",OR($AN60="",$AO60="",$AP60=""))</f>
        <v/>
      </c>
      <c r="CO60" s="100" t="str">
        <f aca="false">IF(ISBLANK($C60),"",AND($AL60,$BA60=""))</f>
        <v/>
      </c>
      <c r="CP60" s="100" t="str">
        <f aca="false">IF(ISBLANK($C60),"",AND($AL60,$BB60=""))</f>
        <v/>
      </c>
      <c r="CQ60" s="100" t="str">
        <f aca="false">IF(ISBLANK($C60),"",AND($AL60,$BC60=""))</f>
        <v/>
      </c>
      <c r="CR60" s="100" t="str">
        <f aca="false">IF(ISBLANK($C60),"",AND($AL60,$BF60=""))</f>
        <v/>
      </c>
      <c r="CS60" s="100" t="str">
        <f aca="false">IF(ISBLANK($C60),"",AND($AL60,$BJ60=""))</f>
        <v/>
      </c>
      <c r="CT60" s="101"/>
      <c r="CU60" s="102"/>
      <c r="CV60" s="103" t="str">
        <f aca="false">IF(ISBLANK($C60),"",IF($BL60=Constants!$B$8,$CM60,""))</f>
        <v/>
      </c>
      <c r="CW60" s="102" t="str">
        <f aca="false">IF(ISBLANK($C60),"",IF($BL60&lt;&gt;Constants!$B$4,"",$BO60+$BP60))</f>
        <v/>
      </c>
      <c r="CX60" s="104" t="str">
        <f aca="false">IF(ISBLANK($C60),"",IF($BL60&lt;&gt;Constants!$B$4,"",$BQ60+$BR60+$BS60))</f>
        <v/>
      </c>
      <c r="CY60" s="104" t="str">
        <f aca="false">IF(ISBLANK($C60),"",IF($BL60&lt;&gt;Constants!$B$4,"",$BT60))</f>
        <v/>
      </c>
      <c r="CZ60" s="104" t="str">
        <f aca="false">IF(ISBLANK($C60),"",IF($BL60&lt;&gt;Constants!$B$4,"",$BU60+$BV60))</f>
        <v/>
      </c>
      <c r="DA60" s="104" t="str">
        <f aca="false">IF(ISBLANK($C60),"",IF($BL60&lt;&gt;Constants!$B$4,"",$BW60))</f>
        <v/>
      </c>
      <c r="DB60" s="104" t="str">
        <f aca="false">IF(ISBLANK($C60),"",IF($BL60&lt;&gt;Constants!$B$4,"",-$CD60))</f>
        <v/>
      </c>
      <c r="DC60" s="103" t="str">
        <f aca="false">IF(ISBLANK($C60),"",$CE60)</f>
        <v/>
      </c>
      <c r="DD60" s="105" t="str">
        <f aca="false">IF(ISBLANK($C60),"",$BM60)</f>
        <v/>
      </c>
      <c r="DE60" s="104" t="str">
        <f aca="false">IF(ISBLANK($C60),"",$CL60)</f>
        <v/>
      </c>
      <c r="DF60" s="104" t="str">
        <f aca="false">IF(ISBLANK($C60),"",$CK60)</f>
        <v/>
      </c>
      <c r="DG60" s="106" t="str">
        <f aca="false">IF(ISBLANK($C60),"",IF($DF60=Constants!$B$7,COUNTA($C$9:$C$508)+2,IF($DF60=Constants!$B$6,COUNTA($C$9:$C$508)+1,IF($DF60=Constants!$B$5,COUNTA($C$9:$C$508),$DF60))))</f>
        <v/>
      </c>
      <c r="DH60" s="7"/>
      <c r="DI60" s="107" t="n">
        <f aca="false">IF(OR(ISNUMBER($DF60),$DF60=Constants!$B$7,$DF60=Constants!$B$5,$DF60=Constants!$B$6),1,0)</f>
        <v>0</v>
      </c>
      <c r="DJ60" s="107" t="n">
        <v>52</v>
      </c>
      <c r="DK60" s="107" t="str">
        <f aca="false">IF(ISBLANK($C60),"",IF(ISNUMBER($DG60),$DG60+ROW($B60)/1000,""))</f>
        <v/>
      </c>
      <c r="DL60" s="107" t="str">
        <f aca="false">IF(ISNUMBER($DK60),RANK($DK60,$DK$9:$DK$508,1),"")</f>
        <v/>
      </c>
      <c r="DM60" s="107" t="str">
        <f aca="false">IF(ISBLANK($C60),"",$B60)</f>
        <v/>
      </c>
      <c r="DN60" s="107" t="str">
        <f aca="false">IF(ISBLANK($C60),"",$C60)</f>
        <v/>
      </c>
      <c r="DO60" s="107" t="str">
        <f aca="false">IF(ISBLANK($C60),"",$D60)</f>
        <v/>
      </c>
      <c r="DP60" s="108" t="str">
        <f aca="false">$DD60</f>
        <v/>
      </c>
      <c r="DQ60" s="109" t="str">
        <f aca="false">$DC60</f>
        <v/>
      </c>
      <c r="DR60" s="107" t="str">
        <f aca="false">IF(ISBLANK($C60),"",$DF60)</f>
        <v/>
      </c>
      <c r="DS60" s="110" t="str">
        <f aca="false">IF($DJ60&gt;$DI$8,"",VLOOKUP($DJ60,$DL$9:$DR$508,7,FALSE()))</f>
        <v/>
      </c>
      <c r="DT60" s="111" t="str">
        <f aca="false">IF($DJ60&gt;$DI$8,"",VLOOKUP($DJ60,$DL$9:$DR$508,2,FALSE()))</f>
        <v/>
      </c>
      <c r="DU60" s="111" t="str">
        <f aca="false">IF($DJ60&gt;$DI$8,"",VLOOKUP($DJ60,$DL$9:$DR$508,3,FALSE()))</f>
        <v/>
      </c>
      <c r="DV60" s="111" t="str">
        <f aca="false">IF($DJ60&gt;$DI$8,"",VLOOKUP($DJ60,$DL$9:$DR$508,4,FALSE()))</f>
        <v/>
      </c>
      <c r="DW60" s="111" t="str">
        <f aca="false">IF($DJ60&gt;$DI$8,"",VLOOKUP($DJ60,$DL$9:$DR$508,5,FALSE()))</f>
        <v/>
      </c>
      <c r="DX60" s="112" t="str">
        <f aca="false">IF($DJ60&gt;$DI$8,"",VLOOKUP($DJ60,$DL$9:$DR$508,6,FALSE()))</f>
        <v/>
      </c>
      <c r="DY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130"/>
      <c r="N61" s="130"/>
      <c r="O61" s="135"/>
      <c r="P61" s="135"/>
      <c r="Q61" s="130"/>
      <c r="R61" s="130"/>
      <c r="S61" s="130"/>
      <c r="T61" s="130"/>
      <c r="U61" s="135"/>
      <c r="V61" s="130"/>
      <c r="W61" s="96"/>
      <c r="X61" s="130"/>
      <c r="Y61" s="130"/>
      <c r="Z61" s="96"/>
      <c r="AA61" s="96"/>
      <c r="AB61" s="130"/>
      <c r="AC61" s="130"/>
      <c r="AD61" s="130"/>
      <c r="AE61" s="97"/>
      <c r="AF61" s="130"/>
      <c r="AG61" s="99"/>
      <c r="AH61" s="100"/>
      <c r="AI61" s="100"/>
      <c r="AJ61" s="100" t="str">
        <f aca="false">IF(ISBLANK($C61),"",IF($E61=Constants!$B$2,TRUE(),IF($E61=Constants!$B$3,FALSE(),TRUE())))</f>
        <v/>
      </c>
      <c r="AK61" s="100" t="str">
        <f aca="false">IF(ISBLANK($C61),"",IF($F61=Constants!$B$2,TRUE(),IF($F61=Constants!$B$3,FALSE(),FALSE())))</f>
        <v/>
      </c>
      <c r="AL61" s="100" t="str">
        <f aca="false">IF(ISBLANK($C61),"",IF($G61=Constants!$B$2,TRUE(),IF($G61=Constants!$B$3,FALSE(),TRUE())))</f>
        <v/>
      </c>
      <c r="AM61" s="100" t="str">
        <f aca="false">IF(ISBLANK($C61),"",IF($H61=Constants!$B$2,TRUE(),IF($H61=Constants!$B$3,FALSE(),TRUE())))</f>
        <v/>
      </c>
      <c r="AN61" s="100" t="str">
        <f aca="false">IF(ISBLANK($C61),"",IF(ISNUMBER($I61),IF($I61&gt;=0,$I61,""),""))</f>
        <v/>
      </c>
      <c r="AO61" s="100" t="str">
        <f aca="false">IF(ISBLANK($C61),"",IF(ISNUMBER($J61),IF($J61&gt;=0,$J61,""),""))</f>
        <v/>
      </c>
      <c r="AP61" s="100" t="str">
        <f aca="false">IF(ISBLANK($C61),"",IF(ISNUMBER($K61),IF($K61&gt;=0,$K61,""),""))</f>
        <v/>
      </c>
      <c r="AQ61" s="100" t="str">
        <f aca="false">IF(ISBLANK($C61),"",IF($L61=Constants!$B$2,TRUE(),IF($L61=Constants!$B$3,FALSE(),TRUE())))</f>
        <v/>
      </c>
      <c r="AR61" s="100" t="str">
        <f aca="false">IF(ISBLANK($C61),"",IF($M61=Constants!$B$2,TRUE(),IF($M61=Constants!$B$3,FALSE(),TRUE())))</f>
        <v/>
      </c>
      <c r="AS61" s="100" t="str">
        <f aca="false">IF(ISBLANK($C61),"",IF($N61=Constants!$B$2,TRUE(),IF($N61=Constants!$B$3,FALSE(),FALSE())))</f>
        <v/>
      </c>
      <c r="AT61" s="100" t="str">
        <f aca="false">IF(ISBLANK($C61),"",IF($O61=Constants!$B$2,TRUE(),IF($O61=Constants!$B$3,FALSE(),TRUE())))</f>
        <v/>
      </c>
      <c r="AU61" s="100" t="str">
        <f aca="false">IF(ISBLANK($C61),"",IF($P61=Constants!$B$2,TRUE(),IF($P61=Constants!$B$3,FALSE(),TRUE())))</f>
        <v/>
      </c>
      <c r="AV61" s="100" t="str">
        <f aca="false">IF(ISBLANK($C61),"",IF($Q61=Constants!$B$2,TRUE(),IF($Q61=Constants!$B$3,FALSE(),FALSE())))</f>
        <v/>
      </c>
      <c r="AW61" s="100" t="str">
        <f aca="false">IF(ISBLANK($C61),"",IF($R61=Constants!$B$2,TRUE(),IF($R61=Constants!$B$3,FALSE(),FALSE())))</f>
        <v/>
      </c>
      <c r="AX61" s="100" t="str">
        <f aca="false">IF(ISBLANK($C61),"",IF($S61=Constants!$B$2,TRUE(),IF($S61=Constants!$B$3,FALSE(),FALSE())))</f>
        <v/>
      </c>
      <c r="AY61" s="100" t="str">
        <f aca="false">IF(ISBLANK($C61),"",IF($T61=Constants!$B$2,TRUE(),IF($T61=Constants!$B$3,FALSE(),FALSE())))</f>
        <v/>
      </c>
      <c r="AZ61" s="100" t="str">
        <f aca="false">IF(ISBLANK($C61),"",IF($U61=Constants!$B$2,TRUE(),IF($U61=Constants!$B$3,FALSE(),FALSE())))</f>
        <v/>
      </c>
      <c r="BA61" s="100" t="str">
        <f aca="false">IF(ISBLANK($C61),"",IF(OR($V61&amp;""="1",$V61&amp;""="2",$V61&amp;""="3",$V61&amp;""="4"),VALUE($V61&amp;""),IF($V61=Constants!$B$12,Constants!$B$12,"")))</f>
        <v/>
      </c>
      <c r="BB61" s="100" t="str">
        <f aca="false">IF(ISBLANK($C61),"",IF(ISBLANK($W61),0,IF(ISNUMBER($W61),IF(AND($W61&gt;=0,$W61&lt;=Constants!$B$21,$W61=INT($W61)),$W61,""),"")))</f>
        <v/>
      </c>
      <c r="BC61" s="100" t="str">
        <f aca="false">IF(ISBLANK($C61),"",IF(ISBLANK($X61),0,IF(ISNUMBER($X61),IF($X61&gt;=0,$X61,""),"")))</f>
        <v/>
      </c>
      <c r="BD61" s="100" t="str">
        <f aca="false">IF(ISBLANK($C61),"",IF($Y61=Constants!$B$2,TRUE(),IF($Y61=Constants!$B$3,FALSE(),TRUE())))</f>
        <v/>
      </c>
      <c r="BE61" s="100" t="str">
        <f aca="false">IF(ISBLANK($C61),"",IF($Z61=Constants!$B$2,TRUE(),IF($Z61=Constants!$B$3,FALSE(),FALSE())))</f>
        <v/>
      </c>
      <c r="BF61" s="100" t="str">
        <f aca="false">IF(ISBLANK($C61),"",IF(ISBLANK($AA61),0,IF(ISNUMBER($AA61),IF(AND($AA61&gt;=0,$AA61&lt;=Constants!$B$35,$AA61=INT($AA61)),$AA61,""),"")))</f>
        <v/>
      </c>
      <c r="BG61" s="100" t="str">
        <f aca="false">IF(ISBLANK($C61),"",IF($AB61=Constants!$B$2,TRUE(),IF($AB61=Constants!$B$3,FALSE(),TRUE())))</f>
        <v/>
      </c>
      <c r="BH61" s="100" t="str">
        <f aca="false">IF(ISBLANK($C61),"",IF($AC61=Constants!$B$2,TRUE(),IF($AC61=Constants!$B$3,FALSE(),TRUE())))</f>
        <v/>
      </c>
      <c r="BI61" s="100" t="str">
        <f aca="false">IF(ISBLANK($C61),"",IF($AD61=Constants!$B$2,TRUE(),IF($AD61=Constants!$B$3,FALSE(),TRUE())))</f>
        <v/>
      </c>
      <c r="BJ61" s="100" t="str">
        <f aca="false">IF(ISBLANK($C61),"",IF(ISNUMBER($AE61),IF($AE61&gt;=0,$AE61,""),""))</f>
        <v/>
      </c>
      <c r="BK61" s="100" t="str">
        <f aca="false">IF(ISBLANK($C61),"",IF($AF61=Constants!$B$2,TRUE(),IF($AF61=Constants!$B$3,FALSE(),FALSE())))</f>
        <v/>
      </c>
      <c r="BL61" s="99" t="str">
        <f aca="false">IF(ISBLANK($C61),"",IF($BK61,Constants!$B$7,IF(COUNTA($E61:$AE61)=0,Constants!$B$6,IF(OR(COUNTA($G61:$AE61)=0,NOT($AM61),$AS61),Constants!$B$5,IF(OR($CM61&lt;&gt;"",$CN61,$CO61,$CP61,$CQ61,$CR61,$CS61),Constants!$B$8,Constants!$B$4)))))</f>
        <v/>
      </c>
      <c r="BM61" s="100" t="str">
        <f aca="false">IF(ISBLANK($C61),"",IF($BL61&lt;&gt;Constants!$B$4,$BL61,IF(OR(NOT($AJ61),NOT($AL61),NOT($AT61)),Constants!$B$11,IF(OR(NOT($AR61),NOT($AU61),NOT($BI61),MAX($AN61,$AO61,$AP61)&gt;Constants!$B$30),Constants!$B$10,Constants!$B$9))))</f>
        <v/>
      </c>
      <c r="BN61" s="100" t="str">
        <f aca="false">IF($BL61&lt;&gt;Constants!$B$4,"",IF(NOT($AL61),0,MIN(Constants!$B$35,$BF61)))</f>
        <v/>
      </c>
      <c r="BO61" s="100" t="str">
        <f aca="false">IF($BL61&lt;&gt;Constants!$B$4,"",IF(NOT($AL61),0,IF($AW61,Constants!$B$18,IF($AV61,Constants!$B$17,0))))</f>
        <v/>
      </c>
      <c r="BP61" s="100" t="str">
        <f aca="false">IF($BL61&lt;&gt;Constants!$B$4,"",IF(NOT($AL61),0,Constants!$B$19*($AK61+$AX61+$AY61+$AZ61)))</f>
        <v/>
      </c>
      <c r="BQ61" s="100" t="str">
        <f aca="false">IF($BL61&lt;&gt;Constants!$B$4,"",IF(OR(NOT($AL61),NOT(ISNUMBER($BA61))),0,CHOOSE($BA61,Constants!$B$13,Constants!$B$14,Constants!$B$15,Constants!$B$16)))</f>
        <v/>
      </c>
      <c r="BR61" s="100" t="str">
        <f aca="false">IF($BL61&lt;&gt;Constants!$B$4,"",IF(NOT($AL61),0,Constants!$B$20*$BB61))</f>
        <v/>
      </c>
      <c r="BS61" s="100" t="str">
        <f aca="false">IF($BL61&lt;&gt;Constants!$B$4,"",IF(AND($AL61,$BD61,$BE61),Constants!$B$22,0))</f>
        <v/>
      </c>
      <c r="BT61" s="100" t="str">
        <f aca="false">IF($BL61&lt;&gt;Constants!$B$4,"",IF(OR(NOT($AL61),NOT($BD61)),0,IF($BJ61&gt;=2*$AH$9,0,Constants!$B$23*INT(ROUND(MIN($BJ61,$AH$9),6)))))</f>
        <v/>
      </c>
      <c r="BU61" s="100" t="str">
        <f aca="false">IF($BL61&lt;&gt;Constants!$B$4,"",IF(NOT($AL61),0,Constants!$B$24*INT(ROUND(MIN($BC61,$AH$9),6))))</f>
        <v/>
      </c>
      <c r="BV61" s="100" t="str">
        <f aca="false">IF($BL61&lt;&gt;Constants!$B$4,"",IF(AND($AL61,$BN61=0),Constants!$B$25,0))</f>
        <v/>
      </c>
      <c r="BW61" s="100" t="str">
        <f aca="false">IF($BL61&lt;&gt;Constants!$B$4,"",MIN(Constants!$B$29,MAX(0,Constants!$B$27*Constants!$B$28*INT(ROUND((Constants!$B$26-$AN61)/Constants!$B$28,6))))+MIN(Constants!$B$29,MAX(0,Constants!$B$27*Constants!$B$28*INT(ROUND((Constants!$B$26-$AO61)/Constants!$B$28,6))))+MIN(Constants!$B$29,MAX(0,Constants!$B$27*Constants!$B$28*INT(ROUND((Constants!$B$26-$AP61)/Constants!$B$28,6)))))</f>
        <v/>
      </c>
      <c r="BX61" s="100" t="str">
        <f aca="false">IF($BL61&lt;&gt;Constants!$B$4,"",IF(NOT($AL61),0,Constants!$B$31*INT(ROUND(MAX(0,MIN($BJ61,2*$AH$9)-$AH$9),6))))</f>
        <v/>
      </c>
      <c r="BY61" s="100" t="str">
        <f aca="false">IF($BL61&lt;&gt;Constants!$B$4,"",Constants!$B$32*(($AN61&gt;Constants!$B$26)+($AO61&gt;Constants!$B$26)+($AP61&gt;Constants!$B$26)))</f>
        <v/>
      </c>
      <c r="BZ61" s="100" t="str">
        <f aca="false">IF($BL61&lt;&gt;Constants!$B$4,"",IF(OR(NOT($AL61),$AQ61),0,Constants!$B$33))</f>
        <v/>
      </c>
      <c r="CA61" s="100" t="str">
        <f aca="false">IF($BL61&lt;&gt;Constants!$B$4,"",Constants!$B$34*$BN61)</f>
        <v/>
      </c>
      <c r="CB61" s="100" t="str">
        <f aca="false">IF($BL61&lt;&gt;Constants!$B$4,"",IF(OR(NOT($AL61),$BH61),0,Constants!$B$36))</f>
        <v/>
      </c>
      <c r="CC61" s="100" t="str">
        <f aca="false">IF($BL61&lt;&gt;Constants!$B$4,"",IF(OR(NOT($AL61),$BG61),0,Constants!$B$37))</f>
        <v/>
      </c>
      <c r="CD61" s="100" t="str">
        <f aca="false">IF($BL61&lt;&gt;Constants!$B$4,"",SUM($BX61:$CC61))</f>
        <v/>
      </c>
      <c r="CE61" s="100" t="str">
        <f aca="false">IF(ISBLANK($C61),"",IF($BL61&lt;&gt;Constants!$B$4,$BL61,SUM($BO61:$BW61)-$CD61))</f>
        <v/>
      </c>
      <c r="CF61" s="100" t="str">
        <f aca="false">IF(ISBLANK($C61),"",IF($BL61&lt;&gt;Constants!$B$4,$BL61,RANK($CE61,$CE$9:$CE$508)))</f>
        <v/>
      </c>
      <c r="CG61" s="100" t="str">
        <f aca="false">IF(ISBLANK($C61),"",IF($BL61&lt;&gt;Constants!$B$4,$BL61,COUNTIFS($BM$9:$BM$508,"&lt;"&amp;$BM61)+COUNTIFS($BM$9:$BM$508,$BM61,$CF$9:$CF$508,"&lt;"&amp;$CF61)+1))</f>
        <v/>
      </c>
      <c r="CH61" s="100" t="str">
        <f aca="false">IF(ISBLANK($C61),"",IF($BL61&lt;&gt;Constants!$B$4,$BL61,RANK($CD61,$CD$9:$CD$508,1)))</f>
        <v/>
      </c>
      <c r="CI61" s="100" t="str">
        <f aca="false">IF($BL61&lt;&gt;Constants!$B$4,"",$AN61+$AO61+$AP61)</f>
        <v/>
      </c>
      <c r="CJ61" s="100" t="str">
        <f aca="false">IF(ISBLANK($C61),"",IF($BL61&lt;&gt;Constants!$B$4,$BL61,RANK($CI61,$CI$9:$CI$508,1)))</f>
        <v/>
      </c>
      <c r="CK61" s="100" t="str">
        <f aca="false">IF(ISBLANK($C61),"",IF($BL61&lt;&gt;Constants!$B$4,$BL61,COUNTIFS($BM$9:$BM$508,"&lt;"&amp;$BM61)+COUNTIFS($BM$9:$BM$508,$BM61,$CF$9:$CF$508,"&lt;"&amp;$CF61)+COUNTIFS($BM$9:$BM$508,$BM61,$CF$9:$CF$508,$CF61,$CH$9:$CH$508,"&lt;"&amp;$CH61)+COUNTIFS($BM$9:$BM$508,$BM61,$CF$9:$CF$508,$CF61,$CH$9:$CH$508,$CH61,$CJ$9:$CJ$508,"&lt;"&amp;$CJ61)+1))</f>
        <v/>
      </c>
      <c r="CL61" s="100" t="str">
        <f aca="false">IF(ISBLANK($C61),"",IF($BL61&lt;&gt;Constants!$B$4,$BL61,$CG61-$CK61))</f>
        <v/>
      </c>
      <c r="CM61" s="100" t="str">
        <f aca="false">IF(ISBLANK($C61),"",IF(NOT($AL61),"",IF(ISBLANK($D$7),$CM$5,IF(NOT(ISNUMBER($D$7)),$CM$6,""))))</f>
        <v/>
      </c>
      <c r="CN61" s="100" t="str">
        <f aca="false">IF(ISBLANK($C61),"",OR($AN61="",$AO61="",$AP61=""))</f>
        <v/>
      </c>
      <c r="CO61" s="100" t="str">
        <f aca="false">IF(ISBLANK($C61),"",AND($AL61,$BA61=""))</f>
        <v/>
      </c>
      <c r="CP61" s="100" t="str">
        <f aca="false">IF(ISBLANK($C61),"",AND($AL61,$BB61=""))</f>
        <v/>
      </c>
      <c r="CQ61" s="100" t="str">
        <f aca="false">IF(ISBLANK($C61),"",AND($AL61,$BC61=""))</f>
        <v/>
      </c>
      <c r="CR61" s="100" t="str">
        <f aca="false">IF(ISBLANK($C61),"",AND($AL61,$BF61=""))</f>
        <v/>
      </c>
      <c r="CS61" s="100" t="str">
        <f aca="false">IF(ISBLANK($C61),"",AND($AL61,$BJ61=""))</f>
        <v/>
      </c>
      <c r="CT61" s="101"/>
      <c r="CU61" s="102"/>
      <c r="CV61" s="103" t="str">
        <f aca="false">IF(ISBLANK($C61),"",IF($BL61=Constants!$B$8,$CM61,""))</f>
        <v/>
      </c>
      <c r="CW61" s="102" t="str">
        <f aca="false">IF(ISBLANK($C61),"",IF($BL61&lt;&gt;Constants!$B$4,"",$BO61+$BP61))</f>
        <v/>
      </c>
      <c r="CX61" s="104" t="str">
        <f aca="false">IF(ISBLANK($C61),"",IF($BL61&lt;&gt;Constants!$B$4,"",$BQ61+$BR61+$BS61))</f>
        <v/>
      </c>
      <c r="CY61" s="104" t="str">
        <f aca="false">IF(ISBLANK($C61),"",IF($BL61&lt;&gt;Constants!$B$4,"",$BT61))</f>
        <v/>
      </c>
      <c r="CZ61" s="104" t="str">
        <f aca="false">IF(ISBLANK($C61),"",IF($BL61&lt;&gt;Constants!$B$4,"",$BU61+$BV61))</f>
        <v/>
      </c>
      <c r="DA61" s="104" t="str">
        <f aca="false">IF(ISBLANK($C61),"",IF($BL61&lt;&gt;Constants!$B$4,"",$BW61))</f>
        <v/>
      </c>
      <c r="DB61" s="104" t="str">
        <f aca="false">IF(ISBLANK($C61),"",IF($BL61&lt;&gt;Constants!$B$4,"",-$CD61))</f>
        <v/>
      </c>
      <c r="DC61" s="103" t="str">
        <f aca="false">IF(ISBLANK($C61),"",$CE61)</f>
        <v/>
      </c>
      <c r="DD61" s="105" t="str">
        <f aca="false">IF(ISBLANK($C61),"",$BM61)</f>
        <v/>
      </c>
      <c r="DE61" s="104" t="str">
        <f aca="false">IF(ISBLANK($C61),"",$CL61)</f>
        <v/>
      </c>
      <c r="DF61" s="104" t="str">
        <f aca="false">IF(ISBLANK($C61),"",$CK61)</f>
        <v/>
      </c>
      <c r="DG61" s="106" t="str">
        <f aca="false">IF(ISBLANK($C61),"",IF($DF61=Constants!$B$7,COUNTA($C$9:$C$508)+2,IF($DF61=Constants!$B$6,COUNTA($C$9:$C$508)+1,IF($DF61=Constants!$B$5,COUNTA($C$9:$C$508),$DF61))))</f>
        <v/>
      </c>
      <c r="DH61" s="7"/>
      <c r="DI61" s="107" t="n">
        <f aca="false">IF(OR(ISNUMBER($DF61),$DF61=Constants!$B$7,$DF61=Constants!$B$5,$DF61=Constants!$B$6),1,0)</f>
        <v>0</v>
      </c>
      <c r="DJ61" s="107" t="n">
        <v>53</v>
      </c>
      <c r="DK61" s="107" t="str">
        <f aca="false">IF(ISBLANK($C61),"",IF(ISNUMBER($DG61),$DG61+ROW($B61)/1000,""))</f>
        <v/>
      </c>
      <c r="DL61" s="107" t="str">
        <f aca="false">IF(ISNUMBER($DK61),RANK($DK61,$DK$9:$DK$508,1),"")</f>
        <v/>
      </c>
      <c r="DM61" s="107" t="str">
        <f aca="false">IF(ISBLANK($C61),"",$B61)</f>
        <v/>
      </c>
      <c r="DN61" s="107" t="str">
        <f aca="false">IF(ISBLANK($C61),"",$C61)</f>
        <v/>
      </c>
      <c r="DO61" s="107" t="str">
        <f aca="false">IF(ISBLANK($C61),"",$D61)</f>
        <v/>
      </c>
      <c r="DP61" s="108" t="str">
        <f aca="false">$DD61</f>
        <v/>
      </c>
      <c r="DQ61" s="109" t="str">
        <f aca="false">$DC61</f>
        <v/>
      </c>
      <c r="DR61" s="107" t="str">
        <f aca="false">IF(ISBLANK($C61),"",$DF61)</f>
        <v/>
      </c>
      <c r="DS61" s="110" t="str">
        <f aca="false">IF($DJ61&gt;$DI$8,"",VLOOKUP($DJ61,$DL$9:$DR$508,7,FALSE()))</f>
        <v/>
      </c>
      <c r="DT61" s="111" t="str">
        <f aca="false">IF($DJ61&gt;$DI$8,"",VLOOKUP($DJ61,$DL$9:$DR$508,2,FALSE()))</f>
        <v/>
      </c>
      <c r="DU61" s="111" t="str">
        <f aca="false">IF($DJ61&gt;$DI$8,"",VLOOKUP($DJ61,$DL$9:$DR$508,3,FALSE()))</f>
        <v/>
      </c>
      <c r="DV61" s="111" t="str">
        <f aca="false">IF($DJ61&gt;$DI$8,"",VLOOKUP($DJ61,$DL$9:$DR$508,4,FALSE()))</f>
        <v/>
      </c>
      <c r="DW61" s="111" t="str">
        <f aca="false">IF($DJ61&gt;$DI$8,"",VLOOKUP($DJ61,$DL$9:$DR$508,5,FALSE()))</f>
        <v/>
      </c>
      <c r="DX61" s="112" t="str">
        <f aca="false">IF($DJ61&gt;$DI$8,"",VLOOKUP($DJ61,$DL$9:$DR$508,6,FALSE()))</f>
        <v/>
      </c>
      <c r="DY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130"/>
      <c r="N62" s="130"/>
      <c r="O62" s="135"/>
      <c r="P62" s="135"/>
      <c r="Q62" s="130"/>
      <c r="R62" s="130"/>
      <c r="S62" s="130"/>
      <c r="T62" s="130"/>
      <c r="U62" s="135"/>
      <c r="V62" s="130"/>
      <c r="W62" s="96"/>
      <c r="X62" s="130"/>
      <c r="Y62" s="130"/>
      <c r="Z62" s="96"/>
      <c r="AA62" s="96"/>
      <c r="AB62" s="130"/>
      <c r="AC62" s="130"/>
      <c r="AD62" s="130"/>
      <c r="AE62" s="97"/>
      <c r="AF62" s="130"/>
      <c r="AG62" s="99"/>
      <c r="AH62" s="100"/>
      <c r="AI62" s="100"/>
      <c r="AJ62" s="100" t="str">
        <f aca="false">IF(ISBLANK($C62),"",IF($E62=Constants!$B$2,TRUE(),IF($E62=Constants!$B$3,FALSE(),TRUE())))</f>
        <v/>
      </c>
      <c r="AK62" s="100" t="str">
        <f aca="false">IF(ISBLANK($C62),"",IF($F62=Constants!$B$2,TRUE(),IF($F62=Constants!$B$3,FALSE(),FALSE())))</f>
        <v/>
      </c>
      <c r="AL62" s="100" t="str">
        <f aca="false">IF(ISBLANK($C62),"",IF($G62=Constants!$B$2,TRUE(),IF($G62=Constants!$B$3,FALSE(),TRUE())))</f>
        <v/>
      </c>
      <c r="AM62" s="100" t="str">
        <f aca="false">IF(ISBLANK($C62),"",IF($H62=Constants!$B$2,TRUE(),IF($H62=Constants!$B$3,FALSE(),TRUE())))</f>
        <v/>
      </c>
      <c r="AN62" s="100" t="str">
        <f aca="false">IF(ISBLANK($C62),"",IF(ISNUMBER($I62),IF($I62&gt;=0,$I62,""),""))</f>
        <v/>
      </c>
      <c r="AO62" s="100" t="str">
        <f aca="false">IF(ISBLANK($C62),"",IF(ISNUMBER($J62),IF($J62&gt;=0,$J62,""),""))</f>
        <v/>
      </c>
      <c r="AP62" s="100" t="str">
        <f aca="false">IF(ISBLANK($C62),"",IF(ISNUMBER($K62),IF($K62&gt;=0,$K62,""),""))</f>
        <v/>
      </c>
      <c r="AQ62" s="100" t="str">
        <f aca="false">IF(ISBLANK($C62),"",IF($L62=Constants!$B$2,TRUE(),IF($L62=Constants!$B$3,FALSE(),TRUE())))</f>
        <v/>
      </c>
      <c r="AR62" s="100" t="str">
        <f aca="false">IF(ISBLANK($C62),"",IF($M62=Constants!$B$2,TRUE(),IF($M62=Constants!$B$3,FALSE(),TRUE())))</f>
        <v/>
      </c>
      <c r="AS62" s="100" t="str">
        <f aca="false">IF(ISBLANK($C62),"",IF($N62=Constants!$B$2,TRUE(),IF($N62=Constants!$B$3,FALSE(),FALSE())))</f>
        <v/>
      </c>
      <c r="AT62" s="100" t="str">
        <f aca="false">IF(ISBLANK($C62),"",IF($O62=Constants!$B$2,TRUE(),IF($O62=Constants!$B$3,FALSE(),TRUE())))</f>
        <v/>
      </c>
      <c r="AU62" s="100" t="str">
        <f aca="false">IF(ISBLANK($C62),"",IF($P62=Constants!$B$2,TRUE(),IF($P62=Constants!$B$3,FALSE(),TRUE())))</f>
        <v/>
      </c>
      <c r="AV62" s="100" t="str">
        <f aca="false">IF(ISBLANK($C62),"",IF($Q62=Constants!$B$2,TRUE(),IF($Q62=Constants!$B$3,FALSE(),FALSE())))</f>
        <v/>
      </c>
      <c r="AW62" s="100" t="str">
        <f aca="false">IF(ISBLANK($C62),"",IF($R62=Constants!$B$2,TRUE(),IF($R62=Constants!$B$3,FALSE(),FALSE())))</f>
        <v/>
      </c>
      <c r="AX62" s="100" t="str">
        <f aca="false">IF(ISBLANK($C62),"",IF($S62=Constants!$B$2,TRUE(),IF($S62=Constants!$B$3,FALSE(),FALSE())))</f>
        <v/>
      </c>
      <c r="AY62" s="100" t="str">
        <f aca="false">IF(ISBLANK($C62),"",IF($T62=Constants!$B$2,TRUE(),IF($T62=Constants!$B$3,FALSE(),FALSE())))</f>
        <v/>
      </c>
      <c r="AZ62" s="100" t="str">
        <f aca="false">IF(ISBLANK($C62),"",IF($U62=Constants!$B$2,TRUE(),IF($U62=Constants!$B$3,FALSE(),FALSE())))</f>
        <v/>
      </c>
      <c r="BA62" s="100" t="str">
        <f aca="false">IF(ISBLANK($C62),"",IF(OR($V62&amp;""="1",$V62&amp;""="2",$V62&amp;""="3",$V62&amp;""="4"),VALUE($V62&amp;""),IF($V62=Constants!$B$12,Constants!$B$12,"")))</f>
        <v/>
      </c>
      <c r="BB62" s="100" t="str">
        <f aca="false">IF(ISBLANK($C62),"",IF(ISBLANK($W62),0,IF(ISNUMBER($W62),IF(AND($W62&gt;=0,$W62&lt;=Constants!$B$21,$W62=INT($W62)),$W62,""),"")))</f>
        <v/>
      </c>
      <c r="BC62" s="100" t="str">
        <f aca="false">IF(ISBLANK($C62),"",IF(ISBLANK($X62),0,IF(ISNUMBER($X62),IF($X62&gt;=0,$X62,""),"")))</f>
        <v/>
      </c>
      <c r="BD62" s="100" t="str">
        <f aca="false">IF(ISBLANK($C62),"",IF($Y62=Constants!$B$2,TRUE(),IF($Y62=Constants!$B$3,FALSE(),TRUE())))</f>
        <v/>
      </c>
      <c r="BE62" s="100" t="str">
        <f aca="false">IF(ISBLANK($C62),"",IF($Z62=Constants!$B$2,TRUE(),IF($Z62=Constants!$B$3,FALSE(),FALSE())))</f>
        <v/>
      </c>
      <c r="BF62" s="100" t="str">
        <f aca="false">IF(ISBLANK($C62),"",IF(ISBLANK($AA62),0,IF(ISNUMBER($AA62),IF(AND($AA62&gt;=0,$AA62&lt;=Constants!$B$35,$AA62=INT($AA62)),$AA62,""),"")))</f>
        <v/>
      </c>
      <c r="BG62" s="100" t="str">
        <f aca="false">IF(ISBLANK($C62),"",IF($AB62=Constants!$B$2,TRUE(),IF($AB62=Constants!$B$3,FALSE(),TRUE())))</f>
        <v/>
      </c>
      <c r="BH62" s="100" t="str">
        <f aca="false">IF(ISBLANK($C62),"",IF($AC62=Constants!$B$2,TRUE(),IF($AC62=Constants!$B$3,FALSE(),TRUE())))</f>
        <v/>
      </c>
      <c r="BI62" s="100" t="str">
        <f aca="false">IF(ISBLANK($C62),"",IF($AD62=Constants!$B$2,TRUE(),IF($AD62=Constants!$B$3,FALSE(),TRUE())))</f>
        <v/>
      </c>
      <c r="BJ62" s="100" t="str">
        <f aca="false">IF(ISBLANK($C62),"",IF(ISNUMBER($AE62),IF($AE62&gt;=0,$AE62,""),""))</f>
        <v/>
      </c>
      <c r="BK62" s="100" t="str">
        <f aca="false">IF(ISBLANK($C62),"",IF($AF62=Constants!$B$2,TRUE(),IF($AF62=Constants!$B$3,FALSE(),FALSE())))</f>
        <v/>
      </c>
      <c r="BL62" s="99" t="str">
        <f aca="false">IF(ISBLANK($C62),"",IF($BK62,Constants!$B$7,IF(COUNTA($E62:$AE62)=0,Constants!$B$6,IF(OR(COUNTA($G62:$AE62)=0,NOT($AM62),$AS62),Constants!$B$5,IF(OR($CM62&lt;&gt;"",$CN62,$CO62,$CP62,$CQ62,$CR62,$CS62),Constants!$B$8,Constants!$B$4)))))</f>
        <v/>
      </c>
      <c r="BM62" s="100" t="str">
        <f aca="false">IF(ISBLANK($C62),"",IF($BL62&lt;&gt;Constants!$B$4,$BL62,IF(OR(NOT($AJ62),NOT($AL62),NOT($AT62)),Constants!$B$11,IF(OR(NOT($AR62),NOT($AU62),NOT($BI62),MAX($AN62,$AO62,$AP62)&gt;Constants!$B$30),Constants!$B$10,Constants!$B$9))))</f>
        <v/>
      </c>
      <c r="BN62" s="100" t="str">
        <f aca="false">IF($BL62&lt;&gt;Constants!$B$4,"",IF(NOT($AL62),0,MIN(Constants!$B$35,$BF62)))</f>
        <v/>
      </c>
      <c r="BO62" s="100" t="str">
        <f aca="false">IF($BL62&lt;&gt;Constants!$B$4,"",IF(NOT($AL62),0,IF($AW62,Constants!$B$18,IF($AV62,Constants!$B$17,0))))</f>
        <v/>
      </c>
      <c r="BP62" s="100" t="str">
        <f aca="false">IF($BL62&lt;&gt;Constants!$B$4,"",IF(NOT($AL62),0,Constants!$B$19*($AK62+$AX62+$AY62+$AZ62)))</f>
        <v/>
      </c>
      <c r="BQ62" s="100" t="str">
        <f aca="false">IF($BL62&lt;&gt;Constants!$B$4,"",IF(OR(NOT($AL62),NOT(ISNUMBER($BA62))),0,CHOOSE($BA62,Constants!$B$13,Constants!$B$14,Constants!$B$15,Constants!$B$16)))</f>
        <v/>
      </c>
      <c r="BR62" s="100" t="str">
        <f aca="false">IF($BL62&lt;&gt;Constants!$B$4,"",IF(NOT($AL62),0,Constants!$B$20*$BB62))</f>
        <v/>
      </c>
      <c r="BS62" s="100" t="str">
        <f aca="false">IF($BL62&lt;&gt;Constants!$B$4,"",IF(AND($AL62,$BD62,$BE62),Constants!$B$22,0))</f>
        <v/>
      </c>
      <c r="BT62" s="100" t="str">
        <f aca="false">IF($BL62&lt;&gt;Constants!$B$4,"",IF(OR(NOT($AL62),NOT($BD62)),0,IF($BJ62&gt;=2*$AH$9,0,Constants!$B$23*INT(ROUND(MIN($BJ62,$AH$9),6)))))</f>
        <v/>
      </c>
      <c r="BU62" s="100" t="str">
        <f aca="false">IF($BL62&lt;&gt;Constants!$B$4,"",IF(NOT($AL62),0,Constants!$B$24*INT(ROUND(MIN($BC62,$AH$9),6))))</f>
        <v/>
      </c>
      <c r="BV62" s="100" t="str">
        <f aca="false">IF($BL62&lt;&gt;Constants!$B$4,"",IF(AND($AL62,$BN62=0),Constants!$B$25,0))</f>
        <v/>
      </c>
      <c r="BW62" s="100" t="str">
        <f aca="false">IF($BL62&lt;&gt;Constants!$B$4,"",MIN(Constants!$B$29,MAX(0,Constants!$B$27*Constants!$B$28*INT(ROUND((Constants!$B$26-$AN62)/Constants!$B$28,6))))+MIN(Constants!$B$29,MAX(0,Constants!$B$27*Constants!$B$28*INT(ROUND((Constants!$B$26-$AO62)/Constants!$B$28,6))))+MIN(Constants!$B$29,MAX(0,Constants!$B$27*Constants!$B$28*INT(ROUND((Constants!$B$26-$AP62)/Constants!$B$28,6)))))</f>
        <v/>
      </c>
      <c r="BX62" s="100" t="str">
        <f aca="false">IF($BL62&lt;&gt;Constants!$B$4,"",IF(NOT($AL62),0,Constants!$B$31*INT(ROUND(MAX(0,MIN($BJ62,2*$AH$9)-$AH$9),6))))</f>
        <v/>
      </c>
      <c r="BY62" s="100" t="str">
        <f aca="false">IF($BL62&lt;&gt;Constants!$B$4,"",Constants!$B$32*(($AN62&gt;Constants!$B$26)+($AO62&gt;Constants!$B$26)+($AP62&gt;Constants!$B$26)))</f>
        <v/>
      </c>
      <c r="BZ62" s="100" t="str">
        <f aca="false">IF($BL62&lt;&gt;Constants!$B$4,"",IF(OR(NOT($AL62),$AQ62),0,Constants!$B$33))</f>
        <v/>
      </c>
      <c r="CA62" s="100" t="str">
        <f aca="false">IF($BL62&lt;&gt;Constants!$B$4,"",Constants!$B$34*$BN62)</f>
        <v/>
      </c>
      <c r="CB62" s="100" t="str">
        <f aca="false">IF($BL62&lt;&gt;Constants!$B$4,"",IF(OR(NOT($AL62),$BH62),0,Constants!$B$36))</f>
        <v/>
      </c>
      <c r="CC62" s="100" t="str">
        <f aca="false">IF($BL62&lt;&gt;Constants!$B$4,"",IF(OR(NOT($AL62),$BG62),0,Constants!$B$37))</f>
        <v/>
      </c>
      <c r="CD62" s="100" t="str">
        <f aca="false">IF($BL62&lt;&gt;Constants!$B$4,"",SUM($BX62:$CC62))</f>
        <v/>
      </c>
      <c r="CE62" s="100" t="str">
        <f aca="false">IF(ISBLANK($C62),"",IF($BL62&lt;&gt;Constants!$B$4,$BL62,SUM($BO62:$BW62)-$CD62))</f>
        <v/>
      </c>
      <c r="CF62" s="100" t="str">
        <f aca="false">IF(ISBLANK($C62),"",IF($BL62&lt;&gt;Constants!$B$4,$BL62,RANK($CE62,$CE$9:$CE$508)))</f>
        <v/>
      </c>
      <c r="CG62" s="100" t="str">
        <f aca="false">IF(ISBLANK($C62),"",IF($BL62&lt;&gt;Constants!$B$4,$BL62,COUNTIFS($BM$9:$BM$508,"&lt;"&amp;$BM62)+COUNTIFS($BM$9:$BM$508,$BM62,$CF$9:$CF$508,"&lt;"&amp;$CF62)+1))</f>
        <v/>
      </c>
      <c r="CH62" s="100" t="str">
        <f aca="false">IF(ISBLANK($C62),"",IF($BL62&lt;&gt;Constants!$B$4,$BL62,RANK($CD62,$CD$9:$CD$508,1)))</f>
        <v/>
      </c>
      <c r="CI62" s="100" t="str">
        <f aca="false">IF($BL62&lt;&gt;Constants!$B$4,"",$AN62+$AO62+$AP62)</f>
        <v/>
      </c>
      <c r="CJ62" s="100" t="str">
        <f aca="false">IF(ISBLANK($C62),"",IF($BL62&lt;&gt;Constants!$B$4,$BL62,RANK($CI62,$CI$9:$CI$508,1)))</f>
        <v/>
      </c>
      <c r="CK62" s="100" t="str">
        <f aca="false">IF(ISBLANK($C62),"",IF($BL62&lt;&gt;Constants!$B$4,$BL62,COUNTIFS($BM$9:$BM$508,"&lt;"&amp;$BM62)+COUNTIFS($BM$9:$BM$508,$BM62,$CF$9:$CF$508,"&lt;"&amp;$CF62)+COUNTIFS($BM$9:$BM$508,$BM62,$CF$9:$CF$508,$CF62,$CH$9:$CH$508,"&lt;"&amp;$CH62)+COUNTIFS($BM$9:$BM$508,$BM62,$CF$9:$CF$508,$CF62,$CH$9:$CH$508,$CH62,$CJ$9:$CJ$508,"&lt;"&amp;$CJ62)+1))</f>
        <v/>
      </c>
      <c r="CL62" s="100" t="str">
        <f aca="false">IF(ISBLANK($C62),"",IF($BL62&lt;&gt;Constants!$B$4,$BL62,$CG62-$CK62))</f>
        <v/>
      </c>
      <c r="CM62" s="100" t="str">
        <f aca="false">IF(ISBLANK($C62),"",IF(NOT($AL62),"",IF(ISBLANK($D$7),$CM$5,IF(NOT(ISNUMBER($D$7)),$CM$6,""))))</f>
        <v/>
      </c>
      <c r="CN62" s="100" t="str">
        <f aca="false">IF(ISBLANK($C62),"",OR($AN62="",$AO62="",$AP62=""))</f>
        <v/>
      </c>
      <c r="CO62" s="100" t="str">
        <f aca="false">IF(ISBLANK($C62),"",AND($AL62,$BA62=""))</f>
        <v/>
      </c>
      <c r="CP62" s="100" t="str">
        <f aca="false">IF(ISBLANK($C62),"",AND($AL62,$BB62=""))</f>
        <v/>
      </c>
      <c r="CQ62" s="100" t="str">
        <f aca="false">IF(ISBLANK($C62),"",AND($AL62,$BC62=""))</f>
        <v/>
      </c>
      <c r="CR62" s="100" t="str">
        <f aca="false">IF(ISBLANK($C62),"",AND($AL62,$BF62=""))</f>
        <v/>
      </c>
      <c r="CS62" s="100" t="str">
        <f aca="false">IF(ISBLANK($C62),"",AND($AL62,$BJ62=""))</f>
        <v/>
      </c>
      <c r="CT62" s="101"/>
      <c r="CU62" s="102"/>
      <c r="CV62" s="103" t="str">
        <f aca="false">IF(ISBLANK($C62),"",IF($BL62=Constants!$B$8,$CM62,""))</f>
        <v/>
      </c>
      <c r="CW62" s="102" t="str">
        <f aca="false">IF(ISBLANK($C62),"",IF($BL62&lt;&gt;Constants!$B$4,"",$BO62+$BP62))</f>
        <v/>
      </c>
      <c r="CX62" s="104" t="str">
        <f aca="false">IF(ISBLANK($C62),"",IF($BL62&lt;&gt;Constants!$B$4,"",$BQ62+$BR62+$BS62))</f>
        <v/>
      </c>
      <c r="CY62" s="104" t="str">
        <f aca="false">IF(ISBLANK($C62),"",IF($BL62&lt;&gt;Constants!$B$4,"",$BT62))</f>
        <v/>
      </c>
      <c r="CZ62" s="104" t="str">
        <f aca="false">IF(ISBLANK($C62),"",IF($BL62&lt;&gt;Constants!$B$4,"",$BU62+$BV62))</f>
        <v/>
      </c>
      <c r="DA62" s="104" t="str">
        <f aca="false">IF(ISBLANK($C62),"",IF($BL62&lt;&gt;Constants!$B$4,"",$BW62))</f>
        <v/>
      </c>
      <c r="DB62" s="104" t="str">
        <f aca="false">IF(ISBLANK($C62),"",IF($BL62&lt;&gt;Constants!$B$4,"",-$CD62))</f>
        <v/>
      </c>
      <c r="DC62" s="103" t="str">
        <f aca="false">IF(ISBLANK($C62),"",$CE62)</f>
        <v/>
      </c>
      <c r="DD62" s="105" t="str">
        <f aca="false">IF(ISBLANK($C62),"",$BM62)</f>
        <v/>
      </c>
      <c r="DE62" s="104" t="str">
        <f aca="false">IF(ISBLANK($C62),"",$CL62)</f>
        <v/>
      </c>
      <c r="DF62" s="104" t="str">
        <f aca="false">IF(ISBLANK($C62),"",$CK62)</f>
        <v/>
      </c>
      <c r="DG62" s="106" t="str">
        <f aca="false">IF(ISBLANK($C62),"",IF($DF62=Constants!$B$7,COUNTA($C$9:$C$508)+2,IF($DF62=Constants!$B$6,COUNTA($C$9:$C$508)+1,IF($DF62=Constants!$B$5,COUNTA($C$9:$C$508),$DF62))))</f>
        <v/>
      </c>
      <c r="DH62" s="7"/>
      <c r="DI62" s="107" t="n">
        <f aca="false">IF(OR(ISNUMBER($DF62),$DF62=Constants!$B$7,$DF62=Constants!$B$5,$DF62=Constants!$B$6),1,0)</f>
        <v>0</v>
      </c>
      <c r="DJ62" s="107" t="n">
        <v>54</v>
      </c>
      <c r="DK62" s="107" t="str">
        <f aca="false">IF(ISBLANK($C62),"",IF(ISNUMBER($DG62),$DG62+ROW($B62)/1000,""))</f>
        <v/>
      </c>
      <c r="DL62" s="107" t="str">
        <f aca="false">IF(ISNUMBER($DK62),RANK($DK62,$DK$9:$DK$508,1),"")</f>
        <v/>
      </c>
      <c r="DM62" s="107" t="str">
        <f aca="false">IF(ISBLANK($C62),"",$B62)</f>
        <v/>
      </c>
      <c r="DN62" s="107" t="str">
        <f aca="false">IF(ISBLANK($C62),"",$C62)</f>
        <v/>
      </c>
      <c r="DO62" s="107" t="str">
        <f aca="false">IF(ISBLANK($C62),"",$D62)</f>
        <v/>
      </c>
      <c r="DP62" s="108" t="str">
        <f aca="false">$DD62</f>
        <v/>
      </c>
      <c r="DQ62" s="109" t="str">
        <f aca="false">$DC62</f>
        <v/>
      </c>
      <c r="DR62" s="107" t="str">
        <f aca="false">IF(ISBLANK($C62),"",$DF62)</f>
        <v/>
      </c>
      <c r="DS62" s="110" t="str">
        <f aca="false">IF($DJ62&gt;$DI$8,"",VLOOKUP($DJ62,$DL$9:$DR$508,7,FALSE()))</f>
        <v/>
      </c>
      <c r="DT62" s="111" t="str">
        <f aca="false">IF($DJ62&gt;$DI$8,"",VLOOKUP($DJ62,$DL$9:$DR$508,2,FALSE()))</f>
        <v/>
      </c>
      <c r="DU62" s="111" t="str">
        <f aca="false">IF($DJ62&gt;$DI$8,"",VLOOKUP($DJ62,$DL$9:$DR$508,3,FALSE()))</f>
        <v/>
      </c>
      <c r="DV62" s="111" t="str">
        <f aca="false">IF($DJ62&gt;$DI$8,"",VLOOKUP($DJ62,$DL$9:$DR$508,4,FALSE()))</f>
        <v/>
      </c>
      <c r="DW62" s="111" t="str">
        <f aca="false">IF($DJ62&gt;$DI$8,"",VLOOKUP($DJ62,$DL$9:$DR$508,5,FALSE()))</f>
        <v/>
      </c>
      <c r="DX62" s="112" t="str">
        <f aca="false">IF($DJ62&gt;$DI$8,"",VLOOKUP($DJ62,$DL$9:$DR$508,6,FALSE()))</f>
        <v/>
      </c>
      <c r="DY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88"/>
      <c r="N63" s="88"/>
      <c r="O63" s="134"/>
      <c r="P63" s="134"/>
      <c r="Q63" s="88"/>
      <c r="R63" s="88"/>
      <c r="S63" s="88"/>
      <c r="T63" s="88"/>
      <c r="U63" s="134"/>
      <c r="V63" s="88"/>
      <c r="W63" s="70"/>
      <c r="X63" s="88"/>
      <c r="Y63" s="88"/>
      <c r="Z63" s="70"/>
      <c r="AA63" s="70"/>
      <c r="AB63" s="88"/>
      <c r="AC63" s="88"/>
      <c r="AD63" s="88"/>
      <c r="AE63" s="71"/>
      <c r="AF63" s="88"/>
      <c r="AG63" s="73"/>
      <c r="AH63" s="74"/>
      <c r="AI63" s="74"/>
      <c r="AJ63" s="74" t="str">
        <f aca="false">IF(ISBLANK($C63),"",IF($E63=Constants!$B$2,TRUE(),IF($E63=Constants!$B$3,FALSE(),TRUE())))</f>
        <v/>
      </c>
      <c r="AK63" s="74" t="str">
        <f aca="false">IF(ISBLANK($C63),"",IF($F63=Constants!$B$2,TRUE(),IF($F63=Constants!$B$3,FALSE(),FALSE())))</f>
        <v/>
      </c>
      <c r="AL63" s="74" t="str">
        <f aca="false">IF(ISBLANK($C63),"",IF($G63=Constants!$B$2,TRUE(),IF($G63=Constants!$B$3,FALSE(),TRUE())))</f>
        <v/>
      </c>
      <c r="AM63" s="74" t="str">
        <f aca="false">IF(ISBLANK($C63),"",IF($H63=Constants!$B$2,TRUE(),IF($H63=Constants!$B$3,FALSE(),TRUE())))</f>
        <v/>
      </c>
      <c r="AN63" s="74" t="str">
        <f aca="false">IF(ISBLANK($C63),"",IF(ISNUMBER($I63),IF($I63&gt;=0,$I63,""),""))</f>
        <v/>
      </c>
      <c r="AO63" s="74" t="str">
        <f aca="false">IF(ISBLANK($C63),"",IF(ISNUMBER($J63),IF($J63&gt;=0,$J63,""),""))</f>
        <v/>
      </c>
      <c r="AP63" s="74" t="str">
        <f aca="false">IF(ISBLANK($C63),"",IF(ISNUMBER($K63),IF($K63&gt;=0,$K63,""),""))</f>
        <v/>
      </c>
      <c r="AQ63" s="74" t="str">
        <f aca="false">IF(ISBLANK($C63),"",IF($L63=Constants!$B$2,TRUE(),IF($L63=Constants!$B$3,FALSE(),TRUE())))</f>
        <v/>
      </c>
      <c r="AR63" s="74" t="str">
        <f aca="false">IF(ISBLANK($C63),"",IF($M63=Constants!$B$2,TRUE(),IF($M63=Constants!$B$3,FALSE(),TRUE())))</f>
        <v/>
      </c>
      <c r="AS63" s="74" t="str">
        <f aca="false">IF(ISBLANK($C63),"",IF($N63=Constants!$B$2,TRUE(),IF($N63=Constants!$B$3,FALSE(),FALSE())))</f>
        <v/>
      </c>
      <c r="AT63" s="74" t="str">
        <f aca="false">IF(ISBLANK($C63),"",IF($O63=Constants!$B$2,TRUE(),IF($O63=Constants!$B$3,FALSE(),TRUE())))</f>
        <v/>
      </c>
      <c r="AU63" s="74" t="str">
        <f aca="false">IF(ISBLANK($C63),"",IF($P63=Constants!$B$2,TRUE(),IF($P63=Constants!$B$3,FALSE(),TRUE())))</f>
        <v/>
      </c>
      <c r="AV63" s="74" t="str">
        <f aca="false">IF(ISBLANK($C63),"",IF($Q63=Constants!$B$2,TRUE(),IF($Q63=Constants!$B$3,FALSE(),FALSE())))</f>
        <v/>
      </c>
      <c r="AW63" s="74" t="str">
        <f aca="false">IF(ISBLANK($C63),"",IF($R63=Constants!$B$2,TRUE(),IF($R63=Constants!$B$3,FALSE(),FALSE())))</f>
        <v/>
      </c>
      <c r="AX63" s="74" t="str">
        <f aca="false">IF(ISBLANK($C63),"",IF($S63=Constants!$B$2,TRUE(),IF($S63=Constants!$B$3,FALSE(),FALSE())))</f>
        <v/>
      </c>
      <c r="AY63" s="74" t="str">
        <f aca="false">IF(ISBLANK($C63),"",IF($T63=Constants!$B$2,TRUE(),IF($T63=Constants!$B$3,FALSE(),FALSE())))</f>
        <v/>
      </c>
      <c r="AZ63" s="74" t="str">
        <f aca="false">IF(ISBLANK($C63),"",IF($U63=Constants!$B$2,TRUE(),IF($U63=Constants!$B$3,FALSE(),FALSE())))</f>
        <v/>
      </c>
      <c r="BA63" s="74" t="str">
        <f aca="false">IF(ISBLANK($C63),"",IF(OR($V63&amp;""="1",$V63&amp;""="2",$V63&amp;""="3",$V63&amp;""="4"),VALUE($V63&amp;""),IF($V63=Constants!$B$12,Constants!$B$12,"")))</f>
        <v/>
      </c>
      <c r="BB63" s="74" t="str">
        <f aca="false">IF(ISBLANK($C63),"",IF(ISBLANK($W63),0,IF(ISNUMBER($W63),IF(AND($W63&gt;=0,$W63&lt;=Constants!$B$21,$W63=INT($W63)),$W63,""),"")))</f>
        <v/>
      </c>
      <c r="BC63" s="74" t="str">
        <f aca="false">IF(ISBLANK($C63),"",IF(ISBLANK($X63),0,IF(ISNUMBER($X63),IF($X63&gt;=0,$X63,""),"")))</f>
        <v/>
      </c>
      <c r="BD63" s="74" t="str">
        <f aca="false">IF(ISBLANK($C63),"",IF($Y63=Constants!$B$2,TRUE(),IF($Y63=Constants!$B$3,FALSE(),TRUE())))</f>
        <v/>
      </c>
      <c r="BE63" s="74" t="str">
        <f aca="false">IF(ISBLANK($C63),"",IF($Z63=Constants!$B$2,TRUE(),IF($Z63=Constants!$B$3,FALSE(),FALSE())))</f>
        <v/>
      </c>
      <c r="BF63" s="74" t="str">
        <f aca="false">IF(ISBLANK($C63),"",IF(ISBLANK($AA63),0,IF(ISNUMBER($AA63),IF(AND($AA63&gt;=0,$AA63&lt;=Constants!$B$35,$AA63=INT($AA63)),$AA63,""),"")))</f>
        <v/>
      </c>
      <c r="BG63" s="74" t="str">
        <f aca="false">IF(ISBLANK($C63),"",IF($AB63=Constants!$B$2,TRUE(),IF($AB63=Constants!$B$3,FALSE(),TRUE())))</f>
        <v/>
      </c>
      <c r="BH63" s="74" t="str">
        <f aca="false">IF(ISBLANK($C63),"",IF($AC63=Constants!$B$2,TRUE(),IF($AC63=Constants!$B$3,FALSE(),TRUE())))</f>
        <v/>
      </c>
      <c r="BI63" s="74" t="str">
        <f aca="false">IF(ISBLANK($C63),"",IF($AD63=Constants!$B$2,TRUE(),IF($AD63=Constants!$B$3,FALSE(),TRUE())))</f>
        <v/>
      </c>
      <c r="BJ63" s="74" t="str">
        <f aca="false">IF(ISBLANK($C63),"",IF(ISNUMBER($AE63),IF($AE63&gt;=0,$AE63,""),""))</f>
        <v/>
      </c>
      <c r="BK63" s="74" t="str">
        <f aca="false">IF(ISBLANK($C63),"",IF($AF63=Constants!$B$2,TRUE(),IF($AF63=Constants!$B$3,FALSE(),FALSE())))</f>
        <v/>
      </c>
      <c r="BL63" s="73" t="str">
        <f aca="false">IF(ISBLANK($C63),"",IF($BK63,Constants!$B$7,IF(COUNTA($E63:$AE63)=0,Constants!$B$6,IF(OR(COUNTA($G63:$AE63)=0,NOT($AM63),$AS63),Constants!$B$5,IF(OR($CM63&lt;&gt;"",$CN63,$CO63,$CP63,$CQ63,$CR63,$CS63),Constants!$B$8,Constants!$B$4)))))</f>
        <v/>
      </c>
      <c r="BM63" s="74" t="str">
        <f aca="false">IF(ISBLANK($C63),"",IF($BL63&lt;&gt;Constants!$B$4,$BL63,IF(OR(NOT($AJ63),NOT($AL63),NOT($AT63)),Constants!$B$11,IF(OR(NOT($AR63),NOT($AU63),NOT($BI63),MAX($AN63,$AO63,$AP63)&gt;Constants!$B$30),Constants!$B$10,Constants!$B$9))))</f>
        <v/>
      </c>
      <c r="BN63" s="74" t="str">
        <f aca="false">IF($BL63&lt;&gt;Constants!$B$4,"",IF(NOT($AL63),0,MIN(Constants!$B$35,$BF63)))</f>
        <v/>
      </c>
      <c r="BO63" s="74" t="str">
        <f aca="false">IF($BL63&lt;&gt;Constants!$B$4,"",IF(NOT($AL63),0,IF($AW63,Constants!$B$18,IF($AV63,Constants!$B$17,0))))</f>
        <v/>
      </c>
      <c r="BP63" s="74" t="str">
        <f aca="false">IF($BL63&lt;&gt;Constants!$B$4,"",IF(NOT($AL63),0,Constants!$B$19*($AK63+$AX63+$AY63+$AZ63)))</f>
        <v/>
      </c>
      <c r="BQ63" s="74" t="str">
        <f aca="false">IF($BL63&lt;&gt;Constants!$B$4,"",IF(OR(NOT($AL63),NOT(ISNUMBER($BA63))),0,CHOOSE($BA63,Constants!$B$13,Constants!$B$14,Constants!$B$15,Constants!$B$16)))</f>
        <v/>
      </c>
      <c r="BR63" s="74" t="str">
        <f aca="false">IF($BL63&lt;&gt;Constants!$B$4,"",IF(NOT($AL63),0,Constants!$B$20*$BB63))</f>
        <v/>
      </c>
      <c r="BS63" s="74" t="str">
        <f aca="false">IF($BL63&lt;&gt;Constants!$B$4,"",IF(AND($AL63,$BD63,$BE63),Constants!$B$22,0))</f>
        <v/>
      </c>
      <c r="BT63" s="74" t="str">
        <f aca="false">IF($BL63&lt;&gt;Constants!$B$4,"",IF(OR(NOT($AL63),NOT($BD63)),0,IF($BJ63&gt;=2*$AH$9,0,Constants!$B$23*INT(ROUND(MIN($BJ63,$AH$9),6)))))</f>
        <v/>
      </c>
      <c r="BU63" s="74" t="str">
        <f aca="false">IF($BL63&lt;&gt;Constants!$B$4,"",IF(NOT($AL63),0,Constants!$B$24*INT(ROUND(MIN($BC63,$AH$9),6))))</f>
        <v/>
      </c>
      <c r="BV63" s="74" t="str">
        <f aca="false">IF($BL63&lt;&gt;Constants!$B$4,"",IF(AND($AL63,$BN63=0),Constants!$B$25,0))</f>
        <v/>
      </c>
      <c r="BW63" s="74" t="str">
        <f aca="false">IF($BL63&lt;&gt;Constants!$B$4,"",MIN(Constants!$B$29,MAX(0,Constants!$B$27*Constants!$B$28*INT(ROUND((Constants!$B$26-$AN63)/Constants!$B$28,6))))+MIN(Constants!$B$29,MAX(0,Constants!$B$27*Constants!$B$28*INT(ROUND((Constants!$B$26-$AO63)/Constants!$B$28,6))))+MIN(Constants!$B$29,MAX(0,Constants!$B$27*Constants!$B$28*INT(ROUND((Constants!$B$26-$AP63)/Constants!$B$28,6)))))</f>
        <v/>
      </c>
      <c r="BX63" s="74" t="str">
        <f aca="false">IF($BL63&lt;&gt;Constants!$B$4,"",IF(NOT($AL63),0,Constants!$B$31*INT(ROUND(MAX(0,MIN($BJ63,2*$AH$9)-$AH$9),6))))</f>
        <v/>
      </c>
      <c r="BY63" s="74" t="str">
        <f aca="false">IF($BL63&lt;&gt;Constants!$B$4,"",Constants!$B$32*(($AN63&gt;Constants!$B$26)+($AO63&gt;Constants!$B$26)+($AP63&gt;Constants!$B$26)))</f>
        <v/>
      </c>
      <c r="BZ63" s="74" t="str">
        <f aca="false">IF($BL63&lt;&gt;Constants!$B$4,"",IF(OR(NOT($AL63),$AQ63),0,Constants!$B$33))</f>
        <v/>
      </c>
      <c r="CA63" s="74" t="str">
        <f aca="false">IF($BL63&lt;&gt;Constants!$B$4,"",Constants!$B$34*$BN63)</f>
        <v/>
      </c>
      <c r="CB63" s="74" t="str">
        <f aca="false">IF($BL63&lt;&gt;Constants!$B$4,"",IF(OR(NOT($AL63),$BH63),0,Constants!$B$36))</f>
        <v/>
      </c>
      <c r="CC63" s="74" t="str">
        <f aca="false">IF($BL63&lt;&gt;Constants!$B$4,"",IF(OR(NOT($AL63),$BG63),0,Constants!$B$37))</f>
        <v/>
      </c>
      <c r="CD63" s="74" t="str">
        <f aca="false">IF($BL63&lt;&gt;Constants!$B$4,"",SUM($BX63:$CC63))</f>
        <v/>
      </c>
      <c r="CE63" s="74" t="str">
        <f aca="false">IF(ISBLANK($C63),"",IF($BL63&lt;&gt;Constants!$B$4,$BL63,SUM($BO63:$BW63)-$CD63))</f>
        <v/>
      </c>
      <c r="CF63" s="74" t="str">
        <f aca="false">IF(ISBLANK($C63),"",IF($BL63&lt;&gt;Constants!$B$4,$BL63,RANK($CE63,$CE$9:$CE$508)))</f>
        <v/>
      </c>
      <c r="CG63" s="74" t="str">
        <f aca="false">IF(ISBLANK($C63),"",IF($BL63&lt;&gt;Constants!$B$4,$BL63,COUNTIFS($BM$9:$BM$508,"&lt;"&amp;$BM63)+COUNTIFS($BM$9:$BM$508,$BM63,$CF$9:$CF$508,"&lt;"&amp;$CF63)+1))</f>
        <v/>
      </c>
      <c r="CH63" s="74" t="str">
        <f aca="false">IF(ISBLANK($C63),"",IF($BL63&lt;&gt;Constants!$B$4,$BL63,RANK($CD63,$CD$9:$CD$508,1)))</f>
        <v/>
      </c>
      <c r="CI63" s="74" t="str">
        <f aca="false">IF($BL63&lt;&gt;Constants!$B$4,"",$AN63+$AO63+$AP63)</f>
        <v/>
      </c>
      <c r="CJ63" s="74" t="str">
        <f aca="false">IF(ISBLANK($C63),"",IF($BL63&lt;&gt;Constants!$B$4,$BL63,RANK($CI63,$CI$9:$CI$508,1)))</f>
        <v/>
      </c>
      <c r="CK63" s="74" t="str">
        <f aca="false">IF(ISBLANK($C63),"",IF($BL63&lt;&gt;Constants!$B$4,$BL63,COUNTIFS($BM$9:$BM$508,"&lt;"&amp;$BM63)+COUNTIFS($BM$9:$BM$508,$BM63,$CF$9:$CF$508,"&lt;"&amp;$CF63)+COUNTIFS($BM$9:$BM$508,$BM63,$CF$9:$CF$508,$CF63,$CH$9:$CH$508,"&lt;"&amp;$CH63)+COUNTIFS($BM$9:$BM$508,$BM63,$CF$9:$CF$508,$CF63,$CH$9:$CH$508,$CH63,$CJ$9:$CJ$508,"&lt;"&amp;$CJ63)+1))</f>
        <v/>
      </c>
      <c r="CL63" s="74" t="str">
        <f aca="false">IF(ISBLANK($C63),"",IF($BL63&lt;&gt;Constants!$B$4,$BL63,$CG63-$CK63))</f>
        <v/>
      </c>
      <c r="CM63" s="74" t="str">
        <f aca="false">IF(ISBLANK($C63),"",IF(NOT($AL63),"",IF(ISBLANK($D$7),$CM$5,IF(NOT(ISNUMBER($D$7)),$CM$6,""))))</f>
        <v/>
      </c>
      <c r="CN63" s="74" t="str">
        <f aca="false">IF(ISBLANK($C63),"",OR($AN63="",$AO63="",$AP63=""))</f>
        <v/>
      </c>
      <c r="CO63" s="74" t="str">
        <f aca="false">IF(ISBLANK($C63),"",AND($AL63,$BA63=""))</f>
        <v/>
      </c>
      <c r="CP63" s="74" t="str">
        <f aca="false">IF(ISBLANK($C63),"",AND($AL63,$BB63=""))</f>
        <v/>
      </c>
      <c r="CQ63" s="74" t="str">
        <f aca="false">IF(ISBLANK($C63),"",AND($AL63,$BC63=""))</f>
        <v/>
      </c>
      <c r="CR63" s="74" t="str">
        <f aca="false">IF(ISBLANK($C63),"",AND($AL63,$BF63=""))</f>
        <v/>
      </c>
      <c r="CS63" s="74" t="str">
        <f aca="false">IF(ISBLANK($C63),"",AND($AL63,$BJ63=""))</f>
        <v/>
      </c>
      <c r="CT63" s="75"/>
      <c r="CU63" s="76"/>
      <c r="CV63" s="79" t="str">
        <f aca="false">IF(ISBLANK($C63),"",IF($BL63=Constants!$B$8,$CM63,""))</f>
        <v/>
      </c>
      <c r="CW63" s="76" t="str">
        <f aca="false">IF(ISBLANK($C63),"",IF($BL63&lt;&gt;Constants!$B$4,"",$BO63+$BP63))</f>
        <v/>
      </c>
      <c r="CX63" s="78" t="str">
        <f aca="false">IF(ISBLANK($C63),"",IF($BL63&lt;&gt;Constants!$B$4,"",$BQ63+$BR63+$BS63))</f>
        <v/>
      </c>
      <c r="CY63" s="78" t="str">
        <f aca="false">IF(ISBLANK($C63),"",IF($BL63&lt;&gt;Constants!$B$4,"",$BT63))</f>
        <v/>
      </c>
      <c r="CZ63" s="78" t="str">
        <f aca="false">IF(ISBLANK($C63),"",IF($BL63&lt;&gt;Constants!$B$4,"",$BU63+$BV63))</f>
        <v/>
      </c>
      <c r="DA63" s="78" t="str">
        <f aca="false">IF(ISBLANK($C63),"",IF($BL63&lt;&gt;Constants!$B$4,"",$BW63))</f>
        <v/>
      </c>
      <c r="DB63" s="78" t="str">
        <f aca="false">IF(ISBLANK($C63),"",IF($BL63&lt;&gt;Constants!$B$4,"",-$CD63))</f>
        <v/>
      </c>
      <c r="DC63" s="79" t="str">
        <f aca="false">IF(ISBLANK($C63),"",$CE63)</f>
        <v/>
      </c>
      <c r="DD63" s="80" t="str">
        <f aca="false">IF(ISBLANK($C63),"",$BM63)</f>
        <v/>
      </c>
      <c r="DE63" s="78" t="str">
        <f aca="false">IF(ISBLANK($C63),"",$CL63)</f>
        <v/>
      </c>
      <c r="DF63" s="78" t="str">
        <f aca="false">IF(ISBLANK($C63),"",$CK63)</f>
        <v/>
      </c>
      <c r="DG63" s="81" t="str">
        <f aca="false">IF(ISBLANK($C63),"",IF($DF63=Constants!$B$7,COUNTA($C$9:$C$508)+2,IF($DF63=Constants!$B$6,COUNTA($C$9:$C$508)+1,IF($DF63=Constants!$B$5,COUNTA($C$9:$C$508),$DF63))))</f>
        <v/>
      </c>
      <c r="DH63" s="7"/>
      <c r="DI63" s="82" t="n">
        <f aca="false">IF(OR(ISNUMBER($DF63),$DF63=Constants!$B$7,$DF63=Constants!$B$5,$DF63=Constants!$B$6),1,0)</f>
        <v>0</v>
      </c>
      <c r="DJ63" s="82" t="n">
        <v>55</v>
      </c>
      <c r="DK63" s="82" t="str">
        <f aca="false">IF(ISBLANK($C63),"",IF(ISNUMBER($DG63),$DG63+ROW($B63)/1000,""))</f>
        <v/>
      </c>
      <c r="DL63" s="82" t="str">
        <f aca="false">IF(ISNUMBER($DK63),RANK($DK63,$DK$9:$DK$508,1),"")</f>
        <v/>
      </c>
      <c r="DM63" s="82" t="str">
        <f aca="false">IF(ISBLANK($C63),"",$B63)</f>
        <v/>
      </c>
      <c r="DN63" s="82" t="str">
        <f aca="false">IF(ISBLANK($C63),"",$C63)</f>
        <v/>
      </c>
      <c r="DO63" s="82" t="str">
        <f aca="false">IF(ISBLANK($C63),"",$D63)</f>
        <v/>
      </c>
      <c r="DP63" s="83" t="str">
        <f aca="false">$DD63</f>
        <v/>
      </c>
      <c r="DQ63" s="84" t="str">
        <f aca="false">$DC63</f>
        <v/>
      </c>
      <c r="DR63" s="82" t="str">
        <f aca="false">IF(ISBLANK($C63),"",$DF63)</f>
        <v/>
      </c>
      <c r="DS63" s="85" t="str">
        <f aca="false">IF($DJ63&gt;$DI$8,"",VLOOKUP($DJ63,$DL$9:$DR$508,7,FALSE()))</f>
        <v/>
      </c>
      <c r="DT63" s="86" t="str">
        <f aca="false">IF($DJ63&gt;$DI$8,"",VLOOKUP($DJ63,$DL$9:$DR$508,2,FALSE()))</f>
        <v/>
      </c>
      <c r="DU63" s="86" t="str">
        <f aca="false">IF($DJ63&gt;$DI$8,"",VLOOKUP($DJ63,$DL$9:$DR$508,3,FALSE()))</f>
        <v/>
      </c>
      <c r="DV63" s="86" t="str">
        <f aca="false">IF($DJ63&gt;$DI$8,"",VLOOKUP($DJ63,$DL$9:$DR$508,4,FALSE()))</f>
        <v/>
      </c>
      <c r="DW63" s="86" t="str">
        <f aca="false">IF($DJ63&gt;$DI$8,"",VLOOKUP($DJ63,$DL$9:$DR$508,5,FALSE()))</f>
        <v/>
      </c>
      <c r="DX63" s="87" t="str">
        <f aca="false">IF($DJ63&gt;$DI$8,"",VLOOKUP($DJ63,$DL$9:$DR$508,6,FALSE()))</f>
        <v/>
      </c>
      <c r="DY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88"/>
      <c r="N64" s="88"/>
      <c r="O64" s="134"/>
      <c r="P64" s="134"/>
      <c r="Q64" s="88"/>
      <c r="R64" s="88"/>
      <c r="S64" s="88"/>
      <c r="T64" s="88"/>
      <c r="U64" s="134"/>
      <c r="V64" s="88"/>
      <c r="W64" s="70"/>
      <c r="X64" s="88"/>
      <c r="Y64" s="88"/>
      <c r="Z64" s="70"/>
      <c r="AA64" s="70"/>
      <c r="AB64" s="88"/>
      <c r="AC64" s="88"/>
      <c r="AD64" s="88"/>
      <c r="AE64" s="71"/>
      <c r="AF64" s="88"/>
      <c r="AG64" s="73"/>
      <c r="AH64" s="74"/>
      <c r="AI64" s="74"/>
      <c r="AJ64" s="74" t="str">
        <f aca="false">IF(ISBLANK($C64),"",IF($E64=Constants!$B$2,TRUE(),IF($E64=Constants!$B$3,FALSE(),TRUE())))</f>
        <v/>
      </c>
      <c r="AK64" s="74" t="str">
        <f aca="false">IF(ISBLANK($C64),"",IF($F64=Constants!$B$2,TRUE(),IF($F64=Constants!$B$3,FALSE(),FALSE())))</f>
        <v/>
      </c>
      <c r="AL64" s="74" t="str">
        <f aca="false">IF(ISBLANK($C64),"",IF($G64=Constants!$B$2,TRUE(),IF($G64=Constants!$B$3,FALSE(),TRUE())))</f>
        <v/>
      </c>
      <c r="AM64" s="74" t="str">
        <f aca="false">IF(ISBLANK($C64),"",IF($H64=Constants!$B$2,TRUE(),IF($H64=Constants!$B$3,FALSE(),TRUE())))</f>
        <v/>
      </c>
      <c r="AN64" s="74" t="str">
        <f aca="false">IF(ISBLANK($C64),"",IF(ISNUMBER($I64),IF($I64&gt;=0,$I64,""),""))</f>
        <v/>
      </c>
      <c r="AO64" s="74" t="str">
        <f aca="false">IF(ISBLANK($C64),"",IF(ISNUMBER($J64),IF($J64&gt;=0,$J64,""),""))</f>
        <v/>
      </c>
      <c r="AP64" s="74" t="str">
        <f aca="false">IF(ISBLANK($C64),"",IF(ISNUMBER($K64),IF($K64&gt;=0,$K64,""),""))</f>
        <v/>
      </c>
      <c r="AQ64" s="74" t="str">
        <f aca="false">IF(ISBLANK($C64),"",IF($L64=Constants!$B$2,TRUE(),IF($L64=Constants!$B$3,FALSE(),TRUE())))</f>
        <v/>
      </c>
      <c r="AR64" s="74" t="str">
        <f aca="false">IF(ISBLANK($C64),"",IF($M64=Constants!$B$2,TRUE(),IF($M64=Constants!$B$3,FALSE(),TRUE())))</f>
        <v/>
      </c>
      <c r="AS64" s="74" t="str">
        <f aca="false">IF(ISBLANK($C64),"",IF($N64=Constants!$B$2,TRUE(),IF($N64=Constants!$B$3,FALSE(),FALSE())))</f>
        <v/>
      </c>
      <c r="AT64" s="74" t="str">
        <f aca="false">IF(ISBLANK($C64),"",IF($O64=Constants!$B$2,TRUE(),IF($O64=Constants!$B$3,FALSE(),TRUE())))</f>
        <v/>
      </c>
      <c r="AU64" s="74" t="str">
        <f aca="false">IF(ISBLANK($C64),"",IF($P64=Constants!$B$2,TRUE(),IF($P64=Constants!$B$3,FALSE(),TRUE())))</f>
        <v/>
      </c>
      <c r="AV64" s="74" t="str">
        <f aca="false">IF(ISBLANK($C64),"",IF($Q64=Constants!$B$2,TRUE(),IF($Q64=Constants!$B$3,FALSE(),FALSE())))</f>
        <v/>
      </c>
      <c r="AW64" s="74" t="str">
        <f aca="false">IF(ISBLANK($C64),"",IF($R64=Constants!$B$2,TRUE(),IF($R64=Constants!$B$3,FALSE(),FALSE())))</f>
        <v/>
      </c>
      <c r="AX64" s="74" t="str">
        <f aca="false">IF(ISBLANK($C64),"",IF($S64=Constants!$B$2,TRUE(),IF($S64=Constants!$B$3,FALSE(),FALSE())))</f>
        <v/>
      </c>
      <c r="AY64" s="74" t="str">
        <f aca="false">IF(ISBLANK($C64),"",IF($T64=Constants!$B$2,TRUE(),IF($T64=Constants!$B$3,FALSE(),FALSE())))</f>
        <v/>
      </c>
      <c r="AZ64" s="74" t="str">
        <f aca="false">IF(ISBLANK($C64),"",IF($U64=Constants!$B$2,TRUE(),IF($U64=Constants!$B$3,FALSE(),FALSE())))</f>
        <v/>
      </c>
      <c r="BA64" s="74" t="str">
        <f aca="false">IF(ISBLANK($C64),"",IF(OR($V64&amp;""="1",$V64&amp;""="2",$V64&amp;""="3",$V64&amp;""="4"),VALUE($V64&amp;""),IF($V64=Constants!$B$12,Constants!$B$12,"")))</f>
        <v/>
      </c>
      <c r="BB64" s="74" t="str">
        <f aca="false">IF(ISBLANK($C64),"",IF(ISBLANK($W64),0,IF(ISNUMBER($W64),IF(AND($W64&gt;=0,$W64&lt;=Constants!$B$21,$W64=INT($W64)),$W64,""),"")))</f>
        <v/>
      </c>
      <c r="BC64" s="74" t="str">
        <f aca="false">IF(ISBLANK($C64),"",IF(ISBLANK($X64),0,IF(ISNUMBER($X64),IF($X64&gt;=0,$X64,""),"")))</f>
        <v/>
      </c>
      <c r="BD64" s="74" t="str">
        <f aca="false">IF(ISBLANK($C64),"",IF($Y64=Constants!$B$2,TRUE(),IF($Y64=Constants!$B$3,FALSE(),TRUE())))</f>
        <v/>
      </c>
      <c r="BE64" s="74" t="str">
        <f aca="false">IF(ISBLANK($C64),"",IF($Z64=Constants!$B$2,TRUE(),IF($Z64=Constants!$B$3,FALSE(),FALSE())))</f>
        <v/>
      </c>
      <c r="BF64" s="74" t="str">
        <f aca="false">IF(ISBLANK($C64),"",IF(ISBLANK($AA64),0,IF(ISNUMBER($AA64),IF(AND($AA64&gt;=0,$AA64&lt;=Constants!$B$35,$AA64=INT($AA64)),$AA64,""),"")))</f>
        <v/>
      </c>
      <c r="BG64" s="74" t="str">
        <f aca="false">IF(ISBLANK($C64),"",IF($AB64=Constants!$B$2,TRUE(),IF($AB64=Constants!$B$3,FALSE(),TRUE())))</f>
        <v/>
      </c>
      <c r="BH64" s="74" t="str">
        <f aca="false">IF(ISBLANK($C64),"",IF($AC64=Constants!$B$2,TRUE(),IF($AC64=Constants!$B$3,FALSE(),TRUE())))</f>
        <v/>
      </c>
      <c r="BI64" s="74" t="str">
        <f aca="false">IF(ISBLANK($C64),"",IF($AD64=Constants!$B$2,TRUE(),IF($AD64=Constants!$B$3,FALSE(),TRUE())))</f>
        <v/>
      </c>
      <c r="BJ64" s="74" t="str">
        <f aca="false">IF(ISBLANK($C64),"",IF(ISNUMBER($AE64),IF($AE64&gt;=0,$AE64,""),""))</f>
        <v/>
      </c>
      <c r="BK64" s="74" t="str">
        <f aca="false">IF(ISBLANK($C64),"",IF($AF64=Constants!$B$2,TRUE(),IF($AF64=Constants!$B$3,FALSE(),FALSE())))</f>
        <v/>
      </c>
      <c r="BL64" s="73" t="str">
        <f aca="false">IF(ISBLANK($C64),"",IF($BK64,Constants!$B$7,IF(COUNTA($E64:$AE64)=0,Constants!$B$6,IF(OR(COUNTA($G64:$AE64)=0,NOT($AM64),$AS64),Constants!$B$5,IF(OR($CM64&lt;&gt;"",$CN64,$CO64,$CP64,$CQ64,$CR64,$CS64),Constants!$B$8,Constants!$B$4)))))</f>
        <v/>
      </c>
      <c r="BM64" s="74" t="str">
        <f aca="false">IF(ISBLANK($C64),"",IF($BL64&lt;&gt;Constants!$B$4,$BL64,IF(OR(NOT($AJ64),NOT($AL64),NOT($AT64)),Constants!$B$11,IF(OR(NOT($AR64),NOT($AU64),NOT($BI64),MAX($AN64,$AO64,$AP64)&gt;Constants!$B$30),Constants!$B$10,Constants!$B$9))))</f>
        <v/>
      </c>
      <c r="BN64" s="74" t="str">
        <f aca="false">IF($BL64&lt;&gt;Constants!$B$4,"",IF(NOT($AL64),0,MIN(Constants!$B$35,$BF64)))</f>
        <v/>
      </c>
      <c r="BO64" s="74" t="str">
        <f aca="false">IF($BL64&lt;&gt;Constants!$B$4,"",IF(NOT($AL64),0,IF($AW64,Constants!$B$18,IF($AV64,Constants!$B$17,0))))</f>
        <v/>
      </c>
      <c r="BP64" s="74" t="str">
        <f aca="false">IF($BL64&lt;&gt;Constants!$B$4,"",IF(NOT($AL64),0,Constants!$B$19*($AK64+$AX64+$AY64+$AZ64)))</f>
        <v/>
      </c>
      <c r="BQ64" s="74" t="str">
        <f aca="false">IF($BL64&lt;&gt;Constants!$B$4,"",IF(OR(NOT($AL64),NOT(ISNUMBER($BA64))),0,CHOOSE($BA64,Constants!$B$13,Constants!$B$14,Constants!$B$15,Constants!$B$16)))</f>
        <v/>
      </c>
      <c r="BR64" s="74" t="str">
        <f aca="false">IF($BL64&lt;&gt;Constants!$B$4,"",IF(NOT($AL64),0,Constants!$B$20*$BB64))</f>
        <v/>
      </c>
      <c r="BS64" s="74" t="str">
        <f aca="false">IF($BL64&lt;&gt;Constants!$B$4,"",IF(AND($AL64,$BD64,$BE64),Constants!$B$22,0))</f>
        <v/>
      </c>
      <c r="BT64" s="74" t="str">
        <f aca="false">IF($BL64&lt;&gt;Constants!$B$4,"",IF(OR(NOT($AL64),NOT($BD64)),0,IF($BJ64&gt;=2*$AH$9,0,Constants!$B$23*INT(ROUND(MIN($BJ64,$AH$9),6)))))</f>
        <v/>
      </c>
      <c r="BU64" s="74" t="str">
        <f aca="false">IF($BL64&lt;&gt;Constants!$B$4,"",IF(NOT($AL64),0,Constants!$B$24*INT(ROUND(MIN($BC64,$AH$9),6))))</f>
        <v/>
      </c>
      <c r="BV64" s="74" t="str">
        <f aca="false">IF($BL64&lt;&gt;Constants!$B$4,"",IF(AND($AL64,$BN64=0),Constants!$B$25,0))</f>
        <v/>
      </c>
      <c r="BW64" s="74" t="str">
        <f aca="false">IF($BL64&lt;&gt;Constants!$B$4,"",MIN(Constants!$B$29,MAX(0,Constants!$B$27*Constants!$B$28*INT(ROUND((Constants!$B$26-$AN64)/Constants!$B$28,6))))+MIN(Constants!$B$29,MAX(0,Constants!$B$27*Constants!$B$28*INT(ROUND((Constants!$B$26-$AO64)/Constants!$B$28,6))))+MIN(Constants!$B$29,MAX(0,Constants!$B$27*Constants!$B$28*INT(ROUND((Constants!$B$26-$AP64)/Constants!$B$28,6)))))</f>
        <v/>
      </c>
      <c r="BX64" s="74" t="str">
        <f aca="false">IF($BL64&lt;&gt;Constants!$B$4,"",IF(NOT($AL64),0,Constants!$B$31*INT(ROUND(MAX(0,MIN($BJ64,2*$AH$9)-$AH$9),6))))</f>
        <v/>
      </c>
      <c r="BY64" s="74" t="str">
        <f aca="false">IF($BL64&lt;&gt;Constants!$B$4,"",Constants!$B$32*(($AN64&gt;Constants!$B$26)+($AO64&gt;Constants!$B$26)+($AP64&gt;Constants!$B$26)))</f>
        <v/>
      </c>
      <c r="BZ64" s="74" t="str">
        <f aca="false">IF($BL64&lt;&gt;Constants!$B$4,"",IF(OR(NOT($AL64),$AQ64),0,Constants!$B$33))</f>
        <v/>
      </c>
      <c r="CA64" s="74" t="str">
        <f aca="false">IF($BL64&lt;&gt;Constants!$B$4,"",Constants!$B$34*$BN64)</f>
        <v/>
      </c>
      <c r="CB64" s="74" t="str">
        <f aca="false">IF($BL64&lt;&gt;Constants!$B$4,"",IF(OR(NOT($AL64),$BH64),0,Constants!$B$36))</f>
        <v/>
      </c>
      <c r="CC64" s="74" t="str">
        <f aca="false">IF($BL64&lt;&gt;Constants!$B$4,"",IF(OR(NOT($AL64),$BG64),0,Constants!$B$37))</f>
        <v/>
      </c>
      <c r="CD64" s="74" t="str">
        <f aca="false">IF($BL64&lt;&gt;Constants!$B$4,"",SUM($BX64:$CC64))</f>
        <v/>
      </c>
      <c r="CE64" s="74" t="str">
        <f aca="false">IF(ISBLANK($C64),"",IF($BL64&lt;&gt;Constants!$B$4,$BL64,SUM($BO64:$BW64)-$CD64))</f>
        <v/>
      </c>
      <c r="CF64" s="74" t="str">
        <f aca="false">IF(ISBLANK($C64),"",IF($BL64&lt;&gt;Constants!$B$4,$BL64,RANK($CE64,$CE$9:$CE$508)))</f>
        <v/>
      </c>
      <c r="CG64" s="74" t="str">
        <f aca="false">IF(ISBLANK($C64),"",IF($BL64&lt;&gt;Constants!$B$4,$BL64,COUNTIFS($BM$9:$BM$508,"&lt;"&amp;$BM64)+COUNTIFS($BM$9:$BM$508,$BM64,$CF$9:$CF$508,"&lt;"&amp;$CF64)+1))</f>
        <v/>
      </c>
      <c r="CH64" s="74" t="str">
        <f aca="false">IF(ISBLANK($C64),"",IF($BL64&lt;&gt;Constants!$B$4,$BL64,RANK($CD64,$CD$9:$CD$508,1)))</f>
        <v/>
      </c>
      <c r="CI64" s="74" t="str">
        <f aca="false">IF($BL64&lt;&gt;Constants!$B$4,"",$AN64+$AO64+$AP64)</f>
        <v/>
      </c>
      <c r="CJ64" s="74" t="str">
        <f aca="false">IF(ISBLANK($C64),"",IF($BL64&lt;&gt;Constants!$B$4,$BL64,RANK($CI64,$CI$9:$CI$508,1)))</f>
        <v/>
      </c>
      <c r="CK64" s="74" t="str">
        <f aca="false">IF(ISBLANK($C64),"",IF($BL64&lt;&gt;Constants!$B$4,$BL64,COUNTIFS($BM$9:$BM$508,"&lt;"&amp;$BM64)+COUNTIFS($BM$9:$BM$508,$BM64,$CF$9:$CF$508,"&lt;"&amp;$CF64)+COUNTIFS($BM$9:$BM$508,$BM64,$CF$9:$CF$508,$CF64,$CH$9:$CH$508,"&lt;"&amp;$CH64)+COUNTIFS($BM$9:$BM$508,$BM64,$CF$9:$CF$508,$CF64,$CH$9:$CH$508,$CH64,$CJ$9:$CJ$508,"&lt;"&amp;$CJ64)+1))</f>
        <v/>
      </c>
      <c r="CL64" s="74" t="str">
        <f aca="false">IF(ISBLANK($C64),"",IF($BL64&lt;&gt;Constants!$B$4,$BL64,$CG64-$CK64))</f>
        <v/>
      </c>
      <c r="CM64" s="74" t="str">
        <f aca="false">IF(ISBLANK($C64),"",IF(NOT($AL64),"",IF(ISBLANK($D$7),$CM$5,IF(NOT(ISNUMBER($D$7)),$CM$6,""))))</f>
        <v/>
      </c>
      <c r="CN64" s="74" t="str">
        <f aca="false">IF(ISBLANK($C64),"",OR($AN64="",$AO64="",$AP64=""))</f>
        <v/>
      </c>
      <c r="CO64" s="74" t="str">
        <f aca="false">IF(ISBLANK($C64),"",AND($AL64,$BA64=""))</f>
        <v/>
      </c>
      <c r="CP64" s="74" t="str">
        <f aca="false">IF(ISBLANK($C64),"",AND($AL64,$BB64=""))</f>
        <v/>
      </c>
      <c r="CQ64" s="74" t="str">
        <f aca="false">IF(ISBLANK($C64),"",AND($AL64,$BC64=""))</f>
        <v/>
      </c>
      <c r="CR64" s="74" t="str">
        <f aca="false">IF(ISBLANK($C64),"",AND($AL64,$BF64=""))</f>
        <v/>
      </c>
      <c r="CS64" s="74" t="str">
        <f aca="false">IF(ISBLANK($C64),"",AND($AL64,$BJ64=""))</f>
        <v/>
      </c>
      <c r="CT64" s="75"/>
      <c r="CU64" s="76"/>
      <c r="CV64" s="79" t="str">
        <f aca="false">IF(ISBLANK($C64),"",IF($BL64=Constants!$B$8,$CM64,""))</f>
        <v/>
      </c>
      <c r="CW64" s="76" t="str">
        <f aca="false">IF(ISBLANK($C64),"",IF($BL64&lt;&gt;Constants!$B$4,"",$BO64+$BP64))</f>
        <v/>
      </c>
      <c r="CX64" s="78" t="str">
        <f aca="false">IF(ISBLANK($C64),"",IF($BL64&lt;&gt;Constants!$B$4,"",$BQ64+$BR64+$BS64))</f>
        <v/>
      </c>
      <c r="CY64" s="78" t="str">
        <f aca="false">IF(ISBLANK($C64),"",IF($BL64&lt;&gt;Constants!$B$4,"",$BT64))</f>
        <v/>
      </c>
      <c r="CZ64" s="78" t="str">
        <f aca="false">IF(ISBLANK($C64),"",IF($BL64&lt;&gt;Constants!$B$4,"",$BU64+$BV64))</f>
        <v/>
      </c>
      <c r="DA64" s="78" t="str">
        <f aca="false">IF(ISBLANK($C64),"",IF($BL64&lt;&gt;Constants!$B$4,"",$BW64))</f>
        <v/>
      </c>
      <c r="DB64" s="78" t="str">
        <f aca="false">IF(ISBLANK($C64),"",IF($BL64&lt;&gt;Constants!$B$4,"",-$CD64))</f>
        <v/>
      </c>
      <c r="DC64" s="79" t="str">
        <f aca="false">IF(ISBLANK($C64),"",$CE64)</f>
        <v/>
      </c>
      <c r="DD64" s="80" t="str">
        <f aca="false">IF(ISBLANK($C64),"",$BM64)</f>
        <v/>
      </c>
      <c r="DE64" s="78" t="str">
        <f aca="false">IF(ISBLANK($C64),"",$CL64)</f>
        <v/>
      </c>
      <c r="DF64" s="78" t="str">
        <f aca="false">IF(ISBLANK($C64),"",$CK64)</f>
        <v/>
      </c>
      <c r="DG64" s="81" t="str">
        <f aca="false">IF(ISBLANK($C64),"",IF($DF64=Constants!$B$7,COUNTA($C$9:$C$508)+2,IF($DF64=Constants!$B$6,COUNTA($C$9:$C$508)+1,IF($DF64=Constants!$B$5,COUNTA($C$9:$C$508),$DF64))))</f>
        <v/>
      </c>
      <c r="DH64" s="7"/>
      <c r="DI64" s="82" t="n">
        <f aca="false">IF(OR(ISNUMBER($DF64),$DF64=Constants!$B$7,$DF64=Constants!$B$5,$DF64=Constants!$B$6),1,0)</f>
        <v>0</v>
      </c>
      <c r="DJ64" s="82" t="n">
        <v>56</v>
      </c>
      <c r="DK64" s="82" t="str">
        <f aca="false">IF(ISBLANK($C64),"",IF(ISNUMBER($DG64),$DG64+ROW($B64)/1000,""))</f>
        <v/>
      </c>
      <c r="DL64" s="82" t="str">
        <f aca="false">IF(ISNUMBER($DK64),RANK($DK64,$DK$9:$DK$508,1),"")</f>
        <v/>
      </c>
      <c r="DM64" s="82" t="str">
        <f aca="false">IF(ISBLANK($C64),"",$B64)</f>
        <v/>
      </c>
      <c r="DN64" s="82" t="str">
        <f aca="false">IF(ISBLANK($C64),"",$C64)</f>
        <v/>
      </c>
      <c r="DO64" s="82" t="str">
        <f aca="false">IF(ISBLANK($C64),"",$D64)</f>
        <v/>
      </c>
      <c r="DP64" s="83" t="str">
        <f aca="false">$DD64</f>
        <v/>
      </c>
      <c r="DQ64" s="84" t="str">
        <f aca="false">$DC64</f>
        <v/>
      </c>
      <c r="DR64" s="82" t="str">
        <f aca="false">IF(ISBLANK($C64),"",$DF64)</f>
        <v/>
      </c>
      <c r="DS64" s="85" t="str">
        <f aca="false">IF($DJ64&gt;$DI$8,"",VLOOKUP($DJ64,$DL$9:$DR$508,7,FALSE()))</f>
        <v/>
      </c>
      <c r="DT64" s="86" t="str">
        <f aca="false">IF($DJ64&gt;$DI$8,"",VLOOKUP($DJ64,$DL$9:$DR$508,2,FALSE()))</f>
        <v/>
      </c>
      <c r="DU64" s="86" t="str">
        <f aca="false">IF($DJ64&gt;$DI$8,"",VLOOKUP($DJ64,$DL$9:$DR$508,3,FALSE()))</f>
        <v/>
      </c>
      <c r="DV64" s="86" t="str">
        <f aca="false">IF($DJ64&gt;$DI$8,"",VLOOKUP($DJ64,$DL$9:$DR$508,4,FALSE()))</f>
        <v/>
      </c>
      <c r="DW64" s="86" t="str">
        <f aca="false">IF($DJ64&gt;$DI$8,"",VLOOKUP($DJ64,$DL$9:$DR$508,5,FALSE()))</f>
        <v/>
      </c>
      <c r="DX64" s="87" t="str">
        <f aca="false">IF($DJ64&gt;$DI$8,"",VLOOKUP($DJ64,$DL$9:$DR$508,6,FALSE()))</f>
        <v/>
      </c>
      <c r="DY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88"/>
      <c r="N65" s="88"/>
      <c r="O65" s="134"/>
      <c r="P65" s="134"/>
      <c r="Q65" s="88"/>
      <c r="R65" s="88"/>
      <c r="S65" s="88"/>
      <c r="T65" s="88"/>
      <c r="U65" s="134"/>
      <c r="V65" s="88"/>
      <c r="W65" s="70"/>
      <c r="X65" s="88"/>
      <c r="Y65" s="88"/>
      <c r="Z65" s="70"/>
      <c r="AA65" s="70"/>
      <c r="AB65" s="88"/>
      <c r="AC65" s="88"/>
      <c r="AD65" s="88"/>
      <c r="AE65" s="71"/>
      <c r="AF65" s="88"/>
      <c r="AG65" s="73"/>
      <c r="AH65" s="74"/>
      <c r="AI65" s="74"/>
      <c r="AJ65" s="74" t="str">
        <f aca="false">IF(ISBLANK($C65),"",IF($E65=Constants!$B$2,TRUE(),IF($E65=Constants!$B$3,FALSE(),TRUE())))</f>
        <v/>
      </c>
      <c r="AK65" s="74" t="str">
        <f aca="false">IF(ISBLANK($C65),"",IF($F65=Constants!$B$2,TRUE(),IF($F65=Constants!$B$3,FALSE(),FALSE())))</f>
        <v/>
      </c>
      <c r="AL65" s="74" t="str">
        <f aca="false">IF(ISBLANK($C65),"",IF($G65=Constants!$B$2,TRUE(),IF($G65=Constants!$B$3,FALSE(),TRUE())))</f>
        <v/>
      </c>
      <c r="AM65" s="74" t="str">
        <f aca="false">IF(ISBLANK($C65),"",IF($H65=Constants!$B$2,TRUE(),IF($H65=Constants!$B$3,FALSE(),TRUE())))</f>
        <v/>
      </c>
      <c r="AN65" s="74" t="str">
        <f aca="false">IF(ISBLANK($C65),"",IF(ISNUMBER($I65),IF($I65&gt;=0,$I65,""),""))</f>
        <v/>
      </c>
      <c r="AO65" s="74" t="str">
        <f aca="false">IF(ISBLANK($C65),"",IF(ISNUMBER($J65),IF($J65&gt;=0,$J65,""),""))</f>
        <v/>
      </c>
      <c r="AP65" s="74" t="str">
        <f aca="false">IF(ISBLANK($C65),"",IF(ISNUMBER($K65),IF($K65&gt;=0,$K65,""),""))</f>
        <v/>
      </c>
      <c r="AQ65" s="74" t="str">
        <f aca="false">IF(ISBLANK($C65),"",IF($L65=Constants!$B$2,TRUE(),IF($L65=Constants!$B$3,FALSE(),TRUE())))</f>
        <v/>
      </c>
      <c r="AR65" s="74" t="str">
        <f aca="false">IF(ISBLANK($C65),"",IF($M65=Constants!$B$2,TRUE(),IF($M65=Constants!$B$3,FALSE(),TRUE())))</f>
        <v/>
      </c>
      <c r="AS65" s="74" t="str">
        <f aca="false">IF(ISBLANK($C65),"",IF($N65=Constants!$B$2,TRUE(),IF($N65=Constants!$B$3,FALSE(),FALSE())))</f>
        <v/>
      </c>
      <c r="AT65" s="74" t="str">
        <f aca="false">IF(ISBLANK($C65),"",IF($O65=Constants!$B$2,TRUE(),IF($O65=Constants!$B$3,FALSE(),TRUE())))</f>
        <v/>
      </c>
      <c r="AU65" s="74" t="str">
        <f aca="false">IF(ISBLANK($C65),"",IF($P65=Constants!$B$2,TRUE(),IF($P65=Constants!$B$3,FALSE(),TRUE())))</f>
        <v/>
      </c>
      <c r="AV65" s="74" t="str">
        <f aca="false">IF(ISBLANK($C65),"",IF($Q65=Constants!$B$2,TRUE(),IF($Q65=Constants!$B$3,FALSE(),FALSE())))</f>
        <v/>
      </c>
      <c r="AW65" s="74" t="str">
        <f aca="false">IF(ISBLANK($C65),"",IF($R65=Constants!$B$2,TRUE(),IF($R65=Constants!$B$3,FALSE(),FALSE())))</f>
        <v/>
      </c>
      <c r="AX65" s="74" t="str">
        <f aca="false">IF(ISBLANK($C65),"",IF($S65=Constants!$B$2,TRUE(),IF($S65=Constants!$B$3,FALSE(),FALSE())))</f>
        <v/>
      </c>
      <c r="AY65" s="74" t="str">
        <f aca="false">IF(ISBLANK($C65),"",IF($T65=Constants!$B$2,TRUE(),IF($T65=Constants!$B$3,FALSE(),FALSE())))</f>
        <v/>
      </c>
      <c r="AZ65" s="74" t="str">
        <f aca="false">IF(ISBLANK($C65),"",IF($U65=Constants!$B$2,TRUE(),IF($U65=Constants!$B$3,FALSE(),FALSE())))</f>
        <v/>
      </c>
      <c r="BA65" s="74" t="str">
        <f aca="false">IF(ISBLANK($C65),"",IF(OR($V65&amp;""="1",$V65&amp;""="2",$V65&amp;""="3",$V65&amp;""="4"),VALUE($V65&amp;""),IF($V65=Constants!$B$12,Constants!$B$12,"")))</f>
        <v/>
      </c>
      <c r="BB65" s="74" t="str">
        <f aca="false">IF(ISBLANK($C65),"",IF(ISBLANK($W65),0,IF(ISNUMBER($W65),IF(AND($W65&gt;=0,$W65&lt;=Constants!$B$21,$W65=INT($W65)),$W65,""),"")))</f>
        <v/>
      </c>
      <c r="BC65" s="74" t="str">
        <f aca="false">IF(ISBLANK($C65),"",IF(ISBLANK($X65),0,IF(ISNUMBER($X65),IF($X65&gt;=0,$X65,""),"")))</f>
        <v/>
      </c>
      <c r="BD65" s="74" t="str">
        <f aca="false">IF(ISBLANK($C65),"",IF($Y65=Constants!$B$2,TRUE(),IF($Y65=Constants!$B$3,FALSE(),TRUE())))</f>
        <v/>
      </c>
      <c r="BE65" s="74" t="str">
        <f aca="false">IF(ISBLANK($C65),"",IF($Z65=Constants!$B$2,TRUE(),IF($Z65=Constants!$B$3,FALSE(),FALSE())))</f>
        <v/>
      </c>
      <c r="BF65" s="74" t="str">
        <f aca="false">IF(ISBLANK($C65),"",IF(ISBLANK($AA65),0,IF(ISNUMBER($AA65),IF(AND($AA65&gt;=0,$AA65&lt;=Constants!$B$35,$AA65=INT($AA65)),$AA65,""),"")))</f>
        <v/>
      </c>
      <c r="BG65" s="74" t="str">
        <f aca="false">IF(ISBLANK($C65),"",IF($AB65=Constants!$B$2,TRUE(),IF($AB65=Constants!$B$3,FALSE(),TRUE())))</f>
        <v/>
      </c>
      <c r="BH65" s="74" t="str">
        <f aca="false">IF(ISBLANK($C65),"",IF($AC65=Constants!$B$2,TRUE(),IF($AC65=Constants!$B$3,FALSE(),TRUE())))</f>
        <v/>
      </c>
      <c r="BI65" s="74" t="str">
        <f aca="false">IF(ISBLANK($C65),"",IF($AD65=Constants!$B$2,TRUE(),IF($AD65=Constants!$B$3,FALSE(),TRUE())))</f>
        <v/>
      </c>
      <c r="BJ65" s="74" t="str">
        <f aca="false">IF(ISBLANK($C65),"",IF(ISNUMBER($AE65),IF($AE65&gt;=0,$AE65,""),""))</f>
        <v/>
      </c>
      <c r="BK65" s="74" t="str">
        <f aca="false">IF(ISBLANK($C65),"",IF($AF65=Constants!$B$2,TRUE(),IF($AF65=Constants!$B$3,FALSE(),FALSE())))</f>
        <v/>
      </c>
      <c r="BL65" s="73" t="str">
        <f aca="false">IF(ISBLANK($C65),"",IF($BK65,Constants!$B$7,IF(COUNTA($E65:$AE65)=0,Constants!$B$6,IF(OR(COUNTA($G65:$AE65)=0,NOT($AM65),$AS65),Constants!$B$5,IF(OR($CM65&lt;&gt;"",$CN65,$CO65,$CP65,$CQ65,$CR65,$CS65),Constants!$B$8,Constants!$B$4)))))</f>
        <v/>
      </c>
      <c r="BM65" s="74" t="str">
        <f aca="false">IF(ISBLANK($C65),"",IF($BL65&lt;&gt;Constants!$B$4,$BL65,IF(OR(NOT($AJ65),NOT($AL65),NOT($AT65)),Constants!$B$11,IF(OR(NOT($AR65),NOT($AU65),NOT($BI65),MAX($AN65,$AO65,$AP65)&gt;Constants!$B$30),Constants!$B$10,Constants!$B$9))))</f>
        <v/>
      </c>
      <c r="BN65" s="74" t="str">
        <f aca="false">IF($BL65&lt;&gt;Constants!$B$4,"",IF(NOT($AL65),0,MIN(Constants!$B$35,$BF65)))</f>
        <v/>
      </c>
      <c r="BO65" s="74" t="str">
        <f aca="false">IF($BL65&lt;&gt;Constants!$B$4,"",IF(NOT($AL65),0,IF($AW65,Constants!$B$18,IF($AV65,Constants!$B$17,0))))</f>
        <v/>
      </c>
      <c r="BP65" s="74" t="str">
        <f aca="false">IF($BL65&lt;&gt;Constants!$B$4,"",IF(NOT($AL65),0,Constants!$B$19*($AK65+$AX65+$AY65+$AZ65)))</f>
        <v/>
      </c>
      <c r="BQ65" s="74" t="str">
        <f aca="false">IF($BL65&lt;&gt;Constants!$B$4,"",IF(OR(NOT($AL65),NOT(ISNUMBER($BA65))),0,CHOOSE($BA65,Constants!$B$13,Constants!$B$14,Constants!$B$15,Constants!$B$16)))</f>
        <v/>
      </c>
      <c r="BR65" s="74" t="str">
        <f aca="false">IF($BL65&lt;&gt;Constants!$B$4,"",IF(NOT($AL65),0,Constants!$B$20*$BB65))</f>
        <v/>
      </c>
      <c r="BS65" s="74" t="str">
        <f aca="false">IF($BL65&lt;&gt;Constants!$B$4,"",IF(AND($AL65,$BD65,$BE65),Constants!$B$22,0))</f>
        <v/>
      </c>
      <c r="BT65" s="74" t="str">
        <f aca="false">IF($BL65&lt;&gt;Constants!$B$4,"",IF(OR(NOT($AL65),NOT($BD65)),0,IF($BJ65&gt;=2*$AH$9,0,Constants!$B$23*INT(ROUND(MIN($BJ65,$AH$9),6)))))</f>
        <v/>
      </c>
      <c r="BU65" s="74" t="str">
        <f aca="false">IF($BL65&lt;&gt;Constants!$B$4,"",IF(NOT($AL65),0,Constants!$B$24*INT(ROUND(MIN($BC65,$AH$9),6))))</f>
        <v/>
      </c>
      <c r="BV65" s="74" t="str">
        <f aca="false">IF($BL65&lt;&gt;Constants!$B$4,"",IF(AND($AL65,$BN65=0),Constants!$B$25,0))</f>
        <v/>
      </c>
      <c r="BW65" s="74" t="str">
        <f aca="false">IF($BL65&lt;&gt;Constants!$B$4,"",MIN(Constants!$B$29,MAX(0,Constants!$B$27*Constants!$B$28*INT(ROUND((Constants!$B$26-$AN65)/Constants!$B$28,6))))+MIN(Constants!$B$29,MAX(0,Constants!$B$27*Constants!$B$28*INT(ROUND((Constants!$B$26-$AO65)/Constants!$B$28,6))))+MIN(Constants!$B$29,MAX(0,Constants!$B$27*Constants!$B$28*INT(ROUND((Constants!$B$26-$AP65)/Constants!$B$28,6)))))</f>
        <v/>
      </c>
      <c r="BX65" s="74" t="str">
        <f aca="false">IF($BL65&lt;&gt;Constants!$B$4,"",IF(NOT($AL65),0,Constants!$B$31*INT(ROUND(MAX(0,MIN($BJ65,2*$AH$9)-$AH$9),6))))</f>
        <v/>
      </c>
      <c r="BY65" s="74" t="str">
        <f aca="false">IF($BL65&lt;&gt;Constants!$B$4,"",Constants!$B$32*(($AN65&gt;Constants!$B$26)+($AO65&gt;Constants!$B$26)+($AP65&gt;Constants!$B$26)))</f>
        <v/>
      </c>
      <c r="BZ65" s="74" t="str">
        <f aca="false">IF($BL65&lt;&gt;Constants!$B$4,"",IF(OR(NOT($AL65),$AQ65),0,Constants!$B$33))</f>
        <v/>
      </c>
      <c r="CA65" s="74" t="str">
        <f aca="false">IF($BL65&lt;&gt;Constants!$B$4,"",Constants!$B$34*$BN65)</f>
        <v/>
      </c>
      <c r="CB65" s="74" t="str">
        <f aca="false">IF($BL65&lt;&gt;Constants!$B$4,"",IF(OR(NOT($AL65),$BH65),0,Constants!$B$36))</f>
        <v/>
      </c>
      <c r="CC65" s="74" t="str">
        <f aca="false">IF($BL65&lt;&gt;Constants!$B$4,"",IF(OR(NOT($AL65),$BG65),0,Constants!$B$37))</f>
        <v/>
      </c>
      <c r="CD65" s="74" t="str">
        <f aca="false">IF($BL65&lt;&gt;Constants!$B$4,"",SUM($BX65:$CC65))</f>
        <v/>
      </c>
      <c r="CE65" s="74" t="str">
        <f aca="false">IF(ISBLANK($C65),"",IF($BL65&lt;&gt;Constants!$B$4,$BL65,SUM($BO65:$BW65)-$CD65))</f>
        <v/>
      </c>
      <c r="CF65" s="74" t="str">
        <f aca="false">IF(ISBLANK($C65),"",IF($BL65&lt;&gt;Constants!$B$4,$BL65,RANK($CE65,$CE$9:$CE$508)))</f>
        <v/>
      </c>
      <c r="CG65" s="74" t="str">
        <f aca="false">IF(ISBLANK($C65),"",IF($BL65&lt;&gt;Constants!$B$4,$BL65,COUNTIFS($BM$9:$BM$508,"&lt;"&amp;$BM65)+COUNTIFS($BM$9:$BM$508,$BM65,$CF$9:$CF$508,"&lt;"&amp;$CF65)+1))</f>
        <v/>
      </c>
      <c r="CH65" s="74" t="str">
        <f aca="false">IF(ISBLANK($C65),"",IF($BL65&lt;&gt;Constants!$B$4,$BL65,RANK($CD65,$CD$9:$CD$508,1)))</f>
        <v/>
      </c>
      <c r="CI65" s="74" t="str">
        <f aca="false">IF($BL65&lt;&gt;Constants!$B$4,"",$AN65+$AO65+$AP65)</f>
        <v/>
      </c>
      <c r="CJ65" s="74" t="str">
        <f aca="false">IF(ISBLANK($C65),"",IF($BL65&lt;&gt;Constants!$B$4,$BL65,RANK($CI65,$CI$9:$CI$508,1)))</f>
        <v/>
      </c>
      <c r="CK65" s="74" t="str">
        <f aca="false">IF(ISBLANK($C65),"",IF($BL65&lt;&gt;Constants!$B$4,$BL65,COUNTIFS($BM$9:$BM$508,"&lt;"&amp;$BM65)+COUNTIFS($BM$9:$BM$508,$BM65,$CF$9:$CF$508,"&lt;"&amp;$CF65)+COUNTIFS($BM$9:$BM$508,$BM65,$CF$9:$CF$508,$CF65,$CH$9:$CH$508,"&lt;"&amp;$CH65)+COUNTIFS($BM$9:$BM$508,$BM65,$CF$9:$CF$508,$CF65,$CH$9:$CH$508,$CH65,$CJ$9:$CJ$508,"&lt;"&amp;$CJ65)+1))</f>
        <v/>
      </c>
      <c r="CL65" s="74" t="str">
        <f aca="false">IF(ISBLANK($C65),"",IF($BL65&lt;&gt;Constants!$B$4,$BL65,$CG65-$CK65))</f>
        <v/>
      </c>
      <c r="CM65" s="74" t="str">
        <f aca="false">IF(ISBLANK($C65),"",IF(NOT($AL65),"",IF(ISBLANK($D$7),$CM$5,IF(NOT(ISNUMBER($D$7)),$CM$6,""))))</f>
        <v/>
      </c>
      <c r="CN65" s="74" t="str">
        <f aca="false">IF(ISBLANK($C65),"",OR($AN65="",$AO65="",$AP65=""))</f>
        <v/>
      </c>
      <c r="CO65" s="74" t="str">
        <f aca="false">IF(ISBLANK($C65),"",AND($AL65,$BA65=""))</f>
        <v/>
      </c>
      <c r="CP65" s="74" t="str">
        <f aca="false">IF(ISBLANK($C65),"",AND($AL65,$BB65=""))</f>
        <v/>
      </c>
      <c r="CQ65" s="74" t="str">
        <f aca="false">IF(ISBLANK($C65),"",AND($AL65,$BC65=""))</f>
        <v/>
      </c>
      <c r="CR65" s="74" t="str">
        <f aca="false">IF(ISBLANK($C65),"",AND($AL65,$BF65=""))</f>
        <v/>
      </c>
      <c r="CS65" s="74" t="str">
        <f aca="false">IF(ISBLANK($C65),"",AND($AL65,$BJ65=""))</f>
        <v/>
      </c>
      <c r="CT65" s="75"/>
      <c r="CU65" s="76"/>
      <c r="CV65" s="79" t="str">
        <f aca="false">IF(ISBLANK($C65),"",IF($BL65=Constants!$B$8,$CM65,""))</f>
        <v/>
      </c>
      <c r="CW65" s="76" t="str">
        <f aca="false">IF(ISBLANK($C65),"",IF($BL65&lt;&gt;Constants!$B$4,"",$BO65+$BP65))</f>
        <v/>
      </c>
      <c r="CX65" s="78" t="str">
        <f aca="false">IF(ISBLANK($C65),"",IF($BL65&lt;&gt;Constants!$B$4,"",$BQ65+$BR65+$BS65))</f>
        <v/>
      </c>
      <c r="CY65" s="78" t="str">
        <f aca="false">IF(ISBLANK($C65),"",IF($BL65&lt;&gt;Constants!$B$4,"",$BT65))</f>
        <v/>
      </c>
      <c r="CZ65" s="78" t="str">
        <f aca="false">IF(ISBLANK($C65),"",IF($BL65&lt;&gt;Constants!$B$4,"",$BU65+$BV65))</f>
        <v/>
      </c>
      <c r="DA65" s="78" t="str">
        <f aca="false">IF(ISBLANK($C65),"",IF($BL65&lt;&gt;Constants!$B$4,"",$BW65))</f>
        <v/>
      </c>
      <c r="DB65" s="78" t="str">
        <f aca="false">IF(ISBLANK($C65),"",IF($BL65&lt;&gt;Constants!$B$4,"",-$CD65))</f>
        <v/>
      </c>
      <c r="DC65" s="79" t="str">
        <f aca="false">IF(ISBLANK($C65),"",$CE65)</f>
        <v/>
      </c>
      <c r="DD65" s="80" t="str">
        <f aca="false">IF(ISBLANK($C65),"",$BM65)</f>
        <v/>
      </c>
      <c r="DE65" s="78" t="str">
        <f aca="false">IF(ISBLANK($C65),"",$CL65)</f>
        <v/>
      </c>
      <c r="DF65" s="78" t="str">
        <f aca="false">IF(ISBLANK($C65),"",$CK65)</f>
        <v/>
      </c>
      <c r="DG65" s="81" t="str">
        <f aca="false">IF(ISBLANK($C65),"",IF($DF65=Constants!$B$7,COUNTA($C$9:$C$508)+2,IF($DF65=Constants!$B$6,COUNTA($C$9:$C$508)+1,IF($DF65=Constants!$B$5,COUNTA($C$9:$C$508),$DF65))))</f>
        <v/>
      </c>
      <c r="DH65" s="7"/>
      <c r="DI65" s="82" t="n">
        <f aca="false">IF(OR(ISNUMBER($DF65),$DF65=Constants!$B$7,$DF65=Constants!$B$5,$DF65=Constants!$B$6),1,0)</f>
        <v>0</v>
      </c>
      <c r="DJ65" s="82" t="n">
        <v>57</v>
      </c>
      <c r="DK65" s="82" t="str">
        <f aca="false">IF(ISBLANK($C65),"",IF(ISNUMBER($DG65),$DG65+ROW($B65)/1000,""))</f>
        <v/>
      </c>
      <c r="DL65" s="82" t="str">
        <f aca="false">IF(ISNUMBER($DK65),RANK($DK65,$DK$9:$DK$508,1),"")</f>
        <v/>
      </c>
      <c r="DM65" s="82" t="str">
        <f aca="false">IF(ISBLANK($C65),"",$B65)</f>
        <v/>
      </c>
      <c r="DN65" s="82" t="str">
        <f aca="false">IF(ISBLANK($C65),"",$C65)</f>
        <v/>
      </c>
      <c r="DO65" s="82" t="str">
        <f aca="false">IF(ISBLANK($C65),"",$D65)</f>
        <v/>
      </c>
      <c r="DP65" s="83" t="str">
        <f aca="false">$DD65</f>
        <v/>
      </c>
      <c r="DQ65" s="84" t="str">
        <f aca="false">$DC65</f>
        <v/>
      </c>
      <c r="DR65" s="82" t="str">
        <f aca="false">IF(ISBLANK($C65),"",$DF65)</f>
        <v/>
      </c>
      <c r="DS65" s="85" t="str">
        <f aca="false">IF($DJ65&gt;$DI$8,"",VLOOKUP($DJ65,$DL$9:$DR$508,7,FALSE()))</f>
        <v/>
      </c>
      <c r="DT65" s="86" t="str">
        <f aca="false">IF($DJ65&gt;$DI$8,"",VLOOKUP($DJ65,$DL$9:$DR$508,2,FALSE()))</f>
        <v/>
      </c>
      <c r="DU65" s="86" t="str">
        <f aca="false">IF($DJ65&gt;$DI$8,"",VLOOKUP($DJ65,$DL$9:$DR$508,3,FALSE()))</f>
        <v/>
      </c>
      <c r="DV65" s="86" t="str">
        <f aca="false">IF($DJ65&gt;$DI$8,"",VLOOKUP($DJ65,$DL$9:$DR$508,4,FALSE()))</f>
        <v/>
      </c>
      <c r="DW65" s="86" t="str">
        <f aca="false">IF($DJ65&gt;$DI$8,"",VLOOKUP($DJ65,$DL$9:$DR$508,5,FALSE()))</f>
        <v/>
      </c>
      <c r="DX65" s="87" t="str">
        <f aca="false">IF($DJ65&gt;$DI$8,"",VLOOKUP($DJ65,$DL$9:$DR$508,6,FALSE()))</f>
        <v/>
      </c>
      <c r="DY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16"/>
      <c r="N66" s="116"/>
      <c r="O66" s="113"/>
      <c r="P66" s="113"/>
      <c r="Q66" s="116"/>
      <c r="R66" s="116"/>
      <c r="S66" s="116"/>
      <c r="T66" s="116"/>
      <c r="U66" s="113"/>
      <c r="V66" s="116"/>
      <c r="W66" s="132"/>
      <c r="X66" s="116"/>
      <c r="Y66" s="116"/>
      <c r="Z66" s="132"/>
      <c r="AA66" s="132"/>
      <c r="AB66" s="116"/>
      <c r="AC66" s="116"/>
      <c r="AD66" s="116"/>
      <c r="AE66" s="133"/>
      <c r="AF66" s="116"/>
      <c r="AG66" s="99"/>
      <c r="AH66" s="100"/>
      <c r="AI66" s="100"/>
      <c r="AJ66" s="100" t="str">
        <f aca="false">IF(ISBLANK($C66),"",IF($E66=Constants!$B$2,TRUE(),IF($E66=Constants!$B$3,FALSE(),TRUE())))</f>
        <v/>
      </c>
      <c r="AK66" s="100" t="str">
        <f aca="false">IF(ISBLANK($C66),"",IF($F66=Constants!$B$2,TRUE(),IF($F66=Constants!$B$3,FALSE(),FALSE())))</f>
        <v/>
      </c>
      <c r="AL66" s="100" t="str">
        <f aca="false">IF(ISBLANK($C66),"",IF($G66=Constants!$B$2,TRUE(),IF($G66=Constants!$B$3,FALSE(),TRUE())))</f>
        <v/>
      </c>
      <c r="AM66" s="100" t="str">
        <f aca="false">IF(ISBLANK($C66),"",IF($H66=Constants!$B$2,TRUE(),IF($H66=Constants!$B$3,FALSE(),TRUE())))</f>
        <v/>
      </c>
      <c r="AN66" s="100" t="str">
        <f aca="false">IF(ISBLANK($C66),"",IF(ISNUMBER($I66),IF($I66&gt;=0,$I66,""),""))</f>
        <v/>
      </c>
      <c r="AO66" s="100" t="str">
        <f aca="false">IF(ISBLANK($C66),"",IF(ISNUMBER($J66),IF($J66&gt;=0,$J66,""),""))</f>
        <v/>
      </c>
      <c r="AP66" s="100" t="str">
        <f aca="false">IF(ISBLANK($C66),"",IF(ISNUMBER($K66),IF($K66&gt;=0,$K66,""),""))</f>
        <v/>
      </c>
      <c r="AQ66" s="100" t="str">
        <f aca="false">IF(ISBLANK($C66),"",IF($L66=Constants!$B$2,TRUE(),IF($L66=Constants!$B$3,FALSE(),TRUE())))</f>
        <v/>
      </c>
      <c r="AR66" s="100" t="str">
        <f aca="false">IF(ISBLANK($C66),"",IF($M66=Constants!$B$2,TRUE(),IF($M66=Constants!$B$3,FALSE(),TRUE())))</f>
        <v/>
      </c>
      <c r="AS66" s="100" t="str">
        <f aca="false">IF(ISBLANK($C66),"",IF($N66=Constants!$B$2,TRUE(),IF($N66=Constants!$B$3,FALSE(),FALSE())))</f>
        <v/>
      </c>
      <c r="AT66" s="100" t="str">
        <f aca="false">IF(ISBLANK($C66),"",IF($O66=Constants!$B$2,TRUE(),IF($O66=Constants!$B$3,FALSE(),TRUE())))</f>
        <v/>
      </c>
      <c r="AU66" s="100" t="str">
        <f aca="false">IF(ISBLANK($C66),"",IF($P66=Constants!$B$2,TRUE(),IF($P66=Constants!$B$3,FALSE(),TRUE())))</f>
        <v/>
      </c>
      <c r="AV66" s="100" t="str">
        <f aca="false">IF(ISBLANK($C66),"",IF($Q66=Constants!$B$2,TRUE(),IF($Q66=Constants!$B$3,FALSE(),FALSE())))</f>
        <v/>
      </c>
      <c r="AW66" s="100" t="str">
        <f aca="false">IF(ISBLANK($C66),"",IF($R66=Constants!$B$2,TRUE(),IF($R66=Constants!$B$3,FALSE(),FALSE())))</f>
        <v/>
      </c>
      <c r="AX66" s="100" t="str">
        <f aca="false">IF(ISBLANK($C66),"",IF($S66=Constants!$B$2,TRUE(),IF($S66=Constants!$B$3,FALSE(),FALSE())))</f>
        <v/>
      </c>
      <c r="AY66" s="100" t="str">
        <f aca="false">IF(ISBLANK($C66),"",IF($T66=Constants!$B$2,TRUE(),IF($T66=Constants!$B$3,FALSE(),FALSE())))</f>
        <v/>
      </c>
      <c r="AZ66" s="100" t="str">
        <f aca="false">IF(ISBLANK($C66),"",IF($U66=Constants!$B$2,TRUE(),IF($U66=Constants!$B$3,FALSE(),FALSE())))</f>
        <v/>
      </c>
      <c r="BA66" s="100" t="str">
        <f aca="false">IF(ISBLANK($C66),"",IF(OR($V66&amp;""="1",$V66&amp;""="2",$V66&amp;""="3",$V66&amp;""="4"),VALUE($V66&amp;""),IF($V66=Constants!$B$12,Constants!$B$12,"")))</f>
        <v/>
      </c>
      <c r="BB66" s="100" t="str">
        <f aca="false">IF(ISBLANK($C66),"",IF(ISBLANK($W66),0,IF(ISNUMBER($W66),IF(AND($W66&gt;=0,$W66&lt;=Constants!$B$21,$W66=INT($W66)),$W66,""),"")))</f>
        <v/>
      </c>
      <c r="BC66" s="100" t="str">
        <f aca="false">IF(ISBLANK($C66),"",IF(ISBLANK($X66),0,IF(ISNUMBER($X66),IF($X66&gt;=0,$X66,""),"")))</f>
        <v/>
      </c>
      <c r="BD66" s="100" t="str">
        <f aca="false">IF(ISBLANK($C66),"",IF($Y66=Constants!$B$2,TRUE(),IF($Y66=Constants!$B$3,FALSE(),TRUE())))</f>
        <v/>
      </c>
      <c r="BE66" s="100" t="str">
        <f aca="false">IF(ISBLANK($C66),"",IF($Z66=Constants!$B$2,TRUE(),IF($Z66=Constants!$B$3,FALSE(),FALSE())))</f>
        <v/>
      </c>
      <c r="BF66" s="100" t="str">
        <f aca="false">IF(ISBLANK($C66),"",IF(ISBLANK($AA66),0,IF(ISNUMBER($AA66),IF(AND($AA66&gt;=0,$AA66&lt;=Constants!$B$35,$AA66=INT($AA66)),$AA66,""),"")))</f>
        <v/>
      </c>
      <c r="BG66" s="100" t="str">
        <f aca="false">IF(ISBLANK($C66),"",IF($AB66=Constants!$B$2,TRUE(),IF($AB66=Constants!$B$3,FALSE(),TRUE())))</f>
        <v/>
      </c>
      <c r="BH66" s="100" t="str">
        <f aca="false">IF(ISBLANK($C66),"",IF($AC66=Constants!$B$2,TRUE(),IF($AC66=Constants!$B$3,FALSE(),TRUE())))</f>
        <v/>
      </c>
      <c r="BI66" s="100" t="str">
        <f aca="false">IF(ISBLANK($C66),"",IF($AD66=Constants!$B$2,TRUE(),IF($AD66=Constants!$B$3,FALSE(),TRUE())))</f>
        <v/>
      </c>
      <c r="BJ66" s="100" t="str">
        <f aca="false">IF(ISBLANK($C66),"",IF(ISNUMBER($AE66),IF($AE66&gt;=0,$AE66,""),""))</f>
        <v/>
      </c>
      <c r="BK66" s="100" t="str">
        <f aca="false">IF(ISBLANK($C66),"",IF($AF66=Constants!$B$2,TRUE(),IF($AF66=Constants!$B$3,FALSE(),FALSE())))</f>
        <v/>
      </c>
      <c r="BL66" s="99" t="str">
        <f aca="false">IF(ISBLANK($C66),"",IF($BK66,Constants!$B$7,IF(COUNTA($E66:$AE66)=0,Constants!$B$6,IF(OR(COUNTA($G66:$AE66)=0,NOT($AM66),$AS66),Constants!$B$5,IF(OR($CM66&lt;&gt;"",$CN66,$CO66,$CP66,$CQ66,$CR66,$CS66),Constants!$B$8,Constants!$B$4)))))</f>
        <v/>
      </c>
      <c r="BM66" s="100" t="str">
        <f aca="false">IF(ISBLANK($C66),"",IF($BL66&lt;&gt;Constants!$B$4,$BL66,IF(OR(NOT($AJ66),NOT($AL66),NOT($AT66)),Constants!$B$11,IF(OR(NOT($AR66),NOT($AU66),NOT($BI66),MAX($AN66,$AO66,$AP66)&gt;Constants!$B$30),Constants!$B$10,Constants!$B$9))))</f>
        <v/>
      </c>
      <c r="BN66" s="100" t="str">
        <f aca="false">IF($BL66&lt;&gt;Constants!$B$4,"",IF(NOT($AL66),0,MIN(Constants!$B$35,$BF66)))</f>
        <v/>
      </c>
      <c r="BO66" s="100" t="str">
        <f aca="false">IF($BL66&lt;&gt;Constants!$B$4,"",IF(NOT($AL66),0,IF($AW66,Constants!$B$18,IF($AV66,Constants!$B$17,0))))</f>
        <v/>
      </c>
      <c r="BP66" s="100" t="str">
        <f aca="false">IF($BL66&lt;&gt;Constants!$B$4,"",IF(NOT($AL66),0,Constants!$B$19*($AK66+$AX66+$AY66+$AZ66)))</f>
        <v/>
      </c>
      <c r="BQ66" s="100" t="str">
        <f aca="false">IF($BL66&lt;&gt;Constants!$B$4,"",IF(OR(NOT($AL66),NOT(ISNUMBER($BA66))),0,CHOOSE($BA66,Constants!$B$13,Constants!$B$14,Constants!$B$15,Constants!$B$16)))</f>
        <v/>
      </c>
      <c r="BR66" s="100" t="str">
        <f aca="false">IF($BL66&lt;&gt;Constants!$B$4,"",IF(NOT($AL66),0,Constants!$B$20*$BB66))</f>
        <v/>
      </c>
      <c r="BS66" s="100" t="str">
        <f aca="false">IF($BL66&lt;&gt;Constants!$B$4,"",IF(AND($AL66,$BD66,$BE66),Constants!$B$22,0))</f>
        <v/>
      </c>
      <c r="BT66" s="100" t="str">
        <f aca="false">IF($BL66&lt;&gt;Constants!$B$4,"",IF(OR(NOT($AL66),NOT($BD66)),0,IF($BJ66&gt;=2*$AH$9,0,Constants!$B$23*INT(ROUND(MIN($BJ66,$AH$9),6)))))</f>
        <v/>
      </c>
      <c r="BU66" s="100" t="str">
        <f aca="false">IF($BL66&lt;&gt;Constants!$B$4,"",IF(NOT($AL66),0,Constants!$B$24*INT(ROUND(MIN($BC66,$AH$9),6))))</f>
        <v/>
      </c>
      <c r="BV66" s="100" t="str">
        <f aca="false">IF($BL66&lt;&gt;Constants!$B$4,"",IF(AND($AL66,$BN66=0),Constants!$B$25,0))</f>
        <v/>
      </c>
      <c r="BW66" s="100" t="str">
        <f aca="false">IF($BL66&lt;&gt;Constants!$B$4,"",MIN(Constants!$B$29,MAX(0,Constants!$B$27*Constants!$B$28*INT(ROUND((Constants!$B$26-$AN66)/Constants!$B$28,6))))+MIN(Constants!$B$29,MAX(0,Constants!$B$27*Constants!$B$28*INT(ROUND((Constants!$B$26-$AO66)/Constants!$B$28,6))))+MIN(Constants!$B$29,MAX(0,Constants!$B$27*Constants!$B$28*INT(ROUND((Constants!$B$26-$AP66)/Constants!$B$28,6)))))</f>
        <v/>
      </c>
      <c r="BX66" s="100" t="str">
        <f aca="false">IF($BL66&lt;&gt;Constants!$B$4,"",IF(NOT($AL66),0,Constants!$B$31*INT(ROUND(MAX(0,MIN($BJ66,2*$AH$9)-$AH$9),6))))</f>
        <v/>
      </c>
      <c r="BY66" s="100" t="str">
        <f aca="false">IF($BL66&lt;&gt;Constants!$B$4,"",Constants!$B$32*(($AN66&gt;Constants!$B$26)+($AO66&gt;Constants!$B$26)+($AP66&gt;Constants!$B$26)))</f>
        <v/>
      </c>
      <c r="BZ66" s="100" t="str">
        <f aca="false">IF($BL66&lt;&gt;Constants!$B$4,"",IF(OR(NOT($AL66),$AQ66),0,Constants!$B$33))</f>
        <v/>
      </c>
      <c r="CA66" s="100" t="str">
        <f aca="false">IF($BL66&lt;&gt;Constants!$B$4,"",Constants!$B$34*$BN66)</f>
        <v/>
      </c>
      <c r="CB66" s="100" t="str">
        <f aca="false">IF($BL66&lt;&gt;Constants!$B$4,"",IF(OR(NOT($AL66),$BH66),0,Constants!$B$36))</f>
        <v/>
      </c>
      <c r="CC66" s="100" t="str">
        <f aca="false">IF($BL66&lt;&gt;Constants!$B$4,"",IF(OR(NOT($AL66),$BG66),0,Constants!$B$37))</f>
        <v/>
      </c>
      <c r="CD66" s="100" t="str">
        <f aca="false">IF($BL66&lt;&gt;Constants!$B$4,"",SUM($BX66:$CC66))</f>
        <v/>
      </c>
      <c r="CE66" s="100" t="str">
        <f aca="false">IF(ISBLANK($C66),"",IF($BL66&lt;&gt;Constants!$B$4,$BL66,SUM($BO66:$BW66)-$CD66))</f>
        <v/>
      </c>
      <c r="CF66" s="100" t="str">
        <f aca="false">IF(ISBLANK($C66),"",IF($BL66&lt;&gt;Constants!$B$4,$BL66,RANK($CE66,$CE$9:$CE$508)))</f>
        <v/>
      </c>
      <c r="CG66" s="100" t="str">
        <f aca="false">IF(ISBLANK($C66),"",IF($BL66&lt;&gt;Constants!$B$4,$BL66,COUNTIFS($BM$9:$BM$508,"&lt;"&amp;$BM66)+COUNTIFS($BM$9:$BM$508,$BM66,$CF$9:$CF$508,"&lt;"&amp;$CF66)+1))</f>
        <v/>
      </c>
      <c r="CH66" s="100" t="str">
        <f aca="false">IF(ISBLANK($C66),"",IF($BL66&lt;&gt;Constants!$B$4,$BL66,RANK($CD66,$CD$9:$CD$508,1)))</f>
        <v/>
      </c>
      <c r="CI66" s="100" t="str">
        <f aca="false">IF($BL66&lt;&gt;Constants!$B$4,"",$AN66+$AO66+$AP66)</f>
        <v/>
      </c>
      <c r="CJ66" s="100" t="str">
        <f aca="false">IF(ISBLANK($C66),"",IF($BL66&lt;&gt;Constants!$B$4,$BL66,RANK($CI66,$CI$9:$CI$508,1)))</f>
        <v/>
      </c>
      <c r="CK66" s="100" t="str">
        <f aca="false">IF(ISBLANK($C66),"",IF($BL66&lt;&gt;Constants!$B$4,$BL66,COUNTIFS($BM$9:$BM$508,"&lt;"&amp;$BM66)+COUNTIFS($BM$9:$BM$508,$BM66,$CF$9:$CF$508,"&lt;"&amp;$CF66)+COUNTIFS($BM$9:$BM$508,$BM66,$CF$9:$CF$508,$CF66,$CH$9:$CH$508,"&lt;"&amp;$CH66)+COUNTIFS($BM$9:$BM$508,$BM66,$CF$9:$CF$508,$CF66,$CH$9:$CH$508,$CH66,$CJ$9:$CJ$508,"&lt;"&amp;$CJ66)+1))</f>
        <v/>
      </c>
      <c r="CL66" s="100" t="str">
        <f aca="false">IF(ISBLANK($C66),"",IF($BL66&lt;&gt;Constants!$B$4,$BL66,$CG66-$CK66))</f>
        <v/>
      </c>
      <c r="CM66" s="100" t="str">
        <f aca="false">IF(ISBLANK($C66),"",IF(NOT($AL66),"",IF(ISBLANK($D$7),$CM$5,IF(NOT(ISNUMBER($D$7)),$CM$6,""))))</f>
        <v/>
      </c>
      <c r="CN66" s="100" t="str">
        <f aca="false">IF(ISBLANK($C66),"",OR($AN66="",$AO66="",$AP66=""))</f>
        <v/>
      </c>
      <c r="CO66" s="100" t="str">
        <f aca="false">IF(ISBLANK($C66),"",AND($AL66,$BA66=""))</f>
        <v/>
      </c>
      <c r="CP66" s="100" t="str">
        <f aca="false">IF(ISBLANK($C66),"",AND($AL66,$BB66=""))</f>
        <v/>
      </c>
      <c r="CQ66" s="100" t="str">
        <f aca="false">IF(ISBLANK($C66),"",AND($AL66,$BC66=""))</f>
        <v/>
      </c>
      <c r="CR66" s="100" t="str">
        <f aca="false">IF(ISBLANK($C66),"",AND($AL66,$BF66=""))</f>
        <v/>
      </c>
      <c r="CS66" s="100" t="str">
        <f aca="false">IF(ISBLANK($C66),"",AND($AL66,$BJ66=""))</f>
        <v/>
      </c>
      <c r="CT66" s="101"/>
      <c r="CU66" s="102"/>
      <c r="CV66" s="103" t="str">
        <f aca="false">IF(ISBLANK($C66),"",IF($BL66=Constants!$B$8,$CM66,""))</f>
        <v/>
      </c>
      <c r="CW66" s="102" t="str">
        <f aca="false">IF(ISBLANK($C66),"",IF($BL66&lt;&gt;Constants!$B$4,"",$BO66+$BP66))</f>
        <v/>
      </c>
      <c r="CX66" s="104" t="str">
        <f aca="false">IF(ISBLANK($C66),"",IF($BL66&lt;&gt;Constants!$B$4,"",$BQ66+$BR66+$BS66))</f>
        <v/>
      </c>
      <c r="CY66" s="104" t="str">
        <f aca="false">IF(ISBLANK($C66),"",IF($BL66&lt;&gt;Constants!$B$4,"",$BT66))</f>
        <v/>
      </c>
      <c r="CZ66" s="104" t="str">
        <f aca="false">IF(ISBLANK($C66),"",IF($BL66&lt;&gt;Constants!$B$4,"",$BU66+$BV66))</f>
        <v/>
      </c>
      <c r="DA66" s="104" t="str">
        <f aca="false">IF(ISBLANK($C66),"",IF($BL66&lt;&gt;Constants!$B$4,"",$BW66))</f>
        <v/>
      </c>
      <c r="DB66" s="104" t="str">
        <f aca="false">IF(ISBLANK($C66),"",IF($BL66&lt;&gt;Constants!$B$4,"",-$CD66))</f>
        <v/>
      </c>
      <c r="DC66" s="103" t="str">
        <f aca="false">IF(ISBLANK($C66),"",$CE66)</f>
        <v/>
      </c>
      <c r="DD66" s="105" t="str">
        <f aca="false">IF(ISBLANK($C66),"",$BM66)</f>
        <v/>
      </c>
      <c r="DE66" s="104" t="str">
        <f aca="false">IF(ISBLANK($C66),"",$CL66)</f>
        <v/>
      </c>
      <c r="DF66" s="104" t="str">
        <f aca="false">IF(ISBLANK($C66),"",$CK66)</f>
        <v/>
      </c>
      <c r="DG66" s="106" t="str">
        <f aca="false">IF(ISBLANK($C66),"",IF($DF66=Constants!$B$7,COUNTA($C$9:$C$508)+2,IF($DF66=Constants!$B$6,COUNTA($C$9:$C$508)+1,IF($DF66=Constants!$B$5,COUNTA($C$9:$C$508),$DF66))))</f>
        <v/>
      </c>
      <c r="DH66" s="7"/>
      <c r="DI66" s="107" t="n">
        <f aca="false">IF(OR(ISNUMBER($DF66),$DF66=Constants!$B$7,$DF66=Constants!$B$5,$DF66=Constants!$B$6),1,0)</f>
        <v>0</v>
      </c>
      <c r="DJ66" s="107" t="n">
        <v>58</v>
      </c>
      <c r="DK66" s="107" t="str">
        <f aca="false">IF(ISBLANK($C66),"",IF(ISNUMBER($DG66),$DG66+ROW($B66)/1000,""))</f>
        <v/>
      </c>
      <c r="DL66" s="107" t="str">
        <f aca="false">IF(ISNUMBER($DK66),RANK($DK66,$DK$9:$DK$508,1),"")</f>
        <v/>
      </c>
      <c r="DM66" s="107" t="str">
        <f aca="false">IF(ISBLANK($C66),"",$B66)</f>
        <v/>
      </c>
      <c r="DN66" s="107" t="str">
        <f aca="false">IF(ISBLANK($C66),"",$C66)</f>
        <v/>
      </c>
      <c r="DO66" s="107" t="str">
        <f aca="false">IF(ISBLANK($C66),"",$D66)</f>
        <v/>
      </c>
      <c r="DP66" s="108" t="str">
        <f aca="false">$DD66</f>
        <v/>
      </c>
      <c r="DQ66" s="109" t="str">
        <f aca="false">$DC66</f>
        <v/>
      </c>
      <c r="DR66" s="107" t="str">
        <f aca="false">IF(ISBLANK($C66),"",$DF66)</f>
        <v/>
      </c>
      <c r="DS66" s="110" t="str">
        <f aca="false">IF($DJ66&gt;$DI$8,"",VLOOKUP($DJ66,$DL$9:$DR$508,7,FALSE()))</f>
        <v/>
      </c>
      <c r="DT66" s="111" t="str">
        <f aca="false">IF($DJ66&gt;$DI$8,"",VLOOKUP($DJ66,$DL$9:$DR$508,2,FALSE()))</f>
        <v/>
      </c>
      <c r="DU66" s="111" t="str">
        <f aca="false">IF($DJ66&gt;$DI$8,"",VLOOKUP($DJ66,$DL$9:$DR$508,3,FALSE()))</f>
        <v/>
      </c>
      <c r="DV66" s="111" t="str">
        <f aca="false">IF($DJ66&gt;$DI$8,"",VLOOKUP($DJ66,$DL$9:$DR$508,4,FALSE()))</f>
        <v/>
      </c>
      <c r="DW66" s="111" t="str">
        <f aca="false">IF($DJ66&gt;$DI$8,"",VLOOKUP($DJ66,$DL$9:$DR$508,5,FALSE()))</f>
        <v/>
      </c>
      <c r="DX66" s="112" t="str">
        <f aca="false">IF($DJ66&gt;$DI$8,"",VLOOKUP($DJ66,$DL$9:$DR$508,6,FALSE()))</f>
        <v/>
      </c>
      <c r="DY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130"/>
      <c r="N67" s="130"/>
      <c r="O67" s="135"/>
      <c r="P67" s="135"/>
      <c r="Q67" s="130"/>
      <c r="R67" s="130"/>
      <c r="S67" s="130"/>
      <c r="T67" s="130"/>
      <c r="U67" s="135"/>
      <c r="V67" s="130"/>
      <c r="W67" s="96"/>
      <c r="X67" s="130"/>
      <c r="Y67" s="130"/>
      <c r="Z67" s="96"/>
      <c r="AA67" s="96"/>
      <c r="AB67" s="130"/>
      <c r="AC67" s="130"/>
      <c r="AD67" s="130"/>
      <c r="AE67" s="97"/>
      <c r="AF67" s="130"/>
      <c r="AG67" s="99"/>
      <c r="AH67" s="100"/>
      <c r="AI67" s="100"/>
      <c r="AJ67" s="100" t="str">
        <f aca="false">IF(ISBLANK($C67),"",IF($E67=Constants!$B$2,TRUE(),IF($E67=Constants!$B$3,FALSE(),TRUE())))</f>
        <v/>
      </c>
      <c r="AK67" s="100" t="str">
        <f aca="false">IF(ISBLANK($C67),"",IF($F67=Constants!$B$2,TRUE(),IF($F67=Constants!$B$3,FALSE(),FALSE())))</f>
        <v/>
      </c>
      <c r="AL67" s="100" t="str">
        <f aca="false">IF(ISBLANK($C67),"",IF($G67=Constants!$B$2,TRUE(),IF($G67=Constants!$B$3,FALSE(),TRUE())))</f>
        <v/>
      </c>
      <c r="AM67" s="100" t="str">
        <f aca="false">IF(ISBLANK($C67),"",IF($H67=Constants!$B$2,TRUE(),IF($H67=Constants!$B$3,FALSE(),TRUE())))</f>
        <v/>
      </c>
      <c r="AN67" s="100" t="str">
        <f aca="false">IF(ISBLANK($C67),"",IF(ISNUMBER($I67),IF($I67&gt;=0,$I67,""),""))</f>
        <v/>
      </c>
      <c r="AO67" s="100" t="str">
        <f aca="false">IF(ISBLANK($C67),"",IF(ISNUMBER($J67),IF($J67&gt;=0,$J67,""),""))</f>
        <v/>
      </c>
      <c r="AP67" s="100" t="str">
        <f aca="false">IF(ISBLANK($C67),"",IF(ISNUMBER($K67),IF($K67&gt;=0,$K67,""),""))</f>
        <v/>
      </c>
      <c r="AQ67" s="100" t="str">
        <f aca="false">IF(ISBLANK($C67),"",IF($L67=Constants!$B$2,TRUE(),IF($L67=Constants!$B$3,FALSE(),TRUE())))</f>
        <v/>
      </c>
      <c r="AR67" s="100" t="str">
        <f aca="false">IF(ISBLANK($C67),"",IF($M67=Constants!$B$2,TRUE(),IF($M67=Constants!$B$3,FALSE(),TRUE())))</f>
        <v/>
      </c>
      <c r="AS67" s="100" t="str">
        <f aca="false">IF(ISBLANK($C67),"",IF($N67=Constants!$B$2,TRUE(),IF($N67=Constants!$B$3,FALSE(),FALSE())))</f>
        <v/>
      </c>
      <c r="AT67" s="100" t="str">
        <f aca="false">IF(ISBLANK($C67),"",IF($O67=Constants!$B$2,TRUE(),IF($O67=Constants!$B$3,FALSE(),TRUE())))</f>
        <v/>
      </c>
      <c r="AU67" s="100" t="str">
        <f aca="false">IF(ISBLANK($C67),"",IF($P67=Constants!$B$2,TRUE(),IF($P67=Constants!$B$3,FALSE(),TRUE())))</f>
        <v/>
      </c>
      <c r="AV67" s="100" t="str">
        <f aca="false">IF(ISBLANK($C67),"",IF($Q67=Constants!$B$2,TRUE(),IF($Q67=Constants!$B$3,FALSE(),FALSE())))</f>
        <v/>
      </c>
      <c r="AW67" s="100" t="str">
        <f aca="false">IF(ISBLANK($C67),"",IF($R67=Constants!$B$2,TRUE(),IF($R67=Constants!$B$3,FALSE(),FALSE())))</f>
        <v/>
      </c>
      <c r="AX67" s="100" t="str">
        <f aca="false">IF(ISBLANK($C67),"",IF($S67=Constants!$B$2,TRUE(),IF($S67=Constants!$B$3,FALSE(),FALSE())))</f>
        <v/>
      </c>
      <c r="AY67" s="100" t="str">
        <f aca="false">IF(ISBLANK($C67),"",IF($T67=Constants!$B$2,TRUE(),IF($T67=Constants!$B$3,FALSE(),FALSE())))</f>
        <v/>
      </c>
      <c r="AZ67" s="100" t="str">
        <f aca="false">IF(ISBLANK($C67),"",IF($U67=Constants!$B$2,TRUE(),IF($U67=Constants!$B$3,FALSE(),FALSE())))</f>
        <v/>
      </c>
      <c r="BA67" s="100" t="str">
        <f aca="false">IF(ISBLANK($C67),"",IF(OR($V67&amp;""="1",$V67&amp;""="2",$V67&amp;""="3",$V67&amp;""="4"),VALUE($V67&amp;""),IF($V67=Constants!$B$12,Constants!$B$12,"")))</f>
        <v/>
      </c>
      <c r="BB67" s="100" t="str">
        <f aca="false">IF(ISBLANK($C67),"",IF(ISBLANK($W67),0,IF(ISNUMBER($W67),IF(AND($W67&gt;=0,$W67&lt;=Constants!$B$21,$W67=INT($W67)),$W67,""),"")))</f>
        <v/>
      </c>
      <c r="BC67" s="100" t="str">
        <f aca="false">IF(ISBLANK($C67),"",IF(ISBLANK($X67),0,IF(ISNUMBER($X67),IF($X67&gt;=0,$X67,""),"")))</f>
        <v/>
      </c>
      <c r="BD67" s="100" t="str">
        <f aca="false">IF(ISBLANK($C67),"",IF($Y67=Constants!$B$2,TRUE(),IF($Y67=Constants!$B$3,FALSE(),TRUE())))</f>
        <v/>
      </c>
      <c r="BE67" s="100" t="str">
        <f aca="false">IF(ISBLANK($C67),"",IF($Z67=Constants!$B$2,TRUE(),IF($Z67=Constants!$B$3,FALSE(),FALSE())))</f>
        <v/>
      </c>
      <c r="BF67" s="100" t="str">
        <f aca="false">IF(ISBLANK($C67),"",IF(ISBLANK($AA67),0,IF(ISNUMBER($AA67),IF(AND($AA67&gt;=0,$AA67&lt;=Constants!$B$35,$AA67=INT($AA67)),$AA67,""),"")))</f>
        <v/>
      </c>
      <c r="BG67" s="100" t="str">
        <f aca="false">IF(ISBLANK($C67),"",IF($AB67=Constants!$B$2,TRUE(),IF($AB67=Constants!$B$3,FALSE(),TRUE())))</f>
        <v/>
      </c>
      <c r="BH67" s="100" t="str">
        <f aca="false">IF(ISBLANK($C67),"",IF($AC67=Constants!$B$2,TRUE(),IF($AC67=Constants!$B$3,FALSE(),TRUE())))</f>
        <v/>
      </c>
      <c r="BI67" s="100" t="str">
        <f aca="false">IF(ISBLANK($C67),"",IF($AD67=Constants!$B$2,TRUE(),IF($AD67=Constants!$B$3,FALSE(),TRUE())))</f>
        <v/>
      </c>
      <c r="BJ67" s="100" t="str">
        <f aca="false">IF(ISBLANK($C67),"",IF(ISNUMBER($AE67),IF($AE67&gt;=0,$AE67,""),""))</f>
        <v/>
      </c>
      <c r="BK67" s="100" t="str">
        <f aca="false">IF(ISBLANK($C67),"",IF($AF67=Constants!$B$2,TRUE(),IF($AF67=Constants!$B$3,FALSE(),FALSE())))</f>
        <v/>
      </c>
      <c r="BL67" s="99" t="str">
        <f aca="false">IF(ISBLANK($C67),"",IF($BK67,Constants!$B$7,IF(COUNTA($E67:$AE67)=0,Constants!$B$6,IF(OR(COUNTA($G67:$AE67)=0,NOT($AM67),$AS67),Constants!$B$5,IF(OR($CM67&lt;&gt;"",$CN67,$CO67,$CP67,$CQ67,$CR67,$CS67),Constants!$B$8,Constants!$B$4)))))</f>
        <v/>
      </c>
      <c r="BM67" s="100" t="str">
        <f aca="false">IF(ISBLANK($C67),"",IF($BL67&lt;&gt;Constants!$B$4,$BL67,IF(OR(NOT($AJ67),NOT($AL67),NOT($AT67)),Constants!$B$11,IF(OR(NOT($AR67),NOT($AU67),NOT($BI67),MAX($AN67,$AO67,$AP67)&gt;Constants!$B$30),Constants!$B$10,Constants!$B$9))))</f>
        <v/>
      </c>
      <c r="BN67" s="100" t="str">
        <f aca="false">IF($BL67&lt;&gt;Constants!$B$4,"",IF(NOT($AL67),0,MIN(Constants!$B$35,$BF67)))</f>
        <v/>
      </c>
      <c r="BO67" s="100" t="str">
        <f aca="false">IF($BL67&lt;&gt;Constants!$B$4,"",IF(NOT($AL67),0,IF($AW67,Constants!$B$18,IF($AV67,Constants!$B$17,0))))</f>
        <v/>
      </c>
      <c r="BP67" s="100" t="str">
        <f aca="false">IF($BL67&lt;&gt;Constants!$B$4,"",IF(NOT($AL67),0,Constants!$B$19*($AK67+$AX67+$AY67+$AZ67)))</f>
        <v/>
      </c>
      <c r="BQ67" s="100" t="str">
        <f aca="false">IF($BL67&lt;&gt;Constants!$B$4,"",IF(OR(NOT($AL67),NOT(ISNUMBER($BA67))),0,CHOOSE($BA67,Constants!$B$13,Constants!$B$14,Constants!$B$15,Constants!$B$16)))</f>
        <v/>
      </c>
      <c r="BR67" s="100" t="str">
        <f aca="false">IF($BL67&lt;&gt;Constants!$B$4,"",IF(NOT($AL67),0,Constants!$B$20*$BB67))</f>
        <v/>
      </c>
      <c r="BS67" s="100" t="str">
        <f aca="false">IF($BL67&lt;&gt;Constants!$B$4,"",IF(AND($AL67,$BD67,$BE67),Constants!$B$22,0))</f>
        <v/>
      </c>
      <c r="BT67" s="100" t="str">
        <f aca="false">IF($BL67&lt;&gt;Constants!$B$4,"",IF(OR(NOT($AL67),NOT($BD67)),0,IF($BJ67&gt;=2*$AH$9,0,Constants!$B$23*INT(ROUND(MIN($BJ67,$AH$9),6)))))</f>
        <v/>
      </c>
      <c r="BU67" s="100" t="str">
        <f aca="false">IF($BL67&lt;&gt;Constants!$B$4,"",IF(NOT($AL67),0,Constants!$B$24*INT(ROUND(MIN($BC67,$AH$9),6))))</f>
        <v/>
      </c>
      <c r="BV67" s="100" t="str">
        <f aca="false">IF($BL67&lt;&gt;Constants!$B$4,"",IF(AND($AL67,$BN67=0),Constants!$B$25,0))</f>
        <v/>
      </c>
      <c r="BW67" s="100" t="str">
        <f aca="false">IF($BL67&lt;&gt;Constants!$B$4,"",MIN(Constants!$B$29,MAX(0,Constants!$B$27*Constants!$B$28*INT(ROUND((Constants!$B$26-$AN67)/Constants!$B$28,6))))+MIN(Constants!$B$29,MAX(0,Constants!$B$27*Constants!$B$28*INT(ROUND((Constants!$B$26-$AO67)/Constants!$B$28,6))))+MIN(Constants!$B$29,MAX(0,Constants!$B$27*Constants!$B$28*INT(ROUND((Constants!$B$26-$AP67)/Constants!$B$28,6)))))</f>
        <v/>
      </c>
      <c r="BX67" s="100" t="str">
        <f aca="false">IF($BL67&lt;&gt;Constants!$B$4,"",IF(NOT($AL67),0,Constants!$B$31*INT(ROUND(MAX(0,MIN($BJ67,2*$AH$9)-$AH$9),6))))</f>
        <v/>
      </c>
      <c r="BY67" s="100" t="str">
        <f aca="false">IF($BL67&lt;&gt;Constants!$B$4,"",Constants!$B$32*(($AN67&gt;Constants!$B$26)+($AO67&gt;Constants!$B$26)+($AP67&gt;Constants!$B$26)))</f>
        <v/>
      </c>
      <c r="BZ67" s="100" t="str">
        <f aca="false">IF($BL67&lt;&gt;Constants!$B$4,"",IF(OR(NOT($AL67),$AQ67),0,Constants!$B$33))</f>
        <v/>
      </c>
      <c r="CA67" s="100" t="str">
        <f aca="false">IF($BL67&lt;&gt;Constants!$B$4,"",Constants!$B$34*$BN67)</f>
        <v/>
      </c>
      <c r="CB67" s="100" t="str">
        <f aca="false">IF($BL67&lt;&gt;Constants!$B$4,"",IF(OR(NOT($AL67),$BH67),0,Constants!$B$36))</f>
        <v/>
      </c>
      <c r="CC67" s="100" t="str">
        <f aca="false">IF($BL67&lt;&gt;Constants!$B$4,"",IF(OR(NOT($AL67),$BG67),0,Constants!$B$37))</f>
        <v/>
      </c>
      <c r="CD67" s="100" t="str">
        <f aca="false">IF($BL67&lt;&gt;Constants!$B$4,"",SUM($BX67:$CC67))</f>
        <v/>
      </c>
      <c r="CE67" s="100" t="str">
        <f aca="false">IF(ISBLANK($C67),"",IF($BL67&lt;&gt;Constants!$B$4,$BL67,SUM($BO67:$BW67)-$CD67))</f>
        <v/>
      </c>
      <c r="CF67" s="100" t="str">
        <f aca="false">IF(ISBLANK($C67),"",IF($BL67&lt;&gt;Constants!$B$4,$BL67,RANK($CE67,$CE$9:$CE$508)))</f>
        <v/>
      </c>
      <c r="CG67" s="100" t="str">
        <f aca="false">IF(ISBLANK($C67),"",IF($BL67&lt;&gt;Constants!$B$4,$BL67,COUNTIFS($BM$9:$BM$508,"&lt;"&amp;$BM67)+COUNTIFS($BM$9:$BM$508,$BM67,$CF$9:$CF$508,"&lt;"&amp;$CF67)+1))</f>
        <v/>
      </c>
      <c r="CH67" s="100" t="str">
        <f aca="false">IF(ISBLANK($C67),"",IF($BL67&lt;&gt;Constants!$B$4,$BL67,RANK($CD67,$CD$9:$CD$508,1)))</f>
        <v/>
      </c>
      <c r="CI67" s="100" t="str">
        <f aca="false">IF($BL67&lt;&gt;Constants!$B$4,"",$AN67+$AO67+$AP67)</f>
        <v/>
      </c>
      <c r="CJ67" s="100" t="str">
        <f aca="false">IF(ISBLANK($C67),"",IF($BL67&lt;&gt;Constants!$B$4,$BL67,RANK($CI67,$CI$9:$CI$508,1)))</f>
        <v/>
      </c>
      <c r="CK67" s="100" t="str">
        <f aca="false">IF(ISBLANK($C67),"",IF($BL67&lt;&gt;Constants!$B$4,$BL67,COUNTIFS($BM$9:$BM$508,"&lt;"&amp;$BM67)+COUNTIFS($BM$9:$BM$508,$BM67,$CF$9:$CF$508,"&lt;"&amp;$CF67)+COUNTIFS($BM$9:$BM$508,$BM67,$CF$9:$CF$508,$CF67,$CH$9:$CH$508,"&lt;"&amp;$CH67)+COUNTIFS($BM$9:$BM$508,$BM67,$CF$9:$CF$508,$CF67,$CH$9:$CH$508,$CH67,$CJ$9:$CJ$508,"&lt;"&amp;$CJ67)+1))</f>
        <v/>
      </c>
      <c r="CL67" s="100" t="str">
        <f aca="false">IF(ISBLANK($C67),"",IF($BL67&lt;&gt;Constants!$B$4,$BL67,$CG67-$CK67))</f>
        <v/>
      </c>
      <c r="CM67" s="100" t="str">
        <f aca="false">IF(ISBLANK($C67),"",IF(NOT($AL67),"",IF(ISBLANK($D$7),$CM$5,IF(NOT(ISNUMBER($D$7)),$CM$6,""))))</f>
        <v/>
      </c>
      <c r="CN67" s="100" t="str">
        <f aca="false">IF(ISBLANK($C67),"",OR($AN67="",$AO67="",$AP67=""))</f>
        <v/>
      </c>
      <c r="CO67" s="100" t="str">
        <f aca="false">IF(ISBLANK($C67),"",AND($AL67,$BA67=""))</f>
        <v/>
      </c>
      <c r="CP67" s="100" t="str">
        <f aca="false">IF(ISBLANK($C67),"",AND($AL67,$BB67=""))</f>
        <v/>
      </c>
      <c r="CQ67" s="100" t="str">
        <f aca="false">IF(ISBLANK($C67),"",AND($AL67,$BC67=""))</f>
        <v/>
      </c>
      <c r="CR67" s="100" t="str">
        <f aca="false">IF(ISBLANK($C67),"",AND($AL67,$BF67=""))</f>
        <v/>
      </c>
      <c r="CS67" s="100" t="str">
        <f aca="false">IF(ISBLANK($C67),"",AND($AL67,$BJ67=""))</f>
        <v/>
      </c>
      <c r="CT67" s="101"/>
      <c r="CU67" s="102"/>
      <c r="CV67" s="103" t="str">
        <f aca="false">IF(ISBLANK($C67),"",IF($BL67=Constants!$B$8,$CM67,""))</f>
        <v/>
      </c>
      <c r="CW67" s="102" t="str">
        <f aca="false">IF(ISBLANK($C67),"",IF($BL67&lt;&gt;Constants!$B$4,"",$BO67+$BP67))</f>
        <v/>
      </c>
      <c r="CX67" s="104" t="str">
        <f aca="false">IF(ISBLANK($C67),"",IF($BL67&lt;&gt;Constants!$B$4,"",$BQ67+$BR67+$BS67))</f>
        <v/>
      </c>
      <c r="CY67" s="104" t="str">
        <f aca="false">IF(ISBLANK($C67),"",IF($BL67&lt;&gt;Constants!$B$4,"",$BT67))</f>
        <v/>
      </c>
      <c r="CZ67" s="104" t="str">
        <f aca="false">IF(ISBLANK($C67),"",IF($BL67&lt;&gt;Constants!$B$4,"",$BU67+$BV67))</f>
        <v/>
      </c>
      <c r="DA67" s="104" t="str">
        <f aca="false">IF(ISBLANK($C67),"",IF($BL67&lt;&gt;Constants!$B$4,"",$BW67))</f>
        <v/>
      </c>
      <c r="DB67" s="104" t="str">
        <f aca="false">IF(ISBLANK($C67),"",IF($BL67&lt;&gt;Constants!$B$4,"",-$CD67))</f>
        <v/>
      </c>
      <c r="DC67" s="103" t="str">
        <f aca="false">IF(ISBLANK($C67),"",$CE67)</f>
        <v/>
      </c>
      <c r="DD67" s="105" t="str">
        <f aca="false">IF(ISBLANK($C67),"",$BM67)</f>
        <v/>
      </c>
      <c r="DE67" s="104" t="str">
        <f aca="false">IF(ISBLANK($C67),"",$CL67)</f>
        <v/>
      </c>
      <c r="DF67" s="104" t="str">
        <f aca="false">IF(ISBLANK($C67),"",$CK67)</f>
        <v/>
      </c>
      <c r="DG67" s="106" t="str">
        <f aca="false">IF(ISBLANK($C67),"",IF($DF67=Constants!$B$7,COUNTA($C$9:$C$508)+2,IF($DF67=Constants!$B$6,COUNTA($C$9:$C$508)+1,IF($DF67=Constants!$B$5,COUNTA($C$9:$C$508),$DF67))))</f>
        <v/>
      </c>
      <c r="DH67" s="7"/>
      <c r="DI67" s="107" t="n">
        <f aca="false">IF(OR(ISNUMBER($DF67),$DF67=Constants!$B$7,$DF67=Constants!$B$5,$DF67=Constants!$B$6),1,0)</f>
        <v>0</v>
      </c>
      <c r="DJ67" s="107" t="n">
        <v>59</v>
      </c>
      <c r="DK67" s="107" t="str">
        <f aca="false">IF(ISBLANK($C67),"",IF(ISNUMBER($DG67),$DG67+ROW($B67)/1000,""))</f>
        <v/>
      </c>
      <c r="DL67" s="107" t="str">
        <f aca="false">IF(ISNUMBER($DK67),RANK($DK67,$DK$9:$DK$508,1),"")</f>
        <v/>
      </c>
      <c r="DM67" s="107" t="str">
        <f aca="false">IF(ISBLANK($C67),"",$B67)</f>
        <v/>
      </c>
      <c r="DN67" s="107" t="str">
        <f aca="false">IF(ISBLANK($C67),"",$C67)</f>
        <v/>
      </c>
      <c r="DO67" s="107" t="str">
        <f aca="false">IF(ISBLANK($C67),"",$D67)</f>
        <v/>
      </c>
      <c r="DP67" s="108" t="str">
        <f aca="false">$DD67</f>
        <v/>
      </c>
      <c r="DQ67" s="109" t="str">
        <f aca="false">$DC67</f>
        <v/>
      </c>
      <c r="DR67" s="107" t="str">
        <f aca="false">IF(ISBLANK($C67),"",$DF67)</f>
        <v/>
      </c>
      <c r="DS67" s="110" t="str">
        <f aca="false">IF($DJ67&gt;$DI$8,"",VLOOKUP($DJ67,$DL$9:$DR$508,7,FALSE()))</f>
        <v/>
      </c>
      <c r="DT67" s="111" t="str">
        <f aca="false">IF($DJ67&gt;$DI$8,"",VLOOKUP($DJ67,$DL$9:$DR$508,2,FALSE()))</f>
        <v/>
      </c>
      <c r="DU67" s="111" t="str">
        <f aca="false">IF($DJ67&gt;$DI$8,"",VLOOKUP($DJ67,$DL$9:$DR$508,3,FALSE()))</f>
        <v/>
      </c>
      <c r="DV67" s="111" t="str">
        <f aca="false">IF($DJ67&gt;$DI$8,"",VLOOKUP($DJ67,$DL$9:$DR$508,4,FALSE()))</f>
        <v/>
      </c>
      <c r="DW67" s="111" t="str">
        <f aca="false">IF($DJ67&gt;$DI$8,"",VLOOKUP($DJ67,$DL$9:$DR$508,5,FALSE()))</f>
        <v/>
      </c>
      <c r="DX67" s="112" t="str">
        <f aca="false">IF($DJ67&gt;$DI$8,"",VLOOKUP($DJ67,$DL$9:$DR$508,6,FALSE()))</f>
        <v/>
      </c>
      <c r="DY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130"/>
      <c r="N68" s="130"/>
      <c r="O68" s="135"/>
      <c r="P68" s="135"/>
      <c r="Q68" s="130"/>
      <c r="R68" s="130"/>
      <c r="S68" s="130"/>
      <c r="T68" s="130"/>
      <c r="U68" s="135"/>
      <c r="V68" s="130"/>
      <c r="W68" s="96"/>
      <c r="X68" s="130"/>
      <c r="Y68" s="130"/>
      <c r="Z68" s="96"/>
      <c r="AA68" s="96"/>
      <c r="AB68" s="130"/>
      <c r="AC68" s="130"/>
      <c r="AD68" s="130"/>
      <c r="AE68" s="97"/>
      <c r="AF68" s="130"/>
      <c r="AG68" s="99"/>
      <c r="AH68" s="100"/>
      <c r="AI68" s="100"/>
      <c r="AJ68" s="100" t="str">
        <f aca="false">IF(ISBLANK($C68),"",IF($E68=Constants!$B$2,TRUE(),IF($E68=Constants!$B$3,FALSE(),TRUE())))</f>
        <v/>
      </c>
      <c r="AK68" s="100" t="str">
        <f aca="false">IF(ISBLANK($C68),"",IF($F68=Constants!$B$2,TRUE(),IF($F68=Constants!$B$3,FALSE(),FALSE())))</f>
        <v/>
      </c>
      <c r="AL68" s="100" t="str">
        <f aca="false">IF(ISBLANK($C68),"",IF($G68=Constants!$B$2,TRUE(),IF($G68=Constants!$B$3,FALSE(),TRUE())))</f>
        <v/>
      </c>
      <c r="AM68" s="100" t="str">
        <f aca="false">IF(ISBLANK($C68),"",IF($H68=Constants!$B$2,TRUE(),IF($H68=Constants!$B$3,FALSE(),TRUE())))</f>
        <v/>
      </c>
      <c r="AN68" s="100" t="str">
        <f aca="false">IF(ISBLANK($C68),"",IF(ISNUMBER($I68),IF($I68&gt;=0,$I68,""),""))</f>
        <v/>
      </c>
      <c r="AO68" s="100" t="str">
        <f aca="false">IF(ISBLANK($C68),"",IF(ISNUMBER($J68),IF($J68&gt;=0,$J68,""),""))</f>
        <v/>
      </c>
      <c r="AP68" s="100" t="str">
        <f aca="false">IF(ISBLANK($C68),"",IF(ISNUMBER($K68),IF($K68&gt;=0,$K68,""),""))</f>
        <v/>
      </c>
      <c r="AQ68" s="100" t="str">
        <f aca="false">IF(ISBLANK($C68),"",IF($L68=Constants!$B$2,TRUE(),IF($L68=Constants!$B$3,FALSE(),TRUE())))</f>
        <v/>
      </c>
      <c r="AR68" s="100" t="str">
        <f aca="false">IF(ISBLANK($C68),"",IF($M68=Constants!$B$2,TRUE(),IF($M68=Constants!$B$3,FALSE(),TRUE())))</f>
        <v/>
      </c>
      <c r="AS68" s="100" t="str">
        <f aca="false">IF(ISBLANK($C68),"",IF($N68=Constants!$B$2,TRUE(),IF($N68=Constants!$B$3,FALSE(),FALSE())))</f>
        <v/>
      </c>
      <c r="AT68" s="100" t="str">
        <f aca="false">IF(ISBLANK($C68),"",IF($O68=Constants!$B$2,TRUE(),IF($O68=Constants!$B$3,FALSE(),TRUE())))</f>
        <v/>
      </c>
      <c r="AU68" s="100" t="str">
        <f aca="false">IF(ISBLANK($C68),"",IF($P68=Constants!$B$2,TRUE(),IF($P68=Constants!$B$3,FALSE(),TRUE())))</f>
        <v/>
      </c>
      <c r="AV68" s="100" t="str">
        <f aca="false">IF(ISBLANK($C68),"",IF($Q68=Constants!$B$2,TRUE(),IF($Q68=Constants!$B$3,FALSE(),FALSE())))</f>
        <v/>
      </c>
      <c r="AW68" s="100" t="str">
        <f aca="false">IF(ISBLANK($C68),"",IF($R68=Constants!$B$2,TRUE(),IF($R68=Constants!$B$3,FALSE(),FALSE())))</f>
        <v/>
      </c>
      <c r="AX68" s="100" t="str">
        <f aca="false">IF(ISBLANK($C68),"",IF($S68=Constants!$B$2,TRUE(),IF($S68=Constants!$B$3,FALSE(),FALSE())))</f>
        <v/>
      </c>
      <c r="AY68" s="100" t="str">
        <f aca="false">IF(ISBLANK($C68),"",IF($T68=Constants!$B$2,TRUE(),IF($T68=Constants!$B$3,FALSE(),FALSE())))</f>
        <v/>
      </c>
      <c r="AZ68" s="100" t="str">
        <f aca="false">IF(ISBLANK($C68),"",IF($U68=Constants!$B$2,TRUE(),IF($U68=Constants!$B$3,FALSE(),FALSE())))</f>
        <v/>
      </c>
      <c r="BA68" s="100" t="str">
        <f aca="false">IF(ISBLANK($C68),"",IF(OR($V68&amp;""="1",$V68&amp;""="2",$V68&amp;""="3",$V68&amp;""="4"),VALUE($V68&amp;""),IF($V68=Constants!$B$12,Constants!$B$12,"")))</f>
        <v/>
      </c>
      <c r="BB68" s="100" t="str">
        <f aca="false">IF(ISBLANK($C68),"",IF(ISBLANK($W68),0,IF(ISNUMBER($W68),IF(AND($W68&gt;=0,$W68&lt;=Constants!$B$21,$W68=INT($W68)),$W68,""),"")))</f>
        <v/>
      </c>
      <c r="BC68" s="100" t="str">
        <f aca="false">IF(ISBLANK($C68),"",IF(ISBLANK($X68),0,IF(ISNUMBER($X68),IF($X68&gt;=0,$X68,""),"")))</f>
        <v/>
      </c>
      <c r="BD68" s="100" t="str">
        <f aca="false">IF(ISBLANK($C68),"",IF($Y68=Constants!$B$2,TRUE(),IF($Y68=Constants!$B$3,FALSE(),TRUE())))</f>
        <v/>
      </c>
      <c r="BE68" s="100" t="str">
        <f aca="false">IF(ISBLANK($C68),"",IF($Z68=Constants!$B$2,TRUE(),IF($Z68=Constants!$B$3,FALSE(),FALSE())))</f>
        <v/>
      </c>
      <c r="BF68" s="100" t="str">
        <f aca="false">IF(ISBLANK($C68),"",IF(ISBLANK($AA68),0,IF(ISNUMBER($AA68),IF(AND($AA68&gt;=0,$AA68&lt;=Constants!$B$35,$AA68=INT($AA68)),$AA68,""),"")))</f>
        <v/>
      </c>
      <c r="BG68" s="100" t="str">
        <f aca="false">IF(ISBLANK($C68),"",IF($AB68=Constants!$B$2,TRUE(),IF($AB68=Constants!$B$3,FALSE(),TRUE())))</f>
        <v/>
      </c>
      <c r="BH68" s="100" t="str">
        <f aca="false">IF(ISBLANK($C68),"",IF($AC68=Constants!$B$2,TRUE(),IF($AC68=Constants!$B$3,FALSE(),TRUE())))</f>
        <v/>
      </c>
      <c r="BI68" s="100" t="str">
        <f aca="false">IF(ISBLANK($C68),"",IF($AD68=Constants!$B$2,TRUE(),IF($AD68=Constants!$B$3,FALSE(),TRUE())))</f>
        <v/>
      </c>
      <c r="BJ68" s="100" t="str">
        <f aca="false">IF(ISBLANK($C68),"",IF(ISNUMBER($AE68),IF($AE68&gt;=0,$AE68,""),""))</f>
        <v/>
      </c>
      <c r="BK68" s="100" t="str">
        <f aca="false">IF(ISBLANK($C68),"",IF($AF68=Constants!$B$2,TRUE(),IF($AF68=Constants!$B$3,FALSE(),FALSE())))</f>
        <v/>
      </c>
      <c r="BL68" s="99" t="str">
        <f aca="false">IF(ISBLANK($C68),"",IF($BK68,Constants!$B$7,IF(COUNTA($E68:$AE68)=0,Constants!$B$6,IF(OR(COUNTA($G68:$AE68)=0,NOT($AM68),$AS68),Constants!$B$5,IF(OR($CM68&lt;&gt;"",$CN68,$CO68,$CP68,$CQ68,$CR68,$CS68),Constants!$B$8,Constants!$B$4)))))</f>
        <v/>
      </c>
      <c r="BM68" s="100" t="str">
        <f aca="false">IF(ISBLANK($C68),"",IF($BL68&lt;&gt;Constants!$B$4,$BL68,IF(OR(NOT($AJ68),NOT($AL68),NOT($AT68)),Constants!$B$11,IF(OR(NOT($AR68),NOT($AU68),NOT($BI68),MAX($AN68,$AO68,$AP68)&gt;Constants!$B$30),Constants!$B$10,Constants!$B$9))))</f>
        <v/>
      </c>
      <c r="BN68" s="100" t="str">
        <f aca="false">IF($BL68&lt;&gt;Constants!$B$4,"",IF(NOT($AL68),0,MIN(Constants!$B$35,$BF68)))</f>
        <v/>
      </c>
      <c r="BO68" s="100" t="str">
        <f aca="false">IF($BL68&lt;&gt;Constants!$B$4,"",IF(NOT($AL68),0,IF($AW68,Constants!$B$18,IF($AV68,Constants!$B$17,0))))</f>
        <v/>
      </c>
      <c r="BP68" s="100" t="str">
        <f aca="false">IF($BL68&lt;&gt;Constants!$B$4,"",IF(NOT($AL68),0,Constants!$B$19*($AK68+$AX68+$AY68+$AZ68)))</f>
        <v/>
      </c>
      <c r="BQ68" s="100" t="str">
        <f aca="false">IF($BL68&lt;&gt;Constants!$B$4,"",IF(OR(NOT($AL68),NOT(ISNUMBER($BA68))),0,CHOOSE($BA68,Constants!$B$13,Constants!$B$14,Constants!$B$15,Constants!$B$16)))</f>
        <v/>
      </c>
      <c r="BR68" s="100" t="str">
        <f aca="false">IF($BL68&lt;&gt;Constants!$B$4,"",IF(NOT($AL68),0,Constants!$B$20*$BB68))</f>
        <v/>
      </c>
      <c r="BS68" s="100" t="str">
        <f aca="false">IF($BL68&lt;&gt;Constants!$B$4,"",IF(AND($AL68,$BD68,$BE68),Constants!$B$22,0))</f>
        <v/>
      </c>
      <c r="BT68" s="100" t="str">
        <f aca="false">IF($BL68&lt;&gt;Constants!$B$4,"",IF(OR(NOT($AL68),NOT($BD68)),0,IF($BJ68&gt;=2*$AH$9,0,Constants!$B$23*INT(ROUND(MIN($BJ68,$AH$9),6)))))</f>
        <v/>
      </c>
      <c r="BU68" s="100" t="str">
        <f aca="false">IF($BL68&lt;&gt;Constants!$B$4,"",IF(NOT($AL68),0,Constants!$B$24*INT(ROUND(MIN($BC68,$AH$9),6))))</f>
        <v/>
      </c>
      <c r="BV68" s="100" t="str">
        <f aca="false">IF($BL68&lt;&gt;Constants!$B$4,"",IF(AND($AL68,$BN68=0),Constants!$B$25,0))</f>
        <v/>
      </c>
      <c r="BW68" s="100" t="str">
        <f aca="false">IF($BL68&lt;&gt;Constants!$B$4,"",MIN(Constants!$B$29,MAX(0,Constants!$B$27*Constants!$B$28*INT(ROUND((Constants!$B$26-$AN68)/Constants!$B$28,6))))+MIN(Constants!$B$29,MAX(0,Constants!$B$27*Constants!$B$28*INT(ROUND((Constants!$B$26-$AO68)/Constants!$B$28,6))))+MIN(Constants!$B$29,MAX(0,Constants!$B$27*Constants!$B$28*INT(ROUND((Constants!$B$26-$AP68)/Constants!$B$28,6)))))</f>
        <v/>
      </c>
      <c r="BX68" s="100" t="str">
        <f aca="false">IF($BL68&lt;&gt;Constants!$B$4,"",IF(NOT($AL68),0,Constants!$B$31*INT(ROUND(MAX(0,MIN($BJ68,2*$AH$9)-$AH$9),6))))</f>
        <v/>
      </c>
      <c r="BY68" s="100" t="str">
        <f aca="false">IF($BL68&lt;&gt;Constants!$B$4,"",Constants!$B$32*(($AN68&gt;Constants!$B$26)+($AO68&gt;Constants!$B$26)+($AP68&gt;Constants!$B$26)))</f>
        <v/>
      </c>
      <c r="BZ68" s="100" t="str">
        <f aca="false">IF($BL68&lt;&gt;Constants!$B$4,"",IF(OR(NOT($AL68),$AQ68),0,Constants!$B$33))</f>
        <v/>
      </c>
      <c r="CA68" s="100" t="str">
        <f aca="false">IF($BL68&lt;&gt;Constants!$B$4,"",Constants!$B$34*$BN68)</f>
        <v/>
      </c>
      <c r="CB68" s="100" t="str">
        <f aca="false">IF($BL68&lt;&gt;Constants!$B$4,"",IF(OR(NOT($AL68),$BH68),0,Constants!$B$36))</f>
        <v/>
      </c>
      <c r="CC68" s="100" t="str">
        <f aca="false">IF($BL68&lt;&gt;Constants!$B$4,"",IF(OR(NOT($AL68),$BG68),0,Constants!$B$37))</f>
        <v/>
      </c>
      <c r="CD68" s="100" t="str">
        <f aca="false">IF($BL68&lt;&gt;Constants!$B$4,"",SUM($BX68:$CC68))</f>
        <v/>
      </c>
      <c r="CE68" s="100" t="str">
        <f aca="false">IF(ISBLANK($C68),"",IF($BL68&lt;&gt;Constants!$B$4,$BL68,SUM($BO68:$BW68)-$CD68))</f>
        <v/>
      </c>
      <c r="CF68" s="100" t="str">
        <f aca="false">IF(ISBLANK($C68),"",IF($BL68&lt;&gt;Constants!$B$4,$BL68,RANK($CE68,$CE$9:$CE$508)))</f>
        <v/>
      </c>
      <c r="CG68" s="100" t="str">
        <f aca="false">IF(ISBLANK($C68),"",IF($BL68&lt;&gt;Constants!$B$4,$BL68,COUNTIFS($BM$9:$BM$508,"&lt;"&amp;$BM68)+COUNTIFS($BM$9:$BM$508,$BM68,$CF$9:$CF$508,"&lt;"&amp;$CF68)+1))</f>
        <v/>
      </c>
      <c r="CH68" s="100" t="str">
        <f aca="false">IF(ISBLANK($C68),"",IF($BL68&lt;&gt;Constants!$B$4,$BL68,RANK($CD68,$CD$9:$CD$508,1)))</f>
        <v/>
      </c>
      <c r="CI68" s="100" t="str">
        <f aca="false">IF($BL68&lt;&gt;Constants!$B$4,"",$AN68+$AO68+$AP68)</f>
        <v/>
      </c>
      <c r="CJ68" s="100" t="str">
        <f aca="false">IF(ISBLANK($C68),"",IF($BL68&lt;&gt;Constants!$B$4,$BL68,RANK($CI68,$CI$9:$CI$508,1)))</f>
        <v/>
      </c>
      <c r="CK68" s="100" t="str">
        <f aca="false">IF(ISBLANK($C68),"",IF($BL68&lt;&gt;Constants!$B$4,$BL68,COUNTIFS($BM$9:$BM$508,"&lt;"&amp;$BM68)+COUNTIFS($BM$9:$BM$508,$BM68,$CF$9:$CF$508,"&lt;"&amp;$CF68)+COUNTIFS($BM$9:$BM$508,$BM68,$CF$9:$CF$508,$CF68,$CH$9:$CH$508,"&lt;"&amp;$CH68)+COUNTIFS($BM$9:$BM$508,$BM68,$CF$9:$CF$508,$CF68,$CH$9:$CH$508,$CH68,$CJ$9:$CJ$508,"&lt;"&amp;$CJ68)+1))</f>
        <v/>
      </c>
      <c r="CL68" s="100" t="str">
        <f aca="false">IF(ISBLANK($C68),"",IF($BL68&lt;&gt;Constants!$B$4,$BL68,$CG68-$CK68))</f>
        <v/>
      </c>
      <c r="CM68" s="100" t="str">
        <f aca="false">IF(ISBLANK($C68),"",IF(NOT($AL68),"",IF(ISBLANK($D$7),$CM$5,IF(NOT(ISNUMBER($D$7)),$CM$6,""))))</f>
        <v/>
      </c>
      <c r="CN68" s="100" t="str">
        <f aca="false">IF(ISBLANK($C68),"",OR($AN68="",$AO68="",$AP68=""))</f>
        <v/>
      </c>
      <c r="CO68" s="100" t="str">
        <f aca="false">IF(ISBLANK($C68),"",AND($AL68,$BA68=""))</f>
        <v/>
      </c>
      <c r="CP68" s="100" t="str">
        <f aca="false">IF(ISBLANK($C68),"",AND($AL68,$BB68=""))</f>
        <v/>
      </c>
      <c r="CQ68" s="100" t="str">
        <f aca="false">IF(ISBLANK($C68),"",AND($AL68,$BC68=""))</f>
        <v/>
      </c>
      <c r="CR68" s="100" t="str">
        <f aca="false">IF(ISBLANK($C68),"",AND($AL68,$BF68=""))</f>
        <v/>
      </c>
      <c r="CS68" s="100" t="str">
        <f aca="false">IF(ISBLANK($C68),"",AND($AL68,$BJ68=""))</f>
        <v/>
      </c>
      <c r="CT68" s="101"/>
      <c r="CU68" s="102"/>
      <c r="CV68" s="103" t="str">
        <f aca="false">IF(ISBLANK($C68),"",IF($BL68=Constants!$B$8,$CM68,""))</f>
        <v/>
      </c>
      <c r="CW68" s="102" t="str">
        <f aca="false">IF(ISBLANK($C68),"",IF($BL68&lt;&gt;Constants!$B$4,"",$BO68+$BP68))</f>
        <v/>
      </c>
      <c r="CX68" s="104" t="str">
        <f aca="false">IF(ISBLANK($C68),"",IF($BL68&lt;&gt;Constants!$B$4,"",$BQ68+$BR68+$BS68))</f>
        <v/>
      </c>
      <c r="CY68" s="104" t="str">
        <f aca="false">IF(ISBLANK($C68),"",IF($BL68&lt;&gt;Constants!$B$4,"",$BT68))</f>
        <v/>
      </c>
      <c r="CZ68" s="104" t="str">
        <f aca="false">IF(ISBLANK($C68),"",IF($BL68&lt;&gt;Constants!$B$4,"",$BU68+$BV68))</f>
        <v/>
      </c>
      <c r="DA68" s="104" t="str">
        <f aca="false">IF(ISBLANK($C68),"",IF($BL68&lt;&gt;Constants!$B$4,"",$BW68))</f>
        <v/>
      </c>
      <c r="DB68" s="104" t="str">
        <f aca="false">IF(ISBLANK($C68),"",IF($BL68&lt;&gt;Constants!$B$4,"",-$CD68))</f>
        <v/>
      </c>
      <c r="DC68" s="103" t="str">
        <f aca="false">IF(ISBLANK($C68),"",$CE68)</f>
        <v/>
      </c>
      <c r="DD68" s="105" t="str">
        <f aca="false">IF(ISBLANK($C68),"",$BM68)</f>
        <v/>
      </c>
      <c r="DE68" s="104" t="str">
        <f aca="false">IF(ISBLANK($C68),"",$CL68)</f>
        <v/>
      </c>
      <c r="DF68" s="104" t="str">
        <f aca="false">IF(ISBLANK($C68),"",$CK68)</f>
        <v/>
      </c>
      <c r="DG68" s="106" t="str">
        <f aca="false">IF(ISBLANK($C68),"",IF($DF68=Constants!$B$7,COUNTA($C$9:$C$508)+2,IF($DF68=Constants!$B$6,COUNTA($C$9:$C$508)+1,IF($DF68=Constants!$B$5,COUNTA($C$9:$C$508),$DF68))))</f>
        <v/>
      </c>
      <c r="DH68" s="7"/>
      <c r="DI68" s="107" t="n">
        <f aca="false">IF(OR(ISNUMBER($DF68),$DF68=Constants!$B$7,$DF68=Constants!$B$5,$DF68=Constants!$B$6),1,0)</f>
        <v>0</v>
      </c>
      <c r="DJ68" s="107" t="n">
        <v>60</v>
      </c>
      <c r="DK68" s="107" t="str">
        <f aca="false">IF(ISBLANK($C68),"",IF(ISNUMBER($DG68),$DG68+ROW($B68)/1000,""))</f>
        <v/>
      </c>
      <c r="DL68" s="107" t="str">
        <f aca="false">IF(ISNUMBER($DK68),RANK($DK68,$DK$9:$DK$508,1),"")</f>
        <v/>
      </c>
      <c r="DM68" s="107" t="str">
        <f aca="false">IF(ISBLANK($C68),"",$B68)</f>
        <v/>
      </c>
      <c r="DN68" s="107" t="str">
        <f aca="false">IF(ISBLANK($C68),"",$C68)</f>
        <v/>
      </c>
      <c r="DO68" s="107" t="str">
        <f aca="false">IF(ISBLANK($C68),"",$D68)</f>
        <v/>
      </c>
      <c r="DP68" s="108" t="str">
        <f aca="false">$DD68</f>
        <v/>
      </c>
      <c r="DQ68" s="109" t="str">
        <f aca="false">$DC68</f>
        <v/>
      </c>
      <c r="DR68" s="107" t="str">
        <f aca="false">IF(ISBLANK($C68),"",$DF68)</f>
        <v/>
      </c>
      <c r="DS68" s="110" t="str">
        <f aca="false">IF($DJ68&gt;$DI$8,"",VLOOKUP($DJ68,$DL$9:$DR$508,7,FALSE()))</f>
        <v/>
      </c>
      <c r="DT68" s="111" t="str">
        <f aca="false">IF($DJ68&gt;$DI$8,"",VLOOKUP($DJ68,$DL$9:$DR$508,2,FALSE()))</f>
        <v/>
      </c>
      <c r="DU68" s="111" t="str">
        <f aca="false">IF($DJ68&gt;$DI$8,"",VLOOKUP($DJ68,$DL$9:$DR$508,3,FALSE()))</f>
        <v/>
      </c>
      <c r="DV68" s="111" t="str">
        <f aca="false">IF($DJ68&gt;$DI$8,"",VLOOKUP($DJ68,$DL$9:$DR$508,4,FALSE()))</f>
        <v/>
      </c>
      <c r="DW68" s="111" t="str">
        <f aca="false">IF($DJ68&gt;$DI$8,"",VLOOKUP($DJ68,$DL$9:$DR$508,5,FALSE()))</f>
        <v/>
      </c>
      <c r="DX68" s="112" t="str">
        <f aca="false">IF($DJ68&gt;$DI$8,"",VLOOKUP($DJ68,$DL$9:$DR$508,6,FALSE()))</f>
        <v/>
      </c>
      <c r="DY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2"/>
      <c r="N69" s="122"/>
      <c r="O69" s="66"/>
      <c r="P69" s="66"/>
      <c r="Q69" s="122"/>
      <c r="R69" s="122"/>
      <c r="S69" s="122"/>
      <c r="T69" s="122"/>
      <c r="U69" s="66"/>
      <c r="V69" s="122"/>
      <c r="W69" s="120"/>
      <c r="X69" s="122"/>
      <c r="Y69" s="122"/>
      <c r="Z69" s="120"/>
      <c r="AA69" s="120"/>
      <c r="AB69" s="122"/>
      <c r="AC69" s="122"/>
      <c r="AD69" s="122"/>
      <c r="AE69" s="121"/>
      <c r="AF69" s="122"/>
      <c r="AG69" s="73"/>
      <c r="AH69" s="74"/>
      <c r="AI69" s="74"/>
      <c r="AJ69" s="74" t="str">
        <f aca="false">IF(ISBLANK($C69),"",IF($E69=Constants!$B$2,TRUE(),IF($E69=Constants!$B$3,FALSE(),TRUE())))</f>
        <v/>
      </c>
      <c r="AK69" s="74" t="str">
        <f aca="false">IF(ISBLANK($C69),"",IF($F69=Constants!$B$2,TRUE(),IF($F69=Constants!$B$3,FALSE(),FALSE())))</f>
        <v/>
      </c>
      <c r="AL69" s="74" t="str">
        <f aca="false">IF(ISBLANK($C69),"",IF($G69=Constants!$B$2,TRUE(),IF($G69=Constants!$B$3,FALSE(),TRUE())))</f>
        <v/>
      </c>
      <c r="AM69" s="74" t="str">
        <f aca="false">IF(ISBLANK($C69),"",IF($H69=Constants!$B$2,TRUE(),IF($H69=Constants!$B$3,FALSE(),TRUE())))</f>
        <v/>
      </c>
      <c r="AN69" s="74" t="str">
        <f aca="false">IF(ISBLANK($C69),"",IF(ISNUMBER($I69),IF($I69&gt;=0,$I69,""),""))</f>
        <v/>
      </c>
      <c r="AO69" s="74" t="str">
        <f aca="false">IF(ISBLANK($C69),"",IF(ISNUMBER($J69),IF($J69&gt;=0,$J69,""),""))</f>
        <v/>
      </c>
      <c r="AP69" s="74" t="str">
        <f aca="false">IF(ISBLANK($C69),"",IF(ISNUMBER($K69),IF($K69&gt;=0,$K69,""),""))</f>
        <v/>
      </c>
      <c r="AQ69" s="74" t="str">
        <f aca="false">IF(ISBLANK($C69),"",IF($L69=Constants!$B$2,TRUE(),IF($L69=Constants!$B$3,FALSE(),TRUE())))</f>
        <v/>
      </c>
      <c r="AR69" s="74" t="str">
        <f aca="false">IF(ISBLANK($C69),"",IF($M69=Constants!$B$2,TRUE(),IF($M69=Constants!$B$3,FALSE(),TRUE())))</f>
        <v/>
      </c>
      <c r="AS69" s="74" t="str">
        <f aca="false">IF(ISBLANK($C69),"",IF($N69=Constants!$B$2,TRUE(),IF($N69=Constants!$B$3,FALSE(),FALSE())))</f>
        <v/>
      </c>
      <c r="AT69" s="74" t="str">
        <f aca="false">IF(ISBLANK($C69),"",IF($O69=Constants!$B$2,TRUE(),IF($O69=Constants!$B$3,FALSE(),TRUE())))</f>
        <v/>
      </c>
      <c r="AU69" s="74" t="str">
        <f aca="false">IF(ISBLANK($C69),"",IF($P69=Constants!$B$2,TRUE(),IF($P69=Constants!$B$3,FALSE(),TRUE())))</f>
        <v/>
      </c>
      <c r="AV69" s="74" t="str">
        <f aca="false">IF(ISBLANK($C69),"",IF($Q69=Constants!$B$2,TRUE(),IF($Q69=Constants!$B$3,FALSE(),FALSE())))</f>
        <v/>
      </c>
      <c r="AW69" s="74" t="str">
        <f aca="false">IF(ISBLANK($C69),"",IF($R69=Constants!$B$2,TRUE(),IF($R69=Constants!$B$3,FALSE(),FALSE())))</f>
        <v/>
      </c>
      <c r="AX69" s="74" t="str">
        <f aca="false">IF(ISBLANK($C69),"",IF($S69=Constants!$B$2,TRUE(),IF($S69=Constants!$B$3,FALSE(),FALSE())))</f>
        <v/>
      </c>
      <c r="AY69" s="74" t="str">
        <f aca="false">IF(ISBLANK($C69),"",IF($T69=Constants!$B$2,TRUE(),IF($T69=Constants!$B$3,FALSE(),FALSE())))</f>
        <v/>
      </c>
      <c r="AZ69" s="74" t="str">
        <f aca="false">IF(ISBLANK($C69),"",IF($U69=Constants!$B$2,TRUE(),IF($U69=Constants!$B$3,FALSE(),FALSE())))</f>
        <v/>
      </c>
      <c r="BA69" s="74" t="str">
        <f aca="false">IF(ISBLANK($C69),"",IF(OR($V69&amp;""="1",$V69&amp;""="2",$V69&amp;""="3",$V69&amp;""="4"),VALUE($V69&amp;""),IF($V69=Constants!$B$12,Constants!$B$12,"")))</f>
        <v/>
      </c>
      <c r="BB69" s="74" t="str">
        <f aca="false">IF(ISBLANK($C69),"",IF(ISBLANK($W69),0,IF(ISNUMBER($W69),IF(AND($W69&gt;=0,$W69&lt;=Constants!$B$21,$W69=INT($W69)),$W69,""),"")))</f>
        <v/>
      </c>
      <c r="BC69" s="74" t="str">
        <f aca="false">IF(ISBLANK($C69),"",IF(ISBLANK($X69),0,IF(ISNUMBER($X69),IF($X69&gt;=0,$X69,""),"")))</f>
        <v/>
      </c>
      <c r="BD69" s="74" t="str">
        <f aca="false">IF(ISBLANK($C69),"",IF($Y69=Constants!$B$2,TRUE(),IF($Y69=Constants!$B$3,FALSE(),TRUE())))</f>
        <v/>
      </c>
      <c r="BE69" s="74" t="str">
        <f aca="false">IF(ISBLANK($C69),"",IF($Z69=Constants!$B$2,TRUE(),IF($Z69=Constants!$B$3,FALSE(),FALSE())))</f>
        <v/>
      </c>
      <c r="BF69" s="74" t="str">
        <f aca="false">IF(ISBLANK($C69),"",IF(ISBLANK($AA69),0,IF(ISNUMBER($AA69),IF(AND($AA69&gt;=0,$AA69&lt;=Constants!$B$35,$AA69=INT($AA69)),$AA69,""),"")))</f>
        <v/>
      </c>
      <c r="BG69" s="74" t="str">
        <f aca="false">IF(ISBLANK($C69),"",IF($AB69=Constants!$B$2,TRUE(),IF($AB69=Constants!$B$3,FALSE(),TRUE())))</f>
        <v/>
      </c>
      <c r="BH69" s="74" t="str">
        <f aca="false">IF(ISBLANK($C69),"",IF($AC69=Constants!$B$2,TRUE(),IF($AC69=Constants!$B$3,FALSE(),TRUE())))</f>
        <v/>
      </c>
      <c r="BI69" s="74" t="str">
        <f aca="false">IF(ISBLANK($C69),"",IF($AD69=Constants!$B$2,TRUE(),IF($AD69=Constants!$B$3,FALSE(),TRUE())))</f>
        <v/>
      </c>
      <c r="BJ69" s="74" t="str">
        <f aca="false">IF(ISBLANK($C69),"",IF(ISNUMBER($AE69),IF($AE69&gt;=0,$AE69,""),""))</f>
        <v/>
      </c>
      <c r="BK69" s="74" t="str">
        <f aca="false">IF(ISBLANK($C69),"",IF($AF69=Constants!$B$2,TRUE(),IF($AF69=Constants!$B$3,FALSE(),FALSE())))</f>
        <v/>
      </c>
      <c r="BL69" s="73" t="str">
        <f aca="false">IF(ISBLANK($C69),"",IF($BK69,Constants!$B$7,IF(COUNTA($E69:$AE69)=0,Constants!$B$6,IF(OR(COUNTA($G69:$AE69)=0,NOT($AM69),$AS69),Constants!$B$5,IF(OR($CM69&lt;&gt;"",$CN69,$CO69,$CP69,$CQ69,$CR69,$CS69),Constants!$B$8,Constants!$B$4)))))</f>
        <v/>
      </c>
      <c r="BM69" s="74" t="str">
        <f aca="false">IF(ISBLANK($C69),"",IF($BL69&lt;&gt;Constants!$B$4,$BL69,IF(OR(NOT($AJ69),NOT($AL69),NOT($AT69)),Constants!$B$11,IF(OR(NOT($AR69),NOT($AU69),NOT($BI69),MAX($AN69,$AO69,$AP69)&gt;Constants!$B$30),Constants!$B$10,Constants!$B$9))))</f>
        <v/>
      </c>
      <c r="BN69" s="74" t="str">
        <f aca="false">IF($BL69&lt;&gt;Constants!$B$4,"",IF(NOT($AL69),0,MIN(Constants!$B$35,$BF69)))</f>
        <v/>
      </c>
      <c r="BO69" s="74" t="str">
        <f aca="false">IF($BL69&lt;&gt;Constants!$B$4,"",IF(NOT($AL69),0,IF($AW69,Constants!$B$18,IF($AV69,Constants!$B$17,0))))</f>
        <v/>
      </c>
      <c r="BP69" s="74" t="str">
        <f aca="false">IF($BL69&lt;&gt;Constants!$B$4,"",IF(NOT($AL69),0,Constants!$B$19*($AK69+$AX69+$AY69+$AZ69)))</f>
        <v/>
      </c>
      <c r="BQ69" s="74" t="str">
        <f aca="false">IF($BL69&lt;&gt;Constants!$B$4,"",IF(OR(NOT($AL69),NOT(ISNUMBER($BA69))),0,CHOOSE($BA69,Constants!$B$13,Constants!$B$14,Constants!$B$15,Constants!$B$16)))</f>
        <v/>
      </c>
      <c r="BR69" s="74" t="str">
        <f aca="false">IF($BL69&lt;&gt;Constants!$B$4,"",IF(NOT($AL69),0,Constants!$B$20*$BB69))</f>
        <v/>
      </c>
      <c r="BS69" s="74" t="str">
        <f aca="false">IF($BL69&lt;&gt;Constants!$B$4,"",IF(AND($AL69,$BD69,$BE69),Constants!$B$22,0))</f>
        <v/>
      </c>
      <c r="BT69" s="74" t="str">
        <f aca="false">IF($BL69&lt;&gt;Constants!$B$4,"",IF(OR(NOT($AL69),NOT($BD69)),0,IF($BJ69&gt;=2*$AH$9,0,Constants!$B$23*INT(ROUND(MIN($BJ69,$AH$9),6)))))</f>
        <v/>
      </c>
      <c r="BU69" s="74" t="str">
        <f aca="false">IF($BL69&lt;&gt;Constants!$B$4,"",IF(NOT($AL69),0,Constants!$B$24*INT(ROUND(MIN($BC69,$AH$9),6))))</f>
        <v/>
      </c>
      <c r="BV69" s="74" t="str">
        <f aca="false">IF($BL69&lt;&gt;Constants!$B$4,"",IF(AND($AL69,$BN69=0),Constants!$B$25,0))</f>
        <v/>
      </c>
      <c r="BW69" s="74" t="str">
        <f aca="false">IF($BL69&lt;&gt;Constants!$B$4,"",MIN(Constants!$B$29,MAX(0,Constants!$B$27*Constants!$B$28*INT(ROUND((Constants!$B$26-$AN69)/Constants!$B$28,6))))+MIN(Constants!$B$29,MAX(0,Constants!$B$27*Constants!$B$28*INT(ROUND((Constants!$B$26-$AO69)/Constants!$B$28,6))))+MIN(Constants!$B$29,MAX(0,Constants!$B$27*Constants!$B$28*INT(ROUND((Constants!$B$26-$AP69)/Constants!$B$28,6)))))</f>
        <v/>
      </c>
      <c r="BX69" s="74" t="str">
        <f aca="false">IF($BL69&lt;&gt;Constants!$B$4,"",IF(NOT($AL69),0,Constants!$B$31*INT(ROUND(MAX(0,MIN($BJ69,2*$AH$9)-$AH$9),6))))</f>
        <v/>
      </c>
      <c r="BY69" s="74" t="str">
        <f aca="false">IF($BL69&lt;&gt;Constants!$B$4,"",Constants!$B$32*(($AN69&gt;Constants!$B$26)+($AO69&gt;Constants!$B$26)+($AP69&gt;Constants!$B$26)))</f>
        <v/>
      </c>
      <c r="BZ69" s="74" t="str">
        <f aca="false">IF($BL69&lt;&gt;Constants!$B$4,"",IF(OR(NOT($AL69),$AQ69),0,Constants!$B$33))</f>
        <v/>
      </c>
      <c r="CA69" s="74" t="str">
        <f aca="false">IF($BL69&lt;&gt;Constants!$B$4,"",Constants!$B$34*$BN69)</f>
        <v/>
      </c>
      <c r="CB69" s="74" t="str">
        <f aca="false">IF($BL69&lt;&gt;Constants!$B$4,"",IF(OR(NOT($AL69),$BH69),0,Constants!$B$36))</f>
        <v/>
      </c>
      <c r="CC69" s="74" t="str">
        <f aca="false">IF($BL69&lt;&gt;Constants!$B$4,"",IF(OR(NOT($AL69),$BG69),0,Constants!$B$37))</f>
        <v/>
      </c>
      <c r="CD69" s="74" t="str">
        <f aca="false">IF($BL69&lt;&gt;Constants!$B$4,"",SUM($BX69:$CC69))</f>
        <v/>
      </c>
      <c r="CE69" s="74" t="str">
        <f aca="false">IF(ISBLANK($C69),"",IF($BL69&lt;&gt;Constants!$B$4,$BL69,SUM($BO69:$BW69)-$CD69))</f>
        <v/>
      </c>
      <c r="CF69" s="74" t="str">
        <f aca="false">IF(ISBLANK($C69),"",IF($BL69&lt;&gt;Constants!$B$4,$BL69,RANK($CE69,$CE$9:$CE$508)))</f>
        <v/>
      </c>
      <c r="CG69" s="74" t="str">
        <f aca="false">IF(ISBLANK($C69),"",IF($BL69&lt;&gt;Constants!$B$4,$BL69,COUNTIFS($BM$9:$BM$508,"&lt;"&amp;$BM69)+COUNTIFS($BM$9:$BM$508,$BM69,$CF$9:$CF$508,"&lt;"&amp;$CF69)+1))</f>
        <v/>
      </c>
      <c r="CH69" s="74" t="str">
        <f aca="false">IF(ISBLANK($C69),"",IF($BL69&lt;&gt;Constants!$B$4,$BL69,RANK($CD69,$CD$9:$CD$508,1)))</f>
        <v/>
      </c>
      <c r="CI69" s="74" t="str">
        <f aca="false">IF($BL69&lt;&gt;Constants!$B$4,"",$AN69+$AO69+$AP69)</f>
        <v/>
      </c>
      <c r="CJ69" s="74" t="str">
        <f aca="false">IF(ISBLANK($C69),"",IF($BL69&lt;&gt;Constants!$B$4,$BL69,RANK($CI69,$CI$9:$CI$508,1)))</f>
        <v/>
      </c>
      <c r="CK69" s="74" t="str">
        <f aca="false">IF(ISBLANK($C69),"",IF($BL69&lt;&gt;Constants!$B$4,$BL69,COUNTIFS($BM$9:$BM$508,"&lt;"&amp;$BM69)+COUNTIFS($BM$9:$BM$508,$BM69,$CF$9:$CF$508,"&lt;"&amp;$CF69)+COUNTIFS($BM$9:$BM$508,$BM69,$CF$9:$CF$508,$CF69,$CH$9:$CH$508,"&lt;"&amp;$CH69)+COUNTIFS($BM$9:$BM$508,$BM69,$CF$9:$CF$508,$CF69,$CH$9:$CH$508,$CH69,$CJ$9:$CJ$508,"&lt;"&amp;$CJ69)+1))</f>
        <v/>
      </c>
      <c r="CL69" s="74" t="str">
        <f aca="false">IF(ISBLANK($C69),"",IF($BL69&lt;&gt;Constants!$B$4,$BL69,$CG69-$CK69))</f>
        <v/>
      </c>
      <c r="CM69" s="74" t="str">
        <f aca="false">IF(ISBLANK($C69),"",IF(NOT($AL69),"",IF(ISBLANK($D$7),$CM$5,IF(NOT(ISNUMBER($D$7)),$CM$6,""))))</f>
        <v/>
      </c>
      <c r="CN69" s="74" t="str">
        <f aca="false">IF(ISBLANK($C69),"",OR($AN69="",$AO69="",$AP69=""))</f>
        <v/>
      </c>
      <c r="CO69" s="74" t="str">
        <f aca="false">IF(ISBLANK($C69),"",AND($AL69,$BA69=""))</f>
        <v/>
      </c>
      <c r="CP69" s="74" t="str">
        <f aca="false">IF(ISBLANK($C69),"",AND($AL69,$BB69=""))</f>
        <v/>
      </c>
      <c r="CQ69" s="74" t="str">
        <f aca="false">IF(ISBLANK($C69),"",AND($AL69,$BC69=""))</f>
        <v/>
      </c>
      <c r="CR69" s="74" t="str">
        <f aca="false">IF(ISBLANK($C69),"",AND($AL69,$BF69=""))</f>
        <v/>
      </c>
      <c r="CS69" s="74" t="str">
        <f aca="false">IF(ISBLANK($C69),"",AND($AL69,$BJ69=""))</f>
        <v/>
      </c>
      <c r="CT69" s="75"/>
      <c r="CU69" s="76"/>
      <c r="CV69" s="79" t="str">
        <f aca="false">IF(ISBLANK($C69),"",IF($BL69=Constants!$B$8,$CM69,""))</f>
        <v/>
      </c>
      <c r="CW69" s="76" t="str">
        <f aca="false">IF(ISBLANK($C69),"",IF($BL69&lt;&gt;Constants!$B$4,"",$BO69+$BP69))</f>
        <v/>
      </c>
      <c r="CX69" s="78" t="str">
        <f aca="false">IF(ISBLANK($C69),"",IF($BL69&lt;&gt;Constants!$B$4,"",$BQ69+$BR69+$BS69))</f>
        <v/>
      </c>
      <c r="CY69" s="78" t="str">
        <f aca="false">IF(ISBLANK($C69),"",IF($BL69&lt;&gt;Constants!$B$4,"",$BT69))</f>
        <v/>
      </c>
      <c r="CZ69" s="78" t="str">
        <f aca="false">IF(ISBLANK($C69),"",IF($BL69&lt;&gt;Constants!$B$4,"",$BU69+$BV69))</f>
        <v/>
      </c>
      <c r="DA69" s="78" t="str">
        <f aca="false">IF(ISBLANK($C69),"",IF($BL69&lt;&gt;Constants!$B$4,"",$BW69))</f>
        <v/>
      </c>
      <c r="DB69" s="78" t="str">
        <f aca="false">IF(ISBLANK($C69),"",IF($BL69&lt;&gt;Constants!$B$4,"",-$CD69))</f>
        <v/>
      </c>
      <c r="DC69" s="79" t="str">
        <f aca="false">IF(ISBLANK($C69),"",$CE69)</f>
        <v/>
      </c>
      <c r="DD69" s="80" t="str">
        <f aca="false">IF(ISBLANK($C69),"",$BM69)</f>
        <v/>
      </c>
      <c r="DE69" s="78" t="str">
        <f aca="false">IF(ISBLANK($C69),"",$CL69)</f>
        <v/>
      </c>
      <c r="DF69" s="78" t="str">
        <f aca="false">IF(ISBLANK($C69),"",$CK69)</f>
        <v/>
      </c>
      <c r="DG69" s="81" t="str">
        <f aca="false">IF(ISBLANK($C69),"",IF($DF69=Constants!$B$7,COUNTA($C$9:$C$508)+2,IF($DF69=Constants!$B$6,COUNTA($C$9:$C$508)+1,IF($DF69=Constants!$B$5,COUNTA($C$9:$C$508),$DF69))))</f>
        <v/>
      </c>
      <c r="DH69" s="7"/>
      <c r="DI69" s="82" t="n">
        <f aca="false">IF(OR(ISNUMBER($DF69),$DF69=Constants!$B$7,$DF69=Constants!$B$5,$DF69=Constants!$B$6),1,0)</f>
        <v>0</v>
      </c>
      <c r="DJ69" s="82" t="n">
        <v>61</v>
      </c>
      <c r="DK69" s="82" t="str">
        <f aca="false">IF(ISBLANK($C69),"",IF(ISNUMBER($DG69),$DG69+ROW($B69)/1000,""))</f>
        <v/>
      </c>
      <c r="DL69" s="82" t="str">
        <f aca="false">IF(ISNUMBER($DK69),RANK($DK69,$DK$9:$DK$508,1),"")</f>
        <v/>
      </c>
      <c r="DM69" s="82" t="str">
        <f aca="false">IF(ISBLANK($C69),"",$B69)</f>
        <v/>
      </c>
      <c r="DN69" s="82" t="str">
        <f aca="false">IF(ISBLANK($C69),"",$C69)</f>
        <v/>
      </c>
      <c r="DO69" s="82" t="str">
        <f aca="false">IF(ISBLANK($C69),"",$D69)</f>
        <v/>
      </c>
      <c r="DP69" s="83" t="str">
        <f aca="false">$DD69</f>
        <v/>
      </c>
      <c r="DQ69" s="84" t="str">
        <f aca="false">$DC69</f>
        <v/>
      </c>
      <c r="DR69" s="82" t="str">
        <f aca="false">IF(ISBLANK($C69),"",$DF69)</f>
        <v/>
      </c>
      <c r="DS69" s="85" t="str">
        <f aca="false">IF($DJ69&gt;$DI$8,"",VLOOKUP($DJ69,$DL$9:$DR$508,7,FALSE()))</f>
        <v/>
      </c>
      <c r="DT69" s="86" t="str">
        <f aca="false">IF($DJ69&gt;$DI$8,"",VLOOKUP($DJ69,$DL$9:$DR$508,2,FALSE()))</f>
        <v/>
      </c>
      <c r="DU69" s="86" t="str">
        <f aca="false">IF($DJ69&gt;$DI$8,"",VLOOKUP($DJ69,$DL$9:$DR$508,3,FALSE()))</f>
        <v/>
      </c>
      <c r="DV69" s="86" t="str">
        <f aca="false">IF($DJ69&gt;$DI$8,"",VLOOKUP($DJ69,$DL$9:$DR$508,4,FALSE()))</f>
        <v/>
      </c>
      <c r="DW69" s="86" t="str">
        <f aca="false">IF($DJ69&gt;$DI$8,"",VLOOKUP($DJ69,$DL$9:$DR$508,5,FALSE()))</f>
        <v/>
      </c>
      <c r="DX69" s="87" t="str">
        <f aca="false">IF($DJ69&gt;$DI$8,"",VLOOKUP($DJ69,$DL$9:$DR$508,6,FALSE()))</f>
        <v/>
      </c>
      <c r="DY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2"/>
      <c r="N70" s="122"/>
      <c r="O70" s="66"/>
      <c r="P70" s="66"/>
      <c r="Q70" s="122"/>
      <c r="R70" s="122"/>
      <c r="S70" s="122"/>
      <c r="T70" s="122"/>
      <c r="U70" s="66"/>
      <c r="V70" s="122"/>
      <c r="W70" s="120"/>
      <c r="X70" s="122"/>
      <c r="Y70" s="122"/>
      <c r="Z70" s="120"/>
      <c r="AA70" s="120"/>
      <c r="AB70" s="122"/>
      <c r="AC70" s="122"/>
      <c r="AD70" s="122"/>
      <c r="AE70" s="121"/>
      <c r="AF70" s="122"/>
      <c r="AG70" s="73"/>
      <c r="AH70" s="74"/>
      <c r="AI70" s="74"/>
      <c r="AJ70" s="74" t="str">
        <f aca="false">IF(ISBLANK($C70),"",IF($E70=Constants!$B$2,TRUE(),IF($E70=Constants!$B$3,FALSE(),TRUE())))</f>
        <v/>
      </c>
      <c r="AK70" s="74" t="str">
        <f aca="false">IF(ISBLANK($C70),"",IF($F70=Constants!$B$2,TRUE(),IF($F70=Constants!$B$3,FALSE(),FALSE())))</f>
        <v/>
      </c>
      <c r="AL70" s="74" t="str">
        <f aca="false">IF(ISBLANK($C70),"",IF($G70=Constants!$B$2,TRUE(),IF($G70=Constants!$B$3,FALSE(),TRUE())))</f>
        <v/>
      </c>
      <c r="AM70" s="74" t="str">
        <f aca="false">IF(ISBLANK($C70),"",IF($H70=Constants!$B$2,TRUE(),IF($H70=Constants!$B$3,FALSE(),TRUE())))</f>
        <v/>
      </c>
      <c r="AN70" s="74" t="str">
        <f aca="false">IF(ISBLANK($C70),"",IF(ISNUMBER($I70),IF($I70&gt;=0,$I70,""),""))</f>
        <v/>
      </c>
      <c r="AO70" s="74" t="str">
        <f aca="false">IF(ISBLANK($C70),"",IF(ISNUMBER($J70),IF($J70&gt;=0,$J70,""),""))</f>
        <v/>
      </c>
      <c r="AP70" s="74" t="str">
        <f aca="false">IF(ISBLANK($C70),"",IF(ISNUMBER($K70),IF($K70&gt;=0,$K70,""),""))</f>
        <v/>
      </c>
      <c r="AQ70" s="74" t="str">
        <f aca="false">IF(ISBLANK($C70),"",IF($L70=Constants!$B$2,TRUE(),IF($L70=Constants!$B$3,FALSE(),TRUE())))</f>
        <v/>
      </c>
      <c r="AR70" s="74" t="str">
        <f aca="false">IF(ISBLANK($C70),"",IF($M70=Constants!$B$2,TRUE(),IF($M70=Constants!$B$3,FALSE(),TRUE())))</f>
        <v/>
      </c>
      <c r="AS70" s="74" t="str">
        <f aca="false">IF(ISBLANK($C70),"",IF($N70=Constants!$B$2,TRUE(),IF($N70=Constants!$B$3,FALSE(),FALSE())))</f>
        <v/>
      </c>
      <c r="AT70" s="74" t="str">
        <f aca="false">IF(ISBLANK($C70),"",IF($O70=Constants!$B$2,TRUE(),IF($O70=Constants!$B$3,FALSE(),TRUE())))</f>
        <v/>
      </c>
      <c r="AU70" s="74" t="str">
        <f aca="false">IF(ISBLANK($C70),"",IF($P70=Constants!$B$2,TRUE(),IF($P70=Constants!$B$3,FALSE(),TRUE())))</f>
        <v/>
      </c>
      <c r="AV70" s="74" t="str">
        <f aca="false">IF(ISBLANK($C70),"",IF($Q70=Constants!$B$2,TRUE(),IF($Q70=Constants!$B$3,FALSE(),FALSE())))</f>
        <v/>
      </c>
      <c r="AW70" s="74" t="str">
        <f aca="false">IF(ISBLANK($C70),"",IF($R70=Constants!$B$2,TRUE(),IF($R70=Constants!$B$3,FALSE(),FALSE())))</f>
        <v/>
      </c>
      <c r="AX70" s="74" t="str">
        <f aca="false">IF(ISBLANK($C70),"",IF($S70=Constants!$B$2,TRUE(),IF($S70=Constants!$B$3,FALSE(),FALSE())))</f>
        <v/>
      </c>
      <c r="AY70" s="74" t="str">
        <f aca="false">IF(ISBLANK($C70),"",IF($T70=Constants!$B$2,TRUE(),IF($T70=Constants!$B$3,FALSE(),FALSE())))</f>
        <v/>
      </c>
      <c r="AZ70" s="74" t="str">
        <f aca="false">IF(ISBLANK($C70),"",IF($U70=Constants!$B$2,TRUE(),IF($U70=Constants!$B$3,FALSE(),FALSE())))</f>
        <v/>
      </c>
      <c r="BA70" s="74" t="str">
        <f aca="false">IF(ISBLANK($C70),"",IF(OR($V70&amp;""="1",$V70&amp;""="2",$V70&amp;""="3",$V70&amp;""="4"),VALUE($V70&amp;""),IF($V70=Constants!$B$12,Constants!$B$12,"")))</f>
        <v/>
      </c>
      <c r="BB70" s="74" t="str">
        <f aca="false">IF(ISBLANK($C70),"",IF(ISBLANK($W70),0,IF(ISNUMBER($W70),IF(AND($W70&gt;=0,$W70&lt;=Constants!$B$21,$W70=INT($W70)),$W70,""),"")))</f>
        <v/>
      </c>
      <c r="BC70" s="74" t="str">
        <f aca="false">IF(ISBLANK($C70),"",IF(ISBLANK($X70),0,IF(ISNUMBER($X70),IF($X70&gt;=0,$X70,""),"")))</f>
        <v/>
      </c>
      <c r="BD70" s="74" t="str">
        <f aca="false">IF(ISBLANK($C70),"",IF($Y70=Constants!$B$2,TRUE(),IF($Y70=Constants!$B$3,FALSE(),TRUE())))</f>
        <v/>
      </c>
      <c r="BE70" s="74" t="str">
        <f aca="false">IF(ISBLANK($C70),"",IF($Z70=Constants!$B$2,TRUE(),IF($Z70=Constants!$B$3,FALSE(),FALSE())))</f>
        <v/>
      </c>
      <c r="BF70" s="74" t="str">
        <f aca="false">IF(ISBLANK($C70),"",IF(ISBLANK($AA70),0,IF(ISNUMBER($AA70),IF(AND($AA70&gt;=0,$AA70&lt;=Constants!$B$35,$AA70=INT($AA70)),$AA70,""),"")))</f>
        <v/>
      </c>
      <c r="BG70" s="74" t="str">
        <f aca="false">IF(ISBLANK($C70),"",IF($AB70=Constants!$B$2,TRUE(),IF($AB70=Constants!$B$3,FALSE(),TRUE())))</f>
        <v/>
      </c>
      <c r="BH70" s="74" t="str">
        <f aca="false">IF(ISBLANK($C70),"",IF($AC70=Constants!$B$2,TRUE(),IF($AC70=Constants!$B$3,FALSE(),TRUE())))</f>
        <v/>
      </c>
      <c r="BI70" s="74" t="str">
        <f aca="false">IF(ISBLANK($C70),"",IF($AD70=Constants!$B$2,TRUE(),IF($AD70=Constants!$B$3,FALSE(),TRUE())))</f>
        <v/>
      </c>
      <c r="BJ70" s="74" t="str">
        <f aca="false">IF(ISBLANK($C70),"",IF(ISNUMBER($AE70),IF($AE70&gt;=0,$AE70,""),""))</f>
        <v/>
      </c>
      <c r="BK70" s="74" t="str">
        <f aca="false">IF(ISBLANK($C70),"",IF($AF70=Constants!$B$2,TRUE(),IF($AF70=Constants!$B$3,FALSE(),FALSE())))</f>
        <v/>
      </c>
      <c r="BL70" s="73" t="str">
        <f aca="false">IF(ISBLANK($C70),"",IF($BK70,Constants!$B$7,IF(COUNTA($E70:$AE70)=0,Constants!$B$6,IF(OR(COUNTA($G70:$AE70)=0,NOT($AM70),$AS70),Constants!$B$5,IF(OR($CM70&lt;&gt;"",$CN70,$CO70,$CP70,$CQ70,$CR70,$CS70),Constants!$B$8,Constants!$B$4)))))</f>
        <v/>
      </c>
      <c r="BM70" s="74" t="str">
        <f aca="false">IF(ISBLANK($C70),"",IF($BL70&lt;&gt;Constants!$B$4,$BL70,IF(OR(NOT($AJ70),NOT($AL70),NOT($AT70)),Constants!$B$11,IF(OR(NOT($AR70),NOT($AU70),NOT($BI70),MAX($AN70,$AO70,$AP70)&gt;Constants!$B$30),Constants!$B$10,Constants!$B$9))))</f>
        <v/>
      </c>
      <c r="BN70" s="74" t="str">
        <f aca="false">IF($BL70&lt;&gt;Constants!$B$4,"",IF(NOT($AL70),0,MIN(Constants!$B$35,$BF70)))</f>
        <v/>
      </c>
      <c r="BO70" s="74" t="str">
        <f aca="false">IF($BL70&lt;&gt;Constants!$B$4,"",IF(NOT($AL70),0,IF($AW70,Constants!$B$18,IF($AV70,Constants!$B$17,0))))</f>
        <v/>
      </c>
      <c r="BP70" s="74" t="str">
        <f aca="false">IF($BL70&lt;&gt;Constants!$B$4,"",IF(NOT($AL70),0,Constants!$B$19*($AK70+$AX70+$AY70+$AZ70)))</f>
        <v/>
      </c>
      <c r="BQ70" s="74" t="str">
        <f aca="false">IF($BL70&lt;&gt;Constants!$B$4,"",IF(OR(NOT($AL70),NOT(ISNUMBER($BA70))),0,CHOOSE($BA70,Constants!$B$13,Constants!$B$14,Constants!$B$15,Constants!$B$16)))</f>
        <v/>
      </c>
      <c r="BR70" s="74" t="str">
        <f aca="false">IF($BL70&lt;&gt;Constants!$B$4,"",IF(NOT($AL70),0,Constants!$B$20*$BB70))</f>
        <v/>
      </c>
      <c r="BS70" s="74" t="str">
        <f aca="false">IF($BL70&lt;&gt;Constants!$B$4,"",IF(AND($AL70,$BD70,$BE70),Constants!$B$22,0))</f>
        <v/>
      </c>
      <c r="BT70" s="74" t="str">
        <f aca="false">IF($BL70&lt;&gt;Constants!$B$4,"",IF(OR(NOT($AL70),NOT($BD70)),0,IF($BJ70&gt;=2*$AH$9,0,Constants!$B$23*INT(ROUND(MIN($BJ70,$AH$9),6)))))</f>
        <v/>
      </c>
      <c r="BU70" s="74" t="str">
        <f aca="false">IF($BL70&lt;&gt;Constants!$B$4,"",IF(NOT($AL70),0,Constants!$B$24*INT(ROUND(MIN($BC70,$AH$9),6))))</f>
        <v/>
      </c>
      <c r="BV70" s="74" t="str">
        <f aca="false">IF($BL70&lt;&gt;Constants!$B$4,"",IF(AND($AL70,$BN70=0),Constants!$B$25,0))</f>
        <v/>
      </c>
      <c r="BW70" s="74" t="str">
        <f aca="false">IF($BL70&lt;&gt;Constants!$B$4,"",MIN(Constants!$B$29,MAX(0,Constants!$B$27*Constants!$B$28*INT(ROUND((Constants!$B$26-$AN70)/Constants!$B$28,6))))+MIN(Constants!$B$29,MAX(0,Constants!$B$27*Constants!$B$28*INT(ROUND((Constants!$B$26-$AO70)/Constants!$B$28,6))))+MIN(Constants!$B$29,MAX(0,Constants!$B$27*Constants!$B$28*INT(ROUND((Constants!$B$26-$AP70)/Constants!$B$28,6)))))</f>
        <v/>
      </c>
      <c r="BX70" s="74" t="str">
        <f aca="false">IF($BL70&lt;&gt;Constants!$B$4,"",IF(NOT($AL70),0,Constants!$B$31*INT(ROUND(MAX(0,MIN($BJ70,2*$AH$9)-$AH$9),6))))</f>
        <v/>
      </c>
      <c r="BY70" s="74" t="str">
        <f aca="false">IF($BL70&lt;&gt;Constants!$B$4,"",Constants!$B$32*(($AN70&gt;Constants!$B$26)+($AO70&gt;Constants!$B$26)+($AP70&gt;Constants!$B$26)))</f>
        <v/>
      </c>
      <c r="BZ70" s="74" t="str">
        <f aca="false">IF($BL70&lt;&gt;Constants!$B$4,"",IF(OR(NOT($AL70),$AQ70),0,Constants!$B$33))</f>
        <v/>
      </c>
      <c r="CA70" s="74" t="str">
        <f aca="false">IF($BL70&lt;&gt;Constants!$B$4,"",Constants!$B$34*$BN70)</f>
        <v/>
      </c>
      <c r="CB70" s="74" t="str">
        <f aca="false">IF($BL70&lt;&gt;Constants!$B$4,"",IF(OR(NOT($AL70),$BH70),0,Constants!$B$36))</f>
        <v/>
      </c>
      <c r="CC70" s="74" t="str">
        <f aca="false">IF($BL70&lt;&gt;Constants!$B$4,"",IF(OR(NOT($AL70),$BG70),0,Constants!$B$37))</f>
        <v/>
      </c>
      <c r="CD70" s="74" t="str">
        <f aca="false">IF($BL70&lt;&gt;Constants!$B$4,"",SUM($BX70:$CC70))</f>
        <v/>
      </c>
      <c r="CE70" s="74" t="str">
        <f aca="false">IF(ISBLANK($C70),"",IF($BL70&lt;&gt;Constants!$B$4,$BL70,SUM($BO70:$BW70)-$CD70))</f>
        <v/>
      </c>
      <c r="CF70" s="74" t="str">
        <f aca="false">IF(ISBLANK($C70),"",IF($BL70&lt;&gt;Constants!$B$4,$BL70,RANK($CE70,$CE$9:$CE$508)))</f>
        <v/>
      </c>
      <c r="CG70" s="74" t="str">
        <f aca="false">IF(ISBLANK($C70),"",IF($BL70&lt;&gt;Constants!$B$4,$BL70,COUNTIFS($BM$9:$BM$508,"&lt;"&amp;$BM70)+COUNTIFS($BM$9:$BM$508,$BM70,$CF$9:$CF$508,"&lt;"&amp;$CF70)+1))</f>
        <v/>
      </c>
      <c r="CH70" s="74" t="str">
        <f aca="false">IF(ISBLANK($C70),"",IF($BL70&lt;&gt;Constants!$B$4,$BL70,RANK($CD70,$CD$9:$CD$508,1)))</f>
        <v/>
      </c>
      <c r="CI70" s="74" t="str">
        <f aca="false">IF($BL70&lt;&gt;Constants!$B$4,"",$AN70+$AO70+$AP70)</f>
        <v/>
      </c>
      <c r="CJ70" s="74" t="str">
        <f aca="false">IF(ISBLANK($C70),"",IF($BL70&lt;&gt;Constants!$B$4,$BL70,RANK($CI70,$CI$9:$CI$508,1)))</f>
        <v/>
      </c>
      <c r="CK70" s="74" t="str">
        <f aca="false">IF(ISBLANK($C70),"",IF($BL70&lt;&gt;Constants!$B$4,$BL70,COUNTIFS($BM$9:$BM$508,"&lt;"&amp;$BM70)+COUNTIFS($BM$9:$BM$508,$BM70,$CF$9:$CF$508,"&lt;"&amp;$CF70)+COUNTIFS($BM$9:$BM$508,$BM70,$CF$9:$CF$508,$CF70,$CH$9:$CH$508,"&lt;"&amp;$CH70)+COUNTIFS($BM$9:$BM$508,$BM70,$CF$9:$CF$508,$CF70,$CH$9:$CH$508,$CH70,$CJ$9:$CJ$508,"&lt;"&amp;$CJ70)+1))</f>
        <v/>
      </c>
      <c r="CL70" s="74" t="str">
        <f aca="false">IF(ISBLANK($C70),"",IF($BL70&lt;&gt;Constants!$B$4,$BL70,$CG70-$CK70))</f>
        <v/>
      </c>
      <c r="CM70" s="74" t="str">
        <f aca="false">IF(ISBLANK($C70),"",IF(NOT($AL70),"",IF(ISBLANK($D$7),$CM$5,IF(NOT(ISNUMBER($D$7)),$CM$6,""))))</f>
        <v/>
      </c>
      <c r="CN70" s="74" t="str">
        <f aca="false">IF(ISBLANK($C70),"",OR($AN70="",$AO70="",$AP70=""))</f>
        <v/>
      </c>
      <c r="CO70" s="74" t="str">
        <f aca="false">IF(ISBLANK($C70),"",AND($AL70,$BA70=""))</f>
        <v/>
      </c>
      <c r="CP70" s="74" t="str">
        <f aca="false">IF(ISBLANK($C70),"",AND($AL70,$BB70=""))</f>
        <v/>
      </c>
      <c r="CQ70" s="74" t="str">
        <f aca="false">IF(ISBLANK($C70),"",AND($AL70,$BC70=""))</f>
        <v/>
      </c>
      <c r="CR70" s="74" t="str">
        <f aca="false">IF(ISBLANK($C70),"",AND($AL70,$BF70=""))</f>
        <v/>
      </c>
      <c r="CS70" s="74" t="str">
        <f aca="false">IF(ISBLANK($C70),"",AND($AL70,$BJ70=""))</f>
        <v/>
      </c>
      <c r="CT70" s="75"/>
      <c r="CU70" s="76"/>
      <c r="CV70" s="79" t="str">
        <f aca="false">IF(ISBLANK($C70),"",IF($BL70=Constants!$B$8,$CM70,""))</f>
        <v/>
      </c>
      <c r="CW70" s="76" t="str">
        <f aca="false">IF(ISBLANK($C70),"",IF($BL70&lt;&gt;Constants!$B$4,"",$BO70+$BP70))</f>
        <v/>
      </c>
      <c r="CX70" s="78" t="str">
        <f aca="false">IF(ISBLANK($C70),"",IF($BL70&lt;&gt;Constants!$B$4,"",$BQ70+$BR70+$BS70))</f>
        <v/>
      </c>
      <c r="CY70" s="78" t="str">
        <f aca="false">IF(ISBLANK($C70),"",IF($BL70&lt;&gt;Constants!$B$4,"",$BT70))</f>
        <v/>
      </c>
      <c r="CZ70" s="78" t="str">
        <f aca="false">IF(ISBLANK($C70),"",IF($BL70&lt;&gt;Constants!$B$4,"",$BU70+$BV70))</f>
        <v/>
      </c>
      <c r="DA70" s="78" t="str">
        <f aca="false">IF(ISBLANK($C70),"",IF($BL70&lt;&gt;Constants!$B$4,"",$BW70))</f>
        <v/>
      </c>
      <c r="DB70" s="78" t="str">
        <f aca="false">IF(ISBLANK($C70),"",IF($BL70&lt;&gt;Constants!$B$4,"",-$CD70))</f>
        <v/>
      </c>
      <c r="DC70" s="79" t="str">
        <f aca="false">IF(ISBLANK($C70),"",$CE70)</f>
        <v/>
      </c>
      <c r="DD70" s="80" t="str">
        <f aca="false">IF(ISBLANK($C70),"",$BM70)</f>
        <v/>
      </c>
      <c r="DE70" s="78" t="str">
        <f aca="false">IF(ISBLANK($C70),"",$CL70)</f>
        <v/>
      </c>
      <c r="DF70" s="78" t="str">
        <f aca="false">IF(ISBLANK($C70),"",$CK70)</f>
        <v/>
      </c>
      <c r="DG70" s="81" t="str">
        <f aca="false">IF(ISBLANK($C70),"",IF($DF70=Constants!$B$7,COUNTA($C$9:$C$508)+2,IF($DF70=Constants!$B$6,COUNTA($C$9:$C$508)+1,IF($DF70=Constants!$B$5,COUNTA($C$9:$C$508),$DF70))))</f>
        <v/>
      </c>
      <c r="DH70" s="7"/>
      <c r="DI70" s="82" t="n">
        <f aca="false">IF(OR(ISNUMBER($DF70),$DF70=Constants!$B$7,$DF70=Constants!$B$5,$DF70=Constants!$B$6),1,0)</f>
        <v>0</v>
      </c>
      <c r="DJ70" s="82" t="n">
        <v>62</v>
      </c>
      <c r="DK70" s="82" t="str">
        <f aca="false">IF(ISBLANK($C70),"",IF(ISNUMBER($DG70),$DG70+ROW($B70)/1000,""))</f>
        <v/>
      </c>
      <c r="DL70" s="82" t="str">
        <f aca="false">IF(ISNUMBER($DK70),RANK($DK70,$DK$9:$DK$508,1),"")</f>
        <v/>
      </c>
      <c r="DM70" s="82" t="str">
        <f aca="false">IF(ISBLANK($C70),"",$B70)</f>
        <v/>
      </c>
      <c r="DN70" s="82" t="str">
        <f aca="false">IF(ISBLANK($C70),"",$C70)</f>
        <v/>
      </c>
      <c r="DO70" s="82" t="str">
        <f aca="false">IF(ISBLANK($C70),"",$D70)</f>
        <v/>
      </c>
      <c r="DP70" s="83" t="str">
        <f aca="false">$DD70</f>
        <v/>
      </c>
      <c r="DQ70" s="84" t="str">
        <f aca="false">$DC70</f>
        <v/>
      </c>
      <c r="DR70" s="82" t="str">
        <f aca="false">IF(ISBLANK($C70),"",$DF70)</f>
        <v/>
      </c>
      <c r="DS70" s="85" t="str">
        <f aca="false">IF($DJ70&gt;$DI$8,"",VLOOKUP($DJ70,$DL$9:$DR$508,7,FALSE()))</f>
        <v/>
      </c>
      <c r="DT70" s="86" t="str">
        <f aca="false">IF($DJ70&gt;$DI$8,"",VLOOKUP($DJ70,$DL$9:$DR$508,2,FALSE()))</f>
        <v/>
      </c>
      <c r="DU70" s="86" t="str">
        <f aca="false">IF($DJ70&gt;$DI$8,"",VLOOKUP($DJ70,$DL$9:$DR$508,3,FALSE()))</f>
        <v/>
      </c>
      <c r="DV70" s="86" t="str">
        <f aca="false">IF($DJ70&gt;$DI$8,"",VLOOKUP($DJ70,$DL$9:$DR$508,4,FALSE()))</f>
        <v/>
      </c>
      <c r="DW70" s="86" t="str">
        <f aca="false">IF($DJ70&gt;$DI$8,"",VLOOKUP($DJ70,$DL$9:$DR$508,5,FALSE()))</f>
        <v/>
      </c>
      <c r="DX70" s="87" t="str">
        <f aca="false">IF($DJ70&gt;$DI$8,"",VLOOKUP($DJ70,$DL$9:$DR$508,6,FALSE()))</f>
        <v/>
      </c>
      <c r="DY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2"/>
      <c r="N71" s="122"/>
      <c r="O71" s="66"/>
      <c r="P71" s="66"/>
      <c r="Q71" s="122"/>
      <c r="R71" s="122"/>
      <c r="S71" s="122"/>
      <c r="T71" s="122"/>
      <c r="U71" s="66"/>
      <c r="V71" s="122"/>
      <c r="W71" s="120"/>
      <c r="X71" s="122"/>
      <c r="Y71" s="122"/>
      <c r="Z71" s="120"/>
      <c r="AA71" s="120"/>
      <c r="AB71" s="122"/>
      <c r="AC71" s="122"/>
      <c r="AD71" s="122"/>
      <c r="AE71" s="121"/>
      <c r="AF71" s="122"/>
      <c r="AG71" s="73"/>
      <c r="AH71" s="74"/>
      <c r="AI71" s="74"/>
      <c r="AJ71" s="74" t="str">
        <f aca="false">IF(ISBLANK($C71),"",IF($E71=Constants!$B$2,TRUE(),IF($E71=Constants!$B$3,FALSE(),TRUE())))</f>
        <v/>
      </c>
      <c r="AK71" s="74" t="str">
        <f aca="false">IF(ISBLANK($C71),"",IF($F71=Constants!$B$2,TRUE(),IF($F71=Constants!$B$3,FALSE(),FALSE())))</f>
        <v/>
      </c>
      <c r="AL71" s="74" t="str">
        <f aca="false">IF(ISBLANK($C71),"",IF($G71=Constants!$B$2,TRUE(),IF($G71=Constants!$B$3,FALSE(),TRUE())))</f>
        <v/>
      </c>
      <c r="AM71" s="74" t="str">
        <f aca="false">IF(ISBLANK($C71),"",IF($H71=Constants!$B$2,TRUE(),IF($H71=Constants!$B$3,FALSE(),TRUE())))</f>
        <v/>
      </c>
      <c r="AN71" s="74" t="str">
        <f aca="false">IF(ISBLANK($C71),"",IF(ISNUMBER($I71),IF($I71&gt;=0,$I71,""),""))</f>
        <v/>
      </c>
      <c r="AO71" s="74" t="str">
        <f aca="false">IF(ISBLANK($C71),"",IF(ISNUMBER($J71),IF($J71&gt;=0,$J71,""),""))</f>
        <v/>
      </c>
      <c r="AP71" s="74" t="str">
        <f aca="false">IF(ISBLANK($C71),"",IF(ISNUMBER($K71),IF($K71&gt;=0,$K71,""),""))</f>
        <v/>
      </c>
      <c r="AQ71" s="74" t="str">
        <f aca="false">IF(ISBLANK($C71),"",IF($L71=Constants!$B$2,TRUE(),IF($L71=Constants!$B$3,FALSE(),TRUE())))</f>
        <v/>
      </c>
      <c r="AR71" s="74" t="str">
        <f aca="false">IF(ISBLANK($C71),"",IF($M71=Constants!$B$2,TRUE(),IF($M71=Constants!$B$3,FALSE(),TRUE())))</f>
        <v/>
      </c>
      <c r="AS71" s="74" t="str">
        <f aca="false">IF(ISBLANK($C71),"",IF($N71=Constants!$B$2,TRUE(),IF($N71=Constants!$B$3,FALSE(),FALSE())))</f>
        <v/>
      </c>
      <c r="AT71" s="74" t="str">
        <f aca="false">IF(ISBLANK($C71),"",IF($O71=Constants!$B$2,TRUE(),IF($O71=Constants!$B$3,FALSE(),TRUE())))</f>
        <v/>
      </c>
      <c r="AU71" s="74" t="str">
        <f aca="false">IF(ISBLANK($C71),"",IF($P71=Constants!$B$2,TRUE(),IF($P71=Constants!$B$3,FALSE(),TRUE())))</f>
        <v/>
      </c>
      <c r="AV71" s="74" t="str">
        <f aca="false">IF(ISBLANK($C71),"",IF($Q71=Constants!$B$2,TRUE(),IF($Q71=Constants!$B$3,FALSE(),FALSE())))</f>
        <v/>
      </c>
      <c r="AW71" s="74" t="str">
        <f aca="false">IF(ISBLANK($C71),"",IF($R71=Constants!$B$2,TRUE(),IF($R71=Constants!$B$3,FALSE(),FALSE())))</f>
        <v/>
      </c>
      <c r="AX71" s="74" t="str">
        <f aca="false">IF(ISBLANK($C71),"",IF($S71=Constants!$B$2,TRUE(),IF($S71=Constants!$B$3,FALSE(),FALSE())))</f>
        <v/>
      </c>
      <c r="AY71" s="74" t="str">
        <f aca="false">IF(ISBLANK($C71),"",IF($T71=Constants!$B$2,TRUE(),IF($T71=Constants!$B$3,FALSE(),FALSE())))</f>
        <v/>
      </c>
      <c r="AZ71" s="74" t="str">
        <f aca="false">IF(ISBLANK($C71),"",IF($U71=Constants!$B$2,TRUE(),IF($U71=Constants!$B$3,FALSE(),FALSE())))</f>
        <v/>
      </c>
      <c r="BA71" s="74" t="str">
        <f aca="false">IF(ISBLANK($C71),"",IF(OR($V71&amp;""="1",$V71&amp;""="2",$V71&amp;""="3",$V71&amp;""="4"),VALUE($V71&amp;""),IF($V71=Constants!$B$12,Constants!$B$12,"")))</f>
        <v/>
      </c>
      <c r="BB71" s="74" t="str">
        <f aca="false">IF(ISBLANK($C71),"",IF(ISBLANK($W71),0,IF(ISNUMBER($W71),IF(AND($W71&gt;=0,$W71&lt;=Constants!$B$21,$W71=INT($W71)),$W71,""),"")))</f>
        <v/>
      </c>
      <c r="BC71" s="74" t="str">
        <f aca="false">IF(ISBLANK($C71),"",IF(ISBLANK($X71),0,IF(ISNUMBER($X71),IF($X71&gt;=0,$X71,""),"")))</f>
        <v/>
      </c>
      <c r="BD71" s="74" t="str">
        <f aca="false">IF(ISBLANK($C71),"",IF($Y71=Constants!$B$2,TRUE(),IF($Y71=Constants!$B$3,FALSE(),TRUE())))</f>
        <v/>
      </c>
      <c r="BE71" s="74" t="str">
        <f aca="false">IF(ISBLANK($C71),"",IF($Z71=Constants!$B$2,TRUE(),IF($Z71=Constants!$B$3,FALSE(),FALSE())))</f>
        <v/>
      </c>
      <c r="BF71" s="74" t="str">
        <f aca="false">IF(ISBLANK($C71),"",IF(ISBLANK($AA71),0,IF(ISNUMBER($AA71),IF(AND($AA71&gt;=0,$AA71&lt;=Constants!$B$35,$AA71=INT($AA71)),$AA71,""),"")))</f>
        <v/>
      </c>
      <c r="BG71" s="74" t="str">
        <f aca="false">IF(ISBLANK($C71),"",IF($AB71=Constants!$B$2,TRUE(),IF($AB71=Constants!$B$3,FALSE(),TRUE())))</f>
        <v/>
      </c>
      <c r="BH71" s="74" t="str">
        <f aca="false">IF(ISBLANK($C71),"",IF($AC71=Constants!$B$2,TRUE(),IF($AC71=Constants!$B$3,FALSE(),TRUE())))</f>
        <v/>
      </c>
      <c r="BI71" s="74" t="str">
        <f aca="false">IF(ISBLANK($C71),"",IF($AD71=Constants!$B$2,TRUE(),IF($AD71=Constants!$B$3,FALSE(),TRUE())))</f>
        <v/>
      </c>
      <c r="BJ71" s="74" t="str">
        <f aca="false">IF(ISBLANK($C71),"",IF(ISNUMBER($AE71),IF($AE71&gt;=0,$AE71,""),""))</f>
        <v/>
      </c>
      <c r="BK71" s="74" t="str">
        <f aca="false">IF(ISBLANK($C71),"",IF($AF71=Constants!$B$2,TRUE(),IF($AF71=Constants!$B$3,FALSE(),FALSE())))</f>
        <v/>
      </c>
      <c r="BL71" s="73" t="str">
        <f aca="false">IF(ISBLANK($C71),"",IF($BK71,Constants!$B$7,IF(COUNTA($E71:$AE71)=0,Constants!$B$6,IF(OR(COUNTA($G71:$AE71)=0,NOT($AM71),$AS71),Constants!$B$5,IF(OR($CM71&lt;&gt;"",$CN71,$CO71,$CP71,$CQ71,$CR71,$CS71),Constants!$B$8,Constants!$B$4)))))</f>
        <v/>
      </c>
      <c r="BM71" s="74" t="str">
        <f aca="false">IF(ISBLANK($C71),"",IF($BL71&lt;&gt;Constants!$B$4,$BL71,IF(OR(NOT($AJ71),NOT($AL71),NOT($AT71)),Constants!$B$11,IF(OR(NOT($AR71),NOT($AU71),NOT($BI71),MAX($AN71,$AO71,$AP71)&gt;Constants!$B$30),Constants!$B$10,Constants!$B$9))))</f>
        <v/>
      </c>
      <c r="BN71" s="74" t="str">
        <f aca="false">IF($BL71&lt;&gt;Constants!$B$4,"",IF(NOT($AL71),0,MIN(Constants!$B$35,$BF71)))</f>
        <v/>
      </c>
      <c r="BO71" s="74" t="str">
        <f aca="false">IF($BL71&lt;&gt;Constants!$B$4,"",IF(NOT($AL71),0,IF($AW71,Constants!$B$18,IF($AV71,Constants!$B$17,0))))</f>
        <v/>
      </c>
      <c r="BP71" s="74" t="str">
        <f aca="false">IF($BL71&lt;&gt;Constants!$B$4,"",IF(NOT($AL71),0,Constants!$B$19*($AK71+$AX71+$AY71+$AZ71)))</f>
        <v/>
      </c>
      <c r="BQ71" s="74" t="str">
        <f aca="false">IF($BL71&lt;&gt;Constants!$B$4,"",IF(OR(NOT($AL71),NOT(ISNUMBER($BA71))),0,CHOOSE($BA71,Constants!$B$13,Constants!$B$14,Constants!$B$15,Constants!$B$16)))</f>
        <v/>
      </c>
      <c r="BR71" s="74" t="str">
        <f aca="false">IF($BL71&lt;&gt;Constants!$B$4,"",IF(NOT($AL71),0,Constants!$B$20*$BB71))</f>
        <v/>
      </c>
      <c r="BS71" s="74" t="str">
        <f aca="false">IF($BL71&lt;&gt;Constants!$B$4,"",IF(AND($AL71,$BD71,$BE71),Constants!$B$22,0))</f>
        <v/>
      </c>
      <c r="BT71" s="74" t="str">
        <f aca="false">IF($BL71&lt;&gt;Constants!$B$4,"",IF(OR(NOT($AL71),NOT($BD71)),0,IF($BJ71&gt;=2*$AH$9,0,Constants!$B$23*INT(ROUND(MIN($BJ71,$AH$9),6)))))</f>
        <v/>
      </c>
      <c r="BU71" s="74" t="str">
        <f aca="false">IF($BL71&lt;&gt;Constants!$B$4,"",IF(NOT($AL71),0,Constants!$B$24*INT(ROUND(MIN($BC71,$AH$9),6))))</f>
        <v/>
      </c>
      <c r="BV71" s="74" t="str">
        <f aca="false">IF($BL71&lt;&gt;Constants!$B$4,"",IF(AND($AL71,$BN71=0),Constants!$B$25,0))</f>
        <v/>
      </c>
      <c r="BW71" s="74" t="str">
        <f aca="false">IF($BL71&lt;&gt;Constants!$B$4,"",MIN(Constants!$B$29,MAX(0,Constants!$B$27*Constants!$B$28*INT(ROUND((Constants!$B$26-$AN71)/Constants!$B$28,6))))+MIN(Constants!$B$29,MAX(0,Constants!$B$27*Constants!$B$28*INT(ROUND((Constants!$B$26-$AO71)/Constants!$B$28,6))))+MIN(Constants!$B$29,MAX(0,Constants!$B$27*Constants!$B$28*INT(ROUND((Constants!$B$26-$AP71)/Constants!$B$28,6)))))</f>
        <v/>
      </c>
      <c r="BX71" s="74" t="str">
        <f aca="false">IF($BL71&lt;&gt;Constants!$B$4,"",IF(NOT($AL71),0,Constants!$B$31*INT(ROUND(MAX(0,MIN($BJ71,2*$AH$9)-$AH$9),6))))</f>
        <v/>
      </c>
      <c r="BY71" s="74" t="str">
        <f aca="false">IF($BL71&lt;&gt;Constants!$B$4,"",Constants!$B$32*(($AN71&gt;Constants!$B$26)+($AO71&gt;Constants!$B$26)+($AP71&gt;Constants!$B$26)))</f>
        <v/>
      </c>
      <c r="BZ71" s="74" t="str">
        <f aca="false">IF($BL71&lt;&gt;Constants!$B$4,"",IF(OR(NOT($AL71),$AQ71),0,Constants!$B$33))</f>
        <v/>
      </c>
      <c r="CA71" s="74" t="str">
        <f aca="false">IF($BL71&lt;&gt;Constants!$B$4,"",Constants!$B$34*$BN71)</f>
        <v/>
      </c>
      <c r="CB71" s="74" t="str">
        <f aca="false">IF($BL71&lt;&gt;Constants!$B$4,"",IF(OR(NOT($AL71),$BH71),0,Constants!$B$36))</f>
        <v/>
      </c>
      <c r="CC71" s="74" t="str">
        <f aca="false">IF($BL71&lt;&gt;Constants!$B$4,"",IF(OR(NOT($AL71),$BG71),0,Constants!$B$37))</f>
        <v/>
      </c>
      <c r="CD71" s="74" t="str">
        <f aca="false">IF($BL71&lt;&gt;Constants!$B$4,"",SUM($BX71:$CC71))</f>
        <v/>
      </c>
      <c r="CE71" s="74" t="str">
        <f aca="false">IF(ISBLANK($C71),"",IF($BL71&lt;&gt;Constants!$B$4,$BL71,SUM($BO71:$BW71)-$CD71))</f>
        <v/>
      </c>
      <c r="CF71" s="74" t="str">
        <f aca="false">IF(ISBLANK($C71),"",IF($BL71&lt;&gt;Constants!$B$4,$BL71,RANK($CE71,$CE$9:$CE$508)))</f>
        <v/>
      </c>
      <c r="CG71" s="74" t="str">
        <f aca="false">IF(ISBLANK($C71),"",IF($BL71&lt;&gt;Constants!$B$4,$BL71,COUNTIFS($BM$9:$BM$508,"&lt;"&amp;$BM71)+COUNTIFS($BM$9:$BM$508,$BM71,$CF$9:$CF$508,"&lt;"&amp;$CF71)+1))</f>
        <v/>
      </c>
      <c r="CH71" s="74" t="str">
        <f aca="false">IF(ISBLANK($C71),"",IF($BL71&lt;&gt;Constants!$B$4,$BL71,RANK($CD71,$CD$9:$CD$508,1)))</f>
        <v/>
      </c>
      <c r="CI71" s="74" t="str">
        <f aca="false">IF($BL71&lt;&gt;Constants!$B$4,"",$AN71+$AO71+$AP71)</f>
        <v/>
      </c>
      <c r="CJ71" s="74" t="str">
        <f aca="false">IF(ISBLANK($C71),"",IF($BL71&lt;&gt;Constants!$B$4,$BL71,RANK($CI71,$CI$9:$CI$508,1)))</f>
        <v/>
      </c>
      <c r="CK71" s="74" t="str">
        <f aca="false">IF(ISBLANK($C71),"",IF($BL71&lt;&gt;Constants!$B$4,$BL71,COUNTIFS($BM$9:$BM$508,"&lt;"&amp;$BM71)+COUNTIFS($BM$9:$BM$508,$BM71,$CF$9:$CF$508,"&lt;"&amp;$CF71)+COUNTIFS($BM$9:$BM$508,$BM71,$CF$9:$CF$508,$CF71,$CH$9:$CH$508,"&lt;"&amp;$CH71)+COUNTIFS($BM$9:$BM$508,$BM71,$CF$9:$CF$508,$CF71,$CH$9:$CH$508,$CH71,$CJ$9:$CJ$508,"&lt;"&amp;$CJ71)+1))</f>
        <v/>
      </c>
      <c r="CL71" s="74" t="str">
        <f aca="false">IF(ISBLANK($C71),"",IF($BL71&lt;&gt;Constants!$B$4,$BL71,$CG71-$CK71))</f>
        <v/>
      </c>
      <c r="CM71" s="74" t="str">
        <f aca="false">IF(ISBLANK($C71),"",IF(NOT($AL71),"",IF(ISBLANK($D$7),$CM$5,IF(NOT(ISNUMBER($D$7)),$CM$6,""))))</f>
        <v/>
      </c>
      <c r="CN71" s="74" t="str">
        <f aca="false">IF(ISBLANK($C71),"",OR($AN71="",$AO71="",$AP71=""))</f>
        <v/>
      </c>
      <c r="CO71" s="74" t="str">
        <f aca="false">IF(ISBLANK($C71),"",AND($AL71,$BA71=""))</f>
        <v/>
      </c>
      <c r="CP71" s="74" t="str">
        <f aca="false">IF(ISBLANK($C71),"",AND($AL71,$BB71=""))</f>
        <v/>
      </c>
      <c r="CQ71" s="74" t="str">
        <f aca="false">IF(ISBLANK($C71),"",AND($AL71,$BC71=""))</f>
        <v/>
      </c>
      <c r="CR71" s="74" t="str">
        <f aca="false">IF(ISBLANK($C71),"",AND($AL71,$BF71=""))</f>
        <v/>
      </c>
      <c r="CS71" s="74" t="str">
        <f aca="false">IF(ISBLANK($C71),"",AND($AL71,$BJ71=""))</f>
        <v/>
      </c>
      <c r="CT71" s="75"/>
      <c r="CU71" s="76"/>
      <c r="CV71" s="79" t="str">
        <f aca="false">IF(ISBLANK($C71),"",IF($BL71=Constants!$B$8,$CM71,""))</f>
        <v/>
      </c>
      <c r="CW71" s="76" t="str">
        <f aca="false">IF(ISBLANK($C71),"",IF($BL71&lt;&gt;Constants!$B$4,"",$BO71+$BP71))</f>
        <v/>
      </c>
      <c r="CX71" s="78" t="str">
        <f aca="false">IF(ISBLANK($C71),"",IF($BL71&lt;&gt;Constants!$B$4,"",$BQ71+$BR71+$BS71))</f>
        <v/>
      </c>
      <c r="CY71" s="78" t="str">
        <f aca="false">IF(ISBLANK($C71),"",IF($BL71&lt;&gt;Constants!$B$4,"",$BT71))</f>
        <v/>
      </c>
      <c r="CZ71" s="78" t="str">
        <f aca="false">IF(ISBLANK($C71),"",IF($BL71&lt;&gt;Constants!$B$4,"",$BU71+$BV71))</f>
        <v/>
      </c>
      <c r="DA71" s="78" t="str">
        <f aca="false">IF(ISBLANK($C71),"",IF($BL71&lt;&gt;Constants!$B$4,"",$BW71))</f>
        <v/>
      </c>
      <c r="DB71" s="78" t="str">
        <f aca="false">IF(ISBLANK($C71),"",IF($BL71&lt;&gt;Constants!$B$4,"",-$CD71))</f>
        <v/>
      </c>
      <c r="DC71" s="79" t="str">
        <f aca="false">IF(ISBLANK($C71),"",$CE71)</f>
        <v/>
      </c>
      <c r="DD71" s="80" t="str">
        <f aca="false">IF(ISBLANK($C71),"",$BM71)</f>
        <v/>
      </c>
      <c r="DE71" s="78" t="str">
        <f aca="false">IF(ISBLANK($C71),"",$CL71)</f>
        <v/>
      </c>
      <c r="DF71" s="78" t="str">
        <f aca="false">IF(ISBLANK($C71),"",$CK71)</f>
        <v/>
      </c>
      <c r="DG71" s="81" t="str">
        <f aca="false">IF(ISBLANK($C71),"",IF($DF71=Constants!$B$7,COUNTA($C$9:$C$508)+2,IF($DF71=Constants!$B$6,COUNTA($C$9:$C$508)+1,IF($DF71=Constants!$B$5,COUNTA($C$9:$C$508),$DF71))))</f>
        <v/>
      </c>
      <c r="DH71" s="7"/>
      <c r="DI71" s="82" t="n">
        <f aca="false">IF(OR(ISNUMBER($DF71),$DF71=Constants!$B$7,$DF71=Constants!$B$5,$DF71=Constants!$B$6),1,0)</f>
        <v>0</v>
      </c>
      <c r="DJ71" s="82" t="n">
        <v>63</v>
      </c>
      <c r="DK71" s="82" t="str">
        <f aca="false">IF(ISBLANK($C71),"",IF(ISNUMBER($DG71),$DG71+ROW($B71)/1000,""))</f>
        <v/>
      </c>
      <c r="DL71" s="82" t="str">
        <f aca="false">IF(ISNUMBER($DK71),RANK($DK71,$DK$9:$DK$508,1),"")</f>
        <v/>
      </c>
      <c r="DM71" s="82" t="str">
        <f aca="false">IF(ISBLANK($C71),"",$B71)</f>
        <v/>
      </c>
      <c r="DN71" s="82" t="str">
        <f aca="false">IF(ISBLANK($C71),"",$C71)</f>
        <v/>
      </c>
      <c r="DO71" s="82" t="str">
        <f aca="false">IF(ISBLANK($C71),"",$D71)</f>
        <v/>
      </c>
      <c r="DP71" s="83" t="str">
        <f aca="false">$DD71</f>
        <v/>
      </c>
      <c r="DQ71" s="84" t="str">
        <f aca="false">$DC71</f>
        <v/>
      </c>
      <c r="DR71" s="82" t="str">
        <f aca="false">IF(ISBLANK($C71),"",$DF71)</f>
        <v/>
      </c>
      <c r="DS71" s="85" t="str">
        <f aca="false">IF($DJ71&gt;$DI$8,"",VLOOKUP($DJ71,$DL$9:$DR$508,7,FALSE()))</f>
        <v/>
      </c>
      <c r="DT71" s="86" t="str">
        <f aca="false">IF($DJ71&gt;$DI$8,"",VLOOKUP($DJ71,$DL$9:$DR$508,2,FALSE()))</f>
        <v/>
      </c>
      <c r="DU71" s="86" t="str">
        <f aca="false">IF($DJ71&gt;$DI$8,"",VLOOKUP($DJ71,$DL$9:$DR$508,3,FALSE()))</f>
        <v/>
      </c>
      <c r="DV71" s="86" t="str">
        <f aca="false">IF($DJ71&gt;$DI$8,"",VLOOKUP($DJ71,$DL$9:$DR$508,4,FALSE()))</f>
        <v/>
      </c>
      <c r="DW71" s="86" t="str">
        <f aca="false">IF($DJ71&gt;$DI$8,"",VLOOKUP($DJ71,$DL$9:$DR$508,5,FALSE()))</f>
        <v/>
      </c>
      <c r="DX71" s="87" t="str">
        <f aca="false">IF($DJ71&gt;$DI$8,"",VLOOKUP($DJ71,$DL$9:$DR$508,6,FALSE()))</f>
        <v/>
      </c>
      <c r="DY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130"/>
      <c r="N72" s="130"/>
      <c r="O72" s="135"/>
      <c r="P72" s="135"/>
      <c r="Q72" s="130"/>
      <c r="R72" s="130"/>
      <c r="S72" s="130"/>
      <c r="T72" s="130"/>
      <c r="U72" s="135"/>
      <c r="V72" s="130"/>
      <c r="W72" s="96"/>
      <c r="X72" s="130"/>
      <c r="Y72" s="130"/>
      <c r="Z72" s="96"/>
      <c r="AA72" s="96"/>
      <c r="AB72" s="130"/>
      <c r="AC72" s="130"/>
      <c r="AD72" s="130"/>
      <c r="AE72" s="97"/>
      <c r="AF72" s="130"/>
      <c r="AG72" s="99"/>
      <c r="AH72" s="100"/>
      <c r="AI72" s="100"/>
      <c r="AJ72" s="100" t="str">
        <f aca="false">IF(ISBLANK($C72),"",IF($E72=Constants!$B$2,TRUE(),IF($E72=Constants!$B$3,FALSE(),TRUE())))</f>
        <v/>
      </c>
      <c r="AK72" s="100" t="str">
        <f aca="false">IF(ISBLANK($C72),"",IF($F72=Constants!$B$2,TRUE(),IF($F72=Constants!$B$3,FALSE(),FALSE())))</f>
        <v/>
      </c>
      <c r="AL72" s="100" t="str">
        <f aca="false">IF(ISBLANK($C72),"",IF($G72=Constants!$B$2,TRUE(),IF($G72=Constants!$B$3,FALSE(),TRUE())))</f>
        <v/>
      </c>
      <c r="AM72" s="100" t="str">
        <f aca="false">IF(ISBLANK($C72),"",IF($H72=Constants!$B$2,TRUE(),IF($H72=Constants!$B$3,FALSE(),TRUE())))</f>
        <v/>
      </c>
      <c r="AN72" s="100" t="str">
        <f aca="false">IF(ISBLANK($C72),"",IF(ISNUMBER($I72),IF($I72&gt;=0,$I72,""),""))</f>
        <v/>
      </c>
      <c r="AO72" s="100" t="str">
        <f aca="false">IF(ISBLANK($C72),"",IF(ISNUMBER($J72),IF($J72&gt;=0,$J72,""),""))</f>
        <v/>
      </c>
      <c r="AP72" s="100" t="str">
        <f aca="false">IF(ISBLANK($C72),"",IF(ISNUMBER($K72),IF($K72&gt;=0,$K72,""),""))</f>
        <v/>
      </c>
      <c r="AQ72" s="100" t="str">
        <f aca="false">IF(ISBLANK($C72),"",IF($L72=Constants!$B$2,TRUE(),IF($L72=Constants!$B$3,FALSE(),TRUE())))</f>
        <v/>
      </c>
      <c r="AR72" s="100" t="str">
        <f aca="false">IF(ISBLANK($C72),"",IF($M72=Constants!$B$2,TRUE(),IF($M72=Constants!$B$3,FALSE(),TRUE())))</f>
        <v/>
      </c>
      <c r="AS72" s="100" t="str">
        <f aca="false">IF(ISBLANK($C72),"",IF($N72=Constants!$B$2,TRUE(),IF($N72=Constants!$B$3,FALSE(),FALSE())))</f>
        <v/>
      </c>
      <c r="AT72" s="100" t="str">
        <f aca="false">IF(ISBLANK($C72),"",IF($O72=Constants!$B$2,TRUE(),IF($O72=Constants!$B$3,FALSE(),TRUE())))</f>
        <v/>
      </c>
      <c r="AU72" s="100" t="str">
        <f aca="false">IF(ISBLANK($C72),"",IF($P72=Constants!$B$2,TRUE(),IF($P72=Constants!$B$3,FALSE(),TRUE())))</f>
        <v/>
      </c>
      <c r="AV72" s="100" t="str">
        <f aca="false">IF(ISBLANK($C72),"",IF($Q72=Constants!$B$2,TRUE(),IF($Q72=Constants!$B$3,FALSE(),FALSE())))</f>
        <v/>
      </c>
      <c r="AW72" s="100" t="str">
        <f aca="false">IF(ISBLANK($C72),"",IF($R72=Constants!$B$2,TRUE(),IF($R72=Constants!$B$3,FALSE(),FALSE())))</f>
        <v/>
      </c>
      <c r="AX72" s="100" t="str">
        <f aca="false">IF(ISBLANK($C72),"",IF($S72=Constants!$B$2,TRUE(),IF($S72=Constants!$B$3,FALSE(),FALSE())))</f>
        <v/>
      </c>
      <c r="AY72" s="100" t="str">
        <f aca="false">IF(ISBLANK($C72),"",IF($T72=Constants!$B$2,TRUE(),IF($T72=Constants!$B$3,FALSE(),FALSE())))</f>
        <v/>
      </c>
      <c r="AZ72" s="100" t="str">
        <f aca="false">IF(ISBLANK($C72),"",IF($U72=Constants!$B$2,TRUE(),IF($U72=Constants!$B$3,FALSE(),FALSE())))</f>
        <v/>
      </c>
      <c r="BA72" s="100" t="str">
        <f aca="false">IF(ISBLANK($C72),"",IF(OR($V72&amp;""="1",$V72&amp;""="2",$V72&amp;""="3",$V72&amp;""="4"),VALUE($V72&amp;""),IF($V72=Constants!$B$12,Constants!$B$12,"")))</f>
        <v/>
      </c>
      <c r="BB72" s="100" t="str">
        <f aca="false">IF(ISBLANK($C72),"",IF(ISBLANK($W72),0,IF(ISNUMBER($W72),IF(AND($W72&gt;=0,$W72&lt;=Constants!$B$21,$W72=INT($W72)),$W72,""),"")))</f>
        <v/>
      </c>
      <c r="BC72" s="100" t="str">
        <f aca="false">IF(ISBLANK($C72),"",IF(ISBLANK($X72),0,IF(ISNUMBER($X72),IF($X72&gt;=0,$X72,""),"")))</f>
        <v/>
      </c>
      <c r="BD72" s="100" t="str">
        <f aca="false">IF(ISBLANK($C72),"",IF($Y72=Constants!$B$2,TRUE(),IF($Y72=Constants!$B$3,FALSE(),TRUE())))</f>
        <v/>
      </c>
      <c r="BE72" s="100" t="str">
        <f aca="false">IF(ISBLANK($C72),"",IF($Z72=Constants!$B$2,TRUE(),IF($Z72=Constants!$B$3,FALSE(),FALSE())))</f>
        <v/>
      </c>
      <c r="BF72" s="100" t="str">
        <f aca="false">IF(ISBLANK($C72),"",IF(ISBLANK($AA72),0,IF(ISNUMBER($AA72),IF(AND($AA72&gt;=0,$AA72&lt;=Constants!$B$35,$AA72=INT($AA72)),$AA72,""),"")))</f>
        <v/>
      </c>
      <c r="BG72" s="100" t="str">
        <f aca="false">IF(ISBLANK($C72),"",IF($AB72=Constants!$B$2,TRUE(),IF($AB72=Constants!$B$3,FALSE(),TRUE())))</f>
        <v/>
      </c>
      <c r="BH72" s="100" t="str">
        <f aca="false">IF(ISBLANK($C72),"",IF($AC72=Constants!$B$2,TRUE(),IF($AC72=Constants!$B$3,FALSE(),TRUE())))</f>
        <v/>
      </c>
      <c r="BI72" s="100" t="str">
        <f aca="false">IF(ISBLANK($C72),"",IF($AD72=Constants!$B$2,TRUE(),IF($AD72=Constants!$B$3,FALSE(),TRUE())))</f>
        <v/>
      </c>
      <c r="BJ72" s="100" t="str">
        <f aca="false">IF(ISBLANK($C72),"",IF(ISNUMBER($AE72),IF($AE72&gt;=0,$AE72,""),""))</f>
        <v/>
      </c>
      <c r="BK72" s="100" t="str">
        <f aca="false">IF(ISBLANK($C72),"",IF($AF72=Constants!$B$2,TRUE(),IF($AF72=Constants!$B$3,FALSE(),FALSE())))</f>
        <v/>
      </c>
      <c r="BL72" s="99" t="str">
        <f aca="false">IF(ISBLANK($C72),"",IF($BK72,Constants!$B$7,IF(COUNTA($E72:$AE72)=0,Constants!$B$6,IF(OR(COUNTA($G72:$AE72)=0,NOT($AM72),$AS72),Constants!$B$5,IF(OR($CM72&lt;&gt;"",$CN72,$CO72,$CP72,$CQ72,$CR72,$CS72),Constants!$B$8,Constants!$B$4)))))</f>
        <v/>
      </c>
      <c r="BM72" s="100" t="str">
        <f aca="false">IF(ISBLANK($C72),"",IF($BL72&lt;&gt;Constants!$B$4,$BL72,IF(OR(NOT($AJ72),NOT($AL72),NOT($AT72)),Constants!$B$11,IF(OR(NOT($AR72),NOT($AU72),NOT($BI72),MAX($AN72,$AO72,$AP72)&gt;Constants!$B$30),Constants!$B$10,Constants!$B$9))))</f>
        <v/>
      </c>
      <c r="BN72" s="100" t="str">
        <f aca="false">IF($BL72&lt;&gt;Constants!$B$4,"",IF(NOT($AL72),0,MIN(Constants!$B$35,$BF72)))</f>
        <v/>
      </c>
      <c r="BO72" s="100" t="str">
        <f aca="false">IF($BL72&lt;&gt;Constants!$B$4,"",IF(NOT($AL72),0,IF($AW72,Constants!$B$18,IF($AV72,Constants!$B$17,0))))</f>
        <v/>
      </c>
      <c r="BP72" s="100" t="str">
        <f aca="false">IF($BL72&lt;&gt;Constants!$B$4,"",IF(NOT($AL72),0,Constants!$B$19*($AK72+$AX72+$AY72+$AZ72)))</f>
        <v/>
      </c>
      <c r="BQ72" s="100" t="str">
        <f aca="false">IF($BL72&lt;&gt;Constants!$B$4,"",IF(OR(NOT($AL72),NOT(ISNUMBER($BA72))),0,CHOOSE($BA72,Constants!$B$13,Constants!$B$14,Constants!$B$15,Constants!$B$16)))</f>
        <v/>
      </c>
      <c r="BR72" s="100" t="str">
        <f aca="false">IF($BL72&lt;&gt;Constants!$B$4,"",IF(NOT($AL72),0,Constants!$B$20*$BB72))</f>
        <v/>
      </c>
      <c r="BS72" s="100" t="str">
        <f aca="false">IF($BL72&lt;&gt;Constants!$B$4,"",IF(AND($AL72,$BD72,$BE72),Constants!$B$22,0))</f>
        <v/>
      </c>
      <c r="BT72" s="100" t="str">
        <f aca="false">IF($BL72&lt;&gt;Constants!$B$4,"",IF(OR(NOT($AL72),NOT($BD72)),0,IF($BJ72&gt;=2*$AH$9,0,Constants!$B$23*INT(ROUND(MIN($BJ72,$AH$9),6)))))</f>
        <v/>
      </c>
      <c r="BU72" s="100" t="str">
        <f aca="false">IF($BL72&lt;&gt;Constants!$B$4,"",IF(NOT($AL72),0,Constants!$B$24*INT(ROUND(MIN($BC72,$AH$9),6))))</f>
        <v/>
      </c>
      <c r="BV72" s="100" t="str">
        <f aca="false">IF($BL72&lt;&gt;Constants!$B$4,"",IF(AND($AL72,$BN72=0),Constants!$B$25,0))</f>
        <v/>
      </c>
      <c r="BW72" s="100" t="str">
        <f aca="false">IF($BL72&lt;&gt;Constants!$B$4,"",MIN(Constants!$B$29,MAX(0,Constants!$B$27*Constants!$B$28*INT(ROUND((Constants!$B$26-$AN72)/Constants!$B$28,6))))+MIN(Constants!$B$29,MAX(0,Constants!$B$27*Constants!$B$28*INT(ROUND((Constants!$B$26-$AO72)/Constants!$B$28,6))))+MIN(Constants!$B$29,MAX(0,Constants!$B$27*Constants!$B$28*INT(ROUND((Constants!$B$26-$AP72)/Constants!$B$28,6)))))</f>
        <v/>
      </c>
      <c r="BX72" s="100" t="str">
        <f aca="false">IF($BL72&lt;&gt;Constants!$B$4,"",IF(NOT($AL72),0,Constants!$B$31*INT(ROUND(MAX(0,MIN($BJ72,2*$AH$9)-$AH$9),6))))</f>
        <v/>
      </c>
      <c r="BY72" s="100" t="str">
        <f aca="false">IF($BL72&lt;&gt;Constants!$B$4,"",Constants!$B$32*(($AN72&gt;Constants!$B$26)+($AO72&gt;Constants!$B$26)+($AP72&gt;Constants!$B$26)))</f>
        <v/>
      </c>
      <c r="BZ72" s="100" t="str">
        <f aca="false">IF($BL72&lt;&gt;Constants!$B$4,"",IF(OR(NOT($AL72),$AQ72),0,Constants!$B$33))</f>
        <v/>
      </c>
      <c r="CA72" s="100" t="str">
        <f aca="false">IF($BL72&lt;&gt;Constants!$B$4,"",Constants!$B$34*$BN72)</f>
        <v/>
      </c>
      <c r="CB72" s="100" t="str">
        <f aca="false">IF($BL72&lt;&gt;Constants!$B$4,"",IF(OR(NOT($AL72),$BH72),0,Constants!$B$36))</f>
        <v/>
      </c>
      <c r="CC72" s="100" t="str">
        <f aca="false">IF($BL72&lt;&gt;Constants!$B$4,"",IF(OR(NOT($AL72),$BG72),0,Constants!$B$37))</f>
        <v/>
      </c>
      <c r="CD72" s="100" t="str">
        <f aca="false">IF($BL72&lt;&gt;Constants!$B$4,"",SUM($BX72:$CC72))</f>
        <v/>
      </c>
      <c r="CE72" s="100" t="str">
        <f aca="false">IF(ISBLANK($C72),"",IF($BL72&lt;&gt;Constants!$B$4,$BL72,SUM($BO72:$BW72)-$CD72))</f>
        <v/>
      </c>
      <c r="CF72" s="100" t="str">
        <f aca="false">IF(ISBLANK($C72),"",IF($BL72&lt;&gt;Constants!$B$4,$BL72,RANK($CE72,$CE$9:$CE$508)))</f>
        <v/>
      </c>
      <c r="CG72" s="100" t="str">
        <f aca="false">IF(ISBLANK($C72),"",IF($BL72&lt;&gt;Constants!$B$4,$BL72,COUNTIFS($BM$9:$BM$508,"&lt;"&amp;$BM72)+COUNTIFS($BM$9:$BM$508,$BM72,$CF$9:$CF$508,"&lt;"&amp;$CF72)+1))</f>
        <v/>
      </c>
      <c r="CH72" s="100" t="str">
        <f aca="false">IF(ISBLANK($C72),"",IF($BL72&lt;&gt;Constants!$B$4,$BL72,RANK($CD72,$CD$9:$CD$508,1)))</f>
        <v/>
      </c>
      <c r="CI72" s="100" t="str">
        <f aca="false">IF($BL72&lt;&gt;Constants!$B$4,"",$AN72+$AO72+$AP72)</f>
        <v/>
      </c>
      <c r="CJ72" s="100" t="str">
        <f aca="false">IF(ISBLANK($C72),"",IF($BL72&lt;&gt;Constants!$B$4,$BL72,RANK($CI72,$CI$9:$CI$508,1)))</f>
        <v/>
      </c>
      <c r="CK72" s="100" t="str">
        <f aca="false">IF(ISBLANK($C72),"",IF($BL72&lt;&gt;Constants!$B$4,$BL72,COUNTIFS($BM$9:$BM$508,"&lt;"&amp;$BM72)+COUNTIFS($BM$9:$BM$508,$BM72,$CF$9:$CF$508,"&lt;"&amp;$CF72)+COUNTIFS($BM$9:$BM$508,$BM72,$CF$9:$CF$508,$CF72,$CH$9:$CH$508,"&lt;"&amp;$CH72)+COUNTIFS($BM$9:$BM$508,$BM72,$CF$9:$CF$508,$CF72,$CH$9:$CH$508,$CH72,$CJ$9:$CJ$508,"&lt;"&amp;$CJ72)+1))</f>
        <v/>
      </c>
      <c r="CL72" s="100" t="str">
        <f aca="false">IF(ISBLANK($C72),"",IF($BL72&lt;&gt;Constants!$B$4,$BL72,$CG72-$CK72))</f>
        <v/>
      </c>
      <c r="CM72" s="100" t="str">
        <f aca="false">IF(ISBLANK($C72),"",IF(NOT($AL72),"",IF(ISBLANK($D$7),$CM$5,IF(NOT(ISNUMBER($D$7)),$CM$6,""))))</f>
        <v/>
      </c>
      <c r="CN72" s="100" t="str">
        <f aca="false">IF(ISBLANK($C72),"",OR($AN72="",$AO72="",$AP72=""))</f>
        <v/>
      </c>
      <c r="CO72" s="100" t="str">
        <f aca="false">IF(ISBLANK($C72),"",AND($AL72,$BA72=""))</f>
        <v/>
      </c>
      <c r="CP72" s="100" t="str">
        <f aca="false">IF(ISBLANK($C72),"",AND($AL72,$BB72=""))</f>
        <v/>
      </c>
      <c r="CQ72" s="100" t="str">
        <f aca="false">IF(ISBLANK($C72),"",AND($AL72,$BC72=""))</f>
        <v/>
      </c>
      <c r="CR72" s="100" t="str">
        <f aca="false">IF(ISBLANK($C72),"",AND($AL72,$BF72=""))</f>
        <v/>
      </c>
      <c r="CS72" s="100" t="str">
        <f aca="false">IF(ISBLANK($C72),"",AND($AL72,$BJ72=""))</f>
        <v/>
      </c>
      <c r="CT72" s="101"/>
      <c r="CU72" s="102"/>
      <c r="CV72" s="103" t="str">
        <f aca="false">IF(ISBLANK($C72),"",IF($BL72=Constants!$B$8,$CM72,""))</f>
        <v/>
      </c>
      <c r="CW72" s="102" t="str">
        <f aca="false">IF(ISBLANK($C72),"",IF($BL72&lt;&gt;Constants!$B$4,"",$BO72+$BP72))</f>
        <v/>
      </c>
      <c r="CX72" s="104" t="str">
        <f aca="false">IF(ISBLANK($C72),"",IF($BL72&lt;&gt;Constants!$B$4,"",$BQ72+$BR72+$BS72))</f>
        <v/>
      </c>
      <c r="CY72" s="104" t="str">
        <f aca="false">IF(ISBLANK($C72),"",IF($BL72&lt;&gt;Constants!$B$4,"",$BT72))</f>
        <v/>
      </c>
      <c r="CZ72" s="104" t="str">
        <f aca="false">IF(ISBLANK($C72),"",IF($BL72&lt;&gt;Constants!$B$4,"",$BU72+$BV72))</f>
        <v/>
      </c>
      <c r="DA72" s="104" t="str">
        <f aca="false">IF(ISBLANK($C72),"",IF($BL72&lt;&gt;Constants!$B$4,"",$BW72))</f>
        <v/>
      </c>
      <c r="DB72" s="104" t="str">
        <f aca="false">IF(ISBLANK($C72),"",IF($BL72&lt;&gt;Constants!$B$4,"",-$CD72))</f>
        <v/>
      </c>
      <c r="DC72" s="103" t="str">
        <f aca="false">IF(ISBLANK($C72),"",$CE72)</f>
        <v/>
      </c>
      <c r="DD72" s="105" t="str">
        <f aca="false">IF(ISBLANK($C72),"",$BM72)</f>
        <v/>
      </c>
      <c r="DE72" s="104" t="str">
        <f aca="false">IF(ISBLANK($C72),"",$CL72)</f>
        <v/>
      </c>
      <c r="DF72" s="104" t="str">
        <f aca="false">IF(ISBLANK($C72),"",$CK72)</f>
        <v/>
      </c>
      <c r="DG72" s="106" t="str">
        <f aca="false">IF(ISBLANK($C72),"",IF($DF72=Constants!$B$7,COUNTA($C$9:$C$508)+2,IF($DF72=Constants!$B$6,COUNTA($C$9:$C$508)+1,IF($DF72=Constants!$B$5,COUNTA($C$9:$C$508),$DF72))))</f>
        <v/>
      </c>
      <c r="DH72" s="7"/>
      <c r="DI72" s="107" t="n">
        <f aca="false">IF(OR(ISNUMBER($DF72),$DF72=Constants!$B$7,$DF72=Constants!$B$5,$DF72=Constants!$B$6),1,0)</f>
        <v>0</v>
      </c>
      <c r="DJ72" s="107" t="n">
        <v>64</v>
      </c>
      <c r="DK72" s="107" t="str">
        <f aca="false">IF(ISBLANK($C72),"",IF(ISNUMBER($DG72),$DG72+ROW($B72)/1000,""))</f>
        <v/>
      </c>
      <c r="DL72" s="107" t="str">
        <f aca="false">IF(ISNUMBER($DK72),RANK($DK72,$DK$9:$DK$508,1),"")</f>
        <v/>
      </c>
      <c r="DM72" s="107" t="str">
        <f aca="false">IF(ISBLANK($C72),"",$B72)</f>
        <v/>
      </c>
      <c r="DN72" s="107" t="str">
        <f aca="false">IF(ISBLANK($C72),"",$C72)</f>
        <v/>
      </c>
      <c r="DO72" s="107" t="str">
        <f aca="false">IF(ISBLANK($C72),"",$D72)</f>
        <v/>
      </c>
      <c r="DP72" s="108" t="str">
        <f aca="false">$DD72</f>
        <v/>
      </c>
      <c r="DQ72" s="109" t="str">
        <f aca="false">$DC72</f>
        <v/>
      </c>
      <c r="DR72" s="107" t="str">
        <f aca="false">IF(ISBLANK($C72),"",$DF72)</f>
        <v/>
      </c>
      <c r="DS72" s="110" t="str">
        <f aca="false">IF($DJ72&gt;$DI$8,"",VLOOKUP($DJ72,$DL$9:$DR$508,7,FALSE()))</f>
        <v/>
      </c>
      <c r="DT72" s="111" t="str">
        <f aca="false">IF($DJ72&gt;$DI$8,"",VLOOKUP($DJ72,$DL$9:$DR$508,2,FALSE()))</f>
        <v/>
      </c>
      <c r="DU72" s="111" t="str">
        <f aca="false">IF($DJ72&gt;$DI$8,"",VLOOKUP($DJ72,$DL$9:$DR$508,3,FALSE()))</f>
        <v/>
      </c>
      <c r="DV72" s="111" t="str">
        <f aca="false">IF($DJ72&gt;$DI$8,"",VLOOKUP($DJ72,$DL$9:$DR$508,4,FALSE()))</f>
        <v/>
      </c>
      <c r="DW72" s="111" t="str">
        <f aca="false">IF($DJ72&gt;$DI$8,"",VLOOKUP($DJ72,$DL$9:$DR$508,5,FALSE()))</f>
        <v/>
      </c>
      <c r="DX72" s="112" t="str">
        <f aca="false">IF($DJ72&gt;$DI$8,"",VLOOKUP($DJ72,$DL$9:$DR$508,6,FALSE()))</f>
        <v/>
      </c>
      <c r="DY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130"/>
      <c r="N73" s="130"/>
      <c r="O73" s="135"/>
      <c r="P73" s="135"/>
      <c r="Q73" s="130"/>
      <c r="R73" s="130"/>
      <c r="S73" s="130"/>
      <c r="T73" s="130"/>
      <c r="U73" s="135"/>
      <c r="V73" s="130"/>
      <c r="W73" s="96"/>
      <c r="X73" s="130"/>
      <c r="Y73" s="130"/>
      <c r="Z73" s="96"/>
      <c r="AA73" s="96"/>
      <c r="AB73" s="130"/>
      <c r="AC73" s="130"/>
      <c r="AD73" s="130"/>
      <c r="AE73" s="97"/>
      <c r="AF73" s="130"/>
      <c r="AG73" s="99"/>
      <c r="AH73" s="100"/>
      <c r="AI73" s="100"/>
      <c r="AJ73" s="100" t="str">
        <f aca="false">IF(ISBLANK($C73),"",IF($E73=Constants!$B$2,TRUE(),IF($E73=Constants!$B$3,FALSE(),TRUE())))</f>
        <v/>
      </c>
      <c r="AK73" s="100" t="str">
        <f aca="false">IF(ISBLANK($C73),"",IF($F73=Constants!$B$2,TRUE(),IF($F73=Constants!$B$3,FALSE(),FALSE())))</f>
        <v/>
      </c>
      <c r="AL73" s="100" t="str">
        <f aca="false">IF(ISBLANK($C73),"",IF($G73=Constants!$B$2,TRUE(),IF($G73=Constants!$B$3,FALSE(),TRUE())))</f>
        <v/>
      </c>
      <c r="AM73" s="100" t="str">
        <f aca="false">IF(ISBLANK($C73),"",IF($H73=Constants!$B$2,TRUE(),IF($H73=Constants!$B$3,FALSE(),TRUE())))</f>
        <v/>
      </c>
      <c r="AN73" s="100" t="str">
        <f aca="false">IF(ISBLANK($C73),"",IF(ISNUMBER($I73),IF($I73&gt;=0,$I73,""),""))</f>
        <v/>
      </c>
      <c r="AO73" s="100" t="str">
        <f aca="false">IF(ISBLANK($C73),"",IF(ISNUMBER($J73),IF($J73&gt;=0,$J73,""),""))</f>
        <v/>
      </c>
      <c r="AP73" s="100" t="str">
        <f aca="false">IF(ISBLANK($C73),"",IF(ISNUMBER($K73),IF($K73&gt;=0,$K73,""),""))</f>
        <v/>
      </c>
      <c r="AQ73" s="100" t="str">
        <f aca="false">IF(ISBLANK($C73),"",IF($L73=Constants!$B$2,TRUE(),IF($L73=Constants!$B$3,FALSE(),TRUE())))</f>
        <v/>
      </c>
      <c r="AR73" s="100" t="str">
        <f aca="false">IF(ISBLANK($C73),"",IF($M73=Constants!$B$2,TRUE(),IF($M73=Constants!$B$3,FALSE(),TRUE())))</f>
        <v/>
      </c>
      <c r="AS73" s="100" t="str">
        <f aca="false">IF(ISBLANK($C73),"",IF($N73=Constants!$B$2,TRUE(),IF($N73=Constants!$B$3,FALSE(),FALSE())))</f>
        <v/>
      </c>
      <c r="AT73" s="100" t="str">
        <f aca="false">IF(ISBLANK($C73),"",IF($O73=Constants!$B$2,TRUE(),IF($O73=Constants!$B$3,FALSE(),TRUE())))</f>
        <v/>
      </c>
      <c r="AU73" s="100" t="str">
        <f aca="false">IF(ISBLANK($C73),"",IF($P73=Constants!$B$2,TRUE(),IF($P73=Constants!$B$3,FALSE(),TRUE())))</f>
        <v/>
      </c>
      <c r="AV73" s="100" t="str">
        <f aca="false">IF(ISBLANK($C73),"",IF($Q73=Constants!$B$2,TRUE(),IF($Q73=Constants!$B$3,FALSE(),FALSE())))</f>
        <v/>
      </c>
      <c r="AW73" s="100" t="str">
        <f aca="false">IF(ISBLANK($C73),"",IF($R73=Constants!$B$2,TRUE(),IF($R73=Constants!$B$3,FALSE(),FALSE())))</f>
        <v/>
      </c>
      <c r="AX73" s="100" t="str">
        <f aca="false">IF(ISBLANK($C73),"",IF($S73=Constants!$B$2,TRUE(),IF($S73=Constants!$B$3,FALSE(),FALSE())))</f>
        <v/>
      </c>
      <c r="AY73" s="100" t="str">
        <f aca="false">IF(ISBLANK($C73),"",IF($T73=Constants!$B$2,TRUE(),IF($T73=Constants!$B$3,FALSE(),FALSE())))</f>
        <v/>
      </c>
      <c r="AZ73" s="100" t="str">
        <f aca="false">IF(ISBLANK($C73),"",IF($U73=Constants!$B$2,TRUE(),IF($U73=Constants!$B$3,FALSE(),FALSE())))</f>
        <v/>
      </c>
      <c r="BA73" s="100" t="str">
        <f aca="false">IF(ISBLANK($C73),"",IF(OR($V73&amp;""="1",$V73&amp;""="2",$V73&amp;""="3",$V73&amp;""="4"),VALUE($V73&amp;""),IF($V73=Constants!$B$12,Constants!$B$12,"")))</f>
        <v/>
      </c>
      <c r="BB73" s="100" t="str">
        <f aca="false">IF(ISBLANK($C73),"",IF(ISBLANK($W73),0,IF(ISNUMBER($W73),IF(AND($W73&gt;=0,$W73&lt;=Constants!$B$21,$W73=INT($W73)),$W73,""),"")))</f>
        <v/>
      </c>
      <c r="BC73" s="100" t="str">
        <f aca="false">IF(ISBLANK($C73),"",IF(ISBLANK($X73),0,IF(ISNUMBER($X73),IF($X73&gt;=0,$X73,""),"")))</f>
        <v/>
      </c>
      <c r="BD73" s="100" t="str">
        <f aca="false">IF(ISBLANK($C73),"",IF($Y73=Constants!$B$2,TRUE(),IF($Y73=Constants!$B$3,FALSE(),TRUE())))</f>
        <v/>
      </c>
      <c r="BE73" s="100" t="str">
        <f aca="false">IF(ISBLANK($C73),"",IF($Z73=Constants!$B$2,TRUE(),IF($Z73=Constants!$B$3,FALSE(),FALSE())))</f>
        <v/>
      </c>
      <c r="BF73" s="100" t="str">
        <f aca="false">IF(ISBLANK($C73),"",IF(ISBLANK($AA73),0,IF(ISNUMBER($AA73),IF(AND($AA73&gt;=0,$AA73&lt;=Constants!$B$35,$AA73=INT($AA73)),$AA73,""),"")))</f>
        <v/>
      </c>
      <c r="BG73" s="100" t="str">
        <f aca="false">IF(ISBLANK($C73),"",IF($AB73=Constants!$B$2,TRUE(),IF($AB73=Constants!$B$3,FALSE(),TRUE())))</f>
        <v/>
      </c>
      <c r="BH73" s="100" t="str">
        <f aca="false">IF(ISBLANK($C73),"",IF($AC73=Constants!$B$2,TRUE(),IF($AC73=Constants!$B$3,FALSE(),TRUE())))</f>
        <v/>
      </c>
      <c r="BI73" s="100" t="str">
        <f aca="false">IF(ISBLANK($C73),"",IF($AD73=Constants!$B$2,TRUE(),IF($AD73=Constants!$B$3,FALSE(),TRUE())))</f>
        <v/>
      </c>
      <c r="BJ73" s="100" t="str">
        <f aca="false">IF(ISBLANK($C73),"",IF(ISNUMBER($AE73),IF($AE73&gt;=0,$AE73,""),""))</f>
        <v/>
      </c>
      <c r="BK73" s="100" t="str">
        <f aca="false">IF(ISBLANK($C73),"",IF($AF73=Constants!$B$2,TRUE(),IF($AF73=Constants!$B$3,FALSE(),FALSE())))</f>
        <v/>
      </c>
      <c r="BL73" s="99" t="str">
        <f aca="false">IF(ISBLANK($C73),"",IF($BK73,Constants!$B$7,IF(COUNTA($E73:$AE73)=0,Constants!$B$6,IF(OR(COUNTA($G73:$AE73)=0,NOT($AM73),$AS73),Constants!$B$5,IF(OR($CM73&lt;&gt;"",$CN73,$CO73,$CP73,$CQ73,$CR73,$CS73),Constants!$B$8,Constants!$B$4)))))</f>
        <v/>
      </c>
      <c r="BM73" s="100" t="str">
        <f aca="false">IF(ISBLANK($C73),"",IF($BL73&lt;&gt;Constants!$B$4,$BL73,IF(OR(NOT($AJ73),NOT($AL73),NOT($AT73)),Constants!$B$11,IF(OR(NOT($AR73),NOT($AU73),NOT($BI73),MAX($AN73,$AO73,$AP73)&gt;Constants!$B$30),Constants!$B$10,Constants!$B$9))))</f>
        <v/>
      </c>
      <c r="BN73" s="100" t="str">
        <f aca="false">IF($BL73&lt;&gt;Constants!$B$4,"",IF(NOT($AL73),0,MIN(Constants!$B$35,$BF73)))</f>
        <v/>
      </c>
      <c r="BO73" s="100" t="str">
        <f aca="false">IF($BL73&lt;&gt;Constants!$B$4,"",IF(NOT($AL73),0,IF($AW73,Constants!$B$18,IF($AV73,Constants!$B$17,0))))</f>
        <v/>
      </c>
      <c r="BP73" s="100" t="str">
        <f aca="false">IF($BL73&lt;&gt;Constants!$B$4,"",IF(NOT($AL73),0,Constants!$B$19*($AK73+$AX73+$AY73+$AZ73)))</f>
        <v/>
      </c>
      <c r="BQ73" s="100" t="str">
        <f aca="false">IF($BL73&lt;&gt;Constants!$B$4,"",IF(OR(NOT($AL73),NOT(ISNUMBER($BA73))),0,CHOOSE($BA73,Constants!$B$13,Constants!$B$14,Constants!$B$15,Constants!$B$16)))</f>
        <v/>
      </c>
      <c r="BR73" s="100" t="str">
        <f aca="false">IF($BL73&lt;&gt;Constants!$B$4,"",IF(NOT($AL73),0,Constants!$B$20*$BB73))</f>
        <v/>
      </c>
      <c r="BS73" s="100" t="str">
        <f aca="false">IF($BL73&lt;&gt;Constants!$B$4,"",IF(AND($AL73,$BD73,$BE73),Constants!$B$22,0))</f>
        <v/>
      </c>
      <c r="BT73" s="100" t="str">
        <f aca="false">IF($BL73&lt;&gt;Constants!$B$4,"",IF(OR(NOT($AL73),NOT($BD73)),0,IF($BJ73&gt;=2*$AH$9,0,Constants!$B$23*INT(ROUND(MIN($BJ73,$AH$9),6)))))</f>
        <v/>
      </c>
      <c r="BU73" s="100" t="str">
        <f aca="false">IF($BL73&lt;&gt;Constants!$B$4,"",IF(NOT($AL73),0,Constants!$B$24*INT(ROUND(MIN($BC73,$AH$9),6))))</f>
        <v/>
      </c>
      <c r="BV73" s="100" t="str">
        <f aca="false">IF($BL73&lt;&gt;Constants!$B$4,"",IF(AND($AL73,$BN73=0),Constants!$B$25,0))</f>
        <v/>
      </c>
      <c r="BW73" s="100" t="str">
        <f aca="false">IF($BL73&lt;&gt;Constants!$B$4,"",MIN(Constants!$B$29,MAX(0,Constants!$B$27*Constants!$B$28*INT(ROUND((Constants!$B$26-$AN73)/Constants!$B$28,6))))+MIN(Constants!$B$29,MAX(0,Constants!$B$27*Constants!$B$28*INT(ROUND((Constants!$B$26-$AO73)/Constants!$B$28,6))))+MIN(Constants!$B$29,MAX(0,Constants!$B$27*Constants!$B$28*INT(ROUND((Constants!$B$26-$AP73)/Constants!$B$28,6)))))</f>
        <v/>
      </c>
      <c r="BX73" s="100" t="str">
        <f aca="false">IF($BL73&lt;&gt;Constants!$B$4,"",IF(NOT($AL73),0,Constants!$B$31*INT(ROUND(MAX(0,MIN($BJ73,2*$AH$9)-$AH$9),6))))</f>
        <v/>
      </c>
      <c r="BY73" s="100" t="str">
        <f aca="false">IF($BL73&lt;&gt;Constants!$B$4,"",Constants!$B$32*(($AN73&gt;Constants!$B$26)+($AO73&gt;Constants!$B$26)+($AP73&gt;Constants!$B$26)))</f>
        <v/>
      </c>
      <c r="BZ73" s="100" t="str">
        <f aca="false">IF($BL73&lt;&gt;Constants!$B$4,"",IF(OR(NOT($AL73),$AQ73),0,Constants!$B$33))</f>
        <v/>
      </c>
      <c r="CA73" s="100" t="str">
        <f aca="false">IF($BL73&lt;&gt;Constants!$B$4,"",Constants!$B$34*$BN73)</f>
        <v/>
      </c>
      <c r="CB73" s="100" t="str">
        <f aca="false">IF($BL73&lt;&gt;Constants!$B$4,"",IF(OR(NOT($AL73),$BH73),0,Constants!$B$36))</f>
        <v/>
      </c>
      <c r="CC73" s="100" t="str">
        <f aca="false">IF($BL73&lt;&gt;Constants!$B$4,"",IF(OR(NOT($AL73),$BG73),0,Constants!$B$37))</f>
        <v/>
      </c>
      <c r="CD73" s="100" t="str">
        <f aca="false">IF($BL73&lt;&gt;Constants!$B$4,"",SUM($BX73:$CC73))</f>
        <v/>
      </c>
      <c r="CE73" s="100" t="str">
        <f aca="false">IF(ISBLANK($C73),"",IF($BL73&lt;&gt;Constants!$B$4,$BL73,SUM($BO73:$BW73)-$CD73))</f>
        <v/>
      </c>
      <c r="CF73" s="100" t="str">
        <f aca="false">IF(ISBLANK($C73),"",IF($BL73&lt;&gt;Constants!$B$4,$BL73,RANK($CE73,$CE$9:$CE$508)))</f>
        <v/>
      </c>
      <c r="CG73" s="100" t="str">
        <f aca="false">IF(ISBLANK($C73),"",IF($BL73&lt;&gt;Constants!$B$4,$BL73,COUNTIFS($BM$9:$BM$508,"&lt;"&amp;$BM73)+COUNTIFS($BM$9:$BM$508,$BM73,$CF$9:$CF$508,"&lt;"&amp;$CF73)+1))</f>
        <v/>
      </c>
      <c r="CH73" s="100" t="str">
        <f aca="false">IF(ISBLANK($C73),"",IF($BL73&lt;&gt;Constants!$B$4,$BL73,RANK($CD73,$CD$9:$CD$508,1)))</f>
        <v/>
      </c>
      <c r="CI73" s="100" t="str">
        <f aca="false">IF($BL73&lt;&gt;Constants!$B$4,"",$AN73+$AO73+$AP73)</f>
        <v/>
      </c>
      <c r="CJ73" s="100" t="str">
        <f aca="false">IF(ISBLANK($C73),"",IF($BL73&lt;&gt;Constants!$B$4,$BL73,RANK($CI73,$CI$9:$CI$508,1)))</f>
        <v/>
      </c>
      <c r="CK73" s="100" t="str">
        <f aca="false">IF(ISBLANK($C73),"",IF($BL73&lt;&gt;Constants!$B$4,$BL73,COUNTIFS($BM$9:$BM$508,"&lt;"&amp;$BM73)+COUNTIFS($BM$9:$BM$508,$BM73,$CF$9:$CF$508,"&lt;"&amp;$CF73)+COUNTIFS($BM$9:$BM$508,$BM73,$CF$9:$CF$508,$CF73,$CH$9:$CH$508,"&lt;"&amp;$CH73)+COUNTIFS($BM$9:$BM$508,$BM73,$CF$9:$CF$508,$CF73,$CH$9:$CH$508,$CH73,$CJ$9:$CJ$508,"&lt;"&amp;$CJ73)+1))</f>
        <v/>
      </c>
      <c r="CL73" s="100" t="str">
        <f aca="false">IF(ISBLANK($C73),"",IF($BL73&lt;&gt;Constants!$B$4,$BL73,$CG73-$CK73))</f>
        <v/>
      </c>
      <c r="CM73" s="100" t="str">
        <f aca="false">IF(ISBLANK($C73),"",IF(NOT($AL73),"",IF(ISBLANK($D$7),$CM$5,IF(NOT(ISNUMBER($D$7)),$CM$6,""))))</f>
        <v/>
      </c>
      <c r="CN73" s="100" t="str">
        <f aca="false">IF(ISBLANK($C73),"",OR($AN73="",$AO73="",$AP73=""))</f>
        <v/>
      </c>
      <c r="CO73" s="100" t="str">
        <f aca="false">IF(ISBLANK($C73),"",AND($AL73,$BA73=""))</f>
        <v/>
      </c>
      <c r="CP73" s="100" t="str">
        <f aca="false">IF(ISBLANK($C73),"",AND($AL73,$BB73=""))</f>
        <v/>
      </c>
      <c r="CQ73" s="100" t="str">
        <f aca="false">IF(ISBLANK($C73),"",AND($AL73,$BC73=""))</f>
        <v/>
      </c>
      <c r="CR73" s="100" t="str">
        <f aca="false">IF(ISBLANK($C73),"",AND($AL73,$BF73=""))</f>
        <v/>
      </c>
      <c r="CS73" s="100" t="str">
        <f aca="false">IF(ISBLANK($C73),"",AND($AL73,$BJ73=""))</f>
        <v/>
      </c>
      <c r="CT73" s="101"/>
      <c r="CU73" s="102"/>
      <c r="CV73" s="103" t="str">
        <f aca="false">IF(ISBLANK($C73),"",IF($BL73=Constants!$B$8,$CM73,""))</f>
        <v/>
      </c>
      <c r="CW73" s="102" t="str">
        <f aca="false">IF(ISBLANK($C73),"",IF($BL73&lt;&gt;Constants!$B$4,"",$BO73+$BP73))</f>
        <v/>
      </c>
      <c r="CX73" s="104" t="str">
        <f aca="false">IF(ISBLANK($C73),"",IF($BL73&lt;&gt;Constants!$B$4,"",$BQ73+$BR73+$BS73))</f>
        <v/>
      </c>
      <c r="CY73" s="104" t="str">
        <f aca="false">IF(ISBLANK($C73),"",IF($BL73&lt;&gt;Constants!$B$4,"",$BT73))</f>
        <v/>
      </c>
      <c r="CZ73" s="104" t="str">
        <f aca="false">IF(ISBLANK($C73),"",IF($BL73&lt;&gt;Constants!$B$4,"",$BU73+$BV73))</f>
        <v/>
      </c>
      <c r="DA73" s="104" t="str">
        <f aca="false">IF(ISBLANK($C73),"",IF($BL73&lt;&gt;Constants!$B$4,"",$BW73))</f>
        <v/>
      </c>
      <c r="DB73" s="104" t="str">
        <f aca="false">IF(ISBLANK($C73),"",IF($BL73&lt;&gt;Constants!$B$4,"",-$CD73))</f>
        <v/>
      </c>
      <c r="DC73" s="103" t="str">
        <f aca="false">IF(ISBLANK($C73),"",$CE73)</f>
        <v/>
      </c>
      <c r="DD73" s="105" t="str">
        <f aca="false">IF(ISBLANK($C73),"",$BM73)</f>
        <v/>
      </c>
      <c r="DE73" s="104" t="str">
        <f aca="false">IF(ISBLANK($C73),"",$CL73)</f>
        <v/>
      </c>
      <c r="DF73" s="104" t="str">
        <f aca="false">IF(ISBLANK($C73),"",$CK73)</f>
        <v/>
      </c>
      <c r="DG73" s="106" t="str">
        <f aca="false">IF(ISBLANK($C73),"",IF($DF73=Constants!$B$7,COUNTA($C$9:$C$508)+2,IF($DF73=Constants!$B$6,COUNTA($C$9:$C$508)+1,IF($DF73=Constants!$B$5,COUNTA($C$9:$C$508),$DF73))))</f>
        <v/>
      </c>
      <c r="DH73" s="7"/>
      <c r="DI73" s="107" t="n">
        <f aca="false">IF(OR(ISNUMBER($DF73),$DF73=Constants!$B$7,$DF73=Constants!$B$5,$DF73=Constants!$B$6),1,0)</f>
        <v>0</v>
      </c>
      <c r="DJ73" s="107" t="n">
        <v>65</v>
      </c>
      <c r="DK73" s="107" t="str">
        <f aca="false">IF(ISBLANK($C73),"",IF(ISNUMBER($DG73),$DG73+ROW($B73)/1000,""))</f>
        <v/>
      </c>
      <c r="DL73" s="107" t="str">
        <f aca="false">IF(ISNUMBER($DK73),RANK($DK73,$DK$9:$DK$508,1),"")</f>
        <v/>
      </c>
      <c r="DM73" s="107" t="str">
        <f aca="false">IF(ISBLANK($C73),"",$B73)</f>
        <v/>
      </c>
      <c r="DN73" s="107" t="str">
        <f aca="false">IF(ISBLANK($C73),"",$C73)</f>
        <v/>
      </c>
      <c r="DO73" s="107" t="str">
        <f aca="false">IF(ISBLANK($C73),"",$D73)</f>
        <v/>
      </c>
      <c r="DP73" s="108" t="str">
        <f aca="false">$DD73</f>
        <v/>
      </c>
      <c r="DQ73" s="109" t="str">
        <f aca="false">$DC73</f>
        <v/>
      </c>
      <c r="DR73" s="107" t="str">
        <f aca="false">IF(ISBLANK($C73),"",$DF73)</f>
        <v/>
      </c>
      <c r="DS73" s="110" t="str">
        <f aca="false">IF($DJ73&gt;$DI$8,"",VLOOKUP($DJ73,$DL$9:$DR$508,7,FALSE()))</f>
        <v/>
      </c>
      <c r="DT73" s="111" t="str">
        <f aca="false">IF($DJ73&gt;$DI$8,"",VLOOKUP($DJ73,$DL$9:$DR$508,2,FALSE()))</f>
        <v/>
      </c>
      <c r="DU73" s="111" t="str">
        <f aca="false">IF($DJ73&gt;$DI$8,"",VLOOKUP($DJ73,$DL$9:$DR$508,3,FALSE()))</f>
        <v/>
      </c>
      <c r="DV73" s="111" t="str">
        <f aca="false">IF($DJ73&gt;$DI$8,"",VLOOKUP($DJ73,$DL$9:$DR$508,4,FALSE()))</f>
        <v/>
      </c>
      <c r="DW73" s="111" t="str">
        <f aca="false">IF($DJ73&gt;$DI$8,"",VLOOKUP($DJ73,$DL$9:$DR$508,5,FALSE()))</f>
        <v/>
      </c>
      <c r="DX73" s="112" t="str">
        <f aca="false">IF($DJ73&gt;$DI$8,"",VLOOKUP($DJ73,$DL$9:$DR$508,6,FALSE()))</f>
        <v/>
      </c>
      <c r="DY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130"/>
      <c r="N74" s="130"/>
      <c r="O74" s="135"/>
      <c r="P74" s="135"/>
      <c r="Q74" s="130"/>
      <c r="R74" s="130"/>
      <c r="S74" s="130"/>
      <c r="T74" s="130"/>
      <c r="U74" s="135"/>
      <c r="V74" s="130"/>
      <c r="W74" s="96"/>
      <c r="X74" s="130"/>
      <c r="Y74" s="130"/>
      <c r="Z74" s="96"/>
      <c r="AA74" s="96"/>
      <c r="AB74" s="130"/>
      <c r="AC74" s="130"/>
      <c r="AD74" s="130"/>
      <c r="AE74" s="97"/>
      <c r="AF74" s="130"/>
      <c r="AG74" s="99"/>
      <c r="AH74" s="100"/>
      <c r="AI74" s="100"/>
      <c r="AJ74" s="100" t="str">
        <f aca="false">IF(ISBLANK($C74),"",IF($E74=Constants!$B$2,TRUE(),IF($E74=Constants!$B$3,FALSE(),TRUE())))</f>
        <v/>
      </c>
      <c r="AK74" s="100" t="str">
        <f aca="false">IF(ISBLANK($C74),"",IF($F74=Constants!$B$2,TRUE(),IF($F74=Constants!$B$3,FALSE(),FALSE())))</f>
        <v/>
      </c>
      <c r="AL74" s="100" t="str">
        <f aca="false">IF(ISBLANK($C74),"",IF($G74=Constants!$B$2,TRUE(),IF($G74=Constants!$B$3,FALSE(),TRUE())))</f>
        <v/>
      </c>
      <c r="AM74" s="100" t="str">
        <f aca="false">IF(ISBLANK($C74),"",IF($H74=Constants!$B$2,TRUE(),IF($H74=Constants!$B$3,FALSE(),TRUE())))</f>
        <v/>
      </c>
      <c r="AN74" s="100" t="str">
        <f aca="false">IF(ISBLANK($C74),"",IF(ISNUMBER($I74),IF($I74&gt;=0,$I74,""),""))</f>
        <v/>
      </c>
      <c r="AO74" s="100" t="str">
        <f aca="false">IF(ISBLANK($C74),"",IF(ISNUMBER($J74),IF($J74&gt;=0,$J74,""),""))</f>
        <v/>
      </c>
      <c r="AP74" s="100" t="str">
        <f aca="false">IF(ISBLANK($C74),"",IF(ISNUMBER($K74),IF($K74&gt;=0,$K74,""),""))</f>
        <v/>
      </c>
      <c r="AQ74" s="100" t="str">
        <f aca="false">IF(ISBLANK($C74),"",IF($L74=Constants!$B$2,TRUE(),IF($L74=Constants!$B$3,FALSE(),TRUE())))</f>
        <v/>
      </c>
      <c r="AR74" s="100" t="str">
        <f aca="false">IF(ISBLANK($C74),"",IF($M74=Constants!$B$2,TRUE(),IF($M74=Constants!$B$3,FALSE(),TRUE())))</f>
        <v/>
      </c>
      <c r="AS74" s="100" t="str">
        <f aca="false">IF(ISBLANK($C74),"",IF($N74=Constants!$B$2,TRUE(),IF($N74=Constants!$B$3,FALSE(),FALSE())))</f>
        <v/>
      </c>
      <c r="AT74" s="100" t="str">
        <f aca="false">IF(ISBLANK($C74),"",IF($O74=Constants!$B$2,TRUE(),IF($O74=Constants!$B$3,FALSE(),TRUE())))</f>
        <v/>
      </c>
      <c r="AU74" s="100" t="str">
        <f aca="false">IF(ISBLANK($C74),"",IF($P74=Constants!$B$2,TRUE(),IF($P74=Constants!$B$3,FALSE(),TRUE())))</f>
        <v/>
      </c>
      <c r="AV74" s="100" t="str">
        <f aca="false">IF(ISBLANK($C74),"",IF($Q74=Constants!$B$2,TRUE(),IF($Q74=Constants!$B$3,FALSE(),FALSE())))</f>
        <v/>
      </c>
      <c r="AW74" s="100" t="str">
        <f aca="false">IF(ISBLANK($C74),"",IF($R74=Constants!$B$2,TRUE(),IF($R74=Constants!$B$3,FALSE(),FALSE())))</f>
        <v/>
      </c>
      <c r="AX74" s="100" t="str">
        <f aca="false">IF(ISBLANK($C74),"",IF($S74=Constants!$B$2,TRUE(),IF($S74=Constants!$B$3,FALSE(),FALSE())))</f>
        <v/>
      </c>
      <c r="AY74" s="100" t="str">
        <f aca="false">IF(ISBLANK($C74),"",IF($T74=Constants!$B$2,TRUE(),IF($T74=Constants!$B$3,FALSE(),FALSE())))</f>
        <v/>
      </c>
      <c r="AZ74" s="100" t="str">
        <f aca="false">IF(ISBLANK($C74),"",IF($U74=Constants!$B$2,TRUE(),IF($U74=Constants!$B$3,FALSE(),FALSE())))</f>
        <v/>
      </c>
      <c r="BA74" s="100" t="str">
        <f aca="false">IF(ISBLANK($C74),"",IF(OR($V74&amp;""="1",$V74&amp;""="2",$V74&amp;""="3",$V74&amp;""="4"),VALUE($V74&amp;""),IF($V74=Constants!$B$12,Constants!$B$12,"")))</f>
        <v/>
      </c>
      <c r="BB74" s="100" t="str">
        <f aca="false">IF(ISBLANK($C74),"",IF(ISBLANK($W74),0,IF(ISNUMBER($W74),IF(AND($W74&gt;=0,$W74&lt;=Constants!$B$21,$W74=INT($W74)),$W74,""),"")))</f>
        <v/>
      </c>
      <c r="BC74" s="100" t="str">
        <f aca="false">IF(ISBLANK($C74),"",IF(ISBLANK($X74),0,IF(ISNUMBER($X74),IF($X74&gt;=0,$X74,""),"")))</f>
        <v/>
      </c>
      <c r="BD74" s="100" t="str">
        <f aca="false">IF(ISBLANK($C74),"",IF($Y74=Constants!$B$2,TRUE(),IF($Y74=Constants!$B$3,FALSE(),TRUE())))</f>
        <v/>
      </c>
      <c r="BE74" s="100" t="str">
        <f aca="false">IF(ISBLANK($C74),"",IF($Z74=Constants!$B$2,TRUE(),IF($Z74=Constants!$B$3,FALSE(),FALSE())))</f>
        <v/>
      </c>
      <c r="BF74" s="100" t="str">
        <f aca="false">IF(ISBLANK($C74),"",IF(ISBLANK($AA74),0,IF(ISNUMBER($AA74),IF(AND($AA74&gt;=0,$AA74&lt;=Constants!$B$35,$AA74=INT($AA74)),$AA74,""),"")))</f>
        <v/>
      </c>
      <c r="BG74" s="100" t="str">
        <f aca="false">IF(ISBLANK($C74),"",IF($AB74=Constants!$B$2,TRUE(),IF($AB74=Constants!$B$3,FALSE(),TRUE())))</f>
        <v/>
      </c>
      <c r="BH74" s="100" t="str">
        <f aca="false">IF(ISBLANK($C74),"",IF($AC74=Constants!$B$2,TRUE(),IF($AC74=Constants!$B$3,FALSE(),TRUE())))</f>
        <v/>
      </c>
      <c r="BI74" s="100" t="str">
        <f aca="false">IF(ISBLANK($C74),"",IF($AD74=Constants!$B$2,TRUE(),IF($AD74=Constants!$B$3,FALSE(),TRUE())))</f>
        <v/>
      </c>
      <c r="BJ74" s="100" t="str">
        <f aca="false">IF(ISBLANK($C74),"",IF(ISNUMBER($AE74),IF($AE74&gt;=0,$AE74,""),""))</f>
        <v/>
      </c>
      <c r="BK74" s="100" t="str">
        <f aca="false">IF(ISBLANK($C74),"",IF($AF74=Constants!$B$2,TRUE(),IF($AF74=Constants!$B$3,FALSE(),FALSE())))</f>
        <v/>
      </c>
      <c r="BL74" s="99" t="str">
        <f aca="false">IF(ISBLANK($C74),"",IF($BK74,Constants!$B$7,IF(COUNTA($E74:$AE74)=0,Constants!$B$6,IF(OR(COUNTA($G74:$AE74)=0,NOT($AM74),$AS74),Constants!$B$5,IF(OR($CM74&lt;&gt;"",$CN74,$CO74,$CP74,$CQ74,$CR74,$CS74),Constants!$B$8,Constants!$B$4)))))</f>
        <v/>
      </c>
      <c r="BM74" s="100" t="str">
        <f aca="false">IF(ISBLANK($C74),"",IF($BL74&lt;&gt;Constants!$B$4,$BL74,IF(OR(NOT($AJ74),NOT($AL74),NOT($AT74)),Constants!$B$11,IF(OR(NOT($AR74),NOT($AU74),NOT($BI74),MAX($AN74,$AO74,$AP74)&gt;Constants!$B$30),Constants!$B$10,Constants!$B$9))))</f>
        <v/>
      </c>
      <c r="BN74" s="100" t="str">
        <f aca="false">IF($BL74&lt;&gt;Constants!$B$4,"",IF(NOT($AL74),0,MIN(Constants!$B$35,$BF74)))</f>
        <v/>
      </c>
      <c r="BO74" s="100" t="str">
        <f aca="false">IF($BL74&lt;&gt;Constants!$B$4,"",IF(NOT($AL74),0,IF($AW74,Constants!$B$18,IF($AV74,Constants!$B$17,0))))</f>
        <v/>
      </c>
      <c r="BP74" s="100" t="str">
        <f aca="false">IF($BL74&lt;&gt;Constants!$B$4,"",IF(NOT($AL74),0,Constants!$B$19*($AK74+$AX74+$AY74+$AZ74)))</f>
        <v/>
      </c>
      <c r="BQ74" s="100" t="str">
        <f aca="false">IF($BL74&lt;&gt;Constants!$B$4,"",IF(OR(NOT($AL74),NOT(ISNUMBER($BA74))),0,CHOOSE($BA74,Constants!$B$13,Constants!$B$14,Constants!$B$15,Constants!$B$16)))</f>
        <v/>
      </c>
      <c r="BR74" s="100" t="str">
        <f aca="false">IF($BL74&lt;&gt;Constants!$B$4,"",IF(NOT($AL74),0,Constants!$B$20*$BB74))</f>
        <v/>
      </c>
      <c r="BS74" s="100" t="str">
        <f aca="false">IF($BL74&lt;&gt;Constants!$B$4,"",IF(AND($AL74,$BD74,$BE74),Constants!$B$22,0))</f>
        <v/>
      </c>
      <c r="BT74" s="100" t="str">
        <f aca="false">IF($BL74&lt;&gt;Constants!$B$4,"",IF(OR(NOT($AL74),NOT($BD74)),0,IF($BJ74&gt;=2*$AH$9,0,Constants!$B$23*INT(ROUND(MIN($BJ74,$AH$9),6)))))</f>
        <v/>
      </c>
      <c r="BU74" s="100" t="str">
        <f aca="false">IF($BL74&lt;&gt;Constants!$B$4,"",IF(NOT($AL74),0,Constants!$B$24*INT(ROUND(MIN($BC74,$AH$9),6))))</f>
        <v/>
      </c>
      <c r="BV74" s="100" t="str">
        <f aca="false">IF($BL74&lt;&gt;Constants!$B$4,"",IF(AND($AL74,$BN74=0),Constants!$B$25,0))</f>
        <v/>
      </c>
      <c r="BW74" s="100" t="str">
        <f aca="false">IF($BL74&lt;&gt;Constants!$B$4,"",MIN(Constants!$B$29,MAX(0,Constants!$B$27*Constants!$B$28*INT(ROUND((Constants!$B$26-$AN74)/Constants!$B$28,6))))+MIN(Constants!$B$29,MAX(0,Constants!$B$27*Constants!$B$28*INT(ROUND((Constants!$B$26-$AO74)/Constants!$B$28,6))))+MIN(Constants!$B$29,MAX(0,Constants!$B$27*Constants!$B$28*INT(ROUND((Constants!$B$26-$AP74)/Constants!$B$28,6)))))</f>
        <v/>
      </c>
      <c r="BX74" s="100" t="str">
        <f aca="false">IF($BL74&lt;&gt;Constants!$B$4,"",IF(NOT($AL74),0,Constants!$B$31*INT(ROUND(MAX(0,MIN($BJ74,2*$AH$9)-$AH$9),6))))</f>
        <v/>
      </c>
      <c r="BY74" s="100" t="str">
        <f aca="false">IF($BL74&lt;&gt;Constants!$B$4,"",Constants!$B$32*(($AN74&gt;Constants!$B$26)+($AO74&gt;Constants!$B$26)+($AP74&gt;Constants!$B$26)))</f>
        <v/>
      </c>
      <c r="BZ74" s="100" t="str">
        <f aca="false">IF($BL74&lt;&gt;Constants!$B$4,"",IF(OR(NOT($AL74),$AQ74),0,Constants!$B$33))</f>
        <v/>
      </c>
      <c r="CA74" s="100" t="str">
        <f aca="false">IF($BL74&lt;&gt;Constants!$B$4,"",Constants!$B$34*$BN74)</f>
        <v/>
      </c>
      <c r="CB74" s="100" t="str">
        <f aca="false">IF($BL74&lt;&gt;Constants!$B$4,"",IF(OR(NOT($AL74),$BH74),0,Constants!$B$36))</f>
        <v/>
      </c>
      <c r="CC74" s="100" t="str">
        <f aca="false">IF($BL74&lt;&gt;Constants!$B$4,"",IF(OR(NOT($AL74),$BG74),0,Constants!$B$37))</f>
        <v/>
      </c>
      <c r="CD74" s="100" t="str">
        <f aca="false">IF($BL74&lt;&gt;Constants!$B$4,"",SUM($BX74:$CC74))</f>
        <v/>
      </c>
      <c r="CE74" s="100" t="str">
        <f aca="false">IF(ISBLANK($C74),"",IF($BL74&lt;&gt;Constants!$B$4,$BL74,SUM($BO74:$BW74)-$CD74))</f>
        <v/>
      </c>
      <c r="CF74" s="100" t="str">
        <f aca="false">IF(ISBLANK($C74),"",IF($BL74&lt;&gt;Constants!$B$4,$BL74,RANK($CE74,$CE$9:$CE$508)))</f>
        <v/>
      </c>
      <c r="CG74" s="100" t="str">
        <f aca="false">IF(ISBLANK($C74),"",IF($BL74&lt;&gt;Constants!$B$4,$BL74,COUNTIFS($BM$9:$BM$508,"&lt;"&amp;$BM74)+COUNTIFS($BM$9:$BM$508,$BM74,$CF$9:$CF$508,"&lt;"&amp;$CF74)+1))</f>
        <v/>
      </c>
      <c r="CH74" s="100" t="str">
        <f aca="false">IF(ISBLANK($C74),"",IF($BL74&lt;&gt;Constants!$B$4,$BL74,RANK($CD74,$CD$9:$CD$508,1)))</f>
        <v/>
      </c>
      <c r="CI74" s="100" t="str">
        <f aca="false">IF($BL74&lt;&gt;Constants!$B$4,"",$AN74+$AO74+$AP74)</f>
        <v/>
      </c>
      <c r="CJ74" s="100" t="str">
        <f aca="false">IF(ISBLANK($C74),"",IF($BL74&lt;&gt;Constants!$B$4,$BL74,RANK($CI74,$CI$9:$CI$508,1)))</f>
        <v/>
      </c>
      <c r="CK74" s="100" t="str">
        <f aca="false">IF(ISBLANK($C74),"",IF($BL74&lt;&gt;Constants!$B$4,$BL74,COUNTIFS($BM$9:$BM$508,"&lt;"&amp;$BM74)+COUNTIFS($BM$9:$BM$508,$BM74,$CF$9:$CF$508,"&lt;"&amp;$CF74)+COUNTIFS($BM$9:$BM$508,$BM74,$CF$9:$CF$508,$CF74,$CH$9:$CH$508,"&lt;"&amp;$CH74)+COUNTIFS($BM$9:$BM$508,$BM74,$CF$9:$CF$508,$CF74,$CH$9:$CH$508,$CH74,$CJ$9:$CJ$508,"&lt;"&amp;$CJ74)+1))</f>
        <v/>
      </c>
      <c r="CL74" s="100" t="str">
        <f aca="false">IF(ISBLANK($C74),"",IF($BL74&lt;&gt;Constants!$B$4,$BL74,$CG74-$CK74))</f>
        <v/>
      </c>
      <c r="CM74" s="100" t="str">
        <f aca="false">IF(ISBLANK($C74),"",IF(NOT($AL74),"",IF(ISBLANK($D$7),$CM$5,IF(NOT(ISNUMBER($D$7)),$CM$6,""))))</f>
        <v/>
      </c>
      <c r="CN74" s="100" t="str">
        <f aca="false">IF(ISBLANK($C74),"",OR($AN74="",$AO74="",$AP74=""))</f>
        <v/>
      </c>
      <c r="CO74" s="100" t="str">
        <f aca="false">IF(ISBLANK($C74),"",AND($AL74,$BA74=""))</f>
        <v/>
      </c>
      <c r="CP74" s="100" t="str">
        <f aca="false">IF(ISBLANK($C74),"",AND($AL74,$BB74=""))</f>
        <v/>
      </c>
      <c r="CQ74" s="100" t="str">
        <f aca="false">IF(ISBLANK($C74),"",AND($AL74,$BC74=""))</f>
        <v/>
      </c>
      <c r="CR74" s="100" t="str">
        <f aca="false">IF(ISBLANK($C74),"",AND($AL74,$BF74=""))</f>
        <v/>
      </c>
      <c r="CS74" s="100" t="str">
        <f aca="false">IF(ISBLANK($C74),"",AND($AL74,$BJ74=""))</f>
        <v/>
      </c>
      <c r="CT74" s="101"/>
      <c r="CU74" s="102"/>
      <c r="CV74" s="103" t="str">
        <f aca="false">IF(ISBLANK($C74),"",IF($BL74=Constants!$B$8,$CM74,""))</f>
        <v/>
      </c>
      <c r="CW74" s="102" t="str">
        <f aca="false">IF(ISBLANK($C74),"",IF($BL74&lt;&gt;Constants!$B$4,"",$BO74+$BP74))</f>
        <v/>
      </c>
      <c r="CX74" s="104" t="str">
        <f aca="false">IF(ISBLANK($C74),"",IF($BL74&lt;&gt;Constants!$B$4,"",$BQ74+$BR74+$BS74))</f>
        <v/>
      </c>
      <c r="CY74" s="104" t="str">
        <f aca="false">IF(ISBLANK($C74),"",IF($BL74&lt;&gt;Constants!$B$4,"",$BT74))</f>
        <v/>
      </c>
      <c r="CZ74" s="104" t="str">
        <f aca="false">IF(ISBLANK($C74),"",IF($BL74&lt;&gt;Constants!$B$4,"",$BU74+$BV74))</f>
        <v/>
      </c>
      <c r="DA74" s="104" t="str">
        <f aca="false">IF(ISBLANK($C74),"",IF($BL74&lt;&gt;Constants!$B$4,"",$BW74))</f>
        <v/>
      </c>
      <c r="DB74" s="104" t="str">
        <f aca="false">IF(ISBLANK($C74),"",IF($BL74&lt;&gt;Constants!$B$4,"",-$CD74))</f>
        <v/>
      </c>
      <c r="DC74" s="103" t="str">
        <f aca="false">IF(ISBLANK($C74),"",$CE74)</f>
        <v/>
      </c>
      <c r="DD74" s="105" t="str">
        <f aca="false">IF(ISBLANK($C74),"",$BM74)</f>
        <v/>
      </c>
      <c r="DE74" s="104" t="str">
        <f aca="false">IF(ISBLANK($C74),"",$CL74)</f>
        <v/>
      </c>
      <c r="DF74" s="104" t="str">
        <f aca="false">IF(ISBLANK($C74),"",$CK74)</f>
        <v/>
      </c>
      <c r="DG74" s="106" t="str">
        <f aca="false">IF(ISBLANK($C74),"",IF($DF74=Constants!$B$7,COUNTA($C$9:$C$508)+2,IF($DF74=Constants!$B$6,COUNTA($C$9:$C$508)+1,IF($DF74=Constants!$B$5,COUNTA($C$9:$C$508),$DF74))))</f>
        <v/>
      </c>
      <c r="DH74" s="7"/>
      <c r="DI74" s="107" t="n">
        <f aca="false">IF(OR(ISNUMBER($DF74),$DF74=Constants!$B$7,$DF74=Constants!$B$5,$DF74=Constants!$B$6),1,0)</f>
        <v>0</v>
      </c>
      <c r="DJ74" s="107" t="n">
        <v>66</v>
      </c>
      <c r="DK74" s="107" t="str">
        <f aca="false">IF(ISBLANK($C74),"",IF(ISNUMBER($DG74),$DG74+ROW($B74)/1000,""))</f>
        <v/>
      </c>
      <c r="DL74" s="107" t="str">
        <f aca="false">IF(ISNUMBER($DK74),RANK($DK74,$DK$9:$DK$508,1),"")</f>
        <v/>
      </c>
      <c r="DM74" s="107" t="str">
        <f aca="false">IF(ISBLANK($C74),"",$B74)</f>
        <v/>
      </c>
      <c r="DN74" s="107" t="str">
        <f aca="false">IF(ISBLANK($C74),"",$C74)</f>
        <v/>
      </c>
      <c r="DO74" s="107" t="str">
        <f aca="false">IF(ISBLANK($C74),"",$D74)</f>
        <v/>
      </c>
      <c r="DP74" s="108" t="str">
        <f aca="false">$DD74</f>
        <v/>
      </c>
      <c r="DQ74" s="109" t="str">
        <f aca="false">$DC74</f>
        <v/>
      </c>
      <c r="DR74" s="107" t="str">
        <f aca="false">IF(ISBLANK($C74),"",$DF74)</f>
        <v/>
      </c>
      <c r="DS74" s="110" t="str">
        <f aca="false">IF($DJ74&gt;$DI$8,"",VLOOKUP($DJ74,$DL$9:$DR$508,7,FALSE()))</f>
        <v/>
      </c>
      <c r="DT74" s="111" t="str">
        <f aca="false">IF($DJ74&gt;$DI$8,"",VLOOKUP($DJ74,$DL$9:$DR$508,2,FALSE()))</f>
        <v/>
      </c>
      <c r="DU74" s="111" t="str">
        <f aca="false">IF($DJ74&gt;$DI$8,"",VLOOKUP($DJ74,$DL$9:$DR$508,3,FALSE()))</f>
        <v/>
      </c>
      <c r="DV74" s="111" t="str">
        <f aca="false">IF($DJ74&gt;$DI$8,"",VLOOKUP($DJ74,$DL$9:$DR$508,4,FALSE()))</f>
        <v/>
      </c>
      <c r="DW74" s="111" t="str">
        <f aca="false">IF($DJ74&gt;$DI$8,"",VLOOKUP($DJ74,$DL$9:$DR$508,5,FALSE()))</f>
        <v/>
      </c>
      <c r="DX74" s="112" t="str">
        <f aca="false">IF($DJ74&gt;$DI$8,"",VLOOKUP($DJ74,$DL$9:$DR$508,6,FALSE()))</f>
        <v/>
      </c>
      <c r="DY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2"/>
      <c r="N75" s="122"/>
      <c r="O75" s="66"/>
      <c r="P75" s="66"/>
      <c r="Q75" s="122"/>
      <c r="R75" s="122"/>
      <c r="S75" s="122"/>
      <c r="T75" s="122"/>
      <c r="U75" s="66"/>
      <c r="V75" s="122"/>
      <c r="W75" s="120"/>
      <c r="X75" s="122"/>
      <c r="Y75" s="122"/>
      <c r="Z75" s="120"/>
      <c r="AA75" s="120"/>
      <c r="AB75" s="122"/>
      <c r="AC75" s="122"/>
      <c r="AD75" s="122"/>
      <c r="AE75" s="121"/>
      <c r="AF75" s="122"/>
      <c r="AG75" s="73"/>
      <c r="AH75" s="74"/>
      <c r="AI75" s="74"/>
      <c r="AJ75" s="74" t="str">
        <f aca="false">IF(ISBLANK($C75),"",IF($E75=Constants!$B$2,TRUE(),IF($E75=Constants!$B$3,FALSE(),TRUE())))</f>
        <v/>
      </c>
      <c r="AK75" s="74" t="str">
        <f aca="false">IF(ISBLANK($C75),"",IF($F75=Constants!$B$2,TRUE(),IF($F75=Constants!$B$3,FALSE(),FALSE())))</f>
        <v/>
      </c>
      <c r="AL75" s="74" t="str">
        <f aca="false">IF(ISBLANK($C75),"",IF($G75=Constants!$B$2,TRUE(),IF($G75=Constants!$B$3,FALSE(),TRUE())))</f>
        <v/>
      </c>
      <c r="AM75" s="74" t="str">
        <f aca="false">IF(ISBLANK($C75),"",IF($H75=Constants!$B$2,TRUE(),IF($H75=Constants!$B$3,FALSE(),TRUE())))</f>
        <v/>
      </c>
      <c r="AN75" s="74" t="str">
        <f aca="false">IF(ISBLANK($C75),"",IF(ISNUMBER($I75),IF($I75&gt;=0,$I75,""),""))</f>
        <v/>
      </c>
      <c r="AO75" s="74" t="str">
        <f aca="false">IF(ISBLANK($C75),"",IF(ISNUMBER($J75),IF($J75&gt;=0,$J75,""),""))</f>
        <v/>
      </c>
      <c r="AP75" s="74" t="str">
        <f aca="false">IF(ISBLANK($C75),"",IF(ISNUMBER($K75),IF($K75&gt;=0,$K75,""),""))</f>
        <v/>
      </c>
      <c r="AQ75" s="74" t="str">
        <f aca="false">IF(ISBLANK($C75),"",IF($L75=Constants!$B$2,TRUE(),IF($L75=Constants!$B$3,FALSE(),TRUE())))</f>
        <v/>
      </c>
      <c r="AR75" s="74" t="str">
        <f aca="false">IF(ISBLANK($C75),"",IF($M75=Constants!$B$2,TRUE(),IF($M75=Constants!$B$3,FALSE(),TRUE())))</f>
        <v/>
      </c>
      <c r="AS75" s="74" t="str">
        <f aca="false">IF(ISBLANK($C75),"",IF($N75=Constants!$B$2,TRUE(),IF($N75=Constants!$B$3,FALSE(),FALSE())))</f>
        <v/>
      </c>
      <c r="AT75" s="74" t="str">
        <f aca="false">IF(ISBLANK($C75),"",IF($O75=Constants!$B$2,TRUE(),IF($O75=Constants!$B$3,FALSE(),TRUE())))</f>
        <v/>
      </c>
      <c r="AU75" s="74" t="str">
        <f aca="false">IF(ISBLANK($C75),"",IF($P75=Constants!$B$2,TRUE(),IF($P75=Constants!$B$3,FALSE(),TRUE())))</f>
        <v/>
      </c>
      <c r="AV75" s="74" t="str">
        <f aca="false">IF(ISBLANK($C75),"",IF($Q75=Constants!$B$2,TRUE(),IF($Q75=Constants!$B$3,FALSE(),FALSE())))</f>
        <v/>
      </c>
      <c r="AW75" s="74" t="str">
        <f aca="false">IF(ISBLANK($C75),"",IF($R75=Constants!$B$2,TRUE(),IF($R75=Constants!$B$3,FALSE(),FALSE())))</f>
        <v/>
      </c>
      <c r="AX75" s="74" t="str">
        <f aca="false">IF(ISBLANK($C75),"",IF($S75=Constants!$B$2,TRUE(),IF($S75=Constants!$B$3,FALSE(),FALSE())))</f>
        <v/>
      </c>
      <c r="AY75" s="74" t="str">
        <f aca="false">IF(ISBLANK($C75),"",IF($T75=Constants!$B$2,TRUE(),IF($T75=Constants!$B$3,FALSE(),FALSE())))</f>
        <v/>
      </c>
      <c r="AZ75" s="74" t="str">
        <f aca="false">IF(ISBLANK($C75),"",IF($U75=Constants!$B$2,TRUE(),IF($U75=Constants!$B$3,FALSE(),FALSE())))</f>
        <v/>
      </c>
      <c r="BA75" s="74" t="str">
        <f aca="false">IF(ISBLANK($C75),"",IF(OR($V75&amp;""="1",$V75&amp;""="2",$V75&amp;""="3",$V75&amp;""="4"),VALUE($V75&amp;""),IF($V75=Constants!$B$12,Constants!$B$12,"")))</f>
        <v/>
      </c>
      <c r="BB75" s="74" t="str">
        <f aca="false">IF(ISBLANK($C75),"",IF(ISBLANK($W75),0,IF(ISNUMBER($W75),IF(AND($W75&gt;=0,$W75&lt;=Constants!$B$21,$W75=INT($W75)),$W75,""),"")))</f>
        <v/>
      </c>
      <c r="BC75" s="74" t="str">
        <f aca="false">IF(ISBLANK($C75),"",IF(ISBLANK($X75),0,IF(ISNUMBER($X75),IF($X75&gt;=0,$X75,""),"")))</f>
        <v/>
      </c>
      <c r="BD75" s="74" t="str">
        <f aca="false">IF(ISBLANK($C75),"",IF($Y75=Constants!$B$2,TRUE(),IF($Y75=Constants!$B$3,FALSE(),TRUE())))</f>
        <v/>
      </c>
      <c r="BE75" s="74" t="str">
        <f aca="false">IF(ISBLANK($C75),"",IF($Z75=Constants!$B$2,TRUE(),IF($Z75=Constants!$B$3,FALSE(),FALSE())))</f>
        <v/>
      </c>
      <c r="BF75" s="74" t="str">
        <f aca="false">IF(ISBLANK($C75),"",IF(ISBLANK($AA75),0,IF(ISNUMBER($AA75),IF(AND($AA75&gt;=0,$AA75&lt;=Constants!$B$35,$AA75=INT($AA75)),$AA75,""),"")))</f>
        <v/>
      </c>
      <c r="BG75" s="74" t="str">
        <f aca="false">IF(ISBLANK($C75),"",IF($AB75=Constants!$B$2,TRUE(),IF($AB75=Constants!$B$3,FALSE(),TRUE())))</f>
        <v/>
      </c>
      <c r="BH75" s="74" t="str">
        <f aca="false">IF(ISBLANK($C75),"",IF($AC75=Constants!$B$2,TRUE(),IF($AC75=Constants!$B$3,FALSE(),TRUE())))</f>
        <v/>
      </c>
      <c r="BI75" s="74" t="str">
        <f aca="false">IF(ISBLANK($C75),"",IF($AD75=Constants!$B$2,TRUE(),IF($AD75=Constants!$B$3,FALSE(),TRUE())))</f>
        <v/>
      </c>
      <c r="BJ75" s="74" t="str">
        <f aca="false">IF(ISBLANK($C75),"",IF(ISNUMBER($AE75),IF($AE75&gt;=0,$AE75,""),""))</f>
        <v/>
      </c>
      <c r="BK75" s="74" t="str">
        <f aca="false">IF(ISBLANK($C75),"",IF($AF75=Constants!$B$2,TRUE(),IF($AF75=Constants!$B$3,FALSE(),FALSE())))</f>
        <v/>
      </c>
      <c r="BL75" s="73" t="str">
        <f aca="false">IF(ISBLANK($C75),"",IF($BK75,Constants!$B$7,IF(COUNTA($E75:$AE75)=0,Constants!$B$6,IF(OR(COUNTA($G75:$AE75)=0,NOT($AM75),$AS75),Constants!$B$5,IF(OR($CM75&lt;&gt;"",$CN75,$CO75,$CP75,$CQ75,$CR75,$CS75),Constants!$B$8,Constants!$B$4)))))</f>
        <v/>
      </c>
      <c r="BM75" s="74" t="str">
        <f aca="false">IF(ISBLANK($C75),"",IF($BL75&lt;&gt;Constants!$B$4,$BL75,IF(OR(NOT($AJ75),NOT($AL75),NOT($AT75)),Constants!$B$11,IF(OR(NOT($AR75),NOT($AU75),NOT($BI75),MAX($AN75,$AO75,$AP75)&gt;Constants!$B$30),Constants!$B$10,Constants!$B$9))))</f>
        <v/>
      </c>
      <c r="BN75" s="74" t="str">
        <f aca="false">IF($BL75&lt;&gt;Constants!$B$4,"",IF(NOT($AL75),0,MIN(Constants!$B$35,$BF75)))</f>
        <v/>
      </c>
      <c r="BO75" s="74" t="str">
        <f aca="false">IF($BL75&lt;&gt;Constants!$B$4,"",IF(NOT($AL75),0,IF($AW75,Constants!$B$18,IF($AV75,Constants!$B$17,0))))</f>
        <v/>
      </c>
      <c r="BP75" s="74" t="str">
        <f aca="false">IF($BL75&lt;&gt;Constants!$B$4,"",IF(NOT($AL75),0,Constants!$B$19*($AK75+$AX75+$AY75+$AZ75)))</f>
        <v/>
      </c>
      <c r="BQ75" s="74" t="str">
        <f aca="false">IF($BL75&lt;&gt;Constants!$B$4,"",IF(OR(NOT($AL75),NOT(ISNUMBER($BA75))),0,CHOOSE($BA75,Constants!$B$13,Constants!$B$14,Constants!$B$15,Constants!$B$16)))</f>
        <v/>
      </c>
      <c r="BR75" s="74" t="str">
        <f aca="false">IF($BL75&lt;&gt;Constants!$B$4,"",IF(NOT($AL75),0,Constants!$B$20*$BB75))</f>
        <v/>
      </c>
      <c r="BS75" s="74" t="str">
        <f aca="false">IF($BL75&lt;&gt;Constants!$B$4,"",IF(AND($AL75,$BD75,$BE75),Constants!$B$22,0))</f>
        <v/>
      </c>
      <c r="BT75" s="74" t="str">
        <f aca="false">IF($BL75&lt;&gt;Constants!$B$4,"",IF(OR(NOT($AL75),NOT($BD75)),0,IF($BJ75&gt;=2*$AH$9,0,Constants!$B$23*INT(ROUND(MIN($BJ75,$AH$9),6)))))</f>
        <v/>
      </c>
      <c r="BU75" s="74" t="str">
        <f aca="false">IF($BL75&lt;&gt;Constants!$B$4,"",IF(NOT($AL75),0,Constants!$B$24*INT(ROUND(MIN($BC75,$AH$9),6))))</f>
        <v/>
      </c>
      <c r="BV75" s="74" t="str">
        <f aca="false">IF($BL75&lt;&gt;Constants!$B$4,"",IF(AND($AL75,$BN75=0),Constants!$B$25,0))</f>
        <v/>
      </c>
      <c r="BW75" s="74" t="str">
        <f aca="false">IF($BL75&lt;&gt;Constants!$B$4,"",MIN(Constants!$B$29,MAX(0,Constants!$B$27*Constants!$B$28*INT(ROUND((Constants!$B$26-$AN75)/Constants!$B$28,6))))+MIN(Constants!$B$29,MAX(0,Constants!$B$27*Constants!$B$28*INT(ROUND((Constants!$B$26-$AO75)/Constants!$B$28,6))))+MIN(Constants!$B$29,MAX(0,Constants!$B$27*Constants!$B$28*INT(ROUND((Constants!$B$26-$AP75)/Constants!$B$28,6)))))</f>
        <v/>
      </c>
      <c r="BX75" s="74" t="str">
        <f aca="false">IF($BL75&lt;&gt;Constants!$B$4,"",IF(NOT($AL75),0,Constants!$B$31*INT(ROUND(MAX(0,MIN($BJ75,2*$AH$9)-$AH$9),6))))</f>
        <v/>
      </c>
      <c r="BY75" s="74" t="str">
        <f aca="false">IF($BL75&lt;&gt;Constants!$B$4,"",Constants!$B$32*(($AN75&gt;Constants!$B$26)+($AO75&gt;Constants!$B$26)+($AP75&gt;Constants!$B$26)))</f>
        <v/>
      </c>
      <c r="BZ75" s="74" t="str">
        <f aca="false">IF($BL75&lt;&gt;Constants!$B$4,"",IF(OR(NOT($AL75),$AQ75),0,Constants!$B$33))</f>
        <v/>
      </c>
      <c r="CA75" s="74" t="str">
        <f aca="false">IF($BL75&lt;&gt;Constants!$B$4,"",Constants!$B$34*$BN75)</f>
        <v/>
      </c>
      <c r="CB75" s="74" t="str">
        <f aca="false">IF($BL75&lt;&gt;Constants!$B$4,"",IF(OR(NOT($AL75),$BH75),0,Constants!$B$36))</f>
        <v/>
      </c>
      <c r="CC75" s="74" t="str">
        <f aca="false">IF($BL75&lt;&gt;Constants!$B$4,"",IF(OR(NOT($AL75),$BG75),0,Constants!$B$37))</f>
        <v/>
      </c>
      <c r="CD75" s="74" t="str">
        <f aca="false">IF($BL75&lt;&gt;Constants!$B$4,"",SUM($BX75:$CC75))</f>
        <v/>
      </c>
      <c r="CE75" s="74" t="str">
        <f aca="false">IF(ISBLANK($C75),"",IF($BL75&lt;&gt;Constants!$B$4,$BL75,SUM($BO75:$BW75)-$CD75))</f>
        <v/>
      </c>
      <c r="CF75" s="74" t="str">
        <f aca="false">IF(ISBLANK($C75),"",IF($BL75&lt;&gt;Constants!$B$4,$BL75,RANK($CE75,$CE$9:$CE$508)))</f>
        <v/>
      </c>
      <c r="CG75" s="74" t="str">
        <f aca="false">IF(ISBLANK($C75),"",IF($BL75&lt;&gt;Constants!$B$4,$BL75,COUNTIFS($BM$9:$BM$508,"&lt;"&amp;$BM75)+COUNTIFS($BM$9:$BM$508,$BM75,$CF$9:$CF$508,"&lt;"&amp;$CF75)+1))</f>
        <v/>
      </c>
      <c r="CH75" s="74" t="str">
        <f aca="false">IF(ISBLANK($C75),"",IF($BL75&lt;&gt;Constants!$B$4,$BL75,RANK($CD75,$CD$9:$CD$508,1)))</f>
        <v/>
      </c>
      <c r="CI75" s="74" t="str">
        <f aca="false">IF($BL75&lt;&gt;Constants!$B$4,"",$AN75+$AO75+$AP75)</f>
        <v/>
      </c>
      <c r="CJ75" s="74" t="str">
        <f aca="false">IF(ISBLANK($C75),"",IF($BL75&lt;&gt;Constants!$B$4,$BL75,RANK($CI75,$CI$9:$CI$508,1)))</f>
        <v/>
      </c>
      <c r="CK75" s="74" t="str">
        <f aca="false">IF(ISBLANK($C75),"",IF($BL75&lt;&gt;Constants!$B$4,$BL75,COUNTIFS($BM$9:$BM$508,"&lt;"&amp;$BM75)+COUNTIFS($BM$9:$BM$508,$BM75,$CF$9:$CF$508,"&lt;"&amp;$CF75)+COUNTIFS($BM$9:$BM$508,$BM75,$CF$9:$CF$508,$CF75,$CH$9:$CH$508,"&lt;"&amp;$CH75)+COUNTIFS($BM$9:$BM$508,$BM75,$CF$9:$CF$508,$CF75,$CH$9:$CH$508,$CH75,$CJ$9:$CJ$508,"&lt;"&amp;$CJ75)+1))</f>
        <v/>
      </c>
      <c r="CL75" s="74" t="str">
        <f aca="false">IF(ISBLANK($C75),"",IF($BL75&lt;&gt;Constants!$B$4,$BL75,$CG75-$CK75))</f>
        <v/>
      </c>
      <c r="CM75" s="74" t="str">
        <f aca="false">IF(ISBLANK($C75),"",IF(NOT($AL75),"",IF(ISBLANK($D$7),$CM$5,IF(NOT(ISNUMBER($D$7)),$CM$6,""))))</f>
        <v/>
      </c>
      <c r="CN75" s="74" t="str">
        <f aca="false">IF(ISBLANK($C75),"",OR($AN75="",$AO75="",$AP75=""))</f>
        <v/>
      </c>
      <c r="CO75" s="74" t="str">
        <f aca="false">IF(ISBLANK($C75),"",AND($AL75,$BA75=""))</f>
        <v/>
      </c>
      <c r="CP75" s="74" t="str">
        <f aca="false">IF(ISBLANK($C75),"",AND($AL75,$BB75=""))</f>
        <v/>
      </c>
      <c r="CQ75" s="74" t="str">
        <f aca="false">IF(ISBLANK($C75),"",AND($AL75,$BC75=""))</f>
        <v/>
      </c>
      <c r="CR75" s="74" t="str">
        <f aca="false">IF(ISBLANK($C75),"",AND($AL75,$BF75=""))</f>
        <v/>
      </c>
      <c r="CS75" s="74" t="str">
        <f aca="false">IF(ISBLANK($C75),"",AND($AL75,$BJ75=""))</f>
        <v/>
      </c>
      <c r="CT75" s="75"/>
      <c r="CU75" s="76"/>
      <c r="CV75" s="79" t="str">
        <f aca="false">IF(ISBLANK($C75),"",IF($BL75=Constants!$B$8,$CM75,""))</f>
        <v/>
      </c>
      <c r="CW75" s="76" t="str">
        <f aca="false">IF(ISBLANK($C75),"",IF($BL75&lt;&gt;Constants!$B$4,"",$BO75+$BP75))</f>
        <v/>
      </c>
      <c r="CX75" s="78" t="str">
        <f aca="false">IF(ISBLANK($C75),"",IF($BL75&lt;&gt;Constants!$B$4,"",$BQ75+$BR75+$BS75))</f>
        <v/>
      </c>
      <c r="CY75" s="78" t="str">
        <f aca="false">IF(ISBLANK($C75),"",IF($BL75&lt;&gt;Constants!$B$4,"",$BT75))</f>
        <v/>
      </c>
      <c r="CZ75" s="78" t="str">
        <f aca="false">IF(ISBLANK($C75),"",IF($BL75&lt;&gt;Constants!$B$4,"",$BU75+$BV75))</f>
        <v/>
      </c>
      <c r="DA75" s="78" t="str">
        <f aca="false">IF(ISBLANK($C75),"",IF($BL75&lt;&gt;Constants!$B$4,"",$BW75))</f>
        <v/>
      </c>
      <c r="DB75" s="78" t="str">
        <f aca="false">IF(ISBLANK($C75),"",IF($BL75&lt;&gt;Constants!$B$4,"",-$CD75))</f>
        <v/>
      </c>
      <c r="DC75" s="79" t="str">
        <f aca="false">IF(ISBLANK($C75),"",$CE75)</f>
        <v/>
      </c>
      <c r="DD75" s="80" t="str">
        <f aca="false">IF(ISBLANK($C75),"",$BM75)</f>
        <v/>
      </c>
      <c r="DE75" s="78" t="str">
        <f aca="false">IF(ISBLANK($C75),"",$CL75)</f>
        <v/>
      </c>
      <c r="DF75" s="78" t="str">
        <f aca="false">IF(ISBLANK($C75),"",$CK75)</f>
        <v/>
      </c>
      <c r="DG75" s="81" t="str">
        <f aca="false">IF(ISBLANK($C75),"",IF($DF75=Constants!$B$7,COUNTA($C$9:$C$508)+2,IF($DF75=Constants!$B$6,COUNTA($C$9:$C$508)+1,IF($DF75=Constants!$B$5,COUNTA($C$9:$C$508),$DF75))))</f>
        <v/>
      </c>
      <c r="DH75" s="7"/>
      <c r="DI75" s="82" t="n">
        <f aca="false">IF(OR(ISNUMBER($DF75),$DF75=Constants!$B$7,$DF75=Constants!$B$5,$DF75=Constants!$B$6),1,0)</f>
        <v>0</v>
      </c>
      <c r="DJ75" s="82" t="n">
        <v>67</v>
      </c>
      <c r="DK75" s="82" t="str">
        <f aca="false">IF(ISBLANK($C75),"",IF(ISNUMBER($DG75),$DG75+ROW($B75)/1000,""))</f>
        <v/>
      </c>
      <c r="DL75" s="82" t="str">
        <f aca="false">IF(ISNUMBER($DK75),RANK($DK75,$DK$9:$DK$508,1),"")</f>
        <v/>
      </c>
      <c r="DM75" s="82" t="str">
        <f aca="false">IF(ISBLANK($C75),"",$B75)</f>
        <v/>
      </c>
      <c r="DN75" s="82" t="str">
        <f aca="false">IF(ISBLANK($C75),"",$C75)</f>
        <v/>
      </c>
      <c r="DO75" s="82" t="str">
        <f aca="false">IF(ISBLANK($C75),"",$D75)</f>
        <v/>
      </c>
      <c r="DP75" s="83" t="str">
        <f aca="false">$DD75</f>
        <v/>
      </c>
      <c r="DQ75" s="84" t="str">
        <f aca="false">$DC75</f>
        <v/>
      </c>
      <c r="DR75" s="82" t="str">
        <f aca="false">IF(ISBLANK($C75),"",$DF75)</f>
        <v/>
      </c>
      <c r="DS75" s="85" t="str">
        <f aca="false">IF($DJ75&gt;$DI$8,"",VLOOKUP($DJ75,$DL$9:$DR$508,7,FALSE()))</f>
        <v/>
      </c>
      <c r="DT75" s="86" t="str">
        <f aca="false">IF($DJ75&gt;$DI$8,"",VLOOKUP($DJ75,$DL$9:$DR$508,2,FALSE()))</f>
        <v/>
      </c>
      <c r="DU75" s="86" t="str">
        <f aca="false">IF($DJ75&gt;$DI$8,"",VLOOKUP($DJ75,$DL$9:$DR$508,3,FALSE()))</f>
        <v/>
      </c>
      <c r="DV75" s="86" t="str">
        <f aca="false">IF($DJ75&gt;$DI$8,"",VLOOKUP($DJ75,$DL$9:$DR$508,4,FALSE()))</f>
        <v/>
      </c>
      <c r="DW75" s="86" t="str">
        <f aca="false">IF($DJ75&gt;$DI$8,"",VLOOKUP($DJ75,$DL$9:$DR$508,5,FALSE()))</f>
        <v/>
      </c>
      <c r="DX75" s="87" t="str">
        <f aca="false">IF($DJ75&gt;$DI$8,"",VLOOKUP($DJ75,$DL$9:$DR$508,6,FALSE()))</f>
        <v/>
      </c>
      <c r="DY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88"/>
      <c r="N76" s="88"/>
      <c r="O76" s="134"/>
      <c r="P76" s="134"/>
      <c r="Q76" s="88"/>
      <c r="R76" s="88"/>
      <c r="S76" s="88"/>
      <c r="T76" s="88"/>
      <c r="U76" s="134"/>
      <c r="V76" s="88"/>
      <c r="W76" s="70"/>
      <c r="X76" s="88"/>
      <c r="Y76" s="88"/>
      <c r="Z76" s="70"/>
      <c r="AA76" s="70"/>
      <c r="AB76" s="88"/>
      <c r="AC76" s="88"/>
      <c r="AD76" s="88"/>
      <c r="AE76" s="71"/>
      <c r="AF76" s="88"/>
      <c r="AG76" s="73"/>
      <c r="AH76" s="74"/>
      <c r="AI76" s="74"/>
      <c r="AJ76" s="74" t="str">
        <f aca="false">IF(ISBLANK($C76),"",IF($E76=Constants!$B$2,TRUE(),IF($E76=Constants!$B$3,FALSE(),TRUE())))</f>
        <v/>
      </c>
      <c r="AK76" s="74" t="str">
        <f aca="false">IF(ISBLANK($C76),"",IF($F76=Constants!$B$2,TRUE(),IF($F76=Constants!$B$3,FALSE(),FALSE())))</f>
        <v/>
      </c>
      <c r="AL76" s="74" t="str">
        <f aca="false">IF(ISBLANK($C76),"",IF($G76=Constants!$B$2,TRUE(),IF($G76=Constants!$B$3,FALSE(),TRUE())))</f>
        <v/>
      </c>
      <c r="AM76" s="74" t="str">
        <f aca="false">IF(ISBLANK($C76),"",IF($H76=Constants!$B$2,TRUE(),IF($H76=Constants!$B$3,FALSE(),TRUE())))</f>
        <v/>
      </c>
      <c r="AN76" s="74" t="str">
        <f aca="false">IF(ISBLANK($C76),"",IF(ISNUMBER($I76),IF($I76&gt;=0,$I76,""),""))</f>
        <v/>
      </c>
      <c r="AO76" s="74" t="str">
        <f aca="false">IF(ISBLANK($C76),"",IF(ISNUMBER($J76),IF($J76&gt;=0,$J76,""),""))</f>
        <v/>
      </c>
      <c r="AP76" s="74" t="str">
        <f aca="false">IF(ISBLANK($C76),"",IF(ISNUMBER($K76),IF($K76&gt;=0,$K76,""),""))</f>
        <v/>
      </c>
      <c r="AQ76" s="74" t="str">
        <f aca="false">IF(ISBLANK($C76),"",IF($L76=Constants!$B$2,TRUE(),IF($L76=Constants!$B$3,FALSE(),TRUE())))</f>
        <v/>
      </c>
      <c r="AR76" s="74" t="str">
        <f aca="false">IF(ISBLANK($C76),"",IF($M76=Constants!$B$2,TRUE(),IF($M76=Constants!$B$3,FALSE(),TRUE())))</f>
        <v/>
      </c>
      <c r="AS76" s="74" t="str">
        <f aca="false">IF(ISBLANK($C76),"",IF($N76=Constants!$B$2,TRUE(),IF($N76=Constants!$B$3,FALSE(),FALSE())))</f>
        <v/>
      </c>
      <c r="AT76" s="74" t="str">
        <f aca="false">IF(ISBLANK($C76),"",IF($O76=Constants!$B$2,TRUE(),IF($O76=Constants!$B$3,FALSE(),TRUE())))</f>
        <v/>
      </c>
      <c r="AU76" s="74" t="str">
        <f aca="false">IF(ISBLANK($C76),"",IF($P76=Constants!$B$2,TRUE(),IF($P76=Constants!$B$3,FALSE(),TRUE())))</f>
        <v/>
      </c>
      <c r="AV76" s="74" t="str">
        <f aca="false">IF(ISBLANK($C76),"",IF($Q76=Constants!$B$2,TRUE(),IF($Q76=Constants!$B$3,FALSE(),FALSE())))</f>
        <v/>
      </c>
      <c r="AW76" s="74" t="str">
        <f aca="false">IF(ISBLANK($C76),"",IF($R76=Constants!$B$2,TRUE(),IF($R76=Constants!$B$3,FALSE(),FALSE())))</f>
        <v/>
      </c>
      <c r="AX76" s="74" t="str">
        <f aca="false">IF(ISBLANK($C76),"",IF($S76=Constants!$B$2,TRUE(),IF($S76=Constants!$B$3,FALSE(),FALSE())))</f>
        <v/>
      </c>
      <c r="AY76" s="74" t="str">
        <f aca="false">IF(ISBLANK($C76),"",IF($T76=Constants!$B$2,TRUE(),IF($T76=Constants!$B$3,FALSE(),FALSE())))</f>
        <v/>
      </c>
      <c r="AZ76" s="74" t="str">
        <f aca="false">IF(ISBLANK($C76),"",IF($U76=Constants!$B$2,TRUE(),IF($U76=Constants!$B$3,FALSE(),FALSE())))</f>
        <v/>
      </c>
      <c r="BA76" s="74" t="str">
        <f aca="false">IF(ISBLANK($C76),"",IF(OR($V76&amp;""="1",$V76&amp;""="2",$V76&amp;""="3",$V76&amp;""="4"),VALUE($V76&amp;""),IF($V76=Constants!$B$12,Constants!$B$12,"")))</f>
        <v/>
      </c>
      <c r="BB76" s="74" t="str">
        <f aca="false">IF(ISBLANK($C76),"",IF(ISBLANK($W76),0,IF(ISNUMBER($W76),IF(AND($W76&gt;=0,$W76&lt;=Constants!$B$21,$W76=INT($W76)),$W76,""),"")))</f>
        <v/>
      </c>
      <c r="BC76" s="74" t="str">
        <f aca="false">IF(ISBLANK($C76),"",IF(ISBLANK($X76),0,IF(ISNUMBER($X76),IF($X76&gt;=0,$X76,""),"")))</f>
        <v/>
      </c>
      <c r="BD76" s="74" t="str">
        <f aca="false">IF(ISBLANK($C76),"",IF($Y76=Constants!$B$2,TRUE(),IF($Y76=Constants!$B$3,FALSE(),TRUE())))</f>
        <v/>
      </c>
      <c r="BE76" s="74" t="str">
        <f aca="false">IF(ISBLANK($C76),"",IF($Z76=Constants!$B$2,TRUE(),IF($Z76=Constants!$B$3,FALSE(),FALSE())))</f>
        <v/>
      </c>
      <c r="BF76" s="74" t="str">
        <f aca="false">IF(ISBLANK($C76),"",IF(ISBLANK($AA76),0,IF(ISNUMBER($AA76),IF(AND($AA76&gt;=0,$AA76&lt;=Constants!$B$35,$AA76=INT($AA76)),$AA76,""),"")))</f>
        <v/>
      </c>
      <c r="BG76" s="74" t="str">
        <f aca="false">IF(ISBLANK($C76),"",IF($AB76=Constants!$B$2,TRUE(),IF($AB76=Constants!$B$3,FALSE(),TRUE())))</f>
        <v/>
      </c>
      <c r="BH76" s="74" t="str">
        <f aca="false">IF(ISBLANK($C76),"",IF($AC76=Constants!$B$2,TRUE(),IF($AC76=Constants!$B$3,FALSE(),TRUE())))</f>
        <v/>
      </c>
      <c r="BI76" s="74" t="str">
        <f aca="false">IF(ISBLANK($C76),"",IF($AD76=Constants!$B$2,TRUE(),IF($AD76=Constants!$B$3,FALSE(),TRUE())))</f>
        <v/>
      </c>
      <c r="BJ76" s="74" t="str">
        <f aca="false">IF(ISBLANK($C76),"",IF(ISNUMBER($AE76),IF($AE76&gt;=0,$AE76,""),""))</f>
        <v/>
      </c>
      <c r="BK76" s="74" t="str">
        <f aca="false">IF(ISBLANK($C76),"",IF($AF76=Constants!$B$2,TRUE(),IF($AF76=Constants!$B$3,FALSE(),FALSE())))</f>
        <v/>
      </c>
      <c r="BL76" s="73" t="str">
        <f aca="false">IF(ISBLANK($C76),"",IF($BK76,Constants!$B$7,IF(COUNTA($E76:$AE76)=0,Constants!$B$6,IF(OR(COUNTA($G76:$AE76)=0,NOT($AM76),$AS76),Constants!$B$5,IF(OR($CM76&lt;&gt;"",$CN76,$CO76,$CP76,$CQ76,$CR76,$CS76),Constants!$B$8,Constants!$B$4)))))</f>
        <v/>
      </c>
      <c r="BM76" s="74" t="str">
        <f aca="false">IF(ISBLANK($C76),"",IF($BL76&lt;&gt;Constants!$B$4,$BL76,IF(OR(NOT($AJ76),NOT($AL76),NOT($AT76)),Constants!$B$11,IF(OR(NOT($AR76),NOT($AU76),NOT($BI76),MAX($AN76,$AO76,$AP76)&gt;Constants!$B$30),Constants!$B$10,Constants!$B$9))))</f>
        <v/>
      </c>
      <c r="BN76" s="74" t="str">
        <f aca="false">IF($BL76&lt;&gt;Constants!$B$4,"",IF(NOT($AL76),0,MIN(Constants!$B$35,$BF76)))</f>
        <v/>
      </c>
      <c r="BO76" s="74" t="str">
        <f aca="false">IF($BL76&lt;&gt;Constants!$B$4,"",IF(NOT($AL76),0,IF($AW76,Constants!$B$18,IF($AV76,Constants!$B$17,0))))</f>
        <v/>
      </c>
      <c r="BP76" s="74" t="str">
        <f aca="false">IF($BL76&lt;&gt;Constants!$B$4,"",IF(NOT($AL76),0,Constants!$B$19*($AK76+$AX76+$AY76+$AZ76)))</f>
        <v/>
      </c>
      <c r="BQ76" s="74" t="str">
        <f aca="false">IF($BL76&lt;&gt;Constants!$B$4,"",IF(OR(NOT($AL76),NOT(ISNUMBER($BA76))),0,CHOOSE($BA76,Constants!$B$13,Constants!$B$14,Constants!$B$15,Constants!$B$16)))</f>
        <v/>
      </c>
      <c r="BR76" s="74" t="str">
        <f aca="false">IF($BL76&lt;&gt;Constants!$B$4,"",IF(NOT($AL76),0,Constants!$B$20*$BB76))</f>
        <v/>
      </c>
      <c r="BS76" s="74" t="str">
        <f aca="false">IF($BL76&lt;&gt;Constants!$B$4,"",IF(AND($AL76,$BD76,$BE76),Constants!$B$22,0))</f>
        <v/>
      </c>
      <c r="BT76" s="74" t="str">
        <f aca="false">IF($BL76&lt;&gt;Constants!$B$4,"",IF(OR(NOT($AL76),NOT($BD76)),0,IF($BJ76&gt;=2*$AH$9,0,Constants!$B$23*INT(ROUND(MIN($BJ76,$AH$9),6)))))</f>
        <v/>
      </c>
      <c r="BU76" s="74" t="str">
        <f aca="false">IF($BL76&lt;&gt;Constants!$B$4,"",IF(NOT($AL76),0,Constants!$B$24*INT(ROUND(MIN($BC76,$AH$9),6))))</f>
        <v/>
      </c>
      <c r="BV76" s="74" t="str">
        <f aca="false">IF($BL76&lt;&gt;Constants!$B$4,"",IF(AND($AL76,$BN76=0),Constants!$B$25,0))</f>
        <v/>
      </c>
      <c r="BW76" s="74" t="str">
        <f aca="false">IF($BL76&lt;&gt;Constants!$B$4,"",MIN(Constants!$B$29,MAX(0,Constants!$B$27*Constants!$B$28*INT(ROUND((Constants!$B$26-$AN76)/Constants!$B$28,6))))+MIN(Constants!$B$29,MAX(0,Constants!$B$27*Constants!$B$28*INT(ROUND((Constants!$B$26-$AO76)/Constants!$B$28,6))))+MIN(Constants!$B$29,MAX(0,Constants!$B$27*Constants!$B$28*INT(ROUND((Constants!$B$26-$AP76)/Constants!$B$28,6)))))</f>
        <v/>
      </c>
      <c r="BX76" s="74" t="str">
        <f aca="false">IF($BL76&lt;&gt;Constants!$B$4,"",IF(NOT($AL76),0,Constants!$B$31*INT(ROUND(MAX(0,MIN($BJ76,2*$AH$9)-$AH$9),6))))</f>
        <v/>
      </c>
      <c r="BY76" s="74" t="str">
        <f aca="false">IF($BL76&lt;&gt;Constants!$B$4,"",Constants!$B$32*(($AN76&gt;Constants!$B$26)+($AO76&gt;Constants!$B$26)+($AP76&gt;Constants!$B$26)))</f>
        <v/>
      </c>
      <c r="BZ76" s="74" t="str">
        <f aca="false">IF($BL76&lt;&gt;Constants!$B$4,"",IF(OR(NOT($AL76),$AQ76),0,Constants!$B$33))</f>
        <v/>
      </c>
      <c r="CA76" s="74" t="str">
        <f aca="false">IF($BL76&lt;&gt;Constants!$B$4,"",Constants!$B$34*$BN76)</f>
        <v/>
      </c>
      <c r="CB76" s="74" t="str">
        <f aca="false">IF($BL76&lt;&gt;Constants!$B$4,"",IF(OR(NOT($AL76),$BH76),0,Constants!$B$36))</f>
        <v/>
      </c>
      <c r="CC76" s="74" t="str">
        <f aca="false">IF($BL76&lt;&gt;Constants!$B$4,"",IF(OR(NOT($AL76),$BG76),0,Constants!$B$37))</f>
        <v/>
      </c>
      <c r="CD76" s="74" t="str">
        <f aca="false">IF($BL76&lt;&gt;Constants!$B$4,"",SUM($BX76:$CC76))</f>
        <v/>
      </c>
      <c r="CE76" s="74" t="str">
        <f aca="false">IF(ISBLANK($C76),"",IF($BL76&lt;&gt;Constants!$B$4,$BL76,SUM($BO76:$BW76)-$CD76))</f>
        <v/>
      </c>
      <c r="CF76" s="74" t="str">
        <f aca="false">IF(ISBLANK($C76),"",IF($BL76&lt;&gt;Constants!$B$4,$BL76,RANK($CE76,$CE$9:$CE$508)))</f>
        <v/>
      </c>
      <c r="CG76" s="74" t="str">
        <f aca="false">IF(ISBLANK($C76),"",IF($BL76&lt;&gt;Constants!$B$4,$BL76,COUNTIFS($BM$9:$BM$508,"&lt;"&amp;$BM76)+COUNTIFS($BM$9:$BM$508,$BM76,$CF$9:$CF$508,"&lt;"&amp;$CF76)+1))</f>
        <v/>
      </c>
      <c r="CH76" s="74" t="str">
        <f aca="false">IF(ISBLANK($C76),"",IF($BL76&lt;&gt;Constants!$B$4,$BL76,RANK($CD76,$CD$9:$CD$508,1)))</f>
        <v/>
      </c>
      <c r="CI76" s="74" t="str">
        <f aca="false">IF($BL76&lt;&gt;Constants!$B$4,"",$AN76+$AO76+$AP76)</f>
        <v/>
      </c>
      <c r="CJ76" s="74" t="str">
        <f aca="false">IF(ISBLANK($C76),"",IF($BL76&lt;&gt;Constants!$B$4,$BL76,RANK($CI76,$CI$9:$CI$508,1)))</f>
        <v/>
      </c>
      <c r="CK76" s="74" t="str">
        <f aca="false">IF(ISBLANK($C76),"",IF($BL76&lt;&gt;Constants!$B$4,$BL76,COUNTIFS($BM$9:$BM$508,"&lt;"&amp;$BM76)+COUNTIFS($BM$9:$BM$508,$BM76,$CF$9:$CF$508,"&lt;"&amp;$CF76)+COUNTIFS($BM$9:$BM$508,$BM76,$CF$9:$CF$508,$CF76,$CH$9:$CH$508,"&lt;"&amp;$CH76)+COUNTIFS($BM$9:$BM$508,$BM76,$CF$9:$CF$508,$CF76,$CH$9:$CH$508,$CH76,$CJ$9:$CJ$508,"&lt;"&amp;$CJ76)+1))</f>
        <v/>
      </c>
      <c r="CL76" s="74" t="str">
        <f aca="false">IF(ISBLANK($C76),"",IF($BL76&lt;&gt;Constants!$B$4,$BL76,$CG76-$CK76))</f>
        <v/>
      </c>
      <c r="CM76" s="74" t="str">
        <f aca="false">IF(ISBLANK($C76),"",IF(NOT($AL76),"",IF(ISBLANK($D$7),$CM$5,IF(NOT(ISNUMBER($D$7)),$CM$6,""))))</f>
        <v/>
      </c>
      <c r="CN76" s="74" t="str">
        <f aca="false">IF(ISBLANK($C76),"",OR($AN76="",$AO76="",$AP76=""))</f>
        <v/>
      </c>
      <c r="CO76" s="74" t="str">
        <f aca="false">IF(ISBLANK($C76),"",AND($AL76,$BA76=""))</f>
        <v/>
      </c>
      <c r="CP76" s="74" t="str">
        <f aca="false">IF(ISBLANK($C76),"",AND($AL76,$BB76=""))</f>
        <v/>
      </c>
      <c r="CQ76" s="74" t="str">
        <f aca="false">IF(ISBLANK($C76),"",AND($AL76,$BC76=""))</f>
        <v/>
      </c>
      <c r="CR76" s="74" t="str">
        <f aca="false">IF(ISBLANK($C76),"",AND($AL76,$BF76=""))</f>
        <v/>
      </c>
      <c r="CS76" s="74" t="str">
        <f aca="false">IF(ISBLANK($C76),"",AND($AL76,$BJ76=""))</f>
        <v/>
      </c>
      <c r="CT76" s="75"/>
      <c r="CU76" s="76"/>
      <c r="CV76" s="79" t="str">
        <f aca="false">IF(ISBLANK($C76),"",IF($BL76=Constants!$B$8,$CM76,""))</f>
        <v/>
      </c>
      <c r="CW76" s="76" t="str">
        <f aca="false">IF(ISBLANK($C76),"",IF($BL76&lt;&gt;Constants!$B$4,"",$BO76+$BP76))</f>
        <v/>
      </c>
      <c r="CX76" s="78" t="str">
        <f aca="false">IF(ISBLANK($C76),"",IF($BL76&lt;&gt;Constants!$B$4,"",$BQ76+$BR76+$BS76))</f>
        <v/>
      </c>
      <c r="CY76" s="78" t="str">
        <f aca="false">IF(ISBLANK($C76),"",IF($BL76&lt;&gt;Constants!$B$4,"",$BT76))</f>
        <v/>
      </c>
      <c r="CZ76" s="78" t="str">
        <f aca="false">IF(ISBLANK($C76),"",IF($BL76&lt;&gt;Constants!$B$4,"",$BU76+$BV76))</f>
        <v/>
      </c>
      <c r="DA76" s="78" t="str">
        <f aca="false">IF(ISBLANK($C76),"",IF($BL76&lt;&gt;Constants!$B$4,"",$BW76))</f>
        <v/>
      </c>
      <c r="DB76" s="78" t="str">
        <f aca="false">IF(ISBLANK($C76),"",IF($BL76&lt;&gt;Constants!$B$4,"",-$CD76))</f>
        <v/>
      </c>
      <c r="DC76" s="79" t="str">
        <f aca="false">IF(ISBLANK($C76),"",$CE76)</f>
        <v/>
      </c>
      <c r="DD76" s="80" t="str">
        <f aca="false">IF(ISBLANK($C76),"",$BM76)</f>
        <v/>
      </c>
      <c r="DE76" s="78" t="str">
        <f aca="false">IF(ISBLANK($C76),"",$CL76)</f>
        <v/>
      </c>
      <c r="DF76" s="78" t="str">
        <f aca="false">IF(ISBLANK($C76),"",$CK76)</f>
        <v/>
      </c>
      <c r="DG76" s="81" t="str">
        <f aca="false">IF(ISBLANK($C76),"",IF($DF76=Constants!$B$7,COUNTA($C$9:$C$508)+2,IF($DF76=Constants!$B$6,COUNTA($C$9:$C$508)+1,IF($DF76=Constants!$B$5,COUNTA($C$9:$C$508),$DF76))))</f>
        <v/>
      </c>
      <c r="DH76" s="7"/>
      <c r="DI76" s="82" t="n">
        <f aca="false">IF(OR(ISNUMBER($DF76),$DF76=Constants!$B$7,$DF76=Constants!$B$5,$DF76=Constants!$B$6),1,0)</f>
        <v>0</v>
      </c>
      <c r="DJ76" s="82" t="n">
        <v>68</v>
      </c>
      <c r="DK76" s="82" t="str">
        <f aca="false">IF(ISBLANK($C76),"",IF(ISNUMBER($DG76),$DG76+ROW($B76)/1000,""))</f>
        <v/>
      </c>
      <c r="DL76" s="82" t="str">
        <f aca="false">IF(ISNUMBER($DK76),RANK($DK76,$DK$9:$DK$508,1),"")</f>
        <v/>
      </c>
      <c r="DM76" s="82" t="str">
        <f aca="false">IF(ISBLANK($C76),"",$B76)</f>
        <v/>
      </c>
      <c r="DN76" s="82" t="str">
        <f aca="false">IF(ISBLANK($C76),"",$C76)</f>
        <v/>
      </c>
      <c r="DO76" s="82" t="str">
        <f aca="false">IF(ISBLANK($C76),"",$D76)</f>
        <v/>
      </c>
      <c r="DP76" s="83" t="str">
        <f aca="false">$DD76</f>
        <v/>
      </c>
      <c r="DQ76" s="84" t="str">
        <f aca="false">$DC76</f>
        <v/>
      </c>
      <c r="DR76" s="82" t="str">
        <f aca="false">IF(ISBLANK($C76),"",$DF76)</f>
        <v/>
      </c>
      <c r="DS76" s="85" t="str">
        <f aca="false">IF($DJ76&gt;$DI$8,"",VLOOKUP($DJ76,$DL$9:$DR$508,7,FALSE()))</f>
        <v/>
      </c>
      <c r="DT76" s="86" t="str">
        <f aca="false">IF($DJ76&gt;$DI$8,"",VLOOKUP($DJ76,$DL$9:$DR$508,2,FALSE()))</f>
        <v/>
      </c>
      <c r="DU76" s="86" t="str">
        <f aca="false">IF($DJ76&gt;$DI$8,"",VLOOKUP($DJ76,$DL$9:$DR$508,3,FALSE()))</f>
        <v/>
      </c>
      <c r="DV76" s="86" t="str">
        <f aca="false">IF($DJ76&gt;$DI$8,"",VLOOKUP($DJ76,$DL$9:$DR$508,4,FALSE()))</f>
        <v/>
      </c>
      <c r="DW76" s="86" t="str">
        <f aca="false">IF($DJ76&gt;$DI$8,"",VLOOKUP($DJ76,$DL$9:$DR$508,5,FALSE()))</f>
        <v/>
      </c>
      <c r="DX76" s="87" t="str">
        <f aca="false">IF($DJ76&gt;$DI$8,"",VLOOKUP($DJ76,$DL$9:$DR$508,6,FALSE()))</f>
        <v/>
      </c>
      <c r="DY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2"/>
      <c r="N77" s="122"/>
      <c r="O77" s="66"/>
      <c r="P77" s="66"/>
      <c r="Q77" s="122"/>
      <c r="R77" s="122"/>
      <c r="S77" s="122"/>
      <c r="T77" s="122"/>
      <c r="U77" s="66"/>
      <c r="V77" s="122"/>
      <c r="W77" s="120"/>
      <c r="X77" s="122"/>
      <c r="Y77" s="122"/>
      <c r="Z77" s="120"/>
      <c r="AA77" s="120"/>
      <c r="AB77" s="122"/>
      <c r="AC77" s="122"/>
      <c r="AD77" s="122"/>
      <c r="AE77" s="121"/>
      <c r="AF77" s="122"/>
      <c r="AG77" s="73"/>
      <c r="AH77" s="74"/>
      <c r="AI77" s="74"/>
      <c r="AJ77" s="74" t="str">
        <f aca="false">IF(ISBLANK($C77),"",IF($E77=Constants!$B$2,TRUE(),IF($E77=Constants!$B$3,FALSE(),TRUE())))</f>
        <v/>
      </c>
      <c r="AK77" s="74" t="str">
        <f aca="false">IF(ISBLANK($C77),"",IF($F77=Constants!$B$2,TRUE(),IF($F77=Constants!$B$3,FALSE(),FALSE())))</f>
        <v/>
      </c>
      <c r="AL77" s="74" t="str">
        <f aca="false">IF(ISBLANK($C77),"",IF($G77=Constants!$B$2,TRUE(),IF($G77=Constants!$B$3,FALSE(),TRUE())))</f>
        <v/>
      </c>
      <c r="AM77" s="74" t="str">
        <f aca="false">IF(ISBLANK($C77),"",IF($H77=Constants!$B$2,TRUE(),IF($H77=Constants!$B$3,FALSE(),TRUE())))</f>
        <v/>
      </c>
      <c r="AN77" s="74" t="str">
        <f aca="false">IF(ISBLANK($C77),"",IF(ISNUMBER($I77),IF($I77&gt;=0,$I77,""),""))</f>
        <v/>
      </c>
      <c r="AO77" s="74" t="str">
        <f aca="false">IF(ISBLANK($C77),"",IF(ISNUMBER($J77),IF($J77&gt;=0,$J77,""),""))</f>
        <v/>
      </c>
      <c r="AP77" s="74" t="str">
        <f aca="false">IF(ISBLANK($C77),"",IF(ISNUMBER($K77),IF($K77&gt;=0,$K77,""),""))</f>
        <v/>
      </c>
      <c r="AQ77" s="74" t="str">
        <f aca="false">IF(ISBLANK($C77),"",IF($L77=Constants!$B$2,TRUE(),IF($L77=Constants!$B$3,FALSE(),TRUE())))</f>
        <v/>
      </c>
      <c r="AR77" s="74" t="str">
        <f aca="false">IF(ISBLANK($C77),"",IF($M77=Constants!$B$2,TRUE(),IF($M77=Constants!$B$3,FALSE(),TRUE())))</f>
        <v/>
      </c>
      <c r="AS77" s="74" t="str">
        <f aca="false">IF(ISBLANK($C77),"",IF($N77=Constants!$B$2,TRUE(),IF($N77=Constants!$B$3,FALSE(),FALSE())))</f>
        <v/>
      </c>
      <c r="AT77" s="74" t="str">
        <f aca="false">IF(ISBLANK($C77),"",IF($O77=Constants!$B$2,TRUE(),IF($O77=Constants!$B$3,FALSE(),TRUE())))</f>
        <v/>
      </c>
      <c r="AU77" s="74" t="str">
        <f aca="false">IF(ISBLANK($C77),"",IF($P77=Constants!$B$2,TRUE(),IF($P77=Constants!$B$3,FALSE(),TRUE())))</f>
        <v/>
      </c>
      <c r="AV77" s="74" t="str">
        <f aca="false">IF(ISBLANK($C77),"",IF($Q77=Constants!$B$2,TRUE(),IF($Q77=Constants!$B$3,FALSE(),FALSE())))</f>
        <v/>
      </c>
      <c r="AW77" s="74" t="str">
        <f aca="false">IF(ISBLANK($C77),"",IF($R77=Constants!$B$2,TRUE(),IF($R77=Constants!$B$3,FALSE(),FALSE())))</f>
        <v/>
      </c>
      <c r="AX77" s="74" t="str">
        <f aca="false">IF(ISBLANK($C77),"",IF($S77=Constants!$B$2,TRUE(),IF($S77=Constants!$B$3,FALSE(),FALSE())))</f>
        <v/>
      </c>
      <c r="AY77" s="74" t="str">
        <f aca="false">IF(ISBLANK($C77),"",IF($T77=Constants!$B$2,TRUE(),IF($T77=Constants!$B$3,FALSE(),FALSE())))</f>
        <v/>
      </c>
      <c r="AZ77" s="74" t="str">
        <f aca="false">IF(ISBLANK($C77),"",IF($U77=Constants!$B$2,TRUE(),IF($U77=Constants!$B$3,FALSE(),FALSE())))</f>
        <v/>
      </c>
      <c r="BA77" s="74" t="str">
        <f aca="false">IF(ISBLANK($C77),"",IF(OR($V77&amp;""="1",$V77&amp;""="2",$V77&amp;""="3",$V77&amp;""="4"),VALUE($V77&amp;""),IF($V77=Constants!$B$12,Constants!$B$12,"")))</f>
        <v/>
      </c>
      <c r="BB77" s="74" t="str">
        <f aca="false">IF(ISBLANK($C77),"",IF(ISBLANK($W77),0,IF(ISNUMBER($W77),IF(AND($W77&gt;=0,$W77&lt;=Constants!$B$21,$W77=INT($W77)),$W77,""),"")))</f>
        <v/>
      </c>
      <c r="BC77" s="74" t="str">
        <f aca="false">IF(ISBLANK($C77),"",IF(ISBLANK($X77),0,IF(ISNUMBER($X77),IF($X77&gt;=0,$X77,""),"")))</f>
        <v/>
      </c>
      <c r="BD77" s="74" t="str">
        <f aca="false">IF(ISBLANK($C77),"",IF($Y77=Constants!$B$2,TRUE(),IF($Y77=Constants!$B$3,FALSE(),TRUE())))</f>
        <v/>
      </c>
      <c r="BE77" s="74" t="str">
        <f aca="false">IF(ISBLANK($C77),"",IF($Z77=Constants!$B$2,TRUE(),IF($Z77=Constants!$B$3,FALSE(),FALSE())))</f>
        <v/>
      </c>
      <c r="BF77" s="74" t="str">
        <f aca="false">IF(ISBLANK($C77),"",IF(ISBLANK($AA77),0,IF(ISNUMBER($AA77),IF(AND($AA77&gt;=0,$AA77&lt;=Constants!$B$35,$AA77=INT($AA77)),$AA77,""),"")))</f>
        <v/>
      </c>
      <c r="BG77" s="74" t="str">
        <f aca="false">IF(ISBLANK($C77),"",IF($AB77=Constants!$B$2,TRUE(),IF($AB77=Constants!$B$3,FALSE(),TRUE())))</f>
        <v/>
      </c>
      <c r="BH77" s="74" t="str">
        <f aca="false">IF(ISBLANK($C77),"",IF($AC77=Constants!$B$2,TRUE(),IF($AC77=Constants!$B$3,FALSE(),TRUE())))</f>
        <v/>
      </c>
      <c r="BI77" s="74" t="str">
        <f aca="false">IF(ISBLANK($C77),"",IF($AD77=Constants!$B$2,TRUE(),IF($AD77=Constants!$B$3,FALSE(),TRUE())))</f>
        <v/>
      </c>
      <c r="BJ77" s="74" t="str">
        <f aca="false">IF(ISBLANK($C77),"",IF(ISNUMBER($AE77),IF($AE77&gt;=0,$AE77,""),""))</f>
        <v/>
      </c>
      <c r="BK77" s="74" t="str">
        <f aca="false">IF(ISBLANK($C77),"",IF($AF77=Constants!$B$2,TRUE(),IF($AF77=Constants!$B$3,FALSE(),FALSE())))</f>
        <v/>
      </c>
      <c r="BL77" s="73" t="str">
        <f aca="false">IF(ISBLANK($C77),"",IF($BK77,Constants!$B$7,IF(COUNTA($E77:$AE77)=0,Constants!$B$6,IF(OR(COUNTA($G77:$AE77)=0,NOT($AM77),$AS77),Constants!$B$5,IF(OR($CM77&lt;&gt;"",$CN77,$CO77,$CP77,$CQ77,$CR77,$CS77),Constants!$B$8,Constants!$B$4)))))</f>
        <v/>
      </c>
      <c r="BM77" s="74" t="str">
        <f aca="false">IF(ISBLANK($C77),"",IF($BL77&lt;&gt;Constants!$B$4,$BL77,IF(OR(NOT($AJ77),NOT($AL77),NOT($AT77)),Constants!$B$11,IF(OR(NOT($AR77),NOT($AU77),NOT($BI77),MAX($AN77,$AO77,$AP77)&gt;Constants!$B$30),Constants!$B$10,Constants!$B$9))))</f>
        <v/>
      </c>
      <c r="BN77" s="74" t="str">
        <f aca="false">IF($BL77&lt;&gt;Constants!$B$4,"",IF(NOT($AL77),0,MIN(Constants!$B$35,$BF77)))</f>
        <v/>
      </c>
      <c r="BO77" s="74" t="str">
        <f aca="false">IF($BL77&lt;&gt;Constants!$B$4,"",IF(NOT($AL77),0,IF($AW77,Constants!$B$18,IF($AV77,Constants!$B$17,0))))</f>
        <v/>
      </c>
      <c r="BP77" s="74" t="str">
        <f aca="false">IF($BL77&lt;&gt;Constants!$B$4,"",IF(NOT($AL77),0,Constants!$B$19*($AK77+$AX77+$AY77+$AZ77)))</f>
        <v/>
      </c>
      <c r="BQ77" s="74" t="str">
        <f aca="false">IF($BL77&lt;&gt;Constants!$B$4,"",IF(OR(NOT($AL77),NOT(ISNUMBER($BA77))),0,CHOOSE($BA77,Constants!$B$13,Constants!$B$14,Constants!$B$15,Constants!$B$16)))</f>
        <v/>
      </c>
      <c r="BR77" s="74" t="str">
        <f aca="false">IF($BL77&lt;&gt;Constants!$B$4,"",IF(NOT($AL77),0,Constants!$B$20*$BB77))</f>
        <v/>
      </c>
      <c r="BS77" s="74" t="str">
        <f aca="false">IF($BL77&lt;&gt;Constants!$B$4,"",IF(AND($AL77,$BD77,$BE77),Constants!$B$22,0))</f>
        <v/>
      </c>
      <c r="BT77" s="74" t="str">
        <f aca="false">IF($BL77&lt;&gt;Constants!$B$4,"",IF(OR(NOT($AL77),NOT($BD77)),0,IF($BJ77&gt;=2*$AH$9,0,Constants!$B$23*INT(ROUND(MIN($BJ77,$AH$9),6)))))</f>
        <v/>
      </c>
      <c r="BU77" s="74" t="str">
        <f aca="false">IF($BL77&lt;&gt;Constants!$B$4,"",IF(NOT($AL77),0,Constants!$B$24*INT(ROUND(MIN($BC77,$AH$9),6))))</f>
        <v/>
      </c>
      <c r="BV77" s="74" t="str">
        <f aca="false">IF($BL77&lt;&gt;Constants!$B$4,"",IF(AND($AL77,$BN77=0),Constants!$B$25,0))</f>
        <v/>
      </c>
      <c r="BW77" s="74" t="str">
        <f aca="false">IF($BL77&lt;&gt;Constants!$B$4,"",MIN(Constants!$B$29,MAX(0,Constants!$B$27*Constants!$B$28*INT(ROUND((Constants!$B$26-$AN77)/Constants!$B$28,6))))+MIN(Constants!$B$29,MAX(0,Constants!$B$27*Constants!$B$28*INT(ROUND((Constants!$B$26-$AO77)/Constants!$B$28,6))))+MIN(Constants!$B$29,MAX(0,Constants!$B$27*Constants!$B$28*INT(ROUND((Constants!$B$26-$AP77)/Constants!$B$28,6)))))</f>
        <v/>
      </c>
      <c r="BX77" s="74" t="str">
        <f aca="false">IF($BL77&lt;&gt;Constants!$B$4,"",IF(NOT($AL77),0,Constants!$B$31*INT(ROUND(MAX(0,MIN($BJ77,2*$AH$9)-$AH$9),6))))</f>
        <v/>
      </c>
      <c r="BY77" s="74" t="str">
        <f aca="false">IF($BL77&lt;&gt;Constants!$B$4,"",Constants!$B$32*(($AN77&gt;Constants!$B$26)+($AO77&gt;Constants!$B$26)+($AP77&gt;Constants!$B$26)))</f>
        <v/>
      </c>
      <c r="BZ77" s="74" t="str">
        <f aca="false">IF($BL77&lt;&gt;Constants!$B$4,"",IF(OR(NOT($AL77),$AQ77),0,Constants!$B$33))</f>
        <v/>
      </c>
      <c r="CA77" s="74" t="str">
        <f aca="false">IF($BL77&lt;&gt;Constants!$B$4,"",Constants!$B$34*$BN77)</f>
        <v/>
      </c>
      <c r="CB77" s="74" t="str">
        <f aca="false">IF($BL77&lt;&gt;Constants!$B$4,"",IF(OR(NOT($AL77),$BH77),0,Constants!$B$36))</f>
        <v/>
      </c>
      <c r="CC77" s="74" t="str">
        <f aca="false">IF($BL77&lt;&gt;Constants!$B$4,"",IF(OR(NOT($AL77),$BG77),0,Constants!$B$37))</f>
        <v/>
      </c>
      <c r="CD77" s="74" t="str">
        <f aca="false">IF($BL77&lt;&gt;Constants!$B$4,"",SUM($BX77:$CC77))</f>
        <v/>
      </c>
      <c r="CE77" s="74" t="str">
        <f aca="false">IF(ISBLANK($C77),"",IF($BL77&lt;&gt;Constants!$B$4,$BL77,SUM($BO77:$BW77)-$CD77))</f>
        <v/>
      </c>
      <c r="CF77" s="74" t="str">
        <f aca="false">IF(ISBLANK($C77),"",IF($BL77&lt;&gt;Constants!$B$4,$BL77,RANK($CE77,$CE$9:$CE$508)))</f>
        <v/>
      </c>
      <c r="CG77" s="74" t="str">
        <f aca="false">IF(ISBLANK($C77),"",IF($BL77&lt;&gt;Constants!$B$4,$BL77,COUNTIFS($BM$9:$BM$508,"&lt;"&amp;$BM77)+COUNTIFS($BM$9:$BM$508,$BM77,$CF$9:$CF$508,"&lt;"&amp;$CF77)+1))</f>
        <v/>
      </c>
      <c r="CH77" s="74" t="str">
        <f aca="false">IF(ISBLANK($C77),"",IF($BL77&lt;&gt;Constants!$B$4,$BL77,RANK($CD77,$CD$9:$CD$508,1)))</f>
        <v/>
      </c>
      <c r="CI77" s="74" t="str">
        <f aca="false">IF($BL77&lt;&gt;Constants!$B$4,"",$AN77+$AO77+$AP77)</f>
        <v/>
      </c>
      <c r="CJ77" s="74" t="str">
        <f aca="false">IF(ISBLANK($C77),"",IF($BL77&lt;&gt;Constants!$B$4,$BL77,RANK($CI77,$CI$9:$CI$508,1)))</f>
        <v/>
      </c>
      <c r="CK77" s="74" t="str">
        <f aca="false">IF(ISBLANK($C77),"",IF($BL77&lt;&gt;Constants!$B$4,$BL77,COUNTIFS($BM$9:$BM$508,"&lt;"&amp;$BM77)+COUNTIFS($BM$9:$BM$508,$BM77,$CF$9:$CF$508,"&lt;"&amp;$CF77)+COUNTIFS($BM$9:$BM$508,$BM77,$CF$9:$CF$508,$CF77,$CH$9:$CH$508,"&lt;"&amp;$CH77)+COUNTIFS($BM$9:$BM$508,$BM77,$CF$9:$CF$508,$CF77,$CH$9:$CH$508,$CH77,$CJ$9:$CJ$508,"&lt;"&amp;$CJ77)+1))</f>
        <v/>
      </c>
      <c r="CL77" s="74" t="str">
        <f aca="false">IF(ISBLANK($C77),"",IF($BL77&lt;&gt;Constants!$B$4,$BL77,$CG77-$CK77))</f>
        <v/>
      </c>
      <c r="CM77" s="74" t="str">
        <f aca="false">IF(ISBLANK($C77),"",IF(NOT($AL77),"",IF(ISBLANK($D$7),$CM$5,IF(NOT(ISNUMBER($D$7)),$CM$6,""))))</f>
        <v/>
      </c>
      <c r="CN77" s="74" t="str">
        <f aca="false">IF(ISBLANK($C77),"",OR($AN77="",$AO77="",$AP77=""))</f>
        <v/>
      </c>
      <c r="CO77" s="74" t="str">
        <f aca="false">IF(ISBLANK($C77),"",AND($AL77,$BA77=""))</f>
        <v/>
      </c>
      <c r="CP77" s="74" t="str">
        <f aca="false">IF(ISBLANK($C77),"",AND($AL77,$BB77=""))</f>
        <v/>
      </c>
      <c r="CQ77" s="74" t="str">
        <f aca="false">IF(ISBLANK($C77),"",AND($AL77,$BC77=""))</f>
        <v/>
      </c>
      <c r="CR77" s="74" t="str">
        <f aca="false">IF(ISBLANK($C77),"",AND($AL77,$BF77=""))</f>
        <v/>
      </c>
      <c r="CS77" s="74" t="str">
        <f aca="false">IF(ISBLANK($C77),"",AND($AL77,$BJ77=""))</f>
        <v/>
      </c>
      <c r="CT77" s="75"/>
      <c r="CU77" s="76"/>
      <c r="CV77" s="79" t="str">
        <f aca="false">IF(ISBLANK($C77),"",IF($BL77=Constants!$B$8,$CM77,""))</f>
        <v/>
      </c>
      <c r="CW77" s="76" t="str">
        <f aca="false">IF(ISBLANK($C77),"",IF($BL77&lt;&gt;Constants!$B$4,"",$BO77+$BP77))</f>
        <v/>
      </c>
      <c r="CX77" s="78" t="str">
        <f aca="false">IF(ISBLANK($C77),"",IF($BL77&lt;&gt;Constants!$B$4,"",$BQ77+$BR77+$BS77))</f>
        <v/>
      </c>
      <c r="CY77" s="78" t="str">
        <f aca="false">IF(ISBLANK($C77),"",IF($BL77&lt;&gt;Constants!$B$4,"",$BT77))</f>
        <v/>
      </c>
      <c r="CZ77" s="78" t="str">
        <f aca="false">IF(ISBLANK($C77),"",IF($BL77&lt;&gt;Constants!$B$4,"",$BU77+$BV77))</f>
        <v/>
      </c>
      <c r="DA77" s="78" t="str">
        <f aca="false">IF(ISBLANK($C77),"",IF($BL77&lt;&gt;Constants!$B$4,"",$BW77))</f>
        <v/>
      </c>
      <c r="DB77" s="78" t="str">
        <f aca="false">IF(ISBLANK($C77),"",IF($BL77&lt;&gt;Constants!$B$4,"",-$CD77))</f>
        <v/>
      </c>
      <c r="DC77" s="79" t="str">
        <f aca="false">IF(ISBLANK($C77),"",$CE77)</f>
        <v/>
      </c>
      <c r="DD77" s="80" t="str">
        <f aca="false">IF(ISBLANK($C77),"",$BM77)</f>
        <v/>
      </c>
      <c r="DE77" s="78" t="str">
        <f aca="false">IF(ISBLANK($C77),"",$CL77)</f>
        <v/>
      </c>
      <c r="DF77" s="78" t="str">
        <f aca="false">IF(ISBLANK($C77),"",$CK77)</f>
        <v/>
      </c>
      <c r="DG77" s="81" t="str">
        <f aca="false">IF(ISBLANK($C77),"",IF($DF77=Constants!$B$7,COUNTA($C$9:$C$508)+2,IF($DF77=Constants!$B$6,COUNTA($C$9:$C$508)+1,IF($DF77=Constants!$B$5,COUNTA($C$9:$C$508),$DF77))))</f>
        <v/>
      </c>
      <c r="DH77" s="7"/>
      <c r="DI77" s="82" t="n">
        <f aca="false">IF(OR(ISNUMBER($DF77),$DF77=Constants!$B$7,$DF77=Constants!$B$5,$DF77=Constants!$B$6),1,0)</f>
        <v>0</v>
      </c>
      <c r="DJ77" s="82" t="n">
        <v>69</v>
      </c>
      <c r="DK77" s="82" t="str">
        <f aca="false">IF(ISBLANK($C77),"",IF(ISNUMBER($DG77),$DG77+ROW($B77)/1000,""))</f>
        <v/>
      </c>
      <c r="DL77" s="82" t="str">
        <f aca="false">IF(ISNUMBER($DK77),RANK($DK77,$DK$9:$DK$508,1),"")</f>
        <v/>
      </c>
      <c r="DM77" s="82" t="str">
        <f aca="false">IF(ISBLANK($C77),"",$B77)</f>
        <v/>
      </c>
      <c r="DN77" s="82" t="str">
        <f aca="false">IF(ISBLANK($C77),"",$C77)</f>
        <v/>
      </c>
      <c r="DO77" s="82" t="str">
        <f aca="false">IF(ISBLANK($C77),"",$D77)</f>
        <v/>
      </c>
      <c r="DP77" s="83" t="str">
        <f aca="false">$DD77</f>
        <v/>
      </c>
      <c r="DQ77" s="84" t="str">
        <f aca="false">$DC77</f>
        <v/>
      </c>
      <c r="DR77" s="82" t="str">
        <f aca="false">IF(ISBLANK($C77),"",$DF77)</f>
        <v/>
      </c>
      <c r="DS77" s="85" t="str">
        <f aca="false">IF($DJ77&gt;$DI$8,"",VLOOKUP($DJ77,$DL$9:$DR$508,7,FALSE()))</f>
        <v/>
      </c>
      <c r="DT77" s="86" t="str">
        <f aca="false">IF($DJ77&gt;$DI$8,"",VLOOKUP($DJ77,$DL$9:$DR$508,2,FALSE()))</f>
        <v/>
      </c>
      <c r="DU77" s="86" t="str">
        <f aca="false">IF($DJ77&gt;$DI$8,"",VLOOKUP($DJ77,$DL$9:$DR$508,3,FALSE()))</f>
        <v/>
      </c>
      <c r="DV77" s="86" t="str">
        <f aca="false">IF($DJ77&gt;$DI$8,"",VLOOKUP($DJ77,$DL$9:$DR$508,4,FALSE()))</f>
        <v/>
      </c>
      <c r="DW77" s="86" t="str">
        <f aca="false">IF($DJ77&gt;$DI$8,"",VLOOKUP($DJ77,$DL$9:$DR$508,5,FALSE()))</f>
        <v/>
      </c>
      <c r="DX77" s="87" t="str">
        <f aca="false">IF($DJ77&gt;$DI$8,"",VLOOKUP($DJ77,$DL$9:$DR$508,6,FALSE()))</f>
        <v/>
      </c>
      <c r="DY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130"/>
      <c r="N78" s="130"/>
      <c r="O78" s="135"/>
      <c r="P78" s="135"/>
      <c r="Q78" s="130"/>
      <c r="R78" s="130"/>
      <c r="S78" s="130"/>
      <c r="T78" s="130"/>
      <c r="U78" s="135"/>
      <c r="V78" s="130"/>
      <c r="W78" s="96"/>
      <c r="X78" s="130"/>
      <c r="Y78" s="130"/>
      <c r="Z78" s="96"/>
      <c r="AA78" s="96"/>
      <c r="AB78" s="130"/>
      <c r="AC78" s="130"/>
      <c r="AD78" s="130"/>
      <c r="AE78" s="97"/>
      <c r="AF78" s="130"/>
      <c r="AG78" s="99"/>
      <c r="AH78" s="100"/>
      <c r="AI78" s="100"/>
      <c r="AJ78" s="100" t="str">
        <f aca="false">IF(ISBLANK($C78),"",IF($E78=Constants!$B$2,TRUE(),IF($E78=Constants!$B$3,FALSE(),TRUE())))</f>
        <v/>
      </c>
      <c r="AK78" s="100" t="str">
        <f aca="false">IF(ISBLANK($C78),"",IF($F78=Constants!$B$2,TRUE(),IF($F78=Constants!$B$3,FALSE(),FALSE())))</f>
        <v/>
      </c>
      <c r="AL78" s="100" t="str">
        <f aca="false">IF(ISBLANK($C78),"",IF($G78=Constants!$B$2,TRUE(),IF($G78=Constants!$B$3,FALSE(),TRUE())))</f>
        <v/>
      </c>
      <c r="AM78" s="100" t="str">
        <f aca="false">IF(ISBLANK($C78),"",IF($H78=Constants!$B$2,TRUE(),IF($H78=Constants!$B$3,FALSE(),TRUE())))</f>
        <v/>
      </c>
      <c r="AN78" s="100" t="str">
        <f aca="false">IF(ISBLANK($C78),"",IF(ISNUMBER($I78),IF($I78&gt;=0,$I78,""),""))</f>
        <v/>
      </c>
      <c r="AO78" s="100" t="str">
        <f aca="false">IF(ISBLANK($C78),"",IF(ISNUMBER($J78),IF($J78&gt;=0,$J78,""),""))</f>
        <v/>
      </c>
      <c r="AP78" s="100" t="str">
        <f aca="false">IF(ISBLANK($C78),"",IF(ISNUMBER($K78),IF($K78&gt;=0,$K78,""),""))</f>
        <v/>
      </c>
      <c r="AQ78" s="100" t="str">
        <f aca="false">IF(ISBLANK($C78),"",IF($L78=Constants!$B$2,TRUE(),IF($L78=Constants!$B$3,FALSE(),TRUE())))</f>
        <v/>
      </c>
      <c r="AR78" s="100" t="str">
        <f aca="false">IF(ISBLANK($C78),"",IF($M78=Constants!$B$2,TRUE(),IF($M78=Constants!$B$3,FALSE(),TRUE())))</f>
        <v/>
      </c>
      <c r="AS78" s="100" t="str">
        <f aca="false">IF(ISBLANK($C78),"",IF($N78=Constants!$B$2,TRUE(),IF($N78=Constants!$B$3,FALSE(),FALSE())))</f>
        <v/>
      </c>
      <c r="AT78" s="100" t="str">
        <f aca="false">IF(ISBLANK($C78),"",IF($O78=Constants!$B$2,TRUE(),IF($O78=Constants!$B$3,FALSE(),TRUE())))</f>
        <v/>
      </c>
      <c r="AU78" s="100" t="str">
        <f aca="false">IF(ISBLANK($C78),"",IF($P78=Constants!$B$2,TRUE(),IF($P78=Constants!$B$3,FALSE(),TRUE())))</f>
        <v/>
      </c>
      <c r="AV78" s="100" t="str">
        <f aca="false">IF(ISBLANK($C78),"",IF($Q78=Constants!$B$2,TRUE(),IF($Q78=Constants!$B$3,FALSE(),FALSE())))</f>
        <v/>
      </c>
      <c r="AW78" s="100" t="str">
        <f aca="false">IF(ISBLANK($C78),"",IF($R78=Constants!$B$2,TRUE(),IF($R78=Constants!$B$3,FALSE(),FALSE())))</f>
        <v/>
      </c>
      <c r="AX78" s="100" t="str">
        <f aca="false">IF(ISBLANK($C78),"",IF($S78=Constants!$B$2,TRUE(),IF($S78=Constants!$B$3,FALSE(),FALSE())))</f>
        <v/>
      </c>
      <c r="AY78" s="100" t="str">
        <f aca="false">IF(ISBLANK($C78),"",IF($T78=Constants!$B$2,TRUE(),IF($T78=Constants!$B$3,FALSE(),FALSE())))</f>
        <v/>
      </c>
      <c r="AZ78" s="100" t="str">
        <f aca="false">IF(ISBLANK($C78),"",IF($U78=Constants!$B$2,TRUE(),IF($U78=Constants!$B$3,FALSE(),FALSE())))</f>
        <v/>
      </c>
      <c r="BA78" s="100" t="str">
        <f aca="false">IF(ISBLANK($C78),"",IF(OR($V78&amp;""="1",$V78&amp;""="2",$V78&amp;""="3",$V78&amp;""="4"),VALUE($V78&amp;""),IF($V78=Constants!$B$12,Constants!$B$12,"")))</f>
        <v/>
      </c>
      <c r="BB78" s="100" t="str">
        <f aca="false">IF(ISBLANK($C78),"",IF(ISBLANK($W78),0,IF(ISNUMBER($W78),IF(AND($W78&gt;=0,$W78&lt;=Constants!$B$21,$W78=INT($W78)),$W78,""),"")))</f>
        <v/>
      </c>
      <c r="BC78" s="100" t="str">
        <f aca="false">IF(ISBLANK($C78),"",IF(ISBLANK($X78),0,IF(ISNUMBER($X78),IF($X78&gt;=0,$X78,""),"")))</f>
        <v/>
      </c>
      <c r="BD78" s="100" t="str">
        <f aca="false">IF(ISBLANK($C78),"",IF($Y78=Constants!$B$2,TRUE(),IF($Y78=Constants!$B$3,FALSE(),TRUE())))</f>
        <v/>
      </c>
      <c r="BE78" s="100" t="str">
        <f aca="false">IF(ISBLANK($C78),"",IF($Z78=Constants!$B$2,TRUE(),IF($Z78=Constants!$B$3,FALSE(),FALSE())))</f>
        <v/>
      </c>
      <c r="BF78" s="100" t="str">
        <f aca="false">IF(ISBLANK($C78),"",IF(ISBLANK($AA78),0,IF(ISNUMBER($AA78),IF(AND($AA78&gt;=0,$AA78&lt;=Constants!$B$35,$AA78=INT($AA78)),$AA78,""),"")))</f>
        <v/>
      </c>
      <c r="BG78" s="100" t="str">
        <f aca="false">IF(ISBLANK($C78),"",IF($AB78=Constants!$B$2,TRUE(),IF($AB78=Constants!$B$3,FALSE(),TRUE())))</f>
        <v/>
      </c>
      <c r="BH78" s="100" t="str">
        <f aca="false">IF(ISBLANK($C78),"",IF($AC78=Constants!$B$2,TRUE(),IF($AC78=Constants!$B$3,FALSE(),TRUE())))</f>
        <v/>
      </c>
      <c r="BI78" s="100" t="str">
        <f aca="false">IF(ISBLANK($C78),"",IF($AD78=Constants!$B$2,TRUE(),IF($AD78=Constants!$B$3,FALSE(),TRUE())))</f>
        <v/>
      </c>
      <c r="BJ78" s="100" t="str">
        <f aca="false">IF(ISBLANK($C78),"",IF(ISNUMBER($AE78),IF($AE78&gt;=0,$AE78,""),""))</f>
        <v/>
      </c>
      <c r="BK78" s="100" t="str">
        <f aca="false">IF(ISBLANK($C78),"",IF($AF78=Constants!$B$2,TRUE(),IF($AF78=Constants!$B$3,FALSE(),FALSE())))</f>
        <v/>
      </c>
      <c r="BL78" s="99" t="str">
        <f aca="false">IF(ISBLANK($C78),"",IF($BK78,Constants!$B$7,IF(COUNTA($E78:$AE78)=0,Constants!$B$6,IF(OR(COUNTA($G78:$AE78)=0,NOT($AM78),$AS78),Constants!$B$5,IF(OR($CM78&lt;&gt;"",$CN78,$CO78,$CP78,$CQ78,$CR78,$CS78),Constants!$B$8,Constants!$B$4)))))</f>
        <v/>
      </c>
      <c r="BM78" s="100" t="str">
        <f aca="false">IF(ISBLANK($C78),"",IF($BL78&lt;&gt;Constants!$B$4,$BL78,IF(OR(NOT($AJ78),NOT($AL78),NOT($AT78)),Constants!$B$11,IF(OR(NOT($AR78),NOT($AU78),NOT($BI78),MAX($AN78,$AO78,$AP78)&gt;Constants!$B$30),Constants!$B$10,Constants!$B$9))))</f>
        <v/>
      </c>
      <c r="BN78" s="100" t="str">
        <f aca="false">IF($BL78&lt;&gt;Constants!$B$4,"",IF(NOT($AL78),0,MIN(Constants!$B$35,$BF78)))</f>
        <v/>
      </c>
      <c r="BO78" s="100" t="str">
        <f aca="false">IF($BL78&lt;&gt;Constants!$B$4,"",IF(NOT($AL78),0,IF($AW78,Constants!$B$18,IF($AV78,Constants!$B$17,0))))</f>
        <v/>
      </c>
      <c r="BP78" s="100" t="str">
        <f aca="false">IF($BL78&lt;&gt;Constants!$B$4,"",IF(NOT($AL78),0,Constants!$B$19*($AK78+$AX78+$AY78+$AZ78)))</f>
        <v/>
      </c>
      <c r="BQ78" s="100" t="str">
        <f aca="false">IF($BL78&lt;&gt;Constants!$B$4,"",IF(OR(NOT($AL78),NOT(ISNUMBER($BA78))),0,CHOOSE($BA78,Constants!$B$13,Constants!$B$14,Constants!$B$15,Constants!$B$16)))</f>
        <v/>
      </c>
      <c r="BR78" s="100" t="str">
        <f aca="false">IF($BL78&lt;&gt;Constants!$B$4,"",IF(NOT($AL78),0,Constants!$B$20*$BB78))</f>
        <v/>
      </c>
      <c r="BS78" s="100" t="str">
        <f aca="false">IF($BL78&lt;&gt;Constants!$B$4,"",IF(AND($AL78,$BD78,$BE78),Constants!$B$22,0))</f>
        <v/>
      </c>
      <c r="BT78" s="100" t="str">
        <f aca="false">IF($BL78&lt;&gt;Constants!$B$4,"",IF(OR(NOT($AL78),NOT($BD78)),0,IF($BJ78&gt;=2*$AH$9,0,Constants!$B$23*INT(ROUND(MIN($BJ78,$AH$9),6)))))</f>
        <v/>
      </c>
      <c r="BU78" s="100" t="str">
        <f aca="false">IF($BL78&lt;&gt;Constants!$B$4,"",IF(NOT($AL78),0,Constants!$B$24*INT(ROUND(MIN($BC78,$AH$9),6))))</f>
        <v/>
      </c>
      <c r="BV78" s="100" t="str">
        <f aca="false">IF($BL78&lt;&gt;Constants!$B$4,"",IF(AND($AL78,$BN78=0),Constants!$B$25,0))</f>
        <v/>
      </c>
      <c r="BW78" s="100" t="str">
        <f aca="false">IF($BL78&lt;&gt;Constants!$B$4,"",MIN(Constants!$B$29,MAX(0,Constants!$B$27*Constants!$B$28*INT(ROUND((Constants!$B$26-$AN78)/Constants!$B$28,6))))+MIN(Constants!$B$29,MAX(0,Constants!$B$27*Constants!$B$28*INT(ROUND((Constants!$B$26-$AO78)/Constants!$B$28,6))))+MIN(Constants!$B$29,MAX(0,Constants!$B$27*Constants!$B$28*INT(ROUND((Constants!$B$26-$AP78)/Constants!$B$28,6)))))</f>
        <v/>
      </c>
      <c r="BX78" s="100" t="str">
        <f aca="false">IF($BL78&lt;&gt;Constants!$B$4,"",IF(NOT($AL78),0,Constants!$B$31*INT(ROUND(MAX(0,MIN($BJ78,2*$AH$9)-$AH$9),6))))</f>
        <v/>
      </c>
      <c r="BY78" s="100" t="str">
        <f aca="false">IF($BL78&lt;&gt;Constants!$B$4,"",Constants!$B$32*(($AN78&gt;Constants!$B$26)+($AO78&gt;Constants!$B$26)+($AP78&gt;Constants!$B$26)))</f>
        <v/>
      </c>
      <c r="BZ78" s="100" t="str">
        <f aca="false">IF($BL78&lt;&gt;Constants!$B$4,"",IF(OR(NOT($AL78),$AQ78),0,Constants!$B$33))</f>
        <v/>
      </c>
      <c r="CA78" s="100" t="str">
        <f aca="false">IF($BL78&lt;&gt;Constants!$B$4,"",Constants!$B$34*$BN78)</f>
        <v/>
      </c>
      <c r="CB78" s="100" t="str">
        <f aca="false">IF($BL78&lt;&gt;Constants!$B$4,"",IF(OR(NOT($AL78),$BH78),0,Constants!$B$36))</f>
        <v/>
      </c>
      <c r="CC78" s="100" t="str">
        <f aca="false">IF($BL78&lt;&gt;Constants!$B$4,"",IF(OR(NOT($AL78),$BG78),0,Constants!$B$37))</f>
        <v/>
      </c>
      <c r="CD78" s="100" t="str">
        <f aca="false">IF($BL78&lt;&gt;Constants!$B$4,"",SUM($BX78:$CC78))</f>
        <v/>
      </c>
      <c r="CE78" s="100" t="str">
        <f aca="false">IF(ISBLANK($C78),"",IF($BL78&lt;&gt;Constants!$B$4,$BL78,SUM($BO78:$BW78)-$CD78))</f>
        <v/>
      </c>
      <c r="CF78" s="100" t="str">
        <f aca="false">IF(ISBLANK($C78),"",IF($BL78&lt;&gt;Constants!$B$4,$BL78,RANK($CE78,$CE$9:$CE$508)))</f>
        <v/>
      </c>
      <c r="CG78" s="100" t="str">
        <f aca="false">IF(ISBLANK($C78),"",IF($BL78&lt;&gt;Constants!$B$4,$BL78,COUNTIFS($BM$9:$BM$508,"&lt;"&amp;$BM78)+COUNTIFS($BM$9:$BM$508,$BM78,$CF$9:$CF$508,"&lt;"&amp;$CF78)+1))</f>
        <v/>
      </c>
      <c r="CH78" s="100" t="str">
        <f aca="false">IF(ISBLANK($C78),"",IF($BL78&lt;&gt;Constants!$B$4,$BL78,RANK($CD78,$CD$9:$CD$508,1)))</f>
        <v/>
      </c>
      <c r="CI78" s="100" t="str">
        <f aca="false">IF($BL78&lt;&gt;Constants!$B$4,"",$AN78+$AO78+$AP78)</f>
        <v/>
      </c>
      <c r="CJ78" s="100" t="str">
        <f aca="false">IF(ISBLANK($C78),"",IF($BL78&lt;&gt;Constants!$B$4,$BL78,RANK($CI78,$CI$9:$CI$508,1)))</f>
        <v/>
      </c>
      <c r="CK78" s="100" t="str">
        <f aca="false">IF(ISBLANK($C78),"",IF($BL78&lt;&gt;Constants!$B$4,$BL78,COUNTIFS($BM$9:$BM$508,"&lt;"&amp;$BM78)+COUNTIFS($BM$9:$BM$508,$BM78,$CF$9:$CF$508,"&lt;"&amp;$CF78)+COUNTIFS($BM$9:$BM$508,$BM78,$CF$9:$CF$508,$CF78,$CH$9:$CH$508,"&lt;"&amp;$CH78)+COUNTIFS($BM$9:$BM$508,$BM78,$CF$9:$CF$508,$CF78,$CH$9:$CH$508,$CH78,$CJ$9:$CJ$508,"&lt;"&amp;$CJ78)+1))</f>
        <v/>
      </c>
      <c r="CL78" s="100" t="str">
        <f aca="false">IF(ISBLANK($C78),"",IF($BL78&lt;&gt;Constants!$B$4,$BL78,$CG78-$CK78))</f>
        <v/>
      </c>
      <c r="CM78" s="100" t="str">
        <f aca="false">IF(ISBLANK($C78),"",IF(NOT($AL78),"",IF(ISBLANK($D$7),$CM$5,IF(NOT(ISNUMBER($D$7)),$CM$6,""))))</f>
        <v/>
      </c>
      <c r="CN78" s="100" t="str">
        <f aca="false">IF(ISBLANK($C78),"",OR($AN78="",$AO78="",$AP78=""))</f>
        <v/>
      </c>
      <c r="CO78" s="100" t="str">
        <f aca="false">IF(ISBLANK($C78),"",AND($AL78,$BA78=""))</f>
        <v/>
      </c>
      <c r="CP78" s="100" t="str">
        <f aca="false">IF(ISBLANK($C78),"",AND($AL78,$BB78=""))</f>
        <v/>
      </c>
      <c r="CQ78" s="100" t="str">
        <f aca="false">IF(ISBLANK($C78),"",AND($AL78,$BC78=""))</f>
        <v/>
      </c>
      <c r="CR78" s="100" t="str">
        <f aca="false">IF(ISBLANK($C78),"",AND($AL78,$BF78=""))</f>
        <v/>
      </c>
      <c r="CS78" s="100" t="str">
        <f aca="false">IF(ISBLANK($C78),"",AND($AL78,$BJ78=""))</f>
        <v/>
      </c>
      <c r="CT78" s="101"/>
      <c r="CU78" s="102"/>
      <c r="CV78" s="103" t="str">
        <f aca="false">IF(ISBLANK($C78),"",IF($BL78=Constants!$B$8,$CM78,""))</f>
        <v/>
      </c>
      <c r="CW78" s="102" t="str">
        <f aca="false">IF(ISBLANK($C78),"",IF($BL78&lt;&gt;Constants!$B$4,"",$BO78+$BP78))</f>
        <v/>
      </c>
      <c r="CX78" s="104" t="str">
        <f aca="false">IF(ISBLANK($C78),"",IF($BL78&lt;&gt;Constants!$B$4,"",$BQ78+$BR78+$BS78))</f>
        <v/>
      </c>
      <c r="CY78" s="104" t="str">
        <f aca="false">IF(ISBLANK($C78),"",IF($BL78&lt;&gt;Constants!$B$4,"",$BT78))</f>
        <v/>
      </c>
      <c r="CZ78" s="104" t="str">
        <f aca="false">IF(ISBLANK($C78),"",IF($BL78&lt;&gt;Constants!$B$4,"",$BU78+$BV78))</f>
        <v/>
      </c>
      <c r="DA78" s="104" t="str">
        <f aca="false">IF(ISBLANK($C78),"",IF($BL78&lt;&gt;Constants!$B$4,"",$BW78))</f>
        <v/>
      </c>
      <c r="DB78" s="104" t="str">
        <f aca="false">IF(ISBLANK($C78),"",IF($BL78&lt;&gt;Constants!$B$4,"",-$CD78))</f>
        <v/>
      </c>
      <c r="DC78" s="103" t="str">
        <f aca="false">IF(ISBLANK($C78),"",$CE78)</f>
        <v/>
      </c>
      <c r="DD78" s="105" t="str">
        <f aca="false">IF(ISBLANK($C78),"",$BM78)</f>
        <v/>
      </c>
      <c r="DE78" s="104" t="str">
        <f aca="false">IF(ISBLANK($C78),"",$CL78)</f>
        <v/>
      </c>
      <c r="DF78" s="104" t="str">
        <f aca="false">IF(ISBLANK($C78),"",$CK78)</f>
        <v/>
      </c>
      <c r="DG78" s="106" t="str">
        <f aca="false">IF(ISBLANK($C78),"",IF($DF78=Constants!$B$7,COUNTA($C$9:$C$508)+2,IF($DF78=Constants!$B$6,COUNTA($C$9:$C$508)+1,IF($DF78=Constants!$B$5,COUNTA($C$9:$C$508),$DF78))))</f>
        <v/>
      </c>
      <c r="DH78" s="7"/>
      <c r="DI78" s="107" t="n">
        <f aca="false">IF(OR(ISNUMBER($DF78),$DF78=Constants!$B$7,$DF78=Constants!$B$5,$DF78=Constants!$B$6),1,0)</f>
        <v>0</v>
      </c>
      <c r="DJ78" s="107" t="n">
        <v>70</v>
      </c>
      <c r="DK78" s="107" t="str">
        <f aca="false">IF(ISBLANK($C78),"",IF(ISNUMBER($DG78),$DG78+ROW($B78)/1000,""))</f>
        <v/>
      </c>
      <c r="DL78" s="107" t="str">
        <f aca="false">IF(ISNUMBER($DK78),RANK($DK78,$DK$9:$DK$508,1),"")</f>
        <v/>
      </c>
      <c r="DM78" s="107" t="str">
        <f aca="false">IF(ISBLANK($C78),"",$B78)</f>
        <v/>
      </c>
      <c r="DN78" s="107" t="str">
        <f aca="false">IF(ISBLANK($C78),"",$C78)</f>
        <v/>
      </c>
      <c r="DO78" s="107" t="str">
        <f aca="false">IF(ISBLANK($C78),"",$D78)</f>
        <v/>
      </c>
      <c r="DP78" s="108" t="str">
        <f aca="false">$DD78</f>
        <v/>
      </c>
      <c r="DQ78" s="109" t="str">
        <f aca="false">$DC78</f>
        <v/>
      </c>
      <c r="DR78" s="107" t="str">
        <f aca="false">IF(ISBLANK($C78),"",$DF78)</f>
        <v/>
      </c>
      <c r="DS78" s="110" t="str">
        <f aca="false">IF($DJ78&gt;$DI$8,"",VLOOKUP($DJ78,$DL$9:$DR$508,7,FALSE()))</f>
        <v/>
      </c>
      <c r="DT78" s="111" t="str">
        <f aca="false">IF($DJ78&gt;$DI$8,"",VLOOKUP($DJ78,$DL$9:$DR$508,2,FALSE()))</f>
        <v/>
      </c>
      <c r="DU78" s="111" t="str">
        <f aca="false">IF($DJ78&gt;$DI$8,"",VLOOKUP($DJ78,$DL$9:$DR$508,3,FALSE()))</f>
        <v/>
      </c>
      <c r="DV78" s="111" t="str">
        <f aca="false">IF($DJ78&gt;$DI$8,"",VLOOKUP($DJ78,$DL$9:$DR$508,4,FALSE()))</f>
        <v/>
      </c>
      <c r="DW78" s="111" t="str">
        <f aca="false">IF($DJ78&gt;$DI$8,"",VLOOKUP($DJ78,$DL$9:$DR$508,5,FALSE()))</f>
        <v/>
      </c>
      <c r="DX78" s="112" t="str">
        <f aca="false">IF($DJ78&gt;$DI$8,"",VLOOKUP($DJ78,$DL$9:$DR$508,6,FALSE()))</f>
        <v/>
      </c>
      <c r="DY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16"/>
      <c r="N79" s="116"/>
      <c r="O79" s="113"/>
      <c r="P79" s="113"/>
      <c r="Q79" s="116"/>
      <c r="R79" s="116"/>
      <c r="S79" s="116"/>
      <c r="T79" s="116"/>
      <c r="U79" s="113"/>
      <c r="V79" s="116"/>
      <c r="W79" s="132"/>
      <c r="X79" s="116"/>
      <c r="Y79" s="116"/>
      <c r="Z79" s="132"/>
      <c r="AA79" s="132"/>
      <c r="AB79" s="116"/>
      <c r="AC79" s="116"/>
      <c r="AD79" s="116"/>
      <c r="AE79" s="133"/>
      <c r="AF79" s="116"/>
      <c r="AG79" s="99"/>
      <c r="AH79" s="100"/>
      <c r="AI79" s="100"/>
      <c r="AJ79" s="100" t="str">
        <f aca="false">IF(ISBLANK($C79),"",IF($E79=Constants!$B$2,TRUE(),IF($E79=Constants!$B$3,FALSE(),TRUE())))</f>
        <v/>
      </c>
      <c r="AK79" s="100" t="str">
        <f aca="false">IF(ISBLANK($C79),"",IF($F79=Constants!$B$2,TRUE(),IF($F79=Constants!$B$3,FALSE(),FALSE())))</f>
        <v/>
      </c>
      <c r="AL79" s="100" t="str">
        <f aca="false">IF(ISBLANK($C79),"",IF($G79=Constants!$B$2,TRUE(),IF($G79=Constants!$B$3,FALSE(),TRUE())))</f>
        <v/>
      </c>
      <c r="AM79" s="100" t="str">
        <f aca="false">IF(ISBLANK($C79),"",IF($H79=Constants!$B$2,TRUE(),IF($H79=Constants!$B$3,FALSE(),TRUE())))</f>
        <v/>
      </c>
      <c r="AN79" s="100" t="str">
        <f aca="false">IF(ISBLANK($C79),"",IF(ISNUMBER($I79),IF($I79&gt;=0,$I79,""),""))</f>
        <v/>
      </c>
      <c r="AO79" s="100" t="str">
        <f aca="false">IF(ISBLANK($C79),"",IF(ISNUMBER($J79),IF($J79&gt;=0,$J79,""),""))</f>
        <v/>
      </c>
      <c r="AP79" s="100" t="str">
        <f aca="false">IF(ISBLANK($C79),"",IF(ISNUMBER($K79),IF($K79&gt;=0,$K79,""),""))</f>
        <v/>
      </c>
      <c r="AQ79" s="100" t="str">
        <f aca="false">IF(ISBLANK($C79),"",IF($L79=Constants!$B$2,TRUE(),IF($L79=Constants!$B$3,FALSE(),TRUE())))</f>
        <v/>
      </c>
      <c r="AR79" s="100" t="str">
        <f aca="false">IF(ISBLANK($C79),"",IF($M79=Constants!$B$2,TRUE(),IF($M79=Constants!$B$3,FALSE(),TRUE())))</f>
        <v/>
      </c>
      <c r="AS79" s="100" t="str">
        <f aca="false">IF(ISBLANK($C79),"",IF($N79=Constants!$B$2,TRUE(),IF($N79=Constants!$B$3,FALSE(),FALSE())))</f>
        <v/>
      </c>
      <c r="AT79" s="100" t="str">
        <f aca="false">IF(ISBLANK($C79),"",IF($O79=Constants!$B$2,TRUE(),IF($O79=Constants!$B$3,FALSE(),TRUE())))</f>
        <v/>
      </c>
      <c r="AU79" s="100" t="str">
        <f aca="false">IF(ISBLANK($C79),"",IF($P79=Constants!$B$2,TRUE(),IF($P79=Constants!$B$3,FALSE(),TRUE())))</f>
        <v/>
      </c>
      <c r="AV79" s="100" t="str">
        <f aca="false">IF(ISBLANK($C79),"",IF($Q79=Constants!$B$2,TRUE(),IF($Q79=Constants!$B$3,FALSE(),FALSE())))</f>
        <v/>
      </c>
      <c r="AW79" s="100" t="str">
        <f aca="false">IF(ISBLANK($C79),"",IF($R79=Constants!$B$2,TRUE(),IF($R79=Constants!$B$3,FALSE(),FALSE())))</f>
        <v/>
      </c>
      <c r="AX79" s="100" t="str">
        <f aca="false">IF(ISBLANK($C79),"",IF($S79=Constants!$B$2,TRUE(),IF($S79=Constants!$B$3,FALSE(),FALSE())))</f>
        <v/>
      </c>
      <c r="AY79" s="100" t="str">
        <f aca="false">IF(ISBLANK($C79),"",IF($T79=Constants!$B$2,TRUE(),IF($T79=Constants!$B$3,FALSE(),FALSE())))</f>
        <v/>
      </c>
      <c r="AZ79" s="100" t="str">
        <f aca="false">IF(ISBLANK($C79),"",IF($U79=Constants!$B$2,TRUE(),IF($U79=Constants!$B$3,FALSE(),FALSE())))</f>
        <v/>
      </c>
      <c r="BA79" s="100" t="str">
        <f aca="false">IF(ISBLANK($C79),"",IF(OR($V79&amp;""="1",$V79&amp;""="2",$V79&amp;""="3",$V79&amp;""="4"),VALUE($V79&amp;""),IF($V79=Constants!$B$12,Constants!$B$12,"")))</f>
        <v/>
      </c>
      <c r="BB79" s="100" t="str">
        <f aca="false">IF(ISBLANK($C79),"",IF(ISBLANK($W79),0,IF(ISNUMBER($W79),IF(AND($W79&gt;=0,$W79&lt;=Constants!$B$21,$W79=INT($W79)),$W79,""),"")))</f>
        <v/>
      </c>
      <c r="BC79" s="100" t="str">
        <f aca="false">IF(ISBLANK($C79),"",IF(ISBLANK($X79),0,IF(ISNUMBER($X79),IF($X79&gt;=0,$X79,""),"")))</f>
        <v/>
      </c>
      <c r="BD79" s="100" t="str">
        <f aca="false">IF(ISBLANK($C79),"",IF($Y79=Constants!$B$2,TRUE(),IF($Y79=Constants!$B$3,FALSE(),TRUE())))</f>
        <v/>
      </c>
      <c r="BE79" s="100" t="str">
        <f aca="false">IF(ISBLANK($C79),"",IF($Z79=Constants!$B$2,TRUE(),IF($Z79=Constants!$B$3,FALSE(),FALSE())))</f>
        <v/>
      </c>
      <c r="BF79" s="100" t="str">
        <f aca="false">IF(ISBLANK($C79),"",IF(ISBLANK($AA79),0,IF(ISNUMBER($AA79),IF(AND($AA79&gt;=0,$AA79&lt;=Constants!$B$35,$AA79=INT($AA79)),$AA79,""),"")))</f>
        <v/>
      </c>
      <c r="BG79" s="100" t="str">
        <f aca="false">IF(ISBLANK($C79),"",IF($AB79=Constants!$B$2,TRUE(),IF($AB79=Constants!$B$3,FALSE(),TRUE())))</f>
        <v/>
      </c>
      <c r="BH79" s="100" t="str">
        <f aca="false">IF(ISBLANK($C79),"",IF($AC79=Constants!$B$2,TRUE(),IF($AC79=Constants!$B$3,FALSE(),TRUE())))</f>
        <v/>
      </c>
      <c r="BI79" s="100" t="str">
        <f aca="false">IF(ISBLANK($C79),"",IF($AD79=Constants!$B$2,TRUE(),IF($AD79=Constants!$B$3,FALSE(),TRUE())))</f>
        <v/>
      </c>
      <c r="BJ79" s="100" t="str">
        <f aca="false">IF(ISBLANK($C79),"",IF(ISNUMBER($AE79),IF($AE79&gt;=0,$AE79,""),""))</f>
        <v/>
      </c>
      <c r="BK79" s="100" t="str">
        <f aca="false">IF(ISBLANK($C79),"",IF($AF79=Constants!$B$2,TRUE(),IF($AF79=Constants!$B$3,FALSE(),FALSE())))</f>
        <v/>
      </c>
      <c r="BL79" s="99" t="str">
        <f aca="false">IF(ISBLANK($C79),"",IF($BK79,Constants!$B$7,IF(COUNTA($E79:$AE79)=0,Constants!$B$6,IF(OR(COUNTA($G79:$AE79)=0,NOT($AM79),$AS79),Constants!$B$5,IF(OR($CM79&lt;&gt;"",$CN79,$CO79,$CP79,$CQ79,$CR79,$CS79),Constants!$B$8,Constants!$B$4)))))</f>
        <v/>
      </c>
      <c r="BM79" s="100" t="str">
        <f aca="false">IF(ISBLANK($C79),"",IF($BL79&lt;&gt;Constants!$B$4,$BL79,IF(OR(NOT($AJ79),NOT($AL79),NOT($AT79)),Constants!$B$11,IF(OR(NOT($AR79),NOT($AU79),NOT($BI79),MAX($AN79,$AO79,$AP79)&gt;Constants!$B$30),Constants!$B$10,Constants!$B$9))))</f>
        <v/>
      </c>
      <c r="BN79" s="100" t="str">
        <f aca="false">IF($BL79&lt;&gt;Constants!$B$4,"",IF(NOT($AL79),0,MIN(Constants!$B$35,$BF79)))</f>
        <v/>
      </c>
      <c r="BO79" s="100" t="str">
        <f aca="false">IF($BL79&lt;&gt;Constants!$B$4,"",IF(NOT($AL79),0,IF($AW79,Constants!$B$18,IF($AV79,Constants!$B$17,0))))</f>
        <v/>
      </c>
      <c r="BP79" s="100" t="str">
        <f aca="false">IF($BL79&lt;&gt;Constants!$B$4,"",IF(NOT($AL79),0,Constants!$B$19*($AK79+$AX79+$AY79+$AZ79)))</f>
        <v/>
      </c>
      <c r="BQ79" s="100" t="str">
        <f aca="false">IF($BL79&lt;&gt;Constants!$B$4,"",IF(OR(NOT($AL79),NOT(ISNUMBER($BA79))),0,CHOOSE($BA79,Constants!$B$13,Constants!$B$14,Constants!$B$15,Constants!$B$16)))</f>
        <v/>
      </c>
      <c r="BR79" s="100" t="str">
        <f aca="false">IF($BL79&lt;&gt;Constants!$B$4,"",IF(NOT($AL79),0,Constants!$B$20*$BB79))</f>
        <v/>
      </c>
      <c r="BS79" s="100" t="str">
        <f aca="false">IF($BL79&lt;&gt;Constants!$B$4,"",IF(AND($AL79,$BD79,$BE79),Constants!$B$22,0))</f>
        <v/>
      </c>
      <c r="BT79" s="100" t="str">
        <f aca="false">IF($BL79&lt;&gt;Constants!$B$4,"",IF(OR(NOT($AL79),NOT($BD79)),0,IF($BJ79&gt;=2*$AH$9,0,Constants!$B$23*INT(ROUND(MIN($BJ79,$AH$9),6)))))</f>
        <v/>
      </c>
      <c r="BU79" s="100" t="str">
        <f aca="false">IF($BL79&lt;&gt;Constants!$B$4,"",IF(NOT($AL79),0,Constants!$B$24*INT(ROUND(MIN($BC79,$AH$9),6))))</f>
        <v/>
      </c>
      <c r="BV79" s="100" t="str">
        <f aca="false">IF($BL79&lt;&gt;Constants!$B$4,"",IF(AND($AL79,$BN79=0),Constants!$B$25,0))</f>
        <v/>
      </c>
      <c r="BW79" s="100" t="str">
        <f aca="false">IF($BL79&lt;&gt;Constants!$B$4,"",MIN(Constants!$B$29,MAX(0,Constants!$B$27*Constants!$B$28*INT(ROUND((Constants!$B$26-$AN79)/Constants!$B$28,6))))+MIN(Constants!$B$29,MAX(0,Constants!$B$27*Constants!$B$28*INT(ROUND((Constants!$B$26-$AO79)/Constants!$B$28,6))))+MIN(Constants!$B$29,MAX(0,Constants!$B$27*Constants!$B$28*INT(ROUND((Constants!$B$26-$AP79)/Constants!$B$28,6)))))</f>
        <v/>
      </c>
      <c r="BX79" s="100" t="str">
        <f aca="false">IF($BL79&lt;&gt;Constants!$B$4,"",IF(NOT($AL79),0,Constants!$B$31*INT(ROUND(MAX(0,MIN($BJ79,2*$AH$9)-$AH$9),6))))</f>
        <v/>
      </c>
      <c r="BY79" s="100" t="str">
        <f aca="false">IF($BL79&lt;&gt;Constants!$B$4,"",Constants!$B$32*(($AN79&gt;Constants!$B$26)+($AO79&gt;Constants!$B$26)+($AP79&gt;Constants!$B$26)))</f>
        <v/>
      </c>
      <c r="BZ79" s="100" t="str">
        <f aca="false">IF($BL79&lt;&gt;Constants!$B$4,"",IF(OR(NOT($AL79),$AQ79),0,Constants!$B$33))</f>
        <v/>
      </c>
      <c r="CA79" s="100" t="str">
        <f aca="false">IF($BL79&lt;&gt;Constants!$B$4,"",Constants!$B$34*$BN79)</f>
        <v/>
      </c>
      <c r="CB79" s="100" t="str">
        <f aca="false">IF($BL79&lt;&gt;Constants!$B$4,"",IF(OR(NOT($AL79),$BH79),0,Constants!$B$36))</f>
        <v/>
      </c>
      <c r="CC79" s="100" t="str">
        <f aca="false">IF($BL79&lt;&gt;Constants!$B$4,"",IF(OR(NOT($AL79),$BG79),0,Constants!$B$37))</f>
        <v/>
      </c>
      <c r="CD79" s="100" t="str">
        <f aca="false">IF($BL79&lt;&gt;Constants!$B$4,"",SUM($BX79:$CC79))</f>
        <v/>
      </c>
      <c r="CE79" s="100" t="str">
        <f aca="false">IF(ISBLANK($C79),"",IF($BL79&lt;&gt;Constants!$B$4,$BL79,SUM($BO79:$BW79)-$CD79))</f>
        <v/>
      </c>
      <c r="CF79" s="100" t="str">
        <f aca="false">IF(ISBLANK($C79),"",IF($BL79&lt;&gt;Constants!$B$4,$BL79,RANK($CE79,$CE$9:$CE$508)))</f>
        <v/>
      </c>
      <c r="CG79" s="100" t="str">
        <f aca="false">IF(ISBLANK($C79),"",IF($BL79&lt;&gt;Constants!$B$4,$BL79,COUNTIFS($BM$9:$BM$508,"&lt;"&amp;$BM79)+COUNTIFS($BM$9:$BM$508,$BM79,$CF$9:$CF$508,"&lt;"&amp;$CF79)+1))</f>
        <v/>
      </c>
      <c r="CH79" s="100" t="str">
        <f aca="false">IF(ISBLANK($C79),"",IF($BL79&lt;&gt;Constants!$B$4,$BL79,RANK($CD79,$CD$9:$CD$508,1)))</f>
        <v/>
      </c>
      <c r="CI79" s="100" t="str">
        <f aca="false">IF($BL79&lt;&gt;Constants!$B$4,"",$AN79+$AO79+$AP79)</f>
        <v/>
      </c>
      <c r="CJ79" s="100" t="str">
        <f aca="false">IF(ISBLANK($C79),"",IF($BL79&lt;&gt;Constants!$B$4,$BL79,RANK($CI79,$CI$9:$CI$508,1)))</f>
        <v/>
      </c>
      <c r="CK79" s="100" t="str">
        <f aca="false">IF(ISBLANK($C79),"",IF($BL79&lt;&gt;Constants!$B$4,$BL79,COUNTIFS($BM$9:$BM$508,"&lt;"&amp;$BM79)+COUNTIFS($BM$9:$BM$508,$BM79,$CF$9:$CF$508,"&lt;"&amp;$CF79)+COUNTIFS($BM$9:$BM$508,$BM79,$CF$9:$CF$508,$CF79,$CH$9:$CH$508,"&lt;"&amp;$CH79)+COUNTIFS($BM$9:$BM$508,$BM79,$CF$9:$CF$508,$CF79,$CH$9:$CH$508,$CH79,$CJ$9:$CJ$508,"&lt;"&amp;$CJ79)+1))</f>
        <v/>
      </c>
      <c r="CL79" s="100" t="str">
        <f aca="false">IF(ISBLANK($C79),"",IF($BL79&lt;&gt;Constants!$B$4,$BL79,$CG79-$CK79))</f>
        <v/>
      </c>
      <c r="CM79" s="100" t="str">
        <f aca="false">IF(ISBLANK($C79),"",IF(NOT($AL79),"",IF(ISBLANK($D$7),$CM$5,IF(NOT(ISNUMBER($D$7)),$CM$6,""))))</f>
        <v/>
      </c>
      <c r="CN79" s="100" t="str">
        <f aca="false">IF(ISBLANK($C79),"",OR($AN79="",$AO79="",$AP79=""))</f>
        <v/>
      </c>
      <c r="CO79" s="100" t="str">
        <f aca="false">IF(ISBLANK($C79),"",AND($AL79,$BA79=""))</f>
        <v/>
      </c>
      <c r="CP79" s="100" t="str">
        <f aca="false">IF(ISBLANK($C79),"",AND($AL79,$BB79=""))</f>
        <v/>
      </c>
      <c r="CQ79" s="100" t="str">
        <f aca="false">IF(ISBLANK($C79),"",AND($AL79,$BC79=""))</f>
        <v/>
      </c>
      <c r="CR79" s="100" t="str">
        <f aca="false">IF(ISBLANK($C79),"",AND($AL79,$BF79=""))</f>
        <v/>
      </c>
      <c r="CS79" s="100" t="str">
        <f aca="false">IF(ISBLANK($C79),"",AND($AL79,$BJ79=""))</f>
        <v/>
      </c>
      <c r="CT79" s="101"/>
      <c r="CU79" s="102"/>
      <c r="CV79" s="103" t="str">
        <f aca="false">IF(ISBLANK($C79),"",IF($BL79=Constants!$B$8,$CM79,""))</f>
        <v/>
      </c>
      <c r="CW79" s="102" t="str">
        <f aca="false">IF(ISBLANK($C79),"",IF($BL79&lt;&gt;Constants!$B$4,"",$BO79+$BP79))</f>
        <v/>
      </c>
      <c r="CX79" s="104" t="str">
        <f aca="false">IF(ISBLANK($C79),"",IF($BL79&lt;&gt;Constants!$B$4,"",$BQ79+$BR79+$BS79))</f>
        <v/>
      </c>
      <c r="CY79" s="104" t="str">
        <f aca="false">IF(ISBLANK($C79),"",IF($BL79&lt;&gt;Constants!$B$4,"",$BT79))</f>
        <v/>
      </c>
      <c r="CZ79" s="104" t="str">
        <f aca="false">IF(ISBLANK($C79),"",IF($BL79&lt;&gt;Constants!$B$4,"",$BU79+$BV79))</f>
        <v/>
      </c>
      <c r="DA79" s="104" t="str">
        <f aca="false">IF(ISBLANK($C79),"",IF($BL79&lt;&gt;Constants!$B$4,"",$BW79))</f>
        <v/>
      </c>
      <c r="DB79" s="104" t="str">
        <f aca="false">IF(ISBLANK($C79),"",IF($BL79&lt;&gt;Constants!$B$4,"",-$CD79))</f>
        <v/>
      </c>
      <c r="DC79" s="103" t="str">
        <f aca="false">IF(ISBLANK($C79),"",$CE79)</f>
        <v/>
      </c>
      <c r="DD79" s="105" t="str">
        <f aca="false">IF(ISBLANK($C79),"",$BM79)</f>
        <v/>
      </c>
      <c r="DE79" s="104" t="str">
        <f aca="false">IF(ISBLANK($C79),"",$CL79)</f>
        <v/>
      </c>
      <c r="DF79" s="104" t="str">
        <f aca="false">IF(ISBLANK($C79),"",$CK79)</f>
        <v/>
      </c>
      <c r="DG79" s="106" t="str">
        <f aca="false">IF(ISBLANK($C79),"",IF($DF79=Constants!$B$7,COUNTA($C$9:$C$508)+2,IF($DF79=Constants!$B$6,COUNTA($C$9:$C$508)+1,IF($DF79=Constants!$B$5,COUNTA($C$9:$C$508),$DF79))))</f>
        <v/>
      </c>
      <c r="DH79" s="7"/>
      <c r="DI79" s="107" t="n">
        <f aca="false">IF(OR(ISNUMBER($DF79),$DF79=Constants!$B$7,$DF79=Constants!$B$5,$DF79=Constants!$B$6),1,0)</f>
        <v>0</v>
      </c>
      <c r="DJ79" s="107" t="n">
        <v>71</v>
      </c>
      <c r="DK79" s="107" t="str">
        <f aca="false">IF(ISBLANK($C79),"",IF(ISNUMBER($DG79),$DG79+ROW($B79)/1000,""))</f>
        <v/>
      </c>
      <c r="DL79" s="107" t="str">
        <f aca="false">IF(ISNUMBER($DK79),RANK($DK79,$DK$9:$DK$508,1),"")</f>
        <v/>
      </c>
      <c r="DM79" s="107" t="str">
        <f aca="false">IF(ISBLANK($C79),"",$B79)</f>
        <v/>
      </c>
      <c r="DN79" s="107" t="str">
        <f aca="false">IF(ISBLANK($C79),"",$C79)</f>
        <v/>
      </c>
      <c r="DO79" s="107" t="str">
        <f aca="false">IF(ISBLANK($C79),"",$D79)</f>
        <v/>
      </c>
      <c r="DP79" s="108" t="str">
        <f aca="false">$DD79</f>
        <v/>
      </c>
      <c r="DQ79" s="109" t="str">
        <f aca="false">$DC79</f>
        <v/>
      </c>
      <c r="DR79" s="107" t="str">
        <f aca="false">IF(ISBLANK($C79),"",$DF79)</f>
        <v/>
      </c>
      <c r="DS79" s="110" t="str">
        <f aca="false">IF($DJ79&gt;$DI$8,"",VLOOKUP($DJ79,$DL$9:$DR$508,7,FALSE()))</f>
        <v/>
      </c>
      <c r="DT79" s="111" t="str">
        <f aca="false">IF($DJ79&gt;$DI$8,"",VLOOKUP($DJ79,$DL$9:$DR$508,2,FALSE()))</f>
        <v/>
      </c>
      <c r="DU79" s="111" t="str">
        <f aca="false">IF($DJ79&gt;$DI$8,"",VLOOKUP($DJ79,$DL$9:$DR$508,3,FALSE()))</f>
        <v/>
      </c>
      <c r="DV79" s="111" t="str">
        <f aca="false">IF($DJ79&gt;$DI$8,"",VLOOKUP($DJ79,$DL$9:$DR$508,4,FALSE()))</f>
        <v/>
      </c>
      <c r="DW79" s="111" t="str">
        <f aca="false">IF($DJ79&gt;$DI$8,"",VLOOKUP($DJ79,$DL$9:$DR$508,5,FALSE()))</f>
        <v/>
      </c>
      <c r="DX79" s="112" t="str">
        <f aca="false">IF($DJ79&gt;$DI$8,"",VLOOKUP($DJ79,$DL$9:$DR$508,6,FALSE()))</f>
        <v/>
      </c>
      <c r="DY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130"/>
      <c r="N80" s="130"/>
      <c r="O80" s="135"/>
      <c r="P80" s="135"/>
      <c r="Q80" s="130"/>
      <c r="R80" s="130"/>
      <c r="S80" s="130"/>
      <c r="T80" s="130"/>
      <c r="U80" s="135"/>
      <c r="V80" s="130"/>
      <c r="W80" s="96"/>
      <c r="X80" s="130"/>
      <c r="Y80" s="130"/>
      <c r="Z80" s="96"/>
      <c r="AA80" s="96"/>
      <c r="AB80" s="130"/>
      <c r="AC80" s="130"/>
      <c r="AD80" s="130"/>
      <c r="AE80" s="97"/>
      <c r="AF80" s="130"/>
      <c r="AG80" s="99"/>
      <c r="AH80" s="100"/>
      <c r="AI80" s="100"/>
      <c r="AJ80" s="100" t="str">
        <f aca="false">IF(ISBLANK($C80),"",IF($E80=Constants!$B$2,TRUE(),IF($E80=Constants!$B$3,FALSE(),TRUE())))</f>
        <v/>
      </c>
      <c r="AK80" s="100" t="str">
        <f aca="false">IF(ISBLANK($C80),"",IF($F80=Constants!$B$2,TRUE(),IF($F80=Constants!$B$3,FALSE(),FALSE())))</f>
        <v/>
      </c>
      <c r="AL80" s="100" t="str">
        <f aca="false">IF(ISBLANK($C80),"",IF($G80=Constants!$B$2,TRUE(),IF($G80=Constants!$B$3,FALSE(),TRUE())))</f>
        <v/>
      </c>
      <c r="AM80" s="100" t="str">
        <f aca="false">IF(ISBLANK($C80),"",IF($H80=Constants!$B$2,TRUE(),IF($H80=Constants!$B$3,FALSE(),TRUE())))</f>
        <v/>
      </c>
      <c r="AN80" s="100" t="str">
        <f aca="false">IF(ISBLANK($C80),"",IF(ISNUMBER($I80),IF($I80&gt;=0,$I80,""),""))</f>
        <v/>
      </c>
      <c r="AO80" s="100" t="str">
        <f aca="false">IF(ISBLANK($C80),"",IF(ISNUMBER($J80),IF($J80&gt;=0,$J80,""),""))</f>
        <v/>
      </c>
      <c r="AP80" s="100" t="str">
        <f aca="false">IF(ISBLANK($C80),"",IF(ISNUMBER($K80),IF($K80&gt;=0,$K80,""),""))</f>
        <v/>
      </c>
      <c r="AQ80" s="100" t="str">
        <f aca="false">IF(ISBLANK($C80),"",IF($L80=Constants!$B$2,TRUE(),IF($L80=Constants!$B$3,FALSE(),TRUE())))</f>
        <v/>
      </c>
      <c r="AR80" s="100" t="str">
        <f aca="false">IF(ISBLANK($C80),"",IF($M80=Constants!$B$2,TRUE(),IF($M80=Constants!$B$3,FALSE(),TRUE())))</f>
        <v/>
      </c>
      <c r="AS80" s="100" t="str">
        <f aca="false">IF(ISBLANK($C80),"",IF($N80=Constants!$B$2,TRUE(),IF($N80=Constants!$B$3,FALSE(),FALSE())))</f>
        <v/>
      </c>
      <c r="AT80" s="100" t="str">
        <f aca="false">IF(ISBLANK($C80),"",IF($O80=Constants!$B$2,TRUE(),IF($O80=Constants!$B$3,FALSE(),TRUE())))</f>
        <v/>
      </c>
      <c r="AU80" s="100" t="str">
        <f aca="false">IF(ISBLANK($C80),"",IF($P80=Constants!$B$2,TRUE(),IF($P80=Constants!$B$3,FALSE(),TRUE())))</f>
        <v/>
      </c>
      <c r="AV80" s="100" t="str">
        <f aca="false">IF(ISBLANK($C80),"",IF($Q80=Constants!$B$2,TRUE(),IF($Q80=Constants!$B$3,FALSE(),FALSE())))</f>
        <v/>
      </c>
      <c r="AW80" s="100" t="str">
        <f aca="false">IF(ISBLANK($C80),"",IF($R80=Constants!$B$2,TRUE(),IF($R80=Constants!$B$3,FALSE(),FALSE())))</f>
        <v/>
      </c>
      <c r="AX80" s="100" t="str">
        <f aca="false">IF(ISBLANK($C80),"",IF($S80=Constants!$B$2,TRUE(),IF($S80=Constants!$B$3,FALSE(),FALSE())))</f>
        <v/>
      </c>
      <c r="AY80" s="100" t="str">
        <f aca="false">IF(ISBLANK($C80),"",IF($T80=Constants!$B$2,TRUE(),IF($T80=Constants!$B$3,FALSE(),FALSE())))</f>
        <v/>
      </c>
      <c r="AZ80" s="100" t="str">
        <f aca="false">IF(ISBLANK($C80),"",IF($U80=Constants!$B$2,TRUE(),IF($U80=Constants!$B$3,FALSE(),FALSE())))</f>
        <v/>
      </c>
      <c r="BA80" s="100" t="str">
        <f aca="false">IF(ISBLANK($C80),"",IF(OR($V80&amp;""="1",$V80&amp;""="2",$V80&amp;""="3",$V80&amp;""="4"),VALUE($V80&amp;""),IF($V80=Constants!$B$12,Constants!$B$12,"")))</f>
        <v/>
      </c>
      <c r="BB80" s="100" t="str">
        <f aca="false">IF(ISBLANK($C80),"",IF(ISBLANK($W80),0,IF(ISNUMBER($W80),IF(AND($W80&gt;=0,$W80&lt;=Constants!$B$21,$W80=INT($W80)),$W80,""),"")))</f>
        <v/>
      </c>
      <c r="BC80" s="100" t="str">
        <f aca="false">IF(ISBLANK($C80),"",IF(ISBLANK($X80),0,IF(ISNUMBER($X80),IF($X80&gt;=0,$X80,""),"")))</f>
        <v/>
      </c>
      <c r="BD80" s="100" t="str">
        <f aca="false">IF(ISBLANK($C80),"",IF($Y80=Constants!$B$2,TRUE(),IF($Y80=Constants!$B$3,FALSE(),TRUE())))</f>
        <v/>
      </c>
      <c r="BE80" s="100" t="str">
        <f aca="false">IF(ISBLANK($C80),"",IF($Z80=Constants!$B$2,TRUE(),IF($Z80=Constants!$B$3,FALSE(),FALSE())))</f>
        <v/>
      </c>
      <c r="BF80" s="100" t="str">
        <f aca="false">IF(ISBLANK($C80),"",IF(ISBLANK($AA80),0,IF(ISNUMBER($AA80),IF(AND($AA80&gt;=0,$AA80&lt;=Constants!$B$35,$AA80=INT($AA80)),$AA80,""),"")))</f>
        <v/>
      </c>
      <c r="BG80" s="100" t="str">
        <f aca="false">IF(ISBLANK($C80),"",IF($AB80=Constants!$B$2,TRUE(),IF($AB80=Constants!$B$3,FALSE(),TRUE())))</f>
        <v/>
      </c>
      <c r="BH80" s="100" t="str">
        <f aca="false">IF(ISBLANK($C80),"",IF($AC80=Constants!$B$2,TRUE(),IF($AC80=Constants!$B$3,FALSE(),TRUE())))</f>
        <v/>
      </c>
      <c r="BI80" s="100" t="str">
        <f aca="false">IF(ISBLANK($C80),"",IF($AD80=Constants!$B$2,TRUE(),IF($AD80=Constants!$B$3,FALSE(),TRUE())))</f>
        <v/>
      </c>
      <c r="BJ80" s="100" t="str">
        <f aca="false">IF(ISBLANK($C80),"",IF(ISNUMBER($AE80),IF($AE80&gt;=0,$AE80,""),""))</f>
        <v/>
      </c>
      <c r="BK80" s="100" t="str">
        <f aca="false">IF(ISBLANK($C80),"",IF($AF80=Constants!$B$2,TRUE(),IF($AF80=Constants!$B$3,FALSE(),FALSE())))</f>
        <v/>
      </c>
      <c r="BL80" s="99" t="str">
        <f aca="false">IF(ISBLANK($C80),"",IF($BK80,Constants!$B$7,IF(COUNTA($E80:$AE80)=0,Constants!$B$6,IF(OR(COUNTA($G80:$AE80)=0,NOT($AM80),$AS80),Constants!$B$5,IF(OR($CM80&lt;&gt;"",$CN80,$CO80,$CP80,$CQ80,$CR80,$CS80),Constants!$B$8,Constants!$B$4)))))</f>
        <v/>
      </c>
      <c r="BM80" s="100" t="str">
        <f aca="false">IF(ISBLANK($C80),"",IF($BL80&lt;&gt;Constants!$B$4,$BL80,IF(OR(NOT($AJ80),NOT($AL80),NOT($AT80)),Constants!$B$11,IF(OR(NOT($AR80),NOT($AU80),NOT($BI80),MAX($AN80,$AO80,$AP80)&gt;Constants!$B$30),Constants!$B$10,Constants!$B$9))))</f>
        <v/>
      </c>
      <c r="BN80" s="100" t="str">
        <f aca="false">IF($BL80&lt;&gt;Constants!$B$4,"",IF(NOT($AL80),0,MIN(Constants!$B$35,$BF80)))</f>
        <v/>
      </c>
      <c r="BO80" s="100" t="str">
        <f aca="false">IF($BL80&lt;&gt;Constants!$B$4,"",IF(NOT($AL80),0,IF($AW80,Constants!$B$18,IF($AV80,Constants!$B$17,0))))</f>
        <v/>
      </c>
      <c r="BP80" s="100" t="str">
        <f aca="false">IF($BL80&lt;&gt;Constants!$B$4,"",IF(NOT($AL80),0,Constants!$B$19*($AK80+$AX80+$AY80+$AZ80)))</f>
        <v/>
      </c>
      <c r="BQ80" s="100" t="str">
        <f aca="false">IF($BL80&lt;&gt;Constants!$B$4,"",IF(OR(NOT($AL80),NOT(ISNUMBER($BA80))),0,CHOOSE($BA80,Constants!$B$13,Constants!$B$14,Constants!$B$15,Constants!$B$16)))</f>
        <v/>
      </c>
      <c r="BR80" s="100" t="str">
        <f aca="false">IF($BL80&lt;&gt;Constants!$B$4,"",IF(NOT($AL80),0,Constants!$B$20*$BB80))</f>
        <v/>
      </c>
      <c r="BS80" s="100" t="str">
        <f aca="false">IF($BL80&lt;&gt;Constants!$B$4,"",IF(AND($AL80,$BD80,$BE80),Constants!$B$22,0))</f>
        <v/>
      </c>
      <c r="BT80" s="100" t="str">
        <f aca="false">IF($BL80&lt;&gt;Constants!$B$4,"",IF(OR(NOT($AL80),NOT($BD80)),0,IF($BJ80&gt;=2*$AH$9,0,Constants!$B$23*INT(ROUND(MIN($BJ80,$AH$9),6)))))</f>
        <v/>
      </c>
      <c r="BU80" s="100" t="str">
        <f aca="false">IF($BL80&lt;&gt;Constants!$B$4,"",IF(NOT($AL80),0,Constants!$B$24*INT(ROUND(MIN($BC80,$AH$9),6))))</f>
        <v/>
      </c>
      <c r="BV80" s="100" t="str">
        <f aca="false">IF($BL80&lt;&gt;Constants!$B$4,"",IF(AND($AL80,$BN80=0),Constants!$B$25,0))</f>
        <v/>
      </c>
      <c r="BW80" s="100" t="str">
        <f aca="false">IF($BL80&lt;&gt;Constants!$B$4,"",MIN(Constants!$B$29,MAX(0,Constants!$B$27*Constants!$B$28*INT(ROUND((Constants!$B$26-$AN80)/Constants!$B$28,6))))+MIN(Constants!$B$29,MAX(0,Constants!$B$27*Constants!$B$28*INT(ROUND((Constants!$B$26-$AO80)/Constants!$B$28,6))))+MIN(Constants!$B$29,MAX(0,Constants!$B$27*Constants!$B$28*INT(ROUND((Constants!$B$26-$AP80)/Constants!$B$28,6)))))</f>
        <v/>
      </c>
      <c r="BX80" s="100" t="str">
        <f aca="false">IF($BL80&lt;&gt;Constants!$B$4,"",IF(NOT($AL80),0,Constants!$B$31*INT(ROUND(MAX(0,MIN($BJ80,2*$AH$9)-$AH$9),6))))</f>
        <v/>
      </c>
      <c r="BY80" s="100" t="str">
        <f aca="false">IF($BL80&lt;&gt;Constants!$B$4,"",Constants!$B$32*(($AN80&gt;Constants!$B$26)+($AO80&gt;Constants!$B$26)+($AP80&gt;Constants!$B$26)))</f>
        <v/>
      </c>
      <c r="BZ80" s="100" t="str">
        <f aca="false">IF($BL80&lt;&gt;Constants!$B$4,"",IF(OR(NOT($AL80),$AQ80),0,Constants!$B$33))</f>
        <v/>
      </c>
      <c r="CA80" s="100" t="str">
        <f aca="false">IF($BL80&lt;&gt;Constants!$B$4,"",Constants!$B$34*$BN80)</f>
        <v/>
      </c>
      <c r="CB80" s="100" t="str">
        <f aca="false">IF($BL80&lt;&gt;Constants!$B$4,"",IF(OR(NOT($AL80),$BH80),0,Constants!$B$36))</f>
        <v/>
      </c>
      <c r="CC80" s="100" t="str">
        <f aca="false">IF($BL80&lt;&gt;Constants!$B$4,"",IF(OR(NOT($AL80),$BG80),0,Constants!$B$37))</f>
        <v/>
      </c>
      <c r="CD80" s="100" t="str">
        <f aca="false">IF($BL80&lt;&gt;Constants!$B$4,"",SUM($BX80:$CC80))</f>
        <v/>
      </c>
      <c r="CE80" s="100" t="str">
        <f aca="false">IF(ISBLANK($C80),"",IF($BL80&lt;&gt;Constants!$B$4,$BL80,SUM($BO80:$BW80)-$CD80))</f>
        <v/>
      </c>
      <c r="CF80" s="100" t="str">
        <f aca="false">IF(ISBLANK($C80),"",IF($BL80&lt;&gt;Constants!$B$4,$BL80,RANK($CE80,$CE$9:$CE$508)))</f>
        <v/>
      </c>
      <c r="CG80" s="100" t="str">
        <f aca="false">IF(ISBLANK($C80),"",IF($BL80&lt;&gt;Constants!$B$4,$BL80,COUNTIFS($BM$9:$BM$508,"&lt;"&amp;$BM80)+COUNTIFS($BM$9:$BM$508,$BM80,$CF$9:$CF$508,"&lt;"&amp;$CF80)+1))</f>
        <v/>
      </c>
      <c r="CH80" s="100" t="str">
        <f aca="false">IF(ISBLANK($C80),"",IF($BL80&lt;&gt;Constants!$B$4,$BL80,RANK($CD80,$CD$9:$CD$508,1)))</f>
        <v/>
      </c>
      <c r="CI80" s="100" t="str">
        <f aca="false">IF($BL80&lt;&gt;Constants!$B$4,"",$AN80+$AO80+$AP80)</f>
        <v/>
      </c>
      <c r="CJ80" s="100" t="str">
        <f aca="false">IF(ISBLANK($C80),"",IF($BL80&lt;&gt;Constants!$B$4,$BL80,RANK($CI80,$CI$9:$CI$508,1)))</f>
        <v/>
      </c>
      <c r="CK80" s="100" t="str">
        <f aca="false">IF(ISBLANK($C80),"",IF($BL80&lt;&gt;Constants!$B$4,$BL80,COUNTIFS($BM$9:$BM$508,"&lt;"&amp;$BM80)+COUNTIFS($BM$9:$BM$508,$BM80,$CF$9:$CF$508,"&lt;"&amp;$CF80)+COUNTIFS($BM$9:$BM$508,$BM80,$CF$9:$CF$508,$CF80,$CH$9:$CH$508,"&lt;"&amp;$CH80)+COUNTIFS($BM$9:$BM$508,$BM80,$CF$9:$CF$508,$CF80,$CH$9:$CH$508,$CH80,$CJ$9:$CJ$508,"&lt;"&amp;$CJ80)+1))</f>
        <v/>
      </c>
      <c r="CL80" s="100" t="str">
        <f aca="false">IF(ISBLANK($C80),"",IF($BL80&lt;&gt;Constants!$B$4,$BL80,$CG80-$CK80))</f>
        <v/>
      </c>
      <c r="CM80" s="100" t="str">
        <f aca="false">IF(ISBLANK($C80),"",IF(NOT($AL80),"",IF(ISBLANK($D$7),$CM$5,IF(NOT(ISNUMBER($D$7)),$CM$6,""))))</f>
        <v/>
      </c>
      <c r="CN80" s="100" t="str">
        <f aca="false">IF(ISBLANK($C80),"",OR($AN80="",$AO80="",$AP80=""))</f>
        <v/>
      </c>
      <c r="CO80" s="100" t="str">
        <f aca="false">IF(ISBLANK($C80),"",AND($AL80,$BA80=""))</f>
        <v/>
      </c>
      <c r="CP80" s="100" t="str">
        <f aca="false">IF(ISBLANK($C80),"",AND($AL80,$BB80=""))</f>
        <v/>
      </c>
      <c r="CQ80" s="100" t="str">
        <f aca="false">IF(ISBLANK($C80),"",AND($AL80,$BC80=""))</f>
        <v/>
      </c>
      <c r="CR80" s="100" t="str">
        <f aca="false">IF(ISBLANK($C80),"",AND($AL80,$BF80=""))</f>
        <v/>
      </c>
      <c r="CS80" s="100" t="str">
        <f aca="false">IF(ISBLANK($C80),"",AND($AL80,$BJ80=""))</f>
        <v/>
      </c>
      <c r="CT80" s="101"/>
      <c r="CU80" s="102"/>
      <c r="CV80" s="103" t="str">
        <f aca="false">IF(ISBLANK($C80),"",IF($BL80=Constants!$B$8,$CM80,""))</f>
        <v/>
      </c>
      <c r="CW80" s="102" t="str">
        <f aca="false">IF(ISBLANK($C80),"",IF($BL80&lt;&gt;Constants!$B$4,"",$BO80+$BP80))</f>
        <v/>
      </c>
      <c r="CX80" s="104" t="str">
        <f aca="false">IF(ISBLANK($C80),"",IF($BL80&lt;&gt;Constants!$B$4,"",$BQ80+$BR80+$BS80))</f>
        <v/>
      </c>
      <c r="CY80" s="104" t="str">
        <f aca="false">IF(ISBLANK($C80),"",IF($BL80&lt;&gt;Constants!$B$4,"",$BT80))</f>
        <v/>
      </c>
      <c r="CZ80" s="104" t="str">
        <f aca="false">IF(ISBLANK($C80),"",IF($BL80&lt;&gt;Constants!$B$4,"",$BU80+$BV80))</f>
        <v/>
      </c>
      <c r="DA80" s="104" t="str">
        <f aca="false">IF(ISBLANK($C80),"",IF($BL80&lt;&gt;Constants!$B$4,"",$BW80))</f>
        <v/>
      </c>
      <c r="DB80" s="104" t="str">
        <f aca="false">IF(ISBLANK($C80),"",IF($BL80&lt;&gt;Constants!$B$4,"",-$CD80))</f>
        <v/>
      </c>
      <c r="DC80" s="103" t="str">
        <f aca="false">IF(ISBLANK($C80),"",$CE80)</f>
        <v/>
      </c>
      <c r="DD80" s="105" t="str">
        <f aca="false">IF(ISBLANK($C80),"",$BM80)</f>
        <v/>
      </c>
      <c r="DE80" s="104" t="str">
        <f aca="false">IF(ISBLANK($C80),"",$CL80)</f>
        <v/>
      </c>
      <c r="DF80" s="104" t="str">
        <f aca="false">IF(ISBLANK($C80),"",$CK80)</f>
        <v/>
      </c>
      <c r="DG80" s="106" t="str">
        <f aca="false">IF(ISBLANK($C80),"",IF($DF80=Constants!$B$7,COUNTA($C$9:$C$508)+2,IF($DF80=Constants!$B$6,COUNTA($C$9:$C$508)+1,IF($DF80=Constants!$B$5,COUNTA($C$9:$C$508),$DF80))))</f>
        <v/>
      </c>
      <c r="DH80" s="7"/>
      <c r="DI80" s="107" t="n">
        <f aca="false">IF(OR(ISNUMBER($DF80),$DF80=Constants!$B$7,$DF80=Constants!$B$5,$DF80=Constants!$B$6),1,0)</f>
        <v>0</v>
      </c>
      <c r="DJ80" s="107" t="n">
        <v>72</v>
      </c>
      <c r="DK80" s="107" t="str">
        <f aca="false">IF(ISBLANK($C80),"",IF(ISNUMBER($DG80),$DG80+ROW($B80)/1000,""))</f>
        <v/>
      </c>
      <c r="DL80" s="107" t="str">
        <f aca="false">IF(ISNUMBER($DK80),RANK($DK80,$DK$9:$DK$508,1),"")</f>
        <v/>
      </c>
      <c r="DM80" s="107" t="str">
        <f aca="false">IF(ISBLANK($C80),"",$B80)</f>
        <v/>
      </c>
      <c r="DN80" s="107" t="str">
        <f aca="false">IF(ISBLANK($C80),"",$C80)</f>
        <v/>
      </c>
      <c r="DO80" s="107" t="str">
        <f aca="false">IF(ISBLANK($C80),"",$D80)</f>
        <v/>
      </c>
      <c r="DP80" s="108" t="str">
        <f aca="false">$DD80</f>
        <v/>
      </c>
      <c r="DQ80" s="109" t="str">
        <f aca="false">$DC80</f>
        <v/>
      </c>
      <c r="DR80" s="107" t="str">
        <f aca="false">IF(ISBLANK($C80),"",$DF80)</f>
        <v/>
      </c>
      <c r="DS80" s="110" t="str">
        <f aca="false">IF($DJ80&gt;$DI$8,"",VLOOKUP($DJ80,$DL$9:$DR$508,7,FALSE()))</f>
        <v/>
      </c>
      <c r="DT80" s="111" t="str">
        <f aca="false">IF($DJ80&gt;$DI$8,"",VLOOKUP($DJ80,$DL$9:$DR$508,2,FALSE()))</f>
        <v/>
      </c>
      <c r="DU80" s="111" t="str">
        <f aca="false">IF($DJ80&gt;$DI$8,"",VLOOKUP($DJ80,$DL$9:$DR$508,3,FALSE()))</f>
        <v/>
      </c>
      <c r="DV80" s="111" t="str">
        <f aca="false">IF($DJ80&gt;$DI$8,"",VLOOKUP($DJ80,$DL$9:$DR$508,4,FALSE()))</f>
        <v/>
      </c>
      <c r="DW80" s="111" t="str">
        <f aca="false">IF($DJ80&gt;$DI$8,"",VLOOKUP($DJ80,$DL$9:$DR$508,5,FALSE()))</f>
        <v/>
      </c>
      <c r="DX80" s="112" t="str">
        <f aca="false">IF($DJ80&gt;$DI$8,"",VLOOKUP($DJ80,$DL$9:$DR$508,6,FALSE()))</f>
        <v/>
      </c>
      <c r="DY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88"/>
      <c r="N81" s="88"/>
      <c r="O81" s="134"/>
      <c r="P81" s="134"/>
      <c r="Q81" s="88"/>
      <c r="R81" s="88"/>
      <c r="S81" s="88"/>
      <c r="T81" s="88"/>
      <c r="U81" s="134"/>
      <c r="V81" s="88"/>
      <c r="W81" s="70"/>
      <c r="X81" s="88"/>
      <c r="Y81" s="88"/>
      <c r="Z81" s="70"/>
      <c r="AA81" s="70"/>
      <c r="AB81" s="88"/>
      <c r="AC81" s="88"/>
      <c r="AD81" s="88"/>
      <c r="AE81" s="71"/>
      <c r="AF81" s="88"/>
      <c r="AG81" s="73"/>
      <c r="AH81" s="74"/>
      <c r="AI81" s="74"/>
      <c r="AJ81" s="74" t="str">
        <f aca="false">IF(ISBLANK($C81),"",IF($E81=Constants!$B$2,TRUE(),IF($E81=Constants!$B$3,FALSE(),TRUE())))</f>
        <v/>
      </c>
      <c r="AK81" s="74" t="str">
        <f aca="false">IF(ISBLANK($C81),"",IF($F81=Constants!$B$2,TRUE(),IF($F81=Constants!$B$3,FALSE(),FALSE())))</f>
        <v/>
      </c>
      <c r="AL81" s="74" t="str">
        <f aca="false">IF(ISBLANK($C81),"",IF($G81=Constants!$B$2,TRUE(),IF($G81=Constants!$B$3,FALSE(),TRUE())))</f>
        <v/>
      </c>
      <c r="AM81" s="74" t="str">
        <f aca="false">IF(ISBLANK($C81),"",IF($H81=Constants!$B$2,TRUE(),IF($H81=Constants!$B$3,FALSE(),TRUE())))</f>
        <v/>
      </c>
      <c r="AN81" s="74" t="str">
        <f aca="false">IF(ISBLANK($C81),"",IF(ISNUMBER($I81),IF($I81&gt;=0,$I81,""),""))</f>
        <v/>
      </c>
      <c r="AO81" s="74" t="str">
        <f aca="false">IF(ISBLANK($C81),"",IF(ISNUMBER($J81),IF($J81&gt;=0,$J81,""),""))</f>
        <v/>
      </c>
      <c r="AP81" s="74" t="str">
        <f aca="false">IF(ISBLANK($C81),"",IF(ISNUMBER($K81),IF($K81&gt;=0,$K81,""),""))</f>
        <v/>
      </c>
      <c r="AQ81" s="74" t="str">
        <f aca="false">IF(ISBLANK($C81),"",IF($L81=Constants!$B$2,TRUE(),IF($L81=Constants!$B$3,FALSE(),TRUE())))</f>
        <v/>
      </c>
      <c r="AR81" s="74" t="str">
        <f aca="false">IF(ISBLANK($C81),"",IF($M81=Constants!$B$2,TRUE(),IF($M81=Constants!$B$3,FALSE(),TRUE())))</f>
        <v/>
      </c>
      <c r="AS81" s="74" t="str">
        <f aca="false">IF(ISBLANK($C81),"",IF($N81=Constants!$B$2,TRUE(),IF($N81=Constants!$B$3,FALSE(),FALSE())))</f>
        <v/>
      </c>
      <c r="AT81" s="74" t="str">
        <f aca="false">IF(ISBLANK($C81),"",IF($O81=Constants!$B$2,TRUE(),IF($O81=Constants!$B$3,FALSE(),TRUE())))</f>
        <v/>
      </c>
      <c r="AU81" s="74" t="str">
        <f aca="false">IF(ISBLANK($C81),"",IF($P81=Constants!$B$2,TRUE(),IF($P81=Constants!$B$3,FALSE(),TRUE())))</f>
        <v/>
      </c>
      <c r="AV81" s="74" t="str">
        <f aca="false">IF(ISBLANK($C81),"",IF($Q81=Constants!$B$2,TRUE(),IF($Q81=Constants!$B$3,FALSE(),FALSE())))</f>
        <v/>
      </c>
      <c r="AW81" s="74" t="str">
        <f aca="false">IF(ISBLANK($C81),"",IF($R81=Constants!$B$2,TRUE(),IF($R81=Constants!$B$3,FALSE(),FALSE())))</f>
        <v/>
      </c>
      <c r="AX81" s="74" t="str">
        <f aca="false">IF(ISBLANK($C81),"",IF($S81=Constants!$B$2,TRUE(),IF($S81=Constants!$B$3,FALSE(),FALSE())))</f>
        <v/>
      </c>
      <c r="AY81" s="74" t="str">
        <f aca="false">IF(ISBLANK($C81),"",IF($T81=Constants!$B$2,TRUE(),IF($T81=Constants!$B$3,FALSE(),FALSE())))</f>
        <v/>
      </c>
      <c r="AZ81" s="74" t="str">
        <f aca="false">IF(ISBLANK($C81),"",IF($U81=Constants!$B$2,TRUE(),IF($U81=Constants!$B$3,FALSE(),FALSE())))</f>
        <v/>
      </c>
      <c r="BA81" s="74" t="str">
        <f aca="false">IF(ISBLANK($C81),"",IF(OR($V81&amp;""="1",$V81&amp;""="2",$V81&amp;""="3",$V81&amp;""="4"),VALUE($V81&amp;""),IF($V81=Constants!$B$12,Constants!$B$12,"")))</f>
        <v/>
      </c>
      <c r="BB81" s="74" t="str">
        <f aca="false">IF(ISBLANK($C81),"",IF(ISBLANK($W81),0,IF(ISNUMBER($W81),IF(AND($W81&gt;=0,$W81&lt;=Constants!$B$21,$W81=INT($W81)),$W81,""),"")))</f>
        <v/>
      </c>
      <c r="BC81" s="74" t="str">
        <f aca="false">IF(ISBLANK($C81),"",IF(ISBLANK($X81),0,IF(ISNUMBER($X81),IF($X81&gt;=0,$X81,""),"")))</f>
        <v/>
      </c>
      <c r="BD81" s="74" t="str">
        <f aca="false">IF(ISBLANK($C81),"",IF($Y81=Constants!$B$2,TRUE(),IF($Y81=Constants!$B$3,FALSE(),TRUE())))</f>
        <v/>
      </c>
      <c r="BE81" s="74" t="str">
        <f aca="false">IF(ISBLANK($C81),"",IF($Z81=Constants!$B$2,TRUE(),IF($Z81=Constants!$B$3,FALSE(),FALSE())))</f>
        <v/>
      </c>
      <c r="BF81" s="74" t="str">
        <f aca="false">IF(ISBLANK($C81),"",IF(ISBLANK($AA81),0,IF(ISNUMBER($AA81),IF(AND($AA81&gt;=0,$AA81&lt;=Constants!$B$35,$AA81=INT($AA81)),$AA81,""),"")))</f>
        <v/>
      </c>
      <c r="BG81" s="74" t="str">
        <f aca="false">IF(ISBLANK($C81),"",IF($AB81=Constants!$B$2,TRUE(),IF($AB81=Constants!$B$3,FALSE(),TRUE())))</f>
        <v/>
      </c>
      <c r="BH81" s="74" t="str">
        <f aca="false">IF(ISBLANK($C81),"",IF($AC81=Constants!$B$2,TRUE(),IF($AC81=Constants!$B$3,FALSE(),TRUE())))</f>
        <v/>
      </c>
      <c r="BI81" s="74" t="str">
        <f aca="false">IF(ISBLANK($C81),"",IF($AD81=Constants!$B$2,TRUE(),IF($AD81=Constants!$B$3,FALSE(),TRUE())))</f>
        <v/>
      </c>
      <c r="BJ81" s="74" t="str">
        <f aca="false">IF(ISBLANK($C81),"",IF(ISNUMBER($AE81),IF($AE81&gt;=0,$AE81,""),""))</f>
        <v/>
      </c>
      <c r="BK81" s="74" t="str">
        <f aca="false">IF(ISBLANK($C81),"",IF($AF81=Constants!$B$2,TRUE(),IF($AF81=Constants!$B$3,FALSE(),FALSE())))</f>
        <v/>
      </c>
      <c r="BL81" s="73" t="str">
        <f aca="false">IF(ISBLANK($C81),"",IF($BK81,Constants!$B$7,IF(COUNTA($E81:$AE81)=0,Constants!$B$6,IF(OR(COUNTA($G81:$AE81)=0,NOT($AM81),$AS81),Constants!$B$5,IF(OR($CM81&lt;&gt;"",$CN81,$CO81,$CP81,$CQ81,$CR81,$CS81),Constants!$B$8,Constants!$B$4)))))</f>
        <v/>
      </c>
      <c r="BM81" s="74" t="str">
        <f aca="false">IF(ISBLANK($C81),"",IF($BL81&lt;&gt;Constants!$B$4,$BL81,IF(OR(NOT($AJ81),NOT($AL81),NOT($AT81)),Constants!$B$11,IF(OR(NOT($AR81),NOT($AU81),NOT($BI81),MAX($AN81,$AO81,$AP81)&gt;Constants!$B$30),Constants!$B$10,Constants!$B$9))))</f>
        <v/>
      </c>
      <c r="BN81" s="74" t="str">
        <f aca="false">IF($BL81&lt;&gt;Constants!$B$4,"",IF(NOT($AL81),0,MIN(Constants!$B$35,$BF81)))</f>
        <v/>
      </c>
      <c r="BO81" s="74" t="str">
        <f aca="false">IF($BL81&lt;&gt;Constants!$B$4,"",IF(NOT($AL81),0,IF($AW81,Constants!$B$18,IF($AV81,Constants!$B$17,0))))</f>
        <v/>
      </c>
      <c r="BP81" s="74" t="str">
        <f aca="false">IF($BL81&lt;&gt;Constants!$B$4,"",IF(NOT($AL81),0,Constants!$B$19*($AK81+$AX81+$AY81+$AZ81)))</f>
        <v/>
      </c>
      <c r="BQ81" s="74" t="str">
        <f aca="false">IF($BL81&lt;&gt;Constants!$B$4,"",IF(OR(NOT($AL81),NOT(ISNUMBER($BA81))),0,CHOOSE($BA81,Constants!$B$13,Constants!$B$14,Constants!$B$15,Constants!$B$16)))</f>
        <v/>
      </c>
      <c r="BR81" s="74" t="str">
        <f aca="false">IF($BL81&lt;&gt;Constants!$B$4,"",IF(NOT($AL81),0,Constants!$B$20*$BB81))</f>
        <v/>
      </c>
      <c r="BS81" s="74" t="str">
        <f aca="false">IF($BL81&lt;&gt;Constants!$B$4,"",IF(AND($AL81,$BD81,$BE81),Constants!$B$22,0))</f>
        <v/>
      </c>
      <c r="BT81" s="74" t="str">
        <f aca="false">IF($BL81&lt;&gt;Constants!$B$4,"",IF(OR(NOT($AL81),NOT($BD81)),0,IF($BJ81&gt;=2*$AH$9,0,Constants!$B$23*INT(ROUND(MIN($BJ81,$AH$9),6)))))</f>
        <v/>
      </c>
      <c r="BU81" s="74" t="str">
        <f aca="false">IF($BL81&lt;&gt;Constants!$B$4,"",IF(NOT($AL81),0,Constants!$B$24*INT(ROUND(MIN($BC81,$AH$9),6))))</f>
        <v/>
      </c>
      <c r="BV81" s="74" t="str">
        <f aca="false">IF($BL81&lt;&gt;Constants!$B$4,"",IF(AND($AL81,$BN81=0),Constants!$B$25,0))</f>
        <v/>
      </c>
      <c r="BW81" s="74" t="str">
        <f aca="false">IF($BL81&lt;&gt;Constants!$B$4,"",MIN(Constants!$B$29,MAX(0,Constants!$B$27*Constants!$B$28*INT(ROUND((Constants!$B$26-$AN81)/Constants!$B$28,6))))+MIN(Constants!$B$29,MAX(0,Constants!$B$27*Constants!$B$28*INT(ROUND((Constants!$B$26-$AO81)/Constants!$B$28,6))))+MIN(Constants!$B$29,MAX(0,Constants!$B$27*Constants!$B$28*INT(ROUND((Constants!$B$26-$AP81)/Constants!$B$28,6)))))</f>
        <v/>
      </c>
      <c r="BX81" s="74" t="str">
        <f aca="false">IF($BL81&lt;&gt;Constants!$B$4,"",IF(NOT($AL81),0,Constants!$B$31*INT(ROUND(MAX(0,MIN($BJ81,2*$AH$9)-$AH$9),6))))</f>
        <v/>
      </c>
      <c r="BY81" s="74" t="str">
        <f aca="false">IF($BL81&lt;&gt;Constants!$B$4,"",Constants!$B$32*(($AN81&gt;Constants!$B$26)+($AO81&gt;Constants!$B$26)+($AP81&gt;Constants!$B$26)))</f>
        <v/>
      </c>
      <c r="BZ81" s="74" t="str">
        <f aca="false">IF($BL81&lt;&gt;Constants!$B$4,"",IF(OR(NOT($AL81),$AQ81),0,Constants!$B$33))</f>
        <v/>
      </c>
      <c r="CA81" s="74" t="str">
        <f aca="false">IF($BL81&lt;&gt;Constants!$B$4,"",Constants!$B$34*$BN81)</f>
        <v/>
      </c>
      <c r="CB81" s="74" t="str">
        <f aca="false">IF($BL81&lt;&gt;Constants!$B$4,"",IF(OR(NOT($AL81),$BH81),0,Constants!$B$36))</f>
        <v/>
      </c>
      <c r="CC81" s="74" t="str">
        <f aca="false">IF($BL81&lt;&gt;Constants!$B$4,"",IF(OR(NOT($AL81),$BG81),0,Constants!$B$37))</f>
        <v/>
      </c>
      <c r="CD81" s="74" t="str">
        <f aca="false">IF($BL81&lt;&gt;Constants!$B$4,"",SUM($BX81:$CC81))</f>
        <v/>
      </c>
      <c r="CE81" s="74" t="str">
        <f aca="false">IF(ISBLANK($C81),"",IF($BL81&lt;&gt;Constants!$B$4,$BL81,SUM($BO81:$BW81)-$CD81))</f>
        <v/>
      </c>
      <c r="CF81" s="74" t="str">
        <f aca="false">IF(ISBLANK($C81),"",IF($BL81&lt;&gt;Constants!$B$4,$BL81,RANK($CE81,$CE$9:$CE$508)))</f>
        <v/>
      </c>
      <c r="CG81" s="74" t="str">
        <f aca="false">IF(ISBLANK($C81),"",IF($BL81&lt;&gt;Constants!$B$4,$BL81,COUNTIFS($BM$9:$BM$508,"&lt;"&amp;$BM81)+COUNTIFS($BM$9:$BM$508,$BM81,$CF$9:$CF$508,"&lt;"&amp;$CF81)+1))</f>
        <v/>
      </c>
      <c r="CH81" s="74" t="str">
        <f aca="false">IF(ISBLANK($C81),"",IF($BL81&lt;&gt;Constants!$B$4,$BL81,RANK($CD81,$CD$9:$CD$508,1)))</f>
        <v/>
      </c>
      <c r="CI81" s="74" t="str">
        <f aca="false">IF($BL81&lt;&gt;Constants!$B$4,"",$AN81+$AO81+$AP81)</f>
        <v/>
      </c>
      <c r="CJ81" s="74" t="str">
        <f aca="false">IF(ISBLANK($C81),"",IF($BL81&lt;&gt;Constants!$B$4,$BL81,RANK($CI81,$CI$9:$CI$508,1)))</f>
        <v/>
      </c>
      <c r="CK81" s="74" t="str">
        <f aca="false">IF(ISBLANK($C81),"",IF($BL81&lt;&gt;Constants!$B$4,$BL81,COUNTIFS($BM$9:$BM$508,"&lt;"&amp;$BM81)+COUNTIFS($BM$9:$BM$508,$BM81,$CF$9:$CF$508,"&lt;"&amp;$CF81)+COUNTIFS($BM$9:$BM$508,$BM81,$CF$9:$CF$508,$CF81,$CH$9:$CH$508,"&lt;"&amp;$CH81)+COUNTIFS($BM$9:$BM$508,$BM81,$CF$9:$CF$508,$CF81,$CH$9:$CH$508,$CH81,$CJ$9:$CJ$508,"&lt;"&amp;$CJ81)+1))</f>
        <v/>
      </c>
      <c r="CL81" s="74" t="str">
        <f aca="false">IF(ISBLANK($C81),"",IF($BL81&lt;&gt;Constants!$B$4,$BL81,$CG81-$CK81))</f>
        <v/>
      </c>
      <c r="CM81" s="74" t="str">
        <f aca="false">IF(ISBLANK($C81),"",IF(NOT($AL81),"",IF(ISBLANK($D$7),$CM$5,IF(NOT(ISNUMBER($D$7)),$CM$6,""))))</f>
        <v/>
      </c>
      <c r="CN81" s="74" t="str">
        <f aca="false">IF(ISBLANK($C81),"",OR($AN81="",$AO81="",$AP81=""))</f>
        <v/>
      </c>
      <c r="CO81" s="74" t="str">
        <f aca="false">IF(ISBLANK($C81),"",AND($AL81,$BA81=""))</f>
        <v/>
      </c>
      <c r="CP81" s="74" t="str">
        <f aca="false">IF(ISBLANK($C81),"",AND($AL81,$BB81=""))</f>
        <v/>
      </c>
      <c r="CQ81" s="74" t="str">
        <f aca="false">IF(ISBLANK($C81),"",AND($AL81,$BC81=""))</f>
        <v/>
      </c>
      <c r="CR81" s="74" t="str">
        <f aca="false">IF(ISBLANK($C81),"",AND($AL81,$BF81=""))</f>
        <v/>
      </c>
      <c r="CS81" s="74" t="str">
        <f aca="false">IF(ISBLANK($C81),"",AND($AL81,$BJ81=""))</f>
        <v/>
      </c>
      <c r="CT81" s="75"/>
      <c r="CU81" s="76"/>
      <c r="CV81" s="79" t="str">
        <f aca="false">IF(ISBLANK($C81),"",IF($BL81=Constants!$B$8,$CM81,""))</f>
        <v/>
      </c>
      <c r="CW81" s="76" t="str">
        <f aca="false">IF(ISBLANK($C81),"",IF($BL81&lt;&gt;Constants!$B$4,"",$BO81+$BP81))</f>
        <v/>
      </c>
      <c r="CX81" s="78" t="str">
        <f aca="false">IF(ISBLANK($C81),"",IF($BL81&lt;&gt;Constants!$B$4,"",$BQ81+$BR81+$BS81))</f>
        <v/>
      </c>
      <c r="CY81" s="78" t="str">
        <f aca="false">IF(ISBLANK($C81),"",IF($BL81&lt;&gt;Constants!$B$4,"",$BT81))</f>
        <v/>
      </c>
      <c r="CZ81" s="78" t="str">
        <f aca="false">IF(ISBLANK($C81),"",IF($BL81&lt;&gt;Constants!$B$4,"",$BU81+$BV81))</f>
        <v/>
      </c>
      <c r="DA81" s="78" t="str">
        <f aca="false">IF(ISBLANK($C81),"",IF($BL81&lt;&gt;Constants!$B$4,"",$BW81))</f>
        <v/>
      </c>
      <c r="DB81" s="78" t="str">
        <f aca="false">IF(ISBLANK($C81),"",IF($BL81&lt;&gt;Constants!$B$4,"",-$CD81))</f>
        <v/>
      </c>
      <c r="DC81" s="79" t="str">
        <f aca="false">IF(ISBLANK($C81),"",$CE81)</f>
        <v/>
      </c>
      <c r="DD81" s="80" t="str">
        <f aca="false">IF(ISBLANK($C81),"",$BM81)</f>
        <v/>
      </c>
      <c r="DE81" s="78" t="str">
        <f aca="false">IF(ISBLANK($C81),"",$CL81)</f>
        <v/>
      </c>
      <c r="DF81" s="78" t="str">
        <f aca="false">IF(ISBLANK($C81),"",$CK81)</f>
        <v/>
      </c>
      <c r="DG81" s="81" t="str">
        <f aca="false">IF(ISBLANK($C81),"",IF($DF81=Constants!$B$7,COUNTA($C$9:$C$508)+2,IF($DF81=Constants!$B$6,COUNTA($C$9:$C$508)+1,IF($DF81=Constants!$B$5,COUNTA($C$9:$C$508),$DF81))))</f>
        <v/>
      </c>
      <c r="DH81" s="7"/>
      <c r="DI81" s="82" t="n">
        <f aca="false">IF(OR(ISNUMBER($DF81),$DF81=Constants!$B$7,$DF81=Constants!$B$5,$DF81=Constants!$B$6),1,0)</f>
        <v>0</v>
      </c>
      <c r="DJ81" s="82" t="n">
        <v>73</v>
      </c>
      <c r="DK81" s="82" t="str">
        <f aca="false">IF(ISBLANK($C81),"",IF(ISNUMBER($DG81),$DG81+ROW($B81)/1000,""))</f>
        <v/>
      </c>
      <c r="DL81" s="82" t="str">
        <f aca="false">IF(ISNUMBER($DK81),RANK($DK81,$DK$9:$DK$508,1),"")</f>
        <v/>
      </c>
      <c r="DM81" s="82" t="str">
        <f aca="false">IF(ISBLANK($C81),"",$B81)</f>
        <v/>
      </c>
      <c r="DN81" s="82" t="str">
        <f aca="false">IF(ISBLANK($C81),"",$C81)</f>
        <v/>
      </c>
      <c r="DO81" s="82" t="str">
        <f aca="false">IF(ISBLANK($C81),"",$D81)</f>
        <v/>
      </c>
      <c r="DP81" s="83" t="str">
        <f aca="false">$DD81</f>
        <v/>
      </c>
      <c r="DQ81" s="84" t="str">
        <f aca="false">$DC81</f>
        <v/>
      </c>
      <c r="DR81" s="82" t="str">
        <f aca="false">IF(ISBLANK($C81),"",$DF81)</f>
        <v/>
      </c>
      <c r="DS81" s="85" t="str">
        <f aca="false">IF($DJ81&gt;$DI$8,"",VLOOKUP($DJ81,$DL$9:$DR$508,7,FALSE()))</f>
        <v/>
      </c>
      <c r="DT81" s="86" t="str">
        <f aca="false">IF($DJ81&gt;$DI$8,"",VLOOKUP($DJ81,$DL$9:$DR$508,2,FALSE()))</f>
        <v/>
      </c>
      <c r="DU81" s="86" t="str">
        <f aca="false">IF($DJ81&gt;$DI$8,"",VLOOKUP($DJ81,$DL$9:$DR$508,3,FALSE()))</f>
        <v/>
      </c>
      <c r="DV81" s="86" t="str">
        <f aca="false">IF($DJ81&gt;$DI$8,"",VLOOKUP($DJ81,$DL$9:$DR$508,4,FALSE()))</f>
        <v/>
      </c>
      <c r="DW81" s="86" t="str">
        <f aca="false">IF($DJ81&gt;$DI$8,"",VLOOKUP($DJ81,$DL$9:$DR$508,5,FALSE()))</f>
        <v/>
      </c>
      <c r="DX81" s="87" t="str">
        <f aca="false">IF($DJ81&gt;$DI$8,"",VLOOKUP($DJ81,$DL$9:$DR$508,6,FALSE()))</f>
        <v/>
      </c>
      <c r="DY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88"/>
      <c r="N82" s="88"/>
      <c r="O82" s="134"/>
      <c r="P82" s="134"/>
      <c r="Q82" s="88"/>
      <c r="R82" s="88"/>
      <c r="S82" s="88"/>
      <c r="T82" s="88"/>
      <c r="U82" s="134"/>
      <c r="V82" s="88"/>
      <c r="W82" s="70"/>
      <c r="X82" s="88"/>
      <c r="Y82" s="88"/>
      <c r="Z82" s="70"/>
      <c r="AA82" s="70"/>
      <c r="AB82" s="88"/>
      <c r="AC82" s="88"/>
      <c r="AD82" s="88"/>
      <c r="AE82" s="71"/>
      <c r="AF82" s="88"/>
      <c r="AG82" s="73"/>
      <c r="AH82" s="74"/>
      <c r="AI82" s="74"/>
      <c r="AJ82" s="74" t="str">
        <f aca="false">IF(ISBLANK($C82),"",IF($E82=Constants!$B$2,TRUE(),IF($E82=Constants!$B$3,FALSE(),TRUE())))</f>
        <v/>
      </c>
      <c r="AK82" s="74" t="str">
        <f aca="false">IF(ISBLANK($C82),"",IF($F82=Constants!$B$2,TRUE(),IF($F82=Constants!$B$3,FALSE(),FALSE())))</f>
        <v/>
      </c>
      <c r="AL82" s="74" t="str">
        <f aca="false">IF(ISBLANK($C82),"",IF($G82=Constants!$B$2,TRUE(),IF($G82=Constants!$B$3,FALSE(),TRUE())))</f>
        <v/>
      </c>
      <c r="AM82" s="74" t="str">
        <f aca="false">IF(ISBLANK($C82),"",IF($H82=Constants!$B$2,TRUE(),IF($H82=Constants!$B$3,FALSE(),TRUE())))</f>
        <v/>
      </c>
      <c r="AN82" s="74" t="str">
        <f aca="false">IF(ISBLANK($C82),"",IF(ISNUMBER($I82),IF($I82&gt;=0,$I82,""),""))</f>
        <v/>
      </c>
      <c r="AO82" s="74" t="str">
        <f aca="false">IF(ISBLANK($C82),"",IF(ISNUMBER($J82),IF($J82&gt;=0,$J82,""),""))</f>
        <v/>
      </c>
      <c r="AP82" s="74" t="str">
        <f aca="false">IF(ISBLANK($C82),"",IF(ISNUMBER($K82),IF($K82&gt;=0,$K82,""),""))</f>
        <v/>
      </c>
      <c r="AQ82" s="74" t="str">
        <f aca="false">IF(ISBLANK($C82),"",IF($L82=Constants!$B$2,TRUE(),IF($L82=Constants!$B$3,FALSE(),TRUE())))</f>
        <v/>
      </c>
      <c r="AR82" s="74" t="str">
        <f aca="false">IF(ISBLANK($C82),"",IF($M82=Constants!$B$2,TRUE(),IF($M82=Constants!$B$3,FALSE(),TRUE())))</f>
        <v/>
      </c>
      <c r="AS82" s="74" t="str">
        <f aca="false">IF(ISBLANK($C82),"",IF($N82=Constants!$B$2,TRUE(),IF($N82=Constants!$B$3,FALSE(),FALSE())))</f>
        <v/>
      </c>
      <c r="AT82" s="74" t="str">
        <f aca="false">IF(ISBLANK($C82),"",IF($O82=Constants!$B$2,TRUE(),IF($O82=Constants!$B$3,FALSE(),TRUE())))</f>
        <v/>
      </c>
      <c r="AU82" s="74" t="str">
        <f aca="false">IF(ISBLANK($C82),"",IF($P82=Constants!$B$2,TRUE(),IF($P82=Constants!$B$3,FALSE(),TRUE())))</f>
        <v/>
      </c>
      <c r="AV82" s="74" t="str">
        <f aca="false">IF(ISBLANK($C82),"",IF($Q82=Constants!$B$2,TRUE(),IF($Q82=Constants!$B$3,FALSE(),FALSE())))</f>
        <v/>
      </c>
      <c r="AW82" s="74" t="str">
        <f aca="false">IF(ISBLANK($C82),"",IF($R82=Constants!$B$2,TRUE(),IF($R82=Constants!$B$3,FALSE(),FALSE())))</f>
        <v/>
      </c>
      <c r="AX82" s="74" t="str">
        <f aca="false">IF(ISBLANK($C82),"",IF($S82=Constants!$B$2,TRUE(),IF($S82=Constants!$B$3,FALSE(),FALSE())))</f>
        <v/>
      </c>
      <c r="AY82" s="74" t="str">
        <f aca="false">IF(ISBLANK($C82),"",IF($T82=Constants!$B$2,TRUE(),IF($T82=Constants!$B$3,FALSE(),FALSE())))</f>
        <v/>
      </c>
      <c r="AZ82" s="74" t="str">
        <f aca="false">IF(ISBLANK($C82),"",IF($U82=Constants!$B$2,TRUE(),IF($U82=Constants!$B$3,FALSE(),FALSE())))</f>
        <v/>
      </c>
      <c r="BA82" s="74" t="str">
        <f aca="false">IF(ISBLANK($C82),"",IF(OR($V82&amp;""="1",$V82&amp;""="2",$V82&amp;""="3",$V82&amp;""="4"),VALUE($V82&amp;""),IF($V82=Constants!$B$12,Constants!$B$12,"")))</f>
        <v/>
      </c>
      <c r="BB82" s="74" t="str">
        <f aca="false">IF(ISBLANK($C82),"",IF(ISBLANK($W82),0,IF(ISNUMBER($W82),IF(AND($W82&gt;=0,$W82&lt;=Constants!$B$21,$W82=INT($W82)),$W82,""),"")))</f>
        <v/>
      </c>
      <c r="BC82" s="74" t="str">
        <f aca="false">IF(ISBLANK($C82),"",IF(ISBLANK($X82),0,IF(ISNUMBER($X82),IF($X82&gt;=0,$X82,""),"")))</f>
        <v/>
      </c>
      <c r="BD82" s="74" t="str">
        <f aca="false">IF(ISBLANK($C82),"",IF($Y82=Constants!$B$2,TRUE(),IF($Y82=Constants!$B$3,FALSE(),TRUE())))</f>
        <v/>
      </c>
      <c r="BE82" s="74" t="str">
        <f aca="false">IF(ISBLANK($C82),"",IF($Z82=Constants!$B$2,TRUE(),IF($Z82=Constants!$B$3,FALSE(),FALSE())))</f>
        <v/>
      </c>
      <c r="BF82" s="74" t="str">
        <f aca="false">IF(ISBLANK($C82),"",IF(ISBLANK($AA82),0,IF(ISNUMBER($AA82),IF(AND($AA82&gt;=0,$AA82&lt;=Constants!$B$35,$AA82=INT($AA82)),$AA82,""),"")))</f>
        <v/>
      </c>
      <c r="BG82" s="74" t="str">
        <f aca="false">IF(ISBLANK($C82),"",IF($AB82=Constants!$B$2,TRUE(),IF($AB82=Constants!$B$3,FALSE(),TRUE())))</f>
        <v/>
      </c>
      <c r="BH82" s="74" t="str">
        <f aca="false">IF(ISBLANK($C82),"",IF($AC82=Constants!$B$2,TRUE(),IF($AC82=Constants!$B$3,FALSE(),TRUE())))</f>
        <v/>
      </c>
      <c r="BI82" s="74" t="str">
        <f aca="false">IF(ISBLANK($C82),"",IF($AD82=Constants!$B$2,TRUE(),IF($AD82=Constants!$B$3,FALSE(),TRUE())))</f>
        <v/>
      </c>
      <c r="BJ82" s="74" t="str">
        <f aca="false">IF(ISBLANK($C82),"",IF(ISNUMBER($AE82),IF($AE82&gt;=0,$AE82,""),""))</f>
        <v/>
      </c>
      <c r="BK82" s="74" t="str">
        <f aca="false">IF(ISBLANK($C82),"",IF($AF82=Constants!$B$2,TRUE(),IF($AF82=Constants!$B$3,FALSE(),FALSE())))</f>
        <v/>
      </c>
      <c r="BL82" s="73" t="str">
        <f aca="false">IF(ISBLANK($C82),"",IF($BK82,Constants!$B$7,IF(COUNTA($E82:$AE82)=0,Constants!$B$6,IF(OR(COUNTA($G82:$AE82)=0,NOT($AM82),$AS82),Constants!$B$5,IF(OR($CM82&lt;&gt;"",$CN82,$CO82,$CP82,$CQ82,$CR82,$CS82),Constants!$B$8,Constants!$B$4)))))</f>
        <v/>
      </c>
      <c r="BM82" s="74" t="str">
        <f aca="false">IF(ISBLANK($C82),"",IF($BL82&lt;&gt;Constants!$B$4,$BL82,IF(OR(NOT($AJ82),NOT($AL82),NOT($AT82)),Constants!$B$11,IF(OR(NOT($AR82),NOT($AU82),NOT($BI82),MAX($AN82,$AO82,$AP82)&gt;Constants!$B$30),Constants!$B$10,Constants!$B$9))))</f>
        <v/>
      </c>
      <c r="BN82" s="74" t="str">
        <f aca="false">IF($BL82&lt;&gt;Constants!$B$4,"",IF(NOT($AL82),0,MIN(Constants!$B$35,$BF82)))</f>
        <v/>
      </c>
      <c r="BO82" s="74" t="str">
        <f aca="false">IF($BL82&lt;&gt;Constants!$B$4,"",IF(NOT($AL82),0,IF($AW82,Constants!$B$18,IF($AV82,Constants!$B$17,0))))</f>
        <v/>
      </c>
      <c r="BP82" s="74" t="str">
        <f aca="false">IF($BL82&lt;&gt;Constants!$B$4,"",IF(NOT($AL82),0,Constants!$B$19*($AK82+$AX82+$AY82+$AZ82)))</f>
        <v/>
      </c>
      <c r="BQ82" s="74" t="str">
        <f aca="false">IF($BL82&lt;&gt;Constants!$B$4,"",IF(OR(NOT($AL82),NOT(ISNUMBER($BA82))),0,CHOOSE($BA82,Constants!$B$13,Constants!$B$14,Constants!$B$15,Constants!$B$16)))</f>
        <v/>
      </c>
      <c r="BR82" s="74" t="str">
        <f aca="false">IF($BL82&lt;&gt;Constants!$B$4,"",IF(NOT($AL82),0,Constants!$B$20*$BB82))</f>
        <v/>
      </c>
      <c r="BS82" s="74" t="str">
        <f aca="false">IF($BL82&lt;&gt;Constants!$B$4,"",IF(AND($AL82,$BD82,$BE82),Constants!$B$22,0))</f>
        <v/>
      </c>
      <c r="BT82" s="74" t="str">
        <f aca="false">IF($BL82&lt;&gt;Constants!$B$4,"",IF(OR(NOT($AL82),NOT($BD82)),0,IF($BJ82&gt;=2*$AH$9,0,Constants!$B$23*INT(ROUND(MIN($BJ82,$AH$9),6)))))</f>
        <v/>
      </c>
      <c r="BU82" s="74" t="str">
        <f aca="false">IF($BL82&lt;&gt;Constants!$B$4,"",IF(NOT($AL82),0,Constants!$B$24*INT(ROUND(MIN($BC82,$AH$9),6))))</f>
        <v/>
      </c>
      <c r="BV82" s="74" t="str">
        <f aca="false">IF($BL82&lt;&gt;Constants!$B$4,"",IF(AND($AL82,$BN82=0),Constants!$B$25,0))</f>
        <v/>
      </c>
      <c r="BW82" s="74" t="str">
        <f aca="false">IF($BL82&lt;&gt;Constants!$B$4,"",MIN(Constants!$B$29,MAX(0,Constants!$B$27*Constants!$B$28*INT(ROUND((Constants!$B$26-$AN82)/Constants!$B$28,6))))+MIN(Constants!$B$29,MAX(0,Constants!$B$27*Constants!$B$28*INT(ROUND((Constants!$B$26-$AO82)/Constants!$B$28,6))))+MIN(Constants!$B$29,MAX(0,Constants!$B$27*Constants!$B$28*INT(ROUND((Constants!$B$26-$AP82)/Constants!$B$28,6)))))</f>
        <v/>
      </c>
      <c r="BX82" s="74" t="str">
        <f aca="false">IF($BL82&lt;&gt;Constants!$B$4,"",IF(NOT($AL82),0,Constants!$B$31*INT(ROUND(MAX(0,MIN($BJ82,2*$AH$9)-$AH$9),6))))</f>
        <v/>
      </c>
      <c r="BY82" s="74" t="str">
        <f aca="false">IF($BL82&lt;&gt;Constants!$B$4,"",Constants!$B$32*(($AN82&gt;Constants!$B$26)+($AO82&gt;Constants!$B$26)+($AP82&gt;Constants!$B$26)))</f>
        <v/>
      </c>
      <c r="BZ82" s="74" t="str">
        <f aca="false">IF($BL82&lt;&gt;Constants!$B$4,"",IF(OR(NOT($AL82),$AQ82),0,Constants!$B$33))</f>
        <v/>
      </c>
      <c r="CA82" s="74" t="str">
        <f aca="false">IF($BL82&lt;&gt;Constants!$B$4,"",Constants!$B$34*$BN82)</f>
        <v/>
      </c>
      <c r="CB82" s="74" t="str">
        <f aca="false">IF($BL82&lt;&gt;Constants!$B$4,"",IF(OR(NOT($AL82),$BH82),0,Constants!$B$36))</f>
        <v/>
      </c>
      <c r="CC82" s="74" t="str">
        <f aca="false">IF($BL82&lt;&gt;Constants!$B$4,"",IF(OR(NOT($AL82),$BG82),0,Constants!$B$37))</f>
        <v/>
      </c>
      <c r="CD82" s="74" t="str">
        <f aca="false">IF($BL82&lt;&gt;Constants!$B$4,"",SUM($BX82:$CC82))</f>
        <v/>
      </c>
      <c r="CE82" s="74" t="str">
        <f aca="false">IF(ISBLANK($C82),"",IF($BL82&lt;&gt;Constants!$B$4,$BL82,SUM($BO82:$BW82)-$CD82))</f>
        <v/>
      </c>
      <c r="CF82" s="74" t="str">
        <f aca="false">IF(ISBLANK($C82),"",IF($BL82&lt;&gt;Constants!$B$4,$BL82,RANK($CE82,$CE$9:$CE$508)))</f>
        <v/>
      </c>
      <c r="CG82" s="74" t="str">
        <f aca="false">IF(ISBLANK($C82),"",IF($BL82&lt;&gt;Constants!$B$4,$BL82,COUNTIFS($BM$9:$BM$508,"&lt;"&amp;$BM82)+COUNTIFS($BM$9:$BM$508,$BM82,$CF$9:$CF$508,"&lt;"&amp;$CF82)+1))</f>
        <v/>
      </c>
      <c r="CH82" s="74" t="str">
        <f aca="false">IF(ISBLANK($C82),"",IF($BL82&lt;&gt;Constants!$B$4,$BL82,RANK($CD82,$CD$9:$CD$508,1)))</f>
        <v/>
      </c>
      <c r="CI82" s="74" t="str">
        <f aca="false">IF($BL82&lt;&gt;Constants!$B$4,"",$AN82+$AO82+$AP82)</f>
        <v/>
      </c>
      <c r="CJ82" s="74" t="str">
        <f aca="false">IF(ISBLANK($C82),"",IF($BL82&lt;&gt;Constants!$B$4,$BL82,RANK($CI82,$CI$9:$CI$508,1)))</f>
        <v/>
      </c>
      <c r="CK82" s="74" t="str">
        <f aca="false">IF(ISBLANK($C82),"",IF($BL82&lt;&gt;Constants!$B$4,$BL82,COUNTIFS($BM$9:$BM$508,"&lt;"&amp;$BM82)+COUNTIFS($BM$9:$BM$508,$BM82,$CF$9:$CF$508,"&lt;"&amp;$CF82)+COUNTIFS($BM$9:$BM$508,$BM82,$CF$9:$CF$508,$CF82,$CH$9:$CH$508,"&lt;"&amp;$CH82)+COUNTIFS($BM$9:$BM$508,$BM82,$CF$9:$CF$508,$CF82,$CH$9:$CH$508,$CH82,$CJ$9:$CJ$508,"&lt;"&amp;$CJ82)+1))</f>
        <v/>
      </c>
      <c r="CL82" s="74" t="str">
        <f aca="false">IF(ISBLANK($C82),"",IF($BL82&lt;&gt;Constants!$B$4,$BL82,$CG82-$CK82))</f>
        <v/>
      </c>
      <c r="CM82" s="74" t="str">
        <f aca="false">IF(ISBLANK($C82),"",IF(NOT($AL82),"",IF(ISBLANK($D$7),$CM$5,IF(NOT(ISNUMBER($D$7)),$CM$6,""))))</f>
        <v/>
      </c>
      <c r="CN82" s="74" t="str">
        <f aca="false">IF(ISBLANK($C82),"",OR($AN82="",$AO82="",$AP82=""))</f>
        <v/>
      </c>
      <c r="CO82" s="74" t="str">
        <f aca="false">IF(ISBLANK($C82),"",AND($AL82,$BA82=""))</f>
        <v/>
      </c>
      <c r="CP82" s="74" t="str">
        <f aca="false">IF(ISBLANK($C82),"",AND($AL82,$BB82=""))</f>
        <v/>
      </c>
      <c r="CQ82" s="74" t="str">
        <f aca="false">IF(ISBLANK($C82),"",AND($AL82,$BC82=""))</f>
        <v/>
      </c>
      <c r="CR82" s="74" t="str">
        <f aca="false">IF(ISBLANK($C82),"",AND($AL82,$BF82=""))</f>
        <v/>
      </c>
      <c r="CS82" s="74" t="str">
        <f aca="false">IF(ISBLANK($C82),"",AND($AL82,$BJ82=""))</f>
        <v/>
      </c>
      <c r="CT82" s="75"/>
      <c r="CU82" s="76"/>
      <c r="CV82" s="79" t="str">
        <f aca="false">IF(ISBLANK($C82),"",IF($BL82=Constants!$B$8,$CM82,""))</f>
        <v/>
      </c>
      <c r="CW82" s="76" t="str">
        <f aca="false">IF(ISBLANK($C82),"",IF($BL82&lt;&gt;Constants!$B$4,"",$BO82+$BP82))</f>
        <v/>
      </c>
      <c r="CX82" s="78" t="str">
        <f aca="false">IF(ISBLANK($C82),"",IF($BL82&lt;&gt;Constants!$B$4,"",$BQ82+$BR82+$BS82))</f>
        <v/>
      </c>
      <c r="CY82" s="78" t="str">
        <f aca="false">IF(ISBLANK($C82),"",IF($BL82&lt;&gt;Constants!$B$4,"",$BT82))</f>
        <v/>
      </c>
      <c r="CZ82" s="78" t="str">
        <f aca="false">IF(ISBLANK($C82),"",IF($BL82&lt;&gt;Constants!$B$4,"",$BU82+$BV82))</f>
        <v/>
      </c>
      <c r="DA82" s="78" t="str">
        <f aca="false">IF(ISBLANK($C82),"",IF($BL82&lt;&gt;Constants!$B$4,"",$BW82))</f>
        <v/>
      </c>
      <c r="DB82" s="78" t="str">
        <f aca="false">IF(ISBLANK($C82),"",IF($BL82&lt;&gt;Constants!$B$4,"",-$CD82))</f>
        <v/>
      </c>
      <c r="DC82" s="79" t="str">
        <f aca="false">IF(ISBLANK($C82),"",$CE82)</f>
        <v/>
      </c>
      <c r="DD82" s="80" t="str">
        <f aca="false">IF(ISBLANK($C82),"",$BM82)</f>
        <v/>
      </c>
      <c r="DE82" s="78" t="str">
        <f aca="false">IF(ISBLANK($C82),"",$CL82)</f>
        <v/>
      </c>
      <c r="DF82" s="78" t="str">
        <f aca="false">IF(ISBLANK($C82),"",$CK82)</f>
        <v/>
      </c>
      <c r="DG82" s="81" t="str">
        <f aca="false">IF(ISBLANK($C82),"",IF($DF82=Constants!$B$7,COUNTA($C$9:$C$508)+2,IF($DF82=Constants!$B$6,COUNTA($C$9:$C$508)+1,IF($DF82=Constants!$B$5,COUNTA($C$9:$C$508),$DF82))))</f>
        <v/>
      </c>
      <c r="DH82" s="7"/>
      <c r="DI82" s="82" t="n">
        <f aca="false">IF(OR(ISNUMBER($DF82),$DF82=Constants!$B$7,$DF82=Constants!$B$5,$DF82=Constants!$B$6),1,0)</f>
        <v>0</v>
      </c>
      <c r="DJ82" s="82" t="n">
        <v>74</v>
      </c>
      <c r="DK82" s="82" t="str">
        <f aca="false">IF(ISBLANK($C82),"",IF(ISNUMBER($DG82),$DG82+ROW($B82)/1000,""))</f>
        <v/>
      </c>
      <c r="DL82" s="82" t="str">
        <f aca="false">IF(ISNUMBER($DK82),RANK($DK82,$DK$9:$DK$508,1),"")</f>
        <v/>
      </c>
      <c r="DM82" s="82" t="str">
        <f aca="false">IF(ISBLANK($C82),"",$B82)</f>
        <v/>
      </c>
      <c r="DN82" s="82" t="str">
        <f aca="false">IF(ISBLANK($C82),"",$C82)</f>
        <v/>
      </c>
      <c r="DO82" s="82" t="str">
        <f aca="false">IF(ISBLANK($C82),"",$D82)</f>
        <v/>
      </c>
      <c r="DP82" s="83" t="str">
        <f aca="false">$DD82</f>
        <v/>
      </c>
      <c r="DQ82" s="84" t="str">
        <f aca="false">$DC82</f>
        <v/>
      </c>
      <c r="DR82" s="82" t="str">
        <f aca="false">IF(ISBLANK($C82),"",$DF82)</f>
        <v/>
      </c>
      <c r="DS82" s="85" t="str">
        <f aca="false">IF($DJ82&gt;$DI$8,"",VLOOKUP($DJ82,$DL$9:$DR$508,7,FALSE()))</f>
        <v/>
      </c>
      <c r="DT82" s="86" t="str">
        <f aca="false">IF($DJ82&gt;$DI$8,"",VLOOKUP($DJ82,$DL$9:$DR$508,2,FALSE()))</f>
        <v/>
      </c>
      <c r="DU82" s="86" t="str">
        <f aca="false">IF($DJ82&gt;$DI$8,"",VLOOKUP($DJ82,$DL$9:$DR$508,3,FALSE()))</f>
        <v/>
      </c>
      <c r="DV82" s="86" t="str">
        <f aca="false">IF($DJ82&gt;$DI$8,"",VLOOKUP($DJ82,$DL$9:$DR$508,4,FALSE()))</f>
        <v/>
      </c>
      <c r="DW82" s="86" t="str">
        <f aca="false">IF($DJ82&gt;$DI$8,"",VLOOKUP($DJ82,$DL$9:$DR$508,5,FALSE()))</f>
        <v/>
      </c>
      <c r="DX82" s="87" t="str">
        <f aca="false">IF($DJ82&gt;$DI$8,"",VLOOKUP($DJ82,$DL$9:$DR$508,6,FALSE()))</f>
        <v/>
      </c>
      <c r="DY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88"/>
      <c r="N83" s="88"/>
      <c r="O83" s="134"/>
      <c r="P83" s="134"/>
      <c r="Q83" s="88"/>
      <c r="R83" s="88"/>
      <c r="S83" s="88"/>
      <c r="T83" s="88"/>
      <c r="U83" s="134"/>
      <c r="V83" s="88"/>
      <c r="W83" s="70"/>
      <c r="X83" s="88"/>
      <c r="Y83" s="88"/>
      <c r="Z83" s="70"/>
      <c r="AA83" s="70"/>
      <c r="AB83" s="88"/>
      <c r="AC83" s="88"/>
      <c r="AD83" s="88"/>
      <c r="AE83" s="71"/>
      <c r="AF83" s="88"/>
      <c r="AG83" s="73"/>
      <c r="AH83" s="74"/>
      <c r="AI83" s="74"/>
      <c r="AJ83" s="74" t="str">
        <f aca="false">IF(ISBLANK($C83),"",IF($E83=Constants!$B$2,TRUE(),IF($E83=Constants!$B$3,FALSE(),TRUE())))</f>
        <v/>
      </c>
      <c r="AK83" s="74" t="str">
        <f aca="false">IF(ISBLANK($C83),"",IF($F83=Constants!$B$2,TRUE(),IF($F83=Constants!$B$3,FALSE(),FALSE())))</f>
        <v/>
      </c>
      <c r="AL83" s="74" t="str">
        <f aca="false">IF(ISBLANK($C83),"",IF($G83=Constants!$B$2,TRUE(),IF($G83=Constants!$B$3,FALSE(),TRUE())))</f>
        <v/>
      </c>
      <c r="AM83" s="74" t="str">
        <f aca="false">IF(ISBLANK($C83),"",IF($H83=Constants!$B$2,TRUE(),IF($H83=Constants!$B$3,FALSE(),TRUE())))</f>
        <v/>
      </c>
      <c r="AN83" s="74" t="str">
        <f aca="false">IF(ISBLANK($C83),"",IF(ISNUMBER($I83),IF($I83&gt;=0,$I83,""),""))</f>
        <v/>
      </c>
      <c r="AO83" s="74" t="str">
        <f aca="false">IF(ISBLANK($C83),"",IF(ISNUMBER($J83),IF($J83&gt;=0,$J83,""),""))</f>
        <v/>
      </c>
      <c r="AP83" s="74" t="str">
        <f aca="false">IF(ISBLANK($C83),"",IF(ISNUMBER($K83),IF($K83&gt;=0,$K83,""),""))</f>
        <v/>
      </c>
      <c r="AQ83" s="74" t="str">
        <f aca="false">IF(ISBLANK($C83),"",IF($L83=Constants!$B$2,TRUE(),IF($L83=Constants!$B$3,FALSE(),TRUE())))</f>
        <v/>
      </c>
      <c r="AR83" s="74" t="str">
        <f aca="false">IF(ISBLANK($C83),"",IF($M83=Constants!$B$2,TRUE(),IF($M83=Constants!$B$3,FALSE(),TRUE())))</f>
        <v/>
      </c>
      <c r="AS83" s="74" t="str">
        <f aca="false">IF(ISBLANK($C83),"",IF($N83=Constants!$B$2,TRUE(),IF($N83=Constants!$B$3,FALSE(),FALSE())))</f>
        <v/>
      </c>
      <c r="AT83" s="74" t="str">
        <f aca="false">IF(ISBLANK($C83),"",IF($O83=Constants!$B$2,TRUE(),IF($O83=Constants!$B$3,FALSE(),TRUE())))</f>
        <v/>
      </c>
      <c r="AU83" s="74" t="str">
        <f aca="false">IF(ISBLANK($C83),"",IF($P83=Constants!$B$2,TRUE(),IF($P83=Constants!$B$3,FALSE(),TRUE())))</f>
        <v/>
      </c>
      <c r="AV83" s="74" t="str">
        <f aca="false">IF(ISBLANK($C83),"",IF($Q83=Constants!$B$2,TRUE(),IF($Q83=Constants!$B$3,FALSE(),FALSE())))</f>
        <v/>
      </c>
      <c r="AW83" s="74" t="str">
        <f aca="false">IF(ISBLANK($C83),"",IF($R83=Constants!$B$2,TRUE(),IF($R83=Constants!$B$3,FALSE(),FALSE())))</f>
        <v/>
      </c>
      <c r="AX83" s="74" t="str">
        <f aca="false">IF(ISBLANK($C83),"",IF($S83=Constants!$B$2,TRUE(),IF($S83=Constants!$B$3,FALSE(),FALSE())))</f>
        <v/>
      </c>
      <c r="AY83" s="74" t="str">
        <f aca="false">IF(ISBLANK($C83),"",IF($T83=Constants!$B$2,TRUE(),IF($T83=Constants!$B$3,FALSE(),FALSE())))</f>
        <v/>
      </c>
      <c r="AZ83" s="74" t="str">
        <f aca="false">IF(ISBLANK($C83),"",IF($U83=Constants!$B$2,TRUE(),IF($U83=Constants!$B$3,FALSE(),FALSE())))</f>
        <v/>
      </c>
      <c r="BA83" s="74" t="str">
        <f aca="false">IF(ISBLANK($C83),"",IF(OR($V83&amp;""="1",$V83&amp;""="2",$V83&amp;""="3",$V83&amp;""="4"),VALUE($V83&amp;""),IF($V83=Constants!$B$12,Constants!$B$12,"")))</f>
        <v/>
      </c>
      <c r="BB83" s="74" t="str">
        <f aca="false">IF(ISBLANK($C83),"",IF(ISBLANK($W83),0,IF(ISNUMBER($W83),IF(AND($W83&gt;=0,$W83&lt;=Constants!$B$21,$W83=INT($W83)),$W83,""),"")))</f>
        <v/>
      </c>
      <c r="BC83" s="74" t="str">
        <f aca="false">IF(ISBLANK($C83),"",IF(ISBLANK($X83),0,IF(ISNUMBER($X83),IF($X83&gt;=0,$X83,""),"")))</f>
        <v/>
      </c>
      <c r="BD83" s="74" t="str">
        <f aca="false">IF(ISBLANK($C83),"",IF($Y83=Constants!$B$2,TRUE(),IF($Y83=Constants!$B$3,FALSE(),TRUE())))</f>
        <v/>
      </c>
      <c r="BE83" s="74" t="str">
        <f aca="false">IF(ISBLANK($C83),"",IF($Z83=Constants!$B$2,TRUE(),IF($Z83=Constants!$B$3,FALSE(),FALSE())))</f>
        <v/>
      </c>
      <c r="BF83" s="74" t="str">
        <f aca="false">IF(ISBLANK($C83),"",IF(ISBLANK($AA83),0,IF(ISNUMBER($AA83),IF(AND($AA83&gt;=0,$AA83&lt;=Constants!$B$35,$AA83=INT($AA83)),$AA83,""),"")))</f>
        <v/>
      </c>
      <c r="BG83" s="74" t="str">
        <f aca="false">IF(ISBLANK($C83),"",IF($AB83=Constants!$B$2,TRUE(),IF($AB83=Constants!$B$3,FALSE(),TRUE())))</f>
        <v/>
      </c>
      <c r="BH83" s="74" t="str">
        <f aca="false">IF(ISBLANK($C83),"",IF($AC83=Constants!$B$2,TRUE(),IF($AC83=Constants!$B$3,FALSE(),TRUE())))</f>
        <v/>
      </c>
      <c r="BI83" s="74" t="str">
        <f aca="false">IF(ISBLANK($C83),"",IF($AD83=Constants!$B$2,TRUE(),IF($AD83=Constants!$B$3,FALSE(),TRUE())))</f>
        <v/>
      </c>
      <c r="BJ83" s="74" t="str">
        <f aca="false">IF(ISBLANK($C83),"",IF(ISNUMBER($AE83),IF($AE83&gt;=0,$AE83,""),""))</f>
        <v/>
      </c>
      <c r="BK83" s="74" t="str">
        <f aca="false">IF(ISBLANK($C83),"",IF($AF83=Constants!$B$2,TRUE(),IF($AF83=Constants!$B$3,FALSE(),FALSE())))</f>
        <v/>
      </c>
      <c r="BL83" s="73" t="str">
        <f aca="false">IF(ISBLANK($C83),"",IF($BK83,Constants!$B$7,IF(COUNTA($E83:$AE83)=0,Constants!$B$6,IF(OR(COUNTA($G83:$AE83)=0,NOT($AM83),$AS83),Constants!$B$5,IF(OR($CM83&lt;&gt;"",$CN83,$CO83,$CP83,$CQ83,$CR83,$CS83),Constants!$B$8,Constants!$B$4)))))</f>
        <v/>
      </c>
      <c r="BM83" s="74" t="str">
        <f aca="false">IF(ISBLANK($C83),"",IF($BL83&lt;&gt;Constants!$B$4,$BL83,IF(OR(NOT($AJ83),NOT($AL83),NOT($AT83)),Constants!$B$11,IF(OR(NOT($AR83),NOT($AU83),NOT($BI83),MAX($AN83,$AO83,$AP83)&gt;Constants!$B$30),Constants!$B$10,Constants!$B$9))))</f>
        <v/>
      </c>
      <c r="BN83" s="74" t="str">
        <f aca="false">IF($BL83&lt;&gt;Constants!$B$4,"",IF(NOT($AL83),0,MIN(Constants!$B$35,$BF83)))</f>
        <v/>
      </c>
      <c r="BO83" s="74" t="str">
        <f aca="false">IF($BL83&lt;&gt;Constants!$B$4,"",IF(NOT($AL83),0,IF($AW83,Constants!$B$18,IF($AV83,Constants!$B$17,0))))</f>
        <v/>
      </c>
      <c r="BP83" s="74" t="str">
        <f aca="false">IF($BL83&lt;&gt;Constants!$B$4,"",IF(NOT($AL83),0,Constants!$B$19*($AK83+$AX83+$AY83+$AZ83)))</f>
        <v/>
      </c>
      <c r="BQ83" s="74" t="str">
        <f aca="false">IF($BL83&lt;&gt;Constants!$B$4,"",IF(OR(NOT($AL83),NOT(ISNUMBER($BA83))),0,CHOOSE($BA83,Constants!$B$13,Constants!$B$14,Constants!$B$15,Constants!$B$16)))</f>
        <v/>
      </c>
      <c r="BR83" s="74" t="str">
        <f aca="false">IF($BL83&lt;&gt;Constants!$B$4,"",IF(NOT($AL83),0,Constants!$B$20*$BB83))</f>
        <v/>
      </c>
      <c r="BS83" s="74" t="str">
        <f aca="false">IF($BL83&lt;&gt;Constants!$B$4,"",IF(AND($AL83,$BD83,$BE83),Constants!$B$22,0))</f>
        <v/>
      </c>
      <c r="BT83" s="74" t="str">
        <f aca="false">IF($BL83&lt;&gt;Constants!$B$4,"",IF(OR(NOT($AL83),NOT($BD83)),0,IF($BJ83&gt;=2*$AH$9,0,Constants!$B$23*INT(ROUND(MIN($BJ83,$AH$9),6)))))</f>
        <v/>
      </c>
      <c r="BU83" s="74" t="str">
        <f aca="false">IF($BL83&lt;&gt;Constants!$B$4,"",IF(NOT($AL83),0,Constants!$B$24*INT(ROUND(MIN($BC83,$AH$9),6))))</f>
        <v/>
      </c>
      <c r="BV83" s="74" t="str">
        <f aca="false">IF($BL83&lt;&gt;Constants!$B$4,"",IF(AND($AL83,$BN83=0),Constants!$B$25,0))</f>
        <v/>
      </c>
      <c r="BW83" s="74" t="str">
        <f aca="false">IF($BL83&lt;&gt;Constants!$B$4,"",MIN(Constants!$B$29,MAX(0,Constants!$B$27*Constants!$B$28*INT(ROUND((Constants!$B$26-$AN83)/Constants!$B$28,6))))+MIN(Constants!$B$29,MAX(0,Constants!$B$27*Constants!$B$28*INT(ROUND((Constants!$B$26-$AO83)/Constants!$B$28,6))))+MIN(Constants!$B$29,MAX(0,Constants!$B$27*Constants!$B$28*INT(ROUND((Constants!$B$26-$AP83)/Constants!$B$28,6)))))</f>
        <v/>
      </c>
      <c r="BX83" s="74" t="str">
        <f aca="false">IF($BL83&lt;&gt;Constants!$B$4,"",IF(NOT($AL83),0,Constants!$B$31*INT(ROUND(MAX(0,MIN($BJ83,2*$AH$9)-$AH$9),6))))</f>
        <v/>
      </c>
      <c r="BY83" s="74" t="str">
        <f aca="false">IF($BL83&lt;&gt;Constants!$B$4,"",Constants!$B$32*(($AN83&gt;Constants!$B$26)+($AO83&gt;Constants!$B$26)+($AP83&gt;Constants!$B$26)))</f>
        <v/>
      </c>
      <c r="BZ83" s="74" t="str">
        <f aca="false">IF($BL83&lt;&gt;Constants!$B$4,"",IF(OR(NOT($AL83),$AQ83),0,Constants!$B$33))</f>
        <v/>
      </c>
      <c r="CA83" s="74" t="str">
        <f aca="false">IF($BL83&lt;&gt;Constants!$B$4,"",Constants!$B$34*$BN83)</f>
        <v/>
      </c>
      <c r="CB83" s="74" t="str">
        <f aca="false">IF($BL83&lt;&gt;Constants!$B$4,"",IF(OR(NOT($AL83),$BH83),0,Constants!$B$36))</f>
        <v/>
      </c>
      <c r="CC83" s="74" t="str">
        <f aca="false">IF($BL83&lt;&gt;Constants!$B$4,"",IF(OR(NOT($AL83),$BG83),0,Constants!$B$37))</f>
        <v/>
      </c>
      <c r="CD83" s="74" t="str">
        <f aca="false">IF($BL83&lt;&gt;Constants!$B$4,"",SUM($BX83:$CC83))</f>
        <v/>
      </c>
      <c r="CE83" s="74" t="str">
        <f aca="false">IF(ISBLANK($C83),"",IF($BL83&lt;&gt;Constants!$B$4,$BL83,SUM($BO83:$BW83)-$CD83))</f>
        <v/>
      </c>
      <c r="CF83" s="74" t="str">
        <f aca="false">IF(ISBLANK($C83),"",IF($BL83&lt;&gt;Constants!$B$4,$BL83,RANK($CE83,$CE$9:$CE$508)))</f>
        <v/>
      </c>
      <c r="CG83" s="74" t="str">
        <f aca="false">IF(ISBLANK($C83),"",IF($BL83&lt;&gt;Constants!$B$4,$BL83,COUNTIFS($BM$9:$BM$508,"&lt;"&amp;$BM83)+COUNTIFS($BM$9:$BM$508,$BM83,$CF$9:$CF$508,"&lt;"&amp;$CF83)+1))</f>
        <v/>
      </c>
      <c r="CH83" s="74" t="str">
        <f aca="false">IF(ISBLANK($C83),"",IF($BL83&lt;&gt;Constants!$B$4,$BL83,RANK($CD83,$CD$9:$CD$508,1)))</f>
        <v/>
      </c>
      <c r="CI83" s="74" t="str">
        <f aca="false">IF($BL83&lt;&gt;Constants!$B$4,"",$AN83+$AO83+$AP83)</f>
        <v/>
      </c>
      <c r="CJ83" s="74" t="str">
        <f aca="false">IF(ISBLANK($C83),"",IF($BL83&lt;&gt;Constants!$B$4,$BL83,RANK($CI83,$CI$9:$CI$508,1)))</f>
        <v/>
      </c>
      <c r="CK83" s="74" t="str">
        <f aca="false">IF(ISBLANK($C83),"",IF($BL83&lt;&gt;Constants!$B$4,$BL83,COUNTIFS($BM$9:$BM$508,"&lt;"&amp;$BM83)+COUNTIFS($BM$9:$BM$508,$BM83,$CF$9:$CF$508,"&lt;"&amp;$CF83)+COUNTIFS($BM$9:$BM$508,$BM83,$CF$9:$CF$508,$CF83,$CH$9:$CH$508,"&lt;"&amp;$CH83)+COUNTIFS($BM$9:$BM$508,$BM83,$CF$9:$CF$508,$CF83,$CH$9:$CH$508,$CH83,$CJ$9:$CJ$508,"&lt;"&amp;$CJ83)+1))</f>
        <v/>
      </c>
      <c r="CL83" s="74" t="str">
        <f aca="false">IF(ISBLANK($C83),"",IF($BL83&lt;&gt;Constants!$B$4,$BL83,$CG83-$CK83))</f>
        <v/>
      </c>
      <c r="CM83" s="74" t="str">
        <f aca="false">IF(ISBLANK($C83),"",IF(NOT($AL83),"",IF(ISBLANK($D$7),$CM$5,IF(NOT(ISNUMBER($D$7)),$CM$6,""))))</f>
        <v/>
      </c>
      <c r="CN83" s="74" t="str">
        <f aca="false">IF(ISBLANK($C83),"",OR($AN83="",$AO83="",$AP83=""))</f>
        <v/>
      </c>
      <c r="CO83" s="74" t="str">
        <f aca="false">IF(ISBLANK($C83),"",AND($AL83,$BA83=""))</f>
        <v/>
      </c>
      <c r="CP83" s="74" t="str">
        <f aca="false">IF(ISBLANK($C83),"",AND($AL83,$BB83=""))</f>
        <v/>
      </c>
      <c r="CQ83" s="74" t="str">
        <f aca="false">IF(ISBLANK($C83),"",AND($AL83,$BC83=""))</f>
        <v/>
      </c>
      <c r="CR83" s="74" t="str">
        <f aca="false">IF(ISBLANK($C83),"",AND($AL83,$BF83=""))</f>
        <v/>
      </c>
      <c r="CS83" s="74" t="str">
        <f aca="false">IF(ISBLANK($C83),"",AND($AL83,$BJ83=""))</f>
        <v/>
      </c>
      <c r="CT83" s="75"/>
      <c r="CU83" s="76"/>
      <c r="CV83" s="79" t="str">
        <f aca="false">IF(ISBLANK($C83),"",IF($BL83=Constants!$B$8,$CM83,""))</f>
        <v/>
      </c>
      <c r="CW83" s="76" t="str">
        <f aca="false">IF(ISBLANK($C83),"",IF($BL83&lt;&gt;Constants!$B$4,"",$BO83+$BP83))</f>
        <v/>
      </c>
      <c r="CX83" s="78" t="str">
        <f aca="false">IF(ISBLANK($C83),"",IF($BL83&lt;&gt;Constants!$B$4,"",$BQ83+$BR83+$BS83))</f>
        <v/>
      </c>
      <c r="CY83" s="78" t="str">
        <f aca="false">IF(ISBLANK($C83),"",IF($BL83&lt;&gt;Constants!$B$4,"",$BT83))</f>
        <v/>
      </c>
      <c r="CZ83" s="78" t="str">
        <f aca="false">IF(ISBLANK($C83),"",IF($BL83&lt;&gt;Constants!$B$4,"",$BU83+$BV83))</f>
        <v/>
      </c>
      <c r="DA83" s="78" t="str">
        <f aca="false">IF(ISBLANK($C83),"",IF($BL83&lt;&gt;Constants!$B$4,"",$BW83))</f>
        <v/>
      </c>
      <c r="DB83" s="78" t="str">
        <f aca="false">IF(ISBLANK($C83),"",IF($BL83&lt;&gt;Constants!$B$4,"",-$CD83))</f>
        <v/>
      </c>
      <c r="DC83" s="79" t="str">
        <f aca="false">IF(ISBLANK($C83),"",$CE83)</f>
        <v/>
      </c>
      <c r="DD83" s="80" t="str">
        <f aca="false">IF(ISBLANK($C83),"",$BM83)</f>
        <v/>
      </c>
      <c r="DE83" s="78" t="str">
        <f aca="false">IF(ISBLANK($C83),"",$CL83)</f>
        <v/>
      </c>
      <c r="DF83" s="78" t="str">
        <f aca="false">IF(ISBLANK($C83),"",$CK83)</f>
        <v/>
      </c>
      <c r="DG83" s="81" t="str">
        <f aca="false">IF(ISBLANK($C83),"",IF($DF83=Constants!$B$7,COUNTA($C$9:$C$508)+2,IF($DF83=Constants!$B$6,COUNTA($C$9:$C$508)+1,IF($DF83=Constants!$B$5,COUNTA($C$9:$C$508),$DF83))))</f>
        <v/>
      </c>
      <c r="DH83" s="7"/>
      <c r="DI83" s="82" t="n">
        <f aca="false">IF(OR(ISNUMBER($DF83),$DF83=Constants!$B$7,$DF83=Constants!$B$5,$DF83=Constants!$B$6),1,0)</f>
        <v>0</v>
      </c>
      <c r="DJ83" s="82" t="n">
        <v>75</v>
      </c>
      <c r="DK83" s="82" t="str">
        <f aca="false">IF(ISBLANK($C83),"",IF(ISNUMBER($DG83),$DG83+ROW($B83)/1000,""))</f>
        <v/>
      </c>
      <c r="DL83" s="82" t="str">
        <f aca="false">IF(ISNUMBER($DK83),RANK($DK83,$DK$9:$DK$508,1),"")</f>
        <v/>
      </c>
      <c r="DM83" s="82" t="str">
        <f aca="false">IF(ISBLANK($C83),"",$B83)</f>
        <v/>
      </c>
      <c r="DN83" s="82" t="str">
        <f aca="false">IF(ISBLANK($C83),"",$C83)</f>
        <v/>
      </c>
      <c r="DO83" s="82" t="str">
        <f aca="false">IF(ISBLANK($C83),"",$D83)</f>
        <v/>
      </c>
      <c r="DP83" s="83" t="str">
        <f aca="false">$DD83</f>
        <v/>
      </c>
      <c r="DQ83" s="84" t="str">
        <f aca="false">$DC83</f>
        <v/>
      </c>
      <c r="DR83" s="82" t="str">
        <f aca="false">IF(ISBLANK($C83),"",$DF83)</f>
        <v/>
      </c>
      <c r="DS83" s="85" t="str">
        <f aca="false">IF($DJ83&gt;$DI$8,"",VLOOKUP($DJ83,$DL$9:$DR$508,7,FALSE()))</f>
        <v/>
      </c>
      <c r="DT83" s="86" t="str">
        <f aca="false">IF($DJ83&gt;$DI$8,"",VLOOKUP($DJ83,$DL$9:$DR$508,2,FALSE()))</f>
        <v/>
      </c>
      <c r="DU83" s="86" t="str">
        <f aca="false">IF($DJ83&gt;$DI$8,"",VLOOKUP($DJ83,$DL$9:$DR$508,3,FALSE()))</f>
        <v/>
      </c>
      <c r="DV83" s="86" t="str">
        <f aca="false">IF($DJ83&gt;$DI$8,"",VLOOKUP($DJ83,$DL$9:$DR$508,4,FALSE()))</f>
        <v/>
      </c>
      <c r="DW83" s="86" t="str">
        <f aca="false">IF($DJ83&gt;$DI$8,"",VLOOKUP($DJ83,$DL$9:$DR$508,5,FALSE()))</f>
        <v/>
      </c>
      <c r="DX83" s="87" t="str">
        <f aca="false">IF($DJ83&gt;$DI$8,"",VLOOKUP($DJ83,$DL$9:$DR$508,6,FALSE()))</f>
        <v/>
      </c>
      <c r="DY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16"/>
      <c r="N84" s="116"/>
      <c r="O84" s="113"/>
      <c r="P84" s="113"/>
      <c r="Q84" s="116"/>
      <c r="R84" s="116"/>
      <c r="S84" s="116"/>
      <c r="T84" s="116"/>
      <c r="U84" s="113"/>
      <c r="V84" s="116"/>
      <c r="W84" s="132"/>
      <c r="X84" s="116"/>
      <c r="Y84" s="116"/>
      <c r="Z84" s="132"/>
      <c r="AA84" s="132"/>
      <c r="AB84" s="116"/>
      <c r="AC84" s="116"/>
      <c r="AD84" s="116"/>
      <c r="AE84" s="133"/>
      <c r="AF84" s="116"/>
      <c r="AG84" s="99"/>
      <c r="AH84" s="100"/>
      <c r="AI84" s="100"/>
      <c r="AJ84" s="100" t="str">
        <f aca="false">IF(ISBLANK($C84),"",IF($E84=Constants!$B$2,TRUE(),IF($E84=Constants!$B$3,FALSE(),TRUE())))</f>
        <v/>
      </c>
      <c r="AK84" s="100" t="str">
        <f aca="false">IF(ISBLANK($C84),"",IF($F84=Constants!$B$2,TRUE(),IF($F84=Constants!$B$3,FALSE(),FALSE())))</f>
        <v/>
      </c>
      <c r="AL84" s="100" t="str">
        <f aca="false">IF(ISBLANK($C84),"",IF($G84=Constants!$B$2,TRUE(),IF($G84=Constants!$B$3,FALSE(),TRUE())))</f>
        <v/>
      </c>
      <c r="AM84" s="100" t="str">
        <f aca="false">IF(ISBLANK($C84),"",IF($H84=Constants!$B$2,TRUE(),IF($H84=Constants!$B$3,FALSE(),TRUE())))</f>
        <v/>
      </c>
      <c r="AN84" s="100" t="str">
        <f aca="false">IF(ISBLANK($C84),"",IF(ISNUMBER($I84),IF($I84&gt;=0,$I84,""),""))</f>
        <v/>
      </c>
      <c r="AO84" s="100" t="str">
        <f aca="false">IF(ISBLANK($C84),"",IF(ISNUMBER($J84),IF($J84&gt;=0,$J84,""),""))</f>
        <v/>
      </c>
      <c r="AP84" s="100" t="str">
        <f aca="false">IF(ISBLANK($C84),"",IF(ISNUMBER($K84),IF($K84&gt;=0,$K84,""),""))</f>
        <v/>
      </c>
      <c r="AQ84" s="100" t="str">
        <f aca="false">IF(ISBLANK($C84),"",IF($L84=Constants!$B$2,TRUE(),IF($L84=Constants!$B$3,FALSE(),TRUE())))</f>
        <v/>
      </c>
      <c r="AR84" s="100" t="str">
        <f aca="false">IF(ISBLANK($C84),"",IF($M84=Constants!$B$2,TRUE(),IF($M84=Constants!$B$3,FALSE(),TRUE())))</f>
        <v/>
      </c>
      <c r="AS84" s="100" t="str">
        <f aca="false">IF(ISBLANK($C84),"",IF($N84=Constants!$B$2,TRUE(),IF($N84=Constants!$B$3,FALSE(),FALSE())))</f>
        <v/>
      </c>
      <c r="AT84" s="100" t="str">
        <f aca="false">IF(ISBLANK($C84),"",IF($O84=Constants!$B$2,TRUE(),IF($O84=Constants!$B$3,FALSE(),TRUE())))</f>
        <v/>
      </c>
      <c r="AU84" s="100" t="str">
        <f aca="false">IF(ISBLANK($C84),"",IF($P84=Constants!$B$2,TRUE(),IF($P84=Constants!$B$3,FALSE(),TRUE())))</f>
        <v/>
      </c>
      <c r="AV84" s="100" t="str">
        <f aca="false">IF(ISBLANK($C84),"",IF($Q84=Constants!$B$2,TRUE(),IF($Q84=Constants!$B$3,FALSE(),FALSE())))</f>
        <v/>
      </c>
      <c r="AW84" s="100" t="str">
        <f aca="false">IF(ISBLANK($C84),"",IF($R84=Constants!$B$2,TRUE(),IF($R84=Constants!$B$3,FALSE(),FALSE())))</f>
        <v/>
      </c>
      <c r="AX84" s="100" t="str">
        <f aca="false">IF(ISBLANK($C84),"",IF($S84=Constants!$B$2,TRUE(),IF($S84=Constants!$B$3,FALSE(),FALSE())))</f>
        <v/>
      </c>
      <c r="AY84" s="100" t="str">
        <f aca="false">IF(ISBLANK($C84),"",IF($T84=Constants!$B$2,TRUE(),IF($T84=Constants!$B$3,FALSE(),FALSE())))</f>
        <v/>
      </c>
      <c r="AZ84" s="100" t="str">
        <f aca="false">IF(ISBLANK($C84),"",IF($U84=Constants!$B$2,TRUE(),IF($U84=Constants!$B$3,FALSE(),FALSE())))</f>
        <v/>
      </c>
      <c r="BA84" s="100" t="str">
        <f aca="false">IF(ISBLANK($C84),"",IF(OR($V84&amp;""="1",$V84&amp;""="2",$V84&amp;""="3",$V84&amp;""="4"),VALUE($V84&amp;""),IF($V84=Constants!$B$12,Constants!$B$12,"")))</f>
        <v/>
      </c>
      <c r="BB84" s="100" t="str">
        <f aca="false">IF(ISBLANK($C84),"",IF(ISBLANK($W84),0,IF(ISNUMBER($W84),IF(AND($W84&gt;=0,$W84&lt;=Constants!$B$21,$W84=INT($W84)),$W84,""),"")))</f>
        <v/>
      </c>
      <c r="BC84" s="100" t="str">
        <f aca="false">IF(ISBLANK($C84),"",IF(ISBLANK($X84),0,IF(ISNUMBER($X84),IF($X84&gt;=0,$X84,""),"")))</f>
        <v/>
      </c>
      <c r="BD84" s="100" t="str">
        <f aca="false">IF(ISBLANK($C84),"",IF($Y84=Constants!$B$2,TRUE(),IF($Y84=Constants!$B$3,FALSE(),TRUE())))</f>
        <v/>
      </c>
      <c r="BE84" s="100" t="str">
        <f aca="false">IF(ISBLANK($C84),"",IF($Z84=Constants!$B$2,TRUE(),IF($Z84=Constants!$B$3,FALSE(),FALSE())))</f>
        <v/>
      </c>
      <c r="BF84" s="100" t="str">
        <f aca="false">IF(ISBLANK($C84),"",IF(ISBLANK($AA84),0,IF(ISNUMBER($AA84),IF(AND($AA84&gt;=0,$AA84&lt;=Constants!$B$35,$AA84=INT($AA84)),$AA84,""),"")))</f>
        <v/>
      </c>
      <c r="BG84" s="100" t="str">
        <f aca="false">IF(ISBLANK($C84),"",IF($AB84=Constants!$B$2,TRUE(),IF($AB84=Constants!$B$3,FALSE(),TRUE())))</f>
        <v/>
      </c>
      <c r="BH84" s="100" t="str">
        <f aca="false">IF(ISBLANK($C84),"",IF($AC84=Constants!$B$2,TRUE(),IF($AC84=Constants!$B$3,FALSE(),TRUE())))</f>
        <v/>
      </c>
      <c r="BI84" s="100" t="str">
        <f aca="false">IF(ISBLANK($C84),"",IF($AD84=Constants!$B$2,TRUE(),IF($AD84=Constants!$B$3,FALSE(),TRUE())))</f>
        <v/>
      </c>
      <c r="BJ84" s="100" t="str">
        <f aca="false">IF(ISBLANK($C84),"",IF(ISNUMBER($AE84),IF($AE84&gt;=0,$AE84,""),""))</f>
        <v/>
      </c>
      <c r="BK84" s="100" t="str">
        <f aca="false">IF(ISBLANK($C84),"",IF($AF84=Constants!$B$2,TRUE(),IF($AF84=Constants!$B$3,FALSE(),FALSE())))</f>
        <v/>
      </c>
      <c r="BL84" s="99" t="str">
        <f aca="false">IF(ISBLANK($C84),"",IF($BK84,Constants!$B$7,IF(COUNTA($E84:$AE84)=0,Constants!$B$6,IF(OR(COUNTA($G84:$AE84)=0,NOT($AM84),$AS84),Constants!$B$5,IF(OR($CM84&lt;&gt;"",$CN84,$CO84,$CP84,$CQ84,$CR84,$CS84),Constants!$B$8,Constants!$B$4)))))</f>
        <v/>
      </c>
      <c r="BM84" s="100" t="str">
        <f aca="false">IF(ISBLANK($C84),"",IF($BL84&lt;&gt;Constants!$B$4,$BL84,IF(OR(NOT($AJ84),NOT($AL84),NOT($AT84)),Constants!$B$11,IF(OR(NOT($AR84),NOT($AU84),NOT($BI84),MAX($AN84,$AO84,$AP84)&gt;Constants!$B$30),Constants!$B$10,Constants!$B$9))))</f>
        <v/>
      </c>
      <c r="BN84" s="100" t="str">
        <f aca="false">IF($BL84&lt;&gt;Constants!$B$4,"",IF(NOT($AL84),0,MIN(Constants!$B$35,$BF84)))</f>
        <v/>
      </c>
      <c r="BO84" s="100" t="str">
        <f aca="false">IF($BL84&lt;&gt;Constants!$B$4,"",IF(NOT($AL84),0,IF($AW84,Constants!$B$18,IF($AV84,Constants!$B$17,0))))</f>
        <v/>
      </c>
      <c r="BP84" s="100" t="str">
        <f aca="false">IF($BL84&lt;&gt;Constants!$B$4,"",IF(NOT($AL84),0,Constants!$B$19*($AK84+$AX84+$AY84+$AZ84)))</f>
        <v/>
      </c>
      <c r="BQ84" s="100" t="str">
        <f aca="false">IF($BL84&lt;&gt;Constants!$B$4,"",IF(OR(NOT($AL84),NOT(ISNUMBER($BA84))),0,CHOOSE($BA84,Constants!$B$13,Constants!$B$14,Constants!$B$15,Constants!$B$16)))</f>
        <v/>
      </c>
      <c r="BR84" s="100" t="str">
        <f aca="false">IF($BL84&lt;&gt;Constants!$B$4,"",IF(NOT($AL84),0,Constants!$B$20*$BB84))</f>
        <v/>
      </c>
      <c r="BS84" s="100" t="str">
        <f aca="false">IF($BL84&lt;&gt;Constants!$B$4,"",IF(AND($AL84,$BD84,$BE84),Constants!$B$22,0))</f>
        <v/>
      </c>
      <c r="BT84" s="100" t="str">
        <f aca="false">IF($BL84&lt;&gt;Constants!$B$4,"",IF(OR(NOT($AL84),NOT($BD84)),0,IF($BJ84&gt;=2*$AH$9,0,Constants!$B$23*INT(ROUND(MIN($BJ84,$AH$9),6)))))</f>
        <v/>
      </c>
      <c r="BU84" s="100" t="str">
        <f aca="false">IF($BL84&lt;&gt;Constants!$B$4,"",IF(NOT($AL84),0,Constants!$B$24*INT(ROUND(MIN($BC84,$AH$9),6))))</f>
        <v/>
      </c>
      <c r="BV84" s="100" t="str">
        <f aca="false">IF($BL84&lt;&gt;Constants!$B$4,"",IF(AND($AL84,$BN84=0),Constants!$B$25,0))</f>
        <v/>
      </c>
      <c r="BW84" s="100" t="str">
        <f aca="false">IF($BL84&lt;&gt;Constants!$B$4,"",MIN(Constants!$B$29,MAX(0,Constants!$B$27*Constants!$B$28*INT(ROUND((Constants!$B$26-$AN84)/Constants!$B$28,6))))+MIN(Constants!$B$29,MAX(0,Constants!$B$27*Constants!$B$28*INT(ROUND((Constants!$B$26-$AO84)/Constants!$B$28,6))))+MIN(Constants!$B$29,MAX(0,Constants!$B$27*Constants!$B$28*INT(ROUND((Constants!$B$26-$AP84)/Constants!$B$28,6)))))</f>
        <v/>
      </c>
      <c r="BX84" s="100" t="str">
        <f aca="false">IF($BL84&lt;&gt;Constants!$B$4,"",IF(NOT($AL84),0,Constants!$B$31*INT(ROUND(MAX(0,MIN($BJ84,2*$AH$9)-$AH$9),6))))</f>
        <v/>
      </c>
      <c r="BY84" s="100" t="str">
        <f aca="false">IF($BL84&lt;&gt;Constants!$B$4,"",Constants!$B$32*(($AN84&gt;Constants!$B$26)+($AO84&gt;Constants!$B$26)+($AP84&gt;Constants!$B$26)))</f>
        <v/>
      </c>
      <c r="BZ84" s="100" t="str">
        <f aca="false">IF($BL84&lt;&gt;Constants!$B$4,"",IF(OR(NOT($AL84),$AQ84),0,Constants!$B$33))</f>
        <v/>
      </c>
      <c r="CA84" s="100" t="str">
        <f aca="false">IF($BL84&lt;&gt;Constants!$B$4,"",Constants!$B$34*$BN84)</f>
        <v/>
      </c>
      <c r="CB84" s="100" t="str">
        <f aca="false">IF($BL84&lt;&gt;Constants!$B$4,"",IF(OR(NOT($AL84),$BH84),0,Constants!$B$36))</f>
        <v/>
      </c>
      <c r="CC84" s="100" t="str">
        <f aca="false">IF($BL84&lt;&gt;Constants!$B$4,"",IF(OR(NOT($AL84),$BG84),0,Constants!$B$37))</f>
        <v/>
      </c>
      <c r="CD84" s="100" t="str">
        <f aca="false">IF($BL84&lt;&gt;Constants!$B$4,"",SUM($BX84:$CC84))</f>
        <v/>
      </c>
      <c r="CE84" s="100" t="str">
        <f aca="false">IF(ISBLANK($C84),"",IF($BL84&lt;&gt;Constants!$B$4,$BL84,SUM($BO84:$BW84)-$CD84))</f>
        <v/>
      </c>
      <c r="CF84" s="100" t="str">
        <f aca="false">IF(ISBLANK($C84),"",IF($BL84&lt;&gt;Constants!$B$4,$BL84,RANK($CE84,$CE$9:$CE$508)))</f>
        <v/>
      </c>
      <c r="CG84" s="100" t="str">
        <f aca="false">IF(ISBLANK($C84),"",IF($BL84&lt;&gt;Constants!$B$4,$BL84,COUNTIFS($BM$9:$BM$508,"&lt;"&amp;$BM84)+COUNTIFS($BM$9:$BM$508,$BM84,$CF$9:$CF$508,"&lt;"&amp;$CF84)+1))</f>
        <v/>
      </c>
      <c r="CH84" s="100" t="str">
        <f aca="false">IF(ISBLANK($C84),"",IF($BL84&lt;&gt;Constants!$B$4,$BL84,RANK($CD84,$CD$9:$CD$508,1)))</f>
        <v/>
      </c>
      <c r="CI84" s="100" t="str">
        <f aca="false">IF($BL84&lt;&gt;Constants!$B$4,"",$AN84+$AO84+$AP84)</f>
        <v/>
      </c>
      <c r="CJ84" s="100" t="str">
        <f aca="false">IF(ISBLANK($C84),"",IF($BL84&lt;&gt;Constants!$B$4,$BL84,RANK($CI84,$CI$9:$CI$508,1)))</f>
        <v/>
      </c>
      <c r="CK84" s="100" t="str">
        <f aca="false">IF(ISBLANK($C84),"",IF($BL84&lt;&gt;Constants!$B$4,$BL84,COUNTIFS($BM$9:$BM$508,"&lt;"&amp;$BM84)+COUNTIFS($BM$9:$BM$508,$BM84,$CF$9:$CF$508,"&lt;"&amp;$CF84)+COUNTIFS($BM$9:$BM$508,$BM84,$CF$9:$CF$508,$CF84,$CH$9:$CH$508,"&lt;"&amp;$CH84)+COUNTIFS($BM$9:$BM$508,$BM84,$CF$9:$CF$508,$CF84,$CH$9:$CH$508,$CH84,$CJ$9:$CJ$508,"&lt;"&amp;$CJ84)+1))</f>
        <v/>
      </c>
      <c r="CL84" s="100" t="str">
        <f aca="false">IF(ISBLANK($C84),"",IF($BL84&lt;&gt;Constants!$B$4,$BL84,$CG84-$CK84))</f>
        <v/>
      </c>
      <c r="CM84" s="100" t="str">
        <f aca="false">IF(ISBLANK($C84),"",IF(NOT($AL84),"",IF(ISBLANK($D$7),$CM$5,IF(NOT(ISNUMBER($D$7)),$CM$6,""))))</f>
        <v/>
      </c>
      <c r="CN84" s="100" t="str">
        <f aca="false">IF(ISBLANK($C84),"",OR($AN84="",$AO84="",$AP84=""))</f>
        <v/>
      </c>
      <c r="CO84" s="100" t="str">
        <f aca="false">IF(ISBLANK($C84),"",AND($AL84,$BA84=""))</f>
        <v/>
      </c>
      <c r="CP84" s="100" t="str">
        <f aca="false">IF(ISBLANK($C84),"",AND($AL84,$BB84=""))</f>
        <v/>
      </c>
      <c r="CQ84" s="100" t="str">
        <f aca="false">IF(ISBLANK($C84),"",AND($AL84,$BC84=""))</f>
        <v/>
      </c>
      <c r="CR84" s="100" t="str">
        <f aca="false">IF(ISBLANK($C84),"",AND($AL84,$BF84=""))</f>
        <v/>
      </c>
      <c r="CS84" s="100" t="str">
        <f aca="false">IF(ISBLANK($C84),"",AND($AL84,$BJ84=""))</f>
        <v/>
      </c>
      <c r="CT84" s="101"/>
      <c r="CU84" s="102"/>
      <c r="CV84" s="103" t="str">
        <f aca="false">IF(ISBLANK($C84),"",IF($BL84=Constants!$B$8,$CM84,""))</f>
        <v/>
      </c>
      <c r="CW84" s="102" t="str">
        <f aca="false">IF(ISBLANK($C84),"",IF($BL84&lt;&gt;Constants!$B$4,"",$BO84+$BP84))</f>
        <v/>
      </c>
      <c r="CX84" s="104" t="str">
        <f aca="false">IF(ISBLANK($C84),"",IF($BL84&lt;&gt;Constants!$B$4,"",$BQ84+$BR84+$BS84))</f>
        <v/>
      </c>
      <c r="CY84" s="104" t="str">
        <f aca="false">IF(ISBLANK($C84),"",IF($BL84&lt;&gt;Constants!$B$4,"",$BT84))</f>
        <v/>
      </c>
      <c r="CZ84" s="104" t="str">
        <f aca="false">IF(ISBLANK($C84),"",IF($BL84&lt;&gt;Constants!$B$4,"",$BU84+$BV84))</f>
        <v/>
      </c>
      <c r="DA84" s="104" t="str">
        <f aca="false">IF(ISBLANK($C84),"",IF($BL84&lt;&gt;Constants!$B$4,"",$BW84))</f>
        <v/>
      </c>
      <c r="DB84" s="104" t="str">
        <f aca="false">IF(ISBLANK($C84),"",IF($BL84&lt;&gt;Constants!$B$4,"",-$CD84))</f>
        <v/>
      </c>
      <c r="DC84" s="103" t="str">
        <f aca="false">IF(ISBLANK($C84),"",$CE84)</f>
        <v/>
      </c>
      <c r="DD84" s="105" t="str">
        <f aca="false">IF(ISBLANK($C84),"",$BM84)</f>
        <v/>
      </c>
      <c r="DE84" s="104" t="str">
        <f aca="false">IF(ISBLANK($C84),"",$CL84)</f>
        <v/>
      </c>
      <c r="DF84" s="104" t="str">
        <f aca="false">IF(ISBLANK($C84),"",$CK84)</f>
        <v/>
      </c>
      <c r="DG84" s="106" t="str">
        <f aca="false">IF(ISBLANK($C84),"",IF($DF84=Constants!$B$7,COUNTA($C$9:$C$508)+2,IF($DF84=Constants!$B$6,COUNTA($C$9:$C$508)+1,IF($DF84=Constants!$B$5,COUNTA($C$9:$C$508),$DF84))))</f>
        <v/>
      </c>
      <c r="DH84" s="7"/>
      <c r="DI84" s="107" t="n">
        <f aca="false">IF(OR(ISNUMBER($DF84),$DF84=Constants!$B$7,$DF84=Constants!$B$5,$DF84=Constants!$B$6),1,0)</f>
        <v>0</v>
      </c>
      <c r="DJ84" s="107" t="n">
        <v>76</v>
      </c>
      <c r="DK84" s="107" t="str">
        <f aca="false">IF(ISBLANK($C84),"",IF(ISNUMBER($DG84),$DG84+ROW($B84)/1000,""))</f>
        <v/>
      </c>
      <c r="DL84" s="107" t="str">
        <f aca="false">IF(ISNUMBER($DK84),RANK($DK84,$DK$9:$DK$508,1),"")</f>
        <v/>
      </c>
      <c r="DM84" s="107" t="str">
        <f aca="false">IF(ISBLANK($C84),"",$B84)</f>
        <v/>
      </c>
      <c r="DN84" s="107" t="str">
        <f aca="false">IF(ISBLANK($C84),"",$C84)</f>
        <v/>
      </c>
      <c r="DO84" s="107" t="str">
        <f aca="false">IF(ISBLANK($C84),"",$D84)</f>
        <v/>
      </c>
      <c r="DP84" s="108" t="str">
        <f aca="false">$DD84</f>
        <v/>
      </c>
      <c r="DQ84" s="109" t="str">
        <f aca="false">$DC84</f>
        <v/>
      </c>
      <c r="DR84" s="107" t="str">
        <f aca="false">IF(ISBLANK($C84),"",$DF84)</f>
        <v/>
      </c>
      <c r="DS84" s="110" t="str">
        <f aca="false">IF($DJ84&gt;$DI$8,"",VLOOKUP($DJ84,$DL$9:$DR$508,7,FALSE()))</f>
        <v/>
      </c>
      <c r="DT84" s="111" t="str">
        <f aca="false">IF($DJ84&gt;$DI$8,"",VLOOKUP($DJ84,$DL$9:$DR$508,2,FALSE()))</f>
        <v/>
      </c>
      <c r="DU84" s="111" t="str">
        <f aca="false">IF($DJ84&gt;$DI$8,"",VLOOKUP($DJ84,$DL$9:$DR$508,3,FALSE()))</f>
        <v/>
      </c>
      <c r="DV84" s="111" t="str">
        <f aca="false">IF($DJ84&gt;$DI$8,"",VLOOKUP($DJ84,$DL$9:$DR$508,4,FALSE()))</f>
        <v/>
      </c>
      <c r="DW84" s="111" t="str">
        <f aca="false">IF($DJ84&gt;$DI$8,"",VLOOKUP($DJ84,$DL$9:$DR$508,5,FALSE()))</f>
        <v/>
      </c>
      <c r="DX84" s="112" t="str">
        <f aca="false">IF($DJ84&gt;$DI$8,"",VLOOKUP($DJ84,$DL$9:$DR$508,6,FALSE()))</f>
        <v/>
      </c>
      <c r="DY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130"/>
      <c r="N85" s="130"/>
      <c r="O85" s="135"/>
      <c r="P85" s="135"/>
      <c r="Q85" s="130"/>
      <c r="R85" s="130"/>
      <c r="S85" s="130"/>
      <c r="T85" s="130"/>
      <c r="U85" s="135"/>
      <c r="V85" s="130"/>
      <c r="W85" s="96"/>
      <c r="X85" s="130"/>
      <c r="Y85" s="130"/>
      <c r="Z85" s="96"/>
      <c r="AA85" s="96"/>
      <c r="AB85" s="130"/>
      <c r="AC85" s="130"/>
      <c r="AD85" s="130"/>
      <c r="AE85" s="97"/>
      <c r="AF85" s="130"/>
      <c r="AG85" s="99"/>
      <c r="AH85" s="100"/>
      <c r="AI85" s="100"/>
      <c r="AJ85" s="100" t="str">
        <f aca="false">IF(ISBLANK($C85),"",IF($E85=Constants!$B$2,TRUE(),IF($E85=Constants!$B$3,FALSE(),TRUE())))</f>
        <v/>
      </c>
      <c r="AK85" s="100" t="str">
        <f aca="false">IF(ISBLANK($C85),"",IF($F85=Constants!$B$2,TRUE(),IF($F85=Constants!$B$3,FALSE(),FALSE())))</f>
        <v/>
      </c>
      <c r="AL85" s="100" t="str">
        <f aca="false">IF(ISBLANK($C85),"",IF($G85=Constants!$B$2,TRUE(),IF($G85=Constants!$B$3,FALSE(),TRUE())))</f>
        <v/>
      </c>
      <c r="AM85" s="100" t="str">
        <f aca="false">IF(ISBLANK($C85),"",IF($H85=Constants!$B$2,TRUE(),IF($H85=Constants!$B$3,FALSE(),TRUE())))</f>
        <v/>
      </c>
      <c r="AN85" s="100" t="str">
        <f aca="false">IF(ISBLANK($C85),"",IF(ISNUMBER($I85),IF($I85&gt;=0,$I85,""),""))</f>
        <v/>
      </c>
      <c r="AO85" s="100" t="str">
        <f aca="false">IF(ISBLANK($C85),"",IF(ISNUMBER($J85),IF($J85&gt;=0,$J85,""),""))</f>
        <v/>
      </c>
      <c r="AP85" s="100" t="str">
        <f aca="false">IF(ISBLANK($C85),"",IF(ISNUMBER($K85),IF($K85&gt;=0,$K85,""),""))</f>
        <v/>
      </c>
      <c r="AQ85" s="100" t="str">
        <f aca="false">IF(ISBLANK($C85),"",IF($L85=Constants!$B$2,TRUE(),IF($L85=Constants!$B$3,FALSE(),TRUE())))</f>
        <v/>
      </c>
      <c r="AR85" s="100" t="str">
        <f aca="false">IF(ISBLANK($C85),"",IF($M85=Constants!$B$2,TRUE(),IF($M85=Constants!$B$3,FALSE(),TRUE())))</f>
        <v/>
      </c>
      <c r="AS85" s="100" t="str">
        <f aca="false">IF(ISBLANK($C85),"",IF($N85=Constants!$B$2,TRUE(),IF($N85=Constants!$B$3,FALSE(),FALSE())))</f>
        <v/>
      </c>
      <c r="AT85" s="100" t="str">
        <f aca="false">IF(ISBLANK($C85),"",IF($O85=Constants!$B$2,TRUE(),IF($O85=Constants!$B$3,FALSE(),TRUE())))</f>
        <v/>
      </c>
      <c r="AU85" s="100" t="str">
        <f aca="false">IF(ISBLANK($C85),"",IF($P85=Constants!$B$2,TRUE(),IF($P85=Constants!$B$3,FALSE(),TRUE())))</f>
        <v/>
      </c>
      <c r="AV85" s="100" t="str">
        <f aca="false">IF(ISBLANK($C85),"",IF($Q85=Constants!$B$2,TRUE(),IF($Q85=Constants!$B$3,FALSE(),FALSE())))</f>
        <v/>
      </c>
      <c r="AW85" s="100" t="str">
        <f aca="false">IF(ISBLANK($C85),"",IF($R85=Constants!$B$2,TRUE(),IF($R85=Constants!$B$3,FALSE(),FALSE())))</f>
        <v/>
      </c>
      <c r="AX85" s="100" t="str">
        <f aca="false">IF(ISBLANK($C85),"",IF($S85=Constants!$B$2,TRUE(),IF($S85=Constants!$B$3,FALSE(),FALSE())))</f>
        <v/>
      </c>
      <c r="AY85" s="100" t="str">
        <f aca="false">IF(ISBLANK($C85),"",IF($T85=Constants!$B$2,TRUE(),IF($T85=Constants!$B$3,FALSE(),FALSE())))</f>
        <v/>
      </c>
      <c r="AZ85" s="100" t="str">
        <f aca="false">IF(ISBLANK($C85),"",IF($U85=Constants!$B$2,TRUE(),IF($U85=Constants!$B$3,FALSE(),FALSE())))</f>
        <v/>
      </c>
      <c r="BA85" s="100" t="str">
        <f aca="false">IF(ISBLANK($C85),"",IF(OR($V85&amp;""="1",$V85&amp;""="2",$V85&amp;""="3",$V85&amp;""="4"),VALUE($V85&amp;""),IF($V85=Constants!$B$12,Constants!$B$12,"")))</f>
        <v/>
      </c>
      <c r="BB85" s="100" t="str">
        <f aca="false">IF(ISBLANK($C85),"",IF(ISBLANK($W85),0,IF(ISNUMBER($W85),IF(AND($W85&gt;=0,$W85&lt;=Constants!$B$21,$W85=INT($W85)),$W85,""),"")))</f>
        <v/>
      </c>
      <c r="BC85" s="100" t="str">
        <f aca="false">IF(ISBLANK($C85),"",IF(ISBLANK($X85),0,IF(ISNUMBER($X85),IF($X85&gt;=0,$X85,""),"")))</f>
        <v/>
      </c>
      <c r="BD85" s="100" t="str">
        <f aca="false">IF(ISBLANK($C85),"",IF($Y85=Constants!$B$2,TRUE(),IF($Y85=Constants!$B$3,FALSE(),TRUE())))</f>
        <v/>
      </c>
      <c r="BE85" s="100" t="str">
        <f aca="false">IF(ISBLANK($C85),"",IF($Z85=Constants!$B$2,TRUE(),IF($Z85=Constants!$B$3,FALSE(),FALSE())))</f>
        <v/>
      </c>
      <c r="BF85" s="100" t="str">
        <f aca="false">IF(ISBLANK($C85),"",IF(ISBLANK($AA85),0,IF(ISNUMBER($AA85),IF(AND($AA85&gt;=0,$AA85&lt;=Constants!$B$35,$AA85=INT($AA85)),$AA85,""),"")))</f>
        <v/>
      </c>
      <c r="BG85" s="100" t="str">
        <f aca="false">IF(ISBLANK($C85),"",IF($AB85=Constants!$B$2,TRUE(),IF($AB85=Constants!$B$3,FALSE(),TRUE())))</f>
        <v/>
      </c>
      <c r="BH85" s="100" t="str">
        <f aca="false">IF(ISBLANK($C85),"",IF($AC85=Constants!$B$2,TRUE(),IF($AC85=Constants!$B$3,FALSE(),TRUE())))</f>
        <v/>
      </c>
      <c r="BI85" s="100" t="str">
        <f aca="false">IF(ISBLANK($C85),"",IF($AD85=Constants!$B$2,TRUE(),IF($AD85=Constants!$B$3,FALSE(),TRUE())))</f>
        <v/>
      </c>
      <c r="BJ85" s="100" t="str">
        <f aca="false">IF(ISBLANK($C85),"",IF(ISNUMBER($AE85),IF($AE85&gt;=0,$AE85,""),""))</f>
        <v/>
      </c>
      <c r="BK85" s="100" t="str">
        <f aca="false">IF(ISBLANK($C85),"",IF($AF85=Constants!$B$2,TRUE(),IF($AF85=Constants!$B$3,FALSE(),FALSE())))</f>
        <v/>
      </c>
      <c r="BL85" s="99" t="str">
        <f aca="false">IF(ISBLANK($C85),"",IF($BK85,Constants!$B$7,IF(COUNTA($E85:$AE85)=0,Constants!$B$6,IF(OR(COUNTA($G85:$AE85)=0,NOT($AM85),$AS85),Constants!$B$5,IF(OR($CM85&lt;&gt;"",$CN85,$CO85,$CP85,$CQ85,$CR85,$CS85),Constants!$B$8,Constants!$B$4)))))</f>
        <v/>
      </c>
      <c r="BM85" s="100" t="str">
        <f aca="false">IF(ISBLANK($C85),"",IF($BL85&lt;&gt;Constants!$B$4,$BL85,IF(OR(NOT($AJ85),NOT($AL85),NOT($AT85)),Constants!$B$11,IF(OR(NOT($AR85),NOT($AU85),NOT($BI85),MAX($AN85,$AO85,$AP85)&gt;Constants!$B$30),Constants!$B$10,Constants!$B$9))))</f>
        <v/>
      </c>
      <c r="BN85" s="100" t="str">
        <f aca="false">IF($BL85&lt;&gt;Constants!$B$4,"",IF(NOT($AL85),0,MIN(Constants!$B$35,$BF85)))</f>
        <v/>
      </c>
      <c r="BO85" s="100" t="str">
        <f aca="false">IF($BL85&lt;&gt;Constants!$B$4,"",IF(NOT($AL85),0,IF($AW85,Constants!$B$18,IF($AV85,Constants!$B$17,0))))</f>
        <v/>
      </c>
      <c r="BP85" s="100" t="str">
        <f aca="false">IF($BL85&lt;&gt;Constants!$B$4,"",IF(NOT($AL85),0,Constants!$B$19*($AK85+$AX85+$AY85+$AZ85)))</f>
        <v/>
      </c>
      <c r="BQ85" s="100" t="str">
        <f aca="false">IF($BL85&lt;&gt;Constants!$B$4,"",IF(OR(NOT($AL85),NOT(ISNUMBER($BA85))),0,CHOOSE($BA85,Constants!$B$13,Constants!$B$14,Constants!$B$15,Constants!$B$16)))</f>
        <v/>
      </c>
      <c r="BR85" s="100" t="str">
        <f aca="false">IF($BL85&lt;&gt;Constants!$B$4,"",IF(NOT($AL85),0,Constants!$B$20*$BB85))</f>
        <v/>
      </c>
      <c r="BS85" s="100" t="str">
        <f aca="false">IF($BL85&lt;&gt;Constants!$B$4,"",IF(AND($AL85,$BD85,$BE85),Constants!$B$22,0))</f>
        <v/>
      </c>
      <c r="BT85" s="100" t="str">
        <f aca="false">IF($BL85&lt;&gt;Constants!$B$4,"",IF(OR(NOT($AL85),NOT($BD85)),0,IF($BJ85&gt;=2*$AH$9,0,Constants!$B$23*INT(ROUND(MIN($BJ85,$AH$9),6)))))</f>
        <v/>
      </c>
      <c r="BU85" s="100" t="str">
        <f aca="false">IF($BL85&lt;&gt;Constants!$B$4,"",IF(NOT($AL85),0,Constants!$B$24*INT(ROUND(MIN($BC85,$AH$9),6))))</f>
        <v/>
      </c>
      <c r="BV85" s="100" t="str">
        <f aca="false">IF($BL85&lt;&gt;Constants!$B$4,"",IF(AND($AL85,$BN85=0),Constants!$B$25,0))</f>
        <v/>
      </c>
      <c r="BW85" s="100" t="str">
        <f aca="false">IF($BL85&lt;&gt;Constants!$B$4,"",MIN(Constants!$B$29,MAX(0,Constants!$B$27*Constants!$B$28*INT(ROUND((Constants!$B$26-$AN85)/Constants!$B$28,6))))+MIN(Constants!$B$29,MAX(0,Constants!$B$27*Constants!$B$28*INT(ROUND((Constants!$B$26-$AO85)/Constants!$B$28,6))))+MIN(Constants!$B$29,MAX(0,Constants!$B$27*Constants!$B$28*INT(ROUND((Constants!$B$26-$AP85)/Constants!$B$28,6)))))</f>
        <v/>
      </c>
      <c r="BX85" s="100" t="str">
        <f aca="false">IF($BL85&lt;&gt;Constants!$B$4,"",IF(NOT($AL85),0,Constants!$B$31*INT(ROUND(MAX(0,MIN($BJ85,2*$AH$9)-$AH$9),6))))</f>
        <v/>
      </c>
      <c r="BY85" s="100" t="str">
        <f aca="false">IF($BL85&lt;&gt;Constants!$B$4,"",Constants!$B$32*(($AN85&gt;Constants!$B$26)+($AO85&gt;Constants!$B$26)+($AP85&gt;Constants!$B$26)))</f>
        <v/>
      </c>
      <c r="BZ85" s="100" t="str">
        <f aca="false">IF($BL85&lt;&gt;Constants!$B$4,"",IF(OR(NOT($AL85),$AQ85),0,Constants!$B$33))</f>
        <v/>
      </c>
      <c r="CA85" s="100" t="str">
        <f aca="false">IF($BL85&lt;&gt;Constants!$B$4,"",Constants!$B$34*$BN85)</f>
        <v/>
      </c>
      <c r="CB85" s="100" t="str">
        <f aca="false">IF($BL85&lt;&gt;Constants!$B$4,"",IF(OR(NOT($AL85),$BH85),0,Constants!$B$36))</f>
        <v/>
      </c>
      <c r="CC85" s="100" t="str">
        <f aca="false">IF($BL85&lt;&gt;Constants!$B$4,"",IF(OR(NOT($AL85),$BG85),0,Constants!$B$37))</f>
        <v/>
      </c>
      <c r="CD85" s="100" t="str">
        <f aca="false">IF($BL85&lt;&gt;Constants!$B$4,"",SUM($BX85:$CC85))</f>
        <v/>
      </c>
      <c r="CE85" s="100" t="str">
        <f aca="false">IF(ISBLANK($C85),"",IF($BL85&lt;&gt;Constants!$B$4,$BL85,SUM($BO85:$BW85)-$CD85))</f>
        <v/>
      </c>
      <c r="CF85" s="100" t="str">
        <f aca="false">IF(ISBLANK($C85),"",IF($BL85&lt;&gt;Constants!$B$4,$BL85,RANK($CE85,$CE$9:$CE$508)))</f>
        <v/>
      </c>
      <c r="CG85" s="100" t="str">
        <f aca="false">IF(ISBLANK($C85),"",IF($BL85&lt;&gt;Constants!$B$4,$BL85,COUNTIFS($BM$9:$BM$508,"&lt;"&amp;$BM85)+COUNTIFS($BM$9:$BM$508,$BM85,$CF$9:$CF$508,"&lt;"&amp;$CF85)+1))</f>
        <v/>
      </c>
      <c r="CH85" s="100" t="str">
        <f aca="false">IF(ISBLANK($C85),"",IF($BL85&lt;&gt;Constants!$B$4,$BL85,RANK($CD85,$CD$9:$CD$508,1)))</f>
        <v/>
      </c>
      <c r="CI85" s="100" t="str">
        <f aca="false">IF($BL85&lt;&gt;Constants!$B$4,"",$AN85+$AO85+$AP85)</f>
        <v/>
      </c>
      <c r="CJ85" s="100" t="str">
        <f aca="false">IF(ISBLANK($C85),"",IF($BL85&lt;&gt;Constants!$B$4,$BL85,RANK($CI85,$CI$9:$CI$508,1)))</f>
        <v/>
      </c>
      <c r="CK85" s="100" t="str">
        <f aca="false">IF(ISBLANK($C85),"",IF($BL85&lt;&gt;Constants!$B$4,$BL85,COUNTIFS($BM$9:$BM$508,"&lt;"&amp;$BM85)+COUNTIFS($BM$9:$BM$508,$BM85,$CF$9:$CF$508,"&lt;"&amp;$CF85)+COUNTIFS($BM$9:$BM$508,$BM85,$CF$9:$CF$508,$CF85,$CH$9:$CH$508,"&lt;"&amp;$CH85)+COUNTIFS($BM$9:$BM$508,$BM85,$CF$9:$CF$508,$CF85,$CH$9:$CH$508,$CH85,$CJ$9:$CJ$508,"&lt;"&amp;$CJ85)+1))</f>
        <v/>
      </c>
      <c r="CL85" s="100" t="str">
        <f aca="false">IF(ISBLANK($C85),"",IF($BL85&lt;&gt;Constants!$B$4,$BL85,$CG85-$CK85))</f>
        <v/>
      </c>
      <c r="CM85" s="100" t="str">
        <f aca="false">IF(ISBLANK($C85),"",IF(NOT($AL85),"",IF(ISBLANK($D$7),$CM$5,IF(NOT(ISNUMBER($D$7)),$CM$6,""))))</f>
        <v/>
      </c>
      <c r="CN85" s="100" t="str">
        <f aca="false">IF(ISBLANK($C85),"",OR($AN85="",$AO85="",$AP85=""))</f>
        <v/>
      </c>
      <c r="CO85" s="100" t="str">
        <f aca="false">IF(ISBLANK($C85),"",AND($AL85,$BA85=""))</f>
        <v/>
      </c>
      <c r="CP85" s="100" t="str">
        <f aca="false">IF(ISBLANK($C85),"",AND($AL85,$BB85=""))</f>
        <v/>
      </c>
      <c r="CQ85" s="100" t="str">
        <f aca="false">IF(ISBLANK($C85),"",AND($AL85,$BC85=""))</f>
        <v/>
      </c>
      <c r="CR85" s="100" t="str">
        <f aca="false">IF(ISBLANK($C85),"",AND($AL85,$BF85=""))</f>
        <v/>
      </c>
      <c r="CS85" s="100" t="str">
        <f aca="false">IF(ISBLANK($C85),"",AND($AL85,$BJ85=""))</f>
        <v/>
      </c>
      <c r="CT85" s="101"/>
      <c r="CU85" s="102"/>
      <c r="CV85" s="103" t="str">
        <f aca="false">IF(ISBLANK($C85),"",IF($BL85=Constants!$B$8,$CM85,""))</f>
        <v/>
      </c>
      <c r="CW85" s="102" t="str">
        <f aca="false">IF(ISBLANK($C85),"",IF($BL85&lt;&gt;Constants!$B$4,"",$BO85+$BP85))</f>
        <v/>
      </c>
      <c r="CX85" s="104" t="str">
        <f aca="false">IF(ISBLANK($C85),"",IF($BL85&lt;&gt;Constants!$B$4,"",$BQ85+$BR85+$BS85))</f>
        <v/>
      </c>
      <c r="CY85" s="104" t="str">
        <f aca="false">IF(ISBLANK($C85),"",IF($BL85&lt;&gt;Constants!$B$4,"",$BT85))</f>
        <v/>
      </c>
      <c r="CZ85" s="104" t="str">
        <f aca="false">IF(ISBLANK($C85),"",IF($BL85&lt;&gt;Constants!$B$4,"",$BU85+$BV85))</f>
        <v/>
      </c>
      <c r="DA85" s="104" t="str">
        <f aca="false">IF(ISBLANK($C85),"",IF($BL85&lt;&gt;Constants!$B$4,"",$BW85))</f>
        <v/>
      </c>
      <c r="DB85" s="104" t="str">
        <f aca="false">IF(ISBLANK($C85),"",IF($BL85&lt;&gt;Constants!$B$4,"",-$CD85))</f>
        <v/>
      </c>
      <c r="DC85" s="103" t="str">
        <f aca="false">IF(ISBLANK($C85),"",$CE85)</f>
        <v/>
      </c>
      <c r="DD85" s="105" t="str">
        <f aca="false">IF(ISBLANK($C85),"",$BM85)</f>
        <v/>
      </c>
      <c r="DE85" s="104" t="str">
        <f aca="false">IF(ISBLANK($C85),"",$CL85)</f>
        <v/>
      </c>
      <c r="DF85" s="104" t="str">
        <f aca="false">IF(ISBLANK($C85),"",$CK85)</f>
        <v/>
      </c>
      <c r="DG85" s="106" t="str">
        <f aca="false">IF(ISBLANK($C85),"",IF($DF85=Constants!$B$7,COUNTA($C$9:$C$508)+2,IF($DF85=Constants!$B$6,COUNTA($C$9:$C$508)+1,IF($DF85=Constants!$B$5,COUNTA($C$9:$C$508),$DF85))))</f>
        <v/>
      </c>
      <c r="DH85" s="7"/>
      <c r="DI85" s="107" t="n">
        <f aca="false">IF(OR(ISNUMBER($DF85),$DF85=Constants!$B$7,$DF85=Constants!$B$5,$DF85=Constants!$B$6),1,0)</f>
        <v>0</v>
      </c>
      <c r="DJ85" s="107" t="n">
        <v>77</v>
      </c>
      <c r="DK85" s="107" t="str">
        <f aca="false">IF(ISBLANK($C85),"",IF(ISNUMBER($DG85),$DG85+ROW($B85)/1000,""))</f>
        <v/>
      </c>
      <c r="DL85" s="107" t="str">
        <f aca="false">IF(ISNUMBER($DK85),RANK($DK85,$DK$9:$DK$508,1),"")</f>
        <v/>
      </c>
      <c r="DM85" s="107" t="str">
        <f aca="false">IF(ISBLANK($C85),"",$B85)</f>
        <v/>
      </c>
      <c r="DN85" s="107" t="str">
        <f aca="false">IF(ISBLANK($C85),"",$C85)</f>
        <v/>
      </c>
      <c r="DO85" s="107" t="str">
        <f aca="false">IF(ISBLANK($C85),"",$D85)</f>
        <v/>
      </c>
      <c r="DP85" s="108" t="str">
        <f aca="false">$DD85</f>
        <v/>
      </c>
      <c r="DQ85" s="109" t="str">
        <f aca="false">$DC85</f>
        <v/>
      </c>
      <c r="DR85" s="107" t="str">
        <f aca="false">IF(ISBLANK($C85),"",$DF85)</f>
        <v/>
      </c>
      <c r="DS85" s="110" t="str">
        <f aca="false">IF($DJ85&gt;$DI$8,"",VLOOKUP($DJ85,$DL$9:$DR$508,7,FALSE()))</f>
        <v/>
      </c>
      <c r="DT85" s="111" t="str">
        <f aca="false">IF($DJ85&gt;$DI$8,"",VLOOKUP($DJ85,$DL$9:$DR$508,2,FALSE()))</f>
        <v/>
      </c>
      <c r="DU85" s="111" t="str">
        <f aca="false">IF($DJ85&gt;$DI$8,"",VLOOKUP($DJ85,$DL$9:$DR$508,3,FALSE()))</f>
        <v/>
      </c>
      <c r="DV85" s="111" t="str">
        <f aca="false">IF($DJ85&gt;$DI$8,"",VLOOKUP($DJ85,$DL$9:$DR$508,4,FALSE()))</f>
        <v/>
      </c>
      <c r="DW85" s="111" t="str">
        <f aca="false">IF($DJ85&gt;$DI$8,"",VLOOKUP($DJ85,$DL$9:$DR$508,5,FALSE()))</f>
        <v/>
      </c>
      <c r="DX85" s="112" t="str">
        <f aca="false">IF($DJ85&gt;$DI$8,"",VLOOKUP($DJ85,$DL$9:$DR$508,6,FALSE()))</f>
        <v/>
      </c>
      <c r="DY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16"/>
      <c r="N86" s="116"/>
      <c r="O86" s="113"/>
      <c r="P86" s="113"/>
      <c r="Q86" s="116"/>
      <c r="R86" s="116"/>
      <c r="S86" s="116"/>
      <c r="T86" s="116"/>
      <c r="U86" s="113"/>
      <c r="V86" s="116"/>
      <c r="W86" s="132"/>
      <c r="X86" s="116"/>
      <c r="Y86" s="116"/>
      <c r="Z86" s="132"/>
      <c r="AA86" s="132"/>
      <c r="AB86" s="116"/>
      <c r="AC86" s="116"/>
      <c r="AD86" s="116"/>
      <c r="AE86" s="133"/>
      <c r="AF86" s="116"/>
      <c r="AG86" s="99"/>
      <c r="AH86" s="100"/>
      <c r="AI86" s="100"/>
      <c r="AJ86" s="100" t="str">
        <f aca="false">IF(ISBLANK($C86),"",IF($E86=Constants!$B$2,TRUE(),IF($E86=Constants!$B$3,FALSE(),TRUE())))</f>
        <v/>
      </c>
      <c r="AK86" s="100" t="str">
        <f aca="false">IF(ISBLANK($C86),"",IF($F86=Constants!$B$2,TRUE(),IF($F86=Constants!$B$3,FALSE(),FALSE())))</f>
        <v/>
      </c>
      <c r="AL86" s="100" t="str">
        <f aca="false">IF(ISBLANK($C86),"",IF($G86=Constants!$B$2,TRUE(),IF($G86=Constants!$B$3,FALSE(),TRUE())))</f>
        <v/>
      </c>
      <c r="AM86" s="100" t="str">
        <f aca="false">IF(ISBLANK($C86),"",IF($H86=Constants!$B$2,TRUE(),IF($H86=Constants!$B$3,FALSE(),TRUE())))</f>
        <v/>
      </c>
      <c r="AN86" s="100" t="str">
        <f aca="false">IF(ISBLANK($C86),"",IF(ISNUMBER($I86),IF($I86&gt;=0,$I86,""),""))</f>
        <v/>
      </c>
      <c r="AO86" s="100" t="str">
        <f aca="false">IF(ISBLANK($C86),"",IF(ISNUMBER($J86),IF($J86&gt;=0,$J86,""),""))</f>
        <v/>
      </c>
      <c r="AP86" s="100" t="str">
        <f aca="false">IF(ISBLANK($C86),"",IF(ISNUMBER($K86),IF($K86&gt;=0,$K86,""),""))</f>
        <v/>
      </c>
      <c r="AQ86" s="100" t="str">
        <f aca="false">IF(ISBLANK($C86),"",IF($L86=Constants!$B$2,TRUE(),IF($L86=Constants!$B$3,FALSE(),TRUE())))</f>
        <v/>
      </c>
      <c r="AR86" s="100" t="str">
        <f aca="false">IF(ISBLANK($C86),"",IF($M86=Constants!$B$2,TRUE(),IF($M86=Constants!$B$3,FALSE(),TRUE())))</f>
        <v/>
      </c>
      <c r="AS86" s="100" t="str">
        <f aca="false">IF(ISBLANK($C86),"",IF($N86=Constants!$B$2,TRUE(),IF($N86=Constants!$B$3,FALSE(),FALSE())))</f>
        <v/>
      </c>
      <c r="AT86" s="100" t="str">
        <f aca="false">IF(ISBLANK($C86),"",IF($O86=Constants!$B$2,TRUE(),IF($O86=Constants!$B$3,FALSE(),TRUE())))</f>
        <v/>
      </c>
      <c r="AU86" s="100" t="str">
        <f aca="false">IF(ISBLANK($C86),"",IF($P86=Constants!$B$2,TRUE(),IF($P86=Constants!$B$3,FALSE(),TRUE())))</f>
        <v/>
      </c>
      <c r="AV86" s="100" t="str">
        <f aca="false">IF(ISBLANK($C86),"",IF($Q86=Constants!$B$2,TRUE(),IF($Q86=Constants!$B$3,FALSE(),FALSE())))</f>
        <v/>
      </c>
      <c r="AW86" s="100" t="str">
        <f aca="false">IF(ISBLANK($C86),"",IF($R86=Constants!$B$2,TRUE(),IF($R86=Constants!$B$3,FALSE(),FALSE())))</f>
        <v/>
      </c>
      <c r="AX86" s="100" t="str">
        <f aca="false">IF(ISBLANK($C86),"",IF($S86=Constants!$B$2,TRUE(),IF($S86=Constants!$B$3,FALSE(),FALSE())))</f>
        <v/>
      </c>
      <c r="AY86" s="100" t="str">
        <f aca="false">IF(ISBLANK($C86),"",IF($T86=Constants!$B$2,TRUE(),IF($T86=Constants!$B$3,FALSE(),FALSE())))</f>
        <v/>
      </c>
      <c r="AZ86" s="100" t="str">
        <f aca="false">IF(ISBLANK($C86),"",IF($U86=Constants!$B$2,TRUE(),IF($U86=Constants!$B$3,FALSE(),FALSE())))</f>
        <v/>
      </c>
      <c r="BA86" s="100" t="str">
        <f aca="false">IF(ISBLANK($C86),"",IF(OR($V86&amp;""="1",$V86&amp;""="2",$V86&amp;""="3",$V86&amp;""="4"),VALUE($V86&amp;""),IF($V86=Constants!$B$12,Constants!$B$12,"")))</f>
        <v/>
      </c>
      <c r="BB86" s="100" t="str">
        <f aca="false">IF(ISBLANK($C86),"",IF(ISBLANK($W86),0,IF(ISNUMBER($W86),IF(AND($W86&gt;=0,$W86&lt;=Constants!$B$21,$W86=INT($W86)),$W86,""),"")))</f>
        <v/>
      </c>
      <c r="BC86" s="100" t="str">
        <f aca="false">IF(ISBLANK($C86),"",IF(ISBLANK($X86),0,IF(ISNUMBER($X86),IF($X86&gt;=0,$X86,""),"")))</f>
        <v/>
      </c>
      <c r="BD86" s="100" t="str">
        <f aca="false">IF(ISBLANK($C86),"",IF($Y86=Constants!$B$2,TRUE(),IF($Y86=Constants!$B$3,FALSE(),TRUE())))</f>
        <v/>
      </c>
      <c r="BE86" s="100" t="str">
        <f aca="false">IF(ISBLANK($C86),"",IF($Z86=Constants!$B$2,TRUE(),IF($Z86=Constants!$B$3,FALSE(),FALSE())))</f>
        <v/>
      </c>
      <c r="BF86" s="100" t="str">
        <f aca="false">IF(ISBLANK($C86),"",IF(ISBLANK($AA86),0,IF(ISNUMBER($AA86),IF(AND($AA86&gt;=0,$AA86&lt;=Constants!$B$35,$AA86=INT($AA86)),$AA86,""),"")))</f>
        <v/>
      </c>
      <c r="BG86" s="100" t="str">
        <f aca="false">IF(ISBLANK($C86),"",IF($AB86=Constants!$B$2,TRUE(),IF($AB86=Constants!$B$3,FALSE(),TRUE())))</f>
        <v/>
      </c>
      <c r="BH86" s="100" t="str">
        <f aca="false">IF(ISBLANK($C86),"",IF($AC86=Constants!$B$2,TRUE(),IF($AC86=Constants!$B$3,FALSE(),TRUE())))</f>
        <v/>
      </c>
      <c r="BI86" s="100" t="str">
        <f aca="false">IF(ISBLANK($C86),"",IF($AD86=Constants!$B$2,TRUE(),IF($AD86=Constants!$B$3,FALSE(),TRUE())))</f>
        <v/>
      </c>
      <c r="BJ86" s="100" t="str">
        <f aca="false">IF(ISBLANK($C86),"",IF(ISNUMBER($AE86),IF($AE86&gt;=0,$AE86,""),""))</f>
        <v/>
      </c>
      <c r="BK86" s="100" t="str">
        <f aca="false">IF(ISBLANK($C86),"",IF($AF86=Constants!$B$2,TRUE(),IF($AF86=Constants!$B$3,FALSE(),FALSE())))</f>
        <v/>
      </c>
      <c r="BL86" s="99" t="str">
        <f aca="false">IF(ISBLANK($C86),"",IF($BK86,Constants!$B$7,IF(COUNTA($E86:$AE86)=0,Constants!$B$6,IF(OR(COUNTA($G86:$AE86)=0,NOT($AM86),$AS86),Constants!$B$5,IF(OR($CM86&lt;&gt;"",$CN86,$CO86,$CP86,$CQ86,$CR86,$CS86),Constants!$B$8,Constants!$B$4)))))</f>
        <v/>
      </c>
      <c r="BM86" s="100" t="str">
        <f aca="false">IF(ISBLANK($C86),"",IF($BL86&lt;&gt;Constants!$B$4,$BL86,IF(OR(NOT($AJ86),NOT($AL86),NOT($AT86)),Constants!$B$11,IF(OR(NOT($AR86),NOT($AU86),NOT($BI86),MAX($AN86,$AO86,$AP86)&gt;Constants!$B$30),Constants!$B$10,Constants!$B$9))))</f>
        <v/>
      </c>
      <c r="BN86" s="100" t="str">
        <f aca="false">IF($BL86&lt;&gt;Constants!$B$4,"",IF(NOT($AL86),0,MIN(Constants!$B$35,$BF86)))</f>
        <v/>
      </c>
      <c r="BO86" s="100" t="str">
        <f aca="false">IF($BL86&lt;&gt;Constants!$B$4,"",IF(NOT($AL86),0,IF($AW86,Constants!$B$18,IF($AV86,Constants!$B$17,0))))</f>
        <v/>
      </c>
      <c r="BP86" s="100" t="str">
        <f aca="false">IF($BL86&lt;&gt;Constants!$B$4,"",IF(NOT($AL86),0,Constants!$B$19*($AK86+$AX86+$AY86+$AZ86)))</f>
        <v/>
      </c>
      <c r="BQ86" s="100" t="str">
        <f aca="false">IF($BL86&lt;&gt;Constants!$B$4,"",IF(OR(NOT($AL86),NOT(ISNUMBER($BA86))),0,CHOOSE($BA86,Constants!$B$13,Constants!$B$14,Constants!$B$15,Constants!$B$16)))</f>
        <v/>
      </c>
      <c r="BR86" s="100" t="str">
        <f aca="false">IF($BL86&lt;&gt;Constants!$B$4,"",IF(NOT($AL86),0,Constants!$B$20*$BB86))</f>
        <v/>
      </c>
      <c r="BS86" s="100" t="str">
        <f aca="false">IF($BL86&lt;&gt;Constants!$B$4,"",IF(AND($AL86,$BD86,$BE86),Constants!$B$22,0))</f>
        <v/>
      </c>
      <c r="BT86" s="100" t="str">
        <f aca="false">IF($BL86&lt;&gt;Constants!$B$4,"",IF(OR(NOT($AL86),NOT($BD86)),0,IF($BJ86&gt;=2*$AH$9,0,Constants!$B$23*INT(ROUND(MIN($BJ86,$AH$9),6)))))</f>
        <v/>
      </c>
      <c r="BU86" s="100" t="str">
        <f aca="false">IF($BL86&lt;&gt;Constants!$B$4,"",IF(NOT($AL86),0,Constants!$B$24*INT(ROUND(MIN($BC86,$AH$9),6))))</f>
        <v/>
      </c>
      <c r="BV86" s="100" t="str">
        <f aca="false">IF($BL86&lt;&gt;Constants!$B$4,"",IF(AND($AL86,$BN86=0),Constants!$B$25,0))</f>
        <v/>
      </c>
      <c r="BW86" s="100" t="str">
        <f aca="false">IF($BL86&lt;&gt;Constants!$B$4,"",MIN(Constants!$B$29,MAX(0,Constants!$B$27*Constants!$B$28*INT(ROUND((Constants!$B$26-$AN86)/Constants!$B$28,6))))+MIN(Constants!$B$29,MAX(0,Constants!$B$27*Constants!$B$28*INT(ROUND((Constants!$B$26-$AO86)/Constants!$B$28,6))))+MIN(Constants!$B$29,MAX(0,Constants!$B$27*Constants!$B$28*INT(ROUND((Constants!$B$26-$AP86)/Constants!$B$28,6)))))</f>
        <v/>
      </c>
      <c r="BX86" s="100" t="str">
        <f aca="false">IF($BL86&lt;&gt;Constants!$B$4,"",IF(NOT($AL86),0,Constants!$B$31*INT(ROUND(MAX(0,MIN($BJ86,2*$AH$9)-$AH$9),6))))</f>
        <v/>
      </c>
      <c r="BY86" s="100" t="str">
        <f aca="false">IF($BL86&lt;&gt;Constants!$B$4,"",Constants!$B$32*(($AN86&gt;Constants!$B$26)+($AO86&gt;Constants!$B$26)+($AP86&gt;Constants!$B$26)))</f>
        <v/>
      </c>
      <c r="BZ86" s="100" t="str">
        <f aca="false">IF($BL86&lt;&gt;Constants!$B$4,"",IF(OR(NOT($AL86),$AQ86),0,Constants!$B$33))</f>
        <v/>
      </c>
      <c r="CA86" s="100" t="str">
        <f aca="false">IF($BL86&lt;&gt;Constants!$B$4,"",Constants!$B$34*$BN86)</f>
        <v/>
      </c>
      <c r="CB86" s="100" t="str">
        <f aca="false">IF($BL86&lt;&gt;Constants!$B$4,"",IF(OR(NOT($AL86),$BH86),0,Constants!$B$36))</f>
        <v/>
      </c>
      <c r="CC86" s="100" t="str">
        <f aca="false">IF($BL86&lt;&gt;Constants!$B$4,"",IF(OR(NOT($AL86),$BG86),0,Constants!$B$37))</f>
        <v/>
      </c>
      <c r="CD86" s="100" t="str">
        <f aca="false">IF($BL86&lt;&gt;Constants!$B$4,"",SUM($BX86:$CC86))</f>
        <v/>
      </c>
      <c r="CE86" s="100" t="str">
        <f aca="false">IF(ISBLANK($C86),"",IF($BL86&lt;&gt;Constants!$B$4,$BL86,SUM($BO86:$BW86)-$CD86))</f>
        <v/>
      </c>
      <c r="CF86" s="100" t="str">
        <f aca="false">IF(ISBLANK($C86),"",IF($BL86&lt;&gt;Constants!$B$4,$BL86,RANK($CE86,$CE$9:$CE$508)))</f>
        <v/>
      </c>
      <c r="CG86" s="100" t="str">
        <f aca="false">IF(ISBLANK($C86),"",IF($BL86&lt;&gt;Constants!$B$4,$BL86,COUNTIFS($BM$9:$BM$508,"&lt;"&amp;$BM86)+COUNTIFS($BM$9:$BM$508,$BM86,$CF$9:$CF$508,"&lt;"&amp;$CF86)+1))</f>
        <v/>
      </c>
      <c r="CH86" s="100" t="str">
        <f aca="false">IF(ISBLANK($C86),"",IF($BL86&lt;&gt;Constants!$B$4,$BL86,RANK($CD86,$CD$9:$CD$508,1)))</f>
        <v/>
      </c>
      <c r="CI86" s="100" t="str">
        <f aca="false">IF($BL86&lt;&gt;Constants!$B$4,"",$AN86+$AO86+$AP86)</f>
        <v/>
      </c>
      <c r="CJ86" s="100" t="str">
        <f aca="false">IF(ISBLANK($C86),"",IF($BL86&lt;&gt;Constants!$B$4,$BL86,RANK($CI86,$CI$9:$CI$508,1)))</f>
        <v/>
      </c>
      <c r="CK86" s="100" t="str">
        <f aca="false">IF(ISBLANK($C86),"",IF($BL86&lt;&gt;Constants!$B$4,$BL86,COUNTIFS($BM$9:$BM$508,"&lt;"&amp;$BM86)+COUNTIFS($BM$9:$BM$508,$BM86,$CF$9:$CF$508,"&lt;"&amp;$CF86)+COUNTIFS($BM$9:$BM$508,$BM86,$CF$9:$CF$508,$CF86,$CH$9:$CH$508,"&lt;"&amp;$CH86)+COUNTIFS($BM$9:$BM$508,$BM86,$CF$9:$CF$508,$CF86,$CH$9:$CH$508,$CH86,$CJ$9:$CJ$508,"&lt;"&amp;$CJ86)+1))</f>
        <v/>
      </c>
      <c r="CL86" s="100" t="str">
        <f aca="false">IF(ISBLANK($C86),"",IF($BL86&lt;&gt;Constants!$B$4,$BL86,$CG86-$CK86))</f>
        <v/>
      </c>
      <c r="CM86" s="100" t="str">
        <f aca="false">IF(ISBLANK($C86),"",IF(NOT($AL86),"",IF(ISBLANK($D$7),$CM$5,IF(NOT(ISNUMBER($D$7)),$CM$6,""))))</f>
        <v/>
      </c>
      <c r="CN86" s="100" t="str">
        <f aca="false">IF(ISBLANK($C86),"",OR($AN86="",$AO86="",$AP86=""))</f>
        <v/>
      </c>
      <c r="CO86" s="100" t="str">
        <f aca="false">IF(ISBLANK($C86),"",AND($AL86,$BA86=""))</f>
        <v/>
      </c>
      <c r="CP86" s="100" t="str">
        <f aca="false">IF(ISBLANK($C86),"",AND($AL86,$BB86=""))</f>
        <v/>
      </c>
      <c r="CQ86" s="100" t="str">
        <f aca="false">IF(ISBLANK($C86),"",AND($AL86,$BC86=""))</f>
        <v/>
      </c>
      <c r="CR86" s="100" t="str">
        <f aca="false">IF(ISBLANK($C86),"",AND($AL86,$BF86=""))</f>
        <v/>
      </c>
      <c r="CS86" s="100" t="str">
        <f aca="false">IF(ISBLANK($C86),"",AND($AL86,$BJ86=""))</f>
        <v/>
      </c>
      <c r="CT86" s="101"/>
      <c r="CU86" s="102"/>
      <c r="CV86" s="103" t="str">
        <f aca="false">IF(ISBLANK($C86),"",IF($BL86=Constants!$B$8,$CM86,""))</f>
        <v/>
      </c>
      <c r="CW86" s="102" t="str">
        <f aca="false">IF(ISBLANK($C86),"",IF($BL86&lt;&gt;Constants!$B$4,"",$BO86+$BP86))</f>
        <v/>
      </c>
      <c r="CX86" s="104" t="str">
        <f aca="false">IF(ISBLANK($C86),"",IF($BL86&lt;&gt;Constants!$B$4,"",$BQ86+$BR86+$BS86))</f>
        <v/>
      </c>
      <c r="CY86" s="104" t="str">
        <f aca="false">IF(ISBLANK($C86),"",IF($BL86&lt;&gt;Constants!$B$4,"",$BT86))</f>
        <v/>
      </c>
      <c r="CZ86" s="104" t="str">
        <f aca="false">IF(ISBLANK($C86),"",IF($BL86&lt;&gt;Constants!$B$4,"",$BU86+$BV86))</f>
        <v/>
      </c>
      <c r="DA86" s="104" t="str">
        <f aca="false">IF(ISBLANK($C86),"",IF($BL86&lt;&gt;Constants!$B$4,"",$BW86))</f>
        <v/>
      </c>
      <c r="DB86" s="104" t="str">
        <f aca="false">IF(ISBLANK($C86),"",IF($BL86&lt;&gt;Constants!$B$4,"",-$CD86))</f>
        <v/>
      </c>
      <c r="DC86" s="103" t="str">
        <f aca="false">IF(ISBLANK($C86),"",$CE86)</f>
        <v/>
      </c>
      <c r="DD86" s="105" t="str">
        <f aca="false">IF(ISBLANK($C86),"",$BM86)</f>
        <v/>
      </c>
      <c r="DE86" s="104" t="str">
        <f aca="false">IF(ISBLANK($C86),"",$CL86)</f>
        <v/>
      </c>
      <c r="DF86" s="104" t="str">
        <f aca="false">IF(ISBLANK($C86),"",$CK86)</f>
        <v/>
      </c>
      <c r="DG86" s="106" t="str">
        <f aca="false">IF(ISBLANK($C86),"",IF($DF86=Constants!$B$7,COUNTA($C$9:$C$508)+2,IF($DF86=Constants!$B$6,COUNTA($C$9:$C$508)+1,IF($DF86=Constants!$B$5,COUNTA($C$9:$C$508),$DF86))))</f>
        <v/>
      </c>
      <c r="DH86" s="7"/>
      <c r="DI86" s="107" t="n">
        <f aca="false">IF(OR(ISNUMBER($DF86),$DF86=Constants!$B$7,$DF86=Constants!$B$5,$DF86=Constants!$B$6),1,0)</f>
        <v>0</v>
      </c>
      <c r="DJ86" s="107" t="n">
        <v>78</v>
      </c>
      <c r="DK86" s="107" t="str">
        <f aca="false">IF(ISBLANK($C86),"",IF(ISNUMBER($DG86),$DG86+ROW($B86)/1000,""))</f>
        <v/>
      </c>
      <c r="DL86" s="107" t="str">
        <f aca="false">IF(ISNUMBER($DK86),RANK($DK86,$DK$9:$DK$508,1),"")</f>
        <v/>
      </c>
      <c r="DM86" s="107" t="str">
        <f aca="false">IF(ISBLANK($C86),"",$B86)</f>
        <v/>
      </c>
      <c r="DN86" s="107" t="str">
        <f aca="false">IF(ISBLANK($C86),"",$C86)</f>
        <v/>
      </c>
      <c r="DO86" s="107" t="str">
        <f aca="false">IF(ISBLANK($C86),"",$D86)</f>
        <v/>
      </c>
      <c r="DP86" s="108" t="str">
        <f aca="false">$DD86</f>
        <v/>
      </c>
      <c r="DQ86" s="109" t="str">
        <f aca="false">$DC86</f>
        <v/>
      </c>
      <c r="DR86" s="107" t="str">
        <f aca="false">IF(ISBLANK($C86),"",$DF86)</f>
        <v/>
      </c>
      <c r="DS86" s="110" t="str">
        <f aca="false">IF($DJ86&gt;$DI$8,"",VLOOKUP($DJ86,$DL$9:$DR$508,7,FALSE()))</f>
        <v/>
      </c>
      <c r="DT86" s="111" t="str">
        <f aca="false">IF($DJ86&gt;$DI$8,"",VLOOKUP($DJ86,$DL$9:$DR$508,2,FALSE()))</f>
        <v/>
      </c>
      <c r="DU86" s="111" t="str">
        <f aca="false">IF($DJ86&gt;$DI$8,"",VLOOKUP($DJ86,$DL$9:$DR$508,3,FALSE()))</f>
        <v/>
      </c>
      <c r="DV86" s="111" t="str">
        <f aca="false">IF($DJ86&gt;$DI$8,"",VLOOKUP($DJ86,$DL$9:$DR$508,4,FALSE()))</f>
        <v/>
      </c>
      <c r="DW86" s="111" t="str">
        <f aca="false">IF($DJ86&gt;$DI$8,"",VLOOKUP($DJ86,$DL$9:$DR$508,5,FALSE()))</f>
        <v/>
      </c>
      <c r="DX86" s="112" t="str">
        <f aca="false">IF($DJ86&gt;$DI$8,"",VLOOKUP($DJ86,$DL$9:$DR$508,6,FALSE()))</f>
        <v/>
      </c>
      <c r="DY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88"/>
      <c r="N87" s="88"/>
      <c r="O87" s="134"/>
      <c r="P87" s="134"/>
      <c r="Q87" s="88"/>
      <c r="R87" s="88"/>
      <c r="S87" s="88"/>
      <c r="T87" s="88"/>
      <c r="U87" s="134"/>
      <c r="V87" s="88"/>
      <c r="W87" s="70"/>
      <c r="X87" s="88"/>
      <c r="Y87" s="88"/>
      <c r="Z87" s="70"/>
      <c r="AA87" s="70"/>
      <c r="AB87" s="88"/>
      <c r="AC87" s="88"/>
      <c r="AD87" s="88"/>
      <c r="AE87" s="71"/>
      <c r="AF87" s="88"/>
      <c r="AG87" s="73"/>
      <c r="AH87" s="74"/>
      <c r="AI87" s="74"/>
      <c r="AJ87" s="74" t="str">
        <f aca="false">IF(ISBLANK($C87),"",IF($E87=Constants!$B$2,TRUE(),IF($E87=Constants!$B$3,FALSE(),TRUE())))</f>
        <v/>
      </c>
      <c r="AK87" s="74" t="str">
        <f aca="false">IF(ISBLANK($C87),"",IF($F87=Constants!$B$2,TRUE(),IF($F87=Constants!$B$3,FALSE(),FALSE())))</f>
        <v/>
      </c>
      <c r="AL87" s="74" t="str">
        <f aca="false">IF(ISBLANK($C87),"",IF($G87=Constants!$B$2,TRUE(),IF($G87=Constants!$B$3,FALSE(),TRUE())))</f>
        <v/>
      </c>
      <c r="AM87" s="74" t="str">
        <f aca="false">IF(ISBLANK($C87),"",IF($H87=Constants!$B$2,TRUE(),IF($H87=Constants!$B$3,FALSE(),TRUE())))</f>
        <v/>
      </c>
      <c r="AN87" s="74" t="str">
        <f aca="false">IF(ISBLANK($C87),"",IF(ISNUMBER($I87),IF($I87&gt;=0,$I87,""),""))</f>
        <v/>
      </c>
      <c r="AO87" s="74" t="str">
        <f aca="false">IF(ISBLANK($C87),"",IF(ISNUMBER($J87),IF($J87&gt;=0,$J87,""),""))</f>
        <v/>
      </c>
      <c r="AP87" s="74" t="str">
        <f aca="false">IF(ISBLANK($C87),"",IF(ISNUMBER($K87),IF($K87&gt;=0,$K87,""),""))</f>
        <v/>
      </c>
      <c r="AQ87" s="74" t="str">
        <f aca="false">IF(ISBLANK($C87),"",IF($L87=Constants!$B$2,TRUE(),IF($L87=Constants!$B$3,FALSE(),TRUE())))</f>
        <v/>
      </c>
      <c r="AR87" s="74" t="str">
        <f aca="false">IF(ISBLANK($C87),"",IF($M87=Constants!$B$2,TRUE(),IF($M87=Constants!$B$3,FALSE(),TRUE())))</f>
        <v/>
      </c>
      <c r="AS87" s="74" t="str">
        <f aca="false">IF(ISBLANK($C87),"",IF($N87=Constants!$B$2,TRUE(),IF($N87=Constants!$B$3,FALSE(),FALSE())))</f>
        <v/>
      </c>
      <c r="AT87" s="74" t="str">
        <f aca="false">IF(ISBLANK($C87),"",IF($O87=Constants!$B$2,TRUE(),IF($O87=Constants!$B$3,FALSE(),TRUE())))</f>
        <v/>
      </c>
      <c r="AU87" s="74" t="str">
        <f aca="false">IF(ISBLANK($C87),"",IF($P87=Constants!$B$2,TRUE(),IF($P87=Constants!$B$3,FALSE(),TRUE())))</f>
        <v/>
      </c>
      <c r="AV87" s="74" t="str">
        <f aca="false">IF(ISBLANK($C87),"",IF($Q87=Constants!$B$2,TRUE(),IF($Q87=Constants!$B$3,FALSE(),FALSE())))</f>
        <v/>
      </c>
      <c r="AW87" s="74" t="str">
        <f aca="false">IF(ISBLANK($C87),"",IF($R87=Constants!$B$2,TRUE(),IF($R87=Constants!$B$3,FALSE(),FALSE())))</f>
        <v/>
      </c>
      <c r="AX87" s="74" t="str">
        <f aca="false">IF(ISBLANK($C87),"",IF($S87=Constants!$B$2,TRUE(),IF($S87=Constants!$B$3,FALSE(),FALSE())))</f>
        <v/>
      </c>
      <c r="AY87" s="74" t="str">
        <f aca="false">IF(ISBLANK($C87),"",IF($T87=Constants!$B$2,TRUE(),IF($T87=Constants!$B$3,FALSE(),FALSE())))</f>
        <v/>
      </c>
      <c r="AZ87" s="74" t="str">
        <f aca="false">IF(ISBLANK($C87),"",IF($U87=Constants!$B$2,TRUE(),IF($U87=Constants!$B$3,FALSE(),FALSE())))</f>
        <v/>
      </c>
      <c r="BA87" s="74" t="str">
        <f aca="false">IF(ISBLANK($C87),"",IF(OR($V87&amp;""="1",$V87&amp;""="2",$V87&amp;""="3",$V87&amp;""="4"),VALUE($V87&amp;""),IF($V87=Constants!$B$12,Constants!$B$12,"")))</f>
        <v/>
      </c>
      <c r="BB87" s="74" t="str">
        <f aca="false">IF(ISBLANK($C87),"",IF(ISBLANK($W87),0,IF(ISNUMBER($W87),IF(AND($W87&gt;=0,$W87&lt;=Constants!$B$21,$W87=INT($W87)),$W87,""),"")))</f>
        <v/>
      </c>
      <c r="BC87" s="74" t="str">
        <f aca="false">IF(ISBLANK($C87),"",IF(ISBLANK($X87),0,IF(ISNUMBER($X87),IF($X87&gt;=0,$X87,""),"")))</f>
        <v/>
      </c>
      <c r="BD87" s="74" t="str">
        <f aca="false">IF(ISBLANK($C87),"",IF($Y87=Constants!$B$2,TRUE(),IF($Y87=Constants!$B$3,FALSE(),TRUE())))</f>
        <v/>
      </c>
      <c r="BE87" s="74" t="str">
        <f aca="false">IF(ISBLANK($C87),"",IF($Z87=Constants!$B$2,TRUE(),IF($Z87=Constants!$B$3,FALSE(),FALSE())))</f>
        <v/>
      </c>
      <c r="BF87" s="74" t="str">
        <f aca="false">IF(ISBLANK($C87),"",IF(ISBLANK($AA87),0,IF(ISNUMBER($AA87),IF(AND($AA87&gt;=0,$AA87&lt;=Constants!$B$35,$AA87=INT($AA87)),$AA87,""),"")))</f>
        <v/>
      </c>
      <c r="BG87" s="74" t="str">
        <f aca="false">IF(ISBLANK($C87),"",IF($AB87=Constants!$B$2,TRUE(),IF($AB87=Constants!$B$3,FALSE(),TRUE())))</f>
        <v/>
      </c>
      <c r="BH87" s="74" t="str">
        <f aca="false">IF(ISBLANK($C87),"",IF($AC87=Constants!$B$2,TRUE(),IF($AC87=Constants!$B$3,FALSE(),TRUE())))</f>
        <v/>
      </c>
      <c r="BI87" s="74" t="str">
        <f aca="false">IF(ISBLANK($C87),"",IF($AD87=Constants!$B$2,TRUE(),IF($AD87=Constants!$B$3,FALSE(),TRUE())))</f>
        <v/>
      </c>
      <c r="BJ87" s="74" t="str">
        <f aca="false">IF(ISBLANK($C87),"",IF(ISNUMBER($AE87),IF($AE87&gt;=0,$AE87,""),""))</f>
        <v/>
      </c>
      <c r="BK87" s="74" t="str">
        <f aca="false">IF(ISBLANK($C87),"",IF($AF87=Constants!$B$2,TRUE(),IF($AF87=Constants!$B$3,FALSE(),FALSE())))</f>
        <v/>
      </c>
      <c r="BL87" s="73" t="str">
        <f aca="false">IF(ISBLANK($C87),"",IF($BK87,Constants!$B$7,IF(COUNTA($E87:$AE87)=0,Constants!$B$6,IF(OR(COUNTA($G87:$AE87)=0,NOT($AM87),$AS87),Constants!$B$5,IF(OR($CM87&lt;&gt;"",$CN87,$CO87,$CP87,$CQ87,$CR87,$CS87),Constants!$B$8,Constants!$B$4)))))</f>
        <v/>
      </c>
      <c r="BM87" s="74" t="str">
        <f aca="false">IF(ISBLANK($C87),"",IF($BL87&lt;&gt;Constants!$B$4,$BL87,IF(OR(NOT($AJ87),NOT($AL87),NOT($AT87)),Constants!$B$11,IF(OR(NOT($AR87),NOT($AU87),NOT($BI87),MAX($AN87,$AO87,$AP87)&gt;Constants!$B$30),Constants!$B$10,Constants!$B$9))))</f>
        <v/>
      </c>
      <c r="BN87" s="74" t="str">
        <f aca="false">IF($BL87&lt;&gt;Constants!$B$4,"",IF(NOT($AL87),0,MIN(Constants!$B$35,$BF87)))</f>
        <v/>
      </c>
      <c r="BO87" s="74" t="str">
        <f aca="false">IF($BL87&lt;&gt;Constants!$B$4,"",IF(NOT($AL87),0,IF($AW87,Constants!$B$18,IF($AV87,Constants!$B$17,0))))</f>
        <v/>
      </c>
      <c r="BP87" s="74" t="str">
        <f aca="false">IF($BL87&lt;&gt;Constants!$B$4,"",IF(NOT($AL87),0,Constants!$B$19*($AK87+$AX87+$AY87+$AZ87)))</f>
        <v/>
      </c>
      <c r="BQ87" s="74" t="str">
        <f aca="false">IF($BL87&lt;&gt;Constants!$B$4,"",IF(OR(NOT($AL87),NOT(ISNUMBER($BA87))),0,CHOOSE($BA87,Constants!$B$13,Constants!$B$14,Constants!$B$15,Constants!$B$16)))</f>
        <v/>
      </c>
      <c r="BR87" s="74" t="str">
        <f aca="false">IF($BL87&lt;&gt;Constants!$B$4,"",IF(NOT($AL87),0,Constants!$B$20*$BB87))</f>
        <v/>
      </c>
      <c r="BS87" s="74" t="str">
        <f aca="false">IF($BL87&lt;&gt;Constants!$B$4,"",IF(AND($AL87,$BD87,$BE87),Constants!$B$22,0))</f>
        <v/>
      </c>
      <c r="BT87" s="74" t="str">
        <f aca="false">IF($BL87&lt;&gt;Constants!$B$4,"",IF(OR(NOT($AL87),NOT($BD87)),0,IF($BJ87&gt;=2*$AH$9,0,Constants!$B$23*INT(ROUND(MIN($BJ87,$AH$9),6)))))</f>
        <v/>
      </c>
      <c r="BU87" s="74" t="str">
        <f aca="false">IF($BL87&lt;&gt;Constants!$B$4,"",IF(NOT($AL87),0,Constants!$B$24*INT(ROUND(MIN($BC87,$AH$9),6))))</f>
        <v/>
      </c>
      <c r="BV87" s="74" t="str">
        <f aca="false">IF($BL87&lt;&gt;Constants!$B$4,"",IF(AND($AL87,$BN87=0),Constants!$B$25,0))</f>
        <v/>
      </c>
      <c r="BW87" s="74" t="str">
        <f aca="false">IF($BL87&lt;&gt;Constants!$B$4,"",MIN(Constants!$B$29,MAX(0,Constants!$B$27*Constants!$B$28*INT(ROUND((Constants!$B$26-$AN87)/Constants!$B$28,6))))+MIN(Constants!$B$29,MAX(0,Constants!$B$27*Constants!$B$28*INT(ROUND((Constants!$B$26-$AO87)/Constants!$B$28,6))))+MIN(Constants!$B$29,MAX(0,Constants!$B$27*Constants!$B$28*INT(ROUND((Constants!$B$26-$AP87)/Constants!$B$28,6)))))</f>
        <v/>
      </c>
      <c r="BX87" s="74" t="str">
        <f aca="false">IF($BL87&lt;&gt;Constants!$B$4,"",IF(NOT($AL87),0,Constants!$B$31*INT(ROUND(MAX(0,MIN($BJ87,2*$AH$9)-$AH$9),6))))</f>
        <v/>
      </c>
      <c r="BY87" s="74" t="str">
        <f aca="false">IF($BL87&lt;&gt;Constants!$B$4,"",Constants!$B$32*(($AN87&gt;Constants!$B$26)+($AO87&gt;Constants!$B$26)+($AP87&gt;Constants!$B$26)))</f>
        <v/>
      </c>
      <c r="BZ87" s="74" t="str">
        <f aca="false">IF($BL87&lt;&gt;Constants!$B$4,"",IF(OR(NOT($AL87),$AQ87),0,Constants!$B$33))</f>
        <v/>
      </c>
      <c r="CA87" s="74" t="str">
        <f aca="false">IF($BL87&lt;&gt;Constants!$B$4,"",Constants!$B$34*$BN87)</f>
        <v/>
      </c>
      <c r="CB87" s="74" t="str">
        <f aca="false">IF($BL87&lt;&gt;Constants!$B$4,"",IF(OR(NOT($AL87),$BH87),0,Constants!$B$36))</f>
        <v/>
      </c>
      <c r="CC87" s="74" t="str">
        <f aca="false">IF($BL87&lt;&gt;Constants!$B$4,"",IF(OR(NOT($AL87),$BG87),0,Constants!$B$37))</f>
        <v/>
      </c>
      <c r="CD87" s="74" t="str">
        <f aca="false">IF($BL87&lt;&gt;Constants!$B$4,"",SUM($BX87:$CC87))</f>
        <v/>
      </c>
      <c r="CE87" s="74" t="str">
        <f aca="false">IF(ISBLANK($C87),"",IF($BL87&lt;&gt;Constants!$B$4,$BL87,SUM($BO87:$BW87)-$CD87))</f>
        <v/>
      </c>
      <c r="CF87" s="74" t="str">
        <f aca="false">IF(ISBLANK($C87),"",IF($BL87&lt;&gt;Constants!$B$4,$BL87,RANK($CE87,$CE$9:$CE$508)))</f>
        <v/>
      </c>
      <c r="CG87" s="74" t="str">
        <f aca="false">IF(ISBLANK($C87),"",IF($BL87&lt;&gt;Constants!$B$4,$BL87,COUNTIFS($BM$9:$BM$508,"&lt;"&amp;$BM87)+COUNTIFS($BM$9:$BM$508,$BM87,$CF$9:$CF$508,"&lt;"&amp;$CF87)+1))</f>
        <v/>
      </c>
      <c r="CH87" s="74" t="str">
        <f aca="false">IF(ISBLANK($C87),"",IF($BL87&lt;&gt;Constants!$B$4,$BL87,RANK($CD87,$CD$9:$CD$508,1)))</f>
        <v/>
      </c>
      <c r="CI87" s="74" t="str">
        <f aca="false">IF($BL87&lt;&gt;Constants!$B$4,"",$AN87+$AO87+$AP87)</f>
        <v/>
      </c>
      <c r="CJ87" s="74" t="str">
        <f aca="false">IF(ISBLANK($C87),"",IF($BL87&lt;&gt;Constants!$B$4,$BL87,RANK($CI87,$CI$9:$CI$508,1)))</f>
        <v/>
      </c>
      <c r="CK87" s="74" t="str">
        <f aca="false">IF(ISBLANK($C87),"",IF($BL87&lt;&gt;Constants!$B$4,$BL87,COUNTIFS($BM$9:$BM$508,"&lt;"&amp;$BM87)+COUNTIFS($BM$9:$BM$508,$BM87,$CF$9:$CF$508,"&lt;"&amp;$CF87)+COUNTIFS($BM$9:$BM$508,$BM87,$CF$9:$CF$508,$CF87,$CH$9:$CH$508,"&lt;"&amp;$CH87)+COUNTIFS($BM$9:$BM$508,$BM87,$CF$9:$CF$508,$CF87,$CH$9:$CH$508,$CH87,$CJ$9:$CJ$508,"&lt;"&amp;$CJ87)+1))</f>
        <v/>
      </c>
      <c r="CL87" s="74" t="str">
        <f aca="false">IF(ISBLANK($C87),"",IF($BL87&lt;&gt;Constants!$B$4,$BL87,$CG87-$CK87))</f>
        <v/>
      </c>
      <c r="CM87" s="74" t="str">
        <f aca="false">IF(ISBLANK($C87),"",IF(NOT($AL87),"",IF(ISBLANK($D$7),$CM$5,IF(NOT(ISNUMBER($D$7)),$CM$6,""))))</f>
        <v/>
      </c>
      <c r="CN87" s="74" t="str">
        <f aca="false">IF(ISBLANK($C87),"",OR($AN87="",$AO87="",$AP87=""))</f>
        <v/>
      </c>
      <c r="CO87" s="74" t="str">
        <f aca="false">IF(ISBLANK($C87),"",AND($AL87,$BA87=""))</f>
        <v/>
      </c>
      <c r="CP87" s="74" t="str">
        <f aca="false">IF(ISBLANK($C87),"",AND($AL87,$BB87=""))</f>
        <v/>
      </c>
      <c r="CQ87" s="74" t="str">
        <f aca="false">IF(ISBLANK($C87),"",AND($AL87,$BC87=""))</f>
        <v/>
      </c>
      <c r="CR87" s="74" t="str">
        <f aca="false">IF(ISBLANK($C87),"",AND($AL87,$BF87=""))</f>
        <v/>
      </c>
      <c r="CS87" s="74" t="str">
        <f aca="false">IF(ISBLANK($C87),"",AND($AL87,$BJ87=""))</f>
        <v/>
      </c>
      <c r="CT87" s="75"/>
      <c r="CU87" s="76"/>
      <c r="CV87" s="79" t="str">
        <f aca="false">IF(ISBLANK($C87),"",IF($BL87=Constants!$B$8,$CM87,""))</f>
        <v/>
      </c>
      <c r="CW87" s="76" t="str">
        <f aca="false">IF(ISBLANK($C87),"",IF($BL87&lt;&gt;Constants!$B$4,"",$BO87+$BP87))</f>
        <v/>
      </c>
      <c r="CX87" s="78" t="str">
        <f aca="false">IF(ISBLANK($C87),"",IF($BL87&lt;&gt;Constants!$B$4,"",$BQ87+$BR87+$BS87))</f>
        <v/>
      </c>
      <c r="CY87" s="78" t="str">
        <f aca="false">IF(ISBLANK($C87),"",IF($BL87&lt;&gt;Constants!$B$4,"",$BT87))</f>
        <v/>
      </c>
      <c r="CZ87" s="78" t="str">
        <f aca="false">IF(ISBLANK($C87),"",IF($BL87&lt;&gt;Constants!$B$4,"",$BU87+$BV87))</f>
        <v/>
      </c>
      <c r="DA87" s="78" t="str">
        <f aca="false">IF(ISBLANK($C87),"",IF($BL87&lt;&gt;Constants!$B$4,"",$BW87))</f>
        <v/>
      </c>
      <c r="DB87" s="78" t="str">
        <f aca="false">IF(ISBLANK($C87),"",IF($BL87&lt;&gt;Constants!$B$4,"",-$CD87))</f>
        <v/>
      </c>
      <c r="DC87" s="79" t="str">
        <f aca="false">IF(ISBLANK($C87),"",$CE87)</f>
        <v/>
      </c>
      <c r="DD87" s="80" t="str">
        <f aca="false">IF(ISBLANK($C87),"",$BM87)</f>
        <v/>
      </c>
      <c r="DE87" s="78" t="str">
        <f aca="false">IF(ISBLANK($C87),"",$CL87)</f>
        <v/>
      </c>
      <c r="DF87" s="78" t="str">
        <f aca="false">IF(ISBLANK($C87),"",$CK87)</f>
        <v/>
      </c>
      <c r="DG87" s="81" t="str">
        <f aca="false">IF(ISBLANK($C87),"",IF($DF87=Constants!$B$7,COUNTA($C$9:$C$508)+2,IF($DF87=Constants!$B$6,COUNTA($C$9:$C$508)+1,IF($DF87=Constants!$B$5,COUNTA($C$9:$C$508),$DF87))))</f>
        <v/>
      </c>
      <c r="DH87" s="7"/>
      <c r="DI87" s="82" t="n">
        <f aca="false">IF(OR(ISNUMBER($DF87),$DF87=Constants!$B$7,$DF87=Constants!$B$5,$DF87=Constants!$B$6),1,0)</f>
        <v>0</v>
      </c>
      <c r="DJ87" s="82" t="n">
        <v>79</v>
      </c>
      <c r="DK87" s="82" t="str">
        <f aca="false">IF(ISBLANK($C87),"",IF(ISNUMBER($DG87),$DG87+ROW($B87)/1000,""))</f>
        <v/>
      </c>
      <c r="DL87" s="82" t="str">
        <f aca="false">IF(ISNUMBER($DK87),RANK($DK87,$DK$9:$DK$508,1),"")</f>
        <v/>
      </c>
      <c r="DM87" s="82" t="str">
        <f aca="false">IF(ISBLANK($C87),"",$B87)</f>
        <v/>
      </c>
      <c r="DN87" s="82" t="str">
        <f aca="false">IF(ISBLANK($C87),"",$C87)</f>
        <v/>
      </c>
      <c r="DO87" s="82" t="str">
        <f aca="false">IF(ISBLANK($C87),"",$D87)</f>
        <v/>
      </c>
      <c r="DP87" s="83" t="str">
        <f aca="false">$DD87</f>
        <v/>
      </c>
      <c r="DQ87" s="84" t="str">
        <f aca="false">$DC87</f>
        <v/>
      </c>
      <c r="DR87" s="82" t="str">
        <f aca="false">IF(ISBLANK($C87),"",$DF87)</f>
        <v/>
      </c>
      <c r="DS87" s="85" t="str">
        <f aca="false">IF($DJ87&gt;$DI$8,"",VLOOKUP($DJ87,$DL$9:$DR$508,7,FALSE()))</f>
        <v/>
      </c>
      <c r="DT87" s="86" t="str">
        <f aca="false">IF($DJ87&gt;$DI$8,"",VLOOKUP($DJ87,$DL$9:$DR$508,2,FALSE()))</f>
        <v/>
      </c>
      <c r="DU87" s="86" t="str">
        <f aca="false">IF($DJ87&gt;$DI$8,"",VLOOKUP($DJ87,$DL$9:$DR$508,3,FALSE()))</f>
        <v/>
      </c>
      <c r="DV87" s="86" t="str">
        <f aca="false">IF($DJ87&gt;$DI$8,"",VLOOKUP($DJ87,$DL$9:$DR$508,4,FALSE()))</f>
        <v/>
      </c>
      <c r="DW87" s="86" t="str">
        <f aca="false">IF($DJ87&gt;$DI$8,"",VLOOKUP($DJ87,$DL$9:$DR$508,5,FALSE()))</f>
        <v/>
      </c>
      <c r="DX87" s="87" t="str">
        <f aca="false">IF($DJ87&gt;$DI$8,"",VLOOKUP($DJ87,$DL$9:$DR$508,6,FALSE()))</f>
        <v/>
      </c>
      <c r="DY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2"/>
      <c r="N88" s="122"/>
      <c r="O88" s="66"/>
      <c r="P88" s="66"/>
      <c r="Q88" s="122"/>
      <c r="R88" s="122"/>
      <c r="S88" s="122"/>
      <c r="T88" s="122"/>
      <c r="U88" s="66"/>
      <c r="V88" s="122"/>
      <c r="W88" s="120"/>
      <c r="X88" s="122"/>
      <c r="Y88" s="122"/>
      <c r="Z88" s="120"/>
      <c r="AA88" s="120"/>
      <c r="AB88" s="122"/>
      <c r="AC88" s="122"/>
      <c r="AD88" s="122"/>
      <c r="AE88" s="121"/>
      <c r="AF88" s="122"/>
      <c r="AG88" s="73"/>
      <c r="AH88" s="74"/>
      <c r="AI88" s="74"/>
      <c r="AJ88" s="74" t="str">
        <f aca="false">IF(ISBLANK($C88),"",IF($E88=Constants!$B$2,TRUE(),IF($E88=Constants!$B$3,FALSE(),TRUE())))</f>
        <v/>
      </c>
      <c r="AK88" s="74" t="str">
        <f aca="false">IF(ISBLANK($C88),"",IF($F88=Constants!$B$2,TRUE(),IF($F88=Constants!$B$3,FALSE(),FALSE())))</f>
        <v/>
      </c>
      <c r="AL88" s="74" t="str">
        <f aca="false">IF(ISBLANK($C88),"",IF($G88=Constants!$B$2,TRUE(),IF($G88=Constants!$B$3,FALSE(),TRUE())))</f>
        <v/>
      </c>
      <c r="AM88" s="74" t="str">
        <f aca="false">IF(ISBLANK($C88),"",IF($H88=Constants!$B$2,TRUE(),IF($H88=Constants!$B$3,FALSE(),TRUE())))</f>
        <v/>
      </c>
      <c r="AN88" s="74" t="str">
        <f aca="false">IF(ISBLANK($C88),"",IF(ISNUMBER($I88),IF($I88&gt;=0,$I88,""),""))</f>
        <v/>
      </c>
      <c r="AO88" s="74" t="str">
        <f aca="false">IF(ISBLANK($C88),"",IF(ISNUMBER($J88),IF($J88&gt;=0,$J88,""),""))</f>
        <v/>
      </c>
      <c r="AP88" s="74" t="str">
        <f aca="false">IF(ISBLANK($C88),"",IF(ISNUMBER($K88),IF($K88&gt;=0,$K88,""),""))</f>
        <v/>
      </c>
      <c r="AQ88" s="74" t="str">
        <f aca="false">IF(ISBLANK($C88),"",IF($L88=Constants!$B$2,TRUE(),IF($L88=Constants!$B$3,FALSE(),TRUE())))</f>
        <v/>
      </c>
      <c r="AR88" s="74" t="str">
        <f aca="false">IF(ISBLANK($C88),"",IF($M88=Constants!$B$2,TRUE(),IF($M88=Constants!$B$3,FALSE(),TRUE())))</f>
        <v/>
      </c>
      <c r="AS88" s="74" t="str">
        <f aca="false">IF(ISBLANK($C88),"",IF($N88=Constants!$B$2,TRUE(),IF($N88=Constants!$B$3,FALSE(),FALSE())))</f>
        <v/>
      </c>
      <c r="AT88" s="74" t="str">
        <f aca="false">IF(ISBLANK($C88),"",IF($O88=Constants!$B$2,TRUE(),IF($O88=Constants!$B$3,FALSE(),TRUE())))</f>
        <v/>
      </c>
      <c r="AU88" s="74" t="str">
        <f aca="false">IF(ISBLANK($C88),"",IF($P88=Constants!$B$2,TRUE(),IF($P88=Constants!$B$3,FALSE(),TRUE())))</f>
        <v/>
      </c>
      <c r="AV88" s="74" t="str">
        <f aca="false">IF(ISBLANK($C88),"",IF($Q88=Constants!$B$2,TRUE(),IF($Q88=Constants!$B$3,FALSE(),FALSE())))</f>
        <v/>
      </c>
      <c r="AW88" s="74" t="str">
        <f aca="false">IF(ISBLANK($C88),"",IF($R88=Constants!$B$2,TRUE(),IF($R88=Constants!$B$3,FALSE(),FALSE())))</f>
        <v/>
      </c>
      <c r="AX88" s="74" t="str">
        <f aca="false">IF(ISBLANK($C88),"",IF($S88=Constants!$B$2,TRUE(),IF($S88=Constants!$B$3,FALSE(),FALSE())))</f>
        <v/>
      </c>
      <c r="AY88" s="74" t="str">
        <f aca="false">IF(ISBLANK($C88),"",IF($T88=Constants!$B$2,TRUE(),IF($T88=Constants!$B$3,FALSE(),FALSE())))</f>
        <v/>
      </c>
      <c r="AZ88" s="74" t="str">
        <f aca="false">IF(ISBLANK($C88),"",IF($U88=Constants!$B$2,TRUE(),IF($U88=Constants!$B$3,FALSE(),FALSE())))</f>
        <v/>
      </c>
      <c r="BA88" s="74" t="str">
        <f aca="false">IF(ISBLANK($C88),"",IF(OR($V88&amp;""="1",$V88&amp;""="2",$V88&amp;""="3",$V88&amp;""="4"),VALUE($V88&amp;""),IF($V88=Constants!$B$12,Constants!$B$12,"")))</f>
        <v/>
      </c>
      <c r="BB88" s="74" t="str">
        <f aca="false">IF(ISBLANK($C88),"",IF(ISBLANK($W88),0,IF(ISNUMBER($W88),IF(AND($W88&gt;=0,$W88&lt;=Constants!$B$21,$W88=INT($W88)),$W88,""),"")))</f>
        <v/>
      </c>
      <c r="BC88" s="74" t="str">
        <f aca="false">IF(ISBLANK($C88),"",IF(ISBLANK($X88),0,IF(ISNUMBER($X88),IF($X88&gt;=0,$X88,""),"")))</f>
        <v/>
      </c>
      <c r="BD88" s="74" t="str">
        <f aca="false">IF(ISBLANK($C88),"",IF($Y88=Constants!$B$2,TRUE(),IF($Y88=Constants!$B$3,FALSE(),TRUE())))</f>
        <v/>
      </c>
      <c r="BE88" s="74" t="str">
        <f aca="false">IF(ISBLANK($C88),"",IF($Z88=Constants!$B$2,TRUE(),IF($Z88=Constants!$B$3,FALSE(),FALSE())))</f>
        <v/>
      </c>
      <c r="BF88" s="74" t="str">
        <f aca="false">IF(ISBLANK($C88),"",IF(ISBLANK($AA88),0,IF(ISNUMBER($AA88),IF(AND($AA88&gt;=0,$AA88&lt;=Constants!$B$35,$AA88=INT($AA88)),$AA88,""),"")))</f>
        <v/>
      </c>
      <c r="BG88" s="74" t="str">
        <f aca="false">IF(ISBLANK($C88),"",IF($AB88=Constants!$B$2,TRUE(),IF($AB88=Constants!$B$3,FALSE(),TRUE())))</f>
        <v/>
      </c>
      <c r="BH88" s="74" t="str">
        <f aca="false">IF(ISBLANK($C88),"",IF($AC88=Constants!$B$2,TRUE(),IF($AC88=Constants!$B$3,FALSE(),TRUE())))</f>
        <v/>
      </c>
      <c r="BI88" s="74" t="str">
        <f aca="false">IF(ISBLANK($C88),"",IF($AD88=Constants!$B$2,TRUE(),IF($AD88=Constants!$B$3,FALSE(),TRUE())))</f>
        <v/>
      </c>
      <c r="BJ88" s="74" t="str">
        <f aca="false">IF(ISBLANK($C88),"",IF(ISNUMBER($AE88),IF($AE88&gt;=0,$AE88,""),""))</f>
        <v/>
      </c>
      <c r="BK88" s="74" t="str">
        <f aca="false">IF(ISBLANK($C88),"",IF($AF88=Constants!$B$2,TRUE(),IF($AF88=Constants!$B$3,FALSE(),FALSE())))</f>
        <v/>
      </c>
      <c r="BL88" s="73" t="str">
        <f aca="false">IF(ISBLANK($C88),"",IF($BK88,Constants!$B$7,IF(COUNTA($E88:$AE88)=0,Constants!$B$6,IF(OR(COUNTA($G88:$AE88)=0,NOT($AM88),$AS88),Constants!$B$5,IF(OR($CM88&lt;&gt;"",$CN88,$CO88,$CP88,$CQ88,$CR88,$CS88),Constants!$B$8,Constants!$B$4)))))</f>
        <v/>
      </c>
      <c r="BM88" s="74" t="str">
        <f aca="false">IF(ISBLANK($C88),"",IF($BL88&lt;&gt;Constants!$B$4,$BL88,IF(OR(NOT($AJ88),NOT($AL88),NOT($AT88)),Constants!$B$11,IF(OR(NOT($AR88),NOT($AU88),NOT($BI88),MAX($AN88,$AO88,$AP88)&gt;Constants!$B$30),Constants!$B$10,Constants!$B$9))))</f>
        <v/>
      </c>
      <c r="BN88" s="74" t="str">
        <f aca="false">IF($BL88&lt;&gt;Constants!$B$4,"",IF(NOT($AL88),0,MIN(Constants!$B$35,$BF88)))</f>
        <v/>
      </c>
      <c r="BO88" s="74" t="str">
        <f aca="false">IF($BL88&lt;&gt;Constants!$B$4,"",IF(NOT($AL88),0,IF($AW88,Constants!$B$18,IF($AV88,Constants!$B$17,0))))</f>
        <v/>
      </c>
      <c r="BP88" s="74" t="str">
        <f aca="false">IF($BL88&lt;&gt;Constants!$B$4,"",IF(NOT($AL88),0,Constants!$B$19*($AK88+$AX88+$AY88+$AZ88)))</f>
        <v/>
      </c>
      <c r="BQ88" s="74" t="str">
        <f aca="false">IF($BL88&lt;&gt;Constants!$B$4,"",IF(OR(NOT($AL88),NOT(ISNUMBER($BA88))),0,CHOOSE($BA88,Constants!$B$13,Constants!$B$14,Constants!$B$15,Constants!$B$16)))</f>
        <v/>
      </c>
      <c r="BR88" s="74" t="str">
        <f aca="false">IF($BL88&lt;&gt;Constants!$B$4,"",IF(NOT($AL88),0,Constants!$B$20*$BB88))</f>
        <v/>
      </c>
      <c r="BS88" s="74" t="str">
        <f aca="false">IF($BL88&lt;&gt;Constants!$B$4,"",IF(AND($AL88,$BD88,$BE88),Constants!$B$22,0))</f>
        <v/>
      </c>
      <c r="BT88" s="74" t="str">
        <f aca="false">IF($BL88&lt;&gt;Constants!$B$4,"",IF(OR(NOT($AL88),NOT($BD88)),0,IF($BJ88&gt;=2*$AH$9,0,Constants!$B$23*INT(ROUND(MIN($BJ88,$AH$9),6)))))</f>
        <v/>
      </c>
      <c r="BU88" s="74" t="str">
        <f aca="false">IF($BL88&lt;&gt;Constants!$B$4,"",IF(NOT($AL88),0,Constants!$B$24*INT(ROUND(MIN($BC88,$AH$9),6))))</f>
        <v/>
      </c>
      <c r="BV88" s="74" t="str">
        <f aca="false">IF($BL88&lt;&gt;Constants!$B$4,"",IF(AND($AL88,$BN88=0),Constants!$B$25,0))</f>
        <v/>
      </c>
      <c r="BW88" s="74" t="str">
        <f aca="false">IF($BL88&lt;&gt;Constants!$B$4,"",MIN(Constants!$B$29,MAX(0,Constants!$B$27*Constants!$B$28*INT(ROUND((Constants!$B$26-$AN88)/Constants!$B$28,6))))+MIN(Constants!$B$29,MAX(0,Constants!$B$27*Constants!$B$28*INT(ROUND((Constants!$B$26-$AO88)/Constants!$B$28,6))))+MIN(Constants!$B$29,MAX(0,Constants!$B$27*Constants!$B$28*INT(ROUND((Constants!$B$26-$AP88)/Constants!$B$28,6)))))</f>
        <v/>
      </c>
      <c r="BX88" s="74" t="str">
        <f aca="false">IF($BL88&lt;&gt;Constants!$B$4,"",IF(NOT($AL88),0,Constants!$B$31*INT(ROUND(MAX(0,MIN($BJ88,2*$AH$9)-$AH$9),6))))</f>
        <v/>
      </c>
      <c r="BY88" s="74" t="str">
        <f aca="false">IF($BL88&lt;&gt;Constants!$B$4,"",Constants!$B$32*(($AN88&gt;Constants!$B$26)+($AO88&gt;Constants!$B$26)+($AP88&gt;Constants!$B$26)))</f>
        <v/>
      </c>
      <c r="BZ88" s="74" t="str">
        <f aca="false">IF($BL88&lt;&gt;Constants!$B$4,"",IF(OR(NOT($AL88),$AQ88),0,Constants!$B$33))</f>
        <v/>
      </c>
      <c r="CA88" s="74" t="str">
        <f aca="false">IF($BL88&lt;&gt;Constants!$B$4,"",Constants!$B$34*$BN88)</f>
        <v/>
      </c>
      <c r="CB88" s="74" t="str">
        <f aca="false">IF($BL88&lt;&gt;Constants!$B$4,"",IF(OR(NOT($AL88),$BH88),0,Constants!$B$36))</f>
        <v/>
      </c>
      <c r="CC88" s="74" t="str">
        <f aca="false">IF($BL88&lt;&gt;Constants!$B$4,"",IF(OR(NOT($AL88),$BG88),0,Constants!$B$37))</f>
        <v/>
      </c>
      <c r="CD88" s="74" t="str">
        <f aca="false">IF($BL88&lt;&gt;Constants!$B$4,"",SUM($BX88:$CC88))</f>
        <v/>
      </c>
      <c r="CE88" s="74" t="str">
        <f aca="false">IF(ISBLANK($C88),"",IF($BL88&lt;&gt;Constants!$B$4,$BL88,SUM($BO88:$BW88)-$CD88))</f>
        <v/>
      </c>
      <c r="CF88" s="74" t="str">
        <f aca="false">IF(ISBLANK($C88),"",IF($BL88&lt;&gt;Constants!$B$4,$BL88,RANK($CE88,$CE$9:$CE$508)))</f>
        <v/>
      </c>
      <c r="CG88" s="74" t="str">
        <f aca="false">IF(ISBLANK($C88),"",IF($BL88&lt;&gt;Constants!$B$4,$BL88,COUNTIFS($BM$9:$BM$508,"&lt;"&amp;$BM88)+COUNTIFS($BM$9:$BM$508,$BM88,$CF$9:$CF$508,"&lt;"&amp;$CF88)+1))</f>
        <v/>
      </c>
      <c r="CH88" s="74" t="str">
        <f aca="false">IF(ISBLANK($C88),"",IF($BL88&lt;&gt;Constants!$B$4,$BL88,RANK($CD88,$CD$9:$CD$508,1)))</f>
        <v/>
      </c>
      <c r="CI88" s="74" t="str">
        <f aca="false">IF($BL88&lt;&gt;Constants!$B$4,"",$AN88+$AO88+$AP88)</f>
        <v/>
      </c>
      <c r="CJ88" s="74" t="str">
        <f aca="false">IF(ISBLANK($C88),"",IF($BL88&lt;&gt;Constants!$B$4,$BL88,RANK($CI88,$CI$9:$CI$508,1)))</f>
        <v/>
      </c>
      <c r="CK88" s="74" t="str">
        <f aca="false">IF(ISBLANK($C88),"",IF($BL88&lt;&gt;Constants!$B$4,$BL88,COUNTIFS($BM$9:$BM$508,"&lt;"&amp;$BM88)+COUNTIFS($BM$9:$BM$508,$BM88,$CF$9:$CF$508,"&lt;"&amp;$CF88)+COUNTIFS($BM$9:$BM$508,$BM88,$CF$9:$CF$508,$CF88,$CH$9:$CH$508,"&lt;"&amp;$CH88)+COUNTIFS($BM$9:$BM$508,$BM88,$CF$9:$CF$508,$CF88,$CH$9:$CH$508,$CH88,$CJ$9:$CJ$508,"&lt;"&amp;$CJ88)+1))</f>
        <v/>
      </c>
      <c r="CL88" s="74" t="str">
        <f aca="false">IF(ISBLANK($C88),"",IF($BL88&lt;&gt;Constants!$B$4,$BL88,$CG88-$CK88))</f>
        <v/>
      </c>
      <c r="CM88" s="74" t="str">
        <f aca="false">IF(ISBLANK($C88),"",IF(NOT($AL88),"",IF(ISBLANK($D$7),$CM$5,IF(NOT(ISNUMBER($D$7)),$CM$6,""))))</f>
        <v/>
      </c>
      <c r="CN88" s="74" t="str">
        <f aca="false">IF(ISBLANK($C88),"",OR($AN88="",$AO88="",$AP88=""))</f>
        <v/>
      </c>
      <c r="CO88" s="74" t="str">
        <f aca="false">IF(ISBLANK($C88),"",AND($AL88,$BA88=""))</f>
        <v/>
      </c>
      <c r="CP88" s="74" t="str">
        <f aca="false">IF(ISBLANK($C88),"",AND($AL88,$BB88=""))</f>
        <v/>
      </c>
      <c r="CQ88" s="74" t="str">
        <f aca="false">IF(ISBLANK($C88),"",AND($AL88,$BC88=""))</f>
        <v/>
      </c>
      <c r="CR88" s="74" t="str">
        <f aca="false">IF(ISBLANK($C88),"",AND($AL88,$BF88=""))</f>
        <v/>
      </c>
      <c r="CS88" s="74" t="str">
        <f aca="false">IF(ISBLANK($C88),"",AND($AL88,$BJ88=""))</f>
        <v/>
      </c>
      <c r="CT88" s="75"/>
      <c r="CU88" s="76"/>
      <c r="CV88" s="79" t="str">
        <f aca="false">IF(ISBLANK($C88),"",IF($BL88=Constants!$B$8,$CM88,""))</f>
        <v/>
      </c>
      <c r="CW88" s="76" t="str">
        <f aca="false">IF(ISBLANK($C88),"",IF($BL88&lt;&gt;Constants!$B$4,"",$BO88+$BP88))</f>
        <v/>
      </c>
      <c r="CX88" s="78" t="str">
        <f aca="false">IF(ISBLANK($C88),"",IF($BL88&lt;&gt;Constants!$B$4,"",$BQ88+$BR88+$BS88))</f>
        <v/>
      </c>
      <c r="CY88" s="78" t="str">
        <f aca="false">IF(ISBLANK($C88),"",IF($BL88&lt;&gt;Constants!$B$4,"",$BT88))</f>
        <v/>
      </c>
      <c r="CZ88" s="78" t="str">
        <f aca="false">IF(ISBLANK($C88),"",IF($BL88&lt;&gt;Constants!$B$4,"",$BU88+$BV88))</f>
        <v/>
      </c>
      <c r="DA88" s="78" t="str">
        <f aca="false">IF(ISBLANK($C88),"",IF($BL88&lt;&gt;Constants!$B$4,"",$BW88))</f>
        <v/>
      </c>
      <c r="DB88" s="78" t="str">
        <f aca="false">IF(ISBLANK($C88),"",IF($BL88&lt;&gt;Constants!$B$4,"",-$CD88))</f>
        <v/>
      </c>
      <c r="DC88" s="79" t="str">
        <f aca="false">IF(ISBLANK($C88),"",$CE88)</f>
        <v/>
      </c>
      <c r="DD88" s="80" t="str">
        <f aca="false">IF(ISBLANK($C88),"",$BM88)</f>
        <v/>
      </c>
      <c r="DE88" s="78" t="str">
        <f aca="false">IF(ISBLANK($C88),"",$CL88)</f>
        <v/>
      </c>
      <c r="DF88" s="78" t="str">
        <f aca="false">IF(ISBLANK($C88),"",$CK88)</f>
        <v/>
      </c>
      <c r="DG88" s="81" t="str">
        <f aca="false">IF(ISBLANK($C88),"",IF($DF88=Constants!$B$7,COUNTA($C$9:$C$508)+2,IF($DF88=Constants!$B$6,COUNTA($C$9:$C$508)+1,IF($DF88=Constants!$B$5,COUNTA($C$9:$C$508),$DF88))))</f>
        <v/>
      </c>
      <c r="DH88" s="7"/>
      <c r="DI88" s="82" t="n">
        <f aca="false">IF(OR(ISNUMBER($DF88),$DF88=Constants!$B$7,$DF88=Constants!$B$5,$DF88=Constants!$B$6),1,0)</f>
        <v>0</v>
      </c>
      <c r="DJ88" s="82" t="n">
        <v>80</v>
      </c>
      <c r="DK88" s="82" t="str">
        <f aca="false">IF(ISBLANK($C88),"",IF(ISNUMBER($DG88),$DG88+ROW($B88)/1000,""))</f>
        <v/>
      </c>
      <c r="DL88" s="82" t="str">
        <f aca="false">IF(ISNUMBER($DK88),RANK($DK88,$DK$9:$DK$508,1),"")</f>
        <v/>
      </c>
      <c r="DM88" s="82" t="str">
        <f aca="false">IF(ISBLANK($C88),"",$B88)</f>
        <v/>
      </c>
      <c r="DN88" s="82" t="str">
        <f aca="false">IF(ISBLANK($C88),"",$C88)</f>
        <v/>
      </c>
      <c r="DO88" s="82" t="str">
        <f aca="false">IF(ISBLANK($C88),"",$D88)</f>
        <v/>
      </c>
      <c r="DP88" s="83" t="str">
        <f aca="false">$DD88</f>
        <v/>
      </c>
      <c r="DQ88" s="84" t="str">
        <f aca="false">$DC88</f>
        <v/>
      </c>
      <c r="DR88" s="82" t="str">
        <f aca="false">IF(ISBLANK($C88),"",$DF88)</f>
        <v/>
      </c>
      <c r="DS88" s="85" t="str">
        <f aca="false">IF($DJ88&gt;$DI$8,"",VLOOKUP($DJ88,$DL$9:$DR$508,7,FALSE()))</f>
        <v/>
      </c>
      <c r="DT88" s="86" t="str">
        <f aca="false">IF($DJ88&gt;$DI$8,"",VLOOKUP($DJ88,$DL$9:$DR$508,2,FALSE()))</f>
        <v/>
      </c>
      <c r="DU88" s="86" t="str">
        <f aca="false">IF($DJ88&gt;$DI$8,"",VLOOKUP($DJ88,$DL$9:$DR$508,3,FALSE()))</f>
        <v/>
      </c>
      <c r="DV88" s="86" t="str">
        <f aca="false">IF($DJ88&gt;$DI$8,"",VLOOKUP($DJ88,$DL$9:$DR$508,4,FALSE()))</f>
        <v/>
      </c>
      <c r="DW88" s="86" t="str">
        <f aca="false">IF($DJ88&gt;$DI$8,"",VLOOKUP($DJ88,$DL$9:$DR$508,5,FALSE()))</f>
        <v/>
      </c>
      <c r="DX88" s="87" t="str">
        <f aca="false">IF($DJ88&gt;$DI$8,"",VLOOKUP($DJ88,$DL$9:$DR$508,6,FALSE()))</f>
        <v/>
      </c>
      <c r="DY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2"/>
      <c r="N89" s="122"/>
      <c r="O89" s="66"/>
      <c r="P89" s="66"/>
      <c r="Q89" s="122"/>
      <c r="R89" s="122"/>
      <c r="S89" s="122"/>
      <c r="T89" s="122"/>
      <c r="U89" s="66"/>
      <c r="V89" s="122"/>
      <c r="W89" s="120"/>
      <c r="X89" s="122"/>
      <c r="Y89" s="122"/>
      <c r="Z89" s="120"/>
      <c r="AA89" s="120"/>
      <c r="AB89" s="122"/>
      <c r="AC89" s="122"/>
      <c r="AD89" s="122"/>
      <c r="AE89" s="121"/>
      <c r="AF89" s="122"/>
      <c r="AG89" s="73"/>
      <c r="AH89" s="74"/>
      <c r="AI89" s="74"/>
      <c r="AJ89" s="74" t="str">
        <f aca="false">IF(ISBLANK($C89),"",IF($E89=Constants!$B$2,TRUE(),IF($E89=Constants!$B$3,FALSE(),TRUE())))</f>
        <v/>
      </c>
      <c r="AK89" s="74" t="str">
        <f aca="false">IF(ISBLANK($C89),"",IF($F89=Constants!$B$2,TRUE(),IF($F89=Constants!$B$3,FALSE(),FALSE())))</f>
        <v/>
      </c>
      <c r="AL89" s="74" t="str">
        <f aca="false">IF(ISBLANK($C89),"",IF($G89=Constants!$B$2,TRUE(),IF($G89=Constants!$B$3,FALSE(),TRUE())))</f>
        <v/>
      </c>
      <c r="AM89" s="74" t="str">
        <f aca="false">IF(ISBLANK($C89),"",IF($H89=Constants!$B$2,TRUE(),IF($H89=Constants!$B$3,FALSE(),TRUE())))</f>
        <v/>
      </c>
      <c r="AN89" s="74" t="str">
        <f aca="false">IF(ISBLANK($C89),"",IF(ISNUMBER($I89),IF($I89&gt;=0,$I89,""),""))</f>
        <v/>
      </c>
      <c r="AO89" s="74" t="str">
        <f aca="false">IF(ISBLANK($C89),"",IF(ISNUMBER($J89),IF($J89&gt;=0,$J89,""),""))</f>
        <v/>
      </c>
      <c r="AP89" s="74" t="str">
        <f aca="false">IF(ISBLANK($C89),"",IF(ISNUMBER($K89),IF($K89&gt;=0,$K89,""),""))</f>
        <v/>
      </c>
      <c r="AQ89" s="74" t="str">
        <f aca="false">IF(ISBLANK($C89),"",IF($L89=Constants!$B$2,TRUE(),IF($L89=Constants!$B$3,FALSE(),TRUE())))</f>
        <v/>
      </c>
      <c r="AR89" s="74" t="str">
        <f aca="false">IF(ISBLANK($C89),"",IF($M89=Constants!$B$2,TRUE(),IF($M89=Constants!$B$3,FALSE(),TRUE())))</f>
        <v/>
      </c>
      <c r="AS89" s="74" t="str">
        <f aca="false">IF(ISBLANK($C89),"",IF($N89=Constants!$B$2,TRUE(),IF($N89=Constants!$B$3,FALSE(),FALSE())))</f>
        <v/>
      </c>
      <c r="AT89" s="74" t="str">
        <f aca="false">IF(ISBLANK($C89),"",IF($O89=Constants!$B$2,TRUE(),IF($O89=Constants!$B$3,FALSE(),TRUE())))</f>
        <v/>
      </c>
      <c r="AU89" s="74" t="str">
        <f aca="false">IF(ISBLANK($C89),"",IF($P89=Constants!$B$2,TRUE(),IF($P89=Constants!$B$3,FALSE(),TRUE())))</f>
        <v/>
      </c>
      <c r="AV89" s="74" t="str">
        <f aca="false">IF(ISBLANK($C89),"",IF($Q89=Constants!$B$2,TRUE(),IF($Q89=Constants!$B$3,FALSE(),FALSE())))</f>
        <v/>
      </c>
      <c r="AW89" s="74" t="str">
        <f aca="false">IF(ISBLANK($C89),"",IF($R89=Constants!$B$2,TRUE(),IF($R89=Constants!$B$3,FALSE(),FALSE())))</f>
        <v/>
      </c>
      <c r="AX89" s="74" t="str">
        <f aca="false">IF(ISBLANK($C89),"",IF($S89=Constants!$B$2,TRUE(),IF($S89=Constants!$B$3,FALSE(),FALSE())))</f>
        <v/>
      </c>
      <c r="AY89" s="74" t="str">
        <f aca="false">IF(ISBLANK($C89),"",IF($T89=Constants!$B$2,TRUE(),IF($T89=Constants!$B$3,FALSE(),FALSE())))</f>
        <v/>
      </c>
      <c r="AZ89" s="74" t="str">
        <f aca="false">IF(ISBLANK($C89),"",IF($U89=Constants!$B$2,TRUE(),IF($U89=Constants!$B$3,FALSE(),FALSE())))</f>
        <v/>
      </c>
      <c r="BA89" s="74" t="str">
        <f aca="false">IF(ISBLANK($C89),"",IF(OR($V89&amp;""="1",$V89&amp;""="2",$V89&amp;""="3",$V89&amp;""="4"),VALUE($V89&amp;""),IF($V89=Constants!$B$12,Constants!$B$12,"")))</f>
        <v/>
      </c>
      <c r="BB89" s="74" t="str">
        <f aca="false">IF(ISBLANK($C89),"",IF(ISBLANK($W89),0,IF(ISNUMBER($W89),IF(AND($W89&gt;=0,$W89&lt;=Constants!$B$21,$W89=INT($W89)),$W89,""),"")))</f>
        <v/>
      </c>
      <c r="BC89" s="74" t="str">
        <f aca="false">IF(ISBLANK($C89),"",IF(ISBLANK($X89),0,IF(ISNUMBER($X89),IF($X89&gt;=0,$X89,""),"")))</f>
        <v/>
      </c>
      <c r="BD89" s="74" t="str">
        <f aca="false">IF(ISBLANK($C89),"",IF($Y89=Constants!$B$2,TRUE(),IF($Y89=Constants!$B$3,FALSE(),TRUE())))</f>
        <v/>
      </c>
      <c r="BE89" s="74" t="str">
        <f aca="false">IF(ISBLANK($C89),"",IF($Z89=Constants!$B$2,TRUE(),IF($Z89=Constants!$B$3,FALSE(),FALSE())))</f>
        <v/>
      </c>
      <c r="BF89" s="74" t="str">
        <f aca="false">IF(ISBLANK($C89),"",IF(ISBLANK($AA89),0,IF(ISNUMBER($AA89),IF(AND($AA89&gt;=0,$AA89&lt;=Constants!$B$35,$AA89=INT($AA89)),$AA89,""),"")))</f>
        <v/>
      </c>
      <c r="BG89" s="74" t="str">
        <f aca="false">IF(ISBLANK($C89),"",IF($AB89=Constants!$B$2,TRUE(),IF($AB89=Constants!$B$3,FALSE(),TRUE())))</f>
        <v/>
      </c>
      <c r="BH89" s="74" t="str">
        <f aca="false">IF(ISBLANK($C89),"",IF($AC89=Constants!$B$2,TRUE(),IF($AC89=Constants!$B$3,FALSE(),TRUE())))</f>
        <v/>
      </c>
      <c r="BI89" s="74" t="str">
        <f aca="false">IF(ISBLANK($C89),"",IF($AD89=Constants!$B$2,TRUE(),IF($AD89=Constants!$B$3,FALSE(),TRUE())))</f>
        <v/>
      </c>
      <c r="BJ89" s="74" t="str">
        <f aca="false">IF(ISBLANK($C89),"",IF(ISNUMBER($AE89),IF($AE89&gt;=0,$AE89,""),""))</f>
        <v/>
      </c>
      <c r="BK89" s="74" t="str">
        <f aca="false">IF(ISBLANK($C89),"",IF($AF89=Constants!$B$2,TRUE(),IF($AF89=Constants!$B$3,FALSE(),FALSE())))</f>
        <v/>
      </c>
      <c r="BL89" s="73" t="str">
        <f aca="false">IF(ISBLANK($C89),"",IF($BK89,Constants!$B$7,IF(COUNTA($E89:$AE89)=0,Constants!$B$6,IF(OR(COUNTA($G89:$AE89)=0,NOT($AM89),$AS89),Constants!$B$5,IF(OR($CM89&lt;&gt;"",$CN89,$CO89,$CP89,$CQ89,$CR89,$CS89),Constants!$B$8,Constants!$B$4)))))</f>
        <v/>
      </c>
      <c r="BM89" s="74" t="str">
        <f aca="false">IF(ISBLANK($C89),"",IF($BL89&lt;&gt;Constants!$B$4,$BL89,IF(OR(NOT($AJ89),NOT($AL89),NOT($AT89)),Constants!$B$11,IF(OR(NOT($AR89),NOT($AU89),NOT($BI89),MAX($AN89,$AO89,$AP89)&gt;Constants!$B$30),Constants!$B$10,Constants!$B$9))))</f>
        <v/>
      </c>
      <c r="BN89" s="74" t="str">
        <f aca="false">IF($BL89&lt;&gt;Constants!$B$4,"",IF(NOT($AL89),0,MIN(Constants!$B$35,$BF89)))</f>
        <v/>
      </c>
      <c r="BO89" s="74" t="str">
        <f aca="false">IF($BL89&lt;&gt;Constants!$B$4,"",IF(NOT($AL89),0,IF($AW89,Constants!$B$18,IF($AV89,Constants!$B$17,0))))</f>
        <v/>
      </c>
      <c r="BP89" s="74" t="str">
        <f aca="false">IF($BL89&lt;&gt;Constants!$B$4,"",IF(NOT($AL89),0,Constants!$B$19*($AK89+$AX89+$AY89+$AZ89)))</f>
        <v/>
      </c>
      <c r="BQ89" s="74" t="str">
        <f aca="false">IF($BL89&lt;&gt;Constants!$B$4,"",IF(OR(NOT($AL89),NOT(ISNUMBER($BA89))),0,CHOOSE($BA89,Constants!$B$13,Constants!$B$14,Constants!$B$15,Constants!$B$16)))</f>
        <v/>
      </c>
      <c r="BR89" s="74" t="str">
        <f aca="false">IF($BL89&lt;&gt;Constants!$B$4,"",IF(NOT($AL89),0,Constants!$B$20*$BB89))</f>
        <v/>
      </c>
      <c r="BS89" s="74" t="str">
        <f aca="false">IF($BL89&lt;&gt;Constants!$B$4,"",IF(AND($AL89,$BD89,$BE89),Constants!$B$22,0))</f>
        <v/>
      </c>
      <c r="BT89" s="74" t="str">
        <f aca="false">IF($BL89&lt;&gt;Constants!$B$4,"",IF(OR(NOT($AL89),NOT($BD89)),0,IF($BJ89&gt;=2*$AH$9,0,Constants!$B$23*INT(ROUND(MIN($BJ89,$AH$9),6)))))</f>
        <v/>
      </c>
      <c r="BU89" s="74" t="str">
        <f aca="false">IF($BL89&lt;&gt;Constants!$B$4,"",IF(NOT($AL89),0,Constants!$B$24*INT(ROUND(MIN($BC89,$AH$9),6))))</f>
        <v/>
      </c>
      <c r="BV89" s="74" t="str">
        <f aca="false">IF($BL89&lt;&gt;Constants!$B$4,"",IF(AND($AL89,$BN89=0),Constants!$B$25,0))</f>
        <v/>
      </c>
      <c r="BW89" s="74" t="str">
        <f aca="false">IF($BL89&lt;&gt;Constants!$B$4,"",MIN(Constants!$B$29,MAX(0,Constants!$B$27*Constants!$B$28*INT(ROUND((Constants!$B$26-$AN89)/Constants!$B$28,6))))+MIN(Constants!$B$29,MAX(0,Constants!$B$27*Constants!$B$28*INT(ROUND((Constants!$B$26-$AO89)/Constants!$B$28,6))))+MIN(Constants!$B$29,MAX(0,Constants!$B$27*Constants!$B$28*INT(ROUND((Constants!$B$26-$AP89)/Constants!$B$28,6)))))</f>
        <v/>
      </c>
      <c r="BX89" s="74" t="str">
        <f aca="false">IF($BL89&lt;&gt;Constants!$B$4,"",IF(NOT($AL89),0,Constants!$B$31*INT(ROUND(MAX(0,MIN($BJ89,2*$AH$9)-$AH$9),6))))</f>
        <v/>
      </c>
      <c r="BY89" s="74" t="str">
        <f aca="false">IF($BL89&lt;&gt;Constants!$B$4,"",Constants!$B$32*(($AN89&gt;Constants!$B$26)+($AO89&gt;Constants!$B$26)+($AP89&gt;Constants!$B$26)))</f>
        <v/>
      </c>
      <c r="BZ89" s="74" t="str">
        <f aca="false">IF($BL89&lt;&gt;Constants!$B$4,"",IF(OR(NOT($AL89),$AQ89),0,Constants!$B$33))</f>
        <v/>
      </c>
      <c r="CA89" s="74" t="str">
        <f aca="false">IF($BL89&lt;&gt;Constants!$B$4,"",Constants!$B$34*$BN89)</f>
        <v/>
      </c>
      <c r="CB89" s="74" t="str">
        <f aca="false">IF($BL89&lt;&gt;Constants!$B$4,"",IF(OR(NOT($AL89),$BH89),0,Constants!$B$36))</f>
        <v/>
      </c>
      <c r="CC89" s="74" t="str">
        <f aca="false">IF($BL89&lt;&gt;Constants!$B$4,"",IF(OR(NOT($AL89),$BG89),0,Constants!$B$37))</f>
        <v/>
      </c>
      <c r="CD89" s="74" t="str">
        <f aca="false">IF($BL89&lt;&gt;Constants!$B$4,"",SUM($BX89:$CC89))</f>
        <v/>
      </c>
      <c r="CE89" s="74" t="str">
        <f aca="false">IF(ISBLANK($C89),"",IF($BL89&lt;&gt;Constants!$B$4,$BL89,SUM($BO89:$BW89)-$CD89))</f>
        <v/>
      </c>
      <c r="CF89" s="74" t="str">
        <f aca="false">IF(ISBLANK($C89),"",IF($BL89&lt;&gt;Constants!$B$4,$BL89,RANK($CE89,$CE$9:$CE$508)))</f>
        <v/>
      </c>
      <c r="CG89" s="74" t="str">
        <f aca="false">IF(ISBLANK($C89),"",IF($BL89&lt;&gt;Constants!$B$4,$BL89,COUNTIFS($BM$9:$BM$508,"&lt;"&amp;$BM89)+COUNTIFS($BM$9:$BM$508,$BM89,$CF$9:$CF$508,"&lt;"&amp;$CF89)+1))</f>
        <v/>
      </c>
      <c r="CH89" s="74" t="str">
        <f aca="false">IF(ISBLANK($C89),"",IF($BL89&lt;&gt;Constants!$B$4,$BL89,RANK($CD89,$CD$9:$CD$508,1)))</f>
        <v/>
      </c>
      <c r="CI89" s="74" t="str">
        <f aca="false">IF($BL89&lt;&gt;Constants!$B$4,"",$AN89+$AO89+$AP89)</f>
        <v/>
      </c>
      <c r="CJ89" s="74" t="str">
        <f aca="false">IF(ISBLANK($C89),"",IF($BL89&lt;&gt;Constants!$B$4,$BL89,RANK($CI89,$CI$9:$CI$508,1)))</f>
        <v/>
      </c>
      <c r="CK89" s="74" t="str">
        <f aca="false">IF(ISBLANK($C89),"",IF($BL89&lt;&gt;Constants!$B$4,$BL89,COUNTIFS($BM$9:$BM$508,"&lt;"&amp;$BM89)+COUNTIFS($BM$9:$BM$508,$BM89,$CF$9:$CF$508,"&lt;"&amp;$CF89)+COUNTIFS($BM$9:$BM$508,$BM89,$CF$9:$CF$508,$CF89,$CH$9:$CH$508,"&lt;"&amp;$CH89)+COUNTIFS($BM$9:$BM$508,$BM89,$CF$9:$CF$508,$CF89,$CH$9:$CH$508,$CH89,$CJ$9:$CJ$508,"&lt;"&amp;$CJ89)+1))</f>
        <v/>
      </c>
      <c r="CL89" s="74" t="str">
        <f aca="false">IF(ISBLANK($C89),"",IF($BL89&lt;&gt;Constants!$B$4,$BL89,$CG89-$CK89))</f>
        <v/>
      </c>
      <c r="CM89" s="74" t="str">
        <f aca="false">IF(ISBLANK($C89),"",IF(NOT($AL89),"",IF(ISBLANK($D$7),$CM$5,IF(NOT(ISNUMBER($D$7)),$CM$6,""))))</f>
        <v/>
      </c>
      <c r="CN89" s="74" t="str">
        <f aca="false">IF(ISBLANK($C89),"",OR($AN89="",$AO89="",$AP89=""))</f>
        <v/>
      </c>
      <c r="CO89" s="74" t="str">
        <f aca="false">IF(ISBLANK($C89),"",AND($AL89,$BA89=""))</f>
        <v/>
      </c>
      <c r="CP89" s="74" t="str">
        <f aca="false">IF(ISBLANK($C89),"",AND($AL89,$BB89=""))</f>
        <v/>
      </c>
      <c r="CQ89" s="74" t="str">
        <f aca="false">IF(ISBLANK($C89),"",AND($AL89,$BC89=""))</f>
        <v/>
      </c>
      <c r="CR89" s="74" t="str">
        <f aca="false">IF(ISBLANK($C89),"",AND($AL89,$BF89=""))</f>
        <v/>
      </c>
      <c r="CS89" s="74" t="str">
        <f aca="false">IF(ISBLANK($C89),"",AND($AL89,$BJ89=""))</f>
        <v/>
      </c>
      <c r="CT89" s="75"/>
      <c r="CU89" s="76"/>
      <c r="CV89" s="79" t="str">
        <f aca="false">IF(ISBLANK($C89),"",IF($BL89=Constants!$B$8,$CM89,""))</f>
        <v/>
      </c>
      <c r="CW89" s="76" t="str">
        <f aca="false">IF(ISBLANK($C89),"",IF($BL89&lt;&gt;Constants!$B$4,"",$BO89+$BP89))</f>
        <v/>
      </c>
      <c r="CX89" s="78" t="str">
        <f aca="false">IF(ISBLANK($C89),"",IF($BL89&lt;&gt;Constants!$B$4,"",$BQ89+$BR89+$BS89))</f>
        <v/>
      </c>
      <c r="CY89" s="78" t="str">
        <f aca="false">IF(ISBLANK($C89),"",IF($BL89&lt;&gt;Constants!$B$4,"",$BT89))</f>
        <v/>
      </c>
      <c r="CZ89" s="78" t="str">
        <f aca="false">IF(ISBLANK($C89),"",IF($BL89&lt;&gt;Constants!$B$4,"",$BU89+$BV89))</f>
        <v/>
      </c>
      <c r="DA89" s="78" t="str">
        <f aca="false">IF(ISBLANK($C89),"",IF($BL89&lt;&gt;Constants!$B$4,"",$BW89))</f>
        <v/>
      </c>
      <c r="DB89" s="78" t="str">
        <f aca="false">IF(ISBLANK($C89),"",IF($BL89&lt;&gt;Constants!$B$4,"",-$CD89))</f>
        <v/>
      </c>
      <c r="DC89" s="79" t="str">
        <f aca="false">IF(ISBLANK($C89),"",$CE89)</f>
        <v/>
      </c>
      <c r="DD89" s="80" t="str">
        <f aca="false">IF(ISBLANK($C89),"",$BM89)</f>
        <v/>
      </c>
      <c r="DE89" s="78" t="str">
        <f aca="false">IF(ISBLANK($C89),"",$CL89)</f>
        <v/>
      </c>
      <c r="DF89" s="78" t="str">
        <f aca="false">IF(ISBLANK($C89),"",$CK89)</f>
        <v/>
      </c>
      <c r="DG89" s="81" t="str">
        <f aca="false">IF(ISBLANK($C89),"",IF($DF89=Constants!$B$7,COUNTA($C$9:$C$508)+2,IF($DF89=Constants!$B$6,COUNTA($C$9:$C$508)+1,IF($DF89=Constants!$B$5,COUNTA($C$9:$C$508),$DF89))))</f>
        <v/>
      </c>
      <c r="DH89" s="7"/>
      <c r="DI89" s="82" t="n">
        <f aca="false">IF(OR(ISNUMBER($DF89),$DF89=Constants!$B$7,$DF89=Constants!$B$5,$DF89=Constants!$B$6),1,0)</f>
        <v>0</v>
      </c>
      <c r="DJ89" s="82" t="n">
        <v>81</v>
      </c>
      <c r="DK89" s="82" t="str">
        <f aca="false">IF(ISBLANK($C89),"",IF(ISNUMBER($DG89),$DG89+ROW($B89)/1000,""))</f>
        <v/>
      </c>
      <c r="DL89" s="82" t="str">
        <f aca="false">IF(ISNUMBER($DK89),RANK($DK89,$DK$9:$DK$508,1),"")</f>
        <v/>
      </c>
      <c r="DM89" s="82" t="str">
        <f aca="false">IF(ISBLANK($C89),"",$B89)</f>
        <v/>
      </c>
      <c r="DN89" s="82" t="str">
        <f aca="false">IF(ISBLANK($C89),"",$C89)</f>
        <v/>
      </c>
      <c r="DO89" s="82" t="str">
        <f aca="false">IF(ISBLANK($C89),"",$D89)</f>
        <v/>
      </c>
      <c r="DP89" s="83" t="str">
        <f aca="false">$DD89</f>
        <v/>
      </c>
      <c r="DQ89" s="84" t="str">
        <f aca="false">$DC89</f>
        <v/>
      </c>
      <c r="DR89" s="82" t="str">
        <f aca="false">IF(ISBLANK($C89),"",$DF89)</f>
        <v/>
      </c>
      <c r="DS89" s="85" t="str">
        <f aca="false">IF($DJ89&gt;$DI$8,"",VLOOKUP($DJ89,$DL$9:$DR$508,7,FALSE()))</f>
        <v/>
      </c>
      <c r="DT89" s="86" t="str">
        <f aca="false">IF($DJ89&gt;$DI$8,"",VLOOKUP($DJ89,$DL$9:$DR$508,2,FALSE()))</f>
        <v/>
      </c>
      <c r="DU89" s="86" t="str">
        <f aca="false">IF($DJ89&gt;$DI$8,"",VLOOKUP($DJ89,$DL$9:$DR$508,3,FALSE()))</f>
        <v/>
      </c>
      <c r="DV89" s="86" t="str">
        <f aca="false">IF($DJ89&gt;$DI$8,"",VLOOKUP($DJ89,$DL$9:$DR$508,4,FALSE()))</f>
        <v/>
      </c>
      <c r="DW89" s="86" t="str">
        <f aca="false">IF($DJ89&gt;$DI$8,"",VLOOKUP($DJ89,$DL$9:$DR$508,5,FALSE()))</f>
        <v/>
      </c>
      <c r="DX89" s="87" t="str">
        <f aca="false">IF($DJ89&gt;$DI$8,"",VLOOKUP($DJ89,$DL$9:$DR$508,6,FALSE()))</f>
        <v/>
      </c>
      <c r="DY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16"/>
      <c r="N90" s="116"/>
      <c r="O90" s="113"/>
      <c r="P90" s="113"/>
      <c r="Q90" s="116"/>
      <c r="R90" s="116"/>
      <c r="S90" s="116"/>
      <c r="T90" s="116"/>
      <c r="U90" s="113"/>
      <c r="V90" s="116"/>
      <c r="W90" s="132"/>
      <c r="X90" s="116"/>
      <c r="Y90" s="116"/>
      <c r="Z90" s="132"/>
      <c r="AA90" s="132"/>
      <c r="AB90" s="116"/>
      <c r="AC90" s="116"/>
      <c r="AD90" s="116"/>
      <c r="AE90" s="133"/>
      <c r="AF90" s="116"/>
      <c r="AG90" s="99"/>
      <c r="AH90" s="100"/>
      <c r="AI90" s="100"/>
      <c r="AJ90" s="100" t="str">
        <f aca="false">IF(ISBLANK($C90),"",IF($E90=Constants!$B$2,TRUE(),IF($E90=Constants!$B$3,FALSE(),TRUE())))</f>
        <v/>
      </c>
      <c r="AK90" s="100" t="str">
        <f aca="false">IF(ISBLANK($C90),"",IF($F90=Constants!$B$2,TRUE(),IF($F90=Constants!$B$3,FALSE(),FALSE())))</f>
        <v/>
      </c>
      <c r="AL90" s="100" t="str">
        <f aca="false">IF(ISBLANK($C90),"",IF($G90=Constants!$B$2,TRUE(),IF($G90=Constants!$B$3,FALSE(),TRUE())))</f>
        <v/>
      </c>
      <c r="AM90" s="100" t="str">
        <f aca="false">IF(ISBLANK($C90),"",IF($H90=Constants!$B$2,TRUE(),IF($H90=Constants!$B$3,FALSE(),TRUE())))</f>
        <v/>
      </c>
      <c r="AN90" s="100" t="str">
        <f aca="false">IF(ISBLANK($C90),"",IF(ISNUMBER($I90),IF($I90&gt;=0,$I90,""),""))</f>
        <v/>
      </c>
      <c r="AO90" s="100" t="str">
        <f aca="false">IF(ISBLANK($C90),"",IF(ISNUMBER($J90),IF($J90&gt;=0,$J90,""),""))</f>
        <v/>
      </c>
      <c r="AP90" s="100" t="str">
        <f aca="false">IF(ISBLANK($C90),"",IF(ISNUMBER($K90),IF($K90&gt;=0,$K90,""),""))</f>
        <v/>
      </c>
      <c r="AQ90" s="100" t="str">
        <f aca="false">IF(ISBLANK($C90),"",IF($L90=Constants!$B$2,TRUE(),IF($L90=Constants!$B$3,FALSE(),TRUE())))</f>
        <v/>
      </c>
      <c r="AR90" s="100" t="str">
        <f aca="false">IF(ISBLANK($C90),"",IF($M90=Constants!$B$2,TRUE(),IF($M90=Constants!$B$3,FALSE(),TRUE())))</f>
        <v/>
      </c>
      <c r="AS90" s="100" t="str">
        <f aca="false">IF(ISBLANK($C90),"",IF($N90=Constants!$B$2,TRUE(),IF($N90=Constants!$B$3,FALSE(),FALSE())))</f>
        <v/>
      </c>
      <c r="AT90" s="100" t="str">
        <f aca="false">IF(ISBLANK($C90),"",IF($O90=Constants!$B$2,TRUE(),IF($O90=Constants!$B$3,FALSE(),TRUE())))</f>
        <v/>
      </c>
      <c r="AU90" s="100" t="str">
        <f aca="false">IF(ISBLANK($C90),"",IF($P90=Constants!$B$2,TRUE(),IF($P90=Constants!$B$3,FALSE(),TRUE())))</f>
        <v/>
      </c>
      <c r="AV90" s="100" t="str">
        <f aca="false">IF(ISBLANK($C90),"",IF($Q90=Constants!$B$2,TRUE(),IF($Q90=Constants!$B$3,FALSE(),FALSE())))</f>
        <v/>
      </c>
      <c r="AW90" s="100" t="str">
        <f aca="false">IF(ISBLANK($C90),"",IF($R90=Constants!$B$2,TRUE(),IF($R90=Constants!$B$3,FALSE(),FALSE())))</f>
        <v/>
      </c>
      <c r="AX90" s="100" t="str">
        <f aca="false">IF(ISBLANK($C90),"",IF($S90=Constants!$B$2,TRUE(),IF($S90=Constants!$B$3,FALSE(),FALSE())))</f>
        <v/>
      </c>
      <c r="AY90" s="100" t="str">
        <f aca="false">IF(ISBLANK($C90),"",IF($T90=Constants!$B$2,TRUE(),IF($T90=Constants!$B$3,FALSE(),FALSE())))</f>
        <v/>
      </c>
      <c r="AZ90" s="100" t="str">
        <f aca="false">IF(ISBLANK($C90),"",IF($U90=Constants!$B$2,TRUE(),IF($U90=Constants!$B$3,FALSE(),FALSE())))</f>
        <v/>
      </c>
      <c r="BA90" s="100" t="str">
        <f aca="false">IF(ISBLANK($C90),"",IF(OR($V90&amp;""="1",$V90&amp;""="2",$V90&amp;""="3",$V90&amp;""="4"),VALUE($V90&amp;""),IF($V90=Constants!$B$12,Constants!$B$12,"")))</f>
        <v/>
      </c>
      <c r="BB90" s="100" t="str">
        <f aca="false">IF(ISBLANK($C90),"",IF(ISBLANK($W90),0,IF(ISNUMBER($W90),IF(AND($W90&gt;=0,$W90&lt;=Constants!$B$21,$W90=INT($W90)),$W90,""),"")))</f>
        <v/>
      </c>
      <c r="BC90" s="100" t="str">
        <f aca="false">IF(ISBLANK($C90),"",IF(ISBLANK($X90),0,IF(ISNUMBER($X90),IF($X90&gt;=0,$X90,""),"")))</f>
        <v/>
      </c>
      <c r="BD90" s="100" t="str">
        <f aca="false">IF(ISBLANK($C90),"",IF($Y90=Constants!$B$2,TRUE(),IF($Y90=Constants!$B$3,FALSE(),TRUE())))</f>
        <v/>
      </c>
      <c r="BE90" s="100" t="str">
        <f aca="false">IF(ISBLANK($C90),"",IF($Z90=Constants!$B$2,TRUE(),IF($Z90=Constants!$B$3,FALSE(),FALSE())))</f>
        <v/>
      </c>
      <c r="BF90" s="100" t="str">
        <f aca="false">IF(ISBLANK($C90),"",IF(ISBLANK($AA90),0,IF(ISNUMBER($AA90),IF(AND($AA90&gt;=0,$AA90&lt;=Constants!$B$35,$AA90=INT($AA90)),$AA90,""),"")))</f>
        <v/>
      </c>
      <c r="BG90" s="100" t="str">
        <f aca="false">IF(ISBLANK($C90),"",IF($AB90=Constants!$B$2,TRUE(),IF($AB90=Constants!$B$3,FALSE(),TRUE())))</f>
        <v/>
      </c>
      <c r="BH90" s="100" t="str">
        <f aca="false">IF(ISBLANK($C90),"",IF($AC90=Constants!$B$2,TRUE(),IF($AC90=Constants!$B$3,FALSE(),TRUE())))</f>
        <v/>
      </c>
      <c r="BI90" s="100" t="str">
        <f aca="false">IF(ISBLANK($C90),"",IF($AD90=Constants!$B$2,TRUE(),IF($AD90=Constants!$B$3,FALSE(),TRUE())))</f>
        <v/>
      </c>
      <c r="BJ90" s="100" t="str">
        <f aca="false">IF(ISBLANK($C90),"",IF(ISNUMBER($AE90),IF($AE90&gt;=0,$AE90,""),""))</f>
        <v/>
      </c>
      <c r="BK90" s="100" t="str">
        <f aca="false">IF(ISBLANK($C90),"",IF($AF90=Constants!$B$2,TRUE(),IF($AF90=Constants!$B$3,FALSE(),FALSE())))</f>
        <v/>
      </c>
      <c r="BL90" s="99" t="str">
        <f aca="false">IF(ISBLANK($C90),"",IF($BK90,Constants!$B$7,IF(COUNTA($E90:$AE90)=0,Constants!$B$6,IF(OR(COUNTA($G90:$AE90)=0,NOT($AM90),$AS90),Constants!$B$5,IF(OR($CM90&lt;&gt;"",$CN90,$CO90,$CP90,$CQ90,$CR90,$CS90),Constants!$B$8,Constants!$B$4)))))</f>
        <v/>
      </c>
      <c r="BM90" s="100" t="str">
        <f aca="false">IF(ISBLANK($C90),"",IF($BL90&lt;&gt;Constants!$B$4,$BL90,IF(OR(NOT($AJ90),NOT($AL90),NOT($AT90)),Constants!$B$11,IF(OR(NOT($AR90),NOT($AU90),NOT($BI90),MAX($AN90,$AO90,$AP90)&gt;Constants!$B$30),Constants!$B$10,Constants!$B$9))))</f>
        <v/>
      </c>
      <c r="BN90" s="100" t="str">
        <f aca="false">IF($BL90&lt;&gt;Constants!$B$4,"",IF(NOT($AL90),0,MIN(Constants!$B$35,$BF90)))</f>
        <v/>
      </c>
      <c r="BO90" s="100" t="str">
        <f aca="false">IF($BL90&lt;&gt;Constants!$B$4,"",IF(NOT($AL90),0,IF($AW90,Constants!$B$18,IF($AV90,Constants!$B$17,0))))</f>
        <v/>
      </c>
      <c r="BP90" s="100" t="str">
        <f aca="false">IF($BL90&lt;&gt;Constants!$B$4,"",IF(NOT($AL90),0,Constants!$B$19*($AK90+$AX90+$AY90+$AZ90)))</f>
        <v/>
      </c>
      <c r="BQ90" s="100" t="str">
        <f aca="false">IF($BL90&lt;&gt;Constants!$B$4,"",IF(OR(NOT($AL90),NOT(ISNUMBER($BA90))),0,CHOOSE($BA90,Constants!$B$13,Constants!$B$14,Constants!$B$15,Constants!$B$16)))</f>
        <v/>
      </c>
      <c r="BR90" s="100" t="str">
        <f aca="false">IF($BL90&lt;&gt;Constants!$B$4,"",IF(NOT($AL90),0,Constants!$B$20*$BB90))</f>
        <v/>
      </c>
      <c r="BS90" s="100" t="str">
        <f aca="false">IF($BL90&lt;&gt;Constants!$B$4,"",IF(AND($AL90,$BD90,$BE90),Constants!$B$22,0))</f>
        <v/>
      </c>
      <c r="BT90" s="100" t="str">
        <f aca="false">IF($BL90&lt;&gt;Constants!$B$4,"",IF(OR(NOT($AL90),NOT($BD90)),0,IF($BJ90&gt;=2*$AH$9,0,Constants!$B$23*INT(ROUND(MIN($BJ90,$AH$9),6)))))</f>
        <v/>
      </c>
      <c r="BU90" s="100" t="str">
        <f aca="false">IF($BL90&lt;&gt;Constants!$B$4,"",IF(NOT($AL90),0,Constants!$B$24*INT(ROUND(MIN($BC90,$AH$9),6))))</f>
        <v/>
      </c>
      <c r="BV90" s="100" t="str">
        <f aca="false">IF($BL90&lt;&gt;Constants!$B$4,"",IF(AND($AL90,$BN90=0),Constants!$B$25,0))</f>
        <v/>
      </c>
      <c r="BW90" s="100" t="str">
        <f aca="false">IF($BL90&lt;&gt;Constants!$B$4,"",MIN(Constants!$B$29,MAX(0,Constants!$B$27*Constants!$B$28*INT(ROUND((Constants!$B$26-$AN90)/Constants!$B$28,6))))+MIN(Constants!$B$29,MAX(0,Constants!$B$27*Constants!$B$28*INT(ROUND((Constants!$B$26-$AO90)/Constants!$B$28,6))))+MIN(Constants!$B$29,MAX(0,Constants!$B$27*Constants!$B$28*INT(ROUND((Constants!$B$26-$AP90)/Constants!$B$28,6)))))</f>
        <v/>
      </c>
      <c r="BX90" s="100" t="str">
        <f aca="false">IF($BL90&lt;&gt;Constants!$B$4,"",IF(NOT($AL90),0,Constants!$B$31*INT(ROUND(MAX(0,MIN($BJ90,2*$AH$9)-$AH$9),6))))</f>
        <v/>
      </c>
      <c r="BY90" s="100" t="str">
        <f aca="false">IF($BL90&lt;&gt;Constants!$B$4,"",Constants!$B$32*(($AN90&gt;Constants!$B$26)+($AO90&gt;Constants!$B$26)+($AP90&gt;Constants!$B$26)))</f>
        <v/>
      </c>
      <c r="BZ90" s="100" t="str">
        <f aca="false">IF($BL90&lt;&gt;Constants!$B$4,"",IF(OR(NOT($AL90),$AQ90),0,Constants!$B$33))</f>
        <v/>
      </c>
      <c r="CA90" s="100" t="str">
        <f aca="false">IF($BL90&lt;&gt;Constants!$B$4,"",Constants!$B$34*$BN90)</f>
        <v/>
      </c>
      <c r="CB90" s="100" t="str">
        <f aca="false">IF($BL90&lt;&gt;Constants!$B$4,"",IF(OR(NOT($AL90),$BH90),0,Constants!$B$36))</f>
        <v/>
      </c>
      <c r="CC90" s="100" t="str">
        <f aca="false">IF($BL90&lt;&gt;Constants!$B$4,"",IF(OR(NOT($AL90),$BG90),0,Constants!$B$37))</f>
        <v/>
      </c>
      <c r="CD90" s="100" t="str">
        <f aca="false">IF($BL90&lt;&gt;Constants!$B$4,"",SUM($BX90:$CC90))</f>
        <v/>
      </c>
      <c r="CE90" s="100" t="str">
        <f aca="false">IF(ISBLANK($C90),"",IF($BL90&lt;&gt;Constants!$B$4,$BL90,SUM($BO90:$BW90)-$CD90))</f>
        <v/>
      </c>
      <c r="CF90" s="100" t="str">
        <f aca="false">IF(ISBLANK($C90),"",IF($BL90&lt;&gt;Constants!$B$4,$BL90,RANK($CE90,$CE$9:$CE$508)))</f>
        <v/>
      </c>
      <c r="CG90" s="100" t="str">
        <f aca="false">IF(ISBLANK($C90),"",IF($BL90&lt;&gt;Constants!$B$4,$BL90,COUNTIFS($BM$9:$BM$508,"&lt;"&amp;$BM90)+COUNTIFS($BM$9:$BM$508,$BM90,$CF$9:$CF$508,"&lt;"&amp;$CF90)+1))</f>
        <v/>
      </c>
      <c r="CH90" s="100" t="str">
        <f aca="false">IF(ISBLANK($C90),"",IF($BL90&lt;&gt;Constants!$B$4,$BL90,RANK($CD90,$CD$9:$CD$508,1)))</f>
        <v/>
      </c>
      <c r="CI90" s="100" t="str">
        <f aca="false">IF($BL90&lt;&gt;Constants!$B$4,"",$AN90+$AO90+$AP90)</f>
        <v/>
      </c>
      <c r="CJ90" s="100" t="str">
        <f aca="false">IF(ISBLANK($C90),"",IF($BL90&lt;&gt;Constants!$B$4,$BL90,RANK($CI90,$CI$9:$CI$508,1)))</f>
        <v/>
      </c>
      <c r="CK90" s="100" t="str">
        <f aca="false">IF(ISBLANK($C90),"",IF($BL90&lt;&gt;Constants!$B$4,$BL90,COUNTIFS($BM$9:$BM$508,"&lt;"&amp;$BM90)+COUNTIFS($BM$9:$BM$508,$BM90,$CF$9:$CF$508,"&lt;"&amp;$CF90)+COUNTIFS($BM$9:$BM$508,$BM90,$CF$9:$CF$508,$CF90,$CH$9:$CH$508,"&lt;"&amp;$CH90)+COUNTIFS($BM$9:$BM$508,$BM90,$CF$9:$CF$508,$CF90,$CH$9:$CH$508,$CH90,$CJ$9:$CJ$508,"&lt;"&amp;$CJ90)+1))</f>
        <v/>
      </c>
      <c r="CL90" s="100" t="str">
        <f aca="false">IF(ISBLANK($C90),"",IF($BL90&lt;&gt;Constants!$B$4,$BL90,$CG90-$CK90))</f>
        <v/>
      </c>
      <c r="CM90" s="100" t="str">
        <f aca="false">IF(ISBLANK($C90),"",IF(NOT($AL90),"",IF(ISBLANK($D$7),$CM$5,IF(NOT(ISNUMBER($D$7)),$CM$6,""))))</f>
        <v/>
      </c>
      <c r="CN90" s="100" t="str">
        <f aca="false">IF(ISBLANK($C90),"",OR($AN90="",$AO90="",$AP90=""))</f>
        <v/>
      </c>
      <c r="CO90" s="100" t="str">
        <f aca="false">IF(ISBLANK($C90),"",AND($AL90,$BA90=""))</f>
        <v/>
      </c>
      <c r="CP90" s="100" t="str">
        <f aca="false">IF(ISBLANK($C90),"",AND($AL90,$BB90=""))</f>
        <v/>
      </c>
      <c r="CQ90" s="100" t="str">
        <f aca="false">IF(ISBLANK($C90),"",AND($AL90,$BC90=""))</f>
        <v/>
      </c>
      <c r="CR90" s="100" t="str">
        <f aca="false">IF(ISBLANK($C90),"",AND($AL90,$BF90=""))</f>
        <v/>
      </c>
      <c r="CS90" s="100" t="str">
        <f aca="false">IF(ISBLANK($C90),"",AND($AL90,$BJ90=""))</f>
        <v/>
      </c>
      <c r="CT90" s="101"/>
      <c r="CU90" s="102"/>
      <c r="CV90" s="103" t="str">
        <f aca="false">IF(ISBLANK($C90),"",IF($BL90=Constants!$B$8,$CM90,""))</f>
        <v/>
      </c>
      <c r="CW90" s="102" t="str">
        <f aca="false">IF(ISBLANK($C90),"",IF($BL90&lt;&gt;Constants!$B$4,"",$BO90+$BP90))</f>
        <v/>
      </c>
      <c r="CX90" s="104" t="str">
        <f aca="false">IF(ISBLANK($C90),"",IF($BL90&lt;&gt;Constants!$B$4,"",$BQ90+$BR90+$BS90))</f>
        <v/>
      </c>
      <c r="CY90" s="104" t="str">
        <f aca="false">IF(ISBLANK($C90),"",IF($BL90&lt;&gt;Constants!$B$4,"",$BT90))</f>
        <v/>
      </c>
      <c r="CZ90" s="104" t="str">
        <f aca="false">IF(ISBLANK($C90),"",IF($BL90&lt;&gt;Constants!$B$4,"",$BU90+$BV90))</f>
        <v/>
      </c>
      <c r="DA90" s="104" t="str">
        <f aca="false">IF(ISBLANK($C90),"",IF($BL90&lt;&gt;Constants!$B$4,"",$BW90))</f>
        <v/>
      </c>
      <c r="DB90" s="104" t="str">
        <f aca="false">IF(ISBLANK($C90),"",IF($BL90&lt;&gt;Constants!$B$4,"",-$CD90))</f>
        <v/>
      </c>
      <c r="DC90" s="103" t="str">
        <f aca="false">IF(ISBLANK($C90),"",$CE90)</f>
        <v/>
      </c>
      <c r="DD90" s="105" t="str">
        <f aca="false">IF(ISBLANK($C90),"",$BM90)</f>
        <v/>
      </c>
      <c r="DE90" s="104" t="str">
        <f aca="false">IF(ISBLANK($C90),"",$CL90)</f>
        <v/>
      </c>
      <c r="DF90" s="104" t="str">
        <f aca="false">IF(ISBLANK($C90),"",$CK90)</f>
        <v/>
      </c>
      <c r="DG90" s="106" t="str">
        <f aca="false">IF(ISBLANK($C90),"",IF($DF90=Constants!$B$7,COUNTA($C$9:$C$508)+2,IF($DF90=Constants!$B$6,COUNTA($C$9:$C$508)+1,IF($DF90=Constants!$B$5,COUNTA($C$9:$C$508),$DF90))))</f>
        <v/>
      </c>
      <c r="DH90" s="7"/>
      <c r="DI90" s="107" t="n">
        <f aca="false">IF(OR(ISNUMBER($DF90),$DF90=Constants!$B$7,$DF90=Constants!$B$5,$DF90=Constants!$B$6),1,0)</f>
        <v>0</v>
      </c>
      <c r="DJ90" s="107" t="n">
        <v>82</v>
      </c>
      <c r="DK90" s="107" t="str">
        <f aca="false">IF(ISBLANK($C90),"",IF(ISNUMBER($DG90),$DG90+ROW($B90)/1000,""))</f>
        <v/>
      </c>
      <c r="DL90" s="107" t="str">
        <f aca="false">IF(ISNUMBER($DK90),RANK($DK90,$DK$9:$DK$508,1),"")</f>
        <v/>
      </c>
      <c r="DM90" s="107" t="str">
        <f aca="false">IF(ISBLANK($C90),"",$B90)</f>
        <v/>
      </c>
      <c r="DN90" s="107" t="str">
        <f aca="false">IF(ISBLANK($C90),"",$C90)</f>
        <v/>
      </c>
      <c r="DO90" s="107" t="str">
        <f aca="false">IF(ISBLANK($C90),"",$D90)</f>
        <v/>
      </c>
      <c r="DP90" s="108" t="str">
        <f aca="false">$DD90</f>
        <v/>
      </c>
      <c r="DQ90" s="109" t="str">
        <f aca="false">$DC90</f>
        <v/>
      </c>
      <c r="DR90" s="107" t="str">
        <f aca="false">IF(ISBLANK($C90),"",$DF90)</f>
        <v/>
      </c>
      <c r="DS90" s="110" t="str">
        <f aca="false">IF($DJ90&gt;$DI$8,"",VLOOKUP($DJ90,$DL$9:$DR$508,7,FALSE()))</f>
        <v/>
      </c>
      <c r="DT90" s="111" t="str">
        <f aca="false">IF($DJ90&gt;$DI$8,"",VLOOKUP($DJ90,$DL$9:$DR$508,2,FALSE()))</f>
        <v/>
      </c>
      <c r="DU90" s="111" t="str">
        <f aca="false">IF($DJ90&gt;$DI$8,"",VLOOKUP($DJ90,$DL$9:$DR$508,3,FALSE()))</f>
        <v/>
      </c>
      <c r="DV90" s="111" t="str">
        <f aca="false">IF($DJ90&gt;$DI$8,"",VLOOKUP($DJ90,$DL$9:$DR$508,4,FALSE()))</f>
        <v/>
      </c>
      <c r="DW90" s="111" t="str">
        <f aca="false">IF($DJ90&gt;$DI$8,"",VLOOKUP($DJ90,$DL$9:$DR$508,5,FALSE()))</f>
        <v/>
      </c>
      <c r="DX90" s="112" t="str">
        <f aca="false">IF($DJ90&gt;$DI$8,"",VLOOKUP($DJ90,$DL$9:$DR$508,6,FALSE()))</f>
        <v/>
      </c>
      <c r="DY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16"/>
      <c r="N91" s="116"/>
      <c r="O91" s="113"/>
      <c r="P91" s="113"/>
      <c r="Q91" s="116"/>
      <c r="R91" s="116"/>
      <c r="S91" s="116"/>
      <c r="T91" s="116"/>
      <c r="U91" s="113"/>
      <c r="V91" s="116"/>
      <c r="W91" s="132"/>
      <c r="X91" s="116"/>
      <c r="Y91" s="116"/>
      <c r="Z91" s="132"/>
      <c r="AA91" s="132"/>
      <c r="AB91" s="116"/>
      <c r="AC91" s="116"/>
      <c r="AD91" s="116"/>
      <c r="AE91" s="133"/>
      <c r="AF91" s="116"/>
      <c r="AG91" s="99"/>
      <c r="AH91" s="100"/>
      <c r="AI91" s="100"/>
      <c r="AJ91" s="100" t="str">
        <f aca="false">IF(ISBLANK($C91),"",IF($E91=Constants!$B$2,TRUE(),IF($E91=Constants!$B$3,FALSE(),TRUE())))</f>
        <v/>
      </c>
      <c r="AK91" s="100" t="str">
        <f aca="false">IF(ISBLANK($C91),"",IF($F91=Constants!$B$2,TRUE(),IF($F91=Constants!$B$3,FALSE(),FALSE())))</f>
        <v/>
      </c>
      <c r="AL91" s="100" t="str">
        <f aca="false">IF(ISBLANK($C91),"",IF($G91=Constants!$B$2,TRUE(),IF($G91=Constants!$B$3,FALSE(),TRUE())))</f>
        <v/>
      </c>
      <c r="AM91" s="100" t="str">
        <f aca="false">IF(ISBLANK($C91),"",IF($H91=Constants!$B$2,TRUE(),IF($H91=Constants!$B$3,FALSE(),TRUE())))</f>
        <v/>
      </c>
      <c r="AN91" s="100" t="str">
        <f aca="false">IF(ISBLANK($C91),"",IF(ISNUMBER($I91),IF($I91&gt;=0,$I91,""),""))</f>
        <v/>
      </c>
      <c r="AO91" s="100" t="str">
        <f aca="false">IF(ISBLANK($C91),"",IF(ISNUMBER($J91),IF($J91&gt;=0,$J91,""),""))</f>
        <v/>
      </c>
      <c r="AP91" s="100" t="str">
        <f aca="false">IF(ISBLANK($C91),"",IF(ISNUMBER($K91),IF($K91&gt;=0,$K91,""),""))</f>
        <v/>
      </c>
      <c r="AQ91" s="100" t="str">
        <f aca="false">IF(ISBLANK($C91),"",IF($L91=Constants!$B$2,TRUE(),IF($L91=Constants!$B$3,FALSE(),TRUE())))</f>
        <v/>
      </c>
      <c r="AR91" s="100" t="str">
        <f aca="false">IF(ISBLANK($C91),"",IF($M91=Constants!$B$2,TRUE(),IF($M91=Constants!$B$3,FALSE(),TRUE())))</f>
        <v/>
      </c>
      <c r="AS91" s="100" t="str">
        <f aca="false">IF(ISBLANK($C91),"",IF($N91=Constants!$B$2,TRUE(),IF($N91=Constants!$B$3,FALSE(),FALSE())))</f>
        <v/>
      </c>
      <c r="AT91" s="100" t="str">
        <f aca="false">IF(ISBLANK($C91),"",IF($O91=Constants!$B$2,TRUE(),IF($O91=Constants!$B$3,FALSE(),TRUE())))</f>
        <v/>
      </c>
      <c r="AU91" s="100" t="str">
        <f aca="false">IF(ISBLANK($C91),"",IF($P91=Constants!$B$2,TRUE(),IF($P91=Constants!$B$3,FALSE(),TRUE())))</f>
        <v/>
      </c>
      <c r="AV91" s="100" t="str">
        <f aca="false">IF(ISBLANK($C91),"",IF($Q91=Constants!$B$2,TRUE(),IF($Q91=Constants!$B$3,FALSE(),FALSE())))</f>
        <v/>
      </c>
      <c r="AW91" s="100" t="str">
        <f aca="false">IF(ISBLANK($C91),"",IF($R91=Constants!$B$2,TRUE(),IF($R91=Constants!$B$3,FALSE(),FALSE())))</f>
        <v/>
      </c>
      <c r="AX91" s="100" t="str">
        <f aca="false">IF(ISBLANK($C91),"",IF($S91=Constants!$B$2,TRUE(),IF($S91=Constants!$B$3,FALSE(),FALSE())))</f>
        <v/>
      </c>
      <c r="AY91" s="100" t="str">
        <f aca="false">IF(ISBLANK($C91),"",IF($T91=Constants!$B$2,TRUE(),IF($T91=Constants!$B$3,FALSE(),FALSE())))</f>
        <v/>
      </c>
      <c r="AZ91" s="100" t="str">
        <f aca="false">IF(ISBLANK($C91),"",IF($U91=Constants!$B$2,TRUE(),IF($U91=Constants!$B$3,FALSE(),FALSE())))</f>
        <v/>
      </c>
      <c r="BA91" s="100" t="str">
        <f aca="false">IF(ISBLANK($C91),"",IF(OR($V91&amp;""="1",$V91&amp;""="2",$V91&amp;""="3",$V91&amp;""="4"),VALUE($V91&amp;""),IF($V91=Constants!$B$12,Constants!$B$12,"")))</f>
        <v/>
      </c>
      <c r="BB91" s="100" t="str">
        <f aca="false">IF(ISBLANK($C91),"",IF(ISBLANK($W91),0,IF(ISNUMBER($W91),IF(AND($W91&gt;=0,$W91&lt;=Constants!$B$21,$W91=INT($W91)),$W91,""),"")))</f>
        <v/>
      </c>
      <c r="BC91" s="100" t="str">
        <f aca="false">IF(ISBLANK($C91),"",IF(ISBLANK($X91),0,IF(ISNUMBER($X91),IF($X91&gt;=0,$X91,""),"")))</f>
        <v/>
      </c>
      <c r="BD91" s="100" t="str">
        <f aca="false">IF(ISBLANK($C91),"",IF($Y91=Constants!$B$2,TRUE(),IF($Y91=Constants!$B$3,FALSE(),TRUE())))</f>
        <v/>
      </c>
      <c r="BE91" s="100" t="str">
        <f aca="false">IF(ISBLANK($C91),"",IF($Z91=Constants!$B$2,TRUE(),IF($Z91=Constants!$B$3,FALSE(),FALSE())))</f>
        <v/>
      </c>
      <c r="BF91" s="100" t="str">
        <f aca="false">IF(ISBLANK($C91),"",IF(ISBLANK($AA91),0,IF(ISNUMBER($AA91),IF(AND($AA91&gt;=0,$AA91&lt;=Constants!$B$35,$AA91=INT($AA91)),$AA91,""),"")))</f>
        <v/>
      </c>
      <c r="BG91" s="100" t="str">
        <f aca="false">IF(ISBLANK($C91),"",IF($AB91=Constants!$B$2,TRUE(),IF($AB91=Constants!$B$3,FALSE(),TRUE())))</f>
        <v/>
      </c>
      <c r="BH91" s="100" t="str">
        <f aca="false">IF(ISBLANK($C91),"",IF($AC91=Constants!$B$2,TRUE(),IF($AC91=Constants!$B$3,FALSE(),TRUE())))</f>
        <v/>
      </c>
      <c r="BI91" s="100" t="str">
        <f aca="false">IF(ISBLANK($C91),"",IF($AD91=Constants!$B$2,TRUE(),IF($AD91=Constants!$B$3,FALSE(),TRUE())))</f>
        <v/>
      </c>
      <c r="BJ91" s="100" t="str">
        <f aca="false">IF(ISBLANK($C91),"",IF(ISNUMBER($AE91),IF($AE91&gt;=0,$AE91,""),""))</f>
        <v/>
      </c>
      <c r="BK91" s="100" t="str">
        <f aca="false">IF(ISBLANK($C91),"",IF($AF91=Constants!$B$2,TRUE(),IF($AF91=Constants!$B$3,FALSE(),FALSE())))</f>
        <v/>
      </c>
      <c r="BL91" s="99" t="str">
        <f aca="false">IF(ISBLANK($C91),"",IF($BK91,Constants!$B$7,IF(COUNTA($E91:$AE91)=0,Constants!$B$6,IF(OR(COUNTA($G91:$AE91)=0,NOT($AM91),$AS91),Constants!$B$5,IF(OR($CM91&lt;&gt;"",$CN91,$CO91,$CP91,$CQ91,$CR91,$CS91),Constants!$B$8,Constants!$B$4)))))</f>
        <v/>
      </c>
      <c r="BM91" s="100" t="str">
        <f aca="false">IF(ISBLANK($C91),"",IF($BL91&lt;&gt;Constants!$B$4,$BL91,IF(OR(NOT($AJ91),NOT($AL91),NOT($AT91)),Constants!$B$11,IF(OR(NOT($AR91),NOT($AU91),NOT($BI91),MAX($AN91,$AO91,$AP91)&gt;Constants!$B$30),Constants!$B$10,Constants!$B$9))))</f>
        <v/>
      </c>
      <c r="BN91" s="100" t="str">
        <f aca="false">IF($BL91&lt;&gt;Constants!$B$4,"",IF(NOT($AL91),0,MIN(Constants!$B$35,$BF91)))</f>
        <v/>
      </c>
      <c r="BO91" s="100" t="str">
        <f aca="false">IF($BL91&lt;&gt;Constants!$B$4,"",IF(NOT($AL91),0,IF($AW91,Constants!$B$18,IF($AV91,Constants!$B$17,0))))</f>
        <v/>
      </c>
      <c r="BP91" s="100" t="str">
        <f aca="false">IF($BL91&lt;&gt;Constants!$B$4,"",IF(NOT($AL91),0,Constants!$B$19*($AK91+$AX91+$AY91+$AZ91)))</f>
        <v/>
      </c>
      <c r="BQ91" s="100" t="str">
        <f aca="false">IF($BL91&lt;&gt;Constants!$B$4,"",IF(OR(NOT($AL91),NOT(ISNUMBER($BA91))),0,CHOOSE($BA91,Constants!$B$13,Constants!$B$14,Constants!$B$15,Constants!$B$16)))</f>
        <v/>
      </c>
      <c r="BR91" s="100" t="str">
        <f aca="false">IF($BL91&lt;&gt;Constants!$B$4,"",IF(NOT($AL91),0,Constants!$B$20*$BB91))</f>
        <v/>
      </c>
      <c r="BS91" s="100" t="str">
        <f aca="false">IF($BL91&lt;&gt;Constants!$B$4,"",IF(AND($AL91,$BD91,$BE91),Constants!$B$22,0))</f>
        <v/>
      </c>
      <c r="BT91" s="100" t="str">
        <f aca="false">IF($BL91&lt;&gt;Constants!$B$4,"",IF(OR(NOT($AL91),NOT($BD91)),0,IF($BJ91&gt;=2*$AH$9,0,Constants!$B$23*INT(ROUND(MIN($BJ91,$AH$9),6)))))</f>
        <v/>
      </c>
      <c r="BU91" s="100" t="str">
        <f aca="false">IF($BL91&lt;&gt;Constants!$B$4,"",IF(NOT($AL91),0,Constants!$B$24*INT(ROUND(MIN($BC91,$AH$9),6))))</f>
        <v/>
      </c>
      <c r="BV91" s="100" t="str">
        <f aca="false">IF($BL91&lt;&gt;Constants!$B$4,"",IF(AND($AL91,$BN91=0),Constants!$B$25,0))</f>
        <v/>
      </c>
      <c r="BW91" s="100" t="str">
        <f aca="false">IF($BL91&lt;&gt;Constants!$B$4,"",MIN(Constants!$B$29,MAX(0,Constants!$B$27*Constants!$B$28*INT(ROUND((Constants!$B$26-$AN91)/Constants!$B$28,6))))+MIN(Constants!$B$29,MAX(0,Constants!$B$27*Constants!$B$28*INT(ROUND((Constants!$B$26-$AO91)/Constants!$B$28,6))))+MIN(Constants!$B$29,MAX(0,Constants!$B$27*Constants!$B$28*INT(ROUND((Constants!$B$26-$AP91)/Constants!$B$28,6)))))</f>
        <v/>
      </c>
      <c r="BX91" s="100" t="str">
        <f aca="false">IF($BL91&lt;&gt;Constants!$B$4,"",IF(NOT($AL91),0,Constants!$B$31*INT(ROUND(MAX(0,MIN($BJ91,2*$AH$9)-$AH$9),6))))</f>
        <v/>
      </c>
      <c r="BY91" s="100" t="str">
        <f aca="false">IF($BL91&lt;&gt;Constants!$B$4,"",Constants!$B$32*(($AN91&gt;Constants!$B$26)+($AO91&gt;Constants!$B$26)+($AP91&gt;Constants!$B$26)))</f>
        <v/>
      </c>
      <c r="BZ91" s="100" t="str">
        <f aca="false">IF($BL91&lt;&gt;Constants!$B$4,"",IF(OR(NOT($AL91),$AQ91),0,Constants!$B$33))</f>
        <v/>
      </c>
      <c r="CA91" s="100" t="str">
        <f aca="false">IF($BL91&lt;&gt;Constants!$B$4,"",Constants!$B$34*$BN91)</f>
        <v/>
      </c>
      <c r="CB91" s="100" t="str">
        <f aca="false">IF($BL91&lt;&gt;Constants!$B$4,"",IF(OR(NOT($AL91),$BH91),0,Constants!$B$36))</f>
        <v/>
      </c>
      <c r="CC91" s="100" t="str">
        <f aca="false">IF($BL91&lt;&gt;Constants!$B$4,"",IF(OR(NOT($AL91),$BG91),0,Constants!$B$37))</f>
        <v/>
      </c>
      <c r="CD91" s="100" t="str">
        <f aca="false">IF($BL91&lt;&gt;Constants!$B$4,"",SUM($BX91:$CC91))</f>
        <v/>
      </c>
      <c r="CE91" s="100" t="str">
        <f aca="false">IF(ISBLANK($C91),"",IF($BL91&lt;&gt;Constants!$B$4,$BL91,SUM($BO91:$BW91)-$CD91))</f>
        <v/>
      </c>
      <c r="CF91" s="100" t="str">
        <f aca="false">IF(ISBLANK($C91),"",IF($BL91&lt;&gt;Constants!$B$4,$BL91,RANK($CE91,$CE$9:$CE$508)))</f>
        <v/>
      </c>
      <c r="CG91" s="100" t="str">
        <f aca="false">IF(ISBLANK($C91),"",IF($BL91&lt;&gt;Constants!$B$4,$BL91,COUNTIFS($BM$9:$BM$508,"&lt;"&amp;$BM91)+COUNTIFS($BM$9:$BM$508,$BM91,$CF$9:$CF$508,"&lt;"&amp;$CF91)+1))</f>
        <v/>
      </c>
      <c r="CH91" s="100" t="str">
        <f aca="false">IF(ISBLANK($C91),"",IF($BL91&lt;&gt;Constants!$B$4,$BL91,RANK($CD91,$CD$9:$CD$508,1)))</f>
        <v/>
      </c>
      <c r="CI91" s="100" t="str">
        <f aca="false">IF($BL91&lt;&gt;Constants!$B$4,"",$AN91+$AO91+$AP91)</f>
        <v/>
      </c>
      <c r="CJ91" s="100" t="str">
        <f aca="false">IF(ISBLANK($C91),"",IF($BL91&lt;&gt;Constants!$B$4,$BL91,RANK($CI91,$CI$9:$CI$508,1)))</f>
        <v/>
      </c>
      <c r="CK91" s="100" t="str">
        <f aca="false">IF(ISBLANK($C91),"",IF($BL91&lt;&gt;Constants!$B$4,$BL91,COUNTIFS($BM$9:$BM$508,"&lt;"&amp;$BM91)+COUNTIFS($BM$9:$BM$508,$BM91,$CF$9:$CF$508,"&lt;"&amp;$CF91)+COUNTIFS($BM$9:$BM$508,$BM91,$CF$9:$CF$508,$CF91,$CH$9:$CH$508,"&lt;"&amp;$CH91)+COUNTIFS($BM$9:$BM$508,$BM91,$CF$9:$CF$508,$CF91,$CH$9:$CH$508,$CH91,$CJ$9:$CJ$508,"&lt;"&amp;$CJ91)+1))</f>
        <v/>
      </c>
      <c r="CL91" s="100" t="str">
        <f aca="false">IF(ISBLANK($C91),"",IF($BL91&lt;&gt;Constants!$B$4,$BL91,$CG91-$CK91))</f>
        <v/>
      </c>
      <c r="CM91" s="100" t="str">
        <f aca="false">IF(ISBLANK($C91),"",IF(NOT($AL91),"",IF(ISBLANK($D$7),$CM$5,IF(NOT(ISNUMBER($D$7)),$CM$6,""))))</f>
        <v/>
      </c>
      <c r="CN91" s="100" t="str">
        <f aca="false">IF(ISBLANK($C91),"",OR($AN91="",$AO91="",$AP91=""))</f>
        <v/>
      </c>
      <c r="CO91" s="100" t="str">
        <f aca="false">IF(ISBLANK($C91),"",AND($AL91,$BA91=""))</f>
        <v/>
      </c>
      <c r="CP91" s="100" t="str">
        <f aca="false">IF(ISBLANK($C91),"",AND($AL91,$BB91=""))</f>
        <v/>
      </c>
      <c r="CQ91" s="100" t="str">
        <f aca="false">IF(ISBLANK($C91),"",AND($AL91,$BC91=""))</f>
        <v/>
      </c>
      <c r="CR91" s="100" t="str">
        <f aca="false">IF(ISBLANK($C91),"",AND($AL91,$BF91=""))</f>
        <v/>
      </c>
      <c r="CS91" s="100" t="str">
        <f aca="false">IF(ISBLANK($C91),"",AND($AL91,$BJ91=""))</f>
        <v/>
      </c>
      <c r="CT91" s="101"/>
      <c r="CU91" s="102"/>
      <c r="CV91" s="103" t="str">
        <f aca="false">IF(ISBLANK($C91),"",IF($BL91=Constants!$B$8,$CM91,""))</f>
        <v/>
      </c>
      <c r="CW91" s="102" t="str">
        <f aca="false">IF(ISBLANK($C91),"",IF($BL91&lt;&gt;Constants!$B$4,"",$BO91+$BP91))</f>
        <v/>
      </c>
      <c r="CX91" s="104" t="str">
        <f aca="false">IF(ISBLANK($C91),"",IF($BL91&lt;&gt;Constants!$B$4,"",$BQ91+$BR91+$BS91))</f>
        <v/>
      </c>
      <c r="CY91" s="104" t="str">
        <f aca="false">IF(ISBLANK($C91),"",IF($BL91&lt;&gt;Constants!$B$4,"",$BT91))</f>
        <v/>
      </c>
      <c r="CZ91" s="104" t="str">
        <f aca="false">IF(ISBLANK($C91),"",IF($BL91&lt;&gt;Constants!$B$4,"",$BU91+$BV91))</f>
        <v/>
      </c>
      <c r="DA91" s="104" t="str">
        <f aca="false">IF(ISBLANK($C91),"",IF($BL91&lt;&gt;Constants!$B$4,"",$BW91))</f>
        <v/>
      </c>
      <c r="DB91" s="104" t="str">
        <f aca="false">IF(ISBLANK($C91),"",IF($BL91&lt;&gt;Constants!$B$4,"",-$CD91))</f>
        <v/>
      </c>
      <c r="DC91" s="103" t="str">
        <f aca="false">IF(ISBLANK($C91),"",$CE91)</f>
        <v/>
      </c>
      <c r="DD91" s="105" t="str">
        <f aca="false">IF(ISBLANK($C91),"",$BM91)</f>
        <v/>
      </c>
      <c r="DE91" s="104" t="str">
        <f aca="false">IF(ISBLANK($C91),"",$CL91)</f>
        <v/>
      </c>
      <c r="DF91" s="104" t="str">
        <f aca="false">IF(ISBLANK($C91),"",$CK91)</f>
        <v/>
      </c>
      <c r="DG91" s="106" t="str">
        <f aca="false">IF(ISBLANK($C91),"",IF($DF91=Constants!$B$7,COUNTA($C$9:$C$508)+2,IF($DF91=Constants!$B$6,COUNTA($C$9:$C$508)+1,IF($DF91=Constants!$B$5,COUNTA($C$9:$C$508),$DF91))))</f>
        <v/>
      </c>
      <c r="DH91" s="7"/>
      <c r="DI91" s="107" t="n">
        <f aca="false">IF(OR(ISNUMBER($DF91),$DF91=Constants!$B$7,$DF91=Constants!$B$5,$DF91=Constants!$B$6),1,0)</f>
        <v>0</v>
      </c>
      <c r="DJ91" s="107" t="n">
        <v>83</v>
      </c>
      <c r="DK91" s="107" t="str">
        <f aca="false">IF(ISBLANK($C91),"",IF(ISNUMBER($DG91),$DG91+ROW($B91)/1000,""))</f>
        <v/>
      </c>
      <c r="DL91" s="107" t="str">
        <f aca="false">IF(ISNUMBER($DK91),RANK($DK91,$DK$9:$DK$508,1),"")</f>
        <v/>
      </c>
      <c r="DM91" s="107" t="str">
        <f aca="false">IF(ISBLANK($C91),"",$B91)</f>
        <v/>
      </c>
      <c r="DN91" s="107" t="str">
        <f aca="false">IF(ISBLANK($C91),"",$C91)</f>
        <v/>
      </c>
      <c r="DO91" s="107" t="str">
        <f aca="false">IF(ISBLANK($C91),"",$D91)</f>
        <v/>
      </c>
      <c r="DP91" s="108" t="str">
        <f aca="false">$DD91</f>
        <v/>
      </c>
      <c r="DQ91" s="109" t="str">
        <f aca="false">$DC91</f>
        <v/>
      </c>
      <c r="DR91" s="107" t="str">
        <f aca="false">IF(ISBLANK($C91),"",$DF91)</f>
        <v/>
      </c>
      <c r="DS91" s="110" t="str">
        <f aca="false">IF($DJ91&gt;$DI$8,"",VLOOKUP($DJ91,$DL$9:$DR$508,7,FALSE()))</f>
        <v/>
      </c>
      <c r="DT91" s="111" t="str">
        <f aca="false">IF($DJ91&gt;$DI$8,"",VLOOKUP($DJ91,$DL$9:$DR$508,2,FALSE()))</f>
        <v/>
      </c>
      <c r="DU91" s="111" t="str">
        <f aca="false">IF($DJ91&gt;$DI$8,"",VLOOKUP($DJ91,$DL$9:$DR$508,3,FALSE()))</f>
        <v/>
      </c>
      <c r="DV91" s="111" t="str">
        <f aca="false">IF($DJ91&gt;$DI$8,"",VLOOKUP($DJ91,$DL$9:$DR$508,4,FALSE()))</f>
        <v/>
      </c>
      <c r="DW91" s="111" t="str">
        <f aca="false">IF($DJ91&gt;$DI$8,"",VLOOKUP($DJ91,$DL$9:$DR$508,5,FALSE()))</f>
        <v/>
      </c>
      <c r="DX91" s="112" t="str">
        <f aca="false">IF($DJ91&gt;$DI$8,"",VLOOKUP($DJ91,$DL$9:$DR$508,6,FALSE()))</f>
        <v/>
      </c>
      <c r="DY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130"/>
      <c r="N92" s="130"/>
      <c r="O92" s="135"/>
      <c r="P92" s="135"/>
      <c r="Q92" s="130"/>
      <c r="R92" s="130"/>
      <c r="S92" s="130"/>
      <c r="T92" s="130"/>
      <c r="U92" s="135"/>
      <c r="V92" s="130"/>
      <c r="W92" s="96"/>
      <c r="X92" s="130"/>
      <c r="Y92" s="130"/>
      <c r="Z92" s="96"/>
      <c r="AA92" s="96"/>
      <c r="AB92" s="130"/>
      <c r="AC92" s="130"/>
      <c r="AD92" s="130"/>
      <c r="AE92" s="97"/>
      <c r="AF92" s="130"/>
      <c r="AG92" s="99"/>
      <c r="AH92" s="100"/>
      <c r="AI92" s="100"/>
      <c r="AJ92" s="100" t="str">
        <f aca="false">IF(ISBLANK($C92),"",IF($E92=Constants!$B$2,TRUE(),IF($E92=Constants!$B$3,FALSE(),TRUE())))</f>
        <v/>
      </c>
      <c r="AK92" s="100" t="str">
        <f aca="false">IF(ISBLANK($C92),"",IF($F92=Constants!$B$2,TRUE(),IF($F92=Constants!$B$3,FALSE(),FALSE())))</f>
        <v/>
      </c>
      <c r="AL92" s="100" t="str">
        <f aca="false">IF(ISBLANK($C92),"",IF($G92=Constants!$B$2,TRUE(),IF($G92=Constants!$B$3,FALSE(),TRUE())))</f>
        <v/>
      </c>
      <c r="AM92" s="100" t="str">
        <f aca="false">IF(ISBLANK($C92),"",IF($H92=Constants!$B$2,TRUE(),IF($H92=Constants!$B$3,FALSE(),TRUE())))</f>
        <v/>
      </c>
      <c r="AN92" s="100" t="str">
        <f aca="false">IF(ISBLANK($C92),"",IF(ISNUMBER($I92),IF($I92&gt;=0,$I92,""),""))</f>
        <v/>
      </c>
      <c r="AO92" s="100" t="str">
        <f aca="false">IF(ISBLANK($C92),"",IF(ISNUMBER($J92),IF($J92&gt;=0,$J92,""),""))</f>
        <v/>
      </c>
      <c r="AP92" s="100" t="str">
        <f aca="false">IF(ISBLANK($C92),"",IF(ISNUMBER($K92),IF($K92&gt;=0,$K92,""),""))</f>
        <v/>
      </c>
      <c r="AQ92" s="100" t="str">
        <f aca="false">IF(ISBLANK($C92),"",IF($L92=Constants!$B$2,TRUE(),IF($L92=Constants!$B$3,FALSE(),TRUE())))</f>
        <v/>
      </c>
      <c r="AR92" s="100" t="str">
        <f aca="false">IF(ISBLANK($C92),"",IF($M92=Constants!$B$2,TRUE(),IF($M92=Constants!$B$3,FALSE(),TRUE())))</f>
        <v/>
      </c>
      <c r="AS92" s="100" t="str">
        <f aca="false">IF(ISBLANK($C92),"",IF($N92=Constants!$B$2,TRUE(),IF($N92=Constants!$B$3,FALSE(),FALSE())))</f>
        <v/>
      </c>
      <c r="AT92" s="100" t="str">
        <f aca="false">IF(ISBLANK($C92),"",IF($O92=Constants!$B$2,TRUE(),IF($O92=Constants!$B$3,FALSE(),TRUE())))</f>
        <v/>
      </c>
      <c r="AU92" s="100" t="str">
        <f aca="false">IF(ISBLANK($C92),"",IF($P92=Constants!$B$2,TRUE(),IF($P92=Constants!$B$3,FALSE(),TRUE())))</f>
        <v/>
      </c>
      <c r="AV92" s="100" t="str">
        <f aca="false">IF(ISBLANK($C92),"",IF($Q92=Constants!$B$2,TRUE(),IF($Q92=Constants!$B$3,FALSE(),FALSE())))</f>
        <v/>
      </c>
      <c r="AW92" s="100" t="str">
        <f aca="false">IF(ISBLANK($C92),"",IF($R92=Constants!$B$2,TRUE(),IF($R92=Constants!$B$3,FALSE(),FALSE())))</f>
        <v/>
      </c>
      <c r="AX92" s="100" t="str">
        <f aca="false">IF(ISBLANK($C92),"",IF($S92=Constants!$B$2,TRUE(),IF($S92=Constants!$B$3,FALSE(),FALSE())))</f>
        <v/>
      </c>
      <c r="AY92" s="100" t="str">
        <f aca="false">IF(ISBLANK($C92),"",IF($T92=Constants!$B$2,TRUE(),IF($T92=Constants!$B$3,FALSE(),FALSE())))</f>
        <v/>
      </c>
      <c r="AZ92" s="100" t="str">
        <f aca="false">IF(ISBLANK($C92),"",IF($U92=Constants!$B$2,TRUE(),IF($U92=Constants!$B$3,FALSE(),FALSE())))</f>
        <v/>
      </c>
      <c r="BA92" s="100" t="str">
        <f aca="false">IF(ISBLANK($C92),"",IF(OR($V92&amp;""="1",$V92&amp;""="2",$V92&amp;""="3",$V92&amp;""="4"),VALUE($V92&amp;""),IF($V92=Constants!$B$12,Constants!$B$12,"")))</f>
        <v/>
      </c>
      <c r="BB92" s="100" t="str">
        <f aca="false">IF(ISBLANK($C92),"",IF(ISBLANK($W92),0,IF(ISNUMBER($W92),IF(AND($W92&gt;=0,$W92&lt;=Constants!$B$21,$W92=INT($W92)),$W92,""),"")))</f>
        <v/>
      </c>
      <c r="BC92" s="100" t="str">
        <f aca="false">IF(ISBLANK($C92),"",IF(ISBLANK($X92),0,IF(ISNUMBER($X92),IF($X92&gt;=0,$X92,""),"")))</f>
        <v/>
      </c>
      <c r="BD92" s="100" t="str">
        <f aca="false">IF(ISBLANK($C92),"",IF($Y92=Constants!$B$2,TRUE(),IF($Y92=Constants!$B$3,FALSE(),TRUE())))</f>
        <v/>
      </c>
      <c r="BE92" s="100" t="str">
        <f aca="false">IF(ISBLANK($C92),"",IF($Z92=Constants!$B$2,TRUE(),IF($Z92=Constants!$B$3,FALSE(),FALSE())))</f>
        <v/>
      </c>
      <c r="BF92" s="100" t="str">
        <f aca="false">IF(ISBLANK($C92),"",IF(ISBLANK($AA92),0,IF(ISNUMBER($AA92),IF(AND($AA92&gt;=0,$AA92&lt;=Constants!$B$35,$AA92=INT($AA92)),$AA92,""),"")))</f>
        <v/>
      </c>
      <c r="BG92" s="100" t="str">
        <f aca="false">IF(ISBLANK($C92),"",IF($AB92=Constants!$B$2,TRUE(),IF($AB92=Constants!$B$3,FALSE(),TRUE())))</f>
        <v/>
      </c>
      <c r="BH92" s="100" t="str">
        <f aca="false">IF(ISBLANK($C92),"",IF($AC92=Constants!$B$2,TRUE(),IF($AC92=Constants!$B$3,FALSE(),TRUE())))</f>
        <v/>
      </c>
      <c r="BI92" s="100" t="str">
        <f aca="false">IF(ISBLANK($C92),"",IF($AD92=Constants!$B$2,TRUE(),IF($AD92=Constants!$B$3,FALSE(),TRUE())))</f>
        <v/>
      </c>
      <c r="BJ92" s="100" t="str">
        <f aca="false">IF(ISBLANK($C92),"",IF(ISNUMBER($AE92),IF($AE92&gt;=0,$AE92,""),""))</f>
        <v/>
      </c>
      <c r="BK92" s="100" t="str">
        <f aca="false">IF(ISBLANK($C92),"",IF($AF92=Constants!$B$2,TRUE(),IF($AF92=Constants!$B$3,FALSE(),FALSE())))</f>
        <v/>
      </c>
      <c r="BL92" s="99" t="str">
        <f aca="false">IF(ISBLANK($C92),"",IF($BK92,Constants!$B$7,IF(COUNTA($E92:$AE92)=0,Constants!$B$6,IF(OR(COUNTA($G92:$AE92)=0,NOT($AM92),$AS92),Constants!$B$5,IF(OR($CM92&lt;&gt;"",$CN92,$CO92,$CP92,$CQ92,$CR92,$CS92),Constants!$B$8,Constants!$B$4)))))</f>
        <v/>
      </c>
      <c r="BM92" s="100" t="str">
        <f aca="false">IF(ISBLANK($C92),"",IF($BL92&lt;&gt;Constants!$B$4,$BL92,IF(OR(NOT($AJ92),NOT($AL92),NOT($AT92)),Constants!$B$11,IF(OR(NOT($AR92),NOT($AU92),NOT($BI92),MAX($AN92,$AO92,$AP92)&gt;Constants!$B$30),Constants!$B$10,Constants!$B$9))))</f>
        <v/>
      </c>
      <c r="BN92" s="100" t="str">
        <f aca="false">IF($BL92&lt;&gt;Constants!$B$4,"",IF(NOT($AL92),0,MIN(Constants!$B$35,$BF92)))</f>
        <v/>
      </c>
      <c r="BO92" s="100" t="str">
        <f aca="false">IF($BL92&lt;&gt;Constants!$B$4,"",IF(NOT($AL92),0,IF($AW92,Constants!$B$18,IF($AV92,Constants!$B$17,0))))</f>
        <v/>
      </c>
      <c r="BP92" s="100" t="str">
        <f aca="false">IF($BL92&lt;&gt;Constants!$B$4,"",IF(NOT($AL92),0,Constants!$B$19*($AK92+$AX92+$AY92+$AZ92)))</f>
        <v/>
      </c>
      <c r="BQ92" s="100" t="str">
        <f aca="false">IF($BL92&lt;&gt;Constants!$B$4,"",IF(OR(NOT($AL92),NOT(ISNUMBER($BA92))),0,CHOOSE($BA92,Constants!$B$13,Constants!$B$14,Constants!$B$15,Constants!$B$16)))</f>
        <v/>
      </c>
      <c r="BR92" s="100" t="str">
        <f aca="false">IF($BL92&lt;&gt;Constants!$B$4,"",IF(NOT($AL92),0,Constants!$B$20*$BB92))</f>
        <v/>
      </c>
      <c r="BS92" s="100" t="str">
        <f aca="false">IF($BL92&lt;&gt;Constants!$B$4,"",IF(AND($AL92,$BD92,$BE92),Constants!$B$22,0))</f>
        <v/>
      </c>
      <c r="BT92" s="100" t="str">
        <f aca="false">IF($BL92&lt;&gt;Constants!$B$4,"",IF(OR(NOT($AL92),NOT($BD92)),0,IF($BJ92&gt;=2*$AH$9,0,Constants!$B$23*INT(ROUND(MIN($BJ92,$AH$9),6)))))</f>
        <v/>
      </c>
      <c r="BU92" s="100" t="str">
        <f aca="false">IF($BL92&lt;&gt;Constants!$B$4,"",IF(NOT($AL92),0,Constants!$B$24*INT(ROUND(MIN($BC92,$AH$9),6))))</f>
        <v/>
      </c>
      <c r="BV92" s="100" t="str">
        <f aca="false">IF($BL92&lt;&gt;Constants!$B$4,"",IF(AND($AL92,$BN92=0),Constants!$B$25,0))</f>
        <v/>
      </c>
      <c r="BW92" s="100" t="str">
        <f aca="false">IF($BL92&lt;&gt;Constants!$B$4,"",MIN(Constants!$B$29,MAX(0,Constants!$B$27*Constants!$B$28*INT(ROUND((Constants!$B$26-$AN92)/Constants!$B$28,6))))+MIN(Constants!$B$29,MAX(0,Constants!$B$27*Constants!$B$28*INT(ROUND((Constants!$B$26-$AO92)/Constants!$B$28,6))))+MIN(Constants!$B$29,MAX(0,Constants!$B$27*Constants!$B$28*INT(ROUND((Constants!$B$26-$AP92)/Constants!$B$28,6)))))</f>
        <v/>
      </c>
      <c r="BX92" s="100" t="str">
        <f aca="false">IF($BL92&lt;&gt;Constants!$B$4,"",IF(NOT($AL92),0,Constants!$B$31*INT(ROUND(MAX(0,MIN($BJ92,2*$AH$9)-$AH$9),6))))</f>
        <v/>
      </c>
      <c r="BY92" s="100" t="str">
        <f aca="false">IF($BL92&lt;&gt;Constants!$B$4,"",Constants!$B$32*(($AN92&gt;Constants!$B$26)+($AO92&gt;Constants!$B$26)+($AP92&gt;Constants!$B$26)))</f>
        <v/>
      </c>
      <c r="BZ92" s="100" t="str">
        <f aca="false">IF($BL92&lt;&gt;Constants!$B$4,"",IF(OR(NOT($AL92),$AQ92),0,Constants!$B$33))</f>
        <v/>
      </c>
      <c r="CA92" s="100" t="str">
        <f aca="false">IF($BL92&lt;&gt;Constants!$B$4,"",Constants!$B$34*$BN92)</f>
        <v/>
      </c>
      <c r="CB92" s="100" t="str">
        <f aca="false">IF($BL92&lt;&gt;Constants!$B$4,"",IF(OR(NOT($AL92),$BH92),0,Constants!$B$36))</f>
        <v/>
      </c>
      <c r="CC92" s="100" t="str">
        <f aca="false">IF($BL92&lt;&gt;Constants!$B$4,"",IF(OR(NOT($AL92),$BG92),0,Constants!$B$37))</f>
        <v/>
      </c>
      <c r="CD92" s="100" t="str">
        <f aca="false">IF($BL92&lt;&gt;Constants!$B$4,"",SUM($BX92:$CC92))</f>
        <v/>
      </c>
      <c r="CE92" s="100" t="str">
        <f aca="false">IF(ISBLANK($C92),"",IF($BL92&lt;&gt;Constants!$B$4,$BL92,SUM($BO92:$BW92)-$CD92))</f>
        <v/>
      </c>
      <c r="CF92" s="100" t="str">
        <f aca="false">IF(ISBLANK($C92),"",IF($BL92&lt;&gt;Constants!$B$4,$BL92,RANK($CE92,$CE$9:$CE$508)))</f>
        <v/>
      </c>
      <c r="CG92" s="100" t="str">
        <f aca="false">IF(ISBLANK($C92),"",IF($BL92&lt;&gt;Constants!$B$4,$BL92,COUNTIFS($BM$9:$BM$508,"&lt;"&amp;$BM92)+COUNTIFS($BM$9:$BM$508,$BM92,$CF$9:$CF$508,"&lt;"&amp;$CF92)+1))</f>
        <v/>
      </c>
      <c r="CH92" s="100" t="str">
        <f aca="false">IF(ISBLANK($C92),"",IF($BL92&lt;&gt;Constants!$B$4,$BL92,RANK($CD92,$CD$9:$CD$508,1)))</f>
        <v/>
      </c>
      <c r="CI92" s="100" t="str">
        <f aca="false">IF($BL92&lt;&gt;Constants!$B$4,"",$AN92+$AO92+$AP92)</f>
        <v/>
      </c>
      <c r="CJ92" s="100" t="str">
        <f aca="false">IF(ISBLANK($C92),"",IF($BL92&lt;&gt;Constants!$B$4,$BL92,RANK($CI92,$CI$9:$CI$508,1)))</f>
        <v/>
      </c>
      <c r="CK92" s="100" t="str">
        <f aca="false">IF(ISBLANK($C92),"",IF($BL92&lt;&gt;Constants!$B$4,$BL92,COUNTIFS($BM$9:$BM$508,"&lt;"&amp;$BM92)+COUNTIFS($BM$9:$BM$508,$BM92,$CF$9:$CF$508,"&lt;"&amp;$CF92)+COUNTIFS($BM$9:$BM$508,$BM92,$CF$9:$CF$508,$CF92,$CH$9:$CH$508,"&lt;"&amp;$CH92)+COUNTIFS($BM$9:$BM$508,$BM92,$CF$9:$CF$508,$CF92,$CH$9:$CH$508,$CH92,$CJ$9:$CJ$508,"&lt;"&amp;$CJ92)+1))</f>
        <v/>
      </c>
      <c r="CL92" s="100" t="str">
        <f aca="false">IF(ISBLANK($C92),"",IF($BL92&lt;&gt;Constants!$B$4,$BL92,$CG92-$CK92))</f>
        <v/>
      </c>
      <c r="CM92" s="100" t="str">
        <f aca="false">IF(ISBLANK($C92),"",IF(NOT($AL92),"",IF(ISBLANK($D$7),$CM$5,IF(NOT(ISNUMBER($D$7)),$CM$6,""))))</f>
        <v/>
      </c>
      <c r="CN92" s="100" t="str">
        <f aca="false">IF(ISBLANK($C92),"",OR($AN92="",$AO92="",$AP92=""))</f>
        <v/>
      </c>
      <c r="CO92" s="100" t="str">
        <f aca="false">IF(ISBLANK($C92),"",AND($AL92,$BA92=""))</f>
        <v/>
      </c>
      <c r="CP92" s="100" t="str">
        <f aca="false">IF(ISBLANK($C92),"",AND($AL92,$BB92=""))</f>
        <v/>
      </c>
      <c r="CQ92" s="100" t="str">
        <f aca="false">IF(ISBLANK($C92),"",AND($AL92,$BC92=""))</f>
        <v/>
      </c>
      <c r="CR92" s="100" t="str">
        <f aca="false">IF(ISBLANK($C92),"",AND($AL92,$BF92=""))</f>
        <v/>
      </c>
      <c r="CS92" s="100" t="str">
        <f aca="false">IF(ISBLANK($C92),"",AND($AL92,$BJ92=""))</f>
        <v/>
      </c>
      <c r="CT92" s="101"/>
      <c r="CU92" s="102"/>
      <c r="CV92" s="103" t="str">
        <f aca="false">IF(ISBLANK($C92),"",IF($BL92=Constants!$B$8,$CM92,""))</f>
        <v/>
      </c>
      <c r="CW92" s="102" t="str">
        <f aca="false">IF(ISBLANK($C92),"",IF($BL92&lt;&gt;Constants!$B$4,"",$BO92+$BP92))</f>
        <v/>
      </c>
      <c r="CX92" s="104" t="str">
        <f aca="false">IF(ISBLANK($C92),"",IF($BL92&lt;&gt;Constants!$B$4,"",$BQ92+$BR92+$BS92))</f>
        <v/>
      </c>
      <c r="CY92" s="104" t="str">
        <f aca="false">IF(ISBLANK($C92),"",IF($BL92&lt;&gt;Constants!$B$4,"",$BT92))</f>
        <v/>
      </c>
      <c r="CZ92" s="104" t="str">
        <f aca="false">IF(ISBLANK($C92),"",IF($BL92&lt;&gt;Constants!$B$4,"",$BU92+$BV92))</f>
        <v/>
      </c>
      <c r="DA92" s="104" t="str">
        <f aca="false">IF(ISBLANK($C92),"",IF($BL92&lt;&gt;Constants!$B$4,"",$BW92))</f>
        <v/>
      </c>
      <c r="DB92" s="104" t="str">
        <f aca="false">IF(ISBLANK($C92),"",IF($BL92&lt;&gt;Constants!$B$4,"",-$CD92))</f>
        <v/>
      </c>
      <c r="DC92" s="103" t="str">
        <f aca="false">IF(ISBLANK($C92),"",$CE92)</f>
        <v/>
      </c>
      <c r="DD92" s="105" t="str">
        <f aca="false">IF(ISBLANK($C92),"",$BM92)</f>
        <v/>
      </c>
      <c r="DE92" s="104" t="str">
        <f aca="false">IF(ISBLANK($C92),"",$CL92)</f>
        <v/>
      </c>
      <c r="DF92" s="104" t="str">
        <f aca="false">IF(ISBLANK($C92),"",$CK92)</f>
        <v/>
      </c>
      <c r="DG92" s="106" t="str">
        <f aca="false">IF(ISBLANK($C92),"",IF($DF92=Constants!$B$7,COUNTA($C$9:$C$508)+2,IF($DF92=Constants!$B$6,COUNTA($C$9:$C$508)+1,IF($DF92=Constants!$B$5,COUNTA($C$9:$C$508),$DF92))))</f>
        <v/>
      </c>
      <c r="DH92" s="7"/>
      <c r="DI92" s="107" t="n">
        <f aca="false">IF(OR(ISNUMBER($DF92),$DF92=Constants!$B$7,$DF92=Constants!$B$5,$DF92=Constants!$B$6),1,0)</f>
        <v>0</v>
      </c>
      <c r="DJ92" s="107" t="n">
        <v>84</v>
      </c>
      <c r="DK92" s="107" t="str">
        <f aca="false">IF(ISBLANK($C92),"",IF(ISNUMBER($DG92),$DG92+ROW($B92)/1000,""))</f>
        <v/>
      </c>
      <c r="DL92" s="107" t="str">
        <f aca="false">IF(ISNUMBER($DK92),RANK($DK92,$DK$9:$DK$508,1),"")</f>
        <v/>
      </c>
      <c r="DM92" s="107" t="str">
        <f aca="false">IF(ISBLANK($C92),"",$B92)</f>
        <v/>
      </c>
      <c r="DN92" s="107" t="str">
        <f aca="false">IF(ISBLANK($C92),"",$C92)</f>
        <v/>
      </c>
      <c r="DO92" s="107" t="str">
        <f aca="false">IF(ISBLANK($C92),"",$D92)</f>
        <v/>
      </c>
      <c r="DP92" s="108" t="str">
        <f aca="false">$DD92</f>
        <v/>
      </c>
      <c r="DQ92" s="109" t="str">
        <f aca="false">$DC92</f>
        <v/>
      </c>
      <c r="DR92" s="107" t="str">
        <f aca="false">IF(ISBLANK($C92),"",$DF92)</f>
        <v/>
      </c>
      <c r="DS92" s="110" t="str">
        <f aca="false">IF($DJ92&gt;$DI$8,"",VLOOKUP($DJ92,$DL$9:$DR$508,7,FALSE()))</f>
        <v/>
      </c>
      <c r="DT92" s="111" t="str">
        <f aca="false">IF($DJ92&gt;$DI$8,"",VLOOKUP($DJ92,$DL$9:$DR$508,2,FALSE()))</f>
        <v/>
      </c>
      <c r="DU92" s="111" t="str">
        <f aca="false">IF($DJ92&gt;$DI$8,"",VLOOKUP($DJ92,$DL$9:$DR$508,3,FALSE()))</f>
        <v/>
      </c>
      <c r="DV92" s="111" t="str">
        <f aca="false">IF($DJ92&gt;$DI$8,"",VLOOKUP($DJ92,$DL$9:$DR$508,4,FALSE()))</f>
        <v/>
      </c>
      <c r="DW92" s="111" t="str">
        <f aca="false">IF($DJ92&gt;$DI$8,"",VLOOKUP($DJ92,$DL$9:$DR$508,5,FALSE()))</f>
        <v/>
      </c>
      <c r="DX92" s="112" t="str">
        <f aca="false">IF($DJ92&gt;$DI$8,"",VLOOKUP($DJ92,$DL$9:$DR$508,6,FALSE()))</f>
        <v/>
      </c>
      <c r="DY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2"/>
      <c r="N93" s="122"/>
      <c r="O93" s="66"/>
      <c r="P93" s="66"/>
      <c r="Q93" s="122"/>
      <c r="R93" s="122"/>
      <c r="S93" s="122"/>
      <c r="T93" s="122"/>
      <c r="U93" s="66"/>
      <c r="V93" s="122"/>
      <c r="W93" s="120"/>
      <c r="X93" s="122"/>
      <c r="Y93" s="122"/>
      <c r="Z93" s="120"/>
      <c r="AA93" s="120"/>
      <c r="AB93" s="122"/>
      <c r="AC93" s="122"/>
      <c r="AD93" s="122"/>
      <c r="AE93" s="121"/>
      <c r="AF93" s="122"/>
      <c r="AG93" s="73"/>
      <c r="AH93" s="74"/>
      <c r="AI93" s="74"/>
      <c r="AJ93" s="74" t="str">
        <f aca="false">IF(ISBLANK($C93),"",IF($E93=Constants!$B$2,TRUE(),IF($E93=Constants!$B$3,FALSE(),TRUE())))</f>
        <v/>
      </c>
      <c r="AK93" s="74" t="str">
        <f aca="false">IF(ISBLANK($C93),"",IF($F93=Constants!$B$2,TRUE(),IF($F93=Constants!$B$3,FALSE(),FALSE())))</f>
        <v/>
      </c>
      <c r="AL93" s="74" t="str">
        <f aca="false">IF(ISBLANK($C93),"",IF($G93=Constants!$B$2,TRUE(),IF($G93=Constants!$B$3,FALSE(),TRUE())))</f>
        <v/>
      </c>
      <c r="AM93" s="74" t="str">
        <f aca="false">IF(ISBLANK($C93),"",IF($H93=Constants!$B$2,TRUE(),IF($H93=Constants!$B$3,FALSE(),TRUE())))</f>
        <v/>
      </c>
      <c r="AN93" s="74" t="str">
        <f aca="false">IF(ISBLANK($C93),"",IF(ISNUMBER($I93),IF($I93&gt;=0,$I93,""),""))</f>
        <v/>
      </c>
      <c r="AO93" s="74" t="str">
        <f aca="false">IF(ISBLANK($C93),"",IF(ISNUMBER($J93),IF($J93&gt;=0,$J93,""),""))</f>
        <v/>
      </c>
      <c r="AP93" s="74" t="str">
        <f aca="false">IF(ISBLANK($C93),"",IF(ISNUMBER($K93),IF($K93&gt;=0,$K93,""),""))</f>
        <v/>
      </c>
      <c r="AQ93" s="74" t="str">
        <f aca="false">IF(ISBLANK($C93),"",IF($L93=Constants!$B$2,TRUE(),IF($L93=Constants!$B$3,FALSE(),TRUE())))</f>
        <v/>
      </c>
      <c r="AR93" s="74" t="str">
        <f aca="false">IF(ISBLANK($C93),"",IF($M93=Constants!$B$2,TRUE(),IF($M93=Constants!$B$3,FALSE(),TRUE())))</f>
        <v/>
      </c>
      <c r="AS93" s="74" t="str">
        <f aca="false">IF(ISBLANK($C93),"",IF($N93=Constants!$B$2,TRUE(),IF($N93=Constants!$B$3,FALSE(),FALSE())))</f>
        <v/>
      </c>
      <c r="AT93" s="74" t="str">
        <f aca="false">IF(ISBLANK($C93),"",IF($O93=Constants!$B$2,TRUE(),IF($O93=Constants!$B$3,FALSE(),TRUE())))</f>
        <v/>
      </c>
      <c r="AU93" s="74" t="str">
        <f aca="false">IF(ISBLANK($C93),"",IF($P93=Constants!$B$2,TRUE(),IF($P93=Constants!$B$3,FALSE(),TRUE())))</f>
        <v/>
      </c>
      <c r="AV93" s="74" t="str">
        <f aca="false">IF(ISBLANK($C93),"",IF($Q93=Constants!$B$2,TRUE(),IF($Q93=Constants!$B$3,FALSE(),FALSE())))</f>
        <v/>
      </c>
      <c r="AW93" s="74" t="str">
        <f aca="false">IF(ISBLANK($C93),"",IF($R93=Constants!$B$2,TRUE(),IF($R93=Constants!$B$3,FALSE(),FALSE())))</f>
        <v/>
      </c>
      <c r="AX93" s="74" t="str">
        <f aca="false">IF(ISBLANK($C93),"",IF($S93=Constants!$B$2,TRUE(),IF($S93=Constants!$B$3,FALSE(),FALSE())))</f>
        <v/>
      </c>
      <c r="AY93" s="74" t="str">
        <f aca="false">IF(ISBLANK($C93),"",IF($T93=Constants!$B$2,TRUE(),IF($T93=Constants!$B$3,FALSE(),FALSE())))</f>
        <v/>
      </c>
      <c r="AZ93" s="74" t="str">
        <f aca="false">IF(ISBLANK($C93),"",IF($U93=Constants!$B$2,TRUE(),IF($U93=Constants!$B$3,FALSE(),FALSE())))</f>
        <v/>
      </c>
      <c r="BA93" s="74" t="str">
        <f aca="false">IF(ISBLANK($C93),"",IF(OR($V93&amp;""="1",$V93&amp;""="2",$V93&amp;""="3",$V93&amp;""="4"),VALUE($V93&amp;""),IF($V93=Constants!$B$12,Constants!$B$12,"")))</f>
        <v/>
      </c>
      <c r="BB93" s="74" t="str">
        <f aca="false">IF(ISBLANK($C93),"",IF(ISBLANK($W93),0,IF(ISNUMBER($W93),IF(AND($W93&gt;=0,$W93&lt;=Constants!$B$21,$W93=INT($W93)),$W93,""),"")))</f>
        <v/>
      </c>
      <c r="BC93" s="74" t="str">
        <f aca="false">IF(ISBLANK($C93),"",IF(ISBLANK($X93),0,IF(ISNUMBER($X93),IF($X93&gt;=0,$X93,""),"")))</f>
        <v/>
      </c>
      <c r="BD93" s="74" t="str">
        <f aca="false">IF(ISBLANK($C93),"",IF($Y93=Constants!$B$2,TRUE(),IF($Y93=Constants!$B$3,FALSE(),TRUE())))</f>
        <v/>
      </c>
      <c r="BE93" s="74" t="str">
        <f aca="false">IF(ISBLANK($C93),"",IF($Z93=Constants!$B$2,TRUE(),IF($Z93=Constants!$B$3,FALSE(),FALSE())))</f>
        <v/>
      </c>
      <c r="BF93" s="74" t="str">
        <f aca="false">IF(ISBLANK($C93),"",IF(ISBLANK($AA93),0,IF(ISNUMBER($AA93),IF(AND($AA93&gt;=0,$AA93&lt;=Constants!$B$35,$AA93=INT($AA93)),$AA93,""),"")))</f>
        <v/>
      </c>
      <c r="BG93" s="74" t="str">
        <f aca="false">IF(ISBLANK($C93),"",IF($AB93=Constants!$B$2,TRUE(),IF($AB93=Constants!$B$3,FALSE(),TRUE())))</f>
        <v/>
      </c>
      <c r="BH93" s="74" t="str">
        <f aca="false">IF(ISBLANK($C93),"",IF($AC93=Constants!$B$2,TRUE(),IF($AC93=Constants!$B$3,FALSE(),TRUE())))</f>
        <v/>
      </c>
      <c r="BI93" s="74" t="str">
        <f aca="false">IF(ISBLANK($C93),"",IF($AD93=Constants!$B$2,TRUE(),IF($AD93=Constants!$B$3,FALSE(),TRUE())))</f>
        <v/>
      </c>
      <c r="BJ93" s="74" t="str">
        <f aca="false">IF(ISBLANK($C93),"",IF(ISNUMBER($AE93),IF($AE93&gt;=0,$AE93,""),""))</f>
        <v/>
      </c>
      <c r="BK93" s="74" t="str">
        <f aca="false">IF(ISBLANK($C93),"",IF($AF93=Constants!$B$2,TRUE(),IF($AF93=Constants!$B$3,FALSE(),FALSE())))</f>
        <v/>
      </c>
      <c r="BL93" s="73" t="str">
        <f aca="false">IF(ISBLANK($C93),"",IF($BK93,Constants!$B$7,IF(COUNTA($E93:$AE93)=0,Constants!$B$6,IF(OR(COUNTA($G93:$AE93)=0,NOT($AM93),$AS93),Constants!$B$5,IF(OR($CM93&lt;&gt;"",$CN93,$CO93,$CP93,$CQ93,$CR93,$CS93),Constants!$B$8,Constants!$B$4)))))</f>
        <v/>
      </c>
      <c r="BM93" s="74" t="str">
        <f aca="false">IF(ISBLANK($C93),"",IF($BL93&lt;&gt;Constants!$B$4,$BL93,IF(OR(NOT($AJ93),NOT($AL93),NOT($AT93)),Constants!$B$11,IF(OR(NOT($AR93),NOT($AU93),NOT($BI93),MAX($AN93,$AO93,$AP93)&gt;Constants!$B$30),Constants!$B$10,Constants!$B$9))))</f>
        <v/>
      </c>
      <c r="BN93" s="74" t="str">
        <f aca="false">IF($BL93&lt;&gt;Constants!$B$4,"",IF(NOT($AL93),0,MIN(Constants!$B$35,$BF93)))</f>
        <v/>
      </c>
      <c r="BO93" s="74" t="str">
        <f aca="false">IF($BL93&lt;&gt;Constants!$B$4,"",IF(NOT($AL93),0,IF($AW93,Constants!$B$18,IF($AV93,Constants!$B$17,0))))</f>
        <v/>
      </c>
      <c r="BP93" s="74" t="str">
        <f aca="false">IF($BL93&lt;&gt;Constants!$B$4,"",IF(NOT($AL93),0,Constants!$B$19*($AK93+$AX93+$AY93+$AZ93)))</f>
        <v/>
      </c>
      <c r="BQ93" s="74" t="str">
        <f aca="false">IF($BL93&lt;&gt;Constants!$B$4,"",IF(OR(NOT($AL93),NOT(ISNUMBER($BA93))),0,CHOOSE($BA93,Constants!$B$13,Constants!$B$14,Constants!$B$15,Constants!$B$16)))</f>
        <v/>
      </c>
      <c r="BR93" s="74" t="str">
        <f aca="false">IF($BL93&lt;&gt;Constants!$B$4,"",IF(NOT($AL93),0,Constants!$B$20*$BB93))</f>
        <v/>
      </c>
      <c r="BS93" s="74" t="str">
        <f aca="false">IF($BL93&lt;&gt;Constants!$B$4,"",IF(AND($AL93,$BD93,$BE93),Constants!$B$22,0))</f>
        <v/>
      </c>
      <c r="BT93" s="74" t="str">
        <f aca="false">IF($BL93&lt;&gt;Constants!$B$4,"",IF(OR(NOT($AL93),NOT($BD93)),0,IF($BJ93&gt;=2*$AH$9,0,Constants!$B$23*INT(ROUND(MIN($BJ93,$AH$9),6)))))</f>
        <v/>
      </c>
      <c r="BU93" s="74" t="str">
        <f aca="false">IF($BL93&lt;&gt;Constants!$B$4,"",IF(NOT($AL93),0,Constants!$B$24*INT(ROUND(MIN($BC93,$AH$9),6))))</f>
        <v/>
      </c>
      <c r="BV93" s="74" t="str">
        <f aca="false">IF($BL93&lt;&gt;Constants!$B$4,"",IF(AND($AL93,$BN93=0),Constants!$B$25,0))</f>
        <v/>
      </c>
      <c r="BW93" s="74" t="str">
        <f aca="false">IF($BL93&lt;&gt;Constants!$B$4,"",MIN(Constants!$B$29,MAX(0,Constants!$B$27*Constants!$B$28*INT(ROUND((Constants!$B$26-$AN93)/Constants!$B$28,6))))+MIN(Constants!$B$29,MAX(0,Constants!$B$27*Constants!$B$28*INT(ROUND((Constants!$B$26-$AO93)/Constants!$B$28,6))))+MIN(Constants!$B$29,MAX(0,Constants!$B$27*Constants!$B$28*INT(ROUND((Constants!$B$26-$AP93)/Constants!$B$28,6)))))</f>
        <v/>
      </c>
      <c r="BX93" s="74" t="str">
        <f aca="false">IF($BL93&lt;&gt;Constants!$B$4,"",IF(NOT($AL93),0,Constants!$B$31*INT(ROUND(MAX(0,MIN($BJ93,2*$AH$9)-$AH$9),6))))</f>
        <v/>
      </c>
      <c r="BY93" s="74" t="str">
        <f aca="false">IF($BL93&lt;&gt;Constants!$B$4,"",Constants!$B$32*(($AN93&gt;Constants!$B$26)+($AO93&gt;Constants!$B$26)+($AP93&gt;Constants!$B$26)))</f>
        <v/>
      </c>
      <c r="BZ93" s="74" t="str">
        <f aca="false">IF($BL93&lt;&gt;Constants!$B$4,"",IF(OR(NOT($AL93),$AQ93),0,Constants!$B$33))</f>
        <v/>
      </c>
      <c r="CA93" s="74" t="str">
        <f aca="false">IF($BL93&lt;&gt;Constants!$B$4,"",Constants!$B$34*$BN93)</f>
        <v/>
      </c>
      <c r="CB93" s="74" t="str">
        <f aca="false">IF($BL93&lt;&gt;Constants!$B$4,"",IF(OR(NOT($AL93),$BH93),0,Constants!$B$36))</f>
        <v/>
      </c>
      <c r="CC93" s="74" t="str">
        <f aca="false">IF($BL93&lt;&gt;Constants!$B$4,"",IF(OR(NOT($AL93),$BG93),0,Constants!$B$37))</f>
        <v/>
      </c>
      <c r="CD93" s="74" t="str">
        <f aca="false">IF($BL93&lt;&gt;Constants!$B$4,"",SUM($BX93:$CC93))</f>
        <v/>
      </c>
      <c r="CE93" s="74" t="str">
        <f aca="false">IF(ISBLANK($C93),"",IF($BL93&lt;&gt;Constants!$B$4,$BL93,SUM($BO93:$BW93)-$CD93))</f>
        <v/>
      </c>
      <c r="CF93" s="74" t="str">
        <f aca="false">IF(ISBLANK($C93),"",IF($BL93&lt;&gt;Constants!$B$4,$BL93,RANK($CE93,$CE$9:$CE$508)))</f>
        <v/>
      </c>
      <c r="CG93" s="74" t="str">
        <f aca="false">IF(ISBLANK($C93),"",IF($BL93&lt;&gt;Constants!$B$4,$BL93,COUNTIFS($BM$9:$BM$508,"&lt;"&amp;$BM93)+COUNTIFS($BM$9:$BM$508,$BM93,$CF$9:$CF$508,"&lt;"&amp;$CF93)+1))</f>
        <v/>
      </c>
      <c r="CH93" s="74" t="str">
        <f aca="false">IF(ISBLANK($C93),"",IF($BL93&lt;&gt;Constants!$B$4,$BL93,RANK($CD93,$CD$9:$CD$508,1)))</f>
        <v/>
      </c>
      <c r="CI93" s="74" t="str">
        <f aca="false">IF($BL93&lt;&gt;Constants!$B$4,"",$AN93+$AO93+$AP93)</f>
        <v/>
      </c>
      <c r="CJ93" s="74" t="str">
        <f aca="false">IF(ISBLANK($C93),"",IF($BL93&lt;&gt;Constants!$B$4,$BL93,RANK($CI93,$CI$9:$CI$508,1)))</f>
        <v/>
      </c>
      <c r="CK93" s="74" t="str">
        <f aca="false">IF(ISBLANK($C93),"",IF($BL93&lt;&gt;Constants!$B$4,$BL93,COUNTIFS($BM$9:$BM$508,"&lt;"&amp;$BM93)+COUNTIFS($BM$9:$BM$508,$BM93,$CF$9:$CF$508,"&lt;"&amp;$CF93)+COUNTIFS($BM$9:$BM$508,$BM93,$CF$9:$CF$508,$CF93,$CH$9:$CH$508,"&lt;"&amp;$CH93)+COUNTIFS($BM$9:$BM$508,$BM93,$CF$9:$CF$508,$CF93,$CH$9:$CH$508,$CH93,$CJ$9:$CJ$508,"&lt;"&amp;$CJ93)+1))</f>
        <v/>
      </c>
      <c r="CL93" s="74" t="str">
        <f aca="false">IF(ISBLANK($C93),"",IF($BL93&lt;&gt;Constants!$B$4,$BL93,$CG93-$CK93))</f>
        <v/>
      </c>
      <c r="CM93" s="74" t="str">
        <f aca="false">IF(ISBLANK($C93),"",IF(NOT($AL93),"",IF(ISBLANK($D$7),$CM$5,IF(NOT(ISNUMBER($D$7)),$CM$6,""))))</f>
        <v/>
      </c>
      <c r="CN93" s="74" t="str">
        <f aca="false">IF(ISBLANK($C93),"",OR($AN93="",$AO93="",$AP93=""))</f>
        <v/>
      </c>
      <c r="CO93" s="74" t="str">
        <f aca="false">IF(ISBLANK($C93),"",AND($AL93,$BA93=""))</f>
        <v/>
      </c>
      <c r="CP93" s="74" t="str">
        <f aca="false">IF(ISBLANK($C93),"",AND($AL93,$BB93=""))</f>
        <v/>
      </c>
      <c r="CQ93" s="74" t="str">
        <f aca="false">IF(ISBLANK($C93),"",AND($AL93,$BC93=""))</f>
        <v/>
      </c>
      <c r="CR93" s="74" t="str">
        <f aca="false">IF(ISBLANK($C93),"",AND($AL93,$BF93=""))</f>
        <v/>
      </c>
      <c r="CS93" s="74" t="str">
        <f aca="false">IF(ISBLANK($C93),"",AND($AL93,$BJ93=""))</f>
        <v/>
      </c>
      <c r="CT93" s="75"/>
      <c r="CU93" s="76"/>
      <c r="CV93" s="79" t="str">
        <f aca="false">IF(ISBLANK($C93),"",IF($BL93=Constants!$B$8,$CM93,""))</f>
        <v/>
      </c>
      <c r="CW93" s="76" t="str">
        <f aca="false">IF(ISBLANK($C93),"",IF($BL93&lt;&gt;Constants!$B$4,"",$BO93+$BP93))</f>
        <v/>
      </c>
      <c r="CX93" s="78" t="str">
        <f aca="false">IF(ISBLANK($C93),"",IF($BL93&lt;&gt;Constants!$B$4,"",$BQ93+$BR93+$BS93))</f>
        <v/>
      </c>
      <c r="CY93" s="78" t="str">
        <f aca="false">IF(ISBLANK($C93),"",IF($BL93&lt;&gt;Constants!$B$4,"",$BT93))</f>
        <v/>
      </c>
      <c r="CZ93" s="78" t="str">
        <f aca="false">IF(ISBLANK($C93),"",IF($BL93&lt;&gt;Constants!$B$4,"",$BU93+$BV93))</f>
        <v/>
      </c>
      <c r="DA93" s="78" t="str">
        <f aca="false">IF(ISBLANK($C93),"",IF($BL93&lt;&gt;Constants!$B$4,"",$BW93))</f>
        <v/>
      </c>
      <c r="DB93" s="78" t="str">
        <f aca="false">IF(ISBLANK($C93),"",IF($BL93&lt;&gt;Constants!$B$4,"",-$CD93))</f>
        <v/>
      </c>
      <c r="DC93" s="79" t="str">
        <f aca="false">IF(ISBLANK($C93),"",$CE93)</f>
        <v/>
      </c>
      <c r="DD93" s="80" t="str">
        <f aca="false">IF(ISBLANK($C93),"",$BM93)</f>
        <v/>
      </c>
      <c r="DE93" s="78" t="str">
        <f aca="false">IF(ISBLANK($C93),"",$CL93)</f>
        <v/>
      </c>
      <c r="DF93" s="78" t="str">
        <f aca="false">IF(ISBLANK($C93),"",$CK93)</f>
        <v/>
      </c>
      <c r="DG93" s="81" t="str">
        <f aca="false">IF(ISBLANK($C93),"",IF($DF93=Constants!$B$7,COUNTA($C$9:$C$508)+2,IF($DF93=Constants!$B$6,COUNTA($C$9:$C$508)+1,IF($DF93=Constants!$B$5,COUNTA($C$9:$C$508),$DF93))))</f>
        <v/>
      </c>
      <c r="DH93" s="7"/>
      <c r="DI93" s="82" t="n">
        <f aca="false">IF(OR(ISNUMBER($DF93),$DF93=Constants!$B$7,$DF93=Constants!$B$5,$DF93=Constants!$B$6),1,0)</f>
        <v>0</v>
      </c>
      <c r="DJ93" s="82" t="n">
        <v>85</v>
      </c>
      <c r="DK93" s="82" t="str">
        <f aca="false">IF(ISBLANK($C93),"",IF(ISNUMBER($DG93),$DG93+ROW($B93)/1000,""))</f>
        <v/>
      </c>
      <c r="DL93" s="82" t="str">
        <f aca="false">IF(ISNUMBER($DK93),RANK($DK93,$DK$9:$DK$508,1),"")</f>
        <v/>
      </c>
      <c r="DM93" s="82" t="str">
        <f aca="false">IF(ISBLANK($C93),"",$B93)</f>
        <v/>
      </c>
      <c r="DN93" s="82" t="str">
        <f aca="false">IF(ISBLANK($C93),"",$C93)</f>
        <v/>
      </c>
      <c r="DO93" s="82" t="str">
        <f aca="false">IF(ISBLANK($C93),"",$D93)</f>
        <v/>
      </c>
      <c r="DP93" s="83" t="str">
        <f aca="false">$DD93</f>
        <v/>
      </c>
      <c r="DQ93" s="84" t="str">
        <f aca="false">$DC93</f>
        <v/>
      </c>
      <c r="DR93" s="82" t="str">
        <f aca="false">IF(ISBLANK($C93),"",$DF93)</f>
        <v/>
      </c>
      <c r="DS93" s="85" t="str">
        <f aca="false">IF($DJ93&gt;$DI$8,"",VLOOKUP($DJ93,$DL$9:$DR$508,7,FALSE()))</f>
        <v/>
      </c>
      <c r="DT93" s="86" t="str">
        <f aca="false">IF($DJ93&gt;$DI$8,"",VLOOKUP($DJ93,$DL$9:$DR$508,2,FALSE()))</f>
        <v/>
      </c>
      <c r="DU93" s="86" t="str">
        <f aca="false">IF($DJ93&gt;$DI$8,"",VLOOKUP($DJ93,$DL$9:$DR$508,3,FALSE()))</f>
        <v/>
      </c>
      <c r="DV93" s="86" t="str">
        <f aca="false">IF($DJ93&gt;$DI$8,"",VLOOKUP($DJ93,$DL$9:$DR$508,4,FALSE()))</f>
        <v/>
      </c>
      <c r="DW93" s="86" t="str">
        <f aca="false">IF($DJ93&gt;$DI$8,"",VLOOKUP($DJ93,$DL$9:$DR$508,5,FALSE()))</f>
        <v/>
      </c>
      <c r="DX93" s="87" t="str">
        <f aca="false">IF($DJ93&gt;$DI$8,"",VLOOKUP($DJ93,$DL$9:$DR$508,6,FALSE()))</f>
        <v/>
      </c>
      <c r="DY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2"/>
      <c r="N94" s="122"/>
      <c r="O94" s="66"/>
      <c r="P94" s="66"/>
      <c r="Q94" s="122"/>
      <c r="R94" s="122"/>
      <c r="S94" s="122"/>
      <c r="T94" s="122"/>
      <c r="U94" s="66"/>
      <c r="V94" s="122"/>
      <c r="W94" s="120"/>
      <c r="X94" s="122"/>
      <c r="Y94" s="122"/>
      <c r="Z94" s="120"/>
      <c r="AA94" s="120"/>
      <c r="AB94" s="122"/>
      <c r="AC94" s="122"/>
      <c r="AD94" s="122"/>
      <c r="AE94" s="121"/>
      <c r="AF94" s="122"/>
      <c r="AG94" s="73"/>
      <c r="AH94" s="74"/>
      <c r="AI94" s="74"/>
      <c r="AJ94" s="74" t="str">
        <f aca="false">IF(ISBLANK($C94),"",IF($E94=Constants!$B$2,TRUE(),IF($E94=Constants!$B$3,FALSE(),TRUE())))</f>
        <v/>
      </c>
      <c r="AK94" s="74" t="str">
        <f aca="false">IF(ISBLANK($C94),"",IF($F94=Constants!$B$2,TRUE(),IF($F94=Constants!$B$3,FALSE(),FALSE())))</f>
        <v/>
      </c>
      <c r="AL94" s="74" t="str">
        <f aca="false">IF(ISBLANK($C94),"",IF($G94=Constants!$B$2,TRUE(),IF($G94=Constants!$B$3,FALSE(),TRUE())))</f>
        <v/>
      </c>
      <c r="AM94" s="74" t="str">
        <f aca="false">IF(ISBLANK($C94),"",IF($H94=Constants!$B$2,TRUE(),IF($H94=Constants!$B$3,FALSE(),TRUE())))</f>
        <v/>
      </c>
      <c r="AN94" s="74" t="str">
        <f aca="false">IF(ISBLANK($C94),"",IF(ISNUMBER($I94),IF($I94&gt;=0,$I94,""),""))</f>
        <v/>
      </c>
      <c r="AO94" s="74" t="str">
        <f aca="false">IF(ISBLANK($C94),"",IF(ISNUMBER($J94),IF($J94&gt;=0,$J94,""),""))</f>
        <v/>
      </c>
      <c r="AP94" s="74" t="str">
        <f aca="false">IF(ISBLANK($C94),"",IF(ISNUMBER($K94),IF($K94&gt;=0,$K94,""),""))</f>
        <v/>
      </c>
      <c r="AQ94" s="74" t="str">
        <f aca="false">IF(ISBLANK($C94),"",IF($L94=Constants!$B$2,TRUE(),IF($L94=Constants!$B$3,FALSE(),TRUE())))</f>
        <v/>
      </c>
      <c r="AR94" s="74" t="str">
        <f aca="false">IF(ISBLANK($C94),"",IF($M94=Constants!$B$2,TRUE(),IF($M94=Constants!$B$3,FALSE(),TRUE())))</f>
        <v/>
      </c>
      <c r="AS94" s="74" t="str">
        <f aca="false">IF(ISBLANK($C94),"",IF($N94=Constants!$B$2,TRUE(),IF($N94=Constants!$B$3,FALSE(),FALSE())))</f>
        <v/>
      </c>
      <c r="AT94" s="74" t="str">
        <f aca="false">IF(ISBLANK($C94),"",IF($O94=Constants!$B$2,TRUE(),IF($O94=Constants!$B$3,FALSE(),TRUE())))</f>
        <v/>
      </c>
      <c r="AU94" s="74" t="str">
        <f aca="false">IF(ISBLANK($C94),"",IF($P94=Constants!$B$2,TRUE(),IF($P94=Constants!$B$3,FALSE(),TRUE())))</f>
        <v/>
      </c>
      <c r="AV94" s="74" t="str">
        <f aca="false">IF(ISBLANK($C94),"",IF($Q94=Constants!$B$2,TRUE(),IF($Q94=Constants!$B$3,FALSE(),FALSE())))</f>
        <v/>
      </c>
      <c r="AW94" s="74" t="str">
        <f aca="false">IF(ISBLANK($C94),"",IF($R94=Constants!$B$2,TRUE(),IF($R94=Constants!$B$3,FALSE(),FALSE())))</f>
        <v/>
      </c>
      <c r="AX94" s="74" t="str">
        <f aca="false">IF(ISBLANK($C94),"",IF($S94=Constants!$B$2,TRUE(),IF($S94=Constants!$B$3,FALSE(),FALSE())))</f>
        <v/>
      </c>
      <c r="AY94" s="74" t="str">
        <f aca="false">IF(ISBLANK($C94),"",IF($T94=Constants!$B$2,TRUE(),IF($T94=Constants!$B$3,FALSE(),FALSE())))</f>
        <v/>
      </c>
      <c r="AZ94" s="74" t="str">
        <f aca="false">IF(ISBLANK($C94),"",IF($U94=Constants!$B$2,TRUE(),IF($U94=Constants!$B$3,FALSE(),FALSE())))</f>
        <v/>
      </c>
      <c r="BA94" s="74" t="str">
        <f aca="false">IF(ISBLANK($C94),"",IF(OR($V94&amp;""="1",$V94&amp;""="2",$V94&amp;""="3",$V94&amp;""="4"),VALUE($V94&amp;""),IF($V94=Constants!$B$12,Constants!$B$12,"")))</f>
        <v/>
      </c>
      <c r="BB94" s="74" t="str">
        <f aca="false">IF(ISBLANK($C94),"",IF(ISBLANK($W94),0,IF(ISNUMBER($W94),IF(AND($W94&gt;=0,$W94&lt;=Constants!$B$21,$W94=INT($W94)),$W94,""),"")))</f>
        <v/>
      </c>
      <c r="BC94" s="74" t="str">
        <f aca="false">IF(ISBLANK($C94),"",IF(ISBLANK($X94),0,IF(ISNUMBER($X94),IF($X94&gt;=0,$X94,""),"")))</f>
        <v/>
      </c>
      <c r="BD94" s="74" t="str">
        <f aca="false">IF(ISBLANK($C94),"",IF($Y94=Constants!$B$2,TRUE(),IF($Y94=Constants!$B$3,FALSE(),TRUE())))</f>
        <v/>
      </c>
      <c r="BE94" s="74" t="str">
        <f aca="false">IF(ISBLANK($C94),"",IF($Z94=Constants!$B$2,TRUE(),IF($Z94=Constants!$B$3,FALSE(),FALSE())))</f>
        <v/>
      </c>
      <c r="BF94" s="74" t="str">
        <f aca="false">IF(ISBLANK($C94),"",IF(ISBLANK($AA94),0,IF(ISNUMBER($AA94),IF(AND($AA94&gt;=0,$AA94&lt;=Constants!$B$35,$AA94=INT($AA94)),$AA94,""),"")))</f>
        <v/>
      </c>
      <c r="BG94" s="74" t="str">
        <f aca="false">IF(ISBLANK($C94),"",IF($AB94=Constants!$B$2,TRUE(),IF($AB94=Constants!$B$3,FALSE(),TRUE())))</f>
        <v/>
      </c>
      <c r="BH94" s="74" t="str">
        <f aca="false">IF(ISBLANK($C94),"",IF($AC94=Constants!$B$2,TRUE(),IF($AC94=Constants!$B$3,FALSE(),TRUE())))</f>
        <v/>
      </c>
      <c r="BI94" s="74" t="str">
        <f aca="false">IF(ISBLANK($C94),"",IF($AD94=Constants!$B$2,TRUE(),IF($AD94=Constants!$B$3,FALSE(),TRUE())))</f>
        <v/>
      </c>
      <c r="BJ94" s="74" t="str">
        <f aca="false">IF(ISBLANK($C94),"",IF(ISNUMBER($AE94),IF($AE94&gt;=0,$AE94,""),""))</f>
        <v/>
      </c>
      <c r="BK94" s="74" t="str">
        <f aca="false">IF(ISBLANK($C94),"",IF($AF94=Constants!$B$2,TRUE(),IF($AF94=Constants!$B$3,FALSE(),FALSE())))</f>
        <v/>
      </c>
      <c r="BL94" s="73" t="str">
        <f aca="false">IF(ISBLANK($C94),"",IF($BK94,Constants!$B$7,IF(COUNTA($E94:$AE94)=0,Constants!$B$6,IF(OR(COUNTA($G94:$AE94)=0,NOT($AM94),$AS94),Constants!$B$5,IF(OR($CM94&lt;&gt;"",$CN94,$CO94,$CP94,$CQ94,$CR94,$CS94),Constants!$B$8,Constants!$B$4)))))</f>
        <v/>
      </c>
      <c r="BM94" s="74" t="str">
        <f aca="false">IF(ISBLANK($C94),"",IF($BL94&lt;&gt;Constants!$B$4,$BL94,IF(OR(NOT($AJ94),NOT($AL94),NOT($AT94)),Constants!$B$11,IF(OR(NOT($AR94),NOT($AU94),NOT($BI94),MAX($AN94,$AO94,$AP94)&gt;Constants!$B$30),Constants!$B$10,Constants!$B$9))))</f>
        <v/>
      </c>
      <c r="BN94" s="74" t="str">
        <f aca="false">IF($BL94&lt;&gt;Constants!$B$4,"",IF(NOT($AL94),0,MIN(Constants!$B$35,$BF94)))</f>
        <v/>
      </c>
      <c r="BO94" s="74" t="str">
        <f aca="false">IF($BL94&lt;&gt;Constants!$B$4,"",IF(NOT($AL94),0,IF($AW94,Constants!$B$18,IF($AV94,Constants!$B$17,0))))</f>
        <v/>
      </c>
      <c r="BP94" s="74" t="str">
        <f aca="false">IF($BL94&lt;&gt;Constants!$B$4,"",IF(NOT($AL94),0,Constants!$B$19*($AK94+$AX94+$AY94+$AZ94)))</f>
        <v/>
      </c>
      <c r="BQ94" s="74" t="str">
        <f aca="false">IF($BL94&lt;&gt;Constants!$B$4,"",IF(OR(NOT($AL94),NOT(ISNUMBER($BA94))),0,CHOOSE($BA94,Constants!$B$13,Constants!$B$14,Constants!$B$15,Constants!$B$16)))</f>
        <v/>
      </c>
      <c r="BR94" s="74" t="str">
        <f aca="false">IF($BL94&lt;&gt;Constants!$B$4,"",IF(NOT($AL94),0,Constants!$B$20*$BB94))</f>
        <v/>
      </c>
      <c r="BS94" s="74" t="str">
        <f aca="false">IF($BL94&lt;&gt;Constants!$B$4,"",IF(AND($AL94,$BD94,$BE94),Constants!$B$22,0))</f>
        <v/>
      </c>
      <c r="BT94" s="74" t="str">
        <f aca="false">IF($BL94&lt;&gt;Constants!$B$4,"",IF(OR(NOT($AL94),NOT($BD94)),0,IF($BJ94&gt;=2*$AH$9,0,Constants!$B$23*INT(ROUND(MIN($BJ94,$AH$9),6)))))</f>
        <v/>
      </c>
      <c r="BU94" s="74" t="str">
        <f aca="false">IF($BL94&lt;&gt;Constants!$B$4,"",IF(NOT($AL94),0,Constants!$B$24*INT(ROUND(MIN($BC94,$AH$9),6))))</f>
        <v/>
      </c>
      <c r="BV94" s="74" t="str">
        <f aca="false">IF($BL94&lt;&gt;Constants!$B$4,"",IF(AND($AL94,$BN94=0),Constants!$B$25,0))</f>
        <v/>
      </c>
      <c r="BW94" s="74" t="str">
        <f aca="false">IF($BL94&lt;&gt;Constants!$B$4,"",MIN(Constants!$B$29,MAX(0,Constants!$B$27*Constants!$B$28*INT(ROUND((Constants!$B$26-$AN94)/Constants!$B$28,6))))+MIN(Constants!$B$29,MAX(0,Constants!$B$27*Constants!$B$28*INT(ROUND((Constants!$B$26-$AO94)/Constants!$B$28,6))))+MIN(Constants!$B$29,MAX(0,Constants!$B$27*Constants!$B$28*INT(ROUND((Constants!$B$26-$AP94)/Constants!$B$28,6)))))</f>
        <v/>
      </c>
      <c r="BX94" s="74" t="str">
        <f aca="false">IF($BL94&lt;&gt;Constants!$B$4,"",IF(NOT($AL94),0,Constants!$B$31*INT(ROUND(MAX(0,MIN($BJ94,2*$AH$9)-$AH$9),6))))</f>
        <v/>
      </c>
      <c r="BY94" s="74" t="str">
        <f aca="false">IF($BL94&lt;&gt;Constants!$B$4,"",Constants!$B$32*(($AN94&gt;Constants!$B$26)+($AO94&gt;Constants!$B$26)+($AP94&gt;Constants!$B$26)))</f>
        <v/>
      </c>
      <c r="BZ94" s="74" t="str">
        <f aca="false">IF($BL94&lt;&gt;Constants!$B$4,"",IF(OR(NOT($AL94),$AQ94),0,Constants!$B$33))</f>
        <v/>
      </c>
      <c r="CA94" s="74" t="str">
        <f aca="false">IF($BL94&lt;&gt;Constants!$B$4,"",Constants!$B$34*$BN94)</f>
        <v/>
      </c>
      <c r="CB94" s="74" t="str">
        <f aca="false">IF($BL94&lt;&gt;Constants!$B$4,"",IF(OR(NOT($AL94),$BH94),0,Constants!$B$36))</f>
        <v/>
      </c>
      <c r="CC94" s="74" t="str">
        <f aca="false">IF($BL94&lt;&gt;Constants!$B$4,"",IF(OR(NOT($AL94),$BG94),0,Constants!$B$37))</f>
        <v/>
      </c>
      <c r="CD94" s="74" t="str">
        <f aca="false">IF($BL94&lt;&gt;Constants!$B$4,"",SUM($BX94:$CC94))</f>
        <v/>
      </c>
      <c r="CE94" s="74" t="str">
        <f aca="false">IF(ISBLANK($C94),"",IF($BL94&lt;&gt;Constants!$B$4,$BL94,SUM($BO94:$BW94)-$CD94))</f>
        <v/>
      </c>
      <c r="CF94" s="74" t="str">
        <f aca="false">IF(ISBLANK($C94),"",IF($BL94&lt;&gt;Constants!$B$4,$BL94,RANK($CE94,$CE$9:$CE$508)))</f>
        <v/>
      </c>
      <c r="CG94" s="74" t="str">
        <f aca="false">IF(ISBLANK($C94),"",IF($BL94&lt;&gt;Constants!$B$4,$BL94,COUNTIFS($BM$9:$BM$508,"&lt;"&amp;$BM94)+COUNTIFS($BM$9:$BM$508,$BM94,$CF$9:$CF$508,"&lt;"&amp;$CF94)+1))</f>
        <v/>
      </c>
      <c r="CH94" s="74" t="str">
        <f aca="false">IF(ISBLANK($C94),"",IF($BL94&lt;&gt;Constants!$B$4,$BL94,RANK($CD94,$CD$9:$CD$508,1)))</f>
        <v/>
      </c>
      <c r="CI94" s="74" t="str">
        <f aca="false">IF($BL94&lt;&gt;Constants!$B$4,"",$AN94+$AO94+$AP94)</f>
        <v/>
      </c>
      <c r="CJ94" s="74" t="str">
        <f aca="false">IF(ISBLANK($C94),"",IF($BL94&lt;&gt;Constants!$B$4,$BL94,RANK($CI94,$CI$9:$CI$508,1)))</f>
        <v/>
      </c>
      <c r="CK94" s="74" t="str">
        <f aca="false">IF(ISBLANK($C94),"",IF($BL94&lt;&gt;Constants!$B$4,$BL94,COUNTIFS($BM$9:$BM$508,"&lt;"&amp;$BM94)+COUNTIFS($BM$9:$BM$508,$BM94,$CF$9:$CF$508,"&lt;"&amp;$CF94)+COUNTIFS($BM$9:$BM$508,$BM94,$CF$9:$CF$508,$CF94,$CH$9:$CH$508,"&lt;"&amp;$CH94)+COUNTIFS($BM$9:$BM$508,$BM94,$CF$9:$CF$508,$CF94,$CH$9:$CH$508,$CH94,$CJ$9:$CJ$508,"&lt;"&amp;$CJ94)+1))</f>
        <v/>
      </c>
      <c r="CL94" s="74" t="str">
        <f aca="false">IF(ISBLANK($C94),"",IF($BL94&lt;&gt;Constants!$B$4,$BL94,$CG94-$CK94))</f>
        <v/>
      </c>
      <c r="CM94" s="74" t="str">
        <f aca="false">IF(ISBLANK($C94),"",IF(NOT($AL94),"",IF(ISBLANK($D$7),$CM$5,IF(NOT(ISNUMBER($D$7)),$CM$6,""))))</f>
        <v/>
      </c>
      <c r="CN94" s="74" t="str">
        <f aca="false">IF(ISBLANK($C94),"",OR($AN94="",$AO94="",$AP94=""))</f>
        <v/>
      </c>
      <c r="CO94" s="74" t="str">
        <f aca="false">IF(ISBLANK($C94),"",AND($AL94,$BA94=""))</f>
        <v/>
      </c>
      <c r="CP94" s="74" t="str">
        <f aca="false">IF(ISBLANK($C94),"",AND($AL94,$BB94=""))</f>
        <v/>
      </c>
      <c r="CQ94" s="74" t="str">
        <f aca="false">IF(ISBLANK($C94),"",AND($AL94,$BC94=""))</f>
        <v/>
      </c>
      <c r="CR94" s="74" t="str">
        <f aca="false">IF(ISBLANK($C94),"",AND($AL94,$BF94=""))</f>
        <v/>
      </c>
      <c r="CS94" s="74" t="str">
        <f aca="false">IF(ISBLANK($C94),"",AND($AL94,$BJ94=""))</f>
        <v/>
      </c>
      <c r="CT94" s="75"/>
      <c r="CU94" s="76"/>
      <c r="CV94" s="79" t="str">
        <f aca="false">IF(ISBLANK($C94),"",IF($BL94=Constants!$B$8,$CM94,""))</f>
        <v/>
      </c>
      <c r="CW94" s="76" t="str">
        <f aca="false">IF(ISBLANK($C94),"",IF($BL94&lt;&gt;Constants!$B$4,"",$BO94+$BP94))</f>
        <v/>
      </c>
      <c r="CX94" s="78" t="str">
        <f aca="false">IF(ISBLANK($C94),"",IF($BL94&lt;&gt;Constants!$B$4,"",$BQ94+$BR94+$BS94))</f>
        <v/>
      </c>
      <c r="CY94" s="78" t="str">
        <f aca="false">IF(ISBLANK($C94),"",IF($BL94&lt;&gt;Constants!$B$4,"",$BT94))</f>
        <v/>
      </c>
      <c r="CZ94" s="78" t="str">
        <f aca="false">IF(ISBLANK($C94),"",IF($BL94&lt;&gt;Constants!$B$4,"",$BU94+$BV94))</f>
        <v/>
      </c>
      <c r="DA94" s="78" t="str">
        <f aca="false">IF(ISBLANK($C94),"",IF($BL94&lt;&gt;Constants!$B$4,"",$BW94))</f>
        <v/>
      </c>
      <c r="DB94" s="78" t="str">
        <f aca="false">IF(ISBLANK($C94),"",IF($BL94&lt;&gt;Constants!$B$4,"",-$CD94))</f>
        <v/>
      </c>
      <c r="DC94" s="79" t="str">
        <f aca="false">IF(ISBLANK($C94),"",$CE94)</f>
        <v/>
      </c>
      <c r="DD94" s="80" t="str">
        <f aca="false">IF(ISBLANK($C94),"",$BM94)</f>
        <v/>
      </c>
      <c r="DE94" s="78" t="str">
        <f aca="false">IF(ISBLANK($C94),"",$CL94)</f>
        <v/>
      </c>
      <c r="DF94" s="78" t="str">
        <f aca="false">IF(ISBLANK($C94),"",$CK94)</f>
        <v/>
      </c>
      <c r="DG94" s="81" t="str">
        <f aca="false">IF(ISBLANK($C94),"",IF($DF94=Constants!$B$7,COUNTA($C$9:$C$508)+2,IF($DF94=Constants!$B$6,COUNTA($C$9:$C$508)+1,IF($DF94=Constants!$B$5,COUNTA($C$9:$C$508),$DF94))))</f>
        <v/>
      </c>
      <c r="DH94" s="7"/>
      <c r="DI94" s="82" t="n">
        <f aca="false">IF(OR(ISNUMBER($DF94),$DF94=Constants!$B$7,$DF94=Constants!$B$5,$DF94=Constants!$B$6),1,0)</f>
        <v>0</v>
      </c>
      <c r="DJ94" s="82" t="n">
        <v>86</v>
      </c>
      <c r="DK94" s="82" t="str">
        <f aca="false">IF(ISBLANK($C94),"",IF(ISNUMBER($DG94),$DG94+ROW($B94)/1000,""))</f>
        <v/>
      </c>
      <c r="DL94" s="82" t="str">
        <f aca="false">IF(ISNUMBER($DK94),RANK($DK94,$DK$9:$DK$508,1),"")</f>
        <v/>
      </c>
      <c r="DM94" s="82" t="str">
        <f aca="false">IF(ISBLANK($C94),"",$B94)</f>
        <v/>
      </c>
      <c r="DN94" s="82" t="str">
        <f aca="false">IF(ISBLANK($C94),"",$C94)</f>
        <v/>
      </c>
      <c r="DO94" s="82" t="str">
        <f aca="false">IF(ISBLANK($C94),"",$D94)</f>
        <v/>
      </c>
      <c r="DP94" s="83" t="str">
        <f aca="false">$DD94</f>
        <v/>
      </c>
      <c r="DQ94" s="84" t="str">
        <f aca="false">$DC94</f>
        <v/>
      </c>
      <c r="DR94" s="82" t="str">
        <f aca="false">IF(ISBLANK($C94),"",$DF94)</f>
        <v/>
      </c>
      <c r="DS94" s="85" t="str">
        <f aca="false">IF($DJ94&gt;$DI$8,"",VLOOKUP($DJ94,$DL$9:$DR$508,7,FALSE()))</f>
        <v/>
      </c>
      <c r="DT94" s="86" t="str">
        <f aca="false">IF($DJ94&gt;$DI$8,"",VLOOKUP($DJ94,$DL$9:$DR$508,2,FALSE()))</f>
        <v/>
      </c>
      <c r="DU94" s="86" t="str">
        <f aca="false">IF($DJ94&gt;$DI$8,"",VLOOKUP($DJ94,$DL$9:$DR$508,3,FALSE()))</f>
        <v/>
      </c>
      <c r="DV94" s="86" t="str">
        <f aca="false">IF($DJ94&gt;$DI$8,"",VLOOKUP($DJ94,$DL$9:$DR$508,4,FALSE()))</f>
        <v/>
      </c>
      <c r="DW94" s="86" t="str">
        <f aca="false">IF($DJ94&gt;$DI$8,"",VLOOKUP($DJ94,$DL$9:$DR$508,5,FALSE()))</f>
        <v/>
      </c>
      <c r="DX94" s="87" t="str">
        <f aca="false">IF($DJ94&gt;$DI$8,"",VLOOKUP($DJ94,$DL$9:$DR$508,6,FALSE()))</f>
        <v/>
      </c>
      <c r="DY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2"/>
      <c r="N95" s="122"/>
      <c r="O95" s="66"/>
      <c r="P95" s="66"/>
      <c r="Q95" s="122"/>
      <c r="R95" s="122"/>
      <c r="S95" s="122"/>
      <c r="T95" s="122"/>
      <c r="U95" s="66"/>
      <c r="V95" s="122"/>
      <c r="W95" s="120"/>
      <c r="X95" s="122"/>
      <c r="Y95" s="122"/>
      <c r="Z95" s="120"/>
      <c r="AA95" s="120"/>
      <c r="AB95" s="122"/>
      <c r="AC95" s="122"/>
      <c r="AD95" s="122"/>
      <c r="AE95" s="121"/>
      <c r="AF95" s="122"/>
      <c r="AG95" s="73"/>
      <c r="AH95" s="74"/>
      <c r="AI95" s="74"/>
      <c r="AJ95" s="74" t="str">
        <f aca="false">IF(ISBLANK($C95),"",IF($E95=Constants!$B$2,TRUE(),IF($E95=Constants!$B$3,FALSE(),TRUE())))</f>
        <v/>
      </c>
      <c r="AK95" s="74" t="str">
        <f aca="false">IF(ISBLANK($C95),"",IF($F95=Constants!$B$2,TRUE(),IF($F95=Constants!$B$3,FALSE(),FALSE())))</f>
        <v/>
      </c>
      <c r="AL95" s="74" t="str">
        <f aca="false">IF(ISBLANK($C95),"",IF($G95=Constants!$B$2,TRUE(),IF($G95=Constants!$B$3,FALSE(),TRUE())))</f>
        <v/>
      </c>
      <c r="AM95" s="74" t="str">
        <f aca="false">IF(ISBLANK($C95),"",IF($H95=Constants!$B$2,TRUE(),IF($H95=Constants!$B$3,FALSE(),TRUE())))</f>
        <v/>
      </c>
      <c r="AN95" s="74" t="str">
        <f aca="false">IF(ISBLANK($C95),"",IF(ISNUMBER($I95),IF($I95&gt;=0,$I95,""),""))</f>
        <v/>
      </c>
      <c r="AO95" s="74" t="str">
        <f aca="false">IF(ISBLANK($C95),"",IF(ISNUMBER($J95),IF($J95&gt;=0,$J95,""),""))</f>
        <v/>
      </c>
      <c r="AP95" s="74" t="str">
        <f aca="false">IF(ISBLANK($C95),"",IF(ISNUMBER($K95),IF($K95&gt;=0,$K95,""),""))</f>
        <v/>
      </c>
      <c r="AQ95" s="74" t="str">
        <f aca="false">IF(ISBLANK($C95),"",IF($L95=Constants!$B$2,TRUE(),IF($L95=Constants!$B$3,FALSE(),TRUE())))</f>
        <v/>
      </c>
      <c r="AR95" s="74" t="str">
        <f aca="false">IF(ISBLANK($C95),"",IF($M95=Constants!$B$2,TRUE(),IF($M95=Constants!$B$3,FALSE(),TRUE())))</f>
        <v/>
      </c>
      <c r="AS95" s="74" t="str">
        <f aca="false">IF(ISBLANK($C95),"",IF($N95=Constants!$B$2,TRUE(),IF($N95=Constants!$B$3,FALSE(),FALSE())))</f>
        <v/>
      </c>
      <c r="AT95" s="74" t="str">
        <f aca="false">IF(ISBLANK($C95),"",IF($O95=Constants!$B$2,TRUE(),IF($O95=Constants!$B$3,FALSE(),TRUE())))</f>
        <v/>
      </c>
      <c r="AU95" s="74" t="str">
        <f aca="false">IF(ISBLANK($C95),"",IF($P95=Constants!$B$2,TRUE(),IF($P95=Constants!$B$3,FALSE(),TRUE())))</f>
        <v/>
      </c>
      <c r="AV95" s="74" t="str">
        <f aca="false">IF(ISBLANK($C95),"",IF($Q95=Constants!$B$2,TRUE(),IF($Q95=Constants!$B$3,FALSE(),FALSE())))</f>
        <v/>
      </c>
      <c r="AW95" s="74" t="str">
        <f aca="false">IF(ISBLANK($C95),"",IF($R95=Constants!$B$2,TRUE(),IF($R95=Constants!$B$3,FALSE(),FALSE())))</f>
        <v/>
      </c>
      <c r="AX95" s="74" t="str">
        <f aca="false">IF(ISBLANK($C95),"",IF($S95=Constants!$B$2,TRUE(),IF($S95=Constants!$B$3,FALSE(),FALSE())))</f>
        <v/>
      </c>
      <c r="AY95" s="74" t="str">
        <f aca="false">IF(ISBLANK($C95),"",IF($T95=Constants!$B$2,TRUE(),IF($T95=Constants!$B$3,FALSE(),FALSE())))</f>
        <v/>
      </c>
      <c r="AZ95" s="74" t="str">
        <f aca="false">IF(ISBLANK($C95),"",IF($U95=Constants!$B$2,TRUE(),IF($U95=Constants!$B$3,FALSE(),FALSE())))</f>
        <v/>
      </c>
      <c r="BA95" s="74" t="str">
        <f aca="false">IF(ISBLANK($C95),"",IF(OR($V95&amp;""="1",$V95&amp;""="2",$V95&amp;""="3",$V95&amp;""="4"),VALUE($V95&amp;""),IF($V95=Constants!$B$12,Constants!$B$12,"")))</f>
        <v/>
      </c>
      <c r="BB95" s="74" t="str">
        <f aca="false">IF(ISBLANK($C95),"",IF(ISBLANK($W95),0,IF(ISNUMBER($W95),IF(AND($W95&gt;=0,$W95&lt;=Constants!$B$21,$W95=INT($W95)),$W95,""),"")))</f>
        <v/>
      </c>
      <c r="BC95" s="74" t="str">
        <f aca="false">IF(ISBLANK($C95),"",IF(ISBLANK($X95),0,IF(ISNUMBER($X95),IF($X95&gt;=0,$X95,""),"")))</f>
        <v/>
      </c>
      <c r="BD95" s="74" t="str">
        <f aca="false">IF(ISBLANK($C95),"",IF($Y95=Constants!$B$2,TRUE(),IF($Y95=Constants!$B$3,FALSE(),TRUE())))</f>
        <v/>
      </c>
      <c r="BE95" s="74" t="str">
        <f aca="false">IF(ISBLANK($C95),"",IF($Z95=Constants!$B$2,TRUE(),IF($Z95=Constants!$B$3,FALSE(),FALSE())))</f>
        <v/>
      </c>
      <c r="BF95" s="74" t="str">
        <f aca="false">IF(ISBLANK($C95),"",IF(ISBLANK($AA95),0,IF(ISNUMBER($AA95),IF(AND($AA95&gt;=0,$AA95&lt;=Constants!$B$35,$AA95=INT($AA95)),$AA95,""),"")))</f>
        <v/>
      </c>
      <c r="BG95" s="74" t="str">
        <f aca="false">IF(ISBLANK($C95),"",IF($AB95=Constants!$B$2,TRUE(),IF($AB95=Constants!$B$3,FALSE(),TRUE())))</f>
        <v/>
      </c>
      <c r="BH95" s="74" t="str">
        <f aca="false">IF(ISBLANK($C95),"",IF($AC95=Constants!$B$2,TRUE(),IF($AC95=Constants!$B$3,FALSE(),TRUE())))</f>
        <v/>
      </c>
      <c r="BI95" s="74" t="str">
        <f aca="false">IF(ISBLANK($C95),"",IF($AD95=Constants!$B$2,TRUE(),IF($AD95=Constants!$B$3,FALSE(),TRUE())))</f>
        <v/>
      </c>
      <c r="BJ95" s="74" t="str">
        <f aca="false">IF(ISBLANK($C95),"",IF(ISNUMBER($AE95),IF($AE95&gt;=0,$AE95,""),""))</f>
        <v/>
      </c>
      <c r="BK95" s="74" t="str">
        <f aca="false">IF(ISBLANK($C95),"",IF($AF95=Constants!$B$2,TRUE(),IF($AF95=Constants!$B$3,FALSE(),FALSE())))</f>
        <v/>
      </c>
      <c r="BL95" s="73" t="str">
        <f aca="false">IF(ISBLANK($C95),"",IF($BK95,Constants!$B$7,IF(COUNTA($E95:$AE95)=0,Constants!$B$6,IF(OR(COUNTA($G95:$AE95)=0,NOT($AM95),$AS95),Constants!$B$5,IF(OR($CM95&lt;&gt;"",$CN95,$CO95,$CP95,$CQ95,$CR95,$CS95),Constants!$B$8,Constants!$B$4)))))</f>
        <v/>
      </c>
      <c r="BM95" s="74" t="str">
        <f aca="false">IF(ISBLANK($C95),"",IF($BL95&lt;&gt;Constants!$B$4,$BL95,IF(OR(NOT($AJ95),NOT($AL95),NOT($AT95)),Constants!$B$11,IF(OR(NOT($AR95),NOT($AU95),NOT($BI95),MAX($AN95,$AO95,$AP95)&gt;Constants!$B$30),Constants!$B$10,Constants!$B$9))))</f>
        <v/>
      </c>
      <c r="BN95" s="74" t="str">
        <f aca="false">IF($BL95&lt;&gt;Constants!$B$4,"",IF(NOT($AL95),0,MIN(Constants!$B$35,$BF95)))</f>
        <v/>
      </c>
      <c r="BO95" s="74" t="str">
        <f aca="false">IF($BL95&lt;&gt;Constants!$B$4,"",IF(NOT($AL95),0,IF($AW95,Constants!$B$18,IF($AV95,Constants!$B$17,0))))</f>
        <v/>
      </c>
      <c r="BP95" s="74" t="str">
        <f aca="false">IF($BL95&lt;&gt;Constants!$B$4,"",IF(NOT($AL95),0,Constants!$B$19*($AK95+$AX95+$AY95+$AZ95)))</f>
        <v/>
      </c>
      <c r="BQ95" s="74" t="str">
        <f aca="false">IF($BL95&lt;&gt;Constants!$B$4,"",IF(OR(NOT($AL95),NOT(ISNUMBER($BA95))),0,CHOOSE($BA95,Constants!$B$13,Constants!$B$14,Constants!$B$15,Constants!$B$16)))</f>
        <v/>
      </c>
      <c r="BR95" s="74" t="str">
        <f aca="false">IF($BL95&lt;&gt;Constants!$B$4,"",IF(NOT($AL95),0,Constants!$B$20*$BB95))</f>
        <v/>
      </c>
      <c r="BS95" s="74" t="str">
        <f aca="false">IF($BL95&lt;&gt;Constants!$B$4,"",IF(AND($AL95,$BD95,$BE95),Constants!$B$22,0))</f>
        <v/>
      </c>
      <c r="BT95" s="74" t="str">
        <f aca="false">IF($BL95&lt;&gt;Constants!$B$4,"",IF(OR(NOT($AL95),NOT($BD95)),0,IF($BJ95&gt;=2*$AH$9,0,Constants!$B$23*INT(ROUND(MIN($BJ95,$AH$9),6)))))</f>
        <v/>
      </c>
      <c r="BU95" s="74" t="str">
        <f aca="false">IF($BL95&lt;&gt;Constants!$B$4,"",IF(NOT($AL95),0,Constants!$B$24*INT(ROUND(MIN($BC95,$AH$9),6))))</f>
        <v/>
      </c>
      <c r="BV95" s="74" t="str">
        <f aca="false">IF($BL95&lt;&gt;Constants!$B$4,"",IF(AND($AL95,$BN95=0),Constants!$B$25,0))</f>
        <v/>
      </c>
      <c r="BW95" s="74" t="str">
        <f aca="false">IF($BL95&lt;&gt;Constants!$B$4,"",MIN(Constants!$B$29,MAX(0,Constants!$B$27*Constants!$B$28*INT(ROUND((Constants!$B$26-$AN95)/Constants!$B$28,6))))+MIN(Constants!$B$29,MAX(0,Constants!$B$27*Constants!$B$28*INT(ROUND((Constants!$B$26-$AO95)/Constants!$B$28,6))))+MIN(Constants!$B$29,MAX(0,Constants!$B$27*Constants!$B$28*INT(ROUND((Constants!$B$26-$AP95)/Constants!$B$28,6)))))</f>
        <v/>
      </c>
      <c r="BX95" s="74" t="str">
        <f aca="false">IF($BL95&lt;&gt;Constants!$B$4,"",IF(NOT($AL95),0,Constants!$B$31*INT(ROUND(MAX(0,MIN($BJ95,2*$AH$9)-$AH$9),6))))</f>
        <v/>
      </c>
      <c r="BY95" s="74" t="str">
        <f aca="false">IF($BL95&lt;&gt;Constants!$B$4,"",Constants!$B$32*(($AN95&gt;Constants!$B$26)+($AO95&gt;Constants!$B$26)+($AP95&gt;Constants!$B$26)))</f>
        <v/>
      </c>
      <c r="BZ95" s="74" t="str">
        <f aca="false">IF($BL95&lt;&gt;Constants!$B$4,"",IF(OR(NOT($AL95),$AQ95),0,Constants!$B$33))</f>
        <v/>
      </c>
      <c r="CA95" s="74" t="str">
        <f aca="false">IF($BL95&lt;&gt;Constants!$B$4,"",Constants!$B$34*$BN95)</f>
        <v/>
      </c>
      <c r="CB95" s="74" t="str">
        <f aca="false">IF($BL95&lt;&gt;Constants!$B$4,"",IF(OR(NOT($AL95),$BH95),0,Constants!$B$36))</f>
        <v/>
      </c>
      <c r="CC95" s="74" t="str">
        <f aca="false">IF($BL95&lt;&gt;Constants!$B$4,"",IF(OR(NOT($AL95),$BG95),0,Constants!$B$37))</f>
        <v/>
      </c>
      <c r="CD95" s="74" t="str">
        <f aca="false">IF($BL95&lt;&gt;Constants!$B$4,"",SUM($BX95:$CC95))</f>
        <v/>
      </c>
      <c r="CE95" s="74" t="str">
        <f aca="false">IF(ISBLANK($C95),"",IF($BL95&lt;&gt;Constants!$B$4,$BL95,SUM($BO95:$BW95)-$CD95))</f>
        <v/>
      </c>
      <c r="CF95" s="74" t="str">
        <f aca="false">IF(ISBLANK($C95),"",IF($BL95&lt;&gt;Constants!$B$4,$BL95,RANK($CE95,$CE$9:$CE$508)))</f>
        <v/>
      </c>
      <c r="CG95" s="74" t="str">
        <f aca="false">IF(ISBLANK($C95),"",IF($BL95&lt;&gt;Constants!$B$4,$BL95,COUNTIFS($BM$9:$BM$508,"&lt;"&amp;$BM95)+COUNTIFS($BM$9:$BM$508,$BM95,$CF$9:$CF$508,"&lt;"&amp;$CF95)+1))</f>
        <v/>
      </c>
      <c r="CH95" s="74" t="str">
        <f aca="false">IF(ISBLANK($C95),"",IF($BL95&lt;&gt;Constants!$B$4,$BL95,RANK($CD95,$CD$9:$CD$508,1)))</f>
        <v/>
      </c>
      <c r="CI95" s="74" t="str">
        <f aca="false">IF($BL95&lt;&gt;Constants!$B$4,"",$AN95+$AO95+$AP95)</f>
        <v/>
      </c>
      <c r="CJ95" s="74" t="str">
        <f aca="false">IF(ISBLANK($C95),"",IF($BL95&lt;&gt;Constants!$B$4,$BL95,RANK($CI95,$CI$9:$CI$508,1)))</f>
        <v/>
      </c>
      <c r="CK95" s="74" t="str">
        <f aca="false">IF(ISBLANK($C95),"",IF($BL95&lt;&gt;Constants!$B$4,$BL95,COUNTIFS($BM$9:$BM$508,"&lt;"&amp;$BM95)+COUNTIFS($BM$9:$BM$508,$BM95,$CF$9:$CF$508,"&lt;"&amp;$CF95)+COUNTIFS($BM$9:$BM$508,$BM95,$CF$9:$CF$508,$CF95,$CH$9:$CH$508,"&lt;"&amp;$CH95)+COUNTIFS($BM$9:$BM$508,$BM95,$CF$9:$CF$508,$CF95,$CH$9:$CH$508,$CH95,$CJ$9:$CJ$508,"&lt;"&amp;$CJ95)+1))</f>
        <v/>
      </c>
      <c r="CL95" s="74" t="str">
        <f aca="false">IF(ISBLANK($C95),"",IF($BL95&lt;&gt;Constants!$B$4,$BL95,$CG95-$CK95))</f>
        <v/>
      </c>
      <c r="CM95" s="74" t="str">
        <f aca="false">IF(ISBLANK($C95),"",IF(NOT($AL95),"",IF(ISBLANK($D$7),$CM$5,IF(NOT(ISNUMBER($D$7)),$CM$6,""))))</f>
        <v/>
      </c>
      <c r="CN95" s="74" t="str">
        <f aca="false">IF(ISBLANK($C95),"",OR($AN95="",$AO95="",$AP95=""))</f>
        <v/>
      </c>
      <c r="CO95" s="74" t="str">
        <f aca="false">IF(ISBLANK($C95),"",AND($AL95,$BA95=""))</f>
        <v/>
      </c>
      <c r="CP95" s="74" t="str">
        <f aca="false">IF(ISBLANK($C95),"",AND($AL95,$BB95=""))</f>
        <v/>
      </c>
      <c r="CQ95" s="74" t="str">
        <f aca="false">IF(ISBLANK($C95),"",AND($AL95,$BC95=""))</f>
        <v/>
      </c>
      <c r="CR95" s="74" t="str">
        <f aca="false">IF(ISBLANK($C95),"",AND($AL95,$BF95=""))</f>
        <v/>
      </c>
      <c r="CS95" s="74" t="str">
        <f aca="false">IF(ISBLANK($C95),"",AND($AL95,$BJ95=""))</f>
        <v/>
      </c>
      <c r="CT95" s="75"/>
      <c r="CU95" s="76"/>
      <c r="CV95" s="79" t="str">
        <f aca="false">IF(ISBLANK($C95),"",IF($BL95=Constants!$B$8,$CM95,""))</f>
        <v/>
      </c>
      <c r="CW95" s="76" t="str">
        <f aca="false">IF(ISBLANK($C95),"",IF($BL95&lt;&gt;Constants!$B$4,"",$BO95+$BP95))</f>
        <v/>
      </c>
      <c r="CX95" s="78" t="str">
        <f aca="false">IF(ISBLANK($C95),"",IF($BL95&lt;&gt;Constants!$B$4,"",$BQ95+$BR95+$BS95))</f>
        <v/>
      </c>
      <c r="CY95" s="78" t="str">
        <f aca="false">IF(ISBLANK($C95),"",IF($BL95&lt;&gt;Constants!$B$4,"",$BT95))</f>
        <v/>
      </c>
      <c r="CZ95" s="78" t="str">
        <f aca="false">IF(ISBLANK($C95),"",IF($BL95&lt;&gt;Constants!$B$4,"",$BU95+$BV95))</f>
        <v/>
      </c>
      <c r="DA95" s="78" t="str">
        <f aca="false">IF(ISBLANK($C95),"",IF($BL95&lt;&gt;Constants!$B$4,"",$BW95))</f>
        <v/>
      </c>
      <c r="DB95" s="78" t="str">
        <f aca="false">IF(ISBLANK($C95),"",IF($BL95&lt;&gt;Constants!$B$4,"",-$CD95))</f>
        <v/>
      </c>
      <c r="DC95" s="79" t="str">
        <f aca="false">IF(ISBLANK($C95),"",$CE95)</f>
        <v/>
      </c>
      <c r="DD95" s="80" t="str">
        <f aca="false">IF(ISBLANK($C95),"",$BM95)</f>
        <v/>
      </c>
      <c r="DE95" s="78" t="str">
        <f aca="false">IF(ISBLANK($C95),"",$CL95)</f>
        <v/>
      </c>
      <c r="DF95" s="78" t="str">
        <f aca="false">IF(ISBLANK($C95),"",$CK95)</f>
        <v/>
      </c>
      <c r="DG95" s="81" t="str">
        <f aca="false">IF(ISBLANK($C95),"",IF($DF95=Constants!$B$7,COUNTA($C$9:$C$508)+2,IF($DF95=Constants!$B$6,COUNTA($C$9:$C$508)+1,IF($DF95=Constants!$B$5,COUNTA($C$9:$C$508),$DF95))))</f>
        <v/>
      </c>
      <c r="DH95" s="7"/>
      <c r="DI95" s="82" t="n">
        <f aca="false">IF(OR(ISNUMBER($DF95),$DF95=Constants!$B$7,$DF95=Constants!$B$5,$DF95=Constants!$B$6),1,0)</f>
        <v>0</v>
      </c>
      <c r="DJ95" s="82" t="n">
        <v>87</v>
      </c>
      <c r="DK95" s="82" t="str">
        <f aca="false">IF(ISBLANK($C95),"",IF(ISNUMBER($DG95),$DG95+ROW($B95)/1000,""))</f>
        <v/>
      </c>
      <c r="DL95" s="82" t="str">
        <f aca="false">IF(ISNUMBER($DK95),RANK($DK95,$DK$9:$DK$508,1),"")</f>
        <v/>
      </c>
      <c r="DM95" s="82" t="str">
        <f aca="false">IF(ISBLANK($C95),"",$B95)</f>
        <v/>
      </c>
      <c r="DN95" s="82" t="str">
        <f aca="false">IF(ISBLANK($C95),"",$C95)</f>
        <v/>
      </c>
      <c r="DO95" s="82" t="str">
        <f aca="false">IF(ISBLANK($C95),"",$D95)</f>
        <v/>
      </c>
      <c r="DP95" s="83" t="str">
        <f aca="false">$DD95</f>
        <v/>
      </c>
      <c r="DQ95" s="84" t="str">
        <f aca="false">$DC95</f>
        <v/>
      </c>
      <c r="DR95" s="82" t="str">
        <f aca="false">IF(ISBLANK($C95),"",$DF95)</f>
        <v/>
      </c>
      <c r="DS95" s="85" t="str">
        <f aca="false">IF($DJ95&gt;$DI$8,"",VLOOKUP($DJ95,$DL$9:$DR$508,7,FALSE()))</f>
        <v/>
      </c>
      <c r="DT95" s="86" t="str">
        <f aca="false">IF($DJ95&gt;$DI$8,"",VLOOKUP($DJ95,$DL$9:$DR$508,2,FALSE()))</f>
        <v/>
      </c>
      <c r="DU95" s="86" t="str">
        <f aca="false">IF($DJ95&gt;$DI$8,"",VLOOKUP($DJ95,$DL$9:$DR$508,3,FALSE()))</f>
        <v/>
      </c>
      <c r="DV95" s="86" t="str">
        <f aca="false">IF($DJ95&gt;$DI$8,"",VLOOKUP($DJ95,$DL$9:$DR$508,4,FALSE()))</f>
        <v/>
      </c>
      <c r="DW95" s="86" t="str">
        <f aca="false">IF($DJ95&gt;$DI$8,"",VLOOKUP($DJ95,$DL$9:$DR$508,5,FALSE()))</f>
        <v/>
      </c>
      <c r="DX95" s="87" t="str">
        <f aca="false">IF($DJ95&gt;$DI$8,"",VLOOKUP($DJ95,$DL$9:$DR$508,6,FALSE()))</f>
        <v/>
      </c>
      <c r="DY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16"/>
      <c r="N96" s="116"/>
      <c r="O96" s="113"/>
      <c r="P96" s="113"/>
      <c r="Q96" s="116"/>
      <c r="R96" s="116"/>
      <c r="S96" s="116"/>
      <c r="T96" s="116"/>
      <c r="U96" s="113"/>
      <c r="V96" s="116"/>
      <c r="W96" s="132"/>
      <c r="X96" s="116"/>
      <c r="Y96" s="116"/>
      <c r="Z96" s="132"/>
      <c r="AA96" s="132"/>
      <c r="AB96" s="116"/>
      <c r="AC96" s="116"/>
      <c r="AD96" s="116"/>
      <c r="AE96" s="133"/>
      <c r="AF96" s="116"/>
      <c r="AG96" s="99"/>
      <c r="AH96" s="100"/>
      <c r="AI96" s="100"/>
      <c r="AJ96" s="100" t="str">
        <f aca="false">IF(ISBLANK($C96),"",IF($E96=Constants!$B$2,TRUE(),IF($E96=Constants!$B$3,FALSE(),TRUE())))</f>
        <v/>
      </c>
      <c r="AK96" s="100" t="str">
        <f aca="false">IF(ISBLANK($C96),"",IF($F96=Constants!$B$2,TRUE(),IF($F96=Constants!$B$3,FALSE(),FALSE())))</f>
        <v/>
      </c>
      <c r="AL96" s="100" t="str">
        <f aca="false">IF(ISBLANK($C96),"",IF($G96=Constants!$B$2,TRUE(),IF($G96=Constants!$B$3,FALSE(),TRUE())))</f>
        <v/>
      </c>
      <c r="AM96" s="100" t="str">
        <f aca="false">IF(ISBLANK($C96),"",IF($H96=Constants!$B$2,TRUE(),IF($H96=Constants!$B$3,FALSE(),TRUE())))</f>
        <v/>
      </c>
      <c r="AN96" s="100" t="str">
        <f aca="false">IF(ISBLANK($C96),"",IF(ISNUMBER($I96),IF($I96&gt;=0,$I96,""),""))</f>
        <v/>
      </c>
      <c r="AO96" s="100" t="str">
        <f aca="false">IF(ISBLANK($C96),"",IF(ISNUMBER($J96),IF($J96&gt;=0,$J96,""),""))</f>
        <v/>
      </c>
      <c r="AP96" s="100" t="str">
        <f aca="false">IF(ISBLANK($C96),"",IF(ISNUMBER($K96),IF($K96&gt;=0,$K96,""),""))</f>
        <v/>
      </c>
      <c r="AQ96" s="100" t="str">
        <f aca="false">IF(ISBLANK($C96),"",IF($L96=Constants!$B$2,TRUE(),IF($L96=Constants!$B$3,FALSE(),TRUE())))</f>
        <v/>
      </c>
      <c r="AR96" s="100" t="str">
        <f aca="false">IF(ISBLANK($C96),"",IF($M96=Constants!$B$2,TRUE(),IF($M96=Constants!$B$3,FALSE(),TRUE())))</f>
        <v/>
      </c>
      <c r="AS96" s="100" t="str">
        <f aca="false">IF(ISBLANK($C96),"",IF($N96=Constants!$B$2,TRUE(),IF($N96=Constants!$B$3,FALSE(),FALSE())))</f>
        <v/>
      </c>
      <c r="AT96" s="100" t="str">
        <f aca="false">IF(ISBLANK($C96),"",IF($O96=Constants!$B$2,TRUE(),IF($O96=Constants!$B$3,FALSE(),TRUE())))</f>
        <v/>
      </c>
      <c r="AU96" s="100" t="str">
        <f aca="false">IF(ISBLANK($C96),"",IF($P96=Constants!$B$2,TRUE(),IF($P96=Constants!$B$3,FALSE(),TRUE())))</f>
        <v/>
      </c>
      <c r="AV96" s="100" t="str">
        <f aca="false">IF(ISBLANK($C96),"",IF($Q96=Constants!$B$2,TRUE(),IF($Q96=Constants!$B$3,FALSE(),FALSE())))</f>
        <v/>
      </c>
      <c r="AW96" s="100" t="str">
        <f aca="false">IF(ISBLANK($C96),"",IF($R96=Constants!$B$2,TRUE(),IF($R96=Constants!$B$3,FALSE(),FALSE())))</f>
        <v/>
      </c>
      <c r="AX96" s="100" t="str">
        <f aca="false">IF(ISBLANK($C96),"",IF($S96=Constants!$B$2,TRUE(),IF($S96=Constants!$B$3,FALSE(),FALSE())))</f>
        <v/>
      </c>
      <c r="AY96" s="100" t="str">
        <f aca="false">IF(ISBLANK($C96),"",IF($T96=Constants!$B$2,TRUE(),IF($T96=Constants!$B$3,FALSE(),FALSE())))</f>
        <v/>
      </c>
      <c r="AZ96" s="100" t="str">
        <f aca="false">IF(ISBLANK($C96),"",IF($U96=Constants!$B$2,TRUE(),IF($U96=Constants!$B$3,FALSE(),FALSE())))</f>
        <v/>
      </c>
      <c r="BA96" s="100" t="str">
        <f aca="false">IF(ISBLANK($C96),"",IF(OR($V96&amp;""="1",$V96&amp;""="2",$V96&amp;""="3",$V96&amp;""="4"),VALUE($V96&amp;""),IF($V96=Constants!$B$12,Constants!$B$12,"")))</f>
        <v/>
      </c>
      <c r="BB96" s="100" t="str">
        <f aca="false">IF(ISBLANK($C96),"",IF(ISBLANK($W96),0,IF(ISNUMBER($W96),IF(AND($W96&gt;=0,$W96&lt;=Constants!$B$21,$W96=INT($W96)),$W96,""),"")))</f>
        <v/>
      </c>
      <c r="BC96" s="100" t="str">
        <f aca="false">IF(ISBLANK($C96),"",IF(ISBLANK($X96),0,IF(ISNUMBER($X96),IF($X96&gt;=0,$X96,""),"")))</f>
        <v/>
      </c>
      <c r="BD96" s="100" t="str">
        <f aca="false">IF(ISBLANK($C96),"",IF($Y96=Constants!$B$2,TRUE(),IF($Y96=Constants!$B$3,FALSE(),TRUE())))</f>
        <v/>
      </c>
      <c r="BE96" s="100" t="str">
        <f aca="false">IF(ISBLANK($C96),"",IF($Z96=Constants!$B$2,TRUE(),IF($Z96=Constants!$B$3,FALSE(),FALSE())))</f>
        <v/>
      </c>
      <c r="BF96" s="100" t="str">
        <f aca="false">IF(ISBLANK($C96),"",IF(ISBLANK($AA96),0,IF(ISNUMBER($AA96),IF(AND($AA96&gt;=0,$AA96&lt;=Constants!$B$35,$AA96=INT($AA96)),$AA96,""),"")))</f>
        <v/>
      </c>
      <c r="BG96" s="100" t="str">
        <f aca="false">IF(ISBLANK($C96),"",IF($AB96=Constants!$B$2,TRUE(),IF($AB96=Constants!$B$3,FALSE(),TRUE())))</f>
        <v/>
      </c>
      <c r="BH96" s="100" t="str">
        <f aca="false">IF(ISBLANK($C96),"",IF($AC96=Constants!$B$2,TRUE(),IF($AC96=Constants!$B$3,FALSE(),TRUE())))</f>
        <v/>
      </c>
      <c r="BI96" s="100" t="str">
        <f aca="false">IF(ISBLANK($C96),"",IF($AD96=Constants!$B$2,TRUE(),IF($AD96=Constants!$B$3,FALSE(),TRUE())))</f>
        <v/>
      </c>
      <c r="BJ96" s="100" t="str">
        <f aca="false">IF(ISBLANK($C96),"",IF(ISNUMBER($AE96),IF($AE96&gt;=0,$AE96,""),""))</f>
        <v/>
      </c>
      <c r="BK96" s="100" t="str">
        <f aca="false">IF(ISBLANK($C96),"",IF($AF96=Constants!$B$2,TRUE(),IF($AF96=Constants!$B$3,FALSE(),FALSE())))</f>
        <v/>
      </c>
      <c r="BL96" s="99" t="str">
        <f aca="false">IF(ISBLANK($C96),"",IF($BK96,Constants!$B$7,IF(COUNTA($E96:$AE96)=0,Constants!$B$6,IF(OR(COUNTA($G96:$AE96)=0,NOT($AM96),$AS96),Constants!$B$5,IF(OR($CM96&lt;&gt;"",$CN96,$CO96,$CP96,$CQ96,$CR96,$CS96),Constants!$B$8,Constants!$B$4)))))</f>
        <v/>
      </c>
      <c r="BM96" s="100" t="str">
        <f aca="false">IF(ISBLANK($C96),"",IF($BL96&lt;&gt;Constants!$B$4,$BL96,IF(OR(NOT($AJ96),NOT($AL96),NOT($AT96)),Constants!$B$11,IF(OR(NOT($AR96),NOT($AU96),NOT($BI96),MAX($AN96,$AO96,$AP96)&gt;Constants!$B$30),Constants!$B$10,Constants!$B$9))))</f>
        <v/>
      </c>
      <c r="BN96" s="100" t="str">
        <f aca="false">IF($BL96&lt;&gt;Constants!$B$4,"",IF(NOT($AL96),0,MIN(Constants!$B$35,$BF96)))</f>
        <v/>
      </c>
      <c r="BO96" s="100" t="str">
        <f aca="false">IF($BL96&lt;&gt;Constants!$B$4,"",IF(NOT($AL96),0,IF($AW96,Constants!$B$18,IF($AV96,Constants!$B$17,0))))</f>
        <v/>
      </c>
      <c r="BP96" s="100" t="str">
        <f aca="false">IF($BL96&lt;&gt;Constants!$B$4,"",IF(NOT($AL96),0,Constants!$B$19*($AK96+$AX96+$AY96+$AZ96)))</f>
        <v/>
      </c>
      <c r="BQ96" s="100" t="str">
        <f aca="false">IF($BL96&lt;&gt;Constants!$B$4,"",IF(OR(NOT($AL96),NOT(ISNUMBER($BA96))),0,CHOOSE($BA96,Constants!$B$13,Constants!$B$14,Constants!$B$15,Constants!$B$16)))</f>
        <v/>
      </c>
      <c r="BR96" s="100" t="str">
        <f aca="false">IF($BL96&lt;&gt;Constants!$B$4,"",IF(NOT($AL96),0,Constants!$B$20*$BB96))</f>
        <v/>
      </c>
      <c r="BS96" s="100" t="str">
        <f aca="false">IF($BL96&lt;&gt;Constants!$B$4,"",IF(AND($AL96,$BD96,$BE96),Constants!$B$22,0))</f>
        <v/>
      </c>
      <c r="BT96" s="100" t="str">
        <f aca="false">IF($BL96&lt;&gt;Constants!$B$4,"",IF(OR(NOT($AL96),NOT($BD96)),0,IF($BJ96&gt;=2*$AH$9,0,Constants!$B$23*INT(ROUND(MIN($BJ96,$AH$9),6)))))</f>
        <v/>
      </c>
      <c r="BU96" s="100" t="str">
        <f aca="false">IF($BL96&lt;&gt;Constants!$B$4,"",IF(NOT($AL96),0,Constants!$B$24*INT(ROUND(MIN($BC96,$AH$9),6))))</f>
        <v/>
      </c>
      <c r="BV96" s="100" t="str">
        <f aca="false">IF($BL96&lt;&gt;Constants!$B$4,"",IF(AND($AL96,$BN96=0),Constants!$B$25,0))</f>
        <v/>
      </c>
      <c r="BW96" s="100" t="str">
        <f aca="false">IF($BL96&lt;&gt;Constants!$B$4,"",MIN(Constants!$B$29,MAX(0,Constants!$B$27*Constants!$B$28*INT(ROUND((Constants!$B$26-$AN96)/Constants!$B$28,6))))+MIN(Constants!$B$29,MAX(0,Constants!$B$27*Constants!$B$28*INT(ROUND((Constants!$B$26-$AO96)/Constants!$B$28,6))))+MIN(Constants!$B$29,MAX(0,Constants!$B$27*Constants!$B$28*INT(ROUND((Constants!$B$26-$AP96)/Constants!$B$28,6)))))</f>
        <v/>
      </c>
      <c r="BX96" s="100" t="str">
        <f aca="false">IF($BL96&lt;&gt;Constants!$B$4,"",IF(NOT($AL96),0,Constants!$B$31*INT(ROUND(MAX(0,MIN($BJ96,2*$AH$9)-$AH$9),6))))</f>
        <v/>
      </c>
      <c r="BY96" s="100" t="str">
        <f aca="false">IF($BL96&lt;&gt;Constants!$B$4,"",Constants!$B$32*(($AN96&gt;Constants!$B$26)+($AO96&gt;Constants!$B$26)+($AP96&gt;Constants!$B$26)))</f>
        <v/>
      </c>
      <c r="BZ96" s="100" t="str">
        <f aca="false">IF($BL96&lt;&gt;Constants!$B$4,"",IF(OR(NOT($AL96),$AQ96),0,Constants!$B$33))</f>
        <v/>
      </c>
      <c r="CA96" s="100" t="str">
        <f aca="false">IF($BL96&lt;&gt;Constants!$B$4,"",Constants!$B$34*$BN96)</f>
        <v/>
      </c>
      <c r="CB96" s="100" t="str">
        <f aca="false">IF($BL96&lt;&gt;Constants!$B$4,"",IF(OR(NOT($AL96),$BH96),0,Constants!$B$36))</f>
        <v/>
      </c>
      <c r="CC96" s="100" t="str">
        <f aca="false">IF($BL96&lt;&gt;Constants!$B$4,"",IF(OR(NOT($AL96),$BG96),0,Constants!$B$37))</f>
        <v/>
      </c>
      <c r="CD96" s="100" t="str">
        <f aca="false">IF($BL96&lt;&gt;Constants!$B$4,"",SUM($BX96:$CC96))</f>
        <v/>
      </c>
      <c r="CE96" s="100" t="str">
        <f aca="false">IF(ISBLANK($C96),"",IF($BL96&lt;&gt;Constants!$B$4,$BL96,SUM($BO96:$BW96)-$CD96))</f>
        <v/>
      </c>
      <c r="CF96" s="100" t="str">
        <f aca="false">IF(ISBLANK($C96),"",IF($BL96&lt;&gt;Constants!$B$4,$BL96,RANK($CE96,$CE$9:$CE$508)))</f>
        <v/>
      </c>
      <c r="CG96" s="100" t="str">
        <f aca="false">IF(ISBLANK($C96),"",IF($BL96&lt;&gt;Constants!$B$4,$BL96,COUNTIFS($BM$9:$BM$508,"&lt;"&amp;$BM96)+COUNTIFS($BM$9:$BM$508,$BM96,$CF$9:$CF$508,"&lt;"&amp;$CF96)+1))</f>
        <v/>
      </c>
      <c r="CH96" s="100" t="str">
        <f aca="false">IF(ISBLANK($C96),"",IF($BL96&lt;&gt;Constants!$B$4,$BL96,RANK($CD96,$CD$9:$CD$508,1)))</f>
        <v/>
      </c>
      <c r="CI96" s="100" t="str">
        <f aca="false">IF($BL96&lt;&gt;Constants!$B$4,"",$AN96+$AO96+$AP96)</f>
        <v/>
      </c>
      <c r="CJ96" s="100" t="str">
        <f aca="false">IF(ISBLANK($C96),"",IF($BL96&lt;&gt;Constants!$B$4,$BL96,RANK($CI96,$CI$9:$CI$508,1)))</f>
        <v/>
      </c>
      <c r="CK96" s="100" t="str">
        <f aca="false">IF(ISBLANK($C96),"",IF($BL96&lt;&gt;Constants!$B$4,$BL96,COUNTIFS($BM$9:$BM$508,"&lt;"&amp;$BM96)+COUNTIFS($BM$9:$BM$508,$BM96,$CF$9:$CF$508,"&lt;"&amp;$CF96)+COUNTIFS($BM$9:$BM$508,$BM96,$CF$9:$CF$508,$CF96,$CH$9:$CH$508,"&lt;"&amp;$CH96)+COUNTIFS($BM$9:$BM$508,$BM96,$CF$9:$CF$508,$CF96,$CH$9:$CH$508,$CH96,$CJ$9:$CJ$508,"&lt;"&amp;$CJ96)+1))</f>
        <v/>
      </c>
      <c r="CL96" s="100" t="str">
        <f aca="false">IF(ISBLANK($C96),"",IF($BL96&lt;&gt;Constants!$B$4,$BL96,$CG96-$CK96))</f>
        <v/>
      </c>
      <c r="CM96" s="100" t="str">
        <f aca="false">IF(ISBLANK($C96),"",IF(NOT($AL96),"",IF(ISBLANK($D$7),$CM$5,IF(NOT(ISNUMBER($D$7)),$CM$6,""))))</f>
        <v/>
      </c>
      <c r="CN96" s="100" t="str">
        <f aca="false">IF(ISBLANK($C96),"",OR($AN96="",$AO96="",$AP96=""))</f>
        <v/>
      </c>
      <c r="CO96" s="100" t="str">
        <f aca="false">IF(ISBLANK($C96),"",AND($AL96,$BA96=""))</f>
        <v/>
      </c>
      <c r="CP96" s="100" t="str">
        <f aca="false">IF(ISBLANK($C96),"",AND($AL96,$BB96=""))</f>
        <v/>
      </c>
      <c r="CQ96" s="100" t="str">
        <f aca="false">IF(ISBLANK($C96),"",AND($AL96,$BC96=""))</f>
        <v/>
      </c>
      <c r="CR96" s="100" t="str">
        <f aca="false">IF(ISBLANK($C96),"",AND($AL96,$BF96=""))</f>
        <v/>
      </c>
      <c r="CS96" s="100" t="str">
        <f aca="false">IF(ISBLANK($C96),"",AND($AL96,$BJ96=""))</f>
        <v/>
      </c>
      <c r="CT96" s="101"/>
      <c r="CU96" s="102"/>
      <c r="CV96" s="103" t="str">
        <f aca="false">IF(ISBLANK($C96),"",IF($BL96=Constants!$B$8,$CM96,""))</f>
        <v/>
      </c>
      <c r="CW96" s="102" t="str">
        <f aca="false">IF(ISBLANK($C96),"",IF($BL96&lt;&gt;Constants!$B$4,"",$BO96+$BP96))</f>
        <v/>
      </c>
      <c r="CX96" s="104" t="str">
        <f aca="false">IF(ISBLANK($C96),"",IF($BL96&lt;&gt;Constants!$B$4,"",$BQ96+$BR96+$BS96))</f>
        <v/>
      </c>
      <c r="CY96" s="104" t="str">
        <f aca="false">IF(ISBLANK($C96),"",IF($BL96&lt;&gt;Constants!$B$4,"",$BT96))</f>
        <v/>
      </c>
      <c r="CZ96" s="104" t="str">
        <f aca="false">IF(ISBLANK($C96),"",IF($BL96&lt;&gt;Constants!$B$4,"",$BU96+$BV96))</f>
        <v/>
      </c>
      <c r="DA96" s="104" t="str">
        <f aca="false">IF(ISBLANK($C96),"",IF($BL96&lt;&gt;Constants!$B$4,"",$BW96))</f>
        <v/>
      </c>
      <c r="DB96" s="104" t="str">
        <f aca="false">IF(ISBLANK($C96),"",IF($BL96&lt;&gt;Constants!$B$4,"",-$CD96))</f>
        <v/>
      </c>
      <c r="DC96" s="103" t="str">
        <f aca="false">IF(ISBLANK($C96),"",$CE96)</f>
        <v/>
      </c>
      <c r="DD96" s="105" t="str">
        <f aca="false">IF(ISBLANK($C96),"",$BM96)</f>
        <v/>
      </c>
      <c r="DE96" s="104" t="str">
        <f aca="false">IF(ISBLANK($C96),"",$CL96)</f>
        <v/>
      </c>
      <c r="DF96" s="104" t="str">
        <f aca="false">IF(ISBLANK($C96),"",$CK96)</f>
        <v/>
      </c>
      <c r="DG96" s="106" t="str">
        <f aca="false">IF(ISBLANK($C96),"",IF($DF96=Constants!$B$7,COUNTA($C$9:$C$508)+2,IF($DF96=Constants!$B$6,COUNTA($C$9:$C$508)+1,IF($DF96=Constants!$B$5,COUNTA($C$9:$C$508),$DF96))))</f>
        <v/>
      </c>
      <c r="DH96" s="7"/>
      <c r="DI96" s="107" t="n">
        <f aca="false">IF(OR(ISNUMBER($DF96),$DF96=Constants!$B$7,$DF96=Constants!$B$5,$DF96=Constants!$B$6),1,0)</f>
        <v>0</v>
      </c>
      <c r="DJ96" s="107" t="n">
        <v>88</v>
      </c>
      <c r="DK96" s="107" t="str">
        <f aca="false">IF(ISBLANK($C96),"",IF(ISNUMBER($DG96),$DG96+ROW($B96)/1000,""))</f>
        <v/>
      </c>
      <c r="DL96" s="107" t="str">
        <f aca="false">IF(ISNUMBER($DK96),RANK($DK96,$DK$9:$DK$508,1),"")</f>
        <v/>
      </c>
      <c r="DM96" s="107" t="str">
        <f aca="false">IF(ISBLANK($C96),"",$B96)</f>
        <v/>
      </c>
      <c r="DN96" s="107" t="str">
        <f aca="false">IF(ISBLANK($C96),"",$C96)</f>
        <v/>
      </c>
      <c r="DO96" s="107" t="str">
        <f aca="false">IF(ISBLANK($C96),"",$D96)</f>
        <v/>
      </c>
      <c r="DP96" s="108" t="str">
        <f aca="false">$DD96</f>
        <v/>
      </c>
      <c r="DQ96" s="109" t="str">
        <f aca="false">$DC96</f>
        <v/>
      </c>
      <c r="DR96" s="107" t="str">
        <f aca="false">IF(ISBLANK($C96),"",$DF96)</f>
        <v/>
      </c>
      <c r="DS96" s="110" t="str">
        <f aca="false">IF($DJ96&gt;$DI$8,"",VLOOKUP($DJ96,$DL$9:$DR$508,7,FALSE()))</f>
        <v/>
      </c>
      <c r="DT96" s="111" t="str">
        <f aca="false">IF($DJ96&gt;$DI$8,"",VLOOKUP($DJ96,$DL$9:$DR$508,2,FALSE()))</f>
        <v/>
      </c>
      <c r="DU96" s="111" t="str">
        <f aca="false">IF($DJ96&gt;$DI$8,"",VLOOKUP($DJ96,$DL$9:$DR$508,3,FALSE()))</f>
        <v/>
      </c>
      <c r="DV96" s="111" t="str">
        <f aca="false">IF($DJ96&gt;$DI$8,"",VLOOKUP($DJ96,$DL$9:$DR$508,4,FALSE()))</f>
        <v/>
      </c>
      <c r="DW96" s="111" t="str">
        <f aca="false">IF($DJ96&gt;$DI$8,"",VLOOKUP($DJ96,$DL$9:$DR$508,5,FALSE()))</f>
        <v/>
      </c>
      <c r="DX96" s="112" t="str">
        <f aca="false">IF($DJ96&gt;$DI$8,"",VLOOKUP($DJ96,$DL$9:$DR$508,6,FALSE()))</f>
        <v/>
      </c>
      <c r="DY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130"/>
      <c r="N97" s="130"/>
      <c r="O97" s="135"/>
      <c r="P97" s="135"/>
      <c r="Q97" s="130"/>
      <c r="R97" s="130"/>
      <c r="S97" s="130"/>
      <c r="T97" s="130"/>
      <c r="U97" s="135"/>
      <c r="V97" s="130"/>
      <c r="W97" s="96"/>
      <c r="X97" s="130"/>
      <c r="Y97" s="130"/>
      <c r="Z97" s="96"/>
      <c r="AA97" s="96"/>
      <c r="AB97" s="130"/>
      <c r="AC97" s="130"/>
      <c r="AD97" s="130"/>
      <c r="AE97" s="97"/>
      <c r="AF97" s="130"/>
      <c r="AG97" s="99"/>
      <c r="AH97" s="100"/>
      <c r="AI97" s="100"/>
      <c r="AJ97" s="100" t="str">
        <f aca="false">IF(ISBLANK($C97),"",IF($E97=Constants!$B$2,TRUE(),IF($E97=Constants!$B$3,FALSE(),TRUE())))</f>
        <v/>
      </c>
      <c r="AK97" s="100" t="str">
        <f aca="false">IF(ISBLANK($C97),"",IF($F97=Constants!$B$2,TRUE(),IF($F97=Constants!$B$3,FALSE(),FALSE())))</f>
        <v/>
      </c>
      <c r="AL97" s="100" t="str">
        <f aca="false">IF(ISBLANK($C97),"",IF($G97=Constants!$B$2,TRUE(),IF($G97=Constants!$B$3,FALSE(),TRUE())))</f>
        <v/>
      </c>
      <c r="AM97" s="100" t="str">
        <f aca="false">IF(ISBLANK($C97),"",IF($H97=Constants!$B$2,TRUE(),IF($H97=Constants!$B$3,FALSE(),TRUE())))</f>
        <v/>
      </c>
      <c r="AN97" s="100" t="str">
        <f aca="false">IF(ISBLANK($C97),"",IF(ISNUMBER($I97),IF($I97&gt;=0,$I97,""),""))</f>
        <v/>
      </c>
      <c r="AO97" s="100" t="str">
        <f aca="false">IF(ISBLANK($C97),"",IF(ISNUMBER($J97),IF($J97&gt;=0,$J97,""),""))</f>
        <v/>
      </c>
      <c r="AP97" s="100" t="str">
        <f aca="false">IF(ISBLANK($C97),"",IF(ISNUMBER($K97),IF($K97&gt;=0,$K97,""),""))</f>
        <v/>
      </c>
      <c r="AQ97" s="100" t="str">
        <f aca="false">IF(ISBLANK($C97),"",IF($L97=Constants!$B$2,TRUE(),IF($L97=Constants!$B$3,FALSE(),TRUE())))</f>
        <v/>
      </c>
      <c r="AR97" s="100" t="str">
        <f aca="false">IF(ISBLANK($C97),"",IF($M97=Constants!$B$2,TRUE(),IF($M97=Constants!$B$3,FALSE(),TRUE())))</f>
        <v/>
      </c>
      <c r="AS97" s="100" t="str">
        <f aca="false">IF(ISBLANK($C97),"",IF($N97=Constants!$B$2,TRUE(),IF($N97=Constants!$B$3,FALSE(),FALSE())))</f>
        <v/>
      </c>
      <c r="AT97" s="100" t="str">
        <f aca="false">IF(ISBLANK($C97),"",IF($O97=Constants!$B$2,TRUE(),IF($O97=Constants!$B$3,FALSE(),TRUE())))</f>
        <v/>
      </c>
      <c r="AU97" s="100" t="str">
        <f aca="false">IF(ISBLANK($C97),"",IF($P97=Constants!$B$2,TRUE(),IF($P97=Constants!$B$3,FALSE(),TRUE())))</f>
        <v/>
      </c>
      <c r="AV97" s="100" t="str">
        <f aca="false">IF(ISBLANK($C97),"",IF($Q97=Constants!$B$2,TRUE(),IF($Q97=Constants!$B$3,FALSE(),FALSE())))</f>
        <v/>
      </c>
      <c r="AW97" s="100" t="str">
        <f aca="false">IF(ISBLANK($C97),"",IF($R97=Constants!$B$2,TRUE(),IF($R97=Constants!$B$3,FALSE(),FALSE())))</f>
        <v/>
      </c>
      <c r="AX97" s="100" t="str">
        <f aca="false">IF(ISBLANK($C97),"",IF($S97=Constants!$B$2,TRUE(),IF($S97=Constants!$B$3,FALSE(),FALSE())))</f>
        <v/>
      </c>
      <c r="AY97" s="100" t="str">
        <f aca="false">IF(ISBLANK($C97),"",IF($T97=Constants!$B$2,TRUE(),IF($T97=Constants!$B$3,FALSE(),FALSE())))</f>
        <v/>
      </c>
      <c r="AZ97" s="100" t="str">
        <f aca="false">IF(ISBLANK($C97),"",IF($U97=Constants!$B$2,TRUE(),IF($U97=Constants!$B$3,FALSE(),FALSE())))</f>
        <v/>
      </c>
      <c r="BA97" s="100" t="str">
        <f aca="false">IF(ISBLANK($C97),"",IF(OR($V97&amp;""="1",$V97&amp;""="2",$V97&amp;""="3",$V97&amp;""="4"),VALUE($V97&amp;""),IF($V97=Constants!$B$12,Constants!$B$12,"")))</f>
        <v/>
      </c>
      <c r="BB97" s="100" t="str">
        <f aca="false">IF(ISBLANK($C97),"",IF(ISBLANK($W97),0,IF(ISNUMBER($W97),IF(AND($W97&gt;=0,$W97&lt;=Constants!$B$21,$W97=INT($W97)),$W97,""),"")))</f>
        <v/>
      </c>
      <c r="BC97" s="100" t="str">
        <f aca="false">IF(ISBLANK($C97),"",IF(ISBLANK($X97),0,IF(ISNUMBER($X97),IF($X97&gt;=0,$X97,""),"")))</f>
        <v/>
      </c>
      <c r="BD97" s="100" t="str">
        <f aca="false">IF(ISBLANK($C97),"",IF($Y97=Constants!$B$2,TRUE(),IF($Y97=Constants!$B$3,FALSE(),TRUE())))</f>
        <v/>
      </c>
      <c r="BE97" s="100" t="str">
        <f aca="false">IF(ISBLANK($C97),"",IF($Z97=Constants!$B$2,TRUE(),IF($Z97=Constants!$B$3,FALSE(),FALSE())))</f>
        <v/>
      </c>
      <c r="BF97" s="100" t="str">
        <f aca="false">IF(ISBLANK($C97),"",IF(ISBLANK($AA97),0,IF(ISNUMBER($AA97),IF(AND($AA97&gt;=0,$AA97&lt;=Constants!$B$35,$AA97=INT($AA97)),$AA97,""),"")))</f>
        <v/>
      </c>
      <c r="BG97" s="100" t="str">
        <f aca="false">IF(ISBLANK($C97),"",IF($AB97=Constants!$B$2,TRUE(),IF($AB97=Constants!$B$3,FALSE(),TRUE())))</f>
        <v/>
      </c>
      <c r="BH97" s="100" t="str">
        <f aca="false">IF(ISBLANK($C97),"",IF($AC97=Constants!$B$2,TRUE(),IF($AC97=Constants!$B$3,FALSE(),TRUE())))</f>
        <v/>
      </c>
      <c r="BI97" s="100" t="str">
        <f aca="false">IF(ISBLANK($C97),"",IF($AD97=Constants!$B$2,TRUE(),IF($AD97=Constants!$B$3,FALSE(),TRUE())))</f>
        <v/>
      </c>
      <c r="BJ97" s="100" t="str">
        <f aca="false">IF(ISBLANK($C97),"",IF(ISNUMBER($AE97),IF($AE97&gt;=0,$AE97,""),""))</f>
        <v/>
      </c>
      <c r="BK97" s="100" t="str">
        <f aca="false">IF(ISBLANK($C97),"",IF($AF97=Constants!$B$2,TRUE(),IF($AF97=Constants!$B$3,FALSE(),FALSE())))</f>
        <v/>
      </c>
      <c r="BL97" s="99" t="str">
        <f aca="false">IF(ISBLANK($C97),"",IF($BK97,Constants!$B$7,IF(COUNTA($E97:$AE97)=0,Constants!$B$6,IF(OR(COUNTA($G97:$AE97)=0,NOT($AM97),$AS97),Constants!$B$5,IF(OR($CM97&lt;&gt;"",$CN97,$CO97,$CP97,$CQ97,$CR97,$CS97),Constants!$B$8,Constants!$B$4)))))</f>
        <v/>
      </c>
      <c r="BM97" s="100" t="str">
        <f aca="false">IF(ISBLANK($C97),"",IF($BL97&lt;&gt;Constants!$B$4,$BL97,IF(OR(NOT($AJ97),NOT($AL97),NOT($AT97)),Constants!$B$11,IF(OR(NOT($AR97),NOT($AU97),NOT($BI97),MAX($AN97,$AO97,$AP97)&gt;Constants!$B$30),Constants!$B$10,Constants!$B$9))))</f>
        <v/>
      </c>
      <c r="BN97" s="100" t="str">
        <f aca="false">IF($BL97&lt;&gt;Constants!$B$4,"",IF(NOT($AL97),0,MIN(Constants!$B$35,$BF97)))</f>
        <v/>
      </c>
      <c r="BO97" s="100" t="str">
        <f aca="false">IF($BL97&lt;&gt;Constants!$B$4,"",IF(NOT($AL97),0,IF($AW97,Constants!$B$18,IF($AV97,Constants!$B$17,0))))</f>
        <v/>
      </c>
      <c r="BP97" s="100" t="str">
        <f aca="false">IF($BL97&lt;&gt;Constants!$B$4,"",IF(NOT($AL97),0,Constants!$B$19*($AK97+$AX97+$AY97+$AZ97)))</f>
        <v/>
      </c>
      <c r="BQ97" s="100" t="str">
        <f aca="false">IF($BL97&lt;&gt;Constants!$B$4,"",IF(OR(NOT($AL97),NOT(ISNUMBER($BA97))),0,CHOOSE($BA97,Constants!$B$13,Constants!$B$14,Constants!$B$15,Constants!$B$16)))</f>
        <v/>
      </c>
      <c r="BR97" s="100" t="str">
        <f aca="false">IF($BL97&lt;&gt;Constants!$B$4,"",IF(NOT($AL97),0,Constants!$B$20*$BB97))</f>
        <v/>
      </c>
      <c r="BS97" s="100" t="str">
        <f aca="false">IF($BL97&lt;&gt;Constants!$B$4,"",IF(AND($AL97,$BD97,$BE97),Constants!$B$22,0))</f>
        <v/>
      </c>
      <c r="BT97" s="100" t="str">
        <f aca="false">IF($BL97&lt;&gt;Constants!$B$4,"",IF(OR(NOT($AL97),NOT($BD97)),0,IF($BJ97&gt;=2*$AH$9,0,Constants!$B$23*INT(ROUND(MIN($BJ97,$AH$9),6)))))</f>
        <v/>
      </c>
      <c r="BU97" s="100" t="str">
        <f aca="false">IF($BL97&lt;&gt;Constants!$B$4,"",IF(NOT($AL97),0,Constants!$B$24*INT(ROUND(MIN($BC97,$AH$9),6))))</f>
        <v/>
      </c>
      <c r="BV97" s="100" t="str">
        <f aca="false">IF($BL97&lt;&gt;Constants!$B$4,"",IF(AND($AL97,$BN97=0),Constants!$B$25,0))</f>
        <v/>
      </c>
      <c r="BW97" s="100" t="str">
        <f aca="false">IF($BL97&lt;&gt;Constants!$B$4,"",MIN(Constants!$B$29,MAX(0,Constants!$B$27*Constants!$B$28*INT(ROUND((Constants!$B$26-$AN97)/Constants!$B$28,6))))+MIN(Constants!$B$29,MAX(0,Constants!$B$27*Constants!$B$28*INT(ROUND((Constants!$B$26-$AO97)/Constants!$B$28,6))))+MIN(Constants!$B$29,MAX(0,Constants!$B$27*Constants!$B$28*INT(ROUND((Constants!$B$26-$AP97)/Constants!$B$28,6)))))</f>
        <v/>
      </c>
      <c r="BX97" s="100" t="str">
        <f aca="false">IF($BL97&lt;&gt;Constants!$B$4,"",IF(NOT($AL97),0,Constants!$B$31*INT(ROUND(MAX(0,MIN($BJ97,2*$AH$9)-$AH$9),6))))</f>
        <v/>
      </c>
      <c r="BY97" s="100" t="str">
        <f aca="false">IF($BL97&lt;&gt;Constants!$B$4,"",Constants!$B$32*(($AN97&gt;Constants!$B$26)+($AO97&gt;Constants!$B$26)+($AP97&gt;Constants!$B$26)))</f>
        <v/>
      </c>
      <c r="BZ97" s="100" t="str">
        <f aca="false">IF($BL97&lt;&gt;Constants!$B$4,"",IF(OR(NOT($AL97),$AQ97),0,Constants!$B$33))</f>
        <v/>
      </c>
      <c r="CA97" s="100" t="str">
        <f aca="false">IF($BL97&lt;&gt;Constants!$B$4,"",Constants!$B$34*$BN97)</f>
        <v/>
      </c>
      <c r="CB97" s="100" t="str">
        <f aca="false">IF($BL97&lt;&gt;Constants!$B$4,"",IF(OR(NOT($AL97),$BH97),0,Constants!$B$36))</f>
        <v/>
      </c>
      <c r="CC97" s="100" t="str">
        <f aca="false">IF($BL97&lt;&gt;Constants!$B$4,"",IF(OR(NOT($AL97),$BG97),0,Constants!$B$37))</f>
        <v/>
      </c>
      <c r="CD97" s="100" t="str">
        <f aca="false">IF($BL97&lt;&gt;Constants!$B$4,"",SUM($BX97:$CC97))</f>
        <v/>
      </c>
      <c r="CE97" s="100" t="str">
        <f aca="false">IF(ISBLANK($C97),"",IF($BL97&lt;&gt;Constants!$B$4,$BL97,SUM($BO97:$BW97)-$CD97))</f>
        <v/>
      </c>
      <c r="CF97" s="100" t="str">
        <f aca="false">IF(ISBLANK($C97),"",IF($BL97&lt;&gt;Constants!$B$4,$BL97,RANK($CE97,$CE$9:$CE$508)))</f>
        <v/>
      </c>
      <c r="CG97" s="100" t="str">
        <f aca="false">IF(ISBLANK($C97),"",IF($BL97&lt;&gt;Constants!$B$4,$BL97,COUNTIFS($BM$9:$BM$508,"&lt;"&amp;$BM97)+COUNTIFS($BM$9:$BM$508,$BM97,$CF$9:$CF$508,"&lt;"&amp;$CF97)+1))</f>
        <v/>
      </c>
      <c r="CH97" s="100" t="str">
        <f aca="false">IF(ISBLANK($C97),"",IF($BL97&lt;&gt;Constants!$B$4,$BL97,RANK($CD97,$CD$9:$CD$508,1)))</f>
        <v/>
      </c>
      <c r="CI97" s="100" t="str">
        <f aca="false">IF($BL97&lt;&gt;Constants!$B$4,"",$AN97+$AO97+$AP97)</f>
        <v/>
      </c>
      <c r="CJ97" s="100" t="str">
        <f aca="false">IF(ISBLANK($C97),"",IF($BL97&lt;&gt;Constants!$B$4,$BL97,RANK($CI97,$CI$9:$CI$508,1)))</f>
        <v/>
      </c>
      <c r="CK97" s="100" t="str">
        <f aca="false">IF(ISBLANK($C97),"",IF($BL97&lt;&gt;Constants!$B$4,$BL97,COUNTIFS($BM$9:$BM$508,"&lt;"&amp;$BM97)+COUNTIFS($BM$9:$BM$508,$BM97,$CF$9:$CF$508,"&lt;"&amp;$CF97)+COUNTIFS($BM$9:$BM$508,$BM97,$CF$9:$CF$508,$CF97,$CH$9:$CH$508,"&lt;"&amp;$CH97)+COUNTIFS($BM$9:$BM$508,$BM97,$CF$9:$CF$508,$CF97,$CH$9:$CH$508,$CH97,$CJ$9:$CJ$508,"&lt;"&amp;$CJ97)+1))</f>
        <v/>
      </c>
      <c r="CL97" s="100" t="str">
        <f aca="false">IF(ISBLANK($C97),"",IF($BL97&lt;&gt;Constants!$B$4,$BL97,$CG97-$CK97))</f>
        <v/>
      </c>
      <c r="CM97" s="100" t="str">
        <f aca="false">IF(ISBLANK($C97),"",IF(NOT($AL97),"",IF(ISBLANK($D$7),$CM$5,IF(NOT(ISNUMBER($D$7)),$CM$6,""))))</f>
        <v/>
      </c>
      <c r="CN97" s="100" t="str">
        <f aca="false">IF(ISBLANK($C97),"",OR($AN97="",$AO97="",$AP97=""))</f>
        <v/>
      </c>
      <c r="CO97" s="100" t="str">
        <f aca="false">IF(ISBLANK($C97),"",AND($AL97,$BA97=""))</f>
        <v/>
      </c>
      <c r="CP97" s="100" t="str">
        <f aca="false">IF(ISBLANK($C97),"",AND($AL97,$BB97=""))</f>
        <v/>
      </c>
      <c r="CQ97" s="100" t="str">
        <f aca="false">IF(ISBLANK($C97),"",AND($AL97,$BC97=""))</f>
        <v/>
      </c>
      <c r="CR97" s="100" t="str">
        <f aca="false">IF(ISBLANK($C97),"",AND($AL97,$BF97=""))</f>
        <v/>
      </c>
      <c r="CS97" s="100" t="str">
        <f aca="false">IF(ISBLANK($C97),"",AND($AL97,$BJ97=""))</f>
        <v/>
      </c>
      <c r="CT97" s="101"/>
      <c r="CU97" s="102"/>
      <c r="CV97" s="103" t="str">
        <f aca="false">IF(ISBLANK($C97),"",IF($BL97=Constants!$B$8,$CM97,""))</f>
        <v/>
      </c>
      <c r="CW97" s="102" t="str">
        <f aca="false">IF(ISBLANK($C97),"",IF($BL97&lt;&gt;Constants!$B$4,"",$BO97+$BP97))</f>
        <v/>
      </c>
      <c r="CX97" s="104" t="str">
        <f aca="false">IF(ISBLANK($C97),"",IF($BL97&lt;&gt;Constants!$B$4,"",$BQ97+$BR97+$BS97))</f>
        <v/>
      </c>
      <c r="CY97" s="104" t="str">
        <f aca="false">IF(ISBLANK($C97),"",IF($BL97&lt;&gt;Constants!$B$4,"",$BT97))</f>
        <v/>
      </c>
      <c r="CZ97" s="104" t="str">
        <f aca="false">IF(ISBLANK($C97),"",IF($BL97&lt;&gt;Constants!$B$4,"",$BU97+$BV97))</f>
        <v/>
      </c>
      <c r="DA97" s="104" t="str">
        <f aca="false">IF(ISBLANK($C97),"",IF($BL97&lt;&gt;Constants!$B$4,"",$BW97))</f>
        <v/>
      </c>
      <c r="DB97" s="104" t="str">
        <f aca="false">IF(ISBLANK($C97),"",IF($BL97&lt;&gt;Constants!$B$4,"",-$CD97))</f>
        <v/>
      </c>
      <c r="DC97" s="103" t="str">
        <f aca="false">IF(ISBLANK($C97),"",$CE97)</f>
        <v/>
      </c>
      <c r="DD97" s="105" t="str">
        <f aca="false">IF(ISBLANK($C97),"",$BM97)</f>
        <v/>
      </c>
      <c r="DE97" s="104" t="str">
        <f aca="false">IF(ISBLANK($C97),"",$CL97)</f>
        <v/>
      </c>
      <c r="DF97" s="104" t="str">
        <f aca="false">IF(ISBLANK($C97),"",$CK97)</f>
        <v/>
      </c>
      <c r="DG97" s="106" t="str">
        <f aca="false">IF(ISBLANK($C97),"",IF($DF97=Constants!$B$7,COUNTA($C$9:$C$508)+2,IF($DF97=Constants!$B$6,COUNTA($C$9:$C$508)+1,IF($DF97=Constants!$B$5,COUNTA($C$9:$C$508),$DF97))))</f>
        <v/>
      </c>
      <c r="DH97" s="7"/>
      <c r="DI97" s="107" t="n">
        <f aca="false">IF(OR(ISNUMBER($DF97),$DF97=Constants!$B$7,$DF97=Constants!$B$5,$DF97=Constants!$B$6),1,0)</f>
        <v>0</v>
      </c>
      <c r="DJ97" s="107" t="n">
        <v>89</v>
      </c>
      <c r="DK97" s="107" t="str">
        <f aca="false">IF(ISBLANK($C97),"",IF(ISNUMBER($DG97),$DG97+ROW($B97)/1000,""))</f>
        <v/>
      </c>
      <c r="DL97" s="107" t="str">
        <f aca="false">IF(ISNUMBER($DK97),RANK($DK97,$DK$9:$DK$508,1),"")</f>
        <v/>
      </c>
      <c r="DM97" s="107" t="str">
        <f aca="false">IF(ISBLANK($C97),"",$B97)</f>
        <v/>
      </c>
      <c r="DN97" s="107" t="str">
        <f aca="false">IF(ISBLANK($C97),"",$C97)</f>
        <v/>
      </c>
      <c r="DO97" s="107" t="str">
        <f aca="false">IF(ISBLANK($C97),"",$D97)</f>
        <v/>
      </c>
      <c r="DP97" s="108" t="str">
        <f aca="false">$DD97</f>
        <v/>
      </c>
      <c r="DQ97" s="109" t="str">
        <f aca="false">$DC97</f>
        <v/>
      </c>
      <c r="DR97" s="107" t="str">
        <f aca="false">IF(ISBLANK($C97),"",$DF97)</f>
        <v/>
      </c>
      <c r="DS97" s="110" t="str">
        <f aca="false">IF($DJ97&gt;$DI$8,"",VLOOKUP($DJ97,$DL$9:$DR$508,7,FALSE()))</f>
        <v/>
      </c>
      <c r="DT97" s="111" t="str">
        <f aca="false">IF($DJ97&gt;$DI$8,"",VLOOKUP($DJ97,$DL$9:$DR$508,2,FALSE()))</f>
        <v/>
      </c>
      <c r="DU97" s="111" t="str">
        <f aca="false">IF($DJ97&gt;$DI$8,"",VLOOKUP($DJ97,$DL$9:$DR$508,3,FALSE()))</f>
        <v/>
      </c>
      <c r="DV97" s="111" t="str">
        <f aca="false">IF($DJ97&gt;$DI$8,"",VLOOKUP($DJ97,$DL$9:$DR$508,4,FALSE()))</f>
        <v/>
      </c>
      <c r="DW97" s="111" t="str">
        <f aca="false">IF($DJ97&gt;$DI$8,"",VLOOKUP($DJ97,$DL$9:$DR$508,5,FALSE()))</f>
        <v/>
      </c>
      <c r="DX97" s="112" t="str">
        <f aca="false">IF($DJ97&gt;$DI$8,"",VLOOKUP($DJ97,$DL$9:$DR$508,6,FALSE()))</f>
        <v/>
      </c>
      <c r="DY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16"/>
      <c r="N98" s="116"/>
      <c r="O98" s="113"/>
      <c r="P98" s="113"/>
      <c r="Q98" s="116"/>
      <c r="R98" s="116"/>
      <c r="S98" s="116"/>
      <c r="T98" s="116"/>
      <c r="U98" s="113"/>
      <c r="V98" s="116"/>
      <c r="W98" s="132"/>
      <c r="X98" s="116"/>
      <c r="Y98" s="116"/>
      <c r="Z98" s="132"/>
      <c r="AA98" s="132"/>
      <c r="AB98" s="116"/>
      <c r="AC98" s="116"/>
      <c r="AD98" s="116"/>
      <c r="AE98" s="133"/>
      <c r="AF98" s="116"/>
      <c r="AG98" s="99"/>
      <c r="AH98" s="100"/>
      <c r="AI98" s="100"/>
      <c r="AJ98" s="100" t="str">
        <f aca="false">IF(ISBLANK($C98),"",IF($E98=Constants!$B$2,TRUE(),IF($E98=Constants!$B$3,FALSE(),TRUE())))</f>
        <v/>
      </c>
      <c r="AK98" s="100" t="str">
        <f aca="false">IF(ISBLANK($C98),"",IF($F98=Constants!$B$2,TRUE(),IF($F98=Constants!$B$3,FALSE(),FALSE())))</f>
        <v/>
      </c>
      <c r="AL98" s="100" t="str">
        <f aca="false">IF(ISBLANK($C98),"",IF($G98=Constants!$B$2,TRUE(),IF($G98=Constants!$B$3,FALSE(),TRUE())))</f>
        <v/>
      </c>
      <c r="AM98" s="100" t="str">
        <f aca="false">IF(ISBLANK($C98),"",IF($H98=Constants!$B$2,TRUE(),IF($H98=Constants!$B$3,FALSE(),TRUE())))</f>
        <v/>
      </c>
      <c r="AN98" s="100" t="str">
        <f aca="false">IF(ISBLANK($C98),"",IF(ISNUMBER($I98),IF($I98&gt;=0,$I98,""),""))</f>
        <v/>
      </c>
      <c r="AO98" s="100" t="str">
        <f aca="false">IF(ISBLANK($C98),"",IF(ISNUMBER($J98),IF($J98&gt;=0,$J98,""),""))</f>
        <v/>
      </c>
      <c r="AP98" s="100" t="str">
        <f aca="false">IF(ISBLANK($C98),"",IF(ISNUMBER($K98),IF($K98&gt;=0,$K98,""),""))</f>
        <v/>
      </c>
      <c r="AQ98" s="100" t="str">
        <f aca="false">IF(ISBLANK($C98),"",IF($L98=Constants!$B$2,TRUE(),IF($L98=Constants!$B$3,FALSE(),TRUE())))</f>
        <v/>
      </c>
      <c r="AR98" s="100" t="str">
        <f aca="false">IF(ISBLANK($C98),"",IF($M98=Constants!$B$2,TRUE(),IF($M98=Constants!$B$3,FALSE(),TRUE())))</f>
        <v/>
      </c>
      <c r="AS98" s="100" t="str">
        <f aca="false">IF(ISBLANK($C98),"",IF($N98=Constants!$B$2,TRUE(),IF($N98=Constants!$B$3,FALSE(),FALSE())))</f>
        <v/>
      </c>
      <c r="AT98" s="100" t="str">
        <f aca="false">IF(ISBLANK($C98),"",IF($O98=Constants!$B$2,TRUE(),IF($O98=Constants!$B$3,FALSE(),TRUE())))</f>
        <v/>
      </c>
      <c r="AU98" s="100" t="str">
        <f aca="false">IF(ISBLANK($C98),"",IF($P98=Constants!$B$2,TRUE(),IF($P98=Constants!$B$3,FALSE(),TRUE())))</f>
        <v/>
      </c>
      <c r="AV98" s="100" t="str">
        <f aca="false">IF(ISBLANK($C98),"",IF($Q98=Constants!$B$2,TRUE(),IF($Q98=Constants!$B$3,FALSE(),FALSE())))</f>
        <v/>
      </c>
      <c r="AW98" s="100" t="str">
        <f aca="false">IF(ISBLANK($C98),"",IF($R98=Constants!$B$2,TRUE(),IF($R98=Constants!$B$3,FALSE(),FALSE())))</f>
        <v/>
      </c>
      <c r="AX98" s="100" t="str">
        <f aca="false">IF(ISBLANK($C98),"",IF($S98=Constants!$B$2,TRUE(),IF($S98=Constants!$B$3,FALSE(),FALSE())))</f>
        <v/>
      </c>
      <c r="AY98" s="100" t="str">
        <f aca="false">IF(ISBLANK($C98),"",IF($T98=Constants!$B$2,TRUE(),IF($T98=Constants!$B$3,FALSE(),FALSE())))</f>
        <v/>
      </c>
      <c r="AZ98" s="100" t="str">
        <f aca="false">IF(ISBLANK($C98),"",IF($U98=Constants!$B$2,TRUE(),IF($U98=Constants!$B$3,FALSE(),FALSE())))</f>
        <v/>
      </c>
      <c r="BA98" s="100" t="str">
        <f aca="false">IF(ISBLANK($C98),"",IF(OR($V98&amp;""="1",$V98&amp;""="2",$V98&amp;""="3",$V98&amp;""="4"),VALUE($V98&amp;""),IF($V98=Constants!$B$12,Constants!$B$12,"")))</f>
        <v/>
      </c>
      <c r="BB98" s="100" t="str">
        <f aca="false">IF(ISBLANK($C98),"",IF(ISBLANK($W98),0,IF(ISNUMBER($W98),IF(AND($W98&gt;=0,$W98&lt;=Constants!$B$21,$W98=INT($W98)),$W98,""),"")))</f>
        <v/>
      </c>
      <c r="BC98" s="100" t="str">
        <f aca="false">IF(ISBLANK($C98),"",IF(ISBLANK($X98),0,IF(ISNUMBER($X98),IF($X98&gt;=0,$X98,""),"")))</f>
        <v/>
      </c>
      <c r="BD98" s="100" t="str">
        <f aca="false">IF(ISBLANK($C98),"",IF($Y98=Constants!$B$2,TRUE(),IF($Y98=Constants!$B$3,FALSE(),TRUE())))</f>
        <v/>
      </c>
      <c r="BE98" s="100" t="str">
        <f aca="false">IF(ISBLANK($C98),"",IF($Z98=Constants!$B$2,TRUE(),IF($Z98=Constants!$B$3,FALSE(),FALSE())))</f>
        <v/>
      </c>
      <c r="BF98" s="100" t="str">
        <f aca="false">IF(ISBLANK($C98),"",IF(ISBLANK($AA98),0,IF(ISNUMBER($AA98),IF(AND($AA98&gt;=0,$AA98&lt;=Constants!$B$35,$AA98=INT($AA98)),$AA98,""),"")))</f>
        <v/>
      </c>
      <c r="BG98" s="100" t="str">
        <f aca="false">IF(ISBLANK($C98),"",IF($AB98=Constants!$B$2,TRUE(),IF($AB98=Constants!$B$3,FALSE(),TRUE())))</f>
        <v/>
      </c>
      <c r="BH98" s="100" t="str">
        <f aca="false">IF(ISBLANK($C98),"",IF($AC98=Constants!$B$2,TRUE(),IF($AC98=Constants!$B$3,FALSE(),TRUE())))</f>
        <v/>
      </c>
      <c r="BI98" s="100" t="str">
        <f aca="false">IF(ISBLANK($C98),"",IF($AD98=Constants!$B$2,TRUE(),IF($AD98=Constants!$B$3,FALSE(),TRUE())))</f>
        <v/>
      </c>
      <c r="BJ98" s="100" t="str">
        <f aca="false">IF(ISBLANK($C98),"",IF(ISNUMBER($AE98),IF($AE98&gt;=0,$AE98,""),""))</f>
        <v/>
      </c>
      <c r="BK98" s="100" t="str">
        <f aca="false">IF(ISBLANK($C98),"",IF($AF98=Constants!$B$2,TRUE(),IF($AF98=Constants!$B$3,FALSE(),FALSE())))</f>
        <v/>
      </c>
      <c r="BL98" s="99" t="str">
        <f aca="false">IF(ISBLANK($C98),"",IF($BK98,Constants!$B$7,IF(COUNTA($E98:$AE98)=0,Constants!$B$6,IF(OR(COUNTA($G98:$AE98)=0,NOT($AM98),$AS98),Constants!$B$5,IF(OR($CM98&lt;&gt;"",$CN98,$CO98,$CP98,$CQ98,$CR98,$CS98),Constants!$B$8,Constants!$B$4)))))</f>
        <v/>
      </c>
      <c r="BM98" s="100" t="str">
        <f aca="false">IF(ISBLANK($C98),"",IF($BL98&lt;&gt;Constants!$B$4,$BL98,IF(OR(NOT($AJ98),NOT($AL98),NOT($AT98)),Constants!$B$11,IF(OR(NOT($AR98),NOT($AU98),NOT($BI98),MAX($AN98,$AO98,$AP98)&gt;Constants!$B$30),Constants!$B$10,Constants!$B$9))))</f>
        <v/>
      </c>
      <c r="BN98" s="100" t="str">
        <f aca="false">IF($BL98&lt;&gt;Constants!$B$4,"",IF(NOT($AL98),0,MIN(Constants!$B$35,$BF98)))</f>
        <v/>
      </c>
      <c r="BO98" s="100" t="str">
        <f aca="false">IF($BL98&lt;&gt;Constants!$B$4,"",IF(NOT($AL98),0,IF($AW98,Constants!$B$18,IF($AV98,Constants!$B$17,0))))</f>
        <v/>
      </c>
      <c r="BP98" s="100" t="str">
        <f aca="false">IF($BL98&lt;&gt;Constants!$B$4,"",IF(NOT($AL98),0,Constants!$B$19*($AK98+$AX98+$AY98+$AZ98)))</f>
        <v/>
      </c>
      <c r="BQ98" s="100" t="str">
        <f aca="false">IF($BL98&lt;&gt;Constants!$B$4,"",IF(OR(NOT($AL98),NOT(ISNUMBER($BA98))),0,CHOOSE($BA98,Constants!$B$13,Constants!$B$14,Constants!$B$15,Constants!$B$16)))</f>
        <v/>
      </c>
      <c r="BR98" s="100" t="str">
        <f aca="false">IF($BL98&lt;&gt;Constants!$B$4,"",IF(NOT($AL98),0,Constants!$B$20*$BB98))</f>
        <v/>
      </c>
      <c r="BS98" s="100" t="str">
        <f aca="false">IF($BL98&lt;&gt;Constants!$B$4,"",IF(AND($AL98,$BD98,$BE98),Constants!$B$22,0))</f>
        <v/>
      </c>
      <c r="BT98" s="100" t="str">
        <f aca="false">IF($BL98&lt;&gt;Constants!$B$4,"",IF(OR(NOT($AL98),NOT($BD98)),0,IF($BJ98&gt;=2*$AH$9,0,Constants!$B$23*INT(ROUND(MIN($BJ98,$AH$9),6)))))</f>
        <v/>
      </c>
      <c r="BU98" s="100" t="str">
        <f aca="false">IF($BL98&lt;&gt;Constants!$B$4,"",IF(NOT($AL98),0,Constants!$B$24*INT(ROUND(MIN($BC98,$AH$9),6))))</f>
        <v/>
      </c>
      <c r="BV98" s="100" t="str">
        <f aca="false">IF($BL98&lt;&gt;Constants!$B$4,"",IF(AND($AL98,$BN98=0),Constants!$B$25,0))</f>
        <v/>
      </c>
      <c r="BW98" s="100" t="str">
        <f aca="false">IF($BL98&lt;&gt;Constants!$B$4,"",MIN(Constants!$B$29,MAX(0,Constants!$B$27*Constants!$B$28*INT(ROUND((Constants!$B$26-$AN98)/Constants!$B$28,6))))+MIN(Constants!$B$29,MAX(0,Constants!$B$27*Constants!$B$28*INT(ROUND((Constants!$B$26-$AO98)/Constants!$B$28,6))))+MIN(Constants!$B$29,MAX(0,Constants!$B$27*Constants!$B$28*INT(ROUND((Constants!$B$26-$AP98)/Constants!$B$28,6)))))</f>
        <v/>
      </c>
      <c r="BX98" s="100" t="str">
        <f aca="false">IF($BL98&lt;&gt;Constants!$B$4,"",IF(NOT($AL98),0,Constants!$B$31*INT(ROUND(MAX(0,MIN($BJ98,2*$AH$9)-$AH$9),6))))</f>
        <v/>
      </c>
      <c r="BY98" s="100" t="str">
        <f aca="false">IF($BL98&lt;&gt;Constants!$B$4,"",Constants!$B$32*(($AN98&gt;Constants!$B$26)+($AO98&gt;Constants!$B$26)+($AP98&gt;Constants!$B$26)))</f>
        <v/>
      </c>
      <c r="BZ98" s="100" t="str">
        <f aca="false">IF($BL98&lt;&gt;Constants!$B$4,"",IF(OR(NOT($AL98),$AQ98),0,Constants!$B$33))</f>
        <v/>
      </c>
      <c r="CA98" s="100" t="str">
        <f aca="false">IF($BL98&lt;&gt;Constants!$B$4,"",Constants!$B$34*$BN98)</f>
        <v/>
      </c>
      <c r="CB98" s="100" t="str">
        <f aca="false">IF($BL98&lt;&gt;Constants!$B$4,"",IF(OR(NOT($AL98),$BH98),0,Constants!$B$36))</f>
        <v/>
      </c>
      <c r="CC98" s="100" t="str">
        <f aca="false">IF($BL98&lt;&gt;Constants!$B$4,"",IF(OR(NOT($AL98),$BG98),0,Constants!$B$37))</f>
        <v/>
      </c>
      <c r="CD98" s="100" t="str">
        <f aca="false">IF($BL98&lt;&gt;Constants!$B$4,"",SUM($BX98:$CC98))</f>
        <v/>
      </c>
      <c r="CE98" s="100" t="str">
        <f aca="false">IF(ISBLANK($C98),"",IF($BL98&lt;&gt;Constants!$B$4,$BL98,SUM($BO98:$BW98)-$CD98))</f>
        <v/>
      </c>
      <c r="CF98" s="100" t="str">
        <f aca="false">IF(ISBLANK($C98),"",IF($BL98&lt;&gt;Constants!$B$4,$BL98,RANK($CE98,$CE$9:$CE$508)))</f>
        <v/>
      </c>
      <c r="CG98" s="100" t="str">
        <f aca="false">IF(ISBLANK($C98),"",IF($BL98&lt;&gt;Constants!$B$4,$BL98,COUNTIFS($BM$9:$BM$508,"&lt;"&amp;$BM98)+COUNTIFS($BM$9:$BM$508,$BM98,$CF$9:$CF$508,"&lt;"&amp;$CF98)+1))</f>
        <v/>
      </c>
      <c r="CH98" s="100" t="str">
        <f aca="false">IF(ISBLANK($C98),"",IF($BL98&lt;&gt;Constants!$B$4,$BL98,RANK($CD98,$CD$9:$CD$508,1)))</f>
        <v/>
      </c>
      <c r="CI98" s="100" t="str">
        <f aca="false">IF($BL98&lt;&gt;Constants!$B$4,"",$AN98+$AO98+$AP98)</f>
        <v/>
      </c>
      <c r="CJ98" s="100" t="str">
        <f aca="false">IF(ISBLANK($C98),"",IF($BL98&lt;&gt;Constants!$B$4,$BL98,RANK($CI98,$CI$9:$CI$508,1)))</f>
        <v/>
      </c>
      <c r="CK98" s="100" t="str">
        <f aca="false">IF(ISBLANK($C98),"",IF($BL98&lt;&gt;Constants!$B$4,$BL98,COUNTIFS($BM$9:$BM$508,"&lt;"&amp;$BM98)+COUNTIFS($BM$9:$BM$508,$BM98,$CF$9:$CF$508,"&lt;"&amp;$CF98)+COUNTIFS($BM$9:$BM$508,$BM98,$CF$9:$CF$508,$CF98,$CH$9:$CH$508,"&lt;"&amp;$CH98)+COUNTIFS($BM$9:$BM$508,$BM98,$CF$9:$CF$508,$CF98,$CH$9:$CH$508,$CH98,$CJ$9:$CJ$508,"&lt;"&amp;$CJ98)+1))</f>
        <v/>
      </c>
      <c r="CL98" s="100" t="str">
        <f aca="false">IF(ISBLANK($C98),"",IF($BL98&lt;&gt;Constants!$B$4,$BL98,$CG98-$CK98))</f>
        <v/>
      </c>
      <c r="CM98" s="100" t="str">
        <f aca="false">IF(ISBLANK($C98),"",IF(NOT($AL98),"",IF(ISBLANK($D$7),$CM$5,IF(NOT(ISNUMBER($D$7)),$CM$6,""))))</f>
        <v/>
      </c>
      <c r="CN98" s="100" t="str">
        <f aca="false">IF(ISBLANK($C98),"",OR($AN98="",$AO98="",$AP98=""))</f>
        <v/>
      </c>
      <c r="CO98" s="100" t="str">
        <f aca="false">IF(ISBLANK($C98),"",AND($AL98,$BA98=""))</f>
        <v/>
      </c>
      <c r="CP98" s="100" t="str">
        <f aca="false">IF(ISBLANK($C98),"",AND($AL98,$BB98=""))</f>
        <v/>
      </c>
      <c r="CQ98" s="100" t="str">
        <f aca="false">IF(ISBLANK($C98),"",AND($AL98,$BC98=""))</f>
        <v/>
      </c>
      <c r="CR98" s="100" t="str">
        <f aca="false">IF(ISBLANK($C98),"",AND($AL98,$BF98=""))</f>
        <v/>
      </c>
      <c r="CS98" s="100" t="str">
        <f aca="false">IF(ISBLANK($C98),"",AND($AL98,$BJ98=""))</f>
        <v/>
      </c>
      <c r="CT98" s="101"/>
      <c r="CU98" s="102"/>
      <c r="CV98" s="103" t="str">
        <f aca="false">IF(ISBLANK($C98),"",IF($BL98=Constants!$B$8,$CM98,""))</f>
        <v/>
      </c>
      <c r="CW98" s="102" t="str">
        <f aca="false">IF(ISBLANK($C98),"",IF($BL98&lt;&gt;Constants!$B$4,"",$BO98+$BP98))</f>
        <v/>
      </c>
      <c r="CX98" s="104" t="str">
        <f aca="false">IF(ISBLANK($C98),"",IF($BL98&lt;&gt;Constants!$B$4,"",$BQ98+$BR98+$BS98))</f>
        <v/>
      </c>
      <c r="CY98" s="104" t="str">
        <f aca="false">IF(ISBLANK($C98),"",IF($BL98&lt;&gt;Constants!$B$4,"",$BT98))</f>
        <v/>
      </c>
      <c r="CZ98" s="104" t="str">
        <f aca="false">IF(ISBLANK($C98),"",IF($BL98&lt;&gt;Constants!$B$4,"",$BU98+$BV98))</f>
        <v/>
      </c>
      <c r="DA98" s="104" t="str">
        <f aca="false">IF(ISBLANK($C98),"",IF($BL98&lt;&gt;Constants!$B$4,"",$BW98))</f>
        <v/>
      </c>
      <c r="DB98" s="104" t="str">
        <f aca="false">IF(ISBLANK($C98),"",IF($BL98&lt;&gt;Constants!$B$4,"",-$CD98))</f>
        <v/>
      </c>
      <c r="DC98" s="103" t="str">
        <f aca="false">IF(ISBLANK($C98),"",$CE98)</f>
        <v/>
      </c>
      <c r="DD98" s="105" t="str">
        <f aca="false">IF(ISBLANK($C98),"",$BM98)</f>
        <v/>
      </c>
      <c r="DE98" s="104" t="str">
        <f aca="false">IF(ISBLANK($C98),"",$CL98)</f>
        <v/>
      </c>
      <c r="DF98" s="104" t="str">
        <f aca="false">IF(ISBLANK($C98),"",$CK98)</f>
        <v/>
      </c>
      <c r="DG98" s="106" t="str">
        <f aca="false">IF(ISBLANK($C98),"",IF($DF98=Constants!$B$7,COUNTA($C$9:$C$508)+2,IF($DF98=Constants!$B$6,COUNTA($C$9:$C$508)+1,IF($DF98=Constants!$B$5,COUNTA($C$9:$C$508),$DF98))))</f>
        <v/>
      </c>
      <c r="DH98" s="7"/>
      <c r="DI98" s="107" t="n">
        <f aca="false">IF(OR(ISNUMBER($DF98),$DF98=Constants!$B$7,$DF98=Constants!$B$5,$DF98=Constants!$B$6),1,0)</f>
        <v>0</v>
      </c>
      <c r="DJ98" s="107" t="n">
        <v>90</v>
      </c>
      <c r="DK98" s="107" t="str">
        <f aca="false">IF(ISBLANK($C98),"",IF(ISNUMBER($DG98),$DG98+ROW($B98)/1000,""))</f>
        <v/>
      </c>
      <c r="DL98" s="107" t="str">
        <f aca="false">IF(ISNUMBER($DK98),RANK($DK98,$DK$9:$DK$508,1),"")</f>
        <v/>
      </c>
      <c r="DM98" s="107" t="str">
        <f aca="false">IF(ISBLANK($C98),"",$B98)</f>
        <v/>
      </c>
      <c r="DN98" s="107" t="str">
        <f aca="false">IF(ISBLANK($C98),"",$C98)</f>
        <v/>
      </c>
      <c r="DO98" s="107" t="str">
        <f aca="false">IF(ISBLANK($C98),"",$D98)</f>
        <v/>
      </c>
      <c r="DP98" s="108" t="str">
        <f aca="false">$DD98</f>
        <v/>
      </c>
      <c r="DQ98" s="109" t="str">
        <f aca="false">$DC98</f>
        <v/>
      </c>
      <c r="DR98" s="107" t="str">
        <f aca="false">IF(ISBLANK($C98),"",$DF98)</f>
        <v/>
      </c>
      <c r="DS98" s="110" t="str">
        <f aca="false">IF($DJ98&gt;$DI$8,"",VLOOKUP($DJ98,$DL$9:$DR$508,7,FALSE()))</f>
        <v/>
      </c>
      <c r="DT98" s="111" t="str">
        <f aca="false">IF($DJ98&gt;$DI$8,"",VLOOKUP($DJ98,$DL$9:$DR$508,2,FALSE()))</f>
        <v/>
      </c>
      <c r="DU98" s="111" t="str">
        <f aca="false">IF($DJ98&gt;$DI$8,"",VLOOKUP($DJ98,$DL$9:$DR$508,3,FALSE()))</f>
        <v/>
      </c>
      <c r="DV98" s="111" t="str">
        <f aca="false">IF($DJ98&gt;$DI$8,"",VLOOKUP($DJ98,$DL$9:$DR$508,4,FALSE()))</f>
        <v/>
      </c>
      <c r="DW98" s="111" t="str">
        <f aca="false">IF($DJ98&gt;$DI$8,"",VLOOKUP($DJ98,$DL$9:$DR$508,5,FALSE()))</f>
        <v/>
      </c>
      <c r="DX98" s="112" t="str">
        <f aca="false">IF($DJ98&gt;$DI$8,"",VLOOKUP($DJ98,$DL$9:$DR$508,6,FALSE()))</f>
        <v/>
      </c>
      <c r="DY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88"/>
      <c r="N99" s="88"/>
      <c r="O99" s="134"/>
      <c r="P99" s="134"/>
      <c r="Q99" s="88"/>
      <c r="R99" s="88"/>
      <c r="S99" s="88"/>
      <c r="T99" s="88"/>
      <c r="U99" s="134"/>
      <c r="V99" s="88"/>
      <c r="W99" s="70"/>
      <c r="X99" s="88"/>
      <c r="Y99" s="88"/>
      <c r="Z99" s="70"/>
      <c r="AA99" s="70"/>
      <c r="AB99" s="88"/>
      <c r="AC99" s="88"/>
      <c r="AD99" s="88"/>
      <c r="AE99" s="71"/>
      <c r="AF99" s="88"/>
      <c r="AG99" s="73"/>
      <c r="AH99" s="74"/>
      <c r="AI99" s="74"/>
      <c r="AJ99" s="74" t="str">
        <f aca="false">IF(ISBLANK($C99),"",IF($E99=Constants!$B$2,TRUE(),IF($E99=Constants!$B$3,FALSE(),TRUE())))</f>
        <v/>
      </c>
      <c r="AK99" s="74" t="str">
        <f aca="false">IF(ISBLANK($C99),"",IF($F99=Constants!$B$2,TRUE(),IF($F99=Constants!$B$3,FALSE(),FALSE())))</f>
        <v/>
      </c>
      <c r="AL99" s="74" t="str">
        <f aca="false">IF(ISBLANK($C99),"",IF($G99=Constants!$B$2,TRUE(),IF($G99=Constants!$B$3,FALSE(),TRUE())))</f>
        <v/>
      </c>
      <c r="AM99" s="74" t="str">
        <f aca="false">IF(ISBLANK($C99),"",IF($H99=Constants!$B$2,TRUE(),IF($H99=Constants!$B$3,FALSE(),TRUE())))</f>
        <v/>
      </c>
      <c r="AN99" s="74" t="str">
        <f aca="false">IF(ISBLANK($C99),"",IF(ISNUMBER($I99),IF($I99&gt;=0,$I99,""),""))</f>
        <v/>
      </c>
      <c r="AO99" s="74" t="str">
        <f aca="false">IF(ISBLANK($C99),"",IF(ISNUMBER($J99),IF($J99&gt;=0,$J99,""),""))</f>
        <v/>
      </c>
      <c r="AP99" s="74" t="str">
        <f aca="false">IF(ISBLANK($C99),"",IF(ISNUMBER($K99),IF($K99&gt;=0,$K99,""),""))</f>
        <v/>
      </c>
      <c r="AQ99" s="74" t="str">
        <f aca="false">IF(ISBLANK($C99),"",IF($L99=Constants!$B$2,TRUE(),IF($L99=Constants!$B$3,FALSE(),TRUE())))</f>
        <v/>
      </c>
      <c r="AR99" s="74" t="str">
        <f aca="false">IF(ISBLANK($C99),"",IF($M99=Constants!$B$2,TRUE(),IF($M99=Constants!$B$3,FALSE(),TRUE())))</f>
        <v/>
      </c>
      <c r="AS99" s="74" t="str">
        <f aca="false">IF(ISBLANK($C99),"",IF($N99=Constants!$B$2,TRUE(),IF($N99=Constants!$B$3,FALSE(),FALSE())))</f>
        <v/>
      </c>
      <c r="AT99" s="74" t="str">
        <f aca="false">IF(ISBLANK($C99),"",IF($O99=Constants!$B$2,TRUE(),IF($O99=Constants!$B$3,FALSE(),TRUE())))</f>
        <v/>
      </c>
      <c r="AU99" s="74" t="str">
        <f aca="false">IF(ISBLANK($C99),"",IF($P99=Constants!$B$2,TRUE(),IF($P99=Constants!$B$3,FALSE(),TRUE())))</f>
        <v/>
      </c>
      <c r="AV99" s="74" t="str">
        <f aca="false">IF(ISBLANK($C99),"",IF($Q99=Constants!$B$2,TRUE(),IF($Q99=Constants!$B$3,FALSE(),FALSE())))</f>
        <v/>
      </c>
      <c r="AW99" s="74" t="str">
        <f aca="false">IF(ISBLANK($C99),"",IF($R99=Constants!$B$2,TRUE(),IF($R99=Constants!$B$3,FALSE(),FALSE())))</f>
        <v/>
      </c>
      <c r="AX99" s="74" t="str">
        <f aca="false">IF(ISBLANK($C99),"",IF($S99=Constants!$B$2,TRUE(),IF($S99=Constants!$B$3,FALSE(),FALSE())))</f>
        <v/>
      </c>
      <c r="AY99" s="74" t="str">
        <f aca="false">IF(ISBLANK($C99),"",IF($T99=Constants!$B$2,TRUE(),IF($T99=Constants!$B$3,FALSE(),FALSE())))</f>
        <v/>
      </c>
      <c r="AZ99" s="74" t="str">
        <f aca="false">IF(ISBLANK($C99),"",IF($U99=Constants!$B$2,TRUE(),IF($U99=Constants!$B$3,FALSE(),FALSE())))</f>
        <v/>
      </c>
      <c r="BA99" s="74" t="str">
        <f aca="false">IF(ISBLANK($C99),"",IF(OR($V99&amp;""="1",$V99&amp;""="2",$V99&amp;""="3",$V99&amp;""="4"),VALUE($V99&amp;""),IF($V99=Constants!$B$12,Constants!$B$12,"")))</f>
        <v/>
      </c>
      <c r="BB99" s="74" t="str">
        <f aca="false">IF(ISBLANK($C99),"",IF(ISBLANK($W99),0,IF(ISNUMBER($W99),IF(AND($W99&gt;=0,$W99&lt;=Constants!$B$21,$W99=INT($W99)),$W99,""),"")))</f>
        <v/>
      </c>
      <c r="BC99" s="74" t="str">
        <f aca="false">IF(ISBLANK($C99),"",IF(ISBLANK($X99),0,IF(ISNUMBER($X99),IF($X99&gt;=0,$X99,""),"")))</f>
        <v/>
      </c>
      <c r="BD99" s="74" t="str">
        <f aca="false">IF(ISBLANK($C99),"",IF($Y99=Constants!$B$2,TRUE(),IF($Y99=Constants!$B$3,FALSE(),TRUE())))</f>
        <v/>
      </c>
      <c r="BE99" s="74" t="str">
        <f aca="false">IF(ISBLANK($C99),"",IF($Z99=Constants!$B$2,TRUE(),IF($Z99=Constants!$B$3,FALSE(),FALSE())))</f>
        <v/>
      </c>
      <c r="BF99" s="74" t="str">
        <f aca="false">IF(ISBLANK($C99),"",IF(ISBLANK($AA99),0,IF(ISNUMBER($AA99),IF(AND($AA99&gt;=0,$AA99&lt;=Constants!$B$35,$AA99=INT($AA99)),$AA99,""),"")))</f>
        <v/>
      </c>
      <c r="BG99" s="74" t="str">
        <f aca="false">IF(ISBLANK($C99),"",IF($AB99=Constants!$B$2,TRUE(),IF($AB99=Constants!$B$3,FALSE(),TRUE())))</f>
        <v/>
      </c>
      <c r="BH99" s="74" t="str">
        <f aca="false">IF(ISBLANK($C99),"",IF($AC99=Constants!$B$2,TRUE(),IF($AC99=Constants!$B$3,FALSE(),TRUE())))</f>
        <v/>
      </c>
      <c r="BI99" s="74" t="str">
        <f aca="false">IF(ISBLANK($C99),"",IF($AD99=Constants!$B$2,TRUE(),IF($AD99=Constants!$B$3,FALSE(),TRUE())))</f>
        <v/>
      </c>
      <c r="BJ99" s="74" t="str">
        <f aca="false">IF(ISBLANK($C99),"",IF(ISNUMBER($AE99),IF($AE99&gt;=0,$AE99,""),""))</f>
        <v/>
      </c>
      <c r="BK99" s="74" t="str">
        <f aca="false">IF(ISBLANK($C99),"",IF($AF99=Constants!$B$2,TRUE(),IF($AF99=Constants!$B$3,FALSE(),FALSE())))</f>
        <v/>
      </c>
      <c r="BL99" s="73" t="str">
        <f aca="false">IF(ISBLANK($C99),"",IF($BK99,Constants!$B$7,IF(COUNTA($E99:$AE99)=0,Constants!$B$6,IF(OR(COUNTA($G99:$AE99)=0,NOT($AM99),$AS99),Constants!$B$5,IF(OR($CM99&lt;&gt;"",$CN99,$CO99,$CP99,$CQ99,$CR99,$CS99),Constants!$B$8,Constants!$B$4)))))</f>
        <v/>
      </c>
      <c r="BM99" s="74" t="str">
        <f aca="false">IF(ISBLANK($C99),"",IF($BL99&lt;&gt;Constants!$B$4,$BL99,IF(OR(NOT($AJ99),NOT($AL99),NOT($AT99)),Constants!$B$11,IF(OR(NOT($AR99),NOT($AU99),NOT($BI99),MAX($AN99,$AO99,$AP99)&gt;Constants!$B$30),Constants!$B$10,Constants!$B$9))))</f>
        <v/>
      </c>
      <c r="BN99" s="74" t="str">
        <f aca="false">IF($BL99&lt;&gt;Constants!$B$4,"",IF(NOT($AL99),0,MIN(Constants!$B$35,$BF99)))</f>
        <v/>
      </c>
      <c r="BO99" s="74" t="str">
        <f aca="false">IF($BL99&lt;&gt;Constants!$B$4,"",IF(NOT($AL99),0,IF($AW99,Constants!$B$18,IF($AV99,Constants!$B$17,0))))</f>
        <v/>
      </c>
      <c r="BP99" s="74" t="str">
        <f aca="false">IF($BL99&lt;&gt;Constants!$B$4,"",IF(NOT($AL99),0,Constants!$B$19*($AK99+$AX99+$AY99+$AZ99)))</f>
        <v/>
      </c>
      <c r="BQ99" s="74" t="str">
        <f aca="false">IF($BL99&lt;&gt;Constants!$B$4,"",IF(OR(NOT($AL99),NOT(ISNUMBER($BA99))),0,CHOOSE($BA99,Constants!$B$13,Constants!$B$14,Constants!$B$15,Constants!$B$16)))</f>
        <v/>
      </c>
      <c r="BR99" s="74" t="str">
        <f aca="false">IF($BL99&lt;&gt;Constants!$B$4,"",IF(NOT($AL99),0,Constants!$B$20*$BB99))</f>
        <v/>
      </c>
      <c r="BS99" s="74" t="str">
        <f aca="false">IF($BL99&lt;&gt;Constants!$B$4,"",IF(AND($AL99,$BD99,$BE99),Constants!$B$22,0))</f>
        <v/>
      </c>
      <c r="BT99" s="74" t="str">
        <f aca="false">IF($BL99&lt;&gt;Constants!$B$4,"",IF(OR(NOT($AL99),NOT($BD99)),0,IF($BJ99&gt;=2*$AH$9,0,Constants!$B$23*INT(ROUND(MIN($BJ99,$AH$9),6)))))</f>
        <v/>
      </c>
      <c r="BU99" s="74" t="str">
        <f aca="false">IF($BL99&lt;&gt;Constants!$B$4,"",IF(NOT($AL99),0,Constants!$B$24*INT(ROUND(MIN($BC99,$AH$9),6))))</f>
        <v/>
      </c>
      <c r="BV99" s="74" t="str">
        <f aca="false">IF($BL99&lt;&gt;Constants!$B$4,"",IF(AND($AL99,$BN99=0),Constants!$B$25,0))</f>
        <v/>
      </c>
      <c r="BW99" s="74" t="str">
        <f aca="false">IF($BL99&lt;&gt;Constants!$B$4,"",MIN(Constants!$B$29,MAX(0,Constants!$B$27*Constants!$B$28*INT(ROUND((Constants!$B$26-$AN99)/Constants!$B$28,6))))+MIN(Constants!$B$29,MAX(0,Constants!$B$27*Constants!$B$28*INT(ROUND((Constants!$B$26-$AO99)/Constants!$B$28,6))))+MIN(Constants!$B$29,MAX(0,Constants!$B$27*Constants!$B$28*INT(ROUND((Constants!$B$26-$AP99)/Constants!$B$28,6)))))</f>
        <v/>
      </c>
      <c r="BX99" s="74" t="str">
        <f aca="false">IF($BL99&lt;&gt;Constants!$B$4,"",IF(NOT($AL99),0,Constants!$B$31*INT(ROUND(MAX(0,MIN($BJ99,2*$AH$9)-$AH$9),6))))</f>
        <v/>
      </c>
      <c r="BY99" s="74" t="str">
        <f aca="false">IF($BL99&lt;&gt;Constants!$B$4,"",Constants!$B$32*(($AN99&gt;Constants!$B$26)+($AO99&gt;Constants!$B$26)+($AP99&gt;Constants!$B$26)))</f>
        <v/>
      </c>
      <c r="BZ99" s="74" t="str">
        <f aca="false">IF($BL99&lt;&gt;Constants!$B$4,"",IF(OR(NOT($AL99),$AQ99),0,Constants!$B$33))</f>
        <v/>
      </c>
      <c r="CA99" s="74" t="str">
        <f aca="false">IF($BL99&lt;&gt;Constants!$B$4,"",Constants!$B$34*$BN99)</f>
        <v/>
      </c>
      <c r="CB99" s="74" t="str">
        <f aca="false">IF($BL99&lt;&gt;Constants!$B$4,"",IF(OR(NOT($AL99),$BH99),0,Constants!$B$36))</f>
        <v/>
      </c>
      <c r="CC99" s="74" t="str">
        <f aca="false">IF($BL99&lt;&gt;Constants!$B$4,"",IF(OR(NOT($AL99),$BG99),0,Constants!$B$37))</f>
        <v/>
      </c>
      <c r="CD99" s="74" t="str">
        <f aca="false">IF($BL99&lt;&gt;Constants!$B$4,"",SUM($BX99:$CC99))</f>
        <v/>
      </c>
      <c r="CE99" s="74" t="str">
        <f aca="false">IF(ISBLANK($C99),"",IF($BL99&lt;&gt;Constants!$B$4,$BL99,SUM($BO99:$BW99)-$CD99))</f>
        <v/>
      </c>
      <c r="CF99" s="74" t="str">
        <f aca="false">IF(ISBLANK($C99),"",IF($BL99&lt;&gt;Constants!$B$4,$BL99,RANK($CE99,$CE$9:$CE$508)))</f>
        <v/>
      </c>
      <c r="CG99" s="74" t="str">
        <f aca="false">IF(ISBLANK($C99),"",IF($BL99&lt;&gt;Constants!$B$4,$BL99,COUNTIFS($BM$9:$BM$508,"&lt;"&amp;$BM99)+COUNTIFS($BM$9:$BM$508,$BM99,$CF$9:$CF$508,"&lt;"&amp;$CF99)+1))</f>
        <v/>
      </c>
      <c r="CH99" s="74" t="str">
        <f aca="false">IF(ISBLANK($C99),"",IF($BL99&lt;&gt;Constants!$B$4,$BL99,RANK($CD99,$CD$9:$CD$508,1)))</f>
        <v/>
      </c>
      <c r="CI99" s="74" t="str">
        <f aca="false">IF($BL99&lt;&gt;Constants!$B$4,"",$AN99+$AO99+$AP99)</f>
        <v/>
      </c>
      <c r="CJ99" s="74" t="str">
        <f aca="false">IF(ISBLANK($C99),"",IF($BL99&lt;&gt;Constants!$B$4,$BL99,RANK($CI99,$CI$9:$CI$508,1)))</f>
        <v/>
      </c>
      <c r="CK99" s="74" t="str">
        <f aca="false">IF(ISBLANK($C99),"",IF($BL99&lt;&gt;Constants!$B$4,$BL99,COUNTIFS($BM$9:$BM$508,"&lt;"&amp;$BM99)+COUNTIFS($BM$9:$BM$508,$BM99,$CF$9:$CF$508,"&lt;"&amp;$CF99)+COUNTIFS($BM$9:$BM$508,$BM99,$CF$9:$CF$508,$CF99,$CH$9:$CH$508,"&lt;"&amp;$CH99)+COUNTIFS($BM$9:$BM$508,$BM99,$CF$9:$CF$508,$CF99,$CH$9:$CH$508,$CH99,$CJ$9:$CJ$508,"&lt;"&amp;$CJ99)+1))</f>
        <v/>
      </c>
      <c r="CL99" s="74" t="str">
        <f aca="false">IF(ISBLANK($C99),"",IF($BL99&lt;&gt;Constants!$B$4,$BL99,$CG99-$CK99))</f>
        <v/>
      </c>
      <c r="CM99" s="74" t="str">
        <f aca="false">IF(ISBLANK($C99),"",IF(NOT($AL99),"",IF(ISBLANK($D$7),$CM$5,IF(NOT(ISNUMBER($D$7)),$CM$6,""))))</f>
        <v/>
      </c>
      <c r="CN99" s="74" t="str">
        <f aca="false">IF(ISBLANK($C99),"",OR($AN99="",$AO99="",$AP99=""))</f>
        <v/>
      </c>
      <c r="CO99" s="74" t="str">
        <f aca="false">IF(ISBLANK($C99),"",AND($AL99,$BA99=""))</f>
        <v/>
      </c>
      <c r="CP99" s="74" t="str">
        <f aca="false">IF(ISBLANK($C99),"",AND($AL99,$BB99=""))</f>
        <v/>
      </c>
      <c r="CQ99" s="74" t="str">
        <f aca="false">IF(ISBLANK($C99),"",AND($AL99,$BC99=""))</f>
        <v/>
      </c>
      <c r="CR99" s="74" t="str">
        <f aca="false">IF(ISBLANK($C99),"",AND($AL99,$BF99=""))</f>
        <v/>
      </c>
      <c r="CS99" s="74" t="str">
        <f aca="false">IF(ISBLANK($C99),"",AND($AL99,$BJ99=""))</f>
        <v/>
      </c>
      <c r="CT99" s="75"/>
      <c r="CU99" s="76"/>
      <c r="CV99" s="79" t="str">
        <f aca="false">IF(ISBLANK($C99),"",IF($BL99=Constants!$B$8,$CM99,""))</f>
        <v/>
      </c>
      <c r="CW99" s="76" t="str">
        <f aca="false">IF(ISBLANK($C99),"",IF($BL99&lt;&gt;Constants!$B$4,"",$BO99+$BP99))</f>
        <v/>
      </c>
      <c r="CX99" s="78" t="str">
        <f aca="false">IF(ISBLANK($C99),"",IF($BL99&lt;&gt;Constants!$B$4,"",$BQ99+$BR99+$BS99))</f>
        <v/>
      </c>
      <c r="CY99" s="78" t="str">
        <f aca="false">IF(ISBLANK($C99),"",IF($BL99&lt;&gt;Constants!$B$4,"",$BT99))</f>
        <v/>
      </c>
      <c r="CZ99" s="78" t="str">
        <f aca="false">IF(ISBLANK($C99),"",IF($BL99&lt;&gt;Constants!$B$4,"",$BU99+$BV99))</f>
        <v/>
      </c>
      <c r="DA99" s="78" t="str">
        <f aca="false">IF(ISBLANK($C99),"",IF($BL99&lt;&gt;Constants!$B$4,"",$BW99))</f>
        <v/>
      </c>
      <c r="DB99" s="78" t="str">
        <f aca="false">IF(ISBLANK($C99),"",IF($BL99&lt;&gt;Constants!$B$4,"",-$CD99))</f>
        <v/>
      </c>
      <c r="DC99" s="79" t="str">
        <f aca="false">IF(ISBLANK($C99),"",$CE99)</f>
        <v/>
      </c>
      <c r="DD99" s="80" t="str">
        <f aca="false">IF(ISBLANK($C99),"",$BM99)</f>
        <v/>
      </c>
      <c r="DE99" s="78" t="str">
        <f aca="false">IF(ISBLANK($C99),"",$CL99)</f>
        <v/>
      </c>
      <c r="DF99" s="78" t="str">
        <f aca="false">IF(ISBLANK($C99),"",$CK99)</f>
        <v/>
      </c>
      <c r="DG99" s="81" t="str">
        <f aca="false">IF(ISBLANK($C99),"",IF($DF99=Constants!$B$7,COUNTA($C$9:$C$508)+2,IF($DF99=Constants!$B$6,COUNTA($C$9:$C$508)+1,IF($DF99=Constants!$B$5,COUNTA($C$9:$C$508),$DF99))))</f>
        <v/>
      </c>
      <c r="DH99" s="7"/>
      <c r="DI99" s="82" t="n">
        <f aca="false">IF(OR(ISNUMBER($DF99),$DF99=Constants!$B$7,$DF99=Constants!$B$5,$DF99=Constants!$B$6),1,0)</f>
        <v>0</v>
      </c>
      <c r="DJ99" s="82" t="n">
        <v>91</v>
      </c>
      <c r="DK99" s="82" t="str">
        <f aca="false">IF(ISBLANK($C99),"",IF(ISNUMBER($DG99),$DG99+ROW($B99)/1000,""))</f>
        <v/>
      </c>
      <c r="DL99" s="82" t="str">
        <f aca="false">IF(ISNUMBER($DK99),RANK($DK99,$DK$9:$DK$508,1),"")</f>
        <v/>
      </c>
      <c r="DM99" s="82" t="str">
        <f aca="false">IF(ISBLANK($C99),"",$B99)</f>
        <v/>
      </c>
      <c r="DN99" s="82" t="str">
        <f aca="false">IF(ISBLANK($C99),"",$C99)</f>
        <v/>
      </c>
      <c r="DO99" s="82" t="str">
        <f aca="false">IF(ISBLANK($C99),"",$D99)</f>
        <v/>
      </c>
      <c r="DP99" s="83" t="str">
        <f aca="false">$DD99</f>
        <v/>
      </c>
      <c r="DQ99" s="84" t="str">
        <f aca="false">$DC99</f>
        <v/>
      </c>
      <c r="DR99" s="82" t="str">
        <f aca="false">IF(ISBLANK($C99),"",$DF99)</f>
        <v/>
      </c>
      <c r="DS99" s="85" t="str">
        <f aca="false">IF($DJ99&gt;$DI$8,"",VLOOKUP($DJ99,$DL$9:$DR$508,7,FALSE()))</f>
        <v/>
      </c>
      <c r="DT99" s="86" t="str">
        <f aca="false">IF($DJ99&gt;$DI$8,"",VLOOKUP($DJ99,$DL$9:$DR$508,2,FALSE()))</f>
        <v/>
      </c>
      <c r="DU99" s="86" t="str">
        <f aca="false">IF($DJ99&gt;$DI$8,"",VLOOKUP($DJ99,$DL$9:$DR$508,3,FALSE()))</f>
        <v/>
      </c>
      <c r="DV99" s="86" t="str">
        <f aca="false">IF($DJ99&gt;$DI$8,"",VLOOKUP($DJ99,$DL$9:$DR$508,4,FALSE()))</f>
        <v/>
      </c>
      <c r="DW99" s="86" t="str">
        <f aca="false">IF($DJ99&gt;$DI$8,"",VLOOKUP($DJ99,$DL$9:$DR$508,5,FALSE()))</f>
        <v/>
      </c>
      <c r="DX99" s="87" t="str">
        <f aca="false">IF($DJ99&gt;$DI$8,"",VLOOKUP($DJ99,$DL$9:$DR$508,6,FALSE()))</f>
        <v/>
      </c>
      <c r="DY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88"/>
      <c r="N100" s="88"/>
      <c r="O100" s="134"/>
      <c r="P100" s="134"/>
      <c r="Q100" s="88"/>
      <c r="R100" s="88"/>
      <c r="S100" s="88"/>
      <c r="T100" s="88"/>
      <c r="U100" s="134"/>
      <c r="V100" s="88"/>
      <c r="W100" s="70"/>
      <c r="X100" s="88"/>
      <c r="Y100" s="88"/>
      <c r="Z100" s="70"/>
      <c r="AA100" s="70"/>
      <c r="AB100" s="88"/>
      <c r="AC100" s="88"/>
      <c r="AD100" s="88"/>
      <c r="AE100" s="71"/>
      <c r="AF100" s="88"/>
      <c r="AG100" s="73"/>
      <c r="AH100" s="74"/>
      <c r="AI100" s="74"/>
      <c r="AJ100" s="74" t="str">
        <f aca="false">IF(ISBLANK($C100),"",IF($E100=Constants!$B$2,TRUE(),IF($E100=Constants!$B$3,FALSE(),TRUE())))</f>
        <v/>
      </c>
      <c r="AK100" s="74" t="str">
        <f aca="false">IF(ISBLANK($C100),"",IF($F100=Constants!$B$2,TRUE(),IF($F100=Constants!$B$3,FALSE(),FALSE())))</f>
        <v/>
      </c>
      <c r="AL100" s="74" t="str">
        <f aca="false">IF(ISBLANK($C100),"",IF($G100=Constants!$B$2,TRUE(),IF($G100=Constants!$B$3,FALSE(),TRUE())))</f>
        <v/>
      </c>
      <c r="AM100" s="74" t="str">
        <f aca="false">IF(ISBLANK($C100),"",IF($H100=Constants!$B$2,TRUE(),IF($H100=Constants!$B$3,FALSE(),TRUE())))</f>
        <v/>
      </c>
      <c r="AN100" s="74" t="str">
        <f aca="false">IF(ISBLANK($C100),"",IF(ISNUMBER($I100),IF($I100&gt;=0,$I100,""),""))</f>
        <v/>
      </c>
      <c r="AO100" s="74" t="str">
        <f aca="false">IF(ISBLANK($C100),"",IF(ISNUMBER($J100),IF($J100&gt;=0,$J100,""),""))</f>
        <v/>
      </c>
      <c r="AP100" s="74" t="str">
        <f aca="false">IF(ISBLANK($C100),"",IF(ISNUMBER($K100),IF($K100&gt;=0,$K100,""),""))</f>
        <v/>
      </c>
      <c r="AQ100" s="74" t="str">
        <f aca="false">IF(ISBLANK($C100),"",IF($L100=Constants!$B$2,TRUE(),IF($L100=Constants!$B$3,FALSE(),TRUE())))</f>
        <v/>
      </c>
      <c r="AR100" s="74" t="str">
        <f aca="false">IF(ISBLANK($C100),"",IF($M100=Constants!$B$2,TRUE(),IF($M100=Constants!$B$3,FALSE(),TRUE())))</f>
        <v/>
      </c>
      <c r="AS100" s="74" t="str">
        <f aca="false">IF(ISBLANK($C100),"",IF($N100=Constants!$B$2,TRUE(),IF($N100=Constants!$B$3,FALSE(),FALSE())))</f>
        <v/>
      </c>
      <c r="AT100" s="74" t="str">
        <f aca="false">IF(ISBLANK($C100),"",IF($O100=Constants!$B$2,TRUE(),IF($O100=Constants!$B$3,FALSE(),TRUE())))</f>
        <v/>
      </c>
      <c r="AU100" s="74" t="str">
        <f aca="false">IF(ISBLANK($C100),"",IF($P100=Constants!$B$2,TRUE(),IF($P100=Constants!$B$3,FALSE(),TRUE())))</f>
        <v/>
      </c>
      <c r="AV100" s="74" t="str">
        <f aca="false">IF(ISBLANK($C100),"",IF($Q100=Constants!$B$2,TRUE(),IF($Q100=Constants!$B$3,FALSE(),FALSE())))</f>
        <v/>
      </c>
      <c r="AW100" s="74" t="str">
        <f aca="false">IF(ISBLANK($C100),"",IF($R100=Constants!$B$2,TRUE(),IF($R100=Constants!$B$3,FALSE(),FALSE())))</f>
        <v/>
      </c>
      <c r="AX100" s="74" t="str">
        <f aca="false">IF(ISBLANK($C100),"",IF($S100=Constants!$B$2,TRUE(),IF($S100=Constants!$B$3,FALSE(),FALSE())))</f>
        <v/>
      </c>
      <c r="AY100" s="74" t="str">
        <f aca="false">IF(ISBLANK($C100),"",IF($T100=Constants!$B$2,TRUE(),IF($T100=Constants!$B$3,FALSE(),FALSE())))</f>
        <v/>
      </c>
      <c r="AZ100" s="74" t="str">
        <f aca="false">IF(ISBLANK($C100),"",IF($U100=Constants!$B$2,TRUE(),IF($U100=Constants!$B$3,FALSE(),FALSE())))</f>
        <v/>
      </c>
      <c r="BA100" s="74" t="str">
        <f aca="false">IF(ISBLANK($C100),"",IF(OR($V100&amp;""="1",$V100&amp;""="2",$V100&amp;""="3",$V100&amp;""="4"),VALUE($V100&amp;""),IF($V100=Constants!$B$12,Constants!$B$12,"")))</f>
        <v/>
      </c>
      <c r="BB100" s="74" t="str">
        <f aca="false">IF(ISBLANK($C100),"",IF(ISBLANK($W100),0,IF(ISNUMBER($W100),IF(AND($W100&gt;=0,$W100&lt;=Constants!$B$21,$W100=INT($W100)),$W100,""),"")))</f>
        <v/>
      </c>
      <c r="BC100" s="74" t="str">
        <f aca="false">IF(ISBLANK($C100),"",IF(ISBLANK($X100),0,IF(ISNUMBER($X100),IF($X100&gt;=0,$X100,""),"")))</f>
        <v/>
      </c>
      <c r="BD100" s="74" t="str">
        <f aca="false">IF(ISBLANK($C100),"",IF($Y100=Constants!$B$2,TRUE(),IF($Y100=Constants!$B$3,FALSE(),TRUE())))</f>
        <v/>
      </c>
      <c r="BE100" s="74" t="str">
        <f aca="false">IF(ISBLANK($C100),"",IF($Z100=Constants!$B$2,TRUE(),IF($Z100=Constants!$B$3,FALSE(),FALSE())))</f>
        <v/>
      </c>
      <c r="BF100" s="74" t="str">
        <f aca="false">IF(ISBLANK($C100),"",IF(ISBLANK($AA100),0,IF(ISNUMBER($AA100),IF(AND($AA100&gt;=0,$AA100&lt;=Constants!$B$35,$AA100=INT($AA100)),$AA100,""),"")))</f>
        <v/>
      </c>
      <c r="BG100" s="74" t="str">
        <f aca="false">IF(ISBLANK($C100),"",IF($AB100=Constants!$B$2,TRUE(),IF($AB100=Constants!$B$3,FALSE(),TRUE())))</f>
        <v/>
      </c>
      <c r="BH100" s="74" t="str">
        <f aca="false">IF(ISBLANK($C100),"",IF($AC100=Constants!$B$2,TRUE(),IF($AC100=Constants!$B$3,FALSE(),TRUE())))</f>
        <v/>
      </c>
      <c r="BI100" s="74" t="str">
        <f aca="false">IF(ISBLANK($C100),"",IF($AD100=Constants!$B$2,TRUE(),IF($AD100=Constants!$B$3,FALSE(),TRUE())))</f>
        <v/>
      </c>
      <c r="BJ100" s="74" t="str">
        <f aca="false">IF(ISBLANK($C100),"",IF(ISNUMBER($AE100),IF($AE100&gt;=0,$AE100,""),""))</f>
        <v/>
      </c>
      <c r="BK100" s="74" t="str">
        <f aca="false">IF(ISBLANK($C100),"",IF($AF100=Constants!$B$2,TRUE(),IF($AF100=Constants!$B$3,FALSE(),FALSE())))</f>
        <v/>
      </c>
      <c r="BL100" s="73" t="str">
        <f aca="false">IF(ISBLANK($C100),"",IF($BK100,Constants!$B$7,IF(COUNTA($E100:$AE100)=0,Constants!$B$6,IF(OR(COUNTA($G100:$AE100)=0,NOT($AM100),$AS100),Constants!$B$5,IF(OR($CM100&lt;&gt;"",$CN100,$CO100,$CP100,$CQ100,$CR100,$CS100),Constants!$B$8,Constants!$B$4)))))</f>
        <v/>
      </c>
      <c r="BM100" s="74" t="str">
        <f aca="false">IF(ISBLANK($C100),"",IF($BL100&lt;&gt;Constants!$B$4,$BL100,IF(OR(NOT($AJ100),NOT($AL100),NOT($AT100)),Constants!$B$11,IF(OR(NOT($AR100),NOT($AU100),NOT($BI100),MAX($AN100,$AO100,$AP100)&gt;Constants!$B$30),Constants!$B$10,Constants!$B$9))))</f>
        <v/>
      </c>
      <c r="BN100" s="74" t="str">
        <f aca="false">IF($BL100&lt;&gt;Constants!$B$4,"",IF(NOT($AL100),0,MIN(Constants!$B$35,$BF100)))</f>
        <v/>
      </c>
      <c r="BO100" s="74" t="str">
        <f aca="false">IF($BL100&lt;&gt;Constants!$B$4,"",IF(NOT($AL100),0,IF($AW100,Constants!$B$18,IF($AV100,Constants!$B$17,0))))</f>
        <v/>
      </c>
      <c r="BP100" s="74" t="str">
        <f aca="false">IF($BL100&lt;&gt;Constants!$B$4,"",IF(NOT($AL100),0,Constants!$B$19*($AK100+$AX100+$AY100+$AZ100)))</f>
        <v/>
      </c>
      <c r="BQ100" s="74" t="str">
        <f aca="false">IF($BL100&lt;&gt;Constants!$B$4,"",IF(OR(NOT($AL100),NOT(ISNUMBER($BA100))),0,CHOOSE($BA100,Constants!$B$13,Constants!$B$14,Constants!$B$15,Constants!$B$16)))</f>
        <v/>
      </c>
      <c r="BR100" s="74" t="str">
        <f aca="false">IF($BL100&lt;&gt;Constants!$B$4,"",IF(NOT($AL100),0,Constants!$B$20*$BB100))</f>
        <v/>
      </c>
      <c r="BS100" s="74" t="str">
        <f aca="false">IF($BL100&lt;&gt;Constants!$B$4,"",IF(AND($AL100,$BD100,$BE100),Constants!$B$22,0))</f>
        <v/>
      </c>
      <c r="BT100" s="74" t="str">
        <f aca="false">IF($BL100&lt;&gt;Constants!$B$4,"",IF(OR(NOT($AL100),NOT($BD100)),0,IF($BJ100&gt;=2*$AH$9,0,Constants!$B$23*INT(ROUND(MIN($BJ100,$AH$9),6)))))</f>
        <v/>
      </c>
      <c r="BU100" s="74" t="str">
        <f aca="false">IF($BL100&lt;&gt;Constants!$B$4,"",IF(NOT($AL100),0,Constants!$B$24*INT(ROUND(MIN($BC100,$AH$9),6))))</f>
        <v/>
      </c>
      <c r="BV100" s="74" t="str">
        <f aca="false">IF($BL100&lt;&gt;Constants!$B$4,"",IF(AND($AL100,$BN100=0),Constants!$B$25,0))</f>
        <v/>
      </c>
      <c r="BW100" s="74" t="str">
        <f aca="false">IF($BL100&lt;&gt;Constants!$B$4,"",MIN(Constants!$B$29,MAX(0,Constants!$B$27*Constants!$B$28*INT(ROUND((Constants!$B$26-$AN100)/Constants!$B$28,6))))+MIN(Constants!$B$29,MAX(0,Constants!$B$27*Constants!$B$28*INT(ROUND((Constants!$B$26-$AO100)/Constants!$B$28,6))))+MIN(Constants!$B$29,MAX(0,Constants!$B$27*Constants!$B$28*INT(ROUND((Constants!$B$26-$AP100)/Constants!$B$28,6)))))</f>
        <v/>
      </c>
      <c r="BX100" s="74" t="str">
        <f aca="false">IF($BL100&lt;&gt;Constants!$B$4,"",IF(NOT($AL100),0,Constants!$B$31*INT(ROUND(MAX(0,MIN($BJ100,2*$AH$9)-$AH$9),6))))</f>
        <v/>
      </c>
      <c r="BY100" s="74" t="str">
        <f aca="false">IF($BL100&lt;&gt;Constants!$B$4,"",Constants!$B$32*(($AN100&gt;Constants!$B$26)+($AO100&gt;Constants!$B$26)+($AP100&gt;Constants!$B$26)))</f>
        <v/>
      </c>
      <c r="BZ100" s="74" t="str">
        <f aca="false">IF($BL100&lt;&gt;Constants!$B$4,"",IF(OR(NOT($AL100),$AQ100),0,Constants!$B$33))</f>
        <v/>
      </c>
      <c r="CA100" s="74" t="str">
        <f aca="false">IF($BL100&lt;&gt;Constants!$B$4,"",Constants!$B$34*$BN100)</f>
        <v/>
      </c>
      <c r="CB100" s="74" t="str">
        <f aca="false">IF($BL100&lt;&gt;Constants!$B$4,"",IF(OR(NOT($AL100),$BH100),0,Constants!$B$36))</f>
        <v/>
      </c>
      <c r="CC100" s="74" t="str">
        <f aca="false">IF($BL100&lt;&gt;Constants!$B$4,"",IF(OR(NOT($AL100),$BG100),0,Constants!$B$37))</f>
        <v/>
      </c>
      <c r="CD100" s="74" t="str">
        <f aca="false">IF($BL100&lt;&gt;Constants!$B$4,"",SUM($BX100:$CC100))</f>
        <v/>
      </c>
      <c r="CE100" s="74" t="str">
        <f aca="false">IF(ISBLANK($C100),"",IF($BL100&lt;&gt;Constants!$B$4,$BL100,SUM($BO100:$BW100)-$CD100))</f>
        <v/>
      </c>
      <c r="CF100" s="74" t="str">
        <f aca="false">IF(ISBLANK($C100),"",IF($BL100&lt;&gt;Constants!$B$4,$BL100,RANK($CE100,$CE$9:$CE$508)))</f>
        <v/>
      </c>
      <c r="CG100" s="74" t="str">
        <f aca="false">IF(ISBLANK($C100),"",IF($BL100&lt;&gt;Constants!$B$4,$BL100,COUNTIFS($BM$9:$BM$508,"&lt;"&amp;$BM100)+COUNTIFS($BM$9:$BM$508,$BM100,$CF$9:$CF$508,"&lt;"&amp;$CF100)+1))</f>
        <v/>
      </c>
      <c r="CH100" s="74" t="str">
        <f aca="false">IF(ISBLANK($C100),"",IF($BL100&lt;&gt;Constants!$B$4,$BL100,RANK($CD100,$CD$9:$CD$508,1)))</f>
        <v/>
      </c>
      <c r="CI100" s="74" t="str">
        <f aca="false">IF($BL100&lt;&gt;Constants!$B$4,"",$AN100+$AO100+$AP100)</f>
        <v/>
      </c>
      <c r="CJ100" s="74" t="str">
        <f aca="false">IF(ISBLANK($C100),"",IF($BL100&lt;&gt;Constants!$B$4,$BL100,RANK($CI100,$CI$9:$CI$508,1)))</f>
        <v/>
      </c>
      <c r="CK100" s="74" t="str">
        <f aca="false">IF(ISBLANK($C100),"",IF($BL100&lt;&gt;Constants!$B$4,$BL100,COUNTIFS($BM$9:$BM$508,"&lt;"&amp;$BM100)+COUNTIFS($BM$9:$BM$508,$BM100,$CF$9:$CF$508,"&lt;"&amp;$CF100)+COUNTIFS($BM$9:$BM$508,$BM100,$CF$9:$CF$508,$CF100,$CH$9:$CH$508,"&lt;"&amp;$CH100)+COUNTIFS($BM$9:$BM$508,$BM100,$CF$9:$CF$508,$CF100,$CH$9:$CH$508,$CH100,$CJ$9:$CJ$508,"&lt;"&amp;$CJ100)+1))</f>
        <v/>
      </c>
      <c r="CL100" s="74" t="str">
        <f aca="false">IF(ISBLANK($C100),"",IF($BL100&lt;&gt;Constants!$B$4,$BL100,$CG100-$CK100))</f>
        <v/>
      </c>
      <c r="CM100" s="74" t="str">
        <f aca="false">IF(ISBLANK($C100),"",IF(NOT($AL100),"",IF(ISBLANK($D$7),$CM$5,IF(NOT(ISNUMBER($D$7)),$CM$6,""))))</f>
        <v/>
      </c>
      <c r="CN100" s="74" t="str">
        <f aca="false">IF(ISBLANK($C100),"",OR($AN100="",$AO100="",$AP100=""))</f>
        <v/>
      </c>
      <c r="CO100" s="74" t="str">
        <f aca="false">IF(ISBLANK($C100),"",AND($AL100,$BA100=""))</f>
        <v/>
      </c>
      <c r="CP100" s="74" t="str">
        <f aca="false">IF(ISBLANK($C100),"",AND($AL100,$BB100=""))</f>
        <v/>
      </c>
      <c r="CQ100" s="74" t="str">
        <f aca="false">IF(ISBLANK($C100),"",AND($AL100,$BC100=""))</f>
        <v/>
      </c>
      <c r="CR100" s="74" t="str">
        <f aca="false">IF(ISBLANK($C100),"",AND($AL100,$BF100=""))</f>
        <v/>
      </c>
      <c r="CS100" s="74" t="str">
        <f aca="false">IF(ISBLANK($C100),"",AND($AL100,$BJ100=""))</f>
        <v/>
      </c>
      <c r="CT100" s="75"/>
      <c r="CU100" s="76"/>
      <c r="CV100" s="79" t="str">
        <f aca="false">IF(ISBLANK($C100),"",IF($BL100=Constants!$B$8,$CM100,""))</f>
        <v/>
      </c>
      <c r="CW100" s="76" t="str">
        <f aca="false">IF(ISBLANK($C100),"",IF($BL100&lt;&gt;Constants!$B$4,"",$BO100+$BP100))</f>
        <v/>
      </c>
      <c r="CX100" s="78" t="str">
        <f aca="false">IF(ISBLANK($C100),"",IF($BL100&lt;&gt;Constants!$B$4,"",$BQ100+$BR100+$BS100))</f>
        <v/>
      </c>
      <c r="CY100" s="78" t="str">
        <f aca="false">IF(ISBLANK($C100),"",IF($BL100&lt;&gt;Constants!$B$4,"",$BT100))</f>
        <v/>
      </c>
      <c r="CZ100" s="78" t="str">
        <f aca="false">IF(ISBLANK($C100),"",IF($BL100&lt;&gt;Constants!$B$4,"",$BU100+$BV100))</f>
        <v/>
      </c>
      <c r="DA100" s="78" t="str">
        <f aca="false">IF(ISBLANK($C100),"",IF($BL100&lt;&gt;Constants!$B$4,"",$BW100))</f>
        <v/>
      </c>
      <c r="DB100" s="78" t="str">
        <f aca="false">IF(ISBLANK($C100),"",IF($BL100&lt;&gt;Constants!$B$4,"",-$CD100))</f>
        <v/>
      </c>
      <c r="DC100" s="79" t="str">
        <f aca="false">IF(ISBLANK($C100),"",$CE100)</f>
        <v/>
      </c>
      <c r="DD100" s="80" t="str">
        <f aca="false">IF(ISBLANK($C100),"",$BM100)</f>
        <v/>
      </c>
      <c r="DE100" s="78" t="str">
        <f aca="false">IF(ISBLANK($C100),"",$CL100)</f>
        <v/>
      </c>
      <c r="DF100" s="78" t="str">
        <f aca="false">IF(ISBLANK($C100),"",$CK100)</f>
        <v/>
      </c>
      <c r="DG100" s="81" t="str">
        <f aca="false">IF(ISBLANK($C100),"",IF($DF100=Constants!$B$7,COUNTA($C$9:$C$508)+2,IF($DF100=Constants!$B$6,COUNTA($C$9:$C$508)+1,IF($DF100=Constants!$B$5,COUNTA($C$9:$C$508),$DF100))))</f>
        <v/>
      </c>
      <c r="DH100" s="7"/>
      <c r="DI100" s="82" t="n">
        <f aca="false">IF(OR(ISNUMBER($DF100),$DF100=Constants!$B$7,$DF100=Constants!$B$5,$DF100=Constants!$B$6),1,0)</f>
        <v>0</v>
      </c>
      <c r="DJ100" s="82" t="n">
        <v>92</v>
      </c>
      <c r="DK100" s="82" t="str">
        <f aca="false">IF(ISBLANK($C100),"",IF(ISNUMBER($DG100),$DG100+ROW($B100)/1000,""))</f>
        <v/>
      </c>
      <c r="DL100" s="82" t="str">
        <f aca="false">IF(ISNUMBER($DK100),RANK($DK100,$DK$9:$DK$508,1),"")</f>
        <v/>
      </c>
      <c r="DM100" s="82" t="str">
        <f aca="false">IF(ISBLANK($C100),"",$B100)</f>
        <v/>
      </c>
      <c r="DN100" s="82" t="str">
        <f aca="false">IF(ISBLANK($C100),"",$C100)</f>
        <v/>
      </c>
      <c r="DO100" s="82" t="str">
        <f aca="false">IF(ISBLANK($C100),"",$D100)</f>
        <v/>
      </c>
      <c r="DP100" s="83" t="str">
        <f aca="false">$DD100</f>
        <v/>
      </c>
      <c r="DQ100" s="84" t="str">
        <f aca="false">$DC100</f>
        <v/>
      </c>
      <c r="DR100" s="82" t="str">
        <f aca="false">IF(ISBLANK($C100),"",$DF100)</f>
        <v/>
      </c>
      <c r="DS100" s="85" t="str">
        <f aca="false">IF($DJ100&gt;$DI$8,"",VLOOKUP($DJ100,$DL$9:$DR$508,7,FALSE()))</f>
        <v/>
      </c>
      <c r="DT100" s="86" t="str">
        <f aca="false">IF($DJ100&gt;$DI$8,"",VLOOKUP($DJ100,$DL$9:$DR$508,2,FALSE()))</f>
        <v/>
      </c>
      <c r="DU100" s="86" t="str">
        <f aca="false">IF($DJ100&gt;$DI$8,"",VLOOKUP($DJ100,$DL$9:$DR$508,3,FALSE()))</f>
        <v/>
      </c>
      <c r="DV100" s="86" t="str">
        <f aca="false">IF($DJ100&gt;$DI$8,"",VLOOKUP($DJ100,$DL$9:$DR$508,4,FALSE()))</f>
        <v/>
      </c>
      <c r="DW100" s="86" t="str">
        <f aca="false">IF($DJ100&gt;$DI$8,"",VLOOKUP($DJ100,$DL$9:$DR$508,5,FALSE()))</f>
        <v/>
      </c>
      <c r="DX100" s="87" t="str">
        <f aca="false">IF($DJ100&gt;$DI$8,"",VLOOKUP($DJ100,$DL$9:$DR$508,6,FALSE()))</f>
        <v/>
      </c>
      <c r="DY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88"/>
      <c r="N101" s="88"/>
      <c r="O101" s="134"/>
      <c r="P101" s="134"/>
      <c r="Q101" s="88"/>
      <c r="R101" s="88"/>
      <c r="S101" s="88"/>
      <c r="T101" s="88"/>
      <c r="U101" s="134"/>
      <c r="V101" s="88"/>
      <c r="W101" s="70"/>
      <c r="X101" s="88"/>
      <c r="Y101" s="88"/>
      <c r="Z101" s="70"/>
      <c r="AA101" s="70"/>
      <c r="AB101" s="88"/>
      <c r="AC101" s="88"/>
      <c r="AD101" s="88"/>
      <c r="AE101" s="71"/>
      <c r="AF101" s="88"/>
      <c r="AG101" s="73"/>
      <c r="AH101" s="74"/>
      <c r="AI101" s="74"/>
      <c r="AJ101" s="74" t="str">
        <f aca="false">IF(ISBLANK($C101),"",IF($E101=Constants!$B$2,TRUE(),IF($E101=Constants!$B$3,FALSE(),TRUE())))</f>
        <v/>
      </c>
      <c r="AK101" s="74" t="str">
        <f aca="false">IF(ISBLANK($C101),"",IF($F101=Constants!$B$2,TRUE(),IF($F101=Constants!$B$3,FALSE(),FALSE())))</f>
        <v/>
      </c>
      <c r="AL101" s="74" t="str">
        <f aca="false">IF(ISBLANK($C101),"",IF($G101=Constants!$B$2,TRUE(),IF($G101=Constants!$B$3,FALSE(),TRUE())))</f>
        <v/>
      </c>
      <c r="AM101" s="74" t="str">
        <f aca="false">IF(ISBLANK($C101),"",IF($H101=Constants!$B$2,TRUE(),IF($H101=Constants!$B$3,FALSE(),TRUE())))</f>
        <v/>
      </c>
      <c r="AN101" s="74" t="str">
        <f aca="false">IF(ISBLANK($C101),"",IF(ISNUMBER($I101),IF($I101&gt;=0,$I101,""),""))</f>
        <v/>
      </c>
      <c r="AO101" s="74" t="str">
        <f aca="false">IF(ISBLANK($C101),"",IF(ISNUMBER($J101),IF($J101&gt;=0,$J101,""),""))</f>
        <v/>
      </c>
      <c r="AP101" s="74" t="str">
        <f aca="false">IF(ISBLANK($C101),"",IF(ISNUMBER($K101),IF($K101&gt;=0,$K101,""),""))</f>
        <v/>
      </c>
      <c r="AQ101" s="74" t="str">
        <f aca="false">IF(ISBLANK($C101),"",IF($L101=Constants!$B$2,TRUE(),IF($L101=Constants!$B$3,FALSE(),TRUE())))</f>
        <v/>
      </c>
      <c r="AR101" s="74" t="str">
        <f aca="false">IF(ISBLANK($C101),"",IF($M101=Constants!$B$2,TRUE(),IF($M101=Constants!$B$3,FALSE(),TRUE())))</f>
        <v/>
      </c>
      <c r="AS101" s="74" t="str">
        <f aca="false">IF(ISBLANK($C101),"",IF($N101=Constants!$B$2,TRUE(),IF($N101=Constants!$B$3,FALSE(),FALSE())))</f>
        <v/>
      </c>
      <c r="AT101" s="74" t="str">
        <f aca="false">IF(ISBLANK($C101),"",IF($O101=Constants!$B$2,TRUE(),IF($O101=Constants!$B$3,FALSE(),TRUE())))</f>
        <v/>
      </c>
      <c r="AU101" s="74" t="str">
        <f aca="false">IF(ISBLANK($C101),"",IF($P101=Constants!$B$2,TRUE(),IF($P101=Constants!$B$3,FALSE(),TRUE())))</f>
        <v/>
      </c>
      <c r="AV101" s="74" t="str">
        <f aca="false">IF(ISBLANK($C101),"",IF($Q101=Constants!$B$2,TRUE(),IF($Q101=Constants!$B$3,FALSE(),FALSE())))</f>
        <v/>
      </c>
      <c r="AW101" s="74" t="str">
        <f aca="false">IF(ISBLANK($C101),"",IF($R101=Constants!$B$2,TRUE(),IF($R101=Constants!$B$3,FALSE(),FALSE())))</f>
        <v/>
      </c>
      <c r="AX101" s="74" t="str">
        <f aca="false">IF(ISBLANK($C101),"",IF($S101=Constants!$B$2,TRUE(),IF($S101=Constants!$B$3,FALSE(),FALSE())))</f>
        <v/>
      </c>
      <c r="AY101" s="74" t="str">
        <f aca="false">IF(ISBLANK($C101),"",IF($T101=Constants!$B$2,TRUE(),IF($T101=Constants!$B$3,FALSE(),FALSE())))</f>
        <v/>
      </c>
      <c r="AZ101" s="74" t="str">
        <f aca="false">IF(ISBLANK($C101),"",IF($U101=Constants!$B$2,TRUE(),IF($U101=Constants!$B$3,FALSE(),FALSE())))</f>
        <v/>
      </c>
      <c r="BA101" s="74" t="str">
        <f aca="false">IF(ISBLANK($C101),"",IF(OR($V101&amp;""="1",$V101&amp;""="2",$V101&amp;""="3",$V101&amp;""="4"),VALUE($V101&amp;""),IF($V101=Constants!$B$12,Constants!$B$12,"")))</f>
        <v/>
      </c>
      <c r="BB101" s="74" t="str">
        <f aca="false">IF(ISBLANK($C101),"",IF(ISBLANK($W101),0,IF(ISNUMBER($W101),IF(AND($W101&gt;=0,$W101&lt;=Constants!$B$21,$W101=INT($W101)),$W101,""),"")))</f>
        <v/>
      </c>
      <c r="BC101" s="74" t="str">
        <f aca="false">IF(ISBLANK($C101),"",IF(ISBLANK($X101),0,IF(ISNUMBER($X101),IF($X101&gt;=0,$X101,""),"")))</f>
        <v/>
      </c>
      <c r="BD101" s="74" t="str">
        <f aca="false">IF(ISBLANK($C101),"",IF($Y101=Constants!$B$2,TRUE(),IF($Y101=Constants!$B$3,FALSE(),TRUE())))</f>
        <v/>
      </c>
      <c r="BE101" s="74" t="str">
        <f aca="false">IF(ISBLANK($C101),"",IF($Z101=Constants!$B$2,TRUE(),IF($Z101=Constants!$B$3,FALSE(),FALSE())))</f>
        <v/>
      </c>
      <c r="BF101" s="74" t="str">
        <f aca="false">IF(ISBLANK($C101),"",IF(ISBLANK($AA101),0,IF(ISNUMBER($AA101),IF(AND($AA101&gt;=0,$AA101&lt;=Constants!$B$35,$AA101=INT($AA101)),$AA101,""),"")))</f>
        <v/>
      </c>
      <c r="BG101" s="74" t="str">
        <f aca="false">IF(ISBLANK($C101),"",IF($AB101=Constants!$B$2,TRUE(),IF($AB101=Constants!$B$3,FALSE(),TRUE())))</f>
        <v/>
      </c>
      <c r="BH101" s="74" t="str">
        <f aca="false">IF(ISBLANK($C101),"",IF($AC101=Constants!$B$2,TRUE(),IF($AC101=Constants!$B$3,FALSE(),TRUE())))</f>
        <v/>
      </c>
      <c r="BI101" s="74" t="str">
        <f aca="false">IF(ISBLANK($C101),"",IF($AD101=Constants!$B$2,TRUE(),IF($AD101=Constants!$B$3,FALSE(),TRUE())))</f>
        <v/>
      </c>
      <c r="BJ101" s="74" t="str">
        <f aca="false">IF(ISBLANK($C101),"",IF(ISNUMBER($AE101),IF($AE101&gt;=0,$AE101,""),""))</f>
        <v/>
      </c>
      <c r="BK101" s="74" t="str">
        <f aca="false">IF(ISBLANK($C101),"",IF($AF101=Constants!$B$2,TRUE(),IF($AF101=Constants!$B$3,FALSE(),FALSE())))</f>
        <v/>
      </c>
      <c r="BL101" s="73" t="str">
        <f aca="false">IF(ISBLANK($C101),"",IF($BK101,Constants!$B$7,IF(COUNTA($E101:$AE101)=0,Constants!$B$6,IF(OR(COUNTA($G101:$AE101)=0,NOT($AM101),$AS101),Constants!$B$5,IF(OR($CM101&lt;&gt;"",$CN101,$CO101,$CP101,$CQ101,$CR101,$CS101),Constants!$B$8,Constants!$B$4)))))</f>
        <v/>
      </c>
      <c r="BM101" s="74" t="str">
        <f aca="false">IF(ISBLANK($C101),"",IF($BL101&lt;&gt;Constants!$B$4,$BL101,IF(OR(NOT($AJ101),NOT($AL101),NOT($AT101)),Constants!$B$11,IF(OR(NOT($AR101),NOT($AU101),NOT($BI101),MAX($AN101,$AO101,$AP101)&gt;Constants!$B$30),Constants!$B$10,Constants!$B$9))))</f>
        <v/>
      </c>
      <c r="BN101" s="74" t="str">
        <f aca="false">IF($BL101&lt;&gt;Constants!$B$4,"",IF(NOT($AL101),0,MIN(Constants!$B$35,$BF101)))</f>
        <v/>
      </c>
      <c r="BO101" s="74" t="str">
        <f aca="false">IF($BL101&lt;&gt;Constants!$B$4,"",IF(NOT($AL101),0,IF($AW101,Constants!$B$18,IF($AV101,Constants!$B$17,0))))</f>
        <v/>
      </c>
      <c r="BP101" s="74" t="str">
        <f aca="false">IF($BL101&lt;&gt;Constants!$B$4,"",IF(NOT($AL101),0,Constants!$B$19*($AK101+$AX101+$AY101+$AZ101)))</f>
        <v/>
      </c>
      <c r="BQ101" s="74" t="str">
        <f aca="false">IF($BL101&lt;&gt;Constants!$B$4,"",IF(OR(NOT($AL101),NOT(ISNUMBER($BA101))),0,CHOOSE($BA101,Constants!$B$13,Constants!$B$14,Constants!$B$15,Constants!$B$16)))</f>
        <v/>
      </c>
      <c r="BR101" s="74" t="str">
        <f aca="false">IF($BL101&lt;&gt;Constants!$B$4,"",IF(NOT($AL101),0,Constants!$B$20*$BB101))</f>
        <v/>
      </c>
      <c r="BS101" s="74" t="str">
        <f aca="false">IF($BL101&lt;&gt;Constants!$B$4,"",IF(AND($AL101,$BD101,$BE101),Constants!$B$22,0))</f>
        <v/>
      </c>
      <c r="BT101" s="74" t="str">
        <f aca="false">IF($BL101&lt;&gt;Constants!$B$4,"",IF(OR(NOT($AL101),NOT($BD101)),0,IF($BJ101&gt;=2*$AH$9,0,Constants!$B$23*INT(ROUND(MIN($BJ101,$AH$9),6)))))</f>
        <v/>
      </c>
      <c r="BU101" s="74" t="str">
        <f aca="false">IF($BL101&lt;&gt;Constants!$B$4,"",IF(NOT($AL101),0,Constants!$B$24*INT(ROUND(MIN($BC101,$AH$9),6))))</f>
        <v/>
      </c>
      <c r="BV101" s="74" t="str">
        <f aca="false">IF($BL101&lt;&gt;Constants!$B$4,"",IF(AND($AL101,$BN101=0),Constants!$B$25,0))</f>
        <v/>
      </c>
      <c r="BW101" s="74" t="str">
        <f aca="false">IF($BL101&lt;&gt;Constants!$B$4,"",MIN(Constants!$B$29,MAX(0,Constants!$B$27*Constants!$B$28*INT(ROUND((Constants!$B$26-$AN101)/Constants!$B$28,6))))+MIN(Constants!$B$29,MAX(0,Constants!$B$27*Constants!$B$28*INT(ROUND((Constants!$B$26-$AO101)/Constants!$B$28,6))))+MIN(Constants!$B$29,MAX(0,Constants!$B$27*Constants!$B$28*INT(ROUND((Constants!$B$26-$AP101)/Constants!$B$28,6)))))</f>
        <v/>
      </c>
      <c r="BX101" s="74" t="str">
        <f aca="false">IF($BL101&lt;&gt;Constants!$B$4,"",IF(NOT($AL101),0,Constants!$B$31*INT(ROUND(MAX(0,MIN($BJ101,2*$AH$9)-$AH$9),6))))</f>
        <v/>
      </c>
      <c r="BY101" s="74" t="str">
        <f aca="false">IF($BL101&lt;&gt;Constants!$B$4,"",Constants!$B$32*(($AN101&gt;Constants!$B$26)+($AO101&gt;Constants!$B$26)+($AP101&gt;Constants!$B$26)))</f>
        <v/>
      </c>
      <c r="BZ101" s="74" t="str">
        <f aca="false">IF($BL101&lt;&gt;Constants!$B$4,"",IF(OR(NOT($AL101),$AQ101),0,Constants!$B$33))</f>
        <v/>
      </c>
      <c r="CA101" s="74" t="str">
        <f aca="false">IF($BL101&lt;&gt;Constants!$B$4,"",Constants!$B$34*$BN101)</f>
        <v/>
      </c>
      <c r="CB101" s="74" t="str">
        <f aca="false">IF($BL101&lt;&gt;Constants!$B$4,"",IF(OR(NOT($AL101),$BH101),0,Constants!$B$36))</f>
        <v/>
      </c>
      <c r="CC101" s="74" t="str">
        <f aca="false">IF($BL101&lt;&gt;Constants!$B$4,"",IF(OR(NOT($AL101),$BG101),0,Constants!$B$37))</f>
        <v/>
      </c>
      <c r="CD101" s="74" t="str">
        <f aca="false">IF($BL101&lt;&gt;Constants!$B$4,"",SUM($BX101:$CC101))</f>
        <v/>
      </c>
      <c r="CE101" s="74" t="str">
        <f aca="false">IF(ISBLANK($C101),"",IF($BL101&lt;&gt;Constants!$B$4,$BL101,SUM($BO101:$BW101)-$CD101))</f>
        <v/>
      </c>
      <c r="CF101" s="74" t="str">
        <f aca="false">IF(ISBLANK($C101),"",IF($BL101&lt;&gt;Constants!$B$4,$BL101,RANK($CE101,$CE$9:$CE$508)))</f>
        <v/>
      </c>
      <c r="CG101" s="74" t="str">
        <f aca="false">IF(ISBLANK($C101),"",IF($BL101&lt;&gt;Constants!$B$4,$BL101,COUNTIFS($BM$9:$BM$508,"&lt;"&amp;$BM101)+COUNTIFS($BM$9:$BM$508,$BM101,$CF$9:$CF$508,"&lt;"&amp;$CF101)+1))</f>
        <v/>
      </c>
      <c r="CH101" s="74" t="str">
        <f aca="false">IF(ISBLANK($C101),"",IF($BL101&lt;&gt;Constants!$B$4,$BL101,RANK($CD101,$CD$9:$CD$508,1)))</f>
        <v/>
      </c>
      <c r="CI101" s="74" t="str">
        <f aca="false">IF($BL101&lt;&gt;Constants!$B$4,"",$AN101+$AO101+$AP101)</f>
        <v/>
      </c>
      <c r="CJ101" s="74" t="str">
        <f aca="false">IF(ISBLANK($C101),"",IF($BL101&lt;&gt;Constants!$B$4,$BL101,RANK($CI101,$CI$9:$CI$508,1)))</f>
        <v/>
      </c>
      <c r="CK101" s="74" t="str">
        <f aca="false">IF(ISBLANK($C101),"",IF($BL101&lt;&gt;Constants!$B$4,$BL101,COUNTIFS($BM$9:$BM$508,"&lt;"&amp;$BM101)+COUNTIFS($BM$9:$BM$508,$BM101,$CF$9:$CF$508,"&lt;"&amp;$CF101)+COUNTIFS($BM$9:$BM$508,$BM101,$CF$9:$CF$508,$CF101,$CH$9:$CH$508,"&lt;"&amp;$CH101)+COUNTIFS($BM$9:$BM$508,$BM101,$CF$9:$CF$508,$CF101,$CH$9:$CH$508,$CH101,$CJ$9:$CJ$508,"&lt;"&amp;$CJ101)+1))</f>
        <v/>
      </c>
      <c r="CL101" s="74" t="str">
        <f aca="false">IF(ISBLANK($C101),"",IF($BL101&lt;&gt;Constants!$B$4,$BL101,$CG101-$CK101))</f>
        <v/>
      </c>
      <c r="CM101" s="74" t="str">
        <f aca="false">IF(ISBLANK($C101),"",IF(NOT($AL101),"",IF(ISBLANK($D$7),$CM$5,IF(NOT(ISNUMBER($D$7)),$CM$6,""))))</f>
        <v/>
      </c>
      <c r="CN101" s="74" t="str">
        <f aca="false">IF(ISBLANK($C101),"",OR($AN101="",$AO101="",$AP101=""))</f>
        <v/>
      </c>
      <c r="CO101" s="74" t="str">
        <f aca="false">IF(ISBLANK($C101),"",AND($AL101,$BA101=""))</f>
        <v/>
      </c>
      <c r="CP101" s="74" t="str">
        <f aca="false">IF(ISBLANK($C101),"",AND($AL101,$BB101=""))</f>
        <v/>
      </c>
      <c r="CQ101" s="74" t="str">
        <f aca="false">IF(ISBLANK($C101),"",AND($AL101,$BC101=""))</f>
        <v/>
      </c>
      <c r="CR101" s="74" t="str">
        <f aca="false">IF(ISBLANK($C101),"",AND($AL101,$BF101=""))</f>
        <v/>
      </c>
      <c r="CS101" s="74" t="str">
        <f aca="false">IF(ISBLANK($C101),"",AND($AL101,$BJ101=""))</f>
        <v/>
      </c>
      <c r="CT101" s="75"/>
      <c r="CU101" s="76"/>
      <c r="CV101" s="79" t="str">
        <f aca="false">IF(ISBLANK($C101),"",IF($BL101=Constants!$B$8,$CM101,""))</f>
        <v/>
      </c>
      <c r="CW101" s="76" t="str">
        <f aca="false">IF(ISBLANK($C101),"",IF($BL101&lt;&gt;Constants!$B$4,"",$BO101+$BP101))</f>
        <v/>
      </c>
      <c r="CX101" s="78" t="str">
        <f aca="false">IF(ISBLANK($C101),"",IF($BL101&lt;&gt;Constants!$B$4,"",$BQ101+$BR101+$BS101))</f>
        <v/>
      </c>
      <c r="CY101" s="78" t="str">
        <f aca="false">IF(ISBLANK($C101),"",IF($BL101&lt;&gt;Constants!$B$4,"",$BT101))</f>
        <v/>
      </c>
      <c r="CZ101" s="78" t="str">
        <f aca="false">IF(ISBLANK($C101),"",IF($BL101&lt;&gt;Constants!$B$4,"",$BU101+$BV101))</f>
        <v/>
      </c>
      <c r="DA101" s="78" t="str">
        <f aca="false">IF(ISBLANK($C101),"",IF($BL101&lt;&gt;Constants!$B$4,"",$BW101))</f>
        <v/>
      </c>
      <c r="DB101" s="78" t="str">
        <f aca="false">IF(ISBLANK($C101),"",IF($BL101&lt;&gt;Constants!$B$4,"",-$CD101))</f>
        <v/>
      </c>
      <c r="DC101" s="79" t="str">
        <f aca="false">IF(ISBLANK($C101),"",$CE101)</f>
        <v/>
      </c>
      <c r="DD101" s="80" t="str">
        <f aca="false">IF(ISBLANK($C101),"",$BM101)</f>
        <v/>
      </c>
      <c r="DE101" s="78" t="str">
        <f aca="false">IF(ISBLANK($C101),"",$CL101)</f>
        <v/>
      </c>
      <c r="DF101" s="78" t="str">
        <f aca="false">IF(ISBLANK($C101),"",$CK101)</f>
        <v/>
      </c>
      <c r="DG101" s="81" t="str">
        <f aca="false">IF(ISBLANK($C101),"",IF($DF101=Constants!$B$7,COUNTA($C$9:$C$508)+2,IF($DF101=Constants!$B$6,COUNTA($C$9:$C$508)+1,IF($DF101=Constants!$B$5,COUNTA($C$9:$C$508),$DF101))))</f>
        <v/>
      </c>
      <c r="DH101" s="7"/>
      <c r="DI101" s="82" t="n">
        <f aca="false">IF(OR(ISNUMBER($DF101),$DF101=Constants!$B$7,$DF101=Constants!$B$5,$DF101=Constants!$B$6),1,0)</f>
        <v>0</v>
      </c>
      <c r="DJ101" s="82" t="n">
        <v>93</v>
      </c>
      <c r="DK101" s="82" t="str">
        <f aca="false">IF(ISBLANK($C101),"",IF(ISNUMBER($DG101),$DG101+ROW($B101)/1000,""))</f>
        <v/>
      </c>
      <c r="DL101" s="82" t="str">
        <f aca="false">IF(ISNUMBER($DK101),RANK($DK101,$DK$9:$DK$508,1),"")</f>
        <v/>
      </c>
      <c r="DM101" s="82" t="str">
        <f aca="false">IF(ISBLANK($C101),"",$B101)</f>
        <v/>
      </c>
      <c r="DN101" s="82" t="str">
        <f aca="false">IF(ISBLANK($C101),"",$C101)</f>
        <v/>
      </c>
      <c r="DO101" s="82" t="str">
        <f aca="false">IF(ISBLANK($C101),"",$D101)</f>
        <v/>
      </c>
      <c r="DP101" s="83" t="str">
        <f aca="false">$DD101</f>
        <v/>
      </c>
      <c r="DQ101" s="84" t="str">
        <f aca="false">$DC101</f>
        <v/>
      </c>
      <c r="DR101" s="82" t="str">
        <f aca="false">IF(ISBLANK($C101),"",$DF101)</f>
        <v/>
      </c>
      <c r="DS101" s="85" t="str">
        <f aca="false">IF($DJ101&gt;$DI$8,"",VLOOKUP($DJ101,$DL$9:$DR$508,7,FALSE()))</f>
        <v/>
      </c>
      <c r="DT101" s="86" t="str">
        <f aca="false">IF($DJ101&gt;$DI$8,"",VLOOKUP($DJ101,$DL$9:$DR$508,2,FALSE()))</f>
        <v/>
      </c>
      <c r="DU101" s="86" t="str">
        <f aca="false">IF($DJ101&gt;$DI$8,"",VLOOKUP($DJ101,$DL$9:$DR$508,3,FALSE()))</f>
        <v/>
      </c>
      <c r="DV101" s="86" t="str">
        <f aca="false">IF($DJ101&gt;$DI$8,"",VLOOKUP($DJ101,$DL$9:$DR$508,4,FALSE()))</f>
        <v/>
      </c>
      <c r="DW101" s="86" t="str">
        <f aca="false">IF($DJ101&gt;$DI$8,"",VLOOKUP($DJ101,$DL$9:$DR$508,5,FALSE()))</f>
        <v/>
      </c>
      <c r="DX101" s="87" t="str">
        <f aca="false">IF($DJ101&gt;$DI$8,"",VLOOKUP($DJ101,$DL$9:$DR$508,6,FALSE()))</f>
        <v/>
      </c>
      <c r="DY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130"/>
      <c r="N102" s="130"/>
      <c r="O102" s="135"/>
      <c r="P102" s="135"/>
      <c r="Q102" s="130"/>
      <c r="R102" s="130"/>
      <c r="S102" s="130"/>
      <c r="T102" s="130"/>
      <c r="U102" s="135"/>
      <c r="V102" s="130"/>
      <c r="W102" s="96"/>
      <c r="X102" s="130"/>
      <c r="Y102" s="130"/>
      <c r="Z102" s="96"/>
      <c r="AA102" s="96"/>
      <c r="AB102" s="130"/>
      <c r="AC102" s="130"/>
      <c r="AD102" s="130"/>
      <c r="AE102" s="97"/>
      <c r="AF102" s="130"/>
      <c r="AG102" s="99"/>
      <c r="AH102" s="100"/>
      <c r="AI102" s="100"/>
      <c r="AJ102" s="100" t="str">
        <f aca="false">IF(ISBLANK($C102),"",IF($E102=Constants!$B$2,TRUE(),IF($E102=Constants!$B$3,FALSE(),TRUE())))</f>
        <v/>
      </c>
      <c r="AK102" s="100" t="str">
        <f aca="false">IF(ISBLANK($C102),"",IF($F102=Constants!$B$2,TRUE(),IF($F102=Constants!$B$3,FALSE(),FALSE())))</f>
        <v/>
      </c>
      <c r="AL102" s="100" t="str">
        <f aca="false">IF(ISBLANK($C102),"",IF($G102=Constants!$B$2,TRUE(),IF($G102=Constants!$B$3,FALSE(),TRUE())))</f>
        <v/>
      </c>
      <c r="AM102" s="100" t="str">
        <f aca="false">IF(ISBLANK($C102),"",IF($H102=Constants!$B$2,TRUE(),IF($H102=Constants!$B$3,FALSE(),TRUE())))</f>
        <v/>
      </c>
      <c r="AN102" s="100" t="str">
        <f aca="false">IF(ISBLANK($C102),"",IF(ISNUMBER($I102),IF($I102&gt;=0,$I102,""),""))</f>
        <v/>
      </c>
      <c r="AO102" s="100" t="str">
        <f aca="false">IF(ISBLANK($C102),"",IF(ISNUMBER($J102),IF($J102&gt;=0,$J102,""),""))</f>
        <v/>
      </c>
      <c r="AP102" s="100" t="str">
        <f aca="false">IF(ISBLANK($C102),"",IF(ISNUMBER($K102),IF($K102&gt;=0,$K102,""),""))</f>
        <v/>
      </c>
      <c r="AQ102" s="100" t="str">
        <f aca="false">IF(ISBLANK($C102),"",IF($L102=Constants!$B$2,TRUE(),IF($L102=Constants!$B$3,FALSE(),TRUE())))</f>
        <v/>
      </c>
      <c r="AR102" s="100" t="str">
        <f aca="false">IF(ISBLANK($C102),"",IF($M102=Constants!$B$2,TRUE(),IF($M102=Constants!$B$3,FALSE(),TRUE())))</f>
        <v/>
      </c>
      <c r="AS102" s="100" t="str">
        <f aca="false">IF(ISBLANK($C102),"",IF($N102=Constants!$B$2,TRUE(),IF($N102=Constants!$B$3,FALSE(),FALSE())))</f>
        <v/>
      </c>
      <c r="AT102" s="100" t="str">
        <f aca="false">IF(ISBLANK($C102),"",IF($O102=Constants!$B$2,TRUE(),IF($O102=Constants!$B$3,FALSE(),TRUE())))</f>
        <v/>
      </c>
      <c r="AU102" s="100" t="str">
        <f aca="false">IF(ISBLANK($C102),"",IF($P102=Constants!$B$2,TRUE(),IF($P102=Constants!$B$3,FALSE(),TRUE())))</f>
        <v/>
      </c>
      <c r="AV102" s="100" t="str">
        <f aca="false">IF(ISBLANK($C102),"",IF($Q102=Constants!$B$2,TRUE(),IF($Q102=Constants!$B$3,FALSE(),FALSE())))</f>
        <v/>
      </c>
      <c r="AW102" s="100" t="str">
        <f aca="false">IF(ISBLANK($C102),"",IF($R102=Constants!$B$2,TRUE(),IF($R102=Constants!$B$3,FALSE(),FALSE())))</f>
        <v/>
      </c>
      <c r="AX102" s="100" t="str">
        <f aca="false">IF(ISBLANK($C102),"",IF($S102=Constants!$B$2,TRUE(),IF($S102=Constants!$B$3,FALSE(),FALSE())))</f>
        <v/>
      </c>
      <c r="AY102" s="100" t="str">
        <f aca="false">IF(ISBLANK($C102),"",IF($T102=Constants!$B$2,TRUE(),IF($T102=Constants!$B$3,FALSE(),FALSE())))</f>
        <v/>
      </c>
      <c r="AZ102" s="100" t="str">
        <f aca="false">IF(ISBLANK($C102),"",IF($U102=Constants!$B$2,TRUE(),IF($U102=Constants!$B$3,FALSE(),FALSE())))</f>
        <v/>
      </c>
      <c r="BA102" s="100" t="str">
        <f aca="false">IF(ISBLANK($C102),"",IF(OR($V102&amp;""="1",$V102&amp;""="2",$V102&amp;""="3",$V102&amp;""="4"),VALUE($V102&amp;""),IF($V102=Constants!$B$12,Constants!$B$12,"")))</f>
        <v/>
      </c>
      <c r="BB102" s="100" t="str">
        <f aca="false">IF(ISBLANK($C102),"",IF(ISBLANK($W102),0,IF(ISNUMBER($W102),IF(AND($W102&gt;=0,$W102&lt;=Constants!$B$21,$W102=INT($W102)),$W102,""),"")))</f>
        <v/>
      </c>
      <c r="BC102" s="100" t="str">
        <f aca="false">IF(ISBLANK($C102),"",IF(ISBLANK($X102),0,IF(ISNUMBER($X102),IF($X102&gt;=0,$X102,""),"")))</f>
        <v/>
      </c>
      <c r="BD102" s="100" t="str">
        <f aca="false">IF(ISBLANK($C102),"",IF($Y102=Constants!$B$2,TRUE(),IF($Y102=Constants!$B$3,FALSE(),TRUE())))</f>
        <v/>
      </c>
      <c r="BE102" s="100" t="str">
        <f aca="false">IF(ISBLANK($C102),"",IF($Z102=Constants!$B$2,TRUE(),IF($Z102=Constants!$B$3,FALSE(),FALSE())))</f>
        <v/>
      </c>
      <c r="BF102" s="100" t="str">
        <f aca="false">IF(ISBLANK($C102),"",IF(ISBLANK($AA102),0,IF(ISNUMBER($AA102),IF(AND($AA102&gt;=0,$AA102&lt;=Constants!$B$35,$AA102=INT($AA102)),$AA102,""),"")))</f>
        <v/>
      </c>
      <c r="BG102" s="100" t="str">
        <f aca="false">IF(ISBLANK($C102),"",IF($AB102=Constants!$B$2,TRUE(),IF($AB102=Constants!$B$3,FALSE(),TRUE())))</f>
        <v/>
      </c>
      <c r="BH102" s="100" t="str">
        <f aca="false">IF(ISBLANK($C102),"",IF($AC102=Constants!$B$2,TRUE(),IF($AC102=Constants!$B$3,FALSE(),TRUE())))</f>
        <v/>
      </c>
      <c r="BI102" s="100" t="str">
        <f aca="false">IF(ISBLANK($C102),"",IF($AD102=Constants!$B$2,TRUE(),IF($AD102=Constants!$B$3,FALSE(),TRUE())))</f>
        <v/>
      </c>
      <c r="BJ102" s="100" t="str">
        <f aca="false">IF(ISBLANK($C102),"",IF(ISNUMBER($AE102),IF($AE102&gt;=0,$AE102,""),""))</f>
        <v/>
      </c>
      <c r="BK102" s="100" t="str">
        <f aca="false">IF(ISBLANK($C102),"",IF($AF102=Constants!$B$2,TRUE(),IF($AF102=Constants!$B$3,FALSE(),FALSE())))</f>
        <v/>
      </c>
      <c r="BL102" s="99" t="str">
        <f aca="false">IF(ISBLANK($C102),"",IF($BK102,Constants!$B$7,IF(COUNTA($E102:$AE102)=0,Constants!$B$6,IF(OR(COUNTA($G102:$AE102)=0,NOT($AM102),$AS102),Constants!$B$5,IF(OR($CM102&lt;&gt;"",$CN102,$CO102,$CP102,$CQ102,$CR102,$CS102),Constants!$B$8,Constants!$B$4)))))</f>
        <v/>
      </c>
      <c r="BM102" s="100" t="str">
        <f aca="false">IF(ISBLANK($C102),"",IF($BL102&lt;&gt;Constants!$B$4,$BL102,IF(OR(NOT($AJ102),NOT($AL102),NOT($AT102)),Constants!$B$11,IF(OR(NOT($AR102),NOT($AU102),NOT($BI102),MAX($AN102,$AO102,$AP102)&gt;Constants!$B$30),Constants!$B$10,Constants!$B$9))))</f>
        <v/>
      </c>
      <c r="BN102" s="100" t="str">
        <f aca="false">IF($BL102&lt;&gt;Constants!$B$4,"",IF(NOT($AL102),0,MIN(Constants!$B$35,$BF102)))</f>
        <v/>
      </c>
      <c r="BO102" s="100" t="str">
        <f aca="false">IF($BL102&lt;&gt;Constants!$B$4,"",IF(NOT($AL102),0,IF($AW102,Constants!$B$18,IF($AV102,Constants!$B$17,0))))</f>
        <v/>
      </c>
      <c r="BP102" s="100" t="str">
        <f aca="false">IF($BL102&lt;&gt;Constants!$B$4,"",IF(NOT($AL102),0,Constants!$B$19*($AK102+$AX102+$AY102+$AZ102)))</f>
        <v/>
      </c>
      <c r="BQ102" s="100" t="str">
        <f aca="false">IF($BL102&lt;&gt;Constants!$B$4,"",IF(OR(NOT($AL102),NOT(ISNUMBER($BA102))),0,CHOOSE($BA102,Constants!$B$13,Constants!$B$14,Constants!$B$15,Constants!$B$16)))</f>
        <v/>
      </c>
      <c r="BR102" s="100" t="str">
        <f aca="false">IF($BL102&lt;&gt;Constants!$B$4,"",IF(NOT($AL102),0,Constants!$B$20*$BB102))</f>
        <v/>
      </c>
      <c r="BS102" s="100" t="str">
        <f aca="false">IF($BL102&lt;&gt;Constants!$B$4,"",IF(AND($AL102,$BD102,$BE102),Constants!$B$22,0))</f>
        <v/>
      </c>
      <c r="BT102" s="100" t="str">
        <f aca="false">IF($BL102&lt;&gt;Constants!$B$4,"",IF(OR(NOT($AL102),NOT($BD102)),0,IF($BJ102&gt;=2*$AH$9,0,Constants!$B$23*INT(ROUND(MIN($BJ102,$AH$9),6)))))</f>
        <v/>
      </c>
      <c r="BU102" s="100" t="str">
        <f aca="false">IF($BL102&lt;&gt;Constants!$B$4,"",IF(NOT($AL102),0,Constants!$B$24*INT(ROUND(MIN($BC102,$AH$9),6))))</f>
        <v/>
      </c>
      <c r="BV102" s="100" t="str">
        <f aca="false">IF($BL102&lt;&gt;Constants!$B$4,"",IF(AND($AL102,$BN102=0),Constants!$B$25,0))</f>
        <v/>
      </c>
      <c r="BW102" s="100" t="str">
        <f aca="false">IF($BL102&lt;&gt;Constants!$B$4,"",MIN(Constants!$B$29,MAX(0,Constants!$B$27*Constants!$B$28*INT(ROUND((Constants!$B$26-$AN102)/Constants!$B$28,6))))+MIN(Constants!$B$29,MAX(0,Constants!$B$27*Constants!$B$28*INT(ROUND((Constants!$B$26-$AO102)/Constants!$B$28,6))))+MIN(Constants!$B$29,MAX(0,Constants!$B$27*Constants!$B$28*INT(ROUND((Constants!$B$26-$AP102)/Constants!$B$28,6)))))</f>
        <v/>
      </c>
      <c r="BX102" s="100" t="str">
        <f aca="false">IF($BL102&lt;&gt;Constants!$B$4,"",IF(NOT($AL102),0,Constants!$B$31*INT(ROUND(MAX(0,MIN($BJ102,2*$AH$9)-$AH$9),6))))</f>
        <v/>
      </c>
      <c r="BY102" s="100" t="str">
        <f aca="false">IF($BL102&lt;&gt;Constants!$B$4,"",Constants!$B$32*(($AN102&gt;Constants!$B$26)+($AO102&gt;Constants!$B$26)+($AP102&gt;Constants!$B$26)))</f>
        <v/>
      </c>
      <c r="BZ102" s="100" t="str">
        <f aca="false">IF($BL102&lt;&gt;Constants!$B$4,"",IF(OR(NOT($AL102),$AQ102),0,Constants!$B$33))</f>
        <v/>
      </c>
      <c r="CA102" s="100" t="str">
        <f aca="false">IF($BL102&lt;&gt;Constants!$B$4,"",Constants!$B$34*$BN102)</f>
        <v/>
      </c>
      <c r="CB102" s="100" t="str">
        <f aca="false">IF($BL102&lt;&gt;Constants!$B$4,"",IF(OR(NOT($AL102),$BH102),0,Constants!$B$36))</f>
        <v/>
      </c>
      <c r="CC102" s="100" t="str">
        <f aca="false">IF($BL102&lt;&gt;Constants!$B$4,"",IF(OR(NOT($AL102),$BG102),0,Constants!$B$37))</f>
        <v/>
      </c>
      <c r="CD102" s="100" t="str">
        <f aca="false">IF($BL102&lt;&gt;Constants!$B$4,"",SUM($BX102:$CC102))</f>
        <v/>
      </c>
      <c r="CE102" s="100" t="str">
        <f aca="false">IF(ISBLANK($C102),"",IF($BL102&lt;&gt;Constants!$B$4,$BL102,SUM($BO102:$BW102)-$CD102))</f>
        <v/>
      </c>
      <c r="CF102" s="100" t="str">
        <f aca="false">IF(ISBLANK($C102),"",IF($BL102&lt;&gt;Constants!$B$4,$BL102,RANK($CE102,$CE$9:$CE$508)))</f>
        <v/>
      </c>
      <c r="CG102" s="100" t="str">
        <f aca="false">IF(ISBLANK($C102),"",IF($BL102&lt;&gt;Constants!$B$4,$BL102,COUNTIFS($BM$9:$BM$508,"&lt;"&amp;$BM102)+COUNTIFS($BM$9:$BM$508,$BM102,$CF$9:$CF$508,"&lt;"&amp;$CF102)+1))</f>
        <v/>
      </c>
      <c r="CH102" s="100" t="str">
        <f aca="false">IF(ISBLANK($C102),"",IF($BL102&lt;&gt;Constants!$B$4,$BL102,RANK($CD102,$CD$9:$CD$508,1)))</f>
        <v/>
      </c>
      <c r="CI102" s="100" t="str">
        <f aca="false">IF($BL102&lt;&gt;Constants!$B$4,"",$AN102+$AO102+$AP102)</f>
        <v/>
      </c>
      <c r="CJ102" s="100" t="str">
        <f aca="false">IF(ISBLANK($C102),"",IF($BL102&lt;&gt;Constants!$B$4,$BL102,RANK($CI102,$CI$9:$CI$508,1)))</f>
        <v/>
      </c>
      <c r="CK102" s="100" t="str">
        <f aca="false">IF(ISBLANK($C102),"",IF($BL102&lt;&gt;Constants!$B$4,$BL102,COUNTIFS($BM$9:$BM$508,"&lt;"&amp;$BM102)+COUNTIFS($BM$9:$BM$508,$BM102,$CF$9:$CF$508,"&lt;"&amp;$CF102)+COUNTIFS($BM$9:$BM$508,$BM102,$CF$9:$CF$508,$CF102,$CH$9:$CH$508,"&lt;"&amp;$CH102)+COUNTIFS($BM$9:$BM$508,$BM102,$CF$9:$CF$508,$CF102,$CH$9:$CH$508,$CH102,$CJ$9:$CJ$508,"&lt;"&amp;$CJ102)+1))</f>
        <v/>
      </c>
      <c r="CL102" s="100" t="str">
        <f aca="false">IF(ISBLANK($C102),"",IF($BL102&lt;&gt;Constants!$B$4,$BL102,$CG102-$CK102))</f>
        <v/>
      </c>
      <c r="CM102" s="100" t="str">
        <f aca="false">IF(ISBLANK($C102),"",IF(NOT($AL102),"",IF(ISBLANK($D$7),$CM$5,IF(NOT(ISNUMBER($D$7)),$CM$6,""))))</f>
        <v/>
      </c>
      <c r="CN102" s="100" t="str">
        <f aca="false">IF(ISBLANK($C102),"",OR($AN102="",$AO102="",$AP102=""))</f>
        <v/>
      </c>
      <c r="CO102" s="100" t="str">
        <f aca="false">IF(ISBLANK($C102),"",AND($AL102,$BA102=""))</f>
        <v/>
      </c>
      <c r="CP102" s="100" t="str">
        <f aca="false">IF(ISBLANK($C102),"",AND($AL102,$BB102=""))</f>
        <v/>
      </c>
      <c r="CQ102" s="100" t="str">
        <f aca="false">IF(ISBLANK($C102),"",AND($AL102,$BC102=""))</f>
        <v/>
      </c>
      <c r="CR102" s="100" t="str">
        <f aca="false">IF(ISBLANK($C102),"",AND($AL102,$BF102=""))</f>
        <v/>
      </c>
      <c r="CS102" s="100" t="str">
        <f aca="false">IF(ISBLANK($C102),"",AND($AL102,$BJ102=""))</f>
        <v/>
      </c>
      <c r="CT102" s="101"/>
      <c r="CU102" s="102"/>
      <c r="CV102" s="103" t="str">
        <f aca="false">IF(ISBLANK($C102),"",IF($BL102=Constants!$B$8,$CM102,""))</f>
        <v/>
      </c>
      <c r="CW102" s="102" t="str">
        <f aca="false">IF(ISBLANK($C102),"",IF($BL102&lt;&gt;Constants!$B$4,"",$BO102+$BP102))</f>
        <v/>
      </c>
      <c r="CX102" s="104" t="str">
        <f aca="false">IF(ISBLANK($C102),"",IF($BL102&lt;&gt;Constants!$B$4,"",$BQ102+$BR102+$BS102))</f>
        <v/>
      </c>
      <c r="CY102" s="104" t="str">
        <f aca="false">IF(ISBLANK($C102),"",IF($BL102&lt;&gt;Constants!$B$4,"",$BT102))</f>
        <v/>
      </c>
      <c r="CZ102" s="104" t="str">
        <f aca="false">IF(ISBLANK($C102),"",IF($BL102&lt;&gt;Constants!$B$4,"",$BU102+$BV102))</f>
        <v/>
      </c>
      <c r="DA102" s="104" t="str">
        <f aca="false">IF(ISBLANK($C102),"",IF($BL102&lt;&gt;Constants!$B$4,"",$BW102))</f>
        <v/>
      </c>
      <c r="DB102" s="104" t="str">
        <f aca="false">IF(ISBLANK($C102),"",IF($BL102&lt;&gt;Constants!$B$4,"",-$CD102))</f>
        <v/>
      </c>
      <c r="DC102" s="103" t="str">
        <f aca="false">IF(ISBLANK($C102),"",$CE102)</f>
        <v/>
      </c>
      <c r="DD102" s="105" t="str">
        <f aca="false">IF(ISBLANK($C102),"",$BM102)</f>
        <v/>
      </c>
      <c r="DE102" s="104" t="str">
        <f aca="false">IF(ISBLANK($C102),"",$CL102)</f>
        <v/>
      </c>
      <c r="DF102" s="104" t="str">
        <f aca="false">IF(ISBLANK($C102),"",$CK102)</f>
        <v/>
      </c>
      <c r="DG102" s="106" t="str">
        <f aca="false">IF(ISBLANK($C102),"",IF($DF102=Constants!$B$7,COUNTA($C$9:$C$508)+2,IF($DF102=Constants!$B$6,COUNTA($C$9:$C$508)+1,IF($DF102=Constants!$B$5,COUNTA($C$9:$C$508),$DF102))))</f>
        <v/>
      </c>
      <c r="DH102" s="7"/>
      <c r="DI102" s="107" t="n">
        <f aca="false">IF(OR(ISNUMBER($DF102),$DF102=Constants!$B$7,$DF102=Constants!$B$5,$DF102=Constants!$B$6),1,0)</f>
        <v>0</v>
      </c>
      <c r="DJ102" s="107" t="n">
        <v>94</v>
      </c>
      <c r="DK102" s="107" t="str">
        <f aca="false">IF(ISBLANK($C102),"",IF(ISNUMBER($DG102),$DG102+ROW($B102)/1000,""))</f>
        <v/>
      </c>
      <c r="DL102" s="107" t="str">
        <f aca="false">IF(ISNUMBER($DK102),RANK($DK102,$DK$9:$DK$508,1),"")</f>
        <v/>
      </c>
      <c r="DM102" s="107" t="str">
        <f aca="false">IF(ISBLANK($C102),"",$B102)</f>
        <v/>
      </c>
      <c r="DN102" s="107" t="str">
        <f aca="false">IF(ISBLANK($C102),"",$C102)</f>
        <v/>
      </c>
      <c r="DO102" s="107" t="str">
        <f aca="false">IF(ISBLANK($C102),"",$D102)</f>
        <v/>
      </c>
      <c r="DP102" s="108" t="str">
        <f aca="false">$DD102</f>
        <v/>
      </c>
      <c r="DQ102" s="109" t="str">
        <f aca="false">$DC102</f>
        <v/>
      </c>
      <c r="DR102" s="107" t="str">
        <f aca="false">IF(ISBLANK($C102),"",$DF102)</f>
        <v/>
      </c>
      <c r="DS102" s="110" t="str">
        <f aca="false">IF($DJ102&gt;$DI$8,"",VLOOKUP($DJ102,$DL$9:$DR$508,7,FALSE()))</f>
        <v/>
      </c>
      <c r="DT102" s="111" t="str">
        <f aca="false">IF($DJ102&gt;$DI$8,"",VLOOKUP($DJ102,$DL$9:$DR$508,2,FALSE()))</f>
        <v/>
      </c>
      <c r="DU102" s="111" t="str">
        <f aca="false">IF($DJ102&gt;$DI$8,"",VLOOKUP($DJ102,$DL$9:$DR$508,3,FALSE()))</f>
        <v/>
      </c>
      <c r="DV102" s="111" t="str">
        <f aca="false">IF($DJ102&gt;$DI$8,"",VLOOKUP($DJ102,$DL$9:$DR$508,4,FALSE()))</f>
        <v/>
      </c>
      <c r="DW102" s="111" t="str">
        <f aca="false">IF($DJ102&gt;$DI$8,"",VLOOKUP($DJ102,$DL$9:$DR$508,5,FALSE()))</f>
        <v/>
      </c>
      <c r="DX102" s="112" t="str">
        <f aca="false">IF($DJ102&gt;$DI$8,"",VLOOKUP($DJ102,$DL$9:$DR$508,6,FALSE()))</f>
        <v/>
      </c>
      <c r="DY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130"/>
      <c r="N103" s="130"/>
      <c r="O103" s="135"/>
      <c r="P103" s="135"/>
      <c r="Q103" s="130"/>
      <c r="R103" s="130"/>
      <c r="S103" s="130"/>
      <c r="T103" s="130"/>
      <c r="U103" s="135"/>
      <c r="V103" s="130"/>
      <c r="W103" s="96"/>
      <c r="X103" s="130"/>
      <c r="Y103" s="130"/>
      <c r="Z103" s="96"/>
      <c r="AA103" s="96"/>
      <c r="AB103" s="130"/>
      <c r="AC103" s="130"/>
      <c r="AD103" s="130"/>
      <c r="AE103" s="97"/>
      <c r="AF103" s="130"/>
      <c r="AG103" s="99"/>
      <c r="AH103" s="100"/>
      <c r="AI103" s="100"/>
      <c r="AJ103" s="100" t="str">
        <f aca="false">IF(ISBLANK($C103),"",IF($E103=Constants!$B$2,TRUE(),IF($E103=Constants!$B$3,FALSE(),TRUE())))</f>
        <v/>
      </c>
      <c r="AK103" s="100" t="str">
        <f aca="false">IF(ISBLANK($C103),"",IF($F103=Constants!$B$2,TRUE(),IF($F103=Constants!$B$3,FALSE(),FALSE())))</f>
        <v/>
      </c>
      <c r="AL103" s="100" t="str">
        <f aca="false">IF(ISBLANK($C103),"",IF($G103=Constants!$B$2,TRUE(),IF($G103=Constants!$B$3,FALSE(),TRUE())))</f>
        <v/>
      </c>
      <c r="AM103" s="100" t="str">
        <f aca="false">IF(ISBLANK($C103),"",IF($H103=Constants!$B$2,TRUE(),IF($H103=Constants!$B$3,FALSE(),TRUE())))</f>
        <v/>
      </c>
      <c r="AN103" s="100" t="str">
        <f aca="false">IF(ISBLANK($C103),"",IF(ISNUMBER($I103),IF($I103&gt;=0,$I103,""),""))</f>
        <v/>
      </c>
      <c r="AO103" s="100" t="str">
        <f aca="false">IF(ISBLANK($C103),"",IF(ISNUMBER($J103),IF($J103&gt;=0,$J103,""),""))</f>
        <v/>
      </c>
      <c r="AP103" s="100" t="str">
        <f aca="false">IF(ISBLANK($C103),"",IF(ISNUMBER($K103),IF($K103&gt;=0,$K103,""),""))</f>
        <v/>
      </c>
      <c r="AQ103" s="100" t="str">
        <f aca="false">IF(ISBLANK($C103),"",IF($L103=Constants!$B$2,TRUE(),IF($L103=Constants!$B$3,FALSE(),TRUE())))</f>
        <v/>
      </c>
      <c r="AR103" s="100" t="str">
        <f aca="false">IF(ISBLANK($C103),"",IF($M103=Constants!$B$2,TRUE(),IF($M103=Constants!$B$3,FALSE(),TRUE())))</f>
        <v/>
      </c>
      <c r="AS103" s="100" t="str">
        <f aca="false">IF(ISBLANK($C103),"",IF($N103=Constants!$B$2,TRUE(),IF($N103=Constants!$B$3,FALSE(),FALSE())))</f>
        <v/>
      </c>
      <c r="AT103" s="100" t="str">
        <f aca="false">IF(ISBLANK($C103),"",IF($O103=Constants!$B$2,TRUE(),IF($O103=Constants!$B$3,FALSE(),TRUE())))</f>
        <v/>
      </c>
      <c r="AU103" s="100" t="str">
        <f aca="false">IF(ISBLANK($C103),"",IF($P103=Constants!$B$2,TRUE(),IF($P103=Constants!$B$3,FALSE(),TRUE())))</f>
        <v/>
      </c>
      <c r="AV103" s="100" t="str">
        <f aca="false">IF(ISBLANK($C103),"",IF($Q103=Constants!$B$2,TRUE(),IF($Q103=Constants!$B$3,FALSE(),FALSE())))</f>
        <v/>
      </c>
      <c r="AW103" s="100" t="str">
        <f aca="false">IF(ISBLANK($C103),"",IF($R103=Constants!$B$2,TRUE(),IF($R103=Constants!$B$3,FALSE(),FALSE())))</f>
        <v/>
      </c>
      <c r="AX103" s="100" t="str">
        <f aca="false">IF(ISBLANK($C103),"",IF($S103=Constants!$B$2,TRUE(),IF($S103=Constants!$B$3,FALSE(),FALSE())))</f>
        <v/>
      </c>
      <c r="AY103" s="100" t="str">
        <f aca="false">IF(ISBLANK($C103),"",IF($T103=Constants!$B$2,TRUE(),IF($T103=Constants!$B$3,FALSE(),FALSE())))</f>
        <v/>
      </c>
      <c r="AZ103" s="100" t="str">
        <f aca="false">IF(ISBLANK($C103),"",IF($U103=Constants!$B$2,TRUE(),IF($U103=Constants!$B$3,FALSE(),FALSE())))</f>
        <v/>
      </c>
      <c r="BA103" s="100" t="str">
        <f aca="false">IF(ISBLANK($C103),"",IF(OR($V103&amp;""="1",$V103&amp;""="2",$V103&amp;""="3",$V103&amp;""="4"),VALUE($V103&amp;""),IF($V103=Constants!$B$12,Constants!$B$12,"")))</f>
        <v/>
      </c>
      <c r="BB103" s="100" t="str">
        <f aca="false">IF(ISBLANK($C103),"",IF(ISBLANK($W103),0,IF(ISNUMBER($W103),IF(AND($W103&gt;=0,$W103&lt;=Constants!$B$21,$W103=INT($W103)),$W103,""),"")))</f>
        <v/>
      </c>
      <c r="BC103" s="100" t="str">
        <f aca="false">IF(ISBLANK($C103),"",IF(ISBLANK($X103),0,IF(ISNUMBER($X103),IF($X103&gt;=0,$X103,""),"")))</f>
        <v/>
      </c>
      <c r="BD103" s="100" t="str">
        <f aca="false">IF(ISBLANK($C103),"",IF($Y103=Constants!$B$2,TRUE(),IF($Y103=Constants!$B$3,FALSE(),TRUE())))</f>
        <v/>
      </c>
      <c r="BE103" s="100" t="str">
        <f aca="false">IF(ISBLANK($C103),"",IF($Z103=Constants!$B$2,TRUE(),IF($Z103=Constants!$B$3,FALSE(),FALSE())))</f>
        <v/>
      </c>
      <c r="BF103" s="100" t="str">
        <f aca="false">IF(ISBLANK($C103),"",IF(ISBLANK($AA103),0,IF(ISNUMBER($AA103),IF(AND($AA103&gt;=0,$AA103&lt;=Constants!$B$35,$AA103=INT($AA103)),$AA103,""),"")))</f>
        <v/>
      </c>
      <c r="BG103" s="100" t="str">
        <f aca="false">IF(ISBLANK($C103),"",IF($AB103=Constants!$B$2,TRUE(),IF($AB103=Constants!$B$3,FALSE(),TRUE())))</f>
        <v/>
      </c>
      <c r="BH103" s="100" t="str">
        <f aca="false">IF(ISBLANK($C103),"",IF($AC103=Constants!$B$2,TRUE(),IF($AC103=Constants!$B$3,FALSE(),TRUE())))</f>
        <v/>
      </c>
      <c r="BI103" s="100" t="str">
        <f aca="false">IF(ISBLANK($C103),"",IF($AD103=Constants!$B$2,TRUE(),IF($AD103=Constants!$B$3,FALSE(),TRUE())))</f>
        <v/>
      </c>
      <c r="BJ103" s="100" t="str">
        <f aca="false">IF(ISBLANK($C103),"",IF(ISNUMBER($AE103),IF($AE103&gt;=0,$AE103,""),""))</f>
        <v/>
      </c>
      <c r="BK103" s="100" t="str">
        <f aca="false">IF(ISBLANK($C103),"",IF($AF103=Constants!$B$2,TRUE(),IF($AF103=Constants!$B$3,FALSE(),FALSE())))</f>
        <v/>
      </c>
      <c r="BL103" s="99" t="str">
        <f aca="false">IF(ISBLANK($C103),"",IF($BK103,Constants!$B$7,IF(COUNTA($E103:$AE103)=0,Constants!$B$6,IF(OR(COUNTA($G103:$AE103)=0,NOT($AM103),$AS103),Constants!$B$5,IF(OR($CM103&lt;&gt;"",$CN103,$CO103,$CP103,$CQ103,$CR103,$CS103),Constants!$B$8,Constants!$B$4)))))</f>
        <v/>
      </c>
      <c r="BM103" s="100" t="str">
        <f aca="false">IF(ISBLANK($C103),"",IF($BL103&lt;&gt;Constants!$B$4,$BL103,IF(OR(NOT($AJ103),NOT($AL103),NOT($AT103)),Constants!$B$11,IF(OR(NOT($AR103),NOT($AU103),NOT($BI103),MAX($AN103,$AO103,$AP103)&gt;Constants!$B$30),Constants!$B$10,Constants!$B$9))))</f>
        <v/>
      </c>
      <c r="BN103" s="100" t="str">
        <f aca="false">IF($BL103&lt;&gt;Constants!$B$4,"",IF(NOT($AL103),0,MIN(Constants!$B$35,$BF103)))</f>
        <v/>
      </c>
      <c r="BO103" s="100" t="str">
        <f aca="false">IF($BL103&lt;&gt;Constants!$B$4,"",IF(NOT($AL103),0,IF($AW103,Constants!$B$18,IF($AV103,Constants!$B$17,0))))</f>
        <v/>
      </c>
      <c r="BP103" s="100" t="str">
        <f aca="false">IF($BL103&lt;&gt;Constants!$B$4,"",IF(NOT($AL103),0,Constants!$B$19*($AK103+$AX103+$AY103+$AZ103)))</f>
        <v/>
      </c>
      <c r="BQ103" s="100" t="str">
        <f aca="false">IF($BL103&lt;&gt;Constants!$B$4,"",IF(OR(NOT($AL103),NOT(ISNUMBER($BA103))),0,CHOOSE($BA103,Constants!$B$13,Constants!$B$14,Constants!$B$15,Constants!$B$16)))</f>
        <v/>
      </c>
      <c r="BR103" s="100" t="str">
        <f aca="false">IF($BL103&lt;&gt;Constants!$B$4,"",IF(NOT($AL103),0,Constants!$B$20*$BB103))</f>
        <v/>
      </c>
      <c r="BS103" s="100" t="str">
        <f aca="false">IF($BL103&lt;&gt;Constants!$B$4,"",IF(AND($AL103,$BD103,$BE103),Constants!$B$22,0))</f>
        <v/>
      </c>
      <c r="BT103" s="100" t="str">
        <f aca="false">IF($BL103&lt;&gt;Constants!$B$4,"",IF(OR(NOT($AL103),NOT($BD103)),0,IF($BJ103&gt;=2*$AH$9,0,Constants!$B$23*INT(ROUND(MIN($BJ103,$AH$9),6)))))</f>
        <v/>
      </c>
      <c r="BU103" s="100" t="str">
        <f aca="false">IF($BL103&lt;&gt;Constants!$B$4,"",IF(NOT($AL103),0,Constants!$B$24*INT(ROUND(MIN($BC103,$AH$9),6))))</f>
        <v/>
      </c>
      <c r="BV103" s="100" t="str">
        <f aca="false">IF($BL103&lt;&gt;Constants!$B$4,"",IF(AND($AL103,$BN103=0),Constants!$B$25,0))</f>
        <v/>
      </c>
      <c r="BW103" s="100" t="str">
        <f aca="false">IF($BL103&lt;&gt;Constants!$B$4,"",MIN(Constants!$B$29,MAX(0,Constants!$B$27*Constants!$B$28*INT(ROUND((Constants!$B$26-$AN103)/Constants!$B$28,6))))+MIN(Constants!$B$29,MAX(0,Constants!$B$27*Constants!$B$28*INT(ROUND((Constants!$B$26-$AO103)/Constants!$B$28,6))))+MIN(Constants!$B$29,MAX(0,Constants!$B$27*Constants!$B$28*INT(ROUND((Constants!$B$26-$AP103)/Constants!$B$28,6)))))</f>
        <v/>
      </c>
      <c r="BX103" s="100" t="str">
        <f aca="false">IF($BL103&lt;&gt;Constants!$B$4,"",IF(NOT($AL103),0,Constants!$B$31*INT(ROUND(MAX(0,MIN($BJ103,2*$AH$9)-$AH$9),6))))</f>
        <v/>
      </c>
      <c r="BY103" s="100" t="str">
        <f aca="false">IF($BL103&lt;&gt;Constants!$B$4,"",Constants!$B$32*(($AN103&gt;Constants!$B$26)+($AO103&gt;Constants!$B$26)+($AP103&gt;Constants!$B$26)))</f>
        <v/>
      </c>
      <c r="BZ103" s="100" t="str">
        <f aca="false">IF($BL103&lt;&gt;Constants!$B$4,"",IF(OR(NOT($AL103),$AQ103),0,Constants!$B$33))</f>
        <v/>
      </c>
      <c r="CA103" s="100" t="str">
        <f aca="false">IF($BL103&lt;&gt;Constants!$B$4,"",Constants!$B$34*$BN103)</f>
        <v/>
      </c>
      <c r="CB103" s="100" t="str">
        <f aca="false">IF($BL103&lt;&gt;Constants!$B$4,"",IF(OR(NOT($AL103),$BH103),0,Constants!$B$36))</f>
        <v/>
      </c>
      <c r="CC103" s="100" t="str">
        <f aca="false">IF($BL103&lt;&gt;Constants!$B$4,"",IF(OR(NOT($AL103),$BG103),0,Constants!$B$37))</f>
        <v/>
      </c>
      <c r="CD103" s="100" t="str">
        <f aca="false">IF($BL103&lt;&gt;Constants!$B$4,"",SUM($BX103:$CC103))</f>
        <v/>
      </c>
      <c r="CE103" s="100" t="str">
        <f aca="false">IF(ISBLANK($C103),"",IF($BL103&lt;&gt;Constants!$B$4,$BL103,SUM($BO103:$BW103)-$CD103))</f>
        <v/>
      </c>
      <c r="CF103" s="100" t="str">
        <f aca="false">IF(ISBLANK($C103),"",IF($BL103&lt;&gt;Constants!$B$4,$BL103,RANK($CE103,$CE$9:$CE$508)))</f>
        <v/>
      </c>
      <c r="CG103" s="100" t="str">
        <f aca="false">IF(ISBLANK($C103),"",IF($BL103&lt;&gt;Constants!$B$4,$BL103,COUNTIFS($BM$9:$BM$508,"&lt;"&amp;$BM103)+COUNTIFS($BM$9:$BM$508,$BM103,$CF$9:$CF$508,"&lt;"&amp;$CF103)+1))</f>
        <v/>
      </c>
      <c r="CH103" s="100" t="str">
        <f aca="false">IF(ISBLANK($C103),"",IF($BL103&lt;&gt;Constants!$B$4,$BL103,RANK($CD103,$CD$9:$CD$508,1)))</f>
        <v/>
      </c>
      <c r="CI103" s="100" t="str">
        <f aca="false">IF($BL103&lt;&gt;Constants!$B$4,"",$AN103+$AO103+$AP103)</f>
        <v/>
      </c>
      <c r="CJ103" s="100" t="str">
        <f aca="false">IF(ISBLANK($C103),"",IF($BL103&lt;&gt;Constants!$B$4,$BL103,RANK($CI103,$CI$9:$CI$508,1)))</f>
        <v/>
      </c>
      <c r="CK103" s="100" t="str">
        <f aca="false">IF(ISBLANK($C103),"",IF($BL103&lt;&gt;Constants!$B$4,$BL103,COUNTIFS($BM$9:$BM$508,"&lt;"&amp;$BM103)+COUNTIFS($BM$9:$BM$508,$BM103,$CF$9:$CF$508,"&lt;"&amp;$CF103)+COUNTIFS($BM$9:$BM$508,$BM103,$CF$9:$CF$508,$CF103,$CH$9:$CH$508,"&lt;"&amp;$CH103)+COUNTIFS($BM$9:$BM$508,$BM103,$CF$9:$CF$508,$CF103,$CH$9:$CH$508,$CH103,$CJ$9:$CJ$508,"&lt;"&amp;$CJ103)+1))</f>
        <v/>
      </c>
      <c r="CL103" s="100" t="str">
        <f aca="false">IF(ISBLANK($C103),"",IF($BL103&lt;&gt;Constants!$B$4,$BL103,$CG103-$CK103))</f>
        <v/>
      </c>
      <c r="CM103" s="100" t="str">
        <f aca="false">IF(ISBLANK($C103),"",IF(NOT($AL103),"",IF(ISBLANK($D$7),$CM$5,IF(NOT(ISNUMBER($D$7)),$CM$6,""))))</f>
        <v/>
      </c>
      <c r="CN103" s="100" t="str">
        <f aca="false">IF(ISBLANK($C103),"",OR($AN103="",$AO103="",$AP103=""))</f>
        <v/>
      </c>
      <c r="CO103" s="100" t="str">
        <f aca="false">IF(ISBLANK($C103),"",AND($AL103,$BA103=""))</f>
        <v/>
      </c>
      <c r="CP103" s="100" t="str">
        <f aca="false">IF(ISBLANK($C103),"",AND($AL103,$BB103=""))</f>
        <v/>
      </c>
      <c r="CQ103" s="100" t="str">
        <f aca="false">IF(ISBLANK($C103),"",AND($AL103,$BC103=""))</f>
        <v/>
      </c>
      <c r="CR103" s="100" t="str">
        <f aca="false">IF(ISBLANK($C103),"",AND($AL103,$BF103=""))</f>
        <v/>
      </c>
      <c r="CS103" s="100" t="str">
        <f aca="false">IF(ISBLANK($C103),"",AND($AL103,$BJ103=""))</f>
        <v/>
      </c>
      <c r="CT103" s="101"/>
      <c r="CU103" s="102"/>
      <c r="CV103" s="103" t="str">
        <f aca="false">IF(ISBLANK($C103),"",IF($BL103=Constants!$B$8,$CM103,""))</f>
        <v/>
      </c>
      <c r="CW103" s="102" t="str">
        <f aca="false">IF(ISBLANK($C103),"",IF($BL103&lt;&gt;Constants!$B$4,"",$BO103+$BP103))</f>
        <v/>
      </c>
      <c r="CX103" s="104" t="str">
        <f aca="false">IF(ISBLANK($C103),"",IF($BL103&lt;&gt;Constants!$B$4,"",$BQ103+$BR103+$BS103))</f>
        <v/>
      </c>
      <c r="CY103" s="104" t="str">
        <f aca="false">IF(ISBLANK($C103),"",IF($BL103&lt;&gt;Constants!$B$4,"",$BT103))</f>
        <v/>
      </c>
      <c r="CZ103" s="104" t="str">
        <f aca="false">IF(ISBLANK($C103),"",IF($BL103&lt;&gt;Constants!$B$4,"",$BU103+$BV103))</f>
        <v/>
      </c>
      <c r="DA103" s="104" t="str">
        <f aca="false">IF(ISBLANK($C103),"",IF($BL103&lt;&gt;Constants!$B$4,"",$BW103))</f>
        <v/>
      </c>
      <c r="DB103" s="104" t="str">
        <f aca="false">IF(ISBLANK($C103),"",IF($BL103&lt;&gt;Constants!$B$4,"",-$CD103))</f>
        <v/>
      </c>
      <c r="DC103" s="103" t="str">
        <f aca="false">IF(ISBLANK($C103),"",$CE103)</f>
        <v/>
      </c>
      <c r="DD103" s="105" t="str">
        <f aca="false">IF(ISBLANK($C103),"",$BM103)</f>
        <v/>
      </c>
      <c r="DE103" s="104" t="str">
        <f aca="false">IF(ISBLANK($C103),"",$CL103)</f>
        <v/>
      </c>
      <c r="DF103" s="104" t="str">
        <f aca="false">IF(ISBLANK($C103),"",$CK103)</f>
        <v/>
      </c>
      <c r="DG103" s="106" t="str">
        <f aca="false">IF(ISBLANK($C103),"",IF($DF103=Constants!$B$7,COUNTA($C$9:$C$508)+2,IF($DF103=Constants!$B$6,COUNTA($C$9:$C$508)+1,IF($DF103=Constants!$B$5,COUNTA($C$9:$C$508),$DF103))))</f>
        <v/>
      </c>
      <c r="DH103" s="7"/>
      <c r="DI103" s="107" t="n">
        <f aca="false">IF(OR(ISNUMBER($DF103),$DF103=Constants!$B$7,$DF103=Constants!$B$5,$DF103=Constants!$B$6),1,0)</f>
        <v>0</v>
      </c>
      <c r="DJ103" s="107" t="n">
        <v>95</v>
      </c>
      <c r="DK103" s="107" t="str">
        <f aca="false">IF(ISBLANK($C103),"",IF(ISNUMBER($DG103),$DG103+ROW($B103)/1000,""))</f>
        <v/>
      </c>
      <c r="DL103" s="107" t="str">
        <f aca="false">IF(ISNUMBER($DK103),RANK($DK103,$DK$9:$DK$508,1),"")</f>
        <v/>
      </c>
      <c r="DM103" s="107" t="str">
        <f aca="false">IF(ISBLANK($C103),"",$B103)</f>
        <v/>
      </c>
      <c r="DN103" s="107" t="str">
        <f aca="false">IF(ISBLANK($C103),"",$C103)</f>
        <v/>
      </c>
      <c r="DO103" s="107" t="str">
        <f aca="false">IF(ISBLANK($C103),"",$D103)</f>
        <v/>
      </c>
      <c r="DP103" s="108" t="str">
        <f aca="false">$DD103</f>
        <v/>
      </c>
      <c r="DQ103" s="109" t="str">
        <f aca="false">$DC103</f>
        <v/>
      </c>
      <c r="DR103" s="107" t="str">
        <f aca="false">IF(ISBLANK($C103),"",$DF103)</f>
        <v/>
      </c>
      <c r="DS103" s="110" t="str">
        <f aca="false">IF($DJ103&gt;$DI$8,"",VLOOKUP($DJ103,$DL$9:$DR$508,7,FALSE()))</f>
        <v/>
      </c>
      <c r="DT103" s="111" t="str">
        <f aca="false">IF($DJ103&gt;$DI$8,"",VLOOKUP($DJ103,$DL$9:$DR$508,2,FALSE()))</f>
        <v/>
      </c>
      <c r="DU103" s="111" t="str">
        <f aca="false">IF($DJ103&gt;$DI$8,"",VLOOKUP($DJ103,$DL$9:$DR$508,3,FALSE()))</f>
        <v/>
      </c>
      <c r="DV103" s="111" t="str">
        <f aca="false">IF($DJ103&gt;$DI$8,"",VLOOKUP($DJ103,$DL$9:$DR$508,4,FALSE()))</f>
        <v/>
      </c>
      <c r="DW103" s="111" t="str">
        <f aca="false">IF($DJ103&gt;$DI$8,"",VLOOKUP($DJ103,$DL$9:$DR$508,5,FALSE()))</f>
        <v/>
      </c>
      <c r="DX103" s="112" t="str">
        <f aca="false">IF($DJ103&gt;$DI$8,"",VLOOKUP($DJ103,$DL$9:$DR$508,6,FALSE()))</f>
        <v/>
      </c>
      <c r="DY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130"/>
      <c r="N104" s="130"/>
      <c r="O104" s="135"/>
      <c r="P104" s="135"/>
      <c r="Q104" s="130"/>
      <c r="R104" s="130"/>
      <c r="S104" s="130"/>
      <c r="T104" s="130"/>
      <c r="U104" s="135"/>
      <c r="V104" s="130"/>
      <c r="W104" s="96"/>
      <c r="X104" s="130"/>
      <c r="Y104" s="130"/>
      <c r="Z104" s="96"/>
      <c r="AA104" s="96"/>
      <c r="AB104" s="130"/>
      <c r="AC104" s="130"/>
      <c r="AD104" s="130"/>
      <c r="AE104" s="97"/>
      <c r="AF104" s="130"/>
      <c r="AG104" s="99"/>
      <c r="AH104" s="100"/>
      <c r="AI104" s="100"/>
      <c r="AJ104" s="100" t="str">
        <f aca="false">IF(ISBLANK($C104),"",IF($E104=Constants!$B$2,TRUE(),IF($E104=Constants!$B$3,FALSE(),TRUE())))</f>
        <v/>
      </c>
      <c r="AK104" s="100" t="str">
        <f aca="false">IF(ISBLANK($C104),"",IF($F104=Constants!$B$2,TRUE(),IF($F104=Constants!$B$3,FALSE(),FALSE())))</f>
        <v/>
      </c>
      <c r="AL104" s="100" t="str">
        <f aca="false">IF(ISBLANK($C104),"",IF($G104=Constants!$B$2,TRUE(),IF($G104=Constants!$B$3,FALSE(),TRUE())))</f>
        <v/>
      </c>
      <c r="AM104" s="100" t="str">
        <f aca="false">IF(ISBLANK($C104),"",IF($H104=Constants!$B$2,TRUE(),IF($H104=Constants!$B$3,FALSE(),TRUE())))</f>
        <v/>
      </c>
      <c r="AN104" s="100" t="str">
        <f aca="false">IF(ISBLANK($C104),"",IF(ISNUMBER($I104),IF($I104&gt;=0,$I104,""),""))</f>
        <v/>
      </c>
      <c r="AO104" s="100" t="str">
        <f aca="false">IF(ISBLANK($C104),"",IF(ISNUMBER($J104),IF($J104&gt;=0,$J104,""),""))</f>
        <v/>
      </c>
      <c r="AP104" s="100" t="str">
        <f aca="false">IF(ISBLANK($C104),"",IF(ISNUMBER($K104),IF($K104&gt;=0,$K104,""),""))</f>
        <v/>
      </c>
      <c r="AQ104" s="100" t="str">
        <f aca="false">IF(ISBLANK($C104),"",IF($L104=Constants!$B$2,TRUE(),IF($L104=Constants!$B$3,FALSE(),TRUE())))</f>
        <v/>
      </c>
      <c r="AR104" s="100" t="str">
        <f aca="false">IF(ISBLANK($C104),"",IF($M104=Constants!$B$2,TRUE(),IF($M104=Constants!$B$3,FALSE(),TRUE())))</f>
        <v/>
      </c>
      <c r="AS104" s="100" t="str">
        <f aca="false">IF(ISBLANK($C104),"",IF($N104=Constants!$B$2,TRUE(),IF($N104=Constants!$B$3,FALSE(),FALSE())))</f>
        <v/>
      </c>
      <c r="AT104" s="100" t="str">
        <f aca="false">IF(ISBLANK($C104),"",IF($O104=Constants!$B$2,TRUE(),IF($O104=Constants!$B$3,FALSE(),TRUE())))</f>
        <v/>
      </c>
      <c r="AU104" s="100" t="str">
        <f aca="false">IF(ISBLANK($C104),"",IF($P104=Constants!$B$2,TRUE(),IF($P104=Constants!$B$3,FALSE(),TRUE())))</f>
        <v/>
      </c>
      <c r="AV104" s="100" t="str">
        <f aca="false">IF(ISBLANK($C104),"",IF($Q104=Constants!$B$2,TRUE(),IF($Q104=Constants!$B$3,FALSE(),FALSE())))</f>
        <v/>
      </c>
      <c r="AW104" s="100" t="str">
        <f aca="false">IF(ISBLANK($C104),"",IF($R104=Constants!$B$2,TRUE(),IF($R104=Constants!$B$3,FALSE(),FALSE())))</f>
        <v/>
      </c>
      <c r="AX104" s="100" t="str">
        <f aca="false">IF(ISBLANK($C104),"",IF($S104=Constants!$B$2,TRUE(),IF($S104=Constants!$B$3,FALSE(),FALSE())))</f>
        <v/>
      </c>
      <c r="AY104" s="100" t="str">
        <f aca="false">IF(ISBLANK($C104),"",IF($T104=Constants!$B$2,TRUE(),IF($T104=Constants!$B$3,FALSE(),FALSE())))</f>
        <v/>
      </c>
      <c r="AZ104" s="100" t="str">
        <f aca="false">IF(ISBLANK($C104),"",IF($U104=Constants!$B$2,TRUE(),IF($U104=Constants!$B$3,FALSE(),FALSE())))</f>
        <v/>
      </c>
      <c r="BA104" s="100" t="str">
        <f aca="false">IF(ISBLANK($C104),"",IF(OR($V104&amp;""="1",$V104&amp;""="2",$V104&amp;""="3",$V104&amp;""="4"),VALUE($V104&amp;""),IF($V104=Constants!$B$12,Constants!$B$12,"")))</f>
        <v/>
      </c>
      <c r="BB104" s="100" t="str">
        <f aca="false">IF(ISBLANK($C104),"",IF(ISBLANK($W104),0,IF(ISNUMBER($W104),IF(AND($W104&gt;=0,$W104&lt;=Constants!$B$21,$W104=INT($W104)),$W104,""),"")))</f>
        <v/>
      </c>
      <c r="BC104" s="100" t="str">
        <f aca="false">IF(ISBLANK($C104),"",IF(ISBLANK($X104),0,IF(ISNUMBER($X104),IF($X104&gt;=0,$X104,""),"")))</f>
        <v/>
      </c>
      <c r="BD104" s="100" t="str">
        <f aca="false">IF(ISBLANK($C104),"",IF($Y104=Constants!$B$2,TRUE(),IF($Y104=Constants!$B$3,FALSE(),TRUE())))</f>
        <v/>
      </c>
      <c r="BE104" s="100" t="str">
        <f aca="false">IF(ISBLANK($C104),"",IF($Z104=Constants!$B$2,TRUE(),IF($Z104=Constants!$B$3,FALSE(),FALSE())))</f>
        <v/>
      </c>
      <c r="BF104" s="100" t="str">
        <f aca="false">IF(ISBLANK($C104),"",IF(ISBLANK($AA104),0,IF(ISNUMBER($AA104),IF(AND($AA104&gt;=0,$AA104&lt;=Constants!$B$35,$AA104=INT($AA104)),$AA104,""),"")))</f>
        <v/>
      </c>
      <c r="BG104" s="100" t="str">
        <f aca="false">IF(ISBLANK($C104),"",IF($AB104=Constants!$B$2,TRUE(),IF($AB104=Constants!$B$3,FALSE(),TRUE())))</f>
        <v/>
      </c>
      <c r="BH104" s="100" t="str">
        <f aca="false">IF(ISBLANK($C104),"",IF($AC104=Constants!$B$2,TRUE(),IF($AC104=Constants!$B$3,FALSE(),TRUE())))</f>
        <v/>
      </c>
      <c r="BI104" s="100" t="str">
        <f aca="false">IF(ISBLANK($C104),"",IF($AD104=Constants!$B$2,TRUE(),IF($AD104=Constants!$B$3,FALSE(),TRUE())))</f>
        <v/>
      </c>
      <c r="BJ104" s="100" t="str">
        <f aca="false">IF(ISBLANK($C104),"",IF(ISNUMBER($AE104),IF($AE104&gt;=0,$AE104,""),""))</f>
        <v/>
      </c>
      <c r="BK104" s="100" t="str">
        <f aca="false">IF(ISBLANK($C104),"",IF($AF104=Constants!$B$2,TRUE(),IF($AF104=Constants!$B$3,FALSE(),FALSE())))</f>
        <v/>
      </c>
      <c r="BL104" s="99" t="str">
        <f aca="false">IF(ISBLANK($C104),"",IF($BK104,Constants!$B$7,IF(COUNTA($E104:$AE104)=0,Constants!$B$6,IF(OR(COUNTA($G104:$AE104)=0,NOT($AM104),$AS104),Constants!$B$5,IF(OR($CM104&lt;&gt;"",$CN104,$CO104,$CP104,$CQ104,$CR104,$CS104),Constants!$B$8,Constants!$B$4)))))</f>
        <v/>
      </c>
      <c r="BM104" s="100" t="str">
        <f aca="false">IF(ISBLANK($C104),"",IF($BL104&lt;&gt;Constants!$B$4,$BL104,IF(OR(NOT($AJ104),NOT($AL104),NOT($AT104)),Constants!$B$11,IF(OR(NOT($AR104),NOT($AU104),NOT($BI104),MAX($AN104,$AO104,$AP104)&gt;Constants!$B$30),Constants!$B$10,Constants!$B$9))))</f>
        <v/>
      </c>
      <c r="BN104" s="100" t="str">
        <f aca="false">IF($BL104&lt;&gt;Constants!$B$4,"",IF(NOT($AL104),0,MIN(Constants!$B$35,$BF104)))</f>
        <v/>
      </c>
      <c r="BO104" s="100" t="str">
        <f aca="false">IF($BL104&lt;&gt;Constants!$B$4,"",IF(NOT($AL104),0,IF($AW104,Constants!$B$18,IF($AV104,Constants!$B$17,0))))</f>
        <v/>
      </c>
      <c r="BP104" s="100" t="str">
        <f aca="false">IF($BL104&lt;&gt;Constants!$B$4,"",IF(NOT($AL104),0,Constants!$B$19*($AK104+$AX104+$AY104+$AZ104)))</f>
        <v/>
      </c>
      <c r="BQ104" s="100" t="str">
        <f aca="false">IF($BL104&lt;&gt;Constants!$B$4,"",IF(OR(NOT($AL104),NOT(ISNUMBER($BA104))),0,CHOOSE($BA104,Constants!$B$13,Constants!$B$14,Constants!$B$15,Constants!$B$16)))</f>
        <v/>
      </c>
      <c r="BR104" s="100" t="str">
        <f aca="false">IF($BL104&lt;&gt;Constants!$B$4,"",IF(NOT($AL104),0,Constants!$B$20*$BB104))</f>
        <v/>
      </c>
      <c r="BS104" s="100" t="str">
        <f aca="false">IF($BL104&lt;&gt;Constants!$B$4,"",IF(AND($AL104,$BD104,$BE104),Constants!$B$22,0))</f>
        <v/>
      </c>
      <c r="BT104" s="100" t="str">
        <f aca="false">IF($BL104&lt;&gt;Constants!$B$4,"",IF(OR(NOT($AL104),NOT($BD104)),0,IF($BJ104&gt;=2*$AH$9,0,Constants!$B$23*INT(ROUND(MIN($BJ104,$AH$9),6)))))</f>
        <v/>
      </c>
      <c r="BU104" s="100" t="str">
        <f aca="false">IF($BL104&lt;&gt;Constants!$B$4,"",IF(NOT($AL104),0,Constants!$B$24*INT(ROUND(MIN($BC104,$AH$9),6))))</f>
        <v/>
      </c>
      <c r="BV104" s="100" t="str">
        <f aca="false">IF($BL104&lt;&gt;Constants!$B$4,"",IF(AND($AL104,$BN104=0),Constants!$B$25,0))</f>
        <v/>
      </c>
      <c r="BW104" s="100" t="str">
        <f aca="false">IF($BL104&lt;&gt;Constants!$B$4,"",MIN(Constants!$B$29,MAX(0,Constants!$B$27*Constants!$B$28*INT(ROUND((Constants!$B$26-$AN104)/Constants!$B$28,6))))+MIN(Constants!$B$29,MAX(0,Constants!$B$27*Constants!$B$28*INT(ROUND((Constants!$B$26-$AO104)/Constants!$B$28,6))))+MIN(Constants!$B$29,MAX(0,Constants!$B$27*Constants!$B$28*INT(ROUND((Constants!$B$26-$AP104)/Constants!$B$28,6)))))</f>
        <v/>
      </c>
      <c r="BX104" s="100" t="str">
        <f aca="false">IF($BL104&lt;&gt;Constants!$B$4,"",IF(NOT($AL104),0,Constants!$B$31*INT(ROUND(MAX(0,MIN($BJ104,2*$AH$9)-$AH$9),6))))</f>
        <v/>
      </c>
      <c r="BY104" s="100" t="str">
        <f aca="false">IF($BL104&lt;&gt;Constants!$B$4,"",Constants!$B$32*(($AN104&gt;Constants!$B$26)+($AO104&gt;Constants!$B$26)+($AP104&gt;Constants!$B$26)))</f>
        <v/>
      </c>
      <c r="BZ104" s="100" t="str">
        <f aca="false">IF($BL104&lt;&gt;Constants!$B$4,"",IF(OR(NOT($AL104),$AQ104),0,Constants!$B$33))</f>
        <v/>
      </c>
      <c r="CA104" s="100" t="str">
        <f aca="false">IF($BL104&lt;&gt;Constants!$B$4,"",Constants!$B$34*$BN104)</f>
        <v/>
      </c>
      <c r="CB104" s="100" t="str">
        <f aca="false">IF($BL104&lt;&gt;Constants!$B$4,"",IF(OR(NOT($AL104),$BH104),0,Constants!$B$36))</f>
        <v/>
      </c>
      <c r="CC104" s="100" t="str">
        <f aca="false">IF($BL104&lt;&gt;Constants!$B$4,"",IF(OR(NOT($AL104),$BG104),0,Constants!$B$37))</f>
        <v/>
      </c>
      <c r="CD104" s="100" t="str">
        <f aca="false">IF($BL104&lt;&gt;Constants!$B$4,"",SUM($BX104:$CC104))</f>
        <v/>
      </c>
      <c r="CE104" s="100" t="str">
        <f aca="false">IF(ISBLANK($C104),"",IF($BL104&lt;&gt;Constants!$B$4,$BL104,SUM($BO104:$BW104)-$CD104))</f>
        <v/>
      </c>
      <c r="CF104" s="100" t="str">
        <f aca="false">IF(ISBLANK($C104),"",IF($BL104&lt;&gt;Constants!$B$4,$BL104,RANK($CE104,$CE$9:$CE$508)))</f>
        <v/>
      </c>
      <c r="CG104" s="100" t="str">
        <f aca="false">IF(ISBLANK($C104),"",IF($BL104&lt;&gt;Constants!$B$4,$BL104,COUNTIFS($BM$9:$BM$508,"&lt;"&amp;$BM104)+COUNTIFS($BM$9:$BM$508,$BM104,$CF$9:$CF$508,"&lt;"&amp;$CF104)+1))</f>
        <v/>
      </c>
      <c r="CH104" s="100" t="str">
        <f aca="false">IF(ISBLANK($C104),"",IF($BL104&lt;&gt;Constants!$B$4,$BL104,RANK($CD104,$CD$9:$CD$508,1)))</f>
        <v/>
      </c>
      <c r="CI104" s="100" t="str">
        <f aca="false">IF($BL104&lt;&gt;Constants!$B$4,"",$AN104+$AO104+$AP104)</f>
        <v/>
      </c>
      <c r="CJ104" s="100" t="str">
        <f aca="false">IF(ISBLANK($C104),"",IF($BL104&lt;&gt;Constants!$B$4,$BL104,RANK($CI104,$CI$9:$CI$508,1)))</f>
        <v/>
      </c>
      <c r="CK104" s="100" t="str">
        <f aca="false">IF(ISBLANK($C104),"",IF($BL104&lt;&gt;Constants!$B$4,$BL104,COUNTIFS($BM$9:$BM$508,"&lt;"&amp;$BM104)+COUNTIFS($BM$9:$BM$508,$BM104,$CF$9:$CF$508,"&lt;"&amp;$CF104)+COUNTIFS($BM$9:$BM$508,$BM104,$CF$9:$CF$508,$CF104,$CH$9:$CH$508,"&lt;"&amp;$CH104)+COUNTIFS($BM$9:$BM$508,$BM104,$CF$9:$CF$508,$CF104,$CH$9:$CH$508,$CH104,$CJ$9:$CJ$508,"&lt;"&amp;$CJ104)+1))</f>
        <v/>
      </c>
      <c r="CL104" s="100" t="str">
        <f aca="false">IF(ISBLANK($C104),"",IF($BL104&lt;&gt;Constants!$B$4,$BL104,$CG104-$CK104))</f>
        <v/>
      </c>
      <c r="CM104" s="100" t="str">
        <f aca="false">IF(ISBLANK($C104),"",IF(NOT($AL104),"",IF(ISBLANK($D$7),$CM$5,IF(NOT(ISNUMBER($D$7)),$CM$6,""))))</f>
        <v/>
      </c>
      <c r="CN104" s="100" t="str">
        <f aca="false">IF(ISBLANK($C104),"",OR($AN104="",$AO104="",$AP104=""))</f>
        <v/>
      </c>
      <c r="CO104" s="100" t="str">
        <f aca="false">IF(ISBLANK($C104),"",AND($AL104,$BA104=""))</f>
        <v/>
      </c>
      <c r="CP104" s="100" t="str">
        <f aca="false">IF(ISBLANK($C104),"",AND($AL104,$BB104=""))</f>
        <v/>
      </c>
      <c r="CQ104" s="100" t="str">
        <f aca="false">IF(ISBLANK($C104),"",AND($AL104,$BC104=""))</f>
        <v/>
      </c>
      <c r="CR104" s="100" t="str">
        <f aca="false">IF(ISBLANK($C104),"",AND($AL104,$BF104=""))</f>
        <v/>
      </c>
      <c r="CS104" s="100" t="str">
        <f aca="false">IF(ISBLANK($C104),"",AND($AL104,$BJ104=""))</f>
        <v/>
      </c>
      <c r="CT104" s="101"/>
      <c r="CU104" s="102"/>
      <c r="CV104" s="103" t="str">
        <f aca="false">IF(ISBLANK($C104),"",IF($BL104=Constants!$B$8,$CM104,""))</f>
        <v/>
      </c>
      <c r="CW104" s="102" t="str">
        <f aca="false">IF(ISBLANK($C104),"",IF($BL104&lt;&gt;Constants!$B$4,"",$BO104+$BP104))</f>
        <v/>
      </c>
      <c r="CX104" s="104" t="str">
        <f aca="false">IF(ISBLANK($C104),"",IF($BL104&lt;&gt;Constants!$B$4,"",$BQ104+$BR104+$BS104))</f>
        <v/>
      </c>
      <c r="CY104" s="104" t="str">
        <f aca="false">IF(ISBLANK($C104),"",IF($BL104&lt;&gt;Constants!$B$4,"",$BT104))</f>
        <v/>
      </c>
      <c r="CZ104" s="104" t="str">
        <f aca="false">IF(ISBLANK($C104),"",IF($BL104&lt;&gt;Constants!$B$4,"",$BU104+$BV104))</f>
        <v/>
      </c>
      <c r="DA104" s="104" t="str">
        <f aca="false">IF(ISBLANK($C104),"",IF($BL104&lt;&gt;Constants!$B$4,"",$BW104))</f>
        <v/>
      </c>
      <c r="DB104" s="104" t="str">
        <f aca="false">IF(ISBLANK($C104),"",IF($BL104&lt;&gt;Constants!$B$4,"",-$CD104))</f>
        <v/>
      </c>
      <c r="DC104" s="103" t="str">
        <f aca="false">IF(ISBLANK($C104),"",$CE104)</f>
        <v/>
      </c>
      <c r="DD104" s="105" t="str">
        <f aca="false">IF(ISBLANK($C104),"",$BM104)</f>
        <v/>
      </c>
      <c r="DE104" s="104" t="str">
        <f aca="false">IF(ISBLANK($C104),"",$CL104)</f>
        <v/>
      </c>
      <c r="DF104" s="104" t="str">
        <f aca="false">IF(ISBLANK($C104),"",$CK104)</f>
        <v/>
      </c>
      <c r="DG104" s="106" t="str">
        <f aca="false">IF(ISBLANK($C104),"",IF($DF104=Constants!$B$7,COUNTA($C$9:$C$508)+2,IF($DF104=Constants!$B$6,COUNTA($C$9:$C$508)+1,IF($DF104=Constants!$B$5,COUNTA($C$9:$C$508),$DF104))))</f>
        <v/>
      </c>
      <c r="DH104" s="7"/>
      <c r="DI104" s="107" t="n">
        <f aca="false">IF(OR(ISNUMBER($DF104),$DF104=Constants!$B$7,$DF104=Constants!$B$5,$DF104=Constants!$B$6),1,0)</f>
        <v>0</v>
      </c>
      <c r="DJ104" s="107" t="n">
        <v>96</v>
      </c>
      <c r="DK104" s="107" t="str">
        <f aca="false">IF(ISBLANK($C104),"",IF(ISNUMBER($DG104),$DG104+ROW($B104)/1000,""))</f>
        <v/>
      </c>
      <c r="DL104" s="107" t="str">
        <f aca="false">IF(ISNUMBER($DK104),RANK($DK104,$DK$9:$DK$508,1),"")</f>
        <v/>
      </c>
      <c r="DM104" s="107" t="str">
        <f aca="false">IF(ISBLANK($C104),"",$B104)</f>
        <v/>
      </c>
      <c r="DN104" s="107" t="str">
        <f aca="false">IF(ISBLANK($C104),"",$C104)</f>
        <v/>
      </c>
      <c r="DO104" s="107" t="str">
        <f aca="false">IF(ISBLANK($C104),"",$D104)</f>
        <v/>
      </c>
      <c r="DP104" s="108" t="str">
        <f aca="false">$DD104</f>
        <v/>
      </c>
      <c r="DQ104" s="109" t="str">
        <f aca="false">$DC104</f>
        <v/>
      </c>
      <c r="DR104" s="107" t="str">
        <f aca="false">IF(ISBLANK($C104),"",$DF104)</f>
        <v/>
      </c>
      <c r="DS104" s="110" t="str">
        <f aca="false">IF($DJ104&gt;$DI$8,"",VLOOKUP($DJ104,$DL$9:$DR$508,7,FALSE()))</f>
        <v/>
      </c>
      <c r="DT104" s="111" t="str">
        <f aca="false">IF($DJ104&gt;$DI$8,"",VLOOKUP($DJ104,$DL$9:$DR$508,2,FALSE()))</f>
        <v/>
      </c>
      <c r="DU104" s="111" t="str">
        <f aca="false">IF($DJ104&gt;$DI$8,"",VLOOKUP($DJ104,$DL$9:$DR$508,3,FALSE()))</f>
        <v/>
      </c>
      <c r="DV104" s="111" t="str">
        <f aca="false">IF($DJ104&gt;$DI$8,"",VLOOKUP($DJ104,$DL$9:$DR$508,4,FALSE()))</f>
        <v/>
      </c>
      <c r="DW104" s="111" t="str">
        <f aca="false">IF($DJ104&gt;$DI$8,"",VLOOKUP($DJ104,$DL$9:$DR$508,5,FALSE()))</f>
        <v/>
      </c>
      <c r="DX104" s="112" t="str">
        <f aca="false">IF($DJ104&gt;$DI$8,"",VLOOKUP($DJ104,$DL$9:$DR$508,6,FALSE()))</f>
        <v/>
      </c>
      <c r="DY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88"/>
      <c r="N105" s="88"/>
      <c r="O105" s="134"/>
      <c r="P105" s="134"/>
      <c r="Q105" s="88"/>
      <c r="R105" s="88"/>
      <c r="S105" s="88"/>
      <c r="T105" s="88"/>
      <c r="U105" s="134"/>
      <c r="V105" s="88"/>
      <c r="W105" s="70"/>
      <c r="X105" s="88"/>
      <c r="Y105" s="88"/>
      <c r="Z105" s="70"/>
      <c r="AA105" s="70"/>
      <c r="AB105" s="88"/>
      <c r="AC105" s="88"/>
      <c r="AD105" s="88"/>
      <c r="AE105" s="71"/>
      <c r="AF105" s="88"/>
      <c r="AG105" s="73"/>
      <c r="AH105" s="74"/>
      <c r="AI105" s="74"/>
      <c r="AJ105" s="74" t="str">
        <f aca="false">IF(ISBLANK($C105),"",IF($E105=Constants!$B$2,TRUE(),IF($E105=Constants!$B$3,FALSE(),TRUE())))</f>
        <v/>
      </c>
      <c r="AK105" s="74" t="str">
        <f aca="false">IF(ISBLANK($C105),"",IF($F105=Constants!$B$2,TRUE(),IF($F105=Constants!$B$3,FALSE(),FALSE())))</f>
        <v/>
      </c>
      <c r="AL105" s="74" t="str">
        <f aca="false">IF(ISBLANK($C105),"",IF($G105=Constants!$B$2,TRUE(),IF($G105=Constants!$B$3,FALSE(),TRUE())))</f>
        <v/>
      </c>
      <c r="AM105" s="74" t="str">
        <f aca="false">IF(ISBLANK($C105),"",IF($H105=Constants!$B$2,TRUE(),IF($H105=Constants!$B$3,FALSE(),TRUE())))</f>
        <v/>
      </c>
      <c r="AN105" s="74" t="str">
        <f aca="false">IF(ISBLANK($C105),"",IF(ISNUMBER($I105),IF($I105&gt;=0,$I105,""),""))</f>
        <v/>
      </c>
      <c r="AO105" s="74" t="str">
        <f aca="false">IF(ISBLANK($C105),"",IF(ISNUMBER($J105),IF($J105&gt;=0,$J105,""),""))</f>
        <v/>
      </c>
      <c r="AP105" s="74" t="str">
        <f aca="false">IF(ISBLANK($C105),"",IF(ISNUMBER($K105),IF($K105&gt;=0,$K105,""),""))</f>
        <v/>
      </c>
      <c r="AQ105" s="74" t="str">
        <f aca="false">IF(ISBLANK($C105),"",IF($L105=Constants!$B$2,TRUE(),IF($L105=Constants!$B$3,FALSE(),TRUE())))</f>
        <v/>
      </c>
      <c r="AR105" s="74" t="str">
        <f aca="false">IF(ISBLANK($C105),"",IF($M105=Constants!$B$2,TRUE(),IF($M105=Constants!$B$3,FALSE(),TRUE())))</f>
        <v/>
      </c>
      <c r="AS105" s="74" t="str">
        <f aca="false">IF(ISBLANK($C105),"",IF($N105=Constants!$B$2,TRUE(),IF($N105=Constants!$B$3,FALSE(),FALSE())))</f>
        <v/>
      </c>
      <c r="AT105" s="74" t="str">
        <f aca="false">IF(ISBLANK($C105),"",IF($O105=Constants!$B$2,TRUE(),IF($O105=Constants!$B$3,FALSE(),TRUE())))</f>
        <v/>
      </c>
      <c r="AU105" s="74" t="str">
        <f aca="false">IF(ISBLANK($C105),"",IF($P105=Constants!$B$2,TRUE(),IF($P105=Constants!$B$3,FALSE(),TRUE())))</f>
        <v/>
      </c>
      <c r="AV105" s="74" t="str">
        <f aca="false">IF(ISBLANK($C105),"",IF($Q105=Constants!$B$2,TRUE(),IF($Q105=Constants!$B$3,FALSE(),FALSE())))</f>
        <v/>
      </c>
      <c r="AW105" s="74" t="str">
        <f aca="false">IF(ISBLANK($C105),"",IF($R105=Constants!$B$2,TRUE(),IF($R105=Constants!$B$3,FALSE(),FALSE())))</f>
        <v/>
      </c>
      <c r="AX105" s="74" t="str">
        <f aca="false">IF(ISBLANK($C105),"",IF($S105=Constants!$B$2,TRUE(),IF($S105=Constants!$B$3,FALSE(),FALSE())))</f>
        <v/>
      </c>
      <c r="AY105" s="74" t="str">
        <f aca="false">IF(ISBLANK($C105),"",IF($T105=Constants!$B$2,TRUE(),IF($T105=Constants!$B$3,FALSE(),FALSE())))</f>
        <v/>
      </c>
      <c r="AZ105" s="74" t="str">
        <f aca="false">IF(ISBLANK($C105),"",IF($U105=Constants!$B$2,TRUE(),IF($U105=Constants!$B$3,FALSE(),FALSE())))</f>
        <v/>
      </c>
      <c r="BA105" s="74" t="str">
        <f aca="false">IF(ISBLANK($C105),"",IF(OR($V105&amp;""="1",$V105&amp;""="2",$V105&amp;""="3",$V105&amp;""="4"),VALUE($V105&amp;""),IF($V105=Constants!$B$12,Constants!$B$12,"")))</f>
        <v/>
      </c>
      <c r="BB105" s="74" t="str">
        <f aca="false">IF(ISBLANK($C105),"",IF(ISBLANK($W105),0,IF(ISNUMBER($W105),IF(AND($W105&gt;=0,$W105&lt;=Constants!$B$21,$W105=INT($W105)),$W105,""),"")))</f>
        <v/>
      </c>
      <c r="BC105" s="74" t="str">
        <f aca="false">IF(ISBLANK($C105),"",IF(ISBLANK($X105),0,IF(ISNUMBER($X105),IF($X105&gt;=0,$X105,""),"")))</f>
        <v/>
      </c>
      <c r="BD105" s="74" t="str">
        <f aca="false">IF(ISBLANK($C105),"",IF($Y105=Constants!$B$2,TRUE(),IF($Y105=Constants!$B$3,FALSE(),TRUE())))</f>
        <v/>
      </c>
      <c r="BE105" s="74" t="str">
        <f aca="false">IF(ISBLANK($C105),"",IF($Z105=Constants!$B$2,TRUE(),IF($Z105=Constants!$B$3,FALSE(),FALSE())))</f>
        <v/>
      </c>
      <c r="BF105" s="74" t="str">
        <f aca="false">IF(ISBLANK($C105),"",IF(ISBLANK($AA105),0,IF(ISNUMBER($AA105),IF(AND($AA105&gt;=0,$AA105&lt;=Constants!$B$35,$AA105=INT($AA105)),$AA105,""),"")))</f>
        <v/>
      </c>
      <c r="BG105" s="74" t="str">
        <f aca="false">IF(ISBLANK($C105),"",IF($AB105=Constants!$B$2,TRUE(),IF($AB105=Constants!$B$3,FALSE(),TRUE())))</f>
        <v/>
      </c>
      <c r="BH105" s="74" t="str">
        <f aca="false">IF(ISBLANK($C105),"",IF($AC105=Constants!$B$2,TRUE(),IF($AC105=Constants!$B$3,FALSE(),TRUE())))</f>
        <v/>
      </c>
      <c r="BI105" s="74" t="str">
        <f aca="false">IF(ISBLANK($C105),"",IF($AD105=Constants!$B$2,TRUE(),IF($AD105=Constants!$B$3,FALSE(),TRUE())))</f>
        <v/>
      </c>
      <c r="BJ105" s="74" t="str">
        <f aca="false">IF(ISBLANK($C105),"",IF(ISNUMBER($AE105),IF($AE105&gt;=0,$AE105,""),""))</f>
        <v/>
      </c>
      <c r="BK105" s="74" t="str">
        <f aca="false">IF(ISBLANK($C105),"",IF($AF105=Constants!$B$2,TRUE(),IF($AF105=Constants!$B$3,FALSE(),FALSE())))</f>
        <v/>
      </c>
      <c r="BL105" s="73" t="str">
        <f aca="false">IF(ISBLANK($C105),"",IF($BK105,Constants!$B$7,IF(COUNTA($E105:$AE105)=0,Constants!$B$6,IF(OR(COUNTA($G105:$AE105)=0,NOT($AM105),$AS105),Constants!$B$5,IF(OR($CM105&lt;&gt;"",$CN105,$CO105,$CP105,$CQ105,$CR105,$CS105),Constants!$B$8,Constants!$B$4)))))</f>
        <v/>
      </c>
      <c r="BM105" s="74" t="str">
        <f aca="false">IF(ISBLANK($C105),"",IF($BL105&lt;&gt;Constants!$B$4,$BL105,IF(OR(NOT($AJ105),NOT($AL105),NOT($AT105)),Constants!$B$11,IF(OR(NOT($AR105),NOT($AU105),NOT($BI105),MAX($AN105,$AO105,$AP105)&gt;Constants!$B$30),Constants!$B$10,Constants!$B$9))))</f>
        <v/>
      </c>
      <c r="BN105" s="74" t="str">
        <f aca="false">IF($BL105&lt;&gt;Constants!$B$4,"",IF(NOT($AL105),0,MIN(Constants!$B$35,$BF105)))</f>
        <v/>
      </c>
      <c r="BO105" s="74" t="str">
        <f aca="false">IF($BL105&lt;&gt;Constants!$B$4,"",IF(NOT($AL105),0,IF($AW105,Constants!$B$18,IF($AV105,Constants!$B$17,0))))</f>
        <v/>
      </c>
      <c r="BP105" s="74" t="str">
        <f aca="false">IF($BL105&lt;&gt;Constants!$B$4,"",IF(NOT($AL105),0,Constants!$B$19*($AK105+$AX105+$AY105+$AZ105)))</f>
        <v/>
      </c>
      <c r="BQ105" s="74" t="str">
        <f aca="false">IF($BL105&lt;&gt;Constants!$B$4,"",IF(OR(NOT($AL105),NOT(ISNUMBER($BA105))),0,CHOOSE($BA105,Constants!$B$13,Constants!$B$14,Constants!$B$15,Constants!$B$16)))</f>
        <v/>
      </c>
      <c r="BR105" s="74" t="str">
        <f aca="false">IF($BL105&lt;&gt;Constants!$B$4,"",IF(NOT($AL105),0,Constants!$B$20*$BB105))</f>
        <v/>
      </c>
      <c r="BS105" s="74" t="str">
        <f aca="false">IF($BL105&lt;&gt;Constants!$B$4,"",IF(AND($AL105,$BD105,$BE105),Constants!$B$22,0))</f>
        <v/>
      </c>
      <c r="BT105" s="74" t="str">
        <f aca="false">IF($BL105&lt;&gt;Constants!$B$4,"",IF(OR(NOT($AL105),NOT($BD105)),0,IF($BJ105&gt;=2*$AH$9,0,Constants!$B$23*INT(ROUND(MIN($BJ105,$AH$9),6)))))</f>
        <v/>
      </c>
      <c r="BU105" s="74" t="str">
        <f aca="false">IF($BL105&lt;&gt;Constants!$B$4,"",IF(NOT($AL105),0,Constants!$B$24*INT(ROUND(MIN($BC105,$AH$9),6))))</f>
        <v/>
      </c>
      <c r="BV105" s="74" t="str">
        <f aca="false">IF($BL105&lt;&gt;Constants!$B$4,"",IF(AND($AL105,$BN105=0),Constants!$B$25,0))</f>
        <v/>
      </c>
      <c r="BW105" s="74" t="str">
        <f aca="false">IF($BL105&lt;&gt;Constants!$B$4,"",MIN(Constants!$B$29,MAX(0,Constants!$B$27*Constants!$B$28*INT(ROUND((Constants!$B$26-$AN105)/Constants!$B$28,6))))+MIN(Constants!$B$29,MAX(0,Constants!$B$27*Constants!$B$28*INT(ROUND((Constants!$B$26-$AO105)/Constants!$B$28,6))))+MIN(Constants!$B$29,MAX(0,Constants!$B$27*Constants!$B$28*INT(ROUND((Constants!$B$26-$AP105)/Constants!$B$28,6)))))</f>
        <v/>
      </c>
      <c r="BX105" s="74" t="str">
        <f aca="false">IF($BL105&lt;&gt;Constants!$B$4,"",IF(NOT($AL105),0,Constants!$B$31*INT(ROUND(MAX(0,MIN($BJ105,2*$AH$9)-$AH$9),6))))</f>
        <v/>
      </c>
      <c r="BY105" s="74" t="str">
        <f aca="false">IF($BL105&lt;&gt;Constants!$B$4,"",Constants!$B$32*(($AN105&gt;Constants!$B$26)+($AO105&gt;Constants!$B$26)+($AP105&gt;Constants!$B$26)))</f>
        <v/>
      </c>
      <c r="BZ105" s="74" t="str">
        <f aca="false">IF($BL105&lt;&gt;Constants!$B$4,"",IF(OR(NOT($AL105),$AQ105),0,Constants!$B$33))</f>
        <v/>
      </c>
      <c r="CA105" s="74" t="str">
        <f aca="false">IF($BL105&lt;&gt;Constants!$B$4,"",Constants!$B$34*$BN105)</f>
        <v/>
      </c>
      <c r="CB105" s="74" t="str">
        <f aca="false">IF($BL105&lt;&gt;Constants!$B$4,"",IF(OR(NOT($AL105),$BH105),0,Constants!$B$36))</f>
        <v/>
      </c>
      <c r="CC105" s="74" t="str">
        <f aca="false">IF($BL105&lt;&gt;Constants!$B$4,"",IF(OR(NOT($AL105),$BG105),0,Constants!$B$37))</f>
        <v/>
      </c>
      <c r="CD105" s="74" t="str">
        <f aca="false">IF($BL105&lt;&gt;Constants!$B$4,"",SUM($BX105:$CC105))</f>
        <v/>
      </c>
      <c r="CE105" s="74" t="str">
        <f aca="false">IF(ISBLANK($C105),"",IF($BL105&lt;&gt;Constants!$B$4,$BL105,SUM($BO105:$BW105)-$CD105))</f>
        <v/>
      </c>
      <c r="CF105" s="74" t="str">
        <f aca="false">IF(ISBLANK($C105),"",IF($BL105&lt;&gt;Constants!$B$4,$BL105,RANK($CE105,$CE$9:$CE$508)))</f>
        <v/>
      </c>
      <c r="CG105" s="74" t="str">
        <f aca="false">IF(ISBLANK($C105),"",IF($BL105&lt;&gt;Constants!$B$4,$BL105,COUNTIFS($BM$9:$BM$508,"&lt;"&amp;$BM105)+COUNTIFS($BM$9:$BM$508,$BM105,$CF$9:$CF$508,"&lt;"&amp;$CF105)+1))</f>
        <v/>
      </c>
      <c r="CH105" s="74" t="str">
        <f aca="false">IF(ISBLANK($C105),"",IF($BL105&lt;&gt;Constants!$B$4,$BL105,RANK($CD105,$CD$9:$CD$508,1)))</f>
        <v/>
      </c>
      <c r="CI105" s="74" t="str">
        <f aca="false">IF($BL105&lt;&gt;Constants!$B$4,"",$AN105+$AO105+$AP105)</f>
        <v/>
      </c>
      <c r="CJ105" s="74" t="str">
        <f aca="false">IF(ISBLANK($C105),"",IF($BL105&lt;&gt;Constants!$B$4,$BL105,RANK($CI105,$CI$9:$CI$508,1)))</f>
        <v/>
      </c>
      <c r="CK105" s="74" t="str">
        <f aca="false">IF(ISBLANK($C105),"",IF($BL105&lt;&gt;Constants!$B$4,$BL105,COUNTIFS($BM$9:$BM$508,"&lt;"&amp;$BM105)+COUNTIFS($BM$9:$BM$508,$BM105,$CF$9:$CF$508,"&lt;"&amp;$CF105)+COUNTIFS($BM$9:$BM$508,$BM105,$CF$9:$CF$508,$CF105,$CH$9:$CH$508,"&lt;"&amp;$CH105)+COUNTIFS($BM$9:$BM$508,$BM105,$CF$9:$CF$508,$CF105,$CH$9:$CH$508,$CH105,$CJ$9:$CJ$508,"&lt;"&amp;$CJ105)+1))</f>
        <v/>
      </c>
      <c r="CL105" s="74" t="str">
        <f aca="false">IF(ISBLANK($C105),"",IF($BL105&lt;&gt;Constants!$B$4,$BL105,$CG105-$CK105))</f>
        <v/>
      </c>
      <c r="CM105" s="74" t="str">
        <f aca="false">IF(ISBLANK($C105),"",IF(NOT($AL105),"",IF(ISBLANK($D$7),$CM$5,IF(NOT(ISNUMBER($D$7)),$CM$6,""))))</f>
        <v/>
      </c>
      <c r="CN105" s="74" t="str">
        <f aca="false">IF(ISBLANK($C105),"",OR($AN105="",$AO105="",$AP105=""))</f>
        <v/>
      </c>
      <c r="CO105" s="74" t="str">
        <f aca="false">IF(ISBLANK($C105),"",AND($AL105,$BA105=""))</f>
        <v/>
      </c>
      <c r="CP105" s="74" t="str">
        <f aca="false">IF(ISBLANK($C105),"",AND($AL105,$BB105=""))</f>
        <v/>
      </c>
      <c r="CQ105" s="74" t="str">
        <f aca="false">IF(ISBLANK($C105),"",AND($AL105,$BC105=""))</f>
        <v/>
      </c>
      <c r="CR105" s="74" t="str">
        <f aca="false">IF(ISBLANK($C105),"",AND($AL105,$BF105=""))</f>
        <v/>
      </c>
      <c r="CS105" s="74" t="str">
        <f aca="false">IF(ISBLANK($C105),"",AND($AL105,$BJ105=""))</f>
        <v/>
      </c>
      <c r="CT105" s="75"/>
      <c r="CU105" s="76"/>
      <c r="CV105" s="79" t="str">
        <f aca="false">IF(ISBLANK($C105),"",IF($BL105=Constants!$B$8,$CM105,""))</f>
        <v/>
      </c>
      <c r="CW105" s="76" t="str">
        <f aca="false">IF(ISBLANK($C105),"",IF($BL105&lt;&gt;Constants!$B$4,"",$BO105+$BP105))</f>
        <v/>
      </c>
      <c r="CX105" s="78" t="str">
        <f aca="false">IF(ISBLANK($C105),"",IF($BL105&lt;&gt;Constants!$B$4,"",$BQ105+$BR105+$BS105))</f>
        <v/>
      </c>
      <c r="CY105" s="78" t="str">
        <f aca="false">IF(ISBLANK($C105),"",IF($BL105&lt;&gt;Constants!$B$4,"",$BT105))</f>
        <v/>
      </c>
      <c r="CZ105" s="78" t="str">
        <f aca="false">IF(ISBLANK($C105),"",IF($BL105&lt;&gt;Constants!$B$4,"",$BU105+$BV105))</f>
        <v/>
      </c>
      <c r="DA105" s="78" t="str">
        <f aca="false">IF(ISBLANK($C105),"",IF($BL105&lt;&gt;Constants!$B$4,"",$BW105))</f>
        <v/>
      </c>
      <c r="DB105" s="78" t="str">
        <f aca="false">IF(ISBLANK($C105),"",IF($BL105&lt;&gt;Constants!$B$4,"",-$CD105))</f>
        <v/>
      </c>
      <c r="DC105" s="79" t="str">
        <f aca="false">IF(ISBLANK($C105),"",$CE105)</f>
        <v/>
      </c>
      <c r="DD105" s="80" t="str">
        <f aca="false">IF(ISBLANK($C105),"",$BM105)</f>
        <v/>
      </c>
      <c r="DE105" s="78" t="str">
        <f aca="false">IF(ISBLANK($C105),"",$CL105)</f>
        <v/>
      </c>
      <c r="DF105" s="78" t="str">
        <f aca="false">IF(ISBLANK($C105),"",$CK105)</f>
        <v/>
      </c>
      <c r="DG105" s="81" t="str">
        <f aca="false">IF(ISBLANK($C105),"",IF($DF105=Constants!$B$7,COUNTA($C$9:$C$508)+2,IF($DF105=Constants!$B$6,COUNTA($C$9:$C$508)+1,IF($DF105=Constants!$B$5,COUNTA($C$9:$C$508),$DF105))))</f>
        <v/>
      </c>
      <c r="DH105" s="7"/>
      <c r="DI105" s="82" t="n">
        <f aca="false">IF(OR(ISNUMBER($DF105),$DF105=Constants!$B$7,$DF105=Constants!$B$5,$DF105=Constants!$B$6),1,0)</f>
        <v>0</v>
      </c>
      <c r="DJ105" s="82" t="n">
        <v>97</v>
      </c>
      <c r="DK105" s="82" t="str">
        <f aca="false">IF(ISBLANK($C105),"",IF(ISNUMBER($DG105),$DG105+ROW($B105)/1000,""))</f>
        <v/>
      </c>
      <c r="DL105" s="82" t="str">
        <f aca="false">IF(ISNUMBER($DK105),RANK($DK105,$DK$9:$DK$508,1),"")</f>
        <v/>
      </c>
      <c r="DM105" s="82" t="str">
        <f aca="false">IF(ISBLANK($C105),"",$B105)</f>
        <v/>
      </c>
      <c r="DN105" s="82" t="str">
        <f aca="false">IF(ISBLANK($C105),"",$C105)</f>
        <v/>
      </c>
      <c r="DO105" s="82" t="str">
        <f aca="false">IF(ISBLANK($C105),"",$D105)</f>
        <v/>
      </c>
      <c r="DP105" s="83" t="str">
        <f aca="false">$DD105</f>
        <v/>
      </c>
      <c r="DQ105" s="84" t="str">
        <f aca="false">$DC105</f>
        <v/>
      </c>
      <c r="DR105" s="82" t="str">
        <f aca="false">IF(ISBLANK($C105),"",$DF105)</f>
        <v/>
      </c>
      <c r="DS105" s="85" t="str">
        <f aca="false">IF($DJ105&gt;$DI$8,"",VLOOKUP($DJ105,$DL$9:$DR$508,7,FALSE()))</f>
        <v/>
      </c>
      <c r="DT105" s="86" t="str">
        <f aca="false">IF($DJ105&gt;$DI$8,"",VLOOKUP($DJ105,$DL$9:$DR$508,2,FALSE()))</f>
        <v/>
      </c>
      <c r="DU105" s="86" t="str">
        <f aca="false">IF($DJ105&gt;$DI$8,"",VLOOKUP($DJ105,$DL$9:$DR$508,3,FALSE()))</f>
        <v/>
      </c>
      <c r="DV105" s="86" t="str">
        <f aca="false">IF($DJ105&gt;$DI$8,"",VLOOKUP($DJ105,$DL$9:$DR$508,4,FALSE()))</f>
        <v/>
      </c>
      <c r="DW105" s="86" t="str">
        <f aca="false">IF($DJ105&gt;$DI$8,"",VLOOKUP($DJ105,$DL$9:$DR$508,5,FALSE()))</f>
        <v/>
      </c>
      <c r="DX105" s="87" t="str">
        <f aca="false">IF($DJ105&gt;$DI$8,"",VLOOKUP($DJ105,$DL$9:$DR$508,6,FALSE()))</f>
        <v/>
      </c>
      <c r="DY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88"/>
      <c r="N106" s="88"/>
      <c r="O106" s="134"/>
      <c r="P106" s="134"/>
      <c r="Q106" s="88"/>
      <c r="R106" s="88"/>
      <c r="S106" s="88"/>
      <c r="T106" s="88"/>
      <c r="U106" s="134"/>
      <c r="V106" s="88"/>
      <c r="W106" s="70"/>
      <c r="X106" s="88"/>
      <c r="Y106" s="88"/>
      <c r="Z106" s="70"/>
      <c r="AA106" s="70"/>
      <c r="AB106" s="88"/>
      <c r="AC106" s="88"/>
      <c r="AD106" s="88"/>
      <c r="AE106" s="71"/>
      <c r="AF106" s="88"/>
      <c r="AG106" s="73"/>
      <c r="AH106" s="74"/>
      <c r="AI106" s="74"/>
      <c r="AJ106" s="74" t="str">
        <f aca="false">IF(ISBLANK($C106),"",IF($E106=Constants!$B$2,TRUE(),IF($E106=Constants!$B$3,FALSE(),TRUE())))</f>
        <v/>
      </c>
      <c r="AK106" s="74" t="str">
        <f aca="false">IF(ISBLANK($C106),"",IF($F106=Constants!$B$2,TRUE(),IF($F106=Constants!$B$3,FALSE(),FALSE())))</f>
        <v/>
      </c>
      <c r="AL106" s="74" t="str">
        <f aca="false">IF(ISBLANK($C106),"",IF($G106=Constants!$B$2,TRUE(),IF($G106=Constants!$B$3,FALSE(),TRUE())))</f>
        <v/>
      </c>
      <c r="AM106" s="74" t="str">
        <f aca="false">IF(ISBLANK($C106),"",IF($H106=Constants!$B$2,TRUE(),IF($H106=Constants!$B$3,FALSE(),TRUE())))</f>
        <v/>
      </c>
      <c r="AN106" s="74" t="str">
        <f aca="false">IF(ISBLANK($C106),"",IF(ISNUMBER($I106),IF($I106&gt;=0,$I106,""),""))</f>
        <v/>
      </c>
      <c r="AO106" s="74" t="str">
        <f aca="false">IF(ISBLANK($C106),"",IF(ISNUMBER($J106),IF($J106&gt;=0,$J106,""),""))</f>
        <v/>
      </c>
      <c r="AP106" s="74" t="str">
        <f aca="false">IF(ISBLANK($C106),"",IF(ISNUMBER($K106),IF($K106&gt;=0,$K106,""),""))</f>
        <v/>
      </c>
      <c r="AQ106" s="74" t="str">
        <f aca="false">IF(ISBLANK($C106),"",IF($L106=Constants!$B$2,TRUE(),IF($L106=Constants!$B$3,FALSE(),TRUE())))</f>
        <v/>
      </c>
      <c r="AR106" s="74" t="str">
        <f aca="false">IF(ISBLANK($C106),"",IF($M106=Constants!$B$2,TRUE(),IF($M106=Constants!$B$3,FALSE(),TRUE())))</f>
        <v/>
      </c>
      <c r="AS106" s="74" t="str">
        <f aca="false">IF(ISBLANK($C106),"",IF($N106=Constants!$B$2,TRUE(),IF($N106=Constants!$B$3,FALSE(),FALSE())))</f>
        <v/>
      </c>
      <c r="AT106" s="74" t="str">
        <f aca="false">IF(ISBLANK($C106),"",IF($O106=Constants!$B$2,TRUE(),IF($O106=Constants!$B$3,FALSE(),TRUE())))</f>
        <v/>
      </c>
      <c r="AU106" s="74" t="str">
        <f aca="false">IF(ISBLANK($C106),"",IF($P106=Constants!$B$2,TRUE(),IF($P106=Constants!$B$3,FALSE(),TRUE())))</f>
        <v/>
      </c>
      <c r="AV106" s="74" t="str">
        <f aca="false">IF(ISBLANK($C106),"",IF($Q106=Constants!$B$2,TRUE(),IF($Q106=Constants!$B$3,FALSE(),FALSE())))</f>
        <v/>
      </c>
      <c r="AW106" s="74" t="str">
        <f aca="false">IF(ISBLANK($C106),"",IF($R106=Constants!$B$2,TRUE(),IF($R106=Constants!$B$3,FALSE(),FALSE())))</f>
        <v/>
      </c>
      <c r="AX106" s="74" t="str">
        <f aca="false">IF(ISBLANK($C106),"",IF($S106=Constants!$B$2,TRUE(),IF($S106=Constants!$B$3,FALSE(),FALSE())))</f>
        <v/>
      </c>
      <c r="AY106" s="74" t="str">
        <f aca="false">IF(ISBLANK($C106),"",IF($T106=Constants!$B$2,TRUE(),IF($T106=Constants!$B$3,FALSE(),FALSE())))</f>
        <v/>
      </c>
      <c r="AZ106" s="74" t="str">
        <f aca="false">IF(ISBLANK($C106),"",IF($U106=Constants!$B$2,TRUE(),IF($U106=Constants!$B$3,FALSE(),FALSE())))</f>
        <v/>
      </c>
      <c r="BA106" s="74" t="str">
        <f aca="false">IF(ISBLANK($C106),"",IF(OR($V106&amp;""="1",$V106&amp;""="2",$V106&amp;""="3",$V106&amp;""="4"),VALUE($V106&amp;""),IF($V106=Constants!$B$12,Constants!$B$12,"")))</f>
        <v/>
      </c>
      <c r="BB106" s="74" t="str">
        <f aca="false">IF(ISBLANK($C106),"",IF(ISBLANK($W106),0,IF(ISNUMBER($W106),IF(AND($W106&gt;=0,$W106&lt;=Constants!$B$21,$W106=INT($W106)),$W106,""),"")))</f>
        <v/>
      </c>
      <c r="BC106" s="74" t="str">
        <f aca="false">IF(ISBLANK($C106),"",IF(ISBLANK($X106),0,IF(ISNUMBER($X106),IF($X106&gt;=0,$X106,""),"")))</f>
        <v/>
      </c>
      <c r="BD106" s="74" t="str">
        <f aca="false">IF(ISBLANK($C106),"",IF($Y106=Constants!$B$2,TRUE(),IF($Y106=Constants!$B$3,FALSE(),TRUE())))</f>
        <v/>
      </c>
      <c r="BE106" s="74" t="str">
        <f aca="false">IF(ISBLANK($C106),"",IF($Z106=Constants!$B$2,TRUE(),IF($Z106=Constants!$B$3,FALSE(),FALSE())))</f>
        <v/>
      </c>
      <c r="BF106" s="74" t="str">
        <f aca="false">IF(ISBLANK($C106),"",IF(ISBLANK($AA106),0,IF(ISNUMBER($AA106),IF(AND($AA106&gt;=0,$AA106&lt;=Constants!$B$35,$AA106=INT($AA106)),$AA106,""),"")))</f>
        <v/>
      </c>
      <c r="BG106" s="74" t="str">
        <f aca="false">IF(ISBLANK($C106),"",IF($AB106=Constants!$B$2,TRUE(),IF($AB106=Constants!$B$3,FALSE(),TRUE())))</f>
        <v/>
      </c>
      <c r="BH106" s="74" t="str">
        <f aca="false">IF(ISBLANK($C106),"",IF($AC106=Constants!$B$2,TRUE(),IF($AC106=Constants!$B$3,FALSE(),TRUE())))</f>
        <v/>
      </c>
      <c r="BI106" s="74" t="str">
        <f aca="false">IF(ISBLANK($C106),"",IF($AD106=Constants!$B$2,TRUE(),IF($AD106=Constants!$B$3,FALSE(),TRUE())))</f>
        <v/>
      </c>
      <c r="BJ106" s="74" t="str">
        <f aca="false">IF(ISBLANK($C106),"",IF(ISNUMBER($AE106),IF($AE106&gt;=0,$AE106,""),""))</f>
        <v/>
      </c>
      <c r="BK106" s="74" t="str">
        <f aca="false">IF(ISBLANK($C106),"",IF($AF106=Constants!$B$2,TRUE(),IF($AF106=Constants!$B$3,FALSE(),FALSE())))</f>
        <v/>
      </c>
      <c r="BL106" s="73" t="str">
        <f aca="false">IF(ISBLANK($C106),"",IF($BK106,Constants!$B$7,IF(COUNTA($E106:$AE106)=0,Constants!$B$6,IF(OR(COUNTA($G106:$AE106)=0,NOT($AM106),$AS106),Constants!$B$5,IF(OR($CM106&lt;&gt;"",$CN106,$CO106,$CP106,$CQ106,$CR106,$CS106),Constants!$B$8,Constants!$B$4)))))</f>
        <v/>
      </c>
      <c r="BM106" s="74" t="str">
        <f aca="false">IF(ISBLANK($C106),"",IF($BL106&lt;&gt;Constants!$B$4,$BL106,IF(OR(NOT($AJ106),NOT($AL106),NOT($AT106)),Constants!$B$11,IF(OR(NOT($AR106),NOT($AU106),NOT($BI106),MAX($AN106,$AO106,$AP106)&gt;Constants!$B$30),Constants!$B$10,Constants!$B$9))))</f>
        <v/>
      </c>
      <c r="BN106" s="74" t="str">
        <f aca="false">IF($BL106&lt;&gt;Constants!$B$4,"",IF(NOT($AL106),0,MIN(Constants!$B$35,$BF106)))</f>
        <v/>
      </c>
      <c r="BO106" s="74" t="str">
        <f aca="false">IF($BL106&lt;&gt;Constants!$B$4,"",IF(NOT($AL106),0,IF($AW106,Constants!$B$18,IF($AV106,Constants!$B$17,0))))</f>
        <v/>
      </c>
      <c r="BP106" s="74" t="str">
        <f aca="false">IF($BL106&lt;&gt;Constants!$B$4,"",IF(NOT($AL106),0,Constants!$B$19*($AK106+$AX106+$AY106+$AZ106)))</f>
        <v/>
      </c>
      <c r="BQ106" s="74" t="str">
        <f aca="false">IF($BL106&lt;&gt;Constants!$B$4,"",IF(OR(NOT($AL106),NOT(ISNUMBER($BA106))),0,CHOOSE($BA106,Constants!$B$13,Constants!$B$14,Constants!$B$15,Constants!$B$16)))</f>
        <v/>
      </c>
      <c r="BR106" s="74" t="str">
        <f aca="false">IF($BL106&lt;&gt;Constants!$B$4,"",IF(NOT($AL106),0,Constants!$B$20*$BB106))</f>
        <v/>
      </c>
      <c r="BS106" s="74" t="str">
        <f aca="false">IF($BL106&lt;&gt;Constants!$B$4,"",IF(AND($AL106,$BD106,$BE106),Constants!$B$22,0))</f>
        <v/>
      </c>
      <c r="BT106" s="74" t="str">
        <f aca="false">IF($BL106&lt;&gt;Constants!$B$4,"",IF(OR(NOT($AL106),NOT($BD106)),0,IF($BJ106&gt;=2*$AH$9,0,Constants!$B$23*INT(ROUND(MIN($BJ106,$AH$9),6)))))</f>
        <v/>
      </c>
      <c r="BU106" s="74" t="str">
        <f aca="false">IF($BL106&lt;&gt;Constants!$B$4,"",IF(NOT($AL106),0,Constants!$B$24*INT(ROUND(MIN($BC106,$AH$9),6))))</f>
        <v/>
      </c>
      <c r="BV106" s="74" t="str">
        <f aca="false">IF($BL106&lt;&gt;Constants!$B$4,"",IF(AND($AL106,$BN106=0),Constants!$B$25,0))</f>
        <v/>
      </c>
      <c r="BW106" s="74" t="str">
        <f aca="false">IF($BL106&lt;&gt;Constants!$B$4,"",MIN(Constants!$B$29,MAX(0,Constants!$B$27*Constants!$B$28*INT(ROUND((Constants!$B$26-$AN106)/Constants!$B$28,6))))+MIN(Constants!$B$29,MAX(0,Constants!$B$27*Constants!$B$28*INT(ROUND((Constants!$B$26-$AO106)/Constants!$B$28,6))))+MIN(Constants!$B$29,MAX(0,Constants!$B$27*Constants!$B$28*INT(ROUND((Constants!$B$26-$AP106)/Constants!$B$28,6)))))</f>
        <v/>
      </c>
      <c r="BX106" s="74" t="str">
        <f aca="false">IF($BL106&lt;&gt;Constants!$B$4,"",IF(NOT($AL106),0,Constants!$B$31*INT(ROUND(MAX(0,MIN($BJ106,2*$AH$9)-$AH$9),6))))</f>
        <v/>
      </c>
      <c r="BY106" s="74" t="str">
        <f aca="false">IF($BL106&lt;&gt;Constants!$B$4,"",Constants!$B$32*(($AN106&gt;Constants!$B$26)+($AO106&gt;Constants!$B$26)+($AP106&gt;Constants!$B$26)))</f>
        <v/>
      </c>
      <c r="BZ106" s="74" t="str">
        <f aca="false">IF($BL106&lt;&gt;Constants!$B$4,"",IF(OR(NOT($AL106),$AQ106),0,Constants!$B$33))</f>
        <v/>
      </c>
      <c r="CA106" s="74" t="str">
        <f aca="false">IF($BL106&lt;&gt;Constants!$B$4,"",Constants!$B$34*$BN106)</f>
        <v/>
      </c>
      <c r="CB106" s="74" t="str">
        <f aca="false">IF($BL106&lt;&gt;Constants!$B$4,"",IF(OR(NOT($AL106),$BH106),0,Constants!$B$36))</f>
        <v/>
      </c>
      <c r="CC106" s="74" t="str">
        <f aca="false">IF($BL106&lt;&gt;Constants!$B$4,"",IF(OR(NOT($AL106),$BG106),0,Constants!$B$37))</f>
        <v/>
      </c>
      <c r="CD106" s="74" t="str">
        <f aca="false">IF($BL106&lt;&gt;Constants!$B$4,"",SUM($BX106:$CC106))</f>
        <v/>
      </c>
      <c r="CE106" s="74" t="str">
        <f aca="false">IF(ISBLANK($C106),"",IF($BL106&lt;&gt;Constants!$B$4,$BL106,SUM($BO106:$BW106)-$CD106))</f>
        <v/>
      </c>
      <c r="CF106" s="74" t="str">
        <f aca="false">IF(ISBLANK($C106),"",IF($BL106&lt;&gt;Constants!$B$4,$BL106,RANK($CE106,$CE$9:$CE$508)))</f>
        <v/>
      </c>
      <c r="CG106" s="74" t="str">
        <f aca="false">IF(ISBLANK($C106),"",IF($BL106&lt;&gt;Constants!$B$4,$BL106,COUNTIFS($BM$9:$BM$508,"&lt;"&amp;$BM106)+COUNTIFS($BM$9:$BM$508,$BM106,$CF$9:$CF$508,"&lt;"&amp;$CF106)+1))</f>
        <v/>
      </c>
      <c r="CH106" s="74" t="str">
        <f aca="false">IF(ISBLANK($C106),"",IF($BL106&lt;&gt;Constants!$B$4,$BL106,RANK($CD106,$CD$9:$CD$508,1)))</f>
        <v/>
      </c>
      <c r="CI106" s="74" t="str">
        <f aca="false">IF($BL106&lt;&gt;Constants!$B$4,"",$AN106+$AO106+$AP106)</f>
        <v/>
      </c>
      <c r="CJ106" s="74" t="str">
        <f aca="false">IF(ISBLANK($C106),"",IF($BL106&lt;&gt;Constants!$B$4,$BL106,RANK($CI106,$CI$9:$CI$508,1)))</f>
        <v/>
      </c>
      <c r="CK106" s="74" t="str">
        <f aca="false">IF(ISBLANK($C106),"",IF($BL106&lt;&gt;Constants!$B$4,$BL106,COUNTIFS($BM$9:$BM$508,"&lt;"&amp;$BM106)+COUNTIFS($BM$9:$BM$508,$BM106,$CF$9:$CF$508,"&lt;"&amp;$CF106)+COUNTIFS($BM$9:$BM$508,$BM106,$CF$9:$CF$508,$CF106,$CH$9:$CH$508,"&lt;"&amp;$CH106)+COUNTIFS($BM$9:$BM$508,$BM106,$CF$9:$CF$508,$CF106,$CH$9:$CH$508,$CH106,$CJ$9:$CJ$508,"&lt;"&amp;$CJ106)+1))</f>
        <v/>
      </c>
      <c r="CL106" s="74" t="str">
        <f aca="false">IF(ISBLANK($C106),"",IF($BL106&lt;&gt;Constants!$B$4,$BL106,$CG106-$CK106))</f>
        <v/>
      </c>
      <c r="CM106" s="74" t="str">
        <f aca="false">IF(ISBLANK($C106),"",IF(NOT($AL106),"",IF(ISBLANK($D$7),$CM$5,IF(NOT(ISNUMBER($D$7)),$CM$6,""))))</f>
        <v/>
      </c>
      <c r="CN106" s="74" t="str">
        <f aca="false">IF(ISBLANK($C106),"",OR($AN106="",$AO106="",$AP106=""))</f>
        <v/>
      </c>
      <c r="CO106" s="74" t="str">
        <f aca="false">IF(ISBLANK($C106),"",AND($AL106,$BA106=""))</f>
        <v/>
      </c>
      <c r="CP106" s="74" t="str">
        <f aca="false">IF(ISBLANK($C106),"",AND($AL106,$BB106=""))</f>
        <v/>
      </c>
      <c r="CQ106" s="74" t="str">
        <f aca="false">IF(ISBLANK($C106),"",AND($AL106,$BC106=""))</f>
        <v/>
      </c>
      <c r="CR106" s="74" t="str">
        <f aca="false">IF(ISBLANK($C106),"",AND($AL106,$BF106=""))</f>
        <v/>
      </c>
      <c r="CS106" s="74" t="str">
        <f aca="false">IF(ISBLANK($C106),"",AND($AL106,$BJ106=""))</f>
        <v/>
      </c>
      <c r="CT106" s="75"/>
      <c r="CU106" s="76"/>
      <c r="CV106" s="79" t="str">
        <f aca="false">IF(ISBLANK($C106),"",IF($BL106=Constants!$B$8,$CM106,""))</f>
        <v/>
      </c>
      <c r="CW106" s="76" t="str">
        <f aca="false">IF(ISBLANK($C106),"",IF($BL106&lt;&gt;Constants!$B$4,"",$BO106+$BP106))</f>
        <v/>
      </c>
      <c r="CX106" s="78" t="str">
        <f aca="false">IF(ISBLANK($C106),"",IF($BL106&lt;&gt;Constants!$B$4,"",$BQ106+$BR106+$BS106))</f>
        <v/>
      </c>
      <c r="CY106" s="78" t="str">
        <f aca="false">IF(ISBLANK($C106),"",IF($BL106&lt;&gt;Constants!$B$4,"",$BT106))</f>
        <v/>
      </c>
      <c r="CZ106" s="78" t="str">
        <f aca="false">IF(ISBLANK($C106),"",IF($BL106&lt;&gt;Constants!$B$4,"",$BU106+$BV106))</f>
        <v/>
      </c>
      <c r="DA106" s="78" t="str">
        <f aca="false">IF(ISBLANK($C106),"",IF($BL106&lt;&gt;Constants!$B$4,"",$BW106))</f>
        <v/>
      </c>
      <c r="DB106" s="78" t="str">
        <f aca="false">IF(ISBLANK($C106),"",IF($BL106&lt;&gt;Constants!$B$4,"",-$CD106))</f>
        <v/>
      </c>
      <c r="DC106" s="79" t="str">
        <f aca="false">IF(ISBLANK($C106),"",$CE106)</f>
        <v/>
      </c>
      <c r="DD106" s="80" t="str">
        <f aca="false">IF(ISBLANK($C106),"",$BM106)</f>
        <v/>
      </c>
      <c r="DE106" s="78" t="str">
        <f aca="false">IF(ISBLANK($C106),"",$CL106)</f>
        <v/>
      </c>
      <c r="DF106" s="78" t="str">
        <f aca="false">IF(ISBLANK($C106),"",$CK106)</f>
        <v/>
      </c>
      <c r="DG106" s="81" t="str">
        <f aca="false">IF(ISBLANK($C106),"",IF($DF106=Constants!$B$7,COUNTA($C$9:$C$508)+2,IF($DF106=Constants!$B$6,COUNTA($C$9:$C$508)+1,IF($DF106=Constants!$B$5,COUNTA($C$9:$C$508),$DF106))))</f>
        <v/>
      </c>
      <c r="DH106" s="7"/>
      <c r="DI106" s="82" t="n">
        <f aca="false">IF(OR(ISNUMBER($DF106),$DF106=Constants!$B$7,$DF106=Constants!$B$5,$DF106=Constants!$B$6),1,0)</f>
        <v>0</v>
      </c>
      <c r="DJ106" s="82" t="n">
        <v>98</v>
      </c>
      <c r="DK106" s="82" t="str">
        <f aca="false">IF(ISBLANK($C106),"",IF(ISNUMBER($DG106),$DG106+ROW($B106)/1000,""))</f>
        <v/>
      </c>
      <c r="DL106" s="82" t="str">
        <f aca="false">IF(ISNUMBER($DK106),RANK($DK106,$DK$9:$DK$508,1),"")</f>
        <v/>
      </c>
      <c r="DM106" s="82" t="str">
        <f aca="false">IF(ISBLANK($C106),"",$B106)</f>
        <v/>
      </c>
      <c r="DN106" s="82" t="str">
        <f aca="false">IF(ISBLANK($C106),"",$C106)</f>
        <v/>
      </c>
      <c r="DO106" s="82" t="str">
        <f aca="false">IF(ISBLANK($C106),"",$D106)</f>
        <v/>
      </c>
      <c r="DP106" s="83" t="str">
        <f aca="false">$DD106</f>
        <v/>
      </c>
      <c r="DQ106" s="84" t="str">
        <f aca="false">$DC106</f>
        <v/>
      </c>
      <c r="DR106" s="82" t="str">
        <f aca="false">IF(ISBLANK($C106),"",$DF106)</f>
        <v/>
      </c>
      <c r="DS106" s="85" t="str">
        <f aca="false">IF($DJ106&gt;$DI$8,"",VLOOKUP($DJ106,$DL$9:$DR$508,7,FALSE()))</f>
        <v/>
      </c>
      <c r="DT106" s="86" t="str">
        <f aca="false">IF($DJ106&gt;$DI$8,"",VLOOKUP($DJ106,$DL$9:$DR$508,2,FALSE()))</f>
        <v/>
      </c>
      <c r="DU106" s="86" t="str">
        <f aca="false">IF($DJ106&gt;$DI$8,"",VLOOKUP($DJ106,$DL$9:$DR$508,3,FALSE()))</f>
        <v/>
      </c>
      <c r="DV106" s="86" t="str">
        <f aca="false">IF($DJ106&gt;$DI$8,"",VLOOKUP($DJ106,$DL$9:$DR$508,4,FALSE()))</f>
        <v/>
      </c>
      <c r="DW106" s="86" t="str">
        <f aca="false">IF($DJ106&gt;$DI$8,"",VLOOKUP($DJ106,$DL$9:$DR$508,5,FALSE()))</f>
        <v/>
      </c>
      <c r="DX106" s="87" t="str">
        <f aca="false">IF($DJ106&gt;$DI$8,"",VLOOKUP($DJ106,$DL$9:$DR$508,6,FALSE()))</f>
        <v/>
      </c>
      <c r="DY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88"/>
      <c r="N107" s="88"/>
      <c r="O107" s="134"/>
      <c r="P107" s="134"/>
      <c r="Q107" s="88"/>
      <c r="R107" s="88"/>
      <c r="S107" s="88"/>
      <c r="T107" s="88"/>
      <c r="U107" s="134"/>
      <c r="V107" s="88"/>
      <c r="W107" s="70"/>
      <c r="X107" s="88"/>
      <c r="Y107" s="88"/>
      <c r="Z107" s="70"/>
      <c r="AA107" s="70"/>
      <c r="AB107" s="88"/>
      <c r="AC107" s="88"/>
      <c r="AD107" s="88"/>
      <c r="AE107" s="71"/>
      <c r="AF107" s="88"/>
      <c r="AG107" s="73"/>
      <c r="AH107" s="74"/>
      <c r="AI107" s="74"/>
      <c r="AJ107" s="74" t="str">
        <f aca="false">IF(ISBLANK($C107),"",IF($E107=Constants!$B$2,TRUE(),IF($E107=Constants!$B$3,FALSE(),TRUE())))</f>
        <v/>
      </c>
      <c r="AK107" s="74" t="str">
        <f aca="false">IF(ISBLANK($C107),"",IF($F107=Constants!$B$2,TRUE(),IF($F107=Constants!$B$3,FALSE(),FALSE())))</f>
        <v/>
      </c>
      <c r="AL107" s="74" t="str">
        <f aca="false">IF(ISBLANK($C107),"",IF($G107=Constants!$B$2,TRUE(),IF($G107=Constants!$B$3,FALSE(),TRUE())))</f>
        <v/>
      </c>
      <c r="AM107" s="74" t="str">
        <f aca="false">IF(ISBLANK($C107),"",IF($H107=Constants!$B$2,TRUE(),IF($H107=Constants!$B$3,FALSE(),TRUE())))</f>
        <v/>
      </c>
      <c r="AN107" s="74" t="str">
        <f aca="false">IF(ISBLANK($C107),"",IF(ISNUMBER($I107),IF($I107&gt;=0,$I107,""),""))</f>
        <v/>
      </c>
      <c r="AO107" s="74" t="str">
        <f aca="false">IF(ISBLANK($C107),"",IF(ISNUMBER($J107),IF($J107&gt;=0,$J107,""),""))</f>
        <v/>
      </c>
      <c r="AP107" s="74" t="str">
        <f aca="false">IF(ISBLANK($C107),"",IF(ISNUMBER($K107),IF($K107&gt;=0,$K107,""),""))</f>
        <v/>
      </c>
      <c r="AQ107" s="74" t="str">
        <f aca="false">IF(ISBLANK($C107),"",IF($L107=Constants!$B$2,TRUE(),IF($L107=Constants!$B$3,FALSE(),TRUE())))</f>
        <v/>
      </c>
      <c r="AR107" s="74" t="str">
        <f aca="false">IF(ISBLANK($C107),"",IF($M107=Constants!$B$2,TRUE(),IF($M107=Constants!$B$3,FALSE(),TRUE())))</f>
        <v/>
      </c>
      <c r="AS107" s="74" t="str">
        <f aca="false">IF(ISBLANK($C107),"",IF($N107=Constants!$B$2,TRUE(),IF($N107=Constants!$B$3,FALSE(),FALSE())))</f>
        <v/>
      </c>
      <c r="AT107" s="74" t="str">
        <f aca="false">IF(ISBLANK($C107),"",IF($O107=Constants!$B$2,TRUE(),IF($O107=Constants!$B$3,FALSE(),TRUE())))</f>
        <v/>
      </c>
      <c r="AU107" s="74" t="str">
        <f aca="false">IF(ISBLANK($C107),"",IF($P107=Constants!$B$2,TRUE(),IF($P107=Constants!$B$3,FALSE(),TRUE())))</f>
        <v/>
      </c>
      <c r="AV107" s="74" t="str">
        <f aca="false">IF(ISBLANK($C107),"",IF($Q107=Constants!$B$2,TRUE(),IF($Q107=Constants!$B$3,FALSE(),FALSE())))</f>
        <v/>
      </c>
      <c r="AW107" s="74" t="str">
        <f aca="false">IF(ISBLANK($C107),"",IF($R107=Constants!$B$2,TRUE(),IF($R107=Constants!$B$3,FALSE(),FALSE())))</f>
        <v/>
      </c>
      <c r="AX107" s="74" t="str">
        <f aca="false">IF(ISBLANK($C107),"",IF($S107=Constants!$B$2,TRUE(),IF($S107=Constants!$B$3,FALSE(),FALSE())))</f>
        <v/>
      </c>
      <c r="AY107" s="74" t="str">
        <f aca="false">IF(ISBLANK($C107),"",IF($T107=Constants!$B$2,TRUE(),IF($T107=Constants!$B$3,FALSE(),FALSE())))</f>
        <v/>
      </c>
      <c r="AZ107" s="74" t="str">
        <f aca="false">IF(ISBLANK($C107),"",IF($U107=Constants!$B$2,TRUE(),IF($U107=Constants!$B$3,FALSE(),FALSE())))</f>
        <v/>
      </c>
      <c r="BA107" s="74" t="str">
        <f aca="false">IF(ISBLANK($C107),"",IF(OR($V107&amp;""="1",$V107&amp;""="2",$V107&amp;""="3",$V107&amp;""="4"),VALUE($V107&amp;""),IF($V107=Constants!$B$12,Constants!$B$12,"")))</f>
        <v/>
      </c>
      <c r="BB107" s="74" t="str">
        <f aca="false">IF(ISBLANK($C107),"",IF(ISBLANK($W107),0,IF(ISNUMBER($W107),IF(AND($W107&gt;=0,$W107&lt;=Constants!$B$21,$W107=INT($W107)),$W107,""),"")))</f>
        <v/>
      </c>
      <c r="BC107" s="74" t="str">
        <f aca="false">IF(ISBLANK($C107),"",IF(ISBLANK($X107),0,IF(ISNUMBER($X107),IF($X107&gt;=0,$X107,""),"")))</f>
        <v/>
      </c>
      <c r="BD107" s="74" t="str">
        <f aca="false">IF(ISBLANK($C107),"",IF($Y107=Constants!$B$2,TRUE(),IF($Y107=Constants!$B$3,FALSE(),TRUE())))</f>
        <v/>
      </c>
      <c r="BE107" s="74" t="str">
        <f aca="false">IF(ISBLANK($C107),"",IF($Z107=Constants!$B$2,TRUE(),IF($Z107=Constants!$B$3,FALSE(),FALSE())))</f>
        <v/>
      </c>
      <c r="BF107" s="74" t="str">
        <f aca="false">IF(ISBLANK($C107),"",IF(ISBLANK($AA107),0,IF(ISNUMBER($AA107),IF(AND($AA107&gt;=0,$AA107&lt;=Constants!$B$35,$AA107=INT($AA107)),$AA107,""),"")))</f>
        <v/>
      </c>
      <c r="BG107" s="74" t="str">
        <f aca="false">IF(ISBLANK($C107),"",IF($AB107=Constants!$B$2,TRUE(),IF($AB107=Constants!$B$3,FALSE(),TRUE())))</f>
        <v/>
      </c>
      <c r="BH107" s="74" t="str">
        <f aca="false">IF(ISBLANK($C107),"",IF($AC107=Constants!$B$2,TRUE(),IF($AC107=Constants!$B$3,FALSE(),TRUE())))</f>
        <v/>
      </c>
      <c r="BI107" s="74" t="str">
        <f aca="false">IF(ISBLANK($C107),"",IF($AD107=Constants!$B$2,TRUE(),IF($AD107=Constants!$B$3,FALSE(),TRUE())))</f>
        <v/>
      </c>
      <c r="BJ107" s="74" t="str">
        <f aca="false">IF(ISBLANK($C107),"",IF(ISNUMBER($AE107),IF($AE107&gt;=0,$AE107,""),""))</f>
        <v/>
      </c>
      <c r="BK107" s="74" t="str">
        <f aca="false">IF(ISBLANK($C107),"",IF($AF107=Constants!$B$2,TRUE(),IF($AF107=Constants!$B$3,FALSE(),FALSE())))</f>
        <v/>
      </c>
      <c r="BL107" s="73" t="str">
        <f aca="false">IF(ISBLANK($C107),"",IF($BK107,Constants!$B$7,IF(COUNTA($E107:$AE107)=0,Constants!$B$6,IF(OR(COUNTA($G107:$AE107)=0,NOT($AM107),$AS107),Constants!$B$5,IF(OR($CM107&lt;&gt;"",$CN107,$CO107,$CP107,$CQ107,$CR107,$CS107),Constants!$B$8,Constants!$B$4)))))</f>
        <v/>
      </c>
      <c r="BM107" s="74" t="str">
        <f aca="false">IF(ISBLANK($C107),"",IF($BL107&lt;&gt;Constants!$B$4,$BL107,IF(OR(NOT($AJ107),NOT($AL107),NOT($AT107)),Constants!$B$11,IF(OR(NOT($AR107),NOT($AU107),NOT($BI107),MAX($AN107,$AO107,$AP107)&gt;Constants!$B$30),Constants!$B$10,Constants!$B$9))))</f>
        <v/>
      </c>
      <c r="BN107" s="74" t="str">
        <f aca="false">IF($BL107&lt;&gt;Constants!$B$4,"",IF(NOT($AL107),0,MIN(Constants!$B$35,$BF107)))</f>
        <v/>
      </c>
      <c r="BO107" s="74" t="str">
        <f aca="false">IF($BL107&lt;&gt;Constants!$B$4,"",IF(NOT($AL107),0,IF($AW107,Constants!$B$18,IF($AV107,Constants!$B$17,0))))</f>
        <v/>
      </c>
      <c r="BP107" s="74" t="str">
        <f aca="false">IF($BL107&lt;&gt;Constants!$B$4,"",IF(NOT($AL107),0,Constants!$B$19*($AK107+$AX107+$AY107+$AZ107)))</f>
        <v/>
      </c>
      <c r="BQ107" s="74" t="str">
        <f aca="false">IF($BL107&lt;&gt;Constants!$B$4,"",IF(OR(NOT($AL107),NOT(ISNUMBER($BA107))),0,CHOOSE($BA107,Constants!$B$13,Constants!$B$14,Constants!$B$15,Constants!$B$16)))</f>
        <v/>
      </c>
      <c r="BR107" s="74" t="str">
        <f aca="false">IF($BL107&lt;&gt;Constants!$B$4,"",IF(NOT($AL107),0,Constants!$B$20*$BB107))</f>
        <v/>
      </c>
      <c r="BS107" s="74" t="str">
        <f aca="false">IF($BL107&lt;&gt;Constants!$B$4,"",IF(AND($AL107,$BD107,$BE107),Constants!$B$22,0))</f>
        <v/>
      </c>
      <c r="BT107" s="74" t="str">
        <f aca="false">IF($BL107&lt;&gt;Constants!$B$4,"",IF(OR(NOT($AL107),NOT($BD107)),0,IF($BJ107&gt;=2*$AH$9,0,Constants!$B$23*INT(ROUND(MIN($BJ107,$AH$9),6)))))</f>
        <v/>
      </c>
      <c r="BU107" s="74" t="str">
        <f aca="false">IF($BL107&lt;&gt;Constants!$B$4,"",IF(NOT($AL107),0,Constants!$B$24*INT(ROUND(MIN($BC107,$AH$9),6))))</f>
        <v/>
      </c>
      <c r="BV107" s="74" t="str">
        <f aca="false">IF($BL107&lt;&gt;Constants!$B$4,"",IF(AND($AL107,$BN107=0),Constants!$B$25,0))</f>
        <v/>
      </c>
      <c r="BW107" s="74" t="str">
        <f aca="false">IF($BL107&lt;&gt;Constants!$B$4,"",MIN(Constants!$B$29,MAX(0,Constants!$B$27*Constants!$B$28*INT(ROUND((Constants!$B$26-$AN107)/Constants!$B$28,6))))+MIN(Constants!$B$29,MAX(0,Constants!$B$27*Constants!$B$28*INT(ROUND((Constants!$B$26-$AO107)/Constants!$B$28,6))))+MIN(Constants!$B$29,MAX(0,Constants!$B$27*Constants!$B$28*INT(ROUND((Constants!$B$26-$AP107)/Constants!$B$28,6)))))</f>
        <v/>
      </c>
      <c r="BX107" s="74" t="str">
        <f aca="false">IF($BL107&lt;&gt;Constants!$B$4,"",IF(NOT($AL107),0,Constants!$B$31*INT(ROUND(MAX(0,MIN($BJ107,2*$AH$9)-$AH$9),6))))</f>
        <v/>
      </c>
      <c r="BY107" s="74" t="str">
        <f aca="false">IF($BL107&lt;&gt;Constants!$B$4,"",Constants!$B$32*(($AN107&gt;Constants!$B$26)+($AO107&gt;Constants!$B$26)+($AP107&gt;Constants!$B$26)))</f>
        <v/>
      </c>
      <c r="BZ107" s="74" t="str">
        <f aca="false">IF($BL107&lt;&gt;Constants!$B$4,"",IF(OR(NOT($AL107),$AQ107),0,Constants!$B$33))</f>
        <v/>
      </c>
      <c r="CA107" s="74" t="str">
        <f aca="false">IF($BL107&lt;&gt;Constants!$B$4,"",Constants!$B$34*$BN107)</f>
        <v/>
      </c>
      <c r="CB107" s="74" t="str">
        <f aca="false">IF($BL107&lt;&gt;Constants!$B$4,"",IF(OR(NOT($AL107),$BH107),0,Constants!$B$36))</f>
        <v/>
      </c>
      <c r="CC107" s="74" t="str">
        <f aca="false">IF($BL107&lt;&gt;Constants!$B$4,"",IF(OR(NOT($AL107),$BG107),0,Constants!$B$37))</f>
        <v/>
      </c>
      <c r="CD107" s="74" t="str">
        <f aca="false">IF($BL107&lt;&gt;Constants!$B$4,"",SUM($BX107:$CC107))</f>
        <v/>
      </c>
      <c r="CE107" s="74" t="str">
        <f aca="false">IF(ISBLANK($C107),"",IF($BL107&lt;&gt;Constants!$B$4,$BL107,SUM($BO107:$BW107)-$CD107))</f>
        <v/>
      </c>
      <c r="CF107" s="74" t="str">
        <f aca="false">IF(ISBLANK($C107),"",IF($BL107&lt;&gt;Constants!$B$4,$BL107,RANK($CE107,$CE$9:$CE$508)))</f>
        <v/>
      </c>
      <c r="CG107" s="74" t="str">
        <f aca="false">IF(ISBLANK($C107),"",IF($BL107&lt;&gt;Constants!$B$4,$BL107,COUNTIFS($BM$9:$BM$508,"&lt;"&amp;$BM107)+COUNTIFS($BM$9:$BM$508,$BM107,$CF$9:$CF$508,"&lt;"&amp;$CF107)+1))</f>
        <v/>
      </c>
      <c r="CH107" s="74" t="str">
        <f aca="false">IF(ISBLANK($C107),"",IF($BL107&lt;&gt;Constants!$B$4,$BL107,RANK($CD107,$CD$9:$CD$508,1)))</f>
        <v/>
      </c>
      <c r="CI107" s="74" t="str">
        <f aca="false">IF($BL107&lt;&gt;Constants!$B$4,"",$AN107+$AO107+$AP107)</f>
        <v/>
      </c>
      <c r="CJ107" s="74" t="str">
        <f aca="false">IF(ISBLANK($C107),"",IF($BL107&lt;&gt;Constants!$B$4,$BL107,RANK($CI107,$CI$9:$CI$508,1)))</f>
        <v/>
      </c>
      <c r="CK107" s="74" t="str">
        <f aca="false">IF(ISBLANK($C107),"",IF($BL107&lt;&gt;Constants!$B$4,$BL107,COUNTIFS($BM$9:$BM$508,"&lt;"&amp;$BM107)+COUNTIFS($BM$9:$BM$508,$BM107,$CF$9:$CF$508,"&lt;"&amp;$CF107)+COUNTIFS($BM$9:$BM$508,$BM107,$CF$9:$CF$508,$CF107,$CH$9:$CH$508,"&lt;"&amp;$CH107)+COUNTIFS($BM$9:$BM$508,$BM107,$CF$9:$CF$508,$CF107,$CH$9:$CH$508,$CH107,$CJ$9:$CJ$508,"&lt;"&amp;$CJ107)+1))</f>
        <v/>
      </c>
      <c r="CL107" s="74" t="str">
        <f aca="false">IF(ISBLANK($C107),"",IF($BL107&lt;&gt;Constants!$B$4,$BL107,$CG107-$CK107))</f>
        <v/>
      </c>
      <c r="CM107" s="74" t="str">
        <f aca="false">IF(ISBLANK($C107),"",IF(NOT($AL107),"",IF(ISBLANK($D$7),$CM$5,IF(NOT(ISNUMBER($D$7)),$CM$6,""))))</f>
        <v/>
      </c>
      <c r="CN107" s="74" t="str">
        <f aca="false">IF(ISBLANK($C107),"",OR($AN107="",$AO107="",$AP107=""))</f>
        <v/>
      </c>
      <c r="CO107" s="74" t="str">
        <f aca="false">IF(ISBLANK($C107),"",AND($AL107,$BA107=""))</f>
        <v/>
      </c>
      <c r="CP107" s="74" t="str">
        <f aca="false">IF(ISBLANK($C107),"",AND($AL107,$BB107=""))</f>
        <v/>
      </c>
      <c r="CQ107" s="74" t="str">
        <f aca="false">IF(ISBLANK($C107),"",AND($AL107,$BC107=""))</f>
        <v/>
      </c>
      <c r="CR107" s="74" t="str">
        <f aca="false">IF(ISBLANK($C107),"",AND($AL107,$BF107=""))</f>
        <v/>
      </c>
      <c r="CS107" s="74" t="str">
        <f aca="false">IF(ISBLANK($C107),"",AND($AL107,$BJ107=""))</f>
        <v/>
      </c>
      <c r="CT107" s="75"/>
      <c r="CU107" s="76"/>
      <c r="CV107" s="79" t="str">
        <f aca="false">IF(ISBLANK($C107),"",IF($BL107=Constants!$B$8,$CM107,""))</f>
        <v/>
      </c>
      <c r="CW107" s="76" t="str">
        <f aca="false">IF(ISBLANK($C107),"",IF($BL107&lt;&gt;Constants!$B$4,"",$BO107+$BP107))</f>
        <v/>
      </c>
      <c r="CX107" s="78" t="str">
        <f aca="false">IF(ISBLANK($C107),"",IF($BL107&lt;&gt;Constants!$B$4,"",$BQ107+$BR107+$BS107))</f>
        <v/>
      </c>
      <c r="CY107" s="78" t="str">
        <f aca="false">IF(ISBLANK($C107),"",IF($BL107&lt;&gt;Constants!$B$4,"",$BT107))</f>
        <v/>
      </c>
      <c r="CZ107" s="78" t="str">
        <f aca="false">IF(ISBLANK($C107),"",IF($BL107&lt;&gt;Constants!$B$4,"",$BU107+$BV107))</f>
        <v/>
      </c>
      <c r="DA107" s="78" t="str">
        <f aca="false">IF(ISBLANK($C107),"",IF($BL107&lt;&gt;Constants!$B$4,"",$BW107))</f>
        <v/>
      </c>
      <c r="DB107" s="78" t="str">
        <f aca="false">IF(ISBLANK($C107),"",IF($BL107&lt;&gt;Constants!$B$4,"",-$CD107))</f>
        <v/>
      </c>
      <c r="DC107" s="79" t="str">
        <f aca="false">IF(ISBLANK($C107),"",$CE107)</f>
        <v/>
      </c>
      <c r="DD107" s="80" t="str">
        <f aca="false">IF(ISBLANK($C107),"",$BM107)</f>
        <v/>
      </c>
      <c r="DE107" s="78" t="str">
        <f aca="false">IF(ISBLANK($C107),"",$CL107)</f>
        <v/>
      </c>
      <c r="DF107" s="78" t="str">
        <f aca="false">IF(ISBLANK($C107),"",$CK107)</f>
        <v/>
      </c>
      <c r="DG107" s="81" t="str">
        <f aca="false">IF(ISBLANK($C107),"",IF($DF107=Constants!$B$7,COUNTA($C$9:$C$508)+2,IF($DF107=Constants!$B$6,COUNTA($C$9:$C$508)+1,IF($DF107=Constants!$B$5,COUNTA($C$9:$C$508),$DF107))))</f>
        <v/>
      </c>
      <c r="DH107" s="7"/>
      <c r="DI107" s="82" t="n">
        <f aca="false">IF(OR(ISNUMBER($DF107),$DF107=Constants!$B$7,$DF107=Constants!$B$5,$DF107=Constants!$B$6),1,0)</f>
        <v>0</v>
      </c>
      <c r="DJ107" s="82" t="n">
        <v>99</v>
      </c>
      <c r="DK107" s="82" t="str">
        <f aca="false">IF(ISBLANK($C107),"",IF(ISNUMBER($DG107),$DG107+ROW($B107)/1000,""))</f>
        <v/>
      </c>
      <c r="DL107" s="82" t="str">
        <f aca="false">IF(ISNUMBER($DK107),RANK($DK107,$DK$9:$DK$508,1),"")</f>
        <v/>
      </c>
      <c r="DM107" s="82" t="str">
        <f aca="false">IF(ISBLANK($C107),"",$B107)</f>
        <v/>
      </c>
      <c r="DN107" s="82" t="str">
        <f aca="false">IF(ISBLANK($C107),"",$C107)</f>
        <v/>
      </c>
      <c r="DO107" s="82" t="str">
        <f aca="false">IF(ISBLANK($C107),"",$D107)</f>
        <v/>
      </c>
      <c r="DP107" s="83" t="str">
        <f aca="false">$DD107</f>
        <v/>
      </c>
      <c r="DQ107" s="84" t="str">
        <f aca="false">$DC107</f>
        <v/>
      </c>
      <c r="DR107" s="82" t="str">
        <f aca="false">IF(ISBLANK($C107),"",$DF107)</f>
        <v/>
      </c>
      <c r="DS107" s="85" t="str">
        <f aca="false">IF($DJ107&gt;$DI$8,"",VLOOKUP($DJ107,$DL$9:$DR$508,7,FALSE()))</f>
        <v/>
      </c>
      <c r="DT107" s="86" t="str">
        <f aca="false">IF($DJ107&gt;$DI$8,"",VLOOKUP($DJ107,$DL$9:$DR$508,2,FALSE()))</f>
        <v/>
      </c>
      <c r="DU107" s="86" t="str">
        <f aca="false">IF($DJ107&gt;$DI$8,"",VLOOKUP($DJ107,$DL$9:$DR$508,3,FALSE()))</f>
        <v/>
      </c>
      <c r="DV107" s="86" t="str">
        <f aca="false">IF($DJ107&gt;$DI$8,"",VLOOKUP($DJ107,$DL$9:$DR$508,4,FALSE()))</f>
        <v/>
      </c>
      <c r="DW107" s="86" t="str">
        <f aca="false">IF($DJ107&gt;$DI$8,"",VLOOKUP($DJ107,$DL$9:$DR$508,5,FALSE()))</f>
        <v/>
      </c>
      <c r="DX107" s="87" t="str">
        <f aca="false">IF($DJ107&gt;$DI$8,"",VLOOKUP($DJ107,$DL$9:$DR$508,6,FALSE()))</f>
        <v/>
      </c>
      <c r="DY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130"/>
      <c r="N108" s="130"/>
      <c r="O108" s="135"/>
      <c r="P108" s="135"/>
      <c r="Q108" s="130"/>
      <c r="R108" s="130"/>
      <c r="S108" s="130"/>
      <c r="T108" s="130"/>
      <c r="U108" s="135"/>
      <c r="V108" s="130"/>
      <c r="W108" s="96"/>
      <c r="X108" s="130"/>
      <c r="Y108" s="130"/>
      <c r="Z108" s="96"/>
      <c r="AA108" s="96"/>
      <c r="AB108" s="130"/>
      <c r="AC108" s="130"/>
      <c r="AD108" s="130"/>
      <c r="AE108" s="97"/>
      <c r="AF108" s="130"/>
      <c r="AG108" s="99"/>
      <c r="AH108" s="100"/>
      <c r="AI108" s="100"/>
      <c r="AJ108" s="100" t="str">
        <f aca="false">IF(ISBLANK($C108),"",IF($E108=Constants!$B$2,TRUE(),IF($E108=Constants!$B$3,FALSE(),TRUE())))</f>
        <v/>
      </c>
      <c r="AK108" s="100" t="str">
        <f aca="false">IF(ISBLANK($C108),"",IF($F108=Constants!$B$2,TRUE(),IF($F108=Constants!$B$3,FALSE(),FALSE())))</f>
        <v/>
      </c>
      <c r="AL108" s="100" t="str">
        <f aca="false">IF(ISBLANK($C108),"",IF($G108=Constants!$B$2,TRUE(),IF($G108=Constants!$B$3,FALSE(),TRUE())))</f>
        <v/>
      </c>
      <c r="AM108" s="100" t="str">
        <f aca="false">IF(ISBLANK($C108),"",IF($H108=Constants!$B$2,TRUE(),IF($H108=Constants!$B$3,FALSE(),TRUE())))</f>
        <v/>
      </c>
      <c r="AN108" s="100" t="str">
        <f aca="false">IF(ISBLANK($C108),"",IF(ISNUMBER($I108),IF($I108&gt;=0,$I108,""),""))</f>
        <v/>
      </c>
      <c r="AO108" s="100" t="str">
        <f aca="false">IF(ISBLANK($C108),"",IF(ISNUMBER($J108),IF($J108&gt;=0,$J108,""),""))</f>
        <v/>
      </c>
      <c r="AP108" s="100" t="str">
        <f aca="false">IF(ISBLANK($C108),"",IF(ISNUMBER($K108),IF($K108&gt;=0,$K108,""),""))</f>
        <v/>
      </c>
      <c r="AQ108" s="100" t="str">
        <f aca="false">IF(ISBLANK($C108),"",IF($L108=Constants!$B$2,TRUE(),IF($L108=Constants!$B$3,FALSE(),TRUE())))</f>
        <v/>
      </c>
      <c r="AR108" s="100" t="str">
        <f aca="false">IF(ISBLANK($C108),"",IF($M108=Constants!$B$2,TRUE(),IF($M108=Constants!$B$3,FALSE(),TRUE())))</f>
        <v/>
      </c>
      <c r="AS108" s="100" t="str">
        <f aca="false">IF(ISBLANK($C108),"",IF($N108=Constants!$B$2,TRUE(),IF($N108=Constants!$B$3,FALSE(),FALSE())))</f>
        <v/>
      </c>
      <c r="AT108" s="100" t="str">
        <f aca="false">IF(ISBLANK($C108),"",IF($O108=Constants!$B$2,TRUE(),IF($O108=Constants!$B$3,FALSE(),TRUE())))</f>
        <v/>
      </c>
      <c r="AU108" s="100" t="str">
        <f aca="false">IF(ISBLANK($C108),"",IF($P108=Constants!$B$2,TRUE(),IF($P108=Constants!$B$3,FALSE(),TRUE())))</f>
        <v/>
      </c>
      <c r="AV108" s="100" t="str">
        <f aca="false">IF(ISBLANK($C108),"",IF($Q108=Constants!$B$2,TRUE(),IF($Q108=Constants!$B$3,FALSE(),FALSE())))</f>
        <v/>
      </c>
      <c r="AW108" s="100" t="str">
        <f aca="false">IF(ISBLANK($C108),"",IF($R108=Constants!$B$2,TRUE(),IF($R108=Constants!$B$3,FALSE(),FALSE())))</f>
        <v/>
      </c>
      <c r="AX108" s="100" t="str">
        <f aca="false">IF(ISBLANK($C108),"",IF($S108=Constants!$B$2,TRUE(),IF($S108=Constants!$B$3,FALSE(),FALSE())))</f>
        <v/>
      </c>
      <c r="AY108" s="100" t="str">
        <f aca="false">IF(ISBLANK($C108),"",IF($T108=Constants!$B$2,TRUE(),IF($T108=Constants!$B$3,FALSE(),FALSE())))</f>
        <v/>
      </c>
      <c r="AZ108" s="100" t="str">
        <f aca="false">IF(ISBLANK($C108),"",IF($U108=Constants!$B$2,TRUE(),IF($U108=Constants!$B$3,FALSE(),FALSE())))</f>
        <v/>
      </c>
      <c r="BA108" s="100" t="str">
        <f aca="false">IF(ISBLANK($C108),"",IF(OR($V108&amp;""="1",$V108&amp;""="2",$V108&amp;""="3",$V108&amp;""="4"),VALUE($V108&amp;""),IF($V108=Constants!$B$12,Constants!$B$12,"")))</f>
        <v/>
      </c>
      <c r="BB108" s="100" t="str">
        <f aca="false">IF(ISBLANK($C108),"",IF(ISBLANK($W108),0,IF(ISNUMBER($W108),IF(AND($W108&gt;=0,$W108&lt;=Constants!$B$21,$W108=INT($W108)),$W108,""),"")))</f>
        <v/>
      </c>
      <c r="BC108" s="100" t="str">
        <f aca="false">IF(ISBLANK($C108),"",IF(ISBLANK($X108),0,IF(ISNUMBER($X108),IF($X108&gt;=0,$X108,""),"")))</f>
        <v/>
      </c>
      <c r="BD108" s="100" t="str">
        <f aca="false">IF(ISBLANK($C108),"",IF($Y108=Constants!$B$2,TRUE(),IF($Y108=Constants!$B$3,FALSE(),TRUE())))</f>
        <v/>
      </c>
      <c r="BE108" s="100" t="str">
        <f aca="false">IF(ISBLANK($C108),"",IF($Z108=Constants!$B$2,TRUE(),IF($Z108=Constants!$B$3,FALSE(),FALSE())))</f>
        <v/>
      </c>
      <c r="BF108" s="100" t="str">
        <f aca="false">IF(ISBLANK($C108),"",IF(ISBLANK($AA108),0,IF(ISNUMBER($AA108),IF(AND($AA108&gt;=0,$AA108&lt;=Constants!$B$35,$AA108=INT($AA108)),$AA108,""),"")))</f>
        <v/>
      </c>
      <c r="BG108" s="100" t="str">
        <f aca="false">IF(ISBLANK($C108),"",IF($AB108=Constants!$B$2,TRUE(),IF($AB108=Constants!$B$3,FALSE(),TRUE())))</f>
        <v/>
      </c>
      <c r="BH108" s="100" t="str">
        <f aca="false">IF(ISBLANK($C108),"",IF($AC108=Constants!$B$2,TRUE(),IF($AC108=Constants!$B$3,FALSE(),TRUE())))</f>
        <v/>
      </c>
      <c r="BI108" s="100" t="str">
        <f aca="false">IF(ISBLANK($C108),"",IF($AD108=Constants!$B$2,TRUE(),IF($AD108=Constants!$B$3,FALSE(),TRUE())))</f>
        <v/>
      </c>
      <c r="BJ108" s="100" t="str">
        <f aca="false">IF(ISBLANK($C108),"",IF(ISNUMBER($AE108),IF($AE108&gt;=0,$AE108,""),""))</f>
        <v/>
      </c>
      <c r="BK108" s="100" t="str">
        <f aca="false">IF(ISBLANK($C108),"",IF($AF108=Constants!$B$2,TRUE(),IF($AF108=Constants!$B$3,FALSE(),FALSE())))</f>
        <v/>
      </c>
      <c r="BL108" s="99" t="str">
        <f aca="false">IF(ISBLANK($C108),"",IF($BK108,Constants!$B$7,IF(COUNTA($E108:$AE108)=0,Constants!$B$6,IF(OR(COUNTA($G108:$AE108)=0,NOT($AM108),$AS108),Constants!$B$5,IF(OR($CM108&lt;&gt;"",$CN108,$CO108,$CP108,$CQ108,$CR108,$CS108),Constants!$B$8,Constants!$B$4)))))</f>
        <v/>
      </c>
      <c r="BM108" s="100" t="str">
        <f aca="false">IF(ISBLANK($C108),"",IF($BL108&lt;&gt;Constants!$B$4,$BL108,IF(OR(NOT($AJ108),NOT($AL108),NOT($AT108)),Constants!$B$11,IF(OR(NOT($AR108),NOT($AU108),NOT($BI108),MAX($AN108,$AO108,$AP108)&gt;Constants!$B$30),Constants!$B$10,Constants!$B$9))))</f>
        <v/>
      </c>
      <c r="BN108" s="100" t="str">
        <f aca="false">IF($BL108&lt;&gt;Constants!$B$4,"",IF(NOT($AL108),0,MIN(Constants!$B$35,$BF108)))</f>
        <v/>
      </c>
      <c r="BO108" s="100" t="str">
        <f aca="false">IF($BL108&lt;&gt;Constants!$B$4,"",IF(NOT($AL108),0,IF($AW108,Constants!$B$18,IF($AV108,Constants!$B$17,0))))</f>
        <v/>
      </c>
      <c r="BP108" s="100" t="str">
        <f aca="false">IF($BL108&lt;&gt;Constants!$B$4,"",IF(NOT($AL108),0,Constants!$B$19*($AK108+$AX108+$AY108+$AZ108)))</f>
        <v/>
      </c>
      <c r="BQ108" s="100" t="str">
        <f aca="false">IF($BL108&lt;&gt;Constants!$B$4,"",IF(OR(NOT($AL108),NOT(ISNUMBER($BA108))),0,CHOOSE($BA108,Constants!$B$13,Constants!$B$14,Constants!$B$15,Constants!$B$16)))</f>
        <v/>
      </c>
      <c r="BR108" s="100" t="str">
        <f aca="false">IF($BL108&lt;&gt;Constants!$B$4,"",IF(NOT($AL108),0,Constants!$B$20*$BB108))</f>
        <v/>
      </c>
      <c r="BS108" s="100" t="str">
        <f aca="false">IF($BL108&lt;&gt;Constants!$B$4,"",IF(AND($AL108,$BD108,$BE108),Constants!$B$22,0))</f>
        <v/>
      </c>
      <c r="BT108" s="100" t="str">
        <f aca="false">IF($BL108&lt;&gt;Constants!$B$4,"",IF(OR(NOT($AL108),NOT($BD108)),0,IF($BJ108&gt;=2*$AH$9,0,Constants!$B$23*INT(ROUND(MIN($BJ108,$AH$9),6)))))</f>
        <v/>
      </c>
      <c r="BU108" s="100" t="str">
        <f aca="false">IF($BL108&lt;&gt;Constants!$B$4,"",IF(NOT($AL108),0,Constants!$B$24*INT(ROUND(MIN($BC108,$AH$9),6))))</f>
        <v/>
      </c>
      <c r="BV108" s="100" t="str">
        <f aca="false">IF($BL108&lt;&gt;Constants!$B$4,"",IF(AND($AL108,$BN108=0),Constants!$B$25,0))</f>
        <v/>
      </c>
      <c r="BW108" s="100" t="str">
        <f aca="false">IF($BL108&lt;&gt;Constants!$B$4,"",MIN(Constants!$B$29,MAX(0,Constants!$B$27*Constants!$B$28*INT(ROUND((Constants!$B$26-$AN108)/Constants!$B$28,6))))+MIN(Constants!$B$29,MAX(0,Constants!$B$27*Constants!$B$28*INT(ROUND((Constants!$B$26-$AO108)/Constants!$B$28,6))))+MIN(Constants!$B$29,MAX(0,Constants!$B$27*Constants!$B$28*INT(ROUND((Constants!$B$26-$AP108)/Constants!$B$28,6)))))</f>
        <v/>
      </c>
      <c r="BX108" s="100" t="str">
        <f aca="false">IF($BL108&lt;&gt;Constants!$B$4,"",IF(NOT($AL108),0,Constants!$B$31*INT(ROUND(MAX(0,MIN($BJ108,2*$AH$9)-$AH$9),6))))</f>
        <v/>
      </c>
      <c r="BY108" s="100" t="str">
        <f aca="false">IF($BL108&lt;&gt;Constants!$B$4,"",Constants!$B$32*(($AN108&gt;Constants!$B$26)+($AO108&gt;Constants!$B$26)+($AP108&gt;Constants!$B$26)))</f>
        <v/>
      </c>
      <c r="BZ108" s="100" t="str">
        <f aca="false">IF($BL108&lt;&gt;Constants!$B$4,"",IF(OR(NOT($AL108),$AQ108),0,Constants!$B$33))</f>
        <v/>
      </c>
      <c r="CA108" s="100" t="str">
        <f aca="false">IF($BL108&lt;&gt;Constants!$B$4,"",Constants!$B$34*$BN108)</f>
        <v/>
      </c>
      <c r="CB108" s="100" t="str">
        <f aca="false">IF($BL108&lt;&gt;Constants!$B$4,"",IF(OR(NOT($AL108),$BH108),0,Constants!$B$36))</f>
        <v/>
      </c>
      <c r="CC108" s="100" t="str">
        <f aca="false">IF($BL108&lt;&gt;Constants!$B$4,"",IF(OR(NOT($AL108),$BG108),0,Constants!$B$37))</f>
        <v/>
      </c>
      <c r="CD108" s="100" t="str">
        <f aca="false">IF($BL108&lt;&gt;Constants!$B$4,"",SUM($BX108:$CC108))</f>
        <v/>
      </c>
      <c r="CE108" s="100" t="str">
        <f aca="false">IF(ISBLANK($C108),"",IF($BL108&lt;&gt;Constants!$B$4,$BL108,SUM($BO108:$BW108)-$CD108))</f>
        <v/>
      </c>
      <c r="CF108" s="100" t="str">
        <f aca="false">IF(ISBLANK($C108),"",IF($BL108&lt;&gt;Constants!$B$4,$BL108,RANK($CE108,$CE$9:$CE$508)))</f>
        <v/>
      </c>
      <c r="CG108" s="100" t="str">
        <f aca="false">IF(ISBLANK($C108),"",IF($BL108&lt;&gt;Constants!$B$4,$BL108,COUNTIFS($BM$9:$BM$508,"&lt;"&amp;$BM108)+COUNTIFS($BM$9:$BM$508,$BM108,$CF$9:$CF$508,"&lt;"&amp;$CF108)+1))</f>
        <v/>
      </c>
      <c r="CH108" s="100" t="str">
        <f aca="false">IF(ISBLANK($C108),"",IF($BL108&lt;&gt;Constants!$B$4,$BL108,RANK($CD108,$CD$9:$CD$508,1)))</f>
        <v/>
      </c>
      <c r="CI108" s="100" t="str">
        <f aca="false">IF($BL108&lt;&gt;Constants!$B$4,"",$AN108+$AO108+$AP108)</f>
        <v/>
      </c>
      <c r="CJ108" s="100" t="str">
        <f aca="false">IF(ISBLANK($C108),"",IF($BL108&lt;&gt;Constants!$B$4,$BL108,RANK($CI108,$CI$9:$CI$508,1)))</f>
        <v/>
      </c>
      <c r="CK108" s="100" t="str">
        <f aca="false">IF(ISBLANK($C108),"",IF($BL108&lt;&gt;Constants!$B$4,$BL108,COUNTIFS($BM$9:$BM$508,"&lt;"&amp;$BM108)+COUNTIFS($BM$9:$BM$508,$BM108,$CF$9:$CF$508,"&lt;"&amp;$CF108)+COUNTIFS($BM$9:$BM$508,$BM108,$CF$9:$CF$508,$CF108,$CH$9:$CH$508,"&lt;"&amp;$CH108)+COUNTIFS($BM$9:$BM$508,$BM108,$CF$9:$CF$508,$CF108,$CH$9:$CH$508,$CH108,$CJ$9:$CJ$508,"&lt;"&amp;$CJ108)+1))</f>
        <v/>
      </c>
      <c r="CL108" s="100" t="str">
        <f aca="false">IF(ISBLANK($C108),"",IF($BL108&lt;&gt;Constants!$B$4,$BL108,$CG108-$CK108))</f>
        <v/>
      </c>
      <c r="CM108" s="100" t="str">
        <f aca="false">IF(ISBLANK($C108),"",IF(NOT($AL108),"",IF(ISBLANK($D$7),$CM$5,IF(NOT(ISNUMBER($D$7)),$CM$6,""))))</f>
        <v/>
      </c>
      <c r="CN108" s="100" t="str">
        <f aca="false">IF(ISBLANK($C108),"",OR($AN108="",$AO108="",$AP108=""))</f>
        <v/>
      </c>
      <c r="CO108" s="100" t="str">
        <f aca="false">IF(ISBLANK($C108),"",AND($AL108,$BA108=""))</f>
        <v/>
      </c>
      <c r="CP108" s="100" t="str">
        <f aca="false">IF(ISBLANK($C108),"",AND($AL108,$BB108=""))</f>
        <v/>
      </c>
      <c r="CQ108" s="100" t="str">
        <f aca="false">IF(ISBLANK($C108),"",AND($AL108,$BC108=""))</f>
        <v/>
      </c>
      <c r="CR108" s="100" t="str">
        <f aca="false">IF(ISBLANK($C108),"",AND($AL108,$BF108=""))</f>
        <v/>
      </c>
      <c r="CS108" s="100" t="str">
        <f aca="false">IF(ISBLANK($C108),"",AND($AL108,$BJ108=""))</f>
        <v/>
      </c>
      <c r="CT108" s="101"/>
      <c r="CU108" s="102"/>
      <c r="CV108" s="103" t="str">
        <f aca="false">IF(ISBLANK($C108),"",IF($BL108=Constants!$B$8,$CM108,""))</f>
        <v/>
      </c>
      <c r="CW108" s="102" t="str">
        <f aca="false">IF(ISBLANK($C108),"",IF($BL108&lt;&gt;Constants!$B$4,"",$BO108+$BP108))</f>
        <v/>
      </c>
      <c r="CX108" s="104" t="str">
        <f aca="false">IF(ISBLANK($C108),"",IF($BL108&lt;&gt;Constants!$B$4,"",$BQ108+$BR108+$BS108))</f>
        <v/>
      </c>
      <c r="CY108" s="104" t="str">
        <f aca="false">IF(ISBLANK($C108),"",IF($BL108&lt;&gt;Constants!$B$4,"",$BT108))</f>
        <v/>
      </c>
      <c r="CZ108" s="104" t="str">
        <f aca="false">IF(ISBLANK($C108),"",IF($BL108&lt;&gt;Constants!$B$4,"",$BU108+$BV108))</f>
        <v/>
      </c>
      <c r="DA108" s="104" t="str">
        <f aca="false">IF(ISBLANK($C108),"",IF($BL108&lt;&gt;Constants!$B$4,"",$BW108))</f>
        <v/>
      </c>
      <c r="DB108" s="104" t="str">
        <f aca="false">IF(ISBLANK($C108),"",IF($BL108&lt;&gt;Constants!$B$4,"",-$CD108))</f>
        <v/>
      </c>
      <c r="DC108" s="103" t="str">
        <f aca="false">IF(ISBLANK($C108),"",$CE108)</f>
        <v/>
      </c>
      <c r="DD108" s="105" t="str">
        <f aca="false">IF(ISBLANK($C108),"",$BM108)</f>
        <v/>
      </c>
      <c r="DE108" s="104" t="str">
        <f aca="false">IF(ISBLANK($C108),"",$CL108)</f>
        <v/>
      </c>
      <c r="DF108" s="104" t="str">
        <f aca="false">IF(ISBLANK($C108),"",$CK108)</f>
        <v/>
      </c>
      <c r="DG108" s="106" t="str">
        <f aca="false">IF(ISBLANK($C108),"",IF($DF108=Constants!$B$7,COUNTA($C$9:$C$508)+2,IF($DF108=Constants!$B$6,COUNTA($C$9:$C$508)+1,IF($DF108=Constants!$B$5,COUNTA($C$9:$C$508),$DF108))))</f>
        <v/>
      </c>
      <c r="DH108" s="7"/>
      <c r="DI108" s="107" t="n">
        <f aca="false">IF(OR(ISNUMBER($DF108),$DF108=Constants!$B$7,$DF108=Constants!$B$5,$DF108=Constants!$B$6),1,0)</f>
        <v>0</v>
      </c>
      <c r="DJ108" s="107" t="n">
        <v>100</v>
      </c>
      <c r="DK108" s="107" t="str">
        <f aca="false">IF(ISBLANK($C108),"",IF(ISNUMBER($DG108),$DG108+ROW($B108)/1000,""))</f>
        <v/>
      </c>
      <c r="DL108" s="107" t="str">
        <f aca="false">IF(ISNUMBER($DK108),RANK($DK108,$DK$9:$DK$508,1),"")</f>
        <v/>
      </c>
      <c r="DM108" s="107" t="str">
        <f aca="false">IF(ISBLANK($C108),"",$B108)</f>
        <v/>
      </c>
      <c r="DN108" s="107" t="str">
        <f aca="false">IF(ISBLANK($C108),"",$C108)</f>
        <v/>
      </c>
      <c r="DO108" s="107" t="str">
        <f aca="false">IF(ISBLANK($C108),"",$D108)</f>
        <v/>
      </c>
      <c r="DP108" s="108" t="str">
        <f aca="false">$DD108</f>
        <v/>
      </c>
      <c r="DQ108" s="109" t="str">
        <f aca="false">$DC108</f>
        <v/>
      </c>
      <c r="DR108" s="107" t="str">
        <f aca="false">IF(ISBLANK($C108),"",$DF108)</f>
        <v/>
      </c>
      <c r="DS108" s="110" t="str">
        <f aca="false">IF($DJ108&gt;$DI$8,"",VLOOKUP($DJ108,$DL$9:$DR$508,7,FALSE()))</f>
        <v/>
      </c>
      <c r="DT108" s="111" t="str">
        <f aca="false">IF($DJ108&gt;$DI$8,"",VLOOKUP($DJ108,$DL$9:$DR$508,2,FALSE()))</f>
        <v/>
      </c>
      <c r="DU108" s="111" t="str">
        <f aca="false">IF($DJ108&gt;$DI$8,"",VLOOKUP($DJ108,$DL$9:$DR$508,3,FALSE()))</f>
        <v/>
      </c>
      <c r="DV108" s="111" t="str">
        <f aca="false">IF($DJ108&gt;$DI$8,"",VLOOKUP($DJ108,$DL$9:$DR$508,4,FALSE()))</f>
        <v/>
      </c>
      <c r="DW108" s="111" t="str">
        <f aca="false">IF($DJ108&gt;$DI$8,"",VLOOKUP($DJ108,$DL$9:$DR$508,5,FALSE()))</f>
        <v/>
      </c>
      <c r="DX108" s="112" t="str">
        <f aca="false">IF($DJ108&gt;$DI$8,"",VLOOKUP($DJ108,$DL$9:$DR$508,6,FALSE()))</f>
        <v/>
      </c>
      <c r="DY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130"/>
      <c r="N109" s="130"/>
      <c r="O109" s="135"/>
      <c r="P109" s="135"/>
      <c r="Q109" s="130"/>
      <c r="R109" s="130"/>
      <c r="S109" s="130"/>
      <c r="T109" s="130"/>
      <c r="U109" s="135"/>
      <c r="V109" s="130"/>
      <c r="W109" s="96"/>
      <c r="X109" s="130"/>
      <c r="Y109" s="130"/>
      <c r="Z109" s="96"/>
      <c r="AA109" s="96"/>
      <c r="AB109" s="130"/>
      <c r="AC109" s="130"/>
      <c r="AD109" s="130"/>
      <c r="AE109" s="97"/>
      <c r="AF109" s="130"/>
      <c r="AG109" s="99"/>
      <c r="AH109" s="100"/>
      <c r="AI109" s="100"/>
      <c r="AJ109" s="100" t="str">
        <f aca="false">IF(ISBLANK($C109),"",IF($E109=Constants!$B$2,TRUE(),IF($E109=Constants!$B$3,FALSE(),TRUE())))</f>
        <v/>
      </c>
      <c r="AK109" s="100" t="str">
        <f aca="false">IF(ISBLANK($C109),"",IF($F109=Constants!$B$2,TRUE(),IF($F109=Constants!$B$3,FALSE(),FALSE())))</f>
        <v/>
      </c>
      <c r="AL109" s="100" t="str">
        <f aca="false">IF(ISBLANK($C109),"",IF($G109=Constants!$B$2,TRUE(),IF($G109=Constants!$B$3,FALSE(),TRUE())))</f>
        <v/>
      </c>
      <c r="AM109" s="100" t="str">
        <f aca="false">IF(ISBLANK($C109),"",IF($H109=Constants!$B$2,TRUE(),IF($H109=Constants!$B$3,FALSE(),TRUE())))</f>
        <v/>
      </c>
      <c r="AN109" s="100" t="str">
        <f aca="false">IF(ISBLANK($C109),"",IF(ISNUMBER($I109),IF($I109&gt;=0,$I109,""),""))</f>
        <v/>
      </c>
      <c r="AO109" s="100" t="str">
        <f aca="false">IF(ISBLANK($C109),"",IF(ISNUMBER($J109),IF($J109&gt;=0,$J109,""),""))</f>
        <v/>
      </c>
      <c r="AP109" s="100" t="str">
        <f aca="false">IF(ISBLANK($C109),"",IF(ISNUMBER($K109),IF($K109&gt;=0,$K109,""),""))</f>
        <v/>
      </c>
      <c r="AQ109" s="100" t="str">
        <f aca="false">IF(ISBLANK($C109),"",IF($L109=Constants!$B$2,TRUE(),IF($L109=Constants!$B$3,FALSE(),TRUE())))</f>
        <v/>
      </c>
      <c r="AR109" s="100" t="str">
        <f aca="false">IF(ISBLANK($C109),"",IF($M109=Constants!$B$2,TRUE(),IF($M109=Constants!$B$3,FALSE(),TRUE())))</f>
        <v/>
      </c>
      <c r="AS109" s="100" t="str">
        <f aca="false">IF(ISBLANK($C109),"",IF($N109=Constants!$B$2,TRUE(),IF($N109=Constants!$B$3,FALSE(),FALSE())))</f>
        <v/>
      </c>
      <c r="AT109" s="100" t="str">
        <f aca="false">IF(ISBLANK($C109),"",IF($O109=Constants!$B$2,TRUE(),IF($O109=Constants!$B$3,FALSE(),TRUE())))</f>
        <v/>
      </c>
      <c r="AU109" s="100" t="str">
        <f aca="false">IF(ISBLANK($C109),"",IF($P109=Constants!$B$2,TRUE(),IF($P109=Constants!$B$3,FALSE(),TRUE())))</f>
        <v/>
      </c>
      <c r="AV109" s="100" t="str">
        <f aca="false">IF(ISBLANK($C109),"",IF($Q109=Constants!$B$2,TRUE(),IF($Q109=Constants!$B$3,FALSE(),FALSE())))</f>
        <v/>
      </c>
      <c r="AW109" s="100" t="str">
        <f aca="false">IF(ISBLANK($C109),"",IF($R109=Constants!$B$2,TRUE(),IF($R109=Constants!$B$3,FALSE(),FALSE())))</f>
        <v/>
      </c>
      <c r="AX109" s="100" t="str">
        <f aca="false">IF(ISBLANK($C109),"",IF($S109=Constants!$B$2,TRUE(),IF($S109=Constants!$B$3,FALSE(),FALSE())))</f>
        <v/>
      </c>
      <c r="AY109" s="100" t="str">
        <f aca="false">IF(ISBLANK($C109),"",IF($T109=Constants!$B$2,TRUE(),IF($T109=Constants!$B$3,FALSE(),FALSE())))</f>
        <v/>
      </c>
      <c r="AZ109" s="100" t="str">
        <f aca="false">IF(ISBLANK($C109),"",IF($U109=Constants!$B$2,TRUE(),IF($U109=Constants!$B$3,FALSE(),FALSE())))</f>
        <v/>
      </c>
      <c r="BA109" s="100" t="str">
        <f aca="false">IF(ISBLANK($C109),"",IF(OR($V109&amp;""="1",$V109&amp;""="2",$V109&amp;""="3",$V109&amp;""="4"),VALUE($V109&amp;""),IF($V109=Constants!$B$12,Constants!$B$12,"")))</f>
        <v/>
      </c>
      <c r="BB109" s="100" t="str">
        <f aca="false">IF(ISBLANK($C109),"",IF(ISBLANK($W109),0,IF(ISNUMBER($W109),IF(AND($W109&gt;=0,$W109&lt;=Constants!$B$21,$W109=INT($W109)),$W109,""),"")))</f>
        <v/>
      </c>
      <c r="BC109" s="100" t="str">
        <f aca="false">IF(ISBLANK($C109),"",IF(ISBLANK($X109),0,IF(ISNUMBER($X109),IF($X109&gt;=0,$X109,""),"")))</f>
        <v/>
      </c>
      <c r="BD109" s="100" t="str">
        <f aca="false">IF(ISBLANK($C109),"",IF($Y109=Constants!$B$2,TRUE(),IF($Y109=Constants!$B$3,FALSE(),TRUE())))</f>
        <v/>
      </c>
      <c r="BE109" s="100" t="str">
        <f aca="false">IF(ISBLANK($C109),"",IF($Z109=Constants!$B$2,TRUE(),IF($Z109=Constants!$B$3,FALSE(),FALSE())))</f>
        <v/>
      </c>
      <c r="BF109" s="100" t="str">
        <f aca="false">IF(ISBLANK($C109),"",IF(ISBLANK($AA109),0,IF(ISNUMBER($AA109),IF(AND($AA109&gt;=0,$AA109&lt;=Constants!$B$35,$AA109=INT($AA109)),$AA109,""),"")))</f>
        <v/>
      </c>
      <c r="BG109" s="100" t="str">
        <f aca="false">IF(ISBLANK($C109),"",IF($AB109=Constants!$B$2,TRUE(),IF($AB109=Constants!$B$3,FALSE(),TRUE())))</f>
        <v/>
      </c>
      <c r="BH109" s="100" t="str">
        <f aca="false">IF(ISBLANK($C109),"",IF($AC109=Constants!$B$2,TRUE(),IF($AC109=Constants!$B$3,FALSE(),TRUE())))</f>
        <v/>
      </c>
      <c r="BI109" s="100" t="str">
        <f aca="false">IF(ISBLANK($C109),"",IF($AD109=Constants!$B$2,TRUE(),IF($AD109=Constants!$B$3,FALSE(),TRUE())))</f>
        <v/>
      </c>
      <c r="BJ109" s="100" t="str">
        <f aca="false">IF(ISBLANK($C109),"",IF(ISNUMBER($AE109),IF($AE109&gt;=0,$AE109,""),""))</f>
        <v/>
      </c>
      <c r="BK109" s="100" t="str">
        <f aca="false">IF(ISBLANK($C109),"",IF($AF109=Constants!$B$2,TRUE(),IF($AF109=Constants!$B$3,FALSE(),FALSE())))</f>
        <v/>
      </c>
      <c r="BL109" s="99" t="str">
        <f aca="false">IF(ISBLANK($C109),"",IF($BK109,Constants!$B$7,IF(COUNTA($E109:$AE109)=0,Constants!$B$6,IF(OR(COUNTA($G109:$AE109)=0,NOT($AM109),$AS109),Constants!$B$5,IF(OR($CM109&lt;&gt;"",$CN109,$CO109,$CP109,$CQ109,$CR109,$CS109),Constants!$B$8,Constants!$B$4)))))</f>
        <v/>
      </c>
      <c r="BM109" s="100" t="str">
        <f aca="false">IF(ISBLANK($C109),"",IF($BL109&lt;&gt;Constants!$B$4,$BL109,IF(OR(NOT($AJ109),NOT($AL109),NOT($AT109)),Constants!$B$11,IF(OR(NOT($AR109),NOT($AU109),NOT($BI109),MAX($AN109,$AO109,$AP109)&gt;Constants!$B$30),Constants!$B$10,Constants!$B$9))))</f>
        <v/>
      </c>
      <c r="BN109" s="100" t="str">
        <f aca="false">IF($BL109&lt;&gt;Constants!$B$4,"",IF(NOT($AL109),0,MIN(Constants!$B$35,$BF109)))</f>
        <v/>
      </c>
      <c r="BO109" s="100" t="str">
        <f aca="false">IF($BL109&lt;&gt;Constants!$B$4,"",IF(NOT($AL109),0,IF($AW109,Constants!$B$18,IF($AV109,Constants!$B$17,0))))</f>
        <v/>
      </c>
      <c r="BP109" s="100" t="str">
        <f aca="false">IF($BL109&lt;&gt;Constants!$B$4,"",IF(NOT($AL109),0,Constants!$B$19*($AK109+$AX109+$AY109+$AZ109)))</f>
        <v/>
      </c>
      <c r="BQ109" s="100" t="str">
        <f aca="false">IF($BL109&lt;&gt;Constants!$B$4,"",IF(OR(NOT($AL109),NOT(ISNUMBER($BA109))),0,CHOOSE($BA109,Constants!$B$13,Constants!$B$14,Constants!$B$15,Constants!$B$16)))</f>
        <v/>
      </c>
      <c r="BR109" s="100" t="str">
        <f aca="false">IF($BL109&lt;&gt;Constants!$B$4,"",IF(NOT($AL109),0,Constants!$B$20*$BB109))</f>
        <v/>
      </c>
      <c r="BS109" s="100" t="str">
        <f aca="false">IF($BL109&lt;&gt;Constants!$B$4,"",IF(AND($AL109,$BD109,$BE109),Constants!$B$22,0))</f>
        <v/>
      </c>
      <c r="BT109" s="100" t="str">
        <f aca="false">IF($BL109&lt;&gt;Constants!$B$4,"",IF(OR(NOT($AL109),NOT($BD109)),0,IF($BJ109&gt;=2*$AH$9,0,Constants!$B$23*INT(ROUND(MIN($BJ109,$AH$9),6)))))</f>
        <v/>
      </c>
      <c r="BU109" s="100" t="str">
        <f aca="false">IF($BL109&lt;&gt;Constants!$B$4,"",IF(NOT($AL109),0,Constants!$B$24*INT(ROUND(MIN($BC109,$AH$9),6))))</f>
        <v/>
      </c>
      <c r="BV109" s="100" t="str">
        <f aca="false">IF($BL109&lt;&gt;Constants!$B$4,"",IF(AND($AL109,$BN109=0),Constants!$B$25,0))</f>
        <v/>
      </c>
      <c r="BW109" s="100" t="str">
        <f aca="false">IF($BL109&lt;&gt;Constants!$B$4,"",MIN(Constants!$B$29,MAX(0,Constants!$B$27*Constants!$B$28*INT(ROUND((Constants!$B$26-$AN109)/Constants!$B$28,6))))+MIN(Constants!$B$29,MAX(0,Constants!$B$27*Constants!$B$28*INT(ROUND((Constants!$B$26-$AO109)/Constants!$B$28,6))))+MIN(Constants!$B$29,MAX(0,Constants!$B$27*Constants!$B$28*INT(ROUND((Constants!$B$26-$AP109)/Constants!$B$28,6)))))</f>
        <v/>
      </c>
      <c r="BX109" s="100" t="str">
        <f aca="false">IF($BL109&lt;&gt;Constants!$B$4,"",IF(NOT($AL109),0,Constants!$B$31*INT(ROUND(MAX(0,MIN($BJ109,2*$AH$9)-$AH$9),6))))</f>
        <v/>
      </c>
      <c r="BY109" s="100" t="str">
        <f aca="false">IF($BL109&lt;&gt;Constants!$B$4,"",Constants!$B$32*(($AN109&gt;Constants!$B$26)+($AO109&gt;Constants!$B$26)+($AP109&gt;Constants!$B$26)))</f>
        <v/>
      </c>
      <c r="BZ109" s="100" t="str">
        <f aca="false">IF($BL109&lt;&gt;Constants!$B$4,"",IF(OR(NOT($AL109),$AQ109),0,Constants!$B$33))</f>
        <v/>
      </c>
      <c r="CA109" s="100" t="str">
        <f aca="false">IF($BL109&lt;&gt;Constants!$B$4,"",Constants!$B$34*$BN109)</f>
        <v/>
      </c>
      <c r="CB109" s="100" t="str">
        <f aca="false">IF($BL109&lt;&gt;Constants!$B$4,"",IF(OR(NOT($AL109),$BH109),0,Constants!$B$36))</f>
        <v/>
      </c>
      <c r="CC109" s="100" t="str">
        <f aca="false">IF($BL109&lt;&gt;Constants!$B$4,"",IF(OR(NOT($AL109),$BG109),0,Constants!$B$37))</f>
        <v/>
      </c>
      <c r="CD109" s="100" t="str">
        <f aca="false">IF($BL109&lt;&gt;Constants!$B$4,"",SUM($BX109:$CC109))</f>
        <v/>
      </c>
      <c r="CE109" s="100" t="str">
        <f aca="false">IF(ISBLANK($C109),"",IF($BL109&lt;&gt;Constants!$B$4,$BL109,SUM($BO109:$BW109)-$CD109))</f>
        <v/>
      </c>
      <c r="CF109" s="100" t="str">
        <f aca="false">IF(ISBLANK($C109),"",IF($BL109&lt;&gt;Constants!$B$4,$BL109,RANK($CE109,$CE$9:$CE$508)))</f>
        <v/>
      </c>
      <c r="CG109" s="100" t="str">
        <f aca="false">IF(ISBLANK($C109),"",IF($BL109&lt;&gt;Constants!$B$4,$BL109,COUNTIFS($BM$9:$BM$508,"&lt;"&amp;$BM109)+COUNTIFS($BM$9:$BM$508,$BM109,$CF$9:$CF$508,"&lt;"&amp;$CF109)+1))</f>
        <v/>
      </c>
      <c r="CH109" s="100" t="str">
        <f aca="false">IF(ISBLANK($C109),"",IF($BL109&lt;&gt;Constants!$B$4,$BL109,RANK($CD109,$CD$9:$CD$508,1)))</f>
        <v/>
      </c>
      <c r="CI109" s="100" t="str">
        <f aca="false">IF($BL109&lt;&gt;Constants!$B$4,"",$AN109+$AO109+$AP109)</f>
        <v/>
      </c>
      <c r="CJ109" s="100" t="str">
        <f aca="false">IF(ISBLANK($C109),"",IF($BL109&lt;&gt;Constants!$B$4,$BL109,RANK($CI109,$CI$9:$CI$508,1)))</f>
        <v/>
      </c>
      <c r="CK109" s="100" t="str">
        <f aca="false">IF(ISBLANK($C109),"",IF($BL109&lt;&gt;Constants!$B$4,$BL109,COUNTIFS($BM$9:$BM$508,"&lt;"&amp;$BM109)+COUNTIFS($BM$9:$BM$508,$BM109,$CF$9:$CF$508,"&lt;"&amp;$CF109)+COUNTIFS($BM$9:$BM$508,$BM109,$CF$9:$CF$508,$CF109,$CH$9:$CH$508,"&lt;"&amp;$CH109)+COUNTIFS($BM$9:$BM$508,$BM109,$CF$9:$CF$508,$CF109,$CH$9:$CH$508,$CH109,$CJ$9:$CJ$508,"&lt;"&amp;$CJ109)+1))</f>
        <v/>
      </c>
      <c r="CL109" s="100" t="str">
        <f aca="false">IF(ISBLANK($C109),"",IF($BL109&lt;&gt;Constants!$B$4,$BL109,$CG109-$CK109))</f>
        <v/>
      </c>
      <c r="CM109" s="100" t="str">
        <f aca="false">IF(ISBLANK($C109),"",IF(NOT($AL109),"",IF(ISBLANK($D$7),$CM$5,IF(NOT(ISNUMBER($D$7)),$CM$6,""))))</f>
        <v/>
      </c>
      <c r="CN109" s="100" t="str">
        <f aca="false">IF(ISBLANK($C109),"",OR($AN109="",$AO109="",$AP109=""))</f>
        <v/>
      </c>
      <c r="CO109" s="100" t="str">
        <f aca="false">IF(ISBLANK($C109),"",AND($AL109,$BA109=""))</f>
        <v/>
      </c>
      <c r="CP109" s="100" t="str">
        <f aca="false">IF(ISBLANK($C109),"",AND($AL109,$BB109=""))</f>
        <v/>
      </c>
      <c r="CQ109" s="100" t="str">
        <f aca="false">IF(ISBLANK($C109),"",AND($AL109,$BC109=""))</f>
        <v/>
      </c>
      <c r="CR109" s="100" t="str">
        <f aca="false">IF(ISBLANK($C109),"",AND($AL109,$BF109=""))</f>
        <v/>
      </c>
      <c r="CS109" s="100" t="str">
        <f aca="false">IF(ISBLANK($C109),"",AND($AL109,$BJ109=""))</f>
        <v/>
      </c>
      <c r="CT109" s="101"/>
      <c r="CU109" s="102"/>
      <c r="CV109" s="103" t="str">
        <f aca="false">IF(ISBLANK($C109),"",IF($BL109=Constants!$B$8,$CM109,""))</f>
        <v/>
      </c>
      <c r="CW109" s="102" t="str">
        <f aca="false">IF(ISBLANK($C109),"",IF($BL109&lt;&gt;Constants!$B$4,"",$BO109+$BP109))</f>
        <v/>
      </c>
      <c r="CX109" s="104" t="str">
        <f aca="false">IF(ISBLANK($C109),"",IF($BL109&lt;&gt;Constants!$B$4,"",$BQ109+$BR109+$BS109))</f>
        <v/>
      </c>
      <c r="CY109" s="104" t="str">
        <f aca="false">IF(ISBLANK($C109),"",IF($BL109&lt;&gt;Constants!$B$4,"",$BT109))</f>
        <v/>
      </c>
      <c r="CZ109" s="104" t="str">
        <f aca="false">IF(ISBLANK($C109),"",IF($BL109&lt;&gt;Constants!$B$4,"",$BU109+$BV109))</f>
        <v/>
      </c>
      <c r="DA109" s="104" t="str">
        <f aca="false">IF(ISBLANK($C109),"",IF($BL109&lt;&gt;Constants!$B$4,"",$BW109))</f>
        <v/>
      </c>
      <c r="DB109" s="104" t="str">
        <f aca="false">IF(ISBLANK($C109),"",IF($BL109&lt;&gt;Constants!$B$4,"",-$CD109))</f>
        <v/>
      </c>
      <c r="DC109" s="103" t="str">
        <f aca="false">IF(ISBLANK($C109),"",$CE109)</f>
        <v/>
      </c>
      <c r="DD109" s="105" t="str">
        <f aca="false">IF(ISBLANK($C109),"",$BM109)</f>
        <v/>
      </c>
      <c r="DE109" s="104" t="str">
        <f aca="false">IF(ISBLANK($C109),"",$CL109)</f>
        <v/>
      </c>
      <c r="DF109" s="104" t="str">
        <f aca="false">IF(ISBLANK($C109),"",$CK109)</f>
        <v/>
      </c>
      <c r="DG109" s="106" t="str">
        <f aca="false">IF(ISBLANK($C109),"",IF($DF109=Constants!$B$7,COUNTA($C$9:$C$508)+2,IF($DF109=Constants!$B$6,COUNTA($C$9:$C$508)+1,IF($DF109=Constants!$B$5,COUNTA($C$9:$C$508),$DF109))))</f>
        <v/>
      </c>
      <c r="DH109" s="7"/>
      <c r="DI109" s="107" t="n">
        <f aca="false">IF(OR(ISNUMBER($DF109),$DF109=Constants!$B$7,$DF109=Constants!$B$5,$DF109=Constants!$B$6),1,0)</f>
        <v>0</v>
      </c>
      <c r="DJ109" s="107" t="n">
        <v>101</v>
      </c>
      <c r="DK109" s="107" t="str">
        <f aca="false">IF(ISBLANK($C109),"",IF(ISNUMBER($DG109),$DG109+ROW($B109)/1000,""))</f>
        <v/>
      </c>
      <c r="DL109" s="107" t="str">
        <f aca="false">IF(ISNUMBER($DK109),RANK($DK109,$DK$9:$DK$508,1),"")</f>
        <v/>
      </c>
      <c r="DM109" s="107" t="str">
        <f aca="false">IF(ISBLANK($C109),"",$B109)</f>
        <v/>
      </c>
      <c r="DN109" s="107" t="str">
        <f aca="false">IF(ISBLANK($C109),"",$C109)</f>
        <v/>
      </c>
      <c r="DO109" s="107" t="str">
        <f aca="false">IF(ISBLANK($C109),"",$D109)</f>
        <v/>
      </c>
      <c r="DP109" s="108" t="str">
        <f aca="false">$DD109</f>
        <v/>
      </c>
      <c r="DQ109" s="109" t="str">
        <f aca="false">$DC109</f>
        <v/>
      </c>
      <c r="DR109" s="107" t="str">
        <f aca="false">IF(ISBLANK($C109),"",$DF109)</f>
        <v/>
      </c>
      <c r="DS109" s="110" t="str">
        <f aca="false">IF($DJ109&gt;$DI$8,"",VLOOKUP($DJ109,$DL$9:$DR$508,7,FALSE()))</f>
        <v/>
      </c>
      <c r="DT109" s="111" t="str">
        <f aca="false">IF($DJ109&gt;$DI$8,"",VLOOKUP($DJ109,$DL$9:$DR$508,2,FALSE()))</f>
        <v/>
      </c>
      <c r="DU109" s="111" t="str">
        <f aca="false">IF($DJ109&gt;$DI$8,"",VLOOKUP($DJ109,$DL$9:$DR$508,3,FALSE()))</f>
        <v/>
      </c>
      <c r="DV109" s="111" t="str">
        <f aca="false">IF($DJ109&gt;$DI$8,"",VLOOKUP($DJ109,$DL$9:$DR$508,4,FALSE()))</f>
        <v/>
      </c>
      <c r="DW109" s="111" t="str">
        <f aca="false">IF($DJ109&gt;$DI$8,"",VLOOKUP($DJ109,$DL$9:$DR$508,5,FALSE()))</f>
        <v/>
      </c>
      <c r="DX109" s="112" t="str">
        <f aca="false">IF($DJ109&gt;$DI$8,"",VLOOKUP($DJ109,$DL$9:$DR$508,6,FALSE()))</f>
        <v/>
      </c>
      <c r="DY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130"/>
      <c r="N110" s="130"/>
      <c r="O110" s="135"/>
      <c r="P110" s="135"/>
      <c r="Q110" s="130"/>
      <c r="R110" s="130"/>
      <c r="S110" s="130"/>
      <c r="T110" s="130"/>
      <c r="U110" s="135"/>
      <c r="V110" s="130"/>
      <c r="W110" s="96"/>
      <c r="X110" s="130"/>
      <c r="Y110" s="130"/>
      <c r="Z110" s="96"/>
      <c r="AA110" s="96"/>
      <c r="AB110" s="130"/>
      <c r="AC110" s="130"/>
      <c r="AD110" s="130"/>
      <c r="AE110" s="97"/>
      <c r="AF110" s="130"/>
      <c r="AG110" s="99"/>
      <c r="AH110" s="100"/>
      <c r="AI110" s="100"/>
      <c r="AJ110" s="100" t="str">
        <f aca="false">IF(ISBLANK($C110),"",IF($E110=Constants!$B$2,TRUE(),IF($E110=Constants!$B$3,FALSE(),TRUE())))</f>
        <v/>
      </c>
      <c r="AK110" s="100" t="str">
        <f aca="false">IF(ISBLANK($C110),"",IF($F110=Constants!$B$2,TRUE(),IF($F110=Constants!$B$3,FALSE(),FALSE())))</f>
        <v/>
      </c>
      <c r="AL110" s="100" t="str">
        <f aca="false">IF(ISBLANK($C110),"",IF($G110=Constants!$B$2,TRUE(),IF($G110=Constants!$B$3,FALSE(),TRUE())))</f>
        <v/>
      </c>
      <c r="AM110" s="100" t="str">
        <f aca="false">IF(ISBLANK($C110),"",IF($H110=Constants!$B$2,TRUE(),IF($H110=Constants!$B$3,FALSE(),TRUE())))</f>
        <v/>
      </c>
      <c r="AN110" s="100" t="str">
        <f aca="false">IF(ISBLANK($C110),"",IF(ISNUMBER($I110),IF($I110&gt;=0,$I110,""),""))</f>
        <v/>
      </c>
      <c r="AO110" s="100" t="str">
        <f aca="false">IF(ISBLANK($C110),"",IF(ISNUMBER($J110),IF($J110&gt;=0,$J110,""),""))</f>
        <v/>
      </c>
      <c r="AP110" s="100" t="str">
        <f aca="false">IF(ISBLANK($C110),"",IF(ISNUMBER($K110),IF($K110&gt;=0,$K110,""),""))</f>
        <v/>
      </c>
      <c r="AQ110" s="100" t="str">
        <f aca="false">IF(ISBLANK($C110),"",IF($L110=Constants!$B$2,TRUE(),IF($L110=Constants!$B$3,FALSE(),TRUE())))</f>
        <v/>
      </c>
      <c r="AR110" s="100" t="str">
        <f aca="false">IF(ISBLANK($C110),"",IF($M110=Constants!$B$2,TRUE(),IF($M110=Constants!$B$3,FALSE(),TRUE())))</f>
        <v/>
      </c>
      <c r="AS110" s="100" t="str">
        <f aca="false">IF(ISBLANK($C110),"",IF($N110=Constants!$B$2,TRUE(),IF($N110=Constants!$B$3,FALSE(),FALSE())))</f>
        <v/>
      </c>
      <c r="AT110" s="100" t="str">
        <f aca="false">IF(ISBLANK($C110),"",IF($O110=Constants!$B$2,TRUE(),IF($O110=Constants!$B$3,FALSE(),TRUE())))</f>
        <v/>
      </c>
      <c r="AU110" s="100" t="str">
        <f aca="false">IF(ISBLANK($C110),"",IF($P110=Constants!$B$2,TRUE(),IF($P110=Constants!$B$3,FALSE(),TRUE())))</f>
        <v/>
      </c>
      <c r="AV110" s="100" t="str">
        <f aca="false">IF(ISBLANK($C110),"",IF($Q110=Constants!$B$2,TRUE(),IF($Q110=Constants!$B$3,FALSE(),FALSE())))</f>
        <v/>
      </c>
      <c r="AW110" s="100" t="str">
        <f aca="false">IF(ISBLANK($C110),"",IF($R110=Constants!$B$2,TRUE(),IF($R110=Constants!$B$3,FALSE(),FALSE())))</f>
        <v/>
      </c>
      <c r="AX110" s="100" t="str">
        <f aca="false">IF(ISBLANK($C110),"",IF($S110=Constants!$B$2,TRUE(),IF($S110=Constants!$B$3,FALSE(),FALSE())))</f>
        <v/>
      </c>
      <c r="AY110" s="100" t="str">
        <f aca="false">IF(ISBLANK($C110),"",IF($T110=Constants!$B$2,TRUE(),IF($T110=Constants!$B$3,FALSE(),FALSE())))</f>
        <v/>
      </c>
      <c r="AZ110" s="100" t="str">
        <f aca="false">IF(ISBLANK($C110),"",IF($U110=Constants!$B$2,TRUE(),IF($U110=Constants!$B$3,FALSE(),FALSE())))</f>
        <v/>
      </c>
      <c r="BA110" s="100" t="str">
        <f aca="false">IF(ISBLANK($C110),"",IF(OR($V110&amp;""="1",$V110&amp;""="2",$V110&amp;""="3",$V110&amp;""="4"),VALUE($V110&amp;""),IF($V110=Constants!$B$12,Constants!$B$12,"")))</f>
        <v/>
      </c>
      <c r="BB110" s="100" t="str">
        <f aca="false">IF(ISBLANK($C110),"",IF(ISBLANK($W110),0,IF(ISNUMBER($W110),IF(AND($W110&gt;=0,$W110&lt;=Constants!$B$21,$W110=INT($W110)),$W110,""),"")))</f>
        <v/>
      </c>
      <c r="BC110" s="100" t="str">
        <f aca="false">IF(ISBLANK($C110),"",IF(ISBLANK($X110),0,IF(ISNUMBER($X110),IF($X110&gt;=0,$X110,""),"")))</f>
        <v/>
      </c>
      <c r="BD110" s="100" t="str">
        <f aca="false">IF(ISBLANK($C110),"",IF($Y110=Constants!$B$2,TRUE(),IF($Y110=Constants!$B$3,FALSE(),TRUE())))</f>
        <v/>
      </c>
      <c r="BE110" s="100" t="str">
        <f aca="false">IF(ISBLANK($C110),"",IF($Z110=Constants!$B$2,TRUE(),IF($Z110=Constants!$B$3,FALSE(),FALSE())))</f>
        <v/>
      </c>
      <c r="BF110" s="100" t="str">
        <f aca="false">IF(ISBLANK($C110),"",IF(ISBLANK($AA110),0,IF(ISNUMBER($AA110),IF(AND($AA110&gt;=0,$AA110&lt;=Constants!$B$35,$AA110=INT($AA110)),$AA110,""),"")))</f>
        <v/>
      </c>
      <c r="BG110" s="100" t="str">
        <f aca="false">IF(ISBLANK($C110),"",IF($AB110=Constants!$B$2,TRUE(),IF($AB110=Constants!$B$3,FALSE(),TRUE())))</f>
        <v/>
      </c>
      <c r="BH110" s="100" t="str">
        <f aca="false">IF(ISBLANK($C110),"",IF($AC110=Constants!$B$2,TRUE(),IF($AC110=Constants!$B$3,FALSE(),TRUE())))</f>
        <v/>
      </c>
      <c r="BI110" s="100" t="str">
        <f aca="false">IF(ISBLANK($C110),"",IF($AD110=Constants!$B$2,TRUE(),IF($AD110=Constants!$B$3,FALSE(),TRUE())))</f>
        <v/>
      </c>
      <c r="BJ110" s="100" t="str">
        <f aca="false">IF(ISBLANK($C110),"",IF(ISNUMBER($AE110),IF($AE110&gt;=0,$AE110,""),""))</f>
        <v/>
      </c>
      <c r="BK110" s="100" t="str">
        <f aca="false">IF(ISBLANK($C110),"",IF($AF110=Constants!$B$2,TRUE(),IF($AF110=Constants!$B$3,FALSE(),FALSE())))</f>
        <v/>
      </c>
      <c r="BL110" s="99" t="str">
        <f aca="false">IF(ISBLANK($C110),"",IF($BK110,Constants!$B$7,IF(COUNTA($E110:$AE110)=0,Constants!$B$6,IF(OR(COUNTA($G110:$AE110)=0,NOT($AM110),$AS110),Constants!$B$5,IF(OR($CM110&lt;&gt;"",$CN110,$CO110,$CP110,$CQ110,$CR110,$CS110),Constants!$B$8,Constants!$B$4)))))</f>
        <v/>
      </c>
      <c r="BM110" s="100" t="str">
        <f aca="false">IF(ISBLANK($C110),"",IF($BL110&lt;&gt;Constants!$B$4,$BL110,IF(OR(NOT($AJ110),NOT($AL110),NOT($AT110)),Constants!$B$11,IF(OR(NOT($AR110),NOT($AU110),NOT($BI110),MAX($AN110,$AO110,$AP110)&gt;Constants!$B$30),Constants!$B$10,Constants!$B$9))))</f>
        <v/>
      </c>
      <c r="BN110" s="100" t="str">
        <f aca="false">IF($BL110&lt;&gt;Constants!$B$4,"",IF(NOT($AL110),0,MIN(Constants!$B$35,$BF110)))</f>
        <v/>
      </c>
      <c r="BO110" s="100" t="str">
        <f aca="false">IF($BL110&lt;&gt;Constants!$B$4,"",IF(NOT($AL110),0,IF($AW110,Constants!$B$18,IF($AV110,Constants!$B$17,0))))</f>
        <v/>
      </c>
      <c r="BP110" s="100" t="str">
        <f aca="false">IF($BL110&lt;&gt;Constants!$B$4,"",IF(NOT($AL110),0,Constants!$B$19*($AK110+$AX110+$AY110+$AZ110)))</f>
        <v/>
      </c>
      <c r="BQ110" s="100" t="str">
        <f aca="false">IF($BL110&lt;&gt;Constants!$B$4,"",IF(OR(NOT($AL110),NOT(ISNUMBER($BA110))),0,CHOOSE($BA110,Constants!$B$13,Constants!$B$14,Constants!$B$15,Constants!$B$16)))</f>
        <v/>
      </c>
      <c r="BR110" s="100" t="str">
        <f aca="false">IF($BL110&lt;&gt;Constants!$B$4,"",IF(NOT($AL110),0,Constants!$B$20*$BB110))</f>
        <v/>
      </c>
      <c r="BS110" s="100" t="str">
        <f aca="false">IF($BL110&lt;&gt;Constants!$B$4,"",IF(AND($AL110,$BD110,$BE110),Constants!$B$22,0))</f>
        <v/>
      </c>
      <c r="BT110" s="100" t="str">
        <f aca="false">IF($BL110&lt;&gt;Constants!$B$4,"",IF(OR(NOT($AL110),NOT($BD110)),0,IF($BJ110&gt;=2*$AH$9,0,Constants!$B$23*INT(ROUND(MIN($BJ110,$AH$9),6)))))</f>
        <v/>
      </c>
      <c r="BU110" s="100" t="str">
        <f aca="false">IF($BL110&lt;&gt;Constants!$B$4,"",IF(NOT($AL110),0,Constants!$B$24*INT(ROUND(MIN($BC110,$AH$9),6))))</f>
        <v/>
      </c>
      <c r="BV110" s="100" t="str">
        <f aca="false">IF($BL110&lt;&gt;Constants!$B$4,"",IF(AND($AL110,$BN110=0),Constants!$B$25,0))</f>
        <v/>
      </c>
      <c r="BW110" s="100" t="str">
        <f aca="false">IF($BL110&lt;&gt;Constants!$B$4,"",MIN(Constants!$B$29,MAX(0,Constants!$B$27*Constants!$B$28*INT(ROUND((Constants!$B$26-$AN110)/Constants!$B$28,6))))+MIN(Constants!$B$29,MAX(0,Constants!$B$27*Constants!$B$28*INT(ROUND((Constants!$B$26-$AO110)/Constants!$B$28,6))))+MIN(Constants!$B$29,MAX(0,Constants!$B$27*Constants!$B$28*INT(ROUND((Constants!$B$26-$AP110)/Constants!$B$28,6)))))</f>
        <v/>
      </c>
      <c r="BX110" s="100" t="str">
        <f aca="false">IF($BL110&lt;&gt;Constants!$B$4,"",IF(NOT($AL110),0,Constants!$B$31*INT(ROUND(MAX(0,MIN($BJ110,2*$AH$9)-$AH$9),6))))</f>
        <v/>
      </c>
      <c r="BY110" s="100" t="str">
        <f aca="false">IF($BL110&lt;&gt;Constants!$B$4,"",Constants!$B$32*(($AN110&gt;Constants!$B$26)+($AO110&gt;Constants!$B$26)+($AP110&gt;Constants!$B$26)))</f>
        <v/>
      </c>
      <c r="BZ110" s="100" t="str">
        <f aca="false">IF($BL110&lt;&gt;Constants!$B$4,"",IF(OR(NOT($AL110),$AQ110),0,Constants!$B$33))</f>
        <v/>
      </c>
      <c r="CA110" s="100" t="str">
        <f aca="false">IF($BL110&lt;&gt;Constants!$B$4,"",Constants!$B$34*$BN110)</f>
        <v/>
      </c>
      <c r="CB110" s="100" t="str">
        <f aca="false">IF($BL110&lt;&gt;Constants!$B$4,"",IF(OR(NOT($AL110),$BH110),0,Constants!$B$36))</f>
        <v/>
      </c>
      <c r="CC110" s="100" t="str">
        <f aca="false">IF($BL110&lt;&gt;Constants!$B$4,"",IF(OR(NOT($AL110),$BG110),0,Constants!$B$37))</f>
        <v/>
      </c>
      <c r="CD110" s="100" t="str">
        <f aca="false">IF($BL110&lt;&gt;Constants!$B$4,"",SUM($BX110:$CC110))</f>
        <v/>
      </c>
      <c r="CE110" s="100" t="str">
        <f aca="false">IF(ISBLANK($C110),"",IF($BL110&lt;&gt;Constants!$B$4,$BL110,SUM($BO110:$BW110)-$CD110))</f>
        <v/>
      </c>
      <c r="CF110" s="100" t="str">
        <f aca="false">IF(ISBLANK($C110),"",IF($BL110&lt;&gt;Constants!$B$4,$BL110,RANK($CE110,$CE$9:$CE$508)))</f>
        <v/>
      </c>
      <c r="CG110" s="100" t="str">
        <f aca="false">IF(ISBLANK($C110),"",IF($BL110&lt;&gt;Constants!$B$4,$BL110,COUNTIFS($BM$9:$BM$508,"&lt;"&amp;$BM110)+COUNTIFS($BM$9:$BM$508,$BM110,$CF$9:$CF$508,"&lt;"&amp;$CF110)+1))</f>
        <v/>
      </c>
      <c r="CH110" s="100" t="str">
        <f aca="false">IF(ISBLANK($C110),"",IF($BL110&lt;&gt;Constants!$B$4,$BL110,RANK($CD110,$CD$9:$CD$508,1)))</f>
        <v/>
      </c>
      <c r="CI110" s="100" t="str">
        <f aca="false">IF($BL110&lt;&gt;Constants!$B$4,"",$AN110+$AO110+$AP110)</f>
        <v/>
      </c>
      <c r="CJ110" s="100" t="str">
        <f aca="false">IF(ISBLANK($C110),"",IF($BL110&lt;&gt;Constants!$B$4,$BL110,RANK($CI110,$CI$9:$CI$508,1)))</f>
        <v/>
      </c>
      <c r="CK110" s="100" t="str">
        <f aca="false">IF(ISBLANK($C110),"",IF($BL110&lt;&gt;Constants!$B$4,$BL110,COUNTIFS($BM$9:$BM$508,"&lt;"&amp;$BM110)+COUNTIFS($BM$9:$BM$508,$BM110,$CF$9:$CF$508,"&lt;"&amp;$CF110)+COUNTIFS($BM$9:$BM$508,$BM110,$CF$9:$CF$508,$CF110,$CH$9:$CH$508,"&lt;"&amp;$CH110)+COUNTIFS($BM$9:$BM$508,$BM110,$CF$9:$CF$508,$CF110,$CH$9:$CH$508,$CH110,$CJ$9:$CJ$508,"&lt;"&amp;$CJ110)+1))</f>
        <v/>
      </c>
      <c r="CL110" s="100" t="str">
        <f aca="false">IF(ISBLANK($C110),"",IF($BL110&lt;&gt;Constants!$B$4,$BL110,$CG110-$CK110))</f>
        <v/>
      </c>
      <c r="CM110" s="100" t="str">
        <f aca="false">IF(ISBLANK($C110),"",IF(NOT($AL110),"",IF(ISBLANK($D$7),$CM$5,IF(NOT(ISNUMBER($D$7)),$CM$6,""))))</f>
        <v/>
      </c>
      <c r="CN110" s="100" t="str">
        <f aca="false">IF(ISBLANK($C110),"",OR($AN110="",$AO110="",$AP110=""))</f>
        <v/>
      </c>
      <c r="CO110" s="100" t="str">
        <f aca="false">IF(ISBLANK($C110),"",AND($AL110,$BA110=""))</f>
        <v/>
      </c>
      <c r="CP110" s="100" t="str">
        <f aca="false">IF(ISBLANK($C110),"",AND($AL110,$BB110=""))</f>
        <v/>
      </c>
      <c r="CQ110" s="100" t="str">
        <f aca="false">IF(ISBLANK($C110),"",AND($AL110,$BC110=""))</f>
        <v/>
      </c>
      <c r="CR110" s="100" t="str">
        <f aca="false">IF(ISBLANK($C110),"",AND($AL110,$BF110=""))</f>
        <v/>
      </c>
      <c r="CS110" s="100" t="str">
        <f aca="false">IF(ISBLANK($C110),"",AND($AL110,$BJ110=""))</f>
        <v/>
      </c>
      <c r="CT110" s="101"/>
      <c r="CU110" s="102"/>
      <c r="CV110" s="103" t="str">
        <f aca="false">IF(ISBLANK($C110),"",IF($BL110=Constants!$B$8,$CM110,""))</f>
        <v/>
      </c>
      <c r="CW110" s="102" t="str">
        <f aca="false">IF(ISBLANK($C110),"",IF($BL110&lt;&gt;Constants!$B$4,"",$BO110+$BP110))</f>
        <v/>
      </c>
      <c r="CX110" s="104" t="str">
        <f aca="false">IF(ISBLANK($C110),"",IF($BL110&lt;&gt;Constants!$B$4,"",$BQ110+$BR110+$BS110))</f>
        <v/>
      </c>
      <c r="CY110" s="104" t="str">
        <f aca="false">IF(ISBLANK($C110),"",IF($BL110&lt;&gt;Constants!$B$4,"",$BT110))</f>
        <v/>
      </c>
      <c r="CZ110" s="104" t="str">
        <f aca="false">IF(ISBLANK($C110),"",IF($BL110&lt;&gt;Constants!$B$4,"",$BU110+$BV110))</f>
        <v/>
      </c>
      <c r="DA110" s="104" t="str">
        <f aca="false">IF(ISBLANK($C110),"",IF($BL110&lt;&gt;Constants!$B$4,"",$BW110))</f>
        <v/>
      </c>
      <c r="DB110" s="104" t="str">
        <f aca="false">IF(ISBLANK($C110),"",IF($BL110&lt;&gt;Constants!$B$4,"",-$CD110))</f>
        <v/>
      </c>
      <c r="DC110" s="103" t="str">
        <f aca="false">IF(ISBLANK($C110),"",$CE110)</f>
        <v/>
      </c>
      <c r="DD110" s="105" t="str">
        <f aca="false">IF(ISBLANK($C110),"",$BM110)</f>
        <v/>
      </c>
      <c r="DE110" s="104" t="str">
        <f aca="false">IF(ISBLANK($C110),"",$CL110)</f>
        <v/>
      </c>
      <c r="DF110" s="104" t="str">
        <f aca="false">IF(ISBLANK($C110),"",$CK110)</f>
        <v/>
      </c>
      <c r="DG110" s="106" t="str">
        <f aca="false">IF(ISBLANK($C110),"",IF($DF110=Constants!$B$7,COUNTA($C$9:$C$508)+2,IF($DF110=Constants!$B$6,COUNTA($C$9:$C$508)+1,IF($DF110=Constants!$B$5,COUNTA($C$9:$C$508),$DF110))))</f>
        <v/>
      </c>
      <c r="DH110" s="7"/>
      <c r="DI110" s="107" t="n">
        <f aca="false">IF(OR(ISNUMBER($DF110),$DF110=Constants!$B$7,$DF110=Constants!$B$5,$DF110=Constants!$B$6),1,0)</f>
        <v>0</v>
      </c>
      <c r="DJ110" s="107" t="n">
        <v>102</v>
      </c>
      <c r="DK110" s="107" t="str">
        <f aca="false">IF(ISBLANK($C110),"",IF(ISNUMBER($DG110),$DG110+ROW($B110)/1000,""))</f>
        <v/>
      </c>
      <c r="DL110" s="107" t="str">
        <f aca="false">IF(ISNUMBER($DK110),RANK($DK110,$DK$9:$DK$508,1),"")</f>
        <v/>
      </c>
      <c r="DM110" s="107" t="str">
        <f aca="false">IF(ISBLANK($C110),"",$B110)</f>
        <v/>
      </c>
      <c r="DN110" s="107" t="str">
        <f aca="false">IF(ISBLANK($C110),"",$C110)</f>
        <v/>
      </c>
      <c r="DO110" s="107" t="str">
        <f aca="false">IF(ISBLANK($C110),"",$D110)</f>
        <v/>
      </c>
      <c r="DP110" s="108" t="str">
        <f aca="false">$DD110</f>
        <v/>
      </c>
      <c r="DQ110" s="109" t="str">
        <f aca="false">$DC110</f>
        <v/>
      </c>
      <c r="DR110" s="107" t="str">
        <f aca="false">IF(ISBLANK($C110),"",$DF110)</f>
        <v/>
      </c>
      <c r="DS110" s="110" t="str">
        <f aca="false">IF($DJ110&gt;$DI$8,"",VLOOKUP($DJ110,$DL$9:$DR$508,7,FALSE()))</f>
        <v/>
      </c>
      <c r="DT110" s="111" t="str">
        <f aca="false">IF($DJ110&gt;$DI$8,"",VLOOKUP($DJ110,$DL$9:$DR$508,2,FALSE()))</f>
        <v/>
      </c>
      <c r="DU110" s="111" t="str">
        <f aca="false">IF($DJ110&gt;$DI$8,"",VLOOKUP($DJ110,$DL$9:$DR$508,3,FALSE()))</f>
        <v/>
      </c>
      <c r="DV110" s="111" t="str">
        <f aca="false">IF($DJ110&gt;$DI$8,"",VLOOKUP($DJ110,$DL$9:$DR$508,4,FALSE()))</f>
        <v/>
      </c>
      <c r="DW110" s="111" t="str">
        <f aca="false">IF($DJ110&gt;$DI$8,"",VLOOKUP($DJ110,$DL$9:$DR$508,5,FALSE()))</f>
        <v/>
      </c>
      <c r="DX110" s="112" t="str">
        <f aca="false">IF($DJ110&gt;$DI$8,"",VLOOKUP($DJ110,$DL$9:$DR$508,6,FALSE()))</f>
        <v/>
      </c>
      <c r="DY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88"/>
      <c r="N111" s="88"/>
      <c r="O111" s="134"/>
      <c r="P111" s="134"/>
      <c r="Q111" s="88"/>
      <c r="R111" s="88"/>
      <c r="S111" s="88"/>
      <c r="T111" s="88"/>
      <c r="U111" s="134"/>
      <c r="V111" s="88"/>
      <c r="W111" s="70"/>
      <c r="X111" s="88"/>
      <c r="Y111" s="88"/>
      <c r="Z111" s="70"/>
      <c r="AA111" s="70"/>
      <c r="AB111" s="88"/>
      <c r="AC111" s="88"/>
      <c r="AD111" s="88"/>
      <c r="AE111" s="71"/>
      <c r="AF111" s="88"/>
      <c r="AG111" s="73"/>
      <c r="AH111" s="74"/>
      <c r="AI111" s="74"/>
      <c r="AJ111" s="74" t="str">
        <f aca="false">IF(ISBLANK($C111),"",IF($E111=Constants!$B$2,TRUE(),IF($E111=Constants!$B$3,FALSE(),TRUE())))</f>
        <v/>
      </c>
      <c r="AK111" s="74" t="str">
        <f aca="false">IF(ISBLANK($C111),"",IF($F111=Constants!$B$2,TRUE(),IF($F111=Constants!$B$3,FALSE(),FALSE())))</f>
        <v/>
      </c>
      <c r="AL111" s="74" t="str">
        <f aca="false">IF(ISBLANK($C111),"",IF($G111=Constants!$B$2,TRUE(),IF($G111=Constants!$B$3,FALSE(),TRUE())))</f>
        <v/>
      </c>
      <c r="AM111" s="74" t="str">
        <f aca="false">IF(ISBLANK($C111),"",IF($H111=Constants!$B$2,TRUE(),IF($H111=Constants!$B$3,FALSE(),TRUE())))</f>
        <v/>
      </c>
      <c r="AN111" s="74" t="str">
        <f aca="false">IF(ISBLANK($C111),"",IF(ISNUMBER($I111),IF($I111&gt;=0,$I111,""),""))</f>
        <v/>
      </c>
      <c r="AO111" s="74" t="str">
        <f aca="false">IF(ISBLANK($C111),"",IF(ISNUMBER($J111),IF($J111&gt;=0,$J111,""),""))</f>
        <v/>
      </c>
      <c r="AP111" s="74" t="str">
        <f aca="false">IF(ISBLANK($C111),"",IF(ISNUMBER($K111),IF($K111&gt;=0,$K111,""),""))</f>
        <v/>
      </c>
      <c r="AQ111" s="74" t="str">
        <f aca="false">IF(ISBLANK($C111),"",IF($L111=Constants!$B$2,TRUE(),IF($L111=Constants!$B$3,FALSE(),TRUE())))</f>
        <v/>
      </c>
      <c r="AR111" s="74" t="str">
        <f aca="false">IF(ISBLANK($C111),"",IF($M111=Constants!$B$2,TRUE(),IF($M111=Constants!$B$3,FALSE(),TRUE())))</f>
        <v/>
      </c>
      <c r="AS111" s="74" t="str">
        <f aca="false">IF(ISBLANK($C111),"",IF($N111=Constants!$B$2,TRUE(),IF($N111=Constants!$B$3,FALSE(),FALSE())))</f>
        <v/>
      </c>
      <c r="AT111" s="74" t="str">
        <f aca="false">IF(ISBLANK($C111),"",IF($O111=Constants!$B$2,TRUE(),IF($O111=Constants!$B$3,FALSE(),TRUE())))</f>
        <v/>
      </c>
      <c r="AU111" s="74" t="str">
        <f aca="false">IF(ISBLANK($C111),"",IF($P111=Constants!$B$2,TRUE(),IF($P111=Constants!$B$3,FALSE(),TRUE())))</f>
        <v/>
      </c>
      <c r="AV111" s="74" t="str">
        <f aca="false">IF(ISBLANK($C111),"",IF($Q111=Constants!$B$2,TRUE(),IF($Q111=Constants!$B$3,FALSE(),FALSE())))</f>
        <v/>
      </c>
      <c r="AW111" s="74" t="str">
        <f aca="false">IF(ISBLANK($C111),"",IF($R111=Constants!$B$2,TRUE(),IF($R111=Constants!$B$3,FALSE(),FALSE())))</f>
        <v/>
      </c>
      <c r="AX111" s="74" t="str">
        <f aca="false">IF(ISBLANK($C111),"",IF($S111=Constants!$B$2,TRUE(),IF($S111=Constants!$B$3,FALSE(),FALSE())))</f>
        <v/>
      </c>
      <c r="AY111" s="74" t="str">
        <f aca="false">IF(ISBLANK($C111),"",IF($T111=Constants!$B$2,TRUE(),IF($T111=Constants!$B$3,FALSE(),FALSE())))</f>
        <v/>
      </c>
      <c r="AZ111" s="74" t="str">
        <f aca="false">IF(ISBLANK($C111),"",IF($U111=Constants!$B$2,TRUE(),IF($U111=Constants!$B$3,FALSE(),FALSE())))</f>
        <v/>
      </c>
      <c r="BA111" s="74" t="str">
        <f aca="false">IF(ISBLANK($C111),"",IF(OR($V111&amp;""="1",$V111&amp;""="2",$V111&amp;""="3",$V111&amp;""="4"),VALUE($V111&amp;""),IF($V111=Constants!$B$12,Constants!$B$12,"")))</f>
        <v/>
      </c>
      <c r="BB111" s="74" t="str">
        <f aca="false">IF(ISBLANK($C111),"",IF(ISBLANK($W111),0,IF(ISNUMBER($W111),IF(AND($W111&gt;=0,$W111&lt;=Constants!$B$21,$W111=INT($W111)),$W111,""),"")))</f>
        <v/>
      </c>
      <c r="BC111" s="74" t="str">
        <f aca="false">IF(ISBLANK($C111),"",IF(ISBLANK($X111),0,IF(ISNUMBER($X111),IF($X111&gt;=0,$X111,""),"")))</f>
        <v/>
      </c>
      <c r="BD111" s="74" t="str">
        <f aca="false">IF(ISBLANK($C111),"",IF($Y111=Constants!$B$2,TRUE(),IF($Y111=Constants!$B$3,FALSE(),TRUE())))</f>
        <v/>
      </c>
      <c r="BE111" s="74" t="str">
        <f aca="false">IF(ISBLANK($C111),"",IF($Z111=Constants!$B$2,TRUE(),IF($Z111=Constants!$B$3,FALSE(),FALSE())))</f>
        <v/>
      </c>
      <c r="BF111" s="74" t="str">
        <f aca="false">IF(ISBLANK($C111),"",IF(ISBLANK($AA111),0,IF(ISNUMBER($AA111),IF(AND($AA111&gt;=0,$AA111&lt;=Constants!$B$35,$AA111=INT($AA111)),$AA111,""),"")))</f>
        <v/>
      </c>
      <c r="BG111" s="74" t="str">
        <f aca="false">IF(ISBLANK($C111),"",IF($AB111=Constants!$B$2,TRUE(),IF($AB111=Constants!$B$3,FALSE(),TRUE())))</f>
        <v/>
      </c>
      <c r="BH111" s="74" t="str">
        <f aca="false">IF(ISBLANK($C111),"",IF($AC111=Constants!$B$2,TRUE(),IF($AC111=Constants!$B$3,FALSE(),TRUE())))</f>
        <v/>
      </c>
      <c r="BI111" s="74" t="str">
        <f aca="false">IF(ISBLANK($C111),"",IF($AD111=Constants!$B$2,TRUE(),IF($AD111=Constants!$B$3,FALSE(),TRUE())))</f>
        <v/>
      </c>
      <c r="BJ111" s="74" t="str">
        <f aca="false">IF(ISBLANK($C111),"",IF(ISNUMBER($AE111),IF($AE111&gt;=0,$AE111,""),""))</f>
        <v/>
      </c>
      <c r="BK111" s="74" t="str">
        <f aca="false">IF(ISBLANK($C111),"",IF($AF111=Constants!$B$2,TRUE(),IF($AF111=Constants!$B$3,FALSE(),FALSE())))</f>
        <v/>
      </c>
      <c r="BL111" s="73" t="str">
        <f aca="false">IF(ISBLANK($C111),"",IF($BK111,Constants!$B$7,IF(COUNTA($E111:$AE111)=0,Constants!$B$6,IF(OR(COUNTA($G111:$AE111)=0,NOT($AM111),$AS111),Constants!$B$5,IF(OR($CM111&lt;&gt;"",$CN111,$CO111,$CP111,$CQ111,$CR111,$CS111),Constants!$B$8,Constants!$B$4)))))</f>
        <v/>
      </c>
      <c r="BM111" s="74" t="str">
        <f aca="false">IF(ISBLANK($C111),"",IF($BL111&lt;&gt;Constants!$B$4,$BL111,IF(OR(NOT($AJ111),NOT($AL111),NOT($AT111)),Constants!$B$11,IF(OR(NOT($AR111),NOT($AU111),NOT($BI111),MAX($AN111,$AO111,$AP111)&gt;Constants!$B$30),Constants!$B$10,Constants!$B$9))))</f>
        <v/>
      </c>
      <c r="BN111" s="74" t="str">
        <f aca="false">IF($BL111&lt;&gt;Constants!$B$4,"",IF(NOT($AL111),0,MIN(Constants!$B$35,$BF111)))</f>
        <v/>
      </c>
      <c r="BO111" s="74" t="str">
        <f aca="false">IF($BL111&lt;&gt;Constants!$B$4,"",IF(NOT($AL111),0,IF($AW111,Constants!$B$18,IF($AV111,Constants!$B$17,0))))</f>
        <v/>
      </c>
      <c r="BP111" s="74" t="str">
        <f aca="false">IF($BL111&lt;&gt;Constants!$B$4,"",IF(NOT($AL111),0,Constants!$B$19*($AK111+$AX111+$AY111+$AZ111)))</f>
        <v/>
      </c>
      <c r="BQ111" s="74" t="str">
        <f aca="false">IF($BL111&lt;&gt;Constants!$B$4,"",IF(OR(NOT($AL111),NOT(ISNUMBER($BA111))),0,CHOOSE($BA111,Constants!$B$13,Constants!$B$14,Constants!$B$15,Constants!$B$16)))</f>
        <v/>
      </c>
      <c r="BR111" s="74" t="str">
        <f aca="false">IF($BL111&lt;&gt;Constants!$B$4,"",IF(NOT($AL111),0,Constants!$B$20*$BB111))</f>
        <v/>
      </c>
      <c r="BS111" s="74" t="str">
        <f aca="false">IF($BL111&lt;&gt;Constants!$B$4,"",IF(AND($AL111,$BD111,$BE111),Constants!$B$22,0))</f>
        <v/>
      </c>
      <c r="BT111" s="74" t="str">
        <f aca="false">IF($BL111&lt;&gt;Constants!$B$4,"",IF(OR(NOT($AL111),NOT($BD111)),0,IF($BJ111&gt;=2*$AH$9,0,Constants!$B$23*INT(ROUND(MIN($BJ111,$AH$9),6)))))</f>
        <v/>
      </c>
      <c r="BU111" s="74" t="str">
        <f aca="false">IF($BL111&lt;&gt;Constants!$B$4,"",IF(NOT($AL111),0,Constants!$B$24*INT(ROUND(MIN($BC111,$AH$9),6))))</f>
        <v/>
      </c>
      <c r="BV111" s="74" t="str">
        <f aca="false">IF($BL111&lt;&gt;Constants!$B$4,"",IF(AND($AL111,$BN111=0),Constants!$B$25,0))</f>
        <v/>
      </c>
      <c r="BW111" s="74" t="str">
        <f aca="false">IF($BL111&lt;&gt;Constants!$B$4,"",MIN(Constants!$B$29,MAX(0,Constants!$B$27*Constants!$B$28*INT(ROUND((Constants!$B$26-$AN111)/Constants!$B$28,6))))+MIN(Constants!$B$29,MAX(0,Constants!$B$27*Constants!$B$28*INT(ROUND((Constants!$B$26-$AO111)/Constants!$B$28,6))))+MIN(Constants!$B$29,MAX(0,Constants!$B$27*Constants!$B$28*INT(ROUND((Constants!$B$26-$AP111)/Constants!$B$28,6)))))</f>
        <v/>
      </c>
      <c r="BX111" s="74" t="str">
        <f aca="false">IF($BL111&lt;&gt;Constants!$B$4,"",IF(NOT($AL111),0,Constants!$B$31*INT(ROUND(MAX(0,MIN($BJ111,2*$AH$9)-$AH$9),6))))</f>
        <v/>
      </c>
      <c r="BY111" s="74" t="str">
        <f aca="false">IF($BL111&lt;&gt;Constants!$B$4,"",Constants!$B$32*(($AN111&gt;Constants!$B$26)+($AO111&gt;Constants!$B$26)+($AP111&gt;Constants!$B$26)))</f>
        <v/>
      </c>
      <c r="BZ111" s="74" t="str">
        <f aca="false">IF($BL111&lt;&gt;Constants!$B$4,"",IF(OR(NOT($AL111),$AQ111),0,Constants!$B$33))</f>
        <v/>
      </c>
      <c r="CA111" s="74" t="str">
        <f aca="false">IF($BL111&lt;&gt;Constants!$B$4,"",Constants!$B$34*$BN111)</f>
        <v/>
      </c>
      <c r="CB111" s="74" t="str">
        <f aca="false">IF($BL111&lt;&gt;Constants!$B$4,"",IF(OR(NOT($AL111),$BH111),0,Constants!$B$36))</f>
        <v/>
      </c>
      <c r="CC111" s="74" t="str">
        <f aca="false">IF($BL111&lt;&gt;Constants!$B$4,"",IF(OR(NOT($AL111),$BG111),0,Constants!$B$37))</f>
        <v/>
      </c>
      <c r="CD111" s="74" t="str">
        <f aca="false">IF($BL111&lt;&gt;Constants!$B$4,"",SUM($BX111:$CC111))</f>
        <v/>
      </c>
      <c r="CE111" s="74" t="str">
        <f aca="false">IF(ISBLANK($C111),"",IF($BL111&lt;&gt;Constants!$B$4,$BL111,SUM($BO111:$BW111)-$CD111))</f>
        <v/>
      </c>
      <c r="CF111" s="74" t="str">
        <f aca="false">IF(ISBLANK($C111),"",IF($BL111&lt;&gt;Constants!$B$4,$BL111,RANK($CE111,$CE$9:$CE$508)))</f>
        <v/>
      </c>
      <c r="CG111" s="74" t="str">
        <f aca="false">IF(ISBLANK($C111),"",IF($BL111&lt;&gt;Constants!$B$4,$BL111,COUNTIFS($BM$9:$BM$508,"&lt;"&amp;$BM111)+COUNTIFS($BM$9:$BM$508,$BM111,$CF$9:$CF$508,"&lt;"&amp;$CF111)+1))</f>
        <v/>
      </c>
      <c r="CH111" s="74" t="str">
        <f aca="false">IF(ISBLANK($C111),"",IF($BL111&lt;&gt;Constants!$B$4,$BL111,RANK($CD111,$CD$9:$CD$508,1)))</f>
        <v/>
      </c>
      <c r="CI111" s="74" t="str">
        <f aca="false">IF($BL111&lt;&gt;Constants!$B$4,"",$AN111+$AO111+$AP111)</f>
        <v/>
      </c>
      <c r="CJ111" s="74" t="str">
        <f aca="false">IF(ISBLANK($C111),"",IF($BL111&lt;&gt;Constants!$B$4,$BL111,RANK($CI111,$CI$9:$CI$508,1)))</f>
        <v/>
      </c>
      <c r="CK111" s="74" t="str">
        <f aca="false">IF(ISBLANK($C111),"",IF($BL111&lt;&gt;Constants!$B$4,$BL111,COUNTIFS($BM$9:$BM$508,"&lt;"&amp;$BM111)+COUNTIFS($BM$9:$BM$508,$BM111,$CF$9:$CF$508,"&lt;"&amp;$CF111)+COUNTIFS($BM$9:$BM$508,$BM111,$CF$9:$CF$508,$CF111,$CH$9:$CH$508,"&lt;"&amp;$CH111)+COUNTIFS($BM$9:$BM$508,$BM111,$CF$9:$CF$508,$CF111,$CH$9:$CH$508,$CH111,$CJ$9:$CJ$508,"&lt;"&amp;$CJ111)+1))</f>
        <v/>
      </c>
      <c r="CL111" s="74" t="str">
        <f aca="false">IF(ISBLANK($C111),"",IF($BL111&lt;&gt;Constants!$B$4,$BL111,$CG111-$CK111))</f>
        <v/>
      </c>
      <c r="CM111" s="74" t="str">
        <f aca="false">IF(ISBLANK($C111),"",IF(NOT($AL111),"",IF(ISBLANK($D$7),$CM$5,IF(NOT(ISNUMBER($D$7)),$CM$6,""))))</f>
        <v/>
      </c>
      <c r="CN111" s="74" t="str">
        <f aca="false">IF(ISBLANK($C111),"",OR($AN111="",$AO111="",$AP111=""))</f>
        <v/>
      </c>
      <c r="CO111" s="74" t="str">
        <f aca="false">IF(ISBLANK($C111),"",AND($AL111,$BA111=""))</f>
        <v/>
      </c>
      <c r="CP111" s="74" t="str">
        <f aca="false">IF(ISBLANK($C111),"",AND($AL111,$BB111=""))</f>
        <v/>
      </c>
      <c r="CQ111" s="74" t="str">
        <f aca="false">IF(ISBLANK($C111),"",AND($AL111,$BC111=""))</f>
        <v/>
      </c>
      <c r="CR111" s="74" t="str">
        <f aca="false">IF(ISBLANK($C111),"",AND($AL111,$BF111=""))</f>
        <v/>
      </c>
      <c r="CS111" s="74" t="str">
        <f aca="false">IF(ISBLANK($C111),"",AND($AL111,$BJ111=""))</f>
        <v/>
      </c>
      <c r="CT111" s="75"/>
      <c r="CU111" s="76"/>
      <c r="CV111" s="79" t="str">
        <f aca="false">IF(ISBLANK($C111),"",IF($BL111=Constants!$B$8,$CM111,""))</f>
        <v/>
      </c>
      <c r="CW111" s="76" t="str">
        <f aca="false">IF(ISBLANK($C111),"",IF($BL111&lt;&gt;Constants!$B$4,"",$BO111+$BP111))</f>
        <v/>
      </c>
      <c r="CX111" s="78" t="str">
        <f aca="false">IF(ISBLANK($C111),"",IF($BL111&lt;&gt;Constants!$B$4,"",$BQ111+$BR111+$BS111))</f>
        <v/>
      </c>
      <c r="CY111" s="78" t="str">
        <f aca="false">IF(ISBLANK($C111),"",IF($BL111&lt;&gt;Constants!$B$4,"",$BT111))</f>
        <v/>
      </c>
      <c r="CZ111" s="78" t="str">
        <f aca="false">IF(ISBLANK($C111),"",IF($BL111&lt;&gt;Constants!$B$4,"",$BU111+$BV111))</f>
        <v/>
      </c>
      <c r="DA111" s="78" t="str">
        <f aca="false">IF(ISBLANK($C111),"",IF($BL111&lt;&gt;Constants!$B$4,"",$BW111))</f>
        <v/>
      </c>
      <c r="DB111" s="78" t="str">
        <f aca="false">IF(ISBLANK($C111),"",IF($BL111&lt;&gt;Constants!$B$4,"",-$CD111))</f>
        <v/>
      </c>
      <c r="DC111" s="79" t="str">
        <f aca="false">IF(ISBLANK($C111),"",$CE111)</f>
        <v/>
      </c>
      <c r="DD111" s="80" t="str">
        <f aca="false">IF(ISBLANK($C111),"",$BM111)</f>
        <v/>
      </c>
      <c r="DE111" s="78" t="str">
        <f aca="false">IF(ISBLANK($C111),"",$CL111)</f>
        <v/>
      </c>
      <c r="DF111" s="78" t="str">
        <f aca="false">IF(ISBLANK($C111),"",$CK111)</f>
        <v/>
      </c>
      <c r="DG111" s="81" t="str">
        <f aca="false">IF(ISBLANK($C111),"",IF($DF111=Constants!$B$7,COUNTA($C$9:$C$508)+2,IF($DF111=Constants!$B$6,COUNTA($C$9:$C$508)+1,IF($DF111=Constants!$B$5,COUNTA($C$9:$C$508),$DF111))))</f>
        <v/>
      </c>
      <c r="DH111" s="7"/>
      <c r="DI111" s="82" t="n">
        <f aca="false">IF(OR(ISNUMBER($DF111),$DF111=Constants!$B$7,$DF111=Constants!$B$5,$DF111=Constants!$B$6),1,0)</f>
        <v>0</v>
      </c>
      <c r="DJ111" s="82" t="n">
        <v>103</v>
      </c>
      <c r="DK111" s="82" t="str">
        <f aca="false">IF(ISBLANK($C111),"",IF(ISNUMBER($DG111),$DG111+ROW($B111)/1000,""))</f>
        <v/>
      </c>
      <c r="DL111" s="82" t="str">
        <f aca="false">IF(ISNUMBER($DK111),RANK($DK111,$DK$9:$DK$508,1),"")</f>
        <v/>
      </c>
      <c r="DM111" s="82" t="str">
        <f aca="false">IF(ISBLANK($C111),"",$B111)</f>
        <v/>
      </c>
      <c r="DN111" s="82" t="str">
        <f aca="false">IF(ISBLANK($C111),"",$C111)</f>
        <v/>
      </c>
      <c r="DO111" s="82" t="str">
        <f aca="false">IF(ISBLANK($C111),"",$D111)</f>
        <v/>
      </c>
      <c r="DP111" s="83" t="str">
        <f aca="false">$DD111</f>
        <v/>
      </c>
      <c r="DQ111" s="84" t="str">
        <f aca="false">$DC111</f>
        <v/>
      </c>
      <c r="DR111" s="82" t="str">
        <f aca="false">IF(ISBLANK($C111),"",$DF111)</f>
        <v/>
      </c>
      <c r="DS111" s="85" t="str">
        <f aca="false">IF($DJ111&gt;$DI$8,"",VLOOKUP($DJ111,$DL$9:$DR$508,7,FALSE()))</f>
        <v/>
      </c>
      <c r="DT111" s="86" t="str">
        <f aca="false">IF($DJ111&gt;$DI$8,"",VLOOKUP($DJ111,$DL$9:$DR$508,2,FALSE()))</f>
        <v/>
      </c>
      <c r="DU111" s="86" t="str">
        <f aca="false">IF($DJ111&gt;$DI$8,"",VLOOKUP($DJ111,$DL$9:$DR$508,3,FALSE()))</f>
        <v/>
      </c>
      <c r="DV111" s="86" t="str">
        <f aca="false">IF($DJ111&gt;$DI$8,"",VLOOKUP($DJ111,$DL$9:$DR$508,4,FALSE()))</f>
        <v/>
      </c>
      <c r="DW111" s="86" t="str">
        <f aca="false">IF($DJ111&gt;$DI$8,"",VLOOKUP($DJ111,$DL$9:$DR$508,5,FALSE()))</f>
        <v/>
      </c>
      <c r="DX111" s="87" t="str">
        <f aca="false">IF($DJ111&gt;$DI$8,"",VLOOKUP($DJ111,$DL$9:$DR$508,6,FALSE()))</f>
        <v/>
      </c>
      <c r="DY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88"/>
      <c r="N112" s="88"/>
      <c r="O112" s="134"/>
      <c r="P112" s="134"/>
      <c r="Q112" s="88"/>
      <c r="R112" s="88"/>
      <c r="S112" s="88"/>
      <c r="T112" s="88"/>
      <c r="U112" s="134"/>
      <c r="V112" s="88"/>
      <c r="W112" s="70"/>
      <c r="X112" s="88"/>
      <c r="Y112" s="88"/>
      <c r="Z112" s="70"/>
      <c r="AA112" s="70"/>
      <c r="AB112" s="88"/>
      <c r="AC112" s="88"/>
      <c r="AD112" s="88"/>
      <c r="AE112" s="71"/>
      <c r="AF112" s="88"/>
      <c r="AG112" s="73"/>
      <c r="AH112" s="74"/>
      <c r="AI112" s="74"/>
      <c r="AJ112" s="74" t="str">
        <f aca="false">IF(ISBLANK($C112),"",IF($E112=Constants!$B$2,TRUE(),IF($E112=Constants!$B$3,FALSE(),TRUE())))</f>
        <v/>
      </c>
      <c r="AK112" s="74" t="str">
        <f aca="false">IF(ISBLANK($C112),"",IF($F112=Constants!$B$2,TRUE(),IF($F112=Constants!$B$3,FALSE(),FALSE())))</f>
        <v/>
      </c>
      <c r="AL112" s="74" t="str">
        <f aca="false">IF(ISBLANK($C112),"",IF($G112=Constants!$B$2,TRUE(),IF($G112=Constants!$B$3,FALSE(),TRUE())))</f>
        <v/>
      </c>
      <c r="AM112" s="74" t="str">
        <f aca="false">IF(ISBLANK($C112),"",IF($H112=Constants!$B$2,TRUE(),IF($H112=Constants!$B$3,FALSE(),TRUE())))</f>
        <v/>
      </c>
      <c r="AN112" s="74" t="str">
        <f aca="false">IF(ISBLANK($C112),"",IF(ISNUMBER($I112),IF($I112&gt;=0,$I112,""),""))</f>
        <v/>
      </c>
      <c r="AO112" s="74" t="str">
        <f aca="false">IF(ISBLANK($C112),"",IF(ISNUMBER($J112),IF($J112&gt;=0,$J112,""),""))</f>
        <v/>
      </c>
      <c r="AP112" s="74" t="str">
        <f aca="false">IF(ISBLANK($C112),"",IF(ISNUMBER($K112),IF($K112&gt;=0,$K112,""),""))</f>
        <v/>
      </c>
      <c r="AQ112" s="74" t="str">
        <f aca="false">IF(ISBLANK($C112),"",IF($L112=Constants!$B$2,TRUE(),IF($L112=Constants!$B$3,FALSE(),TRUE())))</f>
        <v/>
      </c>
      <c r="AR112" s="74" t="str">
        <f aca="false">IF(ISBLANK($C112),"",IF($M112=Constants!$B$2,TRUE(),IF($M112=Constants!$B$3,FALSE(),TRUE())))</f>
        <v/>
      </c>
      <c r="AS112" s="74" t="str">
        <f aca="false">IF(ISBLANK($C112),"",IF($N112=Constants!$B$2,TRUE(),IF($N112=Constants!$B$3,FALSE(),FALSE())))</f>
        <v/>
      </c>
      <c r="AT112" s="74" t="str">
        <f aca="false">IF(ISBLANK($C112),"",IF($O112=Constants!$B$2,TRUE(),IF($O112=Constants!$B$3,FALSE(),TRUE())))</f>
        <v/>
      </c>
      <c r="AU112" s="74" t="str">
        <f aca="false">IF(ISBLANK($C112),"",IF($P112=Constants!$B$2,TRUE(),IF($P112=Constants!$B$3,FALSE(),TRUE())))</f>
        <v/>
      </c>
      <c r="AV112" s="74" t="str">
        <f aca="false">IF(ISBLANK($C112),"",IF($Q112=Constants!$B$2,TRUE(),IF($Q112=Constants!$B$3,FALSE(),FALSE())))</f>
        <v/>
      </c>
      <c r="AW112" s="74" t="str">
        <f aca="false">IF(ISBLANK($C112),"",IF($R112=Constants!$B$2,TRUE(),IF($R112=Constants!$B$3,FALSE(),FALSE())))</f>
        <v/>
      </c>
      <c r="AX112" s="74" t="str">
        <f aca="false">IF(ISBLANK($C112),"",IF($S112=Constants!$B$2,TRUE(),IF($S112=Constants!$B$3,FALSE(),FALSE())))</f>
        <v/>
      </c>
      <c r="AY112" s="74" t="str">
        <f aca="false">IF(ISBLANK($C112),"",IF($T112=Constants!$B$2,TRUE(),IF($T112=Constants!$B$3,FALSE(),FALSE())))</f>
        <v/>
      </c>
      <c r="AZ112" s="74" t="str">
        <f aca="false">IF(ISBLANK($C112),"",IF($U112=Constants!$B$2,TRUE(),IF($U112=Constants!$B$3,FALSE(),FALSE())))</f>
        <v/>
      </c>
      <c r="BA112" s="74" t="str">
        <f aca="false">IF(ISBLANK($C112),"",IF(OR($V112&amp;""="1",$V112&amp;""="2",$V112&amp;""="3",$V112&amp;""="4"),VALUE($V112&amp;""),IF($V112=Constants!$B$12,Constants!$B$12,"")))</f>
        <v/>
      </c>
      <c r="BB112" s="74" t="str">
        <f aca="false">IF(ISBLANK($C112),"",IF(ISBLANK($W112),0,IF(ISNUMBER($W112),IF(AND($W112&gt;=0,$W112&lt;=Constants!$B$21,$W112=INT($W112)),$W112,""),"")))</f>
        <v/>
      </c>
      <c r="BC112" s="74" t="str">
        <f aca="false">IF(ISBLANK($C112),"",IF(ISBLANK($X112),0,IF(ISNUMBER($X112),IF($X112&gt;=0,$X112,""),"")))</f>
        <v/>
      </c>
      <c r="BD112" s="74" t="str">
        <f aca="false">IF(ISBLANK($C112),"",IF($Y112=Constants!$B$2,TRUE(),IF($Y112=Constants!$B$3,FALSE(),TRUE())))</f>
        <v/>
      </c>
      <c r="BE112" s="74" t="str">
        <f aca="false">IF(ISBLANK($C112),"",IF($Z112=Constants!$B$2,TRUE(),IF($Z112=Constants!$B$3,FALSE(),FALSE())))</f>
        <v/>
      </c>
      <c r="BF112" s="74" t="str">
        <f aca="false">IF(ISBLANK($C112),"",IF(ISBLANK($AA112),0,IF(ISNUMBER($AA112),IF(AND($AA112&gt;=0,$AA112&lt;=Constants!$B$35,$AA112=INT($AA112)),$AA112,""),"")))</f>
        <v/>
      </c>
      <c r="BG112" s="74" t="str">
        <f aca="false">IF(ISBLANK($C112),"",IF($AB112=Constants!$B$2,TRUE(),IF($AB112=Constants!$B$3,FALSE(),TRUE())))</f>
        <v/>
      </c>
      <c r="BH112" s="74" t="str">
        <f aca="false">IF(ISBLANK($C112),"",IF($AC112=Constants!$B$2,TRUE(),IF($AC112=Constants!$B$3,FALSE(),TRUE())))</f>
        <v/>
      </c>
      <c r="BI112" s="74" t="str">
        <f aca="false">IF(ISBLANK($C112),"",IF($AD112=Constants!$B$2,TRUE(),IF($AD112=Constants!$B$3,FALSE(),TRUE())))</f>
        <v/>
      </c>
      <c r="BJ112" s="74" t="str">
        <f aca="false">IF(ISBLANK($C112),"",IF(ISNUMBER($AE112),IF($AE112&gt;=0,$AE112,""),""))</f>
        <v/>
      </c>
      <c r="BK112" s="74" t="str">
        <f aca="false">IF(ISBLANK($C112),"",IF($AF112=Constants!$B$2,TRUE(),IF($AF112=Constants!$B$3,FALSE(),FALSE())))</f>
        <v/>
      </c>
      <c r="BL112" s="73" t="str">
        <f aca="false">IF(ISBLANK($C112),"",IF($BK112,Constants!$B$7,IF(COUNTA($E112:$AE112)=0,Constants!$B$6,IF(OR(COUNTA($G112:$AE112)=0,NOT($AM112),$AS112),Constants!$B$5,IF(OR($CM112&lt;&gt;"",$CN112,$CO112,$CP112,$CQ112,$CR112,$CS112),Constants!$B$8,Constants!$B$4)))))</f>
        <v/>
      </c>
      <c r="BM112" s="74" t="str">
        <f aca="false">IF(ISBLANK($C112),"",IF($BL112&lt;&gt;Constants!$B$4,$BL112,IF(OR(NOT($AJ112),NOT($AL112),NOT($AT112)),Constants!$B$11,IF(OR(NOT($AR112),NOT($AU112),NOT($BI112),MAX($AN112,$AO112,$AP112)&gt;Constants!$B$30),Constants!$B$10,Constants!$B$9))))</f>
        <v/>
      </c>
      <c r="BN112" s="74" t="str">
        <f aca="false">IF($BL112&lt;&gt;Constants!$B$4,"",IF(NOT($AL112),0,MIN(Constants!$B$35,$BF112)))</f>
        <v/>
      </c>
      <c r="BO112" s="74" t="str">
        <f aca="false">IF($BL112&lt;&gt;Constants!$B$4,"",IF(NOT($AL112),0,IF($AW112,Constants!$B$18,IF($AV112,Constants!$B$17,0))))</f>
        <v/>
      </c>
      <c r="BP112" s="74" t="str">
        <f aca="false">IF($BL112&lt;&gt;Constants!$B$4,"",IF(NOT($AL112),0,Constants!$B$19*($AK112+$AX112+$AY112+$AZ112)))</f>
        <v/>
      </c>
      <c r="BQ112" s="74" t="str">
        <f aca="false">IF($BL112&lt;&gt;Constants!$B$4,"",IF(OR(NOT($AL112),NOT(ISNUMBER($BA112))),0,CHOOSE($BA112,Constants!$B$13,Constants!$B$14,Constants!$B$15,Constants!$B$16)))</f>
        <v/>
      </c>
      <c r="BR112" s="74" t="str">
        <f aca="false">IF($BL112&lt;&gt;Constants!$B$4,"",IF(NOT($AL112),0,Constants!$B$20*$BB112))</f>
        <v/>
      </c>
      <c r="BS112" s="74" t="str">
        <f aca="false">IF($BL112&lt;&gt;Constants!$B$4,"",IF(AND($AL112,$BD112,$BE112),Constants!$B$22,0))</f>
        <v/>
      </c>
      <c r="BT112" s="74" t="str">
        <f aca="false">IF($BL112&lt;&gt;Constants!$B$4,"",IF(OR(NOT($AL112),NOT($BD112)),0,IF($BJ112&gt;=2*$AH$9,0,Constants!$B$23*INT(ROUND(MIN($BJ112,$AH$9),6)))))</f>
        <v/>
      </c>
      <c r="BU112" s="74" t="str">
        <f aca="false">IF($BL112&lt;&gt;Constants!$B$4,"",IF(NOT($AL112),0,Constants!$B$24*INT(ROUND(MIN($BC112,$AH$9),6))))</f>
        <v/>
      </c>
      <c r="BV112" s="74" t="str">
        <f aca="false">IF($BL112&lt;&gt;Constants!$B$4,"",IF(AND($AL112,$BN112=0),Constants!$B$25,0))</f>
        <v/>
      </c>
      <c r="BW112" s="74" t="str">
        <f aca="false">IF($BL112&lt;&gt;Constants!$B$4,"",MIN(Constants!$B$29,MAX(0,Constants!$B$27*Constants!$B$28*INT(ROUND((Constants!$B$26-$AN112)/Constants!$B$28,6))))+MIN(Constants!$B$29,MAX(0,Constants!$B$27*Constants!$B$28*INT(ROUND((Constants!$B$26-$AO112)/Constants!$B$28,6))))+MIN(Constants!$B$29,MAX(0,Constants!$B$27*Constants!$B$28*INT(ROUND((Constants!$B$26-$AP112)/Constants!$B$28,6)))))</f>
        <v/>
      </c>
      <c r="BX112" s="74" t="str">
        <f aca="false">IF($BL112&lt;&gt;Constants!$B$4,"",IF(NOT($AL112),0,Constants!$B$31*INT(ROUND(MAX(0,MIN($BJ112,2*$AH$9)-$AH$9),6))))</f>
        <v/>
      </c>
      <c r="BY112" s="74" t="str">
        <f aca="false">IF($BL112&lt;&gt;Constants!$B$4,"",Constants!$B$32*(($AN112&gt;Constants!$B$26)+($AO112&gt;Constants!$B$26)+($AP112&gt;Constants!$B$26)))</f>
        <v/>
      </c>
      <c r="BZ112" s="74" t="str">
        <f aca="false">IF($BL112&lt;&gt;Constants!$B$4,"",IF(OR(NOT($AL112),$AQ112),0,Constants!$B$33))</f>
        <v/>
      </c>
      <c r="CA112" s="74" t="str">
        <f aca="false">IF($BL112&lt;&gt;Constants!$B$4,"",Constants!$B$34*$BN112)</f>
        <v/>
      </c>
      <c r="CB112" s="74" t="str">
        <f aca="false">IF($BL112&lt;&gt;Constants!$B$4,"",IF(OR(NOT($AL112),$BH112),0,Constants!$B$36))</f>
        <v/>
      </c>
      <c r="CC112" s="74" t="str">
        <f aca="false">IF($BL112&lt;&gt;Constants!$B$4,"",IF(OR(NOT($AL112),$BG112),0,Constants!$B$37))</f>
        <v/>
      </c>
      <c r="CD112" s="74" t="str">
        <f aca="false">IF($BL112&lt;&gt;Constants!$B$4,"",SUM($BX112:$CC112))</f>
        <v/>
      </c>
      <c r="CE112" s="74" t="str">
        <f aca="false">IF(ISBLANK($C112),"",IF($BL112&lt;&gt;Constants!$B$4,$BL112,SUM($BO112:$BW112)-$CD112))</f>
        <v/>
      </c>
      <c r="CF112" s="74" t="str">
        <f aca="false">IF(ISBLANK($C112),"",IF($BL112&lt;&gt;Constants!$B$4,$BL112,RANK($CE112,$CE$9:$CE$508)))</f>
        <v/>
      </c>
      <c r="CG112" s="74" t="str">
        <f aca="false">IF(ISBLANK($C112),"",IF($BL112&lt;&gt;Constants!$B$4,$BL112,COUNTIFS($BM$9:$BM$508,"&lt;"&amp;$BM112)+COUNTIFS($BM$9:$BM$508,$BM112,$CF$9:$CF$508,"&lt;"&amp;$CF112)+1))</f>
        <v/>
      </c>
      <c r="CH112" s="74" t="str">
        <f aca="false">IF(ISBLANK($C112),"",IF($BL112&lt;&gt;Constants!$B$4,$BL112,RANK($CD112,$CD$9:$CD$508,1)))</f>
        <v/>
      </c>
      <c r="CI112" s="74" t="str">
        <f aca="false">IF($BL112&lt;&gt;Constants!$B$4,"",$AN112+$AO112+$AP112)</f>
        <v/>
      </c>
      <c r="CJ112" s="74" t="str">
        <f aca="false">IF(ISBLANK($C112),"",IF($BL112&lt;&gt;Constants!$B$4,$BL112,RANK($CI112,$CI$9:$CI$508,1)))</f>
        <v/>
      </c>
      <c r="CK112" s="74" t="str">
        <f aca="false">IF(ISBLANK($C112),"",IF($BL112&lt;&gt;Constants!$B$4,$BL112,COUNTIFS($BM$9:$BM$508,"&lt;"&amp;$BM112)+COUNTIFS($BM$9:$BM$508,$BM112,$CF$9:$CF$508,"&lt;"&amp;$CF112)+COUNTIFS($BM$9:$BM$508,$BM112,$CF$9:$CF$508,$CF112,$CH$9:$CH$508,"&lt;"&amp;$CH112)+COUNTIFS($BM$9:$BM$508,$BM112,$CF$9:$CF$508,$CF112,$CH$9:$CH$508,$CH112,$CJ$9:$CJ$508,"&lt;"&amp;$CJ112)+1))</f>
        <v/>
      </c>
      <c r="CL112" s="74" t="str">
        <f aca="false">IF(ISBLANK($C112),"",IF($BL112&lt;&gt;Constants!$B$4,$BL112,$CG112-$CK112))</f>
        <v/>
      </c>
      <c r="CM112" s="74" t="str">
        <f aca="false">IF(ISBLANK($C112),"",IF(NOT($AL112),"",IF(ISBLANK($D$7),$CM$5,IF(NOT(ISNUMBER($D$7)),$CM$6,""))))</f>
        <v/>
      </c>
      <c r="CN112" s="74" t="str">
        <f aca="false">IF(ISBLANK($C112),"",OR($AN112="",$AO112="",$AP112=""))</f>
        <v/>
      </c>
      <c r="CO112" s="74" t="str">
        <f aca="false">IF(ISBLANK($C112),"",AND($AL112,$BA112=""))</f>
        <v/>
      </c>
      <c r="CP112" s="74" t="str">
        <f aca="false">IF(ISBLANK($C112),"",AND($AL112,$BB112=""))</f>
        <v/>
      </c>
      <c r="CQ112" s="74" t="str">
        <f aca="false">IF(ISBLANK($C112),"",AND($AL112,$BC112=""))</f>
        <v/>
      </c>
      <c r="CR112" s="74" t="str">
        <f aca="false">IF(ISBLANK($C112),"",AND($AL112,$BF112=""))</f>
        <v/>
      </c>
      <c r="CS112" s="74" t="str">
        <f aca="false">IF(ISBLANK($C112),"",AND($AL112,$BJ112=""))</f>
        <v/>
      </c>
      <c r="CT112" s="75"/>
      <c r="CU112" s="76"/>
      <c r="CV112" s="79" t="str">
        <f aca="false">IF(ISBLANK($C112),"",IF($BL112=Constants!$B$8,$CM112,""))</f>
        <v/>
      </c>
      <c r="CW112" s="76" t="str">
        <f aca="false">IF(ISBLANK($C112),"",IF($BL112&lt;&gt;Constants!$B$4,"",$BO112+$BP112))</f>
        <v/>
      </c>
      <c r="CX112" s="78" t="str">
        <f aca="false">IF(ISBLANK($C112),"",IF($BL112&lt;&gt;Constants!$B$4,"",$BQ112+$BR112+$BS112))</f>
        <v/>
      </c>
      <c r="CY112" s="78" t="str">
        <f aca="false">IF(ISBLANK($C112),"",IF($BL112&lt;&gt;Constants!$B$4,"",$BT112))</f>
        <v/>
      </c>
      <c r="CZ112" s="78" t="str">
        <f aca="false">IF(ISBLANK($C112),"",IF($BL112&lt;&gt;Constants!$B$4,"",$BU112+$BV112))</f>
        <v/>
      </c>
      <c r="DA112" s="78" t="str">
        <f aca="false">IF(ISBLANK($C112),"",IF($BL112&lt;&gt;Constants!$B$4,"",$BW112))</f>
        <v/>
      </c>
      <c r="DB112" s="78" t="str">
        <f aca="false">IF(ISBLANK($C112),"",IF($BL112&lt;&gt;Constants!$B$4,"",-$CD112))</f>
        <v/>
      </c>
      <c r="DC112" s="79" t="str">
        <f aca="false">IF(ISBLANK($C112),"",$CE112)</f>
        <v/>
      </c>
      <c r="DD112" s="80" t="str">
        <f aca="false">IF(ISBLANK($C112),"",$BM112)</f>
        <v/>
      </c>
      <c r="DE112" s="78" t="str">
        <f aca="false">IF(ISBLANK($C112),"",$CL112)</f>
        <v/>
      </c>
      <c r="DF112" s="78" t="str">
        <f aca="false">IF(ISBLANK($C112),"",$CK112)</f>
        <v/>
      </c>
      <c r="DG112" s="81" t="str">
        <f aca="false">IF(ISBLANK($C112),"",IF($DF112=Constants!$B$7,COUNTA($C$9:$C$508)+2,IF($DF112=Constants!$B$6,COUNTA($C$9:$C$508)+1,IF($DF112=Constants!$B$5,COUNTA($C$9:$C$508),$DF112))))</f>
        <v/>
      </c>
      <c r="DH112" s="7"/>
      <c r="DI112" s="82" t="n">
        <f aca="false">IF(OR(ISNUMBER($DF112),$DF112=Constants!$B$7,$DF112=Constants!$B$5,$DF112=Constants!$B$6),1,0)</f>
        <v>0</v>
      </c>
      <c r="DJ112" s="82" t="n">
        <v>104</v>
      </c>
      <c r="DK112" s="82" t="str">
        <f aca="false">IF(ISBLANK($C112),"",IF(ISNUMBER($DG112),$DG112+ROW($B112)/1000,""))</f>
        <v/>
      </c>
      <c r="DL112" s="82" t="str">
        <f aca="false">IF(ISNUMBER($DK112),RANK($DK112,$DK$9:$DK$508,1),"")</f>
        <v/>
      </c>
      <c r="DM112" s="82" t="str">
        <f aca="false">IF(ISBLANK($C112),"",$B112)</f>
        <v/>
      </c>
      <c r="DN112" s="82" t="str">
        <f aca="false">IF(ISBLANK($C112),"",$C112)</f>
        <v/>
      </c>
      <c r="DO112" s="82" t="str">
        <f aca="false">IF(ISBLANK($C112),"",$D112)</f>
        <v/>
      </c>
      <c r="DP112" s="83" t="str">
        <f aca="false">$DD112</f>
        <v/>
      </c>
      <c r="DQ112" s="84" t="str">
        <f aca="false">$DC112</f>
        <v/>
      </c>
      <c r="DR112" s="82" t="str">
        <f aca="false">IF(ISBLANK($C112),"",$DF112)</f>
        <v/>
      </c>
      <c r="DS112" s="85" t="str">
        <f aca="false">IF($DJ112&gt;$DI$8,"",VLOOKUP($DJ112,$DL$9:$DR$508,7,FALSE()))</f>
        <v/>
      </c>
      <c r="DT112" s="86" t="str">
        <f aca="false">IF($DJ112&gt;$DI$8,"",VLOOKUP($DJ112,$DL$9:$DR$508,2,FALSE()))</f>
        <v/>
      </c>
      <c r="DU112" s="86" t="str">
        <f aca="false">IF($DJ112&gt;$DI$8,"",VLOOKUP($DJ112,$DL$9:$DR$508,3,FALSE()))</f>
        <v/>
      </c>
      <c r="DV112" s="86" t="str">
        <f aca="false">IF($DJ112&gt;$DI$8,"",VLOOKUP($DJ112,$DL$9:$DR$508,4,FALSE()))</f>
        <v/>
      </c>
      <c r="DW112" s="86" t="str">
        <f aca="false">IF($DJ112&gt;$DI$8,"",VLOOKUP($DJ112,$DL$9:$DR$508,5,FALSE()))</f>
        <v/>
      </c>
      <c r="DX112" s="87" t="str">
        <f aca="false">IF($DJ112&gt;$DI$8,"",VLOOKUP($DJ112,$DL$9:$DR$508,6,FALSE()))</f>
        <v/>
      </c>
      <c r="DY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88"/>
      <c r="N113" s="88"/>
      <c r="O113" s="134"/>
      <c r="P113" s="134"/>
      <c r="Q113" s="88"/>
      <c r="R113" s="88"/>
      <c r="S113" s="88"/>
      <c r="T113" s="88"/>
      <c r="U113" s="134"/>
      <c r="V113" s="88"/>
      <c r="W113" s="70"/>
      <c r="X113" s="88"/>
      <c r="Y113" s="88"/>
      <c r="Z113" s="70"/>
      <c r="AA113" s="70"/>
      <c r="AB113" s="88"/>
      <c r="AC113" s="88"/>
      <c r="AD113" s="88"/>
      <c r="AE113" s="71"/>
      <c r="AF113" s="88"/>
      <c r="AG113" s="73"/>
      <c r="AH113" s="74"/>
      <c r="AI113" s="74"/>
      <c r="AJ113" s="74" t="str">
        <f aca="false">IF(ISBLANK($C113),"",IF($E113=Constants!$B$2,TRUE(),IF($E113=Constants!$B$3,FALSE(),TRUE())))</f>
        <v/>
      </c>
      <c r="AK113" s="74" t="str">
        <f aca="false">IF(ISBLANK($C113),"",IF($F113=Constants!$B$2,TRUE(),IF($F113=Constants!$B$3,FALSE(),FALSE())))</f>
        <v/>
      </c>
      <c r="AL113" s="74" t="str">
        <f aca="false">IF(ISBLANK($C113),"",IF($G113=Constants!$B$2,TRUE(),IF($G113=Constants!$B$3,FALSE(),TRUE())))</f>
        <v/>
      </c>
      <c r="AM113" s="74" t="str">
        <f aca="false">IF(ISBLANK($C113),"",IF($H113=Constants!$B$2,TRUE(),IF($H113=Constants!$B$3,FALSE(),TRUE())))</f>
        <v/>
      </c>
      <c r="AN113" s="74" t="str">
        <f aca="false">IF(ISBLANK($C113),"",IF(ISNUMBER($I113),IF($I113&gt;=0,$I113,""),""))</f>
        <v/>
      </c>
      <c r="AO113" s="74" t="str">
        <f aca="false">IF(ISBLANK($C113),"",IF(ISNUMBER($J113),IF($J113&gt;=0,$J113,""),""))</f>
        <v/>
      </c>
      <c r="AP113" s="74" t="str">
        <f aca="false">IF(ISBLANK($C113),"",IF(ISNUMBER($K113),IF($K113&gt;=0,$K113,""),""))</f>
        <v/>
      </c>
      <c r="AQ113" s="74" t="str">
        <f aca="false">IF(ISBLANK($C113),"",IF($L113=Constants!$B$2,TRUE(),IF($L113=Constants!$B$3,FALSE(),TRUE())))</f>
        <v/>
      </c>
      <c r="AR113" s="74" t="str">
        <f aca="false">IF(ISBLANK($C113),"",IF($M113=Constants!$B$2,TRUE(),IF($M113=Constants!$B$3,FALSE(),TRUE())))</f>
        <v/>
      </c>
      <c r="AS113" s="74" t="str">
        <f aca="false">IF(ISBLANK($C113),"",IF($N113=Constants!$B$2,TRUE(),IF($N113=Constants!$B$3,FALSE(),FALSE())))</f>
        <v/>
      </c>
      <c r="AT113" s="74" t="str">
        <f aca="false">IF(ISBLANK($C113),"",IF($O113=Constants!$B$2,TRUE(),IF($O113=Constants!$B$3,FALSE(),TRUE())))</f>
        <v/>
      </c>
      <c r="AU113" s="74" t="str">
        <f aca="false">IF(ISBLANK($C113),"",IF($P113=Constants!$B$2,TRUE(),IF($P113=Constants!$B$3,FALSE(),TRUE())))</f>
        <v/>
      </c>
      <c r="AV113" s="74" t="str">
        <f aca="false">IF(ISBLANK($C113),"",IF($Q113=Constants!$B$2,TRUE(),IF($Q113=Constants!$B$3,FALSE(),FALSE())))</f>
        <v/>
      </c>
      <c r="AW113" s="74" t="str">
        <f aca="false">IF(ISBLANK($C113),"",IF($R113=Constants!$B$2,TRUE(),IF($R113=Constants!$B$3,FALSE(),FALSE())))</f>
        <v/>
      </c>
      <c r="AX113" s="74" t="str">
        <f aca="false">IF(ISBLANK($C113),"",IF($S113=Constants!$B$2,TRUE(),IF($S113=Constants!$B$3,FALSE(),FALSE())))</f>
        <v/>
      </c>
      <c r="AY113" s="74" t="str">
        <f aca="false">IF(ISBLANK($C113),"",IF($T113=Constants!$B$2,TRUE(),IF($T113=Constants!$B$3,FALSE(),FALSE())))</f>
        <v/>
      </c>
      <c r="AZ113" s="74" t="str">
        <f aca="false">IF(ISBLANK($C113),"",IF($U113=Constants!$B$2,TRUE(),IF($U113=Constants!$B$3,FALSE(),FALSE())))</f>
        <v/>
      </c>
      <c r="BA113" s="74" t="str">
        <f aca="false">IF(ISBLANK($C113),"",IF(OR($V113&amp;""="1",$V113&amp;""="2",$V113&amp;""="3",$V113&amp;""="4"),VALUE($V113&amp;""),IF($V113=Constants!$B$12,Constants!$B$12,"")))</f>
        <v/>
      </c>
      <c r="BB113" s="74" t="str">
        <f aca="false">IF(ISBLANK($C113),"",IF(ISBLANK($W113),0,IF(ISNUMBER($W113),IF(AND($W113&gt;=0,$W113&lt;=Constants!$B$21,$W113=INT($W113)),$W113,""),"")))</f>
        <v/>
      </c>
      <c r="BC113" s="74" t="str">
        <f aca="false">IF(ISBLANK($C113),"",IF(ISBLANK($X113),0,IF(ISNUMBER($X113),IF($X113&gt;=0,$X113,""),"")))</f>
        <v/>
      </c>
      <c r="BD113" s="74" t="str">
        <f aca="false">IF(ISBLANK($C113),"",IF($Y113=Constants!$B$2,TRUE(),IF($Y113=Constants!$B$3,FALSE(),TRUE())))</f>
        <v/>
      </c>
      <c r="BE113" s="74" t="str">
        <f aca="false">IF(ISBLANK($C113),"",IF($Z113=Constants!$B$2,TRUE(),IF($Z113=Constants!$B$3,FALSE(),FALSE())))</f>
        <v/>
      </c>
      <c r="BF113" s="74" t="str">
        <f aca="false">IF(ISBLANK($C113),"",IF(ISBLANK($AA113),0,IF(ISNUMBER($AA113),IF(AND($AA113&gt;=0,$AA113&lt;=Constants!$B$35,$AA113=INT($AA113)),$AA113,""),"")))</f>
        <v/>
      </c>
      <c r="BG113" s="74" t="str">
        <f aca="false">IF(ISBLANK($C113),"",IF($AB113=Constants!$B$2,TRUE(),IF($AB113=Constants!$B$3,FALSE(),TRUE())))</f>
        <v/>
      </c>
      <c r="BH113" s="74" t="str">
        <f aca="false">IF(ISBLANK($C113),"",IF($AC113=Constants!$B$2,TRUE(),IF($AC113=Constants!$B$3,FALSE(),TRUE())))</f>
        <v/>
      </c>
      <c r="BI113" s="74" t="str">
        <f aca="false">IF(ISBLANK($C113),"",IF($AD113=Constants!$B$2,TRUE(),IF($AD113=Constants!$B$3,FALSE(),TRUE())))</f>
        <v/>
      </c>
      <c r="BJ113" s="74" t="str">
        <f aca="false">IF(ISBLANK($C113),"",IF(ISNUMBER($AE113),IF($AE113&gt;=0,$AE113,""),""))</f>
        <v/>
      </c>
      <c r="BK113" s="74" t="str">
        <f aca="false">IF(ISBLANK($C113),"",IF($AF113=Constants!$B$2,TRUE(),IF($AF113=Constants!$B$3,FALSE(),FALSE())))</f>
        <v/>
      </c>
      <c r="BL113" s="73" t="str">
        <f aca="false">IF(ISBLANK($C113),"",IF($BK113,Constants!$B$7,IF(COUNTA($E113:$AE113)=0,Constants!$B$6,IF(OR(COUNTA($G113:$AE113)=0,NOT($AM113),$AS113),Constants!$B$5,IF(OR($CM113&lt;&gt;"",$CN113,$CO113,$CP113,$CQ113,$CR113,$CS113),Constants!$B$8,Constants!$B$4)))))</f>
        <v/>
      </c>
      <c r="BM113" s="74" t="str">
        <f aca="false">IF(ISBLANK($C113),"",IF($BL113&lt;&gt;Constants!$B$4,$BL113,IF(OR(NOT($AJ113),NOT($AL113),NOT($AT113)),Constants!$B$11,IF(OR(NOT($AR113),NOT($AU113),NOT($BI113),MAX($AN113,$AO113,$AP113)&gt;Constants!$B$30),Constants!$B$10,Constants!$B$9))))</f>
        <v/>
      </c>
      <c r="BN113" s="74" t="str">
        <f aca="false">IF($BL113&lt;&gt;Constants!$B$4,"",IF(NOT($AL113),0,MIN(Constants!$B$35,$BF113)))</f>
        <v/>
      </c>
      <c r="BO113" s="74" t="str">
        <f aca="false">IF($BL113&lt;&gt;Constants!$B$4,"",IF(NOT($AL113),0,IF($AW113,Constants!$B$18,IF($AV113,Constants!$B$17,0))))</f>
        <v/>
      </c>
      <c r="BP113" s="74" t="str">
        <f aca="false">IF($BL113&lt;&gt;Constants!$B$4,"",IF(NOT($AL113),0,Constants!$B$19*($AK113+$AX113+$AY113+$AZ113)))</f>
        <v/>
      </c>
      <c r="BQ113" s="74" t="str">
        <f aca="false">IF($BL113&lt;&gt;Constants!$B$4,"",IF(OR(NOT($AL113),NOT(ISNUMBER($BA113))),0,CHOOSE($BA113,Constants!$B$13,Constants!$B$14,Constants!$B$15,Constants!$B$16)))</f>
        <v/>
      </c>
      <c r="BR113" s="74" t="str">
        <f aca="false">IF($BL113&lt;&gt;Constants!$B$4,"",IF(NOT($AL113),0,Constants!$B$20*$BB113))</f>
        <v/>
      </c>
      <c r="BS113" s="74" t="str">
        <f aca="false">IF($BL113&lt;&gt;Constants!$B$4,"",IF(AND($AL113,$BD113,$BE113),Constants!$B$22,0))</f>
        <v/>
      </c>
      <c r="BT113" s="74" t="str">
        <f aca="false">IF($BL113&lt;&gt;Constants!$B$4,"",IF(OR(NOT($AL113),NOT($BD113)),0,IF($BJ113&gt;=2*$AH$9,0,Constants!$B$23*INT(ROUND(MIN($BJ113,$AH$9),6)))))</f>
        <v/>
      </c>
      <c r="BU113" s="74" t="str">
        <f aca="false">IF($BL113&lt;&gt;Constants!$B$4,"",IF(NOT($AL113),0,Constants!$B$24*INT(ROUND(MIN($BC113,$AH$9),6))))</f>
        <v/>
      </c>
      <c r="BV113" s="74" t="str">
        <f aca="false">IF($BL113&lt;&gt;Constants!$B$4,"",IF(AND($AL113,$BN113=0),Constants!$B$25,0))</f>
        <v/>
      </c>
      <c r="BW113" s="74" t="str">
        <f aca="false">IF($BL113&lt;&gt;Constants!$B$4,"",MIN(Constants!$B$29,MAX(0,Constants!$B$27*Constants!$B$28*INT(ROUND((Constants!$B$26-$AN113)/Constants!$B$28,6))))+MIN(Constants!$B$29,MAX(0,Constants!$B$27*Constants!$B$28*INT(ROUND((Constants!$B$26-$AO113)/Constants!$B$28,6))))+MIN(Constants!$B$29,MAX(0,Constants!$B$27*Constants!$B$28*INT(ROUND((Constants!$B$26-$AP113)/Constants!$B$28,6)))))</f>
        <v/>
      </c>
      <c r="BX113" s="74" t="str">
        <f aca="false">IF($BL113&lt;&gt;Constants!$B$4,"",IF(NOT($AL113),0,Constants!$B$31*INT(ROUND(MAX(0,MIN($BJ113,2*$AH$9)-$AH$9),6))))</f>
        <v/>
      </c>
      <c r="BY113" s="74" t="str">
        <f aca="false">IF($BL113&lt;&gt;Constants!$B$4,"",Constants!$B$32*(($AN113&gt;Constants!$B$26)+($AO113&gt;Constants!$B$26)+($AP113&gt;Constants!$B$26)))</f>
        <v/>
      </c>
      <c r="BZ113" s="74" t="str">
        <f aca="false">IF($BL113&lt;&gt;Constants!$B$4,"",IF(OR(NOT($AL113),$AQ113),0,Constants!$B$33))</f>
        <v/>
      </c>
      <c r="CA113" s="74" t="str">
        <f aca="false">IF($BL113&lt;&gt;Constants!$B$4,"",Constants!$B$34*$BN113)</f>
        <v/>
      </c>
      <c r="CB113" s="74" t="str">
        <f aca="false">IF($BL113&lt;&gt;Constants!$B$4,"",IF(OR(NOT($AL113),$BH113),0,Constants!$B$36))</f>
        <v/>
      </c>
      <c r="CC113" s="74" t="str">
        <f aca="false">IF($BL113&lt;&gt;Constants!$B$4,"",IF(OR(NOT($AL113),$BG113),0,Constants!$B$37))</f>
        <v/>
      </c>
      <c r="CD113" s="74" t="str">
        <f aca="false">IF($BL113&lt;&gt;Constants!$B$4,"",SUM($BX113:$CC113))</f>
        <v/>
      </c>
      <c r="CE113" s="74" t="str">
        <f aca="false">IF(ISBLANK($C113),"",IF($BL113&lt;&gt;Constants!$B$4,$BL113,SUM($BO113:$BW113)-$CD113))</f>
        <v/>
      </c>
      <c r="CF113" s="74" t="str">
        <f aca="false">IF(ISBLANK($C113),"",IF($BL113&lt;&gt;Constants!$B$4,$BL113,RANK($CE113,$CE$9:$CE$508)))</f>
        <v/>
      </c>
      <c r="CG113" s="74" t="str">
        <f aca="false">IF(ISBLANK($C113),"",IF($BL113&lt;&gt;Constants!$B$4,$BL113,COUNTIFS($BM$9:$BM$508,"&lt;"&amp;$BM113)+COUNTIFS($BM$9:$BM$508,$BM113,$CF$9:$CF$508,"&lt;"&amp;$CF113)+1))</f>
        <v/>
      </c>
      <c r="CH113" s="74" t="str">
        <f aca="false">IF(ISBLANK($C113),"",IF($BL113&lt;&gt;Constants!$B$4,$BL113,RANK($CD113,$CD$9:$CD$508,1)))</f>
        <v/>
      </c>
      <c r="CI113" s="74" t="str">
        <f aca="false">IF($BL113&lt;&gt;Constants!$B$4,"",$AN113+$AO113+$AP113)</f>
        <v/>
      </c>
      <c r="CJ113" s="74" t="str">
        <f aca="false">IF(ISBLANK($C113),"",IF($BL113&lt;&gt;Constants!$B$4,$BL113,RANK($CI113,$CI$9:$CI$508,1)))</f>
        <v/>
      </c>
      <c r="CK113" s="74" t="str">
        <f aca="false">IF(ISBLANK($C113),"",IF($BL113&lt;&gt;Constants!$B$4,$BL113,COUNTIFS($BM$9:$BM$508,"&lt;"&amp;$BM113)+COUNTIFS($BM$9:$BM$508,$BM113,$CF$9:$CF$508,"&lt;"&amp;$CF113)+COUNTIFS($BM$9:$BM$508,$BM113,$CF$9:$CF$508,$CF113,$CH$9:$CH$508,"&lt;"&amp;$CH113)+COUNTIFS($BM$9:$BM$508,$BM113,$CF$9:$CF$508,$CF113,$CH$9:$CH$508,$CH113,$CJ$9:$CJ$508,"&lt;"&amp;$CJ113)+1))</f>
        <v/>
      </c>
      <c r="CL113" s="74" t="str">
        <f aca="false">IF(ISBLANK($C113),"",IF($BL113&lt;&gt;Constants!$B$4,$BL113,$CG113-$CK113))</f>
        <v/>
      </c>
      <c r="CM113" s="74" t="str">
        <f aca="false">IF(ISBLANK($C113),"",IF(NOT($AL113),"",IF(ISBLANK($D$7),$CM$5,IF(NOT(ISNUMBER($D$7)),$CM$6,""))))</f>
        <v/>
      </c>
      <c r="CN113" s="74" t="str">
        <f aca="false">IF(ISBLANK($C113),"",OR($AN113="",$AO113="",$AP113=""))</f>
        <v/>
      </c>
      <c r="CO113" s="74" t="str">
        <f aca="false">IF(ISBLANK($C113),"",AND($AL113,$BA113=""))</f>
        <v/>
      </c>
      <c r="CP113" s="74" t="str">
        <f aca="false">IF(ISBLANK($C113),"",AND($AL113,$BB113=""))</f>
        <v/>
      </c>
      <c r="CQ113" s="74" t="str">
        <f aca="false">IF(ISBLANK($C113),"",AND($AL113,$BC113=""))</f>
        <v/>
      </c>
      <c r="CR113" s="74" t="str">
        <f aca="false">IF(ISBLANK($C113),"",AND($AL113,$BF113=""))</f>
        <v/>
      </c>
      <c r="CS113" s="74" t="str">
        <f aca="false">IF(ISBLANK($C113),"",AND($AL113,$BJ113=""))</f>
        <v/>
      </c>
      <c r="CT113" s="75"/>
      <c r="CU113" s="76"/>
      <c r="CV113" s="79" t="str">
        <f aca="false">IF(ISBLANK($C113),"",IF($BL113=Constants!$B$8,$CM113,""))</f>
        <v/>
      </c>
      <c r="CW113" s="76" t="str">
        <f aca="false">IF(ISBLANK($C113),"",IF($BL113&lt;&gt;Constants!$B$4,"",$BO113+$BP113))</f>
        <v/>
      </c>
      <c r="CX113" s="78" t="str">
        <f aca="false">IF(ISBLANK($C113),"",IF($BL113&lt;&gt;Constants!$B$4,"",$BQ113+$BR113+$BS113))</f>
        <v/>
      </c>
      <c r="CY113" s="78" t="str">
        <f aca="false">IF(ISBLANK($C113),"",IF($BL113&lt;&gt;Constants!$B$4,"",$BT113))</f>
        <v/>
      </c>
      <c r="CZ113" s="78" t="str">
        <f aca="false">IF(ISBLANK($C113),"",IF($BL113&lt;&gt;Constants!$B$4,"",$BU113+$BV113))</f>
        <v/>
      </c>
      <c r="DA113" s="78" t="str">
        <f aca="false">IF(ISBLANK($C113),"",IF($BL113&lt;&gt;Constants!$B$4,"",$BW113))</f>
        <v/>
      </c>
      <c r="DB113" s="78" t="str">
        <f aca="false">IF(ISBLANK($C113),"",IF($BL113&lt;&gt;Constants!$B$4,"",-$CD113))</f>
        <v/>
      </c>
      <c r="DC113" s="79" t="str">
        <f aca="false">IF(ISBLANK($C113),"",$CE113)</f>
        <v/>
      </c>
      <c r="DD113" s="80" t="str">
        <f aca="false">IF(ISBLANK($C113),"",$BM113)</f>
        <v/>
      </c>
      <c r="DE113" s="78" t="str">
        <f aca="false">IF(ISBLANK($C113),"",$CL113)</f>
        <v/>
      </c>
      <c r="DF113" s="78" t="str">
        <f aca="false">IF(ISBLANK($C113),"",$CK113)</f>
        <v/>
      </c>
      <c r="DG113" s="81" t="str">
        <f aca="false">IF(ISBLANK($C113),"",IF($DF113=Constants!$B$7,COUNTA($C$9:$C$508)+2,IF($DF113=Constants!$B$6,COUNTA($C$9:$C$508)+1,IF($DF113=Constants!$B$5,COUNTA($C$9:$C$508),$DF113))))</f>
        <v/>
      </c>
      <c r="DH113" s="7"/>
      <c r="DI113" s="82" t="n">
        <f aca="false">IF(OR(ISNUMBER($DF113),$DF113=Constants!$B$7,$DF113=Constants!$B$5,$DF113=Constants!$B$6),1,0)</f>
        <v>0</v>
      </c>
      <c r="DJ113" s="82" t="n">
        <v>105</v>
      </c>
      <c r="DK113" s="82" t="str">
        <f aca="false">IF(ISBLANK($C113),"",IF(ISNUMBER($DG113),$DG113+ROW($B113)/1000,""))</f>
        <v/>
      </c>
      <c r="DL113" s="82" t="str">
        <f aca="false">IF(ISNUMBER($DK113),RANK($DK113,$DK$9:$DK$508,1),"")</f>
        <v/>
      </c>
      <c r="DM113" s="82" t="str">
        <f aca="false">IF(ISBLANK($C113),"",$B113)</f>
        <v/>
      </c>
      <c r="DN113" s="82" t="str">
        <f aca="false">IF(ISBLANK($C113),"",$C113)</f>
        <v/>
      </c>
      <c r="DO113" s="82" t="str">
        <f aca="false">IF(ISBLANK($C113),"",$D113)</f>
        <v/>
      </c>
      <c r="DP113" s="83" t="str">
        <f aca="false">$DD113</f>
        <v/>
      </c>
      <c r="DQ113" s="84" t="str">
        <f aca="false">$DC113</f>
        <v/>
      </c>
      <c r="DR113" s="82" t="str">
        <f aca="false">IF(ISBLANK($C113),"",$DF113)</f>
        <v/>
      </c>
      <c r="DS113" s="85" t="str">
        <f aca="false">IF($DJ113&gt;$DI$8,"",VLOOKUP($DJ113,$DL$9:$DR$508,7,FALSE()))</f>
        <v/>
      </c>
      <c r="DT113" s="86" t="str">
        <f aca="false">IF($DJ113&gt;$DI$8,"",VLOOKUP($DJ113,$DL$9:$DR$508,2,FALSE()))</f>
        <v/>
      </c>
      <c r="DU113" s="86" t="str">
        <f aca="false">IF($DJ113&gt;$DI$8,"",VLOOKUP($DJ113,$DL$9:$DR$508,3,FALSE()))</f>
        <v/>
      </c>
      <c r="DV113" s="86" t="str">
        <f aca="false">IF($DJ113&gt;$DI$8,"",VLOOKUP($DJ113,$DL$9:$DR$508,4,FALSE()))</f>
        <v/>
      </c>
      <c r="DW113" s="86" t="str">
        <f aca="false">IF($DJ113&gt;$DI$8,"",VLOOKUP($DJ113,$DL$9:$DR$508,5,FALSE()))</f>
        <v/>
      </c>
      <c r="DX113" s="87" t="str">
        <f aca="false">IF($DJ113&gt;$DI$8,"",VLOOKUP($DJ113,$DL$9:$DR$508,6,FALSE()))</f>
        <v/>
      </c>
      <c r="DY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130"/>
      <c r="N114" s="130"/>
      <c r="O114" s="135"/>
      <c r="P114" s="135"/>
      <c r="Q114" s="130"/>
      <c r="R114" s="130"/>
      <c r="S114" s="130"/>
      <c r="T114" s="130"/>
      <c r="U114" s="135"/>
      <c r="V114" s="130"/>
      <c r="W114" s="96"/>
      <c r="X114" s="130"/>
      <c r="Y114" s="130"/>
      <c r="Z114" s="96"/>
      <c r="AA114" s="96"/>
      <c r="AB114" s="130"/>
      <c r="AC114" s="130"/>
      <c r="AD114" s="130"/>
      <c r="AE114" s="97"/>
      <c r="AF114" s="130"/>
      <c r="AG114" s="99"/>
      <c r="AH114" s="100"/>
      <c r="AI114" s="100"/>
      <c r="AJ114" s="100" t="str">
        <f aca="false">IF(ISBLANK($C114),"",IF($E114=Constants!$B$2,TRUE(),IF($E114=Constants!$B$3,FALSE(),TRUE())))</f>
        <v/>
      </c>
      <c r="AK114" s="100" t="str">
        <f aca="false">IF(ISBLANK($C114),"",IF($F114=Constants!$B$2,TRUE(),IF($F114=Constants!$B$3,FALSE(),FALSE())))</f>
        <v/>
      </c>
      <c r="AL114" s="100" t="str">
        <f aca="false">IF(ISBLANK($C114),"",IF($G114=Constants!$B$2,TRUE(),IF($G114=Constants!$B$3,FALSE(),TRUE())))</f>
        <v/>
      </c>
      <c r="AM114" s="100" t="str">
        <f aca="false">IF(ISBLANK($C114),"",IF($H114=Constants!$B$2,TRUE(),IF($H114=Constants!$B$3,FALSE(),TRUE())))</f>
        <v/>
      </c>
      <c r="AN114" s="100" t="str">
        <f aca="false">IF(ISBLANK($C114),"",IF(ISNUMBER($I114),IF($I114&gt;=0,$I114,""),""))</f>
        <v/>
      </c>
      <c r="AO114" s="100" t="str">
        <f aca="false">IF(ISBLANK($C114),"",IF(ISNUMBER($J114),IF($J114&gt;=0,$J114,""),""))</f>
        <v/>
      </c>
      <c r="AP114" s="100" t="str">
        <f aca="false">IF(ISBLANK($C114),"",IF(ISNUMBER($K114),IF($K114&gt;=0,$K114,""),""))</f>
        <v/>
      </c>
      <c r="AQ114" s="100" t="str">
        <f aca="false">IF(ISBLANK($C114),"",IF($L114=Constants!$B$2,TRUE(),IF($L114=Constants!$B$3,FALSE(),TRUE())))</f>
        <v/>
      </c>
      <c r="AR114" s="100" t="str">
        <f aca="false">IF(ISBLANK($C114),"",IF($M114=Constants!$B$2,TRUE(),IF($M114=Constants!$B$3,FALSE(),TRUE())))</f>
        <v/>
      </c>
      <c r="AS114" s="100" t="str">
        <f aca="false">IF(ISBLANK($C114),"",IF($N114=Constants!$B$2,TRUE(),IF($N114=Constants!$B$3,FALSE(),FALSE())))</f>
        <v/>
      </c>
      <c r="AT114" s="100" t="str">
        <f aca="false">IF(ISBLANK($C114),"",IF($O114=Constants!$B$2,TRUE(),IF($O114=Constants!$B$3,FALSE(),TRUE())))</f>
        <v/>
      </c>
      <c r="AU114" s="100" t="str">
        <f aca="false">IF(ISBLANK($C114),"",IF($P114=Constants!$B$2,TRUE(),IF($P114=Constants!$B$3,FALSE(),TRUE())))</f>
        <v/>
      </c>
      <c r="AV114" s="100" t="str">
        <f aca="false">IF(ISBLANK($C114),"",IF($Q114=Constants!$B$2,TRUE(),IF($Q114=Constants!$B$3,FALSE(),FALSE())))</f>
        <v/>
      </c>
      <c r="AW114" s="100" t="str">
        <f aca="false">IF(ISBLANK($C114),"",IF($R114=Constants!$B$2,TRUE(),IF($R114=Constants!$B$3,FALSE(),FALSE())))</f>
        <v/>
      </c>
      <c r="AX114" s="100" t="str">
        <f aca="false">IF(ISBLANK($C114),"",IF($S114=Constants!$B$2,TRUE(),IF($S114=Constants!$B$3,FALSE(),FALSE())))</f>
        <v/>
      </c>
      <c r="AY114" s="100" t="str">
        <f aca="false">IF(ISBLANK($C114),"",IF($T114=Constants!$B$2,TRUE(),IF($T114=Constants!$B$3,FALSE(),FALSE())))</f>
        <v/>
      </c>
      <c r="AZ114" s="100" t="str">
        <f aca="false">IF(ISBLANK($C114),"",IF($U114=Constants!$B$2,TRUE(),IF($U114=Constants!$B$3,FALSE(),FALSE())))</f>
        <v/>
      </c>
      <c r="BA114" s="100" t="str">
        <f aca="false">IF(ISBLANK($C114),"",IF(OR($V114&amp;""="1",$V114&amp;""="2",$V114&amp;""="3",$V114&amp;""="4"),VALUE($V114&amp;""),IF($V114=Constants!$B$12,Constants!$B$12,"")))</f>
        <v/>
      </c>
      <c r="BB114" s="100" t="str">
        <f aca="false">IF(ISBLANK($C114),"",IF(ISBLANK($W114),0,IF(ISNUMBER($W114),IF(AND($W114&gt;=0,$W114&lt;=Constants!$B$21,$W114=INT($W114)),$W114,""),"")))</f>
        <v/>
      </c>
      <c r="BC114" s="100" t="str">
        <f aca="false">IF(ISBLANK($C114),"",IF(ISBLANK($X114),0,IF(ISNUMBER($X114),IF($X114&gt;=0,$X114,""),"")))</f>
        <v/>
      </c>
      <c r="BD114" s="100" t="str">
        <f aca="false">IF(ISBLANK($C114),"",IF($Y114=Constants!$B$2,TRUE(),IF($Y114=Constants!$B$3,FALSE(),TRUE())))</f>
        <v/>
      </c>
      <c r="BE114" s="100" t="str">
        <f aca="false">IF(ISBLANK($C114),"",IF($Z114=Constants!$B$2,TRUE(),IF($Z114=Constants!$B$3,FALSE(),FALSE())))</f>
        <v/>
      </c>
      <c r="BF114" s="100" t="str">
        <f aca="false">IF(ISBLANK($C114),"",IF(ISBLANK($AA114),0,IF(ISNUMBER($AA114),IF(AND($AA114&gt;=0,$AA114&lt;=Constants!$B$35,$AA114=INT($AA114)),$AA114,""),"")))</f>
        <v/>
      </c>
      <c r="BG114" s="100" t="str">
        <f aca="false">IF(ISBLANK($C114),"",IF($AB114=Constants!$B$2,TRUE(),IF($AB114=Constants!$B$3,FALSE(),TRUE())))</f>
        <v/>
      </c>
      <c r="BH114" s="100" t="str">
        <f aca="false">IF(ISBLANK($C114),"",IF($AC114=Constants!$B$2,TRUE(),IF($AC114=Constants!$B$3,FALSE(),TRUE())))</f>
        <v/>
      </c>
      <c r="BI114" s="100" t="str">
        <f aca="false">IF(ISBLANK($C114),"",IF($AD114=Constants!$B$2,TRUE(),IF($AD114=Constants!$B$3,FALSE(),TRUE())))</f>
        <v/>
      </c>
      <c r="BJ114" s="100" t="str">
        <f aca="false">IF(ISBLANK($C114),"",IF(ISNUMBER($AE114),IF($AE114&gt;=0,$AE114,""),""))</f>
        <v/>
      </c>
      <c r="BK114" s="100" t="str">
        <f aca="false">IF(ISBLANK($C114),"",IF($AF114=Constants!$B$2,TRUE(),IF($AF114=Constants!$B$3,FALSE(),FALSE())))</f>
        <v/>
      </c>
      <c r="BL114" s="99" t="str">
        <f aca="false">IF(ISBLANK($C114),"",IF($BK114,Constants!$B$7,IF(COUNTA($E114:$AE114)=0,Constants!$B$6,IF(OR(COUNTA($G114:$AE114)=0,NOT($AM114),$AS114),Constants!$B$5,IF(OR($CM114&lt;&gt;"",$CN114,$CO114,$CP114,$CQ114,$CR114,$CS114),Constants!$B$8,Constants!$B$4)))))</f>
        <v/>
      </c>
      <c r="BM114" s="100" t="str">
        <f aca="false">IF(ISBLANK($C114),"",IF($BL114&lt;&gt;Constants!$B$4,$BL114,IF(OR(NOT($AJ114),NOT($AL114),NOT($AT114)),Constants!$B$11,IF(OR(NOT($AR114),NOT($AU114),NOT($BI114),MAX($AN114,$AO114,$AP114)&gt;Constants!$B$30),Constants!$B$10,Constants!$B$9))))</f>
        <v/>
      </c>
      <c r="BN114" s="100" t="str">
        <f aca="false">IF($BL114&lt;&gt;Constants!$B$4,"",IF(NOT($AL114),0,MIN(Constants!$B$35,$BF114)))</f>
        <v/>
      </c>
      <c r="BO114" s="100" t="str">
        <f aca="false">IF($BL114&lt;&gt;Constants!$B$4,"",IF(NOT($AL114),0,IF($AW114,Constants!$B$18,IF($AV114,Constants!$B$17,0))))</f>
        <v/>
      </c>
      <c r="BP114" s="100" t="str">
        <f aca="false">IF($BL114&lt;&gt;Constants!$B$4,"",IF(NOT($AL114),0,Constants!$B$19*($AK114+$AX114+$AY114+$AZ114)))</f>
        <v/>
      </c>
      <c r="BQ114" s="100" t="str">
        <f aca="false">IF($BL114&lt;&gt;Constants!$B$4,"",IF(OR(NOT($AL114),NOT(ISNUMBER($BA114))),0,CHOOSE($BA114,Constants!$B$13,Constants!$B$14,Constants!$B$15,Constants!$B$16)))</f>
        <v/>
      </c>
      <c r="BR114" s="100" t="str">
        <f aca="false">IF($BL114&lt;&gt;Constants!$B$4,"",IF(NOT($AL114),0,Constants!$B$20*$BB114))</f>
        <v/>
      </c>
      <c r="BS114" s="100" t="str">
        <f aca="false">IF($BL114&lt;&gt;Constants!$B$4,"",IF(AND($AL114,$BD114,$BE114),Constants!$B$22,0))</f>
        <v/>
      </c>
      <c r="BT114" s="100" t="str">
        <f aca="false">IF($BL114&lt;&gt;Constants!$B$4,"",IF(OR(NOT($AL114),NOT($BD114)),0,IF($BJ114&gt;=2*$AH$9,0,Constants!$B$23*INT(ROUND(MIN($BJ114,$AH$9),6)))))</f>
        <v/>
      </c>
      <c r="BU114" s="100" t="str">
        <f aca="false">IF($BL114&lt;&gt;Constants!$B$4,"",IF(NOT($AL114),0,Constants!$B$24*INT(ROUND(MIN($BC114,$AH$9),6))))</f>
        <v/>
      </c>
      <c r="BV114" s="100" t="str">
        <f aca="false">IF($BL114&lt;&gt;Constants!$B$4,"",IF(AND($AL114,$BN114=0),Constants!$B$25,0))</f>
        <v/>
      </c>
      <c r="BW114" s="100" t="str">
        <f aca="false">IF($BL114&lt;&gt;Constants!$B$4,"",MIN(Constants!$B$29,MAX(0,Constants!$B$27*Constants!$B$28*INT(ROUND((Constants!$B$26-$AN114)/Constants!$B$28,6))))+MIN(Constants!$B$29,MAX(0,Constants!$B$27*Constants!$B$28*INT(ROUND((Constants!$B$26-$AO114)/Constants!$B$28,6))))+MIN(Constants!$B$29,MAX(0,Constants!$B$27*Constants!$B$28*INT(ROUND((Constants!$B$26-$AP114)/Constants!$B$28,6)))))</f>
        <v/>
      </c>
      <c r="BX114" s="100" t="str">
        <f aca="false">IF($BL114&lt;&gt;Constants!$B$4,"",IF(NOT($AL114),0,Constants!$B$31*INT(ROUND(MAX(0,MIN($BJ114,2*$AH$9)-$AH$9),6))))</f>
        <v/>
      </c>
      <c r="BY114" s="100" t="str">
        <f aca="false">IF($BL114&lt;&gt;Constants!$B$4,"",Constants!$B$32*(($AN114&gt;Constants!$B$26)+($AO114&gt;Constants!$B$26)+($AP114&gt;Constants!$B$26)))</f>
        <v/>
      </c>
      <c r="BZ114" s="100" t="str">
        <f aca="false">IF($BL114&lt;&gt;Constants!$B$4,"",IF(OR(NOT($AL114),$AQ114),0,Constants!$B$33))</f>
        <v/>
      </c>
      <c r="CA114" s="100" t="str">
        <f aca="false">IF($BL114&lt;&gt;Constants!$B$4,"",Constants!$B$34*$BN114)</f>
        <v/>
      </c>
      <c r="CB114" s="100" t="str">
        <f aca="false">IF($BL114&lt;&gt;Constants!$B$4,"",IF(OR(NOT($AL114),$BH114),0,Constants!$B$36))</f>
        <v/>
      </c>
      <c r="CC114" s="100" t="str">
        <f aca="false">IF($BL114&lt;&gt;Constants!$B$4,"",IF(OR(NOT($AL114),$BG114),0,Constants!$B$37))</f>
        <v/>
      </c>
      <c r="CD114" s="100" t="str">
        <f aca="false">IF($BL114&lt;&gt;Constants!$B$4,"",SUM($BX114:$CC114))</f>
        <v/>
      </c>
      <c r="CE114" s="100" t="str">
        <f aca="false">IF(ISBLANK($C114),"",IF($BL114&lt;&gt;Constants!$B$4,$BL114,SUM($BO114:$BW114)-$CD114))</f>
        <v/>
      </c>
      <c r="CF114" s="100" t="str">
        <f aca="false">IF(ISBLANK($C114),"",IF($BL114&lt;&gt;Constants!$B$4,$BL114,RANK($CE114,$CE$9:$CE$508)))</f>
        <v/>
      </c>
      <c r="CG114" s="100" t="str">
        <f aca="false">IF(ISBLANK($C114),"",IF($BL114&lt;&gt;Constants!$B$4,$BL114,COUNTIFS($BM$9:$BM$508,"&lt;"&amp;$BM114)+COUNTIFS($BM$9:$BM$508,$BM114,$CF$9:$CF$508,"&lt;"&amp;$CF114)+1))</f>
        <v/>
      </c>
      <c r="CH114" s="100" t="str">
        <f aca="false">IF(ISBLANK($C114),"",IF($BL114&lt;&gt;Constants!$B$4,$BL114,RANK($CD114,$CD$9:$CD$508,1)))</f>
        <v/>
      </c>
      <c r="CI114" s="100" t="str">
        <f aca="false">IF($BL114&lt;&gt;Constants!$B$4,"",$AN114+$AO114+$AP114)</f>
        <v/>
      </c>
      <c r="CJ114" s="100" t="str">
        <f aca="false">IF(ISBLANK($C114),"",IF($BL114&lt;&gt;Constants!$B$4,$BL114,RANK($CI114,$CI$9:$CI$508,1)))</f>
        <v/>
      </c>
      <c r="CK114" s="100" t="str">
        <f aca="false">IF(ISBLANK($C114),"",IF($BL114&lt;&gt;Constants!$B$4,$BL114,COUNTIFS($BM$9:$BM$508,"&lt;"&amp;$BM114)+COUNTIFS($BM$9:$BM$508,$BM114,$CF$9:$CF$508,"&lt;"&amp;$CF114)+COUNTIFS($BM$9:$BM$508,$BM114,$CF$9:$CF$508,$CF114,$CH$9:$CH$508,"&lt;"&amp;$CH114)+COUNTIFS($BM$9:$BM$508,$BM114,$CF$9:$CF$508,$CF114,$CH$9:$CH$508,$CH114,$CJ$9:$CJ$508,"&lt;"&amp;$CJ114)+1))</f>
        <v/>
      </c>
      <c r="CL114" s="100" t="str">
        <f aca="false">IF(ISBLANK($C114),"",IF($BL114&lt;&gt;Constants!$B$4,$BL114,$CG114-$CK114))</f>
        <v/>
      </c>
      <c r="CM114" s="100" t="str">
        <f aca="false">IF(ISBLANK($C114),"",IF(NOT($AL114),"",IF(ISBLANK($D$7),$CM$5,IF(NOT(ISNUMBER($D$7)),$CM$6,""))))</f>
        <v/>
      </c>
      <c r="CN114" s="100" t="str">
        <f aca="false">IF(ISBLANK($C114),"",OR($AN114="",$AO114="",$AP114=""))</f>
        <v/>
      </c>
      <c r="CO114" s="100" t="str">
        <f aca="false">IF(ISBLANK($C114),"",AND($AL114,$BA114=""))</f>
        <v/>
      </c>
      <c r="CP114" s="100" t="str">
        <f aca="false">IF(ISBLANK($C114),"",AND($AL114,$BB114=""))</f>
        <v/>
      </c>
      <c r="CQ114" s="100" t="str">
        <f aca="false">IF(ISBLANK($C114),"",AND($AL114,$BC114=""))</f>
        <v/>
      </c>
      <c r="CR114" s="100" t="str">
        <f aca="false">IF(ISBLANK($C114),"",AND($AL114,$BF114=""))</f>
        <v/>
      </c>
      <c r="CS114" s="100" t="str">
        <f aca="false">IF(ISBLANK($C114),"",AND($AL114,$BJ114=""))</f>
        <v/>
      </c>
      <c r="CT114" s="101"/>
      <c r="CU114" s="102"/>
      <c r="CV114" s="103" t="str">
        <f aca="false">IF(ISBLANK($C114),"",IF($BL114=Constants!$B$8,$CM114,""))</f>
        <v/>
      </c>
      <c r="CW114" s="102" t="str">
        <f aca="false">IF(ISBLANK($C114),"",IF($BL114&lt;&gt;Constants!$B$4,"",$BO114+$BP114))</f>
        <v/>
      </c>
      <c r="CX114" s="104" t="str">
        <f aca="false">IF(ISBLANK($C114),"",IF($BL114&lt;&gt;Constants!$B$4,"",$BQ114+$BR114+$BS114))</f>
        <v/>
      </c>
      <c r="CY114" s="104" t="str">
        <f aca="false">IF(ISBLANK($C114),"",IF($BL114&lt;&gt;Constants!$B$4,"",$BT114))</f>
        <v/>
      </c>
      <c r="CZ114" s="104" t="str">
        <f aca="false">IF(ISBLANK($C114),"",IF($BL114&lt;&gt;Constants!$B$4,"",$BU114+$BV114))</f>
        <v/>
      </c>
      <c r="DA114" s="104" t="str">
        <f aca="false">IF(ISBLANK($C114),"",IF($BL114&lt;&gt;Constants!$B$4,"",$BW114))</f>
        <v/>
      </c>
      <c r="DB114" s="104" t="str">
        <f aca="false">IF(ISBLANK($C114),"",IF($BL114&lt;&gt;Constants!$B$4,"",-$CD114))</f>
        <v/>
      </c>
      <c r="DC114" s="103" t="str">
        <f aca="false">IF(ISBLANK($C114),"",$CE114)</f>
        <v/>
      </c>
      <c r="DD114" s="105" t="str">
        <f aca="false">IF(ISBLANK($C114),"",$BM114)</f>
        <v/>
      </c>
      <c r="DE114" s="104" t="str">
        <f aca="false">IF(ISBLANK($C114),"",$CL114)</f>
        <v/>
      </c>
      <c r="DF114" s="104" t="str">
        <f aca="false">IF(ISBLANK($C114),"",$CK114)</f>
        <v/>
      </c>
      <c r="DG114" s="106" t="str">
        <f aca="false">IF(ISBLANK($C114),"",IF($DF114=Constants!$B$7,COUNTA($C$9:$C$508)+2,IF($DF114=Constants!$B$6,COUNTA($C$9:$C$508)+1,IF($DF114=Constants!$B$5,COUNTA($C$9:$C$508),$DF114))))</f>
        <v/>
      </c>
      <c r="DH114" s="7"/>
      <c r="DI114" s="107" t="n">
        <f aca="false">IF(OR(ISNUMBER($DF114),$DF114=Constants!$B$7,$DF114=Constants!$B$5,$DF114=Constants!$B$6),1,0)</f>
        <v>0</v>
      </c>
      <c r="DJ114" s="107" t="n">
        <v>106</v>
      </c>
      <c r="DK114" s="107" t="str">
        <f aca="false">IF(ISBLANK($C114),"",IF(ISNUMBER($DG114),$DG114+ROW($B114)/1000,""))</f>
        <v/>
      </c>
      <c r="DL114" s="107" t="str">
        <f aca="false">IF(ISNUMBER($DK114),RANK($DK114,$DK$9:$DK$508,1),"")</f>
        <v/>
      </c>
      <c r="DM114" s="107" t="str">
        <f aca="false">IF(ISBLANK($C114),"",$B114)</f>
        <v/>
      </c>
      <c r="DN114" s="107" t="str">
        <f aca="false">IF(ISBLANK($C114),"",$C114)</f>
        <v/>
      </c>
      <c r="DO114" s="107" t="str">
        <f aca="false">IF(ISBLANK($C114),"",$D114)</f>
        <v/>
      </c>
      <c r="DP114" s="108" t="str">
        <f aca="false">$DD114</f>
        <v/>
      </c>
      <c r="DQ114" s="109" t="str">
        <f aca="false">$DC114</f>
        <v/>
      </c>
      <c r="DR114" s="107" t="str">
        <f aca="false">IF(ISBLANK($C114),"",$DF114)</f>
        <v/>
      </c>
      <c r="DS114" s="110" t="str">
        <f aca="false">IF($DJ114&gt;$DI$8,"",VLOOKUP($DJ114,$DL$9:$DR$508,7,FALSE()))</f>
        <v/>
      </c>
      <c r="DT114" s="111" t="str">
        <f aca="false">IF($DJ114&gt;$DI$8,"",VLOOKUP($DJ114,$DL$9:$DR$508,2,FALSE()))</f>
        <v/>
      </c>
      <c r="DU114" s="111" t="str">
        <f aca="false">IF($DJ114&gt;$DI$8,"",VLOOKUP($DJ114,$DL$9:$DR$508,3,FALSE()))</f>
        <v/>
      </c>
      <c r="DV114" s="111" t="str">
        <f aca="false">IF($DJ114&gt;$DI$8,"",VLOOKUP($DJ114,$DL$9:$DR$508,4,FALSE()))</f>
        <v/>
      </c>
      <c r="DW114" s="111" t="str">
        <f aca="false">IF($DJ114&gt;$DI$8,"",VLOOKUP($DJ114,$DL$9:$DR$508,5,FALSE()))</f>
        <v/>
      </c>
      <c r="DX114" s="112" t="str">
        <f aca="false">IF($DJ114&gt;$DI$8,"",VLOOKUP($DJ114,$DL$9:$DR$508,6,FALSE()))</f>
        <v/>
      </c>
      <c r="DY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130"/>
      <c r="N115" s="130"/>
      <c r="O115" s="135"/>
      <c r="P115" s="135"/>
      <c r="Q115" s="130"/>
      <c r="R115" s="130"/>
      <c r="S115" s="130"/>
      <c r="T115" s="130"/>
      <c r="U115" s="135"/>
      <c r="V115" s="130"/>
      <c r="W115" s="96"/>
      <c r="X115" s="130"/>
      <c r="Y115" s="130"/>
      <c r="Z115" s="96"/>
      <c r="AA115" s="96"/>
      <c r="AB115" s="130"/>
      <c r="AC115" s="130"/>
      <c r="AD115" s="130"/>
      <c r="AE115" s="97"/>
      <c r="AF115" s="130"/>
      <c r="AG115" s="99"/>
      <c r="AH115" s="100"/>
      <c r="AI115" s="100"/>
      <c r="AJ115" s="100" t="str">
        <f aca="false">IF(ISBLANK($C115),"",IF($E115=Constants!$B$2,TRUE(),IF($E115=Constants!$B$3,FALSE(),TRUE())))</f>
        <v/>
      </c>
      <c r="AK115" s="100" t="str">
        <f aca="false">IF(ISBLANK($C115),"",IF($F115=Constants!$B$2,TRUE(),IF($F115=Constants!$B$3,FALSE(),FALSE())))</f>
        <v/>
      </c>
      <c r="AL115" s="100" t="str">
        <f aca="false">IF(ISBLANK($C115),"",IF($G115=Constants!$B$2,TRUE(),IF($G115=Constants!$B$3,FALSE(),TRUE())))</f>
        <v/>
      </c>
      <c r="AM115" s="100" t="str">
        <f aca="false">IF(ISBLANK($C115),"",IF($H115=Constants!$B$2,TRUE(),IF($H115=Constants!$B$3,FALSE(),TRUE())))</f>
        <v/>
      </c>
      <c r="AN115" s="100" t="str">
        <f aca="false">IF(ISBLANK($C115),"",IF(ISNUMBER($I115),IF($I115&gt;=0,$I115,""),""))</f>
        <v/>
      </c>
      <c r="AO115" s="100" t="str">
        <f aca="false">IF(ISBLANK($C115),"",IF(ISNUMBER($J115),IF($J115&gt;=0,$J115,""),""))</f>
        <v/>
      </c>
      <c r="AP115" s="100" t="str">
        <f aca="false">IF(ISBLANK($C115),"",IF(ISNUMBER($K115),IF($K115&gt;=0,$K115,""),""))</f>
        <v/>
      </c>
      <c r="AQ115" s="100" t="str">
        <f aca="false">IF(ISBLANK($C115),"",IF($L115=Constants!$B$2,TRUE(),IF($L115=Constants!$B$3,FALSE(),TRUE())))</f>
        <v/>
      </c>
      <c r="AR115" s="100" t="str">
        <f aca="false">IF(ISBLANK($C115),"",IF($M115=Constants!$B$2,TRUE(),IF($M115=Constants!$B$3,FALSE(),TRUE())))</f>
        <v/>
      </c>
      <c r="AS115" s="100" t="str">
        <f aca="false">IF(ISBLANK($C115),"",IF($N115=Constants!$B$2,TRUE(),IF($N115=Constants!$B$3,FALSE(),FALSE())))</f>
        <v/>
      </c>
      <c r="AT115" s="100" t="str">
        <f aca="false">IF(ISBLANK($C115),"",IF($O115=Constants!$B$2,TRUE(),IF($O115=Constants!$B$3,FALSE(),TRUE())))</f>
        <v/>
      </c>
      <c r="AU115" s="100" t="str">
        <f aca="false">IF(ISBLANK($C115),"",IF($P115=Constants!$B$2,TRUE(),IF($P115=Constants!$B$3,FALSE(),TRUE())))</f>
        <v/>
      </c>
      <c r="AV115" s="100" t="str">
        <f aca="false">IF(ISBLANK($C115),"",IF($Q115=Constants!$B$2,TRUE(),IF($Q115=Constants!$B$3,FALSE(),FALSE())))</f>
        <v/>
      </c>
      <c r="AW115" s="100" t="str">
        <f aca="false">IF(ISBLANK($C115),"",IF($R115=Constants!$B$2,TRUE(),IF($R115=Constants!$B$3,FALSE(),FALSE())))</f>
        <v/>
      </c>
      <c r="AX115" s="100" t="str">
        <f aca="false">IF(ISBLANK($C115),"",IF($S115=Constants!$B$2,TRUE(),IF($S115=Constants!$B$3,FALSE(),FALSE())))</f>
        <v/>
      </c>
      <c r="AY115" s="100" t="str">
        <f aca="false">IF(ISBLANK($C115),"",IF($T115=Constants!$B$2,TRUE(),IF($T115=Constants!$B$3,FALSE(),FALSE())))</f>
        <v/>
      </c>
      <c r="AZ115" s="100" t="str">
        <f aca="false">IF(ISBLANK($C115),"",IF($U115=Constants!$B$2,TRUE(),IF($U115=Constants!$B$3,FALSE(),FALSE())))</f>
        <v/>
      </c>
      <c r="BA115" s="100" t="str">
        <f aca="false">IF(ISBLANK($C115),"",IF(OR($V115&amp;""="1",$V115&amp;""="2",$V115&amp;""="3",$V115&amp;""="4"),VALUE($V115&amp;""),IF($V115=Constants!$B$12,Constants!$B$12,"")))</f>
        <v/>
      </c>
      <c r="BB115" s="100" t="str">
        <f aca="false">IF(ISBLANK($C115),"",IF(ISBLANK($W115),0,IF(ISNUMBER($W115),IF(AND($W115&gt;=0,$W115&lt;=Constants!$B$21,$W115=INT($W115)),$W115,""),"")))</f>
        <v/>
      </c>
      <c r="BC115" s="100" t="str">
        <f aca="false">IF(ISBLANK($C115),"",IF(ISBLANK($X115),0,IF(ISNUMBER($X115),IF($X115&gt;=0,$X115,""),"")))</f>
        <v/>
      </c>
      <c r="BD115" s="100" t="str">
        <f aca="false">IF(ISBLANK($C115),"",IF($Y115=Constants!$B$2,TRUE(),IF($Y115=Constants!$B$3,FALSE(),TRUE())))</f>
        <v/>
      </c>
      <c r="BE115" s="100" t="str">
        <f aca="false">IF(ISBLANK($C115),"",IF($Z115=Constants!$B$2,TRUE(),IF($Z115=Constants!$B$3,FALSE(),FALSE())))</f>
        <v/>
      </c>
      <c r="BF115" s="100" t="str">
        <f aca="false">IF(ISBLANK($C115),"",IF(ISBLANK($AA115),0,IF(ISNUMBER($AA115),IF(AND($AA115&gt;=0,$AA115&lt;=Constants!$B$35,$AA115=INT($AA115)),$AA115,""),"")))</f>
        <v/>
      </c>
      <c r="BG115" s="100" t="str">
        <f aca="false">IF(ISBLANK($C115),"",IF($AB115=Constants!$B$2,TRUE(),IF($AB115=Constants!$B$3,FALSE(),TRUE())))</f>
        <v/>
      </c>
      <c r="BH115" s="100" t="str">
        <f aca="false">IF(ISBLANK($C115),"",IF($AC115=Constants!$B$2,TRUE(),IF($AC115=Constants!$B$3,FALSE(),TRUE())))</f>
        <v/>
      </c>
      <c r="BI115" s="100" t="str">
        <f aca="false">IF(ISBLANK($C115),"",IF($AD115=Constants!$B$2,TRUE(),IF($AD115=Constants!$B$3,FALSE(),TRUE())))</f>
        <v/>
      </c>
      <c r="BJ115" s="100" t="str">
        <f aca="false">IF(ISBLANK($C115),"",IF(ISNUMBER($AE115),IF($AE115&gt;=0,$AE115,""),""))</f>
        <v/>
      </c>
      <c r="BK115" s="100" t="str">
        <f aca="false">IF(ISBLANK($C115),"",IF($AF115=Constants!$B$2,TRUE(),IF($AF115=Constants!$B$3,FALSE(),FALSE())))</f>
        <v/>
      </c>
      <c r="BL115" s="99" t="str">
        <f aca="false">IF(ISBLANK($C115),"",IF($BK115,Constants!$B$7,IF(COUNTA($E115:$AE115)=0,Constants!$B$6,IF(OR(COUNTA($G115:$AE115)=0,NOT($AM115),$AS115),Constants!$B$5,IF(OR($CM115&lt;&gt;"",$CN115,$CO115,$CP115,$CQ115,$CR115,$CS115),Constants!$B$8,Constants!$B$4)))))</f>
        <v/>
      </c>
      <c r="BM115" s="100" t="str">
        <f aca="false">IF(ISBLANK($C115),"",IF($BL115&lt;&gt;Constants!$B$4,$BL115,IF(OR(NOT($AJ115),NOT($AL115),NOT($AT115)),Constants!$B$11,IF(OR(NOT($AR115),NOT($AU115),NOT($BI115),MAX($AN115,$AO115,$AP115)&gt;Constants!$B$30),Constants!$B$10,Constants!$B$9))))</f>
        <v/>
      </c>
      <c r="BN115" s="100" t="str">
        <f aca="false">IF($BL115&lt;&gt;Constants!$B$4,"",IF(NOT($AL115),0,MIN(Constants!$B$35,$BF115)))</f>
        <v/>
      </c>
      <c r="BO115" s="100" t="str">
        <f aca="false">IF($BL115&lt;&gt;Constants!$B$4,"",IF(NOT($AL115),0,IF($AW115,Constants!$B$18,IF($AV115,Constants!$B$17,0))))</f>
        <v/>
      </c>
      <c r="BP115" s="100" t="str">
        <f aca="false">IF($BL115&lt;&gt;Constants!$B$4,"",IF(NOT($AL115),0,Constants!$B$19*($AK115+$AX115+$AY115+$AZ115)))</f>
        <v/>
      </c>
      <c r="BQ115" s="100" t="str">
        <f aca="false">IF($BL115&lt;&gt;Constants!$B$4,"",IF(OR(NOT($AL115),NOT(ISNUMBER($BA115))),0,CHOOSE($BA115,Constants!$B$13,Constants!$B$14,Constants!$B$15,Constants!$B$16)))</f>
        <v/>
      </c>
      <c r="BR115" s="100" t="str">
        <f aca="false">IF($BL115&lt;&gt;Constants!$B$4,"",IF(NOT($AL115),0,Constants!$B$20*$BB115))</f>
        <v/>
      </c>
      <c r="BS115" s="100" t="str">
        <f aca="false">IF($BL115&lt;&gt;Constants!$B$4,"",IF(AND($AL115,$BD115,$BE115),Constants!$B$22,0))</f>
        <v/>
      </c>
      <c r="BT115" s="100" t="str">
        <f aca="false">IF($BL115&lt;&gt;Constants!$B$4,"",IF(OR(NOT($AL115),NOT($BD115)),0,IF($BJ115&gt;=2*$AH$9,0,Constants!$B$23*INT(ROUND(MIN($BJ115,$AH$9),6)))))</f>
        <v/>
      </c>
      <c r="BU115" s="100" t="str">
        <f aca="false">IF($BL115&lt;&gt;Constants!$B$4,"",IF(NOT($AL115),0,Constants!$B$24*INT(ROUND(MIN($BC115,$AH$9),6))))</f>
        <v/>
      </c>
      <c r="BV115" s="100" t="str">
        <f aca="false">IF($BL115&lt;&gt;Constants!$B$4,"",IF(AND($AL115,$BN115=0),Constants!$B$25,0))</f>
        <v/>
      </c>
      <c r="BW115" s="100" t="str">
        <f aca="false">IF($BL115&lt;&gt;Constants!$B$4,"",MIN(Constants!$B$29,MAX(0,Constants!$B$27*Constants!$B$28*INT(ROUND((Constants!$B$26-$AN115)/Constants!$B$28,6))))+MIN(Constants!$B$29,MAX(0,Constants!$B$27*Constants!$B$28*INT(ROUND((Constants!$B$26-$AO115)/Constants!$B$28,6))))+MIN(Constants!$B$29,MAX(0,Constants!$B$27*Constants!$B$28*INT(ROUND((Constants!$B$26-$AP115)/Constants!$B$28,6)))))</f>
        <v/>
      </c>
      <c r="BX115" s="100" t="str">
        <f aca="false">IF($BL115&lt;&gt;Constants!$B$4,"",IF(NOT($AL115),0,Constants!$B$31*INT(ROUND(MAX(0,MIN($BJ115,2*$AH$9)-$AH$9),6))))</f>
        <v/>
      </c>
      <c r="BY115" s="100" t="str">
        <f aca="false">IF($BL115&lt;&gt;Constants!$B$4,"",Constants!$B$32*(($AN115&gt;Constants!$B$26)+($AO115&gt;Constants!$B$26)+($AP115&gt;Constants!$B$26)))</f>
        <v/>
      </c>
      <c r="BZ115" s="100" t="str">
        <f aca="false">IF($BL115&lt;&gt;Constants!$B$4,"",IF(OR(NOT($AL115),$AQ115),0,Constants!$B$33))</f>
        <v/>
      </c>
      <c r="CA115" s="100" t="str">
        <f aca="false">IF($BL115&lt;&gt;Constants!$B$4,"",Constants!$B$34*$BN115)</f>
        <v/>
      </c>
      <c r="CB115" s="100" t="str">
        <f aca="false">IF($BL115&lt;&gt;Constants!$B$4,"",IF(OR(NOT($AL115),$BH115),0,Constants!$B$36))</f>
        <v/>
      </c>
      <c r="CC115" s="100" t="str">
        <f aca="false">IF($BL115&lt;&gt;Constants!$B$4,"",IF(OR(NOT($AL115),$BG115),0,Constants!$B$37))</f>
        <v/>
      </c>
      <c r="CD115" s="100" t="str">
        <f aca="false">IF($BL115&lt;&gt;Constants!$B$4,"",SUM($BX115:$CC115))</f>
        <v/>
      </c>
      <c r="CE115" s="100" t="str">
        <f aca="false">IF(ISBLANK($C115),"",IF($BL115&lt;&gt;Constants!$B$4,$BL115,SUM($BO115:$BW115)-$CD115))</f>
        <v/>
      </c>
      <c r="CF115" s="100" t="str">
        <f aca="false">IF(ISBLANK($C115),"",IF($BL115&lt;&gt;Constants!$B$4,$BL115,RANK($CE115,$CE$9:$CE$508)))</f>
        <v/>
      </c>
      <c r="CG115" s="100" t="str">
        <f aca="false">IF(ISBLANK($C115),"",IF($BL115&lt;&gt;Constants!$B$4,$BL115,COUNTIFS($BM$9:$BM$508,"&lt;"&amp;$BM115)+COUNTIFS($BM$9:$BM$508,$BM115,$CF$9:$CF$508,"&lt;"&amp;$CF115)+1))</f>
        <v/>
      </c>
      <c r="CH115" s="100" t="str">
        <f aca="false">IF(ISBLANK($C115),"",IF($BL115&lt;&gt;Constants!$B$4,$BL115,RANK($CD115,$CD$9:$CD$508,1)))</f>
        <v/>
      </c>
      <c r="CI115" s="100" t="str">
        <f aca="false">IF($BL115&lt;&gt;Constants!$B$4,"",$AN115+$AO115+$AP115)</f>
        <v/>
      </c>
      <c r="CJ115" s="100" t="str">
        <f aca="false">IF(ISBLANK($C115),"",IF($BL115&lt;&gt;Constants!$B$4,$BL115,RANK($CI115,$CI$9:$CI$508,1)))</f>
        <v/>
      </c>
      <c r="CK115" s="100" t="str">
        <f aca="false">IF(ISBLANK($C115),"",IF($BL115&lt;&gt;Constants!$B$4,$BL115,COUNTIFS($BM$9:$BM$508,"&lt;"&amp;$BM115)+COUNTIFS($BM$9:$BM$508,$BM115,$CF$9:$CF$508,"&lt;"&amp;$CF115)+COUNTIFS($BM$9:$BM$508,$BM115,$CF$9:$CF$508,$CF115,$CH$9:$CH$508,"&lt;"&amp;$CH115)+COUNTIFS($BM$9:$BM$508,$BM115,$CF$9:$CF$508,$CF115,$CH$9:$CH$508,$CH115,$CJ$9:$CJ$508,"&lt;"&amp;$CJ115)+1))</f>
        <v/>
      </c>
      <c r="CL115" s="100" t="str">
        <f aca="false">IF(ISBLANK($C115),"",IF($BL115&lt;&gt;Constants!$B$4,$BL115,$CG115-$CK115))</f>
        <v/>
      </c>
      <c r="CM115" s="100" t="str">
        <f aca="false">IF(ISBLANK($C115),"",IF(NOT($AL115),"",IF(ISBLANK($D$7),$CM$5,IF(NOT(ISNUMBER($D$7)),$CM$6,""))))</f>
        <v/>
      </c>
      <c r="CN115" s="100" t="str">
        <f aca="false">IF(ISBLANK($C115),"",OR($AN115="",$AO115="",$AP115=""))</f>
        <v/>
      </c>
      <c r="CO115" s="100" t="str">
        <f aca="false">IF(ISBLANK($C115),"",AND($AL115,$BA115=""))</f>
        <v/>
      </c>
      <c r="CP115" s="100" t="str">
        <f aca="false">IF(ISBLANK($C115),"",AND($AL115,$BB115=""))</f>
        <v/>
      </c>
      <c r="CQ115" s="100" t="str">
        <f aca="false">IF(ISBLANK($C115),"",AND($AL115,$BC115=""))</f>
        <v/>
      </c>
      <c r="CR115" s="100" t="str">
        <f aca="false">IF(ISBLANK($C115),"",AND($AL115,$BF115=""))</f>
        <v/>
      </c>
      <c r="CS115" s="100" t="str">
        <f aca="false">IF(ISBLANK($C115),"",AND($AL115,$BJ115=""))</f>
        <v/>
      </c>
      <c r="CT115" s="101"/>
      <c r="CU115" s="102"/>
      <c r="CV115" s="103" t="str">
        <f aca="false">IF(ISBLANK($C115),"",IF($BL115=Constants!$B$8,$CM115,""))</f>
        <v/>
      </c>
      <c r="CW115" s="102" t="str">
        <f aca="false">IF(ISBLANK($C115),"",IF($BL115&lt;&gt;Constants!$B$4,"",$BO115+$BP115))</f>
        <v/>
      </c>
      <c r="CX115" s="104" t="str">
        <f aca="false">IF(ISBLANK($C115),"",IF($BL115&lt;&gt;Constants!$B$4,"",$BQ115+$BR115+$BS115))</f>
        <v/>
      </c>
      <c r="CY115" s="104" t="str">
        <f aca="false">IF(ISBLANK($C115),"",IF($BL115&lt;&gt;Constants!$B$4,"",$BT115))</f>
        <v/>
      </c>
      <c r="CZ115" s="104" t="str">
        <f aca="false">IF(ISBLANK($C115),"",IF($BL115&lt;&gt;Constants!$B$4,"",$BU115+$BV115))</f>
        <v/>
      </c>
      <c r="DA115" s="104" t="str">
        <f aca="false">IF(ISBLANK($C115),"",IF($BL115&lt;&gt;Constants!$B$4,"",$BW115))</f>
        <v/>
      </c>
      <c r="DB115" s="104" t="str">
        <f aca="false">IF(ISBLANK($C115),"",IF($BL115&lt;&gt;Constants!$B$4,"",-$CD115))</f>
        <v/>
      </c>
      <c r="DC115" s="103" t="str">
        <f aca="false">IF(ISBLANK($C115),"",$CE115)</f>
        <v/>
      </c>
      <c r="DD115" s="105" t="str">
        <f aca="false">IF(ISBLANK($C115),"",$BM115)</f>
        <v/>
      </c>
      <c r="DE115" s="104" t="str">
        <f aca="false">IF(ISBLANK($C115),"",$CL115)</f>
        <v/>
      </c>
      <c r="DF115" s="104" t="str">
        <f aca="false">IF(ISBLANK($C115),"",$CK115)</f>
        <v/>
      </c>
      <c r="DG115" s="106" t="str">
        <f aca="false">IF(ISBLANK($C115),"",IF($DF115=Constants!$B$7,COUNTA($C$9:$C$508)+2,IF($DF115=Constants!$B$6,COUNTA($C$9:$C$508)+1,IF($DF115=Constants!$B$5,COUNTA($C$9:$C$508),$DF115))))</f>
        <v/>
      </c>
      <c r="DH115" s="7"/>
      <c r="DI115" s="107" t="n">
        <f aca="false">IF(OR(ISNUMBER($DF115),$DF115=Constants!$B$7,$DF115=Constants!$B$5,$DF115=Constants!$B$6),1,0)</f>
        <v>0</v>
      </c>
      <c r="DJ115" s="107" t="n">
        <v>107</v>
      </c>
      <c r="DK115" s="107" t="str">
        <f aca="false">IF(ISBLANK($C115),"",IF(ISNUMBER($DG115),$DG115+ROW($B115)/1000,""))</f>
        <v/>
      </c>
      <c r="DL115" s="107" t="str">
        <f aca="false">IF(ISNUMBER($DK115),RANK($DK115,$DK$9:$DK$508,1),"")</f>
        <v/>
      </c>
      <c r="DM115" s="107" t="str">
        <f aca="false">IF(ISBLANK($C115),"",$B115)</f>
        <v/>
      </c>
      <c r="DN115" s="107" t="str">
        <f aca="false">IF(ISBLANK($C115),"",$C115)</f>
        <v/>
      </c>
      <c r="DO115" s="107" t="str">
        <f aca="false">IF(ISBLANK($C115),"",$D115)</f>
        <v/>
      </c>
      <c r="DP115" s="108" t="str">
        <f aca="false">$DD115</f>
        <v/>
      </c>
      <c r="DQ115" s="109" t="str">
        <f aca="false">$DC115</f>
        <v/>
      </c>
      <c r="DR115" s="107" t="str">
        <f aca="false">IF(ISBLANK($C115),"",$DF115)</f>
        <v/>
      </c>
      <c r="DS115" s="110" t="str">
        <f aca="false">IF($DJ115&gt;$DI$8,"",VLOOKUP($DJ115,$DL$9:$DR$508,7,FALSE()))</f>
        <v/>
      </c>
      <c r="DT115" s="111" t="str">
        <f aca="false">IF($DJ115&gt;$DI$8,"",VLOOKUP($DJ115,$DL$9:$DR$508,2,FALSE()))</f>
        <v/>
      </c>
      <c r="DU115" s="111" t="str">
        <f aca="false">IF($DJ115&gt;$DI$8,"",VLOOKUP($DJ115,$DL$9:$DR$508,3,FALSE()))</f>
        <v/>
      </c>
      <c r="DV115" s="111" t="str">
        <f aca="false">IF($DJ115&gt;$DI$8,"",VLOOKUP($DJ115,$DL$9:$DR$508,4,FALSE()))</f>
        <v/>
      </c>
      <c r="DW115" s="111" t="str">
        <f aca="false">IF($DJ115&gt;$DI$8,"",VLOOKUP($DJ115,$DL$9:$DR$508,5,FALSE()))</f>
        <v/>
      </c>
      <c r="DX115" s="112" t="str">
        <f aca="false">IF($DJ115&gt;$DI$8,"",VLOOKUP($DJ115,$DL$9:$DR$508,6,FALSE()))</f>
        <v/>
      </c>
      <c r="DY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130"/>
      <c r="N116" s="130"/>
      <c r="O116" s="135"/>
      <c r="P116" s="135"/>
      <c r="Q116" s="130"/>
      <c r="R116" s="130"/>
      <c r="S116" s="130"/>
      <c r="T116" s="130"/>
      <c r="U116" s="135"/>
      <c r="V116" s="130"/>
      <c r="W116" s="96"/>
      <c r="X116" s="130"/>
      <c r="Y116" s="130"/>
      <c r="Z116" s="96"/>
      <c r="AA116" s="96"/>
      <c r="AB116" s="130"/>
      <c r="AC116" s="130"/>
      <c r="AD116" s="130"/>
      <c r="AE116" s="97"/>
      <c r="AF116" s="130"/>
      <c r="AG116" s="99"/>
      <c r="AH116" s="100"/>
      <c r="AI116" s="100"/>
      <c r="AJ116" s="100" t="str">
        <f aca="false">IF(ISBLANK($C116),"",IF($E116=Constants!$B$2,TRUE(),IF($E116=Constants!$B$3,FALSE(),TRUE())))</f>
        <v/>
      </c>
      <c r="AK116" s="100" t="str">
        <f aca="false">IF(ISBLANK($C116),"",IF($F116=Constants!$B$2,TRUE(),IF($F116=Constants!$B$3,FALSE(),FALSE())))</f>
        <v/>
      </c>
      <c r="AL116" s="100" t="str">
        <f aca="false">IF(ISBLANK($C116),"",IF($G116=Constants!$B$2,TRUE(),IF($G116=Constants!$B$3,FALSE(),TRUE())))</f>
        <v/>
      </c>
      <c r="AM116" s="100" t="str">
        <f aca="false">IF(ISBLANK($C116),"",IF($H116=Constants!$B$2,TRUE(),IF($H116=Constants!$B$3,FALSE(),TRUE())))</f>
        <v/>
      </c>
      <c r="AN116" s="100" t="str">
        <f aca="false">IF(ISBLANK($C116),"",IF(ISNUMBER($I116),IF($I116&gt;=0,$I116,""),""))</f>
        <v/>
      </c>
      <c r="AO116" s="100" t="str">
        <f aca="false">IF(ISBLANK($C116),"",IF(ISNUMBER($J116),IF($J116&gt;=0,$J116,""),""))</f>
        <v/>
      </c>
      <c r="AP116" s="100" t="str">
        <f aca="false">IF(ISBLANK($C116),"",IF(ISNUMBER($K116),IF($K116&gt;=0,$K116,""),""))</f>
        <v/>
      </c>
      <c r="AQ116" s="100" t="str">
        <f aca="false">IF(ISBLANK($C116),"",IF($L116=Constants!$B$2,TRUE(),IF($L116=Constants!$B$3,FALSE(),TRUE())))</f>
        <v/>
      </c>
      <c r="AR116" s="100" t="str">
        <f aca="false">IF(ISBLANK($C116),"",IF($M116=Constants!$B$2,TRUE(),IF($M116=Constants!$B$3,FALSE(),TRUE())))</f>
        <v/>
      </c>
      <c r="AS116" s="100" t="str">
        <f aca="false">IF(ISBLANK($C116),"",IF($N116=Constants!$B$2,TRUE(),IF($N116=Constants!$B$3,FALSE(),FALSE())))</f>
        <v/>
      </c>
      <c r="AT116" s="100" t="str">
        <f aca="false">IF(ISBLANK($C116),"",IF($O116=Constants!$B$2,TRUE(),IF($O116=Constants!$B$3,FALSE(),TRUE())))</f>
        <v/>
      </c>
      <c r="AU116" s="100" t="str">
        <f aca="false">IF(ISBLANK($C116),"",IF($P116=Constants!$B$2,TRUE(),IF($P116=Constants!$B$3,FALSE(),TRUE())))</f>
        <v/>
      </c>
      <c r="AV116" s="100" t="str">
        <f aca="false">IF(ISBLANK($C116),"",IF($Q116=Constants!$B$2,TRUE(),IF($Q116=Constants!$B$3,FALSE(),FALSE())))</f>
        <v/>
      </c>
      <c r="AW116" s="100" t="str">
        <f aca="false">IF(ISBLANK($C116),"",IF($R116=Constants!$B$2,TRUE(),IF($R116=Constants!$B$3,FALSE(),FALSE())))</f>
        <v/>
      </c>
      <c r="AX116" s="100" t="str">
        <f aca="false">IF(ISBLANK($C116),"",IF($S116=Constants!$B$2,TRUE(),IF($S116=Constants!$B$3,FALSE(),FALSE())))</f>
        <v/>
      </c>
      <c r="AY116" s="100" t="str">
        <f aca="false">IF(ISBLANK($C116),"",IF($T116=Constants!$B$2,TRUE(),IF($T116=Constants!$B$3,FALSE(),FALSE())))</f>
        <v/>
      </c>
      <c r="AZ116" s="100" t="str">
        <f aca="false">IF(ISBLANK($C116),"",IF($U116=Constants!$B$2,TRUE(),IF($U116=Constants!$B$3,FALSE(),FALSE())))</f>
        <v/>
      </c>
      <c r="BA116" s="100" t="str">
        <f aca="false">IF(ISBLANK($C116),"",IF(OR($V116&amp;""="1",$V116&amp;""="2",$V116&amp;""="3",$V116&amp;""="4"),VALUE($V116&amp;""),IF($V116=Constants!$B$12,Constants!$B$12,"")))</f>
        <v/>
      </c>
      <c r="BB116" s="100" t="str">
        <f aca="false">IF(ISBLANK($C116),"",IF(ISBLANK($W116),0,IF(ISNUMBER($W116),IF(AND($W116&gt;=0,$W116&lt;=Constants!$B$21,$W116=INT($W116)),$W116,""),"")))</f>
        <v/>
      </c>
      <c r="BC116" s="100" t="str">
        <f aca="false">IF(ISBLANK($C116),"",IF(ISBLANK($X116),0,IF(ISNUMBER($X116),IF($X116&gt;=0,$X116,""),"")))</f>
        <v/>
      </c>
      <c r="BD116" s="100" t="str">
        <f aca="false">IF(ISBLANK($C116),"",IF($Y116=Constants!$B$2,TRUE(),IF($Y116=Constants!$B$3,FALSE(),TRUE())))</f>
        <v/>
      </c>
      <c r="BE116" s="100" t="str">
        <f aca="false">IF(ISBLANK($C116),"",IF($Z116=Constants!$B$2,TRUE(),IF($Z116=Constants!$B$3,FALSE(),FALSE())))</f>
        <v/>
      </c>
      <c r="BF116" s="100" t="str">
        <f aca="false">IF(ISBLANK($C116),"",IF(ISBLANK($AA116),0,IF(ISNUMBER($AA116),IF(AND($AA116&gt;=0,$AA116&lt;=Constants!$B$35,$AA116=INT($AA116)),$AA116,""),"")))</f>
        <v/>
      </c>
      <c r="BG116" s="100" t="str">
        <f aca="false">IF(ISBLANK($C116),"",IF($AB116=Constants!$B$2,TRUE(),IF($AB116=Constants!$B$3,FALSE(),TRUE())))</f>
        <v/>
      </c>
      <c r="BH116" s="100" t="str">
        <f aca="false">IF(ISBLANK($C116),"",IF($AC116=Constants!$B$2,TRUE(),IF($AC116=Constants!$B$3,FALSE(),TRUE())))</f>
        <v/>
      </c>
      <c r="BI116" s="100" t="str">
        <f aca="false">IF(ISBLANK($C116),"",IF($AD116=Constants!$B$2,TRUE(),IF($AD116=Constants!$B$3,FALSE(),TRUE())))</f>
        <v/>
      </c>
      <c r="BJ116" s="100" t="str">
        <f aca="false">IF(ISBLANK($C116),"",IF(ISNUMBER($AE116),IF($AE116&gt;=0,$AE116,""),""))</f>
        <v/>
      </c>
      <c r="BK116" s="100" t="str">
        <f aca="false">IF(ISBLANK($C116),"",IF($AF116=Constants!$B$2,TRUE(),IF($AF116=Constants!$B$3,FALSE(),FALSE())))</f>
        <v/>
      </c>
      <c r="BL116" s="99" t="str">
        <f aca="false">IF(ISBLANK($C116),"",IF($BK116,Constants!$B$7,IF(COUNTA($E116:$AE116)=0,Constants!$B$6,IF(OR(COUNTA($G116:$AE116)=0,NOT($AM116),$AS116),Constants!$B$5,IF(OR($CM116&lt;&gt;"",$CN116,$CO116,$CP116,$CQ116,$CR116,$CS116),Constants!$B$8,Constants!$B$4)))))</f>
        <v/>
      </c>
      <c r="BM116" s="100" t="str">
        <f aca="false">IF(ISBLANK($C116),"",IF($BL116&lt;&gt;Constants!$B$4,$BL116,IF(OR(NOT($AJ116),NOT($AL116),NOT($AT116)),Constants!$B$11,IF(OR(NOT($AR116),NOT($AU116),NOT($BI116),MAX($AN116,$AO116,$AP116)&gt;Constants!$B$30),Constants!$B$10,Constants!$B$9))))</f>
        <v/>
      </c>
      <c r="BN116" s="100" t="str">
        <f aca="false">IF($BL116&lt;&gt;Constants!$B$4,"",IF(NOT($AL116),0,MIN(Constants!$B$35,$BF116)))</f>
        <v/>
      </c>
      <c r="BO116" s="100" t="str">
        <f aca="false">IF($BL116&lt;&gt;Constants!$B$4,"",IF(NOT($AL116),0,IF($AW116,Constants!$B$18,IF($AV116,Constants!$B$17,0))))</f>
        <v/>
      </c>
      <c r="BP116" s="100" t="str">
        <f aca="false">IF($BL116&lt;&gt;Constants!$B$4,"",IF(NOT($AL116),0,Constants!$B$19*($AK116+$AX116+$AY116+$AZ116)))</f>
        <v/>
      </c>
      <c r="BQ116" s="100" t="str">
        <f aca="false">IF($BL116&lt;&gt;Constants!$B$4,"",IF(OR(NOT($AL116),NOT(ISNUMBER($BA116))),0,CHOOSE($BA116,Constants!$B$13,Constants!$B$14,Constants!$B$15,Constants!$B$16)))</f>
        <v/>
      </c>
      <c r="BR116" s="100" t="str">
        <f aca="false">IF($BL116&lt;&gt;Constants!$B$4,"",IF(NOT($AL116),0,Constants!$B$20*$BB116))</f>
        <v/>
      </c>
      <c r="BS116" s="100" t="str">
        <f aca="false">IF($BL116&lt;&gt;Constants!$B$4,"",IF(AND($AL116,$BD116,$BE116),Constants!$B$22,0))</f>
        <v/>
      </c>
      <c r="BT116" s="100" t="str">
        <f aca="false">IF($BL116&lt;&gt;Constants!$B$4,"",IF(OR(NOT($AL116),NOT($BD116)),0,IF($BJ116&gt;=2*$AH$9,0,Constants!$B$23*INT(ROUND(MIN($BJ116,$AH$9),6)))))</f>
        <v/>
      </c>
      <c r="BU116" s="100" t="str">
        <f aca="false">IF($BL116&lt;&gt;Constants!$B$4,"",IF(NOT($AL116),0,Constants!$B$24*INT(ROUND(MIN($BC116,$AH$9),6))))</f>
        <v/>
      </c>
      <c r="BV116" s="100" t="str">
        <f aca="false">IF($BL116&lt;&gt;Constants!$B$4,"",IF(AND($AL116,$BN116=0),Constants!$B$25,0))</f>
        <v/>
      </c>
      <c r="BW116" s="100" t="str">
        <f aca="false">IF($BL116&lt;&gt;Constants!$B$4,"",MIN(Constants!$B$29,MAX(0,Constants!$B$27*Constants!$B$28*INT(ROUND((Constants!$B$26-$AN116)/Constants!$B$28,6))))+MIN(Constants!$B$29,MAX(0,Constants!$B$27*Constants!$B$28*INT(ROUND((Constants!$B$26-$AO116)/Constants!$B$28,6))))+MIN(Constants!$B$29,MAX(0,Constants!$B$27*Constants!$B$28*INT(ROUND((Constants!$B$26-$AP116)/Constants!$B$28,6)))))</f>
        <v/>
      </c>
      <c r="BX116" s="100" t="str">
        <f aca="false">IF($BL116&lt;&gt;Constants!$B$4,"",IF(NOT($AL116),0,Constants!$B$31*INT(ROUND(MAX(0,MIN($BJ116,2*$AH$9)-$AH$9),6))))</f>
        <v/>
      </c>
      <c r="BY116" s="100" t="str">
        <f aca="false">IF($BL116&lt;&gt;Constants!$B$4,"",Constants!$B$32*(($AN116&gt;Constants!$B$26)+($AO116&gt;Constants!$B$26)+($AP116&gt;Constants!$B$26)))</f>
        <v/>
      </c>
      <c r="BZ116" s="100" t="str">
        <f aca="false">IF($BL116&lt;&gt;Constants!$B$4,"",IF(OR(NOT($AL116),$AQ116),0,Constants!$B$33))</f>
        <v/>
      </c>
      <c r="CA116" s="100" t="str">
        <f aca="false">IF($BL116&lt;&gt;Constants!$B$4,"",Constants!$B$34*$BN116)</f>
        <v/>
      </c>
      <c r="CB116" s="100" t="str">
        <f aca="false">IF($BL116&lt;&gt;Constants!$B$4,"",IF(OR(NOT($AL116),$BH116),0,Constants!$B$36))</f>
        <v/>
      </c>
      <c r="CC116" s="100" t="str">
        <f aca="false">IF($BL116&lt;&gt;Constants!$B$4,"",IF(OR(NOT($AL116),$BG116),0,Constants!$B$37))</f>
        <v/>
      </c>
      <c r="CD116" s="100" t="str">
        <f aca="false">IF($BL116&lt;&gt;Constants!$B$4,"",SUM($BX116:$CC116))</f>
        <v/>
      </c>
      <c r="CE116" s="100" t="str">
        <f aca="false">IF(ISBLANK($C116),"",IF($BL116&lt;&gt;Constants!$B$4,$BL116,SUM($BO116:$BW116)-$CD116))</f>
        <v/>
      </c>
      <c r="CF116" s="100" t="str">
        <f aca="false">IF(ISBLANK($C116),"",IF($BL116&lt;&gt;Constants!$B$4,$BL116,RANK($CE116,$CE$9:$CE$508)))</f>
        <v/>
      </c>
      <c r="CG116" s="100" t="str">
        <f aca="false">IF(ISBLANK($C116),"",IF($BL116&lt;&gt;Constants!$B$4,$BL116,COUNTIFS($BM$9:$BM$508,"&lt;"&amp;$BM116)+COUNTIFS($BM$9:$BM$508,$BM116,$CF$9:$CF$508,"&lt;"&amp;$CF116)+1))</f>
        <v/>
      </c>
      <c r="CH116" s="100" t="str">
        <f aca="false">IF(ISBLANK($C116),"",IF($BL116&lt;&gt;Constants!$B$4,$BL116,RANK($CD116,$CD$9:$CD$508,1)))</f>
        <v/>
      </c>
      <c r="CI116" s="100" t="str">
        <f aca="false">IF($BL116&lt;&gt;Constants!$B$4,"",$AN116+$AO116+$AP116)</f>
        <v/>
      </c>
      <c r="CJ116" s="100" t="str">
        <f aca="false">IF(ISBLANK($C116),"",IF($BL116&lt;&gt;Constants!$B$4,$BL116,RANK($CI116,$CI$9:$CI$508,1)))</f>
        <v/>
      </c>
      <c r="CK116" s="100" t="str">
        <f aca="false">IF(ISBLANK($C116),"",IF($BL116&lt;&gt;Constants!$B$4,$BL116,COUNTIFS($BM$9:$BM$508,"&lt;"&amp;$BM116)+COUNTIFS($BM$9:$BM$508,$BM116,$CF$9:$CF$508,"&lt;"&amp;$CF116)+COUNTIFS($BM$9:$BM$508,$BM116,$CF$9:$CF$508,$CF116,$CH$9:$CH$508,"&lt;"&amp;$CH116)+COUNTIFS($BM$9:$BM$508,$BM116,$CF$9:$CF$508,$CF116,$CH$9:$CH$508,$CH116,$CJ$9:$CJ$508,"&lt;"&amp;$CJ116)+1))</f>
        <v/>
      </c>
      <c r="CL116" s="100" t="str">
        <f aca="false">IF(ISBLANK($C116),"",IF($BL116&lt;&gt;Constants!$B$4,$BL116,$CG116-$CK116))</f>
        <v/>
      </c>
      <c r="CM116" s="100" t="str">
        <f aca="false">IF(ISBLANK($C116),"",IF(NOT($AL116),"",IF(ISBLANK($D$7),$CM$5,IF(NOT(ISNUMBER($D$7)),$CM$6,""))))</f>
        <v/>
      </c>
      <c r="CN116" s="100" t="str">
        <f aca="false">IF(ISBLANK($C116),"",OR($AN116="",$AO116="",$AP116=""))</f>
        <v/>
      </c>
      <c r="CO116" s="100" t="str">
        <f aca="false">IF(ISBLANK($C116),"",AND($AL116,$BA116=""))</f>
        <v/>
      </c>
      <c r="CP116" s="100" t="str">
        <f aca="false">IF(ISBLANK($C116),"",AND($AL116,$BB116=""))</f>
        <v/>
      </c>
      <c r="CQ116" s="100" t="str">
        <f aca="false">IF(ISBLANK($C116),"",AND($AL116,$BC116=""))</f>
        <v/>
      </c>
      <c r="CR116" s="100" t="str">
        <f aca="false">IF(ISBLANK($C116),"",AND($AL116,$BF116=""))</f>
        <v/>
      </c>
      <c r="CS116" s="100" t="str">
        <f aca="false">IF(ISBLANK($C116),"",AND($AL116,$BJ116=""))</f>
        <v/>
      </c>
      <c r="CT116" s="101"/>
      <c r="CU116" s="102"/>
      <c r="CV116" s="103" t="str">
        <f aca="false">IF(ISBLANK($C116),"",IF($BL116=Constants!$B$8,$CM116,""))</f>
        <v/>
      </c>
      <c r="CW116" s="102" t="str">
        <f aca="false">IF(ISBLANK($C116),"",IF($BL116&lt;&gt;Constants!$B$4,"",$BO116+$BP116))</f>
        <v/>
      </c>
      <c r="CX116" s="104" t="str">
        <f aca="false">IF(ISBLANK($C116),"",IF($BL116&lt;&gt;Constants!$B$4,"",$BQ116+$BR116+$BS116))</f>
        <v/>
      </c>
      <c r="CY116" s="104" t="str">
        <f aca="false">IF(ISBLANK($C116),"",IF($BL116&lt;&gt;Constants!$B$4,"",$BT116))</f>
        <v/>
      </c>
      <c r="CZ116" s="104" t="str">
        <f aca="false">IF(ISBLANK($C116),"",IF($BL116&lt;&gt;Constants!$B$4,"",$BU116+$BV116))</f>
        <v/>
      </c>
      <c r="DA116" s="104" t="str">
        <f aca="false">IF(ISBLANK($C116),"",IF($BL116&lt;&gt;Constants!$B$4,"",$BW116))</f>
        <v/>
      </c>
      <c r="DB116" s="104" t="str">
        <f aca="false">IF(ISBLANK($C116),"",IF($BL116&lt;&gt;Constants!$B$4,"",-$CD116))</f>
        <v/>
      </c>
      <c r="DC116" s="103" t="str">
        <f aca="false">IF(ISBLANK($C116),"",$CE116)</f>
        <v/>
      </c>
      <c r="DD116" s="105" t="str">
        <f aca="false">IF(ISBLANK($C116),"",$BM116)</f>
        <v/>
      </c>
      <c r="DE116" s="104" t="str">
        <f aca="false">IF(ISBLANK($C116),"",$CL116)</f>
        <v/>
      </c>
      <c r="DF116" s="104" t="str">
        <f aca="false">IF(ISBLANK($C116),"",$CK116)</f>
        <v/>
      </c>
      <c r="DG116" s="106" t="str">
        <f aca="false">IF(ISBLANK($C116),"",IF($DF116=Constants!$B$7,COUNTA($C$9:$C$508)+2,IF($DF116=Constants!$B$6,COUNTA($C$9:$C$508)+1,IF($DF116=Constants!$B$5,COUNTA($C$9:$C$508),$DF116))))</f>
        <v/>
      </c>
      <c r="DH116" s="7"/>
      <c r="DI116" s="107" t="n">
        <f aca="false">IF(OR(ISNUMBER($DF116),$DF116=Constants!$B$7,$DF116=Constants!$B$5,$DF116=Constants!$B$6),1,0)</f>
        <v>0</v>
      </c>
      <c r="DJ116" s="107" t="n">
        <v>108</v>
      </c>
      <c r="DK116" s="107" t="str">
        <f aca="false">IF(ISBLANK($C116),"",IF(ISNUMBER($DG116),$DG116+ROW($B116)/1000,""))</f>
        <v/>
      </c>
      <c r="DL116" s="107" t="str">
        <f aca="false">IF(ISNUMBER($DK116),RANK($DK116,$DK$9:$DK$508,1),"")</f>
        <v/>
      </c>
      <c r="DM116" s="107" t="str">
        <f aca="false">IF(ISBLANK($C116),"",$B116)</f>
        <v/>
      </c>
      <c r="DN116" s="107" t="str">
        <f aca="false">IF(ISBLANK($C116),"",$C116)</f>
        <v/>
      </c>
      <c r="DO116" s="107" t="str">
        <f aca="false">IF(ISBLANK($C116),"",$D116)</f>
        <v/>
      </c>
      <c r="DP116" s="108" t="str">
        <f aca="false">$DD116</f>
        <v/>
      </c>
      <c r="DQ116" s="109" t="str">
        <f aca="false">$DC116</f>
        <v/>
      </c>
      <c r="DR116" s="107" t="str">
        <f aca="false">IF(ISBLANK($C116),"",$DF116)</f>
        <v/>
      </c>
      <c r="DS116" s="110" t="str">
        <f aca="false">IF($DJ116&gt;$DI$8,"",VLOOKUP($DJ116,$DL$9:$DR$508,7,FALSE()))</f>
        <v/>
      </c>
      <c r="DT116" s="111" t="str">
        <f aca="false">IF($DJ116&gt;$DI$8,"",VLOOKUP($DJ116,$DL$9:$DR$508,2,FALSE()))</f>
        <v/>
      </c>
      <c r="DU116" s="111" t="str">
        <f aca="false">IF($DJ116&gt;$DI$8,"",VLOOKUP($DJ116,$DL$9:$DR$508,3,FALSE()))</f>
        <v/>
      </c>
      <c r="DV116" s="111" t="str">
        <f aca="false">IF($DJ116&gt;$DI$8,"",VLOOKUP($DJ116,$DL$9:$DR$508,4,FALSE()))</f>
        <v/>
      </c>
      <c r="DW116" s="111" t="str">
        <f aca="false">IF($DJ116&gt;$DI$8,"",VLOOKUP($DJ116,$DL$9:$DR$508,5,FALSE()))</f>
        <v/>
      </c>
      <c r="DX116" s="112" t="str">
        <f aca="false">IF($DJ116&gt;$DI$8,"",VLOOKUP($DJ116,$DL$9:$DR$508,6,FALSE()))</f>
        <v/>
      </c>
      <c r="DY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88"/>
      <c r="N117" s="88"/>
      <c r="O117" s="134"/>
      <c r="P117" s="134"/>
      <c r="Q117" s="88"/>
      <c r="R117" s="88"/>
      <c r="S117" s="88"/>
      <c r="T117" s="88"/>
      <c r="U117" s="134"/>
      <c r="V117" s="88"/>
      <c r="W117" s="70"/>
      <c r="X117" s="88"/>
      <c r="Y117" s="88"/>
      <c r="Z117" s="70"/>
      <c r="AA117" s="70"/>
      <c r="AB117" s="88"/>
      <c r="AC117" s="88"/>
      <c r="AD117" s="88"/>
      <c r="AE117" s="71"/>
      <c r="AF117" s="88"/>
      <c r="AG117" s="73"/>
      <c r="AH117" s="74"/>
      <c r="AI117" s="74"/>
      <c r="AJ117" s="74" t="str">
        <f aca="false">IF(ISBLANK($C117),"",IF($E117=Constants!$B$2,TRUE(),IF($E117=Constants!$B$3,FALSE(),TRUE())))</f>
        <v/>
      </c>
      <c r="AK117" s="74" t="str">
        <f aca="false">IF(ISBLANK($C117),"",IF($F117=Constants!$B$2,TRUE(),IF($F117=Constants!$B$3,FALSE(),FALSE())))</f>
        <v/>
      </c>
      <c r="AL117" s="74" t="str">
        <f aca="false">IF(ISBLANK($C117),"",IF($G117=Constants!$B$2,TRUE(),IF($G117=Constants!$B$3,FALSE(),TRUE())))</f>
        <v/>
      </c>
      <c r="AM117" s="74" t="str">
        <f aca="false">IF(ISBLANK($C117),"",IF($H117=Constants!$B$2,TRUE(),IF($H117=Constants!$B$3,FALSE(),TRUE())))</f>
        <v/>
      </c>
      <c r="AN117" s="74" t="str">
        <f aca="false">IF(ISBLANK($C117),"",IF(ISNUMBER($I117),IF($I117&gt;=0,$I117,""),""))</f>
        <v/>
      </c>
      <c r="AO117" s="74" t="str">
        <f aca="false">IF(ISBLANK($C117),"",IF(ISNUMBER($J117),IF($J117&gt;=0,$J117,""),""))</f>
        <v/>
      </c>
      <c r="AP117" s="74" t="str">
        <f aca="false">IF(ISBLANK($C117),"",IF(ISNUMBER($K117),IF($K117&gt;=0,$K117,""),""))</f>
        <v/>
      </c>
      <c r="AQ117" s="74" t="str">
        <f aca="false">IF(ISBLANK($C117),"",IF($L117=Constants!$B$2,TRUE(),IF($L117=Constants!$B$3,FALSE(),TRUE())))</f>
        <v/>
      </c>
      <c r="AR117" s="74" t="str">
        <f aca="false">IF(ISBLANK($C117),"",IF($M117=Constants!$B$2,TRUE(),IF($M117=Constants!$B$3,FALSE(),TRUE())))</f>
        <v/>
      </c>
      <c r="AS117" s="74" t="str">
        <f aca="false">IF(ISBLANK($C117),"",IF($N117=Constants!$B$2,TRUE(),IF($N117=Constants!$B$3,FALSE(),FALSE())))</f>
        <v/>
      </c>
      <c r="AT117" s="74" t="str">
        <f aca="false">IF(ISBLANK($C117),"",IF($O117=Constants!$B$2,TRUE(),IF($O117=Constants!$B$3,FALSE(),TRUE())))</f>
        <v/>
      </c>
      <c r="AU117" s="74" t="str">
        <f aca="false">IF(ISBLANK($C117),"",IF($P117=Constants!$B$2,TRUE(),IF($P117=Constants!$B$3,FALSE(),TRUE())))</f>
        <v/>
      </c>
      <c r="AV117" s="74" t="str">
        <f aca="false">IF(ISBLANK($C117),"",IF($Q117=Constants!$B$2,TRUE(),IF($Q117=Constants!$B$3,FALSE(),FALSE())))</f>
        <v/>
      </c>
      <c r="AW117" s="74" t="str">
        <f aca="false">IF(ISBLANK($C117),"",IF($R117=Constants!$B$2,TRUE(),IF($R117=Constants!$B$3,FALSE(),FALSE())))</f>
        <v/>
      </c>
      <c r="AX117" s="74" t="str">
        <f aca="false">IF(ISBLANK($C117),"",IF($S117=Constants!$B$2,TRUE(),IF($S117=Constants!$B$3,FALSE(),FALSE())))</f>
        <v/>
      </c>
      <c r="AY117" s="74" t="str">
        <f aca="false">IF(ISBLANK($C117),"",IF($T117=Constants!$B$2,TRUE(),IF($T117=Constants!$B$3,FALSE(),FALSE())))</f>
        <v/>
      </c>
      <c r="AZ117" s="74" t="str">
        <f aca="false">IF(ISBLANK($C117),"",IF($U117=Constants!$B$2,TRUE(),IF($U117=Constants!$B$3,FALSE(),FALSE())))</f>
        <v/>
      </c>
      <c r="BA117" s="74" t="str">
        <f aca="false">IF(ISBLANK($C117),"",IF(OR($V117&amp;""="1",$V117&amp;""="2",$V117&amp;""="3",$V117&amp;""="4"),VALUE($V117&amp;""),IF($V117=Constants!$B$12,Constants!$B$12,"")))</f>
        <v/>
      </c>
      <c r="BB117" s="74" t="str">
        <f aca="false">IF(ISBLANK($C117),"",IF(ISBLANK($W117),0,IF(ISNUMBER($W117),IF(AND($W117&gt;=0,$W117&lt;=Constants!$B$21,$W117=INT($W117)),$W117,""),"")))</f>
        <v/>
      </c>
      <c r="BC117" s="74" t="str">
        <f aca="false">IF(ISBLANK($C117),"",IF(ISBLANK($X117),0,IF(ISNUMBER($X117),IF($X117&gt;=0,$X117,""),"")))</f>
        <v/>
      </c>
      <c r="BD117" s="74" t="str">
        <f aca="false">IF(ISBLANK($C117),"",IF($Y117=Constants!$B$2,TRUE(),IF($Y117=Constants!$B$3,FALSE(),TRUE())))</f>
        <v/>
      </c>
      <c r="BE117" s="74" t="str">
        <f aca="false">IF(ISBLANK($C117),"",IF($Z117=Constants!$B$2,TRUE(),IF($Z117=Constants!$B$3,FALSE(),FALSE())))</f>
        <v/>
      </c>
      <c r="BF117" s="74" t="str">
        <f aca="false">IF(ISBLANK($C117),"",IF(ISBLANK($AA117),0,IF(ISNUMBER($AA117),IF(AND($AA117&gt;=0,$AA117&lt;=Constants!$B$35,$AA117=INT($AA117)),$AA117,""),"")))</f>
        <v/>
      </c>
      <c r="BG117" s="74" t="str">
        <f aca="false">IF(ISBLANK($C117),"",IF($AB117=Constants!$B$2,TRUE(),IF($AB117=Constants!$B$3,FALSE(),TRUE())))</f>
        <v/>
      </c>
      <c r="BH117" s="74" t="str">
        <f aca="false">IF(ISBLANK($C117),"",IF($AC117=Constants!$B$2,TRUE(),IF($AC117=Constants!$B$3,FALSE(),TRUE())))</f>
        <v/>
      </c>
      <c r="BI117" s="74" t="str">
        <f aca="false">IF(ISBLANK($C117),"",IF($AD117=Constants!$B$2,TRUE(),IF($AD117=Constants!$B$3,FALSE(),TRUE())))</f>
        <v/>
      </c>
      <c r="BJ117" s="74" t="str">
        <f aca="false">IF(ISBLANK($C117),"",IF(ISNUMBER($AE117),IF($AE117&gt;=0,$AE117,""),""))</f>
        <v/>
      </c>
      <c r="BK117" s="74" t="str">
        <f aca="false">IF(ISBLANK($C117),"",IF($AF117=Constants!$B$2,TRUE(),IF($AF117=Constants!$B$3,FALSE(),FALSE())))</f>
        <v/>
      </c>
      <c r="BL117" s="73" t="str">
        <f aca="false">IF(ISBLANK($C117),"",IF($BK117,Constants!$B$7,IF(COUNTA($E117:$AE117)=0,Constants!$B$6,IF(OR(COUNTA($G117:$AE117)=0,NOT($AM117),$AS117),Constants!$B$5,IF(OR($CM117&lt;&gt;"",$CN117,$CO117,$CP117,$CQ117,$CR117,$CS117),Constants!$B$8,Constants!$B$4)))))</f>
        <v/>
      </c>
      <c r="BM117" s="74" t="str">
        <f aca="false">IF(ISBLANK($C117),"",IF($BL117&lt;&gt;Constants!$B$4,$BL117,IF(OR(NOT($AJ117),NOT($AL117),NOT($AT117)),Constants!$B$11,IF(OR(NOT($AR117),NOT($AU117),NOT($BI117),MAX($AN117,$AO117,$AP117)&gt;Constants!$B$30),Constants!$B$10,Constants!$B$9))))</f>
        <v/>
      </c>
      <c r="BN117" s="74" t="str">
        <f aca="false">IF($BL117&lt;&gt;Constants!$B$4,"",IF(NOT($AL117),0,MIN(Constants!$B$35,$BF117)))</f>
        <v/>
      </c>
      <c r="BO117" s="74" t="str">
        <f aca="false">IF($BL117&lt;&gt;Constants!$B$4,"",IF(NOT($AL117),0,IF($AW117,Constants!$B$18,IF($AV117,Constants!$B$17,0))))</f>
        <v/>
      </c>
      <c r="BP117" s="74" t="str">
        <f aca="false">IF($BL117&lt;&gt;Constants!$B$4,"",IF(NOT($AL117),0,Constants!$B$19*($AK117+$AX117+$AY117+$AZ117)))</f>
        <v/>
      </c>
      <c r="BQ117" s="74" t="str">
        <f aca="false">IF($BL117&lt;&gt;Constants!$B$4,"",IF(OR(NOT($AL117),NOT(ISNUMBER($BA117))),0,CHOOSE($BA117,Constants!$B$13,Constants!$B$14,Constants!$B$15,Constants!$B$16)))</f>
        <v/>
      </c>
      <c r="BR117" s="74" t="str">
        <f aca="false">IF($BL117&lt;&gt;Constants!$B$4,"",IF(NOT($AL117),0,Constants!$B$20*$BB117))</f>
        <v/>
      </c>
      <c r="BS117" s="74" t="str">
        <f aca="false">IF($BL117&lt;&gt;Constants!$B$4,"",IF(AND($AL117,$BD117,$BE117),Constants!$B$22,0))</f>
        <v/>
      </c>
      <c r="BT117" s="74" t="str">
        <f aca="false">IF($BL117&lt;&gt;Constants!$B$4,"",IF(OR(NOT($AL117),NOT($BD117)),0,IF($BJ117&gt;=2*$AH$9,0,Constants!$B$23*INT(ROUND(MIN($BJ117,$AH$9),6)))))</f>
        <v/>
      </c>
      <c r="BU117" s="74" t="str">
        <f aca="false">IF($BL117&lt;&gt;Constants!$B$4,"",IF(NOT($AL117),0,Constants!$B$24*INT(ROUND(MIN($BC117,$AH$9),6))))</f>
        <v/>
      </c>
      <c r="BV117" s="74" t="str">
        <f aca="false">IF($BL117&lt;&gt;Constants!$B$4,"",IF(AND($AL117,$BN117=0),Constants!$B$25,0))</f>
        <v/>
      </c>
      <c r="BW117" s="74" t="str">
        <f aca="false">IF($BL117&lt;&gt;Constants!$B$4,"",MIN(Constants!$B$29,MAX(0,Constants!$B$27*Constants!$B$28*INT(ROUND((Constants!$B$26-$AN117)/Constants!$B$28,6))))+MIN(Constants!$B$29,MAX(0,Constants!$B$27*Constants!$B$28*INT(ROUND((Constants!$B$26-$AO117)/Constants!$B$28,6))))+MIN(Constants!$B$29,MAX(0,Constants!$B$27*Constants!$B$28*INT(ROUND((Constants!$B$26-$AP117)/Constants!$B$28,6)))))</f>
        <v/>
      </c>
      <c r="BX117" s="74" t="str">
        <f aca="false">IF($BL117&lt;&gt;Constants!$B$4,"",IF(NOT($AL117),0,Constants!$B$31*INT(ROUND(MAX(0,MIN($BJ117,2*$AH$9)-$AH$9),6))))</f>
        <v/>
      </c>
      <c r="BY117" s="74" t="str">
        <f aca="false">IF($BL117&lt;&gt;Constants!$B$4,"",Constants!$B$32*(($AN117&gt;Constants!$B$26)+($AO117&gt;Constants!$B$26)+($AP117&gt;Constants!$B$26)))</f>
        <v/>
      </c>
      <c r="BZ117" s="74" t="str">
        <f aca="false">IF($BL117&lt;&gt;Constants!$B$4,"",IF(OR(NOT($AL117),$AQ117),0,Constants!$B$33))</f>
        <v/>
      </c>
      <c r="CA117" s="74" t="str">
        <f aca="false">IF($BL117&lt;&gt;Constants!$B$4,"",Constants!$B$34*$BN117)</f>
        <v/>
      </c>
      <c r="CB117" s="74" t="str">
        <f aca="false">IF($BL117&lt;&gt;Constants!$B$4,"",IF(OR(NOT($AL117),$BH117),0,Constants!$B$36))</f>
        <v/>
      </c>
      <c r="CC117" s="74" t="str">
        <f aca="false">IF($BL117&lt;&gt;Constants!$B$4,"",IF(OR(NOT($AL117),$BG117),0,Constants!$B$37))</f>
        <v/>
      </c>
      <c r="CD117" s="74" t="str">
        <f aca="false">IF($BL117&lt;&gt;Constants!$B$4,"",SUM($BX117:$CC117))</f>
        <v/>
      </c>
      <c r="CE117" s="74" t="str">
        <f aca="false">IF(ISBLANK($C117),"",IF($BL117&lt;&gt;Constants!$B$4,$BL117,SUM($BO117:$BW117)-$CD117))</f>
        <v/>
      </c>
      <c r="CF117" s="74" t="str">
        <f aca="false">IF(ISBLANK($C117),"",IF($BL117&lt;&gt;Constants!$B$4,$BL117,RANK($CE117,$CE$9:$CE$508)))</f>
        <v/>
      </c>
      <c r="CG117" s="74" t="str">
        <f aca="false">IF(ISBLANK($C117),"",IF($BL117&lt;&gt;Constants!$B$4,$BL117,COUNTIFS($BM$9:$BM$508,"&lt;"&amp;$BM117)+COUNTIFS($BM$9:$BM$508,$BM117,$CF$9:$CF$508,"&lt;"&amp;$CF117)+1))</f>
        <v/>
      </c>
      <c r="CH117" s="74" t="str">
        <f aca="false">IF(ISBLANK($C117),"",IF($BL117&lt;&gt;Constants!$B$4,$BL117,RANK($CD117,$CD$9:$CD$508,1)))</f>
        <v/>
      </c>
      <c r="CI117" s="74" t="str">
        <f aca="false">IF($BL117&lt;&gt;Constants!$B$4,"",$AN117+$AO117+$AP117)</f>
        <v/>
      </c>
      <c r="CJ117" s="74" t="str">
        <f aca="false">IF(ISBLANK($C117),"",IF($BL117&lt;&gt;Constants!$B$4,$BL117,RANK($CI117,$CI$9:$CI$508,1)))</f>
        <v/>
      </c>
      <c r="CK117" s="74" t="str">
        <f aca="false">IF(ISBLANK($C117),"",IF($BL117&lt;&gt;Constants!$B$4,$BL117,COUNTIFS($BM$9:$BM$508,"&lt;"&amp;$BM117)+COUNTIFS($BM$9:$BM$508,$BM117,$CF$9:$CF$508,"&lt;"&amp;$CF117)+COUNTIFS($BM$9:$BM$508,$BM117,$CF$9:$CF$508,$CF117,$CH$9:$CH$508,"&lt;"&amp;$CH117)+COUNTIFS($BM$9:$BM$508,$BM117,$CF$9:$CF$508,$CF117,$CH$9:$CH$508,$CH117,$CJ$9:$CJ$508,"&lt;"&amp;$CJ117)+1))</f>
        <v/>
      </c>
      <c r="CL117" s="74" t="str">
        <f aca="false">IF(ISBLANK($C117),"",IF($BL117&lt;&gt;Constants!$B$4,$BL117,$CG117-$CK117))</f>
        <v/>
      </c>
      <c r="CM117" s="74" t="str">
        <f aca="false">IF(ISBLANK($C117),"",IF(NOT($AL117),"",IF(ISBLANK($D$7),$CM$5,IF(NOT(ISNUMBER($D$7)),$CM$6,""))))</f>
        <v/>
      </c>
      <c r="CN117" s="74" t="str">
        <f aca="false">IF(ISBLANK($C117),"",OR($AN117="",$AO117="",$AP117=""))</f>
        <v/>
      </c>
      <c r="CO117" s="74" t="str">
        <f aca="false">IF(ISBLANK($C117),"",AND($AL117,$BA117=""))</f>
        <v/>
      </c>
      <c r="CP117" s="74" t="str">
        <f aca="false">IF(ISBLANK($C117),"",AND($AL117,$BB117=""))</f>
        <v/>
      </c>
      <c r="CQ117" s="74" t="str">
        <f aca="false">IF(ISBLANK($C117),"",AND($AL117,$BC117=""))</f>
        <v/>
      </c>
      <c r="CR117" s="74" t="str">
        <f aca="false">IF(ISBLANK($C117),"",AND($AL117,$BF117=""))</f>
        <v/>
      </c>
      <c r="CS117" s="74" t="str">
        <f aca="false">IF(ISBLANK($C117),"",AND($AL117,$BJ117=""))</f>
        <v/>
      </c>
      <c r="CT117" s="75"/>
      <c r="CU117" s="76"/>
      <c r="CV117" s="79" t="str">
        <f aca="false">IF(ISBLANK($C117),"",IF($BL117=Constants!$B$8,$CM117,""))</f>
        <v/>
      </c>
      <c r="CW117" s="76" t="str">
        <f aca="false">IF(ISBLANK($C117),"",IF($BL117&lt;&gt;Constants!$B$4,"",$BO117+$BP117))</f>
        <v/>
      </c>
      <c r="CX117" s="78" t="str">
        <f aca="false">IF(ISBLANK($C117),"",IF($BL117&lt;&gt;Constants!$B$4,"",$BQ117+$BR117+$BS117))</f>
        <v/>
      </c>
      <c r="CY117" s="78" t="str">
        <f aca="false">IF(ISBLANK($C117),"",IF($BL117&lt;&gt;Constants!$B$4,"",$BT117))</f>
        <v/>
      </c>
      <c r="CZ117" s="78" t="str">
        <f aca="false">IF(ISBLANK($C117),"",IF($BL117&lt;&gt;Constants!$B$4,"",$BU117+$BV117))</f>
        <v/>
      </c>
      <c r="DA117" s="78" t="str">
        <f aca="false">IF(ISBLANK($C117),"",IF($BL117&lt;&gt;Constants!$B$4,"",$BW117))</f>
        <v/>
      </c>
      <c r="DB117" s="78" t="str">
        <f aca="false">IF(ISBLANK($C117),"",IF($BL117&lt;&gt;Constants!$B$4,"",-$CD117))</f>
        <v/>
      </c>
      <c r="DC117" s="79" t="str">
        <f aca="false">IF(ISBLANK($C117),"",$CE117)</f>
        <v/>
      </c>
      <c r="DD117" s="80" t="str">
        <f aca="false">IF(ISBLANK($C117),"",$BM117)</f>
        <v/>
      </c>
      <c r="DE117" s="78" t="str">
        <f aca="false">IF(ISBLANK($C117),"",$CL117)</f>
        <v/>
      </c>
      <c r="DF117" s="78" t="str">
        <f aca="false">IF(ISBLANK($C117),"",$CK117)</f>
        <v/>
      </c>
      <c r="DG117" s="81" t="str">
        <f aca="false">IF(ISBLANK($C117),"",IF($DF117=Constants!$B$7,COUNTA($C$9:$C$508)+2,IF($DF117=Constants!$B$6,COUNTA($C$9:$C$508)+1,IF($DF117=Constants!$B$5,COUNTA($C$9:$C$508),$DF117))))</f>
        <v/>
      </c>
      <c r="DH117" s="7"/>
      <c r="DI117" s="82" t="n">
        <f aca="false">IF(OR(ISNUMBER($DF117),$DF117=Constants!$B$7,$DF117=Constants!$B$5,$DF117=Constants!$B$6),1,0)</f>
        <v>0</v>
      </c>
      <c r="DJ117" s="82" t="n">
        <v>109</v>
      </c>
      <c r="DK117" s="82" t="str">
        <f aca="false">IF(ISBLANK($C117),"",IF(ISNUMBER($DG117),$DG117+ROW($B117)/1000,""))</f>
        <v/>
      </c>
      <c r="DL117" s="82" t="str">
        <f aca="false">IF(ISNUMBER($DK117),RANK($DK117,$DK$9:$DK$508,1),"")</f>
        <v/>
      </c>
      <c r="DM117" s="82" t="str">
        <f aca="false">IF(ISBLANK($C117),"",$B117)</f>
        <v/>
      </c>
      <c r="DN117" s="82" t="str">
        <f aca="false">IF(ISBLANK($C117),"",$C117)</f>
        <v/>
      </c>
      <c r="DO117" s="82" t="str">
        <f aca="false">IF(ISBLANK($C117),"",$D117)</f>
        <v/>
      </c>
      <c r="DP117" s="83" t="str">
        <f aca="false">$DD117</f>
        <v/>
      </c>
      <c r="DQ117" s="84" t="str">
        <f aca="false">$DC117</f>
        <v/>
      </c>
      <c r="DR117" s="82" t="str">
        <f aca="false">IF(ISBLANK($C117),"",$DF117)</f>
        <v/>
      </c>
      <c r="DS117" s="85" t="str">
        <f aca="false">IF($DJ117&gt;$DI$8,"",VLOOKUP($DJ117,$DL$9:$DR$508,7,FALSE()))</f>
        <v/>
      </c>
      <c r="DT117" s="86" t="str">
        <f aca="false">IF($DJ117&gt;$DI$8,"",VLOOKUP($DJ117,$DL$9:$DR$508,2,FALSE()))</f>
        <v/>
      </c>
      <c r="DU117" s="86" t="str">
        <f aca="false">IF($DJ117&gt;$DI$8,"",VLOOKUP($DJ117,$DL$9:$DR$508,3,FALSE()))</f>
        <v/>
      </c>
      <c r="DV117" s="86" t="str">
        <f aca="false">IF($DJ117&gt;$DI$8,"",VLOOKUP($DJ117,$DL$9:$DR$508,4,FALSE()))</f>
        <v/>
      </c>
      <c r="DW117" s="86" t="str">
        <f aca="false">IF($DJ117&gt;$DI$8,"",VLOOKUP($DJ117,$DL$9:$DR$508,5,FALSE()))</f>
        <v/>
      </c>
      <c r="DX117" s="87" t="str">
        <f aca="false">IF($DJ117&gt;$DI$8,"",VLOOKUP($DJ117,$DL$9:$DR$508,6,FALSE()))</f>
        <v/>
      </c>
      <c r="DY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88"/>
      <c r="N118" s="88"/>
      <c r="O118" s="134"/>
      <c r="P118" s="134"/>
      <c r="Q118" s="88"/>
      <c r="R118" s="88"/>
      <c r="S118" s="88"/>
      <c r="T118" s="88"/>
      <c r="U118" s="134"/>
      <c r="V118" s="88"/>
      <c r="W118" s="70"/>
      <c r="X118" s="88"/>
      <c r="Y118" s="88"/>
      <c r="Z118" s="70"/>
      <c r="AA118" s="70"/>
      <c r="AB118" s="88"/>
      <c r="AC118" s="88"/>
      <c r="AD118" s="88"/>
      <c r="AE118" s="71"/>
      <c r="AF118" s="88"/>
      <c r="AG118" s="73"/>
      <c r="AH118" s="74"/>
      <c r="AI118" s="74"/>
      <c r="AJ118" s="74" t="str">
        <f aca="false">IF(ISBLANK($C118),"",IF($E118=Constants!$B$2,TRUE(),IF($E118=Constants!$B$3,FALSE(),TRUE())))</f>
        <v/>
      </c>
      <c r="AK118" s="74" t="str">
        <f aca="false">IF(ISBLANK($C118),"",IF($F118=Constants!$B$2,TRUE(),IF($F118=Constants!$B$3,FALSE(),FALSE())))</f>
        <v/>
      </c>
      <c r="AL118" s="74" t="str">
        <f aca="false">IF(ISBLANK($C118),"",IF($G118=Constants!$B$2,TRUE(),IF($G118=Constants!$B$3,FALSE(),TRUE())))</f>
        <v/>
      </c>
      <c r="AM118" s="74" t="str">
        <f aca="false">IF(ISBLANK($C118),"",IF($H118=Constants!$B$2,TRUE(),IF($H118=Constants!$B$3,FALSE(),TRUE())))</f>
        <v/>
      </c>
      <c r="AN118" s="74" t="str">
        <f aca="false">IF(ISBLANK($C118),"",IF(ISNUMBER($I118),IF($I118&gt;=0,$I118,""),""))</f>
        <v/>
      </c>
      <c r="AO118" s="74" t="str">
        <f aca="false">IF(ISBLANK($C118),"",IF(ISNUMBER($J118),IF($J118&gt;=0,$J118,""),""))</f>
        <v/>
      </c>
      <c r="AP118" s="74" t="str">
        <f aca="false">IF(ISBLANK($C118),"",IF(ISNUMBER($K118),IF($K118&gt;=0,$K118,""),""))</f>
        <v/>
      </c>
      <c r="AQ118" s="74" t="str">
        <f aca="false">IF(ISBLANK($C118),"",IF($L118=Constants!$B$2,TRUE(),IF($L118=Constants!$B$3,FALSE(),TRUE())))</f>
        <v/>
      </c>
      <c r="AR118" s="74" t="str">
        <f aca="false">IF(ISBLANK($C118),"",IF($M118=Constants!$B$2,TRUE(),IF($M118=Constants!$B$3,FALSE(),TRUE())))</f>
        <v/>
      </c>
      <c r="AS118" s="74" t="str">
        <f aca="false">IF(ISBLANK($C118),"",IF($N118=Constants!$B$2,TRUE(),IF($N118=Constants!$B$3,FALSE(),FALSE())))</f>
        <v/>
      </c>
      <c r="AT118" s="74" t="str">
        <f aca="false">IF(ISBLANK($C118),"",IF($O118=Constants!$B$2,TRUE(),IF($O118=Constants!$B$3,FALSE(),TRUE())))</f>
        <v/>
      </c>
      <c r="AU118" s="74" t="str">
        <f aca="false">IF(ISBLANK($C118),"",IF($P118=Constants!$B$2,TRUE(),IF($P118=Constants!$B$3,FALSE(),TRUE())))</f>
        <v/>
      </c>
      <c r="AV118" s="74" t="str">
        <f aca="false">IF(ISBLANK($C118),"",IF($Q118=Constants!$B$2,TRUE(),IF($Q118=Constants!$B$3,FALSE(),FALSE())))</f>
        <v/>
      </c>
      <c r="AW118" s="74" t="str">
        <f aca="false">IF(ISBLANK($C118),"",IF($R118=Constants!$B$2,TRUE(),IF($R118=Constants!$B$3,FALSE(),FALSE())))</f>
        <v/>
      </c>
      <c r="AX118" s="74" t="str">
        <f aca="false">IF(ISBLANK($C118),"",IF($S118=Constants!$B$2,TRUE(),IF($S118=Constants!$B$3,FALSE(),FALSE())))</f>
        <v/>
      </c>
      <c r="AY118" s="74" t="str">
        <f aca="false">IF(ISBLANK($C118),"",IF($T118=Constants!$B$2,TRUE(),IF($T118=Constants!$B$3,FALSE(),FALSE())))</f>
        <v/>
      </c>
      <c r="AZ118" s="74" t="str">
        <f aca="false">IF(ISBLANK($C118),"",IF($U118=Constants!$B$2,TRUE(),IF($U118=Constants!$B$3,FALSE(),FALSE())))</f>
        <v/>
      </c>
      <c r="BA118" s="74" t="str">
        <f aca="false">IF(ISBLANK($C118),"",IF(OR($V118&amp;""="1",$V118&amp;""="2",$V118&amp;""="3",$V118&amp;""="4"),VALUE($V118&amp;""),IF($V118=Constants!$B$12,Constants!$B$12,"")))</f>
        <v/>
      </c>
      <c r="BB118" s="74" t="str">
        <f aca="false">IF(ISBLANK($C118),"",IF(ISBLANK($W118),0,IF(ISNUMBER($W118),IF(AND($W118&gt;=0,$W118&lt;=Constants!$B$21,$W118=INT($W118)),$W118,""),"")))</f>
        <v/>
      </c>
      <c r="BC118" s="74" t="str">
        <f aca="false">IF(ISBLANK($C118),"",IF(ISBLANK($X118),0,IF(ISNUMBER($X118),IF($X118&gt;=0,$X118,""),"")))</f>
        <v/>
      </c>
      <c r="BD118" s="74" t="str">
        <f aca="false">IF(ISBLANK($C118),"",IF($Y118=Constants!$B$2,TRUE(),IF($Y118=Constants!$B$3,FALSE(),TRUE())))</f>
        <v/>
      </c>
      <c r="BE118" s="74" t="str">
        <f aca="false">IF(ISBLANK($C118),"",IF($Z118=Constants!$B$2,TRUE(),IF($Z118=Constants!$B$3,FALSE(),FALSE())))</f>
        <v/>
      </c>
      <c r="BF118" s="74" t="str">
        <f aca="false">IF(ISBLANK($C118),"",IF(ISBLANK($AA118),0,IF(ISNUMBER($AA118),IF(AND($AA118&gt;=0,$AA118&lt;=Constants!$B$35,$AA118=INT($AA118)),$AA118,""),"")))</f>
        <v/>
      </c>
      <c r="BG118" s="74" t="str">
        <f aca="false">IF(ISBLANK($C118),"",IF($AB118=Constants!$B$2,TRUE(),IF($AB118=Constants!$B$3,FALSE(),TRUE())))</f>
        <v/>
      </c>
      <c r="BH118" s="74" t="str">
        <f aca="false">IF(ISBLANK($C118),"",IF($AC118=Constants!$B$2,TRUE(),IF($AC118=Constants!$B$3,FALSE(),TRUE())))</f>
        <v/>
      </c>
      <c r="BI118" s="74" t="str">
        <f aca="false">IF(ISBLANK($C118),"",IF($AD118=Constants!$B$2,TRUE(),IF($AD118=Constants!$B$3,FALSE(),TRUE())))</f>
        <v/>
      </c>
      <c r="BJ118" s="74" t="str">
        <f aca="false">IF(ISBLANK($C118),"",IF(ISNUMBER($AE118),IF($AE118&gt;=0,$AE118,""),""))</f>
        <v/>
      </c>
      <c r="BK118" s="74" t="str">
        <f aca="false">IF(ISBLANK($C118),"",IF($AF118=Constants!$B$2,TRUE(),IF($AF118=Constants!$B$3,FALSE(),FALSE())))</f>
        <v/>
      </c>
      <c r="BL118" s="73" t="str">
        <f aca="false">IF(ISBLANK($C118),"",IF($BK118,Constants!$B$7,IF(COUNTA($E118:$AE118)=0,Constants!$B$6,IF(OR(COUNTA($G118:$AE118)=0,NOT($AM118),$AS118),Constants!$B$5,IF(OR($CM118&lt;&gt;"",$CN118,$CO118,$CP118,$CQ118,$CR118,$CS118),Constants!$B$8,Constants!$B$4)))))</f>
        <v/>
      </c>
      <c r="BM118" s="74" t="str">
        <f aca="false">IF(ISBLANK($C118),"",IF($BL118&lt;&gt;Constants!$B$4,$BL118,IF(OR(NOT($AJ118),NOT($AL118),NOT($AT118)),Constants!$B$11,IF(OR(NOT($AR118),NOT($AU118),NOT($BI118),MAX($AN118,$AO118,$AP118)&gt;Constants!$B$30),Constants!$B$10,Constants!$B$9))))</f>
        <v/>
      </c>
      <c r="BN118" s="74" t="str">
        <f aca="false">IF($BL118&lt;&gt;Constants!$B$4,"",IF(NOT($AL118),0,MIN(Constants!$B$35,$BF118)))</f>
        <v/>
      </c>
      <c r="BO118" s="74" t="str">
        <f aca="false">IF($BL118&lt;&gt;Constants!$B$4,"",IF(NOT($AL118),0,IF($AW118,Constants!$B$18,IF($AV118,Constants!$B$17,0))))</f>
        <v/>
      </c>
      <c r="BP118" s="74" t="str">
        <f aca="false">IF($BL118&lt;&gt;Constants!$B$4,"",IF(NOT($AL118),0,Constants!$B$19*($AK118+$AX118+$AY118+$AZ118)))</f>
        <v/>
      </c>
      <c r="BQ118" s="74" t="str">
        <f aca="false">IF($BL118&lt;&gt;Constants!$B$4,"",IF(OR(NOT($AL118),NOT(ISNUMBER($BA118))),0,CHOOSE($BA118,Constants!$B$13,Constants!$B$14,Constants!$B$15,Constants!$B$16)))</f>
        <v/>
      </c>
      <c r="BR118" s="74" t="str">
        <f aca="false">IF($BL118&lt;&gt;Constants!$B$4,"",IF(NOT($AL118),0,Constants!$B$20*$BB118))</f>
        <v/>
      </c>
      <c r="BS118" s="74" t="str">
        <f aca="false">IF($BL118&lt;&gt;Constants!$B$4,"",IF(AND($AL118,$BD118,$BE118),Constants!$B$22,0))</f>
        <v/>
      </c>
      <c r="BT118" s="74" t="str">
        <f aca="false">IF($BL118&lt;&gt;Constants!$B$4,"",IF(OR(NOT($AL118),NOT($BD118)),0,IF($BJ118&gt;=2*$AH$9,0,Constants!$B$23*INT(ROUND(MIN($BJ118,$AH$9),6)))))</f>
        <v/>
      </c>
      <c r="BU118" s="74" t="str">
        <f aca="false">IF($BL118&lt;&gt;Constants!$B$4,"",IF(NOT($AL118),0,Constants!$B$24*INT(ROUND(MIN($BC118,$AH$9),6))))</f>
        <v/>
      </c>
      <c r="BV118" s="74" t="str">
        <f aca="false">IF($BL118&lt;&gt;Constants!$B$4,"",IF(AND($AL118,$BN118=0),Constants!$B$25,0))</f>
        <v/>
      </c>
      <c r="BW118" s="74" t="str">
        <f aca="false">IF($BL118&lt;&gt;Constants!$B$4,"",MIN(Constants!$B$29,MAX(0,Constants!$B$27*Constants!$B$28*INT(ROUND((Constants!$B$26-$AN118)/Constants!$B$28,6))))+MIN(Constants!$B$29,MAX(0,Constants!$B$27*Constants!$B$28*INT(ROUND((Constants!$B$26-$AO118)/Constants!$B$28,6))))+MIN(Constants!$B$29,MAX(0,Constants!$B$27*Constants!$B$28*INT(ROUND((Constants!$B$26-$AP118)/Constants!$B$28,6)))))</f>
        <v/>
      </c>
      <c r="BX118" s="74" t="str">
        <f aca="false">IF($BL118&lt;&gt;Constants!$B$4,"",IF(NOT($AL118),0,Constants!$B$31*INT(ROUND(MAX(0,MIN($BJ118,2*$AH$9)-$AH$9),6))))</f>
        <v/>
      </c>
      <c r="BY118" s="74" t="str">
        <f aca="false">IF($BL118&lt;&gt;Constants!$B$4,"",Constants!$B$32*(($AN118&gt;Constants!$B$26)+($AO118&gt;Constants!$B$26)+($AP118&gt;Constants!$B$26)))</f>
        <v/>
      </c>
      <c r="BZ118" s="74" t="str">
        <f aca="false">IF($BL118&lt;&gt;Constants!$B$4,"",IF(OR(NOT($AL118),$AQ118),0,Constants!$B$33))</f>
        <v/>
      </c>
      <c r="CA118" s="74" t="str">
        <f aca="false">IF($BL118&lt;&gt;Constants!$B$4,"",Constants!$B$34*$BN118)</f>
        <v/>
      </c>
      <c r="CB118" s="74" t="str">
        <f aca="false">IF($BL118&lt;&gt;Constants!$B$4,"",IF(OR(NOT($AL118),$BH118),0,Constants!$B$36))</f>
        <v/>
      </c>
      <c r="CC118" s="74" t="str">
        <f aca="false">IF($BL118&lt;&gt;Constants!$B$4,"",IF(OR(NOT($AL118),$BG118),0,Constants!$B$37))</f>
        <v/>
      </c>
      <c r="CD118" s="74" t="str">
        <f aca="false">IF($BL118&lt;&gt;Constants!$B$4,"",SUM($BX118:$CC118))</f>
        <v/>
      </c>
      <c r="CE118" s="74" t="str">
        <f aca="false">IF(ISBLANK($C118),"",IF($BL118&lt;&gt;Constants!$B$4,$BL118,SUM($BO118:$BW118)-$CD118))</f>
        <v/>
      </c>
      <c r="CF118" s="74" t="str">
        <f aca="false">IF(ISBLANK($C118),"",IF($BL118&lt;&gt;Constants!$B$4,$BL118,RANK($CE118,$CE$9:$CE$508)))</f>
        <v/>
      </c>
      <c r="CG118" s="74" t="str">
        <f aca="false">IF(ISBLANK($C118),"",IF($BL118&lt;&gt;Constants!$B$4,$BL118,COUNTIFS($BM$9:$BM$508,"&lt;"&amp;$BM118)+COUNTIFS($BM$9:$BM$508,$BM118,$CF$9:$CF$508,"&lt;"&amp;$CF118)+1))</f>
        <v/>
      </c>
      <c r="CH118" s="74" t="str">
        <f aca="false">IF(ISBLANK($C118),"",IF($BL118&lt;&gt;Constants!$B$4,$BL118,RANK($CD118,$CD$9:$CD$508,1)))</f>
        <v/>
      </c>
      <c r="CI118" s="74" t="str">
        <f aca="false">IF($BL118&lt;&gt;Constants!$B$4,"",$AN118+$AO118+$AP118)</f>
        <v/>
      </c>
      <c r="CJ118" s="74" t="str">
        <f aca="false">IF(ISBLANK($C118),"",IF($BL118&lt;&gt;Constants!$B$4,$BL118,RANK($CI118,$CI$9:$CI$508,1)))</f>
        <v/>
      </c>
      <c r="CK118" s="74" t="str">
        <f aca="false">IF(ISBLANK($C118),"",IF($BL118&lt;&gt;Constants!$B$4,$BL118,COUNTIFS($BM$9:$BM$508,"&lt;"&amp;$BM118)+COUNTIFS($BM$9:$BM$508,$BM118,$CF$9:$CF$508,"&lt;"&amp;$CF118)+COUNTIFS($BM$9:$BM$508,$BM118,$CF$9:$CF$508,$CF118,$CH$9:$CH$508,"&lt;"&amp;$CH118)+COUNTIFS($BM$9:$BM$508,$BM118,$CF$9:$CF$508,$CF118,$CH$9:$CH$508,$CH118,$CJ$9:$CJ$508,"&lt;"&amp;$CJ118)+1))</f>
        <v/>
      </c>
      <c r="CL118" s="74" t="str">
        <f aca="false">IF(ISBLANK($C118),"",IF($BL118&lt;&gt;Constants!$B$4,$BL118,$CG118-$CK118))</f>
        <v/>
      </c>
      <c r="CM118" s="74" t="str">
        <f aca="false">IF(ISBLANK($C118),"",IF(NOT($AL118),"",IF(ISBLANK($D$7),$CM$5,IF(NOT(ISNUMBER($D$7)),$CM$6,""))))</f>
        <v/>
      </c>
      <c r="CN118" s="74" t="str">
        <f aca="false">IF(ISBLANK($C118),"",OR($AN118="",$AO118="",$AP118=""))</f>
        <v/>
      </c>
      <c r="CO118" s="74" t="str">
        <f aca="false">IF(ISBLANK($C118),"",AND($AL118,$BA118=""))</f>
        <v/>
      </c>
      <c r="CP118" s="74" t="str">
        <f aca="false">IF(ISBLANK($C118),"",AND($AL118,$BB118=""))</f>
        <v/>
      </c>
      <c r="CQ118" s="74" t="str">
        <f aca="false">IF(ISBLANK($C118),"",AND($AL118,$BC118=""))</f>
        <v/>
      </c>
      <c r="CR118" s="74" t="str">
        <f aca="false">IF(ISBLANK($C118),"",AND($AL118,$BF118=""))</f>
        <v/>
      </c>
      <c r="CS118" s="74" t="str">
        <f aca="false">IF(ISBLANK($C118),"",AND($AL118,$BJ118=""))</f>
        <v/>
      </c>
      <c r="CT118" s="75"/>
      <c r="CU118" s="76"/>
      <c r="CV118" s="79" t="str">
        <f aca="false">IF(ISBLANK($C118),"",IF($BL118=Constants!$B$8,$CM118,""))</f>
        <v/>
      </c>
      <c r="CW118" s="76" t="str">
        <f aca="false">IF(ISBLANK($C118),"",IF($BL118&lt;&gt;Constants!$B$4,"",$BO118+$BP118))</f>
        <v/>
      </c>
      <c r="CX118" s="78" t="str">
        <f aca="false">IF(ISBLANK($C118),"",IF($BL118&lt;&gt;Constants!$B$4,"",$BQ118+$BR118+$BS118))</f>
        <v/>
      </c>
      <c r="CY118" s="78" t="str">
        <f aca="false">IF(ISBLANK($C118),"",IF($BL118&lt;&gt;Constants!$B$4,"",$BT118))</f>
        <v/>
      </c>
      <c r="CZ118" s="78" t="str">
        <f aca="false">IF(ISBLANK($C118),"",IF($BL118&lt;&gt;Constants!$B$4,"",$BU118+$BV118))</f>
        <v/>
      </c>
      <c r="DA118" s="78" t="str">
        <f aca="false">IF(ISBLANK($C118),"",IF($BL118&lt;&gt;Constants!$B$4,"",$BW118))</f>
        <v/>
      </c>
      <c r="DB118" s="78" t="str">
        <f aca="false">IF(ISBLANK($C118),"",IF($BL118&lt;&gt;Constants!$B$4,"",-$CD118))</f>
        <v/>
      </c>
      <c r="DC118" s="79" t="str">
        <f aca="false">IF(ISBLANK($C118),"",$CE118)</f>
        <v/>
      </c>
      <c r="DD118" s="80" t="str">
        <f aca="false">IF(ISBLANK($C118),"",$BM118)</f>
        <v/>
      </c>
      <c r="DE118" s="78" t="str">
        <f aca="false">IF(ISBLANK($C118),"",$CL118)</f>
        <v/>
      </c>
      <c r="DF118" s="78" t="str">
        <f aca="false">IF(ISBLANK($C118),"",$CK118)</f>
        <v/>
      </c>
      <c r="DG118" s="81" t="str">
        <f aca="false">IF(ISBLANK($C118),"",IF($DF118=Constants!$B$7,COUNTA($C$9:$C$508)+2,IF($DF118=Constants!$B$6,COUNTA($C$9:$C$508)+1,IF($DF118=Constants!$B$5,COUNTA($C$9:$C$508),$DF118))))</f>
        <v/>
      </c>
      <c r="DH118" s="7"/>
      <c r="DI118" s="82" t="n">
        <f aca="false">IF(OR(ISNUMBER($DF118),$DF118=Constants!$B$7,$DF118=Constants!$B$5,$DF118=Constants!$B$6),1,0)</f>
        <v>0</v>
      </c>
      <c r="DJ118" s="82" t="n">
        <v>110</v>
      </c>
      <c r="DK118" s="82" t="str">
        <f aca="false">IF(ISBLANK($C118),"",IF(ISNUMBER($DG118),$DG118+ROW($B118)/1000,""))</f>
        <v/>
      </c>
      <c r="DL118" s="82" t="str">
        <f aca="false">IF(ISNUMBER($DK118),RANK($DK118,$DK$9:$DK$508,1),"")</f>
        <v/>
      </c>
      <c r="DM118" s="82" t="str">
        <f aca="false">IF(ISBLANK($C118),"",$B118)</f>
        <v/>
      </c>
      <c r="DN118" s="82" t="str">
        <f aca="false">IF(ISBLANK($C118),"",$C118)</f>
        <v/>
      </c>
      <c r="DO118" s="82" t="str">
        <f aca="false">IF(ISBLANK($C118),"",$D118)</f>
        <v/>
      </c>
      <c r="DP118" s="83" t="str">
        <f aca="false">$DD118</f>
        <v/>
      </c>
      <c r="DQ118" s="84" t="str">
        <f aca="false">$DC118</f>
        <v/>
      </c>
      <c r="DR118" s="82" t="str">
        <f aca="false">IF(ISBLANK($C118),"",$DF118)</f>
        <v/>
      </c>
      <c r="DS118" s="85" t="str">
        <f aca="false">IF($DJ118&gt;$DI$8,"",VLOOKUP($DJ118,$DL$9:$DR$508,7,FALSE()))</f>
        <v/>
      </c>
      <c r="DT118" s="86" t="str">
        <f aca="false">IF($DJ118&gt;$DI$8,"",VLOOKUP($DJ118,$DL$9:$DR$508,2,FALSE()))</f>
        <v/>
      </c>
      <c r="DU118" s="86" t="str">
        <f aca="false">IF($DJ118&gt;$DI$8,"",VLOOKUP($DJ118,$DL$9:$DR$508,3,FALSE()))</f>
        <v/>
      </c>
      <c r="DV118" s="86" t="str">
        <f aca="false">IF($DJ118&gt;$DI$8,"",VLOOKUP($DJ118,$DL$9:$DR$508,4,FALSE()))</f>
        <v/>
      </c>
      <c r="DW118" s="86" t="str">
        <f aca="false">IF($DJ118&gt;$DI$8,"",VLOOKUP($DJ118,$DL$9:$DR$508,5,FALSE()))</f>
        <v/>
      </c>
      <c r="DX118" s="87" t="str">
        <f aca="false">IF($DJ118&gt;$DI$8,"",VLOOKUP($DJ118,$DL$9:$DR$508,6,FALSE()))</f>
        <v/>
      </c>
      <c r="DY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88"/>
      <c r="N119" s="88"/>
      <c r="O119" s="134"/>
      <c r="P119" s="134"/>
      <c r="Q119" s="88"/>
      <c r="R119" s="88"/>
      <c r="S119" s="88"/>
      <c r="T119" s="88"/>
      <c r="U119" s="134"/>
      <c r="V119" s="88"/>
      <c r="W119" s="70"/>
      <c r="X119" s="88"/>
      <c r="Y119" s="88"/>
      <c r="Z119" s="70"/>
      <c r="AA119" s="70"/>
      <c r="AB119" s="88"/>
      <c r="AC119" s="88"/>
      <c r="AD119" s="88"/>
      <c r="AE119" s="71"/>
      <c r="AF119" s="88"/>
      <c r="AG119" s="73"/>
      <c r="AH119" s="74"/>
      <c r="AI119" s="74"/>
      <c r="AJ119" s="74" t="str">
        <f aca="false">IF(ISBLANK($C119),"",IF($E119=Constants!$B$2,TRUE(),IF($E119=Constants!$B$3,FALSE(),TRUE())))</f>
        <v/>
      </c>
      <c r="AK119" s="74" t="str">
        <f aca="false">IF(ISBLANK($C119),"",IF($F119=Constants!$B$2,TRUE(),IF($F119=Constants!$B$3,FALSE(),FALSE())))</f>
        <v/>
      </c>
      <c r="AL119" s="74" t="str">
        <f aca="false">IF(ISBLANK($C119),"",IF($G119=Constants!$B$2,TRUE(),IF($G119=Constants!$B$3,FALSE(),TRUE())))</f>
        <v/>
      </c>
      <c r="AM119" s="74" t="str">
        <f aca="false">IF(ISBLANK($C119),"",IF($H119=Constants!$B$2,TRUE(),IF($H119=Constants!$B$3,FALSE(),TRUE())))</f>
        <v/>
      </c>
      <c r="AN119" s="74" t="str">
        <f aca="false">IF(ISBLANK($C119),"",IF(ISNUMBER($I119),IF($I119&gt;=0,$I119,""),""))</f>
        <v/>
      </c>
      <c r="AO119" s="74" t="str">
        <f aca="false">IF(ISBLANK($C119),"",IF(ISNUMBER($J119),IF($J119&gt;=0,$J119,""),""))</f>
        <v/>
      </c>
      <c r="AP119" s="74" t="str">
        <f aca="false">IF(ISBLANK($C119),"",IF(ISNUMBER($K119),IF($K119&gt;=0,$K119,""),""))</f>
        <v/>
      </c>
      <c r="AQ119" s="74" t="str">
        <f aca="false">IF(ISBLANK($C119),"",IF($L119=Constants!$B$2,TRUE(),IF($L119=Constants!$B$3,FALSE(),TRUE())))</f>
        <v/>
      </c>
      <c r="AR119" s="74" t="str">
        <f aca="false">IF(ISBLANK($C119),"",IF($M119=Constants!$B$2,TRUE(),IF($M119=Constants!$B$3,FALSE(),TRUE())))</f>
        <v/>
      </c>
      <c r="AS119" s="74" t="str">
        <f aca="false">IF(ISBLANK($C119),"",IF($N119=Constants!$B$2,TRUE(),IF($N119=Constants!$B$3,FALSE(),FALSE())))</f>
        <v/>
      </c>
      <c r="AT119" s="74" t="str">
        <f aca="false">IF(ISBLANK($C119),"",IF($O119=Constants!$B$2,TRUE(),IF($O119=Constants!$B$3,FALSE(),TRUE())))</f>
        <v/>
      </c>
      <c r="AU119" s="74" t="str">
        <f aca="false">IF(ISBLANK($C119),"",IF($P119=Constants!$B$2,TRUE(),IF($P119=Constants!$B$3,FALSE(),TRUE())))</f>
        <v/>
      </c>
      <c r="AV119" s="74" t="str">
        <f aca="false">IF(ISBLANK($C119),"",IF($Q119=Constants!$B$2,TRUE(),IF($Q119=Constants!$B$3,FALSE(),FALSE())))</f>
        <v/>
      </c>
      <c r="AW119" s="74" t="str">
        <f aca="false">IF(ISBLANK($C119),"",IF($R119=Constants!$B$2,TRUE(),IF($R119=Constants!$B$3,FALSE(),FALSE())))</f>
        <v/>
      </c>
      <c r="AX119" s="74" t="str">
        <f aca="false">IF(ISBLANK($C119),"",IF($S119=Constants!$B$2,TRUE(),IF($S119=Constants!$B$3,FALSE(),FALSE())))</f>
        <v/>
      </c>
      <c r="AY119" s="74" t="str">
        <f aca="false">IF(ISBLANK($C119),"",IF($T119=Constants!$B$2,TRUE(),IF($T119=Constants!$B$3,FALSE(),FALSE())))</f>
        <v/>
      </c>
      <c r="AZ119" s="74" t="str">
        <f aca="false">IF(ISBLANK($C119),"",IF($U119=Constants!$B$2,TRUE(),IF($U119=Constants!$B$3,FALSE(),FALSE())))</f>
        <v/>
      </c>
      <c r="BA119" s="74" t="str">
        <f aca="false">IF(ISBLANK($C119),"",IF(OR($V119&amp;""="1",$V119&amp;""="2",$V119&amp;""="3",$V119&amp;""="4"),VALUE($V119&amp;""),IF($V119=Constants!$B$12,Constants!$B$12,"")))</f>
        <v/>
      </c>
      <c r="BB119" s="74" t="str">
        <f aca="false">IF(ISBLANK($C119),"",IF(ISBLANK($W119),0,IF(ISNUMBER($W119),IF(AND($W119&gt;=0,$W119&lt;=Constants!$B$21,$W119=INT($W119)),$W119,""),"")))</f>
        <v/>
      </c>
      <c r="BC119" s="74" t="str">
        <f aca="false">IF(ISBLANK($C119),"",IF(ISBLANK($X119),0,IF(ISNUMBER($X119),IF($X119&gt;=0,$X119,""),"")))</f>
        <v/>
      </c>
      <c r="BD119" s="74" t="str">
        <f aca="false">IF(ISBLANK($C119),"",IF($Y119=Constants!$B$2,TRUE(),IF($Y119=Constants!$B$3,FALSE(),TRUE())))</f>
        <v/>
      </c>
      <c r="BE119" s="74" t="str">
        <f aca="false">IF(ISBLANK($C119),"",IF($Z119=Constants!$B$2,TRUE(),IF($Z119=Constants!$B$3,FALSE(),FALSE())))</f>
        <v/>
      </c>
      <c r="BF119" s="74" t="str">
        <f aca="false">IF(ISBLANK($C119),"",IF(ISBLANK($AA119),0,IF(ISNUMBER($AA119),IF(AND($AA119&gt;=0,$AA119&lt;=Constants!$B$35,$AA119=INT($AA119)),$AA119,""),"")))</f>
        <v/>
      </c>
      <c r="BG119" s="74" t="str">
        <f aca="false">IF(ISBLANK($C119),"",IF($AB119=Constants!$B$2,TRUE(),IF($AB119=Constants!$B$3,FALSE(),TRUE())))</f>
        <v/>
      </c>
      <c r="BH119" s="74" t="str">
        <f aca="false">IF(ISBLANK($C119),"",IF($AC119=Constants!$B$2,TRUE(),IF($AC119=Constants!$B$3,FALSE(),TRUE())))</f>
        <v/>
      </c>
      <c r="BI119" s="74" t="str">
        <f aca="false">IF(ISBLANK($C119),"",IF($AD119=Constants!$B$2,TRUE(),IF($AD119=Constants!$B$3,FALSE(),TRUE())))</f>
        <v/>
      </c>
      <c r="BJ119" s="74" t="str">
        <f aca="false">IF(ISBLANK($C119),"",IF(ISNUMBER($AE119),IF($AE119&gt;=0,$AE119,""),""))</f>
        <v/>
      </c>
      <c r="BK119" s="74" t="str">
        <f aca="false">IF(ISBLANK($C119),"",IF($AF119=Constants!$B$2,TRUE(),IF($AF119=Constants!$B$3,FALSE(),FALSE())))</f>
        <v/>
      </c>
      <c r="BL119" s="73" t="str">
        <f aca="false">IF(ISBLANK($C119),"",IF($BK119,Constants!$B$7,IF(COUNTA($E119:$AE119)=0,Constants!$B$6,IF(OR(COUNTA($G119:$AE119)=0,NOT($AM119),$AS119),Constants!$B$5,IF(OR($CM119&lt;&gt;"",$CN119,$CO119,$CP119,$CQ119,$CR119,$CS119),Constants!$B$8,Constants!$B$4)))))</f>
        <v/>
      </c>
      <c r="BM119" s="74" t="str">
        <f aca="false">IF(ISBLANK($C119),"",IF($BL119&lt;&gt;Constants!$B$4,$BL119,IF(OR(NOT($AJ119),NOT($AL119),NOT($AT119)),Constants!$B$11,IF(OR(NOT($AR119),NOT($AU119),NOT($BI119),MAX($AN119,$AO119,$AP119)&gt;Constants!$B$30),Constants!$B$10,Constants!$B$9))))</f>
        <v/>
      </c>
      <c r="BN119" s="74" t="str">
        <f aca="false">IF($BL119&lt;&gt;Constants!$B$4,"",IF(NOT($AL119),0,MIN(Constants!$B$35,$BF119)))</f>
        <v/>
      </c>
      <c r="BO119" s="74" t="str">
        <f aca="false">IF($BL119&lt;&gt;Constants!$B$4,"",IF(NOT($AL119),0,IF($AW119,Constants!$B$18,IF($AV119,Constants!$B$17,0))))</f>
        <v/>
      </c>
      <c r="BP119" s="74" t="str">
        <f aca="false">IF($BL119&lt;&gt;Constants!$B$4,"",IF(NOT($AL119),0,Constants!$B$19*($AK119+$AX119+$AY119+$AZ119)))</f>
        <v/>
      </c>
      <c r="BQ119" s="74" t="str">
        <f aca="false">IF($BL119&lt;&gt;Constants!$B$4,"",IF(OR(NOT($AL119),NOT(ISNUMBER($BA119))),0,CHOOSE($BA119,Constants!$B$13,Constants!$B$14,Constants!$B$15,Constants!$B$16)))</f>
        <v/>
      </c>
      <c r="BR119" s="74" t="str">
        <f aca="false">IF($BL119&lt;&gt;Constants!$B$4,"",IF(NOT($AL119),0,Constants!$B$20*$BB119))</f>
        <v/>
      </c>
      <c r="BS119" s="74" t="str">
        <f aca="false">IF($BL119&lt;&gt;Constants!$B$4,"",IF(AND($AL119,$BD119,$BE119),Constants!$B$22,0))</f>
        <v/>
      </c>
      <c r="BT119" s="74" t="str">
        <f aca="false">IF($BL119&lt;&gt;Constants!$B$4,"",IF(OR(NOT($AL119),NOT($BD119)),0,IF($BJ119&gt;=2*$AH$9,0,Constants!$B$23*INT(ROUND(MIN($BJ119,$AH$9),6)))))</f>
        <v/>
      </c>
      <c r="BU119" s="74" t="str">
        <f aca="false">IF($BL119&lt;&gt;Constants!$B$4,"",IF(NOT($AL119),0,Constants!$B$24*INT(ROUND(MIN($BC119,$AH$9),6))))</f>
        <v/>
      </c>
      <c r="BV119" s="74" t="str">
        <f aca="false">IF($BL119&lt;&gt;Constants!$B$4,"",IF(AND($AL119,$BN119=0),Constants!$B$25,0))</f>
        <v/>
      </c>
      <c r="BW119" s="74" t="str">
        <f aca="false">IF($BL119&lt;&gt;Constants!$B$4,"",MIN(Constants!$B$29,MAX(0,Constants!$B$27*Constants!$B$28*INT(ROUND((Constants!$B$26-$AN119)/Constants!$B$28,6))))+MIN(Constants!$B$29,MAX(0,Constants!$B$27*Constants!$B$28*INT(ROUND((Constants!$B$26-$AO119)/Constants!$B$28,6))))+MIN(Constants!$B$29,MAX(0,Constants!$B$27*Constants!$B$28*INT(ROUND((Constants!$B$26-$AP119)/Constants!$B$28,6)))))</f>
        <v/>
      </c>
      <c r="BX119" s="74" t="str">
        <f aca="false">IF($BL119&lt;&gt;Constants!$B$4,"",IF(NOT($AL119),0,Constants!$B$31*INT(ROUND(MAX(0,MIN($BJ119,2*$AH$9)-$AH$9),6))))</f>
        <v/>
      </c>
      <c r="BY119" s="74" t="str">
        <f aca="false">IF($BL119&lt;&gt;Constants!$B$4,"",Constants!$B$32*(($AN119&gt;Constants!$B$26)+($AO119&gt;Constants!$B$26)+($AP119&gt;Constants!$B$26)))</f>
        <v/>
      </c>
      <c r="BZ119" s="74" t="str">
        <f aca="false">IF($BL119&lt;&gt;Constants!$B$4,"",IF(OR(NOT($AL119),$AQ119),0,Constants!$B$33))</f>
        <v/>
      </c>
      <c r="CA119" s="74" t="str">
        <f aca="false">IF($BL119&lt;&gt;Constants!$B$4,"",Constants!$B$34*$BN119)</f>
        <v/>
      </c>
      <c r="CB119" s="74" t="str">
        <f aca="false">IF($BL119&lt;&gt;Constants!$B$4,"",IF(OR(NOT($AL119),$BH119),0,Constants!$B$36))</f>
        <v/>
      </c>
      <c r="CC119" s="74" t="str">
        <f aca="false">IF($BL119&lt;&gt;Constants!$B$4,"",IF(OR(NOT($AL119),$BG119),0,Constants!$B$37))</f>
        <v/>
      </c>
      <c r="CD119" s="74" t="str">
        <f aca="false">IF($BL119&lt;&gt;Constants!$B$4,"",SUM($BX119:$CC119))</f>
        <v/>
      </c>
      <c r="CE119" s="74" t="str">
        <f aca="false">IF(ISBLANK($C119),"",IF($BL119&lt;&gt;Constants!$B$4,$BL119,SUM($BO119:$BW119)-$CD119))</f>
        <v/>
      </c>
      <c r="CF119" s="74" t="str">
        <f aca="false">IF(ISBLANK($C119),"",IF($BL119&lt;&gt;Constants!$B$4,$BL119,RANK($CE119,$CE$9:$CE$508)))</f>
        <v/>
      </c>
      <c r="CG119" s="74" t="str">
        <f aca="false">IF(ISBLANK($C119),"",IF($BL119&lt;&gt;Constants!$B$4,$BL119,COUNTIFS($BM$9:$BM$508,"&lt;"&amp;$BM119)+COUNTIFS($BM$9:$BM$508,$BM119,$CF$9:$CF$508,"&lt;"&amp;$CF119)+1))</f>
        <v/>
      </c>
      <c r="CH119" s="74" t="str">
        <f aca="false">IF(ISBLANK($C119),"",IF($BL119&lt;&gt;Constants!$B$4,$BL119,RANK($CD119,$CD$9:$CD$508,1)))</f>
        <v/>
      </c>
      <c r="CI119" s="74" t="str">
        <f aca="false">IF($BL119&lt;&gt;Constants!$B$4,"",$AN119+$AO119+$AP119)</f>
        <v/>
      </c>
      <c r="CJ119" s="74" t="str">
        <f aca="false">IF(ISBLANK($C119),"",IF($BL119&lt;&gt;Constants!$B$4,$BL119,RANK($CI119,$CI$9:$CI$508,1)))</f>
        <v/>
      </c>
      <c r="CK119" s="74" t="str">
        <f aca="false">IF(ISBLANK($C119),"",IF($BL119&lt;&gt;Constants!$B$4,$BL119,COUNTIFS($BM$9:$BM$508,"&lt;"&amp;$BM119)+COUNTIFS($BM$9:$BM$508,$BM119,$CF$9:$CF$508,"&lt;"&amp;$CF119)+COUNTIFS($BM$9:$BM$508,$BM119,$CF$9:$CF$508,$CF119,$CH$9:$CH$508,"&lt;"&amp;$CH119)+COUNTIFS($BM$9:$BM$508,$BM119,$CF$9:$CF$508,$CF119,$CH$9:$CH$508,$CH119,$CJ$9:$CJ$508,"&lt;"&amp;$CJ119)+1))</f>
        <v/>
      </c>
      <c r="CL119" s="74" t="str">
        <f aca="false">IF(ISBLANK($C119),"",IF($BL119&lt;&gt;Constants!$B$4,$BL119,$CG119-$CK119))</f>
        <v/>
      </c>
      <c r="CM119" s="74" t="str">
        <f aca="false">IF(ISBLANK($C119),"",IF(NOT($AL119),"",IF(ISBLANK($D$7),$CM$5,IF(NOT(ISNUMBER($D$7)),$CM$6,""))))</f>
        <v/>
      </c>
      <c r="CN119" s="74" t="str">
        <f aca="false">IF(ISBLANK($C119),"",OR($AN119="",$AO119="",$AP119=""))</f>
        <v/>
      </c>
      <c r="CO119" s="74" t="str">
        <f aca="false">IF(ISBLANK($C119),"",AND($AL119,$BA119=""))</f>
        <v/>
      </c>
      <c r="CP119" s="74" t="str">
        <f aca="false">IF(ISBLANK($C119),"",AND($AL119,$BB119=""))</f>
        <v/>
      </c>
      <c r="CQ119" s="74" t="str">
        <f aca="false">IF(ISBLANK($C119),"",AND($AL119,$BC119=""))</f>
        <v/>
      </c>
      <c r="CR119" s="74" t="str">
        <f aca="false">IF(ISBLANK($C119),"",AND($AL119,$BF119=""))</f>
        <v/>
      </c>
      <c r="CS119" s="74" t="str">
        <f aca="false">IF(ISBLANK($C119),"",AND($AL119,$BJ119=""))</f>
        <v/>
      </c>
      <c r="CT119" s="75"/>
      <c r="CU119" s="76"/>
      <c r="CV119" s="79" t="str">
        <f aca="false">IF(ISBLANK($C119),"",IF($BL119=Constants!$B$8,$CM119,""))</f>
        <v/>
      </c>
      <c r="CW119" s="76" t="str">
        <f aca="false">IF(ISBLANK($C119),"",IF($BL119&lt;&gt;Constants!$B$4,"",$BO119+$BP119))</f>
        <v/>
      </c>
      <c r="CX119" s="78" t="str">
        <f aca="false">IF(ISBLANK($C119),"",IF($BL119&lt;&gt;Constants!$B$4,"",$BQ119+$BR119+$BS119))</f>
        <v/>
      </c>
      <c r="CY119" s="78" t="str">
        <f aca="false">IF(ISBLANK($C119),"",IF($BL119&lt;&gt;Constants!$B$4,"",$BT119))</f>
        <v/>
      </c>
      <c r="CZ119" s="78" t="str">
        <f aca="false">IF(ISBLANK($C119),"",IF($BL119&lt;&gt;Constants!$B$4,"",$BU119+$BV119))</f>
        <v/>
      </c>
      <c r="DA119" s="78" t="str">
        <f aca="false">IF(ISBLANK($C119),"",IF($BL119&lt;&gt;Constants!$B$4,"",$BW119))</f>
        <v/>
      </c>
      <c r="DB119" s="78" t="str">
        <f aca="false">IF(ISBLANK($C119),"",IF($BL119&lt;&gt;Constants!$B$4,"",-$CD119))</f>
        <v/>
      </c>
      <c r="DC119" s="79" t="str">
        <f aca="false">IF(ISBLANK($C119),"",$CE119)</f>
        <v/>
      </c>
      <c r="DD119" s="80" t="str">
        <f aca="false">IF(ISBLANK($C119),"",$BM119)</f>
        <v/>
      </c>
      <c r="DE119" s="78" t="str">
        <f aca="false">IF(ISBLANK($C119),"",$CL119)</f>
        <v/>
      </c>
      <c r="DF119" s="78" t="str">
        <f aca="false">IF(ISBLANK($C119),"",$CK119)</f>
        <v/>
      </c>
      <c r="DG119" s="81" t="str">
        <f aca="false">IF(ISBLANK($C119),"",IF($DF119=Constants!$B$7,COUNTA($C$9:$C$508)+2,IF($DF119=Constants!$B$6,COUNTA($C$9:$C$508)+1,IF($DF119=Constants!$B$5,COUNTA($C$9:$C$508),$DF119))))</f>
        <v/>
      </c>
      <c r="DH119" s="7"/>
      <c r="DI119" s="82" t="n">
        <f aca="false">IF(OR(ISNUMBER($DF119),$DF119=Constants!$B$7,$DF119=Constants!$B$5,$DF119=Constants!$B$6),1,0)</f>
        <v>0</v>
      </c>
      <c r="DJ119" s="82" t="n">
        <v>111</v>
      </c>
      <c r="DK119" s="82" t="str">
        <f aca="false">IF(ISBLANK($C119),"",IF(ISNUMBER($DG119),$DG119+ROW($B119)/1000,""))</f>
        <v/>
      </c>
      <c r="DL119" s="82" t="str">
        <f aca="false">IF(ISNUMBER($DK119),RANK($DK119,$DK$9:$DK$508,1),"")</f>
        <v/>
      </c>
      <c r="DM119" s="82" t="str">
        <f aca="false">IF(ISBLANK($C119),"",$B119)</f>
        <v/>
      </c>
      <c r="DN119" s="82" t="str">
        <f aca="false">IF(ISBLANK($C119),"",$C119)</f>
        <v/>
      </c>
      <c r="DO119" s="82" t="str">
        <f aca="false">IF(ISBLANK($C119),"",$D119)</f>
        <v/>
      </c>
      <c r="DP119" s="83" t="str">
        <f aca="false">$DD119</f>
        <v/>
      </c>
      <c r="DQ119" s="84" t="str">
        <f aca="false">$DC119</f>
        <v/>
      </c>
      <c r="DR119" s="82" t="str">
        <f aca="false">IF(ISBLANK($C119),"",$DF119)</f>
        <v/>
      </c>
      <c r="DS119" s="85" t="str">
        <f aca="false">IF($DJ119&gt;$DI$8,"",VLOOKUP($DJ119,$DL$9:$DR$508,7,FALSE()))</f>
        <v/>
      </c>
      <c r="DT119" s="86" t="str">
        <f aca="false">IF($DJ119&gt;$DI$8,"",VLOOKUP($DJ119,$DL$9:$DR$508,2,FALSE()))</f>
        <v/>
      </c>
      <c r="DU119" s="86" t="str">
        <f aca="false">IF($DJ119&gt;$DI$8,"",VLOOKUP($DJ119,$DL$9:$DR$508,3,FALSE()))</f>
        <v/>
      </c>
      <c r="DV119" s="86" t="str">
        <f aca="false">IF($DJ119&gt;$DI$8,"",VLOOKUP($DJ119,$DL$9:$DR$508,4,FALSE()))</f>
        <v/>
      </c>
      <c r="DW119" s="86" t="str">
        <f aca="false">IF($DJ119&gt;$DI$8,"",VLOOKUP($DJ119,$DL$9:$DR$508,5,FALSE()))</f>
        <v/>
      </c>
      <c r="DX119" s="87" t="str">
        <f aca="false">IF($DJ119&gt;$DI$8,"",VLOOKUP($DJ119,$DL$9:$DR$508,6,FALSE()))</f>
        <v/>
      </c>
      <c r="DY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130"/>
      <c r="N120" s="130"/>
      <c r="O120" s="135"/>
      <c r="P120" s="135"/>
      <c r="Q120" s="130"/>
      <c r="R120" s="130"/>
      <c r="S120" s="130"/>
      <c r="T120" s="130"/>
      <c r="U120" s="135"/>
      <c r="V120" s="130"/>
      <c r="W120" s="96"/>
      <c r="X120" s="130"/>
      <c r="Y120" s="130"/>
      <c r="Z120" s="96"/>
      <c r="AA120" s="96"/>
      <c r="AB120" s="130"/>
      <c r="AC120" s="130"/>
      <c r="AD120" s="130"/>
      <c r="AE120" s="97"/>
      <c r="AF120" s="130"/>
      <c r="AG120" s="99"/>
      <c r="AH120" s="100"/>
      <c r="AI120" s="100"/>
      <c r="AJ120" s="100" t="str">
        <f aca="false">IF(ISBLANK($C120),"",IF($E120=Constants!$B$2,TRUE(),IF($E120=Constants!$B$3,FALSE(),TRUE())))</f>
        <v/>
      </c>
      <c r="AK120" s="100" t="str">
        <f aca="false">IF(ISBLANK($C120),"",IF($F120=Constants!$B$2,TRUE(),IF($F120=Constants!$B$3,FALSE(),FALSE())))</f>
        <v/>
      </c>
      <c r="AL120" s="100" t="str">
        <f aca="false">IF(ISBLANK($C120),"",IF($G120=Constants!$B$2,TRUE(),IF($G120=Constants!$B$3,FALSE(),TRUE())))</f>
        <v/>
      </c>
      <c r="AM120" s="100" t="str">
        <f aca="false">IF(ISBLANK($C120),"",IF($H120=Constants!$B$2,TRUE(),IF($H120=Constants!$B$3,FALSE(),TRUE())))</f>
        <v/>
      </c>
      <c r="AN120" s="100" t="str">
        <f aca="false">IF(ISBLANK($C120),"",IF(ISNUMBER($I120),IF($I120&gt;=0,$I120,""),""))</f>
        <v/>
      </c>
      <c r="AO120" s="100" t="str">
        <f aca="false">IF(ISBLANK($C120),"",IF(ISNUMBER($J120),IF($J120&gt;=0,$J120,""),""))</f>
        <v/>
      </c>
      <c r="AP120" s="100" t="str">
        <f aca="false">IF(ISBLANK($C120),"",IF(ISNUMBER($K120),IF($K120&gt;=0,$K120,""),""))</f>
        <v/>
      </c>
      <c r="AQ120" s="100" t="str">
        <f aca="false">IF(ISBLANK($C120),"",IF($L120=Constants!$B$2,TRUE(),IF($L120=Constants!$B$3,FALSE(),TRUE())))</f>
        <v/>
      </c>
      <c r="AR120" s="100" t="str">
        <f aca="false">IF(ISBLANK($C120),"",IF($M120=Constants!$B$2,TRUE(),IF($M120=Constants!$B$3,FALSE(),TRUE())))</f>
        <v/>
      </c>
      <c r="AS120" s="100" t="str">
        <f aca="false">IF(ISBLANK($C120),"",IF($N120=Constants!$B$2,TRUE(),IF($N120=Constants!$B$3,FALSE(),FALSE())))</f>
        <v/>
      </c>
      <c r="AT120" s="100" t="str">
        <f aca="false">IF(ISBLANK($C120),"",IF($O120=Constants!$B$2,TRUE(),IF($O120=Constants!$B$3,FALSE(),TRUE())))</f>
        <v/>
      </c>
      <c r="AU120" s="100" t="str">
        <f aca="false">IF(ISBLANK($C120),"",IF($P120=Constants!$B$2,TRUE(),IF($P120=Constants!$B$3,FALSE(),TRUE())))</f>
        <v/>
      </c>
      <c r="AV120" s="100" t="str">
        <f aca="false">IF(ISBLANK($C120),"",IF($Q120=Constants!$B$2,TRUE(),IF($Q120=Constants!$B$3,FALSE(),FALSE())))</f>
        <v/>
      </c>
      <c r="AW120" s="100" t="str">
        <f aca="false">IF(ISBLANK($C120),"",IF($R120=Constants!$B$2,TRUE(),IF($R120=Constants!$B$3,FALSE(),FALSE())))</f>
        <v/>
      </c>
      <c r="AX120" s="100" t="str">
        <f aca="false">IF(ISBLANK($C120),"",IF($S120=Constants!$B$2,TRUE(),IF($S120=Constants!$B$3,FALSE(),FALSE())))</f>
        <v/>
      </c>
      <c r="AY120" s="100" t="str">
        <f aca="false">IF(ISBLANK($C120),"",IF($T120=Constants!$B$2,TRUE(),IF($T120=Constants!$B$3,FALSE(),FALSE())))</f>
        <v/>
      </c>
      <c r="AZ120" s="100" t="str">
        <f aca="false">IF(ISBLANK($C120),"",IF($U120=Constants!$B$2,TRUE(),IF($U120=Constants!$B$3,FALSE(),FALSE())))</f>
        <v/>
      </c>
      <c r="BA120" s="100" t="str">
        <f aca="false">IF(ISBLANK($C120),"",IF(OR($V120&amp;""="1",$V120&amp;""="2",$V120&amp;""="3",$V120&amp;""="4"),VALUE($V120&amp;""),IF($V120=Constants!$B$12,Constants!$B$12,"")))</f>
        <v/>
      </c>
      <c r="BB120" s="100" t="str">
        <f aca="false">IF(ISBLANK($C120),"",IF(ISBLANK($W120),0,IF(ISNUMBER($W120),IF(AND($W120&gt;=0,$W120&lt;=Constants!$B$21,$W120=INT($W120)),$W120,""),"")))</f>
        <v/>
      </c>
      <c r="BC120" s="100" t="str">
        <f aca="false">IF(ISBLANK($C120),"",IF(ISBLANK($X120),0,IF(ISNUMBER($X120),IF($X120&gt;=0,$X120,""),"")))</f>
        <v/>
      </c>
      <c r="BD120" s="100" t="str">
        <f aca="false">IF(ISBLANK($C120),"",IF($Y120=Constants!$B$2,TRUE(),IF($Y120=Constants!$B$3,FALSE(),TRUE())))</f>
        <v/>
      </c>
      <c r="BE120" s="100" t="str">
        <f aca="false">IF(ISBLANK($C120),"",IF($Z120=Constants!$B$2,TRUE(),IF($Z120=Constants!$B$3,FALSE(),FALSE())))</f>
        <v/>
      </c>
      <c r="BF120" s="100" t="str">
        <f aca="false">IF(ISBLANK($C120),"",IF(ISBLANK($AA120),0,IF(ISNUMBER($AA120),IF(AND($AA120&gt;=0,$AA120&lt;=Constants!$B$35,$AA120=INT($AA120)),$AA120,""),"")))</f>
        <v/>
      </c>
      <c r="BG120" s="100" t="str">
        <f aca="false">IF(ISBLANK($C120),"",IF($AB120=Constants!$B$2,TRUE(),IF($AB120=Constants!$B$3,FALSE(),TRUE())))</f>
        <v/>
      </c>
      <c r="BH120" s="100" t="str">
        <f aca="false">IF(ISBLANK($C120),"",IF($AC120=Constants!$B$2,TRUE(),IF($AC120=Constants!$B$3,FALSE(),TRUE())))</f>
        <v/>
      </c>
      <c r="BI120" s="100" t="str">
        <f aca="false">IF(ISBLANK($C120),"",IF($AD120=Constants!$B$2,TRUE(),IF($AD120=Constants!$B$3,FALSE(),TRUE())))</f>
        <v/>
      </c>
      <c r="BJ120" s="100" t="str">
        <f aca="false">IF(ISBLANK($C120),"",IF(ISNUMBER($AE120),IF($AE120&gt;=0,$AE120,""),""))</f>
        <v/>
      </c>
      <c r="BK120" s="100" t="str">
        <f aca="false">IF(ISBLANK($C120),"",IF($AF120=Constants!$B$2,TRUE(),IF($AF120=Constants!$B$3,FALSE(),FALSE())))</f>
        <v/>
      </c>
      <c r="BL120" s="99" t="str">
        <f aca="false">IF(ISBLANK($C120),"",IF($BK120,Constants!$B$7,IF(COUNTA($E120:$AE120)=0,Constants!$B$6,IF(OR(COUNTA($G120:$AE120)=0,NOT($AM120),$AS120),Constants!$B$5,IF(OR($CM120&lt;&gt;"",$CN120,$CO120,$CP120,$CQ120,$CR120,$CS120),Constants!$B$8,Constants!$B$4)))))</f>
        <v/>
      </c>
      <c r="BM120" s="100" t="str">
        <f aca="false">IF(ISBLANK($C120),"",IF($BL120&lt;&gt;Constants!$B$4,$BL120,IF(OR(NOT($AJ120),NOT($AL120),NOT($AT120)),Constants!$B$11,IF(OR(NOT($AR120),NOT($AU120),NOT($BI120),MAX($AN120,$AO120,$AP120)&gt;Constants!$B$30),Constants!$B$10,Constants!$B$9))))</f>
        <v/>
      </c>
      <c r="BN120" s="100" t="str">
        <f aca="false">IF($BL120&lt;&gt;Constants!$B$4,"",IF(NOT($AL120),0,MIN(Constants!$B$35,$BF120)))</f>
        <v/>
      </c>
      <c r="BO120" s="100" t="str">
        <f aca="false">IF($BL120&lt;&gt;Constants!$B$4,"",IF(NOT($AL120),0,IF($AW120,Constants!$B$18,IF($AV120,Constants!$B$17,0))))</f>
        <v/>
      </c>
      <c r="BP120" s="100" t="str">
        <f aca="false">IF($BL120&lt;&gt;Constants!$B$4,"",IF(NOT($AL120),0,Constants!$B$19*($AK120+$AX120+$AY120+$AZ120)))</f>
        <v/>
      </c>
      <c r="BQ120" s="100" t="str">
        <f aca="false">IF($BL120&lt;&gt;Constants!$B$4,"",IF(OR(NOT($AL120),NOT(ISNUMBER($BA120))),0,CHOOSE($BA120,Constants!$B$13,Constants!$B$14,Constants!$B$15,Constants!$B$16)))</f>
        <v/>
      </c>
      <c r="BR120" s="100" t="str">
        <f aca="false">IF($BL120&lt;&gt;Constants!$B$4,"",IF(NOT($AL120),0,Constants!$B$20*$BB120))</f>
        <v/>
      </c>
      <c r="BS120" s="100" t="str">
        <f aca="false">IF($BL120&lt;&gt;Constants!$B$4,"",IF(AND($AL120,$BD120,$BE120),Constants!$B$22,0))</f>
        <v/>
      </c>
      <c r="BT120" s="100" t="str">
        <f aca="false">IF($BL120&lt;&gt;Constants!$B$4,"",IF(OR(NOT($AL120),NOT($BD120)),0,IF($BJ120&gt;=2*$AH$9,0,Constants!$B$23*INT(ROUND(MIN($BJ120,$AH$9),6)))))</f>
        <v/>
      </c>
      <c r="BU120" s="100" t="str">
        <f aca="false">IF($BL120&lt;&gt;Constants!$B$4,"",IF(NOT($AL120),0,Constants!$B$24*INT(ROUND(MIN($BC120,$AH$9),6))))</f>
        <v/>
      </c>
      <c r="BV120" s="100" t="str">
        <f aca="false">IF($BL120&lt;&gt;Constants!$B$4,"",IF(AND($AL120,$BN120=0),Constants!$B$25,0))</f>
        <v/>
      </c>
      <c r="BW120" s="100" t="str">
        <f aca="false">IF($BL120&lt;&gt;Constants!$B$4,"",MIN(Constants!$B$29,MAX(0,Constants!$B$27*Constants!$B$28*INT(ROUND((Constants!$B$26-$AN120)/Constants!$B$28,6))))+MIN(Constants!$B$29,MAX(0,Constants!$B$27*Constants!$B$28*INT(ROUND((Constants!$B$26-$AO120)/Constants!$B$28,6))))+MIN(Constants!$B$29,MAX(0,Constants!$B$27*Constants!$B$28*INT(ROUND((Constants!$B$26-$AP120)/Constants!$B$28,6)))))</f>
        <v/>
      </c>
      <c r="BX120" s="100" t="str">
        <f aca="false">IF($BL120&lt;&gt;Constants!$B$4,"",IF(NOT($AL120),0,Constants!$B$31*INT(ROUND(MAX(0,MIN($BJ120,2*$AH$9)-$AH$9),6))))</f>
        <v/>
      </c>
      <c r="BY120" s="100" t="str">
        <f aca="false">IF($BL120&lt;&gt;Constants!$B$4,"",Constants!$B$32*(($AN120&gt;Constants!$B$26)+($AO120&gt;Constants!$B$26)+($AP120&gt;Constants!$B$26)))</f>
        <v/>
      </c>
      <c r="BZ120" s="100" t="str">
        <f aca="false">IF($BL120&lt;&gt;Constants!$B$4,"",IF(OR(NOT($AL120),$AQ120),0,Constants!$B$33))</f>
        <v/>
      </c>
      <c r="CA120" s="100" t="str">
        <f aca="false">IF($BL120&lt;&gt;Constants!$B$4,"",Constants!$B$34*$BN120)</f>
        <v/>
      </c>
      <c r="CB120" s="100" t="str">
        <f aca="false">IF($BL120&lt;&gt;Constants!$B$4,"",IF(OR(NOT($AL120),$BH120),0,Constants!$B$36))</f>
        <v/>
      </c>
      <c r="CC120" s="100" t="str">
        <f aca="false">IF($BL120&lt;&gt;Constants!$B$4,"",IF(OR(NOT($AL120),$BG120),0,Constants!$B$37))</f>
        <v/>
      </c>
      <c r="CD120" s="100" t="str">
        <f aca="false">IF($BL120&lt;&gt;Constants!$B$4,"",SUM($BX120:$CC120))</f>
        <v/>
      </c>
      <c r="CE120" s="100" t="str">
        <f aca="false">IF(ISBLANK($C120),"",IF($BL120&lt;&gt;Constants!$B$4,$BL120,SUM($BO120:$BW120)-$CD120))</f>
        <v/>
      </c>
      <c r="CF120" s="100" t="str">
        <f aca="false">IF(ISBLANK($C120),"",IF($BL120&lt;&gt;Constants!$B$4,$BL120,RANK($CE120,$CE$9:$CE$508)))</f>
        <v/>
      </c>
      <c r="CG120" s="100" t="str">
        <f aca="false">IF(ISBLANK($C120),"",IF($BL120&lt;&gt;Constants!$B$4,$BL120,COUNTIFS($BM$9:$BM$508,"&lt;"&amp;$BM120)+COUNTIFS($BM$9:$BM$508,$BM120,$CF$9:$CF$508,"&lt;"&amp;$CF120)+1))</f>
        <v/>
      </c>
      <c r="CH120" s="100" t="str">
        <f aca="false">IF(ISBLANK($C120),"",IF($BL120&lt;&gt;Constants!$B$4,$BL120,RANK($CD120,$CD$9:$CD$508,1)))</f>
        <v/>
      </c>
      <c r="CI120" s="100" t="str">
        <f aca="false">IF($BL120&lt;&gt;Constants!$B$4,"",$AN120+$AO120+$AP120)</f>
        <v/>
      </c>
      <c r="CJ120" s="100" t="str">
        <f aca="false">IF(ISBLANK($C120),"",IF($BL120&lt;&gt;Constants!$B$4,$BL120,RANK($CI120,$CI$9:$CI$508,1)))</f>
        <v/>
      </c>
      <c r="CK120" s="100" t="str">
        <f aca="false">IF(ISBLANK($C120),"",IF($BL120&lt;&gt;Constants!$B$4,$BL120,COUNTIFS($BM$9:$BM$508,"&lt;"&amp;$BM120)+COUNTIFS($BM$9:$BM$508,$BM120,$CF$9:$CF$508,"&lt;"&amp;$CF120)+COUNTIFS($BM$9:$BM$508,$BM120,$CF$9:$CF$508,$CF120,$CH$9:$CH$508,"&lt;"&amp;$CH120)+COUNTIFS($BM$9:$BM$508,$BM120,$CF$9:$CF$508,$CF120,$CH$9:$CH$508,$CH120,$CJ$9:$CJ$508,"&lt;"&amp;$CJ120)+1))</f>
        <v/>
      </c>
      <c r="CL120" s="100" t="str">
        <f aca="false">IF(ISBLANK($C120),"",IF($BL120&lt;&gt;Constants!$B$4,$BL120,$CG120-$CK120))</f>
        <v/>
      </c>
      <c r="CM120" s="100" t="str">
        <f aca="false">IF(ISBLANK($C120),"",IF(NOT($AL120),"",IF(ISBLANK($D$7),$CM$5,IF(NOT(ISNUMBER($D$7)),$CM$6,""))))</f>
        <v/>
      </c>
      <c r="CN120" s="100" t="str">
        <f aca="false">IF(ISBLANK($C120),"",OR($AN120="",$AO120="",$AP120=""))</f>
        <v/>
      </c>
      <c r="CO120" s="100" t="str">
        <f aca="false">IF(ISBLANK($C120),"",AND($AL120,$BA120=""))</f>
        <v/>
      </c>
      <c r="CP120" s="100" t="str">
        <f aca="false">IF(ISBLANK($C120),"",AND($AL120,$BB120=""))</f>
        <v/>
      </c>
      <c r="CQ120" s="100" t="str">
        <f aca="false">IF(ISBLANK($C120),"",AND($AL120,$BC120=""))</f>
        <v/>
      </c>
      <c r="CR120" s="100" t="str">
        <f aca="false">IF(ISBLANK($C120),"",AND($AL120,$BF120=""))</f>
        <v/>
      </c>
      <c r="CS120" s="100" t="str">
        <f aca="false">IF(ISBLANK($C120),"",AND($AL120,$BJ120=""))</f>
        <v/>
      </c>
      <c r="CT120" s="101"/>
      <c r="CU120" s="102"/>
      <c r="CV120" s="103" t="str">
        <f aca="false">IF(ISBLANK($C120),"",IF($BL120=Constants!$B$8,$CM120,""))</f>
        <v/>
      </c>
      <c r="CW120" s="102" t="str">
        <f aca="false">IF(ISBLANK($C120),"",IF($BL120&lt;&gt;Constants!$B$4,"",$BO120+$BP120))</f>
        <v/>
      </c>
      <c r="CX120" s="104" t="str">
        <f aca="false">IF(ISBLANK($C120),"",IF($BL120&lt;&gt;Constants!$B$4,"",$BQ120+$BR120+$BS120))</f>
        <v/>
      </c>
      <c r="CY120" s="104" t="str">
        <f aca="false">IF(ISBLANK($C120),"",IF($BL120&lt;&gt;Constants!$B$4,"",$BT120))</f>
        <v/>
      </c>
      <c r="CZ120" s="104" t="str">
        <f aca="false">IF(ISBLANK($C120),"",IF($BL120&lt;&gt;Constants!$B$4,"",$BU120+$BV120))</f>
        <v/>
      </c>
      <c r="DA120" s="104" t="str">
        <f aca="false">IF(ISBLANK($C120),"",IF($BL120&lt;&gt;Constants!$B$4,"",$BW120))</f>
        <v/>
      </c>
      <c r="DB120" s="104" t="str">
        <f aca="false">IF(ISBLANK($C120),"",IF($BL120&lt;&gt;Constants!$B$4,"",-$CD120))</f>
        <v/>
      </c>
      <c r="DC120" s="103" t="str">
        <f aca="false">IF(ISBLANK($C120),"",$CE120)</f>
        <v/>
      </c>
      <c r="DD120" s="105" t="str">
        <f aca="false">IF(ISBLANK($C120),"",$BM120)</f>
        <v/>
      </c>
      <c r="DE120" s="104" t="str">
        <f aca="false">IF(ISBLANK($C120),"",$CL120)</f>
        <v/>
      </c>
      <c r="DF120" s="104" t="str">
        <f aca="false">IF(ISBLANK($C120),"",$CK120)</f>
        <v/>
      </c>
      <c r="DG120" s="106" t="str">
        <f aca="false">IF(ISBLANK($C120),"",IF($DF120=Constants!$B$7,COUNTA($C$9:$C$508)+2,IF($DF120=Constants!$B$6,COUNTA($C$9:$C$508)+1,IF($DF120=Constants!$B$5,COUNTA($C$9:$C$508),$DF120))))</f>
        <v/>
      </c>
      <c r="DH120" s="7"/>
      <c r="DI120" s="107" t="n">
        <f aca="false">IF(OR(ISNUMBER($DF120),$DF120=Constants!$B$7,$DF120=Constants!$B$5,$DF120=Constants!$B$6),1,0)</f>
        <v>0</v>
      </c>
      <c r="DJ120" s="107" t="n">
        <v>112</v>
      </c>
      <c r="DK120" s="107" t="str">
        <f aca="false">IF(ISBLANK($C120),"",IF(ISNUMBER($DG120),$DG120+ROW($B120)/1000,""))</f>
        <v/>
      </c>
      <c r="DL120" s="107" t="str">
        <f aca="false">IF(ISNUMBER($DK120),RANK($DK120,$DK$9:$DK$508,1),"")</f>
        <v/>
      </c>
      <c r="DM120" s="107" t="str">
        <f aca="false">IF(ISBLANK($C120),"",$B120)</f>
        <v/>
      </c>
      <c r="DN120" s="107" t="str">
        <f aca="false">IF(ISBLANK($C120),"",$C120)</f>
        <v/>
      </c>
      <c r="DO120" s="107" t="str">
        <f aca="false">IF(ISBLANK($C120),"",$D120)</f>
        <v/>
      </c>
      <c r="DP120" s="108" t="str">
        <f aca="false">$DD120</f>
        <v/>
      </c>
      <c r="DQ120" s="109" t="str">
        <f aca="false">$DC120</f>
        <v/>
      </c>
      <c r="DR120" s="107" t="str">
        <f aca="false">IF(ISBLANK($C120),"",$DF120)</f>
        <v/>
      </c>
      <c r="DS120" s="110" t="str">
        <f aca="false">IF($DJ120&gt;$DI$8,"",VLOOKUP($DJ120,$DL$9:$DR$508,7,FALSE()))</f>
        <v/>
      </c>
      <c r="DT120" s="111" t="str">
        <f aca="false">IF($DJ120&gt;$DI$8,"",VLOOKUP($DJ120,$DL$9:$DR$508,2,FALSE()))</f>
        <v/>
      </c>
      <c r="DU120" s="111" t="str">
        <f aca="false">IF($DJ120&gt;$DI$8,"",VLOOKUP($DJ120,$DL$9:$DR$508,3,FALSE()))</f>
        <v/>
      </c>
      <c r="DV120" s="111" t="str">
        <f aca="false">IF($DJ120&gt;$DI$8,"",VLOOKUP($DJ120,$DL$9:$DR$508,4,FALSE()))</f>
        <v/>
      </c>
      <c r="DW120" s="111" t="str">
        <f aca="false">IF($DJ120&gt;$DI$8,"",VLOOKUP($DJ120,$DL$9:$DR$508,5,FALSE()))</f>
        <v/>
      </c>
      <c r="DX120" s="112" t="str">
        <f aca="false">IF($DJ120&gt;$DI$8,"",VLOOKUP($DJ120,$DL$9:$DR$508,6,FALSE()))</f>
        <v/>
      </c>
      <c r="DY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130"/>
      <c r="N121" s="130"/>
      <c r="O121" s="135"/>
      <c r="P121" s="135"/>
      <c r="Q121" s="130"/>
      <c r="R121" s="130"/>
      <c r="S121" s="130"/>
      <c r="T121" s="130"/>
      <c r="U121" s="135"/>
      <c r="V121" s="130"/>
      <c r="W121" s="96"/>
      <c r="X121" s="130"/>
      <c r="Y121" s="130"/>
      <c r="Z121" s="96"/>
      <c r="AA121" s="96"/>
      <c r="AB121" s="130"/>
      <c r="AC121" s="130"/>
      <c r="AD121" s="130"/>
      <c r="AE121" s="97"/>
      <c r="AF121" s="130"/>
      <c r="AG121" s="99"/>
      <c r="AH121" s="100"/>
      <c r="AI121" s="100"/>
      <c r="AJ121" s="100" t="str">
        <f aca="false">IF(ISBLANK($C121),"",IF($E121=Constants!$B$2,TRUE(),IF($E121=Constants!$B$3,FALSE(),TRUE())))</f>
        <v/>
      </c>
      <c r="AK121" s="100" t="str">
        <f aca="false">IF(ISBLANK($C121),"",IF($F121=Constants!$B$2,TRUE(),IF($F121=Constants!$B$3,FALSE(),FALSE())))</f>
        <v/>
      </c>
      <c r="AL121" s="100" t="str">
        <f aca="false">IF(ISBLANK($C121),"",IF($G121=Constants!$B$2,TRUE(),IF($G121=Constants!$B$3,FALSE(),TRUE())))</f>
        <v/>
      </c>
      <c r="AM121" s="100" t="str">
        <f aca="false">IF(ISBLANK($C121),"",IF($H121=Constants!$B$2,TRUE(),IF($H121=Constants!$B$3,FALSE(),TRUE())))</f>
        <v/>
      </c>
      <c r="AN121" s="100" t="str">
        <f aca="false">IF(ISBLANK($C121),"",IF(ISNUMBER($I121),IF($I121&gt;=0,$I121,""),""))</f>
        <v/>
      </c>
      <c r="AO121" s="100" t="str">
        <f aca="false">IF(ISBLANK($C121),"",IF(ISNUMBER($J121),IF($J121&gt;=0,$J121,""),""))</f>
        <v/>
      </c>
      <c r="AP121" s="100" t="str">
        <f aca="false">IF(ISBLANK($C121),"",IF(ISNUMBER($K121),IF($K121&gt;=0,$K121,""),""))</f>
        <v/>
      </c>
      <c r="AQ121" s="100" t="str">
        <f aca="false">IF(ISBLANK($C121),"",IF($L121=Constants!$B$2,TRUE(),IF($L121=Constants!$B$3,FALSE(),TRUE())))</f>
        <v/>
      </c>
      <c r="AR121" s="100" t="str">
        <f aca="false">IF(ISBLANK($C121),"",IF($M121=Constants!$B$2,TRUE(),IF($M121=Constants!$B$3,FALSE(),TRUE())))</f>
        <v/>
      </c>
      <c r="AS121" s="100" t="str">
        <f aca="false">IF(ISBLANK($C121),"",IF($N121=Constants!$B$2,TRUE(),IF($N121=Constants!$B$3,FALSE(),FALSE())))</f>
        <v/>
      </c>
      <c r="AT121" s="100" t="str">
        <f aca="false">IF(ISBLANK($C121),"",IF($O121=Constants!$B$2,TRUE(),IF($O121=Constants!$B$3,FALSE(),TRUE())))</f>
        <v/>
      </c>
      <c r="AU121" s="100" t="str">
        <f aca="false">IF(ISBLANK($C121),"",IF($P121=Constants!$B$2,TRUE(),IF($P121=Constants!$B$3,FALSE(),TRUE())))</f>
        <v/>
      </c>
      <c r="AV121" s="100" t="str">
        <f aca="false">IF(ISBLANK($C121),"",IF($Q121=Constants!$B$2,TRUE(),IF($Q121=Constants!$B$3,FALSE(),FALSE())))</f>
        <v/>
      </c>
      <c r="AW121" s="100" t="str">
        <f aca="false">IF(ISBLANK($C121),"",IF($R121=Constants!$B$2,TRUE(),IF($R121=Constants!$B$3,FALSE(),FALSE())))</f>
        <v/>
      </c>
      <c r="AX121" s="100" t="str">
        <f aca="false">IF(ISBLANK($C121),"",IF($S121=Constants!$B$2,TRUE(),IF($S121=Constants!$B$3,FALSE(),FALSE())))</f>
        <v/>
      </c>
      <c r="AY121" s="100" t="str">
        <f aca="false">IF(ISBLANK($C121),"",IF($T121=Constants!$B$2,TRUE(),IF($T121=Constants!$B$3,FALSE(),FALSE())))</f>
        <v/>
      </c>
      <c r="AZ121" s="100" t="str">
        <f aca="false">IF(ISBLANK($C121),"",IF($U121=Constants!$B$2,TRUE(),IF($U121=Constants!$B$3,FALSE(),FALSE())))</f>
        <v/>
      </c>
      <c r="BA121" s="100" t="str">
        <f aca="false">IF(ISBLANK($C121),"",IF(OR($V121&amp;""="1",$V121&amp;""="2",$V121&amp;""="3",$V121&amp;""="4"),VALUE($V121&amp;""),IF($V121=Constants!$B$12,Constants!$B$12,"")))</f>
        <v/>
      </c>
      <c r="BB121" s="100" t="str">
        <f aca="false">IF(ISBLANK($C121),"",IF(ISBLANK($W121),0,IF(ISNUMBER($W121),IF(AND($W121&gt;=0,$W121&lt;=Constants!$B$21,$W121=INT($W121)),$W121,""),"")))</f>
        <v/>
      </c>
      <c r="BC121" s="100" t="str">
        <f aca="false">IF(ISBLANK($C121),"",IF(ISBLANK($X121),0,IF(ISNUMBER($X121),IF($X121&gt;=0,$X121,""),"")))</f>
        <v/>
      </c>
      <c r="BD121" s="100" t="str">
        <f aca="false">IF(ISBLANK($C121),"",IF($Y121=Constants!$B$2,TRUE(),IF($Y121=Constants!$B$3,FALSE(),TRUE())))</f>
        <v/>
      </c>
      <c r="BE121" s="100" t="str">
        <f aca="false">IF(ISBLANK($C121),"",IF($Z121=Constants!$B$2,TRUE(),IF($Z121=Constants!$B$3,FALSE(),FALSE())))</f>
        <v/>
      </c>
      <c r="BF121" s="100" t="str">
        <f aca="false">IF(ISBLANK($C121),"",IF(ISBLANK($AA121),0,IF(ISNUMBER($AA121),IF(AND($AA121&gt;=0,$AA121&lt;=Constants!$B$35,$AA121=INT($AA121)),$AA121,""),"")))</f>
        <v/>
      </c>
      <c r="BG121" s="100" t="str">
        <f aca="false">IF(ISBLANK($C121),"",IF($AB121=Constants!$B$2,TRUE(),IF($AB121=Constants!$B$3,FALSE(),TRUE())))</f>
        <v/>
      </c>
      <c r="BH121" s="100" t="str">
        <f aca="false">IF(ISBLANK($C121),"",IF($AC121=Constants!$B$2,TRUE(),IF($AC121=Constants!$B$3,FALSE(),TRUE())))</f>
        <v/>
      </c>
      <c r="BI121" s="100" t="str">
        <f aca="false">IF(ISBLANK($C121),"",IF($AD121=Constants!$B$2,TRUE(),IF($AD121=Constants!$B$3,FALSE(),TRUE())))</f>
        <v/>
      </c>
      <c r="BJ121" s="100" t="str">
        <f aca="false">IF(ISBLANK($C121),"",IF(ISNUMBER($AE121),IF($AE121&gt;=0,$AE121,""),""))</f>
        <v/>
      </c>
      <c r="BK121" s="100" t="str">
        <f aca="false">IF(ISBLANK($C121),"",IF($AF121=Constants!$B$2,TRUE(),IF($AF121=Constants!$B$3,FALSE(),FALSE())))</f>
        <v/>
      </c>
      <c r="BL121" s="99" t="str">
        <f aca="false">IF(ISBLANK($C121),"",IF($BK121,Constants!$B$7,IF(COUNTA($E121:$AE121)=0,Constants!$B$6,IF(OR(COUNTA($G121:$AE121)=0,NOT($AM121),$AS121),Constants!$B$5,IF(OR($CM121&lt;&gt;"",$CN121,$CO121,$CP121,$CQ121,$CR121,$CS121),Constants!$B$8,Constants!$B$4)))))</f>
        <v/>
      </c>
      <c r="BM121" s="100" t="str">
        <f aca="false">IF(ISBLANK($C121),"",IF($BL121&lt;&gt;Constants!$B$4,$BL121,IF(OR(NOT($AJ121),NOT($AL121),NOT($AT121)),Constants!$B$11,IF(OR(NOT($AR121),NOT($AU121),NOT($BI121),MAX($AN121,$AO121,$AP121)&gt;Constants!$B$30),Constants!$B$10,Constants!$B$9))))</f>
        <v/>
      </c>
      <c r="BN121" s="100" t="str">
        <f aca="false">IF($BL121&lt;&gt;Constants!$B$4,"",IF(NOT($AL121),0,MIN(Constants!$B$35,$BF121)))</f>
        <v/>
      </c>
      <c r="BO121" s="100" t="str">
        <f aca="false">IF($BL121&lt;&gt;Constants!$B$4,"",IF(NOT($AL121),0,IF($AW121,Constants!$B$18,IF($AV121,Constants!$B$17,0))))</f>
        <v/>
      </c>
      <c r="BP121" s="100" t="str">
        <f aca="false">IF($BL121&lt;&gt;Constants!$B$4,"",IF(NOT($AL121),0,Constants!$B$19*($AK121+$AX121+$AY121+$AZ121)))</f>
        <v/>
      </c>
      <c r="BQ121" s="100" t="str">
        <f aca="false">IF($BL121&lt;&gt;Constants!$B$4,"",IF(OR(NOT($AL121),NOT(ISNUMBER($BA121))),0,CHOOSE($BA121,Constants!$B$13,Constants!$B$14,Constants!$B$15,Constants!$B$16)))</f>
        <v/>
      </c>
      <c r="BR121" s="100" t="str">
        <f aca="false">IF($BL121&lt;&gt;Constants!$B$4,"",IF(NOT($AL121),0,Constants!$B$20*$BB121))</f>
        <v/>
      </c>
      <c r="BS121" s="100" t="str">
        <f aca="false">IF($BL121&lt;&gt;Constants!$B$4,"",IF(AND($AL121,$BD121,$BE121),Constants!$B$22,0))</f>
        <v/>
      </c>
      <c r="BT121" s="100" t="str">
        <f aca="false">IF($BL121&lt;&gt;Constants!$B$4,"",IF(OR(NOT($AL121),NOT($BD121)),0,IF($BJ121&gt;=2*$AH$9,0,Constants!$B$23*INT(ROUND(MIN($BJ121,$AH$9),6)))))</f>
        <v/>
      </c>
      <c r="BU121" s="100" t="str">
        <f aca="false">IF($BL121&lt;&gt;Constants!$B$4,"",IF(NOT($AL121),0,Constants!$B$24*INT(ROUND(MIN($BC121,$AH$9),6))))</f>
        <v/>
      </c>
      <c r="BV121" s="100" t="str">
        <f aca="false">IF($BL121&lt;&gt;Constants!$B$4,"",IF(AND($AL121,$BN121=0),Constants!$B$25,0))</f>
        <v/>
      </c>
      <c r="BW121" s="100" t="str">
        <f aca="false">IF($BL121&lt;&gt;Constants!$B$4,"",MIN(Constants!$B$29,MAX(0,Constants!$B$27*Constants!$B$28*INT(ROUND((Constants!$B$26-$AN121)/Constants!$B$28,6))))+MIN(Constants!$B$29,MAX(0,Constants!$B$27*Constants!$B$28*INT(ROUND((Constants!$B$26-$AO121)/Constants!$B$28,6))))+MIN(Constants!$B$29,MAX(0,Constants!$B$27*Constants!$B$28*INT(ROUND((Constants!$B$26-$AP121)/Constants!$B$28,6)))))</f>
        <v/>
      </c>
      <c r="BX121" s="100" t="str">
        <f aca="false">IF($BL121&lt;&gt;Constants!$B$4,"",IF(NOT($AL121),0,Constants!$B$31*INT(ROUND(MAX(0,MIN($BJ121,2*$AH$9)-$AH$9),6))))</f>
        <v/>
      </c>
      <c r="BY121" s="100" t="str">
        <f aca="false">IF($BL121&lt;&gt;Constants!$B$4,"",Constants!$B$32*(($AN121&gt;Constants!$B$26)+($AO121&gt;Constants!$B$26)+($AP121&gt;Constants!$B$26)))</f>
        <v/>
      </c>
      <c r="BZ121" s="100" t="str">
        <f aca="false">IF($BL121&lt;&gt;Constants!$B$4,"",IF(OR(NOT($AL121),$AQ121),0,Constants!$B$33))</f>
        <v/>
      </c>
      <c r="CA121" s="100" t="str">
        <f aca="false">IF($BL121&lt;&gt;Constants!$B$4,"",Constants!$B$34*$BN121)</f>
        <v/>
      </c>
      <c r="CB121" s="100" t="str">
        <f aca="false">IF($BL121&lt;&gt;Constants!$B$4,"",IF(OR(NOT($AL121),$BH121),0,Constants!$B$36))</f>
        <v/>
      </c>
      <c r="CC121" s="100" t="str">
        <f aca="false">IF($BL121&lt;&gt;Constants!$B$4,"",IF(OR(NOT($AL121),$BG121),0,Constants!$B$37))</f>
        <v/>
      </c>
      <c r="CD121" s="100" t="str">
        <f aca="false">IF($BL121&lt;&gt;Constants!$B$4,"",SUM($BX121:$CC121))</f>
        <v/>
      </c>
      <c r="CE121" s="100" t="str">
        <f aca="false">IF(ISBLANK($C121),"",IF($BL121&lt;&gt;Constants!$B$4,$BL121,SUM($BO121:$BW121)-$CD121))</f>
        <v/>
      </c>
      <c r="CF121" s="100" t="str">
        <f aca="false">IF(ISBLANK($C121),"",IF($BL121&lt;&gt;Constants!$B$4,$BL121,RANK($CE121,$CE$9:$CE$508)))</f>
        <v/>
      </c>
      <c r="CG121" s="100" t="str">
        <f aca="false">IF(ISBLANK($C121),"",IF($BL121&lt;&gt;Constants!$B$4,$BL121,COUNTIFS($BM$9:$BM$508,"&lt;"&amp;$BM121)+COUNTIFS($BM$9:$BM$508,$BM121,$CF$9:$CF$508,"&lt;"&amp;$CF121)+1))</f>
        <v/>
      </c>
      <c r="CH121" s="100" t="str">
        <f aca="false">IF(ISBLANK($C121),"",IF($BL121&lt;&gt;Constants!$B$4,$BL121,RANK($CD121,$CD$9:$CD$508,1)))</f>
        <v/>
      </c>
      <c r="CI121" s="100" t="str">
        <f aca="false">IF($BL121&lt;&gt;Constants!$B$4,"",$AN121+$AO121+$AP121)</f>
        <v/>
      </c>
      <c r="CJ121" s="100" t="str">
        <f aca="false">IF(ISBLANK($C121),"",IF($BL121&lt;&gt;Constants!$B$4,$BL121,RANK($CI121,$CI$9:$CI$508,1)))</f>
        <v/>
      </c>
      <c r="CK121" s="100" t="str">
        <f aca="false">IF(ISBLANK($C121),"",IF($BL121&lt;&gt;Constants!$B$4,$BL121,COUNTIFS($BM$9:$BM$508,"&lt;"&amp;$BM121)+COUNTIFS($BM$9:$BM$508,$BM121,$CF$9:$CF$508,"&lt;"&amp;$CF121)+COUNTIFS($BM$9:$BM$508,$BM121,$CF$9:$CF$508,$CF121,$CH$9:$CH$508,"&lt;"&amp;$CH121)+COUNTIFS($BM$9:$BM$508,$BM121,$CF$9:$CF$508,$CF121,$CH$9:$CH$508,$CH121,$CJ$9:$CJ$508,"&lt;"&amp;$CJ121)+1))</f>
        <v/>
      </c>
      <c r="CL121" s="100" t="str">
        <f aca="false">IF(ISBLANK($C121),"",IF($BL121&lt;&gt;Constants!$B$4,$BL121,$CG121-$CK121))</f>
        <v/>
      </c>
      <c r="CM121" s="100" t="str">
        <f aca="false">IF(ISBLANK($C121),"",IF(NOT($AL121),"",IF(ISBLANK($D$7),$CM$5,IF(NOT(ISNUMBER($D$7)),$CM$6,""))))</f>
        <v/>
      </c>
      <c r="CN121" s="100" t="str">
        <f aca="false">IF(ISBLANK($C121),"",OR($AN121="",$AO121="",$AP121=""))</f>
        <v/>
      </c>
      <c r="CO121" s="100" t="str">
        <f aca="false">IF(ISBLANK($C121),"",AND($AL121,$BA121=""))</f>
        <v/>
      </c>
      <c r="CP121" s="100" t="str">
        <f aca="false">IF(ISBLANK($C121),"",AND($AL121,$BB121=""))</f>
        <v/>
      </c>
      <c r="CQ121" s="100" t="str">
        <f aca="false">IF(ISBLANK($C121),"",AND($AL121,$BC121=""))</f>
        <v/>
      </c>
      <c r="CR121" s="100" t="str">
        <f aca="false">IF(ISBLANK($C121),"",AND($AL121,$BF121=""))</f>
        <v/>
      </c>
      <c r="CS121" s="100" t="str">
        <f aca="false">IF(ISBLANK($C121),"",AND($AL121,$BJ121=""))</f>
        <v/>
      </c>
      <c r="CT121" s="101"/>
      <c r="CU121" s="102"/>
      <c r="CV121" s="103" t="str">
        <f aca="false">IF(ISBLANK($C121),"",IF($BL121=Constants!$B$8,$CM121,""))</f>
        <v/>
      </c>
      <c r="CW121" s="102" t="str">
        <f aca="false">IF(ISBLANK($C121),"",IF($BL121&lt;&gt;Constants!$B$4,"",$BO121+$BP121))</f>
        <v/>
      </c>
      <c r="CX121" s="104" t="str">
        <f aca="false">IF(ISBLANK($C121),"",IF($BL121&lt;&gt;Constants!$B$4,"",$BQ121+$BR121+$BS121))</f>
        <v/>
      </c>
      <c r="CY121" s="104" t="str">
        <f aca="false">IF(ISBLANK($C121),"",IF($BL121&lt;&gt;Constants!$B$4,"",$BT121))</f>
        <v/>
      </c>
      <c r="CZ121" s="104" t="str">
        <f aca="false">IF(ISBLANK($C121),"",IF($BL121&lt;&gt;Constants!$B$4,"",$BU121+$BV121))</f>
        <v/>
      </c>
      <c r="DA121" s="104" t="str">
        <f aca="false">IF(ISBLANK($C121),"",IF($BL121&lt;&gt;Constants!$B$4,"",$BW121))</f>
        <v/>
      </c>
      <c r="DB121" s="104" t="str">
        <f aca="false">IF(ISBLANK($C121),"",IF($BL121&lt;&gt;Constants!$B$4,"",-$CD121))</f>
        <v/>
      </c>
      <c r="DC121" s="103" t="str">
        <f aca="false">IF(ISBLANK($C121),"",$CE121)</f>
        <v/>
      </c>
      <c r="DD121" s="105" t="str">
        <f aca="false">IF(ISBLANK($C121),"",$BM121)</f>
        <v/>
      </c>
      <c r="DE121" s="104" t="str">
        <f aca="false">IF(ISBLANK($C121),"",$CL121)</f>
        <v/>
      </c>
      <c r="DF121" s="104" t="str">
        <f aca="false">IF(ISBLANK($C121),"",$CK121)</f>
        <v/>
      </c>
      <c r="DG121" s="106" t="str">
        <f aca="false">IF(ISBLANK($C121),"",IF($DF121=Constants!$B$7,COUNTA($C$9:$C$508)+2,IF($DF121=Constants!$B$6,COUNTA($C$9:$C$508)+1,IF($DF121=Constants!$B$5,COUNTA($C$9:$C$508),$DF121))))</f>
        <v/>
      </c>
      <c r="DH121" s="7"/>
      <c r="DI121" s="107" t="n">
        <f aca="false">IF(OR(ISNUMBER($DF121),$DF121=Constants!$B$7,$DF121=Constants!$B$5,$DF121=Constants!$B$6),1,0)</f>
        <v>0</v>
      </c>
      <c r="DJ121" s="107" t="n">
        <v>113</v>
      </c>
      <c r="DK121" s="107" t="str">
        <f aca="false">IF(ISBLANK($C121),"",IF(ISNUMBER($DG121),$DG121+ROW($B121)/1000,""))</f>
        <v/>
      </c>
      <c r="DL121" s="107" t="str">
        <f aca="false">IF(ISNUMBER($DK121),RANK($DK121,$DK$9:$DK$508,1),"")</f>
        <v/>
      </c>
      <c r="DM121" s="107" t="str">
        <f aca="false">IF(ISBLANK($C121),"",$B121)</f>
        <v/>
      </c>
      <c r="DN121" s="107" t="str">
        <f aca="false">IF(ISBLANK($C121),"",$C121)</f>
        <v/>
      </c>
      <c r="DO121" s="107" t="str">
        <f aca="false">IF(ISBLANK($C121),"",$D121)</f>
        <v/>
      </c>
      <c r="DP121" s="108" t="str">
        <f aca="false">$DD121</f>
        <v/>
      </c>
      <c r="DQ121" s="109" t="str">
        <f aca="false">$DC121</f>
        <v/>
      </c>
      <c r="DR121" s="107" t="str">
        <f aca="false">IF(ISBLANK($C121),"",$DF121)</f>
        <v/>
      </c>
      <c r="DS121" s="110" t="str">
        <f aca="false">IF($DJ121&gt;$DI$8,"",VLOOKUP($DJ121,$DL$9:$DR$508,7,FALSE()))</f>
        <v/>
      </c>
      <c r="DT121" s="111" t="str">
        <f aca="false">IF($DJ121&gt;$DI$8,"",VLOOKUP($DJ121,$DL$9:$DR$508,2,FALSE()))</f>
        <v/>
      </c>
      <c r="DU121" s="111" t="str">
        <f aca="false">IF($DJ121&gt;$DI$8,"",VLOOKUP($DJ121,$DL$9:$DR$508,3,FALSE()))</f>
        <v/>
      </c>
      <c r="DV121" s="111" t="str">
        <f aca="false">IF($DJ121&gt;$DI$8,"",VLOOKUP($DJ121,$DL$9:$DR$508,4,FALSE()))</f>
        <v/>
      </c>
      <c r="DW121" s="111" t="str">
        <f aca="false">IF($DJ121&gt;$DI$8,"",VLOOKUP($DJ121,$DL$9:$DR$508,5,FALSE()))</f>
        <v/>
      </c>
      <c r="DX121" s="112" t="str">
        <f aca="false">IF($DJ121&gt;$DI$8,"",VLOOKUP($DJ121,$DL$9:$DR$508,6,FALSE()))</f>
        <v/>
      </c>
      <c r="DY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130"/>
      <c r="N122" s="130"/>
      <c r="O122" s="135"/>
      <c r="P122" s="135"/>
      <c r="Q122" s="130"/>
      <c r="R122" s="130"/>
      <c r="S122" s="130"/>
      <c r="T122" s="130"/>
      <c r="U122" s="135"/>
      <c r="V122" s="130"/>
      <c r="W122" s="96"/>
      <c r="X122" s="130"/>
      <c r="Y122" s="130"/>
      <c r="Z122" s="96"/>
      <c r="AA122" s="96"/>
      <c r="AB122" s="130"/>
      <c r="AC122" s="130"/>
      <c r="AD122" s="130"/>
      <c r="AE122" s="97"/>
      <c r="AF122" s="130"/>
      <c r="AG122" s="99"/>
      <c r="AH122" s="100"/>
      <c r="AI122" s="100"/>
      <c r="AJ122" s="100" t="str">
        <f aca="false">IF(ISBLANK($C122),"",IF($E122=Constants!$B$2,TRUE(),IF($E122=Constants!$B$3,FALSE(),TRUE())))</f>
        <v/>
      </c>
      <c r="AK122" s="100" t="str">
        <f aca="false">IF(ISBLANK($C122),"",IF($F122=Constants!$B$2,TRUE(),IF($F122=Constants!$B$3,FALSE(),FALSE())))</f>
        <v/>
      </c>
      <c r="AL122" s="100" t="str">
        <f aca="false">IF(ISBLANK($C122),"",IF($G122=Constants!$B$2,TRUE(),IF($G122=Constants!$B$3,FALSE(),TRUE())))</f>
        <v/>
      </c>
      <c r="AM122" s="100" t="str">
        <f aca="false">IF(ISBLANK($C122),"",IF($H122=Constants!$B$2,TRUE(),IF($H122=Constants!$B$3,FALSE(),TRUE())))</f>
        <v/>
      </c>
      <c r="AN122" s="100" t="str">
        <f aca="false">IF(ISBLANK($C122),"",IF(ISNUMBER($I122),IF($I122&gt;=0,$I122,""),""))</f>
        <v/>
      </c>
      <c r="AO122" s="100" t="str">
        <f aca="false">IF(ISBLANK($C122),"",IF(ISNUMBER($J122),IF($J122&gt;=0,$J122,""),""))</f>
        <v/>
      </c>
      <c r="AP122" s="100" t="str">
        <f aca="false">IF(ISBLANK($C122),"",IF(ISNUMBER($K122),IF($K122&gt;=0,$K122,""),""))</f>
        <v/>
      </c>
      <c r="AQ122" s="100" t="str">
        <f aca="false">IF(ISBLANK($C122),"",IF($L122=Constants!$B$2,TRUE(),IF($L122=Constants!$B$3,FALSE(),TRUE())))</f>
        <v/>
      </c>
      <c r="AR122" s="100" t="str">
        <f aca="false">IF(ISBLANK($C122),"",IF($M122=Constants!$B$2,TRUE(),IF($M122=Constants!$B$3,FALSE(),TRUE())))</f>
        <v/>
      </c>
      <c r="AS122" s="100" t="str">
        <f aca="false">IF(ISBLANK($C122),"",IF($N122=Constants!$B$2,TRUE(),IF($N122=Constants!$B$3,FALSE(),FALSE())))</f>
        <v/>
      </c>
      <c r="AT122" s="100" t="str">
        <f aca="false">IF(ISBLANK($C122),"",IF($O122=Constants!$B$2,TRUE(),IF($O122=Constants!$B$3,FALSE(),TRUE())))</f>
        <v/>
      </c>
      <c r="AU122" s="100" t="str">
        <f aca="false">IF(ISBLANK($C122),"",IF($P122=Constants!$B$2,TRUE(),IF($P122=Constants!$B$3,FALSE(),TRUE())))</f>
        <v/>
      </c>
      <c r="AV122" s="100" t="str">
        <f aca="false">IF(ISBLANK($C122),"",IF($Q122=Constants!$B$2,TRUE(),IF($Q122=Constants!$B$3,FALSE(),FALSE())))</f>
        <v/>
      </c>
      <c r="AW122" s="100" t="str">
        <f aca="false">IF(ISBLANK($C122),"",IF($R122=Constants!$B$2,TRUE(),IF($R122=Constants!$B$3,FALSE(),FALSE())))</f>
        <v/>
      </c>
      <c r="AX122" s="100" t="str">
        <f aca="false">IF(ISBLANK($C122),"",IF($S122=Constants!$B$2,TRUE(),IF($S122=Constants!$B$3,FALSE(),FALSE())))</f>
        <v/>
      </c>
      <c r="AY122" s="100" t="str">
        <f aca="false">IF(ISBLANK($C122),"",IF($T122=Constants!$B$2,TRUE(),IF($T122=Constants!$B$3,FALSE(),FALSE())))</f>
        <v/>
      </c>
      <c r="AZ122" s="100" t="str">
        <f aca="false">IF(ISBLANK($C122),"",IF($U122=Constants!$B$2,TRUE(),IF($U122=Constants!$B$3,FALSE(),FALSE())))</f>
        <v/>
      </c>
      <c r="BA122" s="100" t="str">
        <f aca="false">IF(ISBLANK($C122),"",IF(OR($V122&amp;""="1",$V122&amp;""="2",$V122&amp;""="3",$V122&amp;""="4"),VALUE($V122&amp;""),IF($V122=Constants!$B$12,Constants!$B$12,"")))</f>
        <v/>
      </c>
      <c r="BB122" s="100" t="str">
        <f aca="false">IF(ISBLANK($C122),"",IF(ISBLANK($W122),0,IF(ISNUMBER($W122),IF(AND($W122&gt;=0,$W122&lt;=Constants!$B$21,$W122=INT($W122)),$W122,""),"")))</f>
        <v/>
      </c>
      <c r="BC122" s="100" t="str">
        <f aca="false">IF(ISBLANK($C122),"",IF(ISBLANK($X122),0,IF(ISNUMBER($X122),IF($X122&gt;=0,$X122,""),"")))</f>
        <v/>
      </c>
      <c r="BD122" s="100" t="str">
        <f aca="false">IF(ISBLANK($C122),"",IF($Y122=Constants!$B$2,TRUE(),IF($Y122=Constants!$B$3,FALSE(),TRUE())))</f>
        <v/>
      </c>
      <c r="BE122" s="100" t="str">
        <f aca="false">IF(ISBLANK($C122),"",IF($Z122=Constants!$B$2,TRUE(),IF($Z122=Constants!$B$3,FALSE(),FALSE())))</f>
        <v/>
      </c>
      <c r="BF122" s="100" t="str">
        <f aca="false">IF(ISBLANK($C122),"",IF(ISBLANK($AA122),0,IF(ISNUMBER($AA122),IF(AND($AA122&gt;=0,$AA122&lt;=Constants!$B$35,$AA122=INT($AA122)),$AA122,""),"")))</f>
        <v/>
      </c>
      <c r="BG122" s="100" t="str">
        <f aca="false">IF(ISBLANK($C122),"",IF($AB122=Constants!$B$2,TRUE(),IF($AB122=Constants!$B$3,FALSE(),TRUE())))</f>
        <v/>
      </c>
      <c r="BH122" s="100" t="str">
        <f aca="false">IF(ISBLANK($C122),"",IF($AC122=Constants!$B$2,TRUE(),IF($AC122=Constants!$B$3,FALSE(),TRUE())))</f>
        <v/>
      </c>
      <c r="BI122" s="100" t="str">
        <f aca="false">IF(ISBLANK($C122),"",IF($AD122=Constants!$B$2,TRUE(),IF($AD122=Constants!$B$3,FALSE(),TRUE())))</f>
        <v/>
      </c>
      <c r="BJ122" s="100" t="str">
        <f aca="false">IF(ISBLANK($C122),"",IF(ISNUMBER($AE122),IF($AE122&gt;=0,$AE122,""),""))</f>
        <v/>
      </c>
      <c r="BK122" s="100" t="str">
        <f aca="false">IF(ISBLANK($C122),"",IF($AF122=Constants!$B$2,TRUE(),IF($AF122=Constants!$B$3,FALSE(),FALSE())))</f>
        <v/>
      </c>
      <c r="BL122" s="99" t="str">
        <f aca="false">IF(ISBLANK($C122),"",IF($BK122,Constants!$B$7,IF(COUNTA($E122:$AE122)=0,Constants!$B$6,IF(OR(COUNTA($G122:$AE122)=0,NOT($AM122),$AS122),Constants!$B$5,IF(OR($CM122&lt;&gt;"",$CN122,$CO122,$CP122,$CQ122,$CR122,$CS122),Constants!$B$8,Constants!$B$4)))))</f>
        <v/>
      </c>
      <c r="BM122" s="100" t="str">
        <f aca="false">IF(ISBLANK($C122),"",IF($BL122&lt;&gt;Constants!$B$4,$BL122,IF(OR(NOT($AJ122),NOT($AL122),NOT($AT122)),Constants!$B$11,IF(OR(NOT($AR122),NOT($AU122),NOT($BI122),MAX($AN122,$AO122,$AP122)&gt;Constants!$B$30),Constants!$B$10,Constants!$B$9))))</f>
        <v/>
      </c>
      <c r="BN122" s="100" t="str">
        <f aca="false">IF($BL122&lt;&gt;Constants!$B$4,"",IF(NOT($AL122),0,MIN(Constants!$B$35,$BF122)))</f>
        <v/>
      </c>
      <c r="BO122" s="100" t="str">
        <f aca="false">IF($BL122&lt;&gt;Constants!$B$4,"",IF(NOT($AL122),0,IF($AW122,Constants!$B$18,IF($AV122,Constants!$B$17,0))))</f>
        <v/>
      </c>
      <c r="BP122" s="100" t="str">
        <f aca="false">IF($BL122&lt;&gt;Constants!$B$4,"",IF(NOT($AL122),0,Constants!$B$19*($AK122+$AX122+$AY122+$AZ122)))</f>
        <v/>
      </c>
      <c r="BQ122" s="100" t="str">
        <f aca="false">IF($BL122&lt;&gt;Constants!$B$4,"",IF(OR(NOT($AL122),NOT(ISNUMBER($BA122))),0,CHOOSE($BA122,Constants!$B$13,Constants!$B$14,Constants!$B$15,Constants!$B$16)))</f>
        <v/>
      </c>
      <c r="BR122" s="100" t="str">
        <f aca="false">IF($BL122&lt;&gt;Constants!$B$4,"",IF(NOT($AL122),0,Constants!$B$20*$BB122))</f>
        <v/>
      </c>
      <c r="BS122" s="100" t="str">
        <f aca="false">IF($BL122&lt;&gt;Constants!$B$4,"",IF(AND($AL122,$BD122,$BE122),Constants!$B$22,0))</f>
        <v/>
      </c>
      <c r="BT122" s="100" t="str">
        <f aca="false">IF($BL122&lt;&gt;Constants!$B$4,"",IF(OR(NOT($AL122),NOT($BD122)),0,IF($BJ122&gt;=2*$AH$9,0,Constants!$B$23*INT(ROUND(MIN($BJ122,$AH$9),6)))))</f>
        <v/>
      </c>
      <c r="BU122" s="100" t="str">
        <f aca="false">IF($BL122&lt;&gt;Constants!$B$4,"",IF(NOT($AL122),0,Constants!$B$24*INT(ROUND(MIN($BC122,$AH$9),6))))</f>
        <v/>
      </c>
      <c r="BV122" s="100" t="str">
        <f aca="false">IF($BL122&lt;&gt;Constants!$B$4,"",IF(AND($AL122,$BN122=0),Constants!$B$25,0))</f>
        <v/>
      </c>
      <c r="BW122" s="100" t="str">
        <f aca="false">IF($BL122&lt;&gt;Constants!$B$4,"",MIN(Constants!$B$29,MAX(0,Constants!$B$27*Constants!$B$28*INT(ROUND((Constants!$B$26-$AN122)/Constants!$B$28,6))))+MIN(Constants!$B$29,MAX(0,Constants!$B$27*Constants!$B$28*INT(ROUND((Constants!$B$26-$AO122)/Constants!$B$28,6))))+MIN(Constants!$B$29,MAX(0,Constants!$B$27*Constants!$B$28*INT(ROUND((Constants!$B$26-$AP122)/Constants!$B$28,6)))))</f>
        <v/>
      </c>
      <c r="BX122" s="100" t="str">
        <f aca="false">IF($BL122&lt;&gt;Constants!$B$4,"",IF(NOT($AL122),0,Constants!$B$31*INT(ROUND(MAX(0,MIN($BJ122,2*$AH$9)-$AH$9),6))))</f>
        <v/>
      </c>
      <c r="BY122" s="100" t="str">
        <f aca="false">IF($BL122&lt;&gt;Constants!$B$4,"",Constants!$B$32*(($AN122&gt;Constants!$B$26)+($AO122&gt;Constants!$B$26)+($AP122&gt;Constants!$B$26)))</f>
        <v/>
      </c>
      <c r="BZ122" s="100" t="str">
        <f aca="false">IF($BL122&lt;&gt;Constants!$B$4,"",IF(OR(NOT($AL122),$AQ122),0,Constants!$B$33))</f>
        <v/>
      </c>
      <c r="CA122" s="100" t="str">
        <f aca="false">IF($BL122&lt;&gt;Constants!$B$4,"",Constants!$B$34*$BN122)</f>
        <v/>
      </c>
      <c r="CB122" s="100" t="str">
        <f aca="false">IF($BL122&lt;&gt;Constants!$B$4,"",IF(OR(NOT($AL122),$BH122),0,Constants!$B$36))</f>
        <v/>
      </c>
      <c r="CC122" s="100" t="str">
        <f aca="false">IF($BL122&lt;&gt;Constants!$B$4,"",IF(OR(NOT($AL122),$BG122),0,Constants!$B$37))</f>
        <v/>
      </c>
      <c r="CD122" s="100" t="str">
        <f aca="false">IF($BL122&lt;&gt;Constants!$B$4,"",SUM($BX122:$CC122))</f>
        <v/>
      </c>
      <c r="CE122" s="100" t="str">
        <f aca="false">IF(ISBLANK($C122),"",IF($BL122&lt;&gt;Constants!$B$4,$BL122,SUM($BO122:$BW122)-$CD122))</f>
        <v/>
      </c>
      <c r="CF122" s="100" t="str">
        <f aca="false">IF(ISBLANK($C122),"",IF($BL122&lt;&gt;Constants!$B$4,$BL122,RANK($CE122,$CE$9:$CE$508)))</f>
        <v/>
      </c>
      <c r="CG122" s="100" t="str">
        <f aca="false">IF(ISBLANK($C122),"",IF($BL122&lt;&gt;Constants!$B$4,$BL122,COUNTIFS($BM$9:$BM$508,"&lt;"&amp;$BM122)+COUNTIFS($BM$9:$BM$508,$BM122,$CF$9:$CF$508,"&lt;"&amp;$CF122)+1))</f>
        <v/>
      </c>
      <c r="CH122" s="100" t="str">
        <f aca="false">IF(ISBLANK($C122),"",IF($BL122&lt;&gt;Constants!$B$4,$BL122,RANK($CD122,$CD$9:$CD$508,1)))</f>
        <v/>
      </c>
      <c r="CI122" s="100" t="str">
        <f aca="false">IF($BL122&lt;&gt;Constants!$B$4,"",$AN122+$AO122+$AP122)</f>
        <v/>
      </c>
      <c r="CJ122" s="100" t="str">
        <f aca="false">IF(ISBLANK($C122),"",IF($BL122&lt;&gt;Constants!$B$4,$BL122,RANK($CI122,$CI$9:$CI$508,1)))</f>
        <v/>
      </c>
      <c r="CK122" s="100" t="str">
        <f aca="false">IF(ISBLANK($C122),"",IF($BL122&lt;&gt;Constants!$B$4,$BL122,COUNTIFS($BM$9:$BM$508,"&lt;"&amp;$BM122)+COUNTIFS($BM$9:$BM$508,$BM122,$CF$9:$CF$508,"&lt;"&amp;$CF122)+COUNTIFS($BM$9:$BM$508,$BM122,$CF$9:$CF$508,$CF122,$CH$9:$CH$508,"&lt;"&amp;$CH122)+COUNTIFS($BM$9:$BM$508,$BM122,$CF$9:$CF$508,$CF122,$CH$9:$CH$508,$CH122,$CJ$9:$CJ$508,"&lt;"&amp;$CJ122)+1))</f>
        <v/>
      </c>
      <c r="CL122" s="100" t="str">
        <f aca="false">IF(ISBLANK($C122),"",IF($BL122&lt;&gt;Constants!$B$4,$BL122,$CG122-$CK122))</f>
        <v/>
      </c>
      <c r="CM122" s="100" t="str">
        <f aca="false">IF(ISBLANK($C122),"",IF(NOT($AL122),"",IF(ISBLANK($D$7),$CM$5,IF(NOT(ISNUMBER($D$7)),$CM$6,""))))</f>
        <v/>
      </c>
      <c r="CN122" s="100" t="str">
        <f aca="false">IF(ISBLANK($C122),"",OR($AN122="",$AO122="",$AP122=""))</f>
        <v/>
      </c>
      <c r="CO122" s="100" t="str">
        <f aca="false">IF(ISBLANK($C122),"",AND($AL122,$BA122=""))</f>
        <v/>
      </c>
      <c r="CP122" s="100" t="str">
        <f aca="false">IF(ISBLANK($C122),"",AND($AL122,$BB122=""))</f>
        <v/>
      </c>
      <c r="CQ122" s="100" t="str">
        <f aca="false">IF(ISBLANK($C122),"",AND($AL122,$BC122=""))</f>
        <v/>
      </c>
      <c r="CR122" s="100" t="str">
        <f aca="false">IF(ISBLANK($C122),"",AND($AL122,$BF122=""))</f>
        <v/>
      </c>
      <c r="CS122" s="100" t="str">
        <f aca="false">IF(ISBLANK($C122),"",AND($AL122,$BJ122=""))</f>
        <v/>
      </c>
      <c r="CT122" s="101"/>
      <c r="CU122" s="102"/>
      <c r="CV122" s="103" t="str">
        <f aca="false">IF(ISBLANK($C122),"",IF($BL122=Constants!$B$8,$CM122,""))</f>
        <v/>
      </c>
      <c r="CW122" s="102" t="str">
        <f aca="false">IF(ISBLANK($C122),"",IF($BL122&lt;&gt;Constants!$B$4,"",$BO122+$BP122))</f>
        <v/>
      </c>
      <c r="CX122" s="104" t="str">
        <f aca="false">IF(ISBLANK($C122),"",IF($BL122&lt;&gt;Constants!$B$4,"",$BQ122+$BR122+$BS122))</f>
        <v/>
      </c>
      <c r="CY122" s="104" t="str">
        <f aca="false">IF(ISBLANK($C122),"",IF($BL122&lt;&gt;Constants!$B$4,"",$BT122))</f>
        <v/>
      </c>
      <c r="CZ122" s="104" t="str">
        <f aca="false">IF(ISBLANK($C122),"",IF($BL122&lt;&gt;Constants!$B$4,"",$BU122+$BV122))</f>
        <v/>
      </c>
      <c r="DA122" s="104" t="str">
        <f aca="false">IF(ISBLANK($C122),"",IF($BL122&lt;&gt;Constants!$B$4,"",$BW122))</f>
        <v/>
      </c>
      <c r="DB122" s="104" t="str">
        <f aca="false">IF(ISBLANK($C122),"",IF($BL122&lt;&gt;Constants!$B$4,"",-$CD122))</f>
        <v/>
      </c>
      <c r="DC122" s="103" t="str">
        <f aca="false">IF(ISBLANK($C122),"",$CE122)</f>
        <v/>
      </c>
      <c r="DD122" s="105" t="str">
        <f aca="false">IF(ISBLANK($C122),"",$BM122)</f>
        <v/>
      </c>
      <c r="DE122" s="104" t="str">
        <f aca="false">IF(ISBLANK($C122),"",$CL122)</f>
        <v/>
      </c>
      <c r="DF122" s="104" t="str">
        <f aca="false">IF(ISBLANK($C122),"",$CK122)</f>
        <v/>
      </c>
      <c r="DG122" s="106" t="str">
        <f aca="false">IF(ISBLANK($C122),"",IF($DF122=Constants!$B$7,COUNTA($C$9:$C$508)+2,IF($DF122=Constants!$B$6,COUNTA($C$9:$C$508)+1,IF($DF122=Constants!$B$5,COUNTA($C$9:$C$508),$DF122))))</f>
        <v/>
      </c>
      <c r="DH122" s="7"/>
      <c r="DI122" s="107" t="n">
        <f aca="false">IF(OR(ISNUMBER($DF122),$DF122=Constants!$B$7,$DF122=Constants!$B$5,$DF122=Constants!$B$6),1,0)</f>
        <v>0</v>
      </c>
      <c r="DJ122" s="107" t="n">
        <v>114</v>
      </c>
      <c r="DK122" s="107" t="str">
        <f aca="false">IF(ISBLANK($C122),"",IF(ISNUMBER($DG122),$DG122+ROW($B122)/1000,""))</f>
        <v/>
      </c>
      <c r="DL122" s="107" t="str">
        <f aca="false">IF(ISNUMBER($DK122),RANK($DK122,$DK$9:$DK$508,1),"")</f>
        <v/>
      </c>
      <c r="DM122" s="107" t="str">
        <f aca="false">IF(ISBLANK($C122),"",$B122)</f>
        <v/>
      </c>
      <c r="DN122" s="107" t="str">
        <f aca="false">IF(ISBLANK($C122),"",$C122)</f>
        <v/>
      </c>
      <c r="DO122" s="107" t="str">
        <f aca="false">IF(ISBLANK($C122),"",$D122)</f>
        <v/>
      </c>
      <c r="DP122" s="108" t="str">
        <f aca="false">$DD122</f>
        <v/>
      </c>
      <c r="DQ122" s="109" t="str">
        <f aca="false">$DC122</f>
        <v/>
      </c>
      <c r="DR122" s="107" t="str">
        <f aca="false">IF(ISBLANK($C122),"",$DF122)</f>
        <v/>
      </c>
      <c r="DS122" s="110" t="str">
        <f aca="false">IF($DJ122&gt;$DI$8,"",VLOOKUP($DJ122,$DL$9:$DR$508,7,FALSE()))</f>
        <v/>
      </c>
      <c r="DT122" s="111" t="str">
        <f aca="false">IF($DJ122&gt;$DI$8,"",VLOOKUP($DJ122,$DL$9:$DR$508,2,FALSE()))</f>
        <v/>
      </c>
      <c r="DU122" s="111" t="str">
        <f aca="false">IF($DJ122&gt;$DI$8,"",VLOOKUP($DJ122,$DL$9:$DR$508,3,FALSE()))</f>
        <v/>
      </c>
      <c r="DV122" s="111" t="str">
        <f aca="false">IF($DJ122&gt;$DI$8,"",VLOOKUP($DJ122,$DL$9:$DR$508,4,FALSE()))</f>
        <v/>
      </c>
      <c r="DW122" s="111" t="str">
        <f aca="false">IF($DJ122&gt;$DI$8,"",VLOOKUP($DJ122,$DL$9:$DR$508,5,FALSE()))</f>
        <v/>
      </c>
      <c r="DX122" s="112" t="str">
        <f aca="false">IF($DJ122&gt;$DI$8,"",VLOOKUP($DJ122,$DL$9:$DR$508,6,FALSE()))</f>
        <v/>
      </c>
      <c r="DY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88"/>
      <c r="N123" s="88"/>
      <c r="O123" s="134"/>
      <c r="P123" s="134"/>
      <c r="Q123" s="88"/>
      <c r="R123" s="88"/>
      <c r="S123" s="88"/>
      <c r="T123" s="88"/>
      <c r="U123" s="134"/>
      <c r="V123" s="88"/>
      <c r="W123" s="70"/>
      <c r="X123" s="88"/>
      <c r="Y123" s="88"/>
      <c r="Z123" s="70"/>
      <c r="AA123" s="70"/>
      <c r="AB123" s="88"/>
      <c r="AC123" s="88"/>
      <c r="AD123" s="88"/>
      <c r="AE123" s="71"/>
      <c r="AF123" s="88"/>
      <c r="AG123" s="73"/>
      <c r="AH123" s="74"/>
      <c r="AI123" s="74"/>
      <c r="AJ123" s="74" t="str">
        <f aca="false">IF(ISBLANK($C123),"",IF($E123=Constants!$B$2,TRUE(),IF($E123=Constants!$B$3,FALSE(),TRUE())))</f>
        <v/>
      </c>
      <c r="AK123" s="74" t="str">
        <f aca="false">IF(ISBLANK($C123),"",IF($F123=Constants!$B$2,TRUE(),IF($F123=Constants!$B$3,FALSE(),FALSE())))</f>
        <v/>
      </c>
      <c r="AL123" s="74" t="str">
        <f aca="false">IF(ISBLANK($C123),"",IF($G123=Constants!$B$2,TRUE(),IF($G123=Constants!$B$3,FALSE(),TRUE())))</f>
        <v/>
      </c>
      <c r="AM123" s="74" t="str">
        <f aca="false">IF(ISBLANK($C123),"",IF($H123=Constants!$B$2,TRUE(),IF($H123=Constants!$B$3,FALSE(),TRUE())))</f>
        <v/>
      </c>
      <c r="AN123" s="74" t="str">
        <f aca="false">IF(ISBLANK($C123),"",IF(ISNUMBER($I123),IF($I123&gt;=0,$I123,""),""))</f>
        <v/>
      </c>
      <c r="AO123" s="74" t="str">
        <f aca="false">IF(ISBLANK($C123),"",IF(ISNUMBER($J123),IF($J123&gt;=0,$J123,""),""))</f>
        <v/>
      </c>
      <c r="AP123" s="74" t="str">
        <f aca="false">IF(ISBLANK($C123),"",IF(ISNUMBER($K123),IF($K123&gt;=0,$K123,""),""))</f>
        <v/>
      </c>
      <c r="AQ123" s="74" t="str">
        <f aca="false">IF(ISBLANK($C123),"",IF($L123=Constants!$B$2,TRUE(),IF($L123=Constants!$B$3,FALSE(),TRUE())))</f>
        <v/>
      </c>
      <c r="AR123" s="74" t="str">
        <f aca="false">IF(ISBLANK($C123),"",IF($M123=Constants!$B$2,TRUE(),IF($M123=Constants!$B$3,FALSE(),TRUE())))</f>
        <v/>
      </c>
      <c r="AS123" s="74" t="str">
        <f aca="false">IF(ISBLANK($C123),"",IF($N123=Constants!$B$2,TRUE(),IF($N123=Constants!$B$3,FALSE(),FALSE())))</f>
        <v/>
      </c>
      <c r="AT123" s="74" t="str">
        <f aca="false">IF(ISBLANK($C123),"",IF($O123=Constants!$B$2,TRUE(),IF($O123=Constants!$B$3,FALSE(),TRUE())))</f>
        <v/>
      </c>
      <c r="AU123" s="74" t="str">
        <f aca="false">IF(ISBLANK($C123),"",IF($P123=Constants!$B$2,TRUE(),IF($P123=Constants!$B$3,FALSE(),TRUE())))</f>
        <v/>
      </c>
      <c r="AV123" s="74" t="str">
        <f aca="false">IF(ISBLANK($C123),"",IF($Q123=Constants!$B$2,TRUE(),IF($Q123=Constants!$B$3,FALSE(),FALSE())))</f>
        <v/>
      </c>
      <c r="AW123" s="74" t="str">
        <f aca="false">IF(ISBLANK($C123),"",IF($R123=Constants!$B$2,TRUE(),IF($R123=Constants!$B$3,FALSE(),FALSE())))</f>
        <v/>
      </c>
      <c r="AX123" s="74" t="str">
        <f aca="false">IF(ISBLANK($C123),"",IF($S123=Constants!$B$2,TRUE(),IF($S123=Constants!$B$3,FALSE(),FALSE())))</f>
        <v/>
      </c>
      <c r="AY123" s="74" t="str">
        <f aca="false">IF(ISBLANK($C123),"",IF($T123=Constants!$B$2,TRUE(),IF($T123=Constants!$B$3,FALSE(),FALSE())))</f>
        <v/>
      </c>
      <c r="AZ123" s="74" t="str">
        <f aca="false">IF(ISBLANK($C123),"",IF($U123=Constants!$B$2,TRUE(),IF($U123=Constants!$B$3,FALSE(),FALSE())))</f>
        <v/>
      </c>
      <c r="BA123" s="74" t="str">
        <f aca="false">IF(ISBLANK($C123),"",IF(OR($V123&amp;""="1",$V123&amp;""="2",$V123&amp;""="3",$V123&amp;""="4"),VALUE($V123&amp;""),IF($V123=Constants!$B$12,Constants!$B$12,"")))</f>
        <v/>
      </c>
      <c r="BB123" s="74" t="str">
        <f aca="false">IF(ISBLANK($C123),"",IF(ISBLANK($W123),0,IF(ISNUMBER($W123),IF(AND($W123&gt;=0,$W123&lt;=Constants!$B$21,$W123=INT($W123)),$W123,""),"")))</f>
        <v/>
      </c>
      <c r="BC123" s="74" t="str">
        <f aca="false">IF(ISBLANK($C123),"",IF(ISBLANK($X123),0,IF(ISNUMBER($X123),IF($X123&gt;=0,$X123,""),"")))</f>
        <v/>
      </c>
      <c r="BD123" s="74" t="str">
        <f aca="false">IF(ISBLANK($C123),"",IF($Y123=Constants!$B$2,TRUE(),IF($Y123=Constants!$B$3,FALSE(),TRUE())))</f>
        <v/>
      </c>
      <c r="BE123" s="74" t="str">
        <f aca="false">IF(ISBLANK($C123),"",IF($Z123=Constants!$B$2,TRUE(),IF($Z123=Constants!$B$3,FALSE(),FALSE())))</f>
        <v/>
      </c>
      <c r="BF123" s="74" t="str">
        <f aca="false">IF(ISBLANK($C123),"",IF(ISBLANK($AA123),0,IF(ISNUMBER($AA123),IF(AND($AA123&gt;=0,$AA123&lt;=Constants!$B$35,$AA123=INT($AA123)),$AA123,""),"")))</f>
        <v/>
      </c>
      <c r="BG123" s="74" t="str">
        <f aca="false">IF(ISBLANK($C123),"",IF($AB123=Constants!$B$2,TRUE(),IF($AB123=Constants!$B$3,FALSE(),TRUE())))</f>
        <v/>
      </c>
      <c r="BH123" s="74" t="str">
        <f aca="false">IF(ISBLANK($C123),"",IF($AC123=Constants!$B$2,TRUE(),IF($AC123=Constants!$B$3,FALSE(),TRUE())))</f>
        <v/>
      </c>
      <c r="BI123" s="74" t="str">
        <f aca="false">IF(ISBLANK($C123),"",IF($AD123=Constants!$B$2,TRUE(),IF($AD123=Constants!$B$3,FALSE(),TRUE())))</f>
        <v/>
      </c>
      <c r="BJ123" s="74" t="str">
        <f aca="false">IF(ISBLANK($C123),"",IF(ISNUMBER($AE123),IF($AE123&gt;=0,$AE123,""),""))</f>
        <v/>
      </c>
      <c r="BK123" s="74" t="str">
        <f aca="false">IF(ISBLANK($C123),"",IF($AF123=Constants!$B$2,TRUE(),IF($AF123=Constants!$B$3,FALSE(),FALSE())))</f>
        <v/>
      </c>
      <c r="BL123" s="73" t="str">
        <f aca="false">IF(ISBLANK($C123),"",IF($BK123,Constants!$B$7,IF(COUNTA($E123:$AE123)=0,Constants!$B$6,IF(OR(COUNTA($G123:$AE123)=0,NOT($AM123),$AS123),Constants!$B$5,IF(OR($CM123&lt;&gt;"",$CN123,$CO123,$CP123,$CQ123,$CR123,$CS123),Constants!$B$8,Constants!$B$4)))))</f>
        <v/>
      </c>
      <c r="BM123" s="74" t="str">
        <f aca="false">IF(ISBLANK($C123),"",IF($BL123&lt;&gt;Constants!$B$4,$BL123,IF(OR(NOT($AJ123),NOT($AL123),NOT($AT123)),Constants!$B$11,IF(OR(NOT($AR123),NOT($AU123),NOT($BI123),MAX($AN123,$AO123,$AP123)&gt;Constants!$B$30),Constants!$B$10,Constants!$B$9))))</f>
        <v/>
      </c>
      <c r="BN123" s="74" t="str">
        <f aca="false">IF($BL123&lt;&gt;Constants!$B$4,"",IF(NOT($AL123),0,MIN(Constants!$B$35,$BF123)))</f>
        <v/>
      </c>
      <c r="BO123" s="74" t="str">
        <f aca="false">IF($BL123&lt;&gt;Constants!$B$4,"",IF(NOT($AL123),0,IF($AW123,Constants!$B$18,IF($AV123,Constants!$B$17,0))))</f>
        <v/>
      </c>
      <c r="BP123" s="74" t="str">
        <f aca="false">IF($BL123&lt;&gt;Constants!$B$4,"",IF(NOT($AL123),0,Constants!$B$19*($AK123+$AX123+$AY123+$AZ123)))</f>
        <v/>
      </c>
      <c r="BQ123" s="74" t="str">
        <f aca="false">IF($BL123&lt;&gt;Constants!$B$4,"",IF(OR(NOT($AL123),NOT(ISNUMBER($BA123))),0,CHOOSE($BA123,Constants!$B$13,Constants!$B$14,Constants!$B$15,Constants!$B$16)))</f>
        <v/>
      </c>
      <c r="BR123" s="74" t="str">
        <f aca="false">IF($BL123&lt;&gt;Constants!$B$4,"",IF(NOT($AL123),0,Constants!$B$20*$BB123))</f>
        <v/>
      </c>
      <c r="BS123" s="74" t="str">
        <f aca="false">IF($BL123&lt;&gt;Constants!$B$4,"",IF(AND($AL123,$BD123,$BE123),Constants!$B$22,0))</f>
        <v/>
      </c>
      <c r="BT123" s="74" t="str">
        <f aca="false">IF($BL123&lt;&gt;Constants!$B$4,"",IF(OR(NOT($AL123),NOT($BD123)),0,IF($BJ123&gt;=2*$AH$9,0,Constants!$B$23*INT(ROUND(MIN($BJ123,$AH$9),6)))))</f>
        <v/>
      </c>
      <c r="BU123" s="74" t="str">
        <f aca="false">IF($BL123&lt;&gt;Constants!$B$4,"",IF(NOT($AL123),0,Constants!$B$24*INT(ROUND(MIN($BC123,$AH$9),6))))</f>
        <v/>
      </c>
      <c r="BV123" s="74" t="str">
        <f aca="false">IF($BL123&lt;&gt;Constants!$B$4,"",IF(AND($AL123,$BN123=0),Constants!$B$25,0))</f>
        <v/>
      </c>
      <c r="BW123" s="74" t="str">
        <f aca="false">IF($BL123&lt;&gt;Constants!$B$4,"",MIN(Constants!$B$29,MAX(0,Constants!$B$27*Constants!$B$28*INT(ROUND((Constants!$B$26-$AN123)/Constants!$B$28,6))))+MIN(Constants!$B$29,MAX(0,Constants!$B$27*Constants!$B$28*INT(ROUND((Constants!$B$26-$AO123)/Constants!$B$28,6))))+MIN(Constants!$B$29,MAX(0,Constants!$B$27*Constants!$B$28*INT(ROUND((Constants!$B$26-$AP123)/Constants!$B$28,6)))))</f>
        <v/>
      </c>
      <c r="BX123" s="74" t="str">
        <f aca="false">IF($BL123&lt;&gt;Constants!$B$4,"",IF(NOT($AL123),0,Constants!$B$31*INT(ROUND(MAX(0,MIN($BJ123,2*$AH$9)-$AH$9),6))))</f>
        <v/>
      </c>
      <c r="BY123" s="74" t="str">
        <f aca="false">IF($BL123&lt;&gt;Constants!$B$4,"",Constants!$B$32*(($AN123&gt;Constants!$B$26)+($AO123&gt;Constants!$B$26)+($AP123&gt;Constants!$B$26)))</f>
        <v/>
      </c>
      <c r="BZ123" s="74" t="str">
        <f aca="false">IF($BL123&lt;&gt;Constants!$B$4,"",IF(OR(NOT($AL123),$AQ123),0,Constants!$B$33))</f>
        <v/>
      </c>
      <c r="CA123" s="74" t="str">
        <f aca="false">IF($BL123&lt;&gt;Constants!$B$4,"",Constants!$B$34*$BN123)</f>
        <v/>
      </c>
      <c r="CB123" s="74" t="str">
        <f aca="false">IF($BL123&lt;&gt;Constants!$B$4,"",IF(OR(NOT($AL123),$BH123),0,Constants!$B$36))</f>
        <v/>
      </c>
      <c r="CC123" s="74" t="str">
        <f aca="false">IF($BL123&lt;&gt;Constants!$B$4,"",IF(OR(NOT($AL123),$BG123),0,Constants!$B$37))</f>
        <v/>
      </c>
      <c r="CD123" s="74" t="str">
        <f aca="false">IF($BL123&lt;&gt;Constants!$B$4,"",SUM($BX123:$CC123))</f>
        <v/>
      </c>
      <c r="CE123" s="74" t="str">
        <f aca="false">IF(ISBLANK($C123),"",IF($BL123&lt;&gt;Constants!$B$4,$BL123,SUM($BO123:$BW123)-$CD123))</f>
        <v/>
      </c>
      <c r="CF123" s="74" t="str">
        <f aca="false">IF(ISBLANK($C123),"",IF($BL123&lt;&gt;Constants!$B$4,$BL123,RANK($CE123,$CE$9:$CE$508)))</f>
        <v/>
      </c>
      <c r="CG123" s="74" t="str">
        <f aca="false">IF(ISBLANK($C123),"",IF($BL123&lt;&gt;Constants!$B$4,$BL123,COUNTIFS($BM$9:$BM$508,"&lt;"&amp;$BM123)+COUNTIFS($BM$9:$BM$508,$BM123,$CF$9:$CF$508,"&lt;"&amp;$CF123)+1))</f>
        <v/>
      </c>
      <c r="CH123" s="74" t="str">
        <f aca="false">IF(ISBLANK($C123),"",IF($BL123&lt;&gt;Constants!$B$4,$BL123,RANK($CD123,$CD$9:$CD$508,1)))</f>
        <v/>
      </c>
      <c r="CI123" s="74" t="str">
        <f aca="false">IF($BL123&lt;&gt;Constants!$B$4,"",$AN123+$AO123+$AP123)</f>
        <v/>
      </c>
      <c r="CJ123" s="74" t="str">
        <f aca="false">IF(ISBLANK($C123),"",IF($BL123&lt;&gt;Constants!$B$4,$BL123,RANK($CI123,$CI$9:$CI$508,1)))</f>
        <v/>
      </c>
      <c r="CK123" s="74" t="str">
        <f aca="false">IF(ISBLANK($C123),"",IF($BL123&lt;&gt;Constants!$B$4,$BL123,COUNTIFS($BM$9:$BM$508,"&lt;"&amp;$BM123)+COUNTIFS($BM$9:$BM$508,$BM123,$CF$9:$CF$508,"&lt;"&amp;$CF123)+COUNTIFS($BM$9:$BM$508,$BM123,$CF$9:$CF$508,$CF123,$CH$9:$CH$508,"&lt;"&amp;$CH123)+COUNTIFS($BM$9:$BM$508,$BM123,$CF$9:$CF$508,$CF123,$CH$9:$CH$508,$CH123,$CJ$9:$CJ$508,"&lt;"&amp;$CJ123)+1))</f>
        <v/>
      </c>
      <c r="CL123" s="74" t="str">
        <f aca="false">IF(ISBLANK($C123),"",IF($BL123&lt;&gt;Constants!$B$4,$BL123,$CG123-$CK123))</f>
        <v/>
      </c>
      <c r="CM123" s="74" t="str">
        <f aca="false">IF(ISBLANK($C123),"",IF(NOT($AL123),"",IF(ISBLANK($D$7),$CM$5,IF(NOT(ISNUMBER($D$7)),$CM$6,""))))</f>
        <v/>
      </c>
      <c r="CN123" s="74" t="str">
        <f aca="false">IF(ISBLANK($C123),"",OR($AN123="",$AO123="",$AP123=""))</f>
        <v/>
      </c>
      <c r="CO123" s="74" t="str">
        <f aca="false">IF(ISBLANK($C123),"",AND($AL123,$BA123=""))</f>
        <v/>
      </c>
      <c r="CP123" s="74" t="str">
        <f aca="false">IF(ISBLANK($C123),"",AND($AL123,$BB123=""))</f>
        <v/>
      </c>
      <c r="CQ123" s="74" t="str">
        <f aca="false">IF(ISBLANK($C123),"",AND($AL123,$BC123=""))</f>
        <v/>
      </c>
      <c r="CR123" s="74" t="str">
        <f aca="false">IF(ISBLANK($C123),"",AND($AL123,$BF123=""))</f>
        <v/>
      </c>
      <c r="CS123" s="74" t="str">
        <f aca="false">IF(ISBLANK($C123),"",AND($AL123,$BJ123=""))</f>
        <v/>
      </c>
      <c r="CT123" s="75"/>
      <c r="CU123" s="76"/>
      <c r="CV123" s="79" t="str">
        <f aca="false">IF(ISBLANK($C123),"",IF($BL123=Constants!$B$8,$CM123,""))</f>
        <v/>
      </c>
      <c r="CW123" s="76" t="str">
        <f aca="false">IF(ISBLANK($C123),"",IF($BL123&lt;&gt;Constants!$B$4,"",$BO123+$BP123))</f>
        <v/>
      </c>
      <c r="CX123" s="78" t="str">
        <f aca="false">IF(ISBLANK($C123),"",IF($BL123&lt;&gt;Constants!$B$4,"",$BQ123+$BR123+$BS123))</f>
        <v/>
      </c>
      <c r="CY123" s="78" t="str">
        <f aca="false">IF(ISBLANK($C123),"",IF($BL123&lt;&gt;Constants!$B$4,"",$BT123))</f>
        <v/>
      </c>
      <c r="CZ123" s="78" t="str">
        <f aca="false">IF(ISBLANK($C123),"",IF($BL123&lt;&gt;Constants!$B$4,"",$BU123+$BV123))</f>
        <v/>
      </c>
      <c r="DA123" s="78" t="str">
        <f aca="false">IF(ISBLANK($C123),"",IF($BL123&lt;&gt;Constants!$B$4,"",$BW123))</f>
        <v/>
      </c>
      <c r="DB123" s="78" t="str">
        <f aca="false">IF(ISBLANK($C123),"",IF($BL123&lt;&gt;Constants!$B$4,"",-$CD123))</f>
        <v/>
      </c>
      <c r="DC123" s="79" t="str">
        <f aca="false">IF(ISBLANK($C123),"",$CE123)</f>
        <v/>
      </c>
      <c r="DD123" s="80" t="str">
        <f aca="false">IF(ISBLANK($C123),"",$BM123)</f>
        <v/>
      </c>
      <c r="DE123" s="78" t="str">
        <f aca="false">IF(ISBLANK($C123),"",$CL123)</f>
        <v/>
      </c>
      <c r="DF123" s="78" t="str">
        <f aca="false">IF(ISBLANK($C123),"",$CK123)</f>
        <v/>
      </c>
      <c r="DG123" s="81" t="str">
        <f aca="false">IF(ISBLANK($C123),"",IF($DF123=Constants!$B$7,COUNTA($C$9:$C$508)+2,IF($DF123=Constants!$B$6,COUNTA($C$9:$C$508)+1,IF($DF123=Constants!$B$5,COUNTA($C$9:$C$508),$DF123))))</f>
        <v/>
      </c>
      <c r="DH123" s="7"/>
      <c r="DI123" s="82" t="n">
        <f aca="false">IF(OR(ISNUMBER($DF123),$DF123=Constants!$B$7,$DF123=Constants!$B$5,$DF123=Constants!$B$6),1,0)</f>
        <v>0</v>
      </c>
      <c r="DJ123" s="82" t="n">
        <v>115</v>
      </c>
      <c r="DK123" s="82" t="str">
        <f aca="false">IF(ISBLANK($C123),"",IF(ISNUMBER($DG123),$DG123+ROW($B123)/1000,""))</f>
        <v/>
      </c>
      <c r="DL123" s="82" t="str">
        <f aca="false">IF(ISNUMBER($DK123),RANK($DK123,$DK$9:$DK$508,1),"")</f>
        <v/>
      </c>
      <c r="DM123" s="82" t="str">
        <f aca="false">IF(ISBLANK($C123),"",$B123)</f>
        <v/>
      </c>
      <c r="DN123" s="82" t="str">
        <f aca="false">IF(ISBLANK($C123),"",$C123)</f>
        <v/>
      </c>
      <c r="DO123" s="82" t="str">
        <f aca="false">IF(ISBLANK($C123),"",$D123)</f>
        <v/>
      </c>
      <c r="DP123" s="83" t="str">
        <f aca="false">$DD123</f>
        <v/>
      </c>
      <c r="DQ123" s="84" t="str">
        <f aca="false">$DC123</f>
        <v/>
      </c>
      <c r="DR123" s="82" t="str">
        <f aca="false">IF(ISBLANK($C123),"",$DF123)</f>
        <v/>
      </c>
      <c r="DS123" s="85" t="str">
        <f aca="false">IF($DJ123&gt;$DI$8,"",VLOOKUP($DJ123,$DL$9:$DR$508,7,FALSE()))</f>
        <v/>
      </c>
      <c r="DT123" s="86" t="str">
        <f aca="false">IF($DJ123&gt;$DI$8,"",VLOOKUP($DJ123,$DL$9:$DR$508,2,FALSE()))</f>
        <v/>
      </c>
      <c r="DU123" s="86" t="str">
        <f aca="false">IF($DJ123&gt;$DI$8,"",VLOOKUP($DJ123,$DL$9:$DR$508,3,FALSE()))</f>
        <v/>
      </c>
      <c r="DV123" s="86" t="str">
        <f aca="false">IF($DJ123&gt;$DI$8,"",VLOOKUP($DJ123,$DL$9:$DR$508,4,FALSE()))</f>
        <v/>
      </c>
      <c r="DW123" s="86" t="str">
        <f aca="false">IF($DJ123&gt;$DI$8,"",VLOOKUP($DJ123,$DL$9:$DR$508,5,FALSE()))</f>
        <v/>
      </c>
      <c r="DX123" s="87" t="str">
        <f aca="false">IF($DJ123&gt;$DI$8,"",VLOOKUP($DJ123,$DL$9:$DR$508,6,FALSE()))</f>
        <v/>
      </c>
      <c r="DY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88"/>
      <c r="N124" s="88"/>
      <c r="O124" s="134"/>
      <c r="P124" s="134"/>
      <c r="Q124" s="88"/>
      <c r="R124" s="88"/>
      <c r="S124" s="88"/>
      <c r="T124" s="88"/>
      <c r="U124" s="134"/>
      <c r="V124" s="88"/>
      <c r="W124" s="70"/>
      <c r="X124" s="88"/>
      <c r="Y124" s="88"/>
      <c r="Z124" s="70"/>
      <c r="AA124" s="70"/>
      <c r="AB124" s="88"/>
      <c r="AC124" s="88"/>
      <c r="AD124" s="88"/>
      <c r="AE124" s="71"/>
      <c r="AF124" s="88"/>
      <c r="AG124" s="73"/>
      <c r="AH124" s="74"/>
      <c r="AI124" s="74"/>
      <c r="AJ124" s="74" t="str">
        <f aca="false">IF(ISBLANK($C124),"",IF($E124=Constants!$B$2,TRUE(),IF($E124=Constants!$B$3,FALSE(),TRUE())))</f>
        <v/>
      </c>
      <c r="AK124" s="74" t="str">
        <f aca="false">IF(ISBLANK($C124),"",IF($F124=Constants!$B$2,TRUE(),IF($F124=Constants!$B$3,FALSE(),FALSE())))</f>
        <v/>
      </c>
      <c r="AL124" s="74" t="str">
        <f aca="false">IF(ISBLANK($C124),"",IF($G124=Constants!$B$2,TRUE(),IF($G124=Constants!$B$3,FALSE(),TRUE())))</f>
        <v/>
      </c>
      <c r="AM124" s="74" t="str">
        <f aca="false">IF(ISBLANK($C124),"",IF($H124=Constants!$B$2,TRUE(),IF($H124=Constants!$B$3,FALSE(),TRUE())))</f>
        <v/>
      </c>
      <c r="AN124" s="74" t="str">
        <f aca="false">IF(ISBLANK($C124),"",IF(ISNUMBER($I124),IF($I124&gt;=0,$I124,""),""))</f>
        <v/>
      </c>
      <c r="AO124" s="74" t="str">
        <f aca="false">IF(ISBLANK($C124),"",IF(ISNUMBER($J124),IF($J124&gt;=0,$J124,""),""))</f>
        <v/>
      </c>
      <c r="AP124" s="74" t="str">
        <f aca="false">IF(ISBLANK($C124),"",IF(ISNUMBER($K124),IF($K124&gt;=0,$K124,""),""))</f>
        <v/>
      </c>
      <c r="AQ124" s="74" t="str">
        <f aca="false">IF(ISBLANK($C124),"",IF($L124=Constants!$B$2,TRUE(),IF($L124=Constants!$B$3,FALSE(),TRUE())))</f>
        <v/>
      </c>
      <c r="AR124" s="74" t="str">
        <f aca="false">IF(ISBLANK($C124),"",IF($M124=Constants!$B$2,TRUE(),IF($M124=Constants!$B$3,FALSE(),TRUE())))</f>
        <v/>
      </c>
      <c r="AS124" s="74" t="str">
        <f aca="false">IF(ISBLANK($C124),"",IF($N124=Constants!$B$2,TRUE(),IF($N124=Constants!$B$3,FALSE(),FALSE())))</f>
        <v/>
      </c>
      <c r="AT124" s="74" t="str">
        <f aca="false">IF(ISBLANK($C124),"",IF($O124=Constants!$B$2,TRUE(),IF($O124=Constants!$B$3,FALSE(),TRUE())))</f>
        <v/>
      </c>
      <c r="AU124" s="74" t="str">
        <f aca="false">IF(ISBLANK($C124),"",IF($P124=Constants!$B$2,TRUE(),IF($P124=Constants!$B$3,FALSE(),TRUE())))</f>
        <v/>
      </c>
      <c r="AV124" s="74" t="str">
        <f aca="false">IF(ISBLANK($C124),"",IF($Q124=Constants!$B$2,TRUE(),IF($Q124=Constants!$B$3,FALSE(),FALSE())))</f>
        <v/>
      </c>
      <c r="AW124" s="74" t="str">
        <f aca="false">IF(ISBLANK($C124),"",IF($R124=Constants!$B$2,TRUE(),IF($R124=Constants!$B$3,FALSE(),FALSE())))</f>
        <v/>
      </c>
      <c r="AX124" s="74" t="str">
        <f aca="false">IF(ISBLANK($C124),"",IF($S124=Constants!$B$2,TRUE(),IF($S124=Constants!$B$3,FALSE(),FALSE())))</f>
        <v/>
      </c>
      <c r="AY124" s="74" t="str">
        <f aca="false">IF(ISBLANK($C124),"",IF($T124=Constants!$B$2,TRUE(),IF($T124=Constants!$B$3,FALSE(),FALSE())))</f>
        <v/>
      </c>
      <c r="AZ124" s="74" t="str">
        <f aca="false">IF(ISBLANK($C124),"",IF($U124=Constants!$B$2,TRUE(),IF($U124=Constants!$B$3,FALSE(),FALSE())))</f>
        <v/>
      </c>
      <c r="BA124" s="74" t="str">
        <f aca="false">IF(ISBLANK($C124),"",IF(OR($V124&amp;""="1",$V124&amp;""="2",$V124&amp;""="3",$V124&amp;""="4"),VALUE($V124&amp;""),IF($V124=Constants!$B$12,Constants!$B$12,"")))</f>
        <v/>
      </c>
      <c r="BB124" s="74" t="str">
        <f aca="false">IF(ISBLANK($C124),"",IF(ISBLANK($W124),0,IF(ISNUMBER($W124),IF(AND($W124&gt;=0,$W124&lt;=Constants!$B$21,$W124=INT($W124)),$W124,""),"")))</f>
        <v/>
      </c>
      <c r="BC124" s="74" t="str">
        <f aca="false">IF(ISBLANK($C124),"",IF(ISBLANK($X124),0,IF(ISNUMBER($X124),IF($X124&gt;=0,$X124,""),"")))</f>
        <v/>
      </c>
      <c r="BD124" s="74" t="str">
        <f aca="false">IF(ISBLANK($C124),"",IF($Y124=Constants!$B$2,TRUE(),IF($Y124=Constants!$B$3,FALSE(),TRUE())))</f>
        <v/>
      </c>
      <c r="BE124" s="74" t="str">
        <f aca="false">IF(ISBLANK($C124),"",IF($Z124=Constants!$B$2,TRUE(),IF($Z124=Constants!$B$3,FALSE(),FALSE())))</f>
        <v/>
      </c>
      <c r="BF124" s="74" t="str">
        <f aca="false">IF(ISBLANK($C124),"",IF(ISBLANK($AA124),0,IF(ISNUMBER($AA124),IF(AND($AA124&gt;=0,$AA124&lt;=Constants!$B$35,$AA124=INT($AA124)),$AA124,""),"")))</f>
        <v/>
      </c>
      <c r="BG124" s="74" t="str">
        <f aca="false">IF(ISBLANK($C124),"",IF($AB124=Constants!$B$2,TRUE(),IF($AB124=Constants!$B$3,FALSE(),TRUE())))</f>
        <v/>
      </c>
      <c r="BH124" s="74" t="str">
        <f aca="false">IF(ISBLANK($C124),"",IF($AC124=Constants!$B$2,TRUE(),IF($AC124=Constants!$B$3,FALSE(),TRUE())))</f>
        <v/>
      </c>
      <c r="BI124" s="74" t="str">
        <f aca="false">IF(ISBLANK($C124),"",IF($AD124=Constants!$B$2,TRUE(),IF($AD124=Constants!$B$3,FALSE(),TRUE())))</f>
        <v/>
      </c>
      <c r="BJ124" s="74" t="str">
        <f aca="false">IF(ISBLANK($C124),"",IF(ISNUMBER($AE124),IF($AE124&gt;=0,$AE124,""),""))</f>
        <v/>
      </c>
      <c r="BK124" s="74" t="str">
        <f aca="false">IF(ISBLANK($C124),"",IF($AF124=Constants!$B$2,TRUE(),IF($AF124=Constants!$B$3,FALSE(),FALSE())))</f>
        <v/>
      </c>
      <c r="BL124" s="73" t="str">
        <f aca="false">IF(ISBLANK($C124),"",IF($BK124,Constants!$B$7,IF(COUNTA($E124:$AE124)=0,Constants!$B$6,IF(OR(COUNTA($G124:$AE124)=0,NOT($AM124),$AS124),Constants!$B$5,IF(OR($CM124&lt;&gt;"",$CN124,$CO124,$CP124,$CQ124,$CR124,$CS124),Constants!$B$8,Constants!$B$4)))))</f>
        <v/>
      </c>
      <c r="BM124" s="74" t="str">
        <f aca="false">IF(ISBLANK($C124),"",IF($BL124&lt;&gt;Constants!$B$4,$BL124,IF(OR(NOT($AJ124),NOT($AL124),NOT($AT124)),Constants!$B$11,IF(OR(NOT($AR124),NOT($AU124),NOT($BI124),MAX($AN124,$AO124,$AP124)&gt;Constants!$B$30),Constants!$B$10,Constants!$B$9))))</f>
        <v/>
      </c>
      <c r="BN124" s="74" t="str">
        <f aca="false">IF($BL124&lt;&gt;Constants!$B$4,"",IF(NOT($AL124),0,MIN(Constants!$B$35,$BF124)))</f>
        <v/>
      </c>
      <c r="BO124" s="74" t="str">
        <f aca="false">IF($BL124&lt;&gt;Constants!$B$4,"",IF(NOT($AL124),0,IF($AW124,Constants!$B$18,IF($AV124,Constants!$B$17,0))))</f>
        <v/>
      </c>
      <c r="BP124" s="74" t="str">
        <f aca="false">IF($BL124&lt;&gt;Constants!$B$4,"",IF(NOT($AL124),0,Constants!$B$19*($AK124+$AX124+$AY124+$AZ124)))</f>
        <v/>
      </c>
      <c r="BQ124" s="74" t="str">
        <f aca="false">IF($BL124&lt;&gt;Constants!$B$4,"",IF(OR(NOT($AL124),NOT(ISNUMBER($BA124))),0,CHOOSE($BA124,Constants!$B$13,Constants!$B$14,Constants!$B$15,Constants!$B$16)))</f>
        <v/>
      </c>
      <c r="BR124" s="74" t="str">
        <f aca="false">IF($BL124&lt;&gt;Constants!$B$4,"",IF(NOT($AL124),0,Constants!$B$20*$BB124))</f>
        <v/>
      </c>
      <c r="BS124" s="74" t="str">
        <f aca="false">IF($BL124&lt;&gt;Constants!$B$4,"",IF(AND($AL124,$BD124,$BE124),Constants!$B$22,0))</f>
        <v/>
      </c>
      <c r="BT124" s="74" t="str">
        <f aca="false">IF($BL124&lt;&gt;Constants!$B$4,"",IF(OR(NOT($AL124),NOT($BD124)),0,IF($BJ124&gt;=2*$AH$9,0,Constants!$B$23*INT(ROUND(MIN($BJ124,$AH$9),6)))))</f>
        <v/>
      </c>
      <c r="BU124" s="74" t="str">
        <f aca="false">IF($BL124&lt;&gt;Constants!$B$4,"",IF(NOT($AL124),0,Constants!$B$24*INT(ROUND(MIN($BC124,$AH$9),6))))</f>
        <v/>
      </c>
      <c r="BV124" s="74" t="str">
        <f aca="false">IF($BL124&lt;&gt;Constants!$B$4,"",IF(AND($AL124,$BN124=0),Constants!$B$25,0))</f>
        <v/>
      </c>
      <c r="BW124" s="74" t="str">
        <f aca="false">IF($BL124&lt;&gt;Constants!$B$4,"",MIN(Constants!$B$29,MAX(0,Constants!$B$27*Constants!$B$28*INT(ROUND((Constants!$B$26-$AN124)/Constants!$B$28,6))))+MIN(Constants!$B$29,MAX(0,Constants!$B$27*Constants!$B$28*INT(ROUND((Constants!$B$26-$AO124)/Constants!$B$28,6))))+MIN(Constants!$B$29,MAX(0,Constants!$B$27*Constants!$B$28*INT(ROUND((Constants!$B$26-$AP124)/Constants!$B$28,6)))))</f>
        <v/>
      </c>
      <c r="BX124" s="74" t="str">
        <f aca="false">IF($BL124&lt;&gt;Constants!$B$4,"",IF(NOT($AL124),0,Constants!$B$31*INT(ROUND(MAX(0,MIN($BJ124,2*$AH$9)-$AH$9),6))))</f>
        <v/>
      </c>
      <c r="BY124" s="74" t="str">
        <f aca="false">IF($BL124&lt;&gt;Constants!$B$4,"",Constants!$B$32*(($AN124&gt;Constants!$B$26)+($AO124&gt;Constants!$B$26)+($AP124&gt;Constants!$B$26)))</f>
        <v/>
      </c>
      <c r="BZ124" s="74" t="str">
        <f aca="false">IF($BL124&lt;&gt;Constants!$B$4,"",IF(OR(NOT($AL124),$AQ124),0,Constants!$B$33))</f>
        <v/>
      </c>
      <c r="CA124" s="74" t="str">
        <f aca="false">IF($BL124&lt;&gt;Constants!$B$4,"",Constants!$B$34*$BN124)</f>
        <v/>
      </c>
      <c r="CB124" s="74" t="str">
        <f aca="false">IF($BL124&lt;&gt;Constants!$B$4,"",IF(OR(NOT($AL124),$BH124),0,Constants!$B$36))</f>
        <v/>
      </c>
      <c r="CC124" s="74" t="str">
        <f aca="false">IF($BL124&lt;&gt;Constants!$B$4,"",IF(OR(NOT($AL124),$BG124),0,Constants!$B$37))</f>
        <v/>
      </c>
      <c r="CD124" s="74" t="str">
        <f aca="false">IF($BL124&lt;&gt;Constants!$B$4,"",SUM($BX124:$CC124))</f>
        <v/>
      </c>
      <c r="CE124" s="74" t="str">
        <f aca="false">IF(ISBLANK($C124),"",IF($BL124&lt;&gt;Constants!$B$4,$BL124,SUM($BO124:$BW124)-$CD124))</f>
        <v/>
      </c>
      <c r="CF124" s="74" t="str">
        <f aca="false">IF(ISBLANK($C124),"",IF($BL124&lt;&gt;Constants!$B$4,$BL124,RANK($CE124,$CE$9:$CE$508)))</f>
        <v/>
      </c>
      <c r="CG124" s="74" t="str">
        <f aca="false">IF(ISBLANK($C124),"",IF($BL124&lt;&gt;Constants!$B$4,$BL124,COUNTIFS($BM$9:$BM$508,"&lt;"&amp;$BM124)+COUNTIFS($BM$9:$BM$508,$BM124,$CF$9:$CF$508,"&lt;"&amp;$CF124)+1))</f>
        <v/>
      </c>
      <c r="CH124" s="74" t="str">
        <f aca="false">IF(ISBLANK($C124),"",IF($BL124&lt;&gt;Constants!$B$4,$BL124,RANK($CD124,$CD$9:$CD$508,1)))</f>
        <v/>
      </c>
      <c r="CI124" s="74" t="str">
        <f aca="false">IF($BL124&lt;&gt;Constants!$B$4,"",$AN124+$AO124+$AP124)</f>
        <v/>
      </c>
      <c r="CJ124" s="74" t="str">
        <f aca="false">IF(ISBLANK($C124),"",IF($BL124&lt;&gt;Constants!$B$4,$BL124,RANK($CI124,$CI$9:$CI$508,1)))</f>
        <v/>
      </c>
      <c r="CK124" s="74" t="str">
        <f aca="false">IF(ISBLANK($C124),"",IF($BL124&lt;&gt;Constants!$B$4,$BL124,COUNTIFS($BM$9:$BM$508,"&lt;"&amp;$BM124)+COUNTIFS($BM$9:$BM$508,$BM124,$CF$9:$CF$508,"&lt;"&amp;$CF124)+COUNTIFS($BM$9:$BM$508,$BM124,$CF$9:$CF$508,$CF124,$CH$9:$CH$508,"&lt;"&amp;$CH124)+COUNTIFS($BM$9:$BM$508,$BM124,$CF$9:$CF$508,$CF124,$CH$9:$CH$508,$CH124,$CJ$9:$CJ$508,"&lt;"&amp;$CJ124)+1))</f>
        <v/>
      </c>
      <c r="CL124" s="74" t="str">
        <f aca="false">IF(ISBLANK($C124),"",IF($BL124&lt;&gt;Constants!$B$4,$BL124,$CG124-$CK124))</f>
        <v/>
      </c>
      <c r="CM124" s="74" t="str">
        <f aca="false">IF(ISBLANK($C124),"",IF(NOT($AL124),"",IF(ISBLANK($D$7),$CM$5,IF(NOT(ISNUMBER($D$7)),$CM$6,""))))</f>
        <v/>
      </c>
      <c r="CN124" s="74" t="str">
        <f aca="false">IF(ISBLANK($C124),"",OR($AN124="",$AO124="",$AP124=""))</f>
        <v/>
      </c>
      <c r="CO124" s="74" t="str">
        <f aca="false">IF(ISBLANK($C124),"",AND($AL124,$BA124=""))</f>
        <v/>
      </c>
      <c r="CP124" s="74" t="str">
        <f aca="false">IF(ISBLANK($C124),"",AND($AL124,$BB124=""))</f>
        <v/>
      </c>
      <c r="CQ124" s="74" t="str">
        <f aca="false">IF(ISBLANK($C124),"",AND($AL124,$BC124=""))</f>
        <v/>
      </c>
      <c r="CR124" s="74" t="str">
        <f aca="false">IF(ISBLANK($C124),"",AND($AL124,$BF124=""))</f>
        <v/>
      </c>
      <c r="CS124" s="74" t="str">
        <f aca="false">IF(ISBLANK($C124),"",AND($AL124,$BJ124=""))</f>
        <v/>
      </c>
      <c r="CT124" s="75"/>
      <c r="CU124" s="76"/>
      <c r="CV124" s="79" t="str">
        <f aca="false">IF(ISBLANK($C124),"",IF($BL124=Constants!$B$8,$CM124,""))</f>
        <v/>
      </c>
      <c r="CW124" s="76" t="str">
        <f aca="false">IF(ISBLANK($C124),"",IF($BL124&lt;&gt;Constants!$B$4,"",$BO124+$BP124))</f>
        <v/>
      </c>
      <c r="CX124" s="78" t="str">
        <f aca="false">IF(ISBLANK($C124),"",IF($BL124&lt;&gt;Constants!$B$4,"",$BQ124+$BR124+$BS124))</f>
        <v/>
      </c>
      <c r="CY124" s="78" t="str">
        <f aca="false">IF(ISBLANK($C124),"",IF($BL124&lt;&gt;Constants!$B$4,"",$BT124))</f>
        <v/>
      </c>
      <c r="CZ124" s="78" t="str">
        <f aca="false">IF(ISBLANK($C124),"",IF($BL124&lt;&gt;Constants!$B$4,"",$BU124+$BV124))</f>
        <v/>
      </c>
      <c r="DA124" s="78" t="str">
        <f aca="false">IF(ISBLANK($C124),"",IF($BL124&lt;&gt;Constants!$B$4,"",$BW124))</f>
        <v/>
      </c>
      <c r="DB124" s="78" t="str">
        <f aca="false">IF(ISBLANK($C124),"",IF($BL124&lt;&gt;Constants!$B$4,"",-$CD124))</f>
        <v/>
      </c>
      <c r="DC124" s="79" t="str">
        <f aca="false">IF(ISBLANK($C124),"",$CE124)</f>
        <v/>
      </c>
      <c r="DD124" s="80" t="str">
        <f aca="false">IF(ISBLANK($C124),"",$BM124)</f>
        <v/>
      </c>
      <c r="DE124" s="78" t="str">
        <f aca="false">IF(ISBLANK($C124),"",$CL124)</f>
        <v/>
      </c>
      <c r="DF124" s="78" t="str">
        <f aca="false">IF(ISBLANK($C124),"",$CK124)</f>
        <v/>
      </c>
      <c r="DG124" s="81" t="str">
        <f aca="false">IF(ISBLANK($C124),"",IF($DF124=Constants!$B$7,COUNTA($C$9:$C$508)+2,IF($DF124=Constants!$B$6,COUNTA($C$9:$C$508)+1,IF($DF124=Constants!$B$5,COUNTA($C$9:$C$508),$DF124))))</f>
        <v/>
      </c>
      <c r="DH124" s="7"/>
      <c r="DI124" s="82" t="n">
        <f aca="false">IF(OR(ISNUMBER($DF124),$DF124=Constants!$B$7,$DF124=Constants!$B$5,$DF124=Constants!$B$6),1,0)</f>
        <v>0</v>
      </c>
      <c r="DJ124" s="82" t="n">
        <v>116</v>
      </c>
      <c r="DK124" s="82" t="str">
        <f aca="false">IF(ISBLANK($C124),"",IF(ISNUMBER($DG124),$DG124+ROW($B124)/1000,""))</f>
        <v/>
      </c>
      <c r="DL124" s="82" t="str">
        <f aca="false">IF(ISNUMBER($DK124),RANK($DK124,$DK$9:$DK$508,1),"")</f>
        <v/>
      </c>
      <c r="DM124" s="82" t="str">
        <f aca="false">IF(ISBLANK($C124),"",$B124)</f>
        <v/>
      </c>
      <c r="DN124" s="82" t="str">
        <f aca="false">IF(ISBLANK($C124),"",$C124)</f>
        <v/>
      </c>
      <c r="DO124" s="82" t="str">
        <f aca="false">IF(ISBLANK($C124),"",$D124)</f>
        <v/>
      </c>
      <c r="DP124" s="83" t="str">
        <f aca="false">$DD124</f>
        <v/>
      </c>
      <c r="DQ124" s="84" t="str">
        <f aca="false">$DC124</f>
        <v/>
      </c>
      <c r="DR124" s="82" t="str">
        <f aca="false">IF(ISBLANK($C124),"",$DF124)</f>
        <v/>
      </c>
      <c r="DS124" s="85" t="str">
        <f aca="false">IF($DJ124&gt;$DI$8,"",VLOOKUP($DJ124,$DL$9:$DR$508,7,FALSE()))</f>
        <v/>
      </c>
      <c r="DT124" s="86" t="str">
        <f aca="false">IF($DJ124&gt;$DI$8,"",VLOOKUP($DJ124,$DL$9:$DR$508,2,FALSE()))</f>
        <v/>
      </c>
      <c r="DU124" s="86" t="str">
        <f aca="false">IF($DJ124&gt;$DI$8,"",VLOOKUP($DJ124,$DL$9:$DR$508,3,FALSE()))</f>
        <v/>
      </c>
      <c r="DV124" s="86" t="str">
        <f aca="false">IF($DJ124&gt;$DI$8,"",VLOOKUP($DJ124,$DL$9:$DR$508,4,FALSE()))</f>
        <v/>
      </c>
      <c r="DW124" s="86" t="str">
        <f aca="false">IF($DJ124&gt;$DI$8,"",VLOOKUP($DJ124,$DL$9:$DR$508,5,FALSE()))</f>
        <v/>
      </c>
      <c r="DX124" s="87" t="str">
        <f aca="false">IF($DJ124&gt;$DI$8,"",VLOOKUP($DJ124,$DL$9:$DR$508,6,FALSE()))</f>
        <v/>
      </c>
      <c r="DY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88"/>
      <c r="N125" s="88"/>
      <c r="O125" s="134"/>
      <c r="P125" s="134"/>
      <c r="Q125" s="88"/>
      <c r="R125" s="88"/>
      <c r="S125" s="88"/>
      <c r="T125" s="88"/>
      <c r="U125" s="134"/>
      <c r="V125" s="88"/>
      <c r="W125" s="70"/>
      <c r="X125" s="88"/>
      <c r="Y125" s="88"/>
      <c r="Z125" s="70"/>
      <c r="AA125" s="70"/>
      <c r="AB125" s="88"/>
      <c r="AC125" s="88"/>
      <c r="AD125" s="88"/>
      <c r="AE125" s="71"/>
      <c r="AF125" s="88"/>
      <c r="AG125" s="73"/>
      <c r="AH125" s="74"/>
      <c r="AI125" s="74"/>
      <c r="AJ125" s="74" t="str">
        <f aca="false">IF(ISBLANK($C125),"",IF($E125=Constants!$B$2,TRUE(),IF($E125=Constants!$B$3,FALSE(),TRUE())))</f>
        <v/>
      </c>
      <c r="AK125" s="74" t="str">
        <f aca="false">IF(ISBLANK($C125),"",IF($F125=Constants!$B$2,TRUE(),IF($F125=Constants!$B$3,FALSE(),FALSE())))</f>
        <v/>
      </c>
      <c r="AL125" s="74" t="str">
        <f aca="false">IF(ISBLANK($C125),"",IF($G125=Constants!$B$2,TRUE(),IF($G125=Constants!$B$3,FALSE(),TRUE())))</f>
        <v/>
      </c>
      <c r="AM125" s="74" t="str">
        <f aca="false">IF(ISBLANK($C125),"",IF($H125=Constants!$B$2,TRUE(),IF($H125=Constants!$B$3,FALSE(),TRUE())))</f>
        <v/>
      </c>
      <c r="AN125" s="74" t="str">
        <f aca="false">IF(ISBLANK($C125),"",IF(ISNUMBER($I125),IF($I125&gt;=0,$I125,""),""))</f>
        <v/>
      </c>
      <c r="AO125" s="74" t="str">
        <f aca="false">IF(ISBLANK($C125),"",IF(ISNUMBER($J125),IF($J125&gt;=0,$J125,""),""))</f>
        <v/>
      </c>
      <c r="AP125" s="74" t="str">
        <f aca="false">IF(ISBLANK($C125),"",IF(ISNUMBER($K125),IF($K125&gt;=0,$K125,""),""))</f>
        <v/>
      </c>
      <c r="AQ125" s="74" t="str">
        <f aca="false">IF(ISBLANK($C125),"",IF($L125=Constants!$B$2,TRUE(),IF($L125=Constants!$B$3,FALSE(),TRUE())))</f>
        <v/>
      </c>
      <c r="AR125" s="74" t="str">
        <f aca="false">IF(ISBLANK($C125),"",IF($M125=Constants!$B$2,TRUE(),IF($M125=Constants!$B$3,FALSE(),TRUE())))</f>
        <v/>
      </c>
      <c r="AS125" s="74" t="str">
        <f aca="false">IF(ISBLANK($C125),"",IF($N125=Constants!$B$2,TRUE(),IF($N125=Constants!$B$3,FALSE(),FALSE())))</f>
        <v/>
      </c>
      <c r="AT125" s="74" t="str">
        <f aca="false">IF(ISBLANK($C125),"",IF($O125=Constants!$B$2,TRUE(),IF($O125=Constants!$B$3,FALSE(),TRUE())))</f>
        <v/>
      </c>
      <c r="AU125" s="74" t="str">
        <f aca="false">IF(ISBLANK($C125),"",IF($P125=Constants!$B$2,TRUE(),IF($P125=Constants!$B$3,FALSE(),TRUE())))</f>
        <v/>
      </c>
      <c r="AV125" s="74" t="str">
        <f aca="false">IF(ISBLANK($C125),"",IF($Q125=Constants!$B$2,TRUE(),IF($Q125=Constants!$B$3,FALSE(),FALSE())))</f>
        <v/>
      </c>
      <c r="AW125" s="74" t="str">
        <f aca="false">IF(ISBLANK($C125),"",IF($R125=Constants!$B$2,TRUE(),IF($R125=Constants!$B$3,FALSE(),FALSE())))</f>
        <v/>
      </c>
      <c r="AX125" s="74" t="str">
        <f aca="false">IF(ISBLANK($C125),"",IF($S125=Constants!$B$2,TRUE(),IF($S125=Constants!$B$3,FALSE(),FALSE())))</f>
        <v/>
      </c>
      <c r="AY125" s="74" t="str">
        <f aca="false">IF(ISBLANK($C125),"",IF($T125=Constants!$B$2,TRUE(),IF($T125=Constants!$B$3,FALSE(),FALSE())))</f>
        <v/>
      </c>
      <c r="AZ125" s="74" t="str">
        <f aca="false">IF(ISBLANK($C125),"",IF($U125=Constants!$B$2,TRUE(),IF($U125=Constants!$B$3,FALSE(),FALSE())))</f>
        <v/>
      </c>
      <c r="BA125" s="74" t="str">
        <f aca="false">IF(ISBLANK($C125),"",IF(OR($V125&amp;""="1",$V125&amp;""="2",$V125&amp;""="3",$V125&amp;""="4"),VALUE($V125&amp;""),IF($V125=Constants!$B$12,Constants!$B$12,"")))</f>
        <v/>
      </c>
      <c r="BB125" s="74" t="str">
        <f aca="false">IF(ISBLANK($C125),"",IF(ISBLANK($W125),0,IF(ISNUMBER($W125),IF(AND($W125&gt;=0,$W125&lt;=Constants!$B$21,$W125=INT($W125)),$W125,""),"")))</f>
        <v/>
      </c>
      <c r="BC125" s="74" t="str">
        <f aca="false">IF(ISBLANK($C125),"",IF(ISBLANK($X125),0,IF(ISNUMBER($X125),IF($X125&gt;=0,$X125,""),"")))</f>
        <v/>
      </c>
      <c r="BD125" s="74" t="str">
        <f aca="false">IF(ISBLANK($C125),"",IF($Y125=Constants!$B$2,TRUE(),IF($Y125=Constants!$B$3,FALSE(),TRUE())))</f>
        <v/>
      </c>
      <c r="BE125" s="74" t="str">
        <f aca="false">IF(ISBLANK($C125),"",IF($Z125=Constants!$B$2,TRUE(),IF($Z125=Constants!$B$3,FALSE(),FALSE())))</f>
        <v/>
      </c>
      <c r="BF125" s="74" t="str">
        <f aca="false">IF(ISBLANK($C125),"",IF(ISBLANK($AA125),0,IF(ISNUMBER($AA125),IF(AND($AA125&gt;=0,$AA125&lt;=Constants!$B$35,$AA125=INT($AA125)),$AA125,""),"")))</f>
        <v/>
      </c>
      <c r="BG125" s="74" t="str">
        <f aca="false">IF(ISBLANK($C125),"",IF($AB125=Constants!$B$2,TRUE(),IF($AB125=Constants!$B$3,FALSE(),TRUE())))</f>
        <v/>
      </c>
      <c r="BH125" s="74" t="str">
        <f aca="false">IF(ISBLANK($C125),"",IF($AC125=Constants!$B$2,TRUE(),IF($AC125=Constants!$B$3,FALSE(),TRUE())))</f>
        <v/>
      </c>
      <c r="BI125" s="74" t="str">
        <f aca="false">IF(ISBLANK($C125),"",IF($AD125=Constants!$B$2,TRUE(),IF($AD125=Constants!$B$3,FALSE(),TRUE())))</f>
        <v/>
      </c>
      <c r="BJ125" s="74" t="str">
        <f aca="false">IF(ISBLANK($C125),"",IF(ISNUMBER($AE125),IF($AE125&gt;=0,$AE125,""),""))</f>
        <v/>
      </c>
      <c r="BK125" s="74" t="str">
        <f aca="false">IF(ISBLANK($C125),"",IF($AF125=Constants!$B$2,TRUE(),IF($AF125=Constants!$B$3,FALSE(),FALSE())))</f>
        <v/>
      </c>
      <c r="BL125" s="73" t="str">
        <f aca="false">IF(ISBLANK($C125),"",IF($BK125,Constants!$B$7,IF(COUNTA($E125:$AE125)=0,Constants!$B$6,IF(OR(COUNTA($G125:$AE125)=0,NOT($AM125),$AS125),Constants!$B$5,IF(OR($CM125&lt;&gt;"",$CN125,$CO125,$CP125,$CQ125,$CR125,$CS125),Constants!$B$8,Constants!$B$4)))))</f>
        <v/>
      </c>
      <c r="BM125" s="74" t="str">
        <f aca="false">IF(ISBLANK($C125),"",IF($BL125&lt;&gt;Constants!$B$4,$BL125,IF(OR(NOT($AJ125),NOT($AL125),NOT($AT125)),Constants!$B$11,IF(OR(NOT($AR125),NOT($AU125),NOT($BI125),MAX($AN125,$AO125,$AP125)&gt;Constants!$B$30),Constants!$B$10,Constants!$B$9))))</f>
        <v/>
      </c>
      <c r="BN125" s="74" t="str">
        <f aca="false">IF($BL125&lt;&gt;Constants!$B$4,"",IF(NOT($AL125),0,MIN(Constants!$B$35,$BF125)))</f>
        <v/>
      </c>
      <c r="BO125" s="74" t="str">
        <f aca="false">IF($BL125&lt;&gt;Constants!$B$4,"",IF(NOT($AL125),0,IF($AW125,Constants!$B$18,IF($AV125,Constants!$B$17,0))))</f>
        <v/>
      </c>
      <c r="BP125" s="74" t="str">
        <f aca="false">IF($BL125&lt;&gt;Constants!$B$4,"",IF(NOT($AL125),0,Constants!$B$19*($AK125+$AX125+$AY125+$AZ125)))</f>
        <v/>
      </c>
      <c r="BQ125" s="74" t="str">
        <f aca="false">IF($BL125&lt;&gt;Constants!$B$4,"",IF(OR(NOT($AL125),NOT(ISNUMBER($BA125))),0,CHOOSE($BA125,Constants!$B$13,Constants!$B$14,Constants!$B$15,Constants!$B$16)))</f>
        <v/>
      </c>
      <c r="BR125" s="74" t="str">
        <f aca="false">IF($BL125&lt;&gt;Constants!$B$4,"",IF(NOT($AL125),0,Constants!$B$20*$BB125))</f>
        <v/>
      </c>
      <c r="BS125" s="74" t="str">
        <f aca="false">IF($BL125&lt;&gt;Constants!$B$4,"",IF(AND($AL125,$BD125,$BE125),Constants!$B$22,0))</f>
        <v/>
      </c>
      <c r="BT125" s="74" t="str">
        <f aca="false">IF($BL125&lt;&gt;Constants!$B$4,"",IF(OR(NOT($AL125),NOT($BD125)),0,IF($BJ125&gt;=2*$AH$9,0,Constants!$B$23*INT(ROUND(MIN($BJ125,$AH$9),6)))))</f>
        <v/>
      </c>
      <c r="BU125" s="74" t="str">
        <f aca="false">IF($BL125&lt;&gt;Constants!$B$4,"",IF(NOT($AL125),0,Constants!$B$24*INT(ROUND(MIN($BC125,$AH$9),6))))</f>
        <v/>
      </c>
      <c r="BV125" s="74" t="str">
        <f aca="false">IF($BL125&lt;&gt;Constants!$B$4,"",IF(AND($AL125,$BN125=0),Constants!$B$25,0))</f>
        <v/>
      </c>
      <c r="BW125" s="74" t="str">
        <f aca="false">IF($BL125&lt;&gt;Constants!$B$4,"",MIN(Constants!$B$29,MAX(0,Constants!$B$27*Constants!$B$28*INT(ROUND((Constants!$B$26-$AN125)/Constants!$B$28,6))))+MIN(Constants!$B$29,MAX(0,Constants!$B$27*Constants!$B$28*INT(ROUND((Constants!$B$26-$AO125)/Constants!$B$28,6))))+MIN(Constants!$B$29,MAX(0,Constants!$B$27*Constants!$B$28*INT(ROUND((Constants!$B$26-$AP125)/Constants!$B$28,6)))))</f>
        <v/>
      </c>
      <c r="BX125" s="74" t="str">
        <f aca="false">IF($BL125&lt;&gt;Constants!$B$4,"",IF(NOT($AL125),0,Constants!$B$31*INT(ROUND(MAX(0,MIN($BJ125,2*$AH$9)-$AH$9),6))))</f>
        <v/>
      </c>
      <c r="BY125" s="74" t="str">
        <f aca="false">IF($BL125&lt;&gt;Constants!$B$4,"",Constants!$B$32*(($AN125&gt;Constants!$B$26)+($AO125&gt;Constants!$B$26)+($AP125&gt;Constants!$B$26)))</f>
        <v/>
      </c>
      <c r="BZ125" s="74" t="str">
        <f aca="false">IF($BL125&lt;&gt;Constants!$B$4,"",IF(OR(NOT($AL125),$AQ125),0,Constants!$B$33))</f>
        <v/>
      </c>
      <c r="CA125" s="74" t="str">
        <f aca="false">IF($BL125&lt;&gt;Constants!$B$4,"",Constants!$B$34*$BN125)</f>
        <v/>
      </c>
      <c r="CB125" s="74" t="str">
        <f aca="false">IF($BL125&lt;&gt;Constants!$B$4,"",IF(OR(NOT($AL125),$BH125),0,Constants!$B$36))</f>
        <v/>
      </c>
      <c r="CC125" s="74" t="str">
        <f aca="false">IF($BL125&lt;&gt;Constants!$B$4,"",IF(OR(NOT($AL125),$BG125),0,Constants!$B$37))</f>
        <v/>
      </c>
      <c r="CD125" s="74" t="str">
        <f aca="false">IF($BL125&lt;&gt;Constants!$B$4,"",SUM($BX125:$CC125))</f>
        <v/>
      </c>
      <c r="CE125" s="74" t="str">
        <f aca="false">IF(ISBLANK($C125),"",IF($BL125&lt;&gt;Constants!$B$4,$BL125,SUM($BO125:$BW125)-$CD125))</f>
        <v/>
      </c>
      <c r="CF125" s="74" t="str">
        <f aca="false">IF(ISBLANK($C125),"",IF($BL125&lt;&gt;Constants!$B$4,$BL125,RANK($CE125,$CE$9:$CE$508)))</f>
        <v/>
      </c>
      <c r="CG125" s="74" t="str">
        <f aca="false">IF(ISBLANK($C125),"",IF($BL125&lt;&gt;Constants!$B$4,$BL125,COUNTIFS($BM$9:$BM$508,"&lt;"&amp;$BM125)+COUNTIFS($BM$9:$BM$508,$BM125,$CF$9:$CF$508,"&lt;"&amp;$CF125)+1))</f>
        <v/>
      </c>
      <c r="CH125" s="74" t="str">
        <f aca="false">IF(ISBLANK($C125),"",IF($BL125&lt;&gt;Constants!$B$4,$BL125,RANK($CD125,$CD$9:$CD$508,1)))</f>
        <v/>
      </c>
      <c r="CI125" s="74" t="str">
        <f aca="false">IF($BL125&lt;&gt;Constants!$B$4,"",$AN125+$AO125+$AP125)</f>
        <v/>
      </c>
      <c r="CJ125" s="74" t="str">
        <f aca="false">IF(ISBLANK($C125),"",IF($BL125&lt;&gt;Constants!$B$4,$BL125,RANK($CI125,$CI$9:$CI$508,1)))</f>
        <v/>
      </c>
      <c r="CK125" s="74" t="str">
        <f aca="false">IF(ISBLANK($C125),"",IF($BL125&lt;&gt;Constants!$B$4,$BL125,COUNTIFS($BM$9:$BM$508,"&lt;"&amp;$BM125)+COUNTIFS($BM$9:$BM$508,$BM125,$CF$9:$CF$508,"&lt;"&amp;$CF125)+COUNTIFS($BM$9:$BM$508,$BM125,$CF$9:$CF$508,$CF125,$CH$9:$CH$508,"&lt;"&amp;$CH125)+COUNTIFS($BM$9:$BM$508,$BM125,$CF$9:$CF$508,$CF125,$CH$9:$CH$508,$CH125,$CJ$9:$CJ$508,"&lt;"&amp;$CJ125)+1))</f>
        <v/>
      </c>
      <c r="CL125" s="74" t="str">
        <f aca="false">IF(ISBLANK($C125),"",IF($BL125&lt;&gt;Constants!$B$4,$BL125,$CG125-$CK125))</f>
        <v/>
      </c>
      <c r="CM125" s="74" t="str">
        <f aca="false">IF(ISBLANK($C125),"",IF(NOT($AL125),"",IF(ISBLANK($D$7),$CM$5,IF(NOT(ISNUMBER($D$7)),$CM$6,""))))</f>
        <v/>
      </c>
      <c r="CN125" s="74" t="str">
        <f aca="false">IF(ISBLANK($C125),"",OR($AN125="",$AO125="",$AP125=""))</f>
        <v/>
      </c>
      <c r="CO125" s="74" t="str">
        <f aca="false">IF(ISBLANK($C125),"",AND($AL125,$BA125=""))</f>
        <v/>
      </c>
      <c r="CP125" s="74" t="str">
        <f aca="false">IF(ISBLANK($C125),"",AND($AL125,$BB125=""))</f>
        <v/>
      </c>
      <c r="CQ125" s="74" t="str">
        <f aca="false">IF(ISBLANK($C125),"",AND($AL125,$BC125=""))</f>
        <v/>
      </c>
      <c r="CR125" s="74" t="str">
        <f aca="false">IF(ISBLANK($C125),"",AND($AL125,$BF125=""))</f>
        <v/>
      </c>
      <c r="CS125" s="74" t="str">
        <f aca="false">IF(ISBLANK($C125),"",AND($AL125,$BJ125=""))</f>
        <v/>
      </c>
      <c r="CT125" s="75"/>
      <c r="CU125" s="76"/>
      <c r="CV125" s="79" t="str">
        <f aca="false">IF(ISBLANK($C125),"",IF($BL125=Constants!$B$8,$CM125,""))</f>
        <v/>
      </c>
      <c r="CW125" s="76" t="str">
        <f aca="false">IF(ISBLANK($C125),"",IF($BL125&lt;&gt;Constants!$B$4,"",$BO125+$BP125))</f>
        <v/>
      </c>
      <c r="CX125" s="78" t="str">
        <f aca="false">IF(ISBLANK($C125),"",IF($BL125&lt;&gt;Constants!$B$4,"",$BQ125+$BR125+$BS125))</f>
        <v/>
      </c>
      <c r="CY125" s="78" t="str">
        <f aca="false">IF(ISBLANK($C125),"",IF($BL125&lt;&gt;Constants!$B$4,"",$BT125))</f>
        <v/>
      </c>
      <c r="CZ125" s="78" t="str">
        <f aca="false">IF(ISBLANK($C125),"",IF($BL125&lt;&gt;Constants!$B$4,"",$BU125+$BV125))</f>
        <v/>
      </c>
      <c r="DA125" s="78" t="str">
        <f aca="false">IF(ISBLANK($C125),"",IF($BL125&lt;&gt;Constants!$B$4,"",$BW125))</f>
        <v/>
      </c>
      <c r="DB125" s="78" t="str">
        <f aca="false">IF(ISBLANK($C125),"",IF($BL125&lt;&gt;Constants!$B$4,"",-$CD125))</f>
        <v/>
      </c>
      <c r="DC125" s="79" t="str">
        <f aca="false">IF(ISBLANK($C125),"",$CE125)</f>
        <v/>
      </c>
      <c r="DD125" s="80" t="str">
        <f aca="false">IF(ISBLANK($C125),"",$BM125)</f>
        <v/>
      </c>
      <c r="DE125" s="78" t="str">
        <f aca="false">IF(ISBLANK($C125),"",$CL125)</f>
        <v/>
      </c>
      <c r="DF125" s="78" t="str">
        <f aca="false">IF(ISBLANK($C125),"",$CK125)</f>
        <v/>
      </c>
      <c r="DG125" s="81" t="str">
        <f aca="false">IF(ISBLANK($C125),"",IF($DF125=Constants!$B$7,COUNTA($C$9:$C$508)+2,IF($DF125=Constants!$B$6,COUNTA($C$9:$C$508)+1,IF($DF125=Constants!$B$5,COUNTA($C$9:$C$508),$DF125))))</f>
        <v/>
      </c>
      <c r="DH125" s="7"/>
      <c r="DI125" s="82" t="n">
        <f aca="false">IF(OR(ISNUMBER($DF125),$DF125=Constants!$B$7,$DF125=Constants!$B$5,$DF125=Constants!$B$6),1,0)</f>
        <v>0</v>
      </c>
      <c r="DJ125" s="82" t="n">
        <v>117</v>
      </c>
      <c r="DK125" s="82" t="str">
        <f aca="false">IF(ISBLANK($C125),"",IF(ISNUMBER($DG125),$DG125+ROW($B125)/1000,""))</f>
        <v/>
      </c>
      <c r="DL125" s="82" t="str">
        <f aca="false">IF(ISNUMBER($DK125),RANK($DK125,$DK$9:$DK$508,1),"")</f>
        <v/>
      </c>
      <c r="DM125" s="82" t="str">
        <f aca="false">IF(ISBLANK($C125),"",$B125)</f>
        <v/>
      </c>
      <c r="DN125" s="82" t="str">
        <f aca="false">IF(ISBLANK($C125),"",$C125)</f>
        <v/>
      </c>
      <c r="DO125" s="82" t="str">
        <f aca="false">IF(ISBLANK($C125),"",$D125)</f>
        <v/>
      </c>
      <c r="DP125" s="83" t="str">
        <f aca="false">$DD125</f>
        <v/>
      </c>
      <c r="DQ125" s="84" t="str">
        <f aca="false">$DC125</f>
        <v/>
      </c>
      <c r="DR125" s="82" t="str">
        <f aca="false">IF(ISBLANK($C125),"",$DF125)</f>
        <v/>
      </c>
      <c r="DS125" s="85" t="str">
        <f aca="false">IF($DJ125&gt;$DI$8,"",VLOOKUP($DJ125,$DL$9:$DR$508,7,FALSE()))</f>
        <v/>
      </c>
      <c r="DT125" s="86" t="str">
        <f aca="false">IF($DJ125&gt;$DI$8,"",VLOOKUP($DJ125,$DL$9:$DR$508,2,FALSE()))</f>
        <v/>
      </c>
      <c r="DU125" s="86" t="str">
        <f aca="false">IF($DJ125&gt;$DI$8,"",VLOOKUP($DJ125,$DL$9:$DR$508,3,FALSE()))</f>
        <v/>
      </c>
      <c r="DV125" s="86" t="str">
        <f aca="false">IF($DJ125&gt;$DI$8,"",VLOOKUP($DJ125,$DL$9:$DR$508,4,FALSE()))</f>
        <v/>
      </c>
      <c r="DW125" s="86" t="str">
        <f aca="false">IF($DJ125&gt;$DI$8,"",VLOOKUP($DJ125,$DL$9:$DR$508,5,FALSE()))</f>
        <v/>
      </c>
      <c r="DX125" s="87" t="str">
        <f aca="false">IF($DJ125&gt;$DI$8,"",VLOOKUP($DJ125,$DL$9:$DR$508,6,FALSE()))</f>
        <v/>
      </c>
      <c r="DY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130"/>
      <c r="N126" s="130"/>
      <c r="O126" s="135"/>
      <c r="P126" s="135"/>
      <c r="Q126" s="130"/>
      <c r="R126" s="130"/>
      <c r="S126" s="130"/>
      <c r="T126" s="130"/>
      <c r="U126" s="135"/>
      <c r="V126" s="130"/>
      <c r="W126" s="96"/>
      <c r="X126" s="130"/>
      <c r="Y126" s="130"/>
      <c r="Z126" s="96"/>
      <c r="AA126" s="96"/>
      <c r="AB126" s="130"/>
      <c r="AC126" s="130"/>
      <c r="AD126" s="130"/>
      <c r="AE126" s="97"/>
      <c r="AF126" s="130"/>
      <c r="AG126" s="99"/>
      <c r="AH126" s="100"/>
      <c r="AI126" s="100"/>
      <c r="AJ126" s="100" t="str">
        <f aca="false">IF(ISBLANK($C126),"",IF($E126=Constants!$B$2,TRUE(),IF($E126=Constants!$B$3,FALSE(),TRUE())))</f>
        <v/>
      </c>
      <c r="AK126" s="100" t="str">
        <f aca="false">IF(ISBLANK($C126),"",IF($F126=Constants!$B$2,TRUE(),IF($F126=Constants!$B$3,FALSE(),FALSE())))</f>
        <v/>
      </c>
      <c r="AL126" s="100" t="str">
        <f aca="false">IF(ISBLANK($C126),"",IF($G126=Constants!$B$2,TRUE(),IF($G126=Constants!$B$3,FALSE(),TRUE())))</f>
        <v/>
      </c>
      <c r="AM126" s="100" t="str">
        <f aca="false">IF(ISBLANK($C126),"",IF($H126=Constants!$B$2,TRUE(),IF($H126=Constants!$B$3,FALSE(),TRUE())))</f>
        <v/>
      </c>
      <c r="AN126" s="100" t="str">
        <f aca="false">IF(ISBLANK($C126),"",IF(ISNUMBER($I126),IF($I126&gt;=0,$I126,""),""))</f>
        <v/>
      </c>
      <c r="AO126" s="100" t="str">
        <f aca="false">IF(ISBLANK($C126),"",IF(ISNUMBER($J126),IF($J126&gt;=0,$J126,""),""))</f>
        <v/>
      </c>
      <c r="AP126" s="100" t="str">
        <f aca="false">IF(ISBLANK($C126),"",IF(ISNUMBER($K126),IF($K126&gt;=0,$K126,""),""))</f>
        <v/>
      </c>
      <c r="AQ126" s="100" t="str">
        <f aca="false">IF(ISBLANK($C126),"",IF($L126=Constants!$B$2,TRUE(),IF($L126=Constants!$B$3,FALSE(),TRUE())))</f>
        <v/>
      </c>
      <c r="AR126" s="100" t="str">
        <f aca="false">IF(ISBLANK($C126),"",IF($M126=Constants!$B$2,TRUE(),IF($M126=Constants!$B$3,FALSE(),TRUE())))</f>
        <v/>
      </c>
      <c r="AS126" s="100" t="str">
        <f aca="false">IF(ISBLANK($C126),"",IF($N126=Constants!$B$2,TRUE(),IF($N126=Constants!$B$3,FALSE(),FALSE())))</f>
        <v/>
      </c>
      <c r="AT126" s="100" t="str">
        <f aca="false">IF(ISBLANK($C126),"",IF($O126=Constants!$B$2,TRUE(),IF($O126=Constants!$B$3,FALSE(),TRUE())))</f>
        <v/>
      </c>
      <c r="AU126" s="100" t="str">
        <f aca="false">IF(ISBLANK($C126),"",IF($P126=Constants!$B$2,TRUE(),IF($P126=Constants!$B$3,FALSE(),TRUE())))</f>
        <v/>
      </c>
      <c r="AV126" s="100" t="str">
        <f aca="false">IF(ISBLANK($C126),"",IF($Q126=Constants!$B$2,TRUE(),IF($Q126=Constants!$B$3,FALSE(),FALSE())))</f>
        <v/>
      </c>
      <c r="AW126" s="100" t="str">
        <f aca="false">IF(ISBLANK($C126),"",IF($R126=Constants!$B$2,TRUE(),IF($R126=Constants!$B$3,FALSE(),FALSE())))</f>
        <v/>
      </c>
      <c r="AX126" s="100" t="str">
        <f aca="false">IF(ISBLANK($C126),"",IF($S126=Constants!$B$2,TRUE(),IF($S126=Constants!$B$3,FALSE(),FALSE())))</f>
        <v/>
      </c>
      <c r="AY126" s="100" t="str">
        <f aca="false">IF(ISBLANK($C126),"",IF($T126=Constants!$B$2,TRUE(),IF($T126=Constants!$B$3,FALSE(),FALSE())))</f>
        <v/>
      </c>
      <c r="AZ126" s="100" t="str">
        <f aca="false">IF(ISBLANK($C126),"",IF($U126=Constants!$B$2,TRUE(),IF($U126=Constants!$B$3,FALSE(),FALSE())))</f>
        <v/>
      </c>
      <c r="BA126" s="100" t="str">
        <f aca="false">IF(ISBLANK($C126),"",IF(OR($V126&amp;""="1",$V126&amp;""="2",$V126&amp;""="3",$V126&amp;""="4"),VALUE($V126&amp;""),IF($V126=Constants!$B$12,Constants!$B$12,"")))</f>
        <v/>
      </c>
      <c r="BB126" s="100" t="str">
        <f aca="false">IF(ISBLANK($C126),"",IF(ISBLANK($W126),0,IF(ISNUMBER($W126),IF(AND($W126&gt;=0,$W126&lt;=Constants!$B$21,$W126=INT($W126)),$W126,""),"")))</f>
        <v/>
      </c>
      <c r="BC126" s="100" t="str">
        <f aca="false">IF(ISBLANK($C126),"",IF(ISBLANK($X126),0,IF(ISNUMBER($X126),IF($X126&gt;=0,$X126,""),"")))</f>
        <v/>
      </c>
      <c r="BD126" s="100" t="str">
        <f aca="false">IF(ISBLANK($C126),"",IF($Y126=Constants!$B$2,TRUE(),IF($Y126=Constants!$B$3,FALSE(),TRUE())))</f>
        <v/>
      </c>
      <c r="BE126" s="100" t="str">
        <f aca="false">IF(ISBLANK($C126),"",IF($Z126=Constants!$B$2,TRUE(),IF($Z126=Constants!$B$3,FALSE(),FALSE())))</f>
        <v/>
      </c>
      <c r="BF126" s="100" t="str">
        <f aca="false">IF(ISBLANK($C126),"",IF(ISBLANK($AA126),0,IF(ISNUMBER($AA126),IF(AND($AA126&gt;=0,$AA126&lt;=Constants!$B$35,$AA126=INT($AA126)),$AA126,""),"")))</f>
        <v/>
      </c>
      <c r="BG126" s="100" t="str">
        <f aca="false">IF(ISBLANK($C126),"",IF($AB126=Constants!$B$2,TRUE(),IF($AB126=Constants!$B$3,FALSE(),TRUE())))</f>
        <v/>
      </c>
      <c r="BH126" s="100" t="str">
        <f aca="false">IF(ISBLANK($C126),"",IF($AC126=Constants!$B$2,TRUE(),IF($AC126=Constants!$B$3,FALSE(),TRUE())))</f>
        <v/>
      </c>
      <c r="BI126" s="100" t="str">
        <f aca="false">IF(ISBLANK($C126),"",IF($AD126=Constants!$B$2,TRUE(),IF($AD126=Constants!$B$3,FALSE(),TRUE())))</f>
        <v/>
      </c>
      <c r="BJ126" s="100" t="str">
        <f aca="false">IF(ISBLANK($C126),"",IF(ISNUMBER($AE126),IF($AE126&gt;=0,$AE126,""),""))</f>
        <v/>
      </c>
      <c r="BK126" s="100" t="str">
        <f aca="false">IF(ISBLANK($C126),"",IF($AF126=Constants!$B$2,TRUE(),IF($AF126=Constants!$B$3,FALSE(),FALSE())))</f>
        <v/>
      </c>
      <c r="BL126" s="99" t="str">
        <f aca="false">IF(ISBLANK($C126),"",IF($BK126,Constants!$B$7,IF(COUNTA($E126:$AE126)=0,Constants!$B$6,IF(OR(COUNTA($G126:$AE126)=0,NOT($AM126),$AS126),Constants!$B$5,IF(OR($CM126&lt;&gt;"",$CN126,$CO126,$CP126,$CQ126,$CR126,$CS126),Constants!$B$8,Constants!$B$4)))))</f>
        <v/>
      </c>
      <c r="BM126" s="100" t="str">
        <f aca="false">IF(ISBLANK($C126),"",IF($BL126&lt;&gt;Constants!$B$4,$BL126,IF(OR(NOT($AJ126),NOT($AL126),NOT($AT126)),Constants!$B$11,IF(OR(NOT($AR126),NOT($AU126),NOT($BI126),MAX($AN126,$AO126,$AP126)&gt;Constants!$B$30),Constants!$B$10,Constants!$B$9))))</f>
        <v/>
      </c>
      <c r="BN126" s="100" t="str">
        <f aca="false">IF($BL126&lt;&gt;Constants!$B$4,"",IF(NOT($AL126),0,MIN(Constants!$B$35,$BF126)))</f>
        <v/>
      </c>
      <c r="BO126" s="100" t="str">
        <f aca="false">IF($BL126&lt;&gt;Constants!$B$4,"",IF(NOT($AL126),0,IF($AW126,Constants!$B$18,IF($AV126,Constants!$B$17,0))))</f>
        <v/>
      </c>
      <c r="BP126" s="100" t="str">
        <f aca="false">IF($BL126&lt;&gt;Constants!$B$4,"",IF(NOT($AL126),0,Constants!$B$19*($AK126+$AX126+$AY126+$AZ126)))</f>
        <v/>
      </c>
      <c r="BQ126" s="100" t="str">
        <f aca="false">IF($BL126&lt;&gt;Constants!$B$4,"",IF(OR(NOT($AL126),NOT(ISNUMBER($BA126))),0,CHOOSE($BA126,Constants!$B$13,Constants!$B$14,Constants!$B$15,Constants!$B$16)))</f>
        <v/>
      </c>
      <c r="BR126" s="100" t="str">
        <f aca="false">IF($BL126&lt;&gt;Constants!$B$4,"",IF(NOT($AL126),0,Constants!$B$20*$BB126))</f>
        <v/>
      </c>
      <c r="BS126" s="100" t="str">
        <f aca="false">IF($BL126&lt;&gt;Constants!$B$4,"",IF(AND($AL126,$BD126,$BE126),Constants!$B$22,0))</f>
        <v/>
      </c>
      <c r="BT126" s="100" t="str">
        <f aca="false">IF($BL126&lt;&gt;Constants!$B$4,"",IF(OR(NOT($AL126),NOT($BD126)),0,IF($BJ126&gt;=2*$AH$9,0,Constants!$B$23*INT(ROUND(MIN($BJ126,$AH$9),6)))))</f>
        <v/>
      </c>
      <c r="BU126" s="100" t="str">
        <f aca="false">IF($BL126&lt;&gt;Constants!$B$4,"",IF(NOT($AL126),0,Constants!$B$24*INT(ROUND(MIN($BC126,$AH$9),6))))</f>
        <v/>
      </c>
      <c r="BV126" s="100" t="str">
        <f aca="false">IF($BL126&lt;&gt;Constants!$B$4,"",IF(AND($AL126,$BN126=0),Constants!$B$25,0))</f>
        <v/>
      </c>
      <c r="BW126" s="100" t="str">
        <f aca="false">IF($BL126&lt;&gt;Constants!$B$4,"",MIN(Constants!$B$29,MAX(0,Constants!$B$27*Constants!$B$28*INT(ROUND((Constants!$B$26-$AN126)/Constants!$B$28,6))))+MIN(Constants!$B$29,MAX(0,Constants!$B$27*Constants!$B$28*INT(ROUND((Constants!$B$26-$AO126)/Constants!$B$28,6))))+MIN(Constants!$B$29,MAX(0,Constants!$B$27*Constants!$B$28*INT(ROUND((Constants!$B$26-$AP126)/Constants!$B$28,6)))))</f>
        <v/>
      </c>
      <c r="BX126" s="100" t="str">
        <f aca="false">IF($BL126&lt;&gt;Constants!$B$4,"",IF(NOT($AL126),0,Constants!$B$31*INT(ROUND(MAX(0,MIN($BJ126,2*$AH$9)-$AH$9),6))))</f>
        <v/>
      </c>
      <c r="BY126" s="100" t="str">
        <f aca="false">IF($BL126&lt;&gt;Constants!$B$4,"",Constants!$B$32*(($AN126&gt;Constants!$B$26)+($AO126&gt;Constants!$B$26)+($AP126&gt;Constants!$B$26)))</f>
        <v/>
      </c>
      <c r="BZ126" s="100" t="str">
        <f aca="false">IF($BL126&lt;&gt;Constants!$B$4,"",IF(OR(NOT($AL126),$AQ126),0,Constants!$B$33))</f>
        <v/>
      </c>
      <c r="CA126" s="100" t="str">
        <f aca="false">IF($BL126&lt;&gt;Constants!$B$4,"",Constants!$B$34*$BN126)</f>
        <v/>
      </c>
      <c r="CB126" s="100" t="str">
        <f aca="false">IF($BL126&lt;&gt;Constants!$B$4,"",IF(OR(NOT($AL126),$BH126),0,Constants!$B$36))</f>
        <v/>
      </c>
      <c r="CC126" s="100" t="str">
        <f aca="false">IF($BL126&lt;&gt;Constants!$B$4,"",IF(OR(NOT($AL126),$BG126),0,Constants!$B$37))</f>
        <v/>
      </c>
      <c r="CD126" s="100" t="str">
        <f aca="false">IF($BL126&lt;&gt;Constants!$B$4,"",SUM($BX126:$CC126))</f>
        <v/>
      </c>
      <c r="CE126" s="100" t="str">
        <f aca="false">IF(ISBLANK($C126),"",IF($BL126&lt;&gt;Constants!$B$4,$BL126,SUM($BO126:$BW126)-$CD126))</f>
        <v/>
      </c>
      <c r="CF126" s="100" t="str">
        <f aca="false">IF(ISBLANK($C126),"",IF($BL126&lt;&gt;Constants!$B$4,$BL126,RANK($CE126,$CE$9:$CE$508)))</f>
        <v/>
      </c>
      <c r="CG126" s="100" t="str">
        <f aca="false">IF(ISBLANK($C126),"",IF($BL126&lt;&gt;Constants!$B$4,$BL126,COUNTIFS($BM$9:$BM$508,"&lt;"&amp;$BM126)+COUNTIFS($BM$9:$BM$508,$BM126,$CF$9:$CF$508,"&lt;"&amp;$CF126)+1))</f>
        <v/>
      </c>
      <c r="CH126" s="100" t="str">
        <f aca="false">IF(ISBLANK($C126),"",IF($BL126&lt;&gt;Constants!$B$4,$BL126,RANK($CD126,$CD$9:$CD$508,1)))</f>
        <v/>
      </c>
      <c r="CI126" s="100" t="str">
        <f aca="false">IF($BL126&lt;&gt;Constants!$B$4,"",$AN126+$AO126+$AP126)</f>
        <v/>
      </c>
      <c r="CJ126" s="100" t="str">
        <f aca="false">IF(ISBLANK($C126),"",IF($BL126&lt;&gt;Constants!$B$4,$BL126,RANK($CI126,$CI$9:$CI$508,1)))</f>
        <v/>
      </c>
      <c r="CK126" s="100" t="str">
        <f aca="false">IF(ISBLANK($C126),"",IF($BL126&lt;&gt;Constants!$B$4,$BL126,COUNTIFS($BM$9:$BM$508,"&lt;"&amp;$BM126)+COUNTIFS($BM$9:$BM$508,$BM126,$CF$9:$CF$508,"&lt;"&amp;$CF126)+COUNTIFS($BM$9:$BM$508,$BM126,$CF$9:$CF$508,$CF126,$CH$9:$CH$508,"&lt;"&amp;$CH126)+COUNTIFS($BM$9:$BM$508,$BM126,$CF$9:$CF$508,$CF126,$CH$9:$CH$508,$CH126,$CJ$9:$CJ$508,"&lt;"&amp;$CJ126)+1))</f>
        <v/>
      </c>
      <c r="CL126" s="100" t="str">
        <f aca="false">IF(ISBLANK($C126),"",IF($BL126&lt;&gt;Constants!$B$4,$BL126,$CG126-$CK126))</f>
        <v/>
      </c>
      <c r="CM126" s="100" t="str">
        <f aca="false">IF(ISBLANK($C126),"",IF(NOT($AL126),"",IF(ISBLANK($D$7),$CM$5,IF(NOT(ISNUMBER($D$7)),$CM$6,""))))</f>
        <v/>
      </c>
      <c r="CN126" s="100" t="str">
        <f aca="false">IF(ISBLANK($C126),"",OR($AN126="",$AO126="",$AP126=""))</f>
        <v/>
      </c>
      <c r="CO126" s="100" t="str">
        <f aca="false">IF(ISBLANK($C126),"",AND($AL126,$BA126=""))</f>
        <v/>
      </c>
      <c r="CP126" s="100" t="str">
        <f aca="false">IF(ISBLANK($C126),"",AND($AL126,$BB126=""))</f>
        <v/>
      </c>
      <c r="CQ126" s="100" t="str">
        <f aca="false">IF(ISBLANK($C126),"",AND($AL126,$BC126=""))</f>
        <v/>
      </c>
      <c r="CR126" s="100" t="str">
        <f aca="false">IF(ISBLANK($C126),"",AND($AL126,$BF126=""))</f>
        <v/>
      </c>
      <c r="CS126" s="100" t="str">
        <f aca="false">IF(ISBLANK($C126),"",AND($AL126,$BJ126=""))</f>
        <v/>
      </c>
      <c r="CT126" s="101"/>
      <c r="CU126" s="102"/>
      <c r="CV126" s="103" t="str">
        <f aca="false">IF(ISBLANK($C126),"",IF($BL126=Constants!$B$8,$CM126,""))</f>
        <v/>
      </c>
      <c r="CW126" s="102" t="str">
        <f aca="false">IF(ISBLANK($C126),"",IF($BL126&lt;&gt;Constants!$B$4,"",$BO126+$BP126))</f>
        <v/>
      </c>
      <c r="CX126" s="104" t="str">
        <f aca="false">IF(ISBLANK($C126),"",IF($BL126&lt;&gt;Constants!$B$4,"",$BQ126+$BR126+$BS126))</f>
        <v/>
      </c>
      <c r="CY126" s="104" t="str">
        <f aca="false">IF(ISBLANK($C126),"",IF($BL126&lt;&gt;Constants!$B$4,"",$BT126))</f>
        <v/>
      </c>
      <c r="CZ126" s="104" t="str">
        <f aca="false">IF(ISBLANK($C126),"",IF($BL126&lt;&gt;Constants!$B$4,"",$BU126+$BV126))</f>
        <v/>
      </c>
      <c r="DA126" s="104" t="str">
        <f aca="false">IF(ISBLANK($C126),"",IF($BL126&lt;&gt;Constants!$B$4,"",$BW126))</f>
        <v/>
      </c>
      <c r="DB126" s="104" t="str">
        <f aca="false">IF(ISBLANK($C126),"",IF($BL126&lt;&gt;Constants!$B$4,"",-$CD126))</f>
        <v/>
      </c>
      <c r="DC126" s="103" t="str">
        <f aca="false">IF(ISBLANK($C126),"",$CE126)</f>
        <v/>
      </c>
      <c r="DD126" s="105" t="str">
        <f aca="false">IF(ISBLANK($C126),"",$BM126)</f>
        <v/>
      </c>
      <c r="DE126" s="104" t="str">
        <f aca="false">IF(ISBLANK($C126),"",$CL126)</f>
        <v/>
      </c>
      <c r="DF126" s="104" t="str">
        <f aca="false">IF(ISBLANK($C126),"",$CK126)</f>
        <v/>
      </c>
      <c r="DG126" s="106" t="str">
        <f aca="false">IF(ISBLANK($C126),"",IF($DF126=Constants!$B$7,COUNTA($C$9:$C$508)+2,IF($DF126=Constants!$B$6,COUNTA($C$9:$C$508)+1,IF($DF126=Constants!$B$5,COUNTA($C$9:$C$508),$DF126))))</f>
        <v/>
      </c>
      <c r="DH126" s="7"/>
      <c r="DI126" s="107" t="n">
        <f aca="false">IF(OR(ISNUMBER($DF126),$DF126=Constants!$B$7,$DF126=Constants!$B$5,$DF126=Constants!$B$6),1,0)</f>
        <v>0</v>
      </c>
      <c r="DJ126" s="107" t="n">
        <v>118</v>
      </c>
      <c r="DK126" s="107" t="str">
        <f aca="false">IF(ISBLANK($C126),"",IF(ISNUMBER($DG126),$DG126+ROW($B126)/1000,""))</f>
        <v/>
      </c>
      <c r="DL126" s="107" t="str">
        <f aca="false">IF(ISNUMBER($DK126),RANK($DK126,$DK$9:$DK$508,1),"")</f>
        <v/>
      </c>
      <c r="DM126" s="107" t="str">
        <f aca="false">IF(ISBLANK($C126),"",$B126)</f>
        <v/>
      </c>
      <c r="DN126" s="107" t="str">
        <f aca="false">IF(ISBLANK($C126),"",$C126)</f>
        <v/>
      </c>
      <c r="DO126" s="107" t="str">
        <f aca="false">IF(ISBLANK($C126),"",$D126)</f>
        <v/>
      </c>
      <c r="DP126" s="108" t="str">
        <f aca="false">$DD126</f>
        <v/>
      </c>
      <c r="DQ126" s="109" t="str">
        <f aca="false">$DC126</f>
        <v/>
      </c>
      <c r="DR126" s="107" t="str">
        <f aca="false">IF(ISBLANK($C126),"",$DF126)</f>
        <v/>
      </c>
      <c r="DS126" s="110" t="str">
        <f aca="false">IF($DJ126&gt;$DI$8,"",VLOOKUP($DJ126,$DL$9:$DR$508,7,FALSE()))</f>
        <v/>
      </c>
      <c r="DT126" s="111" t="str">
        <f aca="false">IF($DJ126&gt;$DI$8,"",VLOOKUP($DJ126,$DL$9:$DR$508,2,FALSE()))</f>
        <v/>
      </c>
      <c r="DU126" s="111" t="str">
        <f aca="false">IF($DJ126&gt;$DI$8,"",VLOOKUP($DJ126,$DL$9:$DR$508,3,FALSE()))</f>
        <v/>
      </c>
      <c r="DV126" s="111" t="str">
        <f aca="false">IF($DJ126&gt;$DI$8,"",VLOOKUP($DJ126,$DL$9:$DR$508,4,FALSE()))</f>
        <v/>
      </c>
      <c r="DW126" s="111" t="str">
        <f aca="false">IF($DJ126&gt;$DI$8,"",VLOOKUP($DJ126,$DL$9:$DR$508,5,FALSE()))</f>
        <v/>
      </c>
      <c r="DX126" s="112" t="str">
        <f aca="false">IF($DJ126&gt;$DI$8,"",VLOOKUP($DJ126,$DL$9:$DR$508,6,FALSE()))</f>
        <v/>
      </c>
      <c r="DY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130"/>
      <c r="N127" s="130"/>
      <c r="O127" s="135"/>
      <c r="P127" s="135"/>
      <c r="Q127" s="130"/>
      <c r="R127" s="130"/>
      <c r="S127" s="130"/>
      <c r="T127" s="130"/>
      <c r="U127" s="135"/>
      <c r="V127" s="130"/>
      <c r="W127" s="96"/>
      <c r="X127" s="130"/>
      <c r="Y127" s="130"/>
      <c r="Z127" s="96"/>
      <c r="AA127" s="96"/>
      <c r="AB127" s="130"/>
      <c r="AC127" s="130"/>
      <c r="AD127" s="130"/>
      <c r="AE127" s="97"/>
      <c r="AF127" s="130"/>
      <c r="AG127" s="99"/>
      <c r="AH127" s="100"/>
      <c r="AI127" s="100"/>
      <c r="AJ127" s="100" t="str">
        <f aca="false">IF(ISBLANK($C127),"",IF($E127=Constants!$B$2,TRUE(),IF($E127=Constants!$B$3,FALSE(),TRUE())))</f>
        <v/>
      </c>
      <c r="AK127" s="100" t="str">
        <f aca="false">IF(ISBLANK($C127),"",IF($F127=Constants!$B$2,TRUE(),IF($F127=Constants!$B$3,FALSE(),FALSE())))</f>
        <v/>
      </c>
      <c r="AL127" s="100" t="str">
        <f aca="false">IF(ISBLANK($C127),"",IF($G127=Constants!$B$2,TRUE(),IF($G127=Constants!$B$3,FALSE(),TRUE())))</f>
        <v/>
      </c>
      <c r="AM127" s="100" t="str">
        <f aca="false">IF(ISBLANK($C127),"",IF($H127=Constants!$B$2,TRUE(),IF($H127=Constants!$B$3,FALSE(),TRUE())))</f>
        <v/>
      </c>
      <c r="AN127" s="100" t="str">
        <f aca="false">IF(ISBLANK($C127),"",IF(ISNUMBER($I127),IF($I127&gt;=0,$I127,""),""))</f>
        <v/>
      </c>
      <c r="AO127" s="100" t="str">
        <f aca="false">IF(ISBLANK($C127),"",IF(ISNUMBER($J127),IF($J127&gt;=0,$J127,""),""))</f>
        <v/>
      </c>
      <c r="AP127" s="100" t="str">
        <f aca="false">IF(ISBLANK($C127),"",IF(ISNUMBER($K127),IF($K127&gt;=0,$K127,""),""))</f>
        <v/>
      </c>
      <c r="AQ127" s="100" t="str">
        <f aca="false">IF(ISBLANK($C127),"",IF($L127=Constants!$B$2,TRUE(),IF($L127=Constants!$B$3,FALSE(),TRUE())))</f>
        <v/>
      </c>
      <c r="AR127" s="100" t="str">
        <f aca="false">IF(ISBLANK($C127),"",IF($M127=Constants!$B$2,TRUE(),IF($M127=Constants!$B$3,FALSE(),TRUE())))</f>
        <v/>
      </c>
      <c r="AS127" s="100" t="str">
        <f aca="false">IF(ISBLANK($C127),"",IF($N127=Constants!$B$2,TRUE(),IF($N127=Constants!$B$3,FALSE(),FALSE())))</f>
        <v/>
      </c>
      <c r="AT127" s="100" t="str">
        <f aca="false">IF(ISBLANK($C127),"",IF($O127=Constants!$B$2,TRUE(),IF($O127=Constants!$B$3,FALSE(),TRUE())))</f>
        <v/>
      </c>
      <c r="AU127" s="100" t="str">
        <f aca="false">IF(ISBLANK($C127),"",IF($P127=Constants!$B$2,TRUE(),IF($P127=Constants!$B$3,FALSE(),TRUE())))</f>
        <v/>
      </c>
      <c r="AV127" s="100" t="str">
        <f aca="false">IF(ISBLANK($C127),"",IF($Q127=Constants!$B$2,TRUE(),IF($Q127=Constants!$B$3,FALSE(),FALSE())))</f>
        <v/>
      </c>
      <c r="AW127" s="100" t="str">
        <f aca="false">IF(ISBLANK($C127),"",IF($R127=Constants!$B$2,TRUE(),IF($R127=Constants!$B$3,FALSE(),FALSE())))</f>
        <v/>
      </c>
      <c r="AX127" s="100" t="str">
        <f aca="false">IF(ISBLANK($C127),"",IF($S127=Constants!$B$2,TRUE(),IF($S127=Constants!$B$3,FALSE(),FALSE())))</f>
        <v/>
      </c>
      <c r="AY127" s="100" t="str">
        <f aca="false">IF(ISBLANK($C127),"",IF($T127=Constants!$B$2,TRUE(),IF($T127=Constants!$B$3,FALSE(),FALSE())))</f>
        <v/>
      </c>
      <c r="AZ127" s="100" t="str">
        <f aca="false">IF(ISBLANK($C127),"",IF($U127=Constants!$B$2,TRUE(),IF($U127=Constants!$B$3,FALSE(),FALSE())))</f>
        <v/>
      </c>
      <c r="BA127" s="100" t="str">
        <f aca="false">IF(ISBLANK($C127),"",IF(OR($V127&amp;""="1",$V127&amp;""="2",$V127&amp;""="3",$V127&amp;""="4"),VALUE($V127&amp;""),IF($V127=Constants!$B$12,Constants!$B$12,"")))</f>
        <v/>
      </c>
      <c r="BB127" s="100" t="str">
        <f aca="false">IF(ISBLANK($C127),"",IF(ISBLANK($W127),0,IF(ISNUMBER($W127),IF(AND($W127&gt;=0,$W127&lt;=Constants!$B$21,$W127=INT($W127)),$W127,""),"")))</f>
        <v/>
      </c>
      <c r="BC127" s="100" t="str">
        <f aca="false">IF(ISBLANK($C127),"",IF(ISBLANK($X127),0,IF(ISNUMBER($X127),IF($X127&gt;=0,$X127,""),"")))</f>
        <v/>
      </c>
      <c r="BD127" s="100" t="str">
        <f aca="false">IF(ISBLANK($C127),"",IF($Y127=Constants!$B$2,TRUE(),IF($Y127=Constants!$B$3,FALSE(),TRUE())))</f>
        <v/>
      </c>
      <c r="BE127" s="100" t="str">
        <f aca="false">IF(ISBLANK($C127),"",IF($Z127=Constants!$B$2,TRUE(),IF($Z127=Constants!$B$3,FALSE(),FALSE())))</f>
        <v/>
      </c>
      <c r="BF127" s="100" t="str">
        <f aca="false">IF(ISBLANK($C127),"",IF(ISBLANK($AA127),0,IF(ISNUMBER($AA127),IF(AND($AA127&gt;=0,$AA127&lt;=Constants!$B$35,$AA127=INT($AA127)),$AA127,""),"")))</f>
        <v/>
      </c>
      <c r="BG127" s="100" t="str">
        <f aca="false">IF(ISBLANK($C127),"",IF($AB127=Constants!$B$2,TRUE(),IF($AB127=Constants!$B$3,FALSE(),TRUE())))</f>
        <v/>
      </c>
      <c r="BH127" s="100" t="str">
        <f aca="false">IF(ISBLANK($C127),"",IF($AC127=Constants!$B$2,TRUE(),IF($AC127=Constants!$B$3,FALSE(),TRUE())))</f>
        <v/>
      </c>
      <c r="BI127" s="100" t="str">
        <f aca="false">IF(ISBLANK($C127),"",IF($AD127=Constants!$B$2,TRUE(),IF($AD127=Constants!$B$3,FALSE(),TRUE())))</f>
        <v/>
      </c>
      <c r="BJ127" s="100" t="str">
        <f aca="false">IF(ISBLANK($C127),"",IF(ISNUMBER($AE127),IF($AE127&gt;=0,$AE127,""),""))</f>
        <v/>
      </c>
      <c r="BK127" s="100" t="str">
        <f aca="false">IF(ISBLANK($C127),"",IF($AF127=Constants!$B$2,TRUE(),IF($AF127=Constants!$B$3,FALSE(),FALSE())))</f>
        <v/>
      </c>
      <c r="BL127" s="99" t="str">
        <f aca="false">IF(ISBLANK($C127),"",IF($BK127,Constants!$B$7,IF(COUNTA($E127:$AE127)=0,Constants!$B$6,IF(OR(COUNTA($G127:$AE127)=0,NOT($AM127),$AS127),Constants!$B$5,IF(OR($CM127&lt;&gt;"",$CN127,$CO127,$CP127,$CQ127,$CR127,$CS127),Constants!$B$8,Constants!$B$4)))))</f>
        <v/>
      </c>
      <c r="BM127" s="100" t="str">
        <f aca="false">IF(ISBLANK($C127),"",IF($BL127&lt;&gt;Constants!$B$4,$BL127,IF(OR(NOT($AJ127),NOT($AL127),NOT($AT127)),Constants!$B$11,IF(OR(NOT($AR127),NOT($AU127),NOT($BI127),MAX($AN127,$AO127,$AP127)&gt;Constants!$B$30),Constants!$B$10,Constants!$B$9))))</f>
        <v/>
      </c>
      <c r="BN127" s="100" t="str">
        <f aca="false">IF($BL127&lt;&gt;Constants!$B$4,"",IF(NOT($AL127),0,MIN(Constants!$B$35,$BF127)))</f>
        <v/>
      </c>
      <c r="BO127" s="100" t="str">
        <f aca="false">IF($BL127&lt;&gt;Constants!$B$4,"",IF(NOT($AL127),0,IF($AW127,Constants!$B$18,IF($AV127,Constants!$B$17,0))))</f>
        <v/>
      </c>
      <c r="BP127" s="100" t="str">
        <f aca="false">IF($BL127&lt;&gt;Constants!$B$4,"",IF(NOT($AL127),0,Constants!$B$19*($AK127+$AX127+$AY127+$AZ127)))</f>
        <v/>
      </c>
      <c r="BQ127" s="100" t="str">
        <f aca="false">IF($BL127&lt;&gt;Constants!$B$4,"",IF(OR(NOT($AL127),NOT(ISNUMBER($BA127))),0,CHOOSE($BA127,Constants!$B$13,Constants!$B$14,Constants!$B$15,Constants!$B$16)))</f>
        <v/>
      </c>
      <c r="BR127" s="100" t="str">
        <f aca="false">IF($BL127&lt;&gt;Constants!$B$4,"",IF(NOT($AL127),0,Constants!$B$20*$BB127))</f>
        <v/>
      </c>
      <c r="BS127" s="100" t="str">
        <f aca="false">IF($BL127&lt;&gt;Constants!$B$4,"",IF(AND($AL127,$BD127,$BE127),Constants!$B$22,0))</f>
        <v/>
      </c>
      <c r="BT127" s="100" t="str">
        <f aca="false">IF($BL127&lt;&gt;Constants!$B$4,"",IF(OR(NOT($AL127),NOT($BD127)),0,IF($BJ127&gt;=2*$AH$9,0,Constants!$B$23*INT(ROUND(MIN($BJ127,$AH$9),6)))))</f>
        <v/>
      </c>
      <c r="BU127" s="100" t="str">
        <f aca="false">IF($BL127&lt;&gt;Constants!$B$4,"",IF(NOT($AL127),0,Constants!$B$24*INT(ROUND(MIN($BC127,$AH$9),6))))</f>
        <v/>
      </c>
      <c r="BV127" s="100" t="str">
        <f aca="false">IF($BL127&lt;&gt;Constants!$B$4,"",IF(AND($AL127,$BN127=0),Constants!$B$25,0))</f>
        <v/>
      </c>
      <c r="BW127" s="100" t="str">
        <f aca="false">IF($BL127&lt;&gt;Constants!$B$4,"",MIN(Constants!$B$29,MAX(0,Constants!$B$27*Constants!$B$28*INT(ROUND((Constants!$B$26-$AN127)/Constants!$B$28,6))))+MIN(Constants!$B$29,MAX(0,Constants!$B$27*Constants!$B$28*INT(ROUND((Constants!$B$26-$AO127)/Constants!$B$28,6))))+MIN(Constants!$B$29,MAX(0,Constants!$B$27*Constants!$B$28*INT(ROUND((Constants!$B$26-$AP127)/Constants!$B$28,6)))))</f>
        <v/>
      </c>
      <c r="BX127" s="100" t="str">
        <f aca="false">IF($BL127&lt;&gt;Constants!$B$4,"",IF(NOT($AL127),0,Constants!$B$31*INT(ROUND(MAX(0,MIN($BJ127,2*$AH$9)-$AH$9),6))))</f>
        <v/>
      </c>
      <c r="BY127" s="100" t="str">
        <f aca="false">IF($BL127&lt;&gt;Constants!$B$4,"",Constants!$B$32*(($AN127&gt;Constants!$B$26)+($AO127&gt;Constants!$B$26)+($AP127&gt;Constants!$B$26)))</f>
        <v/>
      </c>
      <c r="BZ127" s="100" t="str">
        <f aca="false">IF($BL127&lt;&gt;Constants!$B$4,"",IF(OR(NOT($AL127),$AQ127),0,Constants!$B$33))</f>
        <v/>
      </c>
      <c r="CA127" s="100" t="str">
        <f aca="false">IF($BL127&lt;&gt;Constants!$B$4,"",Constants!$B$34*$BN127)</f>
        <v/>
      </c>
      <c r="CB127" s="100" t="str">
        <f aca="false">IF($BL127&lt;&gt;Constants!$B$4,"",IF(OR(NOT($AL127),$BH127),0,Constants!$B$36))</f>
        <v/>
      </c>
      <c r="CC127" s="100" t="str">
        <f aca="false">IF($BL127&lt;&gt;Constants!$B$4,"",IF(OR(NOT($AL127),$BG127),0,Constants!$B$37))</f>
        <v/>
      </c>
      <c r="CD127" s="100" t="str">
        <f aca="false">IF($BL127&lt;&gt;Constants!$B$4,"",SUM($BX127:$CC127))</f>
        <v/>
      </c>
      <c r="CE127" s="100" t="str">
        <f aca="false">IF(ISBLANK($C127),"",IF($BL127&lt;&gt;Constants!$B$4,$BL127,SUM($BO127:$BW127)-$CD127))</f>
        <v/>
      </c>
      <c r="CF127" s="100" t="str">
        <f aca="false">IF(ISBLANK($C127),"",IF($BL127&lt;&gt;Constants!$B$4,$BL127,RANK($CE127,$CE$9:$CE$508)))</f>
        <v/>
      </c>
      <c r="CG127" s="100" t="str">
        <f aca="false">IF(ISBLANK($C127),"",IF($BL127&lt;&gt;Constants!$B$4,$BL127,COUNTIFS($BM$9:$BM$508,"&lt;"&amp;$BM127)+COUNTIFS($BM$9:$BM$508,$BM127,$CF$9:$CF$508,"&lt;"&amp;$CF127)+1))</f>
        <v/>
      </c>
      <c r="CH127" s="100" t="str">
        <f aca="false">IF(ISBLANK($C127),"",IF($BL127&lt;&gt;Constants!$B$4,$BL127,RANK($CD127,$CD$9:$CD$508,1)))</f>
        <v/>
      </c>
      <c r="CI127" s="100" t="str">
        <f aca="false">IF($BL127&lt;&gt;Constants!$B$4,"",$AN127+$AO127+$AP127)</f>
        <v/>
      </c>
      <c r="CJ127" s="100" t="str">
        <f aca="false">IF(ISBLANK($C127),"",IF($BL127&lt;&gt;Constants!$B$4,$BL127,RANK($CI127,$CI$9:$CI$508,1)))</f>
        <v/>
      </c>
      <c r="CK127" s="100" t="str">
        <f aca="false">IF(ISBLANK($C127),"",IF($BL127&lt;&gt;Constants!$B$4,$BL127,COUNTIFS($BM$9:$BM$508,"&lt;"&amp;$BM127)+COUNTIFS($BM$9:$BM$508,$BM127,$CF$9:$CF$508,"&lt;"&amp;$CF127)+COUNTIFS($BM$9:$BM$508,$BM127,$CF$9:$CF$508,$CF127,$CH$9:$CH$508,"&lt;"&amp;$CH127)+COUNTIFS($BM$9:$BM$508,$BM127,$CF$9:$CF$508,$CF127,$CH$9:$CH$508,$CH127,$CJ$9:$CJ$508,"&lt;"&amp;$CJ127)+1))</f>
        <v/>
      </c>
      <c r="CL127" s="100" t="str">
        <f aca="false">IF(ISBLANK($C127),"",IF($BL127&lt;&gt;Constants!$B$4,$BL127,$CG127-$CK127))</f>
        <v/>
      </c>
      <c r="CM127" s="100" t="str">
        <f aca="false">IF(ISBLANK($C127),"",IF(NOT($AL127),"",IF(ISBLANK($D$7),$CM$5,IF(NOT(ISNUMBER($D$7)),$CM$6,""))))</f>
        <v/>
      </c>
      <c r="CN127" s="100" t="str">
        <f aca="false">IF(ISBLANK($C127),"",OR($AN127="",$AO127="",$AP127=""))</f>
        <v/>
      </c>
      <c r="CO127" s="100" t="str">
        <f aca="false">IF(ISBLANK($C127),"",AND($AL127,$BA127=""))</f>
        <v/>
      </c>
      <c r="CP127" s="100" t="str">
        <f aca="false">IF(ISBLANK($C127),"",AND($AL127,$BB127=""))</f>
        <v/>
      </c>
      <c r="CQ127" s="100" t="str">
        <f aca="false">IF(ISBLANK($C127),"",AND($AL127,$BC127=""))</f>
        <v/>
      </c>
      <c r="CR127" s="100" t="str">
        <f aca="false">IF(ISBLANK($C127),"",AND($AL127,$BF127=""))</f>
        <v/>
      </c>
      <c r="CS127" s="100" t="str">
        <f aca="false">IF(ISBLANK($C127),"",AND($AL127,$BJ127=""))</f>
        <v/>
      </c>
      <c r="CT127" s="101"/>
      <c r="CU127" s="102"/>
      <c r="CV127" s="103" t="str">
        <f aca="false">IF(ISBLANK($C127),"",IF($BL127=Constants!$B$8,$CM127,""))</f>
        <v/>
      </c>
      <c r="CW127" s="102" t="str">
        <f aca="false">IF(ISBLANK($C127),"",IF($BL127&lt;&gt;Constants!$B$4,"",$BO127+$BP127))</f>
        <v/>
      </c>
      <c r="CX127" s="104" t="str">
        <f aca="false">IF(ISBLANK($C127),"",IF($BL127&lt;&gt;Constants!$B$4,"",$BQ127+$BR127+$BS127))</f>
        <v/>
      </c>
      <c r="CY127" s="104" t="str">
        <f aca="false">IF(ISBLANK($C127),"",IF($BL127&lt;&gt;Constants!$B$4,"",$BT127))</f>
        <v/>
      </c>
      <c r="CZ127" s="104" t="str">
        <f aca="false">IF(ISBLANK($C127),"",IF($BL127&lt;&gt;Constants!$B$4,"",$BU127+$BV127))</f>
        <v/>
      </c>
      <c r="DA127" s="104" t="str">
        <f aca="false">IF(ISBLANK($C127),"",IF($BL127&lt;&gt;Constants!$B$4,"",$BW127))</f>
        <v/>
      </c>
      <c r="DB127" s="104" t="str">
        <f aca="false">IF(ISBLANK($C127),"",IF($BL127&lt;&gt;Constants!$B$4,"",-$CD127))</f>
        <v/>
      </c>
      <c r="DC127" s="103" t="str">
        <f aca="false">IF(ISBLANK($C127),"",$CE127)</f>
        <v/>
      </c>
      <c r="DD127" s="105" t="str">
        <f aca="false">IF(ISBLANK($C127),"",$BM127)</f>
        <v/>
      </c>
      <c r="DE127" s="104" t="str">
        <f aca="false">IF(ISBLANK($C127),"",$CL127)</f>
        <v/>
      </c>
      <c r="DF127" s="104" t="str">
        <f aca="false">IF(ISBLANK($C127),"",$CK127)</f>
        <v/>
      </c>
      <c r="DG127" s="106" t="str">
        <f aca="false">IF(ISBLANK($C127),"",IF($DF127=Constants!$B$7,COUNTA($C$9:$C$508)+2,IF($DF127=Constants!$B$6,COUNTA($C$9:$C$508)+1,IF($DF127=Constants!$B$5,COUNTA($C$9:$C$508),$DF127))))</f>
        <v/>
      </c>
      <c r="DH127" s="7"/>
      <c r="DI127" s="107" t="n">
        <f aca="false">IF(OR(ISNUMBER($DF127),$DF127=Constants!$B$7,$DF127=Constants!$B$5,$DF127=Constants!$B$6),1,0)</f>
        <v>0</v>
      </c>
      <c r="DJ127" s="107" t="n">
        <v>119</v>
      </c>
      <c r="DK127" s="107" t="str">
        <f aca="false">IF(ISBLANK($C127),"",IF(ISNUMBER($DG127),$DG127+ROW($B127)/1000,""))</f>
        <v/>
      </c>
      <c r="DL127" s="107" t="str">
        <f aca="false">IF(ISNUMBER($DK127),RANK($DK127,$DK$9:$DK$508,1),"")</f>
        <v/>
      </c>
      <c r="DM127" s="107" t="str">
        <f aca="false">IF(ISBLANK($C127),"",$B127)</f>
        <v/>
      </c>
      <c r="DN127" s="107" t="str">
        <f aca="false">IF(ISBLANK($C127),"",$C127)</f>
        <v/>
      </c>
      <c r="DO127" s="107" t="str">
        <f aca="false">IF(ISBLANK($C127),"",$D127)</f>
        <v/>
      </c>
      <c r="DP127" s="108" t="str">
        <f aca="false">$DD127</f>
        <v/>
      </c>
      <c r="DQ127" s="109" t="str">
        <f aca="false">$DC127</f>
        <v/>
      </c>
      <c r="DR127" s="107" t="str">
        <f aca="false">IF(ISBLANK($C127),"",$DF127)</f>
        <v/>
      </c>
      <c r="DS127" s="110" t="str">
        <f aca="false">IF($DJ127&gt;$DI$8,"",VLOOKUP($DJ127,$DL$9:$DR$508,7,FALSE()))</f>
        <v/>
      </c>
      <c r="DT127" s="111" t="str">
        <f aca="false">IF($DJ127&gt;$DI$8,"",VLOOKUP($DJ127,$DL$9:$DR$508,2,FALSE()))</f>
        <v/>
      </c>
      <c r="DU127" s="111" t="str">
        <f aca="false">IF($DJ127&gt;$DI$8,"",VLOOKUP($DJ127,$DL$9:$DR$508,3,FALSE()))</f>
        <v/>
      </c>
      <c r="DV127" s="111" t="str">
        <f aca="false">IF($DJ127&gt;$DI$8,"",VLOOKUP($DJ127,$DL$9:$DR$508,4,FALSE()))</f>
        <v/>
      </c>
      <c r="DW127" s="111" t="str">
        <f aca="false">IF($DJ127&gt;$DI$8,"",VLOOKUP($DJ127,$DL$9:$DR$508,5,FALSE()))</f>
        <v/>
      </c>
      <c r="DX127" s="112" t="str">
        <f aca="false">IF($DJ127&gt;$DI$8,"",VLOOKUP($DJ127,$DL$9:$DR$508,6,FALSE()))</f>
        <v/>
      </c>
      <c r="DY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130"/>
      <c r="N128" s="130"/>
      <c r="O128" s="135"/>
      <c r="P128" s="135"/>
      <c r="Q128" s="130"/>
      <c r="R128" s="130"/>
      <c r="S128" s="130"/>
      <c r="T128" s="130"/>
      <c r="U128" s="135"/>
      <c r="V128" s="130"/>
      <c r="W128" s="96"/>
      <c r="X128" s="130"/>
      <c r="Y128" s="130"/>
      <c r="Z128" s="96"/>
      <c r="AA128" s="96"/>
      <c r="AB128" s="130"/>
      <c r="AC128" s="130"/>
      <c r="AD128" s="130"/>
      <c r="AE128" s="97"/>
      <c r="AF128" s="130"/>
      <c r="AG128" s="99"/>
      <c r="AH128" s="100"/>
      <c r="AI128" s="100"/>
      <c r="AJ128" s="100" t="str">
        <f aca="false">IF(ISBLANK($C128),"",IF($E128=Constants!$B$2,TRUE(),IF($E128=Constants!$B$3,FALSE(),TRUE())))</f>
        <v/>
      </c>
      <c r="AK128" s="100" t="str">
        <f aca="false">IF(ISBLANK($C128),"",IF($F128=Constants!$B$2,TRUE(),IF($F128=Constants!$B$3,FALSE(),FALSE())))</f>
        <v/>
      </c>
      <c r="AL128" s="100" t="str">
        <f aca="false">IF(ISBLANK($C128),"",IF($G128=Constants!$B$2,TRUE(),IF($G128=Constants!$B$3,FALSE(),TRUE())))</f>
        <v/>
      </c>
      <c r="AM128" s="100" t="str">
        <f aca="false">IF(ISBLANK($C128),"",IF($H128=Constants!$B$2,TRUE(),IF($H128=Constants!$B$3,FALSE(),TRUE())))</f>
        <v/>
      </c>
      <c r="AN128" s="100" t="str">
        <f aca="false">IF(ISBLANK($C128),"",IF(ISNUMBER($I128),IF($I128&gt;=0,$I128,""),""))</f>
        <v/>
      </c>
      <c r="AO128" s="100" t="str">
        <f aca="false">IF(ISBLANK($C128),"",IF(ISNUMBER($J128),IF($J128&gt;=0,$J128,""),""))</f>
        <v/>
      </c>
      <c r="AP128" s="100" t="str">
        <f aca="false">IF(ISBLANK($C128),"",IF(ISNUMBER($K128),IF($K128&gt;=0,$K128,""),""))</f>
        <v/>
      </c>
      <c r="AQ128" s="100" t="str">
        <f aca="false">IF(ISBLANK($C128),"",IF($L128=Constants!$B$2,TRUE(),IF($L128=Constants!$B$3,FALSE(),TRUE())))</f>
        <v/>
      </c>
      <c r="AR128" s="100" t="str">
        <f aca="false">IF(ISBLANK($C128),"",IF($M128=Constants!$B$2,TRUE(),IF($M128=Constants!$B$3,FALSE(),TRUE())))</f>
        <v/>
      </c>
      <c r="AS128" s="100" t="str">
        <f aca="false">IF(ISBLANK($C128),"",IF($N128=Constants!$B$2,TRUE(),IF($N128=Constants!$B$3,FALSE(),FALSE())))</f>
        <v/>
      </c>
      <c r="AT128" s="100" t="str">
        <f aca="false">IF(ISBLANK($C128),"",IF($O128=Constants!$B$2,TRUE(),IF($O128=Constants!$B$3,FALSE(),TRUE())))</f>
        <v/>
      </c>
      <c r="AU128" s="100" t="str">
        <f aca="false">IF(ISBLANK($C128),"",IF($P128=Constants!$B$2,TRUE(),IF($P128=Constants!$B$3,FALSE(),TRUE())))</f>
        <v/>
      </c>
      <c r="AV128" s="100" t="str">
        <f aca="false">IF(ISBLANK($C128),"",IF($Q128=Constants!$B$2,TRUE(),IF($Q128=Constants!$B$3,FALSE(),FALSE())))</f>
        <v/>
      </c>
      <c r="AW128" s="100" t="str">
        <f aca="false">IF(ISBLANK($C128),"",IF($R128=Constants!$B$2,TRUE(),IF($R128=Constants!$B$3,FALSE(),FALSE())))</f>
        <v/>
      </c>
      <c r="AX128" s="100" t="str">
        <f aca="false">IF(ISBLANK($C128),"",IF($S128=Constants!$B$2,TRUE(),IF($S128=Constants!$B$3,FALSE(),FALSE())))</f>
        <v/>
      </c>
      <c r="AY128" s="100" t="str">
        <f aca="false">IF(ISBLANK($C128),"",IF($T128=Constants!$B$2,TRUE(),IF($T128=Constants!$B$3,FALSE(),FALSE())))</f>
        <v/>
      </c>
      <c r="AZ128" s="100" t="str">
        <f aca="false">IF(ISBLANK($C128),"",IF($U128=Constants!$B$2,TRUE(),IF($U128=Constants!$B$3,FALSE(),FALSE())))</f>
        <v/>
      </c>
      <c r="BA128" s="100" t="str">
        <f aca="false">IF(ISBLANK($C128),"",IF(OR($V128&amp;""="1",$V128&amp;""="2",$V128&amp;""="3",$V128&amp;""="4"),VALUE($V128&amp;""),IF($V128=Constants!$B$12,Constants!$B$12,"")))</f>
        <v/>
      </c>
      <c r="BB128" s="100" t="str">
        <f aca="false">IF(ISBLANK($C128),"",IF(ISBLANK($W128),0,IF(ISNUMBER($W128),IF(AND($W128&gt;=0,$W128&lt;=Constants!$B$21,$W128=INT($W128)),$W128,""),"")))</f>
        <v/>
      </c>
      <c r="BC128" s="100" t="str">
        <f aca="false">IF(ISBLANK($C128),"",IF(ISBLANK($X128),0,IF(ISNUMBER($X128),IF($X128&gt;=0,$X128,""),"")))</f>
        <v/>
      </c>
      <c r="BD128" s="100" t="str">
        <f aca="false">IF(ISBLANK($C128),"",IF($Y128=Constants!$B$2,TRUE(),IF($Y128=Constants!$B$3,FALSE(),TRUE())))</f>
        <v/>
      </c>
      <c r="BE128" s="100" t="str">
        <f aca="false">IF(ISBLANK($C128),"",IF($Z128=Constants!$B$2,TRUE(),IF($Z128=Constants!$B$3,FALSE(),FALSE())))</f>
        <v/>
      </c>
      <c r="BF128" s="100" t="str">
        <f aca="false">IF(ISBLANK($C128),"",IF(ISBLANK($AA128),0,IF(ISNUMBER($AA128),IF(AND($AA128&gt;=0,$AA128&lt;=Constants!$B$35,$AA128=INT($AA128)),$AA128,""),"")))</f>
        <v/>
      </c>
      <c r="BG128" s="100" t="str">
        <f aca="false">IF(ISBLANK($C128),"",IF($AB128=Constants!$B$2,TRUE(),IF($AB128=Constants!$B$3,FALSE(),TRUE())))</f>
        <v/>
      </c>
      <c r="BH128" s="100" t="str">
        <f aca="false">IF(ISBLANK($C128),"",IF($AC128=Constants!$B$2,TRUE(),IF($AC128=Constants!$B$3,FALSE(),TRUE())))</f>
        <v/>
      </c>
      <c r="BI128" s="100" t="str">
        <f aca="false">IF(ISBLANK($C128),"",IF($AD128=Constants!$B$2,TRUE(),IF($AD128=Constants!$B$3,FALSE(),TRUE())))</f>
        <v/>
      </c>
      <c r="BJ128" s="100" t="str">
        <f aca="false">IF(ISBLANK($C128),"",IF(ISNUMBER($AE128),IF($AE128&gt;=0,$AE128,""),""))</f>
        <v/>
      </c>
      <c r="BK128" s="100" t="str">
        <f aca="false">IF(ISBLANK($C128),"",IF($AF128=Constants!$B$2,TRUE(),IF($AF128=Constants!$B$3,FALSE(),FALSE())))</f>
        <v/>
      </c>
      <c r="BL128" s="99" t="str">
        <f aca="false">IF(ISBLANK($C128),"",IF($BK128,Constants!$B$7,IF(COUNTA($E128:$AE128)=0,Constants!$B$6,IF(OR(COUNTA($G128:$AE128)=0,NOT($AM128),$AS128),Constants!$B$5,IF(OR($CM128&lt;&gt;"",$CN128,$CO128,$CP128,$CQ128,$CR128,$CS128),Constants!$B$8,Constants!$B$4)))))</f>
        <v/>
      </c>
      <c r="BM128" s="100" t="str">
        <f aca="false">IF(ISBLANK($C128),"",IF($BL128&lt;&gt;Constants!$B$4,$BL128,IF(OR(NOT($AJ128),NOT($AL128),NOT($AT128)),Constants!$B$11,IF(OR(NOT($AR128),NOT($AU128),NOT($BI128),MAX($AN128,$AO128,$AP128)&gt;Constants!$B$30),Constants!$B$10,Constants!$B$9))))</f>
        <v/>
      </c>
      <c r="BN128" s="100" t="str">
        <f aca="false">IF($BL128&lt;&gt;Constants!$B$4,"",IF(NOT($AL128),0,MIN(Constants!$B$35,$BF128)))</f>
        <v/>
      </c>
      <c r="BO128" s="100" t="str">
        <f aca="false">IF($BL128&lt;&gt;Constants!$B$4,"",IF(NOT($AL128),0,IF($AW128,Constants!$B$18,IF($AV128,Constants!$B$17,0))))</f>
        <v/>
      </c>
      <c r="BP128" s="100" t="str">
        <f aca="false">IF($BL128&lt;&gt;Constants!$B$4,"",IF(NOT($AL128),0,Constants!$B$19*($AK128+$AX128+$AY128+$AZ128)))</f>
        <v/>
      </c>
      <c r="BQ128" s="100" t="str">
        <f aca="false">IF($BL128&lt;&gt;Constants!$B$4,"",IF(OR(NOT($AL128),NOT(ISNUMBER($BA128))),0,CHOOSE($BA128,Constants!$B$13,Constants!$B$14,Constants!$B$15,Constants!$B$16)))</f>
        <v/>
      </c>
      <c r="BR128" s="100" t="str">
        <f aca="false">IF($BL128&lt;&gt;Constants!$B$4,"",IF(NOT($AL128),0,Constants!$B$20*$BB128))</f>
        <v/>
      </c>
      <c r="BS128" s="100" t="str">
        <f aca="false">IF($BL128&lt;&gt;Constants!$B$4,"",IF(AND($AL128,$BD128,$BE128),Constants!$B$22,0))</f>
        <v/>
      </c>
      <c r="BT128" s="100" t="str">
        <f aca="false">IF($BL128&lt;&gt;Constants!$B$4,"",IF(OR(NOT($AL128),NOT($BD128)),0,IF($BJ128&gt;=2*$AH$9,0,Constants!$B$23*INT(ROUND(MIN($BJ128,$AH$9),6)))))</f>
        <v/>
      </c>
      <c r="BU128" s="100" t="str">
        <f aca="false">IF($BL128&lt;&gt;Constants!$B$4,"",IF(NOT($AL128),0,Constants!$B$24*INT(ROUND(MIN($BC128,$AH$9),6))))</f>
        <v/>
      </c>
      <c r="BV128" s="100" t="str">
        <f aca="false">IF($BL128&lt;&gt;Constants!$B$4,"",IF(AND($AL128,$BN128=0),Constants!$B$25,0))</f>
        <v/>
      </c>
      <c r="BW128" s="100" t="str">
        <f aca="false">IF($BL128&lt;&gt;Constants!$B$4,"",MIN(Constants!$B$29,MAX(0,Constants!$B$27*Constants!$B$28*INT(ROUND((Constants!$B$26-$AN128)/Constants!$B$28,6))))+MIN(Constants!$B$29,MAX(0,Constants!$B$27*Constants!$B$28*INT(ROUND((Constants!$B$26-$AO128)/Constants!$B$28,6))))+MIN(Constants!$B$29,MAX(0,Constants!$B$27*Constants!$B$28*INT(ROUND((Constants!$B$26-$AP128)/Constants!$B$28,6)))))</f>
        <v/>
      </c>
      <c r="BX128" s="100" t="str">
        <f aca="false">IF($BL128&lt;&gt;Constants!$B$4,"",IF(NOT($AL128),0,Constants!$B$31*INT(ROUND(MAX(0,MIN($BJ128,2*$AH$9)-$AH$9),6))))</f>
        <v/>
      </c>
      <c r="BY128" s="100" t="str">
        <f aca="false">IF($BL128&lt;&gt;Constants!$B$4,"",Constants!$B$32*(($AN128&gt;Constants!$B$26)+($AO128&gt;Constants!$B$26)+($AP128&gt;Constants!$B$26)))</f>
        <v/>
      </c>
      <c r="BZ128" s="100" t="str">
        <f aca="false">IF($BL128&lt;&gt;Constants!$B$4,"",IF(OR(NOT($AL128),$AQ128),0,Constants!$B$33))</f>
        <v/>
      </c>
      <c r="CA128" s="100" t="str">
        <f aca="false">IF($BL128&lt;&gt;Constants!$B$4,"",Constants!$B$34*$BN128)</f>
        <v/>
      </c>
      <c r="CB128" s="100" t="str">
        <f aca="false">IF($BL128&lt;&gt;Constants!$B$4,"",IF(OR(NOT($AL128),$BH128),0,Constants!$B$36))</f>
        <v/>
      </c>
      <c r="CC128" s="100" t="str">
        <f aca="false">IF($BL128&lt;&gt;Constants!$B$4,"",IF(OR(NOT($AL128),$BG128),0,Constants!$B$37))</f>
        <v/>
      </c>
      <c r="CD128" s="100" t="str">
        <f aca="false">IF($BL128&lt;&gt;Constants!$B$4,"",SUM($BX128:$CC128))</f>
        <v/>
      </c>
      <c r="CE128" s="100" t="str">
        <f aca="false">IF(ISBLANK($C128),"",IF($BL128&lt;&gt;Constants!$B$4,$BL128,SUM($BO128:$BW128)-$CD128))</f>
        <v/>
      </c>
      <c r="CF128" s="100" t="str">
        <f aca="false">IF(ISBLANK($C128),"",IF($BL128&lt;&gt;Constants!$B$4,$BL128,RANK($CE128,$CE$9:$CE$508)))</f>
        <v/>
      </c>
      <c r="CG128" s="100" t="str">
        <f aca="false">IF(ISBLANK($C128),"",IF($BL128&lt;&gt;Constants!$B$4,$BL128,COUNTIFS($BM$9:$BM$508,"&lt;"&amp;$BM128)+COUNTIFS($BM$9:$BM$508,$BM128,$CF$9:$CF$508,"&lt;"&amp;$CF128)+1))</f>
        <v/>
      </c>
      <c r="CH128" s="100" t="str">
        <f aca="false">IF(ISBLANK($C128),"",IF($BL128&lt;&gt;Constants!$B$4,$BL128,RANK($CD128,$CD$9:$CD$508,1)))</f>
        <v/>
      </c>
      <c r="CI128" s="100" t="str">
        <f aca="false">IF($BL128&lt;&gt;Constants!$B$4,"",$AN128+$AO128+$AP128)</f>
        <v/>
      </c>
      <c r="CJ128" s="100" t="str">
        <f aca="false">IF(ISBLANK($C128),"",IF($BL128&lt;&gt;Constants!$B$4,$BL128,RANK($CI128,$CI$9:$CI$508,1)))</f>
        <v/>
      </c>
      <c r="CK128" s="100" t="str">
        <f aca="false">IF(ISBLANK($C128),"",IF($BL128&lt;&gt;Constants!$B$4,$BL128,COUNTIFS($BM$9:$BM$508,"&lt;"&amp;$BM128)+COUNTIFS($BM$9:$BM$508,$BM128,$CF$9:$CF$508,"&lt;"&amp;$CF128)+COUNTIFS($BM$9:$BM$508,$BM128,$CF$9:$CF$508,$CF128,$CH$9:$CH$508,"&lt;"&amp;$CH128)+COUNTIFS($BM$9:$BM$508,$BM128,$CF$9:$CF$508,$CF128,$CH$9:$CH$508,$CH128,$CJ$9:$CJ$508,"&lt;"&amp;$CJ128)+1))</f>
        <v/>
      </c>
      <c r="CL128" s="100" t="str">
        <f aca="false">IF(ISBLANK($C128),"",IF($BL128&lt;&gt;Constants!$B$4,$BL128,$CG128-$CK128))</f>
        <v/>
      </c>
      <c r="CM128" s="100" t="str">
        <f aca="false">IF(ISBLANK($C128),"",IF(NOT($AL128),"",IF(ISBLANK($D$7),$CM$5,IF(NOT(ISNUMBER($D$7)),$CM$6,""))))</f>
        <v/>
      </c>
      <c r="CN128" s="100" t="str">
        <f aca="false">IF(ISBLANK($C128),"",OR($AN128="",$AO128="",$AP128=""))</f>
        <v/>
      </c>
      <c r="CO128" s="100" t="str">
        <f aca="false">IF(ISBLANK($C128),"",AND($AL128,$BA128=""))</f>
        <v/>
      </c>
      <c r="CP128" s="100" t="str">
        <f aca="false">IF(ISBLANK($C128),"",AND($AL128,$BB128=""))</f>
        <v/>
      </c>
      <c r="CQ128" s="100" t="str">
        <f aca="false">IF(ISBLANK($C128),"",AND($AL128,$BC128=""))</f>
        <v/>
      </c>
      <c r="CR128" s="100" t="str">
        <f aca="false">IF(ISBLANK($C128),"",AND($AL128,$BF128=""))</f>
        <v/>
      </c>
      <c r="CS128" s="100" t="str">
        <f aca="false">IF(ISBLANK($C128),"",AND($AL128,$BJ128=""))</f>
        <v/>
      </c>
      <c r="CT128" s="101"/>
      <c r="CU128" s="102"/>
      <c r="CV128" s="103" t="str">
        <f aca="false">IF(ISBLANK($C128),"",IF($BL128=Constants!$B$8,$CM128,""))</f>
        <v/>
      </c>
      <c r="CW128" s="102" t="str">
        <f aca="false">IF(ISBLANK($C128),"",IF($BL128&lt;&gt;Constants!$B$4,"",$BO128+$BP128))</f>
        <v/>
      </c>
      <c r="CX128" s="104" t="str">
        <f aca="false">IF(ISBLANK($C128),"",IF($BL128&lt;&gt;Constants!$B$4,"",$BQ128+$BR128+$BS128))</f>
        <v/>
      </c>
      <c r="CY128" s="104" t="str">
        <f aca="false">IF(ISBLANK($C128),"",IF($BL128&lt;&gt;Constants!$B$4,"",$BT128))</f>
        <v/>
      </c>
      <c r="CZ128" s="104" t="str">
        <f aca="false">IF(ISBLANK($C128),"",IF($BL128&lt;&gt;Constants!$B$4,"",$BU128+$BV128))</f>
        <v/>
      </c>
      <c r="DA128" s="104" t="str">
        <f aca="false">IF(ISBLANK($C128),"",IF($BL128&lt;&gt;Constants!$B$4,"",$BW128))</f>
        <v/>
      </c>
      <c r="DB128" s="104" t="str">
        <f aca="false">IF(ISBLANK($C128),"",IF($BL128&lt;&gt;Constants!$B$4,"",-$CD128))</f>
        <v/>
      </c>
      <c r="DC128" s="103" t="str">
        <f aca="false">IF(ISBLANK($C128),"",$CE128)</f>
        <v/>
      </c>
      <c r="DD128" s="105" t="str">
        <f aca="false">IF(ISBLANK($C128),"",$BM128)</f>
        <v/>
      </c>
      <c r="DE128" s="104" t="str">
        <f aca="false">IF(ISBLANK($C128),"",$CL128)</f>
        <v/>
      </c>
      <c r="DF128" s="104" t="str">
        <f aca="false">IF(ISBLANK($C128),"",$CK128)</f>
        <v/>
      </c>
      <c r="DG128" s="106" t="str">
        <f aca="false">IF(ISBLANK($C128),"",IF($DF128=Constants!$B$7,COUNTA($C$9:$C$508)+2,IF($DF128=Constants!$B$6,COUNTA($C$9:$C$508)+1,IF($DF128=Constants!$B$5,COUNTA($C$9:$C$508),$DF128))))</f>
        <v/>
      </c>
      <c r="DH128" s="7"/>
      <c r="DI128" s="107" t="n">
        <f aca="false">IF(OR(ISNUMBER($DF128),$DF128=Constants!$B$7,$DF128=Constants!$B$5,$DF128=Constants!$B$6),1,0)</f>
        <v>0</v>
      </c>
      <c r="DJ128" s="107" t="n">
        <v>120</v>
      </c>
      <c r="DK128" s="107" t="str">
        <f aca="false">IF(ISBLANK($C128),"",IF(ISNUMBER($DG128),$DG128+ROW($B128)/1000,""))</f>
        <v/>
      </c>
      <c r="DL128" s="107" t="str">
        <f aca="false">IF(ISNUMBER($DK128),RANK($DK128,$DK$9:$DK$508,1),"")</f>
        <v/>
      </c>
      <c r="DM128" s="107" t="str">
        <f aca="false">IF(ISBLANK($C128),"",$B128)</f>
        <v/>
      </c>
      <c r="DN128" s="107" t="str">
        <f aca="false">IF(ISBLANK($C128),"",$C128)</f>
        <v/>
      </c>
      <c r="DO128" s="107" t="str">
        <f aca="false">IF(ISBLANK($C128),"",$D128)</f>
        <v/>
      </c>
      <c r="DP128" s="108" t="str">
        <f aca="false">$DD128</f>
        <v/>
      </c>
      <c r="DQ128" s="109" t="str">
        <f aca="false">$DC128</f>
        <v/>
      </c>
      <c r="DR128" s="107" t="str">
        <f aca="false">IF(ISBLANK($C128),"",$DF128)</f>
        <v/>
      </c>
      <c r="DS128" s="110" t="str">
        <f aca="false">IF($DJ128&gt;$DI$8,"",VLOOKUP($DJ128,$DL$9:$DR$508,7,FALSE()))</f>
        <v/>
      </c>
      <c r="DT128" s="111" t="str">
        <f aca="false">IF($DJ128&gt;$DI$8,"",VLOOKUP($DJ128,$DL$9:$DR$508,2,FALSE()))</f>
        <v/>
      </c>
      <c r="DU128" s="111" t="str">
        <f aca="false">IF($DJ128&gt;$DI$8,"",VLOOKUP($DJ128,$DL$9:$DR$508,3,FALSE()))</f>
        <v/>
      </c>
      <c r="DV128" s="111" t="str">
        <f aca="false">IF($DJ128&gt;$DI$8,"",VLOOKUP($DJ128,$DL$9:$DR$508,4,FALSE()))</f>
        <v/>
      </c>
      <c r="DW128" s="111" t="str">
        <f aca="false">IF($DJ128&gt;$DI$8,"",VLOOKUP($DJ128,$DL$9:$DR$508,5,FALSE()))</f>
        <v/>
      </c>
      <c r="DX128" s="112" t="str">
        <f aca="false">IF($DJ128&gt;$DI$8,"",VLOOKUP($DJ128,$DL$9:$DR$508,6,FALSE()))</f>
        <v/>
      </c>
      <c r="DY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88"/>
      <c r="N129" s="88"/>
      <c r="O129" s="134"/>
      <c r="P129" s="134"/>
      <c r="Q129" s="88"/>
      <c r="R129" s="88"/>
      <c r="S129" s="88"/>
      <c r="T129" s="88"/>
      <c r="U129" s="134"/>
      <c r="V129" s="88"/>
      <c r="W129" s="70"/>
      <c r="X129" s="88"/>
      <c r="Y129" s="88"/>
      <c r="Z129" s="70"/>
      <c r="AA129" s="70"/>
      <c r="AB129" s="88"/>
      <c r="AC129" s="88"/>
      <c r="AD129" s="88"/>
      <c r="AE129" s="71"/>
      <c r="AF129" s="88"/>
      <c r="AG129" s="73"/>
      <c r="AH129" s="74"/>
      <c r="AI129" s="74"/>
      <c r="AJ129" s="74" t="str">
        <f aca="false">IF(ISBLANK($C129),"",IF($E129=Constants!$B$2,TRUE(),IF($E129=Constants!$B$3,FALSE(),TRUE())))</f>
        <v/>
      </c>
      <c r="AK129" s="74" t="str">
        <f aca="false">IF(ISBLANK($C129),"",IF($F129=Constants!$B$2,TRUE(),IF($F129=Constants!$B$3,FALSE(),FALSE())))</f>
        <v/>
      </c>
      <c r="AL129" s="74" t="str">
        <f aca="false">IF(ISBLANK($C129),"",IF($G129=Constants!$B$2,TRUE(),IF($G129=Constants!$B$3,FALSE(),TRUE())))</f>
        <v/>
      </c>
      <c r="AM129" s="74" t="str">
        <f aca="false">IF(ISBLANK($C129),"",IF($H129=Constants!$B$2,TRUE(),IF($H129=Constants!$B$3,FALSE(),TRUE())))</f>
        <v/>
      </c>
      <c r="AN129" s="74" t="str">
        <f aca="false">IF(ISBLANK($C129),"",IF(ISNUMBER($I129),IF($I129&gt;=0,$I129,""),""))</f>
        <v/>
      </c>
      <c r="AO129" s="74" t="str">
        <f aca="false">IF(ISBLANK($C129),"",IF(ISNUMBER($J129),IF($J129&gt;=0,$J129,""),""))</f>
        <v/>
      </c>
      <c r="AP129" s="74" t="str">
        <f aca="false">IF(ISBLANK($C129),"",IF(ISNUMBER($K129),IF($K129&gt;=0,$K129,""),""))</f>
        <v/>
      </c>
      <c r="AQ129" s="74" t="str">
        <f aca="false">IF(ISBLANK($C129),"",IF($L129=Constants!$B$2,TRUE(),IF($L129=Constants!$B$3,FALSE(),TRUE())))</f>
        <v/>
      </c>
      <c r="AR129" s="74" t="str">
        <f aca="false">IF(ISBLANK($C129),"",IF($M129=Constants!$B$2,TRUE(),IF($M129=Constants!$B$3,FALSE(),TRUE())))</f>
        <v/>
      </c>
      <c r="AS129" s="74" t="str">
        <f aca="false">IF(ISBLANK($C129),"",IF($N129=Constants!$B$2,TRUE(),IF($N129=Constants!$B$3,FALSE(),FALSE())))</f>
        <v/>
      </c>
      <c r="AT129" s="74" t="str">
        <f aca="false">IF(ISBLANK($C129),"",IF($O129=Constants!$B$2,TRUE(),IF($O129=Constants!$B$3,FALSE(),TRUE())))</f>
        <v/>
      </c>
      <c r="AU129" s="74" t="str">
        <f aca="false">IF(ISBLANK($C129),"",IF($P129=Constants!$B$2,TRUE(),IF($P129=Constants!$B$3,FALSE(),TRUE())))</f>
        <v/>
      </c>
      <c r="AV129" s="74" t="str">
        <f aca="false">IF(ISBLANK($C129),"",IF($Q129=Constants!$B$2,TRUE(),IF($Q129=Constants!$B$3,FALSE(),FALSE())))</f>
        <v/>
      </c>
      <c r="AW129" s="74" t="str">
        <f aca="false">IF(ISBLANK($C129),"",IF($R129=Constants!$B$2,TRUE(),IF($R129=Constants!$B$3,FALSE(),FALSE())))</f>
        <v/>
      </c>
      <c r="AX129" s="74" t="str">
        <f aca="false">IF(ISBLANK($C129),"",IF($S129=Constants!$B$2,TRUE(),IF($S129=Constants!$B$3,FALSE(),FALSE())))</f>
        <v/>
      </c>
      <c r="AY129" s="74" t="str">
        <f aca="false">IF(ISBLANK($C129),"",IF($T129=Constants!$B$2,TRUE(),IF($T129=Constants!$B$3,FALSE(),FALSE())))</f>
        <v/>
      </c>
      <c r="AZ129" s="74" t="str">
        <f aca="false">IF(ISBLANK($C129),"",IF($U129=Constants!$B$2,TRUE(),IF($U129=Constants!$B$3,FALSE(),FALSE())))</f>
        <v/>
      </c>
      <c r="BA129" s="74" t="str">
        <f aca="false">IF(ISBLANK($C129),"",IF(OR($V129&amp;""="1",$V129&amp;""="2",$V129&amp;""="3",$V129&amp;""="4"),VALUE($V129&amp;""),IF($V129=Constants!$B$12,Constants!$B$12,"")))</f>
        <v/>
      </c>
      <c r="BB129" s="74" t="str">
        <f aca="false">IF(ISBLANK($C129),"",IF(ISBLANK($W129),0,IF(ISNUMBER($W129),IF(AND($W129&gt;=0,$W129&lt;=Constants!$B$21,$W129=INT($W129)),$W129,""),"")))</f>
        <v/>
      </c>
      <c r="BC129" s="74" t="str">
        <f aca="false">IF(ISBLANK($C129),"",IF(ISBLANK($X129),0,IF(ISNUMBER($X129),IF($X129&gt;=0,$X129,""),"")))</f>
        <v/>
      </c>
      <c r="BD129" s="74" t="str">
        <f aca="false">IF(ISBLANK($C129),"",IF($Y129=Constants!$B$2,TRUE(),IF($Y129=Constants!$B$3,FALSE(),TRUE())))</f>
        <v/>
      </c>
      <c r="BE129" s="74" t="str">
        <f aca="false">IF(ISBLANK($C129),"",IF($Z129=Constants!$B$2,TRUE(),IF($Z129=Constants!$B$3,FALSE(),FALSE())))</f>
        <v/>
      </c>
      <c r="BF129" s="74" t="str">
        <f aca="false">IF(ISBLANK($C129),"",IF(ISBLANK($AA129),0,IF(ISNUMBER($AA129),IF(AND($AA129&gt;=0,$AA129&lt;=Constants!$B$35,$AA129=INT($AA129)),$AA129,""),"")))</f>
        <v/>
      </c>
      <c r="BG129" s="74" t="str">
        <f aca="false">IF(ISBLANK($C129),"",IF($AB129=Constants!$B$2,TRUE(),IF($AB129=Constants!$B$3,FALSE(),TRUE())))</f>
        <v/>
      </c>
      <c r="BH129" s="74" t="str">
        <f aca="false">IF(ISBLANK($C129),"",IF($AC129=Constants!$B$2,TRUE(),IF($AC129=Constants!$B$3,FALSE(),TRUE())))</f>
        <v/>
      </c>
      <c r="BI129" s="74" t="str">
        <f aca="false">IF(ISBLANK($C129),"",IF($AD129=Constants!$B$2,TRUE(),IF($AD129=Constants!$B$3,FALSE(),TRUE())))</f>
        <v/>
      </c>
      <c r="BJ129" s="74" t="str">
        <f aca="false">IF(ISBLANK($C129),"",IF(ISNUMBER($AE129),IF($AE129&gt;=0,$AE129,""),""))</f>
        <v/>
      </c>
      <c r="BK129" s="74" t="str">
        <f aca="false">IF(ISBLANK($C129),"",IF($AF129=Constants!$B$2,TRUE(),IF($AF129=Constants!$B$3,FALSE(),FALSE())))</f>
        <v/>
      </c>
      <c r="BL129" s="73" t="str">
        <f aca="false">IF(ISBLANK($C129),"",IF($BK129,Constants!$B$7,IF(COUNTA($E129:$AE129)=0,Constants!$B$6,IF(OR(COUNTA($G129:$AE129)=0,NOT($AM129),$AS129),Constants!$B$5,IF(OR($CM129&lt;&gt;"",$CN129,$CO129,$CP129,$CQ129,$CR129,$CS129),Constants!$B$8,Constants!$B$4)))))</f>
        <v/>
      </c>
      <c r="BM129" s="74" t="str">
        <f aca="false">IF(ISBLANK($C129),"",IF($BL129&lt;&gt;Constants!$B$4,$BL129,IF(OR(NOT($AJ129),NOT($AL129),NOT($AT129)),Constants!$B$11,IF(OR(NOT($AR129),NOT($AU129),NOT($BI129),MAX($AN129,$AO129,$AP129)&gt;Constants!$B$30),Constants!$B$10,Constants!$B$9))))</f>
        <v/>
      </c>
      <c r="BN129" s="74" t="str">
        <f aca="false">IF($BL129&lt;&gt;Constants!$B$4,"",IF(NOT($AL129),0,MIN(Constants!$B$35,$BF129)))</f>
        <v/>
      </c>
      <c r="BO129" s="74" t="str">
        <f aca="false">IF($BL129&lt;&gt;Constants!$B$4,"",IF(NOT($AL129),0,IF($AW129,Constants!$B$18,IF($AV129,Constants!$B$17,0))))</f>
        <v/>
      </c>
      <c r="BP129" s="74" t="str">
        <f aca="false">IF($BL129&lt;&gt;Constants!$B$4,"",IF(NOT($AL129),0,Constants!$B$19*($AK129+$AX129+$AY129+$AZ129)))</f>
        <v/>
      </c>
      <c r="BQ129" s="74" t="str">
        <f aca="false">IF($BL129&lt;&gt;Constants!$B$4,"",IF(OR(NOT($AL129),NOT(ISNUMBER($BA129))),0,CHOOSE($BA129,Constants!$B$13,Constants!$B$14,Constants!$B$15,Constants!$B$16)))</f>
        <v/>
      </c>
      <c r="BR129" s="74" t="str">
        <f aca="false">IF($BL129&lt;&gt;Constants!$B$4,"",IF(NOT($AL129),0,Constants!$B$20*$BB129))</f>
        <v/>
      </c>
      <c r="BS129" s="74" t="str">
        <f aca="false">IF($BL129&lt;&gt;Constants!$B$4,"",IF(AND($AL129,$BD129,$BE129),Constants!$B$22,0))</f>
        <v/>
      </c>
      <c r="BT129" s="74" t="str">
        <f aca="false">IF($BL129&lt;&gt;Constants!$B$4,"",IF(OR(NOT($AL129),NOT($BD129)),0,IF($BJ129&gt;=2*$AH$9,0,Constants!$B$23*INT(ROUND(MIN($BJ129,$AH$9),6)))))</f>
        <v/>
      </c>
      <c r="BU129" s="74" t="str">
        <f aca="false">IF($BL129&lt;&gt;Constants!$B$4,"",IF(NOT($AL129),0,Constants!$B$24*INT(ROUND(MIN($BC129,$AH$9),6))))</f>
        <v/>
      </c>
      <c r="BV129" s="74" t="str">
        <f aca="false">IF($BL129&lt;&gt;Constants!$B$4,"",IF(AND($AL129,$BN129=0),Constants!$B$25,0))</f>
        <v/>
      </c>
      <c r="BW129" s="74" t="str">
        <f aca="false">IF($BL129&lt;&gt;Constants!$B$4,"",MIN(Constants!$B$29,MAX(0,Constants!$B$27*Constants!$B$28*INT(ROUND((Constants!$B$26-$AN129)/Constants!$B$28,6))))+MIN(Constants!$B$29,MAX(0,Constants!$B$27*Constants!$B$28*INT(ROUND((Constants!$B$26-$AO129)/Constants!$B$28,6))))+MIN(Constants!$B$29,MAX(0,Constants!$B$27*Constants!$B$28*INT(ROUND((Constants!$B$26-$AP129)/Constants!$B$28,6)))))</f>
        <v/>
      </c>
      <c r="BX129" s="74" t="str">
        <f aca="false">IF($BL129&lt;&gt;Constants!$B$4,"",IF(NOT($AL129),0,Constants!$B$31*INT(ROUND(MAX(0,MIN($BJ129,2*$AH$9)-$AH$9),6))))</f>
        <v/>
      </c>
      <c r="BY129" s="74" t="str">
        <f aca="false">IF($BL129&lt;&gt;Constants!$B$4,"",Constants!$B$32*(($AN129&gt;Constants!$B$26)+($AO129&gt;Constants!$B$26)+($AP129&gt;Constants!$B$26)))</f>
        <v/>
      </c>
      <c r="BZ129" s="74" t="str">
        <f aca="false">IF($BL129&lt;&gt;Constants!$B$4,"",IF(OR(NOT($AL129),$AQ129),0,Constants!$B$33))</f>
        <v/>
      </c>
      <c r="CA129" s="74" t="str">
        <f aca="false">IF($BL129&lt;&gt;Constants!$B$4,"",Constants!$B$34*$BN129)</f>
        <v/>
      </c>
      <c r="CB129" s="74" t="str">
        <f aca="false">IF($BL129&lt;&gt;Constants!$B$4,"",IF(OR(NOT($AL129),$BH129),0,Constants!$B$36))</f>
        <v/>
      </c>
      <c r="CC129" s="74" t="str">
        <f aca="false">IF($BL129&lt;&gt;Constants!$B$4,"",IF(OR(NOT($AL129),$BG129),0,Constants!$B$37))</f>
        <v/>
      </c>
      <c r="CD129" s="74" t="str">
        <f aca="false">IF($BL129&lt;&gt;Constants!$B$4,"",SUM($BX129:$CC129))</f>
        <v/>
      </c>
      <c r="CE129" s="74" t="str">
        <f aca="false">IF(ISBLANK($C129),"",IF($BL129&lt;&gt;Constants!$B$4,$BL129,SUM($BO129:$BW129)-$CD129))</f>
        <v/>
      </c>
      <c r="CF129" s="74" t="str">
        <f aca="false">IF(ISBLANK($C129),"",IF($BL129&lt;&gt;Constants!$B$4,$BL129,RANK($CE129,$CE$9:$CE$508)))</f>
        <v/>
      </c>
      <c r="CG129" s="74" t="str">
        <f aca="false">IF(ISBLANK($C129),"",IF($BL129&lt;&gt;Constants!$B$4,$BL129,COUNTIFS($BM$9:$BM$508,"&lt;"&amp;$BM129)+COUNTIFS($BM$9:$BM$508,$BM129,$CF$9:$CF$508,"&lt;"&amp;$CF129)+1))</f>
        <v/>
      </c>
      <c r="CH129" s="74" t="str">
        <f aca="false">IF(ISBLANK($C129),"",IF($BL129&lt;&gt;Constants!$B$4,$BL129,RANK($CD129,$CD$9:$CD$508,1)))</f>
        <v/>
      </c>
      <c r="CI129" s="74" t="str">
        <f aca="false">IF($BL129&lt;&gt;Constants!$B$4,"",$AN129+$AO129+$AP129)</f>
        <v/>
      </c>
      <c r="CJ129" s="74" t="str">
        <f aca="false">IF(ISBLANK($C129),"",IF($BL129&lt;&gt;Constants!$B$4,$BL129,RANK($CI129,$CI$9:$CI$508,1)))</f>
        <v/>
      </c>
      <c r="CK129" s="74" t="str">
        <f aca="false">IF(ISBLANK($C129),"",IF($BL129&lt;&gt;Constants!$B$4,$BL129,COUNTIFS($BM$9:$BM$508,"&lt;"&amp;$BM129)+COUNTIFS($BM$9:$BM$508,$BM129,$CF$9:$CF$508,"&lt;"&amp;$CF129)+COUNTIFS($BM$9:$BM$508,$BM129,$CF$9:$CF$508,$CF129,$CH$9:$CH$508,"&lt;"&amp;$CH129)+COUNTIFS($BM$9:$BM$508,$BM129,$CF$9:$CF$508,$CF129,$CH$9:$CH$508,$CH129,$CJ$9:$CJ$508,"&lt;"&amp;$CJ129)+1))</f>
        <v/>
      </c>
      <c r="CL129" s="74" t="str">
        <f aca="false">IF(ISBLANK($C129),"",IF($BL129&lt;&gt;Constants!$B$4,$BL129,$CG129-$CK129))</f>
        <v/>
      </c>
      <c r="CM129" s="74" t="str">
        <f aca="false">IF(ISBLANK($C129),"",IF(NOT($AL129),"",IF(ISBLANK($D$7),$CM$5,IF(NOT(ISNUMBER($D$7)),$CM$6,""))))</f>
        <v/>
      </c>
      <c r="CN129" s="74" t="str">
        <f aca="false">IF(ISBLANK($C129),"",OR($AN129="",$AO129="",$AP129=""))</f>
        <v/>
      </c>
      <c r="CO129" s="74" t="str">
        <f aca="false">IF(ISBLANK($C129),"",AND($AL129,$BA129=""))</f>
        <v/>
      </c>
      <c r="CP129" s="74" t="str">
        <f aca="false">IF(ISBLANK($C129),"",AND($AL129,$BB129=""))</f>
        <v/>
      </c>
      <c r="CQ129" s="74" t="str">
        <f aca="false">IF(ISBLANK($C129),"",AND($AL129,$BC129=""))</f>
        <v/>
      </c>
      <c r="CR129" s="74" t="str">
        <f aca="false">IF(ISBLANK($C129),"",AND($AL129,$BF129=""))</f>
        <v/>
      </c>
      <c r="CS129" s="74" t="str">
        <f aca="false">IF(ISBLANK($C129),"",AND($AL129,$BJ129=""))</f>
        <v/>
      </c>
      <c r="CT129" s="75"/>
      <c r="CU129" s="76"/>
      <c r="CV129" s="79" t="str">
        <f aca="false">IF(ISBLANK($C129),"",IF($BL129=Constants!$B$8,$CM129,""))</f>
        <v/>
      </c>
      <c r="CW129" s="76" t="str">
        <f aca="false">IF(ISBLANK($C129),"",IF($BL129&lt;&gt;Constants!$B$4,"",$BO129+$BP129))</f>
        <v/>
      </c>
      <c r="CX129" s="78" t="str">
        <f aca="false">IF(ISBLANK($C129),"",IF($BL129&lt;&gt;Constants!$B$4,"",$BQ129+$BR129+$BS129))</f>
        <v/>
      </c>
      <c r="CY129" s="78" t="str">
        <f aca="false">IF(ISBLANK($C129),"",IF($BL129&lt;&gt;Constants!$B$4,"",$BT129))</f>
        <v/>
      </c>
      <c r="CZ129" s="78" t="str">
        <f aca="false">IF(ISBLANK($C129),"",IF($BL129&lt;&gt;Constants!$B$4,"",$BU129+$BV129))</f>
        <v/>
      </c>
      <c r="DA129" s="78" t="str">
        <f aca="false">IF(ISBLANK($C129),"",IF($BL129&lt;&gt;Constants!$B$4,"",$BW129))</f>
        <v/>
      </c>
      <c r="DB129" s="78" t="str">
        <f aca="false">IF(ISBLANK($C129),"",IF($BL129&lt;&gt;Constants!$B$4,"",-$CD129))</f>
        <v/>
      </c>
      <c r="DC129" s="79" t="str">
        <f aca="false">IF(ISBLANK($C129),"",$CE129)</f>
        <v/>
      </c>
      <c r="DD129" s="80" t="str">
        <f aca="false">IF(ISBLANK($C129),"",$BM129)</f>
        <v/>
      </c>
      <c r="DE129" s="78" t="str">
        <f aca="false">IF(ISBLANK($C129),"",$CL129)</f>
        <v/>
      </c>
      <c r="DF129" s="78" t="str">
        <f aca="false">IF(ISBLANK($C129),"",$CK129)</f>
        <v/>
      </c>
      <c r="DG129" s="81" t="str">
        <f aca="false">IF(ISBLANK($C129),"",IF($DF129=Constants!$B$7,COUNTA($C$9:$C$508)+2,IF($DF129=Constants!$B$6,COUNTA($C$9:$C$508)+1,IF($DF129=Constants!$B$5,COUNTA($C$9:$C$508),$DF129))))</f>
        <v/>
      </c>
      <c r="DH129" s="7"/>
      <c r="DI129" s="82" t="n">
        <f aca="false">IF(OR(ISNUMBER($DF129),$DF129=Constants!$B$7,$DF129=Constants!$B$5,$DF129=Constants!$B$6),1,0)</f>
        <v>0</v>
      </c>
      <c r="DJ129" s="82" t="n">
        <v>121</v>
      </c>
      <c r="DK129" s="82" t="str">
        <f aca="false">IF(ISBLANK($C129),"",IF(ISNUMBER($DG129),$DG129+ROW($B129)/1000,""))</f>
        <v/>
      </c>
      <c r="DL129" s="82" t="str">
        <f aca="false">IF(ISNUMBER($DK129),RANK($DK129,$DK$9:$DK$508,1),"")</f>
        <v/>
      </c>
      <c r="DM129" s="82" t="str">
        <f aca="false">IF(ISBLANK($C129),"",$B129)</f>
        <v/>
      </c>
      <c r="DN129" s="82" t="str">
        <f aca="false">IF(ISBLANK($C129),"",$C129)</f>
        <v/>
      </c>
      <c r="DO129" s="82" t="str">
        <f aca="false">IF(ISBLANK($C129),"",$D129)</f>
        <v/>
      </c>
      <c r="DP129" s="83" t="str">
        <f aca="false">$DD129</f>
        <v/>
      </c>
      <c r="DQ129" s="84" t="str">
        <f aca="false">$DC129</f>
        <v/>
      </c>
      <c r="DR129" s="82" t="str">
        <f aca="false">IF(ISBLANK($C129),"",$DF129)</f>
        <v/>
      </c>
      <c r="DS129" s="85" t="str">
        <f aca="false">IF($DJ129&gt;$DI$8,"",VLOOKUP($DJ129,$DL$9:$DR$508,7,FALSE()))</f>
        <v/>
      </c>
      <c r="DT129" s="86" t="str">
        <f aca="false">IF($DJ129&gt;$DI$8,"",VLOOKUP($DJ129,$DL$9:$DR$508,2,FALSE()))</f>
        <v/>
      </c>
      <c r="DU129" s="86" t="str">
        <f aca="false">IF($DJ129&gt;$DI$8,"",VLOOKUP($DJ129,$DL$9:$DR$508,3,FALSE()))</f>
        <v/>
      </c>
      <c r="DV129" s="86" t="str">
        <f aca="false">IF($DJ129&gt;$DI$8,"",VLOOKUP($DJ129,$DL$9:$DR$508,4,FALSE()))</f>
        <v/>
      </c>
      <c r="DW129" s="86" t="str">
        <f aca="false">IF($DJ129&gt;$DI$8,"",VLOOKUP($DJ129,$DL$9:$DR$508,5,FALSE()))</f>
        <v/>
      </c>
      <c r="DX129" s="87" t="str">
        <f aca="false">IF($DJ129&gt;$DI$8,"",VLOOKUP($DJ129,$DL$9:$DR$508,6,FALSE()))</f>
        <v/>
      </c>
      <c r="DY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88"/>
      <c r="N130" s="88"/>
      <c r="O130" s="134"/>
      <c r="P130" s="134"/>
      <c r="Q130" s="88"/>
      <c r="R130" s="88"/>
      <c r="S130" s="88"/>
      <c r="T130" s="88"/>
      <c r="U130" s="134"/>
      <c r="V130" s="88"/>
      <c r="W130" s="70"/>
      <c r="X130" s="88"/>
      <c r="Y130" s="88"/>
      <c r="Z130" s="70"/>
      <c r="AA130" s="70"/>
      <c r="AB130" s="88"/>
      <c r="AC130" s="88"/>
      <c r="AD130" s="88"/>
      <c r="AE130" s="71"/>
      <c r="AF130" s="88"/>
      <c r="AG130" s="73"/>
      <c r="AH130" s="74"/>
      <c r="AI130" s="74"/>
      <c r="AJ130" s="74" t="str">
        <f aca="false">IF(ISBLANK($C130),"",IF($E130=Constants!$B$2,TRUE(),IF($E130=Constants!$B$3,FALSE(),TRUE())))</f>
        <v/>
      </c>
      <c r="AK130" s="74" t="str">
        <f aca="false">IF(ISBLANK($C130),"",IF($F130=Constants!$B$2,TRUE(),IF($F130=Constants!$B$3,FALSE(),FALSE())))</f>
        <v/>
      </c>
      <c r="AL130" s="74" t="str">
        <f aca="false">IF(ISBLANK($C130),"",IF($G130=Constants!$B$2,TRUE(),IF($G130=Constants!$B$3,FALSE(),TRUE())))</f>
        <v/>
      </c>
      <c r="AM130" s="74" t="str">
        <f aca="false">IF(ISBLANK($C130),"",IF($H130=Constants!$B$2,TRUE(),IF($H130=Constants!$B$3,FALSE(),TRUE())))</f>
        <v/>
      </c>
      <c r="AN130" s="74" t="str">
        <f aca="false">IF(ISBLANK($C130),"",IF(ISNUMBER($I130),IF($I130&gt;=0,$I130,""),""))</f>
        <v/>
      </c>
      <c r="AO130" s="74" t="str">
        <f aca="false">IF(ISBLANK($C130),"",IF(ISNUMBER($J130),IF($J130&gt;=0,$J130,""),""))</f>
        <v/>
      </c>
      <c r="AP130" s="74" t="str">
        <f aca="false">IF(ISBLANK($C130),"",IF(ISNUMBER($K130),IF($K130&gt;=0,$K130,""),""))</f>
        <v/>
      </c>
      <c r="AQ130" s="74" t="str">
        <f aca="false">IF(ISBLANK($C130),"",IF($L130=Constants!$B$2,TRUE(),IF($L130=Constants!$B$3,FALSE(),TRUE())))</f>
        <v/>
      </c>
      <c r="AR130" s="74" t="str">
        <f aca="false">IF(ISBLANK($C130),"",IF($M130=Constants!$B$2,TRUE(),IF($M130=Constants!$B$3,FALSE(),TRUE())))</f>
        <v/>
      </c>
      <c r="AS130" s="74" t="str">
        <f aca="false">IF(ISBLANK($C130),"",IF($N130=Constants!$B$2,TRUE(),IF($N130=Constants!$B$3,FALSE(),FALSE())))</f>
        <v/>
      </c>
      <c r="AT130" s="74" t="str">
        <f aca="false">IF(ISBLANK($C130),"",IF($O130=Constants!$B$2,TRUE(),IF($O130=Constants!$B$3,FALSE(),TRUE())))</f>
        <v/>
      </c>
      <c r="AU130" s="74" t="str">
        <f aca="false">IF(ISBLANK($C130),"",IF($P130=Constants!$B$2,TRUE(),IF($P130=Constants!$B$3,FALSE(),TRUE())))</f>
        <v/>
      </c>
      <c r="AV130" s="74" t="str">
        <f aca="false">IF(ISBLANK($C130),"",IF($Q130=Constants!$B$2,TRUE(),IF($Q130=Constants!$B$3,FALSE(),FALSE())))</f>
        <v/>
      </c>
      <c r="AW130" s="74" t="str">
        <f aca="false">IF(ISBLANK($C130),"",IF($R130=Constants!$B$2,TRUE(),IF($R130=Constants!$B$3,FALSE(),FALSE())))</f>
        <v/>
      </c>
      <c r="AX130" s="74" t="str">
        <f aca="false">IF(ISBLANK($C130),"",IF($S130=Constants!$B$2,TRUE(),IF($S130=Constants!$B$3,FALSE(),FALSE())))</f>
        <v/>
      </c>
      <c r="AY130" s="74" t="str">
        <f aca="false">IF(ISBLANK($C130),"",IF($T130=Constants!$B$2,TRUE(),IF($T130=Constants!$B$3,FALSE(),FALSE())))</f>
        <v/>
      </c>
      <c r="AZ130" s="74" t="str">
        <f aca="false">IF(ISBLANK($C130),"",IF($U130=Constants!$B$2,TRUE(),IF($U130=Constants!$B$3,FALSE(),FALSE())))</f>
        <v/>
      </c>
      <c r="BA130" s="74" t="str">
        <f aca="false">IF(ISBLANK($C130),"",IF(OR($V130&amp;""="1",$V130&amp;""="2",$V130&amp;""="3",$V130&amp;""="4"),VALUE($V130&amp;""),IF($V130=Constants!$B$12,Constants!$B$12,"")))</f>
        <v/>
      </c>
      <c r="BB130" s="74" t="str">
        <f aca="false">IF(ISBLANK($C130),"",IF(ISBLANK($W130),0,IF(ISNUMBER($W130),IF(AND($W130&gt;=0,$W130&lt;=Constants!$B$21,$W130=INT($W130)),$W130,""),"")))</f>
        <v/>
      </c>
      <c r="BC130" s="74" t="str">
        <f aca="false">IF(ISBLANK($C130),"",IF(ISBLANK($X130),0,IF(ISNUMBER($X130),IF($X130&gt;=0,$X130,""),"")))</f>
        <v/>
      </c>
      <c r="BD130" s="74" t="str">
        <f aca="false">IF(ISBLANK($C130),"",IF($Y130=Constants!$B$2,TRUE(),IF($Y130=Constants!$B$3,FALSE(),TRUE())))</f>
        <v/>
      </c>
      <c r="BE130" s="74" t="str">
        <f aca="false">IF(ISBLANK($C130),"",IF($Z130=Constants!$B$2,TRUE(),IF($Z130=Constants!$B$3,FALSE(),FALSE())))</f>
        <v/>
      </c>
      <c r="BF130" s="74" t="str">
        <f aca="false">IF(ISBLANK($C130),"",IF(ISBLANK($AA130),0,IF(ISNUMBER($AA130),IF(AND($AA130&gt;=0,$AA130&lt;=Constants!$B$35,$AA130=INT($AA130)),$AA130,""),"")))</f>
        <v/>
      </c>
      <c r="BG130" s="74" t="str">
        <f aca="false">IF(ISBLANK($C130),"",IF($AB130=Constants!$B$2,TRUE(),IF($AB130=Constants!$B$3,FALSE(),TRUE())))</f>
        <v/>
      </c>
      <c r="BH130" s="74" t="str">
        <f aca="false">IF(ISBLANK($C130),"",IF($AC130=Constants!$B$2,TRUE(),IF($AC130=Constants!$B$3,FALSE(),TRUE())))</f>
        <v/>
      </c>
      <c r="BI130" s="74" t="str">
        <f aca="false">IF(ISBLANK($C130),"",IF($AD130=Constants!$B$2,TRUE(),IF($AD130=Constants!$B$3,FALSE(),TRUE())))</f>
        <v/>
      </c>
      <c r="BJ130" s="74" t="str">
        <f aca="false">IF(ISBLANK($C130),"",IF(ISNUMBER($AE130),IF($AE130&gt;=0,$AE130,""),""))</f>
        <v/>
      </c>
      <c r="BK130" s="74" t="str">
        <f aca="false">IF(ISBLANK($C130),"",IF($AF130=Constants!$B$2,TRUE(),IF($AF130=Constants!$B$3,FALSE(),FALSE())))</f>
        <v/>
      </c>
      <c r="BL130" s="73" t="str">
        <f aca="false">IF(ISBLANK($C130),"",IF($BK130,Constants!$B$7,IF(COUNTA($E130:$AE130)=0,Constants!$B$6,IF(OR(COUNTA($G130:$AE130)=0,NOT($AM130),$AS130),Constants!$B$5,IF(OR($CM130&lt;&gt;"",$CN130,$CO130,$CP130,$CQ130,$CR130,$CS130),Constants!$B$8,Constants!$B$4)))))</f>
        <v/>
      </c>
      <c r="BM130" s="74" t="str">
        <f aca="false">IF(ISBLANK($C130),"",IF($BL130&lt;&gt;Constants!$B$4,$BL130,IF(OR(NOT($AJ130),NOT($AL130),NOT($AT130)),Constants!$B$11,IF(OR(NOT($AR130),NOT($AU130),NOT($BI130),MAX($AN130,$AO130,$AP130)&gt;Constants!$B$30),Constants!$B$10,Constants!$B$9))))</f>
        <v/>
      </c>
      <c r="BN130" s="74" t="str">
        <f aca="false">IF($BL130&lt;&gt;Constants!$B$4,"",IF(NOT($AL130),0,MIN(Constants!$B$35,$BF130)))</f>
        <v/>
      </c>
      <c r="BO130" s="74" t="str">
        <f aca="false">IF($BL130&lt;&gt;Constants!$B$4,"",IF(NOT($AL130),0,IF($AW130,Constants!$B$18,IF($AV130,Constants!$B$17,0))))</f>
        <v/>
      </c>
      <c r="BP130" s="74" t="str">
        <f aca="false">IF($BL130&lt;&gt;Constants!$B$4,"",IF(NOT($AL130),0,Constants!$B$19*($AK130+$AX130+$AY130+$AZ130)))</f>
        <v/>
      </c>
      <c r="BQ130" s="74" t="str">
        <f aca="false">IF($BL130&lt;&gt;Constants!$B$4,"",IF(OR(NOT($AL130),NOT(ISNUMBER($BA130))),0,CHOOSE($BA130,Constants!$B$13,Constants!$B$14,Constants!$B$15,Constants!$B$16)))</f>
        <v/>
      </c>
      <c r="BR130" s="74" t="str">
        <f aca="false">IF($BL130&lt;&gt;Constants!$B$4,"",IF(NOT($AL130),0,Constants!$B$20*$BB130))</f>
        <v/>
      </c>
      <c r="BS130" s="74" t="str">
        <f aca="false">IF($BL130&lt;&gt;Constants!$B$4,"",IF(AND($AL130,$BD130,$BE130),Constants!$B$22,0))</f>
        <v/>
      </c>
      <c r="BT130" s="74" t="str">
        <f aca="false">IF($BL130&lt;&gt;Constants!$B$4,"",IF(OR(NOT($AL130),NOT($BD130)),0,IF($BJ130&gt;=2*$AH$9,0,Constants!$B$23*INT(ROUND(MIN($BJ130,$AH$9),6)))))</f>
        <v/>
      </c>
      <c r="BU130" s="74" t="str">
        <f aca="false">IF($BL130&lt;&gt;Constants!$B$4,"",IF(NOT($AL130),0,Constants!$B$24*INT(ROUND(MIN($BC130,$AH$9),6))))</f>
        <v/>
      </c>
      <c r="BV130" s="74" t="str">
        <f aca="false">IF($BL130&lt;&gt;Constants!$B$4,"",IF(AND($AL130,$BN130=0),Constants!$B$25,0))</f>
        <v/>
      </c>
      <c r="BW130" s="74" t="str">
        <f aca="false">IF($BL130&lt;&gt;Constants!$B$4,"",MIN(Constants!$B$29,MAX(0,Constants!$B$27*Constants!$B$28*INT(ROUND((Constants!$B$26-$AN130)/Constants!$B$28,6))))+MIN(Constants!$B$29,MAX(0,Constants!$B$27*Constants!$B$28*INT(ROUND((Constants!$B$26-$AO130)/Constants!$B$28,6))))+MIN(Constants!$B$29,MAX(0,Constants!$B$27*Constants!$B$28*INT(ROUND((Constants!$B$26-$AP130)/Constants!$B$28,6)))))</f>
        <v/>
      </c>
      <c r="BX130" s="74" t="str">
        <f aca="false">IF($BL130&lt;&gt;Constants!$B$4,"",IF(NOT($AL130),0,Constants!$B$31*INT(ROUND(MAX(0,MIN($BJ130,2*$AH$9)-$AH$9),6))))</f>
        <v/>
      </c>
      <c r="BY130" s="74" t="str">
        <f aca="false">IF($BL130&lt;&gt;Constants!$B$4,"",Constants!$B$32*(($AN130&gt;Constants!$B$26)+($AO130&gt;Constants!$B$26)+($AP130&gt;Constants!$B$26)))</f>
        <v/>
      </c>
      <c r="BZ130" s="74" t="str">
        <f aca="false">IF($BL130&lt;&gt;Constants!$B$4,"",IF(OR(NOT($AL130),$AQ130),0,Constants!$B$33))</f>
        <v/>
      </c>
      <c r="CA130" s="74" t="str">
        <f aca="false">IF($BL130&lt;&gt;Constants!$B$4,"",Constants!$B$34*$BN130)</f>
        <v/>
      </c>
      <c r="CB130" s="74" t="str">
        <f aca="false">IF($BL130&lt;&gt;Constants!$B$4,"",IF(OR(NOT($AL130),$BH130),0,Constants!$B$36))</f>
        <v/>
      </c>
      <c r="CC130" s="74" t="str">
        <f aca="false">IF($BL130&lt;&gt;Constants!$B$4,"",IF(OR(NOT($AL130),$BG130),0,Constants!$B$37))</f>
        <v/>
      </c>
      <c r="CD130" s="74" t="str">
        <f aca="false">IF($BL130&lt;&gt;Constants!$B$4,"",SUM($BX130:$CC130))</f>
        <v/>
      </c>
      <c r="CE130" s="74" t="str">
        <f aca="false">IF(ISBLANK($C130),"",IF($BL130&lt;&gt;Constants!$B$4,$BL130,SUM($BO130:$BW130)-$CD130))</f>
        <v/>
      </c>
      <c r="CF130" s="74" t="str">
        <f aca="false">IF(ISBLANK($C130),"",IF($BL130&lt;&gt;Constants!$B$4,$BL130,RANK($CE130,$CE$9:$CE$508)))</f>
        <v/>
      </c>
      <c r="CG130" s="74" t="str">
        <f aca="false">IF(ISBLANK($C130),"",IF($BL130&lt;&gt;Constants!$B$4,$BL130,COUNTIFS($BM$9:$BM$508,"&lt;"&amp;$BM130)+COUNTIFS($BM$9:$BM$508,$BM130,$CF$9:$CF$508,"&lt;"&amp;$CF130)+1))</f>
        <v/>
      </c>
      <c r="CH130" s="74" t="str">
        <f aca="false">IF(ISBLANK($C130),"",IF($BL130&lt;&gt;Constants!$B$4,$BL130,RANK($CD130,$CD$9:$CD$508,1)))</f>
        <v/>
      </c>
      <c r="CI130" s="74" t="str">
        <f aca="false">IF($BL130&lt;&gt;Constants!$B$4,"",$AN130+$AO130+$AP130)</f>
        <v/>
      </c>
      <c r="CJ130" s="74" t="str">
        <f aca="false">IF(ISBLANK($C130),"",IF($BL130&lt;&gt;Constants!$B$4,$BL130,RANK($CI130,$CI$9:$CI$508,1)))</f>
        <v/>
      </c>
      <c r="CK130" s="74" t="str">
        <f aca="false">IF(ISBLANK($C130),"",IF($BL130&lt;&gt;Constants!$B$4,$BL130,COUNTIFS($BM$9:$BM$508,"&lt;"&amp;$BM130)+COUNTIFS($BM$9:$BM$508,$BM130,$CF$9:$CF$508,"&lt;"&amp;$CF130)+COUNTIFS($BM$9:$BM$508,$BM130,$CF$9:$CF$508,$CF130,$CH$9:$CH$508,"&lt;"&amp;$CH130)+COUNTIFS($BM$9:$BM$508,$BM130,$CF$9:$CF$508,$CF130,$CH$9:$CH$508,$CH130,$CJ$9:$CJ$508,"&lt;"&amp;$CJ130)+1))</f>
        <v/>
      </c>
      <c r="CL130" s="74" t="str">
        <f aca="false">IF(ISBLANK($C130),"",IF($BL130&lt;&gt;Constants!$B$4,$BL130,$CG130-$CK130))</f>
        <v/>
      </c>
      <c r="CM130" s="74" t="str">
        <f aca="false">IF(ISBLANK($C130),"",IF(NOT($AL130),"",IF(ISBLANK($D$7),$CM$5,IF(NOT(ISNUMBER($D$7)),$CM$6,""))))</f>
        <v/>
      </c>
      <c r="CN130" s="74" t="str">
        <f aca="false">IF(ISBLANK($C130),"",OR($AN130="",$AO130="",$AP130=""))</f>
        <v/>
      </c>
      <c r="CO130" s="74" t="str">
        <f aca="false">IF(ISBLANK($C130),"",AND($AL130,$BA130=""))</f>
        <v/>
      </c>
      <c r="CP130" s="74" t="str">
        <f aca="false">IF(ISBLANK($C130),"",AND($AL130,$BB130=""))</f>
        <v/>
      </c>
      <c r="CQ130" s="74" t="str">
        <f aca="false">IF(ISBLANK($C130),"",AND($AL130,$BC130=""))</f>
        <v/>
      </c>
      <c r="CR130" s="74" t="str">
        <f aca="false">IF(ISBLANK($C130),"",AND($AL130,$BF130=""))</f>
        <v/>
      </c>
      <c r="CS130" s="74" t="str">
        <f aca="false">IF(ISBLANK($C130),"",AND($AL130,$BJ130=""))</f>
        <v/>
      </c>
      <c r="CT130" s="75"/>
      <c r="CU130" s="76"/>
      <c r="CV130" s="79" t="str">
        <f aca="false">IF(ISBLANK($C130),"",IF($BL130=Constants!$B$8,$CM130,""))</f>
        <v/>
      </c>
      <c r="CW130" s="76" t="str">
        <f aca="false">IF(ISBLANK($C130),"",IF($BL130&lt;&gt;Constants!$B$4,"",$BO130+$BP130))</f>
        <v/>
      </c>
      <c r="CX130" s="78" t="str">
        <f aca="false">IF(ISBLANK($C130),"",IF($BL130&lt;&gt;Constants!$B$4,"",$BQ130+$BR130+$BS130))</f>
        <v/>
      </c>
      <c r="CY130" s="78" t="str">
        <f aca="false">IF(ISBLANK($C130),"",IF($BL130&lt;&gt;Constants!$B$4,"",$BT130))</f>
        <v/>
      </c>
      <c r="CZ130" s="78" t="str">
        <f aca="false">IF(ISBLANK($C130),"",IF($BL130&lt;&gt;Constants!$B$4,"",$BU130+$BV130))</f>
        <v/>
      </c>
      <c r="DA130" s="78" t="str">
        <f aca="false">IF(ISBLANK($C130),"",IF($BL130&lt;&gt;Constants!$B$4,"",$BW130))</f>
        <v/>
      </c>
      <c r="DB130" s="78" t="str">
        <f aca="false">IF(ISBLANK($C130),"",IF($BL130&lt;&gt;Constants!$B$4,"",-$CD130))</f>
        <v/>
      </c>
      <c r="DC130" s="79" t="str">
        <f aca="false">IF(ISBLANK($C130),"",$CE130)</f>
        <v/>
      </c>
      <c r="DD130" s="80" t="str">
        <f aca="false">IF(ISBLANK($C130),"",$BM130)</f>
        <v/>
      </c>
      <c r="DE130" s="78" t="str">
        <f aca="false">IF(ISBLANK($C130),"",$CL130)</f>
        <v/>
      </c>
      <c r="DF130" s="78" t="str">
        <f aca="false">IF(ISBLANK($C130),"",$CK130)</f>
        <v/>
      </c>
      <c r="DG130" s="81" t="str">
        <f aca="false">IF(ISBLANK($C130),"",IF($DF130=Constants!$B$7,COUNTA($C$9:$C$508)+2,IF($DF130=Constants!$B$6,COUNTA($C$9:$C$508)+1,IF($DF130=Constants!$B$5,COUNTA($C$9:$C$508),$DF130))))</f>
        <v/>
      </c>
      <c r="DH130" s="7"/>
      <c r="DI130" s="82" t="n">
        <f aca="false">IF(OR(ISNUMBER($DF130),$DF130=Constants!$B$7,$DF130=Constants!$B$5,$DF130=Constants!$B$6),1,0)</f>
        <v>0</v>
      </c>
      <c r="DJ130" s="82" t="n">
        <v>122</v>
      </c>
      <c r="DK130" s="82" t="str">
        <f aca="false">IF(ISBLANK($C130),"",IF(ISNUMBER($DG130),$DG130+ROW($B130)/1000,""))</f>
        <v/>
      </c>
      <c r="DL130" s="82" t="str">
        <f aca="false">IF(ISNUMBER($DK130),RANK($DK130,$DK$9:$DK$508,1),"")</f>
        <v/>
      </c>
      <c r="DM130" s="82" t="str">
        <f aca="false">IF(ISBLANK($C130),"",$B130)</f>
        <v/>
      </c>
      <c r="DN130" s="82" t="str">
        <f aca="false">IF(ISBLANK($C130),"",$C130)</f>
        <v/>
      </c>
      <c r="DO130" s="82" t="str">
        <f aca="false">IF(ISBLANK($C130),"",$D130)</f>
        <v/>
      </c>
      <c r="DP130" s="83" t="str">
        <f aca="false">$DD130</f>
        <v/>
      </c>
      <c r="DQ130" s="84" t="str">
        <f aca="false">$DC130</f>
        <v/>
      </c>
      <c r="DR130" s="82" t="str">
        <f aca="false">IF(ISBLANK($C130),"",$DF130)</f>
        <v/>
      </c>
      <c r="DS130" s="85" t="str">
        <f aca="false">IF($DJ130&gt;$DI$8,"",VLOOKUP($DJ130,$DL$9:$DR$508,7,FALSE()))</f>
        <v/>
      </c>
      <c r="DT130" s="86" t="str">
        <f aca="false">IF($DJ130&gt;$DI$8,"",VLOOKUP($DJ130,$DL$9:$DR$508,2,FALSE()))</f>
        <v/>
      </c>
      <c r="DU130" s="86" t="str">
        <f aca="false">IF($DJ130&gt;$DI$8,"",VLOOKUP($DJ130,$DL$9:$DR$508,3,FALSE()))</f>
        <v/>
      </c>
      <c r="DV130" s="86" t="str">
        <f aca="false">IF($DJ130&gt;$DI$8,"",VLOOKUP($DJ130,$DL$9:$DR$508,4,FALSE()))</f>
        <v/>
      </c>
      <c r="DW130" s="86" t="str">
        <f aca="false">IF($DJ130&gt;$DI$8,"",VLOOKUP($DJ130,$DL$9:$DR$508,5,FALSE()))</f>
        <v/>
      </c>
      <c r="DX130" s="87" t="str">
        <f aca="false">IF($DJ130&gt;$DI$8,"",VLOOKUP($DJ130,$DL$9:$DR$508,6,FALSE()))</f>
        <v/>
      </c>
      <c r="DY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88"/>
      <c r="N131" s="88"/>
      <c r="O131" s="134"/>
      <c r="P131" s="134"/>
      <c r="Q131" s="88"/>
      <c r="R131" s="88"/>
      <c r="S131" s="88"/>
      <c r="T131" s="88"/>
      <c r="U131" s="134"/>
      <c r="V131" s="88"/>
      <c r="W131" s="70"/>
      <c r="X131" s="88"/>
      <c r="Y131" s="88"/>
      <c r="Z131" s="70"/>
      <c r="AA131" s="70"/>
      <c r="AB131" s="88"/>
      <c r="AC131" s="88"/>
      <c r="AD131" s="88"/>
      <c r="AE131" s="71"/>
      <c r="AF131" s="88"/>
      <c r="AG131" s="73"/>
      <c r="AH131" s="74"/>
      <c r="AI131" s="74"/>
      <c r="AJ131" s="74" t="str">
        <f aca="false">IF(ISBLANK($C131),"",IF($E131=Constants!$B$2,TRUE(),IF($E131=Constants!$B$3,FALSE(),TRUE())))</f>
        <v/>
      </c>
      <c r="AK131" s="74" t="str">
        <f aca="false">IF(ISBLANK($C131),"",IF($F131=Constants!$B$2,TRUE(),IF($F131=Constants!$B$3,FALSE(),FALSE())))</f>
        <v/>
      </c>
      <c r="AL131" s="74" t="str">
        <f aca="false">IF(ISBLANK($C131),"",IF($G131=Constants!$B$2,TRUE(),IF($G131=Constants!$B$3,FALSE(),TRUE())))</f>
        <v/>
      </c>
      <c r="AM131" s="74" t="str">
        <f aca="false">IF(ISBLANK($C131),"",IF($H131=Constants!$B$2,TRUE(),IF($H131=Constants!$B$3,FALSE(),TRUE())))</f>
        <v/>
      </c>
      <c r="AN131" s="74" t="str">
        <f aca="false">IF(ISBLANK($C131),"",IF(ISNUMBER($I131),IF($I131&gt;=0,$I131,""),""))</f>
        <v/>
      </c>
      <c r="AO131" s="74" t="str">
        <f aca="false">IF(ISBLANK($C131),"",IF(ISNUMBER($J131),IF($J131&gt;=0,$J131,""),""))</f>
        <v/>
      </c>
      <c r="AP131" s="74" t="str">
        <f aca="false">IF(ISBLANK($C131),"",IF(ISNUMBER($K131),IF($K131&gt;=0,$K131,""),""))</f>
        <v/>
      </c>
      <c r="AQ131" s="74" t="str">
        <f aca="false">IF(ISBLANK($C131),"",IF($L131=Constants!$B$2,TRUE(),IF($L131=Constants!$B$3,FALSE(),TRUE())))</f>
        <v/>
      </c>
      <c r="AR131" s="74" t="str">
        <f aca="false">IF(ISBLANK($C131),"",IF($M131=Constants!$B$2,TRUE(),IF($M131=Constants!$B$3,FALSE(),TRUE())))</f>
        <v/>
      </c>
      <c r="AS131" s="74" t="str">
        <f aca="false">IF(ISBLANK($C131),"",IF($N131=Constants!$B$2,TRUE(),IF($N131=Constants!$B$3,FALSE(),FALSE())))</f>
        <v/>
      </c>
      <c r="AT131" s="74" t="str">
        <f aca="false">IF(ISBLANK($C131),"",IF($O131=Constants!$B$2,TRUE(),IF($O131=Constants!$B$3,FALSE(),TRUE())))</f>
        <v/>
      </c>
      <c r="AU131" s="74" t="str">
        <f aca="false">IF(ISBLANK($C131),"",IF($P131=Constants!$B$2,TRUE(),IF($P131=Constants!$B$3,FALSE(),TRUE())))</f>
        <v/>
      </c>
      <c r="AV131" s="74" t="str">
        <f aca="false">IF(ISBLANK($C131),"",IF($Q131=Constants!$B$2,TRUE(),IF($Q131=Constants!$B$3,FALSE(),FALSE())))</f>
        <v/>
      </c>
      <c r="AW131" s="74" t="str">
        <f aca="false">IF(ISBLANK($C131),"",IF($R131=Constants!$B$2,TRUE(),IF($R131=Constants!$B$3,FALSE(),FALSE())))</f>
        <v/>
      </c>
      <c r="AX131" s="74" t="str">
        <f aca="false">IF(ISBLANK($C131),"",IF($S131=Constants!$B$2,TRUE(),IF($S131=Constants!$B$3,FALSE(),FALSE())))</f>
        <v/>
      </c>
      <c r="AY131" s="74" t="str">
        <f aca="false">IF(ISBLANK($C131),"",IF($T131=Constants!$B$2,TRUE(),IF($T131=Constants!$B$3,FALSE(),FALSE())))</f>
        <v/>
      </c>
      <c r="AZ131" s="74" t="str">
        <f aca="false">IF(ISBLANK($C131),"",IF($U131=Constants!$B$2,TRUE(),IF($U131=Constants!$B$3,FALSE(),FALSE())))</f>
        <v/>
      </c>
      <c r="BA131" s="74" t="str">
        <f aca="false">IF(ISBLANK($C131),"",IF(OR($V131&amp;""="1",$V131&amp;""="2",$V131&amp;""="3",$V131&amp;""="4"),VALUE($V131&amp;""),IF($V131=Constants!$B$12,Constants!$B$12,"")))</f>
        <v/>
      </c>
      <c r="BB131" s="74" t="str">
        <f aca="false">IF(ISBLANK($C131),"",IF(ISBLANK($W131),0,IF(ISNUMBER($W131),IF(AND($W131&gt;=0,$W131&lt;=Constants!$B$21,$W131=INT($W131)),$W131,""),"")))</f>
        <v/>
      </c>
      <c r="BC131" s="74" t="str">
        <f aca="false">IF(ISBLANK($C131),"",IF(ISBLANK($X131),0,IF(ISNUMBER($X131),IF($X131&gt;=0,$X131,""),"")))</f>
        <v/>
      </c>
      <c r="BD131" s="74" t="str">
        <f aca="false">IF(ISBLANK($C131),"",IF($Y131=Constants!$B$2,TRUE(),IF($Y131=Constants!$B$3,FALSE(),TRUE())))</f>
        <v/>
      </c>
      <c r="BE131" s="74" t="str">
        <f aca="false">IF(ISBLANK($C131),"",IF($Z131=Constants!$B$2,TRUE(),IF($Z131=Constants!$B$3,FALSE(),FALSE())))</f>
        <v/>
      </c>
      <c r="BF131" s="74" t="str">
        <f aca="false">IF(ISBLANK($C131),"",IF(ISBLANK($AA131),0,IF(ISNUMBER($AA131),IF(AND($AA131&gt;=0,$AA131&lt;=Constants!$B$35,$AA131=INT($AA131)),$AA131,""),"")))</f>
        <v/>
      </c>
      <c r="BG131" s="74" t="str">
        <f aca="false">IF(ISBLANK($C131),"",IF($AB131=Constants!$B$2,TRUE(),IF($AB131=Constants!$B$3,FALSE(),TRUE())))</f>
        <v/>
      </c>
      <c r="BH131" s="74" t="str">
        <f aca="false">IF(ISBLANK($C131),"",IF($AC131=Constants!$B$2,TRUE(),IF($AC131=Constants!$B$3,FALSE(),TRUE())))</f>
        <v/>
      </c>
      <c r="BI131" s="74" t="str">
        <f aca="false">IF(ISBLANK($C131),"",IF($AD131=Constants!$B$2,TRUE(),IF($AD131=Constants!$B$3,FALSE(),TRUE())))</f>
        <v/>
      </c>
      <c r="BJ131" s="74" t="str">
        <f aca="false">IF(ISBLANK($C131),"",IF(ISNUMBER($AE131),IF($AE131&gt;=0,$AE131,""),""))</f>
        <v/>
      </c>
      <c r="BK131" s="74" t="str">
        <f aca="false">IF(ISBLANK($C131),"",IF($AF131=Constants!$B$2,TRUE(),IF($AF131=Constants!$B$3,FALSE(),FALSE())))</f>
        <v/>
      </c>
      <c r="BL131" s="73" t="str">
        <f aca="false">IF(ISBLANK($C131),"",IF($BK131,Constants!$B$7,IF(COUNTA($E131:$AE131)=0,Constants!$B$6,IF(OR(COUNTA($G131:$AE131)=0,NOT($AM131),$AS131),Constants!$B$5,IF(OR($CM131&lt;&gt;"",$CN131,$CO131,$CP131,$CQ131,$CR131,$CS131),Constants!$B$8,Constants!$B$4)))))</f>
        <v/>
      </c>
      <c r="BM131" s="74" t="str">
        <f aca="false">IF(ISBLANK($C131),"",IF($BL131&lt;&gt;Constants!$B$4,$BL131,IF(OR(NOT($AJ131),NOT($AL131),NOT($AT131)),Constants!$B$11,IF(OR(NOT($AR131),NOT($AU131),NOT($BI131),MAX($AN131,$AO131,$AP131)&gt;Constants!$B$30),Constants!$B$10,Constants!$B$9))))</f>
        <v/>
      </c>
      <c r="BN131" s="74" t="str">
        <f aca="false">IF($BL131&lt;&gt;Constants!$B$4,"",IF(NOT($AL131),0,MIN(Constants!$B$35,$BF131)))</f>
        <v/>
      </c>
      <c r="BO131" s="74" t="str">
        <f aca="false">IF($BL131&lt;&gt;Constants!$B$4,"",IF(NOT($AL131),0,IF($AW131,Constants!$B$18,IF($AV131,Constants!$B$17,0))))</f>
        <v/>
      </c>
      <c r="BP131" s="74" t="str">
        <f aca="false">IF($BL131&lt;&gt;Constants!$B$4,"",IF(NOT($AL131),0,Constants!$B$19*($AK131+$AX131+$AY131+$AZ131)))</f>
        <v/>
      </c>
      <c r="BQ131" s="74" t="str">
        <f aca="false">IF($BL131&lt;&gt;Constants!$B$4,"",IF(OR(NOT($AL131),NOT(ISNUMBER($BA131))),0,CHOOSE($BA131,Constants!$B$13,Constants!$B$14,Constants!$B$15,Constants!$B$16)))</f>
        <v/>
      </c>
      <c r="BR131" s="74" t="str">
        <f aca="false">IF($BL131&lt;&gt;Constants!$B$4,"",IF(NOT($AL131),0,Constants!$B$20*$BB131))</f>
        <v/>
      </c>
      <c r="BS131" s="74" t="str">
        <f aca="false">IF($BL131&lt;&gt;Constants!$B$4,"",IF(AND($AL131,$BD131,$BE131),Constants!$B$22,0))</f>
        <v/>
      </c>
      <c r="BT131" s="74" t="str">
        <f aca="false">IF($BL131&lt;&gt;Constants!$B$4,"",IF(OR(NOT($AL131),NOT($BD131)),0,IF($BJ131&gt;=2*$AH$9,0,Constants!$B$23*INT(ROUND(MIN($BJ131,$AH$9),6)))))</f>
        <v/>
      </c>
      <c r="BU131" s="74" t="str">
        <f aca="false">IF($BL131&lt;&gt;Constants!$B$4,"",IF(NOT($AL131),0,Constants!$B$24*INT(ROUND(MIN($BC131,$AH$9),6))))</f>
        <v/>
      </c>
      <c r="BV131" s="74" t="str">
        <f aca="false">IF($BL131&lt;&gt;Constants!$B$4,"",IF(AND($AL131,$BN131=0),Constants!$B$25,0))</f>
        <v/>
      </c>
      <c r="BW131" s="74" t="str">
        <f aca="false">IF($BL131&lt;&gt;Constants!$B$4,"",MIN(Constants!$B$29,MAX(0,Constants!$B$27*Constants!$B$28*INT(ROUND((Constants!$B$26-$AN131)/Constants!$B$28,6))))+MIN(Constants!$B$29,MAX(0,Constants!$B$27*Constants!$B$28*INT(ROUND((Constants!$B$26-$AO131)/Constants!$B$28,6))))+MIN(Constants!$B$29,MAX(0,Constants!$B$27*Constants!$B$28*INT(ROUND((Constants!$B$26-$AP131)/Constants!$B$28,6)))))</f>
        <v/>
      </c>
      <c r="BX131" s="74" t="str">
        <f aca="false">IF($BL131&lt;&gt;Constants!$B$4,"",IF(NOT($AL131),0,Constants!$B$31*INT(ROUND(MAX(0,MIN($BJ131,2*$AH$9)-$AH$9),6))))</f>
        <v/>
      </c>
      <c r="BY131" s="74" t="str">
        <f aca="false">IF($BL131&lt;&gt;Constants!$B$4,"",Constants!$B$32*(($AN131&gt;Constants!$B$26)+($AO131&gt;Constants!$B$26)+($AP131&gt;Constants!$B$26)))</f>
        <v/>
      </c>
      <c r="BZ131" s="74" t="str">
        <f aca="false">IF($BL131&lt;&gt;Constants!$B$4,"",IF(OR(NOT($AL131),$AQ131),0,Constants!$B$33))</f>
        <v/>
      </c>
      <c r="CA131" s="74" t="str">
        <f aca="false">IF($BL131&lt;&gt;Constants!$B$4,"",Constants!$B$34*$BN131)</f>
        <v/>
      </c>
      <c r="CB131" s="74" t="str">
        <f aca="false">IF($BL131&lt;&gt;Constants!$B$4,"",IF(OR(NOT($AL131),$BH131),0,Constants!$B$36))</f>
        <v/>
      </c>
      <c r="CC131" s="74" t="str">
        <f aca="false">IF($BL131&lt;&gt;Constants!$B$4,"",IF(OR(NOT($AL131),$BG131),0,Constants!$B$37))</f>
        <v/>
      </c>
      <c r="CD131" s="74" t="str">
        <f aca="false">IF($BL131&lt;&gt;Constants!$B$4,"",SUM($BX131:$CC131))</f>
        <v/>
      </c>
      <c r="CE131" s="74" t="str">
        <f aca="false">IF(ISBLANK($C131),"",IF($BL131&lt;&gt;Constants!$B$4,$BL131,SUM($BO131:$BW131)-$CD131))</f>
        <v/>
      </c>
      <c r="CF131" s="74" t="str">
        <f aca="false">IF(ISBLANK($C131),"",IF($BL131&lt;&gt;Constants!$B$4,$BL131,RANK($CE131,$CE$9:$CE$508)))</f>
        <v/>
      </c>
      <c r="CG131" s="74" t="str">
        <f aca="false">IF(ISBLANK($C131),"",IF($BL131&lt;&gt;Constants!$B$4,$BL131,COUNTIFS($BM$9:$BM$508,"&lt;"&amp;$BM131)+COUNTIFS($BM$9:$BM$508,$BM131,$CF$9:$CF$508,"&lt;"&amp;$CF131)+1))</f>
        <v/>
      </c>
      <c r="CH131" s="74" t="str">
        <f aca="false">IF(ISBLANK($C131),"",IF($BL131&lt;&gt;Constants!$B$4,$BL131,RANK($CD131,$CD$9:$CD$508,1)))</f>
        <v/>
      </c>
      <c r="CI131" s="74" t="str">
        <f aca="false">IF($BL131&lt;&gt;Constants!$B$4,"",$AN131+$AO131+$AP131)</f>
        <v/>
      </c>
      <c r="CJ131" s="74" t="str">
        <f aca="false">IF(ISBLANK($C131),"",IF($BL131&lt;&gt;Constants!$B$4,$BL131,RANK($CI131,$CI$9:$CI$508,1)))</f>
        <v/>
      </c>
      <c r="CK131" s="74" t="str">
        <f aca="false">IF(ISBLANK($C131),"",IF($BL131&lt;&gt;Constants!$B$4,$BL131,COUNTIFS($BM$9:$BM$508,"&lt;"&amp;$BM131)+COUNTIFS($BM$9:$BM$508,$BM131,$CF$9:$CF$508,"&lt;"&amp;$CF131)+COUNTIFS($BM$9:$BM$508,$BM131,$CF$9:$CF$508,$CF131,$CH$9:$CH$508,"&lt;"&amp;$CH131)+COUNTIFS($BM$9:$BM$508,$BM131,$CF$9:$CF$508,$CF131,$CH$9:$CH$508,$CH131,$CJ$9:$CJ$508,"&lt;"&amp;$CJ131)+1))</f>
        <v/>
      </c>
      <c r="CL131" s="74" t="str">
        <f aca="false">IF(ISBLANK($C131),"",IF($BL131&lt;&gt;Constants!$B$4,$BL131,$CG131-$CK131))</f>
        <v/>
      </c>
      <c r="CM131" s="74" t="str">
        <f aca="false">IF(ISBLANK($C131),"",IF(NOT($AL131),"",IF(ISBLANK($D$7),$CM$5,IF(NOT(ISNUMBER($D$7)),$CM$6,""))))</f>
        <v/>
      </c>
      <c r="CN131" s="74" t="str">
        <f aca="false">IF(ISBLANK($C131),"",OR($AN131="",$AO131="",$AP131=""))</f>
        <v/>
      </c>
      <c r="CO131" s="74" t="str">
        <f aca="false">IF(ISBLANK($C131),"",AND($AL131,$BA131=""))</f>
        <v/>
      </c>
      <c r="CP131" s="74" t="str">
        <f aca="false">IF(ISBLANK($C131),"",AND($AL131,$BB131=""))</f>
        <v/>
      </c>
      <c r="CQ131" s="74" t="str">
        <f aca="false">IF(ISBLANK($C131),"",AND($AL131,$BC131=""))</f>
        <v/>
      </c>
      <c r="CR131" s="74" t="str">
        <f aca="false">IF(ISBLANK($C131),"",AND($AL131,$BF131=""))</f>
        <v/>
      </c>
      <c r="CS131" s="74" t="str">
        <f aca="false">IF(ISBLANK($C131),"",AND($AL131,$BJ131=""))</f>
        <v/>
      </c>
      <c r="CT131" s="75"/>
      <c r="CU131" s="76"/>
      <c r="CV131" s="79" t="str">
        <f aca="false">IF(ISBLANK($C131),"",IF($BL131=Constants!$B$8,$CM131,""))</f>
        <v/>
      </c>
      <c r="CW131" s="76" t="str">
        <f aca="false">IF(ISBLANK($C131),"",IF($BL131&lt;&gt;Constants!$B$4,"",$BO131+$BP131))</f>
        <v/>
      </c>
      <c r="CX131" s="78" t="str">
        <f aca="false">IF(ISBLANK($C131),"",IF($BL131&lt;&gt;Constants!$B$4,"",$BQ131+$BR131+$BS131))</f>
        <v/>
      </c>
      <c r="CY131" s="78" t="str">
        <f aca="false">IF(ISBLANK($C131),"",IF($BL131&lt;&gt;Constants!$B$4,"",$BT131))</f>
        <v/>
      </c>
      <c r="CZ131" s="78" t="str">
        <f aca="false">IF(ISBLANK($C131),"",IF($BL131&lt;&gt;Constants!$B$4,"",$BU131+$BV131))</f>
        <v/>
      </c>
      <c r="DA131" s="78" t="str">
        <f aca="false">IF(ISBLANK($C131),"",IF($BL131&lt;&gt;Constants!$B$4,"",$BW131))</f>
        <v/>
      </c>
      <c r="DB131" s="78" t="str">
        <f aca="false">IF(ISBLANK($C131),"",IF($BL131&lt;&gt;Constants!$B$4,"",-$CD131))</f>
        <v/>
      </c>
      <c r="DC131" s="79" t="str">
        <f aca="false">IF(ISBLANK($C131),"",$CE131)</f>
        <v/>
      </c>
      <c r="DD131" s="80" t="str">
        <f aca="false">IF(ISBLANK($C131),"",$BM131)</f>
        <v/>
      </c>
      <c r="DE131" s="78" t="str">
        <f aca="false">IF(ISBLANK($C131),"",$CL131)</f>
        <v/>
      </c>
      <c r="DF131" s="78" t="str">
        <f aca="false">IF(ISBLANK($C131),"",$CK131)</f>
        <v/>
      </c>
      <c r="DG131" s="81" t="str">
        <f aca="false">IF(ISBLANK($C131),"",IF($DF131=Constants!$B$7,COUNTA($C$9:$C$508)+2,IF($DF131=Constants!$B$6,COUNTA($C$9:$C$508)+1,IF($DF131=Constants!$B$5,COUNTA($C$9:$C$508),$DF131))))</f>
        <v/>
      </c>
      <c r="DH131" s="7"/>
      <c r="DI131" s="82" t="n">
        <f aca="false">IF(OR(ISNUMBER($DF131),$DF131=Constants!$B$7,$DF131=Constants!$B$5,$DF131=Constants!$B$6),1,0)</f>
        <v>0</v>
      </c>
      <c r="DJ131" s="82" t="n">
        <v>123</v>
      </c>
      <c r="DK131" s="82" t="str">
        <f aca="false">IF(ISBLANK($C131),"",IF(ISNUMBER($DG131),$DG131+ROW($B131)/1000,""))</f>
        <v/>
      </c>
      <c r="DL131" s="82" t="str">
        <f aca="false">IF(ISNUMBER($DK131),RANK($DK131,$DK$9:$DK$508,1),"")</f>
        <v/>
      </c>
      <c r="DM131" s="82" t="str">
        <f aca="false">IF(ISBLANK($C131),"",$B131)</f>
        <v/>
      </c>
      <c r="DN131" s="82" t="str">
        <f aca="false">IF(ISBLANK($C131),"",$C131)</f>
        <v/>
      </c>
      <c r="DO131" s="82" t="str">
        <f aca="false">IF(ISBLANK($C131),"",$D131)</f>
        <v/>
      </c>
      <c r="DP131" s="83" t="str">
        <f aca="false">$DD131</f>
        <v/>
      </c>
      <c r="DQ131" s="84" t="str">
        <f aca="false">$DC131</f>
        <v/>
      </c>
      <c r="DR131" s="82" t="str">
        <f aca="false">IF(ISBLANK($C131),"",$DF131)</f>
        <v/>
      </c>
      <c r="DS131" s="85" t="str">
        <f aca="false">IF($DJ131&gt;$DI$8,"",VLOOKUP($DJ131,$DL$9:$DR$508,7,FALSE()))</f>
        <v/>
      </c>
      <c r="DT131" s="86" t="str">
        <f aca="false">IF($DJ131&gt;$DI$8,"",VLOOKUP($DJ131,$DL$9:$DR$508,2,FALSE()))</f>
        <v/>
      </c>
      <c r="DU131" s="86" t="str">
        <f aca="false">IF($DJ131&gt;$DI$8,"",VLOOKUP($DJ131,$DL$9:$DR$508,3,FALSE()))</f>
        <v/>
      </c>
      <c r="DV131" s="86" t="str">
        <f aca="false">IF($DJ131&gt;$DI$8,"",VLOOKUP($DJ131,$DL$9:$DR$508,4,FALSE()))</f>
        <v/>
      </c>
      <c r="DW131" s="86" t="str">
        <f aca="false">IF($DJ131&gt;$DI$8,"",VLOOKUP($DJ131,$DL$9:$DR$508,5,FALSE()))</f>
        <v/>
      </c>
      <c r="DX131" s="87" t="str">
        <f aca="false">IF($DJ131&gt;$DI$8,"",VLOOKUP($DJ131,$DL$9:$DR$508,6,FALSE()))</f>
        <v/>
      </c>
      <c r="DY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130"/>
      <c r="N132" s="130"/>
      <c r="O132" s="135"/>
      <c r="P132" s="135"/>
      <c r="Q132" s="130"/>
      <c r="R132" s="130"/>
      <c r="S132" s="130"/>
      <c r="T132" s="130"/>
      <c r="U132" s="135"/>
      <c r="V132" s="130"/>
      <c r="W132" s="96"/>
      <c r="X132" s="130"/>
      <c r="Y132" s="130"/>
      <c r="Z132" s="96"/>
      <c r="AA132" s="96"/>
      <c r="AB132" s="130"/>
      <c r="AC132" s="130"/>
      <c r="AD132" s="130"/>
      <c r="AE132" s="97"/>
      <c r="AF132" s="130"/>
      <c r="AG132" s="99"/>
      <c r="AH132" s="100"/>
      <c r="AI132" s="100"/>
      <c r="AJ132" s="100" t="str">
        <f aca="false">IF(ISBLANK($C132),"",IF($E132=Constants!$B$2,TRUE(),IF($E132=Constants!$B$3,FALSE(),TRUE())))</f>
        <v/>
      </c>
      <c r="AK132" s="100" t="str">
        <f aca="false">IF(ISBLANK($C132),"",IF($F132=Constants!$B$2,TRUE(),IF($F132=Constants!$B$3,FALSE(),FALSE())))</f>
        <v/>
      </c>
      <c r="AL132" s="100" t="str">
        <f aca="false">IF(ISBLANK($C132),"",IF($G132=Constants!$B$2,TRUE(),IF($G132=Constants!$B$3,FALSE(),TRUE())))</f>
        <v/>
      </c>
      <c r="AM132" s="100" t="str">
        <f aca="false">IF(ISBLANK($C132),"",IF($H132=Constants!$B$2,TRUE(),IF($H132=Constants!$B$3,FALSE(),TRUE())))</f>
        <v/>
      </c>
      <c r="AN132" s="100" t="str">
        <f aca="false">IF(ISBLANK($C132),"",IF(ISNUMBER($I132),IF($I132&gt;=0,$I132,""),""))</f>
        <v/>
      </c>
      <c r="AO132" s="100" t="str">
        <f aca="false">IF(ISBLANK($C132),"",IF(ISNUMBER($J132),IF($J132&gt;=0,$J132,""),""))</f>
        <v/>
      </c>
      <c r="AP132" s="100" t="str">
        <f aca="false">IF(ISBLANK($C132),"",IF(ISNUMBER($K132),IF($K132&gt;=0,$K132,""),""))</f>
        <v/>
      </c>
      <c r="AQ132" s="100" t="str">
        <f aca="false">IF(ISBLANK($C132),"",IF($L132=Constants!$B$2,TRUE(),IF($L132=Constants!$B$3,FALSE(),TRUE())))</f>
        <v/>
      </c>
      <c r="AR132" s="100" t="str">
        <f aca="false">IF(ISBLANK($C132),"",IF($M132=Constants!$B$2,TRUE(),IF($M132=Constants!$B$3,FALSE(),TRUE())))</f>
        <v/>
      </c>
      <c r="AS132" s="100" t="str">
        <f aca="false">IF(ISBLANK($C132),"",IF($N132=Constants!$B$2,TRUE(),IF($N132=Constants!$B$3,FALSE(),FALSE())))</f>
        <v/>
      </c>
      <c r="AT132" s="100" t="str">
        <f aca="false">IF(ISBLANK($C132),"",IF($O132=Constants!$B$2,TRUE(),IF($O132=Constants!$B$3,FALSE(),TRUE())))</f>
        <v/>
      </c>
      <c r="AU132" s="100" t="str">
        <f aca="false">IF(ISBLANK($C132),"",IF($P132=Constants!$B$2,TRUE(),IF($P132=Constants!$B$3,FALSE(),TRUE())))</f>
        <v/>
      </c>
      <c r="AV132" s="100" t="str">
        <f aca="false">IF(ISBLANK($C132),"",IF($Q132=Constants!$B$2,TRUE(),IF($Q132=Constants!$B$3,FALSE(),FALSE())))</f>
        <v/>
      </c>
      <c r="AW132" s="100" t="str">
        <f aca="false">IF(ISBLANK($C132),"",IF($R132=Constants!$B$2,TRUE(),IF($R132=Constants!$B$3,FALSE(),FALSE())))</f>
        <v/>
      </c>
      <c r="AX132" s="100" t="str">
        <f aca="false">IF(ISBLANK($C132),"",IF($S132=Constants!$B$2,TRUE(),IF($S132=Constants!$B$3,FALSE(),FALSE())))</f>
        <v/>
      </c>
      <c r="AY132" s="100" t="str">
        <f aca="false">IF(ISBLANK($C132),"",IF($T132=Constants!$B$2,TRUE(),IF($T132=Constants!$B$3,FALSE(),FALSE())))</f>
        <v/>
      </c>
      <c r="AZ132" s="100" t="str">
        <f aca="false">IF(ISBLANK($C132),"",IF($U132=Constants!$B$2,TRUE(),IF($U132=Constants!$B$3,FALSE(),FALSE())))</f>
        <v/>
      </c>
      <c r="BA132" s="100" t="str">
        <f aca="false">IF(ISBLANK($C132),"",IF(OR($V132&amp;""="1",$V132&amp;""="2",$V132&amp;""="3",$V132&amp;""="4"),VALUE($V132&amp;""),IF($V132=Constants!$B$12,Constants!$B$12,"")))</f>
        <v/>
      </c>
      <c r="BB132" s="100" t="str">
        <f aca="false">IF(ISBLANK($C132),"",IF(ISBLANK($W132),0,IF(ISNUMBER($W132),IF(AND($W132&gt;=0,$W132&lt;=Constants!$B$21,$W132=INT($W132)),$W132,""),"")))</f>
        <v/>
      </c>
      <c r="BC132" s="100" t="str">
        <f aca="false">IF(ISBLANK($C132),"",IF(ISBLANK($X132),0,IF(ISNUMBER($X132),IF($X132&gt;=0,$X132,""),"")))</f>
        <v/>
      </c>
      <c r="BD132" s="100" t="str">
        <f aca="false">IF(ISBLANK($C132),"",IF($Y132=Constants!$B$2,TRUE(),IF($Y132=Constants!$B$3,FALSE(),TRUE())))</f>
        <v/>
      </c>
      <c r="BE132" s="100" t="str">
        <f aca="false">IF(ISBLANK($C132),"",IF($Z132=Constants!$B$2,TRUE(),IF($Z132=Constants!$B$3,FALSE(),FALSE())))</f>
        <v/>
      </c>
      <c r="BF132" s="100" t="str">
        <f aca="false">IF(ISBLANK($C132),"",IF(ISBLANK($AA132),0,IF(ISNUMBER($AA132),IF(AND($AA132&gt;=0,$AA132&lt;=Constants!$B$35,$AA132=INT($AA132)),$AA132,""),"")))</f>
        <v/>
      </c>
      <c r="BG132" s="100" t="str">
        <f aca="false">IF(ISBLANK($C132),"",IF($AB132=Constants!$B$2,TRUE(),IF($AB132=Constants!$B$3,FALSE(),TRUE())))</f>
        <v/>
      </c>
      <c r="BH132" s="100" t="str">
        <f aca="false">IF(ISBLANK($C132),"",IF($AC132=Constants!$B$2,TRUE(),IF($AC132=Constants!$B$3,FALSE(),TRUE())))</f>
        <v/>
      </c>
      <c r="BI132" s="100" t="str">
        <f aca="false">IF(ISBLANK($C132),"",IF($AD132=Constants!$B$2,TRUE(),IF($AD132=Constants!$B$3,FALSE(),TRUE())))</f>
        <v/>
      </c>
      <c r="BJ132" s="100" t="str">
        <f aca="false">IF(ISBLANK($C132),"",IF(ISNUMBER($AE132),IF($AE132&gt;=0,$AE132,""),""))</f>
        <v/>
      </c>
      <c r="BK132" s="100" t="str">
        <f aca="false">IF(ISBLANK($C132),"",IF($AF132=Constants!$B$2,TRUE(),IF($AF132=Constants!$B$3,FALSE(),FALSE())))</f>
        <v/>
      </c>
      <c r="BL132" s="99" t="str">
        <f aca="false">IF(ISBLANK($C132),"",IF($BK132,Constants!$B$7,IF(COUNTA($E132:$AE132)=0,Constants!$B$6,IF(OR(COUNTA($G132:$AE132)=0,NOT($AM132),$AS132),Constants!$B$5,IF(OR($CM132&lt;&gt;"",$CN132,$CO132,$CP132,$CQ132,$CR132,$CS132),Constants!$B$8,Constants!$B$4)))))</f>
        <v/>
      </c>
      <c r="BM132" s="100" t="str">
        <f aca="false">IF(ISBLANK($C132),"",IF($BL132&lt;&gt;Constants!$B$4,$BL132,IF(OR(NOT($AJ132),NOT($AL132),NOT($AT132)),Constants!$B$11,IF(OR(NOT($AR132),NOT($AU132),NOT($BI132),MAX($AN132,$AO132,$AP132)&gt;Constants!$B$30),Constants!$B$10,Constants!$B$9))))</f>
        <v/>
      </c>
      <c r="BN132" s="100" t="str">
        <f aca="false">IF($BL132&lt;&gt;Constants!$B$4,"",IF(NOT($AL132),0,MIN(Constants!$B$35,$BF132)))</f>
        <v/>
      </c>
      <c r="BO132" s="100" t="str">
        <f aca="false">IF($BL132&lt;&gt;Constants!$B$4,"",IF(NOT($AL132),0,IF($AW132,Constants!$B$18,IF($AV132,Constants!$B$17,0))))</f>
        <v/>
      </c>
      <c r="BP132" s="100" t="str">
        <f aca="false">IF($BL132&lt;&gt;Constants!$B$4,"",IF(NOT($AL132),0,Constants!$B$19*($AK132+$AX132+$AY132+$AZ132)))</f>
        <v/>
      </c>
      <c r="BQ132" s="100" t="str">
        <f aca="false">IF($BL132&lt;&gt;Constants!$B$4,"",IF(OR(NOT($AL132),NOT(ISNUMBER($BA132))),0,CHOOSE($BA132,Constants!$B$13,Constants!$B$14,Constants!$B$15,Constants!$B$16)))</f>
        <v/>
      </c>
      <c r="BR132" s="100" t="str">
        <f aca="false">IF($BL132&lt;&gt;Constants!$B$4,"",IF(NOT($AL132),0,Constants!$B$20*$BB132))</f>
        <v/>
      </c>
      <c r="BS132" s="100" t="str">
        <f aca="false">IF($BL132&lt;&gt;Constants!$B$4,"",IF(AND($AL132,$BD132,$BE132),Constants!$B$22,0))</f>
        <v/>
      </c>
      <c r="BT132" s="100" t="str">
        <f aca="false">IF($BL132&lt;&gt;Constants!$B$4,"",IF(OR(NOT($AL132),NOT($BD132)),0,IF($BJ132&gt;=2*$AH$9,0,Constants!$B$23*INT(ROUND(MIN($BJ132,$AH$9),6)))))</f>
        <v/>
      </c>
      <c r="BU132" s="100" t="str">
        <f aca="false">IF($BL132&lt;&gt;Constants!$B$4,"",IF(NOT($AL132),0,Constants!$B$24*INT(ROUND(MIN($BC132,$AH$9),6))))</f>
        <v/>
      </c>
      <c r="BV132" s="100" t="str">
        <f aca="false">IF($BL132&lt;&gt;Constants!$B$4,"",IF(AND($AL132,$BN132=0),Constants!$B$25,0))</f>
        <v/>
      </c>
      <c r="BW132" s="100" t="str">
        <f aca="false">IF($BL132&lt;&gt;Constants!$B$4,"",MIN(Constants!$B$29,MAX(0,Constants!$B$27*Constants!$B$28*INT(ROUND((Constants!$B$26-$AN132)/Constants!$B$28,6))))+MIN(Constants!$B$29,MAX(0,Constants!$B$27*Constants!$B$28*INT(ROUND((Constants!$B$26-$AO132)/Constants!$B$28,6))))+MIN(Constants!$B$29,MAX(0,Constants!$B$27*Constants!$B$28*INT(ROUND((Constants!$B$26-$AP132)/Constants!$B$28,6)))))</f>
        <v/>
      </c>
      <c r="BX132" s="100" t="str">
        <f aca="false">IF($BL132&lt;&gt;Constants!$B$4,"",IF(NOT($AL132),0,Constants!$B$31*INT(ROUND(MAX(0,MIN($BJ132,2*$AH$9)-$AH$9),6))))</f>
        <v/>
      </c>
      <c r="BY132" s="100" t="str">
        <f aca="false">IF($BL132&lt;&gt;Constants!$B$4,"",Constants!$B$32*(($AN132&gt;Constants!$B$26)+($AO132&gt;Constants!$B$26)+($AP132&gt;Constants!$B$26)))</f>
        <v/>
      </c>
      <c r="BZ132" s="100" t="str">
        <f aca="false">IF($BL132&lt;&gt;Constants!$B$4,"",IF(OR(NOT($AL132),$AQ132),0,Constants!$B$33))</f>
        <v/>
      </c>
      <c r="CA132" s="100" t="str">
        <f aca="false">IF($BL132&lt;&gt;Constants!$B$4,"",Constants!$B$34*$BN132)</f>
        <v/>
      </c>
      <c r="CB132" s="100" t="str">
        <f aca="false">IF($BL132&lt;&gt;Constants!$B$4,"",IF(OR(NOT($AL132),$BH132),0,Constants!$B$36))</f>
        <v/>
      </c>
      <c r="CC132" s="100" t="str">
        <f aca="false">IF($BL132&lt;&gt;Constants!$B$4,"",IF(OR(NOT($AL132),$BG132),0,Constants!$B$37))</f>
        <v/>
      </c>
      <c r="CD132" s="100" t="str">
        <f aca="false">IF($BL132&lt;&gt;Constants!$B$4,"",SUM($BX132:$CC132))</f>
        <v/>
      </c>
      <c r="CE132" s="100" t="str">
        <f aca="false">IF(ISBLANK($C132),"",IF($BL132&lt;&gt;Constants!$B$4,$BL132,SUM($BO132:$BW132)-$CD132))</f>
        <v/>
      </c>
      <c r="CF132" s="100" t="str">
        <f aca="false">IF(ISBLANK($C132),"",IF($BL132&lt;&gt;Constants!$B$4,$BL132,RANK($CE132,$CE$9:$CE$508)))</f>
        <v/>
      </c>
      <c r="CG132" s="100" t="str">
        <f aca="false">IF(ISBLANK($C132),"",IF($BL132&lt;&gt;Constants!$B$4,$BL132,COUNTIFS($BM$9:$BM$508,"&lt;"&amp;$BM132)+COUNTIFS($BM$9:$BM$508,$BM132,$CF$9:$CF$508,"&lt;"&amp;$CF132)+1))</f>
        <v/>
      </c>
      <c r="CH132" s="100" t="str">
        <f aca="false">IF(ISBLANK($C132),"",IF($BL132&lt;&gt;Constants!$B$4,$BL132,RANK($CD132,$CD$9:$CD$508,1)))</f>
        <v/>
      </c>
      <c r="CI132" s="100" t="str">
        <f aca="false">IF($BL132&lt;&gt;Constants!$B$4,"",$AN132+$AO132+$AP132)</f>
        <v/>
      </c>
      <c r="CJ132" s="100" t="str">
        <f aca="false">IF(ISBLANK($C132),"",IF($BL132&lt;&gt;Constants!$B$4,$BL132,RANK($CI132,$CI$9:$CI$508,1)))</f>
        <v/>
      </c>
      <c r="CK132" s="100" t="str">
        <f aca="false">IF(ISBLANK($C132),"",IF($BL132&lt;&gt;Constants!$B$4,$BL132,COUNTIFS($BM$9:$BM$508,"&lt;"&amp;$BM132)+COUNTIFS($BM$9:$BM$508,$BM132,$CF$9:$CF$508,"&lt;"&amp;$CF132)+COUNTIFS($BM$9:$BM$508,$BM132,$CF$9:$CF$508,$CF132,$CH$9:$CH$508,"&lt;"&amp;$CH132)+COUNTIFS($BM$9:$BM$508,$BM132,$CF$9:$CF$508,$CF132,$CH$9:$CH$508,$CH132,$CJ$9:$CJ$508,"&lt;"&amp;$CJ132)+1))</f>
        <v/>
      </c>
      <c r="CL132" s="100" t="str">
        <f aca="false">IF(ISBLANK($C132),"",IF($BL132&lt;&gt;Constants!$B$4,$BL132,$CG132-$CK132))</f>
        <v/>
      </c>
      <c r="CM132" s="100" t="str">
        <f aca="false">IF(ISBLANK($C132),"",IF(NOT($AL132),"",IF(ISBLANK($D$7),$CM$5,IF(NOT(ISNUMBER($D$7)),$CM$6,""))))</f>
        <v/>
      </c>
      <c r="CN132" s="100" t="str">
        <f aca="false">IF(ISBLANK($C132),"",OR($AN132="",$AO132="",$AP132=""))</f>
        <v/>
      </c>
      <c r="CO132" s="100" t="str">
        <f aca="false">IF(ISBLANK($C132),"",AND($AL132,$BA132=""))</f>
        <v/>
      </c>
      <c r="CP132" s="100" t="str">
        <f aca="false">IF(ISBLANK($C132),"",AND($AL132,$BB132=""))</f>
        <v/>
      </c>
      <c r="CQ132" s="100" t="str">
        <f aca="false">IF(ISBLANK($C132),"",AND($AL132,$BC132=""))</f>
        <v/>
      </c>
      <c r="CR132" s="100" t="str">
        <f aca="false">IF(ISBLANK($C132),"",AND($AL132,$BF132=""))</f>
        <v/>
      </c>
      <c r="CS132" s="100" t="str">
        <f aca="false">IF(ISBLANK($C132),"",AND($AL132,$BJ132=""))</f>
        <v/>
      </c>
      <c r="CT132" s="101"/>
      <c r="CU132" s="102"/>
      <c r="CV132" s="103" t="str">
        <f aca="false">IF(ISBLANK($C132),"",IF($BL132=Constants!$B$8,$CM132,""))</f>
        <v/>
      </c>
      <c r="CW132" s="102" t="str">
        <f aca="false">IF(ISBLANK($C132),"",IF($BL132&lt;&gt;Constants!$B$4,"",$BO132+$BP132))</f>
        <v/>
      </c>
      <c r="CX132" s="104" t="str">
        <f aca="false">IF(ISBLANK($C132),"",IF($BL132&lt;&gt;Constants!$B$4,"",$BQ132+$BR132+$BS132))</f>
        <v/>
      </c>
      <c r="CY132" s="104" t="str">
        <f aca="false">IF(ISBLANK($C132),"",IF($BL132&lt;&gt;Constants!$B$4,"",$BT132))</f>
        <v/>
      </c>
      <c r="CZ132" s="104" t="str">
        <f aca="false">IF(ISBLANK($C132),"",IF($BL132&lt;&gt;Constants!$B$4,"",$BU132+$BV132))</f>
        <v/>
      </c>
      <c r="DA132" s="104" t="str">
        <f aca="false">IF(ISBLANK($C132),"",IF($BL132&lt;&gt;Constants!$B$4,"",$BW132))</f>
        <v/>
      </c>
      <c r="DB132" s="104" t="str">
        <f aca="false">IF(ISBLANK($C132),"",IF($BL132&lt;&gt;Constants!$B$4,"",-$CD132))</f>
        <v/>
      </c>
      <c r="DC132" s="103" t="str">
        <f aca="false">IF(ISBLANK($C132),"",$CE132)</f>
        <v/>
      </c>
      <c r="DD132" s="105" t="str">
        <f aca="false">IF(ISBLANK($C132),"",$BM132)</f>
        <v/>
      </c>
      <c r="DE132" s="104" t="str">
        <f aca="false">IF(ISBLANK($C132),"",$CL132)</f>
        <v/>
      </c>
      <c r="DF132" s="104" t="str">
        <f aca="false">IF(ISBLANK($C132),"",$CK132)</f>
        <v/>
      </c>
      <c r="DG132" s="106" t="str">
        <f aca="false">IF(ISBLANK($C132),"",IF($DF132=Constants!$B$7,COUNTA($C$9:$C$508)+2,IF($DF132=Constants!$B$6,COUNTA($C$9:$C$508)+1,IF($DF132=Constants!$B$5,COUNTA($C$9:$C$508),$DF132))))</f>
        <v/>
      </c>
      <c r="DH132" s="7"/>
      <c r="DI132" s="107" t="n">
        <f aca="false">IF(OR(ISNUMBER($DF132),$DF132=Constants!$B$7,$DF132=Constants!$B$5,$DF132=Constants!$B$6),1,0)</f>
        <v>0</v>
      </c>
      <c r="DJ132" s="107" t="n">
        <v>124</v>
      </c>
      <c r="DK132" s="107" t="str">
        <f aca="false">IF(ISBLANK($C132),"",IF(ISNUMBER($DG132),$DG132+ROW($B132)/1000,""))</f>
        <v/>
      </c>
      <c r="DL132" s="107" t="str">
        <f aca="false">IF(ISNUMBER($DK132),RANK($DK132,$DK$9:$DK$508,1),"")</f>
        <v/>
      </c>
      <c r="DM132" s="107" t="str">
        <f aca="false">IF(ISBLANK($C132),"",$B132)</f>
        <v/>
      </c>
      <c r="DN132" s="107" t="str">
        <f aca="false">IF(ISBLANK($C132),"",$C132)</f>
        <v/>
      </c>
      <c r="DO132" s="107" t="str">
        <f aca="false">IF(ISBLANK($C132),"",$D132)</f>
        <v/>
      </c>
      <c r="DP132" s="108" t="str">
        <f aca="false">$DD132</f>
        <v/>
      </c>
      <c r="DQ132" s="109" t="str">
        <f aca="false">$DC132</f>
        <v/>
      </c>
      <c r="DR132" s="107" t="str">
        <f aca="false">IF(ISBLANK($C132),"",$DF132)</f>
        <v/>
      </c>
      <c r="DS132" s="110" t="str">
        <f aca="false">IF($DJ132&gt;$DI$8,"",VLOOKUP($DJ132,$DL$9:$DR$508,7,FALSE()))</f>
        <v/>
      </c>
      <c r="DT132" s="111" t="str">
        <f aca="false">IF($DJ132&gt;$DI$8,"",VLOOKUP($DJ132,$DL$9:$DR$508,2,FALSE()))</f>
        <v/>
      </c>
      <c r="DU132" s="111" t="str">
        <f aca="false">IF($DJ132&gt;$DI$8,"",VLOOKUP($DJ132,$DL$9:$DR$508,3,FALSE()))</f>
        <v/>
      </c>
      <c r="DV132" s="111" t="str">
        <f aca="false">IF($DJ132&gt;$DI$8,"",VLOOKUP($DJ132,$DL$9:$DR$508,4,FALSE()))</f>
        <v/>
      </c>
      <c r="DW132" s="111" t="str">
        <f aca="false">IF($DJ132&gt;$DI$8,"",VLOOKUP($DJ132,$DL$9:$DR$508,5,FALSE()))</f>
        <v/>
      </c>
      <c r="DX132" s="112" t="str">
        <f aca="false">IF($DJ132&gt;$DI$8,"",VLOOKUP($DJ132,$DL$9:$DR$508,6,FALSE()))</f>
        <v/>
      </c>
      <c r="DY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130"/>
      <c r="N133" s="130"/>
      <c r="O133" s="135"/>
      <c r="P133" s="135"/>
      <c r="Q133" s="130"/>
      <c r="R133" s="130"/>
      <c r="S133" s="130"/>
      <c r="T133" s="130"/>
      <c r="U133" s="135"/>
      <c r="V133" s="130"/>
      <c r="W133" s="96"/>
      <c r="X133" s="130"/>
      <c r="Y133" s="130"/>
      <c r="Z133" s="96"/>
      <c r="AA133" s="96"/>
      <c r="AB133" s="130"/>
      <c r="AC133" s="130"/>
      <c r="AD133" s="130"/>
      <c r="AE133" s="97"/>
      <c r="AF133" s="130"/>
      <c r="AG133" s="99"/>
      <c r="AH133" s="100"/>
      <c r="AI133" s="100"/>
      <c r="AJ133" s="100" t="str">
        <f aca="false">IF(ISBLANK($C133),"",IF($E133=Constants!$B$2,TRUE(),IF($E133=Constants!$B$3,FALSE(),TRUE())))</f>
        <v/>
      </c>
      <c r="AK133" s="100" t="str">
        <f aca="false">IF(ISBLANK($C133),"",IF($F133=Constants!$B$2,TRUE(),IF($F133=Constants!$B$3,FALSE(),FALSE())))</f>
        <v/>
      </c>
      <c r="AL133" s="100" t="str">
        <f aca="false">IF(ISBLANK($C133),"",IF($G133=Constants!$B$2,TRUE(),IF($G133=Constants!$B$3,FALSE(),TRUE())))</f>
        <v/>
      </c>
      <c r="AM133" s="100" t="str">
        <f aca="false">IF(ISBLANK($C133),"",IF($H133=Constants!$B$2,TRUE(),IF($H133=Constants!$B$3,FALSE(),TRUE())))</f>
        <v/>
      </c>
      <c r="AN133" s="100" t="str">
        <f aca="false">IF(ISBLANK($C133),"",IF(ISNUMBER($I133),IF($I133&gt;=0,$I133,""),""))</f>
        <v/>
      </c>
      <c r="AO133" s="100" t="str">
        <f aca="false">IF(ISBLANK($C133),"",IF(ISNUMBER($J133),IF($J133&gt;=0,$J133,""),""))</f>
        <v/>
      </c>
      <c r="AP133" s="100" t="str">
        <f aca="false">IF(ISBLANK($C133),"",IF(ISNUMBER($K133),IF($K133&gt;=0,$K133,""),""))</f>
        <v/>
      </c>
      <c r="AQ133" s="100" t="str">
        <f aca="false">IF(ISBLANK($C133),"",IF($L133=Constants!$B$2,TRUE(),IF($L133=Constants!$B$3,FALSE(),TRUE())))</f>
        <v/>
      </c>
      <c r="AR133" s="100" t="str">
        <f aca="false">IF(ISBLANK($C133),"",IF($M133=Constants!$B$2,TRUE(),IF($M133=Constants!$B$3,FALSE(),TRUE())))</f>
        <v/>
      </c>
      <c r="AS133" s="100" t="str">
        <f aca="false">IF(ISBLANK($C133),"",IF($N133=Constants!$B$2,TRUE(),IF($N133=Constants!$B$3,FALSE(),FALSE())))</f>
        <v/>
      </c>
      <c r="AT133" s="100" t="str">
        <f aca="false">IF(ISBLANK($C133),"",IF($O133=Constants!$B$2,TRUE(),IF($O133=Constants!$B$3,FALSE(),TRUE())))</f>
        <v/>
      </c>
      <c r="AU133" s="100" t="str">
        <f aca="false">IF(ISBLANK($C133),"",IF($P133=Constants!$B$2,TRUE(),IF($P133=Constants!$B$3,FALSE(),TRUE())))</f>
        <v/>
      </c>
      <c r="AV133" s="100" t="str">
        <f aca="false">IF(ISBLANK($C133),"",IF($Q133=Constants!$B$2,TRUE(),IF($Q133=Constants!$B$3,FALSE(),FALSE())))</f>
        <v/>
      </c>
      <c r="AW133" s="100" t="str">
        <f aca="false">IF(ISBLANK($C133),"",IF($R133=Constants!$B$2,TRUE(),IF($R133=Constants!$B$3,FALSE(),FALSE())))</f>
        <v/>
      </c>
      <c r="AX133" s="100" t="str">
        <f aca="false">IF(ISBLANK($C133),"",IF($S133=Constants!$B$2,TRUE(),IF($S133=Constants!$B$3,FALSE(),FALSE())))</f>
        <v/>
      </c>
      <c r="AY133" s="100" t="str">
        <f aca="false">IF(ISBLANK($C133),"",IF($T133=Constants!$B$2,TRUE(),IF($T133=Constants!$B$3,FALSE(),FALSE())))</f>
        <v/>
      </c>
      <c r="AZ133" s="100" t="str">
        <f aca="false">IF(ISBLANK($C133),"",IF($U133=Constants!$B$2,TRUE(),IF($U133=Constants!$B$3,FALSE(),FALSE())))</f>
        <v/>
      </c>
      <c r="BA133" s="100" t="str">
        <f aca="false">IF(ISBLANK($C133),"",IF(OR($V133&amp;""="1",$V133&amp;""="2",$V133&amp;""="3",$V133&amp;""="4"),VALUE($V133&amp;""),IF($V133=Constants!$B$12,Constants!$B$12,"")))</f>
        <v/>
      </c>
      <c r="BB133" s="100" t="str">
        <f aca="false">IF(ISBLANK($C133),"",IF(ISBLANK($W133),0,IF(ISNUMBER($W133),IF(AND($W133&gt;=0,$W133&lt;=Constants!$B$21,$W133=INT($W133)),$W133,""),"")))</f>
        <v/>
      </c>
      <c r="BC133" s="100" t="str">
        <f aca="false">IF(ISBLANK($C133),"",IF(ISBLANK($X133),0,IF(ISNUMBER($X133),IF($X133&gt;=0,$X133,""),"")))</f>
        <v/>
      </c>
      <c r="BD133" s="100" t="str">
        <f aca="false">IF(ISBLANK($C133),"",IF($Y133=Constants!$B$2,TRUE(),IF($Y133=Constants!$B$3,FALSE(),TRUE())))</f>
        <v/>
      </c>
      <c r="BE133" s="100" t="str">
        <f aca="false">IF(ISBLANK($C133),"",IF($Z133=Constants!$B$2,TRUE(),IF($Z133=Constants!$B$3,FALSE(),FALSE())))</f>
        <v/>
      </c>
      <c r="BF133" s="100" t="str">
        <f aca="false">IF(ISBLANK($C133),"",IF(ISBLANK($AA133),0,IF(ISNUMBER($AA133),IF(AND($AA133&gt;=0,$AA133&lt;=Constants!$B$35,$AA133=INT($AA133)),$AA133,""),"")))</f>
        <v/>
      </c>
      <c r="BG133" s="100" t="str">
        <f aca="false">IF(ISBLANK($C133),"",IF($AB133=Constants!$B$2,TRUE(),IF($AB133=Constants!$B$3,FALSE(),TRUE())))</f>
        <v/>
      </c>
      <c r="BH133" s="100" t="str">
        <f aca="false">IF(ISBLANK($C133),"",IF($AC133=Constants!$B$2,TRUE(),IF($AC133=Constants!$B$3,FALSE(),TRUE())))</f>
        <v/>
      </c>
      <c r="BI133" s="100" t="str">
        <f aca="false">IF(ISBLANK($C133),"",IF($AD133=Constants!$B$2,TRUE(),IF($AD133=Constants!$B$3,FALSE(),TRUE())))</f>
        <v/>
      </c>
      <c r="BJ133" s="100" t="str">
        <f aca="false">IF(ISBLANK($C133),"",IF(ISNUMBER($AE133),IF($AE133&gt;=0,$AE133,""),""))</f>
        <v/>
      </c>
      <c r="BK133" s="100" t="str">
        <f aca="false">IF(ISBLANK($C133),"",IF($AF133=Constants!$B$2,TRUE(),IF($AF133=Constants!$B$3,FALSE(),FALSE())))</f>
        <v/>
      </c>
      <c r="BL133" s="99" t="str">
        <f aca="false">IF(ISBLANK($C133),"",IF($BK133,Constants!$B$7,IF(COUNTA($E133:$AE133)=0,Constants!$B$6,IF(OR(COUNTA($G133:$AE133)=0,NOT($AM133),$AS133),Constants!$B$5,IF(OR($CM133&lt;&gt;"",$CN133,$CO133,$CP133,$CQ133,$CR133,$CS133),Constants!$B$8,Constants!$B$4)))))</f>
        <v/>
      </c>
      <c r="BM133" s="100" t="str">
        <f aca="false">IF(ISBLANK($C133),"",IF($BL133&lt;&gt;Constants!$B$4,$BL133,IF(OR(NOT($AJ133),NOT($AL133),NOT($AT133)),Constants!$B$11,IF(OR(NOT($AR133),NOT($AU133),NOT($BI133),MAX($AN133,$AO133,$AP133)&gt;Constants!$B$30),Constants!$B$10,Constants!$B$9))))</f>
        <v/>
      </c>
      <c r="BN133" s="100" t="str">
        <f aca="false">IF($BL133&lt;&gt;Constants!$B$4,"",IF(NOT($AL133),0,MIN(Constants!$B$35,$BF133)))</f>
        <v/>
      </c>
      <c r="BO133" s="100" t="str">
        <f aca="false">IF($BL133&lt;&gt;Constants!$B$4,"",IF(NOT($AL133),0,IF($AW133,Constants!$B$18,IF($AV133,Constants!$B$17,0))))</f>
        <v/>
      </c>
      <c r="BP133" s="100" t="str">
        <f aca="false">IF($BL133&lt;&gt;Constants!$B$4,"",IF(NOT($AL133),0,Constants!$B$19*($AK133+$AX133+$AY133+$AZ133)))</f>
        <v/>
      </c>
      <c r="BQ133" s="100" t="str">
        <f aca="false">IF($BL133&lt;&gt;Constants!$B$4,"",IF(OR(NOT($AL133),NOT(ISNUMBER($BA133))),0,CHOOSE($BA133,Constants!$B$13,Constants!$B$14,Constants!$B$15,Constants!$B$16)))</f>
        <v/>
      </c>
      <c r="BR133" s="100" t="str">
        <f aca="false">IF($BL133&lt;&gt;Constants!$B$4,"",IF(NOT($AL133),0,Constants!$B$20*$BB133))</f>
        <v/>
      </c>
      <c r="BS133" s="100" t="str">
        <f aca="false">IF($BL133&lt;&gt;Constants!$B$4,"",IF(AND($AL133,$BD133,$BE133),Constants!$B$22,0))</f>
        <v/>
      </c>
      <c r="BT133" s="100" t="str">
        <f aca="false">IF($BL133&lt;&gt;Constants!$B$4,"",IF(OR(NOT($AL133),NOT($BD133)),0,IF($BJ133&gt;=2*$AH$9,0,Constants!$B$23*INT(ROUND(MIN($BJ133,$AH$9),6)))))</f>
        <v/>
      </c>
      <c r="BU133" s="100" t="str">
        <f aca="false">IF($BL133&lt;&gt;Constants!$B$4,"",IF(NOT($AL133),0,Constants!$B$24*INT(ROUND(MIN($BC133,$AH$9),6))))</f>
        <v/>
      </c>
      <c r="BV133" s="100" t="str">
        <f aca="false">IF($BL133&lt;&gt;Constants!$B$4,"",IF(AND($AL133,$BN133=0),Constants!$B$25,0))</f>
        <v/>
      </c>
      <c r="BW133" s="100" t="str">
        <f aca="false">IF($BL133&lt;&gt;Constants!$B$4,"",MIN(Constants!$B$29,MAX(0,Constants!$B$27*Constants!$B$28*INT(ROUND((Constants!$B$26-$AN133)/Constants!$B$28,6))))+MIN(Constants!$B$29,MAX(0,Constants!$B$27*Constants!$B$28*INT(ROUND((Constants!$B$26-$AO133)/Constants!$B$28,6))))+MIN(Constants!$B$29,MAX(0,Constants!$B$27*Constants!$B$28*INT(ROUND((Constants!$B$26-$AP133)/Constants!$B$28,6)))))</f>
        <v/>
      </c>
      <c r="BX133" s="100" t="str">
        <f aca="false">IF($BL133&lt;&gt;Constants!$B$4,"",IF(NOT($AL133),0,Constants!$B$31*INT(ROUND(MAX(0,MIN($BJ133,2*$AH$9)-$AH$9),6))))</f>
        <v/>
      </c>
      <c r="BY133" s="100" t="str">
        <f aca="false">IF($BL133&lt;&gt;Constants!$B$4,"",Constants!$B$32*(($AN133&gt;Constants!$B$26)+($AO133&gt;Constants!$B$26)+($AP133&gt;Constants!$B$26)))</f>
        <v/>
      </c>
      <c r="BZ133" s="100" t="str">
        <f aca="false">IF($BL133&lt;&gt;Constants!$B$4,"",IF(OR(NOT($AL133),$AQ133),0,Constants!$B$33))</f>
        <v/>
      </c>
      <c r="CA133" s="100" t="str">
        <f aca="false">IF($BL133&lt;&gt;Constants!$B$4,"",Constants!$B$34*$BN133)</f>
        <v/>
      </c>
      <c r="CB133" s="100" t="str">
        <f aca="false">IF($BL133&lt;&gt;Constants!$B$4,"",IF(OR(NOT($AL133),$BH133),0,Constants!$B$36))</f>
        <v/>
      </c>
      <c r="CC133" s="100" t="str">
        <f aca="false">IF($BL133&lt;&gt;Constants!$B$4,"",IF(OR(NOT($AL133),$BG133),0,Constants!$B$37))</f>
        <v/>
      </c>
      <c r="CD133" s="100" t="str">
        <f aca="false">IF($BL133&lt;&gt;Constants!$B$4,"",SUM($BX133:$CC133))</f>
        <v/>
      </c>
      <c r="CE133" s="100" t="str">
        <f aca="false">IF(ISBLANK($C133),"",IF($BL133&lt;&gt;Constants!$B$4,$BL133,SUM($BO133:$BW133)-$CD133))</f>
        <v/>
      </c>
      <c r="CF133" s="100" t="str">
        <f aca="false">IF(ISBLANK($C133),"",IF($BL133&lt;&gt;Constants!$B$4,$BL133,RANK($CE133,$CE$9:$CE$508)))</f>
        <v/>
      </c>
      <c r="CG133" s="100" t="str">
        <f aca="false">IF(ISBLANK($C133),"",IF($BL133&lt;&gt;Constants!$B$4,$BL133,COUNTIFS($BM$9:$BM$508,"&lt;"&amp;$BM133)+COUNTIFS($BM$9:$BM$508,$BM133,$CF$9:$CF$508,"&lt;"&amp;$CF133)+1))</f>
        <v/>
      </c>
      <c r="CH133" s="100" t="str">
        <f aca="false">IF(ISBLANK($C133),"",IF($BL133&lt;&gt;Constants!$B$4,$BL133,RANK($CD133,$CD$9:$CD$508,1)))</f>
        <v/>
      </c>
      <c r="CI133" s="100" t="str">
        <f aca="false">IF($BL133&lt;&gt;Constants!$B$4,"",$AN133+$AO133+$AP133)</f>
        <v/>
      </c>
      <c r="CJ133" s="100" t="str">
        <f aca="false">IF(ISBLANK($C133),"",IF($BL133&lt;&gt;Constants!$B$4,$BL133,RANK($CI133,$CI$9:$CI$508,1)))</f>
        <v/>
      </c>
      <c r="CK133" s="100" t="str">
        <f aca="false">IF(ISBLANK($C133),"",IF($BL133&lt;&gt;Constants!$B$4,$BL133,COUNTIFS($BM$9:$BM$508,"&lt;"&amp;$BM133)+COUNTIFS($BM$9:$BM$508,$BM133,$CF$9:$CF$508,"&lt;"&amp;$CF133)+COUNTIFS($BM$9:$BM$508,$BM133,$CF$9:$CF$508,$CF133,$CH$9:$CH$508,"&lt;"&amp;$CH133)+COUNTIFS($BM$9:$BM$508,$BM133,$CF$9:$CF$508,$CF133,$CH$9:$CH$508,$CH133,$CJ$9:$CJ$508,"&lt;"&amp;$CJ133)+1))</f>
        <v/>
      </c>
      <c r="CL133" s="100" t="str">
        <f aca="false">IF(ISBLANK($C133),"",IF($BL133&lt;&gt;Constants!$B$4,$BL133,$CG133-$CK133))</f>
        <v/>
      </c>
      <c r="CM133" s="100" t="str">
        <f aca="false">IF(ISBLANK($C133),"",IF(NOT($AL133),"",IF(ISBLANK($D$7),$CM$5,IF(NOT(ISNUMBER($D$7)),$CM$6,""))))</f>
        <v/>
      </c>
      <c r="CN133" s="100" t="str">
        <f aca="false">IF(ISBLANK($C133),"",OR($AN133="",$AO133="",$AP133=""))</f>
        <v/>
      </c>
      <c r="CO133" s="100" t="str">
        <f aca="false">IF(ISBLANK($C133),"",AND($AL133,$BA133=""))</f>
        <v/>
      </c>
      <c r="CP133" s="100" t="str">
        <f aca="false">IF(ISBLANK($C133),"",AND($AL133,$BB133=""))</f>
        <v/>
      </c>
      <c r="CQ133" s="100" t="str">
        <f aca="false">IF(ISBLANK($C133),"",AND($AL133,$BC133=""))</f>
        <v/>
      </c>
      <c r="CR133" s="100" t="str">
        <f aca="false">IF(ISBLANK($C133),"",AND($AL133,$BF133=""))</f>
        <v/>
      </c>
      <c r="CS133" s="100" t="str">
        <f aca="false">IF(ISBLANK($C133),"",AND($AL133,$BJ133=""))</f>
        <v/>
      </c>
      <c r="CT133" s="101"/>
      <c r="CU133" s="102"/>
      <c r="CV133" s="103" t="str">
        <f aca="false">IF(ISBLANK($C133),"",IF($BL133=Constants!$B$8,$CM133,""))</f>
        <v/>
      </c>
      <c r="CW133" s="102" t="str">
        <f aca="false">IF(ISBLANK($C133),"",IF($BL133&lt;&gt;Constants!$B$4,"",$BO133+$BP133))</f>
        <v/>
      </c>
      <c r="CX133" s="104" t="str">
        <f aca="false">IF(ISBLANK($C133),"",IF($BL133&lt;&gt;Constants!$B$4,"",$BQ133+$BR133+$BS133))</f>
        <v/>
      </c>
      <c r="CY133" s="104" t="str">
        <f aca="false">IF(ISBLANK($C133),"",IF($BL133&lt;&gt;Constants!$B$4,"",$BT133))</f>
        <v/>
      </c>
      <c r="CZ133" s="104" t="str">
        <f aca="false">IF(ISBLANK($C133),"",IF($BL133&lt;&gt;Constants!$B$4,"",$BU133+$BV133))</f>
        <v/>
      </c>
      <c r="DA133" s="104" t="str">
        <f aca="false">IF(ISBLANK($C133),"",IF($BL133&lt;&gt;Constants!$B$4,"",$BW133))</f>
        <v/>
      </c>
      <c r="DB133" s="104" t="str">
        <f aca="false">IF(ISBLANK($C133),"",IF($BL133&lt;&gt;Constants!$B$4,"",-$CD133))</f>
        <v/>
      </c>
      <c r="DC133" s="103" t="str">
        <f aca="false">IF(ISBLANK($C133),"",$CE133)</f>
        <v/>
      </c>
      <c r="DD133" s="105" t="str">
        <f aca="false">IF(ISBLANK($C133),"",$BM133)</f>
        <v/>
      </c>
      <c r="DE133" s="104" t="str">
        <f aca="false">IF(ISBLANK($C133),"",$CL133)</f>
        <v/>
      </c>
      <c r="DF133" s="104" t="str">
        <f aca="false">IF(ISBLANK($C133),"",$CK133)</f>
        <v/>
      </c>
      <c r="DG133" s="106" t="str">
        <f aca="false">IF(ISBLANK($C133),"",IF($DF133=Constants!$B$7,COUNTA($C$9:$C$508)+2,IF($DF133=Constants!$B$6,COUNTA($C$9:$C$508)+1,IF($DF133=Constants!$B$5,COUNTA($C$9:$C$508),$DF133))))</f>
        <v/>
      </c>
      <c r="DH133" s="7"/>
      <c r="DI133" s="107" t="n">
        <f aca="false">IF(OR(ISNUMBER($DF133),$DF133=Constants!$B$7,$DF133=Constants!$B$5,$DF133=Constants!$B$6),1,0)</f>
        <v>0</v>
      </c>
      <c r="DJ133" s="107" t="n">
        <v>125</v>
      </c>
      <c r="DK133" s="107" t="str">
        <f aca="false">IF(ISBLANK($C133),"",IF(ISNUMBER($DG133),$DG133+ROW($B133)/1000,""))</f>
        <v/>
      </c>
      <c r="DL133" s="107" t="str">
        <f aca="false">IF(ISNUMBER($DK133),RANK($DK133,$DK$9:$DK$508,1),"")</f>
        <v/>
      </c>
      <c r="DM133" s="107" t="str">
        <f aca="false">IF(ISBLANK($C133),"",$B133)</f>
        <v/>
      </c>
      <c r="DN133" s="107" t="str">
        <f aca="false">IF(ISBLANK($C133),"",$C133)</f>
        <v/>
      </c>
      <c r="DO133" s="107" t="str">
        <f aca="false">IF(ISBLANK($C133),"",$D133)</f>
        <v/>
      </c>
      <c r="DP133" s="108" t="str">
        <f aca="false">$DD133</f>
        <v/>
      </c>
      <c r="DQ133" s="109" t="str">
        <f aca="false">$DC133</f>
        <v/>
      </c>
      <c r="DR133" s="107" t="str">
        <f aca="false">IF(ISBLANK($C133),"",$DF133)</f>
        <v/>
      </c>
      <c r="DS133" s="110" t="str">
        <f aca="false">IF($DJ133&gt;$DI$8,"",VLOOKUP($DJ133,$DL$9:$DR$508,7,FALSE()))</f>
        <v/>
      </c>
      <c r="DT133" s="111" t="str">
        <f aca="false">IF($DJ133&gt;$DI$8,"",VLOOKUP($DJ133,$DL$9:$DR$508,2,FALSE()))</f>
        <v/>
      </c>
      <c r="DU133" s="111" t="str">
        <f aca="false">IF($DJ133&gt;$DI$8,"",VLOOKUP($DJ133,$DL$9:$DR$508,3,FALSE()))</f>
        <v/>
      </c>
      <c r="DV133" s="111" t="str">
        <f aca="false">IF($DJ133&gt;$DI$8,"",VLOOKUP($DJ133,$DL$9:$DR$508,4,FALSE()))</f>
        <v/>
      </c>
      <c r="DW133" s="111" t="str">
        <f aca="false">IF($DJ133&gt;$DI$8,"",VLOOKUP($DJ133,$DL$9:$DR$508,5,FALSE()))</f>
        <v/>
      </c>
      <c r="DX133" s="112" t="str">
        <f aca="false">IF($DJ133&gt;$DI$8,"",VLOOKUP($DJ133,$DL$9:$DR$508,6,FALSE()))</f>
        <v/>
      </c>
      <c r="DY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130"/>
      <c r="N134" s="130"/>
      <c r="O134" s="135"/>
      <c r="P134" s="135"/>
      <c r="Q134" s="130"/>
      <c r="R134" s="130"/>
      <c r="S134" s="130"/>
      <c r="T134" s="130"/>
      <c r="U134" s="135"/>
      <c r="V134" s="130"/>
      <c r="W134" s="96"/>
      <c r="X134" s="130"/>
      <c r="Y134" s="130"/>
      <c r="Z134" s="96"/>
      <c r="AA134" s="96"/>
      <c r="AB134" s="130"/>
      <c r="AC134" s="130"/>
      <c r="AD134" s="130"/>
      <c r="AE134" s="97"/>
      <c r="AF134" s="130"/>
      <c r="AG134" s="99"/>
      <c r="AH134" s="100"/>
      <c r="AI134" s="100"/>
      <c r="AJ134" s="100" t="str">
        <f aca="false">IF(ISBLANK($C134),"",IF($E134=Constants!$B$2,TRUE(),IF($E134=Constants!$B$3,FALSE(),TRUE())))</f>
        <v/>
      </c>
      <c r="AK134" s="100" t="str">
        <f aca="false">IF(ISBLANK($C134),"",IF($F134=Constants!$B$2,TRUE(),IF($F134=Constants!$B$3,FALSE(),FALSE())))</f>
        <v/>
      </c>
      <c r="AL134" s="100" t="str">
        <f aca="false">IF(ISBLANK($C134),"",IF($G134=Constants!$B$2,TRUE(),IF($G134=Constants!$B$3,FALSE(),TRUE())))</f>
        <v/>
      </c>
      <c r="AM134" s="100" t="str">
        <f aca="false">IF(ISBLANK($C134),"",IF($H134=Constants!$B$2,TRUE(),IF($H134=Constants!$B$3,FALSE(),TRUE())))</f>
        <v/>
      </c>
      <c r="AN134" s="100" t="str">
        <f aca="false">IF(ISBLANK($C134),"",IF(ISNUMBER($I134),IF($I134&gt;=0,$I134,""),""))</f>
        <v/>
      </c>
      <c r="AO134" s="100" t="str">
        <f aca="false">IF(ISBLANK($C134),"",IF(ISNUMBER($J134),IF($J134&gt;=0,$J134,""),""))</f>
        <v/>
      </c>
      <c r="AP134" s="100" t="str">
        <f aca="false">IF(ISBLANK($C134),"",IF(ISNUMBER($K134),IF($K134&gt;=0,$K134,""),""))</f>
        <v/>
      </c>
      <c r="AQ134" s="100" t="str">
        <f aca="false">IF(ISBLANK($C134),"",IF($L134=Constants!$B$2,TRUE(),IF($L134=Constants!$B$3,FALSE(),TRUE())))</f>
        <v/>
      </c>
      <c r="AR134" s="100" t="str">
        <f aca="false">IF(ISBLANK($C134),"",IF($M134=Constants!$B$2,TRUE(),IF($M134=Constants!$B$3,FALSE(),TRUE())))</f>
        <v/>
      </c>
      <c r="AS134" s="100" t="str">
        <f aca="false">IF(ISBLANK($C134),"",IF($N134=Constants!$B$2,TRUE(),IF($N134=Constants!$B$3,FALSE(),FALSE())))</f>
        <v/>
      </c>
      <c r="AT134" s="100" t="str">
        <f aca="false">IF(ISBLANK($C134),"",IF($O134=Constants!$B$2,TRUE(),IF($O134=Constants!$B$3,FALSE(),TRUE())))</f>
        <v/>
      </c>
      <c r="AU134" s="100" t="str">
        <f aca="false">IF(ISBLANK($C134),"",IF($P134=Constants!$B$2,TRUE(),IF($P134=Constants!$B$3,FALSE(),TRUE())))</f>
        <v/>
      </c>
      <c r="AV134" s="100" t="str">
        <f aca="false">IF(ISBLANK($C134),"",IF($Q134=Constants!$B$2,TRUE(),IF($Q134=Constants!$B$3,FALSE(),FALSE())))</f>
        <v/>
      </c>
      <c r="AW134" s="100" t="str">
        <f aca="false">IF(ISBLANK($C134),"",IF($R134=Constants!$B$2,TRUE(),IF($R134=Constants!$B$3,FALSE(),FALSE())))</f>
        <v/>
      </c>
      <c r="AX134" s="100" t="str">
        <f aca="false">IF(ISBLANK($C134),"",IF($S134=Constants!$B$2,TRUE(),IF($S134=Constants!$B$3,FALSE(),FALSE())))</f>
        <v/>
      </c>
      <c r="AY134" s="100" t="str">
        <f aca="false">IF(ISBLANK($C134),"",IF($T134=Constants!$B$2,TRUE(),IF($T134=Constants!$B$3,FALSE(),FALSE())))</f>
        <v/>
      </c>
      <c r="AZ134" s="100" t="str">
        <f aca="false">IF(ISBLANK($C134),"",IF($U134=Constants!$B$2,TRUE(),IF($U134=Constants!$B$3,FALSE(),FALSE())))</f>
        <v/>
      </c>
      <c r="BA134" s="100" t="str">
        <f aca="false">IF(ISBLANK($C134),"",IF(OR($V134&amp;""="1",$V134&amp;""="2",$V134&amp;""="3",$V134&amp;""="4"),VALUE($V134&amp;""),IF($V134=Constants!$B$12,Constants!$B$12,"")))</f>
        <v/>
      </c>
      <c r="BB134" s="100" t="str">
        <f aca="false">IF(ISBLANK($C134),"",IF(ISBLANK($W134),0,IF(ISNUMBER($W134),IF(AND($W134&gt;=0,$W134&lt;=Constants!$B$21,$W134=INT($W134)),$W134,""),"")))</f>
        <v/>
      </c>
      <c r="BC134" s="100" t="str">
        <f aca="false">IF(ISBLANK($C134),"",IF(ISBLANK($X134),0,IF(ISNUMBER($X134),IF($X134&gt;=0,$X134,""),"")))</f>
        <v/>
      </c>
      <c r="BD134" s="100" t="str">
        <f aca="false">IF(ISBLANK($C134),"",IF($Y134=Constants!$B$2,TRUE(),IF($Y134=Constants!$B$3,FALSE(),TRUE())))</f>
        <v/>
      </c>
      <c r="BE134" s="100" t="str">
        <f aca="false">IF(ISBLANK($C134),"",IF($Z134=Constants!$B$2,TRUE(),IF($Z134=Constants!$B$3,FALSE(),FALSE())))</f>
        <v/>
      </c>
      <c r="BF134" s="100" t="str">
        <f aca="false">IF(ISBLANK($C134),"",IF(ISBLANK($AA134),0,IF(ISNUMBER($AA134),IF(AND($AA134&gt;=0,$AA134&lt;=Constants!$B$35,$AA134=INT($AA134)),$AA134,""),"")))</f>
        <v/>
      </c>
      <c r="BG134" s="100" t="str">
        <f aca="false">IF(ISBLANK($C134),"",IF($AB134=Constants!$B$2,TRUE(),IF($AB134=Constants!$B$3,FALSE(),TRUE())))</f>
        <v/>
      </c>
      <c r="BH134" s="100" t="str">
        <f aca="false">IF(ISBLANK($C134),"",IF($AC134=Constants!$B$2,TRUE(),IF($AC134=Constants!$B$3,FALSE(),TRUE())))</f>
        <v/>
      </c>
      <c r="BI134" s="100" t="str">
        <f aca="false">IF(ISBLANK($C134),"",IF($AD134=Constants!$B$2,TRUE(),IF($AD134=Constants!$B$3,FALSE(),TRUE())))</f>
        <v/>
      </c>
      <c r="BJ134" s="100" t="str">
        <f aca="false">IF(ISBLANK($C134),"",IF(ISNUMBER($AE134),IF($AE134&gt;=0,$AE134,""),""))</f>
        <v/>
      </c>
      <c r="BK134" s="100" t="str">
        <f aca="false">IF(ISBLANK($C134),"",IF($AF134=Constants!$B$2,TRUE(),IF($AF134=Constants!$B$3,FALSE(),FALSE())))</f>
        <v/>
      </c>
      <c r="BL134" s="99" t="str">
        <f aca="false">IF(ISBLANK($C134),"",IF($BK134,Constants!$B$7,IF(COUNTA($E134:$AE134)=0,Constants!$B$6,IF(OR(COUNTA($G134:$AE134)=0,NOT($AM134),$AS134),Constants!$B$5,IF(OR($CM134&lt;&gt;"",$CN134,$CO134,$CP134,$CQ134,$CR134,$CS134),Constants!$B$8,Constants!$B$4)))))</f>
        <v/>
      </c>
      <c r="BM134" s="100" t="str">
        <f aca="false">IF(ISBLANK($C134),"",IF($BL134&lt;&gt;Constants!$B$4,$BL134,IF(OR(NOT($AJ134),NOT($AL134),NOT($AT134)),Constants!$B$11,IF(OR(NOT($AR134),NOT($AU134),NOT($BI134),MAX($AN134,$AO134,$AP134)&gt;Constants!$B$30),Constants!$B$10,Constants!$B$9))))</f>
        <v/>
      </c>
      <c r="BN134" s="100" t="str">
        <f aca="false">IF($BL134&lt;&gt;Constants!$B$4,"",IF(NOT($AL134),0,MIN(Constants!$B$35,$BF134)))</f>
        <v/>
      </c>
      <c r="BO134" s="100" t="str">
        <f aca="false">IF($BL134&lt;&gt;Constants!$B$4,"",IF(NOT($AL134),0,IF($AW134,Constants!$B$18,IF($AV134,Constants!$B$17,0))))</f>
        <v/>
      </c>
      <c r="BP134" s="100" t="str">
        <f aca="false">IF($BL134&lt;&gt;Constants!$B$4,"",IF(NOT($AL134),0,Constants!$B$19*($AK134+$AX134+$AY134+$AZ134)))</f>
        <v/>
      </c>
      <c r="BQ134" s="100" t="str">
        <f aca="false">IF($BL134&lt;&gt;Constants!$B$4,"",IF(OR(NOT($AL134),NOT(ISNUMBER($BA134))),0,CHOOSE($BA134,Constants!$B$13,Constants!$B$14,Constants!$B$15,Constants!$B$16)))</f>
        <v/>
      </c>
      <c r="BR134" s="100" t="str">
        <f aca="false">IF($BL134&lt;&gt;Constants!$B$4,"",IF(NOT($AL134),0,Constants!$B$20*$BB134))</f>
        <v/>
      </c>
      <c r="BS134" s="100" t="str">
        <f aca="false">IF($BL134&lt;&gt;Constants!$B$4,"",IF(AND($AL134,$BD134,$BE134),Constants!$B$22,0))</f>
        <v/>
      </c>
      <c r="BT134" s="100" t="str">
        <f aca="false">IF($BL134&lt;&gt;Constants!$B$4,"",IF(OR(NOT($AL134),NOT($BD134)),0,IF($BJ134&gt;=2*$AH$9,0,Constants!$B$23*INT(ROUND(MIN($BJ134,$AH$9),6)))))</f>
        <v/>
      </c>
      <c r="BU134" s="100" t="str">
        <f aca="false">IF($BL134&lt;&gt;Constants!$B$4,"",IF(NOT($AL134),0,Constants!$B$24*INT(ROUND(MIN($BC134,$AH$9),6))))</f>
        <v/>
      </c>
      <c r="BV134" s="100" t="str">
        <f aca="false">IF($BL134&lt;&gt;Constants!$B$4,"",IF(AND($AL134,$BN134=0),Constants!$B$25,0))</f>
        <v/>
      </c>
      <c r="BW134" s="100" t="str">
        <f aca="false">IF($BL134&lt;&gt;Constants!$B$4,"",MIN(Constants!$B$29,MAX(0,Constants!$B$27*Constants!$B$28*INT(ROUND((Constants!$B$26-$AN134)/Constants!$B$28,6))))+MIN(Constants!$B$29,MAX(0,Constants!$B$27*Constants!$B$28*INT(ROUND((Constants!$B$26-$AO134)/Constants!$B$28,6))))+MIN(Constants!$B$29,MAX(0,Constants!$B$27*Constants!$B$28*INT(ROUND((Constants!$B$26-$AP134)/Constants!$B$28,6)))))</f>
        <v/>
      </c>
      <c r="BX134" s="100" t="str">
        <f aca="false">IF($BL134&lt;&gt;Constants!$B$4,"",IF(NOT($AL134),0,Constants!$B$31*INT(ROUND(MAX(0,MIN($BJ134,2*$AH$9)-$AH$9),6))))</f>
        <v/>
      </c>
      <c r="BY134" s="100" t="str">
        <f aca="false">IF($BL134&lt;&gt;Constants!$B$4,"",Constants!$B$32*(($AN134&gt;Constants!$B$26)+($AO134&gt;Constants!$B$26)+($AP134&gt;Constants!$B$26)))</f>
        <v/>
      </c>
      <c r="BZ134" s="100" t="str">
        <f aca="false">IF($BL134&lt;&gt;Constants!$B$4,"",IF(OR(NOT($AL134),$AQ134),0,Constants!$B$33))</f>
        <v/>
      </c>
      <c r="CA134" s="100" t="str">
        <f aca="false">IF($BL134&lt;&gt;Constants!$B$4,"",Constants!$B$34*$BN134)</f>
        <v/>
      </c>
      <c r="CB134" s="100" t="str">
        <f aca="false">IF($BL134&lt;&gt;Constants!$B$4,"",IF(OR(NOT($AL134),$BH134),0,Constants!$B$36))</f>
        <v/>
      </c>
      <c r="CC134" s="100" t="str">
        <f aca="false">IF($BL134&lt;&gt;Constants!$B$4,"",IF(OR(NOT($AL134),$BG134),0,Constants!$B$37))</f>
        <v/>
      </c>
      <c r="CD134" s="100" t="str">
        <f aca="false">IF($BL134&lt;&gt;Constants!$B$4,"",SUM($BX134:$CC134))</f>
        <v/>
      </c>
      <c r="CE134" s="100" t="str">
        <f aca="false">IF(ISBLANK($C134),"",IF($BL134&lt;&gt;Constants!$B$4,$BL134,SUM($BO134:$BW134)-$CD134))</f>
        <v/>
      </c>
      <c r="CF134" s="100" t="str">
        <f aca="false">IF(ISBLANK($C134),"",IF($BL134&lt;&gt;Constants!$B$4,$BL134,RANK($CE134,$CE$9:$CE$508)))</f>
        <v/>
      </c>
      <c r="CG134" s="100" t="str">
        <f aca="false">IF(ISBLANK($C134),"",IF($BL134&lt;&gt;Constants!$B$4,$BL134,COUNTIFS($BM$9:$BM$508,"&lt;"&amp;$BM134)+COUNTIFS($BM$9:$BM$508,$BM134,$CF$9:$CF$508,"&lt;"&amp;$CF134)+1))</f>
        <v/>
      </c>
      <c r="CH134" s="100" t="str">
        <f aca="false">IF(ISBLANK($C134),"",IF($BL134&lt;&gt;Constants!$B$4,$BL134,RANK($CD134,$CD$9:$CD$508,1)))</f>
        <v/>
      </c>
      <c r="CI134" s="100" t="str">
        <f aca="false">IF($BL134&lt;&gt;Constants!$B$4,"",$AN134+$AO134+$AP134)</f>
        <v/>
      </c>
      <c r="CJ134" s="100" t="str">
        <f aca="false">IF(ISBLANK($C134),"",IF($BL134&lt;&gt;Constants!$B$4,$BL134,RANK($CI134,$CI$9:$CI$508,1)))</f>
        <v/>
      </c>
      <c r="CK134" s="100" t="str">
        <f aca="false">IF(ISBLANK($C134),"",IF($BL134&lt;&gt;Constants!$B$4,$BL134,COUNTIFS($BM$9:$BM$508,"&lt;"&amp;$BM134)+COUNTIFS($BM$9:$BM$508,$BM134,$CF$9:$CF$508,"&lt;"&amp;$CF134)+COUNTIFS($BM$9:$BM$508,$BM134,$CF$9:$CF$508,$CF134,$CH$9:$CH$508,"&lt;"&amp;$CH134)+COUNTIFS($BM$9:$BM$508,$BM134,$CF$9:$CF$508,$CF134,$CH$9:$CH$508,$CH134,$CJ$9:$CJ$508,"&lt;"&amp;$CJ134)+1))</f>
        <v/>
      </c>
      <c r="CL134" s="100" t="str">
        <f aca="false">IF(ISBLANK($C134),"",IF($BL134&lt;&gt;Constants!$B$4,$BL134,$CG134-$CK134))</f>
        <v/>
      </c>
      <c r="CM134" s="100" t="str">
        <f aca="false">IF(ISBLANK($C134),"",IF(NOT($AL134),"",IF(ISBLANK($D$7),$CM$5,IF(NOT(ISNUMBER($D$7)),$CM$6,""))))</f>
        <v/>
      </c>
      <c r="CN134" s="100" t="str">
        <f aca="false">IF(ISBLANK($C134),"",OR($AN134="",$AO134="",$AP134=""))</f>
        <v/>
      </c>
      <c r="CO134" s="100" t="str">
        <f aca="false">IF(ISBLANK($C134),"",AND($AL134,$BA134=""))</f>
        <v/>
      </c>
      <c r="CP134" s="100" t="str">
        <f aca="false">IF(ISBLANK($C134),"",AND($AL134,$BB134=""))</f>
        <v/>
      </c>
      <c r="CQ134" s="100" t="str">
        <f aca="false">IF(ISBLANK($C134),"",AND($AL134,$BC134=""))</f>
        <v/>
      </c>
      <c r="CR134" s="100" t="str">
        <f aca="false">IF(ISBLANK($C134),"",AND($AL134,$BF134=""))</f>
        <v/>
      </c>
      <c r="CS134" s="100" t="str">
        <f aca="false">IF(ISBLANK($C134),"",AND($AL134,$BJ134=""))</f>
        <v/>
      </c>
      <c r="CT134" s="101"/>
      <c r="CU134" s="102"/>
      <c r="CV134" s="103" t="str">
        <f aca="false">IF(ISBLANK($C134),"",IF($BL134=Constants!$B$8,$CM134,""))</f>
        <v/>
      </c>
      <c r="CW134" s="102" t="str">
        <f aca="false">IF(ISBLANK($C134),"",IF($BL134&lt;&gt;Constants!$B$4,"",$BO134+$BP134))</f>
        <v/>
      </c>
      <c r="CX134" s="104" t="str">
        <f aca="false">IF(ISBLANK($C134),"",IF($BL134&lt;&gt;Constants!$B$4,"",$BQ134+$BR134+$BS134))</f>
        <v/>
      </c>
      <c r="CY134" s="104" t="str">
        <f aca="false">IF(ISBLANK($C134),"",IF($BL134&lt;&gt;Constants!$B$4,"",$BT134))</f>
        <v/>
      </c>
      <c r="CZ134" s="104" t="str">
        <f aca="false">IF(ISBLANK($C134),"",IF($BL134&lt;&gt;Constants!$B$4,"",$BU134+$BV134))</f>
        <v/>
      </c>
      <c r="DA134" s="104" t="str">
        <f aca="false">IF(ISBLANK($C134),"",IF($BL134&lt;&gt;Constants!$B$4,"",$BW134))</f>
        <v/>
      </c>
      <c r="DB134" s="104" t="str">
        <f aca="false">IF(ISBLANK($C134),"",IF($BL134&lt;&gt;Constants!$B$4,"",-$CD134))</f>
        <v/>
      </c>
      <c r="DC134" s="103" t="str">
        <f aca="false">IF(ISBLANK($C134),"",$CE134)</f>
        <v/>
      </c>
      <c r="DD134" s="105" t="str">
        <f aca="false">IF(ISBLANK($C134),"",$BM134)</f>
        <v/>
      </c>
      <c r="DE134" s="104" t="str">
        <f aca="false">IF(ISBLANK($C134),"",$CL134)</f>
        <v/>
      </c>
      <c r="DF134" s="104" t="str">
        <f aca="false">IF(ISBLANK($C134),"",$CK134)</f>
        <v/>
      </c>
      <c r="DG134" s="106" t="str">
        <f aca="false">IF(ISBLANK($C134),"",IF($DF134=Constants!$B$7,COUNTA($C$9:$C$508)+2,IF($DF134=Constants!$B$6,COUNTA($C$9:$C$508)+1,IF($DF134=Constants!$B$5,COUNTA($C$9:$C$508),$DF134))))</f>
        <v/>
      </c>
      <c r="DH134" s="7"/>
      <c r="DI134" s="107" t="n">
        <f aca="false">IF(OR(ISNUMBER($DF134),$DF134=Constants!$B$7,$DF134=Constants!$B$5,$DF134=Constants!$B$6),1,0)</f>
        <v>0</v>
      </c>
      <c r="DJ134" s="107" t="n">
        <v>126</v>
      </c>
      <c r="DK134" s="107" t="str">
        <f aca="false">IF(ISBLANK($C134),"",IF(ISNUMBER($DG134),$DG134+ROW($B134)/1000,""))</f>
        <v/>
      </c>
      <c r="DL134" s="107" t="str">
        <f aca="false">IF(ISNUMBER($DK134),RANK($DK134,$DK$9:$DK$508,1),"")</f>
        <v/>
      </c>
      <c r="DM134" s="107" t="str">
        <f aca="false">IF(ISBLANK($C134),"",$B134)</f>
        <v/>
      </c>
      <c r="DN134" s="107" t="str">
        <f aca="false">IF(ISBLANK($C134),"",$C134)</f>
        <v/>
      </c>
      <c r="DO134" s="107" t="str">
        <f aca="false">IF(ISBLANK($C134),"",$D134)</f>
        <v/>
      </c>
      <c r="DP134" s="108" t="str">
        <f aca="false">$DD134</f>
        <v/>
      </c>
      <c r="DQ134" s="109" t="str">
        <f aca="false">$DC134</f>
        <v/>
      </c>
      <c r="DR134" s="107" t="str">
        <f aca="false">IF(ISBLANK($C134),"",$DF134)</f>
        <v/>
      </c>
      <c r="DS134" s="110" t="str">
        <f aca="false">IF($DJ134&gt;$DI$8,"",VLOOKUP($DJ134,$DL$9:$DR$508,7,FALSE()))</f>
        <v/>
      </c>
      <c r="DT134" s="111" t="str">
        <f aca="false">IF($DJ134&gt;$DI$8,"",VLOOKUP($DJ134,$DL$9:$DR$508,2,FALSE()))</f>
        <v/>
      </c>
      <c r="DU134" s="111" t="str">
        <f aca="false">IF($DJ134&gt;$DI$8,"",VLOOKUP($DJ134,$DL$9:$DR$508,3,FALSE()))</f>
        <v/>
      </c>
      <c r="DV134" s="111" t="str">
        <f aca="false">IF($DJ134&gt;$DI$8,"",VLOOKUP($DJ134,$DL$9:$DR$508,4,FALSE()))</f>
        <v/>
      </c>
      <c r="DW134" s="111" t="str">
        <f aca="false">IF($DJ134&gt;$DI$8,"",VLOOKUP($DJ134,$DL$9:$DR$508,5,FALSE()))</f>
        <v/>
      </c>
      <c r="DX134" s="112" t="str">
        <f aca="false">IF($DJ134&gt;$DI$8,"",VLOOKUP($DJ134,$DL$9:$DR$508,6,FALSE()))</f>
        <v/>
      </c>
      <c r="DY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88"/>
      <c r="N135" s="88"/>
      <c r="O135" s="134"/>
      <c r="P135" s="134"/>
      <c r="Q135" s="88"/>
      <c r="R135" s="88"/>
      <c r="S135" s="88"/>
      <c r="T135" s="88"/>
      <c r="U135" s="134"/>
      <c r="V135" s="88"/>
      <c r="W135" s="70"/>
      <c r="X135" s="88"/>
      <c r="Y135" s="88"/>
      <c r="Z135" s="70"/>
      <c r="AA135" s="70"/>
      <c r="AB135" s="88"/>
      <c r="AC135" s="88"/>
      <c r="AD135" s="88"/>
      <c r="AE135" s="71"/>
      <c r="AF135" s="88"/>
      <c r="AG135" s="73"/>
      <c r="AH135" s="74"/>
      <c r="AI135" s="74"/>
      <c r="AJ135" s="74" t="str">
        <f aca="false">IF(ISBLANK($C135),"",IF($E135=Constants!$B$2,TRUE(),IF($E135=Constants!$B$3,FALSE(),TRUE())))</f>
        <v/>
      </c>
      <c r="AK135" s="74" t="str">
        <f aca="false">IF(ISBLANK($C135),"",IF($F135=Constants!$B$2,TRUE(),IF($F135=Constants!$B$3,FALSE(),FALSE())))</f>
        <v/>
      </c>
      <c r="AL135" s="74" t="str">
        <f aca="false">IF(ISBLANK($C135),"",IF($G135=Constants!$B$2,TRUE(),IF($G135=Constants!$B$3,FALSE(),TRUE())))</f>
        <v/>
      </c>
      <c r="AM135" s="74" t="str">
        <f aca="false">IF(ISBLANK($C135),"",IF($H135=Constants!$B$2,TRUE(),IF($H135=Constants!$B$3,FALSE(),TRUE())))</f>
        <v/>
      </c>
      <c r="AN135" s="74" t="str">
        <f aca="false">IF(ISBLANK($C135),"",IF(ISNUMBER($I135),IF($I135&gt;=0,$I135,""),""))</f>
        <v/>
      </c>
      <c r="AO135" s="74" t="str">
        <f aca="false">IF(ISBLANK($C135),"",IF(ISNUMBER($J135),IF($J135&gt;=0,$J135,""),""))</f>
        <v/>
      </c>
      <c r="AP135" s="74" t="str">
        <f aca="false">IF(ISBLANK($C135),"",IF(ISNUMBER($K135),IF($K135&gt;=0,$K135,""),""))</f>
        <v/>
      </c>
      <c r="AQ135" s="74" t="str">
        <f aca="false">IF(ISBLANK($C135),"",IF($L135=Constants!$B$2,TRUE(),IF($L135=Constants!$B$3,FALSE(),TRUE())))</f>
        <v/>
      </c>
      <c r="AR135" s="74" t="str">
        <f aca="false">IF(ISBLANK($C135),"",IF($M135=Constants!$B$2,TRUE(),IF($M135=Constants!$B$3,FALSE(),TRUE())))</f>
        <v/>
      </c>
      <c r="AS135" s="74" t="str">
        <f aca="false">IF(ISBLANK($C135),"",IF($N135=Constants!$B$2,TRUE(),IF($N135=Constants!$B$3,FALSE(),FALSE())))</f>
        <v/>
      </c>
      <c r="AT135" s="74" t="str">
        <f aca="false">IF(ISBLANK($C135),"",IF($O135=Constants!$B$2,TRUE(),IF($O135=Constants!$B$3,FALSE(),TRUE())))</f>
        <v/>
      </c>
      <c r="AU135" s="74" t="str">
        <f aca="false">IF(ISBLANK($C135),"",IF($P135=Constants!$B$2,TRUE(),IF($P135=Constants!$B$3,FALSE(),TRUE())))</f>
        <v/>
      </c>
      <c r="AV135" s="74" t="str">
        <f aca="false">IF(ISBLANK($C135),"",IF($Q135=Constants!$B$2,TRUE(),IF($Q135=Constants!$B$3,FALSE(),FALSE())))</f>
        <v/>
      </c>
      <c r="AW135" s="74" t="str">
        <f aca="false">IF(ISBLANK($C135),"",IF($R135=Constants!$B$2,TRUE(),IF($R135=Constants!$B$3,FALSE(),FALSE())))</f>
        <v/>
      </c>
      <c r="AX135" s="74" t="str">
        <f aca="false">IF(ISBLANK($C135),"",IF($S135=Constants!$B$2,TRUE(),IF($S135=Constants!$B$3,FALSE(),FALSE())))</f>
        <v/>
      </c>
      <c r="AY135" s="74" t="str">
        <f aca="false">IF(ISBLANK($C135),"",IF($T135=Constants!$B$2,TRUE(),IF($T135=Constants!$B$3,FALSE(),FALSE())))</f>
        <v/>
      </c>
      <c r="AZ135" s="74" t="str">
        <f aca="false">IF(ISBLANK($C135),"",IF($U135=Constants!$B$2,TRUE(),IF($U135=Constants!$B$3,FALSE(),FALSE())))</f>
        <v/>
      </c>
      <c r="BA135" s="74" t="str">
        <f aca="false">IF(ISBLANK($C135),"",IF(OR($V135&amp;""="1",$V135&amp;""="2",$V135&amp;""="3",$V135&amp;""="4"),VALUE($V135&amp;""),IF($V135=Constants!$B$12,Constants!$B$12,"")))</f>
        <v/>
      </c>
      <c r="BB135" s="74" t="str">
        <f aca="false">IF(ISBLANK($C135),"",IF(ISBLANK($W135),0,IF(ISNUMBER($W135),IF(AND($W135&gt;=0,$W135&lt;=Constants!$B$21,$W135=INT($W135)),$W135,""),"")))</f>
        <v/>
      </c>
      <c r="BC135" s="74" t="str">
        <f aca="false">IF(ISBLANK($C135),"",IF(ISBLANK($X135),0,IF(ISNUMBER($X135),IF($X135&gt;=0,$X135,""),"")))</f>
        <v/>
      </c>
      <c r="BD135" s="74" t="str">
        <f aca="false">IF(ISBLANK($C135),"",IF($Y135=Constants!$B$2,TRUE(),IF($Y135=Constants!$B$3,FALSE(),TRUE())))</f>
        <v/>
      </c>
      <c r="BE135" s="74" t="str">
        <f aca="false">IF(ISBLANK($C135),"",IF($Z135=Constants!$B$2,TRUE(),IF($Z135=Constants!$B$3,FALSE(),FALSE())))</f>
        <v/>
      </c>
      <c r="BF135" s="74" t="str">
        <f aca="false">IF(ISBLANK($C135),"",IF(ISBLANK($AA135),0,IF(ISNUMBER($AA135),IF(AND($AA135&gt;=0,$AA135&lt;=Constants!$B$35,$AA135=INT($AA135)),$AA135,""),"")))</f>
        <v/>
      </c>
      <c r="BG135" s="74" t="str">
        <f aca="false">IF(ISBLANK($C135),"",IF($AB135=Constants!$B$2,TRUE(),IF($AB135=Constants!$B$3,FALSE(),TRUE())))</f>
        <v/>
      </c>
      <c r="BH135" s="74" t="str">
        <f aca="false">IF(ISBLANK($C135),"",IF($AC135=Constants!$B$2,TRUE(),IF($AC135=Constants!$B$3,FALSE(),TRUE())))</f>
        <v/>
      </c>
      <c r="BI135" s="74" t="str">
        <f aca="false">IF(ISBLANK($C135),"",IF($AD135=Constants!$B$2,TRUE(),IF($AD135=Constants!$B$3,FALSE(),TRUE())))</f>
        <v/>
      </c>
      <c r="BJ135" s="74" t="str">
        <f aca="false">IF(ISBLANK($C135),"",IF(ISNUMBER($AE135),IF($AE135&gt;=0,$AE135,""),""))</f>
        <v/>
      </c>
      <c r="BK135" s="74" t="str">
        <f aca="false">IF(ISBLANK($C135),"",IF($AF135=Constants!$B$2,TRUE(),IF($AF135=Constants!$B$3,FALSE(),FALSE())))</f>
        <v/>
      </c>
      <c r="BL135" s="73" t="str">
        <f aca="false">IF(ISBLANK($C135),"",IF($BK135,Constants!$B$7,IF(COUNTA($E135:$AE135)=0,Constants!$B$6,IF(OR(COUNTA($G135:$AE135)=0,NOT($AM135),$AS135),Constants!$B$5,IF(OR($CM135&lt;&gt;"",$CN135,$CO135,$CP135,$CQ135,$CR135,$CS135),Constants!$B$8,Constants!$B$4)))))</f>
        <v/>
      </c>
      <c r="BM135" s="74" t="str">
        <f aca="false">IF(ISBLANK($C135),"",IF($BL135&lt;&gt;Constants!$B$4,$BL135,IF(OR(NOT($AJ135),NOT($AL135),NOT($AT135)),Constants!$B$11,IF(OR(NOT($AR135),NOT($AU135),NOT($BI135),MAX($AN135,$AO135,$AP135)&gt;Constants!$B$30),Constants!$B$10,Constants!$B$9))))</f>
        <v/>
      </c>
      <c r="BN135" s="74" t="str">
        <f aca="false">IF($BL135&lt;&gt;Constants!$B$4,"",IF(NOT($AL135),0,MIN(Constants!$B$35,$BF135)))</f>
        <v/>
      </c>
      <c r="BO135" s="74" t="str">
        <f aca="false">IF($BL135&lt;&gt;Constants!$B$4,"",IF(NOT($AL135),0,IF($AW135,Constants!$B$18,IF($AV135,Constants!$B$17,0))))</f>
        <v/>
      </c>
      <c r="BP135" s="74" t="str">
        <f aca="false">IF($BL135&lt;&gt;Constants!$B$4,"",IF(NOT($AL135),0,Constants!$B$19*($AK135+$AX135+$AY135+$AZ135)))</f>
        <v/>
      </c>
      <c r="BQ135" s="74" t="str">
        <f aca="false">IF($BL135&lt;&gt;Constants!$B$4,"",IF(OR(NOT($AL135),NOT(ISNUMBER($BA135))),0,CHOOSE($BA135,Constants!$B$13,Constants!$B$14,Constants!$B$15,Constants!$B$16)))</f>
        <v/>
      </c>
      <c r="BR135" s="74" t="str">
        <f aca="false">IF($BL135&lt;&gt;Constants!$B$4,"",IF(NOT($AL135),0,Constants!$B$20*$BB135))</f>
        <v/>
      </c>
      <c r="BS135" s="74" t="str">
        <f aca="false">IF($BL135&lt;&gt;Constants!$B$4,"",IF(AND($AL135,$BD135,$BE135),Constants!$B$22,0))</f>
        <v/>
      </c>
      <c r="BT135" s="74" t="str">
        <f aca="false">IF($BL135&lt;&gt;Constants!$B$4,"",IF(OR(NOT($AL135),NOT($BD135)),0,IF($BJ135&gt;=2*$AH$9,0,Constants!$B$23*INT(ROUND(MIN($BJ135,$AH$9),6)))))</f>
        <v/>
      </c>
      <c r="BU135" s="74" t="str">
        <f aca="false">IF($BL135&lt;&gt;Constants!$B$4,"",IF(NOT($AL135),0,Constants!$B$24*INT(ROUND(MIN($BC135,$AH$9),6))))</f>
        <v/>
      </c>
      <c r="BV135" s="74" t="str">
        <f aca="false">IF($BL135&lt;&gt;Constants!$B$4,"",IF(AND($AL135,$BN135=0),Constants!$B$25,0))</f>
        <v/>
      </c>
      <c r="BW135" s="74" t="str">
        <f aca="false">IF($BL135&lt;&gt;Constants!$B$4,"",MIN(Constants!$B$29,MAX(0,Constants!$B$27*Constants!$B$28*INT(ROUND((Constants!$B$26-$AN135)/Constants!$B$28,6))))+MIN(Constants!$B$29,MAX(0,Constants!$B$27*Constants!$B$28*INT(ROUND((Constants!$B$26-$AO135)/Constants!$B$28,6))))+MIN(Constants!$B$29,MAX(0,Constants!$B$27*Constants!$B$28*INT(ROUND((Constants!$B$26-$AP135)/Constants!$B$28,6)))))</f>
        <v/>
      </c>
      <c r="BX135" s="74" t="str">
        <f aca="false">IF($BL135&lt;&gt;Constants!$B$4,"",IF(NOT($AL135),0,Constants!$B$31*INT(ROUND(MAX(0,MIN($BJ135,2*$AH$9)-$AH$9),6))))</f>
        <v/>
      </c>
      <c r="BY135" s="74" t="str">
        <f aca="false">IF($BL135&lt;&gt;Constants!$B$4,"",Constants!$B$32*(($AN135&gt;Constants!$B$26)+($AO135&gt;Constants!$B$26)+($AP135&gt;Constants!$B$26)))</f>
        <v/>
      </c>
      <c r="BZ135" s="74" t="str">
        <f aca="false">IF($BL135&lt;&gt;Constants!$B$4,"",IF(OR(NOT($AL135),$AQ135),0,Constants!$B$33))</f>
        <v/>
      </c>
      <c r="CA135" s="74" t="str">
        <f aca="false">IF($BL135&lt;&gt;Constants!$B$4,"",Constants!$B$34*$BN135)</f>
        <v/>
      </c>
      <c r="CB135" s="74" t="str">
        <f aca="false">IF($BL135&lt;&gt;Constants!$B$4,"",IF(OR(NOT($AL135),$BH135),0,Constants!$B$36))</f>
        <v/>
      </c>
      <c r="CC135" s="74" t="str">
        <f aca="false">IF($BL135&lt;&gt;Constants!$B$4,"",IF(OR(NOT($AL135),$BG135),0,Constants!$B$37))</f>
        <v/>
      </c>
      <c r="CD135" s="74" t="str">
        <f aca="false">IF($BL135&lt;&gt;Constants!$B$4,"",SUM($BX135:$CC135))</f>
        <v/>
      </c>
      <c r="CE135" s="74" t="str">
        <f aca="false">IF(ISBLANK($C135),"",IF($BL135&lt;&gt;Constants!$B$4,$BL135,SUM($BO135:$BW135)-$CD135))</f>
        <v/>
      </c>
      <c r="CF135" s="74" t="str">
        <f aca="false">IF(ISBLANK($C135),"",IF($BL135&lt;&gt;Constants!$B$4,$BL135,RANK($CE135,$CE$9:$CE$508)))</f>
        <v/>
      </c>
      <c r="CG135" s="74" t="str">
        <f aca="false">IF(ISBLANK($C135),"",IF($BL135&lt;&gt;Constants!$B$4,$BL135,COUNTIFS($BM$9:$BM$508,"&lt;"&amp;$BM135)+COUNTIFS($BM$9:$BM$508,$BM135,$CF$9:$CF$508,"&lt;"&amp;$CF135)+1))</f>
        <v/>
      </c>
      <c r="CH135" s="74" t="str">
        <f aca="false">IF(ISBLANK($C135),"",IF($BL135&lt;&gt;Constants!$B$4,$BL135,RANK($CD135,$CD$9:$CD$508,1)))</f>
        <v/>
      </c>
      <c r="CI135" s="74" t="str">
        <f aca="false">IF($BL135&lt;&gt;Constants!$B$4,"",$AN135+$AO135+$AP135)</f>
        <v/>
      </c>
      <c r="CJ135" s="74" t="str">
        <f aca="false">IF(ISBLANK($C135),"",IF($BL135&lt;&gt;Constants!$B$4,$BL135,RANK($CI135,$CI$9:$CI$508,1)))</f>
        <v/>
      </c>
      <c r="CK135" s="74" t="str">
        <f aca="false">IF(ISBLANK($C135),"",IF($BL135&lt;&gt;Constants!$B$4,$BL135,COUNTIFS($BM$9:$BM$508,"&lt;"&amp;$BM135)+COUNTIFS($BM$9:$BM$508,$BM135,$CF$9:$CF$508,"&lt;"&amp;$CF135)+COUNTIFS($BM$9:$BM$508,$BM135,$CF$9:$CF$508,$CF135,$CH$9:$CH$508,"&lt;"&amp;$CH135)+COUNTIFS($BM$9:$BM$508,$BM135,$CF$9:$CF$508,$CF135,$CH$9:$CH$508,$CH135,$CJ$9:$CJ$508,"&lt;"&amp;$CJ135)+1))</f>
        <v/>
      </c>
      <c r="CL135" s="74" t="str">
        <f aca="false">IF(ISBLANK($C135),"",IF($BL135&lt;&gt;Constants!$B$4,$BL135,$CG135-$CK135))</f>
        <v/>
      </c>
      <c r="CM135" s="74" t="str">
        <f aca="false">IF(ISBLANK($C135),"",IF(NOT($AL135),"",IF(ISBLANK($D$7),$CM$5,IF(NOT(ISNUMBER($D$7)),$CM$6,""))))</f>
        <v/>
      </c>
      <c r="CN135" s="74" t="str">
        <f aca="false">IF(ISBLANK($C135),"",OR($AN135="",$AO135="",$AP135=""))</f>
        <v/>
      </c>
      <c r="CO135" s="74" t="str">
        <f aca="false">IF(ISBLANK($C135),"",AND($AL135,$BA135=""))</f>
        <v/>
      </c>
      <c r="CP135" s="74" t="str">
        <f aca="false">IF(ISBLANK($C135),"",AND($AL135,$BB135=""))</f>
        <v/>
      </c>
      <c r="CQ135" s="74" t="str">
        <f aca="false">IF(ISBLANK($C135),"",AND($AL135,$BC135=""))</f>
        <v/>
      </c>
      <c r="CR135" s="74" t="str">
        <f aca="false">IF(ISBLANK($C135),"",AND($AL135,$BF135=""))</f>
        <v/>
      </c>
      <c r="CS135" s="74" t="str">
        <f aca="false">IF(ISBLANK($C135),"",AND($AL135,$BJ135=""))</f>
        <v/>
      </c>
      <c r="CT135" s="75"/>
      <c r="CU135" s="76"/>
      <c r="CV135" s="79" t="str">
        <f aca="false">IF(ISBLANK($C135),"",IF($BL135=Constants!$B$8,$CM135,""))</f>
        <v/>
      </c>
      <c r="CW135" s="76" t="str">
        <f aca="false">IF(ISBLANK($C135),"",IF($BL135&lt;&gt;Constants!$B$4,"",$BO135+$BP135))</f>
        <v/>
      </c>
      <c r="CX135" s="78" t="str">
        <f aca="false">IF(ISBLANK($C135),"",IF($BL135&lt;&gt;Constants!$B$4,"",$BQ135+$BR135+$BS135))</f>
        <v/>
      </c>
      <c r="CY135" s="78" t="str">
        <f aca="false">IF(ISBLANK($C135),"",IF($BL135&lt;&gt;Constants!$B$4,"",$BT135))</f>
        <v/>
      </c>
      <c r="CZ135" s="78" t="str">
        <f aca="false">IF(ISBLANK($C135),"",IF($BL135&lt;&gt;Constants!$B$4,"",$BU135+$BV135))</f>
        <v/>
      </c>
      <c r="DA135" s="78" t="str">
        <f aca="false">IF(ISBLANK($C135),"",IF($BL135&lt;&gt;Constants!$B$4,"",$BW135))</f>
        <v/>
      </c>
      <c r="DB135" s="78" t="str">
        <f aca="false">IF(ISBLANK($C135),"",IF($BL135&lt;&gt;Constants!$B$4,"",-$CD135))</f>
        <v/>
      </c>
      <c r="DC135" s="79" t="str">
        <f aca="false">IF(ISBLANK($C135),"",$CE135)</f>
        <v/>
      </c>
      <c r="DD135" s="80" t="str">
        <f aca="false">IF(ISBLANK($C135),"",$BM135)</f>
        <v/>
      </c>
      <c r="DE135" s="78" t="str">
        <f aca="false">IF(ISBLANK($C135),"",$CL135)</f>
        <v/>
      </c>
      <c r="DF135" s="78" t="str">
        <f aca="false">IF(ISBLANK($C135),"",$CK135)</f>
        <v/>
      </c>
      <c r="DG135" s="81" t="str">
        <f aca="false">IF(ISBLANK($C135),"",IF($DF135=Constants!$B$7,COUNTA($C$9:$C$508)+2,IF($DF135=Constants!$B$6,COUNTA($C$9:$C$508)+1,IF($DF135=Constants!$B$5,COUNTA($C$9:$C$508),$DF135))))</f>
        <v/>
      </c>
      <c r="DH135" s="7"/>
      <c r="DI135" s="82" t="n">
        <f aca="false">IF(OR(ISNUMBER($DF135),$DF135=Constants!$B$7,$DF135=Constants!$B$5,$DF135=Constants!$B$6),1,0)</f>
        <v>0</v>
      </c>
      <c r="DJ135" s="82" t="n">
        <v>127</v>
      </c>
      <c r="DK135" s="82" t="str">
        <f aca="false">IF(ISBLANK($C135),"",IF(ISNUMBER($DG135),$DG135+ROW($B135)/1000,""))</f>
        <v/>
      </c>
      <c r="DL135" s="82" t="str">
        <f aca="false">IF(ISNUMBER($DK135),RANK($DK135,$DK$9:$DK$508,1),"")</f>
        <v/>
      </c>
      <c r="DM135" s="82" t="str">
        <f aca="false">IF(ISBLANK($C135),"",$B135)</f>
        <v/>
      </c>
      <c r="DN135" s="82" t="str">
        <f aca="false">IF(ISBLANK($C135),"",$C135)</f>
        <v/>
      </c>
      <c r="DO135" s="82" t="str">
        <f aca="false">IF(ISBLANK($C135),"",$D135)</f>
        <v/>
      </c>
      <c r="DP135" s="83" t="str">
        <f aca="false">$DD135</f>
        <v/>
      </c>
      <c r="DQ135" s="84" t="str">
        <f aca="false">$DC135</f>
        <v/>
      </c>
      <c r="DR135" s="82" t="str">
        <f aca="false">IF(ISBLANK($C135),"",$DF135)</f>
        <v/>
      </c>
      <c r="DS135" s="85" t="str">
        <f aca="false">IF($DJ135&gt;$DI$8,"",VLOOKUP($DJ135,$DL$9:$DR$508,7,FALSE()))</f>
        <v/>
      </c>
      <c r="DT135" s="86" t="str">
        <f aca="false">IF($DJ135&gt;$DI$8,"",VLOOKUP($DJ135,$DL$9:$DR$508,2,FALSE()))</f>
        <v/>
      </c>
      <c r="DU135" s="86" t="str">
        <f aca="false">IF($DJ135&gt;$DI$8,"",VLOOKUP($DJ135,$DL$9:$DR$508,3,FALSE()))</f>
        <v/>
      </c>
      <c r="DV135" s="86" t="str">
        <f aca="false">IF($DJ135&gt;$DI$8,"",VLOOKUP($DJ135,$DL$9:$DR$508,4,FALSE()))</f>
        <v/>
      </c>
      <c r="DW135" s="86" t="str">
        <f aca="false">IF($DJ135&gt;$DI$8,"",VLOOKUP($DJ135,$DL$9:$DR$508,5,FALSE()))</f>
        <v/>
      </c>
      <c r="DX135" s="87" t="str">
        <f aca="false">IF($DJ135&gt;$DI$8,"",VLOOKUP($DJ135,$DL$9:$DR$508,6,FALSE()))</f>
        <v/>
      </c>
      <c r="DY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88"/>
      <c r="N136" s="88"/>
      <c r="O136" s="134"/>
      <c r="P136" s="134"/>
      <c r="Q136" s="88"/>
      <c r="R136" s="88"/>
      <c r="S136" s="88"/>
      <c r="T136" s="88"/>
      <c r="U136" s="134"/>
      <c r="V136" s="88"/>
      <c r="W136" s="70"/>
      <c r="X136" s="88"/>
      <c r="Y136" s="88"/>
      <c r="Z136" s="70"/>
      <c r="AA136" s="70"/>
      <c r="AB136" s="88"/>
      <c r="AC136" s="88"/>
      <c r="AD136" s="88"/>
      <c r="AE136" s="71"/>
      <c r="AF136" s="88"/>
      <c r="AG136" s="73"/>
      <c r="AH136" s="74"/>
      <c r="AI136" s="74"/>
      <c r="AJ136" s="74" t="str">
        <f aca="false">IF(ISBLANK($C136),"",IF($E136=Constants!$B$2,TRUE(),IF($E136=Constants!$B$3,FALSE(),TRUE())))</f>
        <v/>
      </c>
      <c r="AK136" s="74" t="str">
        <f aca="false">IF(ISBLANK($C136),"",IF($F136=Constants!$B$2,TRUE(),IF($F136=Constants!$B$3,FALSE(),FALSE())))</f>
        <v/>
      </c>
      <c r="AL136" s="74" t="str">
        <f aca="false">IF(ISBLANK($C136),"",IF($G136=Constants!$B$2,TRUE(),IF($G136=Constants!$B$3,FALSE(),TRUE())))</f>
        <v/>
      </c>
      <c r="AM136" s="74" t="str">
        <f aca="false">IF(ISBLANK($C136),"",IF($H136=Constants!$B$2,TRUE(),IF($H136=Constants!$B$3,FALSE(),TRUE())))</f>
        <v/>
      </c>
      <c r="AN136" s="74" t="str">
        <f aca="false">IF(ISBLANK($C136),"",IF(ISNUMBER($I136),IF($I136&gt;=0,$I136,""),""))</f>
        <v/>
      </c>
      <c r="AO136" s="74" t="str">
        <f aca="false">IF(ISBLANK($C136),"",IF(ISNUMBER($J136),IF($J136&gt;=0,$J136,""),""))</f>
        <v/>
      </c>
      <c r="AP136" s="74" t="str">
        <f aca="false">IF(ISBLANK($C136),"",IF(ISNUMBER($K136),IF($K136&gt;=0,$K136,""),""))</f>
        <v/>
      </c>
      <c r="AQ136" s="74" t="str">
        <f aca="false">IF(ISBLANK($C136),"",IF($L136=Constants!$B$2,TRUE(),IF($L136=Constants!$B$3,FALSE(),TRUE())))</f>
        <v/>
      </c>
      <c r="AR136" s="74" t="str">
        <f aca="false">IF(ISBLANK($C136),"",IF($M136=Constants!$B$2,TRUE(),IF($M136=Constants!$B$3,FALSE(),TRUE())))</f>
        <v/>
      </c>
      <c r="AS136" s="74" t="str">
        <f aca="false">IF(ISBLANK($C136),"",IF($N136=Constants!$B$2,TRUE(),IF($N136=Constants!$B$3,FALSE(),FALSE())))</f>
        <v/>
      </c>
      <c r="AT136" s="74" t="str">
        <f aca="false">IF(ISBLANK($C136),"",IF($O136=Constants!$B$2,TRUE(),IF($O136=Constants!$B$3,FALSE(),TRUE())))</f>
        <v/>
      </c>
      <c r="AU136" s="74" t="str">
        <f aca="false">IF(ISBLANK($C136),"",IF($P136=Constants!$B$2,TRUE(),IF($P136=Constants!$B$3,FALSE(),TRUE())))</f>
        <v/>
      </c>
      <c r="AV136" s="74" t="str">
        <f aca="false">IF(ISBLANK($C136),"",IF($Q136=Constants!$B$2,TRUE(),IF($Q136=Constants!$B$3,FALSE(),FALSE())))</f>
        <v/>
      </c>
      <c r="AW136" s="74" t="str">
        <f aca="false">IF(ISBLANK($C136),"",IF($R136=Constants!$B$2,TRUE(),IF($R136=Constants!$B$3,FALSE(),FALSE())))</f>
        <v/>
      </c>
      <c r="AX136" s="74" t="str">
        <f aca="false">IF(ISBLANK($C136),"",IF($S136=Constants!$B$2,TRUE(),IF($S136=Constants!$B$3,FALSE(),FALSE())))</f>
        <v/>
      </c>
      <c r="AY136" s="74" t="str">
        <f aca="false">IF(ISBLANK($C136),"",IF($T136=Constants!$B$2,TRUE(),IF($T136=Constants!$B$3,FALSE(),FALSE())))</f>
        <v/>
      </c>
      <c r="AZ136" s="74" t="str">
        <f aca="false">IF(ISBLANK($C136),"",IF($U136=Constants!$B$2,TRUE(),IF($U136=Constants!$B$3,FALSE(),FALSE())))</f>
        <v/>
      </c>
      <c r="BA136" s="74" t="str">
        <f aca="false">IF(ISBLANK($C136),"",IF(OR($V136&amp;""="1",$V136&amp;""="2",$V136&amp;""="3",$V136&amp;""="4"),VALUE($V136&amp;""),IF($V136=Constants!$B$12,Constants!$B$12,"")))</f>
        <v/>
      </c>
      <c r="BB136" s="74" t="str">
        <f aca="false">IF(ISBLANK($C136),"",IF(ISBLANK($W136),0,IF(ISNUMBER($W136),IF(AND($W136&gt;=0,$W136&lt;=Constants!$B$21,$W136=INT($W136)),$W136,""),"")))</f>
        <v/>
      </c>
      <c r="BC136" s="74" t="str">
        <f aca="false">IF(ISBLANK($C136),"",IF(ISBLANK($X136),0,IF(ISNUMBER($X136),IF($X136&gt;=0,$X136,""),"")))</f>
        <v/>
      </c>
      <c r="BD136" s="74" t="str">
        <f aca="false">IF(ISBLANK($C136),"",IF($Y136=Constants!$B$2,TRUE(),IF($Y136=Constants!$B$3,FALSE(),TRUE())))</f>
        <v/>
      </c>
      <c r="BE136" s="74" t="str">
        <f aca="false">IF(ISBLANK($C136),"",IF($Z136=Constants!$B$2,TRUE(),IF($Z136=Constants!$B$3,FALSE(),FALSE())))</f>
        <v/>
      </c>
      <c r="BF136" s="74" t="str">
        <f aca="false">IF(ISBLANK($C136),"",IF(ISBLANK($AA136),0,IF(ISNUMBER($AA136),IF(AND($AA136&gt;=0,$AA136&lt;=Constants!$B$35,$AA136=INT($AA136)),$AA136,""),"")))</f>
        <v/>
      </c>
      <c r="BG136" s="74" t="str">
        <f aca="false">IF(ISBLANK($C136),"",IF($AB136=Constants!$B$2,TRUE(),IF($AB136=Constants!$B$3,FALSE(),TRUE())))</f>
        <v/>
      </c>
      <c r="BH136" s="74" t="str">
        <f aca="false">IF(ISBLANK($C136),"",IF($AC136=Constants!$B$2,TRUE(),IF($AC136=Constants!$B$3,FALSE(),TRUE())))</f>
        <v/>
      </c>
      <c r="BI136" s="74" t="str">
        <f aca="false">IF(ISBLANK($C136),"",IF($AD136=Constants!$B$2,TRUE(),IF($AD136=Constants!$B$3,FALSE(),TRUE())))</f>
        <v/>
      </c>
      <c r="BJ136" s="74" t="str">
        <f aca="false">IF(ISBLANK($C136),"",IF(ISNUMBER($AE136),IF($AE136&gt;=0,$AE136,""),""))</f>
        <v/>
      </c>
      <c r="BK136" s="74" t="str">
        <f aca="false">IF(ISBLANK($C136),"",IF($AF136=Constants!$B$2,TRUE(),IF($AF136=Constants!$B$3,FALSE(),FALSE())))</f>
        <v/>
      </c>
      <c r="BL136" s="73" t="str">
        <f aca="false">IF(ISBLANK($C136),"",IF($BK136,Constants!$B$7,IF(COUNTA($E136:$AE136)=0,Constants!$B$6,IF(OR(COUNTA($G136:$AE136)=0,NOT($AM136),$AS136),Constants!$B$5,IF(OR($CM136&lt;&gt;"",$CN136,$CO136,$CP136,$CQ136,$CR136,$CS136),Constants!$B$8,Constants!$B$4)))))</f>
        <v/>
      </c>
      <c r="BM136" s="74" t="str">
        <f aca="false">IF(ISBLANK($C136),"",IF($BL136&lt;&gt;Constants!$B$4,$BL136,IF(OR(NOT($AJ136),NOT($AL136),NOT($AT136)),Constants!$B$11,IF(OR(NOT($AR136),NOT($AU136),NOT($BI136),MAX($AN136,$AO136,$AP136)&gt;Constants!$B$30),Constants!$B$10,Constants!$B$9))))</f>
        <v/>
      </c>
      <c r="BN136" s="74" t="str">
        <f aca="false">IF($BL136&lt;&gt;Constants!$B$4,"",IF(NOT($AL136),0,MIN(Constants!$B$35,$BF136)))</f>
        <v/>
      </c>
      <c r="BO136" s="74" t="str">
        <f aca="false">IF($BL136&lt;&gt;Constants!$B$4,"",IF(NOT($AL136),0,IF($AW136,Constants!$B$18,IF($AV136,Constants!$B$17,0))))</f>
        <v/>
      </c>
      <c r="BP136" s="74" t="str">
        <f aca="false">IF($BL136&lt;&gt;Constants!$B$4,"",IF(NOT($AL136),0,Constants!$B$19*($AK136+$AX136+$AY136+$AZ136)))</f>
        <v/>
      </c>
      <c r="BQ136" s="74" t="str">
        <f aca="false">IF($BL136&lt;&gt;Constants!$B$4,"",IF(OR(NOT($AL136),NOT(ISNUMBER($BA136))),0,CHOOSE($BA136,Constants!$B$13,Constants!$B$14,Constants!$B$15,Constants!$B$16)))</f>
        <v/>
      </c>
      <c r="BR136" s="74" t="str">
        <f aca="false">IF($BL136&lt;&gt;Constants!$B$4,"",IF(NOT($AL136),0,Constants!$B$20*$BB136))</f>
        <v/>
      </c>
      <c r="BS136" s="74" t="str">
        <f aca="false">IF($BL136&lt;&gt;Constants!$B$4,"",IF(AND($AL136,$BD136,$BE136),Constants!$B$22,0))</f>
        <v/>
      </c>
      <c r="BT136" s="74" t="str">
        <f aca="false">IF($BL136&lt;&gt;Constants!$B$4,"",IF(OR(NOT($AL136),NOT($BD136)),0,IF($BJ136&gt;=2*$AH$9,0,Constants!$B$23*INT(ROUND(MIN($BJ136,$AH$9),6)))))</f>
        <v/>
      </c>
      <c r="BU136" s="74" t="str">
        <f aca="false">IF($BL136&lt;&gt;Constants!$B$4,"",IF(NOT($AL136),0,Constants!$B$24*INT(ROUND(MIN($BC136,$AH$9),6))))</f>
        <v/>
      </c>
      <c r="BV136" s="74" t="str">
        <f aca="false">IF($BL136&lt;&gt;Constants!$B$4,"",IF(AND($AL136,$BN136=0),Constants!$B$25,0))</f>
        <v/>
      </c>
      <c r="BW136" s="74" t="str">
        <f aca="false">IF($BL136&lt;&gt;Constants!$B$4,"",MIN(Constants!$B$29,MAX(0,Constants!$B$27*Constants!$B$28*INT(ROUND((Constants!$B$26-$AN136)/Constants!$B$28,6))))+MIN(Constants!$B$29,MAX(0,Constants!$B$27*Constants!$B$28*INT(ROUND((Constants!$B$26-$AO136)/Constants!$B$28,6))))+MIN(Constants!$B$29,MAX(0,Constants!$B$27*Constants!$B$28*INT(ROUND((Constants!$B$26-$AP136)/Constants!$B$28,6)))))</f>
        <v/>
      </c>
      <c r="BX136" s="74" t="str">
        <f aca="false">IF($BL136&lt;&gt;Constants!$B$4,"",IF(NOT($AL136),0,Constants!$B$31*INT(ROUND(MAX(0,MIN($BJ136,2*$AH$9)-$AH$9),6))))</f>
        <v/>
      </c>
      <c r="BY136" s="74" t="str">
        <f aca="false">IF($BL136&lt;&gt;Constants!$B$4,"",Constants!$B$32*(($AN136&gt;Constants!$B$26)+($AO136&gt;Constants!$B$26)+($AP136&gt;Constants!$B$26)))</f>
        <v/>
      </c>
      <c r="BZ136" s="74" t="str">
        <f aca="false">IF($BL136&lt;&gt;Constants!$B$4,"",IF(OR(NOT($AL136),$AQ136),0,Constants!$B$33))</f>
        <v/>
      </c>
      <c r="CA136" s="74" t="str">
        <f aca="false">IF($BL136&lt;&gt;Constants!$B$4,"",Constants!$B$34*$BN136)</f>
        <v/>
      </c>
      <c r="CB136" s="74" t="str">
        <f aca="false">IF($BL136&lt;&gt;Constants!$B$4,"",IF(OR(NOT($AL136),$BH136),0,Constants!$B$36))</f>
        <v/>
      </c>
      <c r="CC136" s="74" t="str">
        <f aca="false">IF($BL136&lt;&gt;Constants!$B$4,"",IF(OR(NOT($AL136),$BG136),0,Constants!$B$37))</f>
        <v/>
      </c>
      <c r="CD136" s="74" t="str">
        <f aca="false">IF($BL136&lt;&gt;Constants!$B$4,"",SUM($BX136:$CC136))</f>
        <v/>
      </c>
      <c r="CE136" s="74" t="str">
        <f aca="false">IF(ISBLANK($C136),"",IF($BL136&lt;&gt;Constants!$B$4,$BL136,SUM($BO136:$BW136)-$CD136))</f>
        <v/>
      </c>
      <c r="CF136" s="74" t="str">
        <f aca="false">IF(ISBLANK($C136),"",IF($BL136&lt;&gt;Constants!$B$4,$BL136,RANK($CE136,$CE$9:$CE$508)))</f>
        <v/>
      </c>
      <c r="CG136" s="74" t="str">
        <f aca="false">IF(ISBLANK($C136),"",IF($BL136&lt;&gt;Constants!$B$4,$BL136,COUNTIFS($BM$9:$BM$508,"&lt;"&amp;$BM136)+COUNTIFS($BM$9:$BM$508,$BM136,$CF$9:$CF$508,"&lt;"&amp;$CF136)+1))</f>
        <v/>
      </c>
      <c r="CH136" s="74" t="str">
        <f aca="false">IF(ISBLANK($C136),"",IF($BL136&lt;&gt;Constants!$B$4,$BL136,RANK($CD136,$CD$9:$CD$508,1)))</f>
        <v/>
      </c>
      <c r="CI136" s="74" t="str">
        <f aca="false">IF($BL136&lt;&gt;Constants!$B$4,"",$AN136+$AO136+$AP136)</f>
        <v/>
      </c>
      <c r="CJ136" s="74" t="str">
        <f aca="false">IF(ISBLANK($C136),"",IF($BL136&lt;&gt;Constants!$B$4,$BL136,RANK($CI136,$CI$9:$CI$508,1)))</f>
        <v/>
      </c>
      <c r="CK136" s="74" t="str">
        <f aca="false">IF(ISBLANK($C136),"",IF($BL136&lt;&gt;Constants!$B$4,$BL136,COUNTIFS($BM$9:$BM$508,"&lt;"&amp;$BM136)+COUNTIFS($BM$9:$BM$508,$BM136,$CF$9:$CF$508,"&lt;"&amp;$CF136)+COUNTIFS($BM$9:$BM$508,$BM136,$CF$9:$CF$508,$CF136,$CH$9:$CH$508,"&lt;"&amp;$CH136)+COUNTIFS($BM$9:$BM$508,$BM136,$CF$9:$CF$508,$CF136,$CH$9:$CH$508,$CH136,$CJ$9:$CJ$508,"&lt;"&amp;$CJ136)+1))</f>
        <v/>
      </c>
      <c r="CL136" s="74" t="str">
        <f aca="false">IF(ISBLANK($C136),"",IF($BL136&lt;&gt;Constants!$B$4,$BL136,$CG136-$CK136))</f>
        <v/>
      </c>
      <c r="CM136" s="74" t="str">
        <f aca="false">IF(ISBLANK($C136),"",IF(NOT($AL136),"",IF(ISBLANK($D$7),$CM$5,IF(NOT(ISNUMBER($D$7)),$CM$6,""))))</f>
        <v/>
      </c>
      <c r="CN136" s="74" t="str">
        <f aca="false">IF(ISBLANK($C136),"",OR($AN136="",$AO136="",$AP136=""))</f>
        <v/>
      </c>
      <c r="CO136" s="74" t="str">
        <f aca="false">IF(ISBLANK($C136),"",AND($AL136,$BA136=""))</f>
        <v/>
      </c>
      <c r="CP136" s="74" t="str">
        <f aca="false">IF(ISBLANK($C136),"",AND($AL136,$BB136=""))</f>
        <v/>
      </c>
      <c r="CQ136" s="74" t="str">
        <f aca="false">IF(ISBLANK($C136),"",AND($AL136,$BC136=""))</f>
        <v/>
      </c>
      <c r="CR136" s="74" t="str">
        <f aca="false">IF(ISBLANK($C136),"",AND($AL136,$BF136=""))</f>
        <v/>
      </c>
      <c r="CS136" s="74" t="str">
        <f aca="false">IF(ISBLANK($C136),"",AND($AL136,$BJ136=""))</f>
        <v/>
      </c>
      <c r="CT136" s="75"/>
      <c r="CU136" s="76"/>
      <c r="CV136" s="79" t="str">
        <f aca="false">IF(ISBLANK($C136),"",IF($BL136=Constants!$B$8,$CM136,""))</f>
        <v/>
      </c>
      <c r="CW136" s="76" t="str">
        <f aca="false">IF(ISBLANK($C136),"",IF($BL136&lt;&gt;Constants!$B$4,"",$BO136+$BP136))</f>
        <v/>
      </c>
      <c r="CX136" s="78" t="str">
        <f aca="false">IF(ISBLANK($C136),"",IF($BL136&lt;&gt;Constants!$B$4,"",$BQ136+$BR136+$BS136))</f>
        <v/>
      </c>
      <c r="CY136" s="78" t="str">
        <f aca="false">IF(ISBLANK($C136),"",IF($BL136&lt;&gt;Constants!$B$4,"",$BT136))</f>
        <v/>
      </c>
      <c r="CZ136" s="78" t="str">
        <f aca="false">IF(ISBLANK($C136),"",IF($BL136&lt;&gt;Constants!$B$4,"",$BU136+$BV136))</f>
        <v/>
      </c>
      <c r="DA136" s="78" t="str">
        <f aca="false">IF(ISBLANK($C136),"",IF($BL136&lt;&gt;Constants!$B$4,"",$BW136))</f>
        <v/>
      </c>
      <c r="DB136" s="78" t="str">
        <f aca="false">IF(ISBLANK($C136),"",IF($BL136&lt;&gt;Constants!$B$4,"",-$CD136))</f>
        <v/>
      </c>
      <c r="DC136" s="79" t="str">
        <f aca="false">IF(ISBLANK($C136),"",$CE136)</f>
        <v/>
      </c>
      <c r="DD136" s="80" t="str">
        <f aca="false">IF(ISBLANK($C136),"",$BM136)</f>
        <v/>
      </c>
      <c r="DE136" s="78" t="str">
        <f aca="false">IF(ISBLANK($C136),"",$CL136)</f>
        <v/>
      </c>
      <c r="DF136" s="78" t="str">
        <f aca="false">IF(ISBLANK($C136),"",$CK136)</f>
        <v/>
      </c>
      <c r="DG136" s="81" t="str">
        <f aca="false">IF(ISBLANK($C136),"",IF($DF136=Constants!$B$7,COUNTA($C$9:$C$508)+2,IF($DF136=Constants!$B$6,COUNTA($C$9:$C$508)+1,IF($DF136=Constants!$B$5,COUNTA($C$9:$C$508),$DF136))))</f>
        <v/>
      </c>
      <c r="DH136" s="7"/>
      <c r="DI136" s="82" t="n">
        <f aca="false">IF(OR(ISNUMBER($DF136),$DF136=Constants!$B$7,$DF136=Constants!$B$5,$DF136=Constants!$B$6),1,0)</f>
        <v>0</v>
      </c>
      <c r="DJ136" s="82" t="n">
        <v>128</v>
      </c>
      <c r="DK136" s="82" t="str">
        <f aca="false">IF(ISBLANK($C136),"",IF(ISNUMBER($DG136),$DG136+ROW($B136)/1000,""))</f>
        <v/>
      </c>
      <c r="DL136" s="82" t="str">
        <f aca="false">IF(ISNUMBER($DK136),RANK($DK136,$DK$9:$DK$508,1),"")</f>
        <v/>
      </c>
      <c r="DM136" s="82" t="str">
        <f aca="false">IF(ISBLANK($C136),"",$B136)</f>
        <v/>
      </c>
      <c r="DN136" s="82" t="str">
        <f aca="false">IF(ISBLANK($C136),"",$C136)</f>
        <v/>
      </c>
      <c r="DO136" s="82" t="str">
        <f aca="false">IF(ISBLANK($C136),"",$D136)</f>
        <v/>
      </c>
      <c r="DP136" s="83" t="str">
        <f aca="false">$DD136</f>
        <v/>
      </c>
      <c r="DQ136" s="84" t="str">
        <f aca="false">$DC136</f>
        <v/>
      </c>
      <c r="DR136" s="82" t="str">
        <f aca="false">IF(ISBLANK($C136),"",$DF136)</f>
        <v/>
      </c>
      <c r="DS136" s="85" t="str">
        <f aca="false">IF($DJ136&gt;$DI$8,"",VLOOKUP($DJ136,$DL$9:$DR$508,7,FALSE()))</f>
        <v/>
      </c>
      <c r="DT136" s="86" t="str">
        <f aca="false">IF($DJ136&gt;$DI$8,"",VLOOKUP($DJ136,$DL$9:$DR$508,2,FALSE()))</f>
        <v/>
      </c>
      <c r="DU136" s="86" t="str">
        <f aca="false">IF($DJ136&gt;$DI$8,"",VLOOKUP($DJ136,$DL$9:$DR$508,3,FALSE()))</f>
        <v/>
      </c>
      <c r="DV136" s="86" t="str">
        <f aca="false">IF($DJ136&gt;$DI$8,"",VLOOKUP($DJ136,$DL$9:$DR$508,4,FALSE()))</f>
        <v/>
      </c>
      <c r="DW136" s="86" t="str">
        <f aca="false">IF($DJ136&gt;$DI$8,"",VLOOKUP($DJ136,$DL$9:$DR$508,5,FALSE()))</f>
        <v/>
      </c>
      <c r="DX136" s="87" t="str">
        <f aca="false">IF($DJ136&gt;$DI$8,"",VLOOKUP($DJ136,$DL$9:$DR$508,6,FALSE()))</f>
        <v/>
      </c>
      <c r="DY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88"/>
      <c r="N137" s="88"/>
      <c r="O137" s="134"/>
      <c r="P137" s="134"/>
      <c r="Q137" s="88"/>
      <c r="R137" s="88"/>
      <c r="S137" s="88"/>
      <c r="T137" s="88"/>
      <c r="U137" s="134"/>
      <c r="V137" s="88"/>
      <c r="W137" s="70"/>
      <c r="X137" s="88"/>
      <c r="Y137" s="88"/>
      <c r="Z137" s="70"/>
      <c r="AA137" s="70"/>
      <c r="AB137" s="88"/>
      <c r="AC137" s="88"/>
      <c r="AD137" s="88"/>
      <c r="AE137" s="71"/>
      <c r="AF137" s="88"/>
      <c r="AG137" s="73"/>
      <c r="AH137" s="74"/>
      <c r="AI137" s="74"/>
      <c r="AJ137" s="74" t="str">
        <f aca="false">IF(ISBLANK($C137),"",IF($E137=Constants!$B$2,TRUE(),IF($E137=Constants!$B$3,FALSE(),TRUE())))</f>
        <v/>
      </c>
      <c r="AK137" s="74" t="str">
        <f aca="false">IF(ISBLANK($C137),"",IF($F137=Constants!$B$2,TRUE(),IF($F137=Constants!$B$3,FALSE(),FALSE())))</f>
        <v/>
      </c>
      <c r="AL137" s="74" t="str">
        <f aca="false">IF(ISBLANK($C137),"",IF($G137=Constants!$B$2,TRUE(),IF($G137=Constants!$B$3,FALSE(),TRUE())))</f>
        <v/>
      </c>
      <c r="AM137" s="74" t="str">
        <f aca="false">IF(ISBLANK($C137),"",IF($H137=Constants!$B$2,TRUE(),IF($H137=Constants!$B$3,FALSE(),TRUE())))</f>
        <v/>
      </c>
      <c r="AN137" s="74" t="str">
        <f aca="false">IF(ISBLANK($C137),"",IF(ISNUMBER($I137),IF($I137&gt;=0,$I137,""),""))</f>
        <v/>
      </c>
      <c r="AO137" s="74" t="str">
        <f aca="false">IF(ISBLANK($C137),"",IF(ISNUMBER($J137),IF($J137&gt;=0,$J137,""),""))</f>
        <v/>
      </c>
      <c r="AP137" s="74" t="str">
        <f aca="false">IF(ISBLANK($C137),"",IF(ISNUMBER($K137),IF($K137&gt;=0,$K137,""),""))</f>
        <v/>
      </c>
      <c r="AQ137" s="74" t="str">
        <f aca="false">IF(ISBLANK($C137),"",IF($L137=Constants!$B$2,TRUE(),IF($L137=Constants!$B$3,FALSE(),TRUE())))</f>
        <v/>
      </c>
      <c r="AR137" s="74" t="str">
        <f aca="false">IF(ISBLANK($C137),"",IF($M137=Constants!$B$2,TRUE(),IF($M137=Constants!$B$3,FALSE(),TRUE())))</f>
        <v/>
      </c>
      <c r="AS137" s="74" t="str">
        <f aca="false">IF(ISBLANK($C137),"",IF($N137=Constants!$B$2,TRUE(),IF($N137=Constants!$B$3,FALSE(),FALSE())))</f>
        <v/>
      </c>
      <c r="AT137" s="74" t="str">
        <f aca="false">IF(ISBLANK($C137),"",IF($O137=Constants!$B$2,TRUE(),IF($O137=Constants!$B$3,FALSE(),TRUE())))</f>
        <v/>
      </c>
      <c r="AU137" s="74" t="str">
        <f aca="false">IF(ISBLANK($C137),"",IF($P137=Constants!$B$2,TRUE(),IF($P137=Constants!$B$3,FALSE(),TRUE())))</f>
        <v/>
      </c>
      <c r="AV137" s="74" t="str">
        <f aca="false">IF(ISBLANK($C137),"",IF($Q137=Constants!$B$2,TRUE(),IF($Q137=Constants!$B$3,FALSE(),FALSE())))</f>
        <v/>
      </c>
      <c r="AW137" s="74" t="str">
        <f aca="false">IF(ISBLANK($C137),"",IF($R137=Constants!$B$2,TRUE(),IF($R137=Constants!$B$3,FALSE(),FALSE())))</f>
        <v/>
      </c>
      <c r="AX137" s="74" t="str">
        <f aca="false">IF(ISBLANK($C137),"",IF($S137=Constants!$B$2,TRUE(),IF($S137=Constants!$B$3,FALSE(),FALSE())))</f>
        <v/>
      </c>
      <c r="AY137" s="74" t="str">
        <f aca="false">IF(ISBLANK($C137),"",IF($T137=Constants!$B$2,TRUE(),IF($T137=Constants!$B$3,FALSE(),FALSE())))</f>
        <v/>
      </c>
      <c r="AZ137" s="74" t="str">
        <f aca="false">IF(ISBLANK($C137),"",IF($U137=Constants!$B$2,TRUE(),IF($U137=Constants!$B$3,FALSE(),FALSE())))</f>
        <v/>
      </c>
      <c r="BA137" s="74" t="str">
        <f aca="false">IF(ISBLANK($C137),"",IF(OR($V137&amp;""="1",$V137&amp;""="2",$V137&amp;""="3",$V137&amp;""="4"),VALUE($V137&amp;""),IF($V137=Constants!$B$12,Constants!$B$12,"")))</f>
        <v/>
      </c>
      <c r="BB137" s="74" t="str">
        <f aca="false">IF(ISBLANK($C137),"",IF(ISBLANK($W137),0,IF(ISNUMBER($W137),IF(AND($W137&gt;=0,$W137&lt;=Constants!$B$21,$W137=INT($W137)),$W137,""),"")))</f>
        <v/>
      </c>
      <c r="BC137" s="74" t="str">
        <f aca="false">IF(ISBLANK($C137),"",IF(ISBLANK($X137),0,IF(ISNUMBER($X137),IF($X137&gt;=0,$X137,""),"")))</f>
        <v/>
      </c>
      <c r="BD137" s="74" t="str">
        <f aca="false">IF(ISBLANK($C137),"",IF($Y137=Constants!$B$2,TRUE(),IF($Y137=Constants!$B$3,FALSE(),TRUE())))</f>
        <v/>
      </c>
      <c r="BE137" s="74" t="str">
        <f aca="false">IF(ISBLANK($C137),"",IF($Z137=Constants!$B$2,TRUE(),IF($Z137=Constants!$B$3,FALSE(),FALSE())))</f>
        <v/>
      </c>
      <c r="BF137" s="74" t="str">
        <f aca="false">IF(ISBLANK($C137),"",IF(ISBLANK($AA137),0,IF(ISNUMBER($AA137),IF(AND($AA137&gt;=0,$AA137&lt;=Constants!$B$35,$AA137=INT($AA137)),$AA137,""),"")))</f>
        <v/>
      </c>
      <c r="BG137" s="74" t="str">
        <f aca="false">IF(ISBLANK($C137),"",IF($AB137=Constants!$B$2,TRUE(),IF($AB137=Constants!$B$3,FALSE(),TRUE())))</f>
        <v/>
      </c>
      <c r="BH137" s="74" t="str">
        <f aca="false">IF(ISBLANK($C137),"",IF($AC137=Constants!$B$2,TRUE(),IF($AC137=Constants!$B$3,FALSE(),TRUE())))</f>
        <v/>
      </c>
      <c r="BI137" s="74" t="str">
        <f aca="false">IF(ISBLANK($C137),"",IF($AD137=Constants!$B$2,TRUE(),IF($AD137=Constants!$B$3,FALSE(),TRUE())))</f>
        <v/>
      </c>
      <c r="BJ137" s="74" t="str">
        <f aca="false">IF(ISBLANK($C137),"",IF(ISNUMBER($AE137),IF($AE137&gt;=0,$AE137,""),""))</f>
        <v/>
      </c>
      <c r="BK137" s="74" t="str">
        <f aca="false">IF(ISBLANK($C137),"",IF($AF137=Constants!$B$2,TRUE(),IF($AF137=Constants!$B$3,FALSE(),FALSE())))</f>
        <v/>
      </c>
      <c r="BL137" s="73" t="str">
        <f aca="false">IF(ISBLANK($C137),"",IF($BK137,Constants!$B$7,IF(COUNTA($E137:$AE137)=0,Constants!$B$6,IF(OR(COUNTA($G137:$AE137)=0,NOT($AM137),$AS137),Constants!$B$5,IF(OR($CM137&lt;&gt;"",$CN137,$CO137,$CP137,$CQ137,$CR137,$CS137),Constants!$B$8,Constants!$B$4)))))</f>
        <v/>
      </c>
      <c r="BM137" s="74" t="str">
        <f aca="false">IF(ISBLANK($C137),"",IF($BL137&lt;&gt;Constants!$B$4,$BL137,IF(OR(NOT($AJ137),NOT($AL137),NOT($AT137)),Constants!$B$11,IF(OR(NOT($AR137),NOT($AU137),NOT($BI137),MAX($AN137,$AO137,$AP137)&gt;Constants!$B$30),Constants!$B$10,Constants!$B$9))))</f>
        <v/>
      </c>
      <c r="BN137" s="74" t="str">
        <f aca="false">IF($BL137&lt;&gt;Constants!$B$4,"",IF(NOT($AL137),0,MIN(Constants!$B$35,$BF137)))</f>
        <v/>
      </c>
      <c r="BO137" s="74" t="str">
        <f aca="false">IF($BL137&lt;&gt;Constants!$B$4,"",IF(NOT($AL137),0,IF($AW137,Constants!$B$18,IF($AV137,Constants!$B$17,0))))</f>
        <v/>
      </c>
      <c r="BP137" s="74" t="str">
        <f aca="false">IF($BL137&lt;&gt;Constants!$B$4,"",IF(NOT($AL137),0,Constants!$B$19*($AK137+$AX137+$AY137+$AZ137)))</f>
        <v/>
      </c>
      <c r="BQ137" s="74" t="str">
        <f aca="false">IF($BL137&lt;&gt;Constants!$B$4,"",IF(OR(NOT($AL137),NOT(ISNUMBER($BA137))),0,CHOOSE($BA137,Constants!$B$13,Constants!$B$14,Constants!$B$15,Constants!$B$16)))</f>
        <v/>
      </c>
      <c r="BR137" s="74" t="str">
        <f aca="false">IF($BL137&lt;&gt;Constants!$B$4,"",IF(NOT($AL137),0,Constants!$B$20*$BB137))</f>
        <v/>
      </c>
      <c r="BS137" s="74" t="str">
        <f aca="false">IF($BL137&lt;&gt;Constants!$B$4,"",IF(AND($AL137,$BD137,$BE137),Constants!$B$22,0))</f>
        <v/>
      </c>
      <c r="BT137" s="74" t="str">
        <f aca="false">IF($BL137&lt;&gt;Constants!$B$4,"",IF(OR(NOT($AL137),NOT($BD137)),0,IF($BJ137&gt;=2*$AH$9,0,Constants!$B$23*INT(ROUND(MIN($BJ137,$AH$9),6)))))</f>
        <v/>
      </c>
      <c r="BU137" s="74" t="str">
        <f aca="false">IF($BL137&lt;&gt;Constants!$B$4,"",IF(NOT($AL137),0,Constants!$B$24*INT(ROUND(MIN($BC137,$AH$9),6))))</f>
        <v/>
      </c>
      <c r="BV137" s="74" t="str">
        <f aca="false">IF($BL137&lt;&gt;Constants!$B$4,"",IF(AND($AL137,$BN137=0),Constants!$B$25,0))</f>
        <v/>
      </c>
      <c r="BW137" s="74" t="str">
        <f aca="false">IF($BL137&lt;&gt;Constants!$B$4,"",MIN(Constants!$B$29,MAX(0,Constants!$B$27*Constants!$B$28*INT(ROUND((Constants!$B$26-$AN137)/Constants!$B$28,6))))+MIN(Constants!$B$29,MAX(0,Constants!$B$27*Constants!$B$28*INT(ROUND((Constants!$B$26-$AO137)/Constants!$B$28,6))))+MIN(Constants!$B$29,MAX(0,Constants!$B$27*Constants!$B$28*INT(ROUND((Constants!$B$26-$AP137)/Constants!$B$28,6)))))</f>
        <v/>
      </c>
      <c r="BX137" s="74" t="str">
        <f aca="false">IF($BL137&lt;&gt;Constants!$B$4,"",IF(NOT($AL137),0,Constants!$B$31*INT(ROUND(MAX(0,MIN($BJ137,2*$AH$9)-$AH$9),6))))</f>
        <v/>
      </c>
      <c r="BY137" s="74" t="str">
        <f aca="false">IF($BL137&lt;&gt;Constants!$B$4,"",Constants!$B$32*(($AN137&gt;Constants!$B$26)+($AO137&gt;Constants!$B$26)+($AP137&gt;Constants!$B$26)))</f>
        <v/>
      </c>
      <c r="BZ137" s="74" t="str">
        <f aca="false">IF($BL137&lt;&gt;Constants!$B$4,"",IF(OR(NOT($AL137),$AQ137),0,Constants!$B$33))</f>
        <v/>
      </c>
      <c r="CA137" s="74" t="str">
        <f aca="false">IF($BL137&lt;&gt;Constants!$B$4,"",Constants!$B$34*$BN137)</f>
        <v/>
      </c>
      <c r="CB137" s="74" t="str">
        <f aca="false">IF($BL137&lt;&gt;Constants!$B$4,"",IF(OR(NOT($AL137),$BH137),0,Constants!$B$36))</f>
        <v/>
      </c>
      <c r="CC137" s="74" t="str">
        <f aca="false">IF($BL137&lt;&gt;Constants!$B$4,"",IF(OR(NOT($AL137),$BG137),0,Constants!$B$37))</f>
        <v/>
      </c>
      <c r="CD137" s="74" t="str">
        <f aca="false">IF($BL137&lt;&gt;Constants!$B$4,"",SUM($BX137:$CC137))</f>
        <v/>
      </c>
      <c r="CE137" s="74" t="str">
        <f aca="false">IF(ISBLANK($C137),"",IF($BL137&lt;&gt;Constants!$B$4,$BL137,SUM($BO137:$BW137)-$CD137))</f>
        <v/>
      </c>
      <c r="CF137" s="74" t="str">
        <f aca="false">IF(ISBLANK($C137),"",IF($BL137&lt;&gt;Constants!$B$4,$BL137,RANK($CE137,$CE$9:$CE$508)))</f>
        <v/>
      </c>
      <c r="CG137" s="74" t="str">
        <f aca="false">IF(ISBLANK($C137),"",IF($BL137&lt;&gt;Constants!$B$4,$BL137,COUNTIFS($BM$9:$BM$508,"&lt;"&amp;$BM137)+COUNTIFS($BM$9:$BM$508,$BM137,$CF$9:$CF$508,"&lt;"&amp;$CF137)+1))</f>
        <v/>
      </c>
      <c r="CH137" s="74" t="str">
        <f aca="false">IF(ISBLANK($C137),"",IF($BL137&lt;&gt;Constants!$B$4,$BL137,RANK($CD137,$CD$9:$CD$508,1)))</f>
        <v/>
      </c>
      <c r="CI137" s="74" t="str">
        <f aca="false">IF($BL137&lt;&gt;Constants!$B$4,"",$AN137+$AO137+$AP137)</f>
        <v/>
      </c>
      <c r="CJ137" s="74" t="str">
        <f aca="false">IF(ISBLANK($C137),"",IF($BL137&lt;&gt;Constants!$B$4,$BL137,RANK($CI137,$CI$9:$CI$508,1)))</f>
        <v/>
      </c>
      <c r="CK137" s="74" t="str">
        <f aca="false">IF(ISBLANK($C137),"",IF($BL137&lt;&gt;Constants!$B$4,$BL137,COUNTIFS($BM$9:$BM$508,"&lt;"&amp;$BM137)+COUNTIFS($BM$9:$BM$508,$BM137,$CF$9:$CF$508,"&lt;"&amp;$CF137)+COUNTIFS($BM$9:$BM$508,$BM137,$CF$9:$CF$508,$CF137,$CH$9:$CH$508,"&lt;"&amp;$CH137)+COUNTIFS($BM$9:$BM$508,$BM137,$CF$9:$CF$508,$CF137,$CH$9:$CH$508,$CH137,$CJ$9:$CJ$508,"&lt;"&amp;$CJ137)+1))</f>
        <v/>
      </c>
      <c r="CL137" s="74" t="str">
        <f aca="false">IF(ISBLANK($C137),"",IF($BL137&lt;&gt;Constants!$B$4,$BL137,$CG137-$CK137))</f>
        <v/>
      </c>
      <c r="CM137" s="74" t="str">
        <f aca="false">IF(ISBLANK($C137),"",IF(NOT($AL137),"",IF(ISBLANK($D$7),$CM$5,IF(NOT(ISNUMBER($D$7)),$CM$6,""))))</f>
        <v/>
      </c>
      <c r="CN137" s="74" t="str">
        <f aca="false">IF(ISBLANK($C137),"",OR($AN137="",$AO137="",$AP137=""))</f>
        <v/>
      </c>
      <c r="CO137" s="74" t="str">
        <f aca="false">IF(ISBLANK($C137),"",AND($AL137,$BA137=""))</f>
        <v/>
      </c>
      <c r="CP137" s="74" t="str">
        <f aca="false">IF(ISBLANK($C137),"",AND($AL137,$BB137=""))</f>
        <v/>
      </c>
      <c r="CQ137" s="74" t="str">
        <f aca="false">IF(ISBLANK($C137),"",AND($AL137,$BC137=""))</f>
        <v/>
      </c>
      <c r="CR137" s="74" t="str">
        <f aca="false">IF(ISBLANK($C137),"",AND($AL137,$BF137=""))</f>
        <v/>
      </c>
      <c r="CS137" s="74" t="str">
        <f aca="false">IF(ISBLANK($C137),"",AND($AL137,$BJ137=""))</f>
        <v/>
      </c>
      <c r="CT137" s="75"/>
      <c r="CU137" s="76"/>
      <c r="CV137" s="79" t="str">
        <f aca="false">IF(ISBLANK($C137),"",IF($BL137=Constants!$B$8,$CM137,""))</f>
        <v/>
      </c>
      <c r="CW137" s="76" t="str">
        <f aca="false">IF(ISBLANK($C137),"",IF($BL137&lt;&gt;Constants!$B$4,"",$BO137+$BP137))</f>
        <v/>
      </c>
      <c r="CX137" s="78" t="str">
        <f aca="false">IF(ISBLANK($C137),"",IF($BL137&lt;&gt;Constants!$B$4,"",$BQ137+$BR137+$BS137))</f>
        <v/>
      </c>
      <c r="CY137" s="78" t="str">
        <f aca="false">IF(ISBLANK($C137),"",IF($BL137&lt;&gt;Constants!$B$4,"",$BT137))</f>
        <v/>
      </c>
      <c r="CZ137" s="78" t="str">
        <f aca="false">IF(ISBLANK($C137),"",IF($BL137&lt;&gt;Constants!$B$4,"",$BU137+$BV137))</f>
        <v/>
      </c>
      <c r="DA137" s="78" t="str">
        <f aca="false">IF(ISBLANK($C137),"",IF($BL137&lt;&gt;Constants!$B$4,"",$BW137))</f>
        <v/>
      </c>
      <c r="DB137" s="78" t="str">
        <f aca="false">IF(ISBLANK($C137),"",IF($BL137&lt;&gt;Constants!$B$4,"",-$CD137))</f>
        <v/>
      </c>
      <c r="DC137" s="79" t="str">
        <f aca="false">IF(ISBLANK($C137),"",$CE137)</f>
        <v/>
      </c>
      <c r="DD137" s="80" t="str">
        <f aca="false">IF(ISBLANK($C137),"",$BM137)</f>
        <v/>
      </c>
      <c r="DE137" s="78" t="str">
        <f aca="false">IF(ISBLANK($C137),"",$CL137)</f>
        <v/>
      </c>
      <c r="DF137" s="78" t="str">
        <f aca="false">IF(ISBLANK($C137),"",$CK137)</f>
        <v/>
      </c>
      <c r="DG137" s="81" t="str">
        <f aca="false">IF(ISBLANK($C137),"",IF($DF137=Constants!$B$7,COUNTA($C$9:$C$508)+2,IF($DF137=Constants!$B$6,COUNTA($C$9:$C$508)+1,IF($DF137=Constants!$B$5,COUNTA($C$9:$C$508),$DF137))))</f>
        <v/>
      </c>
      <c r="DH137" s="7"/>
      <c r="DI137" s="82" t="n">
        <f aca="false">IF(OR(ISNUMBER($DF137),$DF137=Constants!$B$7,$DF137=Constants!$B$5,$DF137=Constants!$B$6),1,0)</f>
        <v>0</v>
      </c>
      <c r="DJ137" s="82" t="n">
        <v>129</v>
      </c>
      <c r="DK137" s="82" t="str">
        <f aca="false">IF(ISBLANK($C137),"",IF(ISNUMBER($DG137),$DG137+ROW($B137)/1000,""))</f>
        <v/>
      </c>
      <c r="DL137" s="82" t="str">
        <f aca="false">IF(ISNUMBER($DK137),RANK($DK137,$DK$9:$DK$508,1),"")</f>
        <v/>
      </c>
      <c r="DM137" s="82" t="str">
        <f aca="false">IF(ISBLANK($C137),"",$B137)</f>
        <v/>
      </c>
      <c r="DN137" s="82" t="str">
        <f aca="false">IF(ISBLANK($C137),"",$C137)</f>
        <v/>
      </c>
      <c r="DO137" s="82" t="str">
        <f aca="false">IF(ISBLANK($C137),"",$D137)</f>
        <v/>
      </c>
      <c r="DP137" s="83" t="str">
        <f aca="false">$DD137</f>
        <v/>
      </c>
      <c r="DQ137" s="84" t="str">
        <f aca="false">$DC137</f>
        <v/>
      </c>
      <c r="DR137" s="82" t="str">
        <f aca="false">IF(ISBLANK($C137),"",$DF137)</f>
        <v/>
      </c>
      <c r="DS137" s="85" t="str">
        <f aca="false">IF($DJ137&gt;$DI$8,"",VLOOKUP($DJ137,$DL$9:$DR$508,7,FALSE()))</f>
        <v/>
      </c>
      <c r="DT137" s="86" t="str">
        <f aca="false">IF($DJ137&gt;$DI$8,"",VLOOKUP($DJ137,$DL$9:$DR$508,2,FALSE()))</f>
        <v/>
      </c>
      <c r="DU137" s="86" t="str">
        <f aca="false">IF($DJ137&gt;$DI$8,"",VLOOKUP($DJ137,$DL$9:$DR$508,3,FALSE()))</f>
        <v/>
      </c>
      <c r="DV137" s="86" t="str">
        <f aca="false">IF($DJ137&gt;$DI$8,"",VLOOKUP($DJ137,$DL$9:$DR$508,4,FALSE()))</f>
        <v/>
      </c>
      <c r="DW137" s="86" t="str">
        <f aca="false">IF($DJ137&gt;$DI$8,"",VLOOKUP($DJ137,$DL$9:$DR$508,5,FALSE()))</f>
        <v/>
      </c>
      <c r="DX137" s="87" t="str">
        <f aca="false">IF($DJ137&gt;$DI$8,"",VLOOKUP($DJ137,$DL$9:$DR$508,6,FALSE()))</f>
        <v/>
      </c>
      <c r="DY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130"/>
      <c r="N138" s="130"/>
      <c r="O138" s="135"/>
      <c r="P138" s="135"/>
      <c r="Q138" s="130"/>
      <c r="R138" s="130"/>
      <c r="S138" s="130"/>
      <c r="T138" s="130"/>
      <c r="U138" s="135"/>
      <c r="V138" s="130"/>
      <c r="W138" s="96"/>
      <c r="X138" s="130"/>
      <c r="Y138" s="130"/>
      <c r="Z138" s="96"/>
      <c r="AA138" s="96"/>
      <c r="AB138" s="130"/>
      <c r="AC138" s="130"/>
      <c r="AD138" s="130"/>
      <c r="AE138" s="97"/>
      <c r="AF138" s="130"/>
      <c r="AG138" s="99"/>
      <c r="AH138" s="100"/>
      <c r="AI138" s="100"/>
      <c r="AJ138" s="100" t="str">
        <f aca="false">IF(ISBLANK($C138),"",IF($E138=Constants!$B$2,TRUE(),IF($E138=Constants!$B$3,FALSE(),TRUE())))</f>
        <v/>
      </c>
      <c r="AK138" s="100" t="str">
        <f aca="false">IF(ISBLANK($C138),"",IF($F138=Constants!$B$2,TRUE(),IF($F138=Constants!$B$3,FALSE(),FALSE())))</f>
        <v/>
      </c>
      <c r="AL138" s="100" t="str">
        <f aca="false">IF(ISBLANK($C138),"",IF($G138=Constants!$B$2,TRUE(),IF($G138=Constants!$B$3,FALSE(),TRUE())))</f>
        <v/>
      </c>
      <c r="AM138" s="100" t="str">
        <f aca="false">IF(ISBLANK($C138),"",IF($H138=Constants!$B$2,TRUE(),IF($H138=Constants!$B$3,FALSE(),TRUE())))</f>
        <v/>
      </c>
      <c r="AN138" s="100" t="str">
        <f aca="false">IF(ISBLANK($C138),"",IF(ISNUMBER($I138),IF($I138&gt;=0,$I138,""),""))</f>
        <v/>
      </c>
      <c r="AO138" s="100" t="str">
        <f aca="false">IF(ISBLANK($C138),"",IF(ISNUMBER($J138),IF($J138&gt;=0,$J138,""),""))</f>
        <v/>
      </c>
      <c r="AP138" s="100" t="str">
        <f aca="false">IF(ISBLANK($C138),"",IF(ISNUMBER($K138),IF($K138&gt;=0,$K138,""),""))</f>
        <v/>
      </c>
      <c r="AQ138" s="100" t="str">
        <f aca="false">IF(ISBLANK($C138),"",IF($L138=Constants!$B$2,TRUE(),IF($L138=Constants!$B$3,FALSE(),TRUE())))</f>
        <v/>
      </c>
      <c r="AR138" s="100" t="str">
        <f aca="false">IF(ISBLANK($C138),"",IF($M138=Constants!$B$2,TRUE(),IF($M138=Constants!$B$3,FALSE(),TRUE())))</f>
        <v/>
      </c>
      <c r="AS138" s="100" t="str">
        <f aca="false">IF(ISBLANK($C138),"",IF($N138=Constants!$B$2,TRUE(),IF($N138=Constants!$B$3,FALSE(),FALSE())))</f>
        <v/>
      </c>
      <c r="AT138" s="100" t="str">
        <f aca="false">IF(ISBLANK($C138),"",IF($O138=Constants!$B$2,TRUE(),IF($O138=Constants!$B$3,FALSE(),TRUE())))</f>
        <v/>
      </c>
      <c r="AU138" s="100" t="str">
        <f aca="false">IF(ISBLANK($C138),"",IF($P138=Constants!$B$2,TRUE(),IF($P138=Constants!$B$3,FALSE(),TRUE())))</f>
        <v/>
      </c>
      <c r="AV138" s="100" t="str">
        <f aca="false">IF(ISBLANK($C138),"",IF($Q138=Constants!$B$2,TRUE(),IF($Q138=Constants!$B$3,FALSE(),FALSE())))</f>
        <v/>
      </c>
      <c r="AW138" s="100" t="str">
        <f aca="false">IF(ISBLANK($C138),"",IF($R138=Constants!$B$2,TRUE(),IF($R138=Constants!$B$3,FALSE(),FALSE())))</f>
        <v/>
      </c>
      <c r="AX138" s="100" t="str">
        <f aca="false">IF(ISBLANK($C138),"",IF($S138=Constants!$B$2,TRUE(),IF($S138=Constants!$B$3,FALSE(),FALSE())))</f>
        <v/>
      </c>
      <c r="AY138" s="100" t="str">
        <f aca="false">IF(ISBLANK($C138),"",IF($T138=Constants!$B$2,TRUE(),IF($T138=Constants!$B$3,FALSE(),FALSE())))</f>
        <v/>
      </c>
      <c r="AZ138" s="100" t="str">
        <f aca="false">IF(ISBLANK($C138),"",IF($U138=Constants!$B$2,TRUE(),IF($U138=Constants!$B$3,FALSE(),FALSE())))</f>
        <v/>
      </c>
      <c r="BA138" s="100" t="str">
        <f aca="false">IF(ISBLANK($C138),"",IF(OR($V138&amp;""="1",$V138&amp;""="2",$V138&amp;""="3",$V138&amp;""="4"),VALUE($V138&amp;""),IF($V138=Constants!$B$12,Constants!$B$12,"")))</f>
        <v/>
      </c>
      <c r="BB138" s="100" t="str">
        <f aca="false">IF(ISBLANK($C138),"",IF(ISBLANK($W138),0,IF(ISNUMBER($W138),IF(AND($W138&gt;=0,$W138&lt;=Constants!$B$21,$W138=INT($W138)),$W138,""),"")))</f>
        <v/>
      </c>
      <c r="BC138" s="100" t="str">
        <f aca="false">IF(ISBLANK($C138),"",IF(ISBLANK($X138),0,IF(ISNUMBER($X138),IF($X138&gt;=0,$X138,""),"")))</f>
        <v/>
      </c>
      <c r="BD138" s="100" t="str">
        <f aca="false">IF(ISBLANK($C138),"",IF($Y138=Constants!$B$2,TRUE(),IF($Y138=Constants!$B$3,FALSE(),TRUE())))</f>
        <v/>
      </c>
      <c r="BE138" s="100" t="str">
        <f aca="false">IF(ISBLANK($C138),"",IF($Z138=Constants!$B$2,TRUE(),IF($Z138=Constants!$B$3,FALSE(),FALSE())))</f>
        <v/>
      </c>
      <c r="BF138" s="100" t="str">
        <f aca="false">IF(ISBLANK($C138),"",IF(ISBLANK($AA138),0,IF(ISNUMBER($AA138),IF(AND($AA138&gt;=0,$AA138&lt;=Constants!$B$35,$AA138=INT($AA138)),$AA138,""),"")))</f>
        <v/>
      </c>
      <c r="BG138" s="100" t="str">
        <f aca="false">IF(ISBLANK($C138),"",IF($AB138=Constants!$B$2,TRUE(),IF($AB138=Constants!$B$3,FALSE(),TRUE())))</f>
        <v/>
      </c>
      <c r="BH138" s="100" t="str">
        <f aca="false">IF(ISBLANK($C138),"",IF($AC138=Constants!$B$2,TRUE(),IF($AC138=Constants!$B$3,FALSE(),TRUE())))</f>
        <v/>
      </c>
      <c r="BI138" s="100" t="str">
        <f aca="false">IF(ISBLANK($C138),"",IF($AD138=Constants!$B$2,TRUE(),IF($AD138=Constants!$B$3,FALSE(),TRUE())))</f>
        <v/>
      </c>
      <c r="BJ138" s="100" t="str">
        <f aca="false">IF(ISBLANK($C138),"",IF(ISNUMBER($AE138),IF($AE138&gt;=0,$AE138,""),""))</f>
        <v/>
      </c>
      <c r="BK138" s="100" t="str">
        <f aca="false">IF(ISBLANK($C138),"",IF($AF138=Constants!$B$2,TRUE(),IF($AF138=Constants!$B$3,FALSE(),FALSE())))</f>
        <v/>
      </c>
      <c r="BL138" s="99" t="str">
        <f aca="false">IF(ISBLANK($C138),"",IF($BK138,Constants!$B$7,IF(COUNTA($E138:$AE138)=0,Constants!$B$6,IF(OR(COUNTA($G138:$AE138)=0,NOT($AM138),$AS138),Constants!$B$5,IF(OR($CM138&lt;&gt;"",$CN138,$CO138,$CP138,$CQ138,$CR138,$CS138),Constants!$B$8,Constants!$B$4)))))</f>
        <v/>
      </c>
      <c r="BM138" s="100" t="str">
        <f aca="false">IF(ISBLANK($C138),"",IF($BL138&lt;&gt;Constants!$B$4,$BL138,IF(OR(NOT($AJ138),NOT($AL138),NOT($AT138)),Constants!$B$11,IF(OR(NOT($AR138),NOT($AU138),NOT($BI138),MAX($AN138,$AO138,$AP138)&gt;Constants!$B$30),Constants!$B$10,Constants!$B$9))))</f>
        <v/>
      </c>
      <c r="BN138" s="100" t="str">
        <f aca="false">IF($BL138&lt;&gt;Constants!$B$4,"",IF(NOT($AL138),0,MIN(Constants!$B$35,$BF138)))</f>
        <v/>
      </c>
      <c r="BO138" s="100" t="str">
        <f aca="false">IF($BL138&lt;&gt;Constants!$B$4,"",IF(NOT($AL138),0,IF($AW138,Constants!$B$18,IF($AV138,Constants!$B$17,0))))</f>
        <v/>
      </c>
      <c r="BP138" s="100" t="str">
        <f aca="false">IF($BL138&lt;&gt;Constants!$B$4,"",IF(NOT($AL138),0,Constants!$B$19*($AK138+$AX138+$AY138+$AZ138)))</f>
        <v/>
      </c>
      <c r="BQ138" s="100" t="str">
        <f aca="false">IF($BL138&lt;&gt;Constants!$B$4,"",IF(OR(NOT($AL138),NOT(ISNUMBER($BA138))),0,CHOOSE($BA138,Constants!$B$13,Constants!$B$14,Constants!$B$15,Constants!$B$16)))</f>
        <v/>
      </c>
      <c r="BR138" s="100" t="str">
        <f aca="false">IF($BL138&lt;&gt;Constants!$B$4,"",IF(NOT($AL138),0,Constants!$B$20*$BB138))</f>
        <v/>
      </c>
      <c r="BS138" s="100" t="str">
        <f aca="false">IF($BL138&lt;&gt;Constants!$B$4,"",IF(AND($AL138,$BD138,$BE138),Constants!$B$22,0))</f>
        <v/>
      </c>
      <c r="BT138" s="100" t="str">
        <f aca="false">IF($BL138&lt;&gt;Constants!$B$4,"",IF(OR(NOT($AL138),NOT($BD138)),0,IF($BJ138&gt;=2*$AH$9,0,Constants!$B$23*INT(ROUND(MIN($BJ138,$AH$9),6)))))</f>
        <v/>
      </c>
      <c r="BU138" s="100" t="str">
        <f aca="false">IF($BL138&lt;&gt;Constants!$B$4,"",IF(NOT($AL138),0,Constants!$B$24*INT(ROUND(MIN($BC138,$AH$9),6))))</f>
        <v/>
      </c>
      <c r="BV138" s="100" t="str">
        <f aca="false">IF($BL138&lt;&gt;Constants!$B$4,"",IF(AND($AL138,$BN138=0),Constants!$B$25,0))</f>
        <v/>
      </c>
      <c r="BW138" s="100" t="str">
        <f aca="false">IF($BL138&lt;&gt;Constants!$B$4,"",MIN(Constants!$B$29,MAX(0,Constants!$B$27*Constants!$B$28*INT(ROUND((Constants!$B$26-$AN138)/Constants!$B$28,6))))+MIN(Constants!$B$29,MAX(0,Constants!$B$27*Constants!$B$28*INT(ROUND((Constants!$B$26-$AO138)/Constants!$B$28,6))))+MIN(Constants!$B$29,MAX(0,Constants!$B$27*Constants!$B$28*INT(ROUND((Constants!$B$26-$AP138)/Constants!$B$28,6)))))</f>
        <v/>
      </c>
      <c r="BX138" s="100" t="str">
        <f aca="false">IF($BL138&lt;&gt;Constants!$B$4,"",IF(NOT($AL138),0,Constants!$B$31*INT(ROUND(MAX(0,MIN($BJ138,2*$AH$9)-$AH$9),6))))</f>
        <v/>
      </c>
      <c r="BY138" s="100" t="str">
        <f aca="false">IF($BL138&lt;&gt;Constants!$B$4,"",Constants!$B$32*(($AN138&gt;Constants!$B$26)+($AO138&gt;Constants!$B$26)+($AP138&gt;Constants!$B$26)))</f>
        <v/>
      </c>
      <c r="BZ138" s="100" t="str">
        <f aca="false">IF($BL138&lt;&gt;Constants!$B$4,"",IF(OR(NOT($AL138),$AQ138),0,Constants!$B$33))</f>
        <v/>
      </c>
      <c r="CA138" s="100" t="str">
        <f aca="false">IF($BL138&lt;&gt;Constants!$B$4,"",Constants!$B$34*$BN138)</f>
        <v/>
      </c>
      <c r="CB138" s="100" t="str">
        <f aca="false">IF($BL138&lt;&gt;Constants!$B$4,"",IF(OR(NOT($AL138),$BH138),0,Constants!$B$36))</f>
        <v/>
      </c>
      <c r="CC138" s="100" t="str">
        <f aca="false">IF($BL138&lt;&gt;Constants!$B$4,"",IF(OR(NOT($AL138),$BG138),0,Constants!$B$37))</f>
        <v/>
      </c>
      <c r="CD138" s="100" t="str">
        <f aca="false">IF($BL138&lt;&gt;Constants!$B$4,"",SUM($BX138:$CC138))</f>
        <v/>
      </c>
      <c r="CE138" s="100" t="str">
        <f aca="false">IF(ISBLANK($C138),"",IF($BL138&lt;&gt;Constants!$B$4,$BL138,SUM($BO138:$BW138)-$CD138))</f>
        <v/>
      </c>
      <c r="CF138" s="100" t="str">
        <f aca="false">IF(ISBLANK($C138),"",IF($BL138&lt;&gt;Constants!$B$4,$BL138,RANK($CE138,$CE$9:$CE$508)))</f>
        <v/>
      </c>
      <c r="CG138" s="100" t="str">
        <f aca="false">IF(ISBLANK($C138),"",IF($BL138&lt;&gt;Constants!$B$4,$BL138,COUNTIFS($BM$9:$BM$508,"&lt;"&amp;$BM138)+COUNTIFS($BM$9:$BM$508,$BM138,$CF$9:$CF$508,"&lt;"&amp;$CF138)+1))</f>
        <v/>
      </c>
      <c r="CH138" s="100" t="str">
        <f aca="false">IF(ISBLANK($C138),"",IF($BL138&lt;&gt;Constants!$B$4,$BL138,RANK($CD138,$CD$9:$CD$508,1)))</f>
        <v/>
      </c>
      <c r="CI138" s="100" t="str">
        <f aca="false">IF($BL138&lt;&gt;Constants!$B$4,"",$AN138+$AO138+$AP138)</f>
        <v/>
      </c>
      <c r="CJ138" s="100" t="str">
        <f aca="false">IF(ISBLANK($C138),"",IF($BL138&lt;&gt;Constants!$B$4,$BL138,RANK($CI138,$CI$9:$CI$508,1)))</f>
        <v/>
      </c>
      <c r="CK138" s="100" t="str">
        <f aca="false">IF(ISBLANK($C138),"",IF($BL138&lt;&gt;Constants!$B$4,$BL138,COUNTIFS($BM$9:$BM$508,"&lt;"&amp;$BM138)+COUNTIFS($BM$9:$BM$508,$BM138,$CF$9:$CF$508,"&lt;"&amp;$CF138)+COUNTIFS($BM$9:$BM$508,$BM138,$CF$9:$CF$508,$CF138,$CH$9:$CH$508,"&lt;"&amp;$CH138)+COUNTIFS($BM$9:$BM$508,$BM138,$CF$9:$CF$508,$CF138,$CH$9:$CH$508,$CH138,$CJ$9:$CJ$508,"&lt;"&amp;$CJ138)+1))</f>
        <v/>
      </c>
      <c r="CL138" s="100" t="str">
        <f aca="false">IF(ISBLANK($C138),"",IF($BL138&lt;&gt;Constants!$B$4,$BL138,$CG138-$CK138))</f>
        <v/>
      </c>
      <c r="CM138" s="100" t="str">
        <f aca="false">IF(ISBLANK($C138),"",IF(NOT($AL138),"",IF(ISBLANK($D$7),$CM$5,IF(NOT(ISNUMBER($D$7)),$CM$6,""))))</f>
        <v/>
      </c>
      <c r="CN138" s="100" t="str">
        <f aca="false">IF(ISBLANK($C138),"",OR($AN138="",$AO138="",$AP138=""))</f>
        <v/>
      </c>
      <c r="CO138" s="100" t="str">
        <f aca="false">IF(ISBLANK($C138),"",AND($AL138,$BA138=""))</f>
        <v/>
      </c>
      <c r="CP138" s="100" t="str">
        <f aca="false">IF(ISBLANK($C138),"",AND($AL138,$BB138=""))</f>
        <v/>
      </c>
      <c r="CQ138" s="100" t="str">
        <f aca="false">IF(ISBLANK($C138),"",AND($AL138,$BC138=""))</f>
        <v/>
      </c>
      <c r="CR138" s="100" t="str">
        <f aca="false">IF(ISBLANK($C138),"",AND($AL138,$BF138=""))</f>
        <v/>
      </c>
      <c r="CS138" s="100" t="str">
        <f aca="false">IF(ISBLANK($C138),"",AND($AL138,$BJ138=""))</f>
        <v/>
      </c>
      <c r="CT138" s="101"/>
      <c r="CU138" s="102"/>
      <c r="CV138" s="103" t="str">
        <f aca="false">IF(ISBLANK($C138),"",IF($BL138=Constants!$B$8,$CM138,""))</f>
        <v/>
      </c>
      <c r="CW138" s="102" t="str">
        <f aca="false">IF(ISBLANK($C138),"",IF($BL138&lt;&gt;Constants!$B$4,"",$BO138+$BP138))</f>
        <v/>
      </c>
      <c r="CX138" s="104" t="str">
        <f aca="false">IF(ISBLANK($C138),"",IF($BL138&lt;&gt;Constants!$B$4,"",$BQ138+$BR138+$BS138))</f>
        <v/>
      </c>
      <c r="CY138" s="104" t="str">
        <f aca="false">IF(ISBLANK($C138),"",IF($BL138&lt;&gt;Constants!$B$4,"",$BT138))</f>
        <v/>
      </c>
      <c r="CZ138" s="104" t="str">
        <f aca="false">IF(ISBLANK($C138),"",IF($BL138&lt;&gt;Constants!$B$4,"",$BU138+$BV138))</f>
        <v/>
      </c>
      <c r="DA138" s="104" t="str">
        <f aca="false">IF(ISBLANK($C138),"",IF($BL138&lt;&gt;Constants!$B$4,"",$BW138))</f>
        <v/>
      </c>
      <c r="DB138" s="104" t="str">
        <f aca="false">IF(ISBLANK($C138),"",IF($BL138&lt;&gt;Constants!$B$4,"",-$CD138))</f>
        <v/>
      </c>
      <c r="DC138" s="103" t="str">
        <f aca="false">IF(ISBLANK($C138),"",$CE138)</f>
        <v/>
      </c>
      <c r="DD138" s="105" t="str">
        <f aca="false">IF(ISBLANK($C138),"",$BM138)</f>
        <v/>
      </c>
      <c r="DE138" s="104" t="str">
        <f aca="false">IF(ISBLANK($C138),"",$CL138)</f>
        <v/>
      </c>
      <c r="DF138" s="104" t="str">
        <f aca="false">IF(ISBLANK($C138),"",$CK138)</f>
        <v/>
      </c>
      <c r="DG138" s="106" t="str">
        <f aca="false">IF(ISBLANK($C138),"",IF($DF138=Constants!$B$7,COUNTA($C$9:$C$508)+2,IF($DF138=Constants!$B$6,COUNTA($C$9:$C$508)+1,IF($DF138=Constants!$B$5,COUNTA($C$9:$C$508),$DF138))))</f>
        <v/>
      </c>
      <c r="DH138" s="7"/>
      <c r="DI138" s="107" t="n">
        <f aca="false">IF(OR(ISNUMBER($DF138),$DF138=Constants!$B$7,$DF138=Constants!$B$5,$DF138=Constants!$B$6),1,0)</f>
        <v>0</v>
      </c>
      <c r="DJ138" s="107" t="n">
        <v>130</v>
      </c>
      <c r="DK138" s="107" t="str">
        <f aca="false">IF(ISBLANK($C138),"",IF(ISNUMBER($DG138),$DG138+ROW($B138)/1000,""))</f>
        <v/>
      </c>
      <c r="DL138" s="107" t="str">
        <f aca="false">IF(ISNUMBER($DK138),RANK($DK138,$DK$9:$DK$508,1),"")</f>
        <v/>
      </c>
      <c r="DM138" s="107" t="str">
        <f aca="false">IF(ISBLANK($C138),"",$B138)</f>
        <v/>
      </c>
      <c r="DN138" s="107" t="str">
        <f aca="false">IF(ISBLANK($C138),"",$C138)</f>
        <v/>
      </c>
      <c r="DO138" s="107" t="str">
        <f aca="false">IF(ISBLANK($C138),"",$D138)</f>
        <v/>
      </c>
      <c r="DP138" s="108" t="str">
        <f aca="false">$DD138</f>
        <v/>
      </c>
      <c r="DQ138" s="109" t="str">
        <f aca="false">$DC138</f>
        <v/>
      </c>
      <c r="DR138" s="107" t="str">
        <f aca="false">IF(ISBLANK($C138),"",$DF138)</f>
        <v/>
      </c>
      <c r="DS138" s="110" t="str">
        <f aca="false">IF($DJ138&gt;$DI$8,"",VLOOKUP($DJ138,$DL$9:$DR$508,7,FALSE()))</f>
        <v/>
      </c>
      <c r="DT138" s="111" t="str">
        <f aca="false">IF($DJ138&gt;$DI$8,"",VLOOKUP($DJ138,$DL$9:$DR$508,2,FALSE()))</f>
        <v/>
      </c>
      <c r="DU138" s="111" t="str">
        <f aca="false">IF($DJ138&gt;$DI$8,"",VLOOKUP($DJ138,$DL$9:$DR$508,3,FALSE()))</f>
        <v/>
      </c>
      <c r="DV138" s="111" t="str">
        <f aca="false">IF($DJ138&gt;$DI$8,"",VLOOKUP($DJ138,$DL$9:$DR$508,4,FALSE()))</f>
        <v/>
      </c>
      <c r="DW138" s="111" t="str">
        <f aca="false">IF($DJ138&gt;$DI$8,"",VLOOKUP($DJ138,$DL$9:$DR$508,5,FALSE()))</f>
        <v/>
      </c>
      <c r="DX138" s="112" t="str">
        <f aca="false">IF($DJ138&gt;$DI$8,"",VLOOKUP($DJ138,$DL$9:$DR$508,6,FALSE()))</f>
        <v/>
      </c>
      <c r="DY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130"/>
      <c r="N139" s="130"/>
      <c r="O139" s="135"/>
      <c r="P139" s="135"/>
      <c r="Q139" s="130"/>
      <c r="R139" s="130"/>
      <c r="S139" s="130"/>
      <c r="T139" s="130"/>
      <c r="U139" s="135"/>
      <c r="V139" s="130"/>
      <c r="W139" s="96"/>
      <c r="X139" s="130"/>
      <c r="Y139" s="130"/>
      <c r="Z139" s="96"/>
      <c r="AA139" s="96"/>
      <c r="AB139" s="130"/>
      <c r="AC139" s="130"/>
      <c r="AD139" s="130"/>
      <c r="AE139" s="97"/>
      <c r="AF139" s="130"/>
      <c r="AG139" s="99"/>
      <c r="AH139" s="100"/>
      <c r="AI139" s="100"/>
      <c r="AJ139" s="100" t="str">
        <f aca="false">IF(ISBLANK($C139),"",IF($E139=Constants!$B$2,TRUE(),IF($E139=Constants!$B$3,FALSE(),TRUE())))</f>
        <v/>
      </c>
      <c r="AK139" s="100" t="str">
        <f aca="false">IF(ISBLANK($C139),"",IF($F139=Constants!$B$2,TRUE(),IF($F139=Constants!$B$3,FALSE(),FALSE())))</f>
        <v/>
      </c>
      <c r="AL139" s="100" t="str">
        <f aca="false">IF(ISBLANK($C139),"",IF($G139=Constants!$B$2,TRUE(),IF($G139=Constants!$B$3,FALSE(),TRUE())))</f>
        <v/>
      </c>
      <c r="AM139" s="100" t="str">
        <f aca="false">IF(ISBLANK($C139),"",IF($H139=Constants!$B$2,TRUE(),IF($H139=Constants!$B$3,FALSE(),TRUE())))</f>
        <v/>
      </c>
      <c r="AN139" s="100" t="str">
        <f aca="false">IF(ISBLANK($C139),"",IF(ISNUMBER($I139),IF($I139&gt;=0,$I139,""),""))</f>
        <v/>
      </c>
      <c r="AO139" s="100" t="str">
        <f aca="false">IF(ISBLANK($C139),"",IF(ISNUMBER($J139),IF($J139&gt;=0,$J139,""),""))</f>
        <v/>
      </c>
      <c r="AP139" s="100" t="str">
        <f aca="false">IF(ISBLANK($C139),"",IF(ISNUMBER($K139),IF($K139&gt;=0,$K139,""),""))</f>
        <v/>
      </c>
      <c r="AQ139" s="100" t="str">
        <f aca="false">IF(ISBLANK($C139),"",IF($L139=Constants!$B$2,TRUE(),IF($L139=Constants!$B$3,FALSE(),TRUE())))</f>
        <v/>
      </c>
      <c r="AR139" s="100" t="str">
        <f aca="false">IF(ISBLANK($C139),"",IF($M139=Constants!$B$2,TRUE(),IF($M139=Constants!$B$3,FALSE(),TRUE())))</f>
        <v/>
      </c>
      <c r="AS139" s="100" t="str">
        <f aca="false">IF(ISBLANK($C139),"",IF($N139=Constants!$B$2,TRUE(),IF($N139=Constants!$B$3,FALSE(),FALSE())))</f>
        <v/>
      </c>
      <c r="AT139" s="100" t="str">
        <f aca="false">IF(ISBLANK($C139),"",IF($O139=Constants!$B$2,TRUE(),IF($O139=Constants!$B$3,FALSE(),TRUE())))</f>
        <v/>
      </c>
      <c r="AU139" s="100" t="str">
        <f aca="false">IF(ISBLANK($C139),"",IF($P139=Constants!$B$2,TRUE(),IF($P139=Constants!$B$3,FALSE(),TRUE())))</f>
        <v/>
      </c>
      <c r="AV139" s="100" t="str">
        <f aca="false">IF(ISBLANK($C139),"",IF($Q139=Constants!$B$2,TRUE(),IF($Q139=Constants!$B$3,FALSE(),FALSE())))</f>
        <v/>
      </c>
      <c r="AW139" s="100" t="str">
        <f aca="false">IF(ISBLANK($C139),"",IF($R139=Constants!$B$2,TRUE(),IF($R139=Constants!$B$3,FALSE(),FALSE())))</f>
        <v/>
      </c>
      <c r="AX139" s="100" t="str">
        <f aca="false">IF(ISBLANK($C139),"",IF($S139=Constants!$B$2,TRUE(),IF($S139=Constants!$B$3,FALSE(),FALSE())))</f>
        <v/>
      </c>
      <c r="AY139" s="100" t="str">
        <f aca="false">IF(ISBLANK($C139),"",IF($T139=Constants!$B$2,TRUE(),IF($T139=Constants!$B$3,FALSE(),FALSE())))</f>
        <v/>
      </c>
      <c r="AZ139" s="100" t="str">
        <f aca="false">IF(ISBLANK($C139),"",IF($U139=Constants!$B$2,TRUE(),IF($U139=Constants!$B$3,FALSE(),FALSE())))</f>
        <v/>
      </c>
      <c r="BA139" s="100" t="str">
        <f aca="false">IF(ISBLANK($C139),"",IF(OR($V139&amp;""="1",$V139&amp;""="2",$V139&amp;""="3",$V139&amp;""="4"),VALUE($V139&amp;""),IF($V139=Constants!$B$12,Constants!$B$12,"")))</f>
        <v/>
      </c>
      <c r="BB139" s="100" t="str">
        <f aca="false">IF(ISBLANK($C139),"",IF(ISBLANK($W139),0,IF(ISNUMBER($W139),IF(AND($W139&gt;=0,$W139&lt;=Constants!$B$21,$W139=INT($W139)),$W139,""),"")))</f>
        <v/>
      </c>
      <c r="BC139" s="100" t="str">
        <f aca="false">IF(ISBLANK($C139),"",IF(ISBLANK($X139),0,IF(ISNUMBER($X139),IF($X139&gt;=0,$X139,""),"")))</f>
        <v/>
      </c>
      <c r="BD139" s="100" t="str">
        <f aca="false">IF(ISBLANK($C139),"",IF($Y139=Constants!$B$2,TRUE(),IF($Y139=Constants!$B$3,FALSE(),TRUE())))</f>
        <v/>
      </c>
      <c r="BE139" s="100" t="str">
        <f aca="false">IF(ISBLANK($C139),"",IF($Z139=Constants!$B$2,TRUE(),IF($Z139=Constants!$B$3,FALSE(),FALSE())))</f>
        <v/>
      </c>
      <c r="BF139" s="100" t="str">
        <f aca="false">IF(ISBLANK($C139),"",IF(ISBLANK($AA139),0,IF(ISNUMBER($AA139),IF(AND($AA139&gt;=0,$AA139&lt;=Constants!$B$35,$AA139=INT($AA139)),$AA139,""),"")))</f>
        <v/>
      </c>
      <c r="BG139" s="100" t="str">
        <f aca="false">IF(ISBLANK($C139),"",IF($AB139=Constants!$B$2,TRUE(),IF($AB139=Constants!$B$3,FALSE(),TRUE())))</f>
        <v/>
      </c>
      <c r="BH139" s="100" t="str">
        <f aca="false">IF(ISBLANK($C139),"",IF($AC139=Constants!$B$2,TRUE(),IF($AC139=Constants!$B$3,FALSE(),TRUE())))</f>
        <v/>
      </c>
      <c r="BI139" s="100" t="str">
        <f aca="false">IF(ISBLANK($C139),"",IF($AD139=Constants!$B$2,TRUE(),IF($AD139=Constants!$B$3,FALSE(),TRUE())))</f>
        <v/>
      </c>
      <c r="BJ139" s="100" t="str">
        <f aca="false">IF(ISBLANK($C139),"",IF(ISNUMBER($AE139),IF($AE139&gt;=0,$AE139,""),""))</f>
        <v/>
      </c>
      <c r="BK139" s="100" t="str">
        <f aca="false">IF(ISBLANK($C139),"",IF($AF139=Constants!$B$2,TRUE(),IF($AF139=Constants!$B$3,FALSE(),FALSE())))</f>
        <v/>
      </c>
      <c r="BL139" s="99" t="str">
        <f aca="false">IF(ISBLANK($C139),"",IF($BK139,Constants!$B$7,IF(COUNTA($E139:$AE139)=0,Constants!$B$6,IF(OR(COUNTA($G139:$AE139)=0,NOT($AM139),$AS139),Constants!$B$5,IF(OR($CM139&lt;&gt;"",$CN139,$CO139,$CP139,$CQ139,$CR139,$CS139),Constants!$B$8,Constants!$B$4)))))</f>
        <v/>
      </c>
      <c r="BM139" s="100" t="str">
        <f aca="false">IF(ISBLANK($C139),"",IF($BL139&lt;&gt;Constants!$B$4,$BL139,IF(OR(NOT($AJ139),NOT($AL139),NOT($AT139)),Constants!$B$11,IF(OR(NOT($AR139),NOT($AU139),NOT($BI139),MAX($AN139,$AO139,$AP139)&gt;Constants!$B$30),Constants!$B$10,Constants!$B$9))))</f>
        <v/>
      </c>
      <c r="BN139" s="100" t="str">
        <f aca="false">IF($BL139&lt;&gt;Constants!$B$4,"",IF(NOT($AL139),0,MIN(Constants!$B$35,$BF139)))</f>
        <v/>
      </c>
      <c r="BO139" s="100" t="str">
        <f aca="false">IF($BL139&lt;&gt;Constants!$B$4,"",IF(NOT($AL139),0,IF($AW139,Constants!$B$18,IF($AV139,Constants!$B$17,0))))</f>
        <v/>
      </c>
      <c r="BP139" s="100" t="str">
        <f aca="false">IF($BL139&lt;&gt;Constants!$B$4,"",IF(NOT($AL139),0,Constants!$B$19*($AK139+$AX139+$AY139+$AZ139)))</f>
        <v/>
      </c>
      <c r="BQ139" s="100" t="str">
        <f aca="false">IF($BL139&lt;&gt;Constants!$B$4,"",IF(OR(NOT($AL139),NOT(ISNUMBER($BA139))),0,CHOOSE($BA139,Constants!$B$13,Constants!$B$14,Constants!$B$15,Constants!$B$16)))</f>
        <v/>
      </c>
      <c r="BR139" s="100" t="str">
        <f aca="false">IF($BL139&lt;&gt;Constants!$B$4,"",IF(NOT($AL139),0,Constants!$B$20*$BB139))</f>
        <v/>
      </c>
      <c r="BS139" s="100" t="str">
        <f aca="false">IF($BL139&lt;&gt;Constants!$B$4,"",IF(AND($AL139,$BD139,$BE139),Constants!$B$22,0))</f>
        <v/>
      </c>
      <c r="BT139" s="100" t="str">
        <f aca="false">IF($BL139&lt;&gt;Constants!$B$4,"",IF(OR(NOT($AL139),NOT($BD139)),0,IF($BJ139&gt;=2*$AH$9,0,Constants!$B$23*INT(ROUND(MIN($BJ139,$AH$9),6)))))</f>
        <v/>
      </c>
      <c r="BU139" s="100" t="str">
        <f aca="false">IF($BL139&lt;&gt;Constants!$B$4,"",IF(NOT($AL139),0,Constants!$B$24*INT(ROUND(MIN($BC139,$AH$9),6))))</f>
        <v/>
      </c>
      <c r="BV139" s="100" t="str">
        <f aca="false">IF($BL139&lt;&gt;Constants!$B$4,"",IF(AND($AL139,$BN139=0),Constants!$B$25,0))</f>
        <v/>
      </c>
      <c r="BW139" s="100" t="str">
        <f aca="false">IF($BL139&lt;&gt;Constants!$B$4,"",MIN(Constants!$B$29,MAX(0,Constants!$B$27*Constants!$B$28*INT(ROUND((Constants!$B$26-$AN139)/Constants!$B$28,6))))+MIN(Constants!$B$29,MAX(0,Constants!$B$27*Constants!$B$28*INT(ROUND((Constants!$B$26-$AO139)/Constants!$B$28,6))))+MIN(Constants!$B$29,MAX(0,Constants!$B$27*Constants!$B$28*INT(ROUND((Constants!$B$26-$AP139)/Constants!$B$28,6)))))</f>
        <v/>
      </c>
      <c r="BX139" s="100" t="str">
        <f aca="false">IF($BL139&lt;&gt;Constants!$B$4,"",IF(NOT($AL139),0,Constants!$B$31*INT(ROUND(MAX(0,MIN($BJ139,2*$AH$9)-$AH$9),6))))</f>
        <v/>
      </c>
      <c r="BY139" s="100" t="str">
        <f aca="false">IF($BL139&lt;&gt;Constants!$B$4,"",Constants!$B$32*(($AN139&gt;Constants!$B$26)+($AO139&gt;Constants!$B$26)+($AP139&gt;Constants!$B$26)))</f>
        <v/>
      </c>
      <c r="BZ139" s="100" t="str">
        <f aca="false">IF($BL139&lt;&gt;Constants!$B$4,"",IF(OR(NOT($AL139),$AQ139),0,Constants!$B$33))</f>
        <v/>
      </c>
      <c r="CA139" s="100" t="str">
        <f aca="false">IF($BL139&lt;&gt;Constants!$B$4,"",Constants!$B$34*$BN139)</f>
        <v/>
      </c>
      <c r="CB139" s="100" t="str">
        <f aca="false">IF($BL139&lt;&gt;Constants!$B$4,"",IF(OR(NOT($AL139),$BH139),0,Constants!$B$36))</f>
        <v/>
      </c>
      <c r="CC139" s="100" t="str">
        <f aca="false">IF($BL139&lt;&gt;Constants!$B$4,"",IF(OR(NOT($AL139),$BG139),0,Constants!$B$37))</f>
        <v/>
      </c>
      <c r="CD139" s="100" t="str">
        <f aca="false">IF($BL139&lt;&gt;Constants!$B$4,"",SUM($BX139:$CC139))</f>
        <v/>
      </c>
      <c r="CE139" s="100" t="str">
        <f aca="false">IF(ISBLANK($C139),"",IF($BL139&lt;&gt;Constants!$B$4,$BL139,SUM($BO139:$BW139)-$CD139))</f>
        <v/>
      </c>
      <c r="CF139" s="100" t="str">
        <f aca="false">IF(ISBLANK($C139),"",IF($BL139&lt;&gt;Constants!$B$4,$BL139,RANK($CE139,$CE$9:$CE$508)))</f>
        <v/>
      </c>
      <c r="CG139" s="100" t="str">
        <f aca="false">IF(ISBLANK($C139),"",IF($BL139&lt;&gt;Constants!$B$4,$BL139,COUNTIFS($BM$9:$BM$508,"&lt;"&amp;$BM139)+COUNTIFS($BM$9:$BM$508,$BM139,$CF$9:$CF$508,"&lt;"&amp;$CF139)+1))</f>
        <v/>
      </c>
      <c r="CH139" s="100" t="str">
        <f aca="false">IF(ISBLANK($C139),"",IF($BL139&lt;&gt;Constants!$B$4,$BL139,RANK($CD139,$CD$9:$CD$508,1)))</f>
        <v/>
      </c>
      <c r="CI139" s="100" t="str">
        <f aca="false">IF($BL139&lt;&gt;Constants!$B$4,"",$AN139+$AO139+$AP139)</f>
        <v/>
      </c>
      <c r="CJ139" s="100" t="str">
        <f aca="false">IF(ISBLANK($C139),"",IF($BL139&lt;&gt;Constants!$B$4,$BL139,RANK($CI139,$CI$9:$CI$508,1)))</f>
        <v/>
      </c>
      <c r="CK139" s="100" t="str">
        <f aca="false">IF(ISBLANK($C139),"",IF($BL139&lt;&gt;Constants!$B$4,$BL139,COUNTIFS($BM$9:$BM$508,"&lt;"&amp;$BM139)+COUNTIFS($BM$9:$BM$508,$BM139,$CF$9:$CF$508,"&lt;"&amp;$CF139)+COUNTIFS($BM$9:$BM$508,$BM139,$CF$9:$CF$508,$CF139,$CH$9:$CH$508,"&lt;"&amp;$CH139)+COUNTIFS($BM$9:$BM$508,$BM139,$CF$9:$CF$508,$CF139,$CH$9:$CH$508,$CH139,$CJ$9:$CJ$508,"&lt;"&amp;$CJ139)+1))</f>
        <v/>
      </c>
      <c r="CL139" s="100" t="str">
        <f aca="false">IF(ISBLANK($C139),"",IF($BL139&lt;&gt;Constants!$B$4,$BL139,$CG139-$CK139))</f>
        <v/>
      </c>
      <c r="CM139" s="100" t="str">
        <f aca="false">IF(ISBLANK($C139),"",IF(NOT($AL139),"",IF(ISBLANK($D$7),$CM$5,IF(NOT(ISNUMBER($D$7)),$CM$6,""))))</f>
        <v/>
      </c>
      <c r="CN139" s="100" t="str">
        <f aca="false">IF(ISBLANK($C139),"",OR($AN139="",$AO139="",$AP139=""))</f>
        <v/>
      </c>
      <c r="CO139" s="100" t="str">
        <f aca="false">IF(ISBLANK($C139),"",AND($AL139,$BA139=""))</f>
        <v/>
      </c>
      <c r="CP139" s="100" t="str">
        <f aca="false">IF(ISBLANK($C139),"",AND($AL139,$BB139=""))</f>
        <v/>
      </c>
      <c r="CQ139" s="100" t="str">
        <f aca="false">IF(ISBLANK($C139),"",AND($AL139,$BC139=""))</f>
        <v/>
      </c>
      <c r="CR139" s="100" t="str">
        <f aca="false">IF(ISBLANK($C139),"",AND($AL139,$BF139=""))</f>
        <v/>
      </c>
      <c r="CS139" s="100" t="str">
        <f aca="false">IF(ISBLANK($C139),"",AND($AL139,$BJ139=""))</f>
        <v/>
      </c>
      <c r="CT139" s="101"/>
      <c r="CU139" s="102"/>
      <c r="CV139" s="103" t="str">
        <f aca="false">IF(ISBLANK($C139),"",IF($BL139=Constants!$B$8,$CM139,""))</f>
        <v/>
      </c>
      <c r="CW139" s="102" t="str">
        <f aca="false">IF(ISBLANK($C139),"",IF($BL139&lt;&gt;Constants!$B$4,"",$BO139+$BP139))</f>
        <v/>
      </c>
      <c r="CX139" s="104" t="str">
        <f aca="false">IF(ISBLANK($C139),"",IF($BL139&lt;&gt;Constants!$B$4,"",$BQ139+$BR139+$BS139))</f>
        <v/>
      </c>
      <c r="CY139" s="104" t="str">
        <f aca="false">IF(ISBLANK($C139),"",IF($BL139&lt;&gt;Constants!$B$4,"",$BT139))</f>
        <v/>
      </c>
      <c r="CZ139" s="104" t="str">
        <f aca="false">IF(ISBLANK($C139),"",IF($BL139&lt;&gt;Constants!$B$4,"",$BU139+$BV139))</f>
        <v/>
      </c>
      <c r="DA139" s="104" t="str">
        <f aca="false">IF(ISBLANK($C139),"",IF($BL139&lt;&gt;Constants!$B$4,"",$BW139))</f>
        <v/>
      </c>
      <c r="DB139" s="104" t="str">
        <f aca="false">IF(ISBLANK($C139),"",IF($BL139&lt;&gt;Constants!$B$4,"",-$CD139))</f>
        <v/>
      </c>
      <c r="DC139" s="103" t="str">
        <f aca="false">IF(ISBLANK($C139),"",$CE139)</f>
        <v/>
      </c>
      <c r="DD139" s="105" t="str">
        <f aca="false">IF(ISBLANK($C139),"",$BM139)</f>
        <v/>
      </c>
      <c r="DE139" s="104" t="str">
        <f aca="false">IF(ISBLANK($C139),"",$CL139)</f>
        <v/>
      </c>
      <c r="DF139" s="104" t="str">
        <f aca="false">IF(ISBLANK($C139),"",$CK139)</f>
        <v/>
      </c>
      <c r="DG139" s="106" t="str">
        <f aca="false">IF(ISBLANK($C139),"",IF($DF139=Constants!$B$7,COUNTA($C$9:$C$508)+2,IF($DF139=Constants!$B$6,COUNTA($C$9:$C$508)+1,IF($DF139=Constants!$B$5,COUNTA($C$9:$C$508),$DF139))))</f>
        <v/>
      </c>
      <c r="DH139" s="7"/>
      <c r="DI139" s="107" t="n">
        <f aca="false">IF(OR(ISNUMBER($DF139),$DF139=Constants!$B$7,$DF139=Constants!$B$5,$DF139=Constants!$B$6),1,0)</f>
        <v>0</v>
      </c>
      <c r="DJ139" s="107" t="n">
        <v>131</v>
      </c>
      <c r="DK139" s="107" t="str">
        <f aca="false">IF(ISBLANK($C139),"",IF(ISNUMBER($DG139),$DG139+ROW($B139)/1000,""))</f>
        <v/>
      </c>
      <c r="DL139" s="107" t="str">
        <f aca="false">IF(ISNUMBER($DK139),RANK($DK139,$DK$9:$DK$508,1),"")</f>
        <v/>
      </c>
      <c r="DM139" s="107" t="str">
        <f aca="false">IF(ISBLANK($C139),"",$B139)</f>
        <v/>
      </c>
      <c r="DN139" s="107" t="str">
        <f aca="false">IF(ISBLANK($C139),"",$C139)</f>
        <v/>
      </c>
      <c r="DO139" s="107" t="str">
        <f aca="false">IF(ISBLANK($C139),"",$D139)</f>
        <v/>
      </c>
      <c r="DP139" s="108" t="str">
        <f aca="false">$DD139</f>
        <v/>
      </c>
      <c r="DQ139" s="109" t="str">
        <f aca="false">$DC139</f>
        <v/>
      </c>
      <c r="DR139" s="107" t="str">
        <f aca="false">IF(ISBLANK($C139),"",$DF139)</f>
        <v/>
      </c>
      <c r="DS139" s="110" t="str">
        <f aca="false">IF($DJ139&gt;$DI$8,"",VLOOKUP($DJ139,$DL$9:$DR$508,7,FALSE()))</f>
        <v/>
      </c>
      <c r="DT139" s="111" t="str">
        <f aca="false">IF($DJ139&gt;$DI$8,"",VLOOKUP($DJ139,$DL$9:$DR$508,2,FALSE()))</f>
        <v/>
      </c>
      <c r="DU139" s="111" t="str">
        <f aca="false">IF($DJ139&gt;$DI$8,"",VLOOKUP($DJ139,$DL$9:$DR$508,3,FALSE()))</f>
        <v/>
      </c>
      <c r="DV139" s="111" t="str">
        <f aca="false">IF($DJ139&gt;$DI$8,"",VLOOKUP($DJ139,$DL$9:$DR$508,4,FALSE()))</f>
        <v/>
      </c>
      <c r="DW139" s="111" t="str">
        <f aca="false">IF($DJ139&gt;$DI$8,"",VLOOKUP($DJ139,$DL$9:$DR$508,5,FALSE()))</f>
        <v/>
      </c>
      <c r="DX139" s="112" t="str">
        <f aca="false">IF($DJ139&gt;$DI$8,"",VLOOKUP($DJ139,$DL$9:$DR$508,6,FALSE()))</f>
        <v/>
      </c>
      <c r="DY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130"/>
      <c r="N140" s="130"/>
      <c r="O140" s="135"/>
      <c r="P140" s="135"/>
      <c r="Q140" s="130"/>
      <c r="R140" s="130"/>
      <c r="S140" s="130"/>
      <c r="T140" s="130"/>
      <c r="U140" s="135"/>
      <c r="V140" s="130"/>
      <c r="W140" s="96"/>
      <c r="X140" s="130"/>
      <c r="Y140" s="130"/>
      <c r="Z140" s="96"/>
      <c r="AA140" s="96"/>
      <c r="AB140" s="130"/>
      <c r="AC140" s="130"/>
      <c r="AD140" s="130"/>
      <c r="AE140" s="97"/>
      <c r="AF140" s="130"/>
      <c r="AG140" s="99"/>
      <c r="AH140" s="100"/>
      <c r="AI140" s="100"/>
      <c r="AJ140" s="100" t="str">
        <f aca="false">IF(ISBLANK($C140),"",IF($E140=Constants!$B$2,TRUE(),IF($E140=Constants!$B$3,FALSE(),TRUE())))</f>
        <v/>
      </c>
      <c r="AK140" s="100" t="str">
        <f aca="false">IF(ISBLANK($C140),"",IF($F140=Constants!$B$2,TRUE(),IF($F140=Constants!$B$3,FALSE(),FALSE())))</f>
        <v/>
      </c>
      <c r="AL140" s="100" t="str">
        <f aca="false">IF(ISBLANK($C140),"",IF($G140=Constants!$B$2,TRUE(),IF($G140=Constants!$B$3,FALSE(),TRUE())))</f>
        <v/>
      </c>
      <c r="AM140" s="100" t="str">
        <f aca="false">IF(ISBLANK($C140),"",IF($H140=Constants!$B$2,TRUE(),IF($H140=Constants!$B$3,FALSE(),TRUE())))</f>
        <v/>
      </c>
      <c r="AN140" s="100" t="str">
        <f aca="false">IF(ISBLANK($C140),"",IF(ISNUMBER($I140),IF($I140&gt;=0,$I140,""),""))</f>
        <v/>
      </c>
      <c r="AO140" s="100" t="str">
        <f aca="false">IF(ISBLANK($C140),"",IF(ISNUMBER($J140),IF($J140&gt;=0,$J140,""),""))</f>
        <v/>
      </c>
      <c r="AP140" s="100" t="str">
        <f aca="false">IF(ISBLANK($C140),"",IF(ISNUMBER($K140),IF($K140&gt;=0,$K140,""),""))</f>
        <v/>
      </c>
      <c r="AQ140" s="100" t="str">
        <f aca="false">IF(ISBLANK($C140),"",IF($L140=Constants!$B$2,TRUE(),IF($L140=Constants!$B$3,FALSE(),TRUE())))</f>
        <v/>
      </c>
      <c r="AR140" s="100" t="str">
        <f aca="false">IF(ISBLANK($C140),"",IF($M140=Constants!$B$2,TRUE(),IF($M140=Constants!$B$3,FALSE(),TRUE())))</f>
        <v/>
      </c>
      <c r="AS140" s="100" t="str">
        <f aca="false">IF(ISBLANK($C140),"",IF($N140=Constants!$B$2,TRUE(),IF($N140=Constants!$B$3,FALSE(),FALSE())))</f>
        <v/>
      </c>
      <c r="AT140" s="100" t="str">
        <f aca="false">IF(ISBLANK($C140),"",IF($O140=Constants!$B$2,TRUE(),IF($O140=Constants!$B$3,FALSE(),TRUE())))</f>
        <v/>
      </c>
      <c r="AU140" s="100" t="str">
        <f aca="false">IF(ISBLANK($C140),"",IF($P140=Constants!$B$2,TRUE(),IF($P140=Constants!$B$3,FALSE(),TRUE())))</f>
        <v/>
      </c>
      <c r="AV140" s="100" t="str">
        <f aca="false">IF(ISBLANK($C140),"",IF($Q140=Constants!$B$2,TRUE(),IF($Q140=Constants!$B$3,FALSE(),FALSE())))</f>
        <v/>
      </c>
      <c r="AW140" s="100" t="str">
        <f aca="false">IF(ISBLANK($C140),"",IF($R140=Constants!$B$2,TRUE(),IF($R140=Constants!$B$3,FALSE(),FALSE())))</f>
        <v/>
      </c>
      <c r="AX140" s="100" t="str">
        <f aca="false">IF(ISBLANK($C140),"",IF($S140=Constants!$B$2,TRUE(),IF($S140=Constants!$B$3,FALSE(),FALSE())))</f>
        <v/>
      </c>
      <c r="AY140" s="100" t="str">
        <f aca="false">IF(ISBLANK($C140),"",IF($T140=Constants!$B$2,TRUE(),IF($T140=Constants!$B$3,FALSE(),FALSE())))</f>
        <v/>
      </c>
      <c r="AZ140" s="100" t="str">
        <f aca="false">IF(ISBLANK($C140),"",IF($U140=Constants!$B$2,TRUE(),IF($U140=Constants!$B$3,FALSE(),FALSE())))</f>
        <v/>
      </c>
      <c r="BA140" s="100" t="str">
        <f aca="false">IF(ISBLANK($C140),"",IF(OR($V140&amp;""="1",$V140&amp;""="2",$V140&amp;""="3",$V140&amp;""="4"),VALUE($V140&amp;""),IF($V140=Constants!$B$12,Constants!$B$12,"")))</f>
        <v/>
      </c>
      <c r="BB140" s="100" t="str">
        <f aca="false">IF(ISBLANK($C140),"",IF(ISBLANK($W140),0,IF(ISNUMBER($W140),IF(AND($W140&gt;=0,$W140&lt;=Constants!$B$21,$W140=INT($W140)),$W140,""),"")))</f>
        <v/>
      </c>
      <c r="BC140" s="100" t="str">
        <f aca="false">IF(ISBLANK($C140),"",IF(ISBLANK($X140),0,IF(ISNUMBER($X140),IF($X140&gt;=0,$X140,""),"")))</f>
        <v/>
      </c>
      <c r="BD140" s="100" t="str">
        <f aca="false">IF(ISBLANK($C140),"",IF($Y140=Constants!$B$2,TRUE(),IF($Y140=Constants!$B$3,FALSE(),TRUE())))</f>
        <v/>
      </c>
      <c r="BE140" s="100" t="str">
        <f aca="false">IF(ISBLANK($C140),"",IF($Z140=Constants!$B$2,TRUE(),IF($Z140=Constants!$B$3,FALSE(),FALSE())))</f>
        <v/>
      </c>
      <c r="BF140" s="100" t="str">
        <f aca="false">IF(ISBLANK($C140),"",IF(ISBLANK($AA140),0,IF(ISNUMBER($AA140),IF(AND($AA140&gt;=0,$AA140&lt;=Constants!$B$35,$AA140=INT($AA140)),$AA140,""),"")))</f>
        <v/>
      </c>
      <c r="BG140" s="100" t="str">
        <f aca="false">IF(ISBLANK($C140),"",IF($AB140=Constants!$B$2,TRUE(),IF($AB140=Constants!$B$3,FALSE(),TRUE())))</f>
        <v/>
      </c>
      <c r="BH140" s="100" t="str">
        <f aca="false">IF(ISBLANK($C140),"",IF($AC140=Constants!$B$2,TRUE(),IF($AC140=Constants!$B$3,FALSE(),TRUE())))</f>
        <v/>
      </c>
      <c r="BI140" s="100" t="str">
        <f aca="false">IF(ISBLANK($C140),"",IF($AD140=Constants!$B$2,TRUE(),IF($AD140=Constants!$B$3,FALSE(),TRUE())))</f>
        <v/>
      </c>
      <c r="BJ140" s="100" t="str">
        <f aca="false">IF(ISBLANK($C140),"",IF(ISNUMBER($AE140),IF($AE140&gt;=0,$AE140,""),""))</f>
        <v/>
      </c>
      <c r="BK140" s="100" t="str">
        <f aca="false">IF(ISBLANK($C140),"",IF($AF140=Constants!$B$2,TRUE(),IF($AF140=Constants!$B$3,FALSE(),FALSE())))</f>
        <v/>
      </c>
      <c r="BL140" s="99" t="str">
        <f aca="false">IF(ISBLANK($C140),"",IF($BK140,Constants!$B$7,IF(COUNTA($E140:$AE140)=0,Constants!$B$6,IF(OR(COUNTA($G140:$AE140)=0,NOT($AM140),$AS140),Constants!$B$5,IF(OR($CM140&lt;&gt;"",$CN140,$CO140,$CP140,$CQ140,$CR140,$CS140),Constants!$B$8,Constants!$B$4)))))</f>
        <v/>
      </c>
      <c r="BM140" s="100" t="str">
        <f aca="false">IF(ISBLANK($C140),"",IF($BL140&lt;&gt;Constants!$B$4,$BL140,IF(OR(NOT($AJ140),NOT($AL140),NOT($AT140)),Constants!$B$11,IF(OR(NOT($AR140),NOT($AU140),NOT($BI140),MAX($AN140,$AO140,$AP140)&gt;Constants!$B$30),Constants!$B$10,Constants!$B$9))))</f>
        <v/>
      </c>
      <c r="BN140" s="100" t="str">
        <f aca="false">IF($BL140&lt;&gt;Constants!$B$4,"",IF(NOT($AL140),0,MIN(Constants!$B$35,$BF140)))</f>
        <v/>
      </c>
      <c r="BO140" s="100" t="str">
        <f aca="false">IF($BL140&lt;&gt;Constants!$B$4,"",IF(NOT($AL140),0,IF($AW140,Constants!$B$18,IF($AV140,Constants!$B$17,0))))</f>
        <v/>
      </c>
      <c r="BP140" s="100" t="str">
        <f aca="false">IF($BL140&lt;&gt;Constants!$B$4,"",IF(NOT($AL140),0,Constants!$B$19*($AK140+$AX140+$AY140+$AZ140)))</f>
        <v/>
      </c>
      <c r="BQ140" s="100" t="str">
        <f aca="false">IF($BL140&lt;&gt;Constants!$B$4,"",IF(OR(NOT($AL140),NOT(ISNUMBER($BA140))),0,CHOOSE($BA140,Constants!$B$13,Constants!$B$14,Constants!$B$15,Constants!$B$16)))</f>
        <v/>
      </c>
      <c r="BR140" s="100" t="str">
        <f aca="false">IF($BL140&lt;&gt;Constants!$B$4,"",IF(NOT($AL140),0,Constants!$B$20*$BB140))</f>
        <v/>
      </c>
      <c r="BS140" s="100" t="str">
        <f aca="false">IF($BL140&lt;&gt;Constants!$B$4,"",IF(AND($AL140,$BD140,$BE140),Constants!$B$22,0))</f>
        <v/>
      </c>
      <c r="BT140" s="100" t="str">
        <f aca="false">IF($BL140&lt;&gt;Constants!$B$4,"",IF(OR(NOT($AL140),NOT($BD140)),0,IF($BJ140&gt;=2*$AH$9,0,Constants!$B$23*INT(ROUND(MIN($BJ140,$AH$9),6)))))</f>
        <v/>
      </c>
      <c r="BU140" s="100" t="str">
        <f aca="false">IF($BL140&lt;&gt;Constants!$B$4,"",IF(NOT($AL140),0,Constants!$B$24*INT(ROUND(MIN($BC140,$AH$9),6))))</f>
        <v/>
      </c>
      <c r="BV140" s="100" t="str">
        <f aca="false">IF($BL140&lt;&gt;Constants!$B$4,"",IF(AND($AL140,$BN140=0),Constants!$B$25,0))</f>
        <v/>
      </c>
      <c r="BW140" s="100" t="str">
        <f aca="false">IF($BL140&lt;&gt;Constants!$B$4,"",MIN(Constants!$B$29,MAX(0,Constants!$B$27*Constants!$B$28*INT(ROUND((Constants!$B$26-$AN140)/Constants!$B$28,6))))+MIN(Constants!$B$29,MAX(0,Constants!$B$27*Constants!$B$28*INT(ROUND((Constants!$B$26-$AO140)/Constants!$B$28,6))))+MIN(Constants!$B$29,MAX(0,Constants!$B$27*Constants!$B$28*INT(ROUND((Constants!$B$26-$AP140)/Constants!$B$28,6)))))</f>
        <v/>
      </c>
      <c r="BX140" s="100" t="str">
        <f aca="false">IF($BL140&lt;&gt;Constants!$B$4,"",IF(NOT($AL140),0,Constants!$B$31*INT(ROUND(MAX(0,MIN($BJ140,2*$AH$9)-$AH$9),6))))</f>
        <v/>
      </c>
      <c r="BY140" s="100" t="str">
        <f aca="false">IF($BL140&lt;&gt;Constants!$B$4,"",Constants!$B$32*(($AN140&gt;Constants!$B$26)+($AO140&gt;Constants!$B$26)+($AP140&gt;Constants!$B$26)))</f>
        <v/>
      </c>
      <c r="BZ140" s="100" t="str">
        <f aca="false">IF($BL140&lt;&gt;Constants!$B$4,"",IF(OR(NOT($AL140),$AQ140),0,Constants!$B$33))</f>
        <v/>
      </c>
      <c r="CA140" s="100" t="str">
        <f aca="false">IF($BL140&lt;&gt;Constants!$B$4,"",Constants!$B$34*$BN140)</f>
        <v/>
      </c>
      <c r="CB140" s="100" t="str">
        <f aca="false">IF($BL140&lt;&gt;Constants!$B$4,"",IF(OR(NOT($AL140),$BH140),0,Constants!$B$36))</f>
        <v/>
      </c>
      <c r="CC140" s="100" t="str">
        <f aca="false">IF($BL140&lt;&gt;Constants!$B$4,"",IF(OR(NOT($AL140),$BG140),0,Constants!$B$37))</f>
        <v/>
      </c>
      <c r="CD140" s="100" t="str">
        <f aca="false">IF($BL140&lt;&gt;Constants!$B$4,"",SUM($BX140:$CC140))</f>
        <v/>
      </c>
      <c r="CE140" s="100" t="str">
        <f aca="false">IF(ISBLANK($C140),"",IF($BL140&lt;&gt;Constants!$B$4,$BL140,SUM($BO140:$BW140)-$CD140))</f>
        <v/>
      </c>
      <c r="CF140" s="100" t="str">
        <f aca="false">IF(ISBLANK($C140),"",IF($BL140&lt;&gt;Constants!$B$4,$BL140,RANK($CE140,$CE$9:$CE$508)))</f>
        <v/>
      </c>
      <c r="CG140" s="100" t="str">
        <f aca="false">IF(ISBLANK($C140),"",IF($BL140&lt;&gt;Constants!$B$4,$BL140,COUNTIFS($BM$9:$BM$508,"&lt;"&amp;$BM140)+COUNTIFS($BM$9:$BM$508,$BM140,$CF$9:$CF$508,"&lt;"&amp;$CF140)+1))</f>
        <v/>
      </c>
      <c r="CH140" s="100" t="str">
        <f aca="false">IF(ISBLANK($C140),"",IF($BL140&lt;&gt;Constants!$B$4,$BL140,RANK($CD140,$CD$9:$CD$508,1)))</f>
        <v/>
      </c>
      <c r="CI140" s="100" t="str">
        <f aca="false">IF($BL140&lt;&gt;Constants!$B$4,"",$AN140+$AO140+$AP140)</f>
        <v/>
      </c>
      <c r="CJ140" s="100" t="str">
        <f aca="false">IF(ISBLANK($C140),"",IF($BL140&lt;&gt;Constants!$B$4,$BL140,RANK($CI140,$CI$9:$CI$508,1)))</f>
        <v/>
      </c>
      <c r="CK140" s="100" t="str">
        <f aca="false">IF(ISBLANK($C140),"",IF($BL140&lt;&gt;Constants!$B$4,$BL140,COUNTIFS($BM$9:$BM$508,"&lt;"&amp;$BM140)+COUNTIFS($BM$9:$BM$508,$BM140,$CF$9:$CF$508,"&lt;"&amp;$CF140)+COUNTIFS($BM$9:$BM$508,$BM140,$CF$9:$CF$508,$CF140,$CH$9:$CH$508,"&lt;"&amp;$CH140)+COUNTIFS($BM$9:$BM$508,$BM140,$CF$9:$CF$508,$CF140,$CH$9:$CH$508,$CH140,$CJ$9:$CJ$508,"&lt;"&amp;$CJ140)+1))</f>
        <v/>
      </c>
      <c r="CL140" s="100" t="str">
        <f aca="false">IF(ISBLANK($C140),"",IF($BL140&lt;&gt;Constants!$B$4,$BL140,$CG140-$CK140))</f>
        <v/>
      </c>
      <c r="CM140" s="100" t="str">
        <f aca="false">IF(ISBLANK($C140),"",IF(NOT($AL140),"",IF(ISBLANK($D$7),$CM$5,IF(NOT(ISNUMBER($D$7)),$CM$6,""))))</f>
        <v/>
      </c>
      <c r="CN140" s="100" t="str">
        <f aca="false">IF(ISBLANK($C140),"",OR($AN140="",$AO140="",$AP140=""))</f>
        <v/>
      </c>
      <c r="CO140" s="100" t="str">
        <f aca="false">IF(ISBLANK($C140),"",AND($AL140,$BA140=""))</f>
        <v/>
      </c>
      <c r="CP140" s="100" t="str">
        <f aca="false">IF(ISBLANK($C140),"",AND($AL140,$BB140=""))</f>
        <v/>
      </c>
      <c r="CQ140" s="100" t="str">
        <f aca="false">IF(ISBLANK($C140),"",AND($AL140,$BC140=""))</f>
        <v/>
      </c>
      <c r="CR140" s="100" t="str">
        <f aca="false">IF(ISBLANK($C140),"",AND($AL140,$BF140=""))</f>
        <v/>
      </c>
      <c r="CS140" s="100" t="str">
        <f aca="false">IF(ISBLANK($C140),"",AND($AL140,$BJ140=""))</f>
        <v/>
      </c>
      <c r="CT140" s="101"/>
      <c r="CU140" s="102"/>
      <c r="CV140" s="103" t="str">
        <f aca="false">IF(ISBLANK($C140),"",IF($BL140=Constants!$B$8,$CM140,""))</f>
        <v/>
      </c>
      <c r="CW140" s="102" t="str">
        <f aca="false">IF(ISBLANK($C140),"",IF($BL140&lt;&gt;Constants!$B$4,"",$BO140+$BP140))</f>
        <v/>
      </c>
      <c r="CX140" s="104" t="str">
        <f aca="false">IF(ISBLANK($C140),"",IF($BL140&lt;&gt;Constants!$B$4,"",$BQ140+$BR140+$BS140))</f>
        <v/>
      </c>
      <c r="CY140" s="104" t="str">
        <f aca="false">IF(ISBLANK($C140),"",IF($BL140&lt;&gt;Constants!$B$4,"",$BT140))</f>
        <v/>
      </c>
      <c r="CZ140" s="104" t="str">
        <f aca="false">IF(ISBLANK($C140),"",IF($BL140&lt;&gt;Constants!$B$4,"",$BU140+$BV140))</f>
        <v/>
      </c>
      <c r="DA140" s="104" t="str">
        <f aca="false">IF(ISBLANK($C140),"",IF($BL140&lt;&gt;Constants!$B$4,"",$BW140))</f>
        <v/>
      </c>
      <c r="DB140" s="104" t="str">
        <f aca="false">IF(ISBLANK($C140),"",IF($BL140&lt;&gt;Constants!$B$4,"",-$CD140))</f>
        <v/>
      </c>
      <c r="DC140" s="103" t="str">
        <f aca="false">IF(ISBLANK($C140),"",$CE140)</f>
        <v/>
      </c>
      <c r="DD140" s="105" t="str">
        <f aca="false">IF(ISBLANK($C140),"",$BM140)</f>
        <v/>
      </c>
      <c r="DE140" s="104" t="str">
        <f aca="false">IF(ISBLANK($C140),"",$CL140)</f>
        <v/>
      </c>
      <c r="DF140" s="104" t="str">
        <f aca="false">IF(ISBLANK($C140),"",$CK140)</f>
        <v/>
      </c>
      <c r="DG140" s="106" t="str">
        <f aca="false">IF(ISBLANK($C140),"",IF($DF140=Constants!$B$7,COUNTA($C$9:$C$508)+2,IF($DF140=Constants!$B$6,COUNTA($C$9:$C$508)+1,IF($DF140=Constants!$B$5,COUNTA($C$9:$C$508),$DF140))))</f>
        <v/>
      </c>
      <c r="DH140" s="7"/>
      <c r="DI140" s="107" t="n">
        <f aca="false">IF(OR(ISNUMBER($DF140),$DF140=Constants!$B$7,$DF140=Constants!$B$5,$DF140=Constants!$B$6),1,0)</f>
        <v>0</v>
      </c>
      <c r="DJ140" s="107" t="n">
        <v>132</v>
      </c>
      <c r="DK140" s="107" t="str">
        <f aca="false">IF(ISBLANK($C140),"",IF(ISNUMBER($DG140),$DG140+ROW($B140)/1000,""))</f>
        <v/>
      </c>
      <c r="DL140" s="107" t="str">
        <f aca="false">IF(ISNUMBER($DK140),RANK($DK140,$DK$9:$DK$508,1),"")</f>
        <v/>
      </c>
      <c r="DM140" s="107" t="str">
        <f aca="false">IF(ISBLANK($C140),"",$B140)</f>
        <v/>
      </c>
      <c r="DN140" s="107" t="str">
        <f aca="false">IF(ISBLANK($C140),"",$C140)</f>
        <v/>
      </c>
      <c r="DO140" s="107" t="str">
        <f aca="false">IF(ISBLANK($C140),"",$D140)</f>
        <v/>
      </c>
      <c r="DP140" s="108" t="str">
        <f aca="false">$DD140</f>
        <v/>
      </c>
      <c r="DQ140" s="109" t="str">
        <f aca="false">$DC140</f>
        <v/>
      </c>
      <c r="DR140" s="107" t="str">
        <f aca="false">IF(ISBLANK($C140),"",$DF140)</f>
        <v/>
      </c>
      <c r="DS140" s="110" t="str">
        <f aca="false">IF($DJ140&gt;$DI$8,"",VLOOKUP($DJ140,$DL$9:$DR$508,7,FALSE()))</f>
        <v/>
      </c>
      <c r="DT140" s="111" t="str">
        <f aca="false">IF($DJ140&gt;$DI$8,"",VLOOKUP($DJ140,$DL$9:$DR$508,2,FALSE()))</f>
        <v/>
      </c>
      <c r="DU140" s="111" t="str">
        <f aca="false">IF($DJ140&gt;$DI$8,"",VLOOKUP($DJ140,$DL$9:$DR$508,3,FALSE()))</f>
        <v/>
      </c>
      <c r="DV140" s="111" t="str">
        <f aca="false">IF($DJ140&gt;$DI$8,"",VLOOKUP($DJ140,$DL$9:$DR$508,4,FALSE()))</f>
        <v/>
      </c>
      <c r="DW140" s="111" t="str">
        <f aca="false">IF($DJ140&gt;$DI$8,"",VLOOKUP($DJ140,$DL$9:$DR$508,5,FALSE()))</f>
        <v/>
      </c>
      <c r="DX140" s="112" t="str">
        <f aca="false">IF($DJ140&gt;$DI$8,"",VLOOKUP($DJ140,$DL$9:$DR$508,6,FALSE()))</f>
        <v/>
      </c>
      <c r="DY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88"/>
      <c r="N141" s="88"/>
      <c r="O141" s="134"/>
      <c r="P141" s="134"/>
      <c r="Q141" s="88"/>
      <c r="R141" s="88"/>
      <c r="S141" s="88"/>
      <c r="T141" s="88"/>
      <c r="U141" s="134"/>
      <c r="V141" s="88"/>
      <c r="W141" s="70"/>
      <c r="X141" s="88"/>
      <c r="Y141" s="88"/>
      <c r="Z141" s="70"/>
      <c r="AA141" s="70"/>
      <c r="AB141" s="88"/>
      <c r="AC141" s="88"/>
      <c r="AD141" s="88"/>
      <c r="AE141" s="71"/>
      <c r="AF141" s="88"/>
      <c r="AG141" s="73"/>
      <c r="AH141" s="74"/>
      <c r="AI141" s="74"/>
      <c r="AJ141" s="74" t="str">
        <f aca="false">IF(ISBLANK($C141),"",IF($E141=Constants!$B$2,TRUE(),IF($E141=Constants!$B$3,FALSE(),TRUE())))</f>
        <v/>
      </c>
      <c r="AK141" s="74" t="str">
        <f aca="false">IF(ISBLANK($C141),"",IF($F141=Constants!$B$2,TRUE(),IF($F141=Constants!$B$3,FALSE(),FALSE())))</f>
        <v/>
      </c>
      <c r="AL141" s="74" t="str">
        <f aca="false">IF(ISBLANK($C141),"",IF($G141=Constants!$B$2,TRUE(),IF($G141=Constants!$B$3,FALSE(),TRUE())))</f>
        <v/>
      </c>
      <c r="AM141" s="74" t="str">
        <f aca="false">IF(ISBLANK($C141),"",IF($H141=Constants!$B$2,TRUE(),IF($H141=Constants!$B$3,FALSE(),TRUE())))</f>
        <v/>
      </c>
      <c r="AN141" s="74" t="str">
        <f aca="false">IF(ISBLANK($C141),"",IF(ISNUMBER($I141),IF($I141&gt;=0,$I141,""),""))</f>
        <v/>
      </c>
      <c r="AO141" s="74" t="str">
        <f aca="false">IF(ISBLANK($C141),"",IF(ISNUMBER($J141),IF($J141&gt;=0,$J141,""),""))</f>
        <v/>
      </c>
      <c r="AP141" s="74" t="str">
        <f aca="false">IF(ISBLANK($C141),"",IF(ISNUMBER($K141),IF($K141&gt;=0,$K141,""),""))</f>
        <v/>
      </c>
      <c r="AQ141" s="74" t="str">
        <f aca="false">IF(ISBLANK($C141),"",IF($L141=Constants!$B$2,TRUE(),IF($L141=Constants!$B$3,FALSE(),TRUE())))</f>
        <v/>
      </c>
      <c r="AR141" s="74" t="str">
        <f aca="false">IF(ISBLANK($C141),"",IF($M141=Constants!$B$2,TRUE(),IF($M141=Constants!$B$3,FALSE(),TRUE())))</f>
        <v/>
      </c>
      <c r="AS141" s="74" t="str">
        <f aca="false">IF(ISBLANK($C141),"",IF($N141=Constants!$B$2,TRUE(),IF($N141=Constants!$B$3,FALSE(),FALSE())))</f>
        <v/>
      </c>
      <c r="AT141" s="74" t="str">
        <f aca="false">IF(ISBLANK($C141),"",IF($O141=Constants!$B$2,TRUE(),IF($O141=Constants!$B$3,FALSE(),TRUE())))</f>
        <v/>
      </c>
      <c r="AU141" s="74" t="str">
        <f aca="false">IF(ISBLANK($C141),"",IF($P141=Constants!$B$2,TRUE(),IF($P141=Constants!$B$3,FALSE(),TRUE())))</f>
        <v/>
      </c>
      <c r="AV141" s="74" t="str">
        <f aca="false">IF(ISBLANK($C141),"",IF($Q141=Constants!$B$2,TRUE(),IF($Q141=Constants!$B$3,FALSE(),FALSE())))</f>
        <v/>
      </c>
      <c r="AW141" s="74" t="str">
        <f aca="false">IF(ISBLANK($C141),"",IF($R141=Constants!$B$2,TRUE(),IF($R141=Constants!$B$3,FALSE(),FALSE())))</f>
        <v/>
      </c>
      <c r="AX141" s="74" t="str">
        <f aca="false">IF(ISBLANK($C141),"",IF($S141=Constants!$B$2,TRUE(),IF($S141=Constants!$B$3,FALSE(),FALSE())))</f>
        <v/>
      </c>
      <c r="AY141" s="74" t="str">
        <f aca="false">IF(ISBLANK($C141),"",IF($T141=Constants!$B$2,TRUE(),IF($T141=Constants!$B$3,FALSE(),FALSE())))</f>
        <v/>
      </c>
      <c r="AZ141" s="74" t="str">
        <f aca="false">IF(ISBLANK($C141),"",IF($U141=Constants!$B$2,TRUE(),IF($U141=Constants!$B$3,FALSE(),FALSE())))</f>
        <v/>
      </c>
      <c r="BA141" s="74" t="str">
        <f aca="false">IF(ISBLANK($C141),"",IF(OR($V141&amp;""="1",$V141&amp;""="2",$V141&amp;""="3",$V141&amp;""="4"),VALUE($V141&amp;""),IF($V141=Constants!$B$12,Constants!$B$12,"")))</f>
        <v/>
      </c>
      <c r="BB141" s="74" t="str">
        <f aca="false">IF(ISBLANK($C141),"",IF(ISBLANK($W141),0,IF(ISNUMBER($W141),IF(AND($W141&gt;=0,$W141&lt;=Constants!$B$21,$W141=INT($W141)),$W141,""),"")))</f>
        <v/>
      </c>
      <c r="BC141" s="74" t="str">
        <f aca="false">IF(ISBLANK($C141),"",IF(ISBLANK($X141),0,IF(ISNUMBER($X141),IF($X141&gt;=0,$X141,""),"")))</f>
        <v/>
      </c>
      <c r="BD141" s="74" t="str">
        <f aca="false">IF(ISBLANK($C141),"",IF($Y141=Constants!$B$2,TRUE(),IF($Y141=Constants!$B$3,FALSE(),TRUE())))</f>
        <v/>
      </c>
      <c r="BE141" s="74" t="str">
        <f aca="false">IF(ISBLANK($C141),"",IF($Z141=Constants!$B$2,TRUE(),IF($Z141=Constants!$B$3,FALSE(),FALSE())))</f>
        <v/>
      </c>
      <c r="BF141" s="74" t="str">
        <f aca="false">IF(ISBLANK($C141),"",IF(ISBLANK($AA141),0,IF(ISNUMBER($AA141),IF(AND($AA141&gt;=0,$AA141&lt;=Constants!$B$35,$AA141=INT($AA141)),$AA141,""),"")))</f>
        <v/>
      </c>
      <c r="BG141" s="74" t="str">
        <f aca="false">IF(ISBLANK($C141),"",IF($AB141=Constants!$B$2,TRUE(),IF($AB141=Constants!$B$3,FALSE(),TRUE())))</f>
        <v/>
      </c>
      <c r="BH141" s="74" t="str">
        <f aca="false">IF(ISBLANK($C141),"",IF($AC141=Constants!$B$2,TRUE(),IF($AC141=Constants!$B$3,FALSE(),TRUE())))</f>
        <v/>
      </c>
      <c r="BI141" s="74" t="str">
        <f aca="false">IF(ISBLANK($C141),"",IF($AD141=Constants!$B$2,TRUE(),IF($AD141=Constants!$B$3,FALSE(),TRUE())))</f>
        <v/>
      </c>
      <c r="BJ141" s="74" t="str">
        <f aca="false">IF(ISBLANK($C141),"",IF(ISNUMBER($AE141),IF($AE141&gt;=0,$AE141,""),""))</f>
        <v/>
      </c>
      <c r="BK141" s="74" t="str">
        <f aca="false">IF(ISBLANK($C141),"",IF($AF141=Constants!$B$2,TRUE(),IF($AF141=Constants!$B$3,FALSE(),FALSE())))</f>
        <v/>
      </c>
      <c r="BL141" s="73" t="str">
        <f aca="false">IF(ISBLANK($C141),"",IF($BK141,Constants!$B$7,IF(COUNTA($E141:$AE141)=0,Constants!$B$6,IF(OR(COUNTA($G141:$AE141)=0,NOT($AM141),$AS141),Constants!$B$5,IF(OR($CM141&lt;&gt;"",$CN141,$CO141,$CP141,$CQ141,$CR141,$CS141),Constants!$B$8,Constants!$B$4)))))</f>
        <v/>
      </c>
      <c r="BM141" s="74" t="str">
        <f aca="false">IF(ISBLANK($C141),"",IF($BL141&lt;&gt;Constants!$B$4,$BL141,IF(OR(NOT($AJ141),NOT($AL141),NOT($AT141)),Constants!$B$11,IF(OR(NOT($AR141),NOT($AU141),NOT($BI141),MAX($AN141,$AO141,$AP141)&gt;Constants!$B$30),Constants!$B$10,Constants!$B$9))))</f>
        <v/>
      </c>
      <c r="BN141" s="74" t="str">
        <f aca="false">IF($BL141&lt;&gt;Constants!$B$4,"",IF(NOT($AL141),0,MIN(Constants!$B$35,$BF141)))</f>
        <v/>
      </c>
      <c r="BO141" s="74" t="str">
        <f aca="false">IF($BL141&lt;&gt;Constants!$B$4,"",IF(NOT($AL141),0,IF($AW141,Constants!$B$18,IF($AV141,Constants!$B$17,0))))</f>
        <v/>
      </c>
      <c r="BP141" s="74" t="str">
        <f aca="false">IF($BL141&lt;&gt;Constants!$B$4,"",IF(NOT($AL141),0,Constants!$B$19*($AK141+$AX141+$AY141+$AZ141)))</f>
        <v/>
      </c>
      <c r="BQ141" s="74" t="str">
        <f aca="false">IF($BL141&lt;&gt;Constants!$B$4,"",IF(OR(NOT($AL141),NOT(ISNUMBER($BA141))),0,CHOOSE($BA141,Constants!$B$13,Constants!$B$14,Constants!$B$15,Constants!$B$16)))</f>
        <v/>
      </c>
      <c r="BR141" s="74" t="str">
        <f aca="false">IF($BL141&lt;&gt;Constants!$B$4,"",IF(NOT($AL141),0,Constants!$B$20*$BB141))</f>
        <v/>
      </c>
      <c r="BS141" s="74" t="str">
        <f aca="false">IF($BL141&lt;&gt;Constants!$B$4,"",IF(AND($AL141,$BD141,$BE141),Constants!$B$22,0))</f>
        <v/>
      </c>
      <c r="BT141" s="74" t="str">
        <f aca="false">IF($BL141&lt;&gt;Constants!$B$4,"",IF(OR(NOT($AL141),NOT($BD141)),0,IF($BJ141&gt;=2*$AH$9,0,Constants!$B$23*INT(ROUND(MIN($BJ141,$AH$9),6)))))</f>
        <v/>
      </c>
      <c r="BU141" s="74" t="str">
        <f aca="false">IF($BL141&lt;&gt;Constants!$B$4,"",IF(NOT($AL141),0,Constants!$B$24*INT(ROUND(MIN($BC141,$AH$9),6))))</f>
        <v/>
      </c>
      <c r="BV141" s="74" t="str">
        <f aca="false">IF($BL141&lt;&gt;Constants!$B$4,"",IF(AND($AL141,$BN141=0),Constants!$B$25,0))</f>
        <v/>
      </c>
      <c r="BW141" s="74" t="str">
        <f aca="false">IF($BL141&lt;&gt;Constants!$B$4,"",MIN(Constants!$B$29,MAX(0,Constants!$B$27*Constants!$B$28*INT(ROUND((Constants!$B$26-$AN141)/Constants!$B$28,6))))+MIN(Constants!$B$29,MAX(0,Constants!$B$27*Constants!$B$28*INT(ROUND((Constants!$B$26-$AO141)/Constants!$B$28,6))))+MIN(Constants!$B$29,MAX(0,Constants!$B$27*Constants!$B$28*INT(ROUND((Constants!$B$26-$AP141)/Constants!$B$28,6)))))</f>
        <v/>
      </c>
      <c r="BX141" s="74" t="str">
        <f aca="false">IF($BL141&lt;&gt;Constants!$B$4,"",IF(NOT($AL141),0,Constants!$B$31*INT(ROUND(MAX(0,MIN($BJ141,2*$AH$9)-$AH$9),6))))</f>
        <v/>
      </c>
      <c r="BY141" s="74" t="str">
        <f aca="false">IF($BL141&lt;&gt;Constants!$B$4,"",Constants!$B$32*(($AN141&gt;Constants!$B$26)+($AO141&gt;Constants!$B$26)+($AP141&gt;Constants!$B$26)))</f>
        <v/>
      </c>
      <c r="BZ141" s="74" t="str">
        <f aca="false">IF($BL141&lt;&gt;Constants!$B$4,"",IF(OR(NOT($AL141),$AQ141),0,Constants!$B$33))</f>
        <v/>
      </c>
      <c r="CA141" s="74" t="str">
        <f aca="false">IF($BL141&lt;&gt;Constants!$B$4,"",Constants!$B$34*$BN141)</f>
        <v/>
      </c>
      <c r="CB141" s="74" t="str">
        <f aca="false">IF($BL141&lt;&gt;Constants!$B$4,"",IF(OR(NOT($AL141),$BH141),0,Constants!$B$36))</f>
        <v/>
      </c>
      <c r="CC141" s="74" t="str">
        <f aca="false">IF($BL141&lt;&gt;Constants!$B$4,"",IF(OR(NOT($AL141),$BG141),0,Constants!$B$37))</f>
        <v/>
      </c>
      <c r="CD141" s="74" t="str">
        <f aca="false">IF($BL141&lt;&gt;Constants!$B$4,"",SUM($BX141:$CC141))</f>
        <v/>
      </c>
      <c r="CE141" s="74" t="str">
        <f aca="false">IF(ISBLANK($C141),"",IF($BL141&lt;&gt;Constants!$B$4,$BL141,SUM($BO141:$BW141)-$CD141))</f>
        <v/>
      </c>
      <c r="CF141" s="74" t="str">
        <f aca="false">IF(ISBLANK($C141),"",IF($BL141&lt;&gt;Constants!$B$4,$BL141,RANK($CE141,$CE$9:$CE$508)))</f>
        <v/>
      </c>
      <c r="CG141" s="74" t="str">
        <f aca="false">IF(ISBLANK($C141),"",IF($BL141&lt;&gt;Constants!$B$4,$BL141,COUNTIFS($BM$9:$BM$508,"&lt;"&amp;$BM141)+COUNTIFS($BM$9:$BM$508,$BM141,$CF$9:$CF$508,"&lt;"&amp;$CF141)+1))</f>
        <v/>
      </c>
      <c r="CH141" s="74" t="str">
        <f aca="false">IF(ISBLANK($C141),"",IF($BL141&lt;&gt;Constants!$B$4,$BL141,RANK($CD141,$CD$9:$CD$508,1)))</f>
        <v/>
      </c>
      <c r="CI141" s="74" t="str">
        <f aca="false">IF($BL141&lt;&gt;Constants!$B$4,"",$AN141+$AO141+$AP141)</f>
        <v/>
      </c>
      <c r="CJ141" s="74" t="str">
        <f aca="false">IF(ISBLANK($C141),"",IF($BL141&lt;&gt;Constants!$B$4,$BL141,RANK($CI141,$CI$9:$CI$508,1)))</f>
        <v/>
      </c>
      <c r="CK141" s="74" t="str">
        <f aca="false">IF(ISBLANK($C141),"",IF($BL141&lt;&gt;Constants!$B$4,$BL141,COUNTIFS($BM$9:$BM$508,"&lt;"&amp;$BM141)+COUNTIFS($BM$9:$BM$508,$BM141,$CF$9:$CF$508,"&lt;"&amp;$CF141)+COUNTIFS($BM$9:$BM$508,$BM141,$CF$9:$CF$508,$CF141,$CH$9:$CH$508,"&lt;"&amp;$CH141)+COUNTIFS($BM$9:$BM$508,$BM141,$CF$9:$CF$508,$CF141,$CH$9:$CH$508,$CH141,$CJ$9:$CJ$508,"&lt;"&amp;$CJ141)+1))</f>
        <v/>
      </c>
      <c r="CL141" s="74" t="str">
        <f aca="false">IF(ISBLANK($C141),"",IF($BL141&lt;&gt;Constants!$B$4,$BL141,$CG141-$CK141))</f>
        <v/>
      </c>
      <c r="CM141" s="74" t="str">
        <f aca="false">IF(ISBLANK($C141),"",IF(NOT($AL141),"",IF(ISBLANK($D$7),$CM$5,IF(NOT(ISNUMBER($D$7)),$CM$6,""))))</f>
        <v/>
      </c>
      <c r="CN141" s="74" t="str">
        <f aca="false">IF(ISBLANK($C141),"",OR($AN141="",$AO141="",$AP141=""))</f>
        <v/>
      </c>
      <c r="CO141" s="74" t="str">
        <f aca="false">IF(ISBLANK($C141),"",AND($AL141,$BA141=""))</f>
        <v/>
      </c>
      <c r="CP141" s="74" t="str">
        <f aca="false">IF(ISBLANK($C141),"",AND($AL141,$BB141=""))</f>
        <v/>
      </c>
      <c r="CQ141" s="74" t="str">
        <f aca="false">IF(ISBLANK($C141),"",AND($AL141,$BC141=""))</f>
        <v/>
      </c>
      <c r="CR141" s="74" t="str">
        <f aca="false">IF(ISBLANK($C141),"",AND($AL141,$BF141=""))</f>
        <v/>
      </c>
      <c r="CS141" s="74" t="str">
        <f aca="false">IF(ISBLANK($C141),"",AND($AL141,$BJ141=""))</f>
        <v/>
      </c>
      <c r="CT141" s="75"/>
      <c r="CU141" s="76"/>
      <c r="CV141" s="79" t="str">
        <f aca="false">IF(ISBLANK($C141),"",IF($BL141=Constants!$B$8,$CM141,""))</f>
        <v/>
      </c>
      <c r="CW141" s="76" t="str">
        <f aca="false">IF(ISBLANK($C141),"",IF($BL141&lt;&gt;Constants!$B$4,"",$BO141+$BP141))</f>
        <v/>
      </c>
      <c r="CX141" s="78" t="str">
        <f aca="false">IF(ISBLANK($C141),"",IF($BL141&lt;&gt;Constants!$B$4,"",$BQ141+$BR141+$BS141))</f>
        <v/>
      </c>
      <c r="CY141" s="78" t="str">
        <f aca="false">IF(ISBLANK($C141),"",IF($BL141&lt;&gt;Constants!$B$4,"",$BT141))</f>
        <v/>
      </c>
      <c r="CZ141" s="78" t="str">
        <f aca="false">IF(ISBLANK($C141),"",IF($BL141&lt;&gt;Constants!$B$4,"",$BU141+$BV141))</f>
        <v/>
      </c>
      <c r="DA141" s="78" t="str">
        <f aca="false">IF(ISBLANK($C141),"",IF($BL141&lt;&gt;Constants!$B$4,"",$BW141))</f>
        <v/>
      </c>
      <c r="DB141" s="78" t="str">
        <f aca="false">IF(ISBLANK($C141),"",IF($BL141&lt;&gt;Constants!$B$4,"",-$CD141))</f>
        <v/>
      </c>
      <c r="DC141" s="79" t="str">
        <f aca="false">IF(ISBLANK($C141),"",$CE141)</f>
        <v/>
      </c>
      <c r="DD141" s="80" t="str">
        <f aca="false">IF(ISBLANK($C141),"",$BM141)</f>
        <v/>
      </c>
      <c r="DE141" s="78" t="str">
        <f aca="false">IF(ISBLANK($C141),"",$CL141)</f>
        <v/>
      </c>
      <c r="DF141" s="78" t="str">
        <f aca="false">IF(ISBLANK($C141),"",$CK141)</f>
        <v/>
      </c>
      <c r="DG141" s="81" t="str">
        <f aca="false">IF(ISBLANK($C141),"",IF($DF141=Constants!$B$7,COUNTA($C$9:$C$508)+2,IF($DF141=Constants!$B$6,COUNTA($C$9:$C$508)+1,IF($DF141=Constants!$B$5,COUNTA($C$9:$C$508),$DF141))))</f>
        <v/>
      </c>
      <c r="DH141" s="7"/>
      <c r="DI141" s="82" t="n">
        <f aca="false">IF(OR(ISNUMBER($DF141),$DF141=Constants!$B$7,$DF141=Constants!$B$5,$DF141=Constants!$B$6),1,0)</f>
        <v>0</v>
      </c>
      <c r="DJ141" s="82" t="n">
        <v>133</v>
      </c>
      <c r="DK141" s="82" t="str">
        <f aca="false">IF(ISBLANK($C141),"",IF(ISNUMBER($DG141),$DG141+ROW($B141)/1000,""))</f>
        <v/>
      </c>
      <c r="DL141" s="82" t="str">
        <f aca="false">IF(ISNUMBER($DK141),RANK($DK141,$DK$9:$DK$508,1),"")</f>
        <v/>
      </c>
      <c r="DM141" s="82" t="str">
        <f aca="false">IF(ISBLANK($C141),"",$B141)</f>
        <v/>
      </c>
      <c r="DN141" s="82" t="str">
        <f aca="false">IF(ISBLANK($C141),"",$C141)</f>
        <v/>
      </c>
      <c r="DO141" s="82" t="str">
        <f aca="false">IF(ISBLANK($C141),"",$D141)</f>
        <v/>
      </c>
      <c r="DP141" s="83" t="str">
        <f aca="false">$DD141</f>
        <v/>
      </c>
      <c r="DQ141" s="84" t="str">
        <f aca="false">$DC141</f>
        <v/>
      </c>
      <c r="DR141" s="82" t="str">
        <f aca="false">IF(ISBLANK($C141),"",$DF141)</f>
        <v/>
      </c>
      <c r="DS141" s="85" t="str">
        <f aca="false">IF($DJ141&gt;$DI$8,"",VLOOKUP($DJ141,$DL$9:$DR$508,7,FALSE()))</f>
        <v/>
      </c>
      <c r="DT141" s="86" t="str">
        <f aca="false">IF($DJ141&gt;$DI$8,"",VLOOKUP($DJ141,$DL$9:$DR$508,2,FALSE()))</f>
        <v/>
      </c>
      <c r="DU141" s="86" t="str">
        <f aca="false">IF($DJ141&gt;$DI$8,"",VLOOKUP($DJ141,$DL$9:$DR$508,3,FALSE()))</f>
        <v/>
      </c>
      <c r="DV141" s="86" t="str">
        <f aca="false">IF($DJ141&gt;$DI$8,"",VLOOKUP($DJ141,$DL$9:$DR$508,4,FALSE()))</f>
        <v/>
      </c>
      <c r="DW141" s="86" t="str">
        <f aca="false">IF($DJ141&gt;$DI$8,"",VLOOKUP($DJ141,$DL$9:$DR$508,5,FALSE()))</f>
        <v/>
      </c>
      <c r="DX141" s="87" t="str">
        <f aca="false">IF($DJ141&gt;$DI$8,"",VLOOKUP($DJ141,$DL$9:$DR$508,6,FALSE()))</f>
        <v/>
      </c>
      <c r="DY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88"/>
      <c r="N142" s="88"/>
      <c r="O142" s="134"/>
      <c r="P142" s="134"/>
      <c r="Q142" s="88"/>
      <c r="R142" s="88"/>
      <c r="S142" s="88"/>
      <c r="T142" s="88"/>
      <c r="U142" s="134"/>
      <c r="V142" s="88"/>
      <c r="W142" s="70"/>
      <c r="X142" s="88"/>
      <c r="Y142" s="88"/>
      <c r="Z142" s="70"/>
      <c r="AA142" s="70"/>
      <c r="AB142" s="88"/>
      <c r="AC142" s="88"/>
      <c r="AD142" s="88"/>
      <c r="AE142" s="71"/>
      <c r="AF142" s="88"/>
      <c r="AG142" s="73"/>
      <c r="AH142" s="74"/>
      <c r="AI142" s="74"/>
      <c r="AJ142" s="74" t="str">
        <f aca="false">IF(ISBLANK($C142),"",IF($E142=Constants!$B$2,TRUE(),IF($E142=Constants!$B$3,FALSE(),TRUE())))</f>
        <v/>
      </c>
      <c r="AK142" s="74" t="str">
        <f aca="false">IF(ISBLANK($C142),"",IF($F142=Constants!$B$2,TRUE(),IF($F142=Constants!$B$3,FALSE(),FALSE())))</f>
        <v/>
      </c>
      <c r="AL142" s="74" t="str">
        <f aca="false">IF(ISBLANK($C142),"",IF($G142=Constants!$B$2,TRUE(),IF($G142=Constants!$B$3,FALSE(),TRUE())))</f>
        <v/>
      </c>
      <c r="AM142" s="74" t="str">
        <f aca="false">IF(ISBLANK($C142),"",IF($H142=Constants!$B$2,TRUE(),IF($H142=Constants!$B$3,FALSE(),TRUE())))</f>
        <v/>
      </c>
      <c r="AN142" s="74" t="str">
        <f aca="false">IF(ISBLANK($C142),"",IF(ISNUMBER($I142),IF($I142&gt;=0,$I142,""),""))</f>
        <v/>
      </c>
      <c r="AO142" s="74" t="str">
        <f aca="false">IF(ISBLANK($C142),"",IF(ISNUMBER($J142),IF($J142&gt;=0,$J142,""),""))</f>
        <v/>
      </c>
      <c r="AP142" s="74" t="str">
        <f aca="false">IF(ISBLANK($C142),"",IF(ISNUMBER($K142),IF($K142&gt;=0,$K142,""),""))</f>
        <v/>
      </c>
      <c r="AQ142" s="74" t="str">
        <f aca="false">IF(ISBLANK($C142),"",IF($L142=Constants!$B$2,TRUE(),IF($L142=Constants!$B$3,FALSE(),TRUE())))</f>
        <v/>
      </c>
      <c r="AR142" s="74" t="str">
        <f aca="false">IF(ISBLANK($C142),"",IF($M142=Constants!$B$2,TRUE(),IF($M142=Constants!$B$3,FALSE(),TRUE())))</f>
        <v/>
      </c>
      <c r="AS142" s="74" t="str">
        <f aca="false">IF(ISBLANK($C142),"",IF($N142=Constants!$B$2,TRUE(),IF($N142=Constants!$B$3,FALSE(),FALSE())))</f>
        <v/>
      </c>
      <c r="AT142" s="74" t="str">
        <f aca="false">IF(ISBLANK($C142),"",IF($O142=Constants!$B$2,TRUE(),IF($O142=Constants!$B$3,FALSE(),TRUE())))</f>
        <v/>
      </c>
      <c r="AU142" s="74" t="str">
        <f aca="false">IF(ISBLANK($C142),"",IF($P142=Constants!$B$2,TRUE(),IF($P142=Constants!$B$3,FALSE(),TRUE())))</f>
        <v/>
      </c>
      <c r="AV142" s="74" t="str">
        <f aca="false">IF(ISBLANK($C142),"",IF($Q142=Constants!$B$2,TRUE(),IF($Q142=Constants!$B$3,FALSE(),FALSE())))</f>
        <v/>
      </c>
      <c r="AW142" s="74" t="str">
        <f aca="false">IF(ISBLANK($C142),"",IF($R142=Constants!$B$2,TRUE(),IF($R142=Constants!$B$3,FALSE(),FALSE())))</f>
        <v/>
      </c>
      <c r="AX142" s="74" t="str">
        <f aca="false">IF(ISBLANK($C142),"",IF($S142=Constants!$B$2,TRUE(),IF($S142=Constants!$B$3,FALSE(),FALSE())))</f>
        <v/>
      </c>
      <c r="AY142" s="74" t="str">
        <f aca="false">IF(ISBLANK($C142),"",IF($T142=Constants!$B$2,TRUE(),IF($T142=Constants!$B$3,FALSE(),FALSE())))</f>
        <v/>
      </c>
      <c r="AZ142" s="74" t="str">
        <f aca="false">IF(ISBLANK($C142),"",IF($U142=Constants!$B$2,TRUE(),IF($U142=Constants!$B$3,FALSE(),FALSE())))</f>
        <v/>
      </c>
      <c r="BA142" s="74" t="str">
        <f aca="false">IF(ISBLANK($C142),"",IF(OR($V142&amp;""="1",$V142&amp;""="2",$V142&amp;""="3",$V142&amp;""="4"),VALUE($V142&amp;""),IF($V142=Constants!$B$12,Constants!$B$12,"")))</f>
        <v/>
      </c>
      <c r="BB142" s="74" t="str">
        <f aca="false">IF(ISBLANK($C142),"",IF(ISBLANK($W142),0,IF(ISNUMBER($W142),IF(AND($W142&gt;=0,$W142&lt;=Constants!$B$21,$W142=INT($W142)),$W142,""),"")))</f>
        <v/>
      </c>
      <c r="BC142" s="74" t="str">
        <f aca="false">IF(ISBLANK($C142),"",IF(ISBLANK($X142),0,IF(ISNUMBER($X142),IF($X142&gt;=0,$X142,""),"")))</f>
        <v/>
      </c>
      <c r="BD142" s="74" t="str">
        <f aca="false">IF(ISBLANK($C142),"",IF($Y142=Constants!$B$2,TRUE(),IF($Y142=Constants!$B$3,FALSE(),TRUE())))</f>
        <v/>
      </c>
      <c r="BE142" s="74" t="str">
        <f aca="false">IF(ISBLANK($C142),"",IF($Z142=Constants!$B$2,TRUE(),IF($Z142=Constants!$B$3,FALSE(),FALSE())))</f>
        <v/>
      </c>
      <c r="BF142" s="74" t="str">
        <f aca="false">IF(ISBLANK($C142),"",IF(ISBLANK($AA142),0,IF(ISNUMBER($AA142),IF(AND($AA142&gt;=0,$AA142&lt;=Constants!$B$35,$AA142=INT($AA142)),$AA142,""),"")))</f>
        <v/>
      </c>
      <c r="BG142" s="74" t="str">
        <f aca="false">IF(ISBLANK($C142),"",IF($AB142=Constants!$B$2,TRUE(),IF($AB142=Constants!$B$3,FALSE(),TRUE())))</f>
        <v/>
      </c>
      <c r="BH142" s="74" t="str">
        <f aca="false">IF(ISBLANK($C142),"",IF($AC142=Constants!$B$2,TRUE(),IF($AC142=Constants!$B$3,FALSE(),TRUE())))</f>
        <v/>
      </c>
      <c r="BI142" s="74" t="str">
        <f aca="false">IF(ISBLANK($C142),"",IF($AD142=Constants!$B$2,TRUE(),IF($AD142=Constants!$B$3,FALSE(),TRUE())))</f>
        <v/>
      </c>
      <c r="BJ142" s="74" t="str">
        <f aca="false">IF(ISBLANK($C142),"",IF(ISNUMBER($AE142),IF($AE142&gt;=0,$AE142,""),""))</f>
        <v/>
      </c>
      <c r="BK142" s="74" t="str">
        <f aca="false">IF(ISBLANK($C142),"",IF($AF142=Constants!$B$2,TRUE(),IF($AF142=Constants!$B$3,FALSE(),FALSE())))</f>
        <v/>
      </c>
      <c r="BL142" s="73" t="str">
        <f aca="false">IF(ISBLANK($C142),"",IF($BK142,Constants!$B$7,IF(COUNTA($E142:$AE142)=0,Constants!$B$6,IF(OR(COUNTA($G142:$AE142)=0,NOT($AM142),$AS142),Constants!$B$5,IF(OR($CM142&lt;&gt;"",$CN142,$CO142,$CP142,$CQ142,$CR142,$CS142),Constants!$B$8,Constants!$B$4)))))</f>
        <v/>
      </c>
      <c r="BM142" s="74" t="str">
        <f aca="false">IF(ISBLANK($C142),"",IF($BL142&lt;&gt;Constants!$B$4,$BL142,IF(OR(NOT($AJ142),NOT($AL142),NOT($AT142)),Constants!$B$11,IF(OR(NOT($AR142),NOT($AU142),NOT($BI142),MAX($AN142,$AO142,$AP142)&gt;Constants!$B$30),Constants!$B$10,Constants!$B$9))))</f>
        <v/>
      </c>
      <c r="BN142" s="74" t="str">
        <f aca="false">IF($BL142&lt;&gt;Constants!$B$4,"",IF(NOT($AL142),0,MIN(Constants!$B$35,$BF142)))</f>
        <v/>
      </c>
      <c r="BO142" s="74" t="str">
        <f aca="false">IF($BL142&lt;&gt;Constants!$B$4,"",IF(NOT($AL142),0,IF($AW142,Constants!$B$18,IF($AV142,Constants!$B$17,0))))</f>
        <v/>
      </c>
      <c r="BP142" s="74" t="str">
        <f aca="false">IF($BL142&lt;&gt;Constants!$B$4,"",IF(NOT($AL142),0,Constants!$B$19*($AK142+$AX142+$AY142+$AZ142)))</f>
        <v/>
      </c>
      <c r="BQ142" s="74" t="str">
        <f aca="false">IF($BL142&lt;&gt;Constants!$B$4,"",IF(OR(NOT($AL142),NOT(ISNUMBER($BA142))),0,CHOOSE($BA142,Constants!$B$13,Constants!$B$14,Constants!$B$15,Constants!$B$16)))</f>
        <v/>
      </c>
      <c r="BR142" s="74" t="str">
        <f aca="false">IF($BL142&lt;&gt;Constants!$B$4,"",IF(NOT($AL142),0,Constants!$B$20*$BB142))</f>
        <v/>
      </c>
      <c r="BS142" s="74" t="str">
        <f aca="false">IF($BL142&lt;&gt;Constants!$B$4,"",IF(AND($AL142,$BD142,$BE142),Constants!$B$22,0))</f>
        <v/>
      </c>
      <c r="BT142" s="74" t="str">
        <f aca="false">IF($BL142&lt;&gt;Constants!$B$4,"",IF(OR(NOT($AL142),NOT($BD142)),0,IF($BJ142&gt;=2*$AH$9,0,Constants!$B$23*INT(ROUND(MIN($BJ142,$AH$9),6)))))</f>
        <v/>
      </c>
      <c r="BU142" s="74" t="str">
        <f aca="false">IF($BL142&lt;&gt;Constants!$B$4,"",IF(NOT($AL142),0,Constants!$B$24*INT(ROUND(MIN($BC142,$AH$9),6))))</f>
        <v/>
      </c>
      <c r="BV142" s="74" t="str">
        <f aca="false">IF($BL142&lt;&gt;Constants!$B$4,"",IF(AND($AL142,$BN142=0),Constants!$B$25,0))</f>
        <v/>
      </c>
      <c r="BW142" s="74" t="str">
        <f aca="false">IF($BL142&lt;&gt;Constants!$B$4,"",MIN(Constants!$B$29,MAX(0,Constants!$B$27*Constants!$B$28*INT(ROUND((Constants!$B$26-$AN142)/Constants!$B$28,6))))+MIN(Constants!$B$29,MAX(0,Constants!$B$27*Constants!$B$28*INT(ROUND((Constants!$B$26-$AO142)/Constants!$B$28,6))))+MIN(Constants!$B$29,MAX(0,Constants!$B$27*Constants!$B$28*INT(ROUND((Constants!$B$26-$AP142)/Constants!$B$28,6)))))</f>
        <v/>
      </c>
      <c r="BX142" s="74" t="str">
        <f aca="false">IF($BL142&lt;&gt;Constants!$B$4,"",IF(NOT($AL142),0,Constants!$B$31*INT(ROUND(MAX(0,MIN($BJ142,2*$AH$9)-$AH$9),6))))</f>
        <v/>
      </c>
      <c r="BY142" s="74" t="str">
        <f aca="false">IF($BL142&lt;&gt;Constants!$B$4,"",Constants!$B$32*(($AN142&gt;Constants!$B$26)+($AO142&gt;Constants!$B$26)+($AP142&gt;Constants!$B$26)))</f>
        <v/>
      </c>
      <c r="BZ142" s="74" t="str">
        <f aca="false">IF($BL142&lt;&gt;Constants!$B$4,"",IF(OR(NOT($AL142),$AQ142),0,Constants!$B$33))</f>
        <v/>
      </c>
      <c r="CA142" s="74" t="str">
        <f aca="false">IF($BL142&lt;&gt;Constants!$B$4,"",Constants!$B$34*$BN142)</f>
        <v/>
      </c>
      <c r="CB142" s="74" t="str">
        <f aca="false">IF($BL142&lt;&gt;Constants!$B$4,"",IF(OR(NOT($AL142),$BH142),0,Constants!$B$36))</f>
        <v/>
      </c>
      <c r="CC142" s="74" t="str">
        <f aca="false">IF($BL142&lt;&gt;Constants!$B$4,"",IF(OR(NOT($AL142),$BG142),0,Constants!$B$37))</f>
        <v/>
      </c>
      <c r="CD142" s="74" t="str">
        <f aca="false">IF($BL142&lt;&gt;Constants!$B$4,"",SUM($BX142:$CC142))</f>
        <v/>
      </c>
      <c r="CE142" s="74" t="str">
        <f aca="false">IF(ISBLANK($C142),"",IF($BL142&lt;&gt;Constants!$B$4,$BL142,SUM($BO142:$BW142)-$CD142))</f>
        <v/>
      </c>
      <c r="CF142" s="74" t="str">
        <f aca="false">IF(ISBLANK($C142),"",IF($BL142&lt;&gt;Constants!$B$4,$BL142,RANK($CE142,$CE$9:$CE$508)))</f>
        <v/>
      </c>
      <c r="CG142" s="74" t="str">
        <f aca="false">IF(ISBLANK($C142),"",IF($BL142&lt;&gt;Constants!$B$4,$BL142,COUNTIFS($BM$9:$BM$508,"&lt;"&amp;$BM142)+COUNTIFS($BM$9:$BM$508,$BM142,$CF$9:$CF$508,"&lt;"&amp;$CF142)+1))</f>
        <v/>
      </c>
      <c r="CH142" s="74" t="str">
        <f aca="false">IF(ISBLANK($C142),"",IF($BL142&lt;&gt;Constants!$B$4,$BL142,RANK($CD142,$CD$9:$CD$508,1)))</f>
        <v/>
      </c>
      <c r="CI142" s="74" t="str">
        <f aca="false">IF($BL142&lt;&gt;Constants!$B$4,"",$AN142+$AO142+$AP142)</f>
        <v/>
      </c>
      <c r="CJ142" s="74" t="str">
        <f aca="false">IF(ISBLANK($C142),"",IF($BL142&lt;&gt;Constants!$B$4,$BL142,RANK($CI142,$CI$9:$CI$508,1)))</f>
        <v/>
      </c>
      <c r="CK142" s="74" t="str">
        <f aca="false">IF(ISBLANK($C142),"",IF($BL142&lt;&gt;Constants!$B$4,$BL142,COUNTIFS($BM$9:$BM$508,"&lt;"&amp;$BM142)+COUNTIFS($BM$9:$BM$508,$BM142,$CF$9:$CF$508,"&lt;"&amp;$CF142)+COUNTIFS($BM$9:$BM$508,$BM142,$CF$9:$CF$508,$CF142,$CH$9:$CH$508,"&lt;"&amp;$CH142)+COUNTIFS($BM$9:$BM$508,$BM142,$CF$9:$CF$508,$CF142,$CH$9:$CH$508,$CH142,$CJ$9:$CJ$508,"&lt;"&amp;$CJ142)+1))</f>
        <v/>
      </c>
      <c r="CL142" s="74" t="str">
        <f aca="false">IF(ISBLANK($C142),"",IF($BL142&lt;&gt;Constants!$B$4,$BL142,$CG142-$CK142))</f>
        <v/>
      </c>
      <c r="CM142" s="74" t="str">
        <f aca="false">IF(ISBLANK($C142),"",IF(NOT($AL142),"",IF(ISBLANK($D$7),$CM$5,IF(NOT(ISNUMBER($D$7)),$CM$6,""))))</f>
        <v/>
      </c>
      <c r="CN142" s="74" t="str">
        <f aca="false">IF(ISBLANK($C142),"",OR($AN142="",$AO142="",$AP142=""))</f>
        <v/>
      </c>
      <c r="CO142" s="74" t="str">
        <f aca="false">IF(ISBLANK($C142),"",AND($AL142,$BA142=""))</f>
        <v/>
      </c>
      <c r="CP142" s="74" t="str">
        <f aca="false">IF(ISBLANK($C142),"",AND($AL142,$BB142=""))</f>
        <v/>
      </c>
      <c r="CQ142" s="74" t="str">
        <f aca="false">IF(ISBLANK($C142),"",AND($AL142,$BC142=""))</f>
        <v/>
      </c>
      <c r="CR142" s="74" t="str">
        <f aca="false">IF(ISBLANK($C142),"",AND($AL142,$BF142=""))</f>
        <v/>
      </c>
      <c r="CS142" s="74" t="str">
        <f aca="false">IF(ISBLANK($C142),"",AND($AL142,$BJ142=""))</f>
        <v/>
      </c>
      <c r="CT142" s="75"/>
      <c r="CU142" s="76"/>
      <c r="CV142" s="79" t="str">
        <f aca="false">IF(ISBLANK($C142),"",IF($BL142=Constants!$B$8,$CM142,""))</f>
        <v/>
      </c>
      <c r="CW142" s="76" t="str">
        <f aca="false">IF(ISBLANK($C142),"",IF($BL142&lt;&gt;Constants!$B$4,"",$BO142+$BP142))</f>
        <v/>
      </c>
      <c r="CX142" s="78" t="str">
        <f aca="false">IF(ISBLANK($C142),"",IF($BL142&lt;&gt;Constants!$B$4,"",$BQ142+$BR142+$BS142))</f>
        <v/>
      </c>
      <c r="CY142" s="78" t="str">
        <f aca="false">IF(ISBLANK($C142),"",IF($BL142&lt;&gt;Constants!$B$4,"",$BT142))</f>
        <v/>
      </c>
      <c r="CZ142" s="78" t="str">
        <f aca="false">IF(ISBLANK($C142),"",IF($BL142&lt;&gt;Constants!$B$4,"",$BU142+$BV142))</f>
        <v/>
      </c>
      <c r="DA142" s="78" t="str">
        <f aca="false">IF(ISBLANK($C142),"",IF($BL142&lt;&gt;Constants!$B$4,"",$BW142))</f>
        <v/>
      </c>
      <c r="DB142" s="78" t="str">
        <f aca="false">IF(ISBLANK($C142),"",IF($BL142&lt;&gt;Constants!$B$4,"",-$CD142))</f>
        <v/>
      </c>
      <c r="DC142" s="79" t="str">
        <f aca="false">IF(ISBLANK($C142),"",$CE142)</f>
        <v/>
      </c>
      <c r="DD142" s="80" t="str">
        <f aca="false">IF(ISBLANK($C142),"",$BM142)</f>
        <v/>
      </c>
      <c r="DE142" s="78" t="str">
        <f aca="false">IF(ISBLANK($C142),"",$CL142)</f>
        <v/>
      </c>
      <c r="DF142" s="78" t="str">
        <f aca="false">IF(ISBLANK($C142),"",$CK142)</f>
        <v/>
      </c>
      <c r="DG142" s="81" t="str">
        <f aca="false">IF(ISBLANK($C142),"",IF($DF142=Constants!$B$7,COUNTA($C$9:$C$508)+2,IF($DF142=Constants!$B$6,COUNTA($C$9:$C$508)+1,IF($DF142=Constants!$B$5,COUNTA($C$9:$C$508),$DF142))))</f>
        <v/>
      </c>
      <c r="DH142" s="7"/>
      <c r="DI142" s="82" t="n">
        <f aca="false">IF(OR(ISNUMBER($DF142),$DF142=Constants!$B$7,$DF142=Constants!$B$5,$DF142=Constants!$B$6),1,0)</f>
        <v>0</v>
      </c>
      <c r="DJ142" s="82" t="n">
        <v>134</v>
      </c>
      <c r="DK142" s="82" t="str">
        <f aca="false">IF(ISBLANK($C142),"",IF(ISNUMBER($DG142),$DG142+ROW($B142)/1000,""))</f>
        <v/>
      </c>
      <c r="DL142" s="82" t="str">
        <f aca="false">IF(ISNUMBER($DK142),RANK($DK142,$DK$9:$DK$508,1),"")</f>
        <v/>
      </c>
      <c r="DM142" s="82" t="str">
        <f aca="false">IF(ISBLANK($C142),"",$B142)</f>
        <v/>
      </c>
      <c r="DN142" s="82" t="str">
        <f aca="false">IF(ISBLANK($C142),"",$C142)</f>
        <v/>
      </c>
      <c r="DO142" s="82" t="str">
        <f aca="false">IF(ISBLANK($C142),"",$D142)</f>
        <v/>
      </c>
      <c r="DP142" s="83" t="str">
        <f aca="false">$DD142</f>
        <v/>
      </c>
      <c r="DQ142" s="84" t="str">
        <f aca="false">$DC142</f>
        <v/>
      </c>
      <c r="DR142" s="82" t="str">
        <f aca="false">IF(ISBLANK($C142),"",$DF142)</f>
        <v/>
      </c>
      <c r="DS142" s="85" t="str">
        <f aca="false">IF($DJ142&gt;$DI$8,"",VLOOKUP($DJ142,$DL$9:$DR$508,7,FALSE()))</f>
        <v/>
      </c>
      <c r="DT142" s="86" t="str">
        <f aca="false">IF($DJ142&gt;$DI$8,"",VLOOKUP($DJ142,$DL$9:$DR$508,2,FALSE()))</f>
        <v/>
      </c>
      <c r="DU142" s="86" t="str">
        <f aca="false">IF($DJ142&gt;$DI$8,"",VLOOKUP($DJ142,$DL$9:$DR$508,3,FALSE()))</f>
        <v/>
      </c>
      <c r="DV142" s="86" t="str">
        <f aca="false">IF($DJ142&gt;$DI$8,"",VLOOKUP($DJ142,$DL$9:$DR$508,4,FALSE()))</f>
        <v/>
      </c>
      <c r="DW142" s="86" t="str">
        <f aca="false">IF($DJ142&gt;$DI$8,"",VLOOKUP($DJ142,$DL$9:$DR$508,5,FALSE()))</f>
        <v/>
      </c>
      <c r="DX142" s="87" t="str">
        <f aca="false">IF($DJ142&gt;$DI$8,"",VLOOKUP($DJ142,$DL$9:$DR$508,6,FALSE()))</f>
        <v/>
      </c>
      <c r="DY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88"/>
      <c r="N143" s="88"/>
      <c r="O143" s="134"/>
      <c r="P143" s="134"/>
      <c r="Q143" s="88"/>
      <c r="R143" s="88"/>
      <c r="S143" s="88"/>
      <c r="T143" s="88"/>
      <c r="U143" s="134"/>
      <c r="V143" s="88"/>
      <c r="W143" s="70"/>
      <c r="X143" s="88"/>
      <c r="Y143" s="88"/>
      <c r="Z143" s="70"/>
      <c r="AA143" s="70"/>
      <c r="AB143" s="88"/>
      <c r="AC143" s="88"/>
      <c r="AD143" s="88"/>
      <c r="AE143" s="71"/>
      <c r="AF143" s="88"/>
      <c r="AG143" s="73"/>
      <c r="AH143" s="74"/>
      <c r="AI143" s="74"/>
      <c r="AJ143" s="74" t="str">
        <f aca="false">IF(ISBLANK($C143),"",IF($E143=Constants!$B$2,TRUE(),IF($E143=Constants!$B$3,FALSE(),TRUE())))</f>
        <v/>
      </c>
      <c r="AK143" s="74" t="str">
        <f aca="false">IF(ISBLANK($C143),"",IF($F143=Constants!$B$2,TRUE(),IF($F143=Constants!$B$3,FALSE(),FALSE())))</f>
        <v/>
      </c>
      <c r="AL143" s="74" t="str">
        <f aca="false">IF(ISBLANK($C143),"",IF($G143=Constants!$B$2,TRUE(),IF($G143=Constants!$B$3,FALSE(),TRUE())))</f>
        <v/>
      </c>
      <c r="AM143" s="74" t="str">
        <f aca="false">IF(ISBLANK($C143),"",IF($H143=Constants!$B$2,TRUE(),IF($H143=Constants!$B$3,FALSE(),TRUE())))</f>
        <v/>
      </c>
      <c r="AN143" s="74" t="str">
        <f aca="false">IF(ISBLANK($C143),"",IF(ISNUMBER($I143),IF($I143&gt;=0,$I143,""),""))</f>
        <v/>
      </c>
      <c r="AO143" s="74" t="str">
        <f aca="false">IF(ISBLANK($C143),"",IF(ISNUMBER($J143),IF($J143&gt;=0,$J143,""),""))</f>
        <v/>
      </c>
      <c r="AP143" s="74" t="str">
        <f aca="false">IF(ISBLANK($C143),"",IF(ISNUMBER($K143),IF($K143&gt;=0,$K143,""),""))</f>
        <v/>
      </c>
      <c r="AQ143" s="74" t="str">
        <f aca="false">IF(ISBLANK($C143),"",IF($L143=Constants!$B$2,TRUE(),IF($L143=Constants!$B$3,FALSE(),TRUE())))</f>
        <v/>
      </c>
      <c r="AR143" s="74" t="str">
        <f aca="false">IF(ISBLANK($C143),"",IF($M143=Constants!$B$2,TRUE(),IF($M143=Constants!$B$3,FALSE(),TRUE())))</f>
        <v/>
      </c>
      <c r="AS143" s="74" t="str">
        <f aca="false">IF(ISBLANK($C143),"",IF($N143=Constants!$B$2,TRUE(),IF($N143=Constants!$B$3,FALSE(),FALSE())))</f>
        <v/>
      </c>
      <c r="AT143" s="74" t="str">
        <f aca="false">IF(ISBLANK($C143),"",IF($O143=Constants!$B$2,TRUE(),IF($O143=Constants!$B$3,FALSE(),TRUE())))</f>
        <v/>
      </c>
      <c r="AU143" s="74" t="str">
        <f aca="false">IF(ISBLANK($C143),"",IF($P143=Constants!$B$2,TRUE(),IF($P143=Constants!$B$3,FALSE(),TRUE())))</f>
        <v/>
      </c>
      <c r="AV143" s="74" t="str">
        <f aca="false">IF(ISBLANK($C143),"",IF($Q143=Constants!$B$2,TRUE(),IF($Q143=Constants!$B$3,FALSE(),FALSE())))</f>
        <v/>
      </c>
      <c r="AW143" s="74" t="str">
        <f aca="false">IF(ISBLANK($C143),"",IF($R143=Constants!$B$2,TRUE(),IF($R143=Constants!$B$3,FALSE(),FALSE())))</f>
        <v/>
      </c>
      <c r="AX143" s="74" t="str">
        <f aca="false">IF(ISBLANK($C143),"",IF($S143=Constants!$B$2,TRUE(),IF($S143=Constants!$B$3,FALSE(),FALSE())))</f>
        <v/>
      </c>
      <c r="AY143" s="74" t="str">
        <f aca="false">IF(ISBLANK($C143),"",IF($T143=Constants!$B$2,TRUE(),IF($T143=Constants!$B$3,FALSE(),FALSE())))</f>
        <v/>
      </c>
      <c r="AZ143" s="74" t="str">
        <f aca="false">IF(ISBLANK($C143),"",IF($U143=Constants!$B$2,TRUE(),IF($U143=Constants!$B$3,FALSE(),FALSE())))</f>
        <v/>
      </c>
      <c r="BA143" s="74" t="str">
        <f aca="false">IF(ISBLANK($C143),"",IF(OR($V143&amp;""="1",$V143&amp;""="2",$V143&amp;""="3",$V143&amp;""="4"),VALUE($V143&amp;""),IF($V143=Constants!$B$12,Constants!$B$12,"")))</f>
        <v/>
      </c>
      <c r="BB143" s="74" t="str">
        <f aca="false">IF(ISBLANK($C143),"",IF(ISBLANK($W143),0,IF(ISNUMBER($W143),IF(AND($W143&gt;=0,$W143&lt;=Constants!$B$21,$W143=INT($W143)),$W143,""),"")))</f>
        <v/>
      </c>
      <c r="BC143" s="74" t="str">
        <f aca="false">IF(ISBLANK($C143),"",IF(ISBLANK($X143),0,IF(ISNUMBER($X143),IF($X143&gt;=0,$X143,""),"")))</f>
        <v/>
      </c>
      <c r="BD143" s="74" t="str">
        <f aca="false">IF(ISBLANK($C143),"",IF($Y143=Constants!$B$2,TRUE(),IF($Y143=Constants!$B$3,FALSE(),TRUE())))</f>
        <v/>
      </c>
      <c r="BE143" s="74" t="str">
        <f aca="false">IF(ISBLANK($C143),"",IF($Z143=Constants!$B$2,TRUE(),IF($Z143=Constants!$B$3,FALSE(),FALSE())))</f>
        <v/>
      </c>
      <c r="BF143" s="74" t="str">
        <f aca="false">IF(ISBLANK($C143),"",IF(ISBLANK($AA143),0,IF(ISNUMBER($AA143),IF(AND($AA143&gt;=0,$AA143&lt;=Constants!$B$35,$AA143=INT($AA143)),$AA143,""),"")))</f>
        <v/>
      </c>
      <c r="BG143" s="74" t="str">
        <f aca="false">IF(ISBLANK($C143),"",IF($AB143=Constants!$B$2,TRUE(),IF($AB143=Constants!$B$3,FALSE(),TRUE())))</f>
        <v/>
      </c>
      <c r="BH143" s="74" t="str">
        <f aca="false">IF(ISBLANK($C143),"",IF($AC143=Constants!$B$2,TRUE(),IF($AC143=Constants!$B$3,FALSE(),TRUE())))</f>
        <v/>
      </c>
      <c r="BI143" s="74" t="str">
        <f aca="false">IF(ISBLANK($C143),"",IF($AD143=Constants!$B$2,TRUE(),IF($AD143=Constants!$B$3,FALSE(),TRUE())))</f>
        <v/>
      </c>
      <c r="BJ143" s="74" t="str">
        <f aca="false">IF(ISBLANK($C143),"",IF(ISNUMBER($AE143),IF($AE143&gt;=0,$AE143,""),""))</f>
        <v/>
      </c>
      <c r="BK143" s="74" t="str">
        <f aca="false">IF(ISBLANK($C143),"",IF($AF143=Constants!$B$2,TRUE(),IF($AF143=Constants!$B$3,FALSE(),FALSE())))</f>
        <v/>
      </c>
      <c r="BL143" s="73" t="str">
        <f aca="false">IF(ISBLANK($C143),"",IF($BK143,Constants!$B$7,IF(COUNTA($E143:$AE143)=0,Constants!$B$6,IF(OR(COUNTA($G143:$AE143)=0,NOT($AM143),$AS143),Constants!$B$5,IF(OR($CM143&lt;&gt;"",$CN143,$CO143,$CP143,$CQ143,$CR143,$CS143),Constants!$B$8,Constants!$B$4)))))</f>
        <v/>
      </c>
      <c r="BM143" s="74" t="str">
        <f aca="false">IF(ISBLANK($C143),"",IF($BL143&lt;&gt;Constants!$B$4,$BL143,IF(OR(NOT($AJ143),NOT($AL143),NOT($AT143)),Constants!$B$11,IF(OR(NOT($AR143),NOT($AU143),NOT($BI143),MAX($AN143,$AO143,$AP143)&gt;Constants!$B$30),Constants!$B$10,Constants!$B$9))))</f>
        <v/>
      </c>
      <c r="BN143" s="74" t="str">
        <f aca="false">IF($BL143&lt;&gt;Constants!$B$4,"",IF(NOT($AL143),0,MIN(Constants!$B$35,$BF143)))</f>
        <v/>
      </c>
      <c r="BO143" s="74" t="str">
        <f aca="false">IF($BL143&lt;&gt;Constants!$B$4,"",IF(NOT($AL143),0,IF($AW143,Constants!$B$18,IF($AV143,Constants!$B$17,0))))</f>
        <v/>
      </c>
      <c r="BP143" s="74" t="str">
        <f aca="false">IF($BL143&lt;&gt;Constants!$B$4,"",IF(NOT($AL143),0,Constants!$B$19*($AK143+$AX143+$AY143+$AZ143)))</f>
        <v/>
      </c>
      <c r="BQ143" s="74" t="str">
        <f aca="false">IF($BL143&lt;&gt;Constants!$B$4,"",IF(OR(NOT($AL143),NOT(ISNUMBER($BA143))),0,CHOOSE($BA143,Constants!$B$13,Constants!$B$14,Constants!$B$15,Constants!$B$16)))</f>
        <v/>
      </c>
      <c r="BR143" s="74" t="str">
        <f aca="false">IF($BL143&lt;&gt;Constants!$B$4,"",IF(NOT($AL143),0,Constants!$B$20*$BB143))</f>
        <v/>
      </c>
      <c r="BS143" s="74" t="str">
        <f aca="false">IF($BL143&lt;&gt;Constants!$B$4,"",IF(AND($AL143,$BD143,$BE143),Constants!$B$22,0))</f>
        <v/>
      </c>
      <c r="BT143" s="74" t="str">
        <f aca="false">IF($BL143&lt;&gt;Constants!$B$4,"",IF(OR(NOT($AL143),NOT($BD143)),0,IF($BJ143&gt;=2*$AH$9,0,Constants!$B$23*INT(ROUND(MIN($BJ143,$AH$9),6)))))</f>
        <v/>
      </c>
      <c r="BU143" s="74" t="str">
        <f aca="false">IF($BL143&lt;&gt;Constants!$B$4,"",IF(NOT($AL143),0,Constants!$B$24*INT(ROUND(MIN($BC143,$AH$9),6))))</f>
        <v/>
      </c>
      <c r="BV143" s="74" t="str">
        <f aca="false">IF($BL143&lt;&gt;Constants!$B$4,"",IF(AND($AL143,$BN143=0),Constants!$B$25,0))</f>
        <v/>
      </c>
      <c r="BW143" s="74" t="str">
        <f aca="false">IF($BL143&lt;&gt;Constants!$B$4,"",MIN(Constants!$B$29,MAX(0,Constants!$B$27*Constants!$B$28*INT(ROUND((Constants!$B$26-$AN143)/Constants!$B$28,6))))+MIN(Constants!$B$29,MAX(0,Constants!$B$27*Constants!$B$28*INT(ROUND((Constants!$B$26-$AO143)/Constants!$B$28,6))))+MIN(Constants!$B$29,MAX(0,Constants!$B$27*Constants!$B$28*INT(ROUND((Constants!$B$26-$AP143)/Constants!$B$28,6)))))</f>
        <v/>
      </c>
      <c r="BX143" s="74" t="str">
        <f aca="false">IF($BL143&lt;&gt;Constants!$B$4,"",IF(NOT($AL143),0,Constants!$B$31*INT(ROUND(MAX(0,MIN($BJ143,2*$AH$9)-$AH$9),6))))</f>
        <v/>
      </c>
      <c r="BY143" s="74" t="str">
        <f aca="false">IF($BL143&lt;&gt;Constants!$B$4,"",Constants!$B$32*(($AN143&gt;Constants!$B$26)+($AO143&gt;Constants!$B$26)+($AP143&gt;Constants!$B$26)))</f>
        <v/>
      </c>
      <c r="BZ143" s="74" t="str">
        <f aca="false">IF($BL143&lt;&gt;Constants!$B$4,"",IF(OR(NOT($AL143),$AQ143),0,Constants!$B$33))</f>
        <v/>
      </c>
      <c r="CA143" s="74" t="str">
        <f aca="false">IF($BL143&lt;&gt;Constants!$B$4,"",Constants!$B$34*$BN143)</f>
        <v/>
      </c>
      <c r="CB143" s="74" t="str">
        <f aca="false">IF($BL143&lt;&gt;Constants!$B$4,"",IF(OR(NOT($AL143),$BH143),0,Constants!$B$36))</f>
        <v/>
      </c>
      <c r="CC143" s="74" t="str">
        <f aca="false">IF($BL143&lt;&gt;Constants!$B$4,"",IF(OR(NOT($AL143),$BG143),0,Constants!$B$37))</f>
        <v/>
      </c>
      <c r="CD143" s="74" t="str">
        <f aca="false">IF($BL143&lt;&gt;Constants!$B$4,"",SUM($BX143:$CC143))</f>
        <v/>
      </c>
      <c r="CE143" s="74" t="str">
        <f aca="false">IF(ISBLANK($C143),"",IF($BL143&lt;&gt;Constants!$B$4,$BL143,SUM($BO143:$BW143)-$CD143))</f>
        <v/>
      </c>
      <c r="CF143" s="74" t="str">
        <f aca="false">IF(ISBLANK($C143),"",IF($BL143&lt;&gt;Constants!$B$4,$BL143,RANK($CE143,$CE$9:$CE$508)))</f>
        <v/>
      </c>
      <c r="CG143" s="74" t="str">
        <f aca="false">IF(ISBLANK($C143),"",IF($BL143&lt;&gt;Constants!$B$4,$BL143,COUNTIFS($BM$9:$BM$508,"&lt;"&amp;$BM143)+COUNTIFS($BM$9:$BM$508,$BM143,$CF$9:$CF$508,"&lt;"&amp;$CF143)+1))</f>
        <v/>
      </c>
      <c r="CH143" s="74" t="str">
        <f aca="false">IF(ISBLANK($C143),"",IF($BL143&lt;&gt;Constants!$B$4,$BL143,RANK($CD143,$CD$9:$CD$508,1)))</f>
        <v/>
      </c>
      <c r="CI143" s="74" t="str">
        <f aca="false">IF($BL143&lt;&gt;Constants!$B$4,"",$AN143+$AO143+$AP143)</f>
        <v/>
      </c>
      <c r="CJ143" s="74" t="str">
        <f aca="false">IF(ISBLANK($C143),"",IF($BL143&lt;&gt;Constants!$B$4,$BL143,RANK($CI143,$CI$9:$CI$508,1)))</f>
        <v/>
      </c>
      <c r="CK143" s="74" t="str">
        <f aca="false">IF(ISBLANK($C143),"",IF($BL143&lt;&gt;Constants!$B$4,$BL143,COUNTIFS($BM$9:$BM$508,"&lt;"&amp;$BM143)+COUNTIFS($BM$9:$BM$508,$BM143,$CF$9:$CF$508,"&lt;"&amp;$CF143)+COUNTIFS($BM$9:$BM$508,$BM143,$CF$9:$CF$508,$CF143,$CH$9:$CH$508,"&lt;"&amp;$CH143)+COUNTIFS($BM$9:$BM$508,$BM143,$CF$9:$CF$508,$CF143,$CH$9:$CH$508,$CH143,$CJ$9:$CJ$508,"&lt;"&amp;$CJ143)+1))</f>
        <v/>
      </c>
      <c r="CL143" s="74" t="str">
        <f aca="false">IF(ISBLANK($C143),"",IF($BL143&lt;&gt;Constants!$B$4,$BL143,$CG143-$CK143))</f>
        <v/>
      </c>
      <c r="CM143" s="74" t="str">
        <f aca="false">IF(ISBLANK($C143),"",IF(NOT($AL143),"",IF(ISBLANK($D$7),$CM$5,IF(NOT(ISNUMBER($D$7)),$CM$6,""))))</f>
        <v/>
      </c>
      <c r="CN143" s="74" t="str">
        <f aca="false">IF(ISBLANK($C143),"",OR($AN143="",$AO143="",$AP143=""))</f>
        <v/>
      </c>
      <c r="CO143" s="74" t="str">
        <f aca="false">IF(ISBLANK($C143),"",AND($AL143,$BA143=""))</f>
        <v/>
      </c>
      <c r="CP143" s="74" t="str">
        <f aca="false">IF(ISBLANK($C143),"",AND($AL143,$BB143=""))</f>
        <v/>
      </c>
      <c r="CQ143" s="74" t="str">
        <f aca="false">IF(ISBLANK($C143),"",AND($AL143,$BC143=""))</f>
        <v/>
      </c>
      <c r="CR143" s="74" t="str">
        <f aca="false">IF(ISBLANK($C143),"",AND($AL143,$BF143=""))</f>
        <v/>
      </c>
      <c r="CS143" s="74" t="str">
        <f aca="false">IF(ISBLANK($C143),"",AND($AL143,$BJ143=""))</f>
        <v/>
      </c>
      <c r="CT143" s="75"/>
      <c r="CU143" s="76"/>
      <c r="CV143" s="79" t="str">
        <f aca="false">IF(ISBLANK($C143),"",IF($BL143=Constants!$B$8,$CM143,""))</f>
        <v/>
      </c>
      <c r="CW143" s="76" t="str">
        <f aca="false">IF(ISBLANK($C143),"",IF($BL143&lt;&gt;Constants!$B$4,"",$BO143+$BP143))</f>
        <v/>
      </c>
      <c r="CX143" s="78" t="str">
        <f aca="false">IF(ISBLANK($C143),"",IF($BL143&lt;&gt;Constants!$B$4,"",$BQ143+$BR143+$BS143))</f>
        <v/>
      </c>
      <c r="CY143" s="78" t="str">
        <f aca="false">IF(ISBLANK($C143),"",IF($BL143&lt;&gt;Constants!$B$4,"",$BT143))</f>
        <v/>
      </c>
      <c r="CZ143" s="78" t="str">
        <f aca="false">IF(ISBLANK($C143),"",IF($BL143&lt;&gt;Constants!$B$4,"",$BU143+$BV143))</f>
        <v/>
      </c>
      <c r="DA143" s="78" t="str">
        <f aca="false">IF(ISBLANK($C143),"",IF($BL143&lt;&gt;Constants!$B$4,"",$BW143))</f>
        <v/>
      </c>
      <c r="DB143" s="78" t="str">
        <f aca="false">IF(ISBLANK($C143),"",IF($BL143&lt;&gt;Constants!$B$4,"",-$CD143))</f>
        <v/>
      </c>
      <c r="DC143" s="79" t="str">
        <f aca="false">IF(ISBLANK($C143),"",$CE143)</f>
        <v/>
      </c>
      <c r="DD143" s="80" t="str">
        <f aca="false">IF(ISBLANK($C143),"",$BM143)</f>
        <v/>
      </c>
      <c r="DE143" s="78" t="str">
        <f aca="false">IF(ISBLANK($C143),"",$CL143)</f>
        <v/>
      </c>
      <c r="DF143" s="78" t="str">
        <f aca="false">IF(ISBLANK($C143),"",$CK143)</f>
        <v/>
      </c>
      <c r="DG143" s="81" t="str">
        <f aca="false">IF(ISBLANK($C143),"",IF($DF143=Constants!$B$7,COUNTA($C$9:$C$508)+2,IF($DF143=Constants!$B$6,COUNTA($C$9:$C$508)+1,IF($DF143=Constants!$B$5,COUNTA($C$9:$C$508),$DF143))))</f>
        <v/>
      </c>
      <c r="DH143" s="7"/>
      <c r="DI143" s="82" t="n">
        <f aca="false">IF(OR(ISNUMBER($DF143),$DF143=Constants!$B$7,$DF143=Constants!$B$5,$DF143=Constants!$B$6),1,0)</f>
        <v>0</v>
      </c>
      <c r="DJ143" s="82" t="n">
        <v>135</v>
      </c>
      <c r="DK143" s="82" t="str">
        <f aca="false">IF(ISBLANK($C143),"",IF(ISNUMBER($DG143),$DG143+ROW($B143)/1000,""))</f>
        <v/>
      </c>
      <c r="DL143" s="82" t="str">
        <f aca="false">IF(ISNUMBER($DK143),RANK($DK143,$DK$9:$DK$508,1),"")</f>
        <v/>
      </c>
      <c r="DM143" s="82" t="str">
        <f aca="false">IF(ISBLANK($C143),"",$B143)</f>
        <v/>
      </c>
      <c r="DN143" s="82" t="str">
        <f aca="false">IF(ISBLANK($C143),"",$C143)</f>
        <v/>
      </c>
      <c r="DO143" s="82" t="str">
        <f aca="false">IF(ISBLANK($C143),"",$D143)</f>
        <v/>
      </c>
      <c r="DP143" s="83" t="str">
        <f aca="false">$DD143</f>
        <v/>
      </c>
      <c r="DQ143" s="84" t="str">
        <f aca="false">$DC143</f>
        <v/>
      </c>
      <c r="DR143" s="82" t="str">
        <f aca="false">IF(ISBLANK($C143),"",$DF143)</f>
        <v/>
      </c>
      <c r="DS143" s="85" t="str">
        <f aca="false">IF($DJ143&gt;$DI$8,"",VLOOKUP($DJ143,$DL$9:$DR$508,7,FALSE()))</f>
        <v/>
      </c>
      <c r="DT143" s="86" t="str">
        <f aca="false">IF($DJ143&gt;$DI$8,"",VLOOKUP($DJ143,$DL$9:$DR$508,2,FALSE()))</f>
        <v/>
      </c>
      <c r="DU143" s="86" t="str">
        <f aca="false">IF($DJ143&gt;$DI$8,"",VLOOKUP($DJ143,$DL$9:$DR$508,3,FALSE()))</f>
        <v/>
      </c>
      <c r="DV143" s="86" t="str">
        <f aca="false">IF($DJ143&gt;$DI$8,"",VLOOKUP($DJ143,$DL$9:$DR$508,4,FALSE()))</f>
        <v/>
      </c>
      <c r="DW143" s="86" t="str">
        <f aca="false">IF($DJ143&gt;$DI$8,"",VLOOKUP($DJ143,$DL$9:$DR$508,5,FALSE()))</f>
        <v/>
      </c>
      <c r="DX143" s="87" t="str">
        <f aca="false">IF($DJ143&gt;$DI$8,"",VLOOKUP($DJ143,$DL$9:$DR$508,6,FALSE()))</f>
        <v/>
      </c>
      <c r="DY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130"/>
      <c r="N144" s="130"/>
      <c r="O144" s="135"/>
      <c r="P144" s="135"/>
      <c r="Q144" s="130"/>
      <c r="R144" s="130"/>
      <c r="S144" s="130"/>
      <c r="T144" s="130"/>
      <c r="U144" s="135"/>
      <c r="V144" s="130"/>
      <c r="W144" s="96"/>
      <c r="X144" s="130"/>
      <c r="Y144" s="130"/>
      <c r="Z144" s="96"/>
      <c r="AA144" s="96"/>
      <c r="AB144" s="130"/>
      <c r="AC144" s="130"/>
      <c r="AD144" s="130"/>
      <c r="AE144" s="97"/>
      <c r="AF144" s="130"/>
      <c r="AG144" s="99"/>
      <c r="AH144" s="100"/>
      <c r="AI144" s="100"/>
      <c r="AJ144" s="100" t="str">
        <f aca="false">IF(ISBLANK($C144),"",IF($E144=Constants!$B$2,TRUE(),IF($E144=Constants!$B$3,FALSE(),TRUE())))</f>
        <v/>
      </c>
      <c r="AK144" s="100" t="str">
        <f aca="false">IF(ISBLANK($C144),"",IF($F144=Constants!$B$2,TRUE(),IF($F144=Constants!$B$3,FALSE(),FALSE())))</f>
        <v/>
      </c>
      <c r="AL144" s="100" t="str">
        <f aca="false">IF(ISBLANK($C144),"",IF($G144=Constants!$B$2,TRUE(),IF($G144=Constants!$B$3,FALSE(),TRUE())))</f>
        <v/>
      </c>
      <c r="AM144" s="100" t="str">
        <f aca="false">IF(ISBLANK($C144),"",IF($H144=Constants!$B$2,TRUE(),IF($H144=Constants!$B$3,FALSE(),TRUE())))</f>
        <v/>
      </c>
      <c r="AN144" s="100" t="str">
        <f aca="false">IF(ISBLANK($C144),"",IF(ISNUMBER($I144),IF($I144&gt;=0,$I144,""),""))</f>
        <v/>
      </c>
      <c r="AO144" s="100" t="str">
        <f aca="false">IF(ISBLANK($C144),"",IF(ISNUMBER($J144),IF($J144&gt;=0,$J144,""),""))</f>
        <v/>
      </c>
      <c r="AP144" s="100" t="str">
        <f aca="false">IF(ISBLANK($C144),"",IF(ISNUMBER($K144),IF($K144&gt;=0,$K144,""),""))</f>
        <v/>
      </c>
      <c r="AQ144" s="100" t="str">
        <f aca="false">IF(ISBLANK($C144),"",IF($L144=Constants!$B$2,TRUE(),IF($L144=Constants!$B$3,FALSE(),TRUE())))</f>
        <v/>
      </c>
      <c r="AR144" s="100" t="str">
        <f aca="false">IF(ISBLANK($C144),"",IF($M144=Constants!$B$2,TRUE(),IF($M144=Constants!$B$3,FALSE(),TRUE())))</f>
        <v/>
      </c>
      <c r="AS144" s="100" t="str">
        <f aca="false">IF(ISBLANK($C144),"",IF($N144=Constants!$B$2,TRUE(),IF($N144=Constants!$B$3,FALSE(),FALSE())))</f>
        <v/>
      </c>
      <c r="AT144" s="100" t="str">
        <f aca="false">IF(ISBLANK($C144),"",IF($O144=Constants!$B$2,TRUE(),IF($O144=Constants!$B$3,FALSE(),TRUE())))</f>
        <v/>
      </c>
      <c r="AU144" s="100" t="str">
        <f aca="false">IF(ISBLANK($C144),"",IF($P144=Constants!$B$2,TRUE(),IF($P144=Constants!$B$3,FALSE(),TRUE())))</f>
        <v/>
      </c>
      <c r="AV144" s="100" t="str">
        <f aca="false">IF(ISBLANK($C144),"",IF($Q144=Constants!$B$2,TRUE(),IF($Q144=Constants!$B$3,FALSE(),FALSE())))</f>
        <v/>
      </c>
      <c r="AW144" s="100" t="str">
        <f aca="false">IF(ISBLANK($C144),"",IF($R144=Constants!$B$2,TRUE(),IF($R144=Constants!$B$3,FALSE(),FALSE())))</f>
        <v/>
      </c>
      <c r="AX144" s="100" t="str">
        <f aca="false">IF(ISBLANK($C144),"",IF($S144=Constants!$B$2,TRUE(),IF($S144=Constants!$B$3,FALSE(),FALSE())))</f>
        <v/>
      </c>
      <c r="AY144" s="100" t="str">
        <f aca="false">IF(ISBLANK($C144),"",IF($T144=Constants!$B$2,TRUE(),IF($T144=Constants!$B$3,FALSE(),FALSE())))</f>
        <v/>
      </c>
      <c r="AZ144" s="100" t="str">
        <f aca="false">IF(ISBLANK($C144),"",IF($U144=Constants!$B$2,TRUE(),IF($U144=Constants!$B$3,FALSE(),FALSE())))</f>
        <v/>
      </c>
      <c r="BA144" s="100" t="str">
        <f aca="false">IF(ISBLANK($C144),"",IF(OR($V144&amp;""="1",$V144&amp;""="2",$V144&amp;""="3",$V144&amp;""="4"),VALUE($V144&amp;""),IF($V144=Constants!$B$12,Constants!$B$12,"")))</f>
        <v/>
      </c>
      <c r="BB144" s="100" t="str">
        <f aca="false">IF(ISBLANK($C144),"",IF(ISBLANK($W144),0,IF(ISNUMBER($W144),IF(AND($W144&gt;=0,$W144&lt;=Constants!$B$21,$W144=INT($W144)),$W144,""),"")))</f>
        <v/>
      </c>
      <c r="BC144" s="100" t="str">
        <f aca="false">IF(ISBLANK($C144),"",IF(ISBLANK($X144),0,IF(ISNUMBER($X144),IF($X144&gt;=0,$X144,""),"")))</f>
        <v/>
      </c>
      <c r="BD144" s="100" t="str">
        <f aca="false">IF(ISBLANK($C144),"",IF($Y144=Constants!$B$2,TRUE(),IF($Y144=Constants!$B$3,FALSE(),TRUE())))</f>
        <v/>
      </c>
      <c r="BE144" s="100" t="str">
        <f aca="false">IF(ISBLANK($C144),"",IF($Z144=Constants!$B$2,TRUE(),IF($Z144=Constants!$B$3,FALSE(),FALSE())))</f>
        <v/>
      </c>
      <c r="BF144" s="100" t="str">
        <f aca="false">IF(ISBLANK($C144),"",IF(ISBLANK($AA144),0,IF(ISNUMBER($AA144),IF(AND($AA144&gt;=0,$AA144&lt;=Constants!$B$35,$AA144=INT($AA144)),$AA144,""),"")))</f>
        <v/>
      </c>
      <c r="BG144" s="100" t="str">
        <f aca="false">IF(ISBLANK($C144),"",IF($AB144=Constants!$B$2,TRUE(),IF($AB144=Constants!$B$3,FALSE(),TRUE())))</f>
        <v/>
      </c>
      <c r="BH144" s="100" t="str">
        <f aca="false">IF(ISBLANK($C144),"",IF($AC144=Constants!$B$2,TRUE(),IF($AC144=Constants!$B$3,FALSE(),TRUE())))</f>
        <v/>
      </c>
      <c r="BI144" s="100" t="str">
        <f aca="false">IF(ISBLANK($C144),"",IF($AD144=Constants!$B$2,TRUE(),IF($AD144=Constants!$B$3,FALSE(),TRUE())))</f>
        <v/>
      </c>
      <c r="BJ144" s="100" t="str">
        <f aca="false">IF(ISBLANK($C144),"",IF(ISNUMBER($AE144),IF($AE144&gt;=0,$AE144,""),""))</f>
        <v/>
      </c>
      <c r="BK144" s="100" t="str">
        <f aca="false">IF(ISBLANK($C144),"",IF($AF144=Constants!$B$2,TRUE(),IF($AF144=Constants!$B$3,FALSE(),FALSE())))</f>
        <v/>
      </c>
      <c r="BL144" s="99" t="str">
        <f aca="false">IF(ISBLANK($C144),"",IF($BK144,Constants!$B$7,IF(COUNTA($E144:$AE144)=0,Constants!$B$6,IF(OR(COUNTA($G144:$AE144)=0,NOT($AM144),$AS144),Constants!$B$5,IF(OR($CM144&lt;&gt;"",$CN144,$CO144,$CP144,$CQ144,$CR144,$CS144),Constants!$B$8,Constants!$B$4)))))</f>
        <v/>
      </c>
      <c r="BM144" s="100" t="str">
        <f aca="false">IF(ISBLANK($C144),"",IF($BL144&lt;&gt;Constants!$B$4,$BL144,IF(OR(NOT($AJ144),NOT($AL144),NOT($AT144)),Constants!$B$11,IF(OR(NOT($AR144),NOT($AU144),NOT($BI144),MAX($AN144,$AO144,$AP144)&gt;Constants!$B$30),Constants!$B$10,Constants!$B$9))))</f>
        <v/>
      </c>
      <c r="BN144" s="100" t="str">
        <f aca="false">IF($BL144&lt;&gt;Constants!$B$4,"",IF(NOT($AL144),0,MIN(Constants!$B$35,$BF144)))</f>
        <v/>
      </c>
      <c r="BO144" s="100" t="str">
        <f aca="false">IF($BL144&lt;&gt;Constants!$B$4,"",IF(NOT($AL144),0,IF($AW144,Constants!$B$18,IF($AV144,Constants!$B$17,0))))</f>
        <v/>
      </c>
      <c r="BP144" s="100" t="str">
        <f aca="false">IF($BL144&lt;&gt;Constants!$B$4,"",IF(NOT($AL144),0,Constants!$B$19*($AK144+$AX144+$AY144+$AZ144)))</f>
        <v/>
      </c>
      <c r="BQ144" s="100" t="str">
        <f aca="false">IF($BL144&lt;&gt;Constants!$B$4,"",IF(OR(NOT($AL144),NOT(ISNUMBER($BA144))),0,CHOOSE($BA144,Constants!$B$13,Constants!$B$14,Constants!$B$15,Constants!$B$16)))</f>
        <v/>
      </c>
      <c r="BR144" s="100" t="str">
        <f aca="false">IF($BL144&lt;&gt;Constants!$B$4,"",IF(NOT($AL144),0,Constants!$B$20*$BB144))</f>
        <v/>
      </c>
      <c r="BS144" s="100" t="str">
        <f aca="false">IF($BL144&lt;&gt;Constants!$B$4,"",IF(AND($AL144,$BD144,$BE144),Constants!$B$22,0))</f>
        <v/>
      </c>
      <c r="BT144" s="100" t="str">
        <f aca="false">IF($BL144&lt;&gt;Constants!$B$4,"",IF(OR(NOT($AL144),NOT($BD144)),0,IF($BJ144&gt;=2*$AH$9,0,Constants!$B$23*INT(ROUND(MIN($BJ144,$AH$9),6)))))</f>
        <v/>
      </c>
      <c r="BU144" s="100" t="str">
        <f aca="false">IF($BL144&lt;&gt;Constants!$B$4,"",IF(NOT($AL144),0,Constants!$B$24*INT(ROUND(MIN($BC144,$AH$9),6))))</f>
        <v/>
      </c>
      <c r="BV144" s="100" t="str">
        <f aca="false">IF($BL144&lt;&gt;Constants!$B$4,"",IF(AND($AL144,$BN144=0),Constants!$B$25,0))</f>
        <v/>
      </c>
      <c r="BW144" s="100" t="str">
        <f aca="false">IF($BL144&lt;&gt;Constants!$B$4,"",MIN(Constants!$B$29,MAX(0,Constants!$B$27*Constants!$B$28*INT(ROUND((Constants!$B$26-$AN144)/Constants!$B$28,6))))+MIN(Constants!$B$29,MAX(0,Constants!$B$27*Constants!$B$28*INT(ROUND((Constants!$B$26-$AO144)/Constants!$B$28,6))))+MIN(Constants!$B$29,MAX(0,Constants!$B$27*Constants!$B$28*INT(ROUND((Constants!$B$26-$AP144)/Constants!$B$28,6)))))</f>
        <v/>
      </c>
      <c r="BX144" s="100" t="str">
        <f aca="false">IF($BL144&lt;&gt;Constants!$B$4,"",IF(NOT($AL144),0,Constants!$B$31*INT(ROUND(MAX(0,MIN($BJ144,2*$AH$9)-$AH$9),6))))</f>
        <v/>
      </c>
      <c r="BY144" s="100" t="str">
        <f aca="false">IF($BL144&lt;&gt;Constants!$B$4,"",Constants!$B$32*(($AN144&gt;Constants!$B$26)+($AO144&gt;Constants!$B$26)+($AP144&gt;Constants!$B$26)))</f>
        <v/>
      </c>
      <c r="BZ144" s="100" t="str">
        <f aca="false">IF($BL144&lt;&gt;Constants!$B$4,"",IF(OR(NOT($AL144),$AQ144),0,Constants!$B$33))</f>
        <v/>
      </c>
      <c r="CA144" s="100" t="str">
        <f aca="false">IF($BL144&lt;&gt;Constants!$B$4,"",Constants!$B$34*$BN144)</f>
        <v/>
      </c>
      <c r="CB144" s="100" t="str">
        <f aca="false">IF($BL144&lt;&gt;Constants!$B$4,"",IF(OR(NOT($AL144),$BH144),0,Constants!$B$36))</f>
        <v/>
      </c>
      <c r="CC144" s="100" t="str">
        <f aca="false">IF($BL144&lt;&gt;Constants!$B$4,"",IF(OR(NOT($AL144),$BG144),0,Constants!$B$37))</f>
        <v/>
      </c>
      <c r="CD144" s="100" t="str">
        <f aca="false">IF($BL144&lt;&gt;Constants!$B$4,"",SUM($BX144:$CC144))</f>
        <v/>
      </c>
      <c r="CE144" s="100" t="str">
        <f aca="false">IF(ISBLANK($C144),"",IF($BL144&lt;&gt;Constants!$B$4,$BL144,SUM($BO144:$BW144)-$CD144))</f>
        <v/>
      </c>
      <c r="CF144" s="100" t="str">
        <f aca="false">IF(ISBLANK($C144),"",IF($BL144&lt;&gt;Constants!$B$4,$BL144,RANK($CE144,$CE$9:$CE$508)))</f>
        <v/>
      </c>
      <c r="CG144" s="100" t="str">
        <f aca="false">IF(ISBLANK($C144),"",IF($BL144&lt;&gt;Constants!$B$4,$BL144,COUNTIFS($BM$9:$BM$508,"&lt;"&amp;$BM144)+COUNTIFS($BM$9:$BM$508,$BM144,$CF$9:$CF$508,"&lt;"&amp;$CF144)+1))</f>
        <v/>
      </c>
      <c r="CH144" s="100" t="str">
        <f aca="false">IF(ISBLANK($C144),"",IF($BL144&lt;&gt;Constants!$B$4,$BL144,RANK($CD144,$CD$9:$CD$508,1)))</f>
        <v/>
      </c>
      <c r="CI144" s="100" t="str">
        <f aca="false">IF($BL144&lt;&gt;Constants!$B$4,"",$AN144+$AO144+$AP144)</f>
        <v/>
      </c>
      <c r="CJ144" s="100" t="str">
        <f aca="false">IF(ISBLANK($C144),"",IF($BL144&lt;&gt;Constants!$B$4,$BL144,RANK($CI144,$CI$9:$CI$508,1)))</f>
        <v/>
      </c>
      <c r="CK144" s="100" t="str">
        <f aca="false">IF(ISBLANK($C144),"",IF($BL144&lt;&gt;Constants!$B$4,$BL144,COUNTIFS($BM$9:$BM$508,"&lt;"&amp;$BM144)+COUNTIFS($BM$9:$BM$508,$BM144,$CF$9:$CF$508,"&lt;"&amp;$CF144)+COUNTIFS($BM$9:$BM$508,$BM144,$CF$9:$CF$508,$CF144,$CH$9:$CH$508,"&lt;"&amp;$CH144)+COUNTIFS($BM$9:$BM$508,$BM144,$CF$9:$CF$508,$CF144,$CH$9:$CH$508,$CH144,$CJ$9:$CJ$508,"&lt;"&amp;$CJ144)+1))</f>
        <v/>
      </c>
      <c r="CL144" s="100" t="str">
        <f aca="false">IF(ISBLANK($C144),"",IF($BL144&lt;&gt;Constants!$B$4,$BL144,$CG144-$CK144))</f>
        <v/>
      </c>
      <c r="CM144" s="100" t="str">
        <f aca="false">IF(ISBLANK($C144),"",IF(NOT($AL144),"",IF(ISBLANK($D$7),$CM$5,IF(NOT(ISNUMBER($D$7)),$CM$6,""))))</f>
        <v/>
      </c>
      <c r="CN144" s="100" t="str">
        <f aca="false">IF(ISBLANK($C144),"",OR($AN144="",$AO144="",$AP144=""))</f>
        <v/>
      </c>
      <c r="CO144" s="100" t="str">
        <f aca="false">IF(ISBLANK($C144),"",AND($AL144,$BA144=""))</f>
        <v/>
      </c>
      <c r="CP144" s="100" t="str">
        <f aca="false">IF(ISBLANK($C144),"",AND($AL144,$BB144=""))</f>
        <v/>
      </c>
      <c r="CQ144" s="100" t="str">
        <f aca="false">IF(ISBLANK($C144),"",AND($AL144,$BC144=""))</f>
        <v/>
      </c>
      <c r="CR144" s="100" t="str">
        <f aca="false">IF(ISBLANK($C144),"",AND($AL144,$BF144=""))</f>
        <v/>
      </c>
      <c r="CS144" s="100" t="str">
        <f aca="false">IF(ISBLANK($C144),"",AND($AL144,$BJ144=""))</f>
        <v/>
      </c>
      <c r="CT144" s="101"/>
      <c r="CU144" s="102"/>
      <c r="CV144" s="103" t="str">
        <f aca="false">IF(ISBLANK($C144),"",IF($BL144=Constants!$B$8,$CM144,""))</f>
        <v/>
      </c>
      <c r="CW144" s="102" t="str">
        <f aca="false">IF(ISBLANK($C144),"",IF($BL144&lt;&gt;Constants!$B$4,"",$BO144+$BP144))</f>
        <v/>
      </c>
      <c r="CX144" s="104" t="str">
        <f aca="false">IF(ISBLANK($C144),"",IF($BL144&lt;&gt;Constants!$B$4,"",$BQ144+$BR144+$BS144))</f>
        <v/>
      </c>
      <c r="CY144" s="104" t="str">
        <f aca="false">IF(ISBLANK($C144),"",IF($BL144&lt;&gt;Constants!$B$4,"",$BT144))</f>
        <v/>
      </c>
      <c r="CZ144" s="104" t="str">
        <f aca="false">IF(ISBLANK($C144),"",IF($BL144&lt;&gt;Constants!$B$4,"",$BU144+$BV144))</f>
        <v/>
      </c>
      <c r="DA144" s="104" t="str">
        <f aca="false">IF(ISBLANK($C144),"",IF($BL144&lt;&gt;Constants!$B$4,"",$BW144))</f>
        <v/>
      </c>
      <c r="DB144" s="104" t="str">
        <f aca="false">IF(ISBLANK($C144),"",IF($BL144&lt;&gt;Constants!$B$4,"",-$CD144))</f>
        <v/>
      </c>
      <c r="DC144" s="103" t="str">
        <f aca="false">IF(ISBLANK($C144),"",$CE144)</f>
        <v/>
      </c>
      <c r="DD144" s="105" t="str">
        <f aca="false">IF(ISBLANK($C144),"",$BM144)</f>
        <v/>
      </c>
      <c r="DE144" s="104" t="str">
        <f aca="false">IF(ISBLANK($C144),"",$CL144)</f>
        <v/>
      </c>
      <c r="DF144" s="104" t="str">
        <f aca="false">IF(ISBLANK($C144),"",$CK144)</f>
        <v/>
      </c>
      <c r="DG144" s="106" t="str">
        <f aca="false">IF(ISBLANK($C144),"",IF($DF144=Constants!$B$7,COUNTA($C$9:$C$508)+2,IF($DF144=Constants!$B$6,COUNTA($C$9:$C$508)+1,IF($DF144=Constants!$B$5,COUNTA($C$9:$C$508),$DF144))))</f>
        <v/>
      </c>
      <c r="DH144" s="7"/>
      <c r="DI144" s="107" t="n">
        <f aca="false">IF(OR(ISNUMBER($DF144),$DF144=Constants!$B$7,$DF144=Constants!$B$5,$DF144=Constants!$B$6),1,0)</f>
        <v>0</v>
      </c>
      <c r="DJ144" s="107" t="n">
        <v>136</v>
      </c>
      <c r="DK144" s="107" t="str">
        <f aca="false">IF(ISBLANK($C144),"",IF(ISNUMBER($DG144),$DG144+ROW($B144)/1000,""))</f>
        <v/>
      </c>
      <c r="DL144" s="107" t="str">
        <f aca="false">IF(ISNUMBER($DK144),RANK($DK144,$DK$9:$DK$508,1),"")</f>
        <v/>
      </c>
      <c r="DM144" s="107" t="str">
        <f aca="false">IF(ISBLANK($C144),"",$B144)</f>
        <v/>
      </c>
      <c r="DN144" s="107" t="str">
        <f aca="false">IF(ISBLANK($C144),"",$C144)</f>
        <v/>
      </c>
      <c r="DO144" s="107" t="str">
        <f aca="false">IF(ISBLANK($C144),"",$D144)</f>
        <v/>
      </c>
      <c r="DP144" s="108" t="str">
        <f aca="false">$DD144</f>
        <v/>
      </c>
      <c r="DQ144" s="109" t="str">
        <f aca="false">$DC144</f>
        <v/>
      </c>
      <c r="DR144" s="107" t="str">
        <f aca="false">IF(ISBLANK($C144),"",$DF144)</f>
        <v/>
      </c>
      <c r="DS144" s="110" t="str">
        <f aca="false">IF($DJ144&gt;$DI$8,"",VLOOKUP($DJ144,$DL$9:$DR$508,7,FALSE()))</f>
        <v/>
      </c>
      <c r="DT144" s="111" t="str">
        <f aca="false">IF($DJ144&gt;$DI$8,"",VLOOKUP($DJ144,$DL$9:$DR$508,2,FALSE()))</f>
        <v/>
      </c>
      <c r="DU144" s="111" t="str">
        <f aca="false">IF($DJ144&gt;$DI$8,"",VLOOKUP($DJ144,$DL$9:$DR$508,3,FALSE()))</f>
        <v/>
      </c>
      <c r="DV144" s="111" t="str">
        <f aca="false">IF($DJ144&gt;$DI$8,"",VLOOKUP($DJ144,$DL$9:$DR$508,4,FALSE()))</f>
        <v/>
      </c>
      <c r="DW144" s="111" t="str">
        <f aca="false">IF($DJ144&gt;$DI$8,"",VLOOKUP($DJ144,$DL$9:$DR$508,5,FALSE()))</f>
        <v/>
      </c>
      <c r="DX144" s="112" t="str">
        <f aca="false">IF($DJ144&gt;$DI$8,"",VLOOKUP($DJ144,$DL$9:$DR$508,6,FALSE()))</f>
        <v/>
      </c>
      <c r="DY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130"/>
      <c r="N145" s="130"/>
      <c r="O145" s="135"/>
      <c r="P145" s="135"/>
      <c r="Q145" s="130"/>
      <c r="R145" s="130"/>
      <c r="S145" s="130"/>
      <c r="T145" s="130"/>
      <c r="U145" s="135"/>
      <c r="V145" s="130"/>
      <c r="W145" s="96"/>
      <c r="X145" s="130"/>
      <c r="Y145" s="130"/>
      <c r="Z145" s="96"/>
      <c r="AA145" s="96"/>
      <c r="AB145" s="130"/>
      <c r="AC145" s="130"/>
      <c r="AD145" s="130"/>
      <c r="AE145" s="97"/>
      <c r="AF145" s="130"/>
      <c r="AG145" s="99"/>
      <c r="AH145" s="100"/>
      <c r="AI145" s="100"/>
      <c r="AJ145" s="100" t="str">
        <f aca="false">IF(ISBLANK($C145),"",IF($E145=Constants!$B$2,TRUE(),IF($E145=Constants!$B$3,FALSE(),TRUE())))</f>
        <v/>
      </c>
      <c r="AK145" s="100" t="str">
        <f aca="false">IF(ISBLANK($C145),"",IF($F145=Constants!$B$2,TRUE(),IF($F145=Constants!$B$3,FALSE(),FALSE())))</f>
        <v/>
      </c>
      <c r="AL145" s="100" t="str">
        <f aca="false">IF(ISBLANK($C145),"",IF($G145=Constants!$B$2,TRUE(),IF($G145=Constants!$B$3,FALSE(),TRUE())))</f>
        <v/>
      </c>
      <c r="AM145" s="100" t="str">
        <f aca="false">IF(ISBLANK($C145),"",IF($H145=Constants!$B$2,TRUE(),IF($H145=Constants!$B$3,FALSE(),TRUE())))</f>
        <v/>
      </c>
      <c r="AN145" s="100" t="str">
        <f aca="false">IF(ISBLANK($C145),"",IF(ISNUMBER($I145),IF($I145&gt;=0,$I145,""),""))</f>
        <v/>
      </c>
      <c r="AO145" s="100" t="str">
        <f aca="false">IF(ISBLANK($C145),"",IF(ISNUMBER($J145),IF($J145&gt;=0,$J145,""),""))</f>
        <v/>
      </c>
      <c r="AP145" s="100" t="str">
        <f aca="false">IF(ISBLANK($C145),"",IF(ISNUMBER($K145),IF($K145&gt;=0,$K145,""),""))</f>
        <v/>
      </c>
      <c r="AQ145" s="100" t="str">
        <f aca="false">IF(ISBLANK($C145),"",IF($L145=Constants!$B$2,TRUE(),IF($L145=Constants!$B$3,FALSE(),TRUE())))</f>
        <v/>
      </c>
      <c r="AR145" s="100" t="str">
        <f aca="false">IF(ISBLANK($C145),"",IF($M145=Constants!$B$2,TRUE(),IF($M145=Constants!$B$3,FALSE(),TRUE())))</f>
        <v/>
      </c>
      <c r="AS145" s="100" t="str">
        <f aca="false">IF(ISBLANK($C145),"",IF($N145=Constants!$B$2,TRUE(),IF($N145=Constants!$B$3,FALSE(),FALSE())))</f>
        <v/>
      </c>
      <c r="AT145" s="100" t="str">
        <f aca="false">IF(ISBLANK($C145),"",IF($O145=Constants!$B$2,TRUE(),IF($O145=Constants!$B$3,FALSE(),TRUE())))</f>
        <v/>
      </c>
      <c r="AU145" s="100" t="str">
        <f aca="false">IF(ISBLANK($C145),"",IF($P145=Constants!$B$2,TRUE(),IF($P145=Constants!$B$3,FALSE(),TRUE())))</f>
        <v/>
      </c>
      <c r="AV145" s="100" t="str">
        <f aca="false">IF(ISBLANK($C145),"",IF($Q145=Constants!$B$2,TRUE(),IF($Q145=Constants!$B$3,FALSE(),FALSE())))</f>
        <v/>
      </c>
      <c r="AW145" s="100" t="str">
        <f aca="false">IF(ISBLANK($C145),"",IF($R145=Constants!$B$2,TRUE(),IF($R145=Constants!$B$3,FALSE(),FALSE())))</f>
        <v/>
      </c>
      <c r="AX145" s="100" t="str">
        <f aca="false">IF(ISBLANK($C145),"",IF($S145=Constants!$B$2,TRUE(),IF($S145=Constants!$B$3,FALSE(),FALSE())))</f>
        <v/>
      </c>
      <c r="AY145" s="100" t="str">
        <f aca="false">IF(ISBLANK($C145),"",IF($T145=Constants!$B$2,TRUE(),IF($T145=Constants!$B$3,FALSE(),FALSE())))</f>
        <v/>
      </c>
      <c r="AZ145" s="100" t="str">
        <f aca="false">IF(ISBLANK($C145),"",IF($U145=Constants!$B$2,TRUE(),IF($U145=Constants!$B$3,FALSE(),FALSE())))</f>
        <v/>
      </c>
      <c r="BA145" s="100" t="str">
        <f aca="false">IF(ISBLANK($C145),"",IF(OR($V145&amp;""="1",$V145&amp;""="2",$V145&amp;""="3",$V145&amp;""="4"),VALUE($V145&amp;""),IF($V145=Constants!$B$12,Constants!$B$12,"")))</f>
        <v/>
      </c>
      <c r="BB145" s="100" t="str">
        <f aca="false">IF(ISBLANK($C145),"",IF(ISBLANK($W145),0,IF(ISNUMBER($W145),IF(AND($W145&gt;=0,$W145&lt;=Constants!$B$21,$W145=INT($W145)),$W145,""),"")))</f>
        <v/>
      </c>
      <c r="BC145" s="100" t="str">
        <f aca="false">IF(ISBLANK($C145),"",IF(ISBLANK($X145),0,IF(ISNUMBER($X145),IF($X145&gt;=0,$X145,""),"")))</f>
        <v/>
      </c>
      <c r="BD145" s="100" t="str">
        <f aca="false">IF(ISBLANK($C145),"",IF($Y145=Constants!$B$2,TRUE(),IF($Y145=Constants!$B$3,FALSE(),TRUE())))</f>
        <v/>
      </c>
      <c r="BE145" s="100" t="str">
        <f aca="false">IF(ISBLANK($C145),"",IF($Z145=Constants!$B$2,TRUE(),IF($Z145=Constants!$B$3,FALSE(),FALSE())))</f>
        <v/>
      </c>
      <c r="BF145" s="100" t="str">
        <f aca="false">IF(ISBLANK($C145),"",IF(ISBLANK($AA145),0,IF(ISNUMBER($AA145),IF(AND($AA145&gt;=0,$AA145&lt;=Constants!$B$35,$AA145=INT($AA145)),$AA145,""),"")))</f>
        <v/>
      </c>
      <c r="BG145" s="100" t="str">
        <f aca="false">IF(ISBLANK($C145),"",IF($AB145=Constants!$B$2,TRUE(),IF($AB145=Constants!$B$3,FALSE(),TRUE())))</f>
        <v/>
      </c>
      <c r="BH145" s="100" t="str">
        <f aca="false">IF(ISBLANK($C145),"",IF($AC145=Constants!$B$2,TRUE(),IF($AC145=Constants!$B$3,FALSE(),TRUE())))</f>
        <v/>
      </c>
      <c r="BI145" s="100" t="str">
        <f aca="false">IF(ISBLANK($C145),"",IF($AD145=Constants!$B$2,TRUE(),IF($AD145=Constants!$B$3,FALSE(),TRUE())))</f>
        <v/>
      </c>
      <c r="BJ145" s="100" t="str">
        <f aca="false">IF(ISBLANK($C145),"",IF(ISNUMBER($AE145),IF($AE145&gt;=0,$AE145,""),""))</f>
        <v/>
      </c>
      <c r="BK145" s="100" t="str">
        <f aca="false">IF(ISBLANK($C145),"",IF($AF145=Constants!$B$2,TRUE(),IF($AF145=Constants!$B$3,FALSE(),FALSE())))</f>
        <v/>
      </c>
      <c r="BL145" s="99" t="str">
        <f aca="false">IF(ISBLANK($C145),"",IF($BK145,Constants!$B$7,IF(COUNTA($E145:$AE145)=0,Constants!$B$6,IF(OR(COUNTA($G145:$AE145)=0,NOT($AM145),$AS145),Constants!$B$5,IF(OR($CM145&lt;&gt;"",$CN145,$CO145,$CP145,$CQ145,$CR145,$CS145),Constants!$B$8,Constants!$B$4)))))</f>
        <v/>
      </c>
      <c r="BM145" s="100" t="str">
        <f aca="false">IF(ISBLANK($C145),"",IF($BL145&lt;&gt;Constants!$B$4,$BL145,IF(OR(NOT($AJ145),NOT($AL145),NOT($AT145)),Constants!$B$11,IF(OR(NOT($AR145),NOT($AU145),NOT($BI145),MAX($AN145,$AO145,$AP145)&gt;Constants!$B$30),Constants!$B$10,Constants!$B$9))))</f>
        <v/>
      </c>
      <c r="BN145" s="100" t="str">
        <f aca="false">IF($BL145&lt;&gt;Constants!$B$4,"",IF(NOT($AL145),0,MIN(Constants!$B$35,$BF145)))</f>
        <v/>
      </c>
      <c r="BO145" s="100" t="str">
        <f aca="false">IF($BL145&lt;&gt;Constants!$B$4,"",IF(NOT($AL145),0,IF($AW145,Constants!$B$18,IF($AV145,Constants!$B$17,0))))</f>
        <v/>
      </c>
      <c r="BP145" s="100" t="str">
        <f aca="false">IF($BL145&lt;&gt;Constants!$B$4,"",IF(NOT($AL145),0,Constants!$B$19*($AK145+$AX145+$AY145+$AZ145)))</f>
        <v/>
      </c>
      <c r="BQ145" s="100" t="str">
        <f aca="false">IF($BL145&lt;&gt;Constants!$B$4,"",IF(OR(NOT($AL145),NOT(ISNUMBER($BA145))),0,CHOOSE($BA145,Constants!$B$13,Constants!$B$14,Constants!$B$15,Constants!$B$16)))</f>
        <v/>
      </c>
      <c r="BR145" s="100" t="str">
        <f aca="false">IF($BL145&lt;&gt;Constants!$B$4,"",IF(NOT($AL145),0,Constants!$B$20*$BB145))</f>
        <v/>
      </c>
      <c r="BS145" s="100" t="str">
        <f aca="false">IF($BL145&lt;&gt;Constants!$B$4,"",IF(AND($AL145,$BD145,$BE145),Constants!$B$22,0))</f>
        <v/>
      </c>
      <c r="BT145" s="100" t="str">
        <f aca="false">IF($BL145&lt;&gt;Constants!$B$4,"",IF(OR(NOT($AL145),NOT($BD145)),0,IF($BJ145&gt;=2*$AH$9,0,Constants!$B$23*INT(ROUND(MIN($BJ145,$AH$9),6)))))</f>
        <v/>
      </c>
      <c r="BU145" s="100" t="str">
        <f aca="false">IF($BL145&lt;&gt;Constants!$B$4,"",IF(NOT($AL145),0,Constants!$B$24*INT(ROUND(MIN($BC145,$AH$9),6))))</f>
        <v/>
      </c>
      <c r="BV145" s="100" t="str">
        <f aca="false">IF($BL145&lt;&gt;Constants!$B$4,"",IF(AND($AL145,$BN145=0),Constants!$B$25,0))</f>
        <v/>
      </c>
      <c r="BW145" s="100" t="str">
        <f aca="false">IF($BL145&lt;&gt;Constants!$B$4,"",MIN(Constants!$B$29,MAX(0,Constants!$B$27*Constants!$B$28*INT(ROUND((Constants!$B$26-$AN145)/Constants!$B$28,6))))+MIN(Constants!$B$29,MAX(0,Constants!$B$27*Constants!$B$28*INT(ROUND((Constants!$B$26-$AO145)/Constants!$B$28,6))))+MIN(Constants!$B$29,MAX(0,Constants!$B$27*Constants!$B$28*INT(ROUND((Constants!$B$26-$AP145)/Constants!$B$28,6)))))</f>
        <v/>
      </c>
      <c r="BX145" s="100" t="str">
        <f aca="false">IF($BL145&lt;&gt;Constants!$B$4,"",IF(NOT($AL145),0,Constants!$B$31*INT(ROUND(MAX(0,MIN($BJ145,2*$AH$9)-$AH$9),6))))</f>
        <v/>
      </c>
      <c r="BY145" s="100" t="str">
        <f aca="false">IF($BL145&lt;&gt;Constants!$B$4,"",Constants!$B$32*(($AN145&gt;Constants!$B$26)+($AO145&gt;Constants!$B$26)+($AP145&gt;Constants!$B$26)))</f>
        <v/>
      </c>
      <c r="BZ145" s="100" t="str">
        <f aca="false">IF($BL145&lt;&gt;Constants!$B$4,"",IF(OR(NOT($AL145),$AQ145),0,Constants!$B$33))</f>
        <v/>
      </c>
      <c r="CA145" s="100" t="str">
        <f aca="false">IF($BL145&lt;&gt;Constants!$B$4,"",Constants!$B$34*$BN145)</f>
        <v/>
      </c>
      <c r="CB145" s="100" t="str">
        <f aca="false">IF($BL145&lt;&gt;Constants!$B$4,"",IF(OR(NOT($AL145),$BH145),0,Constants!$B$36))</f>
        <v/>
      </c>
      <c r="CC145" s="100" t="str">
        <f aca="false">IF($BL145&lt;&gt;Constants!$B$4,"",IF(OR(NOT($AL145),$BG145),0,Constants!$B$37))</f>
        <v/>
      </c>
      <c r="CD145" s="100" t="str">
        <f aca="false">IF($BL145&lt;&gt;Constants!$B$4,"",SUM($BX145:$CC145))</f>
        <v/>
      </c>
      <c r="CE145" s="100" t="str">
        <f aca="false">IF(ISBLANK($C145),"",IF($BL145&lt;&gt;Constants!$B$4,$BL145,SUM($BO145:$BW145)-$CD145))</f>
        <v/>
      </c>
      <c r="CF145" s="100" t="str">
        <f aca="false">IF(ISBLANK($C145),"",IF($BL145&lt;&gt;Constants!$B$4,$BL145,RANK($CE145,$CE$9:$CE$508)))</f>
        <v/>
      </c>
      <c r="CG145" s="100" t="str">
        <f aca="false">IF(ISBLANK($C145),"",IF($BL145&lt;&gt;Constants!$B$4,$BL145,COUNTIFS($BM$9:$BM$508,"&lt;"&amp;$BM145)+COUNTIFS($BM$9:$BM$508,$BM145,$CF$9:$CF$508,"&lt;"&amp;$CF145)+1))</f>
        <v/>
      </c>
      <c r="CH145" s="100" t="str">
        <f aca="false">IF(ISBLANK($C145),"",IF($BL145&lt;&gt;Constants!$B$4,$BL145,RANK($CD145,$CD$9:$CD$508,1)))</f>
        <v/>
      </c>
      <c r="CI145" s="100" t="str">
        <f aca="false">IF($BL145&lt;&gt;Constants!$B$4,"",$AN145+$AO145+$AP145)</f>
        <v/>
      </c>
      <c r="CJ145" s="100" t="str">
        <f aca="false">IF(ISBLANK($C145),"",IF($BL145&lt;&gt;Constants!$B$4,$BL145,RANK($CI145,$CI$9:$CI$508,1)))</f>
        <v/>
      </c>
      <c r="CK145" s="100" t="str">
        <f aca="false">IF(ISBLANK($C145),"",IF($BL145&lt;&gt;Constants!$B$4,$BL145,COUNTIFS($BM$9:$BM$508,"&lt;"&amp;$BM145)+COUNTIFS($BM$9:$BM$508,$BM145,$CF$9:$CF$508,"&lt;"&amp;$CF145)+COUNTIFS($BM$9:$BM$508,$BM145,$CF$9:$CF$508,$CF145,$CH$9:$CH$508,"&lt;"&amp;$CH145)+COUNTIFS($BM$9:$BM$508,$BM145,$CF$9:$CF$508,$CF145,$CH$9:$CH$508,$CH145,$CJ$9:$CJ$508,"&lt;"&amp;$CJ145)+1))</f>
        <v/>
      </c>
      <c r="CL145" s="100" t="str">
        <f aca="false">IF(ISBLANK($C145),"",IF($BL145&lt;&gt;Constants!$B$4,$BL145,$CG145-$CK145))</f>
        <v/>
      </c>
      <c r="CM145" s="100" t="str">
        <f aca="false">IF(ISBLANK($C145),"",IF(NOT($AL145),"",IF(ISBLANK($D$7),$CM$5,IF(NOT(ISNUMBER($D$7)),$CM$6,""))))</f>
        <v/>
      </c>
      <c r="CN145" s="100" t="str">
        <f aca="false">IF(ISBLANK($C145),"",OR($AN145="",$AO145="",$AP145=""))</f>
        <v/>
      </c>
      <c r="CO145" s="100" t="str">
        <f aca="false">IF(ISBLANK($C145),"",AND($AL145,$BA145=""))</f>
        <v/>
      </c>
      <c r="CP145" s="100" t="str">
        <f aca="false">IF(ISBLANK($C145),"",AND($AL145,$BB145=""))</f>
        <v/>
      </c>
      <c r="CQ145" s="100" t="str">
        <f aca="false">IF(ISBLANK($C145),"",AND($AL145,$BC145=""))</f>
        <v/>
      </c>
      <c r="CR145" s="100" t="str">
        <f aca="false">IF(ISBLANK($C145),"",AND($AL145,$BF145=""))</f>
        <v/>
      </c>
      <c r="CS145" s="100" t="str">
        <f aca="false">IF(ISBLANK($C145),"",AND($AL145,$BJ145=""))</f>
        <v/>
      </c>
      <c r="CT145" s="101"/>
      <c r="CU145" s="102"/>
      <c r="CV145" s="103" t="str">
        <f aca="false">IF(ISBLANK($C145),"",IF($BL145=Constants!$B$8,$CM145,""))</f>
        <v/>
      </c>
      <c r="CW145" s="102" t="str">
        <f aca="false">IF(ISBLANK($C145),"",IF($BL145&lt;&gt;Constants!$B$4,"",$BO145+$BP145))</f>
        <v/>
      </c>
      <c r="CX145" s="104" t="str">
        <f aca="false">IF(ISBLANK($C145),"",IF($BL145&lt;&gt;Constants!$B$4,"",$BQ145+$BR145+$BS145))</f>
        <v/>
      </c>
      <c r="CY145" s="104" t="str">
        <f aca="false">IF(ISBLANK($C145),"",IF($BL145&lt;&gt;Constants!$B$4,"",$BT145))</f>
        <v/>
      </c>
      <c r="CZ145" s="104" t="str">
        <f aca="false">IF(ISBLANK($C145),"",IF($BL145&lt;&gt;Constants!$B$4,"",$BU145+$BV145))</f>
        <v/>
      </c>
      <c r="DA145" s="104" t="str">
        <f aca="false">IF(ISBLANK($C145),"",IF($BL145&lt;&gt;Constants!$B$4,"",$BW145))</f>
        <v/>
      </c>
      <c r="DB145" s="104" t="str">
        <f aca="false">IF(ISBLANK($C145),"",IF($BL145&lt;&gt;Constants!$B$4,"",-$CD145))</f>
        <v/>
      </c>
      <c r="DC145" s="103" t="str">
        <f aca="false">IF(ISBLANK($C145),"",$CE145)</f>
        <v/>
      </c>
      <c r="DD145" s="105" t="str">
        <f aca="false">IF(ISBLANK($C145),"",$BM145)</f>
        <v/>
      </c>
      <c r="DE145" s="104" t="str">
        <f aca="false">IF(ISBLANK($C145),"",$CL145)</f>
        <v/>
      </c>
      <c r="DF145" s="104" t="str">
        <f aca="false">IF(ISBLANK($C145),"",$CK145)</f>
        <v/>
      </c>
      <c r="DG145" s="106" t="str">
        <f aca="false">IF(ISBLANK($C145),"",IF($DF145=Constants!$B$7,COUNTA($C$9:$C$508)+2,IF($DF145=Constants!$B$6,COUNTA($C$9:$C$508)+1,IF($DF145=Constants!$B$5,COUNTA($C$9:$C$508),$DF145))))</f>
        <v/>
      </c>
      <c r="DH145" s="7"/>
      <c r="DI145" s="107" t="n">
        <f aca="false">IF(OR(ISNUMBER($DF145),$DF145=Constants!$B$7,$DF145=Constants!$B$5,$DF145=Constants!$B$6),1,0)</f>
        <v>0</v>
      </c>
      <c r="DJ145" s="107" t="n">
        <v>137</v>
      </c>
      <c r="DK145" s="107" t="str">
        <f aca="false">IF(ISBLANK($C145),"",IF(ISNUMBER($DG145),$DG145+ROW($B145)/1000,""))</f>
        <v/>
      </c>
      <c r="DL145" s="107" t="str">
        <f aca="false">IF(ISNUMBER($DK145),RANK($DK145,$DK$9:$DK$508,1),"")</f>
        <v/>
      </c>
      <c r="DM145" s="107" t="str">
        <f aca="false">IF(ISBLANK($C145),"",$B145)</f>
        <v/>
      </c>
      <c r="DN145" s="107" t="str">
        <f aca="false">IF(ISBLANK($C145),"",$C145)</f>
        <v/>
      </c>
      <c r="DO145" s="107" t="str">
        <f aca="false">IF(ISBLANK($C145),"",$D145)</f>
        <v/>
      </c>
      <c r="DP145" s="108" t="str">
        <f aca="false">$DD145</f>
        <v/>
      </c>
      <c r="DQ145" s="109" t="str">
        <f aca="false">$DC145</f>
        <v/>
      </c>
      <c r="DR145" s="107" t="str">
        <f aca="false">IF(ISBLANK($C145),"",$DF145)</f>
        <v/>
      </c>
      <c r="DS145" s="110" t="str">
        <f aca="false">IF($DJ145&gt;$DI$8,"",VLOOKUP($DJ145,$DL$9:$DR$508,7,FALSE()))</f>
        <v/>
      </c>
      <c r="DT145" s="111" t="str">
        <f aca="false">IF($DJ145&gt;$DI$8,"",VLOOKUP($DJ145,$DL$9:$DR$508,2,FALSE()))</f>
        <v/>
      </c>
      <c r="DU145" s="111" t="str">
        <f aca="false">IF($DJ145&gt;$DI$8,"",VLOOKUP($DJ145,$DL$9:$DR$508,3,FALSE()))</f>
        <v/>
      </c>
      <c r="DV145" s="111" t="str">
        <f aca="false">IF($DJ145&gt;$DI$8,"",VLOOKUP($DJ145,$DL$9:$DR$508,4,FALSE()))</f>
        <v/>
      </c>
      <c r="DW145" s="111" t="str">
        <f aca="false">IF($DJ145&gt;$DI$8,"",VLOOKUP($DJ145,$DL$9:$DR$508,5,FALSE()))</f>
        <v/>
      </c>
      <c r="DX145" s="112" t="str">
        <f aca="false">IF($DJ145&gt;$DI$8,"",VLOOKUP($DJ145,$DL$9:$DR$508,6,FALSE()))</f>
        <v/>
      </c>
      <c r="DY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130"/>
      <c r="N146" s="130"/>
      <c r="O146" s="135"/>
      <c r="P146" s="135"/>
      <c r="Q146" s="130"/>
      <c r="R146" s="130"/>
      <c r="S146" s="130"/>
      <c r="T146" s="130"/>
      <c r="U146" s="135"/>
      <c r="V146" s="130"/>
      <c r="W146" s="96"/>
      <c r="X146" s="130"/>
      <c r="Y146" s="130"/>
      <c r="Z146" s="96"/>
      <c r="AA146" s="96"/>
      <c r="AB146" s="130"/>
      <c r="AC146" s="130"/>
      <c r="AD146" s="130"/>
      <c r="AE146" s="97"/>
      <c r="AF146" s="130"/>
      <c r="AG146" s="99"/>
      <c r="AH146" s="100"/>
      <c r="AI146" s="100"/>
      <c r="AJ146" s="100" t="str">
        <f aca="false">IF(ISBLANK($C146),"",IF($E146=Constants!$B$2,TRUE(),IF($E146=Constants!$B$3,FALSE(),TRUE())))</f>
        <v/>
      </c>
      <c r="AK146" s="100" t="str">
        <f aca="false">IF(ISBLANK($C146),"",IF($F146=Constants!$B$2,TRUE(),IF($F146=Constants!$B$3,FALSE(),FALSE())))</f>
        <v/>
      </c>
      <c r="AL146" s="100" t="str">
        <f aca="false">IF(ISBLANK($C146),"",IF($G146=Constants!$B$2,TRUE(),IF($G146=Constants!$B$3,FALSE(),TRUE())))</f>
        <v/>
      </c>
      <c r="AM146" s="100" t="str">
        <f aca="false">IF(ISBLANK($C146),"",IF($H146=Constants!$B$2,TRUE(),IF($H146=Constants!$B$3,FALSE(),TRUE())))</f>
        <v/>
      </c>
      <c r="AN146" s="100" t="str">
        <f aca="false">IF(ISBLANK($C146),"",IF(ISNUMBER($I146),IF($I146&gt;=0,$I146,""),""))</f>
        <v/>
      </c>
      <c r="AO146" s="100" t="str">
        <f aca="false">IF(ISBLANK($C146),"",IF(ISNUMBER($J146),IF($J146&gt;=0,$J146,""),""))</f>
        <v/>
      </c>
      <c r="AP146" s="100" t="str">
        <f aca="false">IF(ISBLANK($C146),"",IF(ISNUMBER($K146),IF($K146&gt;=0,$K146,""),""))</f>
        <v/>
      </c>
      <c r="AQ146" s="100" t="str">
        <f aca="false">IF(ISBLANK($C146),"",IF($L146=Constants!$B$2,TRUE(),IF($L146=Constants!$B$3,FALSE(),TRUE())))</f>
        <v/>
      </c>
      <c r="AR146" s="100" t="str">
        <f aca="false">IF(ISBLANK($C146),"",IF($M146=Constants!$B$2,TRUE(),IF($M146=Constants!$B$3,FALSE(),TRUE())))</f>
        <v/>
      </c>
      <c r="AS146" s="100" t="str">
        <f aca="false">IF(ISBLANK($C146),"",IF($N146=Constants!$B$2,TRUE(),IF($N146=Constants!$B$3,FALSE(),FALSE())))</f>
        <v/>
      </c>
      <c r="AT146" s="100" t="str">
        <f aca="false">IF(ISBLANK($C146),"",IF($O146=Constants!$B$2,TRUE(),IF($O146=Constants!$B$3,FALSE(),TRUE())))</f>
        <v/>
      </c>
      <c r="AU146" s="100" t="str">
        <f aca="false">IF(ISBLANK($C146),"",IF($P146=Constants!$B$2,TRUE(),IF($P146=Constants!$B$3,FALSE(),TRUE())))</f>
        <v/>
      </c>
      <c r="AV146" s="100" t="str">
        <f aca="false">IF(ISBLANK($C146),"",IF($Q146=Constants!$B$2,TRUE(),IF($Q146=Constants!$B$3,FALSE(),FALSE())))</f>
        <v/>
      </c>
      <c r="AW146" s="100" t="str">
        <f aca="false">IF(ISBLANK($C146),"",IF($R146=Constants!$B$2,TRUE(),IF($R146=Constants!$B$3,FALSE(),FALSE())))</f>
        <v/>
      </c>
      <c r="AX146" s="100" t="str">
        <f aca="false">IF(ISBLANK($C146),"",IF($S146=Constants!$B$2,TRUE(),IF($S146=Constants!$B$3,FALSE(),FALSE())))</f>
        <v/>
      </c>
      <c r="AY146" s="100" t="str">
        <f aca="false">IF(ISBLANK($C146),"",IF($T146=Constants!$B$2,TRUE(),IF($T146=Constants!$B$3,FALSE(),FALSE())))</f>
        <v/>
      </c>
      <c r="AZ146" s="100" t="str">
        <f aca="false">IF(ISBLANK($C146),"",IF($U146=Constants!$B$2,TRUE(),IF($U146=Constants!$B$3,FALSE(),FALSE())))</f>
        <v/>
      </c>
      <c r="BA146" s="100" t="str">
        <f aca="false">IF(ISBLANK($C146),"",IF(OR($V146&amp;""="1",$V146&amp;""="2",$V146&amp;""="3",$V146&amp;""="4"),VALUE($V146&amp;""),IF($V146=Constants!$B$12,Constants!$B$12,"")))</f>
        <v/>
      </c>
      <c r="BB146" s="100" t="str">
        <f aca="false">IF(ISBLANK($C146),"",IF(ISBLANK($W146),0,IF(ISNUMBER($W146),IF(AND($W146&gt;=0,$W146&lt;=Constants!$B$21,$W146=INT($W146)),$W146,""),"")))</f>
        <v/>
      </c>
      <c r="BC146" s="100" t="str">
        <f aca="false">IF(ISBLANK($C146),"",IF(ISBLANK($X146),0,IF(ISNUMBER($X146),IF($X146&gt;=0,$X146,""),"")))</f>
        <v/>
      </c>
      <c r="BD146" s="100" t="str">
        <f aca="false">IF(ISBLANK($C146),"",IF($Y146=Constants!$B$2,TRUE(),IF($Y146=Constants!$B$3,FALSE(),TRUE())))</f>
        <v/>
      </c>
      <c r="BE146" s="100" t="str">
        <f aca="false">IF(ISBLANK($C146),"",IF($Z146=Constants!$B$2,TRUE(),IF($Z146=Constants!$B$3,FALSE(),FALSE())))</f>
        <v/>
      </c>
      <c r="BF146" s="100" t="str">
        <f aca="false">IF(ISBLANK($C146),"",IF(ISBLANK($AA146),0,IF(ISNUMBER($AA146),IF(AND($AA146&gt;=0,$AA146&lt;=Constants!$B$35,$AA146=INT($AA146)),$AA146,""),"")))</f>
        <v/>
      </c>
      <c r="BG146" s="100" t="str">
        <f aca="false">IF(ISBLANK($C146),"",IF($AB146=Constants!$B$2,TRUE(),IF($AB146=Constants!$B$3,FALSE(),TRUE())))</f>
        <v/>
      </c>
      <c r="BH146" s="100" t="str">
        <f aca="false">IF(ISBLANK($C146),"",IF($AC146=Constants!$B$2,TRUE(),IF($AC146=Constants!$B$3,FALSE(),TRUE())))</f>
        <v/>
      </c>
      <c r="BI146" s="100" t="str">
        <f aca="false">IF(ISBLANK($C146),"",IF($AD146=Constants!$B$2,TRUE(),IF($AD146=Constants!$B$3,FALSE(),TRUE())))</f>
        <v/>
      </c>
      <c r="BJ146" s="100" t="str">
        <f aca="false">IF(ISBLANK($C146),"",IF(ISNUMBER($AE146),IF($AE146&gt;=0,$AE146,""),""))</f>
        <v/>
      </c>
      <c r="BK146" s="100" t="str">
        <f aca="false">IF(ISBLANK($C146),"",IF($AF146=Constants!$B$2,TRUE(),IF($AF146=Constants!$B$3,FALSE(),FALSE())))</f>
        <v/>
      </c>
      <c r="BL146" s="99" t="str">
        <f aca="false">IF(ISBLANK($C146),"",IF($BK146,Constants!$B$7,IF(COUNTA($E146:$AE146)=0,Constants!$B$6,IF(OR(COUNTA($G146:$AE146)=0,NOT($AM146),$AS146),Constants!$B$5,IF(OR($CM146&lt;&gt;"",$CN146,$CO146,$CP146,$CQ146,$CR146,$CS146),Constants!$B$8,Constants!$B$4)))))</f>
        <v/>
      </c>
      <c r="BM146" s="100" t="str">
        <f aca="false">IF(ISBLANK($C146),"",IF($BL146&lt;&gt;Constants!$B$4,$BL146,IF(OR(NOT($AJ146),NOT($AL146),NOT($AT146)),Constants!$B$11,IF(OR(NOT($AR146),NOT($AU146),NOT($BI146),MAX($AN146,$AO146,$AP146)&gt;Constants!$B$30),Constants!$B$10,Constants!$B$9))))</f>
        <v/>
      </c>
      <c r="BN146" s="100" t="str">
        <f aca="false">IF($BL146&lt;&gt;Constants!$B$4,"",IF(NOT($AL146),0,MIN(Constants!$B$35,$BF146)))</f>
        <v/>
      </c>
      <c r="BO146" s="100" t="str">
        <f aca="false">IF($BL146&lt;&gt;Constants!$B$4,"",IF(NOT($AL146),0,IF($AW146,Constants!$B$18,IF($AV146,Constants!$B$17,0))))</f>
        <v/>
      </c>
      <c r="BP146" s="100" t="str">
        <f aca="false">IF($BL146&lt;&gt;Constants!$B$4,"",IF(NOT($AL146),0,Constants!$B$19*($AK146+$AX146+$AY146+$AZ146)))</f>
        <v/>
      </c>
      <c r="BQ146" s="100" t="str">
        <f aca="false">IF($BL146&lt;&gt;Constants!$B$4,"",IF(OR(NOT($AL146),NOT(ISNUMBER($BA146))),0,CHOOSE($BA146,Constants!$B$13,Constants!$B$14,Constants!$B$15,Constants!$B$16)))</f>
        <v/>
      </c>
      <c r="BR146" s="100" t="str">
        <f aca="false">IF($BL146&lt;&gt;Constants!$B$4,"",IF(NOT($AL146),0,Constants!$B$20*$BB146))</f>
        <v/>
      </c>
      <c r="BS146" s="100" t="str">
        <f aca="false">IF($BL146&lt;&gt;Constants!$B$4,"",IF(AND($AL146,$BD146,$BE146),Constants!$B$22,0))</f>
        <v/>
      </c>
      <c r="BT146" s="100" t="str">
        <f aca="false">IF($BL146&lt;&gt;Constants!$B$4,"",IF(OR(NOT($AL146),NOT($BD146)),0,IF($BJ146&gt;=2*$AH$9,0,Constants!$B$23*INT(ROUND(MIN($BJ146,$AH$9),6)))))</f>
        <v/>
      </c>
      <c r="BU146" s="100" t="str">
        <f aca="false">IF($BL146&lt;&gt;Constants!$B$4,"",IF(NOT($AL146),0,Constants!$B$24*INT(ROUND(MIN($BC146,$AH$9),6))))</f>
        <v/>
      </c>
      <c r="BV146" s="100" t="str">
        <f aca="false">IF($BL146&lt;&gt;Constants!$B$4,"",IF(AND($AL146,$BN146=0),Constants!$B$25,0))</f>
        <v/>
      </c>
      <c r="BW146" s="100" t="str">
        <f aca="false">IF($BL146&lt;&gt;Constants!$B$4,"",MIN(Constants!$B$29,MAX(0,Constants!$B$27*Constants!$B$28*INT(ROUND((Constants!$B$26-$AN146)/Constants!$B$28,6))))+MIN(Constants!$B$29,MAX(0,Constants!$B$27*Constants!$B$28*INT(ROUND((Constants!$B$26-$AO146)/Constants!$B$28,6))))+MIN(Constants!$B$29,MAX(0,Constants!$B$27*Constants!$B$28*INT(ROUND((Constants!$B$26-$AP146)/Constants!$B$28,6)))))</f>
        <v/>
      </c>
      <c r="BX146" s="100" t="str">
        <f aca="false">IF($BL146&lt;&gt;Constants!$B$4,"",IF(NOT($AL146),0,Constants!$B$31*INT(ROUND(MAX(0,MIN($BJ146,2*$AH$9)-$AH$9),6))))</f>
        <v/>
      </c>
      <c r="BY146" s="100" t="str">
        <f aca="false">IF($BL146&lt;&gt;Constants!$B$4,"",Constants!$B$32*(($AN146&gt;Constants!$B$26)+($AO146&gt;Constants!$B$26)+($AP146&gt;Constants!$B$26)))</f>
        <v/>
      </c>
      <c r="BZ146" s="100" t="str">
        <f aca="false">IF($BL146&lt;&gt;Constants!$B$4,"",IF(OR(NOT($AL146),$AQ146),0,Constants!$B$33))</f>
        <v/>
      </c>
      <c r="CA146" s="100" t="str">
        <f aca="false">IF($BL146&lt;&gt;Constants!$B$4,"",Constants!$B$34*$BN146)</f>
        <v/>
      </c>
      <c r="CB146" s="100" t="str">
        <f aca="false">IF($BL146&lt;&gt;Constants!$B$4,"",IF(OR(NOT($AL146),$BH146),0,Constants!$B$36))</f>
        <v/>
      </c>
      <c r="CC146" s="100" t="str">
        <f aca="false">IF($BL146&lt;&gt;Constants!$B$4,"",IF(OR(NOT($AL146),$BG146),0,Constants!$B$37))</f>
        <v/>
      </c>
      <c r="CD146" s="100" t="str">
        <f aca="false">IF($BL146&lt;&gt;Constants!$B$4,"",SUM($BX146:$CC146))</f>
        <v/>
      </c>
      <c r="CE146" s="100" t="str">
        <f aca="false">IF(ISBLANK($C146),"",IF($BL146&lt;&gt;Constants!$B$4,$BL146,SUM($BO146:$BW146)-$CD146))</f>
        <v/>
      </c>
      <c r="CF146" s="100" t="str">
        <f aca="false">IF(ISBLANK($C146),"",IF($BL146&lt;&gt;Constants!$B$4,$BL146,RANK($CE146,$CE$9:$CE$508)))</f>
        <v/>
      </c>
      <c r="CG146" s="100" t="str">
        <f aca="false">IF(ISBLANK($C146),"",IF($BL146&lt;&gt;Constants!$B$4,$BL146,COUNTIFS($BM$9:$BM$508,"&lt;"&amp;$BM146)+COUNTIFS($BM$9:$BM$508,$BM146,$CF$9:$CF$508,"&lt;"&amp;$CF146)+1))</f>
        <v/>
      </c>
      <c r="CH146" s="100" t="str">
        <f aca="false">IF(ISBLANK($C146),"",IF($BL146&lt;&gt;Constants!$B$4,$BL146,RANK($CD146,$CD$9:$CD$508,1)))</f>
        <v/>
      </c>
      <c r="CI146" s="100" t="str">
        <f aca="false">IF($BL146&lt;&gt;Constants!$B$4,"",$AN146+$AO146+$AP146)</f>
        <v/>
      </c>
      <c r="CJ146" s="100" t="str">
        <f aca="false">IF(ISBLANK($C146),"",IF($BL146&lt;&gt;Constants!$B$4,$BL146,RANK($CI146,$CI$9:$CI$508,1)))</f>
        <v/>
      </c>
      <c r="CK146" s="100" t="str">
        <f aca="false">IF(ISBLANK($C146),"",IF($BL146&lt;&gt;Constants!$B$4,$BL146,COUNTIFS($BM$9:$BM$508,"&lt;"&amp;$BM146)+COUNTIFS($BM$9:$BM$508,$BM146,$CF$9:$CF$508,"&lt;"&amp;$CF146)+COUNTIFS($BM$9:$BM$508,$BM146,$CF$9:$CF$508,$CF146,$CH$9:$CH$508,"&lt;"&amp;$CH146)+COUNTIFS($BM$9:$BM$508,$BM146,$CF$9:$CF$508,$CF146,$CH$9:$CH$508,$CH146,$CJ$9:$CJ$508,"&lt;"&amp;$CJ146)+1))</f>
        <v/>
      </c>
      <c r="CL146" s="100" t="str">
        <f aca="false">IF(ISBLANK($C146),"",IF($BL146&lt;&gt;Constants!$B$4,$BL146,$CG146-$CK146))</f>
        <v/>
      </c>
      <c r="CM146" s="100" t="str">
        <f aca="false">IF(ISBLANK($C146),"",IF(NOT($AL146),"",IF(ISBLANK($D$7),$CM$5,IF(NOT(ISNUMBER($D$7)),$CM$6,""))))</f>
        <v/>
      </c>
      <c r="CN146" s="100" t="str">
        <f aca="false">IF(ISBLANK($C146),"",OR($AN146="",$AO146="",$AP146=""))</f>
        <v/>
      </c>
      <c r="CO146" s="100" t="str">
        <f aca="false">IF(ISBLANK($C146),"",AND($AL146,$BA146=""))</f>
        <v/>
      </c>
      <c r="CP146" s="100" t="str">
        <f aca="false">IF(ISBLANK($C146),"",AND($AL146,$BB146=""))</f>
        <v/>
      </c>
      <c r="CQ146" s="100" t="str">
        <f aca="false">IF(ISBLANK($C146),"",AND($AL146,$BC146=""))</f>
        <v/>
      </c>
      <c r="CR146" s="100" t="str">
        <f aca="false">IF(ISBLANK($C146),"",AND($AL146,$BF146=""))</f>
        <v/>
      </c>
      <c r="CS146" s="100" t="str">
        <f aca="false">IF(ISBLANK($C146),"",AND($AL146,$BJ146=""))</f>
        <v/>
      </c>
      <c r="CT146" s="101"/>
      <c r="CU146" s="102"/>
      <c r="CV146" s="103" t="str">
        <f aca="false">IF(ISBLANK($C146),"",IF($BL146=Constants!$B$8,$CM146,""))</f>
        <v/>
      </c>
      <c r="CW146" s="102" t="str">
        <f aca="false">IF(ISBLANK($C146),"",IF($BL146&lt;&gt;Constants!$B$4,"",$BO146+$BP146))</f>
        <v/>
      </c>
      <c r="CX146" s="104" t="str">
        <f aca="false">IF(ISBLANK($C146),"",IF($BL146&lt;&gt;Constants!$B$4,"",$BQ146+$BR146+$BS146))</f>
        <v/>
      </c>
      <c r="CY146" s="104" t="str">
        <f aca="false">IF(ISBLANK($C146),"",IF($BL146&lt;&gt;Constants!$B$4,"",$BT146))</f>
        <v/>
      </c>
      <c r="CZ146" s="104" t="str">
        <f aca="false">IF(ISBLANK($C146),"",IF($BL146&lt;&gt;Constants!$B$4,"",$BU146+$BV146))</f>
        <v/>
      </c>
      <c r="DA146" s="104" t="str">
        <f aca="false">IF(ISBLANK($C146),"",IF($BL146&lt;&gt;Constants!$B$4,"",$BW146))</f>
        <v/>
      </c>
      <c r="DB146" s="104" t="str">
        <f aca="false">IF(ISBLANK($C146),"",IF($BL146&lt;&gt;Constants!$B$4,"",-$CD146))</f>
        <v/>
      </c>
      <c r="DC146" s="103" t="str">
        <f aca="false">IF(ISBLANK($C146),"",$CE146)</f>
        <v/>
      </c>
      <c r="DD146" s="105" t="str">
        <f aca="false">IF(ISBLANK($C146),"",$BM146)</f>
        <v/>
      </c>
      <c r="DE146" s="104" t="str">
        <f aca="false">IF(ISBLANK($C146),"",$CL146)</f>
        <v/>
      </c>
      <c r="DF146" s="104" t="str">
        <f aca="false">IF(ISBLANK($C146),"",$CK146)</f>
        <v/>
      </c>
      <c r="DG146" s="106" t="str">
        <f aca="false">IF(ISBLANK($C146),"",IF($DF146=Constants!$B$7,COUNTA($C$9:$C$508)+2,IF($DF146=Constants!$B$6,COUNTA($C$9:$C$508)+1,IF($DF146=Constants!$B$5,COUNTA($C$9:$C$508),$DF146))))</f>
        <v/>
      </c>
      <c r="DH146" s="7"/>
      <c r="DI146" s="107" t="n">
        <f aca="false">IF(OR(ISNUMBER($DF146),$DF146=Constants!$B$7,$DF146=Constants!$B$5,$DF146=Constants!$B$6),1,0)</f>
        <v>0</v>
      </c>
      <c r="DJ146" s="107" t="n">
        <v>138</v>
      </c>
      <c r="DK146" s="107" t="str">
        <f aca="false">IF(ISBLANK($C146),"",IF(ISNUMBER($DG146),$DG146+ROW($B146)/1000,""))</f>
        <v/>
      </c>
      <c r="DL146" s="107" t="str">
        <f aca="false">IF(ISNUMBER($DK146),RANK($DK146,$DK$9:$DK$508,1),"")</f>
        <v/>
      </c>
      <c r="DM146" s="107" t="str">
        <f aca="false">IF(ISBLANK($C146),"",$B146)</f>
        <v/>
      </c>
      <c r="DN146" s="107" t="str">
        <f aca="false">IF(ISBLANK($C146),"",$C146)</f>
        <v/>
      </c>
      <c r="DO146" s="107" t="str">
        <f aca="false">IF(ISBLANK($C146),"",$D146)</f>
        <v/>
      </c>
      <c r="DP146" s="108" t="str">
        <f aca="false">$DD146</f>
        <v/>
      </c>
      <c r="DQ146" s="109" t="str">
        <f aca="false">$DC146</f>
        <v/>
      </c>
      <c r="DR146" s="107" t="str">
        <f aca="false">IF(ISBLANK($C146),"",$DF146)</f>
        <v/>
      </c>
      <c r="DS146" s="110" t="str">
        <f aca="false">IF($DJ146&gt;$DI$8,"",VLOOKUP($DJ146,$DL$9:$DR$508,7,FALSE()))</f>
        <v/>
      </c>
      <c r="DT146" s="111" t="str">
        <f aca="false">IF($DJ146&gt;$DI$8,"",VLOOKUP($DJ146,$DL$9:$DR$508,2,FALSE()))</f>
        <v/>
      </c>
      <c r="DU146" s="111" t="str">
        <f aca="false">IF($DJ146&gt;$DI$8,"",VLOOKUP($DJ146,$DL$9:$DR$508,3,FALSE()))</f>
        <v/>
      </c>
      <c r="DV146" s="111" t="str">
        <f aca="false">IF($DJ146&gt;$DI$8,"",VLOOKUP($DJ146,$DL$9:$DR$508,4,FALSE()))</f>
        <v/>
      </c>
      <c r="DW146" s="111" t="str">
        <f aca="false">IF($DJ146&gt;$DI$8,"",VLOOKUP($DJ146,$DL$9:$DR$508,5,FALSE()))</f>
        <v/>
      </c>
      <c r="DX146" s="112" t="str">
        <f aca="false">IF($DJ146&gt;$DI$8,"",VLOOKUP($DJ146,$DL$9:$DR$508,6,FALSE()))</f>
        <v/>
      </c>
      <c r="DY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88"/>
      <c r="N147" s="88"/>
      <c r="O147" s="134"/>
      <c r="P147" s="134"/>
      <c r="Q147" s="88"/>
      <c r="R147" s="88"/>
      <c r="S147" s="88"/>
      <c r="T147" s="88"/>
      <c r="U147" s="134"/>
      <c r="V147" s="88"/>
      <c r="W147" s="70"/>
      <c r="X147" s="88"/>
      <c r="Y147" s="88"/>
      <c r="Z147" s="70"/>
      <c r="AA147" s="70"/>
      <c r="AB147" s="88"/>
      <c r="AC147" s="88"/>
      <c r="AD147" s="88"/>
      <c r="AE147" s="71"/>
      <c r="AF147" s="88"/>
      <c r="AG147" s="73"/>
      <c r="AH147" s="74"/>
      <c r="AI147" s="74"/>
      <c r="AJ147" s="74" t="str">
        <f aca="false">IF(ISBLANK($C147),"",IF($E147=Constants!$B$2,TRUE(),IF($E147=Constants!$B$3,FALSE(),TRUE())))</f>
        <v/>
      </c>
      <c r="AK147" s="74" t="str">
        <f aca="false">IF(ISBLANK($C147),"",IF($F147=Constants!$B$2,TRUE(),IF($F147=Constants!$B$3,FALSE(),FALSE())))</f>
        <v/>
      </c>
      <c r="AL147" s="74" t="str">
        <f aca="false">IF(ISBLANK($C147),"",IF($G147=Constants!$B$2,TRUE(),IF($G147=Constants!$B$3,FALSE(),TRUE())))</f>
        <v/>
      </c>
      <c r="AM147" s="74" t="str">
        <f aca="false">IF(ISBLANK($C147),"",IF($H147=Constants!$B$2,TRUE(),IF($H147=Constants!$B$3,FALSE(),TRUE())))</f>
        <v/>
      </c>
      <c r="AN147" s="74" t="str">
        <f aca="false">IF(ISBLANK($C147),"",IF(ISNUMBER($I147),IF($I147&gt;=0,$I147,""),""))</f>
        <v/>
      </c>
      <c r="AO147" s="74" t="str">
        <f aca="false">IF(ISBLANK($C147),"",IF(ISNUMBER($J147),IF($J147&gt;=0,$J147,""),""))</f>
        <v/>
      </c>
      <c r="AP147" s="74" t="str">
        <f aca="false">IF(ISBLANK($C147),"",IF(ISNUMBER($K147),IF($K147&gt;=0,$K147,""),""))</f>
        <v/>
      </c>
      <c r="AQ147" s="74" t="str">
        <f aca="false">IF(ISBLANK($C147),"",IF($L147=Constants!$B$2,TRUE(),IF($L147=Constants!$B$3,FALSE(),TRUE())))</f>
        <v/>
      </c>
      <c r="AR147" s="74" t="str">
        <f aca="false">IF(ISBLANK($C147),"",IF($M147=Constants!$B$2,TRUE(),IF($M147=Constants!$B$3,FALSE(),TRUE())))</f>
        <v/>
      </c>
      <c r="AS147" s="74" t="str">
        <f aca="false">IF(ISBLANK($C147),"",IF($N147=Constants!$B$2,TRUE(),IF($N147=Constants!$B$3,FALSE(),FALSE())))</f>
        <v/>
      </c>
      <c r="AT147" s="74" t="str">
        <f aca="false">IF(ISBLANK($C147),"",IF($O147=Constants!$B$2,TRUE(),IF($O147=Constants!$B$3,FALSE(),TRUE())))</f>
        <v/>
      </c>
      <c r="AU147" s="74" t="str">
        <f aca="false">IF(ISBLANK($C147),"",IF($P147=Constants!$B$2,TRUE(),IF($P147=Constants!$B$3,FALSE(),TRUE())))</f>
        <v/>
      </c>
      <c r="AV147" s="74" t="str">
        <f aca="false">IF(ISBLANK($C147),"",IF($Q147=Constants!$B$2,TRUE(),IF($Q147=Constants!$B$3,FALSE(),FALSE())))</f>
        <v/>
      </c>
      <c r="AW147" s="74" t="str">
        <f aca="false">IF(ISBLANK($C147),"",IF($R147=Constants!$B$2,TRUE(),IF($R147=Constants!$B$3,FALSE(),FALSE())))</f>
        <v/>
      </c>
      <c r="AX147" s="74" t="str">
        <f aca="false">IF(ISBLANK($C147),"",IF($S147=Constants!$B$2,TRUE(),IF($S147=Constants!$B$3,FALSE(),FALSE())))</f>
        <v/>
      </c>
      <c r="AY147" s="74" t="str">
        <f aca="false">IF(ISBLANK($C147),"",IF($T147=Constants!$B$2,TRUE(),IF($T147=Constants!$B$3,FALSE(),FALSE())))</f>
        <v/>
      </c>
      <c r="AZ147" s="74" t="str">
        <f aca="false">IF(ISBLANK($C147),"",IF($U147=Constants!$B$2,TRUE(),IF($U147=Constants!$B$3,FALSE(),FALSE())))</f>
        <v/>
      </c>
      <c r="BA147" s="74" t="str">
        <f aca="false">IF(ISBLANK($C147),"",IF(OR($V147&amp;""="1",$V147&amp;""="2",$V147&amp;""="3",$V147&amp;""="4"),VALUE($V147&amp;""),IF($V147=Constants!$B$12,Constants!$B$12,"")))</f>
        <v/>
      </c>
      <c r="BB147" s="74" t="str">
        <f aca="false">IF(ISBLANK($C147),"",IF(ISBLANK($W147),0,IF(ISNUMBER($W147),IF(AND($W147&gt;=0,$W147&lt;=Constants!$B$21,$W147=INT($W147)),$W147,""),"")))</f>
        <v/>
      </c>
      <c r="BC147" s="74" t="str">
        <f aca="false">IF(ISBLANK($C147),"",IF(ISBLANK($X147),0,IF(ISNUMBER($X147),IF($X147&gt;=0,$X147,""),"")))</f>
        <v/>
      </c>
      <c r="BD147" s="74" t="str">
        <f aca="false">IF(ISBLANK($C147),"",IF($Y147=Constants!$B$2,TRUE(),IF($Y147=Constants!$B$3,FALSE(),TRUE())))</f>
        <v/>
      </c>
      <c r="BE147" s="74" t="str">
        <f aca="false">IF(ISBLANK($C147),"",IF($Z147=Constants!$B$2,TRUE(),IF($Z147=Constants!$B$3,FALSE(),FALSE())))</f>
        <v/>
      </c>
      <c r="BF147" s="74" t="str">
        <f aca="false">IF(ISBLANK($C147),"",IF(ISBLANK($AA147),0,IF(ISNUMBER($AA147),IF(AND($AA147&gt;=0,$AA147&lt;=Constants!$B$35,$AA147=INT($AA147)),$AA147,""),"")))</f>
        <v/>
      </c>
      <c r="BG147" s="74" t="str">
        <f aca="false">IF(ISBLANK($C147),"",IF($AB147=Constants!$B$2,TRUE(),IF($AB147=Constants!$B$3,FALSE(),TRUE())))</f>
        <v/>
      </c>
      <c r="BH147" s="74" t="str">
        <f aca="false">IF(ISBLANK($C147),"",IF($AC147=Constants!$B$2,TRUE(),IF($AC147=Constants!$B$3,FALSE(),TRUE())))</f>
        <v/>
      </c>
      <c r="BI147" s="74" t="str">
        <f aca="false">IF(ISBLANK($C147),"",IF($AD147=Constants!$B$2,TRUE(),IF($AD147=Constants!$B$3,FALSE(),TRUE())))</f>
        <v/>
      </c>
      <c r="BJ147" s="74" t="str">
        <f aca="false">IF(ISBLANK($C147),"",IF(ISNUMBER($AE147),IF($AE147&gt;=0,$AE147,""),""))</f>
        <v/>
      </c>
      <c r="BK147" s="74" t="str">
        <f aca="false">IF(ISBLANK($C147),"",IF($AF147=Constants!$B$2,TRUE(),IF($AF147=Constants!$B$3,FALSE(),FALSE())))</f>
        <v/>
      </c>
      <c r="BL147" s="73" t="str">
        <f aca="false">IF(ISBLANK($C147),"",IF($BK147,Constants!$B$7,IF(COUNTA($E147:$AE147)=0,Constants!$B$6,IF(OR(COUNTA($G147:$AE147)=0,NOT($AM147),$AS147),Constants!$B$5,IF(OR($CM147&lt;&gt;"",$CN147,$CO147,$CP147,$CQ147,$CR147,$CS147),Constants!$B$8,Constants!$B$4)))))</f>
        <v/>
      </c>
      <c r="BM147" s="74" t="str">
        <f aca="false">IF(ISBLANK($C147),"",IF($BL147&lt;&gt;Constants!$B$4,$BL147,IF(OR(NOT($AJ147),NOT($AL147),NOT($AT147)),Constants!$B$11,IF(OR(NOT($AR147),NOT($AU147),NOT($BI147),MAX($AN147,$AO147,$AP147)&gt;Constants!$B$30),Constants!$B$10,Constants!$B$9))))</f>
        <v/>
      </c>
      <c r="BN147" s="74" t="str">
        <f aca="false">IF($BL147&lt;&gt;Constants!$B$4,"",IF(NOT($AL147),0,MIN(Constants!$B$35,$BF147)))</f>
        <v/>
      </c>
      <c r="BO147" s="74" t="str">
        <f aca="false">IF($BL147&lt;&gt;Constants!$B$4,"",IF(NOT($AL147),0,IF($AW147,Constants!$B$18,IF($AV147,Constants!$B$17,0))))</f>
        <v/>
      </c>
      <c r="BP147" s="74" t="str">
        <f aca="false">IF($BL147&lt;&gt;Constants!$B$4,"",IF(NOT($AL147),0,Constants!$B$19*($AK147+$AX147+$AY147+$AZ147)))</f>
        <v/>
      </c>
      <c r="BQ147" s="74" t="str">
        <f aca="false">IF($BL147&lt;&gt;Constants!$B$4,"",IF(OR(NOT($AL147),NOT(ISNUMBER($BA147))),0,CHOOSE($BA147,Constants!$B$13,Constants!$B$14,Constants!$B$15,Constants!$B$16)))</f>
        <v/>
      </c>
      <c r="BR147" s="74" t="str">
        <f aca="false">IF($BL147&lt;&gt;Constants!$B$4,"",IF(NOT($AL147),0,Constants!$B$20*$BB147))</f>
        <v/>
      </c>
      <c r="BS147" s="74" t="str">
        <f aca="false">IF($BL147&lt;&gt;Constants!$B$4,"",IF(AND($AL147,$BD147,$BE147),Constants!$B$22,0))</f>
        <v/>
      </c>
      <c r="BT147" s="74" t="str">
        <f aca="false">IF($BL147&lt;&gt;Constants!$B$4,"",IF(OR(NOT($AL147),NOT($BD147)),0,IF($BJ147&gt;=2*$AH$9,0,Constants!$B$23*INT(ROUND(MIN($BJ147,$AH$9),6)))))</f>
        <v/>
      </c>
      <c r="BU147" s="74" t="str">
        <f aca="false">IF($BL147&lt;&gt;Constants!$B$4,"",IF(NOT($AL147),0,Constants!$B$24*INT(ROUND(MIN($BC147,$AH$9),6))))</f>
        <v/>
      </c>
      <c r="BV147" s="74" t="str">
        <f aca="false">IF($BL147&lt;&gt;Constants!$B$4,"",IF(AND($AL147,$BN147=0),Constants!$B$25,0))</f>
        <v/>
      </c>
      <c r="BW147" s="74" t="str">
        <f aca="false">IF($BL147&lt;&gt;Constants!$B$4,"",MIN(Constants!$B$29,MAX(0,Constants!$B$27*Constants!$B$28*INT(ROUND((Constants!$B$26-$AN147)/Constants!$B$28,6))))+MIN(Constants!$B$29,MAX(0,Constants!$B$27*Constants!$B$28*INT(ROUND((Constants!$B$26-$AO147)/Constants!$B$28,6))))+MIN(Constants!$B$29,MAX(0,Constants!$B$27*Constants!$B$28*INT(ROUND((Constants!$B$26-$AP147)/Constants!$B$28,6)))))</f>
        <v/>
      </c>
      <c r="BX147" s="74" t="str">
        <f aca="false">IF($BL147&lt;&gt;Constants!$B$4,"",IF(NOT($AL147),0,Constants!$B$31*INT(ROUND(MAX(0,MIN($BJ147,2*$AH$9)-$AH$9),6))))</f>
        <v/>
      </c>
      <c r="BY147" s="74" t="str">
        <f aca="false">IF($BL147&lt;&gt;Constants!$B$4,"",Constants!$B$32*(($AN147&gt;Constants!$B$26)+($AO147&gt;Constants!$B$26)+($AP147&gt;Constants!$B$26)))</f>
        <v/>
      </c>
      <c r="BZ147" s="74" t="str">
        <f aca="false">IF($BL147&lt;&gt;Constants!$B$4,"",IF(OR(NOT($AL147),$AQ147),0,Constants!$B$33))</f>
        <v/>
      </c>
      <c r="CA147" s="74" t="str">
        <f aca="false">IF($BL147&lt;&gt;Constants!$B$4,"",Constants!$B$34*$BN147)</f>
        <v/>
      </c>
      <c r="CB147" s="74" t="str">
        <f aca="false">IF($BL147&lt;&gt;Constants!$B$4,"",IF(OR(NOT($AL147),$BH147),0,Constants!$B$36))</f>
        <v/>
      </c>
      <c r="CC147" s="74" t="str">
        <f aca="false">IF($BL147&lt;&gt;Constants!$B$4,"",IF(OR(NOT($AL147),$BG147),0,Constants!$B$37))</f>
        <v/>
      </c>
      <c r="CD147" s="74" t="str">
        <f aca="false">IF($BL147&lt;&gt;Constants!$B$4,"",SUM($BX147:$CC147))</f>
        <v/>
      </c>
      <c r="CE147" s="74" t="str">
        <f aca="false">IF(ISBLANK($C147),"",IF($BL147&lt;&gt;Constants!$B$4,$BL147,SUM($BO147:$BW147)-$CD147))</f>
        <v/>
      </c>
      <c r="CF147" s="74" t="str">
        <f aca="false">IF(ISBLANK($C147),"",IF($BL147&lt;&gt;Constants!$B$4,$BL147,RANK($CE147,$CE$9:$CE$508)))</f>
        <v/>
      </c>
      <c r="CG147" s="74" t="str">
        <f aca="false">IF(ISBLANK($C147),"",IF($BL147&lt;&gt;Constants!$B$4,$BL147,COUNTIFS($BM$9:$BM$508,"&lt;"&amp;$BM147)+COUNTIFS($BM$9:$BM$508,$BM147,$CF$9:$CF$508,"&lt;"&amp;$CF147)+1))</f>
        <v/>
      </c>
      <c r="CH147" s="74" t="str">
        <f aca="false">IF(ISBLANK($C147),"",IF($BL147&lt;&gt;Constants!$B$4,$BL147,RANK($CD147,$CD$9:$CD$508,1)))</f>
        <v/>
      </c>
      <c r="CI147" s="74" t="str">
        <f aca="false">IF($BL147&lt;&gt;Constants!$B$4,"",$AN147+$AO147+$AP147)</f>
        <v/>
      </c>
      <c r="CJ147" s="74" t="str">
        <f aca="false">IF(ISBLANK($C147),"",IF($BL147&lt;&gt;Constants!$B$4,$BL147,RANK($CI147,$CI$9:$CI$508,1)))</f>
        <v/>
      </c>
      <c r="CK147" s="74" t="str">
        <f aca="false">IF(ISBLANK($C147),"",IF($BL147&lt;&gt;Constants!$B$4,$BL147,COUNTIFS($BM$9:$BM$508,"&lt;"&amp;$BM147)+COUNTIFS($BM$9:$BM$508,$BM147,$CF$9:$CF$508,"&lt;"&amp;$CF147)+COUNTIFS($BM$9:$BM$508,$BM147,$CF$9:$CF$508,$CF147,$CH$9:$CH$508,"&lt;"&amp;$CH147)+COUNTIFS($BM$9:$BM$508,$BM147,$CF$9:$CF$508,$CF147,$CH$9:$CH$508,$CH147,$CJ$9:$CJ$508,"&lt;"&amp;$CJ147)+1))</f>
        <v/>
      </c>
      <c r="CL147" s="74" t="str">
        <f aca="false">IF(ISBLANK($C147),"",IF($BL147&lt;&gt;Constants!$B$4,$BL147,$CG147-$CK147))</f>
        <v/>
      </c>
      <c r="CM147" s="74" t="str">
        <f aca="false">IF(ISBLANK($C147),"",IF(NOT($AL147),"",IF(ISBLANK($D$7),$CM$5,IF(NOT(ISNUMBER($D$7)),$CM$6,""))))</f>
        <v/>
      </c>
      <c r="CN147" s="74" t="str">
        <f aca="false">IF(ISBLANK($C147),"",OR($AN147="",$AO147="",$AP147=""))</f>
        <v/>
      </c>
      <c r="CO147" s="74" t="str">
        <f aca="false">IF(ISBLANK($C147),"",AND($AL147,$BA147=""))</f>
        <v/>
      </c>
      <c r="CP147" s="74" t="str">
        <f aca="false">IF(ISBLANK($C147),"",AND($AL147,$BB147=""))</f>
        <v/>
      </c>
      <c r="CQ147" s="74" t="str">
        <f aca="false">IF(ISBLANK($C147),"",AND($AL147,$BC147=""))</f>
        <v/>
      </c>
      <c r="CR147" s="74" t="str">
        <f aca="false">IF(ISBLANK($C147),"",AND($AL147,$BF147=""))</f>
        <v/>
      </c>
      <c r="CS147" s="74" t="str">
        <f aca="false">IF(ISBLANK($C147),"",AND($AL147,$BJ147=""))</f>
        <v/>
      </c>
      <c r="CT147" s="75"/>
      <c r="CU147" s="76"/>
      <c r="CV147" s="79" t="str">
        <f aca="false">IF(ISBLANK($C147),"",IF($BL147=Constants!$B$8,$CM147,""))</f>
        <v/>
      </c>
      <c r="CW147" s="76" t="str">
        <f aca="false">IF(ISBLANK($C147),"",IF($BL147&lt;&gt;Constants!$B$4,"",$BO147+$BP147))</f>
        <v/>
      </c>
      <c r="CX147" s="78" t="str">
        <f aca="false">IF(ISBLANK($C147),"",IF($BL147&lt;&gt;Constants!$B$4,"",$BQ147+$BR147+$BS147))</f>
        <v/>
      </c>
      <c r="CY147" s="78" t="str">
        <f aca="false">IF(ISBLANK($C147),"",IF($BL147&lt;&gt;Constants!$B$4,"",$BT147))</f>
        <v/>
      </c>
      <c r="CZ147" s="78" t="str">
        <f aca="false">IF(ISBLANK($C147),"",IF($BL147&lt;&gt;Constants!$B$4,"",$BU147+$BV147))</f>
        <v/>
      </c>
      <c r="DA147" s="78" t="str">
        <f aca="false">IF(ISBLANK($C147),"",IF($BL147&lt;&gt;Constants!$B$4,"",$BW147))</f>
        <v/>
      </c>
      <c r="DB147" s="78" t="str">
        <f aca="false">IF(ISBLANK($C147),"",IF($BL147&lt;&gt;Constants!$B$4,"",-$CD147))</f>
        <v/>
      </c>
      <c r="DC147" s="79" t="str">
        <f aca="false">IF(ISBLANK($C147),"",$CE147)</f>
        <v/>
      </c>
      <c r="DD147" s="80" t="str">
        <f aca="false">IF(ISBLANK($C147),"",$BM147)</f>
        <v/>
      </c>
      <c r="DE147" s="78" t="str">
        <f aca="false">IF(ISBLANK($C147),"",$CL147)</f>
        <v/>
      </c>
      <c r="DF147" s="78" t="str">
        <f aca="false">IF(ISBLANK($C147),"",$CK147)</f>
        <v/>
      </c>
      <c r="DG147" s="81" t="str">
        <f aca="false">IF(ISBLANK($C147),"",IF($DF147=Constants!$B$7,COUNTA($C$9:$C$508)+2,IF($DF147=Constants!$B$6,COUNTA($C$9:$C$508)+1,IF($DF147=Constants!$B$5,COUNTA($C$9:$C$508),$DF147))))</f>
        <v/>
      </c>
      <c r="DH147" s="7"/>
      <c r="DI147" s="82" t="n">
        <f aca="false">IF(OR(ISNUMBER($DF147),$DF147=Constants!$B$7,$DF147=Constants!$B$5,$DF147=Constants!$B$6),1,0)</f>
        <v>0</v>
      </c>
      <c r="DJ147" s="82" t="n">
        <v>139</v>
      </c>
      <c r="DK147" s="82" t="str">
        <f aca="false">IF(ISBLANK($C147),"",IF(ISNUMBER($DG147),$DG147+ROW($B147)/1000,""))</f>
        <v/>
      </c>
      <c r="DL147" s="82" t="str">
        <f aca="false">IF(ISNUMBER($DK147),RANK($DK147,$DK$9:$DK$508,1),"")</f>
        <v/>
      </c>
      <c r="DM147" s="82" t="str">
        <f aca="false">IF(ISBLANK($C147),"",$B147)</f>
        <v/>
      </c>
      <c r="DN147" s="82" t="str">
        <f aca="false">IF(ISBLANK($C147),"",$C147)</f>
        <v/>
      </c>
      <c r="DO147" s="82" t="str">
        <f aca="false">IF(ISBLANK($C147),"",$D147)</f>
        <v/>
      </c>
      <c r="DP147" s="83" t="str">
        <f aca="false">$DD147</f>
        <v/>
      </c>
      <c r="DQ147" s="84" t="str">
        <f aca="false">$DC147</f>
        <v/>
      </c>
      <c r="DR147" s="82" t="str">
        <f aca="false">IF(ISBLANK($C147),"",$DF147)</f>
        <v/>
      </c>
      <c r="DS147" s="85" t="str">
        <f aca="false">IF($DJ147&gt;$DI$8,"",VLOOKUP($DJ147,$DL$9:$DR$508,7,FALSE()))</f>
        <v/>
      </c>
      <c r="DT147" s="86" t="str">
        <f aca="false">IF($DJ147&gt;$DI$8,"",VLOOKUP($DJ147,$DL$9:$DR$508,2,FALSE()))</f>
        <v/>
      </c>
      <c r="DU147" s="86" t="str">
        <f aca="false">IF($DJ147&gt;$DI$8,"",VLOOKUP($DJ147,$DL$9:$DR$508,3,FALSE()))</f>
        <v/>
      </c>
      <c r="DV147" s="86" t="str">
        <f aca="false">IF($DJ147&gt;$DI$8,"",VLOOKUP($DJ147,$DL$9:$DR$508,4,FALSE()))</f>
        <v/>
      </c>
      <c r="DW147" s="86" t="str">
        <f aca="false">IF($DJ147&gt;$DI$8,"",VLOOKUP($DJ147,$DL$9:$DR$508,5,FALSE()))</f>
        <v/>
      </c>
      <c r="DX147" s="87" t="str">
        <f aca="false">IF($DJ147&gt;$DI$8,"",VLOOKUP($DJ147,$DL$9:$DR$508,6,FALSE()))</f>
        <v/>
      </c>
      <c r="DY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88"/>
      <c r="N148" s="88"/>
      <c r="O148" s="134"/>
      <c r="P148" s="134"/>
      <c r="Q148" s="88"/>
      <c r="R148" s="88"/>
      <c r="S148" s="88"/>
      <c r="T148" s="88"/>
      <c r="U148" s="134"/>
      <c r="V148" s="88"/>
      <c r="W148" s="70"/>
      <c r="X148" s="88"/>
      <c r="Y148" s="88"/>
      <c r="Z148" s="70"/>
      <c r="AA148" s="70"/>
      <c r="AB148" s="88"/>
      <c r="AC148" s="88"/>
      <c r="AD148" s="88"/>
      <c r="AE148" s="71"/>
      <c r="AF148" s="88"/>
      <c r="AG148" s="73"/>
      <c r="AH148" s="74"/>
      <c r="AI148" s="74"/>
      <c r="AJ148" s="74" t="str">
        <f aca="false">IF(ISBLANK($C148),"",IF($E148=Constants!$B$2,TRUE(),IF($E148=Constants!$B$3,FALSE(),TRUE())))</f>
        <v/>
      </c>
      <c r="AK148" s="74" t="str">
        <f aca="false">IF(ISBLANK($C148),"",IF($F148=Constants!$B$2,TRUE(),IF($F148=Constants!$B$3,FALSE(),FALSE())))</f>
        <v/>
      </c>
      <c r="AL148" s="74" t="str">
        <f aca="false">IF(ISBLANK($C148),"",IF($G148=Constants!$B$2,TRUE(),IF($G148=Constants!$B$3,FALSE(),TRUE())))</f>
        <v/>
      </c>
      <c r="AM148" s="74" t="str">
        <f aca="false">IF(ISBLANK($C148),"",IF($H148=Constants!$B$2,TRUE(),IF($H148=Constants!$B$3,FALSE(),TRUE())))</f>
        <v/>
      </c>
      <c r="AN148" s="74" t="str">
        <f aca="false">IF(ISBLANK($C148),"",IF(ISNUMBER($I148),IF($I148&gt;=0,$I148,""),""))</f>
        <v/>
      </c>
      <c r="AO148" s="74" t="str">
        <f aca="false">IF(ISBLANK($C148),"",IF(ISNUMBER($J148),IF($J148&gt;=0,$J148,""),""))</f>
        <v/>
      </c>
      <c r="AP148" s="74" t="str">
        <f aca="false">IF(ISBLANK($C148),"",IF(ISNUMBER($K148),IF($K148&gt;=0,$K148,""),""))</f>
        <v/>
      </c>
      <c r="AQ148" s="74" t="str">
        <f aca="false">IF(ISBLANK($C148),"",IF($L148=Constants!$B$2,TRUE(),IF($L148=Constants!$B$3,FALSE(),TRUE())))</f>
        <v/>
      </c>
      <c r="AR148" s="74" t="str">
        <f aca="false">IF(ISBLANK($C148),"",IF($M148=Constants!$B$2,TRUE(),IF($M148=Constants!$B$3,FALSE(),TRUE())))</f>
        <v/>
      </c>
      <c r="AS148" s="74" t="str">
        <f aca="false">IF(ISBLANK($C148),"",IF($N148=Constants!$B$2,TRUE(),IF($N148=Constants!$B$3,FALSE(),FALSE())))</f>
        <v/>
      </c>
      <c r="AT148" s="74" t="str">
        <f aca="false">IF(ISBLANK($C148),"",IF($O148=Constants!$B$2,TRUE(),IF($O148=Constants!$B$3,FALSE(),TRUE())))</f>
        <v/>
      </c>
      <c r="AU148" s="74" t="str">
        <f aca="false">IF(ISBLANK($C148),"",IF($P148=Constants!$B$2,TRUE(),IF($P148=Constants!$B$3,FALSE(),TRUE())))</f>
        <v/>
      </c>
      <c r="AV148" s="74" t="str">
        <f aca="false">IF(ISBLANK($C148),"",IF($Q148=Constants!$B$2,TRUE(),IF($Q148=Constants!$B$3,FALSE(),FALSE())))</f>
        <v/>
      </c>
      <c r="AW148" s="74" t="str">
        <f aca="false">IF(ISBLANK($C148),"",IF($R148=Constants!$B$2,TRUE(),IF($R148=Constants!$B$3,FALSE(),FALSE())))</f>
        <v/>
      </c>
      <c r="AX148" s="74" t="str">
        <f aca="false">IF(ISBLANK($C148),"",IF($S148=Constants!$B$2,TRUE(),IF($S148=Constants!$B$3,FALSE(),FALSE())))</f>
        <v/>
      </c>
      <c r="AY148" s="74" t="str">
        <f aca="false">IF(ISBLANK($C148),"",IF($T148=Constants!$B$2,TRUE(),IF($T148=Constants!$B$3,FALSE(),FALSE())))</f>
        <v/>
      </c>
      <c r="AZ148" s="74" t="str">
        <f aca="false">IF(ISBLANK($C148),"",IF($U148=Constants!$B$2,TRUE(),IF($U148=Constants!$B$3,FALSE(),FALSE())))</f>
        <v/>
      </c>
      <c r="BA148" s="74" t="str">
        <f aca="false">IF(ISBLANK($C148),"",IF(OR($V148&amp;""="1",$V148&amp;""="2",$V148&amp;""="3",$V148&amp;""="4"),VALUE($V148&amp;""),IF($V148=Constants!$B$12,Constants!$B$12,"")))</f>
        <v/>
      </c>
      <c r="BB148" s="74" t="str">
        <f aca="false">IF(ISBLANK($C148),"",IF(ISBLANK($W148),0,IF(ISNUMBER($W148),IF(AND($W148&gt;=0,$W148&lt;=Constants!$B$21,$W148=INT($W148)),$W148,""),"")))</f>
        <v/>
      </c>
      <c r="BC148" s="74" t="str">
        <f aca="false">IF(ISBLANK($C148),"",IF(ISBLANK($X148),0,IF(ISNUMBER($X148),IF($X148&gt;=0,$X148,""),"")))</f>
        <v/>
      </c>
      <c r="BD148" s="74" t="str">
        <f aca="false">IF(ISBLANK($C148),"",IF($Y148=Constants!$B$2,TRUE(),IF($Y148=Constants!$B$3,FALSE(),TRUE())))</f>
        <v/>
      </c>
      <c r="BE148" s="74" t="str">
        <f aca="false">IF(ISBLANK($C148),"",IF($Z148=Constants!$B$2,TRUE(),IF($Z148=Constants!$B$3,FALSE(),FALSE())))</f>
        <v/>
      </c>
      <c r="BF148" s="74" t="str">
        <f aca="false">IF(ISBLANK($C148),"",IF(ISBLANK($AA148),0,IF(ISNUMBER($AA148),IF(AND($AA148&gt;=0,$AA148&lt;=Constants!$B$35,$AA148=INT($AA148)),$AA148,""),"")))</f>
        <v/>
      </c>
      <c r="BG148" s="74" t="str">
        <f aca="false">IF(ISBLANK($C148),"",IF($AB148=Constants!$B$2,TRUE(),IF($AB148=Constants!$B$3,FALSE(),TRUE())))</f>
        <v/>
      </c>
      <c r="BH148" s="74" t="str">
        <f aca="false">IF(ISBLANK($C148),"",IF($AC148=Constants!$B$2,TRUE(),IF($AC148=Constants!$B$3,FALSE(),TRUE())))</f>
        <v/>
      </c>
      <c r="BI148" s="74" t="str">
        <f aca="false">IF(ISBLANK($C148),"",IF($AD148=Constants!$B$2,TRUE(),IF($AD148=Constants!$B$3,FALSE(),TRUE())))</f>
        <v/>
      </c>
      <c r="BJ148" s="74" t="str">
        <f aca="false">IF(ISBLANK($C148),"",IF(ISNUMBER($AE148),IF($AE148&gt;=0,$AE148,""),""))</f>
        <v/>
      </c>
      <c r="BK148" s="74" t="str">
        <f aca="false">IF(ISBLANK($C148),"",IF($AF148=Constants!$B$2,TRUE(),IF($AF148=Constants!$B$3,FALSE(),FALSE())))</f>
        <v/>
      </c>
      <c r="BL148" s="73" t="str">
        <f aca="false">IF(ISBLANK($C148),"",IF($BK148,Constants!$B$7,IF(COUNTA($E148:$AE148)=0,Constants!$B$6,IF(OR(COUNTA($G148:$AE148)=0,NOT($AM148),$AS148),Constants!$B$5,IF(OR($CM148&lt;&gt;"",$CN148,$CO148,$CP148,$CQ148,$CR148,$CS148),Constants!$B$8,Constants!$B$4)))))</f>
        <v/>
      </c>
      <c r="BM148" s="74" t="str">
        <f aca="false">IF(ISBLANK($C148),"",IF($BL148&lt;&gt;Constants!$B$4,$BL148,IF(OR(NOT($AJ148),NOT($AL148),NOT($AT148)),Constants!$B$11,IF(OR(NOT($AR148),NOT($AU148),NOT($BI148),MAX($AN148,$AO148,$AP148)&gt;Constants!$B$30),Constants!$B$10,Constants!$B$9))))</f>
        <v/>
      </c>
      <c r="BN148" s="74" t="str">
        <f aca="false">IF($BL148&lt;&gt;Constants!$B$4,"",IF(NOT($AL148),0,MIN(Constants!$B$35,$BF148)))</f>
        <v/>
      </c>
      <c r="BO148" s="74" t="str">
        <f aca="false">IF($BL148&lt;&gt;Constants!$B$4,"",IF(NOT($AL148),0,IF($AW148,Constants!$B$18,IF($AV148,Constants!$B$17,0))))</f>
        <v/>
      </c>
      <c r="BP148" s="74" t="str">
        <f aca="false">IF($BL148&lt;&gt;Constants!$B$4,"",IF(NOT($AL148),0,Constants!$B$19*($AK148+$AX148+$AY148+$AZ148)))</f>
        <v/>
      </c>
      <c r="BQ148" s="74" t="str">
        <f aca="false">IF($BL148&lt;&gt;Constants!$B$4,"",IF(OR(NOT($AL148),NOT(ISNUMBER($BA148))),0,CHOOSE($BA148,Constants!$B$13,Constants!$B$14,Constants!$B$15,Constants!$B$16)))</f>
        <v/>
      </c>
      <c r="BR148" s="74" t="str">
        <f aca="false">IF($BL148&lt;&gt;Constants!$B$4,"",IF(NOT($AL148),0,Constants!$B$20*$BB148))</f>
        <v/>
      </c>
      <c r="BS148" s="74" t="str">
        <f aca="false">IF($BL148&lt;&gt;Constants!$B$4,"",IF(AND($AL148,$BD148,$BE148),Constants!$B$22,0))</f>
        <v/>
      </c>
      <c r="BT148" s="74" t="str">
        <f aca="false">IF($BL148&lt;&gt;Constants!$B$4,"",IF(OR(NOT($AL148),NOT($BD148)),0,IF($BJ148&gt;=2*$AH$9,0,Constants!$B$23*INT(ROUND(MIN($BJ148,$AH$9),6)))))</f>
        <v/>
      </c>
      <c r="BU148" s="74" t="str">
        <f aca="false">IF($BL148&lt;&gt;Constants!$B$4,"",IF(NOT($AL148),0,Constants!$B$24*INT(ROUND(MIN($BC148,$AH$9),6))))</f>
        <v/>
      </c>
      <c r="BV148" s="74" t="str">
        <f aca="false">IF($BL148&lt;&gt;Constants!$B$4,"",IF(AND($AL148,$BN148=0),Constants!$B$25,0))</f>
        <v/>
      </c>
      <c r="BW148" s="74" t="str">
        <f aca="false">IF($BL148&lt;&gt;Constants!$B$4,"",MIN(Constants!$B$29,MAX(0,Constants!$B$27*Constants!$B$28*INT(ROUND((Constants!$B$26-$AN148)/Constants!$B$28,6))))+MIN(Constants!$B$29,MAX(0,Constants!$B$27*Constants!$B$28*INT(ROUND((Constants!$B$26-$AO148)/Constants!$B$28,6))))+MIN(Constants!$B$29,MAX(0,Constants!$B$27*Constants!$B$28*INT(ROUND((Constants!$B$26-$AP148)/Constants!$B$28,6)))))</f>
        <v/>
      </c>
      <c r="BX148" s="74" t="str">
        <f aca="false">IF($BL148&lt;&gt;Constants!$B$4,"",IF(NOT($AL148),0,Constants!$B$31*INT(ROUND(MAX(0,MIN($BJ148,2*$AH$9)-$AH$9),6))))</f>
        <v/>
      </c>
      <c r="BY148" s="74" t="str">
        <f aca="false">IF($BL148&lt;&gt;Constants!$B$4,"",Constants!$B$32*(($AN148&gt;Constants!$B$26)+($AO148&gt;Constants!$B$26)+($AP148&gt;Constants!$B$26)))</f>
        <v/>
      </c>
      <c r="BZ148" s="74" t="str">
        <f aca="false">IF($BL148&lt;&gt;Constants!$B$4,"",IF(OR(NOT($AL148),$AQ148),0,Constants!$B$33))</f>
        <v/>
      </c>
      <c r="CA148" s="74" t="str">
        <f aca="false">IF($BL148&lt;&gt;Constants!$B$4,"",Constants!$B$34*$BN148)</f>
        <v/>
      </c>
      <c r="CB148" s="74" t="str">
        <f aca="false">IF($BL148&lt;&gt;Constants!$B$4,"",IF(OR(NOT($AL148),$BH148),0,Constants!$B$36))</f>
        <v/>
      </c>
      <c r="CC148" s="74" t="str">
        <f aca="false">IF($BL148&lt;&gt;Constants!$B$4,"",IF(OR(NOT($AL148),$BG148),0,Constants!$B$37))</f>
        <v/>
      </c>
      <c r="CD148" s="74" t="str">
        <f aca="false">IF($BL148&lt;&gt;Constants!$B$4,"",SUM($BX148:$CC148))</f>
        <v/>
      </c>
      <c r="CE148" s="74" t="str">
        <f aca="false">IF(ISBLANK($C148),"",IF($BL148&lt;&gt;Constants!$B$4,$BL148,SUM($BO148:$BW148)-$CD148))</f>
        <v/>
      </c>
      <c r="CF148" s="74" t="str">
        <f aca="false">IF(ISBLANK($C148),"",IF($BL148&lt;&gt;Constants!$B$4,$BL148,RANK($CE148,$CE$9:$CE$508)))</f>
        <v/>
      </c>
      <c r="CG148" s="74" t="str">
        <f aca="false">IF(ISBLANK($C148),"",IF($BL148&lt;&gt;Constants!$B$4,$BL148,COUNTIFS($BM$9:$BM$508,"&lt;"&amp;$BM148)+COUNTIFS($BM$9:$BM$508,$BM148,$CF$9:$CF$508,"&lt;"&amp;$CF148)+1))</f>
        <v/>
      </c>
      <c r="CH148" s="74" t="str">
        <f aca="false">IF(ISBLANK($C148),"",IF($BL148&lt;&gt;Constants!$B$4,$BL148,RANK($CD148,$CD$9:$CD$508,1)))</f>
        <v/>
      </c>
      <c r="CI148" s="74" t="str">
        <f aca="false">IF($BL148&lt;&gt;Constants!$B$4,"",$AN148+$AO148+$AP148)</f>
        <v/>
      </c>
      <c r="CJ148" s="74" t="str">
        <f aca="false">IF(ISBLANK($C148),"",IF($BL148&lt;&gt;Constants!$B$4,$BL148,RANK($CI148,$CI$9:$CI$508,1)))</f>
        <v/>
      </c>
      <c r="CK148" s="74" t="str">
        <f aca="false">IF(ISBLANK($C148),"",IF($BL148&lt;&gt;Constants!$B$4,$BL148,COUNTIFS($BM$9:$BM$508,"&lt;"&amp;$BM148)+COUNTIFS($BM$9:$BM$508,$BM148,$CF$9:$CF$508,"&lt;"&amp;$CF148)+COUNTIFS($BM$9:$BM$508,$BM148,$CF$9:$CF$508,$CF148,$CH$9:$CH$508,"&lt;"&amp;$CH148)+COUNTIFS($BM$9:$BM$508,$BM148,$CF$9:$CF$508,$CF148,$CH$9:$CH$508,$CH148,$CJ$9:$CJ$508,"&lt;"&amp;$CJ148)+1))</f>
        <v/>
      </c>
      <c r="CL148" s="74" t="str">
        <f aca="false">IF(ISBLANK($C148),"",IF($BL148&lt;&gt;Constants!$B$4,$BL148,$CG148-$CK148))</f>
        <v/>
      </c>
      <c r="CM148" s="74" t="str">
        <f aca="false">IF(ISBLANK($C148),"",IF(NOT($AL148),"",IF(ISBLANK($D$7),$CM$5,IF(NOT(ISNUMBER($D$7)),$CM$6,""))))</f>
        <v/>
      </c>
      <c r="CN148" s="74" t="str">
        <f aca="false">IF(ISBLANK($C148),"",OR($AN148="",$AO148="",$AP148=""))</f>
        <v/>
      </c>
      <c r="CO148" s="74" t="str">
        <f aca="false">IF(ISBLANK($C148),"",AND($AL148,$BA148=""))</f>
        <v/>
      </c>
      <c r="CP148" s="74" t="str">
        <f aca="false">IF(ISBLANK($C148),"",AND($AL148,$BB148=""))</f>
        <v/>
      </c>
      <c r="CQ148" s="74" t="str">
        <f aca="false">IF(ISBLANK($C148),"",AND($AL148,$BC148=""))</f>
        <v/>
      </c>
      <c r="CR148" s="74" t="str">
        <f aca="false">IF(ISBLANK($C148),"",AND($AL148,$BF148=""))</f>
        <v/>
      </c>
      <c r="CS148" s="74" t="str">
        <f aca="false">IF(ISBLANK($C148),"",AND($AL148,$BJ148=""))</f>
        <v/>
      </c>
      <c r="CT148" s="75"/>
      <c r="CU148" s="76"/>
      <c r="CV148" s="79" t="str">
        <f aca="false">IF(ISBLANK($C148),"",IF($BL148=Constants!$B$8,$CM148,""))</f>
        <v/>
      </c>
      <c r="CW148" s="76" t="str">
        <f aca="false">IF(ISBLANK($C148),"",IF($BL148&lt;&gt;Constants!$B$4,"",$BO148+$BP148))</f>
        <v/>
      </c>
      <c r="CX148" s="78" t="str">
        <f aca="false">IF(ISBLANK($C148),"",IF($BL148&lt;&gt;Constants!$B$4,"",$BQ148+$BR148+$BS148))</f>
        <v/>
      </c>
      <c r="CY148" s="78" t="str">
        <f aca="false">IF(ISBLANK($C148),"",IF($BL148&lt;&gt;Constants!$B$4,"",$BT148))</f>
        <v/>
      </c>
      <c r="CZ148" s="78" t="str">
        <f aca="false">IF(ISBLANK($C148),"",IF($BL148&lt;&gt;Constants!$B$4,"",$BU148+$BV148))</f>
        <v/>
      </c>
      <c r="DA148" s="78" t="str">
        <f aca="false">IF(ISBLANK($C148),"",IF($BL148&lt;&gt;Constants!$B$4,"",$BW148))</f>
        <v/>
      </c>
      <c r="DB148" s="78" t="str">
        <f aca="false">IF(ISBLANK($C148),"",IF($BL148&lt;&gt;Constants!$B$4,"",-$CD148))</f>
        <v/>
      </c>
      <c r="DC148" s="79" t="str">
        <f aca="false">IF(ISBLANK($C148),"",$CE148)</f>
        <v/>
      </c>
      <c r="DD148" s="80" t="str">
        <f aca="false">IF(ISBLANK($C148),"",$BM148)</f>
        <v/>
      </c>
      <c r="DE148" s="78" t="str">
        <f aca="false">IF(ISBLANK($C148),"",$CL148)</f>
        <v/>
      </c>
      <c r="DF148" s="78" t="str">
        <f aca="false">IF(ISBLANK($C148),"",$CK148)</f>
        <v/>
      </c>
      <c r="DG148" s="81" t="str">
        <f aca="false">IF(ISBLANK($C148),"",IF($DF148=Constants!$B$7,COUNTA($C$9:$C$508)+2,IF($DF148=Constants!$B$6,COUNTA($C$9:$C$508)+1,IF($DF148=Constants!$B$5,COUNTA($C$9:$C$508),$DF148))))</f>
        <v/>
      </c>
      <c r="DH148" s="7"/>
      <c r="DI148" s="82" t="n">
        <f aca="false">IF(OR(ISNUMBER($DF148),$DF148=Constants!$B$7,$DF148=Constants!$B$5,$DF148=Constants!$B$6),1,0)</f>
        <v>0</v>
      </c>
      <c r="DJ148" s="82" t="n">
        <v>140</v>
      </c>
      <c r="DK148" s="82" t="str">
        <f aca="false">IF(ISBLANK($C148),"",IF(ISNUMBER($DG148),$DG148+ROW($B148)/1000,""))</f>
        <v/>
      </c>
      <c r="DL148" s="82" t="str">
        <f aca="false">IF(ISNUMBER($DK148),RANK($DK148,$DK$9:$DK$508,1),"")</f>
        <v/>
      </c>
      <c r="DM148" s="82" t="str">
        <f aca="false">IF(ISBLANK($C148),"",$B148)</f>
        <v/>
      </c>
      <c r="DN148" s="82" t="str">
        <f aca="false">IF(ISBLANK($C148),"",$C148)</f>
        <v/>
      </c>
      <c r="DO148" s="82" t="str">
        <f aca="false">IF(ISBLANK($C148),"",$D148)</f>
        <v/>
      </c>
      <c r="DP148" s="83" t="str">
        <f aca="false">$DD148</f>
        <v/>
      </c>
      <c r="DQ148" s="84" t="str">
        <f aca="false">$DC148</f>
        <v/>
      </c>
      <c r="DR148" s="82" t="str">
        <f aca="false">IF(ISBLANK($C148),"",$DF148)</f>
        <v/>
      </c>
      <c r="DS148" s="85" t="str">
        <f aca="false">IF($DJ148&gt;$DI$8,"",VLOOKUP($DJ148,$DL$9:$DR$508,7,FALSE()))</f>
        <v/>
      </c>
      <c r="DT148" s="86" t="str">
        <f aca="false">IF($DJ148&gt;$DI$8,"",VLOOKUP($DJ148,$DL$9:$DR$508,2,FALSE()))</f>
        <v/>
      </c>
      <c r="DU148" s="86" t="str">
        <f aca="false">IF($DJ148&gt;$DI$8,"",VLOOKUP($DJ148,$DL$9:$DR$508,3,FALSE()))</f>
        <v/>
      </c>
      <c r="DV148" s="86" t="str">
        <f aca="false">IF($DJ148&gt;$DI$8,"",VLOOKUP($DJ148,$DL$9:$DR$508,4,FALSE()))</f>
        <v/>
      </c>
      <c r="DW148" s="86" t="str">
        <f aca="false">IF($DJ148&gt;$DI$8,"",VLOOKUP($DJ148,$DL$9:$DR$508,5,FALSE()))</f>
        <v/>
      </c>
      <c r="DX148" s="87" t="str">
        <f aca="false">IF($DJ148&gt;$DI$8,"",VLOOKUP($DJ148,$DL$9:$DR$508,6,FALSE()))</f>
        <v/>
      </c>
      <c r="DY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88"/>
      <c r="N149" s="88"/>
      <c r="O149" s="134"/>
      <c r="P149" s="134"/>
      <c r="Q149" s="88"/>
      <c r="R149" s="88"/>
      <c r="S149" s="88"/>
      <c r="T149" s="88"/>
      <c r="U149" s="134"/>
      <c r="V149" s="88"/>
      <c r="W149" s="70"/>
      <c r="X149" s="88"/>
      <c r="Y149" s="88"/>
      <c r="Z149" s="70"/>
      <c r="AA149" s="70"/>
      <c r="AB149" s="88"/>
      <c r="AC149" s="88"/>
      <c r="AD149" s="88"/>
      <c r="AE149" s="71"/>
      <c r="AF149" s="88"/>
      <c r="AG149" s="73"/>
      <c r="AH149" s="74"/>
      <c r="AI149" s="74"/>
      <c r="AJ149" s="74" t="str">
        <f aca="false">IF(ISBLANK($C149),"",IF($E149=Constants!$B$2,TRUE(),IF($E149=Constants!$B$3,FALSE(),TRUE())))</f>
        <v/>
      </c>
      <c r="AK149" s="74" t="str">
        <f aca="false">IF(ISBLANK($C149),"",IF($F149=Constants!$B$2,TRUE(),IF($F149=Constants!$B$3,FALSE(),FALSE())))</f>
        <v/>
      </c>
      <c r="AL149" s="74" t="str">
        <f aca="false">IF(ISBLANK($C149),"",IF($G149=Constants!$B$2,TRUE(),IF($G149=Constants!$B$3,FALSE(),TRUE())))</f>
        <v/>
      </c>
      <c r="AM149" s="74" t="str">
        <f aca="false">IF(ISBLANK($C149),"",IF($H149=Constants!$B$2,TRUE(),IF($H149=Constants!$B$3,FALSE(),TRUE())))</f>
        <v/>
      </c>
      <c r="AN149" s="74" t="str">
        <f aca="false">IF(ISBLANK($C149),"",IF(ISNUMBER($I149),IF($I149&gt;=0,$I149,""),""))</f>
        <v/>
      </c>
      <c r="AO149" s="74" t="str">
        <f aca="false">IF(ISBLANK($C149),"",IF(ISNUMBER($J149),IF($J149&gt;=0,$J149,""),""))</f>
        <v/>
      </c>
      <c r="AP149" s="74" t="str">
        <f aca="false">IF(ISBLANK($C149),"",IF(ISNUMBER($K149),IF($K149&gt;=0,$K149,""),""))</f>
        <v/>
      </c>
      <c r="AQ149" s="74" t="str">
        <f aca="false">IF(ISBLANK($C149),"",IF($L149=Constants!$B$2,TRUE(),IF($L149=Constants!$B$3,FALSE(),TRUE())))</f>
        <v/>
      </c>
      <c r="AR149" s="74" t="str">
        <f aca="false">IF(ISBLANK($C149),"",IF($M149=Constants!$B$2,TRUE(),IF($M149=Constants!$B$3,FALSE(),TRUE())))</f>
        <v/>
      </c>
      <c r="AS149" s="74" t="str">
        <f aca="false">IF(ISBLANK($C149),"",IF($N149=Constants!$B$2,TRUE(),IF($N149=Constants!$B$3,FALSE(),FALSE())))</f>
        <v/>
      </c>
      <c r="AT149" s="74" t="str">
        <f aca="false">IF(ISBLANK($C149),"",IF($O149=Constants!$B$2,TRUE(),IF($O149=Constants!$B$3,FALSE(),TRUE())))</f>
        <v/>
      </c>
      <c r="AU149" s="74" t="str">
        <f aca="false">IF(ISBLANK($C149),"",IF($P149=Constants!$B$2,TRUE(),IF($P149=Constants!$B$3,FALSE(),TRUE())))</f>
        <v/>
      </c>
      <c r="AV149" s="74" t="str">
        <f aca="false">IF(ISBLANK($C149),"",IF($Q149=Constants!$B$2,TRUE(),IF($Q149=Constants!$B$3,FALSE(),FALSE())))</f>
        <v/>
      </c>
      <c r="AW149" s="74" t="str">
        <f aca="false">IF(ISBLANK($C149),"",IF($R149=Constants!$B$2,TRUE(),IF($R149=Constants!$B$3,FALSE(),FALSE())))</f>
        <v/>
      </c>
      <c r="AX149" s="74" t="str">
        <f aca="false">IF(ISBLANK($C149),"",IF($S149=Constants!$B$2,TRUE(),IF($S149=Constants!$B$3,FALSE(),FALSE())))</f>
        <v/>
      </c>
      <c r="AY149" s="74" t="str">
        <f aca="false">IF(ISBLANK($C149),"",IF($T149=Constants!$B$2,TRUE(),IF($T149=Constants!$B$3,FALSE(),FALSE())))</f>
        <v/>
      </c>
      <c r="AZ149" s="74" t="str">
        <f aca="false">IF(ISBLANK($C149),"",IF($U149=Constants!$B$2,TRUE(),IF($U149=Constants!$B$3,FALSE(),FALSE())))</f>
        <v/>
      </c>
      <c r="BA149" s="74" t="str">
        <f aca="false">IF(ISBLANK($C149),"",IF(OR($V149&amp;""="1",$V149&amp;""="2",$V149&amp;""="3",$V149&amp;""="4"),VALUE($V149&amp;""),IF($V149=Constants!$B$12,Constants!$B$12,"")))</f>
        <v/>
      </c>
      <c r="BB149" s="74" t="str">
        <f aca="false">IF(ISBLANK($C149),"",IF(ISBLANK($W149),0,IF(ISNUMBER($W149),IF(AND($W149&gt;=0,$W149&lt;=Constants!$B$21,$W149=INT($W149)),$W149,""),"")))</f>
        <v/>
      </c>
      <c r="BC149" s="74" t="str">
        <f aca="false">IF(ISBLANK($C149),"",IF(ISBLANK($X149),0,IF(ISNUMBER($X149),IF($X149&gt;=0,$X149,""),"")))</f>
        <v/>
      </c>
      <c r="BD149" s="74" t="str">
        <f aca="false">IF(ISBLANK($C149),"",IF($Y149=Constants!$B$2,TRUE(),IF($Y149=Constants!$B$3,FALSE(),TRUE())))</f>
        <v/>
      </c>
      <c r="BE149" s="74" t="str">
        <f aca="false">IF(ISBLANK($C149),"",IF($Z149=Constants!$B$2,TRUE(),IF($Z149=Constants!$B$3,FALSE(),FALSE())))</f>
        <v/>
      </c>
      <c r="BF149" s="74" t="str">
        <f aca="false">IF(ISBLANK($C149),"",IF(ISBLANK($AA149),0,IF(ISNUMBER($AA149),IF(AND($AA149&gt;=0,$AA149&lt;=Constants!$B$35,$AA149=INT($AA149)),$AA149,""),"")))</f>
        <v/>
      </c>
      <c r="BG149" s="74" t="str">
        <f aca="false">IF(ISBLANK($C149),"",IF($AB149=Constants!$B$2,TRUE(),IF($AB149=Constants!$B$3,FALSE(),TRUE())))</f>
        <v/>
      </c>
      <c r="BH149" s="74" t="str">
        <f aca="false">IF(ISBLANK($C149),"",IF($AC149=Constants!$B$2,TRUE(),IF($AC149=Constants!$B$3,FALSE(),TRUE())))</f>
        <v/>
      </c>
      <c r="BI149" s="74" t="str">
        <f aca="false">IF(ISBLANK($C149),"",IF($AD149=Constants!$B$2,TRUE(),IF($AD149=Constants!$B$3,FALSE(),TRUE())))</f>
        <v/>
      </c>
      <c r="BJ149" s="74" t="str">
        <f aca="false">IF(ISBLANK($C149),"",IF(ISNUMBER($AE149),IF($AE149&gt;=0,$AE149,""),""))</f>
        <v/>
      </c>
      <c r="BK149" s="74" t="str">
        <f aca="false">IF(ISBLANK($C149),"",IF($AF149=Constants!$B$2,TRUE(),IF($AF149=Constants!$B$3,FALSE(),FALSE())))</f>
        <v/>
      </c>
      <c r="BL149" s="73" t="str">
        <f aca="false">IF(ISBLANK($C149),"",IF($BK149,Constants!$B$7,IF(COUNTA($E149:$AE149)=0,Constants!$B$6,IF(OR(COUNTA($G149:$AE149)=0,NOT($AM149),$AS149),Constants!$B$5,IF(OR($CM149&lt;&gt;"",$CN149,$CO149,$CP149,$CQ149,$CR149,$CS149),Constants!$B$8,Constants!$B$4)))))</f>
        <v/>
      </c>
      <c r="BM149" s="74" t="str">
        <f aca="false">IF(ISBLANK($C149),"",IF($BL149&lt;&gt;Constants!$B$4,$BL149,IF(OR(NOT($AJ149),NOT($AL149),NOT($AT149)),Constants!$B$11,IF(OR(NOT($AR149),NOT($AU149),NOT($BI149),MAX($AN149,$AO149,$AP149)&gt;Constants!$B$30),Constants!$B$10,Constants!$B$9))))</f>
        <v/>
      </c>
      <c r="BN149" s="74" t="str">
        <f aca="false">IF($BL149&lt;&gt;Constants!$B$4,"",IF(NOT($AL149),0,MIN(Constants!$B$35,$BF149)))</f>
        <v/>
      </c>
      <c r="BO149" s="74" t="str">
        <f aca="false">IF($BL149&lt;&gt;Constants!$B$4,"",IF(NOT($AL149),0,IF($AW149,Constants!$B$18,IF($AV149,Constants!$B$17,0))))</f>
        <v/>
      </c>
      <c r="BP149" s="74" t="str">
        <f aca="false">IF($BL149&lt;&gt;Constants!$B$4,"",IF(NOT($AL149),0,Constants!$B$19*($AK149+$AX149+$AY149+$AZ149)))</f>
        <v/>
      </c>
      <c r="BQ149" s="74" t="str">
        <f aca="false">IF($BL149&lt;&gt;Constants!$B$4,"",IF(OR(NOT($AL149),NOT(ISNUMBER($BA149))),0,CHOOSE($BA149,Constants!$B$13,Constants!$B$14,Constants!$B$15,Constants!$B$16)))</f>
        <v/>
      </c>
      <c r="BR149" s="74" t="str">
        <f aca="false">IF($BL149&lt;&gt;Constants!$B$4,"",IF(NOT($AL149),0,Constants!$B$20*$BB149))</f>
        <v/>
      </c>
      <c r="BS149" s="74" t="str">
        <f aca="false">IF($BL149&lt;&gt;Constants!$B$4,"",IF(AND($AL149,$BD149,$BE149),Constants!$B$22,0))</f>
        <v/>
      </c>
      <c r="BT149" s="74" t="str">
        <f aca="false">IF($BL149&lt;&gt;Constants!$B$4,"",IF(OR(NOT($AL149),NOT($BD149)),0,IF($BJ149&gt;=2*$AH$9,0,Constants!$B$23*INT(ROUND(MIN($BJ149,$AH$9),6)))))</f>
        <v/>
      </c>
      <c r="BU149" s="74" t="str">
        <f aca="false">IF($BL149&lt;&gt;Constants!$B$4,"",IF(NOT($AL149),0,Constants!$B$24*INT(ROUND(MIN($BC149,$AH$9),6))))</f>
        <v/>
      </c>
      <c r="BV149" s="74" t="str">
        <f aca="false">IF($BL149&lt;&gt;Constants!$B$4,"",IF(AND($AL149,$BN149=0),Constants!$B$25,0))</f>
        <v/>
      </c>
      <c r="BW149" s="74" t="str">
        <f aca="false">IF($BL149&lt;&gt;Constants!$B$4,"",MIN(Constants!$B$29,MAX(0,Constants!$B$27*Constants!$B$28*INT(ROUND((Constants!$B$26-$AN149)/Constants!$B$28,6))))+MIN(Constants!$B$29,MAX(0,Constants!$B$27*Constants!$B$28*INT(ROUND((Constants!$B$26-$AO149)/Constants!$B$28,6))))+MIN(Constants!$B$29,MAX(0,Constants!$B$27*Constants!$B$28*INT(ROUND((Constants!$B$26-$AP149)/Constants!$B$28,6)))))</f>
        <v/>
      </c>
      <c r="BX149" s="74" t="str">
        <f aca="false">IF($BL149&lt;&gt;Constants!$B$4,"",IF(NOT($AL149),0,Constants!$B$31*INT(ROUND(MAX(0,MIN($BJ149,2*$AH$9)-$AH$9),6))))</f>
        <v/>
      </c>
      <c r="BY149" s="74" t="str">
        <f aca="false">IF($BL149&lt;&gt;Constants!$B$4,"",Constants!$B$32*(($AN149&gt;Constants!$B$26)+($AO149&gt;Constants!$B$26)+($AP149&gt;Constants!$B$26)))</f>
        <v/>
      </c>
      <c r="BZ149" s="74" t="str">
        <f aca="false">IF($BL149&lt;&gt;Constants!$B$4,"",IF(OR(NOT($AL149),$AQ149),0,Constants!$B$33))</f>
        <v/>
      </c>
      <c r="CA149" s="74" t="str">
        <f aca="false">IF($BL149&lt;&gt;Constants!$B$4,"",Constants!$B$34*$BN149)</f>
        <v/>
      </c>
      <c r="CB149" s="74" t="str">
        <f aca="false">IF($BL149&lt;&gt;Constants!$B$4,"",IF(OR(NOT($AL149),$BH149),0,Constants!$B$36))</f>
        <v/>
      </c>
      <c r="CC149" s="74" t="str">
        <f aca="false">IF($BL149&lt;&gt;Constants!$B$4,"",IF(OR(NOT($AL149),$BG149),0,Constants!$B$37))</f>
        <v/>
      </c>
      <c r="CD149" s="74" t="str">
        <f aca="false">IF($BL149&lt;&gt;Constants!$B$4,"",SUM($BX149:$CC149))</f>
        <v/>
      </c>
      <c r="CE149" s="74" t="str">
        <f aca="false">IF(ISBLANK($C149),"",IF($BL149&lt;&gt;Constants!$B$4,$BL149,SUM($BO149:$BW149)-$CD149))</f>
        <v/>
      </c>
      <c r="CF149" s="74" t="str">
        <f aca="false">IF(ISBLANK($C149),"",IF($BL149&lt;&gt;Constants!$B$4,$BL149,RANK($CE149,$CE$9:$CE$508)))</f>
        <v/>
      </c>
      <c r="CG149" s="74" t="str">
        <f aca="false">IF(ISBLANK($C149),"",IF($BL149&lt;&gt;Constants!$B$4,$BL149,COUNTIFS($BM$9:$BM$508,"&lt;"&amp;$BM149)+COUNTIFS($BM$9:$BM$508,$BM149,$CF$9:$CF$508,"&lt;"&amp;$CF149)+1))</f>
        <v/>
      </c>
      <c r="CH149" s="74" t="str">
        <f aca="false">IF(ISBLANK($C149),"",IF($BL149&lt;&gt;Constants!$B$4,$BL149,RANK($CD149,$CD$9:$CD$508,1)))</f>
        <v/>
      </c>
      <c r="CI149" s="74" t="str">
        <f aca="false">IF($BL149&lt;&gt;Constants!$B$4,"",$AN149+$AO149+$AP149)</f>
        <v/>
      </c>
      <c r="CJ149" s="74" t="str">
        <f aca="false">IF(ISBLANK($C149),"",IF($BL149&lt;&gt;Constants!$B$4,$BL149,RANK($CI149,$CI$9:$CI$508,1)))</f>
        <v/>
      </c>
      <c r="CK149" s="74" t="str">
        <f aca="false">IF(ISBLANK($C149),"",IF($BL149&lt;&gt;Constants!$B$4,$BL149,COUNTIFS($BM$9:$BM$508,"&lt;"&amp;$BM149)+COUNTIFS($BM$9:$BM$508,$BM149,$CF$9:$CF$508,"&lt;"&amp;$CF149)+COUNTIFS($BM$9:$BM$508,$BM149,$CF$9:$CF$508,$CF149,$CH$9:$CH$508,"&lt;"&amp;$CH149)+COUNTIFS($BM$9:$BM$508,$BM149,$CF$9:$CF$508,$CF149,$CH$9:$CH$508,$CH149,$CJ$9:$CJ$508,"&lt;"&amp;$CJ149)+1))</f>
        <v/>
      </c>
      <c r="CL149" s="74" t="str">
        <f aca="false">IF(ISBLANK($C149),"",IF($BL149&lt;&gt;Constants!$B$4,$BL149,$CG149-$CK149))</f>
        <v/>
      </c>
      <c r="CM149" s="74" t="str">
        <f aca="false">IF(ISBLANK($C149),"",IF(NOT($AL149),"",IF(ISBLANK($D$7),$CM$5,IF(NOT(ISNUMBER($D$7)),$CM$6,""))))</f>
        <v/>
      </c>
      <c r="CN149" s="74" t="str">
        <f aca="false">IF(ISBLANK($C149),"",OR($AN149="",$AO149="",$AP149=""))</f>
        <v/>
      </c>
      <c r="CO149" s="74" t="str">
        <f aca="false">IF(ISBLANK($C149),"",AND($AL149,$BA149=""))</f>
        <v/>
      </c>
      <c r="CP149" s="74" t="str">
        <f aca="false">IF(ISBLANK($C149),"",AND($AL149,$BB149=""))</f>
        <v/>
      </c>
      <c r="CQ149" s="74" t="str">
        <f aca="false">IF(ISBLANK($C149),"",AND($AL149,$BC149=""))</f>
        <v/>
      </c>
      <c r="CR149" s="74" t="str">
        <f aca="false">IF(ISBLANK($C149),"",AND($AL149,$BF149=""))</f>
        <v/>
      </c>
      <c r="CS149" s="74" t="str">
        <f aca="false">IF(ISBLANK($C149),"",AND($AL149,$BJ149=""))</f>
        <v/>
      </c>
      <c r="CT149" s="75"/>
      <c r="CU149" s="76"/>
      <c r="CV149" s="79" t="str">
        <f aca="false">IF(ISBLANK($C149),"",IF($BL149=Constants!$B$8,$CM149,""))</f>
        <v/>
      </c>
      <c r="CW149" s="76" t="str">
        <f aca="false">IF(ISBLANK($C149),"",IF($BL149&lt;&gt;Constants!$B$4,"",$BO149+$BP149))</f>
        <v/>
      </c>
      <c r="CX149" s="78" t="str">
        <f aca="false">IF(ISBLANK($C149),"",IF($BL149&lt;&gt;Constants!$B$4,"",$BQ149+$BR149+$BS149))</f>
        <v/>
      </c>
      <c r="CY149" s="78" t="str">
        <f aca="false">IF(ISBLANK($C149),"",IF($BL149&lt;&gt;Constants!$B$4,"",$BT149))</f>
        <v/>
      </c>
      <c r="CZ149" s="78" t="str">
        <f aca="false">IF(ISBLANK($C149),"",IF($BL149&lt;&gt;Constants!$B$4,"",$BU149+$BV149))</f>
        <v/>
      </c>
      <c r="DA149" s="78" t="str">
        <f aca="false">IF(ISBLANK($C149),"",IF($BL149&lt;&gt;Constants!$B$4,"",$BW149))</f>
        <v/>
      </c>
      <c r="DB149" s="78" t="str">
        <f aca="false">IF(ISBLANK($C149),"",IF($BL149&lt;&gt;Constants!$B$4,"",-$CD149))</f>
        <v/>
      </c>
      <c r="DC149" s="79" t="str">
        <f aca="false">IF(ISBLANK($C149),"",$CE149)</f>
        <v/>
      </c>
      <c r="DD149" s="80" t="str">
        <f aca="false">IF(ISBLANK($C149),"",$BM149)</f>
        <v/>
      </c>
      <c r="DE149" s="78" t="str">
        <f aca="false">IF(ISBLANK($C149),"",$CL149)</f>
        <v/>
      </c>
      <c r="DF149" s="78" t="str">
        <f aca="false">IF(ISBLANK($C149),"",$CK149)</f>
        <v/>
      </c>
      <c r="DG149" s="81" t="str">
        <f aca="false">IF(ISBLANK($C149),"",IF($DF149=Constants!$B$7,COUNTA($C$9:$C$508)+2,IF($DF149=Constants!$B$6,COUNTA($C$9:$C$508)+1,IF($DF149=Constants!$B$5,COUNTA($C$9:$C$508),$DF149))))</f>
        <v/>
      </c>
      <c r="DH149" s="7"/>
      <c r="DI149" s="82" t="n">
        <f aca="false">IF(OR(ISNUMBER($DF149),$DF149=Constants!$B$7,$DF149=Constants!$B$5,$DF149=Constants!$B$6),1,0)</f>
        <v>0</v>
      </c>
      <c r="DJ149" s="82" t="n">
        <v>141</v>
      </c>
      <c r="DK149" s="82" t="str">
        <f aca="false">IF(ISBLANK($C149),"",IF(ISNUMBER($DG149),$DG149+ROW($B149)/1000,""))</f>
        <v/>
      </c>
      <c r="DL149" s="82" t="str">
        <f aca="false">IF(ISNUMBER($DK149),RANK($DK149,$DK$9:$DK$508,1),"")</f>
        <v/>
      </c>
      <c r="DM149" s="82" t="str">
        <f aca="false">IF(ISBLANK($C149),"",$B149)</f>
        <v/>
      </c>
      <c r="DN149" s="82" t="str">
        <f aca="false">IF(ISBLANK($C149),"",$C149)</f>
        <v/>
      </c>
      <c r="DO149" s="82" t="str">
        <f aca="false">IF(ISBLANK($C149),"",$D149)</f>
        <v/>
      </c>
      <c r="DP149" s="83" t="str">
        <f aca="false">$DD149</f>
        <v/>
      </c>
      <c r="DQ149" s="84" t="str">
        <f aca="false">$DC149</f>
        <v/>
      </c>
      <c r="DR149" s="82" t="str">
        <f aca="false">IF(ISBLANK($C149),"",$DF149)</f>
        <v/>
      </c>
      <c r="DS149" s="85" t="str">
        <f aca="false">IF($DJ149&gt;$DI$8,"",VLOOKUP($DJ149,$DL$9:$DR$508,7,FALSE()))</f>
        <v/>
      </c>
      <c r="DT149" s="86" t="str">
        <f aca="false">IF($DJ149&gt;$DI$8,"",VLOOKUP($DJ149,$DL$9:$DR$508,2,FALSE()))</f>
        <v/>
      </c>
      <c r="DU149" s="86" t="str">
        <f aca="false">IF($DJ149&gt;$DI$8,"",VLOOKUP($DJ149,$DL$9:$DR$508,3,FALSE()))</f>
        <v/>
      </c>
      <c r="DV149" s="86" t="str">
        <f aca="false">IF($DJ149&gt;$DI$8,"",VLOOKUP($DJ149,$DL$9:$DR$508,4,FALSE()))</f>
        <v/>
      </c>
      <c r="DW149" s="86" t="str">
        <f aca="false">IF($DJ149&gt;$DI$8,"",VLOOKUP($DJ149,$DL$9:$DR$508,5,FALSE()))</f>
        <v/>
      </c>
      <c r="DX149" s="87" t="str">
        <f aca="false">IF($DJ149&gt;$DI$8,"",VLOOKUP($DJ149,$DL$9:$DR$508,6,FALSE()))</f>
        <v/>
      </c>
      <c r="DY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130"/>
      <c r="N150" s="130"/>
      <c r="O150" s="135"/>
      <c r="P150" s="135"/>
      <c r="Q150" s="130"/>
      <c r="R150" s="130"/>
      <c r="S150" s="130"/>
      <c r="T150" s="130"/>
      <c r="U150" s="135"/>
      <c r="V150" s="130"/>
      <c r="W150" s="96"/>
      <c r="X150" s="130"/>
      <c r="Y150" s="130"/>
      <c r="Z150" s="96"/>
      <c r="AA150" s="96"/>
      <c r="AB150" s="130"/>
      <c r="AC150" s="130"/>
      <c r="AD150" s="130"/>
      <c r="AE150" s="97"/>
      <c r="AF150" s="130"/>
      <c r="AG150" s="99"/>
      <c r="AH150" s="100"/>
      <c r="AI150" s="100"/>
      <c r="AJ150" s="100" t="str">
        <f aca="false">IF(ISBLANK($C150),"",IF($E150=Constants!$B$2,TRUE(),IF($E150=Constants!$B$3,FALSE(),TRUE())))</f>
        <v/>
      </c>
      <c r="AK150" s="100" t="str">
        <f aca="false">IF(ISBLANK($C150),"",IF($F150=Constants!$B$2,TRUE(),IF($F150=Constants!$B$3,FALSE(),FALSE())))</f>
        <v/>
      </c>
      <c r="AL150" s="100" t="str">
        <f aca="false">IF(ISBLANK($C150),"",IF($G150=Constants!$B$2,TRUE(),IF($G150=Constants!$B$3,FALSE(),TRUE())))</f>
        <v/>
      </c>
      <c r="AM150" s="100" t="str">
        <f aca="false">IF(ISBLANK($C150),"",IF($H150=Constants!$B$2,TRUE(),IF($H150=Constants!$B$3,FALSE(),TRUE())))</f>
        <v/>
      </c>
      <c r="AN150" s="100" t="str">
        <f aca="false">IF(ISBLANK($C150),"",IF(ISNUMBER($I150),IF($I150&gt;=0,$I150,""),""))</f>
        <v/>
      </c>
      <c r="AO150" s="100" t="str">
        <f aca="false">IF(ISBLANK($C150),"",IF(ISNUMBER($J150),IF($J150&gt;=0,$J150,""),""))</f>
        <v/>
      </c>
      <c r="AP150" s="100" t="str">
        <f aca="false">IF(ISBLANK($C150),"",IF(ISNUMBER($K150),IF($K150&gt;=0,$K150,""),""))</f>
        <v/>
      </c>
      <c r="AQ150" s="100" t="str">
        <f aca="false">IF(ISBLANK($C150),"",IF($L150=Constants!$B$2,TRUE(),IF($L150=Constants!$B$3,FALSE(),TRUE())))</f>
        <v/>
      </c>
      <c r="AR150" s="100" t="str">
        <f aca="false">IF(ISBLANK($C150),"",IF($M150=Constants!$B$2,TRUE(),IF($M150=Constants!$B$3,FALSE(),TRUE())))</f>
        <v/>
      </c>
      <c r="AS150" s="100" t="str">
        <f aca="false">IF(ISBLANK($C150),"",IF($N150=Constants!$B$2,TRUE(),IF($N150=Constants!$B$3,FALSE(),FALSE())))</f>
        <v/>
      </c>
      <c r="AT150" s="100" t="str">
        <f aca="false">IF(ISBLANK($C150),"",IF($O150=Constants!$B$2,TRUE(),IF($O150=Constants!$B$3,FALSE(),TRUE())))</f>
        <v/>
      </c>
      <c r="AU150" s="100" t="str">
        <f aca="false">IF(ISBLANK($C150),"",IF($P150=Constants!$B$2,TRUE(),IF($P150=Constants!$B$3,FALSE(),TRUE())))</f>
        <v/>
      </c>
      <c r="AV150" s="100" t="str">
        <f aca="false">IF(ISBLANK($C150),"",IF($Q150=Constants!$B$2,TRUE(),IF($Q150=Constants!$B$3,FALSE(),FALSE())))</f>
        <v/>
      </c>
      <c r="AW150" s="100" t="str">
        <f aca="false">IF(ISBLANK($C150),"",IF($R150=Constants!$B$2,TRUE(),IF($R150=Constants!$B$3,FALSE(),FALSE())))</f>
        <v/>
      </c>
      <c r="AX150" s="100" t="str">
        <f aca="false">IF(ISBLANK($C150),"",IF($S150=Constants!$B$2,TRUE(),IF($S150=Constants!$B$3,FALSE(),FALSE())))</f>
        <v/>
      </c>
      <c r="AY150" s="100" t="str">
        <f aca="false">IF(ISBLANK($C150),"",IF($T150=Constants!$B$2,TRUE(),IF($T150=Constants!$B$3,FALSE(),FALSE())))</f>
        <v/>
      </c>
      <c r="AZ150" s="100" t="str">
        <f aca="false">IF(ISBLANK($C150),"",IF($U150=Constants!$B$2,TRUE(),IF($U150=Constants!$B$3,FALSE(),FALSE())))</f>
        <v/>
      </c>
      <c r="BA150" s="100" t="str">
        <f aca="false">IF(ISBLANK($C150),"",IF(OR($V150&amp;""="1",$V150&amp;""="2",$V150&amp;""="3",$V150&amp;""="4"),VALUE($V150&amp;""),IF($V150=Constants!$B$12,Constants!$B$12,"")))</f>
        <v/>
      </c>
      <c r="BB150" s="100" t="str">
        <f aca="false">IF(ISBLANK($C150),"",IF(ISBLANK($W150),0,IF(ISNUMBER($W150),IF(AND($W150&gt;=0,$W150&lt;=Constants!$B$21,$W150=INT($W150)),$W150,""),"")))</f>
        <v/>
      </c>
      <c r="BC150" s="100" t="str">
        <f aca="false">IF(ISBLANK($C150),"",IF(ISBLANK($X150),0,IF(ISNUMBER($X150),IF($X150&gt;=0,$X150,""),"")))</f>
        <v/>
      </c>
      <c r="BD150" s="100" t="str">
        <f aca="false">IF(ISBLANK($C150),"",IF($Y150=Constants!$B$2,TRUE(),IF($Y150=Constants!$B$3,FALSE(),TRUE())))</f>
        <v/>
      </c>
      <c r="BE150" s="100" t="str">
        <f aca="false">IF(ISBLANK($C150),"",IF($Z150=Constants!$B$2,TRUE(),IF($Z150=Constants!$B$3,FALSE(),FALSE())))</f>
        <v/>
      </c>
      <c r="BF150" s="100" t="str">
        <f aca="false">IF(ISBLANK($C150),"",IF(ISBLANK($AA150),0,IF(ISNUMBER($AA150),IF(AND($AA150&gt;=0,$AA150&lt;=Constants!$B$35,$AA150=INT($AA150)),$AA150,""),"")))</f>
        <v/>
      </c>
      <c r="BG150" s="100" t="str">
        <f aca="false">IF(ISBLANK($C150),"",IF($AB150=Constants!$B$2,TRUE(),IF($AB150=Constants!$B$3,FALSE(),TRUE())))</f>
        <v/>
      </c>
      <c r="BH150" s="100" t="str">
        <f aca="false">IF(ISBLANK($C150),"",IF($AC150=Constants!$B$2,TRUE(),IF($AC150=Constants!$B$3,FALSE(),TRUE())))</f>
        <v/>
      </c>
      <c r="BI150" s="100" t="str">
        <f aca="false">IF(ISBLANK($C150),"",IF($AD150=Constants!$B$2,TRUE(),IF($AD150=Constants!$B$3,FALSE(),TRUE())))</f>
        <v/>
      </c>
      <c r="BJ150" s="100" t="str">
        <f aca="false">IF(ISBLANK($C150),"",IF(ISNUMBER($AE150),IF($AE150&gt;=0,$AE150,""),""))</f>
        <v/>
      </c>
      <c r="BK150" s="100" t="str">
        <f aca="false">IF(ISBLANK($C150),"",IF($AF150=Constants!$B$2,TRUE(),IF($AF150=Constants!$B$3,FALSE(),FALSE())))</f>
        <v/>
      </c>
      <c r="BL150" s="99" t="str">
        <f aca="false">IF(ISBLANK($C150),"",IF($BK150,Constants!$B$7,IF(COUNTA($E150:$AE150)=0,Constants!$B$6,IF(OR(COUNTA($G150:$AE150)=0,NOT($AM150),$AS150),Constants!$B$5,IF(OR($CM150&lt;&gt;"",$CN150,$CO150,$CP150,$CQ150,$CR150,$CS150),Constants!$B$8,Constants!$B$4)))))</f>
        <v/>
      </c>
      <c r="BM150" s="100" t="str">
        <f aca="false">IF(ISBLANK($C150),"",IF($BL150&lt;&gt;Constants!$B$4,$BL150,IF(OR(NOT($AJ150),NOT($AL150),NOT($AT150)),Constants!$B$11,IF(OR(NOT($AR150),NOT($AU150),NOT($BI150),MAX($AN150,$AO150,$AP150)&gt;Constants!$B$30),Constants!$B$10,Constants!$B$9))))</f>
        <v/>
      </c>
      <c r="BN150" s="100" t="str">
        <f aca="false">IF($BL150&lt;&gt;Constants!$B$4,"",IF(NOT($AL150),0,MIN(Constants!$B$35,$BF150)))</f>
        <v/>
      </c>
      <c r="BO150" s="100" t="str">
        <f aca="false">IF($BL150&lt;&gt;Constants!$B$4,"",IF(NOT($AL150),0,IF($AW150,Constants!$B$18,IF($AV150,Constants!$B$17,0))))</f>
        <v/>
      </c>
      <c r="BP150" s="100" t="str">
        <f aca="false">IF($BL150&lt;&gt;Constants!$B$4,"",IF(NOT($AL150),0,Constants!$B$19*($AK150+$AX150+$AY150+$AZ150)))</f>
        <v/>
      </c>
      <c r="BQ150" s="100" t="str">
        <f aca="false">IF($BL150&lt;&gt;Constants!$B$4,"",IF(OR(NOT($AL150),NOT(ISNUMBER($BA150))),0,CHOOSE($BA150,Constants!$B$13,Constants!$B$14,Constants!$B$15,Constants!$B$16)))</f>
        <v/>
      </c>
      <c r="BR150" s="100" t="str">
        <f aca="false">IF($BL150&lt;&gt;Constants!$B$4,"",IF(NOT($AL150),0,Constants!$B$20*$BB150))</f>
        <v/>
      </c>
      <c r="BS150" s="100" t="str">
        <f aca="false">IF($BL150&lt;&gt;Constants!$B$4,"",IF(AND($AL150,$BD150,$BE150),Constants!$B$22,0))</f>
        <v/>
      </c>
      <c r="BT150" s="100" t="str">
        <f aca="false">IF($BL150&lt;&gt;Constants!$B$4,"",IF(OR(NOT($AL150),NOT($BD150)),0,IF($BJ150&gt;=2*$AH$9,0,Constants!$B$23*INT(ROUND(MIN($BJ150,$AH$9),6)))))</f>
        <v/>
      </c>
      <c r="BU150" s="100" t="str">
        <f aca="false">IF($BL150&lt;&gt;Constants!$B$4,"",IF(NOT($AL150),0,Constants!$B$24*INT(ROUND(MIN($BC150,$AH$9),6))))</f>
        <v/>
      </c>
      <c r="BV150" s="100" t="str">
        <f aca="false">IF($BL150&lt;&gt;Constants!$B$4,"",IF(AND($AL150,$BN150=0),Constants!$B$25,0))</f>
        <v/>
      </c>
      <c r="BW150" s="100" t="str">
        <f aca="false">IF($BL150&lt;&gt;Constants!$B$4,"",MIN(Constants!$B$29,MAX(0,Constants!$B$27*Constants!$B$28*INT(ROUND((Constants!$B$26-$AN150)/Constants!$B$28,6))))+MIN(Constants!$B$29,MAX(0,Constants!$B$27*Constants!$B$28*INT(ROUND((Constants!$B$26-$AO150)/Constants!$B$28,6))))+MIN(Constants!$B$29,MAX(0,Constants!$B$27*Constants!$B$28*INT(ROUND((Constants!$B$26-$AP150)/Constants!$B$28,6)))))</f>
        <v/>
      </c>
      <c r="BX150" s="100" t="str">
        <f aca="false">IF($BL150&lt;&gt;Constants!$B$4,"",IF(NOT($AL150),0,Constants!$B$31*INT(ROUND(MAX(0,MIN($BJ150,2*$AH$9)-$AH$9),6))))</f>
        <v/>
      </c>
      <c r="BY150" s="100" t="str">
        <f aca="false">IF($BL150&lt;&gt;Constants!$B$4,"",Constants!$B$32*(($AN150&gt;Constants!$B$26)+($AO150&gt;Constants!$B$26)+($AP150&gt;Constants!$B$26)))</f>
        <v/>
      </c>
      <c r="BZ150" s="100" t="str">
        <f aca="false">IF($BL150&lt;&gt;Constants!$B$4,"",IF(OR(NOT($AL150),$AQ150),0,Constants!$B$33))</f>
        <v/>
      </c>
      <c r="CA150" s="100" t="str">
        <f aca="false">IF($BL150&lt;&gt;Constants!$B$4,"",Constants!$B$34*$BN150)</f>
        <v/>
      </c>
      <c r="CB150" s="100" t="str">
        <f aca="false">IF($BL150&lt;&gt;Constants!$B$4,"",IF(OR(NOT($AL150),$BH150),0,Constants!$B$36))</f>
        <v/>
      </c>
      <c r="CC150" s="100" t="str">
        <f aca="false">IF($BL150&lt;&gt;Constants!$B$4,"",IF(OR(NOT($AL150),$BG150),0,Constants!$B$37))</f>
        <v/>
      </c>
      <c r="CD150" s="100" t="str">
        <f aca="false">IF($BL150&lt;&gt;Constants!$B$4,"",SUM($BX150:$CC150))</f>
        <v/>
      </c>
      <c r="CE150" s="100" t="str">
        <f aca="false">IF(ISBLANK($C150),"",IF($BL150&lt;&gt;Constants!$B$4,$BL150,SUM($BO150:$BW150)-$CD150))</f>
        <v/>
      </c>
      <c r="CF150" s="100" t="str">
        <f aca="false">IF(ISBLANK($C150),"",IF($BL150&lt;&gt;Constants!$B$4,$BL150,RANK($CE150,$CE$9:$CE$508)))</f>
        <v/>
      </c>
      <c r="CG150" s="100" t="str">
        <f aca="false">IF(ISBLANK($C150),"",IF($BL150&lt;&gt;Constants!$B$4,$BL150,COUNTIFS($BM$9:$BM$508,"&lt;"&amp;$BM150)+COUNTIFS($BM$9:$BM$508,$BM150,$CF$9:$CF$508,"&lt;"&amp;$CF150)+1))</f>
        <v/>
      </c>
      <c r="CH150" s="100" t="str">
        <f aca="false">IF(ISBLANK($C150),"",IF($BL150&lt;&gt;Constants!$B$4,$BL150,RANK($CD150,$CD$9:$CD$508,1)))</f>
        <v/>
      </c>
      <c r="CI150" s="100" t="str">
        <f aca="false">IF($BL150&lt;&gt;Constants!$B$4,"",$AN150+$AO150+$AP150)</f>
        <v/>
      </c>
      <c r="CJ150" s="100" t="str">
        <f aca="false">IF(ISBLANK($C150),"",IF($BL150&lt;&gt;Constants!$B$4,$BL150,RANK($CI150,$CI$9:$CI$508,1)))</f>
        <v/>
      </c>
      <c r="CK150" s="100" t="str">
        <f aca="false">IF(ISBLANK($C150),"",IF($BL150&lt;&gt;Constants!$B$4,$BL150,COUNTIFS($BM$9:$BM$508,"&lt;"&amp;$BM150)+COUNTIFS($BM$9:$BM$508,$BM150,$CF$9:$CF$508,"&lt;"&amp;$CF150)+COUNTIFS($BM$9:$BM$508,$BM150,$CF$9:$CF$508,$CF150,$CH$9:$CH$508,"&lt;"&amp;$CH150)+COUNTIFS($BM$9:$BM$508,$BM150,$CF$9:$CF$508,$CF150,$CH$9:$CH$508,$CH150,$CJ$9:$CJ$508,"&lt;"&amp;$CJ150)+1))</f>
        <v/>
      </c>
      <c r="CL150" s="100" t="str">
        <f aca="false">IF(ISBLANK($C150),"",IF($BL150&lt;&gt;Constants!$B$4,$BL150,$CG150-$CK150))</f>
        <v/>
      </c>
      <c r="CM150" s="100" t="str">
        <f aca="false">IF(ISBLANK($C150),"",IF(NOT($AL150),"",IF(ISBLANK($D$7),$CM$5,IF(NOT(ISNUMBER($D$7)),$CM$6,""))))</f>
        <v/>
      </c>
      <c r="CN150" s="100" t="str">
        <f aca="false">IF(ISBLANK($C150),"",OR($AN150="",$AO150="",$AP150=""))</f>
        <v/>
      </c>
      <c r="CO150" s="100" t="str">
        <f aca="false">IF(ISBLANK($C150),"",AND($AL150,$BA150=""))</f>
        <v/>
      </c>
      <c r="CP150" s="100" t="str">
        <f aca="false">IF(ISBLANK($C150),"",AND($AL150,$BB150=""))</f>
        <v/>
      </c>
      <c r="CQ150" s="100" t="str">
        <f aca="false">IF(ISBLANK($C150),"",AND($AL150,$BC150=""))</f>
        <v/>
      </c>
      <c r="CR150" s="100" t="str">
        <f aca="false">IF(ISBLANK($C150),"",AND($AL150,$BF150=""))</f>
        <v/>
      </c>
      <c r="CS150" s="100" t="str">
        <f aca="false">IF(ISBLANK($C150),"",AND($AL150,$BJ150=""))</f>
        <v/>
      </c>
      <c r="CT150" s="101"/>
      <c r="CU150" s="102"/>
      <c r="CV150" s="103" t="str">
        <f aca="false">IF(ISBLANK($C150),"",IF($BL150=Constants!$B$8,$CM150,""))</f>
        <v/>
      </c>
      <c r="CW150" s="102" t="str">
        <f aca="false">IF(ISBLANK($C150),"",IF($BL150&lt;&gt;Constants!$B$4,"",$BO150+$BP150))</f>
        <v/>
      </c>
      <c r="CX150" s="104" t="str">
        <f aca="false">IF(ISBLANK($C150),"",IF($BL150&lt;&gt;Constants!$B$4,"",$BQ150+$BR150+$BS150))</f>
        <v/>
      </c>
      <c r="CY150" s="104" t="str">
        <f aca="false">IF(ISBLANK($C150),"",IF($BL150&lt;&gt;Constants!$B$4,"",$BT150))</f>
        <v/>
      </c>
      <c r="CZ150" s="104" t="str">
        <f aca="false">IF(ISBLANK($C150),"",IF($BL150&lt;&gt;Constants!$B$4,"",$BU150+$BV150))</f>
        <v/>
      </c>
      <c r="DA150" s="104" t="str">
        <f aca="false">IF(ISBLANK($C150),"",IF($BL150&lt;&gt;Constants!$B$4,"",$BW150))</f>
        <v/>
      </c>
      <c r="DB150" s="104" t="str">
        <f aca="false">IF(ISBLANK($C150),"",IF($BL150&lt;&gt;Constants!$B$4,"",-$CD150))</f>
        <v/>
      </c>
      <c r="DC150" s="103" t="str">
        <f aca="false">IF(ISBLANK($C150),"",$CE150)</f>
        <v/>
      </c>
      <c r="DD150" s="105" t="str">
        <f aca="false">IF(ISBLANK($C150),"",$BM150)</f>
        <v/>
      </c>
      <c r="DE150" s="104" t="str">
        <f aca="false">IF(ISBLANK($C150),"",$CL150)</f>
        <v/>
      </c>
      <c r="DF150" s="104" t="str">
        <f aca="false">IF(ISBLANK($C150),"",$CK150)</f>
        <v/>
      </c>
      <c r="DG150" s="106" t="str">
        <f aca="false">IF(ISBLANK($C150),"",IF($DF150=Constants!$B$7,COUNTA($C$9:$C$508)+2,IF($DF150=Constants!$B$6,COUNTA($C$9:$C$508)+1,IF($DF150=Constants!$B$5,COUNTA($C$9:$C$508),$DF150))))</f>
        <v/>
      </c>
      <c r="DH150" s="7"/>
      <c r="DI150" s="107" t="n">
        <f aca="false">IF(OR(ISNUMBER($DF150),$DF150=Constants!$B$7,$DF150=Constants!$B$5,$DF150=Constants!$B$6),1,0)</f>
        <v>0</v>
      </c>
      <c r="DJ150" s="107" t="n">
        <v>142</v>
      </c>
      <c r="DK150" s="107" t="str">
        <f aca="false">IF(ISBLANK($C150),"",IF(ISNUMBER($DG150),$DG150+ROW($B150)/1000,""))</f>
        <v/>
      </c>
      <c r="DL150" s="107" t="str">
        <f aca="false">IF(ISNUMBER($DK150),RANK($DK150,$DK$9:$DK$508,1),"")</f>
        <v/>
      </c>
      <c r="DM150" s="107" t="str">
        <f aca="false">IF(ISBLANK($C150),"",$B150)</f>
        <v/>
      </c>
      <c r="DN150" s="107" t="str">
        <f aca="false">IF(ISBLANK($C150),"",$C150)</f>
        <v/>
      </c>
      <c r="DO150" s="107" t="str">
        <f aca="false">IF(ISBLANK($C150),"",$D150)</f>
        <v/>
      </c>
      <c r="DP150" s="108" t="str">
        <f aca="false">$DD150</f>
        <v/>
      </c>
      <c r="DQ150" s="109" t="str">
        <f aca="false">$DC150</f>
        <v/>
      </c>
      <c r="DR150" s="107" t="str">
        <f aca="false">IF(ISBLANK($C150),"",$DF150)</f>
        <v/>
      </c>
      <c r="DS150" s="110" t="str">
        <f aca="false">IF($DJ150&gt;$DI$8,"",VLOOKUP($DJ150,$DL$9:$DR$508,7,FALSE()))</f>
        <v/>
      </c>
      <c r="DT150" s="111" t="str">
        <f aca="false">IF($DJ150&gt;$DI$8,"",VLOOKUP($DJ150,$DL$9:$DR$508,2,FALSE()))</f>
        <v/>
      </c>
      <c r="DU150" s="111" t="str">
        <f aca="false">IF($DJ150&gt;$DI$8,"",VLOOKUP($DJ150,$DL$9:$DR$508,3,FALSE()))</f>
        <v/>
      </c>
      <c r="DV150" s="111" t="str">
        <f aca="false">IF($DJ150&gt;$DI$8,"",VLOOKUP($DJ150,$DL$9:$DR$508,4,FALSE()))</f>
        <v/>
      </c>
      <c r="DW150" s="111" t="str">
        <f aca="false">IF($DJ150&gt;$DI$8,"",VLOOKUP($DJ150,$DL$9:$DR$508,5,FALSE()))</f>
        <v/>
      </c>
      <c r="DX150" s="112" t="str">
        <f aca="false">IF($DJ150&gt;$DI$8,"",VLOOKUP($DJ150,$DL$9:$DR$508,6,FALSE()))</f>
        <v/>
      </c>
      <c r="DY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130"/>
      <c r="N151" s="130"/>
      <c r="O151" s="135"/>
      <c r="P151" s="135"/>
      <c r="Q151" s="130"/>
      <c r="R151" s="130"/>
      <c r="S151" s="130"/>
      <c r="T151" s="130"/>
      <c r="U151" s="135"/>
      <c r="V151" s="130"/>
      <c r="W151" s="96"/>
      <c r="X151" s="130"/>
      <c r="Y151" s="130"/>
      <c r="Z151" s="96"/>
      <c r="AA151" s="96"/>
      <c r="AB151" s="130"/>
      <c r="AC151" s="130"/>
      <c r="AD151" s="130"/>
      <c r="AE151" s="97"/>
      <c r="AF151" s="130"/>
      <c r="AG151" s="99"/>
      <c r="AH151" s="100"/>
      <c r="AI151" s="100"/>
      <c r="AJ151" s="100" t="str">
        <f aca="false">IF(ISBLANK($C151),"",IF($E151=Constants!$B$2,TRUE(),IF($E151=Constants!$B$3,FALSE(),TRUE())))</f>
        <v/>
      </c>
      <c r="AK151" s="100" t="str">
        <f aca="false">IF(ISBLANK($C151),"",IF($F151=Constants!$B$2,TRUE(),IF($F151=Constants!$B$3,FALSE(),FALSE())))</f>
        <v/>
      </c>
      <c r="AL151" s="100" t="str">
        <f aca="false">IF(ISBLANK($C151),"",IF($G151=Constants!$B$2,TRUE(),IF($G151=Constants!$B$3,FALSE(),TRUE())))</f>
        <v/>
      </c>
      <c r="AM151" s="100" t="str">
        <f aca="false">IF(ISBLANK($C151),"",IF($H151=Constants!$B$2,TRUE(),IF($H151=Constants!$B$3,FALSE(),TRUE())))</f>
        <v/>
      </c>
      <c r="AN151" s="100" t="str">
        <f aca="false">IF(ISBLANK($C151),"",IF(ISNUMBER($I151),IF($I151&gt;=0,$I151,""),""))</f>
        <v/>
      </c>
      <c r="AO151" s="100" t="str">
        <f aca="false">IF(ISBLANK($C151),"",IF(ISNUMBER($J151),IF($J151&gt;=0,$J151,""),""))</f>
        <v/>
      </c>
      <c r="AP151" s="100" t="str">
        <f aca="false">IF(ISBLANK($C151),"",IF(ISNUMBER($K151),IF($K151&gt;=0,$K151,""),""))</f>
        <v/>
      </c>
      <c r="AQ151" s="100" t="str">
        <f aca="false">IF(ISBLANK($C151),"",IF($L151=Constants!$B$2,TRUE(),IF($L151=Constants!$B$3,FALSE(),TRUE())))</f>
        <v/>
      </c>
      <c r="AR151" s="100" t="str">
        <f aca="false">IF(ISBLANK($C151),"",IF($M151=Constants!$B$2,TRUE(),IF($M151=Constants!$B$3,FALSE(),TRUE())))</f>
        <v/>
      </c>
      <c r="AS151" s="100" t="str">
        <f aca="false">IF(ISBLANK($C151),"",IF($N151=Constants!$B$2,TRUE(),IF($N151=Constants!$B$3,FALSE(),FALSE())))</f>
        <v/>
      </c>
      <c r="AT151" s="100" t="str">
        <f aca="false">IF(ISBLANK($C151),"",IF($O151=Constants!$B$2,TRUE(),IF($O151=Constants!$B$3,FALSE(),TRUE())))</f>
        <v/>
      </c>
      <c r="AU151" s="100" t="str">
        <f aca="false">IF(ISBLANK($C151),"",IF($P151=Constants!$B$2,TRUE(),IF($P151=Constants!$B$3,FALSE(),TRUE())))</f>
        <v/>
      </c>
      <c r="AV151" s="100" t="str">
        <f aca="false">IF(ISBLANK($C151),"",IF($Q151=Constants!$B$2,TRUE(),IF($Q151=Constants!$B$3,FALSE(),FALSE())))</f>
        <v/>
      </c>
      <c r="AW151" s="100" t="str">
        <f aca="false">IF(ISBLANK($C151),"",IF($R151=Constants!$B$2,TRUE(),IF($R151=Constants!$B$3,FALSE(),FALSE())))</f>
        <v/>
      </c>
      <c r="AX151" s="100" t="str">
        <f aca="false">IF(ISBLANK($C151),"",IF($S151=Constants!$B$2,TRUE(),IF($S151=Constants!$B$3,FALSE(),FALSE())))</f>
        <v/>
      </c>
      <c r="AY151" s="100" t="str">
        <f aca="false">IF(ISBLANK($C151),"",IF($T151=Constants!$B$2,TRUE(),IF($T151=Constants!$B$3,FALSE(),FALSE())))</f>
        <v/>
      </c>
      <c r="AZ151" s="100" t="str">
        <f aca="false">IF(ISBLANK($C151),"",IF($U151=Constants!$B$2,TRUE(),IF($U151=Constants!$B$3,FALSE(),FALSE())))</f>
        <v/>
      </c>
      <c r="BA151" s="100" t="str">
        <f aca="false">IF(ISBLANK($C151),"",IF(OR($V151&amp;""="1",$V151&amp;""="2",$V151&amp;""="3",$V151&amp;""="4"),VALUE($V151&amp;""),IF($V151=Constants!$B$12,Constants!$B$12,"")))</f>
        <v/>
      </c>
      <c r="BB151" s="100" t="str">
        <f aca="false">IF(ISBLANK($C151),"",IF(ISBLANK($W151),0,IF(ISNUMBER($W151),IF(AND($W151&gt;=0,$W151&lt;=Constants!$B$21,$W151=INT($W151)),$W151,""),"")))</f>
        <v/>
      </c>
      <c r="BC151" s="100" t="str">
        <f aca="false">IF(ISBLANK($C151),"",IF(ISBLANK($X151),0,IF(ISNUMBER($X151),IF($X151&gt;=0,$X151,""),"")))</f>
        <v/>
      </c>
      <c r="BD151" s="100" t="str">
        <f aca="false">IF(ISBLANK($C151),"",IF($Y151=Constants!$B$2,TRUE(),IF($Y151=Constants!$B$3,FALSE(),TRUE())))</f>
        <v/>
      </c>
      <c r="BE151" s="100" t="str">
        <f aca="false">IF(ISBLANK($C151),"",IF($Z151=Constants!$B$2,TRUE(),IF($Z151=Constants!$B$3,FALSE(),FALSE())))</f>
        <v/>
      </c>
      <c r="BF151" s="100" t="str">
        <f aca="false">IF(ISBLANK($C151),"",IF(ISBLANK($AA151),0,IF(ISNUMBER($AA151),IF(AND($AA151&gt;=0,$AA151&lt;=Constants!$B$35,$AA151=INT($AA151)),$AA151,""),"")))</f>
        <v/>
      </c>
      <c r="BG151" s="100" t="str">
        <f aca="false">IF(ISBLANK($C151),"",IF($AB151=Constants!$B$2,TRUE(),IF($AB151=Constants!$B$3,FALSE(),TRUE())))</f>
        <v/>
      </c>
      <c r="BH151" s="100" t="str">
        <f aca="false">IF(ISBLANK($C151),"",IF($AC151=Constants!$B$2,TRUE(),IF($AC151=Constants!$B$3,FALSE(),TRUE())))</f>
        <v/>
      </c>
      <c r="BI151" s="100" t="str">
        <f aca="false">IF(ISBLANK($C151),"",IF($AD151=Constants!$B$2,TRUE(),IF($AD151=Constants!$B$3,FALSE(),TRUE())))</f>
        <v/>
      </c>
      <c r="BJ151" s="100" t="str">
        <f aca="false">IF(ISBLANK($C151),"",IF(ISNUMBER($AE151),IF($AE151&gt;=0,$AE151,""),""))</f>
        <v/>
      </c>
      <c r="BK151" s="100" t="str">
        <f aca="false">IF(ISBLANK($C151),"",IF($AF151=Constants!$B$2,TRUE(),IF($AF151=Constants!$B$3,FALSE(),FALSE())))</f>
        <v/>
      </c>
      <c r="BL151" s="99" t="str">
        <f aca="false">IF(ISBLANK($C151),"",IF($BK151,Constants!$B$7,IF(COUNTA($E151:$AE151)=0,Constants!$B$6,IF(OR(COUNTA($G151:$AE151)=0,NOT($AM151),$AS151),Constants!$B$5,IF(OR($CM151&lt;&gt;"",$CN151,$CO151,$CP151,$CQ151,$CR151,$CS151),Constants!$B$8,Constants!$B$4)))))</f>
        <v/>
      </c>
      <c r="BM151" s="100" t="str">
        <f aca="false">IF(ISBLANK($C151),"",IF($BL151&lt;&gt;Constants!$B$4,$BL151,IF(OR(NOT($AJ151),NOT($AL151),NOT($AT151)),Constants!$B$11,IF(OR(NOT($AR151),NOT($AU151),NOT($BI151),MAX($AN151,$AO151,$AP151)&gt;Constants!$B$30),Constants!$B$10,Constants!$B$9))))</f>
        <v/>
      </c>
      <c r="BN151" s="100" t="str">
        <f aca="false">IF($BL151&lt;&gt;Constants!$B$4,"",IF(NOT($AL151),0,MIN(Constants!$B$35,$BF151)))</f>
        <v/>
      </c>
      <c r="BO151" s="100" t="str">
        <f aca="false">IF($BL151&lt;&gt;Constants!$B$4,"",IF(NOT($AL151),0,IF($AW151,Constants!$B$18,IF($AV151,Constants!$B$17,0))))</f>
        <v/>
      </c>
      <c r="BP151" s="100" t="str">
        <f aca="false">IF($BL151&lt;&gt;Constants!$B$4,"",IF(NOT($AL151),0,Constants!$B$19*($AK151+$AX151+$AY151+$AZ151)))</f>
        <v/>
      </c>
      <c r="BQ151" s="100" t="str">
        <f aca="false">IF($BL151&lt;&gt;Constants!$B$4,"",IF(OR(NOT($AL151),NOT(ISNUMBER($BA151))),0,CHOOSE($BA151,Constants!$B$13,Constants!$B$14,Constants!$B$15,Constants!$B$16)))</f>
        <v/>
      </c>
      <c r="BR151" s="100" t="str">
        <f aca="false">IF($BL151&lt;&gt;Constants!$B$4,"",IF(NOT($AL151),0,Constants!$B$20*$BB151))</f>
        <v/>
      </c>
      <c r="BS151" s="100" t="str">
        <f aca="false">IF($BL151&lt;&gt;Constants!$B$4,"",IF(AND($AL151,$BD151,$BE151),Constants!$B$22,0))</f>
        <v/>
      </c>
      <c r="BT151" s="100" t="str">
        <f aca="false">IF($BL151&lt;&gt;Constants!$B$4,"",IF(OR(NOT($AL151),NOT($BD151)),0,IF($BJ151&gt;=2*$AH$9,0,Constants!$B$23*INT(ROUND(MIN($BJ151,$AH$9),6)))))</f>
        <v/>
      </c>
      <c r="BU151" s="100" t="str">
        <f aca="false">IF($BL151&lt;&gt;Constants!$B$4,"",IF(NOT($AL151),0,Constants!$B$24*INT(ROUND(MIN($BC151,$AH$9),6))))</f>
        <v/>
      </c>
      <c r="BV151" s="100" t="str">
        <f aca="false">IF($BL151&lt;&gt;Constants!$B$4,"",IF(AND($AL151,$BN151=0),Constants!$B$25,0))</f>
        <v/>
      </c>
      <c r="BW151" s="100" t="str">
        <f aca="false">IF($BL151&lt;&gt;Constants!$B$4,"",MIN(Constants!$B$29,MAX(0,Constants!$B$27*Constants!$B$28*INT(ROUND((Constants!$B$26-$AN151)/Constants!$B$28,6))))+MIN(Constants!$B$29,MAX(0,Constants!$B$27*Constants!$B$28*INT(ROUND((Constants!$B$26-$AO151)/Constants!$B$28,6))))+MIN(Constants!$B$29,MAX(0,Constants!$B$27*Constants!$B$28*INT(ROUND((Constants!$B$26-$AP151)/Constants!$B$28,6)))))</f>
        <v/>
      </c>
      <c r="BX151" s="100" t="str">
        <f aca="false">IF($BL151&lt;&gt;Constants!$B$4,"",IF(NOT($AL151),0,Constants!$B$31*INT(ROUND(MAX(0,MIN($BJ151,2*$AH$9)-$AH$9),6))))</f>
        <v/>
      </c>
      <c r="BY151" s="100" t="str">
        <f aca="false">IF($BL151&lt;&gt;Constants!$B$4,"",Constants!$B$32*(($AN151&gt;Constants!$B$26)+($AO151&gt;Constants!$B$26)+($AP151&gt;Constants!$B$26)))</f>
        <v/>
      </c>
      <c r="BZ151" s="100" t="str">
        <f aca="false">IF($BL151&lt;&gt;Constants!$B$4,"",IF(OR(NOT($AL151),$AQ151),0,Constants!$B$33))</f>
        <v/>
      </c>
      <c r="CA151" s="100" t="str">
        <f aca="false">IF($BL151&lt;&gt;Constants!$B$4,"",Constants!$B$34*$BN151)</f>
        <v/>
      </c>
      <c r="CB151" s="100" t="str">
        <f aca="false">IF($BL151&lt;&gt;Constants!$B$4,"",IF(OR(NOT($AL151),$BH151),0,Constants!$B$36))</f>
        <v/>
      </c>
      <c r="CC151" s="100" t="str">
        <f aca="false">IF($BL151&lt;&gt;Constants!$B$4,"",IF(OR(NOT($AL151),$BG151),0,Constants!$B$37))</f>
        <v/>
      </c>
      <c r="CD151" s="100" t="str">
        <f aca="false">IF($BL151&lt;&gt;Constants!$B$4,"",SUM($BX151:$CC151))</f>
        <v/>
      </c>
      <c r="CE151" s="100" t="str">
        <f aca="false">IF(ISBLANK($C151),"",IF($BL151&lt;&gt;Constants!$B$4,$BL151,SUM($BO151:$BW151)-$CD151))</f>
        <v/>
      </c>
      <c r="CF151" s="100" t="str">
        <f aca="false">IF(ISBLANK($C151),"",IF($BL151&lt;&gt;Constants!$B$4,$BL151,RANK($CE151,$CE$9:$CE$508)))</f>
        <v/>
      </c>
      <c r="CG151" s="100" t="str">
        <f aca="false">IF(ISBLANK($C151),"",IF($BL151&lt;&gt;Constants!$B$4,$BL151,COUNTIFS($BM$9:$BM$508,"&lt;"&amp;$BM151)+COUNTIFS($BM$9:$BM$508,$BM151,$CF$9:$CF$508,"&lt;"&amp;$CF151)+1))</f>
        <v/>
      </c>
      <c r="CH151" s="100" t="str">
        <f aca="false">IF(ISBLANK($C151),"",IF($BL151&lt;&gt;Constants!$B$4,$BL151,RANK($CD151,$CD$9:$CD$508,1)))</f>
        <v/>
      </c>
      <c r="CI151" s="100" t="str">
        <f aca="false">IF($BL151&lt;&gt;Constants!$B$4,"",$AN151+$AO151+$AP151)</f>
        <v/>
      </c>
      <c r="CJ151" s="100" t="str">
        <f aca="false">IF(ISBLANK($C151),"",IF($BL151&lt;&gt;Constants!$B$4,$BL151,RANK($CI151,$CI$9:$CI$508,1)))</f>
        <v/>
      </c>
      <c r="CK151" s="100" t="str">
        <f aca="false">IF(ISBLANK($C151),"",IF($BL151&lt;&gt;Constants!$B$4,$BL151,COUNTIFS($BM$9:$BM$508,"&lt;"&amp;$BM151)+COUNTIFS($BM$9:$BM$508,$BM151,$CF$9:$CF$508,"&lt;"&amp;$CF151)+COUNTIFS($BM$9:$BM$508,$BM151,$CF$9:$CF$508,$CF151,$CH$9:$CH$508,"&lt;"&amp;$CH151)+COUNTIFS($BM$9:$BM$508,$BM151,$CF$9:$CF$508,$CF151,$CH$9:$CH$508,$CH151,$CJ$9:$CJ$508,"&lt;"&amp;$CJ151)+1))</f>
        <v/>
      </c>
      <c r="CL151" s="100" t="str">
        <f aca="false">IF(ISBLANK($C151),"",IF($BL151&lt;&gt;Constants!$B$4,$BL151,$CG151-$CK151))</f>
        <v/>
      </c>
      <c r="CM151" s="100" t="str">
        <f aca="false">IF(ISBLANK($C151),"",IF(NOT($AL151),"",IF(ISBLANK($D$7),$CM$5,IF(NOT(ISNUMBER($D$7)),$CM$6,""))))</f>
        <v/>
      </c>
      <c r="CN151" s="100" t="str">
        <f aca="false">IF(ISBLANK($C151),"",OR($AN151="",$AO151="",$AP151=""))</f>
        <v/>
      </c>
      <c r="CO151" s="100" t="str">
        <f aca="false">IF(ISBLANK($C151),"",AND($AL151,$BA151=""))</f>
        <v/>
      </c>
      <c r="CP151" s="100" t="str">
        <f aca="false">IF(ISBLANK($C151),"",AND($AL151,$BB151=""))</f>
        <v/>
      </c>
      <c r="CQ151" s="100" t="str">
        <f aca="false">IF(ISBLANK($C151),"",AND($AL151,$BC151=""))</f>
        <v/>
      </c>
      <c r="CR151" s="100" t="str">
        <f aca="false">IF(ISBLANK($C151),"",AND($AL151,$BF151=""))</f>
        <v/>
      </c>
      <c r="CS151" s="100" t="str">
        <f aca="false">IF(ISBLANK($C151),"",AND($AL151,$BJ151=""))</f>
        <v/>
      </c>
      <c r="CT151" s="101"/>
      <c r="CU151" s="102"/>
      <c r="CV151" s="103" t="str">
        <f aca="false">IF(ISBLANK($C151),"",IF($BL151=Constants!$B$8,$CM151,""))</f>
        <v/>
      </c>
      <c r="CW151" s="102" t="str">
        <f aca="false">IF(ISBLANK($C151),"",IF($BL151&lt;&gt;Constants!$B$4,"",$BO151+$BP151))</f>
        <v/>
      </c>
      <c r="CX151" s="104" t="str">
        <f aca="false">IF(ISBLANK($C151),"",IF($BL151&lt;&gt;Constants!$B$4,"",$BQ151+$BR151+$BS151))</f>
        <v/>
      </c>
      <c r="CY151" s="104" t="str">
        <f aca="false">IF(ISBLANK($C151),"",IF($BL151&lt;&gt;Constants!$B$4,"",$BT151))</f>
        <v/>
      </c>
      <c r="CZ151" s="104" t="str">
        <f aca="false">IF(ISBLANK($C151),"",IF($BL151&lt;&gt;Constants!$B$4,"",$BU151+$BV151))</f>
        <v/>
      </c>
      <c r="DA151" s="104" t="str">
        <f aca="false">IF(ISBLANK($C151),"",IF($BL151&lt;&gt;Constants!$B$4,"",$BW151))</f>
        <v/>
      </c>
      <c r="DB151" s="104" t="str">
        <f aca="false">IF(ISBLANK($C151),"",IF($BL151&lt;&gt;Constants!$B$4,"",-$CD151))</f>
        <v/>
      </c>
      <c r="DC151" s="103" t="str">
        <f aca="false">IF(ISBLANK($C151),"",$CE151)</f>
        <v/>
      </c>
      <c r="DD151" s="105" t="str">
        <f aca="false">IF(ISBLANK($C151),"",$BM151)</f>
        <v/>
      </c>
      <c r="DE151" s="104" t="str">
        <f aca="false">IF(ISBLANK($C151),"",$CL151)</f>
        <v/>
      </c>
      <c r="DF151" s="104" t="str">
        <f aca="false">IF(ISBLANK($C151),"",$CK151)</f>
        <v/>
      </c>
      <c r="DG151" s="106" t="str">
        <f aca="false">IF(ISBLANK($C151),"",IF($DF151=Constants!$B$7,COUNTA($C$9:$C$508)+2,IF($DF151=Constants!$B$6,COUNTA($C$9:$C$508)+1,IF($DF151=Constants!$B$5,COUNTA($C$9:$C$508),$DF151))))</f>
        <v/>
      </c>
      <c r="DH151" s="7"/>
      <c r="DI151" s="107" t="n">
        <f aca="false">IF(OR(ISNUMBER($DF151),$DF151=Constants!$B$7,$DF151=Constants!$B$5,$DF151=Constants!$B$6),1,0)</f>
        <v>0</v>
      </c>
      <c r="DJ151" s="107" t="n">
        <v>143</v>
      </c>
      <c r="DK151" s="107" t="str">
        <f aca="false">IF(ISBLANK($C151),"",IF(ISNUMBER($DG151),$DG151+ROW($B151)/1000,""))</f>
        <v/>
      </c>
      <c r="DL151" s="107" t="str">
        <f aca="false">IF(ISNUMBER($DK151),RANK($DK151,$DK$9:$DK$508,1),"")</f>
        <v/>
      </c>
      <c r="DM151" s="107" t="str">
        <f aca="false">IF(ISBLANK($C151),"",$B151)</f>
        <v/>
      </c>
      <c r="DN151" s="107" t="str">
        <f aca="false">IF(ISBLANK($C151),"",$C151)</f>
        <v/>
      </c>
      <c r="DO151" s="107" t="str">
        <f aca="false">IF(ISBLANK($C151),"",$D151)</f>
        <v/>
      </c>
      <c r="DP151" s="108" t="str">
        <f aca="false">$DD151</f>
        <v/>
      </c>
      <c r="DQ151" s="109" t="str">
        <f aca="false">$DC151</f>
        <v/>
      </c>
      <c r="DR151" s="107" t="str">
        <f aca="false">IF(ISBLANK($C151),"",$DF151)</f>
        <v/>
      </c>
      <c r="DS151" s="110" t="str">
        <f aca="false">IF($DJ151&gt;$DI$8,"",VLOOKUP($DJ151,$DL$9:$DR$508,7,FALSE()))</f>
        <v/>
      </c>
      <c r="DT151" s="111" t="str">
        <f aca="false">IF($DJ151&gt;$DI$8,"",VLOOKUP($DJ151,$DL$9:$DR$508,2,FALSE()))</f>
        <v/>
      </c>
      <c r="DU151" s="111" t="str">
        <f aca="false">IF($DJ151&gt;$DI$8,"",VLOOKUP($DJ151,$DL$9:$DR$508,3,FALSE()))</f>
        <v/>
      </c>
      <c r="DV151" s="111" t="str">
        <f aca="false">IF($DJ151&gt;$DI$8,"",VLOOKUP($DJ151,$DL$9:$DR$508,4,FALSE()))</f>
        <v/>
      </c>
      <c r="DW151" s="111" t="str">
        <f aca="false">IF($DJ151&gt;$DI$8,"",VLOOKUP($DJ151,$DL$9:$DR$508,5,FALSE()))</f>
        <v/>
      </c>
      <c r="DX151" s="112" t="str">
        <f aca="false">IF($DJ151&gt;$DI$8,"",VLOOKUP($DJ151,$DL$9:$DR$508,6,FALSE()))</f>
        <v/>
      </c>
      <c r="DY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130"/>
      <c r="N152" s="130"/>
      <c r="O152" s="135"/>
      <c r="P152" s="135"/>
      <c r="Q152" s="130"/>
      <c r="R152" s="130"/>
      <c r="S152" s="130"/>
      <c r="T152" s="130"/>
      <c r="U152" s="135"/>
      <c r="V152" s="130"/>
      <c r="W152" s="96"/>
      <c r="X152" s="130"/>
      <c r="Y152" s="130"/>
      <c r="Z152" s="96"/>
      <c r="AA152" s="96"/>
      <c r="AB152" s="130"/>
      <c r="AC152" s="130"/>
      <c r="AD152" s="130"/>
      <c r="AE152" s="97"/>
      <c r="AF152" s="130"/>
      <c r="AG152" s="99"/>
      <c r="AH152" s="100"/>
      <c r="AI152" s="100"/>
      <c r="AJ152" s="100" t="str">
        <f aca="false">IF(ISBLANK($C152),"",IF($E152=Constants!$B$2,TRUE(),IF($E152=Constants!$B$3,FALSE(),TRUE())))</f>
        <v/>
      </c>
      <c r="AK152" s="100" t="str">
        <f aca="false">IF(ISBLANK($C152),"",IF($F152=Constants!$B$2,TRUE(),IF($F152=Constants!$B$3,FALSE(),FALSE())))</f>
        <v/>
      </c>
      <c r="AL152" s="100" t="str">
        <f aca="false">IF(ISBLANK($C152),"",IF($G152=Constants!$B$2,TRUE(),IF($G152=Constants!$B$3,FALSE(),TRUE())))</f>
        <v/>
      </c>
      <c r="AM152" s="100" t="str">
        <f aca="false">IF(ISBLANK($C152),"",IF($H152=Constants!$B$2,TRUE(),IF($H152=Constants!$B$3,FALSE(),TRUE())))</f>
        <v/>
      </c>
      <c r="AN152" s="100" t="str">
        <f aca="false">IF(ISBLANK($C152),"",IF(ISNUMBER($I152),IF($I152&gt;=0,$I152,""),""))</f>
        <v/>
      </c>
      <c r="AO152" s="100" t="str">
        <f aca="false">IF(ISBLANK($C152),"",IF(ISNUMBER($J152),IF($J152&gt;=0,$J152,""),""))</f>
        <v/>
      </c>
      <c r="AP152" s="100" t="str">
        <f aca="false">IF(ISBLANK($C152),"",IF(ISNUMBER($K152),IF($K152&gt;=0,$K152,""),""))</f>
        <v/>
      </c>
      <c r="AQ152" s="100" t="str">
        <f aca="false">IF(ISBLANK($C152),"",IF($L152=Constants!$B$2,TRUE(),IF($L152=Constants!$B$3,FALSE(),TRUE())))</f>
        <v/>
      </c>
      <c r="AR152" s="100" t="str">
        <f aca="false">IF(ISBLANK($C152),"",IF($M152=Constants!$B$2,TRUE(),IF($M152=Constants!$B$3,FALSE(),TRUE())))</f>
        <v/>
      </c>
      <c r="AS152" s="100" t="str">
        <f aca="false">IF(ISBLANK($C152),"",IF($N152=Constants!$B$2,TRUE(),IF($N152=Constants!$B$3,FALSE(),FALSE())))</f>
        <v/>
      </c>
      <c r="AT152" s="100" t="str">
        <f aca="false">IF(ISBLANK($C152),"",IF($O152=Constants!$B$2,TRUE(),IF($O152=Constants!$B$3,FALSE(),TRUE())))</f>
        <v/>
      </c>
      <c r="AU152" s="100" t="str">
        <f aca="false">IF(ISBLANK($C152),"",IF($P152=Constants!$B$2,TRUE(),IF($P152=Constants!$B$3,FALSE(),TRUE())))</f>
        <v/>
      </c>
      <c r="AV152" s="100" t="str">
        <f aca="false">IF(ISBLANK($C152),"",IF($Q152=Constants!$B$2,TRUE(),IF($Q152=Constants!$B$3,FALSE(),FALSE())))</f>
        <v/>
      </c>
      <c r="AW152" s="100" t="str">
        <f aca="false">IF(ISBLANK($C152),"",IF($R152=Constants!$B$2,TRUE(),IF($R152=Constants!$B$3,FALSE(),FALSE())))</f>
        <v/>
      </c>
      <c r="AX152" s="100" t="str">
        <f aca="false">IF(ISBLANK($C152),"",IF($S152=Constants!$B$2,TRUE(),IF($S152=Constants!$B$3,FALSE(),FALSE())))</f>
        <v/>
      </c>
      <c r="AY152" s="100" t="str">
        <f aca="false">IF(ISBLANK($C152),"",IF($T152=Constants!$B$2,TRUE(),IF($T152=Constants!$B$3,FALSE(),FALSE())))</f>
        <v/>
      </c>
      <c r="AZ152" s="100" t="str">
        <f aca="false">IF(ISBLANK($C152),"",IF($U152=Constants!$B$2,TRUE(),IF($U152=Constants!$B$3,FALSE(),FALSE())))</f>
        <v/>
      </c>
      <c r="BA152" s="100" t="str">
        <f aca="false">IF(ISBLANK($C152),"",IF(OR($V152&amp;""="1",$V152&amp;""="2",$V152&amp;""="3",$V152&amp;""="4"),VALUE($V152&amp;""),IF($V152=Constants!$B$12,Constants!$B$12,"")))</f>
        <v/>
      </c>
      <c r="BB152" s="100" t="str">
        <f aca="false">IF(ISBLANK($C152),"",IF(ISBLANK($W152),0,IF(ISNUMBER($W152),IF(AND($W152&gt;=0,$W152&lt;=Constants!$B$21,$W152=INT($W152)),$W152,""),"")))</f>
        <v/>
      </c>
      <c r="BC152" s="100" t="str">
        <f aca="false">IF(ISBLANK($C152),"",IF(ISBLANK($X152),0,IF(ISNUMBER($X152),IF($X152&gt;=0,$X152,""),"")))</f>
        <v/>
      </c>
      <c r="BD152" s="100" t="str">
        <f aca="false">IF(ISBLANK($C152),"",IF($Y152=Constants!$B$2,TRUE(),IF($Y152=Constants!$B$3,FALSE(),TRUE())))</f>
        <v/>
      </c>
      <c r="BE152" s="100" t="str">
        <f aca="false">IF(ISBLANK($C152),"",IF($Z152=Constants!$B$2,TRUE(),IF($Z152=Constants!$B$3,FALSE(),FALSE())))</f>
        <v/>
      </c>
      <c r="BF152" s="100" t="str">
        <f aca="false">IF(ISBLANK($C152),"",IF(ISBLANK($AA152),0,IF(ISNUMBER($AA152),IF(AND($AA152&gt;=0,$AA152&lt;=Constants!$B$35,$AA152=INT($AA152)),$AA152,""),"")))</f>
        <v/>
      </c>
      <c r="BG152" s="100" t="str">
        <f aca="false">IF(ISBLANK($C152),"",IF($AB152=Constants!$B$2,TRUE(),IF($AB152=Constants!$B$3,FALSE(),TRUE())))</f>
        <v/>
      </c>
      <c r="BH152" s="100" t="str">
        <f aca="false">IF(ISBLANK($C152),"",IF($AC152=Constants!$B$2,TRUE(),IF($AC152=Constants!$B$3,FALSE(),TRUE())))</f>
        <v/>
      </c>
      <c r="BI152" s="100" t="str">
        <f aca="false">IF(ISBLANK($C152),"",IF($AD152=Constants!$B$2,TRUE(),IF($AD152=Constants!$B$3,FALSE(),TRUE())))</f>
        <v/>
      </c>
      <c r="BJ152" s="100" t="str">
        <f aca="false">IF(ISBLANK($C152),"",IF(ISNUMBER($AE152),IF($AE152&gt;=0,$AE152,""),""))</f>
        <v/>
      </c>
      <c r="BK152" s="100" t="str">
        <f aca="false">IF(ISBLANK($C152),"",IF($AF152=Constants!$B$2,TRUE(),IF($AF152=Constants!$B$3,FALSE(),FALSE())))</f>
        <v/>
      </c>
      <c r="BL152" s="99" t="str">
        <f aca="false">IF(ISBLANK($C152),"",IF($BK152,Constants!$B$7,IF(COUNTA($E152:$AE152)=0,Constants!$B$6,IF(OR(COUNTA($G152:$AE152)=0,NOT($AM152),$AS152),Constants!$B$5,IF(OR($CM152&lt;&gt;"",$CN152,$CO152,$CP152,$CQ152,$CR152,$CS152),Constants!$B$8,Constants!$B$4)))))</f>
        <v/>
      </c>
      <c r="BM152" s="100" t="str">
        <f aca="false">IF(ISBLANK($C152),"",IF($BL152&lt;&gt;Constants!$B$4,$BL152,IF(OR(NOT($AJ152),NOT($AL152),NOT($AT152)),Constants!$B$11,IF(OR(NOT($AR152),NOT($AU152),NOT($BI152),MAX($AN152,$AO152,$AP152)&gt;Constants!$B$30),Constants!$B$10,Constants!$B$9))))</f>
        <v/>
      </c>
      <c r="BN152" s="100" t="str">
        <f aca="false">IF($BL152&lt;&gt;Constants!$B$4,"",IF(NOT($AL152),0,MIN(Constants!$B$35,$BF152)))</f>
        <v/>
      </c>
      <c r="BO152" s="100" t="str">
        <f aca="false">IF($BL152&lt;&gt;Constants!$B$4,"",IF(NOT($AL152),0,IF($AW152,Constants!$B$18,IF($AV152,Constants!$B$17,0))))</f>
        <v/>
      </c>
      <c r="BP152" s="100" t="str">
        <f aca="false">IF($BL152&lt;&gt;Constants!$B$4,"",IF(NOT($AL152),0,Constants!$B$19*($AK152+$AX152+$AY152+$AZ152)))</f>
        <v/>
      </c>
      <c r="BQ152" s="100" t="str">
        <f aca="false">IF($BL152&lt;&gt;Constants!$B$4,"",IF(OR(NOT($AL152),NOT(ISNUMBER($BA152))),0,CHOOSE($BA152,Constants!$B$13,Constants!$B$14,Constants!$B$15,Constants!$B$16)))</f>
        <v/>
      </c>
      <c r="BR152" s="100" t="str">
        <f aca="false">IF($BL152&lt;&gt;Constants!$B$4,"",IF(NOT($AL152),0,Constants!$B$20*$BB152))</f>
        <v/>
      </c>
      <c r="BS152" s="100" t="str">
        <f aca="false">IF($BL152&lt;&gt;Constants!$B$4,"",IF(AND($AL152,$BD152,$BE152),Constants!$B$22,0))</f>
        <v/>
      </c>
      <c r="BT152" s="100" t="str">
        <f aca="false">IF($BL152&lt;&gt;Constants!$B$4,"",IF(OR(NOT($AL152),NOT($BD152)),0,IF($BJ152&gt;=2*$AH$9,0,Constants!$B$23*INT(ROUND(MIN($BJ152,$AH$9),6)))))</f>
        <v/>
      </c>
      <c r="BU152" s="100" t="str">
        <f aca="false">IF($BL152&lt;&gt;Constants!$B$4,"",IF(NOT($AL152),0,Constants!$B$24*INT(ROUND(MIN($BC152,$AH$9),6))))</f>
        <v/>
      </c>
      <c r="BV152" s="100" t="str">
        <f aca="false">IF($BL152&lt;&gt;Constants!$B$4,"",IF(AND($AL152,$BN152=0),Constants!$B$25,0))</f>
        <v/>
      </c>
      <c r="BW152" s="100" t="str">
        <f aca="false">IF($BL152&lt;&gt;Constants!$B$4,"",MIN(Constants!$B$29,MAX(0,Constants!$B$27*Constants!$B$28*INT(ROUND((Constants!$B$26-$AN152)/Constants!$B$28,6))))+MIN(Constants!$B$29,MAX(0,Constants!$B$27*Constants!$B$28*INT(ROUND((Constants!$B$26-$AO152)/Constants!$B$28,6))))+MIN(Constants!$B$29,MAX(0,Constants!$B$27*Constants!$B$28*INT(ROUND((Constants!$B$26-$AP152)/Constants!$B$28,6)))))</f>
        <v/>
      </c>
      <c r="BX152" s="100" t="str">
        <f aca="false">IF($BL152&lt;&gt;Constants!$B$4,"",IF(NOT($AL152),0,Constants!$B$31*INT(ROUND(MAX(0,MIN($BJ152,2*$AH$9)-$AH$9),6))))</f>
        <v/>
      </c>
      <c r="BY152" s="100" t="str">
        <f aca="false">IF($BL152&lt;&gt;Constants!$B$4,"",Constants!$B$32*(($AN152&gt;Constants!$B$26)+($AO152&gt;Constants!$B$26)+($AP152&gt;Constants!$B$26)))</f>
        <v/>
      </c>
      <c r="BZ152" s="100" t="str">
        <f aca="false">IF($BL152&lt;&gt;Constants!$B$4,"",IF(OR(NOT($AL152),$AQ152),0,Constants!$B$33))</f>
        <v/>
      </c>
      <c r="CA152" s="100" t="str">
        <f aca="false">IF($BL152&lt;&gt;Constants!$B$4,"",Constants!$B$34*$BN152)</f>
        <v/>
      </c>
      <c r="CB152" s="100" t="str">
        <f aca="false">IF($BL152&lt;&gt;Constants!$B$4,"",IF(OR(NOT($AL152),$BH152),0,Constants!$B$36))</f>
        <v/>
      </c>
      <c r="CC152" s="100" t="str">
        <f aca="false">IF($BL152&lt;&gt;Constants!$B$4,"",IF(OR(NOT($AL152),$BG152),0,Constants!$B$37))</f>
        <v/>
      </c>
      <c r="CD152" s="100" t="str">
        <f aca="false">IF($BL152&lt;&gt;Constants!$B$4,"",SUM($BX152:$CC152))</f>
        <v/>
      </c>
      <c r="CE152" s="100" t="str">
        <f aca="false">IF(ISBLANK($C152),"",IF($BL152&lt;&gt;Constants!$B$4,$BL152,SUM($BO152:$BW152)-$CD152))</f>
        <v/>
      </c>
      <c r="CF152" s="100" t="str">
        <f aca="false">IF(ISBLANK($C152),"",IF($BL152&lt;&gt;Constants!$B$4,$BL152,RANK($CE152,$CE$9:$CE$508)))</f>
        <v/>
      </c>
      <c r="CG152" s="100" t="str">
        <f aca="false">IF(ISBLANK($C152),"",IF($BL152&lt;&gt;Constants!$B$4,$BL152,COUNTIFS($BM$9:$BM$508,"&lt;"&amp;$BM152)+COUNTIFS($BM$9:$BM$508,$BM152,$CF$9:$CF$508,"&lt;"&amp;$CF152)+1))</f>
        <v/>
      </c>
      <c r="CH152" s="100" t="str">
        <f aca="false">IF(ISBLANK($C152),"",IF($BL152&lt;&gt;Constants!$B$4,$BL152,RANK($CD152,$CD$9:$CD$508,1)))</f>
        <v/>
      </c>
      <c r="CI152" s="100" t="str">
        <f aca="false">IF($BL152&lt;&gt;Constants!$B$4,"",$AN152+$AO152+$AP152)</f>
        <v/>
      </c>
      <c r="CJ152" s="100" t="str">
        <f aca="false">IF(ISBLANK($C152),"",IF($BL152&lt;&gt;Constants!$B$4,$BL152,RANK($CI152,$CI$9:$CI$508,1)))</f>
        <v/>
      </c>
      <c r="CK152" s="100" t="str">
        <f aca="false">IF(ISBLANK($C152),"",IF($BL152&lt;&gt;Constants!$B$4,$BL152,COUNTIFS($BM$9:$BM$508,"&lt;"&amp;$BM152)+COUNTIFS($BM$9:$BM$508,$BM152,$CF$9:$CF$508,"&lt;"&amp;$CF152)+COUNTIFS($BM$9:$BM$508,$BM152,$CF$9:$CF$508,$CF152,$CH$9:$CH$508,"&lt;"&amp;$CH152)+COUNTIFS($BM$9:$BM$508,$BM152,$CF$9:$CF$508,$CF152,$CH$9:$CH$508,$CH152,$CJ$9:$CJ$508,"&lt;"&amp;$CJ152)+1))</f>
        <v/>
      </c>
      <c r="CL152" s="100" t="str">
        <f aca="false">IF(ISBLANK($C152),"",IF($BL152&lt;&gt;Constants!$B$4,$BL152,$CG152-$CK152))</f>
        <v/>
      </c>
      <c r="CM152" s="100" t="str">
        <f aca="false">IF(ISBLANK($C152),"",IF(NOT($AL152),"",IF(ISBLANK($D$7),$CM$5,IF(NOT(ISNUMBER($D$7)),$CM$6,""))))</f>
        <v/>
      </c>
      <c r="CN152" s="100" t="str">
        <f aca="false">IF(ISBLANK($C152),"",OR($AN152="",$AO152="",$AP152=""))</f>
        <v/>
      </c>
      <c r="CO152" s="100" t="str">
        <f aca="false">IF(ISBLANK($C152),"",AND($AL152,$BA152=""))</f>
        <v/>
      </c>
      <c r="CP152" s="100" t="str">
        <f aca="false">IF(ISBLANK($C152),"",AND($AL152,$BB152=""))</f>
        <v/>
      </c>
      <c r="CQ152" s="100" t="str">
        <f aca="false">IF(ISBLANK($C152),"",AND($AL152,$BC152=""))</f>
        <v/>
      </c>
      <c r="CR152" s="100" t="str">
        <f aca="false">IF(ISBLANK($C152),"",AND($AL152,$BF152=""))</f>
        <v/>
      </c>
      <c r="CS152" s="100" t="str">
        <f aca="false">IF(ISBLANK($C152),"",AND($AL152,$BJ152=""))</f>
        <v/>
      </c>
      <c r="CT152" s="101"/>
      <c r="CU152" s="102"/>
      <c r="CV152" s="103" t="str">
        <f aca="false">IF(ISBLANK($C152),"",IF($BL152=Constants!$B$8,$CM152,""))</f>
        <v/>
      </c>
      <c r="CW152" s="102" t="str">
        <f aca="false">IF(ISBLANK($C152),"",IF($BL152&lt;&gt;Constants!$B$4,"",$BO152+$BP152))</f>
        <v/>
      </c>
      <c r="CX152" s="104" t="str">
        <f aca="false">IF(ISBLANK($C152),"",IF($BL152&lt;&gt;Constants!$B$4,"",$BQ152+$BR152+$BS152))</f>
        <v/>
      </c>
      <c r="CY152" s="104" t="str">
        <f aca="false">IF(ISBLANK($C152),"",IF($BL152&lt;&gt;Constants!$B$4,"",$BT152))</f>
        <v/>
      </c>
      <c r="CZ152" s="104" t="str">
        <f aca="false">IF(ISBLANK($C152),"",IF($BL152&lt;&gt;Constants!$B$4,"",$BU152+$BV152))</f>
        <v/>
      </c>
      <c r="DA152" s="104" t="str">
        <f aca="false">IF(ISBLANK($C152),"",IF($BL152&lt;&gt;Constants!$B$4,"",$BW152))</f>
        <v/>
      </c>
      <c r="DB152" s="104" t="str">
        <f aca="false">IF(ISBLANK($C152),"",IF($BL152&lt;&gt;Constants!$B$4,"",-$CD152))</f>
        <v/>
      </c>
      <c r="DC152" s="103" t="str">
        <f aca="false">IF(ISBLANK($C152),"",$CE152)</f>
        <v/>
      </c>
      <c r="DD152" s="105" t="str">
        <f aca="false">IF(ISBLANK($C152),"",$BM152)</f>
        <v/>
      </c>
      <c r="DE152" s="104" t="str">
        <f aca="false">IF(ISBLANK($C152),"",$CL152)</f>
        <v/>
      </c>
      <c r="DF152" s="104" t="str">
        <f aca="false">IF(ISBLANK($C152),"",$CK152)</f>
        <v/>
      </c>
      <c r="DG152" s="106" t="str">
        <f aca="false">IF(ISBLANK($C152),"",IF($DF152=Constants!$B$7,COUNTA($C$9:$C$508)+2,IF($DF152=Constants!$B$6,COUNTA($C$9:$C$508)+1,IF($DF152=Constants!$B$5,COUNTA($C$9:$C$508),$DF152))))</f>
        <v/>
      </c>
      <c r="DH152" s="7"/>
      <c r="DI152" s="107" t="n">
        <f aca="false">IF(OR(ISNUMBER($DF152),$DF152=Constants!$B$7,$DF152=Constants!$B$5,$DF152=Constants!$B$6),1,0)</f>
        <v>0</v>
      </c>
      <c r="DJ152" s="107" t="n">
        <v>144</v>
      </c>
      <c r="DK152" s="107" t="str">
        <f aca="false">IF(ISBLANK($C152),"",IF(ISNUMBER($DG152),$DG152+ROW($B152)/1000,""))</f>
        <v/>
      </c>
      <c r="DL152" s="107" t="str">
        <f aca="false">IF(ISNUMBER($DK152),RANK($DK152,$DK$9:$DK$508,1),"")</f>
        <v/>
      </c>
      <c r="DM152" s="107" t="str">
        <f aca="false">IF(ISBLANK($C152),"",$B152)</f>
        <v/>
      </c>
      <c r="DN152" s="107" t="str">
        <f aca="false">IF(ISBLANK($C152),"",$C152)</f>
        <v/>
      </c>
      <c r="DO152" s="107" t="str">
        <f aca="false">IF(ISBLANK($C152),"",$D152)</f>
        <v/>
      </c>
      <c r="DP152" s="108" t="str">
        <f aca="false">$DD152</f>
        <v/>
      </c>
      <c r="DQ152" s="109" t="str">
        <f aca="false">$DC152</f>
        <v/>
      </c>
      <c r="DR152" s="107" t="str">
        <f aca="false">IF(ISBLANK($C152),"",$DF152)</f>
        <v/>
      </c>
      <c r="DS152" s="110" t="str">
        <f aca="false">IF($DJ152&gt;$DI$8,"",VLOOKUP($DJ152,$DL$9:$DR$508,7,FALSE()))</f>
        <v/>
      </c>
      <c r="DT152" s="111" t="str">
        <f aca="false">IF($DJ152&gt;$DI$8,"",VLOOKUP($DJ152,$DL$9:$DR$508,2,FALSE()))</f>
        <v/>
      </c>
      <c r="DU152" s="111" t="str">
        <f aca="false">IF($DJ152&gt;$DI$8,"",VLOOKUP($DJ152,$DL$9:$DR$508,3,FALSE()))</f>
        <v/>
      </c>
      <c r="DV152" s="111" t="str">
        <f aca="false">IF($DJ152&gt;$DI$8,"",VLOOKUP($DJ152,$DL$9:$DR$508,4,FALSE()))</f>
        <v/>
      </c>
      <c r="DW152" s="111" t="str">
        <f aca="false">IF($DJ152&gt;$DI$8,"",VLOOKUP($DJ152,$DL$9:$DR$508,5,FALSE()))</f>
        <v/>
      </c>
      <c r="DX152" s="112" t="str">
        <f aca="false">IF($DJ152&gt;$DI$8,"",VLOOKUP($DJ152,$DL$9:$DR$508,6,FALSE()))</f>
        <v/>
      </c>
      <c r="DY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88"/>
      <c r="N153" s="88"/>
      <c r="O153" s="134"/>
      <c r="P153" s="134"/>
      <c r="Q153" s="88"/>
      <c r="R153" s="88"/>
      <c r="S153" s="88"/>
      <c r="T153" s="88"/>
      <c r="U153" s="134"/>
      <c r="V153" s="88"/>
      <c r="W153" s="70"/>
      <c r="X153" s="88"/>
      <c r="Y153" s="88"/>
      <c r="Z153" s="70"/>
      <c r="AA153" s="70"/>
      <c r="AB153" s="88"/>
      <c r="AC153" s="88"/>
      <c r="AD153" s="88"/>
      <c r="AE153" s="71"/>
      <c r="AF153" s="88"/>
      <c r="AG153" s="73"/>
      <c r="AH153" s="74"/>
      <c r="AI153" s="74"/>
      <c r="AJ153" s="74" t="str">
        <f aca="false">IF(ISBLANK($C153),"",IF($E153=Constants!$B$2,TRUE(),IF($E153=Constants!$B$3,FALSE(),TRUE())))</f>
        <v/>
      </c>
      <c r="AK153" s="74" t="str">
        <f aca="false">IF(ISBLANK($C153),"",IF($F153=Constants!$B$2,TRUE(),IF($F153=Constants!$B$3,FALSE(),FALSE())))</f>
        <v/>
      </c>
      <c r="AL153" s="74" t="str">
        <f aca="false">IF(ISBLANK($C153),"",IF($G153=Constants!$B$2,TRUE(),IF($G153=Constants!$B$3,FALSE(),TRUE())))</f>
        <v/>
      </c>
      <c r="AM153" s="74" t="str">
        <f aca="false">IF(ISBLANK($C153),"",IF($H153=Constants!$B$2,TRUE(),IF($H153=Constants!$B$3,FALSE(),TRUE())))</f>
        <v/>
      </c>
      <c r="AN153" s="74" t="str">
        <f aca="false">IF(ISBLANK($C153),"",IF(ISNUMBER($I153),IF($I153&gt;=0,$I153,""),""))</f>
        <v/>
      </c>
      <c r="AO153" s="74" t="str">
        <f aca="false">IF(ISBLANK($C153),"",IF(ISNUMBER($J153),IF($J153&gt;=0,$J153,""),""))</f>
        <v/>
      </c>
      <c r="AP153" s="74" t="str">
        <f aca="false">IF(ISBLANK($C153),"",IF(ISNUMBER($K153),IF($K153&gt;=0,$K153,""),""))</f>
        <v/>
      </c>
      <c r="AQ153" s="74" t="str">
        <f aca="false">IF(ISBLANK($C153),"",IF($L153=Constants!$B$2,TRUE(),IF($L153=Constants!$B$3,FALSE(),TRUE())))</f>
        <v/>
      </c>
      <c r="AR153" s="74" t="str">
        <f aca="false">IF(ISBLANK($C153),"",IF($M153=Constants!$B$2,TRUE(),IF($M153=Constants!$B$3,FALSE(),TRUE())))</f>
        <v/>
      </c>
      <c r="AS153" s="74" t="str">
        <f aca="false">IF(ISBLANK($C153),"",IF($N153=Constants!$B$2,TRUE(),IF($N153=Constants!$B$3,FALSE(),FALSE())))</f>
        <v/>
      </c>
      <c r="AT153" s="74" t="str">
        <f aca="false">IF(ISBLANK($C153),"",IF($O153=Constants!$B$2,TRUE(),IF($O153=Constants!$B$3,FALSE(),TRUE())))</f>
        <v/>
      </c>
      <c r="AU153" s="74" t="str">
        <f aca="false">IF(ISBLANK($C153),"",IF($P153=Constants!$B$2,TRUE(),IF($P153=Constants!$B$3,FALSE(),TRUE())))</f>
        <v/>
      </c>
      <c r="AV153" s="74" t="str">
        <f aca="false">IF(ISBLANK($C153),"",IF($Q153=Constants!$B$2,TRUE(),IF($Q153=Constants!$B$3,FALSE(),FALSE())))</f>
        <v/>
      </c>
      <c r="AW153" s="74" t="str">
        <f aca="false">IF(ISBLANK($C153),"",IF($R153=Constants!$B$2,TRUE(),IF($R153=Constants!$B$3,FALSE(),FALSE())))</f>
        <v/>
      </c>
      <c r="AX153" s="74" t="str">
        <f aca="false">IF(ISBLANK($C153),"",IF($S153=Constants!$B$2,TRUE(),IF($S153=Constants!$B$3,FALSE(),FALSE())))</f>
        <v/>
      </c>
      <c r="AY153" s="74" t="str">
        <f aca="false">IF(ISBLANK($C153),"",IF($T153=Constants!$B$2,TRUE(),IF($T153=Constants!$B$3,FALSE(),FALSE())))</f>
        <v/>
      </c>
      <c r="AZ153" s="74" t="str">
        <f aca="false">IF(ISBLANK($C153),"",IF($U153=Constants!$B$2,TRUE(),IF($U153=Constants!$B$3,FALSE(),FALSE())))</f>
        <v/>
      </c>
      <c r="BA153" s="74" t="str">
        <f aca="false">IF(ISBLANK($C153),"",IF(OR($V153&amp;""="1",$V153&amp;""="2",$V153&amp;""="3",$V153&amp;""="4"),VALUE($V153&amp;""),IF($V153=Constants!$B$12,Constants!$B$12,"")))</f>
        <v/>
      </c>
      <c r="BB153" s="74" t="str">
        <f aca="false">IF(ISBLANK($C153),"",IF(ISBLANK($W153),0,IF(ISNUMBER($W153),IF(AND($W153&gt;=0,$W153&lt;=Constants!$B$21,$W153=INT($W153)),$W153,""),"")))</f>
        <v/>
      </c>
      <c r="BC153" s="74" t="str">
        <f aca="false">IF(ISBLANK($C153),"",IF(ISBLANK($X153),0,IF(ISNUMBER($X153),IF($X153&gt;=0,$X153,""),"")))</f>
        <v/>
      </c>
      <c r="BD153" s="74" t="str">
        <f aca="false">IF(ISBLANK($C153),"",IF($Y153=Constants!$B$2,TRUE(),IF($Y153=Constants!$B$3,FALSE(),TRUE())))</f>
        <v/>
      </c>
      <c r="BE153" s="74" t="str">
        <f aca="false">IF(ISBLANK($C153),"",IF($Z153=Constants!$B$2,TRUE(),IF($Z153=Constants!$B$3,FALSE(),FALSE())))</f>
        <v/>
      </c>
      <c r="BF153" s="74" t="str">
        <f aca="false">IF(ISBLANK($C153),"",IF(ISBLANK($AA153),0,IF(ISNUMBER($AA153),IF(AND($AA153&gt;=0,$AA153&lt;=Constants!$B$35,$AA153=INT($AA153)),$AA153,""),"")))</f>
        <v/>
      </c>
      <c r="BG153" s="74" t="str">
        <f aca="false">IF(ISBLANK($C153),"",IF($AB153=Constants!$B$2,TRUE(),IF($AB153=Constants!$B$3,FALSE(),TRUE())))</f>
        <v/>
      </c>
      <c r="BH153" s="74" t="str">
        <f aca="false">IF(ISBLANK($C153),"",IF($AC153=Constants!$B$2,TRUE(),IF($AC153=Constants!$B$3,FALSE(),TRUE())))</f>
        <v/>
      </c>
      <c r="BI153" s="74" t="str">
        <f aca="false">IF(ISBLANK($C153),"",IF($AD153=Constants!$B$2,TRUE(),IF($AD153=Constants!$B$3,FALSE(),TRUE())))</f>
        <v/>
      </c>
      <c r="BJ153" s="74" t="str">
        <f aca="false">IF(ISBLANK($C153),"",IF(ISNUMBER($AE153),IF($AE153&gt;=0,$AE153,""),""))</f>
        <v/>
      </c>
      <c r="BK153" s="74" t="str">
        <f aca="false">IF(ISBLANK($C153),"",IF($AF153=Constants!$B$2,TRUE(),IF($AF153=Constants!$B$3,FALSE(),FALSE())))</f>
        <v/>
      </c>
      <c r="BL153" s="73" t="str">
        <f aca="false">IF(ISBLANK($C153),"",IF($BK153,Constants!$B$7,IF(COUNTA($E153:$AE153)=0,Constants!$B$6,IF(OR(COUNTA($G153:$AE153)=0,NOT($AM153),$AS153),Constants!$B$5,IF(OR($CM153&lt;&gt;"",$CN153,$CO153,$CP153,$CQ153,$CR153,$CS153),Constants!$B$8,Constants!$B$4)))))</f>
        <v/>
      </c>
      <c r="BM153" s="74" t="str">
        <f aca="false">IF(ISBLANK($C153),"",IF($BL153&lt;&gt;Constants!$B$4,$BL153,IF(OR(NOT($AJ153),NOT($AL153),NOT($AT153)),Constants!$B$11,IF(OR(NOT($AR153),NOT($AU153),NOT($BI153),MAX($AN153,$AO153,$AP153)&gt;Constants!$B$30),Constants!$B$10,Constants!$B$9))))</f>
        <v/>
      </c>
      <c r="BN153" s="74" t="str">
        <f aca="false">IF($BL153&lt;&gt;Constants!$B$4,"",IF(NOT($AL153),0,MIN(Constants!$B$35,$BF153)))</f>
        <v/>
      </c>
      <c r="BO153" s="74" t="str">
        <f aca="false">IF($BL153&lt;&gt;Constants!$B$4,"",IF(NOT($AL153),0,IF($AW153,Constants!$B$18,IF($AV153,Constants!$B$17,0))))</f>
        <v/>
      </c>
      <c r="BP153" s="74" t="str">
        <f aca="false">IF($BL153&lt;&gt;Constants!$B$4,"",IF(NOT($AL153),0,Constants!$B$19*($AK153+$AX153+$AY153+$AZ153)))</f>
        <v/>
      </c>
      <c r="BQ153" s="74" t="str">
        <f aca="false">IF($BL153&lt;&gt;Constants!$B$4,"",IF(OR(NOT($AL153),NOT(ISNUMBER($BA153))),0,CHOOSE($BA153,Constants!$B$13,Constants!$B$14,Constants!$B$15,Constants!$B$16)))</f>
        <v/>
      </c>
      <c r="BR153" s="74" t="str">
        <f aca="false">IF($BL153&lt;&gt;Constants!$B$4,"",IF(NOT($AL153),0,Constants!$B$20*$BB153))</f>
        <v/>
      </c>
      <c r="BS153" s="74" t="str">
        <f aca="false">IF($BL153&lt;&gt;Constants!$B$4,"",IF(AND($AL153,$BD153,$BE153),Constants!$B$22,0))</f>
        <v/>
      </c>
      <c r="BT153" s="74" t="str">
        <f aca="false">IF($BL153&lt;&gt;Constants!$B$4,"",IF(OR(NOT($AL153),NOT($BD153)),0,IF($BJ153&gt;=2*$AH$9,0,Constants!$B$23*INT(ROUND(MIN($BJ153,$AH$9),6)))))</f>
        <v/>
      </c>
      <c r="BU153" s="74" t="str">
        <f aca="false">IF($BL153&lt;&gt;Constants!$B$4,"",IF(NOT($AL153),0,Constants!$B$24*INT(ROUND(MIN($BC153,$AH$9),6))))</f>
        <v/>
      </c>
      <c r="BV153" s="74" t="str">
        <f aca="false">IF($BL153&lt;&gt;Constants!$B$4,"",IF(AND($AL153,$BN153=0),Constants!$B$25,0))</f>
        <v/>
      </c>
      <c r="BW153" s="74" t="str">
        <f aca="false">IF($BL153&lt;&gt;Constants!$B$4,"",MIN(Constants!$B$29,MAX(0,Constants!$B$27*Constants!$B$28*INT(ROUND((Constants!$B$26-$AN153)/Constants!$B$28,6))))+MIN(Constants!$B$29,MAX(0,Constants!$B$27*Constants!$B$28*INT(ROUND((Constants!$B$26-$AO153)/Constants!$B$28,6))))+MIN(Constants!$B$29,MAX(0,Constants!$B$27*Constants!$B$28*INT(ROUND((Constants!$B$26-$AP153)/Constants!$B$28,6)))))</f>
        <v/>
      </c>
      <c r="BX153" s="74" t="str">
        <f aca="false">IF($BL153&lt;&gt;Constants!$B$4,"",IF(NOT($AL153),0,Constants!$B$31*INT(ROUND(MAX(0,MIN($BJ153,2*$AH$9)-$AH$9),6))))</f>
        <v/>
      </c>
      <c r="BY153" s="74" t="str">
        <f aca="false">IF($BL153&lt;&gt;Constants!$B$4,"",Constants!$B$32*(($AN153&gt;Constants!$B$26)+($AO153&gt;Constants!$B$26)+($AP153&gt;Constants!$B$26)))</f>
        <v/>
      </c>
      <c r="BZ153" s="74" t="str">
        <f aca="false">IF($BL153&lt;&gt;Constants!$B$4,"",IF(OR(NOT($AL153),$AQ153),0,Constants!$B$33))</f>
        <v/>
      </c>
      <c r="CA153" s="74" t="str">
        <f aca="false">IF($BL153&lt;&gt;Constants!$B$4,"",Constants!$B$34*$BN153)</f>
        <v/>
      </c>
      <c r="CB153" s="74" t="str">
        <f aca="false">IF($BL153&lt;&gt;Constants!$B$4,"",IF(OR(NOT($AL153),$BH153),0,Constants!$B$36))</f>
        <v/>
      </c>
      <c r="CC153" s="74" t="str">
        <f aca="false">IF($BL153&lt;&gt;Constants!$B$4,"",IF(OR(NOT($AL153),$BG153),0,Constants!$B$37))</f>
        <v/>
      </c>
      <c r="CD153" s="74" t="str">
        <f aca="false">IF($BL153&lt;&gt;Constants!$B$4,"",SUM($BX153:$CC153))</f>
        <v/>
      </c>
      <c r="CE153" s="74" t="str">
        <f aca="false">IF(ISBLANK($C153),"",IF($BL153&lt;&gt;Constants!$B$4,$BL153,SUM($BO153:$BW153)-$CD153))</f>
        <v/>
      </c>
      <c r="CF153" s="74" t="str">
        <f aca="false">IF(ISBLANK($C153),"",IF($BL153&lt;&gt;Constants!$B$4,$BL153,RANK($CE153,$CE$9:$CE$508)))</f>
        <v/>
      </c>
      <c r="CG153" s="74" t="str">
        <f aca="false">IF(ISBLANK($C153),"",IF($BL153&lt;&gt;Constants!$B$4,$BL153,COUNTIFS($BM$9:$BM$508,"&lt;"&amp;$BM153)+COUNTIFS($BM$9:$BM$508,$BM153,$CF$9:$CF$508,"&lt;"&amp;$CF153)+1))</f>
        <v/>
      </c>
      <c r="CH153" s="74" t="str">
        <f aca="false">IF(ISBLANK($C153),"",IF($BL153&lt;&gt;Constants!$B$4,$BL153,RANK($CD153,$CD$9:$CD$508,1)))</f>
        <v/>
      </c>
      <c r="CI153" s="74" t="str">
        <f aca="false">IF($BL153&lt;&gt;Constants!$B$4,"",$AN153+$AO153+$AP153)</f>
        <v/>
      </c>
      <c r="CJ153" s="74" t="str">
        <f aca="false">IF(ISBLANK($C153),"",IF($BL153&lt;&gt;Constants!$B$4,$BL153,RANK($CI153,$CI$9:$CI$508,1)))</f>
        <v/>
      </c>
      <c r="CK153" s="74" t="str">
        <f aca="false">IF(ISBLANK($C153),"",IF($BL153&lt;&gt;Constants!$B$4,$BL153,COUNTIFS($BM$9:$BM$508,"&lt;"&amp;$BM153)+COUNTIFS($BM$9:$BM$508,$BM153,$CF$9:$CF$508,"&lt;"&amp;$CF153)+COUNTIFS($BM$9:$BM$508,$BM153,$CF$9:$CF$508,$CF153,$CH$9:$CH$508,"&lt;"&amp;$CH153)+COUNTIFS($BM$9:$BM$508,$BM153,$CF$9:$CF$508,$CF153,$CH$9:$CH$508,$CH153,$CJ$9:$CJ$508,"&lt;"&amp;$CJ153)+1))</f>
        <v/>
      </c>
      <c r="CL153" s="74" t="str">
        <f aca="false">IF(ISBLANK($C153),"",IF($BL153&lt;&gt;Constants!$B$4,$BL153,$CG153-$CK153))</f>
        <v/>
      </c>
      <c r="CM153" s="74" t="str">
        <f aca="false">IF(ISBLANK($C153),"",IF(NOT($AL153),"",IF(ISBLANK($D$7),$CM$5,IF(NOT(ISNUMBER($D$7)),$CM$6,""))))</f>
        <v/>
      </c>
      <c r="CN153" s="74" t="str">
        <f aca="false">IF(ISBLANK($C153),"",OR($AN153="",$AO153="",$AP153=""))</f>
        <v/>
      </c>
      <c r="CO153" s="74" t="str">
        <f aca="false">IF(ISBLANK($C153),"",AND($AL153,$BA153=""))</f>
        <v/>
      </c>
      <c r="CP153" s="74" t="str">
        <f aca="false">IF(ISBLANK($C153),"",AND($AL153,$BB153=""))</f>
        <v/>
      </c>
      <c r="CQ153" s="74" t="str">
        <f aca="false">IF(ISBLANK($C153),"",AND($AL153,$BC153=""))</f>
        <v/>
      </c>
      <c r="CR153" s="74" t="str">
        <f aca="false">IF(ISBLANK($C153),"",AND($AL153,$BF153=""))</f>
        <v/>
      </c>
      <c r="CS153" s="74" t="str">
        <f aca="false">IF(ISBLANK($C153),"",AND($AL153,$BJ153=""))</f>
        <v/>
      </c>
      <c r="CT153" s="75"/>
      <c r="CU153" s="76"/>
      <c r="CV153" s="79" t="str">
        <f aca="false">IF(ISBLANK($C153),"",IF($BL153=Constants!$B$8,$CM153,""))</f>
        <v/>
      </c>
      <c r="CW153" s="76" t="str">
        <f aca="false">IF(ISBLANK($C153),"",IF($BL153&lt;&gt;Constants!$B$4,"",$BO153+$BP153))</f>
        <v/>
      </c>
      <c r="CX153" s="78" t="str">
        <f aca="false">IF(ISBLANK($C153),"",IF($BL153&lt;&gt;Constants!$B$4,"",$BQ153+$BR153+$BS153))</f>
        <v/>
      </c>
      <c r="CY153" s="78" t="str">
        <f aca="false">IF(ISBLANK($C153),"",IF($BL153&lt;&gt;Constants!$B$4,"",$BT153))</f>
        <v/>
      </c>
      <c r="CZ153" s="78" t="str">
        <f aca="false">IF(ISBLANK($C153),"",IF($BL153&lt;&gt;Constants!$B$4,"",$BU153+$BV153))</f>
        <v/>
      </c>
      <c r="DA153" s="78" t="str">
        <f aca="false">IF(ISBLANK($C153),"",IF($BL153&lt;&gt;Constants!$B$4,"",$BW153))</f>
        <v/>
      </c>
      <c r="DB153" s="78" t="str">
        <f aca="false">IF(ISBLANK($C153),"",IF($BL153&lt;&gt;Constants!$B$4,"",-$CD153))</f>
        <v/>
      </c>
      <c r="DC153" s="79" t="str">
        <f aca="false">IF(ISBLANK($C153),"",$CE153)</f>
        <v/>
      </c>
      <c r="DD153" s="80" t="str">
        <f aca="false">IF(ISBLANK($C153),"",$BM153)</f>
        <v/>
      </c>
      <c r="DE153" s="78" t="str">
        <f aca="false">IF(ISBLANK($C153),"",$CL153)</f>
        <v/>
      </c>
      <c r="DF153" s="78" t="str">
        <f aca="false">IF(ISBLANK($C153),"",$CK153)</f>
        <v/>
      </c>
      <c r="DG153" s="81" t="str">
        <f aca="false">IF(ISBLANK($C153),"",IF($DF153=Constants!$B$7,COUNTA($C$9:$C$508)+2,IF($DF153=Constants!$B$6,COUNTA($C$9:$C$508)+1,IF($DF153=Constants!$B$5,COUNTA($C$9:$C$508),$DF153))))</f>
        <v/>
      </c>
      <c r="DH153" s="7"/>
      <c r="DI153" s="82" t="n">
        <f aca="false">IF(OR(ISNUMBER($DF153),$DF153=Constants!$B$7,$DF153=Constants!$B$5,$DF153=Constants!$B$6),1,0)</f>
        <v>0</v>
      </c>
      <c r="DJ153" s="82" t="n">
        <v>145</v>
      </c>
      <c r="DK153" s="82" t="str">
        <f aca="false">IF(ISBLANK($C153),"",IF(ISNUMBER($DG153),$DG153+ROW($B153)/1000,""))</f>
        <v/>
      </c>
      <c r="DL153" s="82" t="str">
        <f aca="false">IF(ISNUMBER($DK153),RANK($DK153,$DK$9:$DK$508,1),"")</f>
        <v/>
      </c>
      <c r="DM153" s="82" t="str">
        <f aca="false">IF(ISBLANK($C153),"",$B153)</f>
        <v/>
      </c>
      <c r="DN153" s="82" t="str">
        <f aca="false">IF(ISBLANK($C153),"",$C153)</f>
        <v/>
      </c>
      <c r="DO153" s="82" t="str">
        <f aca="false">IF(ISBLANK($C153),"",$D153)</f>
        <v/>
      </c>
      <c r="DP153" s="83" t="str">
        <f aca="false">$DD153</f>
        <v/>
      </c>
      <c r="DQ153" s="84" t="str">
        <f aca="false">$DC153</f>
        <v/>
      </c>
      <c r="DR153" s="82" t="str">
        <f aca="false">IF(ISBLANK($C153),"",$DF153)</f>
        <v/>
      </c>
      <c r="DS153" s="85" t="str">
        <f aca="false">IF($DJ153&gt;$DI$8,"",VLOOKUP($DJ153,$DL$9:$DR$508,7,FALSE()))</f>
        <v/>
      </c>
      <c r="DT153" s="86" t="str">
        <f aca="false">IF($DJ153&gt;$DI$8,"",VLOOKUP($DJ153,$DL$9:$DR$508,2,FALSE()))</f>
        <v/>
      </c>
      <c r="DU153" s="86" t="str">
        <f aca="false">IF($DJ153&gt;$DI$8,"",VLOOKUP($DJ153,$DL$9:$DR$508,3,FALSE()))</f>
        <v/>
      </c>
      <c r="DV153" s="86" t="str">
        <f aca="false">IF($DJ153&gt;$DI$8,"",VLOOKUP($DJ153,$DL$9:$DR$508,4,FALSE()))</f>
        <v/>
      </c>
      <c r="DW153" s="86" t="str">
        <f aca="false">IF($DJ153&gt;$DI$8,"",VLOOKUP($DJ153,$DL$9:$DR$508,5,FALSE()))</f>
        <v/>
      </c>
      <c r="DX153" s="87" t="str">
        <f aca="false">IF($DJ153&gt;$DI$8,"",VLOOKUP($DJ153,$DL$9:$DR$508,6,FALSE()))</f>
        <v/>
      </c>
      <c r="DY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88"/>
      <c r="N154" s="88"/>
      <c r="O154" s="134"/>
      <c r="P154" s="134"/>
      <c r="Q154" s="88"/>
      <c r="R154" s="88"/>
      <c r="S154" s="88"/>
      <c r="T154" s="88"/>
      <c r="U154" s="134"/>
      <c r="V154" s="88"/>
      <c r="W154" s="70"/>
      <c r="X154" s="88"/>
      <c r="Y154" s="88"/>
      <c r="Z154" s="70"/>
      <c r="AA154" s="70"/>
      <c r="AB154" s="88"/>
      <c r="AC154" s="88"/>
      <c r="AD154" s="88"/>
      <c r="AE154" s="71"/>
      <c r="AF154" s="88"/>
      <c r="AG154" s="73"/>
      <c r="AH154" s="74"/>
      <c r="AI154" s="74"/>
      <c r="AJ154" s="74" t="str">
        <f aca="false">IF(ISBLANK($C154),"",IF($E154=Constants!$B$2,TRUE(),IF($E154=Constants!$B$3,FALSE(),TRUE())))</f>
        <v/>
      </c>
      <c r="AK154" s="74" t="str">
        <f aca="false">IF(ISBLANK($C154),"",IF($F154=Constants!$B$2,TRUE(),IF($F154=Constants!$B$3,FALSE(),FALSE())))</f>
        <v/>
      </c>
      <c r="AL154" s="74" t="str">
        <f aca="false">IF(ISBLANK($C154),"",IF($G154=Constants!$B$2,TRUE(),IF($G154=Constants!$B$3,FALSE(),TRUE())))</f>
        <v/>
      </c>
      <c r="AM154" s="74" t="str">
        <f aca="false">IF(ISBLANK($C154),"",IF($H154=Constants!$B$2,TRUE(),IF($H154=Constants!$B$3,FALSE(),TRUE())))</f>
        <v/>
      </c>
      <c r="AN154" s="74" t="str">
        <f aca="false">IF(ISBLANK($C154),"",IF(ISNUMBER($I154),IF($I154&gt;=0,$I154,""),""))</f>
        <v/>
      </c>
      <c r="AO154" s="74" t="str">
        <f aca="false">IF(ISBLANK($C154),"",IF(ISNUMBER($J154),IF($J154&gt;=0,$J154,""),""))</f>
        <v/>
      </c>
      <c r="AP154" s="74" t="str">
        <f aca="false">IF(ISBLANK($C154),"",IF(ISNUMBER($K154),IF($K154&gt;=0,$K154,""),""))</f>
        <v/>
      </c>
      <c r="AQ154" s="74" t="str">
        <f aca="false">IF(ISBLANK($C154),"",IF($L154=Constants!$B$2,TRUE(),IF($L154=Constants!$B$3,FALSE(),TRUE())))</f>
        <v/>
      </c>
      <c r="AR154" s="74" t="str">
        <f aca="false">IF(ISBLANK($C154),"",IF($M154=Constants!$B$2,TRUE(),IF($M154=Constants!$B$3,FALSE(),TRUE())))</f>
        <v/>
      </c>
      <c r="AS154" s="74" t="str">
        <f aca="false">IF(ISBLANK($C154),"",IF($N154=Constants!$B$2,TRUE(),IF($N154=Constants!$B$3,FALSE(),FALSE())))</f>
        <v/>
      </c>
      <c r="AT154" s="74" t="str">
        <f aca="false">IF(ISBLANK($C154),"",IF($O154=Constants!$B$2,TRUE(),IF($O154=Constants!$B$3,FALSE(),TRUE())))</f>
        <v/>
      </c>
      <c r="AU154" s="74" t="str">
        <f aca="false">IF(ISBLANK($C154),"",IF($P154=Constants!$B$2,TRUE(),IF($P154=Constants!$B$3,FALSE(),TRUE())))</f>
        <v/>
      </c>
      <c r="AV154" s="74" t="str">
        <f aca="false">IF(ISBLANK($C154),"",IF($Q154=Constants!$B$2,TRUE(),IF($Q154=Constants!$B$3,FALSE(),FALSE())))</f>
        <v/>
      </c>
      <c r="AW154" s="74" t="str">
        <f aca="false">IF(ISBLANK($C154),"",IF($R154=Constants!$B$2,TRUE(),IF($R154=Constants!$B$3,FALSE(),FALSE())))</f>
        <v/>
      </c>
      <c r="AX154" s="74" t="str">
        <f aca="false">IF(ISBLANK($C154),"",IF($S154=Constants!$B$2,TRUE(),IF($S154=Constants!$B$3,FALSE(),FALSE())))</f>
        <v/>
      </c>
      <c r="AY154" s="74" t="str">
        <f aca="false">IF(ISBLANK($C154),"",IF($T154=Constants!$B$2,TRUE(),IF($T154=Constants!$B$3,FALSE(),FALSE())))</f>
        <v/>
      </c>
      <c r="AZ154" s="74" t="str">
        <f aca="false">IF(ISBLANK($C154),"",IF($U154=Constants!$B$2,TRUE(),IF($U154=Constants!$B$3,FALSE(),FALSE())))</f>
        <v/>
      </c>
      <c r="BA154" s="74" t="str">
        <f aca="false">IF(ISBLANK($C154),"",IF(OR($V154&amp;""="1",$V154&amp;""="2",$V154&amp;""="3",$V154&amp;""="4"),VALUE($V154&amp;""),IF($V154=Constants!$B$12,Constants!$B$12,"")))</f>
        <v/>
      </c>
      <c r="BB154" s="74" t="str">
        <f aca="false">IF(ISBLANK($C154),"",IF(ISBLANK($W154),0,IF(ISNUMBER($W154),IF(AND($W154&gt;=0,$W154&lt;=Constants!$B$21,$W154=INT($W154)),$W154,""),"")))</f>
        <v/>
      </c>
      <c r="BC154" s="74" t="str">
        <f aca="false">IF(ISBLANK($C154),"",IF(ISBLANK($X154),0,IF(ISNUMBER($X154),IF($X154&gt;=0,$X154,""),"")))</f>
        <v/>
      </c>
      <c r="BD154" s="74" t="str">
        <f aca="false">IF(ISBLANK($C154),"",IF($Y154=Constants!$B$2,TRUE(),IF($Y154=Constants!$B$3,FALSE(),TRUE())))</f>
        <v/>
      </c>
      <c r="BE154" s="74" t="str">
        <f aca="false">IF(ISBLANK($C154),"",IF($Z154=Constants!$B$2,TRUE(),IF($Z154=Constants!$B$3,FALSE(),FALSE())))</f>
        <v/>
      </c>
      <c r="BF154" s="74" t="str">
        <f aca="false">IF(ISBLANK($C154),"",IF(ISBLANK($AA154),0,IF(ISNUMBER($AA154),IF(AND($AA154&gt;=0,$AA154&lt;=Constants!$B$35,$AA154=INT($AA154)),$AA154,""),"")))</f>
        <v/>
      </c>
      <c r="BG154" s="74" t="str">
        <f aca="false">IF(ISBLANK($C154),"",IF($AB154=Constants!$B$2,TRUE(),IF($AB154=Constants!$B$3,FALSE(),TRUE())))</f>
        <v/>
      </c>
      <c r="BH154" s="74" t="str">
        <f aca="false">IF(ISBLANK($C154),"",IF($AC154=Constants!$B$2,TRUE(),IF($AC154=Constants!$B$3,FALSE(),TRUE())))</f>
        <v/>
      </c>
      <c r="BI154" s="74" t="str">
        <f aca="false">IF(ISBLANK($C154),"",IF($AD154=Constants!$B$2,TRUE(),IF($AD154=Constants!$B$3,FALSE(),TRUE())))</f>
        <v/>
      </c>
      <c r="BJ154" s="74" t="str">
        <f aca="false">IF(ISBLANK($C154),"",IF(ISNUMBER($AE154),IF($AE154&gt;=0,$AE154,""),""))</f>
        <v/>
      </c>
      <c r="BK154" s="74" t="str">
        <f aca="false">IF(ISBLANK($C154),"",IF($AF154=Constants!$B$2,TRUE(),IF($AF154=Constants!$B$3,FALSE(),FALSE())))</f>
        <v/>
      </c>
      <c r="BL154" s="73" t="str">
        <f aca="false">IF(ISBLANK($C154),"",IF($BK154,Constants!$B$7,IF(COUNTA($E154:$AE154)=0,Constants!$B$6,IF(OR(COUNTA($G154:$AE154)=0,NOT($AM154),$AS154),Constants!$B$5,IF(OR($CM154&lt;&gt;"",$CN154,$CO154,$CP154,$CQ154,$CR154,$CS154),Constants!$B$8,Constants!$B$4)))))</f>
        <v/>
      </c>
      <c r="BM154" s="74" t="str">
        <f aca="false">IF(ISBLANK($C154),"",IF($BL154&lt;&gt;Constants!$B$4,$BL154,IF(OR(NOT($AJ154),NOT($AL154),NOT($AT154)),Constants!$B$11,IF(OR(NOT($AR154),NOT($AU154),NOT($BI154),MAX($AN154,$AO154,$AP154)&gt;Constants!$B$30),Constants!$B$10,Constants!$B$9))))</f>
        <v/>
      </c>
      <c r="BN154" s="74" t="str">
        <f aca="false">IF($BL154&lt;&gt;Constants!$B$4,"",IF(NOT($AL154),0,MIN(Constants!$B$35,$BF154)))</f>
        <v/>
      </c>
      <c r="BO154" s="74" t="str">
        <f aca="false">IF($BL154&lt;&gt;Constants!$B$4,"",IF(NOT($AL154),0,IF($AW154,Constants!$B$18,IF($AV154,Constants!$B$17,0))))</f>
        <v/>
      </c>
      <c r="BP154" s="74" t="str">
        <f aca="false">IF($BL154&lt;&gt;Constants!$B$4,"",IF(NOT($AL154),0,Constants!$B$19*($AK154+$AX154+$AY154+$AZ154)))</f>
        <v/>
      </c>
      <c r="BQ154" s="74" t="str">
        <f aca="false">IF($BL154&lt;&gt;Constants!$B$4,"",IF(OR(NOT($AL154),NOT(ISNUMBER($BA154))),0,CHOOSE($BA154,Constants!$B$13,Constants!$B$14,Constants!$B$15,Constants!$B$16)))</f>
        <v/>
      </c>
      <c r="BR154" s="74" t="str">
        <f aca="false">IF($BL154&lt;&gt;Constants!$B$4,"",IF(NOT($AL154),0,Constants!$B$20*$BB154))</f>
        <v/>
      </c>
      <c r="BS154" s="74" t="str">
        <f aca="false">IF($BL154&lt;&gt;Constants!$B$4,"",IF(AND($AL154,$BD154,$BE154),Constants!$B$22,0))</f>
        <v/>
      </c>
      <c r="BT154" s="74" t="str">
        <f aca="false">IF($BL154&lt;&gt;Constants!$B$4,"",IF(OR(NOT($AL154),NOT($BD154)),0,IF($BJ154&gt;=2*$AH$9,0,Constants!$B$23*INT(ROUND(MIN($BJ154,$AH$9),6)))))</f>
        <v/>
      </c>
      <c r="BU154" s="74" t="str">
        <f aca="false">IF($BL154&lt;&gt;Constants!$B$4,"",IF(NOT($AL154),0,Constants!$B$24*INT(ROUND(MIN($BC154,$AH$9),6))))</f>
        <v/>
      </c>
      <c r="BV154" s="74" t="str">
        <f aca="false">IF($BL154&lt;&gt;Constants!$B$4,"",IF(AND($AL154,$BN154=0),Constants!$B$25,0))</f>
        <v/>
      </c>
      <c r="BW154" s="74" t="str">
        <f aca="false">IF($BL154&lt;&gt;Constants!$B$4,"",MIN(Constants!$B$29,MAX(0,Constants!$B$27*Constants!$B$28*INT(ROUND((Constants!$B$26-$AN154)/Constants!$B$28,6))))+MIN(Constants!$B$29,MAX(0,Constants!$B$27*Constants!$B$28*INT(ROUND((Constants!$B$26-$AO154)/Constants!$B$28,6))))+MIN(Constants!$B$29,MAX(0,Constants!$B$27*Constants!$B$28*INT(ROUND((Constants!$B$26-$AP154)/Constants!$B$28,6)))))</f>
        <v/>
      </c>
      <c r="BX154" s="74" t="str">
        <f aca="false">IF($BL154&lt;&gt;Constants!$B$4,"",IF(NOT($AL154),0,Constants!$B$31*INT(ROUND(MAX(0,MIN($BJ154,2*$AH$9)-$AH$9),6))))</f>
        <v/>
      </c>
      <c r="BY154" s="74" t="str">
        <f aca="false">IF($BL154&lt;&gt;Constants!$B$4,"",Constants!$B$32*(($AN154&gt;Constants!$B$26)+($AO154&gt;Constants!$B$26)+($AP154&gt;Constants!$B$26)))</f>
        <v/>
      </c>
      <c r="BZ154" s="74" t="str">
        <f aca="false">IF($BL154&lt;&gt;Constants!$B$4,"",IF(OR(NOT($AL154),$AQ154),0,Constants!$B$33))</f>
        <v/>
      </c>
      <c r="CA154" s="74" t="str">
        <f aca="false">IF($BL154&lt;&gt;Constants!$B$4,"",Constants!$B$34*$BN154)</f>
        <v/>
      </c>
      <c r="CB154" s="74" t="str">
        <f aca="false">IF($BL154&lt;&gt;Constants!$B$4,"",IF(OR(NOT($AL154),$BH154),0,Constants!$B$36))</f>
        <v/>
      </c>
      <c r="CC154" s="74" t="str">
        <f aca="false">IF($BL154&lt;&gt;Constants!$B$4,"",IF(OR(NOT($AL154),$BG154),0,Constants!$B$37))</f>
        <v/>
      </c>
      <c r="CD154" s="74" t="str">
        <f aca="false">IF($BL154&lt;&gt;Constants!$B$4,"",SUM($BX154:$CC154))</f>
        <v/>
      </c>
      <c r="CE154" s="74" t="str">
        <f aca="false">IF(ISBLANK($C154),"",IF($BL154&lt;&gt;Constants!$B$4,$BL154,SUM($BO154:$BW154)-$CD154))</f>
        <v/>
      </c>
      <c r="CF154" s="74" t="str">
        <f aca="false">IF(ISBLANK($C154),"",IF($BL154&lt;&gt;Constants!$B$4,$BL154,RANK($CE154,$CE$9:$CE$508)))</f>
        <v/>
      </c>
      <c r="CG154" s="74" t="str">
        <f aca="false">IF(ISBLANK($C154),"",IF($BL154&lt;&gt;Constants!$B$4,$BL154,COUNTIFS($BM$9:$BM$508,"&lt;"&amp;$BM154)+COUNTIFS($BM$9:$BM$508,$BM154,$CF$9:$CF$508,"&lt;"&amp;$CF154)+1))</f>
        <v/>
      </c>
      <c r="CH154" s="74" t="str">
        <f aca="false">IF(ISBLANK($C154),"",IF($BL154&lt;&gt;Constants!$B$4,$BL154,RANK($CD154,$CD$9:$CD$508,1)))</f>
        <v/>
      </c>
      <c r="CI154" s="74" t="str">
        <f aca="false">IF($BL154&lt;&gt;Constants!$B$4,"",$AN154+$AO154+$AP154)</f>
        <v/>
      </c>
      <c r="CJ154" s="74" t="str">
        <f aca="false">IF(ISBLANK($C154),"",IF($BL154&lt;&gt;Constants!$B$4,$BL154,RANK($CI154,$CI$9:$CI$508,1)))</f>
        <v/>
      </c>
      <c r="CK154" s="74" t="str">
        <f aca="false">IF(ISBLANK($C154),"",IF($BL154&lt;&gt;Constants!$B$4,$BL154,COUNTIFS($BM$9:$BM$508,"&lt;"&amp;$BM154)+COUNTIFS($BM$9:$BM$508,$BM154,$CF$9:$CF$508,"&lt;"&amp;$CF154)+COUNTIFS($BM$9:$BM$508,$BM154,$CF$9:$CF$508,$CF154,$CH$9:$CH$508,"&lt;"&amp;$CH154)+COUNTIFS($BM$9:$BM$508,$BM154,$CF$9:$CF$508,$CF154,$CH$9:$CH$508,$CH154,$CJ$9:$CJ$508,"&lt;"&amp;$CJ154)+1))</f>
        <v/>
      </c>
      <c r="CL154" s="74" t="str">
        <f aca="false">IF(ISBLANK($C154),"",IF($BL154&lt;&gt;Constants!$B$4,$BL154,$CG154-$CK154))</f>
        <v/>
      </c>
      <c r="CM154" s="74" t="str">
        <f aca="false">IF(ISBLANK($C154),"",IF(NOT($AL154),"",IF(ISBLANK($D$7),$CM$5,IF(NOT(ISNUMBER($D$7)),$CM$6,""))))</f>
        <v/>
      </c>
      <c r="CN154" s="74" t="str">
        <f aca="false">IF(ISBLANK($C154),"",OR($AN154="",$AO154="",$AP154=""))</f>
        <v/>
      </c>
      <c r="CO154" s="74" t="str">
        <f aca="false">IF(ISBLANK($C154),"",AND($AL154,$BA154=""))</f>
        <v/>
      </c>
      <c r="CP154" s="74" t="str">
        <f aca="false">IF(ISBLANK($C154),"",AND($AL154,$BB154=""))</f>
        <v/>
      </c>
      <c r="CQ154" s="74" t="str">
        <f aca="false">IF(ISBLANK($C154),"",AND($AL154,$BC154=""))</f>
        <v/>
      </c>
      <c r="CR154" s="74" t="str">
        <f aca="false">IF(ISBLANK($C154),"",AND($AL154,$BF154=""))</f>
        <v/>
      </c>
      <c r="CS154" s="74" t="str">
        <f aca="false">IF(ISBLANK($C154),"",AND($AL154,$BJ154=""))</f>
        <v/>
      </c>
      <c r="CT154" s="75"/>
      <c r="CU154" s="76"/>
      <c r="CV154" s="79" t="str">
        <f aca="false">IF(ISBLANK($C154),"",IF($BL154=Constants!$B$8,$CM154,""))</f>
        <v/>
      </c>
      <c r="CW154" s="76" t="str">
        <f aca="false">IF(ISBLANK($C154),"",IF($BL154&lt;&gt;Constants!$B$4,"",$BO154+$BP154))</f>
        <v/>
      </c>
      <c r="CX154" s="78" t="str">
        <f aca="false">IF(ISBLANK($C154),"",IF($BL154&lt;&gt;Constants!$B$4,"",$BQ154+$BR154+$BS154))</f>
        <v/>
      </c>
      <c r="CY154" s="78" t="str">
        <f aca="false">IF(ISBLANK($C154),"",IF($BL154&lt;&gt;Constants!$B$4,"",$BT154))</f>
        <v/>
      </c>
      <c r="CZ154" s="78" t="str">
        <f aca="false">IF(ISBLANK($C154),"",IF($BL154&lt;&gt;Constants!$B$4,"",$BU154+$BV154))</f>
        <v/>
      </c>
      <c r="DA154" s="78" t="str">
        <f aca="false">IF(ISBLANK($C154),"",IF($BL154&lt;&gt;Constants!$B$4,"",$BW154))</f>
        <v/>
      </c>
      <c r="DB154" s="78" t="str">
        <f aca="false">IF(ISBLANK($C154),"",IF($BL154&lt;&gt;Constants!$B$4,"",-$CD154))</f>
        <v/>
      </c>
      <c r="DC154" s="79" t="str">
        <f aca="false">IF(ISBLANK($C154),"",$CE154)</f>
        <v/>
      </c>
      <c r="DD154" s="80" t="str">
        <f aca="false">IF(ISBLANK($C154),"",$BM154)</f>
        <v/>
      </c>
      <c r="DE154" s="78" t="str">
        <f aca="false">IF(ISBLANK($C154),"",$CL154)</f>
        <v/>
      </c>
      <c r="DF154" s="78" t="str">
        <f aca="false">IF(ISBLANK($C154),"",$CK154)</f>
        <v/>
      </c>
      <c r="DG154" s="81" t="str">
        <f aca="false">IF(ISBLANK($C154),"",IF($DF154=Constants!$B$7,COUNTA($C$9:$C$508)+2,IF($DF154=Constants!$B$6,COUNTA($C$9:$C$508)+1,IF($DF154=Constants!$B$5,COUNTA($C$9:$C$508),$DF154))))</f>
        <v/>
      </c>
      <c r="DH154" s="7"/>
      <c r="DI154" s="82" t="n">
        <f aca="false">IF(OR(ISNUMBER($DF154),$DF154=Constants!$B$7,$DF154=Constants!$B$5,$DF154=Constants!$B$6),1,0)</f>
        <v>0</v>
      </c>
      <c r="DJ154" s="82" t="n">
        <v>146</v>
      </c>
      <c r="DK154" s="82" t="str">
        <f aca="false">IF(ISBLANK($C154),"",IF(ISNUMBER($DG154),$DG154+ROW($B154)/1000,""))</f>
        <v/>
      </c>
      <c r="DL154" s="82" t="str">
        <f aca="false">IF(ISNUMBER($DK154),RANK($DK154,$DK$9:$DK$508,1),"")</f>
        <v/>
      </c>
      <c r="DM154" s="82" t="str">
        <f aca="false">IF(ISBLANK($C154),"",$B154)</f>
        <v/>
      </c>
      <c r="DN154" s="82" t="str">
        <f aca="false">IF(ISBLANK($C154),"",$C154)</f>
        <v/>
      </c>
      <c r="DO154" s="82" t="str">
        <f aca="false">IF(ISBLANK($C154),"",$D154)</f>
        <v/>
      </c>
      <c r="DP154" s="83" t="str">
        <f aca="false">$DD154</f>
        <v/>
      </c>
      <c r="DQ154" s="84" t="str">
        <f aca="false">$DC154</f>
        <v/>
      </c>
      <c r="DR154" s="82" t="str">
        <f aca="false">IF(ISBLANK($C154),"",$DF154)</f>
        <v/>
      </c>
      <c r="DS154" s="85" t="str">
        <f aca="false">IF($DJ154&gt;$DI$8,"",VLOOKUP($DJ154,$DL$9:$DR$508,7,FALSE()))</f>
        <v/>
      </c>
      <c r="DT154" s="86" t="str">
        <f aca="false">IF($DJ154&gt;$DI$8,"",VLOOKUP($DJ154,$DL$9:$DR$508,2,FALSE()))</f>
        <v/>
      </c>
      <c r="DU154" s="86" t="str">
        <f aca="false">IF($DJ154&gt;$DI$8,"",VLOOKUP($DJ154,$DL$9:$DR$508,3,FALSE()))</f>
        <v/>
      </c>
      <c r="DV154" s="86" t="str">
        <f aca="false">IF($DJ154&gt;$DI$8,"",VLOOKUP($DJ154,$DL$9:$DR$508,4,FALSE()))</f>
        <v/>
      </c>
      <c r="DW154" s="86" t="str">
        <f aca="false">IF($DJ154&gt;$DI$8,"",VLOOKUP($DJ154,$DL$9:$DR$508,5,FALSE()))</f>
        <v/>
      </c>
      <c r="DX154" s="87" t="str">
        <f aca="false">IF($DJ154&gt;$DI$8,"",VLOOKUP($DJ154,$DL$9:$DR$508,6,FALSE()))</f>
        <v/>
      </c>
      <c r="DY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88"/>
      <c r="N155" s="88"/>
      <c r="O155" s="134"/>
      <c r="P155" s="134"/>
      <c r="Q155" s="88"/>
      <c r="R155" s="88"/>
      <c r="S155" s="88"/>
      <c r="T155" s="88"/>
      <c r="U155" s="134"/>
      <c r="V155" s="88"/>
      <c r="W155" s="70"/>
      <c r="X155" s="88"/>
      <c r="Y155" s="88"/>
      <c r="Z155" s="70"/>
      <c r="AA155" s="70"/>
      <c r="AB155" s="88"/>
      <c r="AC155" s="88"/>
      <c r="AD155" s="88"/>
      <c r="AE155" s="71"/>
      <c r="AF155" s="88"/>
      <c r="AG155" s="73"/>
      <c r="AH155" s="74"/>
      <c r="AI155" s="74"/>
      <c r="AJ155" s="74" t="str">
        <f aca="false">IF(ISBLANK($C155),"",IF($E155=Constants!$B$2,TRUE(),IF($E155=Constants!$B$3,FALSE(),TRUE())))</f>
        <v/>
      </c>
      <c r="AK155" s="74" t="str">
        <f aca="false">IF(ISBLANK($C155),"",IF($F155=Constants!$B$2,TRUE(),IF($F155=Constants!$B$3,FALSE(),FALSE())))</f>
        <v/>
      </c>
      <c r="AL155" s="74" t="str">
        <f aca="false">IF(ISBLANK($C155),"",IF($G155=Constants!$B$2,TRUE(),IF($G155=Constants!$B$3,FALSE(),TRUE())))</f>
        <v/>
      </c>
      <c r="AM155" s="74" t="str">
        <f aca="false">IF(ISBLANK($C155),"",IF($H155=Constants!$B$2,TRUE(),IF($H155=Constants!$B$3,FALSE(),TRUE())))</f>
        <v/>
      </c>
      <c r="AN155" s="74" t="str">
        <f aca="false">IF(ISBLANK($C155),"",IF(ISNUMBER($I155),IF($I155&gt;=0,$I155,""),""))</f>
        <v/>
      </c>
      <c r="AO155" s="74" t="str">
        <f aca="false">IF(ISBLANK($C155),"",IF(ISNUMBER($J155),IF($J155&gt;=0,$J155,""),""))</f>
        <v/>
      </c>
      <c r="AP155" s="74" t="str">
        <f aca="false">IF(ISBLANK($C155),"",IF(ISNUMBER($K155),IF($K155&gt;=0,$K155,""),""))</f>
        <v/>
      </c>
      <c r="AQ155" s="74" t="str">
        <f aca="false">IF(ISBLANK($C155),"",IF($L155=Constants!$B$2,TRUE(),IF($L155=Constants!$B$3,FALSE(),TRUE())))</f>
        <v/>
      </c>
      <c r="AR155" s="74" t="str">
        <f aca="false">IF(ISBLANK($C155),"",IF($M155=Constants!$B$2,TRUE(),IF($M155=Constants!$B$3,FALSE(),TRUE())))</f>
        <v/>
      </c>
      <c r="AS155" s="74" t="str">
        <f aca="false">IF(ISBLANK($C155),"",IF($N155=Constants!$B$2,TRUE(),IF($N155=Constants!$B$3,FALSE(),FALSE())))</f>
        <v/>
      </c>
      <c r="AT155" s="74" t="str">
        <f aca="false">IF(ISBLANK($C155),"",IF($O155=Constants!$B$2,TRUE(),IF($O155=Constants!$B$3,FALSE(),TRUE())))</f>
        <v/>
      </c>
      <c r="AU155" s="74" t="str">
        <f aca="false">IF(ISBLANK($C155),"",IF($P155=Constants!$B$2,TRUE(),IF($P155=Constants!$B$3,FALSE(),TRUE())))</f>
        <v/>
      </c>
      <c r="AV155" s="74" t="str">
        <f aca="false">IF(ISBLANK($C155),"",IF($Q155=Constants!$B$2,TRUE(),IF($Q155=Constants!$B$3,FALSE(),FALSE())))</f>
        <v/>
      </c>
      <c r="AW155" s="74" t="str">
        <f aca="false">IF(ISBLANK($C155),"",IF($R155=Constants!$B$2,TRUE(),IF($R155=Constants!$B$3,FALSE(),FALSE())))</f>
        <v/>
      </c>
      <c r="AX155" s="74" t="str">
        <f aca="false">IF(ISBLANK($C155),"",IF($S155=Constants!$B$2,TRUE(),IF($S155=Constants!$B$3,FALSE(),FALSE())))</f>
        <v/>
      </c>
      <c r="AY155" s="74" t="str">
        <f aca="false">IF(ISBLANK($C155),"",IF($T155=Constants!$B$2,TRUE(),IF($T155=Constants!$B$3,FALSE(),FALSE())))</f>
        <v/>
      </c>
      <c r="AZ155" s="74" t="str">
        <f aca="false">IF(ISBLANK($C155),"",IF($U155=Constants!$B$2,TRUE(),IF($U155=Constants!$B$3,FALSE(),FALSE())))</f>
        <v/>
      </c>
      <c r="BA155" s="74" t="str">
        <f aca="false">IF(ISBLANK($C155),"",IF(OR($V155&amp;""="1",$V155&amp;""="2",$V155&amp;""="3",$V155&amp;""="4"),VALUE($V155&amp;""),IF($V155=Constants!$B$12,Constants!$B$12,"")))</f>
        <v/>
      </c>
      <c r="BB155" s="74" t="str">
        <f aca="false">IF(ISBLANK($C155),"",IF(ISBLANK($W155),0,IF(ISNUMBER($W155),IF(AND($W155&gt;=0,$W155&lt;=Constants!$B$21,$W155=INT($W155)),$W155,""),"")))</f>
        <v/>
      </c>
      <c r="BC155" s="74" t="str">
        <f aca="false">IF(ISBLANK($C155),"",IF(ISBLANK($X155),0,IF(ISNUMBER($X155),IF($X155&gt;=0,$X155,""),"")))</f>
        <v/>
      </c>
      <c r="BD155" s="74" t="str">
        <f aca="false">IF(ISBLANK($C155),"",IF($Y155=Constants!$B$2,TRUE(),IF($Y155=Constants!$B$3,FALSE(),TRUE())))</f>
        <v/>
      </c>
      <c r="BE155" s="74" t="str">
        <f aca="false">IF(ISBLANK($C155),"",IF($Z155=Constants!$B$2,TRUE(),IF($Z155=Constants!$B$3,FALSE(),FALSE())))</f>
        <v/>
      </c>
      <c r="BF155" s="74" t="str">
        <f aca="false">IF(ISBLANK($C155),"",IF(ISBLANK($AA155),0,IF(ISNUMBER($AA155),IF(AND($AA155&gt;=0,$AA155&lt;=Constants!$B$35,$AA155=INT($AA155)),$AA155,""),"")))</f>
        <v/>
      </c>
      <c r="BG155" s="74" t="str">
        <f aca="false">IF(ISBLANK($C155),"",IF($AB155=Constants!$B$2,TRUE(),IF($AB155=Constants!$B$3,FALSE(),TRUE())))</f>
        <v/>
      </c>
      <c r="BH155" s="74" t="str">
        <f aca="false">IF(ISBLANK($C155),"",IF($AC155=Constants!$B$2,TRUE(),IF($AC155=Constants!$B$3,FALSE(),TRUE())))</f>
        <v/>
      </c>
      <c r="BI155" s="74" t="str">
        <f aca="false">IF(ISBLANK($C155),"",IF($AD155=Constants!$B$2,TRUE(),IF($AD155=Constants!$B$3,FALSE(),TRUE())))</f>
        <v/>
      </c>
      <c r="BJ155" s="74" t="str">
        <f aca="false">IF(ISBLANK($C155),"",IF(ISNUMBER($AE155),IF($AE155&gt;=0,$AE155,""),""))</f>
        <v/>
      </c>
      <c r="BK155" s="74" t="str">
        <f aca="false">IF(ISBLANK($C155),"",IF($AF155=Constants!$B$2,TRUE(),IF($AF155=Constants!$B$3,FALSE(),FALSE())))</f>
        <v/>
      </c>
      <c r="BL155" s="73" t="str">
        <f aca="false">IF(ISBLANK($C155),"",IF($BK155,Constants!$B$7,IF(COUNTA($E155:$AE155)=0,Constants!$B$6,IF(OR(COUNTA($G155:$AE155)=0,NOT($AM155),$AS155),Constants!$B$5,IF(OR($CM155&lt;&gt;"",$CN155,$CO155,$CP155,$CQ155,$CR155,$CS155),Constants!$B$8,Constants!$B$4)))))</f>
        <v/>
      </c>
      <c r="BM155" s="74" t="str">
        <f aca="false">IF(ISBLANK($C155),"",IF($BL155&lt;&gt;Constants!$B$4,$BL155,IF(OR(NOT($AJ155),NOT($AL155),NOT($AT155)),Constants!$B$11,IF(OR(NOT($AR155),NOT($AU155),NOT($BI155),MAX($AN155,$AO155,$AP155)&gt;Constants!$B$30),Constants!$B$10,Constants!$B$9))))</f>
        <v/>
      </c>
      <c r="BN155" s="74" t="str">
        <f aca="false">IF($BL155&lt;&gt;Constants!$B$4,"",IF(NOT($AL155),0,MIN(Constants!$B$35,$BF155)))</f>
        <v/>
      </c>
      <c r="BO155" s="74" t="str">
        <f aca="false">IF($BL155&lt;&gt;Constants!$B$4,"",IF(NOT($AL155),0,IF($AW155,Constants!$B$18,IF($AV155,Constants!$B$17,0))))</f>
        <v/>
      </c>
      <c r="BP155" s="74" t="str">
        <f aca="false">IF($BL155&lt;&gt;Constants!$B$4,"",IF(NOT($AL155),0,Constants!$B$19*($AK155+$AX155+$AY155+$AZ155)))</f>
        <v/>
      </c>
      <c r="BQ155" s="74" t="str">
        <f aca="false">IF($BL155&lt;&gt;Constants!$B$4,"",IF(OR(NOT($AL155),NOT(ISNUMBER($BA155))),0,CHOOSE($BA155,Constants!$B$13,Constants!$B$14,Constants!$B$15,Constants!$B$16)))</f>
        <v/>
      </c>
      <c r="BR155" s="74" t="str">
        <f aca="false">IF($BL155&lt;&gt;Constants!$B$4,"",IF(NOT($AL155),0,Constants!$B$20*$BB155))</f>
        <v/>
      </c>
      <c r="BS155" s="74" t="str">
        <f aca="false">IF($BL155&lt;&gt;Constants!$B$4,"",IF(AND($AL155,$BD155,$BE155),Constants!$B$22,0))</f>
        <v/>
      </c>
      <c r="BT155" s="74" t="str">
        <f aca="false">IF($BL155&lt;&gt;Constants!$B$4,"",IF(OR(NOT($AL155),NOT($BD155)),0,IF($BJ155&gt;=2*$AH$9,0,Constants!$B$23*INT(ROUND(MIN($BJ155,$AH$9),6)))))</f>
        <v/>
      </c>
      <c r="BU155" s="74" t="str">
        <f aca="false">IF($BL155&lt;&gt;Constants!$B$4,"",IF(NOT($AL155),0,Constants!$B$24*INT(ROUND(MIN($BC155,$AH$9),6))))</f>
        <v/>
      </c>
      <c r="BV155" s="74" t="str">
        <f aca="false">IF($BL155&lt;&gt;Constants!$B$4,"",IF(AND($AL155,$BN155=0),Constants!$B$25,0))</f>
        <v/>
      </c>
      <c r="BW155" s="74" t="str">
        <f aca="false">IF($BL155&lt;&gt;Constants!$B$4,"",MIN(Constants!$B$29,MAX(0,Constants!$B$27*Constants!$B$28*INT(ROUND((Constants!$B$26-$AN155)/Constants!$B$28,6))))+MIN(Constants!$B$29,MAX(0,Constants!$B$27*Constants!$B$28*INT(ROUND((Constants!$B$26-$AO155)/Constants!$B$28,6))))+MIN(Constants!$B$29,MAX(0,Constants!$B$27*Constants!$B$28*INT(ROUND((Constants!$B$26-$AP155)/Constants!$B$28,6)))))</f>
        <v/>
      </c>
      <c r="BX155" s="74" t="str">
        <f aca="false">IF($BL155&lt;&gt;Constants!$B$4,"",IF(NOT($AL155),0,Constants!$B$31*INT(ROUND(MAX(0,MIN($BJ155,2*$AH$9)-$AH$9),6))))</f>
        <v/>
      </c>
      <c r="BY155" s="74" t="str">
        <f aca="false">IF($BL155&lt;&gt;Constants!$B$4,"",Constants!$B$32*(($AN155&gt;Constants!$B$26)+($AO155&gt;Constants!$B$26)+($AP155&gt;Constants!$B$26)))</f>
        <v/>
      </c>
      <c r="BZ155" s="74" t="str">
        <f aca="false">IF($BL155&lt;&gt;Constants!$B$4,"",IF(OR(NOT($AL155),$AQ155),0,Constants!$B$33))</f>
        <v/>
      </c>
      <c r="CA155" s="74" t="str">
        <f aca="false">IF($BL155&lt;&gt;Constants!$B$4,"",Constants!$B$34*$BN155)</f>
        <v/>
      </c>
      <c r="CB155" s="74" t="str">
        <f aca="false">IF($BL155&lt;&gt;Constants!$B$4,"",IF(OR(NOT($AL155),$BH155),0,Constants!$B$36))</f>
        <v/>
      </c>
      <c r="CC155" s="74" t="str">
        <f aca="false">IF($BL155&lt;&gt;Constants!$B$4,"",IF(OR(NOT($AL155),$BG155),0,Constants!$B$37))</f>
        <v/>
      </c>
      <c r="CD155" s="74" t="str">
        <f aca="false">IF($BL155&lt;&gt;Constants!$B$4,"",SUM($BX155:$CC155))</f>
        <v/>
      </c>
      <c r="CE155" s="74" t="str">
        <f aca="false">IF(ISBLANK($C155),"",IF($BL155&lt;&gt;Constants!$B$4,$BL155,SUM($BO155:$BW155)-$CD155))</f>
        <v/>
      </c>
      <c r="CF155" s="74" t="str">
        <f aca="false">IF(ISBLANK($C155),"",IF($BL155&lt;&gt;Constants!$B$4,$BL155,RANK($CE155,$CE$9:$CE$508)))</f>
        <v/>
      </c>
      <c r="CG155" s="74" t="str">
        <f aca="false">IF(ISBLANK($C155),"",IF($BL155&lt;&gt;Constants!$B$4,$BL155,COUNTIFS($BM$9:$BM$508,"&lt;"&amp;$BM155)+COUNTIFS($BM$9:$BM$508,$BM155,$CF$9:$CF$508,"&lt;"&amp;$CF155)+1))</f>
        <v/>
      </c>
      <c r="CH155" s="74" t="str">
        <f aca="false">IF(ISBLANK($C155),"",IF($BL155&lt;&gt;Constants!$B$4,$BL155,RANK($CD155,$CD$9:$CD$508,1)))</f>
        <v/>
      </c>
      <c r="CI155" s="74" t="str">
        <f aca="false">IF($BL155&lt;&gt;Constants!$B$4,"",$AN155+$AO155+$AP155)</f>
        <v/>
      </c>
      <c r="CJ155" s="74" t="str">
        <f aca="false">IF(ISBLANK($C155),"",IF($BL155&lt;&gt;Constants!$B$4,$BL155,RANK($CI155,$CI$9:$CI$508,1)))</f>
        <v/>
      </c>
      <c r="CK155" s="74" t="str">
        <f aca="false">IF(ISBLANK($C155),"",IF($BL155&lt;&gt;Constants!$B$4,$BL155,COUNTIFS($BM$9:$BM$508,"&lt;"&amp;$BM155)+COUNTIFS($BM$9:$BM$508,$BM155,$CF$9:$CF$508,"&lt;"&amp;$CF155)+COUNTIFS($BM$9:$BM$508,$BM155,$CF$9:$CF$508,$CF155,$CH$9:$CH$508,"&lt;"&amp;$CH155)+COUNTIFS($BM$9:$BM$508,$BM155,$CF$9:$CF$508,$CF155,$CH$9:$CH$508,$CH155,$CJ$9:$CJ$508,"&lt;"&amp;$CJ155)+1))</f>
        <v/>
      </c>
      <c r="CL155" s="74" t="str">
        <f aca="false">IF(ISBLANK($C155),"",IF($BL155&lt;&gt;Constants!$B$4,$BL155,$CG155-$CK155))</f>
        <v/>
      </c>
      <c r="CM155" s="74" t="str">
        <f aca="false">IF(ISBLANK($C155),"",IF(NOT($AL155),"",IF(ISBLANK($D$7),$CM$5,IF(NOT(ISNUMBER($D$7)),$CM$6,""))))</f>
        <v/>
      </c>
      <c r="CN155" s="74" t="str">
        <f aca="false">IF(ISBLANK($C155),"",OR($AN155="",$AO155="",$AP155=""))</f>
        <v/>
      </c>
      <c r="CO155" s="74" t="str">
        <f aca="false">IF(ISBLANK($C155),"",AND($AL155,$BA155=""))</f>
        <v/>
      </c>
      <c r="CP155" s="74" t="str">
        <f aca="false">IF(ISBLANK($C155),"",AND($AL155,$BB155=""))</f>
        <v/>
      </c>
      <c r="CQ155" s="74" t="str">
        <f aca="false">IF(ISBLANK($C155),"",AND($AL155,$BC155=""))</f>
        <v/>
      </c>
      <c r="CR155" s="74" t="str">
        <f aca="false">IF(ISBLANK($C155),"",AND($AL155,$BF155=""))</f>
        <v/>
      </c>
      <c r="CS155" s="74" t="str">
        <f aca="false">IF(ISBLANK($C155),"",AND($AL155,$BJ155=""))</f>
        <v/>
      </c>
      <c r="CT155" s="75"/>
      <c r="CU155" s="76"/>
      <c r="CV155" s="79" t="str">
        <f aca="false">IF(ISBLANK($C155),"",IF($BL155=Constants!$B$8,$CM155,""))</f>
        <v/>
      </c>
      <c r="CW155" s="76" t="str">
        <f aca="false">IF(ISBLANK($C155),"",IF($BL155&lt;&gt;Constants!$B$4,"",$BO155+$BP155))</f>
        <v/>
      </c>
      <c r="CX155" s="78" t="str">
        <f aca="false">IF(ISBLANK($C155),"",IF($BL155&lt;&gt;Constants!$B$4,"",$BQ155+$BR155+$BS155))</f>
        <v/>
      </c>
      <c r="CY155" s="78" t="str">
        <f aca="false">IF(ISBLANK($C155),"",IF($BL155&lt;&gt;Constants!$B$4,"",$BT155))</f>
        <v/>
      </c>
      <c r="CZ155" s="78" t="str">
        <f aca="false">IF(ISBLANK($C155),"",IF($BL155&lt;&gt;Constants!$B$4,"",$BU155+$BV155))</f>
        <v/>
      </c>
      <c r="DA155" s="78" t="str">
        <f aca="false">IF(ISBLANK($C155),"",IF($BL155&lt;&gt;Constants!$B$4,"",$BW155))</f>
        <v/>
      </c>
      <c r="DB155" s="78" t="str">
        <f aca="false">IF(ISBLANK($C155),"",IF($BL155&lt;&gt;Constants!$B$4,"",-$CD155))</f>
        <v/>
      </c>
      <c r="DC155" s="79" t="str">
        <f aca="false">IF(ISBLANK($C155),"",$CE155)</f>
        <v/>
      </c>
      <c r="DD155" s="80" t="str">
        <f aca="false">IF(ISBLANK($C155),"",$BM155)</f>
        <v/>
      </c>
      <c r="DE155" s="78" t="str">
        <f aca="false">IF(ISBLANK($C155),"",$CL155)</f>
        <v/>
      </c>
      <c r="DF155" s="78" t="str">
        <f aca="false">IF(ISBLANK($C155),"",$CK155)</f>
        <v/>
      </c>
      <c r="DG155" s="81" t="str">
        <f aca="false">IF(ISBLANK($C155),"",IF($DF155=Constants!$B$7,COUNTA($C$9:$C$508)+2,IF($DF155=Constants!$B$6,COUNTA($C$9:$C$508)+1,IF($DF155=Constants!$B$5,COUNTA($C$9:$C$508),$DF155))))</f>
        <v/>
      </c>
      <c r="DH155" s="7"/>
      <c r="DI155" s="82" t="n">
        <f aca="false">IF(OR(ISNUMBER($DF155),$DF155=Constants!$B$7,$DF155=Constants!$B$5,$DF155=Constants!$B$6),1,0)</f>
        <v>0</v>
      </c>
      <c r="DJ155" s="82" t="n">
        <v>147</v>
      </c>
      <c r="DK155" s="82" t="str">
        <f aca="false">IF(ISBLANK($C155),"",IF(ISNUMBER($DG155),$DG155+ROW($B155)/1000,""))</f>
        <v/>
      </c>
      <c r="DL155" s="82" t="str">
        <f aca="false">IF(ISNUMBER($DK155),RANK($DK155,$DK$9:$DK$508,1),"")</f>
        <v/>
      </c>
      <c r="DM155" s="82" t="str">
        <f aca="false">IF(ISBLANK($C155),"",$B155)</f>
        <v/>
      </c>
      <c r="DN155" s="82" t="str">
        <f aca="false">IF(ISBLANK($C155),"",$C155)</f>
        <v/>
      </c>
      <c r="DO155" s="82" t="str">
        <f aca="false">IF(ISBLANK($C155),"",$D155)</f>
        <v/>
      </c>
      <c r="DP155" s="83" t="str">
        <f aca="false">$DD155</f>
        <v/>
      </c>
      <c r="DQ155" s="84" t="str">
        <f aca="false">$DC155</f>
        <v/>
      </c>
      <c r="DR155" s="82" t="str">
        <f aca="false">IF(ISBLANK($C155),"",$DF155)</f>
        <v/>
      </c>
      <c r="DS155" s="85" t="str">
        <f aca="false">IF($DJ155&gt;$DI$8,"",VLOOKUP($DJ155,$DL$9:$DR$508,7,FALSE()))</f>
        <v/>
      </c>
      <c r="DT155" s="86" t="str">
        <f aca="false">IF($DJ155&gt;$DI$8,"",VLOOKUP($DJ155,$DL$9:$DR$508,2,FALSE()))</f>
        <v/>
      </c>
      <c r="DU155" s="86" t="str">
        <f aca="false">IF($DJ155&gt;$DI$8,"",VLOOKUP($DJ155,$DL$9:$DR$508,3,FALSE()))</f>
        <v/>
      </c>
      <c r="DV155" s="86" t="str">
        <f aca="false">IF($DJ155&gt;$DI$8,"",VLOOKUP($DJ155,$DL$9:$DR$508,4,FALSE()))</f>
        <v/>
      </c>
      <c r="DW155" s="86" t="str">
        <f aca="false">IF($DJ155&gt;$DI$8,"",VLOOKUP($DJ155,$DL$9:$DR$508,5,FALSE()))</f>
        <v/>
      </c>
      <c r="DX155" s="87" t="str">
        <f aca="false">IF($DJ155&gt;$DI$8,"",VLOOKUP($DJ155,$DL$9:$DR$508,6,FALSE()))</f>
        <v/>
      </c>
      <c r="DY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130"/>
      <c r="N156" s="130"/>
      <c r="O156" s="135"/>
      <c r="P156" s="135"/>
      <c r="Q156" s="130"/>
      <c r="R156" s="130"/>
      <c r="S156" s="130"/>
      <c r="T156" s="130"/>
      <c r="U156" s="135"/>
      <c r="V156" s="130"/>
      <c r="W156" s="96"/>
      <c r="X156" s="130"/>
      <c r="Y156" s="130"/>
      <c r="Z156" s="96"/>
      <c r="AA156" s="96"/>
      <c r="AB156" s="130"/>
      <c r="AC156" s="130"/>
      <c r="AD156" s="130"/>
      <c r="AE156" s="97"/>
      <c r="AF156" s="130"/>
      <c r="AG156" s="99"/>
      <c r="AH156" s="100"/>
      <c r="AI156" s="100"/>
      <c r="AJ156" s="100" t="str">
        <f aca="false">IF(ISBLANK($C156),"",IF($E156=Constants!$B$2,TRUE(),IF($E156=Constants!$B$3,FALSE(),TRUE())))</f>
        <v/>
      </c>
      <c r="AK156" s="100" t="str">
        <f aca="false">IF(ISBLANK($C156),"",IF($F156=Constants!$B$2,TRUE(),IF($F156=Constants!$B$3,FALSE(),FALSE())))</f>
        <v/>
      </c>
      <c r="AL156" s="100" t="str">
        <f aca="false">IF(ISBLANK($C156),"",IF($G156=Constants!$B$2,TRUE(),IF($G156=Constants!$B$3,FALSE(),TRUE())))</f>
        <v/>
      </c>
      <c r="AM156" s="100" t="str">
        <f aca="false">IF(ISBLANK($C156),"",IF($H156=Constants!$B$2,TRUE(),IF($H156=Constants!$B$3,FALSE(),TRUE())))</f>
        <v/>
      </c>
      <c r="AN156" s="100" t="str">
        <f aca="false">IF(ISBLANK($C156),"",IF(ISNUMBER($I156),IF($I156&gt;=0,$I156,""),""))</f>
        <v/>
      </c>
      <c r="AO156" s="100" t="str">
        <f aca="false">IF(ISBLANK($C156),"",IF(ISNUMBER($J156),IF($J156&gt;=0,$J156,""),""))</f>
        <v/>
      </c>
      <c r="AP156" s="100" t="str">
        <f aca="false">IF(ISBLANK($C156),"",IF(ISNUMBER($K156),IF($K156&gt;=0,$K156,""),""))</f>
        <v/>
      </c>
      <c r="AQ156" s="100" t="str">
        <f aca="false">IF(ISBLANK($C156),"",IF($L156=Constants!$B$2,TRUE(),IF($L156=Constants!$B$3,FALSE(),TRUE())))</f>
        <v/>
      </c>
      <c r="AR156" s="100" t="str">
        <f aca="false">IF(ISBLANK($C156),"",IF($M156=Constants!$B$2,TRUE(),IF($M156=Constants!$B$3,FALSE(),TRUE())))</f>
        <v/>
      </c>
      <c r="AS156" s="100" t="str">
        <f aca="false">IF(ISBLANK($C156),"",IF($N156=Constants!$B$2,TRUE(),IF($N156=Constants!$B$3,FALSE(),FALSE())))</f>
        <v/>
      </c>
      <c r="AT156" s="100" t="str">
        <f aca="false">IF(ISBLANK($C156),"",IF($O156=Constants!$B$2,TRUE(),IF($O156=Constants!$B$3,FALSE(),TRUE())))</f>
        <v/>
      </c>
      <c r="AU156" s="100" t="str">
        <f aca="false">IF(ISBLANK($C156),"",IF($P156=Constants!$B$2,TRUE(),IF($P156=Constants!$B$3,FALSE(),TRUE())))</f>
        <v/>
      </c>
      <c r="AV156" s="100" t="str">
        <f aca="false">IF(ISBLANK($C156),"",IF($Q156=Constants!$B$2,TRUE(),IF($Q156=Constants!$B$3,FALSE(),FALSE())))</f>
        <v/>
      </c>
      <c r="AW156" s="100" t="str">
        <f aca="false">IF(ISBLANK($C156),"",IF($R156=Constants!$B$2,TRUE(),IF($R156=Constants!$B$3,FALSE(),FALSE())))</f>
        <v/>
      </c>
      <c r="AX156" s="100" t="str">
        <f aca="false">IF(ISBLANK($C156),"",IF($S156=Constants!$B$2,TRUE(),IF($S156=Constants!$B$3,FALSE(),FALSE())))</f>
        <v/>
      </c>
      <c r="AY156" s="100" t="str">
        <f aca="false">IF(ISBLANK($C156),"",IF($T156=Constants!$B$2,TRUE(),IF($T156=Constants!$B$3,FALSE(),FALSE())))</f>
        <v/>
      </c>
      <c r="AZ156" s="100" t="str">
        <f aca="false">IF(ISBLANK($C156),"",IF($U156=Constants!$B$2,TRUE(),IF($U156=Constants!$B$3,FALSE(),FALSE())))</f>
        <v/>
      </c>
      <c r="BA156" s="100" t="str">
        <f aca="false">IF(ISBLANK($C156),"",IF(OR($V156&amp;""="1",$V156&amp;""="2",$V156&amp;""="3",$V156&amp;""="4"),VALUE($V156&amp;""),IF($V156=Constants!$B$12,Constants!$B$12,"")))</f>
        <v/>
      </c>
      <c r="BB156" s="100" t="str">
        <f aca="false">IF(ISBLANK($C156),"",IF(ISBLANK($W156),0,IF(ISNUMBER($W156),IF(AND($W156&gt;=0,$W156&lt;=Constants!$B$21,$W156=INT($W156)),$W156,""),"")))</f>
        <v/>
      </c>
      <c r="BC156" s="100" t="str">
        <f aca="false">IF(ISBLANK($C156),"",IF(ISBLANK($X156),0,IF(ISNUMBER($X156),IF($X156&gt;=0,$X156,""),"")))</f>
        <v/>
      </c>
      <c r="BD156" s="100" t="str">
        <f aca="false">IF(ISBLANK($C156),"",IF($Y156=Constants!$B$2,TRUE(),IF($Y156=Constants!$B$3,FALSE(),TRUE())))</f>
        <v/>
      </c>
      <c r="BE156" s="100" t="str">
        <f aca="false">IF(ISBLANK($C156),"",IF($Z156=Constants!$B$2,TRUE(),IF($Z156=Constants!$B$3,FALSE(),FALSE())))</f>
        <v/>
      </c>
      <c r="BF156" s="100" t="str">
        <f aca="false">IF(ISBLANK($C156),"",IF(ISBLANK($AA156),0,IF(ISNUMBER($AA156),IF(AND($AA156&gt;=0,$AA156&lt;=Constants!$B$35,$AA156=INT($AA156)),$AA156,""),"")))</f>
        <v/>
      </c>
      <c r="BG156" s="100" t="str">
        <f aca="false">IF(ISBLANK($C156),"",IF($AB156=Constants!$B$2,TRUE(),IF($AB156=Constants!$B$3,FALSE(),TRUE())))</f>
        <v/>
      </c>
      <c r="BH156" s="100" t="str">
        <f aca="false">IF(ISBLANK($C156),"",IF($AC156=Constants!$B$2,TRUE(),IF($AC156=Constants!$B$3,FALSE(),TRUE())))</f>
        <v/>
      </c>
      <c r="BI156" s="100" t="str">
        <f aca="false">IF(ISBLANK($C156),"",IF($AD156=Constants!$B$2,TRUE(),IF($AD156=Constants!$B$3,FALSE(),TRUE())))</f>
        <v/>
      </c>
      <c r="BJ156" s="100" t="str">
        <f aca="false">IF(ISBLANK($C156),"",IF(ISNUMBER($AE156),IF($AE156&gt;=0,$AE156,""),""))</f>
        <v/>
      </c>
      <c r="BK156" s="100" t="str">
        <f aca="false">IF(ISBLANK($C156),"",IF($AF156=Constants!$B$2,TRUE(),IF($AF156=Constants!$B$3,FALSE(),FALSE())))</f>
        <v/>
      </c>
      <c r="BL156" s="99" t="str">
        <f aca="false">IF(ISBLANK($C156),"",IF($BK156,Constants!$B$7,IF(COUNTA($E156:$AE156)=0,Constants!$B$6,IF(OR(COUNTA($G156:$AE156)=0,NOT($AM156),$AS156),Constants!$B$5,IF(OR($CM156&lt;&gt;"",$CN156,$CO156,$CP156,$CQ156,$CR156,$CS156),Constants!$B$8,Constants!$B$4)))))</f>
        <v/>
      </c>
      <c r="BM156" s="100" t="str">
        <f aca="false">IF(ISBLANK($C156),"",IF($BL156&lt;&gt;Constants!$B$4,$BL156,IF(OR(NOT($AJ156),NOT($AL156),NOT($AT156)),Constants!$B$11,IF(OR(NOT($AR156),NOT($AU156),NOT($BI156),MAX($AN156,$AO156,$AP156)&gt;Constants!$B$30),Constants!$B$10,Constants!$B$9))))</f>
        <v/>
      </c>
      <c r="BN156" s="100" t="str">
        <f aca="false">IF($BL156&lt;&gt;Constants!$B$4,"",IF(NOT($AL156),0,MIN(Constants!$B$35,$BF156)))</f>
        <v/>
      </c>
      <c r="BO156" s="100" t="str">
        <f aca="false">IF($BL156&lt;&gt;Constants!$B$4,"",IF(NOT($AL156),0,IF($AW156,Constants!$B$18,IF($AV156,Constants!$B$17,0))))</f>
        <v/>
      </c>
      <c r="BP156" s="100" t="str">
        <f aca="false">IF($BL156&lt;&gt;Constants!$B$4,"",IF(NOT($AL156),0,Constants!$B$19*($AK156+$AX156+$AY156+$AZ156)))</f>
        <v/>
      </c>
      <c r="BQ156" s="100" t="str">
        <f aca="false">IF($BL156&lt;&gt;Constants!$B$4,"",IF(OR(NOT($AL156),NOT(ISNUMBER($BA156))),0,CHOOSE($BA156,Constants!$B$13,Constants!$B$14,Constants!$B$15,Constants!$B$16)))</f>
        <v/>
      </c>
      <c r="BR156" s="100" t="str">
        <f aca="false">IF($BL156&lt;&gt;Constants!$B$4,"",IF(NOT($AL156),0,Constants!$B$20*$BB156))</f>
        <v/>
      </c>
      <c r="BS156" s="100" t="str">
        <f aca="false">IF($BL156&lt;&gt;Constants!$B$4,"",IF(AND($AL156,$BD156,$BE156),Constants!$B$22,0))</f>
        <v/>
      </c>
      <c r="BT156" s="100" t="str">
        <f aca="false">IF($BL156&lt;&gt;Constants!$B$4,"",IF(OR(NOT($AL156),NOT($BD156)),0,IF($BJ156&gt;=2*$AH$9,0,Constants!$B$23*INT(ROUND(MIN($BJ156,$AH$9),6)))))</f>
        <v/>
      </c>
      <c r="BU156" s="100" t="str">
        <f aca="false">IF($BL156&lt;&gt;Constants!$B$4,"",IF(NOT($AL156),0,Constants!$B$24*INT(ROUND(MIN($BC156,$AH$9),6))))</f>
        <v/>
      </c>
      <c r="BV156" s="100" t="str">
        <f aca="false">IF($BL156&lt;&gt;Constants!$B$4,"",IF(AND($AL156,$BN156=0),Constants!$B$25,0))</f>
        <v/>
      </c>
      <c r="BW156" s="100" t="str">
        <f aca="false">IF($BL156&lt;&gt;Constants!$B$4,"",MIN(Constants!$B$29,MAX(0,Constants!$B$27*Constants!$B$28*INT(ROUND((Constants!$B$26-$AN156)/Constants!$B$28,6))))+MIN(Constants!$B$29,MAX(0,Constants!$B$27*Constants!$B$28*INT(ROUND((Constants!$B$26-$AO156)/Constants!$B$28,6))))+MIN(Constants!$B$29,MAX(0,Constants!$B$27*Constants!$B$28*INT(ROUND((Constants!$B$26-$AP156)/Constants!$B$28,6)))))</f>
        <v/>
      </c>
      <c r="BX156" s="100" t="str">
        <f aca="false">IF($BL156&lt;&gt;Constants!$B$4,"",IF(NOT($AL156),0,Constants!$B$31*INT(ROUND(MAX(0,MIN($BJ156,2*$AH$9)-$AH$9),6))))</f>
        <v/>
      </c>
      <c r="BY156" s="100" t="str">
        <f aca="false">IF($BL156&lt;&gt;Constants!$B$4,"",Constants!$B$32*(($AN156&gt;Constants!$B$26)+($AO156&gt;Constants!$B$26)+($AP156&gt;Constants!$B$26)))</f>
        <v/>
      </c>
      <c r="BZ156" s="100" t="str">
        <f aca="false">IF($BL156&lt;&gt;Constants!$B$4,"",IF(OR(NOT($AL156),$AQ156),0,Constants!$B$33))</f>
        <v/>
      </c>
      <c r="CA156" s="100" t="str">
        <f aca="false">IF($BL156&lt;&gt;Constants!$B$4,"",Constants!$B$34*$BN156)</f>
        <v/>
      </c>
      <c r="CB156" s="100" t="str">
        <f aca="false">IF($BL156&lt;&gt;Constants!$B$4,"",IF(OR(NOT($AL156),$BH156),0,Constants!$B$36))</f>
        <v/>
      </c>
      <c r="CC156" s="100" t="str">
        <f aca="false">IF($BL156&lt;&gt;Constants!$B$4,"",IF(OR(NOT($AL156),$BG156),0,Constants!$B$37))</f>
        <v/>
      </c>
      <c r="CD156" s="100" t="str">
        <f aca="false">IF($BL156&lt;&gt;Constants!$B$4,"",SUM($BX156:$CC156))</f>
        <v/>
      </c>
      <c r="CE156" s="100" t="str">
        <f aca="false">IF(ISBLANK($C156),"",IF($BL156&lt;&gt;Constants!$B$4,$BL156,SUM($BO156:$BW156)-$CD156))</f>
        <v/>
      </c>
      <c r="CF156" s="100" t="str">
        <f aca="false">IF(ISBLANK($C156),"",IF($BL156&lt;&gt;Constants!$B$4,$BL156,RANK($CE156,$CE$9:$CE$508)))</f>
        <v/>
      </c>
      <c r="CG156" s="100" t="str">
        <f aca="false">IF(ISBLANK($C156),"",IF($BL156&lt;&gt;Constants!$B$4,$BL156,COUNTIFS($BM$9:$BM$508,"&lt;"&amp;$BM156)+COUNTIFS($BM$9:$BM$508,$BM156,$CF$9:$CF$508,"&lt;"&amp;$CF156)+1))</f>
        <v/>
      </c>
      <c r="CH156" s="100" t="str">
        <f aca="false">IF(ISBLANK($C156),"",IF($BL156&lt;&gt;Constants!$B$4,$BL156,RANK($CD156,$CD$9:$CD$508,1)))</f>
        <v/>
      </c>
      <c r="CI156" s="100" t="str">
        <f aca="false">IF($BL156&lt;&gt;Constants!$B$4,"",$AN156+$AO156+$AP156)</f>
        <v/>
      </c>
      <c r="CJ156" s="100" t="str">
        <f aca="false">IF(ISBLANK($C156),"",IF($BL156&lt;&gt;Constants!$B$4,$BL156,RANK($CI156,$CI$9:$CI$508,1)))</f>
        <v/>
      </c>
      <c r="CK156" s="100" t="str">
        <f aca="false">IF(ISBLANK($C156),"",IF($BL156&lt;&gt;Constants!$B$4,$BL156,COUNTIFS($BM$9:$BM$508,"&lt;"&amp;$BM156)+COUNTIFS($BM$9:$BM$508,$BM156,$CF$9:$CF$508,"&lt;"&amp;$CF156)+COUNTIFS($BM$9:$BM$508,$BM156,$CF$9:$CF$508,$CF156,$CH$9:$CH$508,"&lt;"&amp;$CH156)+COUNTIFS($BM$9:$BM$508,$BM156,$CF$9:$CF$508,$CF156,$CH$9:$CH$508,$CH156,$CJ$9:$CJ$508,"&lt;"&amp;$CJ156)+1))</f>
        <v/>
      </c>
      <c r="CL156" s="100" t="str">
        <f aca="false">IF(ISBLANK($C156),"",IF($BL156&lt;&gt;Constants!$B$4,$BL156,$CG156-$CK156))</f>
        <v/>
      </c>
      <c r="CM156" s="100" t="str">
        <f aca="false">IF(ISBLANK($C156),"",IF(NOT($AL156),"",IF(ISBLANK($D$7),$CM$5,IF(NOT(ISNUMBER($D$7)),$CM$6,""))))</f>
        <v/>
      </c>
      <c r="CN156" s="100" t="str">
        <f aca="false">IF(ISBLANK($C156),"",OR($AN156="",$AO156="",$AP156=""))</f>
        <v/>
      </c>
      <c r="CO156" s="100" t="str">
        <f aca="false">IF(ISBLANK($C156),"",AND($AL156,$BA156=""))</f>
        <v/>
      </c>
      <c r="CP156" s="100" t="str">
        <f aca="false">IF(ISBLANK($C156),"",AND($AL156,$BB156=""))</f>
        <v/>
      </c>
      <c r="CQ156" s="100" t="str">
        <f aca="false">IF(ISBLANK($C156),"",AND($AL156,$BC156=""))</f>
        <v/>
      </c>
      <c r="CR156" s="100" t="str">
        <f aca="false">IF(ISBLANK($C156),"",AND($AL156,$BF156=""))</f>
        <v/>
      </c>
      <c r="CS156" s="100" t="str">
        <f aca="false">IF(ISBLANK($C156),"",AND($AL156,$BJ156=""))</f>
        <v/>
      </c>
      <c r="CT156" s="101"/>
      <c r="CU156" s="102"/>
      <c r="CV156" s="103" t="str">
        <f aca="false">IF(ISBLANK($C156),"",IF($BL156=Constants!$B$8,$CM156,""))</f>
        <v/>
      </c>
      <c r="CW156" s="102" t="str">
        <f aca="false">IF(ISBLANK($C156),"",IF($BL156&lt;&gt;Constants!$B$4,"",$BO156+$BP156))</f>
        <v/>
      </c>
      <c r="CX156" s="104" t="str">
        <f aca="false">IF(ISBLANK($C156),"",IF($BL156&lt;&gt;Constants!$B$4,"",$BQ156+$BR156+$BS156))</f>
        <v/>
      </c>
      <c r="CY156" s="104" t="str">
        <f aca="false">IF(ISBLANK($C156),"",IF($BL156&lt;&gt;Constants!$B$4,"",$BT156))</f>
        <v/>
      </c>
      <c r="CZ156" s="104" t="str">
        <f aca="false">IF(ISBLANK($C156),"",IF($BL156&lt;&gt;Constants!$B$4,"",$BU156+$BV156))</f>
        <v/>
      </c>
      <c r="DA156" s="104" t="str">
        <f aca="false">IF(ISBLANK($C156),"",IF($BL156&lt;&gt;Constants!$B$4,"",$BW156))</f>
        <v/>
      </c>
      <c r="DB156" s="104" t="str">
        <f aca="false">IF(ISBLANK($C156),"",IF($BL156&lt;&gt;Constants!$B$4,"",-$CD156))</f>
        <v/>
      </c>
      <c r="DC156" s="103" t="str">
        <f aca="false">IF(ISBLANK($C156),"",$CE156)</f>
        <v/>
      </c>
      <c r="DD156" s="105" t="str">
        <f aca="false">IF(ISBLANK($C156),"",$BM156)</f>
        <v/>
      </c>
      <c r="DE156" s="104" t="str">
        <f aca="false">IF(ISBLANK($C156),"",$CL156)</f>
        <v/>
      </c>
      <c r="DF156" s="104" t="str">
        <f aca="false">IF(ISBLANK($C156),"",$CK156)</f>
        <v/>
      </c>
      <c r="DG156" s="106" t="str">
        <f aca="false">IF(ISBLANK($C156),"",IF($DF156=Constants!$B$7,COUNTA($C$9:$C$508)+2,IF($DF156=Constants!$B$6,COUNTA($C$9:$C$508)+1,IF($DF156=Constants!$B$5,COUNTA($C$9:$C$508),$DF156))))</f>
        <v/>
      </c>
      <c r="DH156" s="7"/>
      <c r="DI156" s="107" t="n">
        <f aca="false">IF(OR(ISNUMBER($DF156),$DF156=Constants!$B$7,$DF156=Constants!$B$5,$DF156=Constants!$B$6),1,0)</f>
        <v>0</v>
      </c>
      <c r="DJ156" s="107" t="n">
        <v>148</v>
      </c>
      <c r="DK156" s="107" t="str">
        <f aca="false">IF(ISBLANK($C156),"",IF(ISNUMBER($DG156),$DG156+ROW($B156)/1000,""))</f>
        <v/>
      </c>
      <c r="DL156" s="107" t="str">
        <f aca="false">IF(ISNUMBER($DK156),RANK($DK156,$DK$9:$DK$508,1),"")</f>
        <v/>
      </c>
      <c r="DM156" s="107" t="str">
        <f aca="false">IF(ISBLANK($C156),"",$B156)</f>
        <v/>
      </c>
      <c r="DN156" s="107" t="str">
        <f aca="false">IF(ISBLANK($C156),"",$C156)</f>
        <v/>
      </c>
      <c r="DO156" s="107" t="str">
        <f aca="false">IF(ISBLANK($C156),"",$D156)</f>
        <v/>
      </c>
      <c r="DP156" s="108" t="str">
        <f aca="false">$DD156</f>
        <v/>
      </c>
      <c r="DQ156" s="109" t="str">
        <f aca="false">$DC156</f>
        <v/>
      </c>
      <c r="DR156" s="107" t="str">
        <f aca="false">IF(ISBLANK($C156),"",$DF156)</f>
        <v/>
      </c>
      <c r="DS156" s="110" t="str">
        <f aca="false">IF($DJ156&gt;$DI$8,"",VLOOKUP($DJ156,$DL$9:$DR$508,7,FALSE()))</f>
        <v/>
      </c>
      <c r="DT156" s="111" t="str">
        <f aca="false">IF($DJ156&gt;$DI$8,"",VLOOKUP($DJ156,$DL$9:$DR$508,2,FALSE()))</f>
        <v/>
      </c>
      <c r="DU156" s="111" t="str">
        <f aca="false">IF($DJ156&gt;$DI$8,"",VLOOKUP($DJ156,$DL$9:$DR$508,3,FALSE()))</f>
        <v/>
      </c>
      <c r="DV156" s="111" t="str">
        <f aca="false">IF($DJ156&gt;$DI$8,"",VLOOKUP($DJ156,$DL$9:$DR$508,4,FALSE()))</f>
        <v/>
      </c>
      <c r="DW156" s="111" t="str">
        <f aca="false">IF($DJ156&gt;$DI$8,"",VLOOKUP($DJ156,$DL$9:$DR$508,5,FALSE()))</f>
        <v/>
      </c>
      <c r="DX156" s="112" t="str">
        <f aca="false">IF($DJ156&gt;$DI$8,"",VLOOKUP($DJ156,$DL$9:$DR$508,6,FALSE()))</f>
        <v/>
      </c>
      <c r="DY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130"/>
      <c r="N157" s="130"/>
      <c r="O157" s="135"/>
      <c r="P157" s="135"/>
      <c r="Q157" s="130"/>
      <c r="R157" s="130"/>
      <c r="S157" s="130"/>
      <c r="T157" s="130"/>
      <c r="U157" s="135"/>
      <c r="V157" s="130"/>
      <c r="W157" s="96"/>
      <c r="X157" s="130"/>
      <c r="Y157" s="130"/>
      <c r="Z157" s="96"/>
      <c r="AA157" s="96"/>
      <c r="AB157" s="130"/>
      <c r="AC157" s="130"/>
      <c r="AD157" s="130"/>
      <c r="AE157" s="97"/>
      <c r="AF157" s="130"/>
      <c r="AG157" s="99"/>
      <c r="AH157" s="100"/>
      <c r="AI157" s="100"/>
      <c r="AJ157" s="100" t="str">
        <f aca="false">IF(ISBLANK($C157),"",IF($E157=Constants!$B$2,TRUE(),IF($E157=Constants!$B$3,FALSE(),TRUE())))</f>
        <v/>
      </c>
      <c r="AK157" s="100" t="str">
        <f aca="false">IF(ISBLANK($C157),"",IF($F157=Constants!$B$2,TRUE(),IF($F157=Constants!$B$3,FALSE(),FALSE())))</f>
        <v/>
      </c>
      <c r="AL157" s="100" t="str">
        <f aca="false">IF(ISBLANK($C157),"",IF($G157=Constants!$B$2,TRUE(),IF($G157=Constants!$B$3,FALSE(),TRUE())))</f>
        <v/>
      </c>
      <c r="AM157" s="100" t="str">
        <f aca="false">IF(ISBLANK($C157),"",IF($H157=Constants!$B$2,TRUE(),IF($H157=Constants!$B$3,FALSE(),TRUE())))</f>
        <v/>
      </c>
      <c r="AN157" s="100" t="str">
        <f aca="false">IF(ISBLANK($C157),"",IF(ISNUMBER($I157),IF($I157&gt;=0,$I157,""),""))</f>
        <v/>
      </c>
      <c r="AO157" s="100" t="str">
        <f aca="false">IF(ISBLANK($C157),"",IF(ISNUMBER($J157),IF($J157&gt;=0,$J157,""),""))</f>
        <v/>
      </c>
      <c r="AP157" s="100" t="str">
        <f aca="false">IF(ISBLANK($C157),"",IF(ISNUMBER($K157),IF($K157&gt;=0,$K157,""),""))</f>
        <v/>
      </c>
      <c r="AQ157" s="100" t="str">
        <f aca="false">IF(ISBLANK($C157),"",IF($L157=Constants!$B$2,TRUE(),IF($L157=Constants!$B$3,FALSE(),TRUE())))</f>
        <v/>
      </c>
      <c r="AR157" s="100" t="str">
        <f aca="false">IF(ISBLANK($C157),"",IF($M157=Constants!$B$2,TRUE(),IF($M157=Constants!$B$3,FALSE(),TRUE())))</f>
        <v/>
      </c>
      <c r="AS157" s="100" t="str">
        <f aca="false">IF(ISBLANK($C157),"",IF($N157=Constants!$B$2,TRUE(),IF($N157=Constants!$B$3,FALSE(),FALSE())))</f>
        <v/>
      </c>
      <c r="AT157" s="100" t="str">
        <f aca="false">IF(ISBLANK($C157),"",IF($O157=Constants!$B$2,TRUE(),IF($O157=Constants!$B$3,FALSE(),TRUE())))</f>
        <v/>
      </c>
      <c r="AU157" s="100" t="str">
        <f aca="false">IF(ISBLANK($C157),"",IF($P157=Constants!$B$2,TRUE(),IF($P157=Constants!$B$3,FALSE(),TRUE())))</f>
        <v/>
      </c>
      <c r="AV157" s="100" t="str">
        <f aca="false">IF(ISBLANK($C157),"",IF($Q157=Constants!$B$2,TRUE(),IF($Q157=Constants!$B$3,FALSE(),FALSE())))</f>
        <v/>
      </c>
      <c r="AW157" s="100" t="str">
        <f aca="false">IF(ISBLANK($C157),"",IF($R157=Constants!$B$2,TRUE(),IF($R157=Constants!$B$3,FALSE(),FALSE())))</f>
        <v/>
      </c>
      <c r="AX157" s="100" t="str">
        <f aca="false">IF(ISBLANK($C157),"",IF($S157=Constants!$B$2,TRUE(),IF($S157=Constants!$B$3,FALSE(),FALSE())))</f>
        <v/>
      </c>
      <c r="AY157" s="100" t="str">
        <f aca="false">IF(ISBLANK($C157),"",IF($T157=Constants!$B$2,TRUE(),IF($T157=Constants!$B$3,FALSE(),FALSE())))</f>
        <v/>
      </c>
      <c r="AZ157" s="100" t="str">
        <f aca="false">IF(ISBLANK($C157),"",IF($U157=Constants!$B$2,TRUE(),IF($U157=Constants!$B$3,FALSE(),FALSE())))</f>
        <v/>
      </c>
      <c r="BA157" s="100" t="str">
        <f aca="false">IF(ISBLANK($C157),"",IF(OR($V157&amp;""="1",$V157&amp;""="2",$V157&amp;""="3",$V157&amp;""="4"),VALUE($V157&amp;""),IF($V157=Constants!$B$12,Constants!$B$12,"")))</f>
        <v/>
      </c>
      <c r="BB157" s="100" t="str">
        <f aca="false">IF(ISBLANK($C157),"",IF(ISBLANK($W157),0,IF(ISNUMBER($W157),IF(AND($W157&gt;=0,$W157&lt;=Constants!$B$21,$W157=INT($W157)),$W157,""),"")))</f>
        <v/>
      </c>
      <c r="BC157" s="100" t="str">
        <f aca="false">IF(ISBLANK($C157),"",IF(ISBLANK($X157),0,IF(ISNUMBER($X157),IF($X157&gt;=0,$X157,""),"")))</f>
        <v/>
      </c>
      <c r="BD157" s="100" t="str">
        <f aca="false">IF(ISBLANK($C157),"",IF($Y157=Constants!$B$2,TRUE(),IF($Y157=Constants!$B$3,FALSE(),TRUE())))</f>
        <v/>
      </c>
      <c r="BE157" s="100" t="str">
        <f aca="false">IF(ISBLANK($C157),"",IF($Z157=Constants!$B$2,TRUE(),IF($Z157=Constants!$B$3,FALSE(),FALSE())))</f>
        <v/>
      </c>
      <c r="BF157" s="100" t="str">
        <f aca="false">IF(ISBLANK($C157),"",IF(ISBLANK($AA157),0,IF(ISNUMBER($AA157),IF(AND($AA157&gt;=0,$AA157&lt;=Constants!$B$35,$AA157=INT($AA157)),$AA157,""),"")))</f>
        <v/>
      </c>
      <c r="BG157" s="100" t="str">
        <f aca="false">IF(ISBLANK($C157),"",IF($AB157=Constants!$B$2,TRUE(),IF($AB157=Constants!$B$3,FALSE(),TRUE())))</f>
        <v/>
      </c>
      <c r="BH157" s="100" t="str">
        <f aca="false">IF(ISBLANK($C157),"",IF($AC157=Constants!$B$2,TRUE(),IF($AC157=Constants!$B$3,FALSE(),TRUE())))</f>
        <v/>
      </c>
      <c r="BI157" s="100" t="str">
        <f aca="false">IF(ISBLANK($C157),"",IF($AD157=Constants!$B$2,TRUE(),IF($AD157=Constants!$B$3,FALSE(),TRUE())))</f>
        <v/>
      </c>
      <c r="BJ157" s="100" t="str">
        <f aca="false">IF(ISBLANK($C157),"",IF(ISNUMBER($AE157),IF($AE157&gt;=0,$AE157,""),""))</f>
        <v/>
      </c>
      <c r="BK157" s="100" t="str">
        <f aca="false">IF(ISBLANK($C157),"",IF($AF157=Constants!$B$2,TRUE(),IF($AF157=Constants!$B$3,FALSE(),FALSE())))</f>
        <v/>
      </c>
      <c r="BL157" s="99" t="str">
        <f aca="false">IF(ISBLANK($C157),"",IF($BK157,Constants!$B$7,IF(COUNTA($E157:$AE157)=0,Constants!$B$6,IF(OR(COUNTA($G157:$AE157)=0,NOT($AM157),$AS157),Constants!$B$5,IF(OR($CM157&lt;&gt;"",$CN157,$CO157,$CP157,$CQ157,$CR157,$CS157),Constants!$B$8,Constants!$B$4)))))</f>
        <v/>
      </c>
      <c r="BM157" s="100" t="str">
        <f aca="false">IF(ISBLANK($C157),"",IF($BL157&lt;&gt;Constants!$B$4,$BL157,IF(OR(NOT($AJ157),NOT($AL157),NOT($AT157)),Constants!$B$11,IF(OR(NOT($AR157),NOT($AU157),NOT($BI157),MAX($AN157,$AO157,$AP157)&gt;Constants!$B$30),Constants!$B$10,Constants!$B$9))))</f>
        <v/>
      </c>
      <c r="BN157" s="100" t="str">
        <f aca="false">IF($BL157&lt;&gt;Constants!$B$4,"",IF(NOT($AL157),0,MIN(Constants!$B$35,$BF157)))</f>
        <v/>
      </c>
      <c r="BO157" s="100" t="str">
        <f aca="false">IF($BL157&lt;&gt;Constants!$B$4,"",IF(NOT($AL157),0,IF($AW157,Constants!$B$18,IF($AV157,Constants!$B$17,0))))</f>
        <v/>
      </c>
      <c r="BP157" s="100" t="str">
        <f aca="false">IF($BL157&lt;&gt;Constants!$B$4,"",IF(NOT($AL157),0,Constants!$B$19*($AK157+$AX157+$AY157+$AZ157)))</f>
        <v/>
      </c>
      <c r="BQ157" s="100" t="str">
        <f aca="false">IF($BL157&lt;&gt;Constants!$B$4,"",IF(OR(NOT($AL157),NOT(ISNUMBER($BA157))),0,CHOOSE($BA157,Constants!$B$13,Constants!$B$14,Constants!$B$15,Constants!$B$16)))</f>
        <v/>
      </c>
      <c r="BR157" s="100" t="str">
        <f aca="false">IF($BL157&lt;&gt;Constants!$B$4,"",IF(NOT($AL157),0,Constants!$B$20*$BB157))</f>
        <v/>
      </c>
      <c r="BS157" s="100" t="str">
        <f aca="false">IF($BL157&lt;&gt;Constants!$B$4,"",IF(AND($AL157,$BD157,$BE157),Constants!$B$22,0))</f>
        <v/>
      </c>
      <c r="BT157" s="100" t="str">
        <f aca="false">IF($BL157&lt;&gt;Constants!$B$4,"",IF(OR(NOT($AL157),NOT($BD157)),0,IF($BJ157&gt;=2*$AH$9,0,Constants!$B$23*INT(ROUND(MIN($BJ157,$AH$9),6)))))</f>
        <v/>
      </c>
      <c r="BU157" s="100" t="str">
        <f aca="false">IF($BL157&lt;&gt;Constants!$B$4,"",IF(NOT($AL157),0,Constants!$B$24*INT(ROUND(MIN($BC157,$AH$9),6))))</f>
        <v/>
      </c>
      <c r="BV157" s="100" t="str">
        <f aca="false">IF($BL157&lt;&gt;Constants!$B$4,"",IF(AND($AL157,$BN157=0),Constants!$B$25,0))</f>
        <v/>
      </c>
      <c r="BW157" s="100" t="str">
        <f aca="false">IF($BL157&lt;&gt;Constants!$B$4,"",MIN(Constants!$B$29,MAX(0,Constants!$B$27*Constants!$B$28*INT(ROUND((Constants!$B$26-$AN157)/Constants!$B$28,6))))+MIN(Constants!$B$29,MAX(0,Constants!$B$27*Constants!$B$28*INT(ROUND((Constants!$B$26-$AO157)/Constants!$B$28,6))))+MIN(Constants!$B$29,MAX(0,Constants!$B$27*Constants!$B$28*INT(ROUND((Constants!$B$26-$AP157)/Constants!$B$28,6)))))</f>
        <v/>
      </c>
      <c r="BX157" s="100" t="str">
        <f aca="false">IF($BL157&lt;&gt;Constants!$B$4,"",IF(NOT($AL157),0,Constants!$B$31*INT(ROUND(MAX(0,MIN($BJ157,2*$AH$9)-$AH$9),6))))</f>
        <v/>
      </c>
      <c r="BY157" s="100" t="str">
        <f aca="false">IF($BL157&lt;&gt;Constants!$B$4,"",Constants!$B$32*(($AN157&gt;Constants!$B$26)+($AO157&gt;Constants!$B$26)+($AP157&gt;Constants!$B$26)))</f>
        <v/>
      </c>
      <c r="BZ157" s="100" t="str">
        <f aca="false">IF($BL157&lt;&gt;Constants!$B$4,"",IF(OR(NOT($AL157),$AQ157),0,Constants!$B$33))</f>
        <v/>
      </c>
      <c r="CA157" s="100" t="str">
        <f aca="false">IF($BL157&lt;&gt;Constants!$B$4,"",Constants!$B$34*$BN157)</f>
        <v/>
      </c>
      <c r="CB157" s="100" t="str">
        <f aca="false">IF($BL157&lt;&gt;Constants!$B$4,"",IF(OR(NOT($AL157),$BH157),0,Constants!$B$36))</f>
        <v/>
      </c>
      <c r="CC157" s="100" t="str">
        <f aca="false">IF($BL157&lt;&gt;Constants!$B$4,"",IF(OR(NOT($AL157),$BG157),0,Constants!$B$37))</f>
        <v/>
      </c>
      <c r="CD157" s="100" t="str">
        <f aca="false">IF($BL157&lt;&gt;Constants!$B$4,"",SUM($BX157:$CC157))</f>
        <v/>
      </c>
      <c r="CE157" s="100" t="str">
        <f aca="false">IF(ISBLANK($C157),"",IF($BL157&lt;&gt;Constants!$B$4,$BL157,SUM($BO157:$BW157)-$CD157))</f>
        <v/>
      </c>
      <c r="CF157" s="100" t="str">
        <f aca="false">IF(ISBLANK($C157),"",IF($BL157&lt;&gt;Constants!$B$4,$BL157,RANK($CE157,$CE$9:$CE$508)))</f>
        <v/>
      </c>
      <c r="CG157" s="100" t="str">
        <f aca="false">IF(ISBLANK($C157),"",IF($BL157&lt;&gt;Constants!$B$4,$BL157,COUNTIFS($BM$9:$BM$508,"&lt;"&amp;$BM157)+COUNTIFS($BM$9:$BM$508,$BM157,$CF$9:$CF$508,"&lt;"&amp;$CF157)+1))</f>
        <v/>
      </c>
      <c r="CH157" s="100" t="str">
        <f aca="false">IF(ISBLANK($C157),"",IF($BL157&lt;&gt;Constants!$B$4,$BL157,RANK($CD157,$CD$9:$CD$508,1)))</f>
        <v/>
      </c>
      <c r="CI157" s="100" t="str">
        <f aca="false">IF($BL157&lt;&gt;Constants!$B$4,"",$AN157+$AO157+$AP157)</f>
        <v/>
      </c>
      <c r="CJ157" s="100" t="str">
        <f aca="false">IF(ISBLANK($C157),"",IF($BL157&lt;&gt;Constants!$B$4,$BL157,RANK($CI157,$CI$9:$CI$508,1)))</f>
        <v/>
      </c>
      <c r="CK157" s="100" t="str">
        <f aca="false">IF(ISBLANK($C157),"",IF($BL157&lt;&gt;Constants!$B$4,$BL157,COUNTIFS($BM$9:$BM$508,"&lt;"&amp;$BM157)+COUNTIFS($BM$9:$BM$508,$BM157,$CF$9:$CF$508,"&lt;"&amp;$CF157)+COUNTIFS($BM$9:$BM$508,$BM157,$CF$9:$CF$508,$CF157,$CH$9:$CH$508,"&lt;"&amp;$CH157)+COUNTIFS($BM$9:$BM$508,$BM157,$CF$9:$CF$508,$CF157,$CH$9:$CH$508,$CH157,$CJ$9:$CJ$508,"&lt;"&amp;$CJ157)+1))</f>
        <v/>
      </c>
      <c r="CL157" s="100" t="str">
        <f aca="false">IF(ISBLANK($C157),"",IF($BL157&lt;&gt;Constants!$B$4,$BL157,$CG157-$CK157))</f>
        <v/>
      </c>
      <c r="CM157" s="100" t="str">
        <f aca="false">IF(ISBLANK($C157),"",IF(NOT($AL157),"",IF(ISBLANK($D$7),$CM$5,IF(NOT(ISNUMBER($D$7)),$CM$6,""))))</f>
        <v/>
      </c>
      <c r="CN157" s="100" t="str">
        <f aca="false">IF(ISBLANK($C157),"",OR($AN157="",$AO157="",$AP157=""))</f>
        <v/>
      </c>
      <c r="CO157" s="100" t="str">
        <f aca="false">IF(ISBLANK($C157),"",AND($AL157,$BA157=""))</f>
        <v/>
      </c>
      <c r="CP157" s="100" t="str">
        <f aca="false">IF(ISBLANK($C157),"",AND($AL157,$BB157=""))</f>
        <v/>
      </c>
      <c r="CQ157" s="100" t="str">
        <f aca="false">IF(ISBLANK($C157),"",AND($AL157,$BC157=""))</f>
        <v/>
      </c>
      <c r="CR157" s="100" t="str">
        <f aca="false">IF(ISBLANK($C157),"",AND($AL157,$BF157=""))</f>
        <v/>
      </c>
      <c r="CS157" s="100" t="str">
        <f aca="false">IF(ISBLANK($C157),"",AND($AL157,$BJ157=""))</f>
        <v/>
      </c>
      <c r="CT157" s="101"/>
      <c r="CU157" s="102"/>
      <c r="CV157" s="103" t="str">
        <f aca="false">IF(ISBLANK($C157),"",IF($BL157=Constants!$B$8,$CM157,""))</f>
        <v/>
      </c>
      <c r="CW157" s="102" t="str">
        <f aca="false">IF(ISBLANK($C157),"",IF($BL157&lt;&gt;Constants!$B$4,"",$BO157+$BP157))</f>
        <v/>
      </c>
      <c r="CX157" s="104" t="str">
        <f aca="false">IF(ISBLANK($C157),"",IF($BL157&lt;&gt;Constants!$B$4,"",$BQ157+$BR157+$BS157))</f>
        <v/>
      </c>
      <c r="CY157" s="104" t="str">
        <f aca="false">IF(ISBLANK($C157),"",IF($BL157&lt;&gt;Constants!$B$4,"",$BT157))</f>
        <v/>
      </c>
      <c r="CZ157" s="104" t="str">
        <f aca="false">IF(ISBLANK($C157),"",IF($BL157&lt;&gt;Constants!$B$4,"",$BU157+$BV157))</f>
        <v/>
      </c>
      <c r="DA157" s="104" t="str">
        <f aca="false">IF(ISBLANK($C157),"",IF($BL157&lt;&gt;Constants!$B$4,"",$BW157))</f>
        <v/>
      </c>
      <c r="DB157" s="104" t="str">
        <f aca="false">IF(ISBLANK($C157),"",IF($BL157&lt;&gt;Constants!$B$4,"",-$CD157))</f>
        <v/>
      </c>
      <c r="DC157" s="103" t="str">
        <f aca="false">IF(ISBLANK($C157),"",$CE157)</f>
        <v/>
      </c>
      <c r="DD157" s="105" t="str">
        <f aca="false">IF(ISBLANK($C157),"",$BM157)</f>
        <v/>
      </c>
      <c r="DE157" s="104" t="str">
        <f aca="false">IF(ISBLANK($C157),"",$CL157)</f>
        <v/>
      </c>
      <c r="DF157" s="104" t="str">
        <f aca="false">IF(ISBLANK($C157),"",$CK157)</f>
        <v/>
      </c>
      <c r="DG157" s="106" t="str">
        <f aca="false">IF(ISBLANK($C157),"",IF($DF157=Constants!$B$7,COUNTA($C$9:$C$508)+2,IF($DF157=Constants!$B$6,COUNTA($C$9:$C$508)+1,IF($DF157=Constants!$B$5,COUNTA($C$9:$C$508),$DF157))))</f>
        <v/>
      </c>
      <c r="DH157" s="7"/>
      <c r="DI157" s="107" t="n">
        <f aca="false">IF(OR(ISNUMBER($DF157),$DF157=Constants!$B$7,$DF157=Constants!$B$5,$DF157=Constants!$B$6),1,0)</f>
        <v>0</v>
      </c>
      <c r="DJ157" s="107" t="n">
        <v>149</v>
      </c>
      <c r="DK157" s="107" t="str">
        <f aca="false">IF(ISBLANK($C157),"",IF(ISNUMBER($DG157),$DG157+ROW($B157)/1000,""))</f>
        <v/>
      </c>
      <c r="DL157" s="107" t="str">
        <f aca="false">IF(ISNUMBER($DK157),RANK($DK157,$DK$9:$DK$508,1),"")</f>
        <v/>
      </c>
      <c r="DM157" s="107" t="str">
        <f aca="false">IF(ISBLANK($C157),"",$B157)</f>
        <v/>
      </c>
      <c r="DN157" s="107" t="str">
        <f aca="false">IF(ISBLANK($C157),"",$C157)</f>
        <v/>
      </c>
      <c r="DO157" s="107" t="str">
        <f aca="false">IF(ISBLANK($C157),"",$D157)</f>
        <v/>
      </c>
      <c r="DP157" s="108" t="str">
        <f aca="false">$DD157</f>
        <v/>
      </c>
      <c r="DQ157" s="109" t="str">
        <f aca="false">$DC157</f>
        <v/>
      </c>
      <c r="DR157" s="107" t="str">
        <f aca="false">IF(ISBLANK($C157),"",$DF157)</f>
        <v/>
      </c>
      <c r="DS157" s="110" t="str">
        <f aca="false">IF($DJ157&gt;$DI$8,"",VLOOKUP($DJ157,$DL$9:$DR$508,7,FALSE()))</f>
        <v/>
      </c>
      <c r="DT157" s="111" t="str">
        <f aca="false">IF($DJ157&gt;$DI$8,"",VLOOKUP($DJ157,$DL$9:$DR$508,2,FALSE()))</f>
        <v/>
      </c>
      <c r="DU157" s="111" t="str">
        <f aca="false">IF($DJ157&gt;$DI$8,"",VLOOKUP($DJ157,$DL$9:$DR$508,3,FALSE()))</f>
        <v/>
      </c>
      <c r="DV157" s="111" t="str">
        <f aca="false">IF($DJ157&gt;$DI$8,"",VLOOKUP($DJ157,$DL$9:$DR$508,4,FALSE()))</f>
        <v/>
      </c>
      <c r="DW157" s="111" t="str">
        <f aca="false">IF($DJ157&gt;$DI$8,"",VLOOKUP($DJ157,$DL$9:$DR$508,5,FALSE()))</f>
        <v/>
      </c>
      <c r="DX157" s="112" t="str">
        <f aca="false">IF($DJ157&gt;$DI$8,"",VLOOKUP($DJ157,$DL$9:$DR$508,6,FALSE()))</f>
        <v/>
      </c>
      <c r="DY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130"/>
      <c r="N158" s="130"/>
      <c r="O158" s="135"/>
      <c r="P158" s="135"/>
      <c r="Q158" s="130"/>
      <c r="R158" s="130"/>
      <c r="S158" s="130"/>
      <c r="T158" s="130"/>
      <c r="U158" s="135"/>
      <c r="V158" s="130"/>
      <c r="W158" s="96"/>
      <c r="X158" s="130"/>
      <c r="Y158" s="130"/>
      <c r="Z158" s="96"/>
      <c r="AA158" s="96"/>
      <c r="AB158" s="130"/>
      <c r="AC158" s="130"/>
      <c r="AD158" s="130"/>
      <c r="AE158" s="97"/>
      <c r="AF158" s="130"/>
      <c r="AG158" s="99"/>
      <c r="AH158" s="100"/>
      <c r="AI158" s="100"/>
      <c r="AJ158" s="100" t="str">
        <f aca="false">IF(ISBLANK($C158),"",IF($E158=Constants!$B$2,TRUE(),IF($E158=Constants!$B$3,FALSE(),TRUE())))</f>
        <v/>
      </c>
      <c r="AK158" s="100" t="str">
        <f aca="false">IF(ISBLANK($C158),"",IF($F158=Constants!$B$2,TRUE(),IF($F158=Constants!$B$3,FALSE(),FALSE())))</f>
        <v/>
      </c>
      <c r="AL158" s="100" t="str">
        <f aca="false">IF(ISBLANK($C158),"",IF($G158=Constants!$B$2,TRUE(),IF($G158=Constants!$B$3,FALSE(),TRUE())))</f>
        <v/>
      </c>
      <c r="AM158" s="100" t="str">
        <f aca="false">IF(ISBLANK($C158),"",IF($H158=Constants!$B$2,TRUE(),IF($H158=Constants!$B$3,FALSE(),TRUE())))</f>
        <v/>
      </c>
      <c r="AN158" s="100" t="str">
        <f aca="false">IF(ISBLANK($C158),"",IF(ISNUMBER($I158),IF($I158&gt;=0,$I158,""),""))</f>
        <v/>
      </c>
      <c r="AO158" s="100" t="str">
        <f aca="false">IF(ISBLANK($C158),"",IF(ISNUMBER($J158),IF($J158&gt;=0,$J158,""),""))</f>
        <v/>
      </c>
      <c r="AP158" s="100" t="str">
        <f aca="false">IF(ISBLANK($C158),"",IF(ISNUMBER($K158),IF($K158&gt;=0,$K158,""),""))</f>
        <v/>
      </c>
      <c r="AQ158" s="100" t="str">
        <f aca="false">IF(ISBLANK($C158),"",IF($L158=Constants!$B$2,TRUE(),IF($L158=Constants!$B$3,FALSE(),TRUE())))</f>
        <v/>
      </c>
      <c r="AR158" s="100" t="str">
        <f aca="false">IF(ISBLANK($C158),"",IF($M158=Constants!$B$2,TRUE(),IF($M158=Constants!$B$3,FALSE(),TRUE())))</f>
        <v/>
      </c>
      <c r="AS158" s="100" t="str">
        <f aca="false">IF(ISBLANK($C158),"",IF($N158=Constants!$B$2,TRUE(),IF($N158=Constants!$B$3,FALSE(),FALSE())))</f>
        <v/>
      </c>
      <c r="AT158" s="100" t="str">
        <f aca="false">IF(ISBLANK($C158),"",IF($O158=Constants!$B$2,TRUE(),IF($O158=Constants!$B$3,FALSE(),TRUE())))</f>
        <v/>
      </c>
      <c r="AU158" s="100" t="str">
        <f aca="false">IF(ISBLANK($C158),"",IF($P158=Constants!$B$2,TRUE(),IF($P158=Constants!$B$3,FALSE(),TRUE())))</f>
        <v/>
      </c>
      <c r="AV158" s="100" t="str">
        <f aca="false">IF(ISBLANK($C158),"",IF($Q158=Constants!$B$2,TRUE(),IF($Q158=Constants!$B$3,FALSE(),FALSE())))</f>
        <v/>
      </c>
      <c r="AW158" s="100" t="str">
        <f aca="false">IF(ISBLANK($C158),"",IF($R158=Constants!$B$2,TRUE(),IF($R158=Constants!$B$3,FALSE(),FALSE())))</f>
        <v/>
      </c>
      <c r="AX158" s="100" t="str">
        <f aca="false">IF(ISBLANK($C158),"",IF($S158=Constants!$B$2,TRUE(),IF($S158=Constants!$B$3,FALSE(),FALSE())))</f>
        <v/>
      </c>
      <c r="AY158" s="100" t="str">
        <f aca="false">IF(ISBLANK($C158),"",IF($T158=Constants!$B$2,TRUE(),IF($T158=Constants!$B$3,FALSE(),FALSE())))</f>
        <v/>
      </c>
      <c r="AZ158" s="100" t="str">
        <f aca="false">IF(ISBLANK($C158),"",IF($U158=Constants!$B$2,TRUE(),IF($U158=Constants!$B$3,FALSE(),FALSE())))</f>
        <v/>
      </c>
      <c r="BA158" s="100" t="str">
        <f aca="false">IF(ISBLANK($C158),"",IF(OR($V158&amp;""="1",$V158&amp;""="2",$V158&amp;""="3",$V158&amp;""="4"),VALUE($V158&amp;""),IF($V158=Constants!$B$12,Constants!$B$12,"")))</f>
        <v/>
      </c>
      <c r="BB158" s="100" t="str">
        <f aca="false">IF(ISBLANK($C158),"",IF(ISBLANK($W158),0,IF(ISNUMBER($W158),IF(AND($W158&gt;=0,$W158&lt;=Constants!$B$21,$W158=INT($W158)),$W158,""),"")))</f>
        <v/>
      </c>
      <c r="BC158" s="100" t="str">
        <f aca="false">IF(ISBLANK($C158),"",IF(ISBLANK($X158),0,IF(ISNUMBER($X158),IF($X158&gt;=0,$X158,""),"")))</f>
        <v/>
      </c>
      <c r="BD158" s="100" t="str">
        <f aca="false">IF(ISBLANK($C158),"",IF($Y158=Constants!$B$2,TRUE(),IF($Y158=Constants!$B$3,FALSE(),TRUE())))</f>
        <v/>
      </c>
      <c r="BE158" s="100" t="str">
        <f aca="false">IF(ISBLANK($C158),"",IF($Z158=Constants!$B$2,TRUE(),IF($Z158=Constants!$B$3,FALSE(),FALSE())))</f>
        <v/>
      </c>
      <c r="BF158" s="100" t="str">
        <f aca="false">IF(ISBLANK($C158),"",IF(ISBLANK($AA158),0,IF(ISNUMBER($AA158),IF(AND($AA158&gt;=0,$AA158&lt;=Constants!$B$35,$AA158=INT($AA158)),$AA158,""),"")))</f>
        <v/>
      </c>
      <c r="BG158" s="100" t="str">
        <f aca="false">IF(ISBLANK($C158),"",IF($AB158=Constants!$B$2,TRUE(),IF($AB158=Constants!$B$3,FALSE(),TRUE())))</f>
        <v/>
      </c>
      <c r="BH158" s="100" t="str">
        <f aca="false">IF(ISBLANK($C158),"",IF($AC158=Constants!$B$2,TRUE(),IF($AC158=Constants!$B$3,FALSE(),TRUE())))</f>
        <v/>
      </c>
      <c r="BI158" s="100" t="str">
        <f aca="false">IF(ISBLANK($C158),"",IF($AD158=Constants!$B$2,TRUE(),IF($AD158=Constants!$B$3,FALSE(),TRUE())))</f>
        <v/>
      </c>
      <c r="BJ158" s="100" t="str">
        <f aca="false">IF(ISBLANK($C158),"",IF(ISNUMBER($AE158),IF($AE158&gt;=0,$AE158,""),""))</f>
        <v/>
      </c>
      <c r="BK158" s="100" t="str">
        <f aca="false">IF(ISBLANK($C158),"",IF($AF158=Constants!$B$2,TRUE(),IF($AF158=Constants!$B$3,FALSE(),FALSE())))</f>
        <v/>
      </c>
      <c r="BL158" s="99" t="str">
        <f aca="false">IF(ISBLANK($C158),"",IF($BK158,Constants!$B$7,IF(COUNTA($E158:$AE158)=0,Constants!$B$6,IF(OR(COUNTA($G158:$AE158)=0,NOT($AM158),$AS158),Constants!$B$5,IF(OR($CM158&lt;&gt;"",$CN158,$CO158,$CP158,$CQ158,$CR158,$CS158),Constants!$B$8,Constants!$B$4)))))</f>
        <v/>
      </c>
      <c r="BM158" s="100" t="str">
        <f aca="false">IF(ISBLANK($C158),"",IF($BL158&lt;&gt;Constants!$B$4,$BL158,IF(OR(NOT($AJ158),NOT($AL158),NOT($AT158)),Constants!$B$11,IF(OR(NOT($AR158),NOT($AU158),NOT($BI158),MAX($AN158,$AO158,$AP158)&gt;Constants!$B$30),Constants!$B$10,Constants!$B$9))))</f>
        <v/>
      </c>
      <c r="BN158" s="100" t="str">
        <f aca="false">IF($BL158&lt;&gt;Constants!$B$4,"",IF(NOT($AL158),0,MIN(Constants!$B$35,$BF158)))</f>
        <v/>
      </c>
      <c r="BO158" s="100" t="str">
        <f aca="false">IF($BL158&lt;&gt;Constants!$B$4,"",IF(NOT($AL158),0,IF($AW158,Constants!$B$18,IF($AV158,Constants!$B$17,0))))</f>
        <v/>
      </c>
      <c r="BP158" s="100" t="str">
        <f aca="false">IF($BL158&lt;&gt;Constants!$B$4,"",IF(NOT($AL158),0,Constants!$B$19*($AK158+$AX158+$AY158+$AZ158)))</f>
        <v/>
      </c>
      <c r="BQ158" s="100" t="str">
        <f aca="false">IF($BL158&lt;&gt;Constants!$B$4,"",IF(OR(NOT($AL158),NOT(ISNUMBER($BA158))),0,CHOOSE($BA158,Constants!$B$13,Constants!$B$14,Constants!$B$15,Constants!$B$16)))</f>
        <v/>
      </c>
      <c r="BR158" s="100" t="str">
        <f aca="false">IF($BL158&lt;&gt;Constants!$B$4,"",IF(NOT($AL158),0,Constants!$B$20*$BB158))</f>
        <v/>
      </c>
      <c r="BS158" s="100" t="str">
        <f aca="false">IF($BL158&lt;&gt;Constants!$B$4,"",IF(AND($AL158,$BD158,$BE158),Constants!$B$22,0))</f>
        <v/>
      </c>
      <c r="BT158" s="100" t="str">
        <f aca="false">IF($BL158&lt;&gt;Constants!$B$4,"",IF(OR(NOT($AL158),NOT($BD158)),0,IF($BJ158&gt;=2*$AH$9,0,Constants!$B$23*INT(ROUND(MIN($BJ158,$AH$9),6)))))</f>
        <v/>
      </c>
      <c r="BU158" s="100" t="str">
        <f aca="false">IF($BL158&lt;&gt;Constants!$B$4,"",IF(NOT($AL158),0,Constants!$B$24*INT(ROUND(MIN($BC158,$AH$9),6))))</f>
        <v/>
      </c>
      <c r="BV158" s="100" t="str">
        <f aca="false">IF($BL158&lt;&gt;Constants!$B$4,"",IF(AND($AL158,$BN158=0),Constants!$B$25,0))</f>
        <v/>
      </c>
      <c r="BW158" s="100" t="str">
        <f aca="false">IF($BL158&lt;&gt;Constants!$B$4,"",MIN(Constants!$B$29,MAX(0,Constants!$B$27*Constants!$B$28*INT(ROUND((Constants!$B$26-$AN158)/Constants!$B$28,6))))+MIN(Constants!$B$29,MAX(0,Constants!$B$27*Constants!$B$28*INT(ROUND((Constants!$B$26-$AO158)/Constants!$B$28,6))))+MIN(Constants!$B$29,MAX(0,Constants!$B$27*Constants!$B$28*INT(ROUND((Constants!$B$26-$AP158)/Constants!$B$28,6)))))</f>
        <v/>
      </c>
      <c r="BX158" s="100" t="str">
        <f aca="false">IF($BL158&lt;&gt;Constants!$B$4,"",IF(NOT($AL158),0,Constants!$B$31*INT(ROUND(MAX(0,MIN($BJ158,2*$AH$9)-$AH$9),6))))</f>
        <v/>
      </c>
      <c r="BY158" s="100" t="str">
        <f aca="false">IF($BL158&lt;&gt;Constants!$B$4,"",Constants!$B$32*(($AN158&gt;Constants!$B$26)+($AO158&gt;Constants!$B$26)+($AP158&gt;Constants!$B$26)))</f>
        <v/>
      </c>
      <c r="BZ158" s="100" t="str">
        <f aca="false">IF($BL158&lt;&gt;Constants!$B$4,"",IF(OR(NOT($AL158),$AQ158),0,Constants!$B$33))</f>
        <v/>
      </c>
      <c r="CA158" s="100" t="str">
        <f aca="false">IF($BL158&lt;&gt;Constants!$B$4,"",Constants!$B$34*$BN158)</f>
        <v/>
      </c>
      <c r="CB158" s="100" t="str">
        <f aca="false">IF($BL158&lt;&gt;Constants!$B$4,"",IF(OR(NOT($AL158),$BH158),0,Constants!$B$36))</f>
        <v/>
      </c>
      <c r="CC158" s="100" t="str">
        <f aca="false">IF($BL158&lt;&gt;Constants!$B$4,"",IF(OR(NOT($AL158),$BG158),0,Constants!$B$37))</f>
        <v/>
      </c>
      <c r="CD158" s="100" t="str">
        <f aca="false">IF($BL158&lt;&gt;Constants!$B$4,"",SUM($BX158:$CC158))</f>
        <v/>
      </c>
      <c r="CE158" s="100" t="str">
        <f aca="false">IF(ISBLANK($C158),"",IF($BL158&lt;&gt;Constants!$B$4,$BL158,SUM($BO158:$BW158)-$CD158))</f>
        <v/>
      </c>
      <c r="CF158" s="100" t="str">
        <f aca="false">IF(ISBLANK($C158),"",IF($BL158&lt;&gt;Constants!$B$4,$BL158,RANK($CE158,$CE$9:$CE$508)))</f>
        <v/>
      </c>
      <c r="CG158" s="100" t="str">
        <f aca="false">IF(ISBLANK($C158),"",IF($BL158&lt;&gt;Constants!$B$4,$BL158,COUNTIFS($BM$9:$BM$508,"&lt;"&amp;$BM158)+COUNTIFS($BM$9:$BM$508,$BM158,$CF$9:$CF$508,"&lt;"&amp;$CF158)+1))</f>
        <v/>
      </c>
      <c r="CH158" s="100" t="str">
        <f aca="false">IF(ISBLANK($C158),"",IF($BL158&lt;&gt;Constants!$B$4,$BL158,RANK($CD158,$CD$9:$CD$508,1)))</f>
        <v/>
      </c>
      <c r="CI158" s="100" t="str">
        <f aca="false">IF($BL158&lt;&gt;Constants!$B$4,"",$AN158+$AO158+$AP158)</f>
        <v/>
      </c>
      <c r="CJ158" s="100" t="str">
        <f aca="false">IF(ISBLANK($C158),"",IF($BL158&lt;&gt;Constants!$B$4,$BL158,RANK($CI158,$CI$9:$CI$508,1)))</f>
        <v/>
      </c>
      <c r="CK158" s="100" t="str">
        <f aca="false">IF(ISBLANK($C158),"",IF($BL158&lt;&gt;Constants!$B$4,$BL158,COUNTIFS($BM$9:$BM$508,"&lt;"&amp;$BM158)+COUNTIFS($BM$9:$BM$508,$BM158,$CF$9:$CF$508,"&lt;"&amp;$CF158)+COUNTIFS($BM$9:$BM$508,$BM158,$CF$9:$CF$508,$CF158,$CH$9:$CH$508,"&lt;"&amp;$CH158)+COUNTIFS($BM$9:$BM$508,$BM158,$CF$9:$CF$508,$CF158,$CH$9:$CH$508,$CH158,$CJ$9:$CJ$508,"&lt;"&amp;$CJ158)+1))</f>
        <v/>
      </c>
      <c r="CL158" s="100" t="str">
        <f aca="false">IF(ISBLANK($C158),"",IF($BL158&lt;&gt;Constants!$B$4,$BL158,$CG158-$CK158))</f>
        <v/>
      </c>
      <c r="CM158" s="100" t="str">
        <f aca="false">IF(ISBLANK($C158),"",IF(NOT($AL158),"",IF(ISBLANK($D$7),$CM$5,IF(NOT(ISNUMBER($D$7)),$CM$6,""))))</f>
        <v/>
      </c>
      <c r="CN158" s="100" t="str">
        <f aca="false">IF(ISBLANK($C158),"",OR($AN158="",$AO158="",$AP158=""))</f>
        <v/>
      </c>
      <c r="CO158" s="100" t="str">
        <f aca="false">IF(ISBLANK($C158),"",AND($AL158,$BA158=""))</f>
        <v/>
      </c>
      <c r="CP158" s="100" t="str">
        <f aca="false">IF(ISBLANK($C158),"",AND($AL158,$BB158=""))</f>
        <v/>
      </c>
      <c r="CQ158" s="100" t="str">
        <f aca="false">IF(ISBLANK($C158),"",AND($AL158,$BC158=""))</f>
        <v/>
      </c>
      <c r="CR158" s="100" t="str">
        <f aca="false">IF(ISBLANK($C158),"",AND($AL158,$BF158=""))</f>
        <v/>
      </c>
      <c r="CS158" s="100" t="str">
        <f aca="false">IF(ISBLANK($C158),"",AND($AL158,$BJ158=""))</f>
        <v/>
      </c>
      <c r="CT158" s="101"/>
      <c r="CU158" s="102"/>
      <c r="CV158" s="103" t="str">
        <f aca="false">IF(ISBLANK($C158),"",IF($BL158=Constants!$B$8,$CM158,""))</f>
        <v/>
      </c>
      <c r="CW158" s="102" t="str">
        <f aca="false">IF(ISBLANK($C158),"",IF($BL158&lt;&gt;Constants!$B$4,"",$BO158+$BP158))</f>
        <v/>
      </c>
      <c r="CX158" s="104" t="str">
        <f aca="false">IF(ISBLANK($C158),"",IF($BL158&lt;&gt;Constants!$B$4,"",$BQ158+$BR158+$BS158))</f>
        <v/>
      </c>
      <c r="CY158" s="104" t="str">
        <f aca="false">IF(ISBLANK($C158),"",IF($BL158&lt;&gt;Constants!$B$4,"",$BT158))</f>
        <v/>
      </c>
      <c r="CZ158" s="104" t="str">
        <f aca="false">IF(ISBLANK($C158),"",IF($BL158&lt;&gt;Constants!$B$4,"",$BU158+$BV158))</f>
        <v/>
      </c>
      <c r="DA158" s="104" t="str">
        <f aca="false">IF(ISBLANK($C158),"",IF($BL158&lt;&gt;Constants!$B$4,"",$BW158))</f>
        <v/>
      </c>
      <c r="DB158" s="104" t="str">
        <f aca="false">IF(ISBLANK($C158),"",IF($BL158&lt;&gt;Constants!$B$4,"",-$CD158))</f>
        <v/>
      </c>
      <c r="DC158" s="103" t="str">
        <f aca="false">IF(ISBLANK($C158),"",$CE158)</f>
        <v/>
      </c>
      <c r="DD158" s="105" t="str">
        <f aca="false">IF(ISBLANK($C158),"",$BM158)</f>
        <v/>
      </c>
      <c r="DE158" s="104" t="str">
        <f aca="false">IF(ISBLANK($C158),"",$CL158)</f>
        <v/>
      </c>
      <c r="DF158" s="104" t="str">
        <f aca="false">IF(ISBLANK($C158),"",$CK158)</f>
        <v/>
      </c>
      <c r="DG158" s="106" t="str">
        <f aca="false">IF(ISBLANK($C158),"",IF($DF158=Constants!$B$7,COUNTA($C$9:$C$508)+2,IF($DF158=Constants!$B$6,COUNTA($C$9:$C$508)+1,IF($DF158=Constants!$B$5,COUNTA($C$9:$C$508),$DF158))))</f>
        <v/>
      </c>
      <c r="DH158" s="7"/>
      <c r="DI158" s="107" t="n">
        <f aca="false">IF(OR(ISNUMBER($DF158),$DF158=Constants!$B$7,$DF158=Constants!$B$5,$DF158=Constants!$B$6),1,0)</f>
        <v>0</v>
      </c>
      <c r="DJ158" s="107" t="n">
        <v>150</v>
      </c>
      <c r="DK158" s="107" t="str">
        <f aca="false">IF(ISBLANK($C158),"",IF(ISNUMBER($DG158),$DG158+ROW($B158)/1000,""))</f>
        <v/>
      </c>
      <c r="DL158" s="107" t="str">
        <f aca="false">IF(ISNUMBER($DK158),RANK($DK158,$DK$9:$DK$508,1),"")</f>
        <v/>
      </c>
      <c r="DM158" s="107" t="str">
        <f aca="false">IF(ISBLANK($C158),"",$B158)</f>
        <v/>
      </c>
      <c r="DN158" s="107" t="str">
        <f aca="false">IF(ISBLANK($C158),"",$C158)</f>
        <v/>
      </c>
      <c r="DO158" s="107" t="str">
        <f aca="false">IF(ISBLANK($C158),"",$D158)</f>
        <v/>
      </c>
      <c r="DP158" s="108" t="str">
        <f aca="false">$DD158</f>
        <v/>
      </c>
      <c r="DQ158" s="109" t="str">
        <f aca="false">$DC158</f>
        <v/>
      </c>
      <c r="DR158" s="107" t="str">
        <f aca="false">IF(ISBLANK($C158),"",$DF158)</f>
        <v/>
      </c>
      <c r="DS158" s="110" t="str">
        <f aca="false">IF($DJ158&gt;$DI$8,"",VLOOKUP($DJ158,$DL$9:$DR$508,7,FALSE()))</f>
        <v/>
      </c>
      <c r="DT158" s="111" t="str">
        <f aca="false">IF($DJ158&gt;$DI$8,"",VLOOKUP($DJ158,$DL$9:$DR$508,2,FALSE()))</f>
        <v/>
      </c>
      <c r="DU158" s="111" t="str">
        <f aca="false">IF($DJ158&gt;$DI$8,"",VLOOKUP($DJ158,$DL$9:$DR$508,3,FALSE()))</f>
        <v/>
      </c>
      <c r="DV158" s="111" t="str">
        <f aca="false">IF($DJ158&gt;$DI$8,"",VLOOKUP($DJ158,$DL$9:$DR$508,4,FALSE()))</f>
        <v/>
      </c>
      <c r="DW158" s="111" t="str">
        <f aca="false">IF($DJ158&gt;$DI$8,"",VLOOKUP($DJ158,$DL$9:$DR$508,5,FALSE()))</f>
        <v/>
      </c>
      <c r="DX158" s="112" t="str">
        <f aca="false">IF($DJ158&gt;$DI$8,"",VLOOKUP($DJ158,$DL$9:$DR$508,6,FALSE()))</f>
        <v/>
      </c>
      <c r="DY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88"/>
      <c r="N159" s="88"/>
      <c r="O159" s="134"/>
      <c r="P159" s="134"/>
      <c r="Q159" s="88"/>
      <c r="R159" s="88"/>
      <c r="S159" s="88"/>
      <c r="T159" s="88"/>
      <c r="U159" s="134"/>
      <c r="V159" s="88"/>
      <c r="W159" s="70"/>
      <c r="X159" s="88"/>
      <c r="Y159" s="88"/>
      <c r="Z159" s="70"/>
      <c r="AA159" s="70"/>
      <c r="AB159" s="88"/>
      <c r="AC159" s="88"/>
      <c r="AD159" s="88"/>
      <c r="AE159" s="71"/>
      <c r="AF159" s="88"/>
      <c r="AG159" s="73"/>
      <c r="AH159" s="74"/>
      <c r="AI159" s="74"/>
      <c r="AJ159" s="74" t="str">
        <f aca="false">IF(ISBLANK($C159),"",IF($E159=Constants!$B$2,TRUE(),IF($E159=Constants!$B$3,FALSE(),TRUE())))</f>
        <v/>
      </c>
      <c r="AK159" s="74" t="str">
        <f aca="false">IF(ISBLANK($C159),"",IF($F159=Constants!$B$2,TRUE(),IF($F159=Constants!$B$3,FALSE(),FALSE())))</f>
        <v/>
      </c>
      <c r="AL159" s="74" t="str">
        <f aca="false">IF(ISBLANK($C159),"",IF($G159=Constants!$B$2,TRUE(),IF($G159=Constants!$B$3,FALSE(),TRUE())))</f>
        <v/>
      </c>
      <c r="AM159" s="74" t="str">
        <f aca="false">IF(ISBLANK($C159),"",IF($H159=Constants!$B$2,TRUE(),IF($H159=Constants!$B$3,FALSE(),TRUE())))</f>
        <v/>
      </c>
      <c r="AN159" s="74" t="str">
        <f aca="false">IF(ISBLANK($C159),"",IF(ISNUMBER($I159),IF($I159&gt;=0,$I159,""),""))</f>
        <v/>
      </c>
      <c r="AO159" s="74" t="str">
        <f aca="false">IF(ISBLANK($C159),"",IF(ISNUMBER($J159),IF($J159&gt;=0,$J159,""),""))</f>
        <v/>
      </c>
      <c r="AP159" s="74" t="str">
        <f aca="false">IF(ISBLANK($C159),"",IF(ISNUMBER($K159),IF($K159&gt;=0,$K159,""),""))</f>
        <v/>
      </c>
      <c r="AQ159" s="74" t="str">
        <f aca="false">IF(ISBLANK($C159),"",IF($L159=Constants!$B$2,TRUE(),IF($L159=Constants!$B$3,FALSE(),TRUE())))</f>
        <v/>
      </c>
      <c r="AR159" s="74" t="str">
        <f aca="false">IF(ISBLANK($C159),"",IF($M159=Constants!$B$2,TRUE(),IF($M159=Constants!$B$3,FALSE(),TRUE())))</f>
        <v/>
      </c>
      <c r="AS159" s="74" t="str">
        <f aca="false">IF(ISBLANK($C159),"",IF($N159=Constants!$B$2,TRUE(),IF($N159=Constants!$B$3,FALSE(),FALSE())))</f>
        <v/>
      </c>
      <c r="AT159" s="74" t="str">
        <f aca="false">IF(ISBLANK($C159),"",IF($O159=Constants!$B$2,TRUE(),IF($O159=Constants!$B$3,FALSE(),TRUE())))</f>
        <v/>
      </c>
      <c r="AU159" s="74" t="str">
        <f aca="false">IF(ISBLANK($C159),"",IF($P159=Constants!$B$2,TRUE(),IF($P159=Constants!$B$3,FALSE(),TRUE())))</f>
        <v/>
      </c>
      <c r="AV159" s="74" t="str">
        <f aca="false">IF(ISBLANK($C159),"",IF($Q159=Constants!$B$2,TRUE(),IF($Q159=Constants!$B$3,FALSE(),FALSE())))</f>
        <v/>
      </c>
      <c r="AW159" s="74" t="str">
        <f aca="false">IF(ISBLANK($C159),"",IF($R159=Constants!$B$2,TRUE(),IF($R159=Constants!$B$3,FALSE(),FALSE())))</f>
        <v/>
      </c>
      <c r="AX159" s="74" t="str">
        <f aca="false">IF(ISBLANK($C159),"",IF($S159=Constants!$B$2,TRUE(),IF($S159=Constants!$B$3,FALSE(),FALSE())))</f>
        <v/>
      </c>
      <c r="AY159" s="74" t="str">
        <f aca="false">IF(ISBLANK($C159),"",IF($T159=Constants!$B$2,TRUE(),IF($T159=Constants!$B$3,FALSE(),FALSE())))</f>
        <v/>
      </c>
      <c r="AZ159" s="74" t="str">
        <f aca="false">IF(ISBLANK($C159),"",IF($U159=Constants!$B$2,TRUE(),IF($U159=Constants!$B$3,FALSE(),FALSE())))</f>
        <v/>
      </c>
      <c r="BA159" s="74" t="str">
        <f aca="false">IF(ISBLANK($C159),"",IF(OR($V159&amp;""="1",$V159&amp;""="2",$V159&amp;""="3",$V159&amp;""="4"),VALUE($V159&amp;""),IF($V159=Constants!$B$12,Constants!$B$12,"")))</f>
        <v/>
      </c>
      <c r="BB159" s="74" t="str">
        <f aca="false">IF(ISBLANK($C159),"",IF(ISBLANK($W159),0,IF(ISNUMBER($W159),IF(AND($W159&gt;=0,$W159&lt;=Constants!$B$21,$W159=INT($W159)),$W159,""),"")))</f>
        <v/>
      </c>
      <c r="BC159" s="74" t="str">
        <f aca="false">IF(ISBLANK($C159),"",IF(ISBLANK($X159),0,IF(ISNUMBER($X159),IF($X159&gt;=0,$X159,""),"")))</f>
        <v/>
      </c>
      <c r="BD159" s="74" t="str">
        <f aca="false">IF(ISBLANK($C159),"",IF($Y159=Constants!$B$2,TRUE(),IF($Y159=Constants!$B$3,FALSE(),TRUE())))</f>
        <v/>
      </c>
      <c r="BE159" s="74" t="str">
        <f aca="false">IF(ISBLANK($C159),"",IF($Z159=Constants!$B$2,TRUE(),IF($Z159=Constants!$B$3,FALSE(),FALSE())))</f>
        <v/>
      </c>
      <c r="BF159" s="74" t="str">
        <f aca="false">IF(ISBLANK($C159),"",IF(ISBLANK($AA159),0,IF(ISNUMBER($AA159),IF(AND($AA159&gt;=0,$AA159&lt;=Constants!$B$35,$AA159=INT($AA159)),$AA159,""),"")))</f>
        <v/>
      </c>
      <c r="BG159" s="74" t="str">
        <f aca="false">IF(ISBLANK($C159),"",IF($AB159=Constants!$B$2,TRUE(),IF($AB159=Constants!$B$3,FALSE(),TRUE())))</f>
        <v/>
      </c>
      <c r="BH159" s="74" t="str">
        <f aca="false">IF(ISBLANK($C159),"",IF($AC159=Constants!$B$2,TRUE(),IF($AC159=Constants!$B$3,FALSE(),TRUE())))</f>
        <v/>
      </c>
      <c r="BI159" s="74" t="str">
        <f aca="false">IF(ISBLANK($C159),"",IF($AD159=Constants!$B$2,TRUE(),IF($AD159=Constants!$B$3,FALSE(),TRUE())))</f>
        <v/>
      </c>
      <c r="BJ159" s="74" t="str">
        <f aca="false">IF(ISBLANK($C159),"",IF(ISNUMBER($AE159),IF($AE159&gt;=0,$AE159,""),""))</f>
        <v/>
      </c>
      <c r="BK159" s="74" t="str">
        <f aca="false">IF(ISBLANK($C159),"",IF($AF159=Constants!$B$2,TRUE(),IF($AF159=Constants!$B$3,FALSE(),FALSE())))</f>
        <v/>
      </c>
      <c r="BL159" s="73" t="str">
        <f aca="false">IF(ISBLANK($C159),"",IF($BK159,Constants!$B$7,IF(COUNTA($E159:$AE159)=0,Constants!$B$6,IF(OR(COUNTA($G159:$AE159)=0,NOT($AM159),$AS159),Constants!$B$5,IF(OR($CM159&lt;&gt;"",$CN159,$CO159,$CP159,$CQ159,$CR159,$CS159),Constants!$B$8,Constants!$B$4)))))</f>
        <v/>
      </c>
      <c r="BM159" s="74" t="str">
        <f aca="false">IF(ISBLANK($C159),"",IF($BL159&lt;&gt;Constants!$B$4,$BL159,IF(OR(NOT($AJ159),NOT($AL159),NOT($AT159)),Constants!$B$11,IF(OR(NOT($AR159),NOT($AU159),NOT($BI159),MAX($AN159,$AO159,$AP159)&gt;Constants!$B$30),Constants!$B$10,Constants!$B$9))))</f>
        <v/>
      </c>
      <c r="BN159" s="74" t="str">
        <f aca="false">IF($BL159&lt;&gt;Constants!$B$4,"",IF(NOT($AL159),0,MIN(Constants!$B$35,$BF159)))</f>
        <v/>
      </c>
      <c r="BO159" s="74" t="str">
        <f aca="false">IF($BL159&lt;&gt;Constants!$B$4,"",IF(NOT($AL159),0,IF($AW159,Constants!$B$18,IF($AV159,Constants!$B$17,0))))</f>
        <v/>
      </c>
      <c r="BP159" s="74" t="str">
        <f aca="false">IF($BL159&lt;&gt;Constants!$B$4,"",IF(NOT($AL159),0,Constants!$B$19*($AK159+$AX159+$AY159+$AZ159)))</f>
        <v/>
      </c>
      <c r="BQ159" s="74" t="str">
        <f aca="false">IF($BL159&lt;&gt;Constants!$B$4,"",IF(OR(NOT($AL159),NOT(ISNUMBER($BA159))),0,CHOOSE($BA159,Constants!$B$13,Constants!$B$14,Constants!$B$15,Constants!$B$16)))</f>
        <v/>
      </c>
      <c r="BR159" s="74" t="str">
        <f aca="false">IF($BL159&lt;&gt;Constants!$B$4,"",IF(NOT($AL159),0,Constants!$B$20*$BB159))</f>
        <v/>
      </c>
      <c r="BS159" s="74" t="str">
        <f aca="false">IF($BL159&lt;&gt;Constants!$B$4,"",IF(AND($AL159,$BD159,$BE159),Constants!$B$22,0))</f>
        <v/>
      </c>
      <c r="BT159" s="74" t="str">
        <f aca="false">IF($BL159&lt;&gt;Constants!$B$4,"",IF(OR(NOT($AL159),NOT($BD159)),0,IF($BJ159&gt;=2*$AH$9,0,Constants!$B$23*INT(ROUND(MIN($BJ159,$AH$9),6)))))</f>
        <v/>
      </c>
      <c r="BU159" s="74" t="str">
        <f aca="false">IF($BL159&lt;&gt;Constants!$B$4,"",IF(NOT($AL159),0,Constants!$B$24*INT(ROUND(MIN($BC159,$AH$9),6))))</f>
        <v/>
      </c>
      <c r="BV159" s="74" t="str">
        <f aca="false">IF($BL159&lt;&gt;Constants!$B$4,"",IF(AND($AL159,$BN159=0),Constants!$B$25,0))</f>
        <v/>
      </c>
      <c r="BW159" s="74" t="str">
        <f aca="false">IF($BL159&lt;&gt;Constants!$B$4,"",MIN(Constants!$B$29,MAX(0,Constants!$B$27*Constants!$B$28*INT(ROUND((Constants!$B$26-$AN159)/Constants!$B$28,6))))+MIN(Constants!$B$29,MAX(0,Constants!$B$27*Constants!$B$28*INT(ROUND((Constants!$B$26-$AO159)/Constants!$B$28,6))))+MIN(Constants!$B$29,MAX(0,Constants!$B$27*Constants!$B$28*INT(ROUND((Constants!$B$26-$AP159)/Constants!$B$28,6)))))</f>
        <v/>
      </c>
      <c r="BX159" s="74" t="str">
        <f aca="false">IF($BL159&lt;&gt;Constants!$B$4,"",IF(NOT($AL159),0,Constants!$B$31*INT(ROUND(MAX(0,MIN($BJ159,2*$AH$9)-$AH$9),6))))</f>
        <v/>
      </c>
      <c r="BY159" s="74" t="str">
        <f aca="false">IF($BL159&lt;&gt;Constants!$B$4,"",Constants!$B$32*(($AN159&gt;Constants!$B$26)+($AO159&gt;Constants!$B$26)+($AP159&gt;Constants!$B$26)))</f>
        <v/>
      </c>
      <c r="BZ159" s="74" t="str">
        <f aca="false">IF($BL159&lt;&gt;Constants!$B$4,"",IF(OR(NOT($AL159),$AQ159),0,Constants!$B$33))</f>
        <v/>
      </c>
      <c r="CA159" s="74" t="str">
        <f aca="false">IF($BL159&lt;&gt;Constants!$B$4,"",Constants!$B$34*$BN159)</f>
        <v/>
      </c>
      <c r="CB159" s="74" t="str">
        <f aca="false">IF($BL159&lt;&gt;Constants!$B$4,"",IF(OR(NOT($AL159),$BH159),0,Constants!$B$36))</f>
        <v/>
      </c>
      <c r="CC159" s="74" t="str">
        <f aca="false">IF($BL159&lt;&gt;Constants!$B$4,"",IF(OR(NOT($AL159),$BG159),0,Constants!$B$37))</f>
        <v/>
      </c>
      <c r="CD159" s="74" t="str">
        <f aca="false">IF($BL159&lt;&gt;Constants!$B$4,"",SUM($BX159:$CC159))</f>
        <v/>
      </c>
      <c r="CE159" s="74" t="str">
        <f aca="false">IF(ISBLANK($C159),"",IF($BL159&lt;&gt;Constants!$B$4,$BL159,SUM($BO159:$BW159)-$CD159))</f>
        <v/>
      </c>
      <c r="CF159" s="74" t="str">
        <f aca="false">IF(ISBLANK($C159),"",IF($BL159&lt;&gt;Constants!$B$4,$BL159,RANK($CE159,$CE$9:$CE$508)))</f>
        <v/>
      </c>
      <c r="CG159" s="74" t="str">
        <f aca="false">IF(ISBLANK($C159),"",IF($BL159&lt;&gt;Constants!$B$4,$BL159,COUNTIFS($BM$9:$BM$508,"&lt;"&amp;$BM159)+COUNTIFS($BM$9:$BM$508,$BM159,$CF$9:$CF$508,"&lt;"&amp;$CF159)+1))</f>
        <v/>
      </c>
      <c r="CH159" s="74" t="str">
        <f aca="false">IF(ISBLANK($C159),"",IF($BL159&lt;&gt;Constants!$B$4,$BL159,RANK($CD159,$CD$9:$CD$508,1)))</f>
        <v/>
      </c>
      <c r="CI159" s="74" t="str">
        <f aca="false">IF($BL159&lt;&gt;Constants!$B$4,"",$AN159+$AO159+$AP159)</f>
        <v/>
      </c>
      <c r="CJ159" s="74" t="str">
        <f aca="false">IF(ISBLANK($C159),"",IF($BL159&lt;&gt;Constants!$B$4,$BL159,RANK($CI159,$CI$9:$CI$508,1)))</f>
        <v/>
      </c>
      <c r="CK159" s="74" t="str">
        <f aca="false">IF(ISBLANK($C159),"",IF($BL159&lt;&gt;Constants!$B$4,$BL159,COUNTIFS($BM$9:$BM$508,"&lt;"&amp;$BM159)+COUNTIFS($BM$9:$BM$508,$BM159,$CF$9:$CF$508,"&lt;"&amp;$CF159)+COUNTIFS($BM$9:$BM$508,$BM159,$CF$9:$CF$508,$CF159,$CH$9:$CH$508,"&lt;"&amp;$CH159)+COUNTIFS($BM$9:$BM$508,$BM159,$CF$9:$CF$508,$CF159,$CH$9:$CH$508,$CH159,$CJ$9:$CJ$508,"&lt;"&amp;$CJ159)+1))</f>
        <v/>
      </c>
      <c r="CL159" s="74" t="str">
        <f aca="false">IF(ISBLANK($C159),"",IF($BL159&lt;&gt;Constants!$B$4,$BL159,$CG159-$CK159))</f>
        <v/>
      </c>
      <c r="CM159" s="74" t="str">
        <f aca="false">IF(ISBLANK($C159),"",IF(NOT($AL159),"",IF(ISBLANK($D$7),$CM$5,IF(NOT(ISNUMBER($D$7)),$CM$6,""))))</f>
        <v/>
      </c>
      <c r="CN159" s="74" t="str">
        <f aca="false">IF(ISBLANK($C159),"",OR($AN159="",$AO159="",$AP159=""))</f>
        <v/>
      </c>
      <c r="CO159" s="74" t="str">
        <f aca="false">IF(ISBLANK($C159),"",AND($AL159,$BA159=""))</f>
        <v/>
      </c>
      <c r="CP159" s="74" t="str">
        <f aca="false">IF(ISBLANK($C159),"",AND($AL159,$BB159=""))</f>
        <v/>
      </c>
      <c r="CQ159" s="74" t="str">
        <f aca="false">IF(ISBLANK($C159),"",AND($AL159,$BC159=""))</f>
        <v/>
      </c>
      <c r="CR159" s="74" t="str">
        <f aca="false">IF(ISBLANK($C159),"",AND($AL159,$BF159=""))</f>
        <v/>
      </c>
      <c r="CS159" s="74" t="str">
        <f aca="false">IF(ISBLANK($C159),"",AND($AL159,$BJ159=""))</f>
        <v/>
      </c>
      <c r="CT159" s="75"/>
      <c r="CU159" s="76"/>
      <c r="CV159" s="79" t="str">
        <f aca="false">IF(ISBLANK($C159),"",IF($BL159=Constants!$B$8,$CM159,""))</f>
        <v/>
      </c>
      <c r="CW159" s="76" t="str">
        <f aca="false">IF(ISBLANK($C159),"",IF($BL159&lt;&gt;Constants!$B$4,"",$BO159+$BP159))</f>
        <v/>
      </c>
      <c r="CX159" s="78" t="str">
        <f aca="false">IF(ISBLANK($C159),"",IF($BL159&lt;&gt;Constants!$B$4,"",$BQ159+$BR159+$BS159))</f>
        <v/>
      </c>
      <c r="CY159" s="78" t="str">
        <f aca="false">IF(ISBLANK($C159),"",IF($BL159&lt;&gt;Constants!$B$4,"",$BT159))</f>
        <v/>
      </c>
      <c r="CZ159" s="78" t="str">
        <f aca="false">IF(ISBLANK($C159),"",IF($BL159&lt;&gt;Constants!$B$4,"",$BU159+$BV159))</f>
        <v/>
      </c>
      <c r="DA159" s="78" t="str">
        <f aca="false">IF(ISBLANK($C159),"",IF($BL159&lt;&gt;Constants!$B$4,"",$BW159))</f>
        <v/>
      </c>
      <c r="DB159" s="78" t="str">
        <f aca="false">IF(ISBLANK($C159),"",IF($BL159&lt;&gt;Constants!$B$4,"",-$CD159))</f>
        <v/>
      </c>
      <c r="DC159" s="79" t="str">
        <f aca="false">IF(ISBLANK($C159),"",$CE159)</f>
        <v/>
      </c>
      <c r="DD159" s="80" t="str">
        <f aca="false">IF(ISBLANK($C159),"",$BM159)</f>
        <v/>
      </c>
      <c r="DE159" s="78" t="str">
        <f aca="false">IF(ISBLANK($C159),"",$CL159)</f>
        <v/>
      </c>
      <c r="DF159" s="78" t="str">
        <f aca="false">IF(ISBLANK($C159),"",$CK159)</f>
        <v/>
      </c>
      <c r="DG159" s="81" t="str">
        <f aca="false">IF(ISBLANK($C159),"",IF($DF159=Constants!$B$7,COUNTA($C$9:$C$508)+2,IF($DF159=Constants!$B$6,COUNTA($C$9:$C$508)+1,IF($DF159=Constants!$B$5,COUNTA($C$9:$C$508),$DF159))))</f>
        <v/>
      </c>
      <c r="DH159" s="7"/>
      <c r="DI159" s="82" t="n">
        <f aca="false">IF(OR(ISNUMBER($DF159),$DF159=Constants!$B$7,$DF159=Constants!$B$5,$DF159=Constants!$B$6),1,0)</f>
        <v>0</v>
      </c>
      <c r="DJ159" s="82" t="n">
        <v>151</v>
      </c>
      <c r="DK159" s="82" t="str">
        <f aca="false">IF(ISBLANK($C159),"",IF(ISNUMBER($DG159),$DG159+ROW($B159)/1000,""))</f>
        <v/>
      </c>
      <c r="DL159" s="82" t="str">
        <f aca="false">IF(ISNUMBER($DK159),RANK($DK159,$DK$9:$DK$508,1),"")</f>
        <v/>
      </c>
      <c r="DM159" s="82" t="str">
        <f aca="false">IF(ISBLANK($C159),"",$B159)</f>
        <v/>
      </c>
      <c r="DN159" s="82" t="str">
        <f aca="false">IF(ISBLANK($C159),"",$C159)</f>
        <v/>
      </c>
      <c r="DO159" s="82" t="str">
        <f aca="false">IF(ISBLANK($C159),"",$D159)</f>
        <v/>
      </c>
      <c r="DP159" s="83" t="str">
        <f aca="false">$DD159</f>
        <v/>
      </c>
      <c r="DQ159" s="84" t="str">
        <f aca="false">$DC159</f>
        <v/>
      </c>
      <c r="DR159" s="82" t="str">
        <f aca="false">IF(ISBLANK($C159),"",$DF159)</f>
        <v/>
      </c>
      <c r="DS159" s="85" t="str">
        <f aca="false">IF($DJ159&gt;$DI$8,"",VLOOKUP($DJ159,$DL$9:$DR$508,7,FALSE()))</f>
        <v/>
      </c>
      <c r="DT159" s="86" t="str">
        <f aca="false">IF($DJ159&gt;$DI$8,"",VLOOKUP($DJ159,$DL$9:$DR$508,2,FALSE()))</f>
        <v/>
      </c>
      <c r="DU159" s="86" t="str">
        <f aca="false">IF($DJ159&gt;$DI$8,"",VLOOKUP($DJ159,$DL$9:$DR$508,3,FALSE()))</f>
        <v/>
      </c>
      <c r="DV159" s="86" t="str">
        <f aca="false">IF($DJ159&gt;$DI$8,"",VLOOKUP($DJ159,$DL$9:$DR$508,4,FALSE()))</f>
        <v/>
      </c>
      <c r="DW159" s="86" t="str">
        <f aca="false">IF($DJ159&gt;$DI$8,"",VLOOKUP($DJ159,$DL$9:$DR$508,5,FALSE()))</f>
        <v/>
      </c>
      <c r="DX159" s="87" t="str">
        <f aca="false">IF($DJ159&gt;$DI$8,"",VLOOKUP($DJ159,$DL$9:$DR$508,6,FALSE()))</f>
        <v/>
      </c>
      <c r="DY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88"/>
      <c r="N160" s="88"/>
      <c r="O160" s="134"/>
      <c r="P160" s="134"/>
      <c r="Q160" s="88"/>
      <c r="R160" s="88"/>
      <c r="S160" s="88"/>
      <c r="T160" s="88"/>
      <c r="U160" s="134"/>
      <c r="V160" s="88"/>
      <c r="W160" s="70"/>
      <c r="X160" s="88"/>
      <c r="Y160" s="88"/>
      <c r="Z160" s="70"/>
      <c r="AA160" s="70"/>
      <c r="AB160" s="88"/>
      <c r="AC160" s="88"/>
      <c r="AD160" s="88"/>
      <c r="AE160" s="71"/>
      <c r="AF160" s="88"/>
      <c r="AG160" s="73"/>
      <c r="AH160" s="74"/>
      <c r="AI160" s="74"/>
      <c r="AJ160" s="74" t="str">
        <f aca="false">IF(ISBLANK($C160),"",IF($E160=Constants!$B$2,TRUE(),IF($E160=Constants!$B$3,FALSE(),TRUE())))</f>
        <v/>
      </c>
      <c r="AK160" s="74" t="str">
        <f aca="false">IF(ISBLANK($C160),"",IF($F160=Constants!$B$2,TRUE(),IF($F160=Constants!$B$3,FALSE(),FALSE())))</f>
        <v/>
      </c>
      <c r="AL160" s="74" t="str">
        <f aca="false">IF(ISBLANK($C160),"",IF($G160=Constants!$B$2,TRUE(),IF($G160=Constants!$B$3,FALSE(),TRUE())))</f>
        <v/>
      </c>
      <c r="AM160" s="74" t="str">
        <f aca="false">IF(ISBLANK($C160),"",IF($H160=Constants!$B$2,TRUE(),IF($H160=Constants!$B$3,FALSE(),TRUE())))</f>
        <v/>
      </c>
      <c r="AN160" s="74" t="str">
        <f aca="false">IF(ISBLANK($C160),"",IF(ISNUMBER($I160),IF($I160&gt;=0,$I160,""),""))</f>
        <v/>
      </c>
      <c r="AO160" s="74" t="str">
        <f aca="false">IF(ISBLANK($C160),"",IF(ISNUMBER($J160),IF($J160&gt;=0,$J160,""),""))</f>
        <v/>
      </c>
      <c r="AP160" s="74" t="str">
        <f aca="false">IF(ISBLANK($C160),"",IF(ISNUMBER($K160),IF($K160&gt;=0,$K160,""),""))</f>
        <v/>
      </c>
      <c r="AQ160" s="74" t="str">
        <f aca="false">IF(ISBLANK($C160),"",IF($L160=Constants!$B$2,TRUE(),IF($L160=Constants!$B$3,FALSE(),TRUE())))</f>
        <v/>
      </c>
      <c r="AR160" s="74" t="str">
        <f aca="false">IF(ISBLANK($C160),"",IF($M160=Constants!$B$2,TRUE(),IF($M160=Constants!$B$3,FALSE(),TRUE())))</f>
        <v/>
      </c>
      <c r="AS160" s="74" t="str">
        <f aca="false">IF(ISBLANK($C160),"",IF($N160=Constants!$B$2,TRUE(),IF($N160=Constants!$B$3,FALSE(),FALSE())))</f>
        <v/>
      </c>
      <c r="AT160" s="74" t="str">
        <f aca="false">IF(ISBLANK($C160),"",IF($O160=Constants!$B$2,TRUE(),IF($O160=Constants!$B$3,FALSE(),TRUE())))</f>
        <v/>
      </c>
      <c r="AU160" s="74" t="str">
        <f aca="false">IF(ISBLANK($C160),"",IF($P160=Constants!$B$2,TRUE(),IF($P160=Constants!$B$3,FALSE(),TRUE())))</f>
        <v/>
      </c>
      <c r="AV160" s="74" t="str">
        <f aca="false">IF(ISBLANK($C160),"",IF($Q160=Constants!$B$2,TRUE(),IF($Q160=Constants!$B$3,FALSE(),FALSE())))</f>
        <v/>
      </c>
      <c r="AW160" s="74" t="str">
        <f aca="false">IF(ISBLANK($C160),"",IF($R160=Constants!$B$2,TRUE(),IF($R160=Constants!$B$3,FALSE(),FALSE())))</f>
        <v/>
      </c>
      <c r="AX160" s="74" t="str">
        <f aca="false">IF(ISBLANK($C160),"",IF($S160=Constants!$B$2,TRUE(),IF($S160=Constants!$B$3,FALSE(),FALSE())))</f>
        <v/>
      </c>
      <c r="AY160" s="74" t="str">
        <f aca="false">IF(ISBLANK($C160),"",IF($T160=Constants!$B$2,TRUE(),IF($T160=Constants!$B$3,FALSE(),FALSE())))</f>
        <v/>
      </c>
      <c r="AZ160" s="74" t="str">
        <f aca="false">IF(ISBLANK($C160),"",IF($U160=Constants!$B$2,TRUE(),IF($U160=Constants!$B$3,FALSE(),FALSE())))</f>
        <v/>
      </c>
      <c r="BA160" s="74" t="str">
        <f aca="false">IF(ISBLANK($C160),"",IF(OR($V160&amp;""="1",$V160&amp;""="2",$V160&amp;""="3",$V160&amp;""="4"),VALUE($V160&amp;""),IF($V160=Constants!$B$12,Constants!$B$12,"")))</f>
        <v/>
      </c>
      <c r="BB160" s="74" t="str">
        <f aca="false">IF(ISBLANK($C160),"",IF(ISBLANK($W160),0,IF(ISNUMBER($W160),IF(AND($W160&gt;=0,$W160&lt;=Constants!$B$21,$W160=INT($W160)),$W160,""),"")))</f>
        <v/>
      </c>
      <c r="BC160" s="74" t="str">
        <f aca="false">IF(ISBLANK($C160),"",IF(ISBLANK($X160),0,IF(ISNUMBER($X160),IF($X160&gt;=0,$X160,""),"")))</f>
        <v/>
      </c>
      <c r="BD160" s="74" t="str">
        <f aca="false">IF(ISBLANK($C160),"",IF($Y160=Constants!$B$2,TRUE(),IF($Y160=Constants!$B$3,FALSE(),TRUE())))</f>
        <v/>
      </c>
      <c r="BE160" s="74" t="str">
        <f aca="false">IF(ISBLANK($C160),"",IF($Z160=Constants!$B$2,TRUE(),IF($Z160=Constants!$B$3,FALSE(),FALSE())))</f>
        <v/>
      </c>
      <c r="BF160" s="74" t="str">
        <f aca="false">IF(ISBLANK($C160),"",IF(ISBLANK($AA160),0,IF(ISNUMBER($AA160),IF(AND($AA160&gt;=0,$AA160&lt;=Constants!$B$35,$AA160=INT($AA160)),$AA160,""),"")))</f>
        <v/>
      </c>
      <c r="BG160" s="74" t="str">
        <f aca="false">IF(ISBLANK($C160),"",IF($AB160=Constants!$B$2,TRUE(),IF($AB160=Constants!$B$3,FALSE(),TRUE())))</f>
        <v/>
      </c>
      <c r="BH160" s="74" t="str">
        <f aca="false">IF(ISBLANK($C160),"",IF($AC160=Constants!$B$2,TRUE(),IF($AC160=Constants!$B$3,FALSE(),TRUE())))</f>
        <v/>
      </c>
      <c r="BI160" s="74" t="str">
        <f aca="false">IF(ISBLANK($C160),"",IF($AD160=Constants!$B$2,TRUE(),IF($AD160=Constants!$B$3,FALSE(),TRUE())))</f>
        <v/>
      </c>
      <c r="BJ160" s="74" t="str">
        <f aca="false">IF(ISBLANK($C160),"",IF(ISNUMBER($AE160),IF($AE160&gt;=0,$AE160,""),""))</f>
        <v/>
      </c>
      <c r="BK160" s="74" t="str">
        <f aca="false">IF(ISBLANK($C160),"",IF($AF160=Constants!$B$2,TRUE(),IF($AF160=Constants!$B$3,FALSE(),FALSE())))</f>
        <v/>
      </c>
      <c r="BL160" s="73" t="str">
        <f aca="false">IF(ISBLANK($C160),"",IF($BK160,Constants!$B$7,IF(COUNTA($E160:$AE160)=0,Constants!$B$6,IF(OR(COUNTA($G160:$AE160)=0,NOT($AM160),$AS160),Constants!$B$5,IF(OR($CM160&lt;&gt;"",$CN160,$CO160,$CP160,$CQ160,$CR160,$CS160),Constants!$B$8,Constants!$B$4)))))</f>
        <v/>
      </c>
      <c r="BM160" s="74" t="str">
        <f aca="false">IF(ISBLANK($C160),"",IF($BL160&lt;&gt;Constants!$B$4,$BL160,IF(OR(NOT($AJ160),NOT($AL160),NOT($AT160)),Constants!$B$11,IF(OR(NOT($AR160),NOT($AU160),NOT($BI160),MAX($AN160,$AO160,$AP160)&gt;Constants!$B$30),Constants!$B$10,Constants!$B$9))))</f>
        <v/>
      </c>
      <c r="BN160" s="74" t="str">
        <f aca="false">IF($BL160&lt;&gt;Constants!$B$4,"",IF(NOT($AL160),0,MIN(Constants!$B$35,$BF160)))</f>
        <v/>
      </c>
      <c r="BO160" s="74" t="str">
        <f aca="false">IF($BL160&lt;&gt;Constants!$B$4,"",IF(NOT($AL160),0,IF($AW160,Constants!$B$18,IF($AV160,Constants!$B$17,0))))</f>
        <v/>
      </c>
      <c r="BP160" s="74" t="str">
        <f aca="false">IF($BL160&lt;&gt;Constants!$B$4,"",IF(NOT($AL160),0,Constants!$B$19*($AK160+$AX160+$AY160+$AZ160)))</f>
        <v/>
      </c>
      <c r="BQ160" s="74" t="str">
        <f aca="false">IF($BL160&lt;&gt;Constants!$B$4,"",IF(OR(NOT($AL160),NOT(ISNUMBER($BA160))),0,CHOOSE($BA160,Constants!$B$13,Constants!$B$14,Constants!$B$15,Constants!$B$16)))</f>
        <v/>
      </c>
      <c r="BR160" s="74" t="str">
        <f aca="false">IF($BL160&lt;&gt;Constants!$B$4,"",IF(NOT($AL160),0,Constants!$B$20*$BB160))</f>
        <v/>
      </c>
      <c r="BS160" s="74" t="str">
        <f aca="false">IF($BL160&lt;&gt;Constants!$B$4,"",IF(AND($AL160,$BD160,$BE160),Constants!$B$22,0))</f>
        <v/>
      </c>
      <c r="BT160" s="74" t="str">
        <f aca="false">IF($BL160&lt;&gt;Constants!$B$4,"",IF(OR(NOT($AL160),NOT($BD160)),0,IF($BJ160&gt;=2*$AH$9,0,Constants!$B$23*INT(ROUND(MIN($BJ160,$AH$9),6)))))</f>
        <v/>
      </c>
      <c r="BU160" s="74" t="str">
        <f aca="false">IF($BL160&lt;&gt;Constants!$B$4,"",IF(NOT($AL160),0,Constants!$B$24*INT(ROUND(MIN($BC160,$AH$9),6))))</f>
        <v/>
      </c>
      <c r="BV160" s="74" t="str">
        <f aca="false">IF($BL160&lt;&gt;Constants!$B$4,"",IF(AND($AL160,$BN160=0),Constants!$B$25,0))</f>
        <v/>
      </c>
      <c r="BW160" s="74" t="str">
        <f aca="false">IF($BL160&lt;&gt;Constants!$B$4,"",MIN(Constants!$B$29,MAX(0,Constants!$B$27*Constants!$B$28*INT(ROUND((Constants!$B$26-$AN160)/Constants!$B$28,6))))+MIN(Constants!$B$29,MAX(0,Constants!$B$27*Constants!$B$28*INT(ROUND((Constants!$B$26-$AO160)/Constants!$B$28,6))))+MIN(Constants!$B$29,MAX(0,Constants!$B$27*Constants!$B$28*INT(ROUND((Constants!$B$26-$AP160)/Constants!$B$28,6)))))</f>
        <v/>
      </c>
      <c r="BX160" s="74" t="str">
        <f aca="false">IF($BL160&lt;&gt;Constants!$B$4,"",IF(NOT($AL160),0,Constants!$B$31*INT(ROUND(MAX(0,MIN($BJ160,2*$AH$9)-$AH$9),6))))</f>
        <v/>
      </c>
      <c r="BY160" s="74" t="str">
        <f aca="false">IF($BL160&lt;&gt;Constants!$B$4,"",Constants!$B$32*(($AN160&gt;Constants!$B$26)+($AO160&gt;Constants!$B$26)+($AP160&gt;Constants!$B$26)))</f>
        <v/>
      </c>
      <c r="BZ160" s="74" t="str">
        <f aca="false">IF($BL160&lt;&gt;Constants!$B$4,"",IF(OR(NOT($AL160),$AQ160),0,Constants!$B$33))</f>
        <v/>
      </c>
      <c r="CA160" s="74" t="str">
        <f aca="false">IF($BL160&lt;&gt;Constants!$B$4,"",Constants!$B$34*$BN160)</f>
        <v/>
      </c>
      <c r="CB160" s="74" t="str">
        <f aca="false">IF($BL160&lt;&gt;Constants!$B$4,"",IF(OR(NOT($AL160),$BH160),0,Constants!$B$36))</f>
        <v/>
      </c>
      <c r="CC160" s="74" t="str">
        <f aca="false">IF($BL160&lt;&gt;Constants!$B$4,"",IF(OR(NOT($AL160),$BG160),0,Constants!$B$37))</f>
        <v/>
      </c>
      <c r="CD160" s="74" t="str">
        <f aca="false">IF($BL160&lt;&gt;Constants!$B$4,"",SUM($BX160:$CC160))</f>
        <v/>
      </c>
      <c r="CE160" s="74" t="str">
        <f aca="false">IF(ISBLANK($C160),"",IF($BL160&lt;&gt;Constants!$B$4,$BL160,SUM($BO160:$BW160)-$CD160))</f>
        <v/>
      </c>
      <c r="CF160" s="74" t="str">
        <f aca="false">IF(ISBLANK($C160),"",IF($BL160&lt;&gt;Constants!$B$4,$BL160,RANK($CE160,$CE$9:$CE$508)))</f>
        <v/>
      </c>
      <c r="CG160" s="74" t="str">
        <f aca="false">IF(ISBLANK($C160),"",IF($BL160&lt;&gt;Constants!$B$4,$BL160,COUNTIFS($BM$9:$BM$508,"&lt;"&amp;$BM160)+COUNTIFS($BM$9:$BM$508,$BM160,$CF$9:$CF$508,"&lt;"&amp;$CF160)+1))</f>
        <v/>
      </c>
      <c r="CH160" s="74" t="str">
        <f aca="false">IF(ISBLANK($C160),"",IF($BL160&lt;&gt;Constants!$B$4,$BL160,RANK($CD160,$CD$9:$CD$508,1)))</f>
        <v/>
      </c>
      <c r="CI160" s="74" t="str">
        <f aca="false">IF($BL160&lt;&gt;Constants!$B$4,"",$AN160+$AO160+$AP160)</f>
        <v/>
      </c>
      <c r="CJ160" s="74" t="str">
        <f aca="false">IF(ISBLANK($C160),"",IF($BL160&lt;&gt;Constants!$B$4,$BL160,RANK($CI160,$CI$9:$CI$508,1)))</f>
        <v/>
      </c>
      <c r="CK160" s="74" t="str">
        <f aca="false">IF(ISBLANK($C160),"",IF($BL160&lt;&gt;Constants!$B$4,$BL160,COUNTIFS($BM$9:$BM$508,"&lt;"&amp;$BM160)+COUNTIFS($BM$9:$BM$508,$BM160,$CF$9:$CF$508,"&lt;"&amp;$CF160)+COUNTIFS($BM$9:$BM$508,$BM160,$CF$9:$CF$508,$CF160,$CH$9:$CH$508,"&lt;"&amp;$CH160)+COUNTIFS($BM$9:$BM$508,$BM160,$CF$9:$CF$508,$CF160,$CH$9:$CH$508,$CH160,$CJ$9:$CJ$508,"&lt;"&amp;$CJ160)+1))</f>
        <v/>
      </c>
      <c r="CL160" s="74" t="str">
        <f aca="false">IF(ISBLANK($C160),"",IF($BL160&lt;&gt;Constants!$B$4,$BL160,$CG160-$CK160))</f>
        <v/>
      </c>
      <c r="CM160" s="74" t="str">
        <f aca="false">IF(ISBLANK($C160),"",IF(NOT($AL160),"",IF(ISBLANK($D$7),$CM$5,IF(NOT(ISNUMBER($D$7)),$CM$6,""))))</f>
        <v/>
      </c>
      <c r="CN160" s="74" t="str">
        <f aca="false">IF(ISBLANK($C160),"",OR($AN160="",$AO160="",$AP160=""))</f>
        <v/>
      </c>
      <c r="CO160" s="74" t="str">
        <f aca="false">IF(ISBLANK($C160),"",AND($AL160,$BA160=""))</f>
        <v/>
      </c>
      <c r="CP160" s="74" t="str">
        <f aca="false">IF(ISBLANK($C160),"",AND($AL160,$BB160=""))</f>
        <v/>
      </c>
      <c r="CQ160" s="74" t="str">
        <f aca="false">IF(ISBLANK($C160),"",AND($AL160,$BC160=""))</f>
        <v/>
      </c>
      <c r="CR160" s="74" t="str">
        <f aca="false">IF(ISBLANK($C160),"",AND($AL160,$BF160=""))</f>
        <v/>
      </c>
      <c r="CS160" s="74" t="str">
        <f aca="false">IF(ISBLANK($C160),"",AND($AL160,$BJ160=""))</f>
        <v/>
      </c>
      <c r="CT160" s="75"/>
      <c r="CU160" s="76"/>
      <c r="CV160" s="79" t="str">
        <f aca="false">IF(ISBLANK($C160),"",IF($BL160=Constants!$B$8,$CM160,""))</f>
        <v/>
      </c>
      <c r="CW160" s="76" t="str">
        <f aca="false">IF(ISBLANK($C160),"",IF($BL160&lt;&gt;Constants!$B$4,"",$BO160+$BP160))</f>
        <v/>
      </c>
      <c r="CX160" s="78" t="str">
        <f aca="false">IF(ISBLANK($C160),"",IF($BL160&lt;&gt;Constants!$B$4,"",$BQ160+$BR160+$BS160))</f>
        <v/>
      </c>
      <c r="CY160" s="78" t="str">
        <f aca="false">IF(ISBLANK($C160),"",IF($BL160&lt;&gt;Constants!$B$4,"",$BT160))</f>
        <v/>
      </c>
      <c r="CZ160" s="78" t="str">
        <f aca="false">IF(ISBLANK($C160),"",IF($BL160&lt;&gt;Constants!$B$4,"",$BU160+$BV160))</f>
        <v/>
      </c>
      <c r="DA160" s="78" t="str">
        <f aca="false">IF(ISBLANK($C160),"",IF($BL160&lt;&gt;Constants!$B$4,"",$BW160))</f>
        <v/>
      </c>
      <c r="DB160" s="78" t="str">
        <f aca="false">IF(ISBLANK($C160),"",IF($BL160&lt;&gt;Constants!$B$4,"",-$CD160))</f>
        <v/>
      </c>
      <c r="DC160" s="79" t="str">
        <f aca="false">IF(ISBLANK($C160),"",$CE160)</f>
        <v/>
      </c>
      <c r="DD160" s="80" t="str">
        <f aca="false">IF(ISBLANK($C160),"",$BM160)</f>
        <v/>
      </c>
      <c r="DE160" s="78" t="str">
        <f aca="false">IF(ISBLANK($C160),"",$CL160)</f>
        <v/>
      </c>
      <c r="DF160" s="78" t="str">
        <f aca="false">IF(ISBLANK($C160),"",$CK160)</f>
        <v/>
      </c>
      <c r="DG160" s="81" t="str">
        <f aca="false">IF(ISBLANK($C160),"",IF($DF160=Constants!$B$7,COUNTA($C$9:$C$508)+2,IF($DF160=Constants!$B$6,COUNTA($C$9:$C$508)+1,IF($DF160=Constants!$B$5,COUNTA($C$9:$C$508),$DF160))))</f>
        <v/>
      </c>
      <c r="DH160" s="7"/>
      <c r="DI160" s="82" t="n">
        <f aca="false">IF(OR(ISNUMBER($DF160),$DF160=Constants!$B$7,$DF160=Constants!$B$5,$DF160=Constants!$B$6),1,0)</f>
        <v>0</v>
      </c>
      <c r="DJ160" s="82" t="n">
        <v>152</v>
      </c>
      <c r="DK160" s="82" t="str">
        <f aca="false">IF(ISBLANK($C160),"",IF(ISNUMBER($DG160),$DG160+ROW($B160)/1000,""))</f>
        <v/>
      </c>
      <c r="DL160" s="82" t="str">
        <f aca="false">IF(ISNUMBER($DK160),RANK($DK160,$DK$9:$DK$508,1),"")</f>
        <v/>
      </c>
      <c r="DM160" s="82" t="str">
        <f aca="false">IF(ISBLANK($C160),"",$B160)</f>
        <v/>
      </c>
      <c r="DN160" s="82" t="str">
        <f aca="false">IF(ISBLANK($C160),"",$C160)</f>
        <v/>
      </c>
      <c r="DO160" s="82" t="str">
        <f aca="false">IF(ISBLANK($C160),"",$D160)</f>
        <v/>
      </c>
      <c r="DP160" s="83" t="str">
        <f aca="false">$DD160</f>
        <v/>
      </c>
      <c r="DQ160" s="84" t="str">
        <f aca="false">$DC160</f>
        <v/>
      </c>
      <c r="DR160" s="82" t="str">
        <f aca="false">IF(ISBLANK($C160),"",$DF160)</f>
        <v/>
      </c>
      <c r="DS160" s="85" t="str">
        <f aca="false">IF($DJ160&gt;$DI$8,"",VLOOKUP($DJ160,$DL$9:$DR$508,7,FALSE()))</f>
        <v/>
      </c>
      <c r="DT160" s="86" t="str">
        <f aca="false">IF($DJ160&gt;$DI$8,"",VLOOKUP($DJ160,$DL$9:$DR$508,2,FALSE()))</f>
        <v/>
      </c>
      <c r="DU160" s="86" t="str">
        <f aca="false">IF($DJ160&gt;$DI$8,"",VLOOKUP($DJ160,$DL$9:$DR$508,3,FALSE()))</f>
        <v/>
      </c>
      <c r="DV160" s="86" t="str">
        <f aca="false">IF($DJ160&gt;$DI$8,"",VLOOKUP($DJ160,$DL$9:$DR$508,4,FALSE()))</f>
        <v/>
      </c>
      <c r="DW160" s="86" t="str">
        <f aca="false">IF($DJ160&gt;$DI$8,"",VLOOKUP($DJ160,$DL$9:$DR$508,5,FALSE()))</f>
        <v/>
      </c>
      <c r="DX160" s="87" t="str">
        <f aca="false">IF($DJ160&gt;$DI$8,"",VLOOKUP($DJ160,$DL$9:$DR$508,6,FALSE()))</f>
        <v/>
      </c>
      <c r="DY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88"/>
      <c r="N161" s="88"/>
      <c r="O161" s="134"/>
      <c r="P161" s="134"/>
      <c r="Q161" s="88"/>
      <c r="R161" s="88"/>
      <c r="S161" s="88"/>
      <c r="T161" s="88"/>
      <c r="U161" s="134"/>
      <c r="V161" s="88"/>
      <c r="W161" s="70"/>
      <c r="X161" s="88"/>
      <c r="Y161" s="88"/>
      <c r="Z161" s="70"/>
      <c r="AA161" s="70"/>
      <c r="AB161" s="88"/>
      <c r="AC161" s="88"/>
      <c r="AD161" s="88"/>
      <c r="AE161" s="71"/>
      <c r="AF161" s="88"/>
      <c r="AG161" s="73"/>
      <c r="AH161" s="74"/>
      <c r="AI161" s="74"/>
      <c r="AJ161" s="74" t="str">
        <f aca="false">IF(ISBLANK($C161),"",IF($E161=Constants!$B$2,TRUE(),IF($E161=Constants!$B$3,FALSE(),TRUE())))</f>
        <v/>
      </c>
      <c r="AK161" s="74" t="str">
        <f aca="false">IF(ISBLANK($C161),"",IF($F161=Constants!$B$2,TRUE(),IF($F161=Constants!$B$3,FALSE(),FALSE())))</f>
        <v/>
      </c>
      <c r="AL161" s="74" t="str">
        <f aca="false">IF(ISBLANK($C161),"",IF($G161=Constants!$B$2,TRUE(),IF($G161=Constants!$B$3,FALSE(),TRUE())))</f>
        <v/>
      </c>
      <c r="AM161" s="74" t="str">
        <f aca="false">IF(ISBLANK($C161),"",IF($H161=Constants!$B$2,TRUE(),IF($H161=Constants!$B$3,FALSE(),TRUE())))</f>
        <v/>
      </c>
      <c r="AN161" s="74" t="str">
        <f aca="false">IF(ISBLANK($C161),"",IF(ISNUMBER($I161),IF($I161&gt;=0,$I161,""),""))</f>
        <v/>
      </c>
      <c r="AO161" s="74" t="str">
        <f aca="false">IF(ISBLANK($C161),"",IF(ISNUMBER($J161),IF($J161&gt;=0,$J161,""),""))</f>
        <v/>
      </c>
      <c r="AP161" s="74" t="str">
        <f aca="false">IF(ISBLANK($C161),"",IF(ISNUMBER($K161),IF($K161&gt;=0,$K161,""),""))</f>
        <v/>
      </c>
      <c r="AQ161" s="74" t="str">
        <f aca="false">IF(ISBLANK($C161),"",IF($L161=Constants!$B$2,TRUE(),IF($L161=Constants!$B$3,FALSE(),TRUE())))</f>
        <v/>
      </c>
      <c r="AR161" s="74" t="str">
        <f aca="false">IF(ISBLANK($C161),"",IF($M161=Constants!$B$2,TRUE(),IF($M161=Constants!$B$3,FALSE(),TRUE())))</f>
        <v/>
      </c>
      <c r="AS161" s="74" t="str">
        <f aca="false">IF(ISBLANK($C161),"",IF($N161=Constants!$B$2,TRUE(),IF($N161=Constants!$B$3,FALSE(),FALSE())))</f>
        <v/>
      </c>
      <c r="AT161" s="74" t="str">
        <f aca="false">IF(ISBLANK($C161),"",IF($O161=Constants!$B$2,TRUE(),IF($O161=Constants!$B$3,FALSE(),TRUE())))</f>
        <v/>
      </c>
      <c r="AU161" s="74" t="str">
        <f aca="false">IF(ISBLANK($C161),"",IF($P161=Constants!$B$2,TRUE(),IF($P161=Constants!$B$3,FALSE(),TRUE())))</f>
        <v/>
      </c>
      <c r="AV161" s="74" t="str">
        <f aca="false">IF(ISBLANK($C161),"",IF($Q161=Constants!$B$2,TRUE(),IF($Q161=Constants!$B$3,FALSE(),FALSE())))</f>
        <v/>
      </c>
      <c r="AW161" s="74" t="str">
        <f aca="false">IF(ISBLANK($C161),"",IF($R161=Constants!$B$2,TRUE(),IF($R161=Constants!$B$3,FALSE(),FALSE())))</f>
        <v/>
      </c>
      <c r="AX161" s="74" t="str">
        <f aca="false">IF(ISBLANK($C161),"",IF($S161=Constants!$B$2,TRUE(),IF($S161=Constants!$B$3,FALSE(),FALSE())))</f>
        <v/>
      </c>
      <c r="AY161" s="74" t="str">
        <f aca="false">IF(ISBLANK($C161),"",IF($T161=Constants!$B$2,TRUE(),IF($T161=Constants!$B$3,FALSE(),FALSE())))</f>
        <v/>
      </c>
      <c r="AZ161" s="74" t="str">
        <f aca="false">IF(ISBLANK($C161),"",IF($U161=Constants!$B$2,TRUE(),IF($U161=Constants!$B$3,FALSE(),FALSE())))</f>
        <v/>
      </c>
      <c r="BA161" s="74" t="str">
        <f aca="false">IF(ISBLANK($C161),"",IF(OR($V161&amp;""="1",$V161&amp;""="2",$V161&amp;""="3",$V161&amp;""="4"),VALUE($V161&amp;""),IF($V161=Constants!$B$12,Constants!$B$12,"")))</f>
        <v/>
      </c>
      <c r="BB161" s="74" t="str">
        <f aca="false">IF(ISBLANK($C161),"",IF(ISBLANK($W161),0,IF(ISNUMBER($W161),IF(AND($W161&gt;=0,$W161&lt;=Constants!$B$21,$W161=INT($W161)),$W161,""),"")))</f>
        <v/>
      </c>
      <c r="BC161" s="74" t="str">
        <f aca="false">IF(ISBLANK($C161),"",IF(ISBLANK($X161),0,IF(ISNUMBER($X161),IF($X161&gt;=0,$X161,""),"")))</f>
        <v/>
      </c>
      <c r="BD161" s="74" t="str">
        <f aca="false">IF(ISBLANK($C161),"",IF($Y161=Constants!$B$2,TRUE(),IF($Y161=Constants!$B$3,FALSE(),TRUE())))</f>
        <v/>
      </c>
      <c r="BE161" s="74" t="str">
        <f aca="false">IF(ISBLANK($C161),"",IF($Z161=Constants!$B$2,TRUE(),IF($Z161=Constants!$B$3,FALSE(),FALSE())))</f>
        <v/>
      </c>
      <c r="BF161" s="74" t="str">
        <f aca="false">IF(ISBLANK($C161),"",IF(ISBLANK($AA161),0,IF(ISNUMBER($AA161),IF(AND($AA161&gt;=0,$AA161&lt;=Constants!$B$35,$AA161=INT($AA161)),$AA161,""),"")))</f>
        <v/>
      </c>
      <c r="BG161" s="74" t="str">
        <f aca="false">IF(ISBLANK($C161),"",IF($AB161=Constants!$B$2,TRUE(),IF($AB161=Constants!$B$3,FALSE(),TRUE())))</f>
        <v/>
      </c>
      <c r="BH161" s="74" t="str">
        <f aca="false">IF(ISBLANK($C161),"",IF($AC161=Constants!$B$2,TRUE(),IF($AC161=Constants!$B$3,FALSE(),TRUE())))</f>
        <v/>
      </c>
      <c r="BI161" s="74" t="str">
        <f aca="false">IF(ISBLANK($C161),"",IF($AD161=Constants!$B$2,TRUE(),IF($AD161=Constants!$B$3,FALSE(),TRUE())))</f>
        <v/>
      </c>
      <c r="BJ161" s="74" t="str">
        <f aca="false">IF(ISBLANK($C161),"",IF(ISNUMBER($AE161),IF($AE161&gt;=0,$AE161,""),""))</f>
        <v/>
      </c>
      <c r="BK161" s="74" t="str">
        <f aca="false">IF(ISBLANK($C161),"",IF($AF161=Constants!$B$2,TRUE(),IF($AF161=Constants!$B$3,FALSE(),FALSE())))</f>
        <v/>
      </c>
      <c r="BL161" s="73" t="str">
        <f aca="false">IF(ISBLANK($C161),"",IF($BK161,Constants!$B$7,IF(COUNTA($E161:$AE161)=0,Constants!$B$6,IF(OR(COUNTA($G161:$AE161)=0,NOT($AM161),$AS161),Constants!$B$5,IF(OR($CM161&lt;&gt;"",$CN161,$CO161,$CP161,$CQ161,$CR161,$CS161),Constants!$B$8,Constants!$B$4)))))</f>
        <v/>
      </c>
      <c r="BM161" s="74" t="str">
        <f aca="false">IF(ISBLANK($C161),"",IF($BL161&lt;&gt;Constants!$B$4,$BL161,IF(OR(NOT($AJ161),NOT($AL161),NOT($AT161)),Constants!$B$11,IF(OR(NOT($AR161),NOT($AU161),NOT($BI161),MAX($AN161,$AO161,$AP161)&gt;Constants!$B$30),Constants!$B$10,Constants!$B$9))))</f>
        <v/>
      </c>
      <c r="BN161" s="74" t="str">
        <f aca="false">IF($BL161&lt;&gt;Constants!$B$4,"",IF(NOT($AL161),0,MIN(Constants!$B$35,$BF161)))</f>
        <v/>
      </c>
      <c r="BO161" s="74" t="str">
        <f aca="false">IF($BL161&lt;&gt;Constants!$B$4,"",IF(NOT($AL161),0,IF($AW161,Constants!$B$18,IF($AV161,Constants!$B$17,0))))</f>
        <v/>
      </c>
      <c r="BP161" s="74" t="str">
        <f aca="false">IF($BL161&lt;&gt;Constants!$B$4,"",IF(NOT($AL161),0,Constants!$B$19*($AK161+$AX161+$AY161+$AZ161)))</f>
        <v/>
      </c>
      <c r="BQ161" s="74" t="str">
        <f aca="false">IF($BL161&lt;&gt;Constants!$B$4,"",IF(OR(NOT($AL161),NOT(ISNUMBER($BA161))),0,CHOOSE($BA161,Constants!$B$13,Constants!$B$14,Constants!$B$15,Constants!$B$16)))</f>
        <v/>
      </c>
      <c r="BR161" s="74" t="str">
        <f aca="false">IF($BL161&lt;&gt;Constants!$B$4,"",IF(NOT($AL161),0,Constants!$B$20*$BB161))</f>
        <v/>
      </c>
      <c r="BS161" s="74" t="str">
        <f aca="false">IF($BL161&lt;&gt;Constants!$B$4,"",IF(AND($AL161,$BD161,$BE161),Constants!$B$22,0))</f>
        <v/>
      </c>
      <c r="BT161" s="74" t="str">
        <f aca="false">IF($BL161&lt;&gt;Constants!$B$4,"",IF(OR(NOT($AL161),NOT($BD161)),0,IF($BJ161&gt;=2*$AH$9,0,Constants!$B$23*INT(ROUND(MIN($BJ161,$AH$9),6)))))</f>
        <v/>
      </c>
      <c r="BU161" s="74" t="str">
        <f aca="false">IF($BL161&lt;&gt;Constants!$B$4,"",IF(NOT($AL161),0,Constants!$B$24*INT(ROUND(MIN($BC161,$AH$9),6))))</f>
        <v/>
      </c>
      <c r="BV161" s="74" t="str">
        <f aca="false">IF($BL161&lt;&gt;Constants!$B$4,"",IF(AND($AL161,$BN161=0),Constants!$B$25,0))</f>
        <v/>
      </c>
      <c r="BW161" s="74" t="str">
        <f aca="false">IF($BL161&lt;&gt;Constants!$B$4,"",MIN(Constants!$B$29,MAX(0,Constants!$B$27*Constants!$B$28*INT(ROUND((Constants!$B$26-$AN161)/Constants!$B$28,6))))+MIN(Constants!$B$29,MAX(0,Constants!$B$27*Constants!$B$28*INT(ROUND((Constants!$B$26-$AO161)/Constants!$B$28,6))))+MIN(Constants!$B$29,MAX(0,Constants!$B$27*Constants!$B$28*INT(ROUND((Constants!$B$26-$AP161)/Constants!$B$28,6)))))</f>
        <v/>
      </c>
      <c r="BX161" s="74" t="str">
        <f aca="false">IF($BL161&lt;&gt;Constants!$B$4,"",IF(NOT($AL161),0,Constants!$B$31*INT(ROUND(MAX(0,MIN($BJ161,2*$AH$9)-$AH$9),6))))</f>
        <v/>
      </c>
      <c r="BY161" s="74" t="str">
        <f aca="false">IF($BL161&lt;&gt;Constants!$B$4,"",Constants!$B$32*(($AN161&gt;Constants!$B$26)+($AO161&gt;Constants!$B$26)+($AP161&gt;Constants!$B$26)))</f>
        <v/>
      </c>
      <c r="BZ161" s="74" t="str">
        <f aca="false">IF($BL161&lt;&gt;Constants!$B$4,"",IF(OR(NOT($AL161),$AQ161),0,Constants!$B$33))</f>
        <v/>
      </c>
      <c r="CA161" s="74" t="str">
        <f aca="false">IF($BL161&lt;&gt;Constants!$B$4,"",Constants!$B$34*$BN161)</f>
        <v/>
      </c>
      <c r="CB161" s="74" t="str">
        <f aca="false">IF($BL161&lt;&gt;Constants!$B$4,"",IF(OR(NOT($AL161),$BH161),0,Constants!$B$36))</f>
        <v/>
      </c>
      <c r="CC161" s="74" t="str">
        <f aca="false">IF($BL161&lt;&gt;Constants!$B$4,"",IF(OR(NOT($AL161),$BG161),0,Constants!$B$37))</f>
        <v/>
      </c>
      <c r="CD161" s="74" t="str">
        <f aca="false">IF($BL161&lt;&gt;Constants!$B$4,"",SUM($BX161:$CC161))</f>
        <v/>
      </c>
      <c r="CE161" s="74" t="str">
        <f aca="false">IF(ISBLANK($C161),"",IF($BL161&lt;&gt;Constants!$B$4,$BL161,SUM($BO161:$BW161)-$CD161))</f>
        <v/>
      </c>
      <c r="CF161" s="74" t="str">
        <f aca="false">IF(ISBLANK($C161),"",IF($BL161&lt;&gt;Constants!$B$4,$BL161,RANK($CE161,$CE$9:$CE$508)))</f>
        <v/>
      </c>
      <c r="CG161" s="74" t="str">
        <f aca="false">IF(ISBLANK($C161),"",IF($BL161&lt;&gt;Constants!$B$4,$BL161,COUNTIFS($BM$9:$BM$508,"&lt;"&amp;$BM161)+COUNTIFS($BM$9:$BM$508,$BM161,$CF$9:$CF$508,"&lt;"&amp;$CF161)+1))</f>
        <v/>
      </c>
      <c r="CH161" s="74" t="str">
        <f aca="false">IF(ISBLANK($C161),"",IF($BL161&lt;&gt;Constants!$B$4,$BL161,RANK($CD161,$CD$9:$CD$508,1)))</f>
        <v/>
      </c>
      <c r="CI161" s="74" t="str">
        <f aca="false">IF($BL161&lt;&gt;Constants!$B$4,"",$AN161+$AO161+$AP161)</f>
        <v/>
      </c>
      <c r="CJ161" s="74" t="str">
        <f aca="false">IF(ISBLANK($C161),"",IF($BL161&lt;&gt;Constants!$B$4,$BL161,RANK($CI161,$CI$9:$CI$508,1)))</f>
        <v/>
      </c>
      <c r="CK161" s="74" t="str">
        <f aca="false">IF(ISBLANK($C161),"",IF($BL161&lt;&gt;Constants!$B$4,$BL161,COUNTIFS($BM$9:$BM$508,"&lt;"&amp;$BM161)+COUNTIFS($BM$9:$BM$508,$BM161,$CF$9:$CF$508,"&lt;"&amp;$CF161)+COUNTIFS($BM$9:$BM$508,$BM161,$CF$9:$CF$508,$CF161,$CH$9:$CH$508,"&lt;"&amp;$CH161)+COUNTIFS($BM$9:$BM$508,$BM161,$CF$9:$CF$508,$CF161,$CH$9:$CH$508,$CH161,$CJ$9:$CJ$508,"&lt;"&amp;$CJ161)+1))</f>
        <v/>
      </c>
      <c r="CL161" s="74" t="str">
        <f aca="false">IF(ISBLANK($C161),"",IF($BL161&lt;&gt;Constants!$B$4,$BL161,$CG161-$CK161))</f>
        <v/>
      </c>
      <c r="CM161" s="74" t="str">
        <f aca="false">IF(ISBLANK($C161),"",IF(NOT($AL161),"",IF(ISBLANK($D$7),$CM$5,IF(NOT(ISNUMBER($D$7)),$CM$6,""))))</f>
        <v/>
      </c>
      <c r="CN161" s="74" t="str">
        <f aca="false">IF(ISBLANK($C161),"",OR($AN161="",$AO161="",$AP161=""))</f>
        <v/>
      </c>
      <c r="CO161" s="74" t="str">
        <f aca="false">IF(ISBLANK($C161),"",AND($AL161,$BA161=""))</f>
        <v/>
      </c>
      <c r="CP161" s="74" t="str">
        <f aca="false">IF(ISBLANK($C161),"",AND($AL161,$BB161=""))</f>
        <v/>
      </c>
      <c r="CQ161" s="74" t="str">
        <f aca="false">IF(ISBLANK($C161),"",AND($AL161,$BC161=""))</f>
        <v/>
      </c>
      <c r="CR161" s="74" t="str">
        <f aca="false">IF(ISBLANK($C161),"",AND($AL161,$BF161=""))</f>
        <v/>
      </c>
      <c r="CS161" s="74" t="str">
        <f aca="false">IF(ISBLANK($C161),"",AND($AL161,$BJ161=""))</f>
        <v/>
      </c>
      <c r="CT161" s="75"/>
      <c r="CU161" s="76"/>
      <c r="CV161" s="79" t="str">
        <f aca="false">IF(ISBLANK($C161),"",IF($BL161=Constants!$B$8,$CM161,""))</f>
        <v/>
      </c>
      <c r="CW161" s="76" t="str">
        <f aca="false">IF(ISBLANK($C161),"",IF($BL161&lt;&gt;Constants!$B$4,"",$BO161+$BP161))</f>
        <v/>
      </c>
      <c r="CX161" s="78" t="str">
        <f aca="false">IF(ISBLANK($C161),"",IF($BL161&lt;&gt;Constants!$B$4,"",$BQ161+$BR161+$BS161))</f>
        <v/>
      </c>
      <c r="CY161" s="78" t="str">
        <f aca="false">IF(ISBLANK($C161),"",IF($BL161&lt;&gt;Constants!$B$4,"",$BT161))</f>
        <v/>
      </c>
      <c r="CZ161" s="78" t="str">
        <f aca="false">IF(ISBLANK($C161),"",IF($BL161&lt;&gt;Constants!$B$4,"",$BU161+$BV161))</f>
        <v/>
      </c>
      <c r="DA161" s="78" t="str">
        <f aca="false">IF(ISBLANK($C161),"",IF($BL161&lt;&gt;Constants!$B$4,"",$BW161))</f>
        <v/>
      </c>
      <c r="DB161" s="78" t="str">
        <f aca="false">IF(ISBLANK($C161),"",IF($BL161&lt;&gt;Constants!$B$4,"",-$CD161))</f>
        <v/>
      </c>
      <c r="DC161" s="79" t="str">
        <f aca="false">IF(ISBLANK($C161),"",$CE161)</f>
        <v/>
      </c>
      <c r="DD161" s="80" t="str">
        <f aca="false">IF(ISBLANK($C161),"",$BM161)</f>
        <v/>
      </c>
      <c r="DE161" s="78" t="str">
        <f aca="false">IF(ISBLANK($C161),"",$CL161)</f>
        <v/>
      </c>
      <c r="DF161" s="78" t="str">
        <f aca="false">IF(ISBLANK($C161),"",$CK161)</f>
        <v/>
      </c>
      <c r="DG161" s="81" t="str">
        <f aca="false">IF(ISBLANK($C161),"",IF($DF161=Constants!$B$7,COUNTA($C$9:$C$508)+2,IF($DF161=Constants!$B$6,COUNTA($C$9:$C$508)+1,IF($DF161=Constants!$B$5,COUNTA($C$9:$C$508),$DF161))))</f>
        <v/>
      </c>
      <c r="DH161" s="7"/>
      <c r="DI161" s="82" t="n">
        <f aca="false">IF(OR(ISNUMBER($DF161),$DF161=Constants!$B$7,$DF161=Constants!$B$5,$DF161=Constants!$B$6),1,0)</f>
        <v>0</v>
      </c>
      <c r="DJ161" s="82" t="n">
        <v>153</v>
      </c>
      <c r="DK161" s="82" t="str">
        <f aca="false">IF(ISBLANK($C161),"",IF(ISNUMBER($DG161),$DG161+ROW($B161)/1000,""))</f>
        <v/>
      </c>
      <c r="DL161" s="82" t="str">
        <f aca="false">IF(ISNUMBER($DK161),RANK($DK161,$DK$9:$DK$508,1),"")</f>
        <v/>
      </c>
      <c r="DM161" s="82" t="str">
        <f aca="false">IF(ISBLANK($C161),"",$B161)</f>
        <v/>
      </c>
      <c r="DN161" s="82" t="str">
        <f aca="false">IF(ISBLANK($C161),"",$C161)</f>
        <v/>
      </c>
      <c r="DO161" s="82" t="str">
        <f aca="false">IF(ISBLANK($C161),"",$D161)</f>
        <v/>
      </c>
      <c r="DP161" s="83" t="str">
        <f aca="false">$DD161</f>
        <v/>
      </c>
      <c r="DQ161" s="84" t="str">
        <f aca="false">$DC161</f>
        <v/>
      </c>
      <c r="DR161" s="82" t="str">
        <f aca="false">IF(ISBLANK($C161),"",$DF161)</f>
        <v/>
      </c>
      <c r="DS161" s="85" t="str">
        <f aca="false">IF($DJ161&gt;$DI$8,"",VLOOKUP($DJ161,$DL$9:$DR$508,7,FALSE()))</f>
        <v/>
      </c>
      <c r="DT161" s="86" t="str">
        <f aca="false">IF($DJ161&gt;$DI$8,"",VLOOKUP($DJ161,$DL$9:$DR$508,2,FALSE()))</f>
        <v/>
      </c>
      <c r="DU161" s="86" t="str">
        <f aca="false">IF($DJ161&gt;$DI$8,"",VLOOKUP($DJ161,$DL$9:$DR$508,3,FALSE()))</f>
        <v/>
      </c>
      <c r="DV161" s="86" t="str">
        <f aca="false">IF($DJ161&gt;$DI$8,"",VLOOKUP($DJ161,$DL$9:$DR$508,4,FALSE()))</f>
        <v/>
      </c>
      <c r="DW161" s="86" t="str">
        <f aca="false">IF($DJ161&gt;$DI$8,"",VLOOKUP($DJ161,$DL$9:$DR$508,5,FALSE()))</f>
        <v/>
      </c>
      <c r="DX161" s="87" t="str">
        <f aca="false">IF($DJ161&gt;$DI$8,"",VLOOKUP($DJ161,$DL$9:$DR$508,6,FALSE()))</f>
        <v/>
      </c>
      <c r="DY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130"/>
      <c r="N162" s="130"/>
      <c r="O162" s="135"/>
      <c r="P162" s="135"/>
      <c r="Q162" s="130"/>
      <c r="R162" s="130"/>
      <c r="S162" s="130"/>
      <c r="T162" s="130"/>
      <c r="U162" s="135"/>
      <c r="V162" s="130"/>
      <c r="W162" s="96"/>
      <c r="X162" s="130"/>
      <c r="Y162" s="130"/>
      <c r="Z162" s="96"/>
      <c r="AA162" s="96"/>
      <c r="AB162" s="130"/>
      <c r="AC162" s="130"/>
      <c r="AD162" s="130"/>
      <c r="AE162" s="97"/>
      <c r="AF162" s="130"/>
      <c r="AG162" s="99"/>
      <c r="AH162" s="100"/>
      <c r="AI162" s="100"/>
      <c r="AJ162" s="100" t="str">
        <f aca="false">IF(ISBLANK($C162),"",IF($E162=Constants!$B$2,TRUE(),IF($E162=Constants!$B$3,FALSE(),TRUE())))</f>
        <v/>
      </c>
      <c r="AK162" s="100" t="str">
        <f aca="false">IF(ISBLANK($C162),"",IF($F162=Constants!$B$2,TRUE(),IF($F162=Constants!$B$3,FALSE(),FALSE())))</f>
        <v/>
      </c>
      <c r="AL162" s="100" t="str">
        <f aca="false">IF(ISBLANK($C162),"",IF($G162=Constants!$B$2,TRUE(),IF($G162=Constants!$B$3,FALSE(),TRUE())))</f>
        <v/>
      </c>
      <c r="AM162" s="100" t="str">
        <f aca="false">IF(ISBLANK($C162),"",IF($H162=Constants!$B$2,TRUE(),IF($H162=Constants!$B$3,FALSE(),TRUE())))</f>
        <v/>
      </c>
      <c r="AN162" s="100" t="str">
        <f aca="false">IF(ISBLANK($C162),"",IF(ISNUMBER($I162),IF($I162&gt;=0,$I162,""),""))</f>
        <v/>
      </c>
      <c r="AO162" s="100" t="str">
        <f aca="false">IF(ISBLANK($C162),"",IF(ISNUMBER($J162),IF($J162&gt;=0,$J162,""),""))</f>
        <v/>
      </c>
      <c r="AP162" s="100" t="str">
        <f aca="false">IF(ISBLANK($C162),"",IF(ISNUMBER($K162),IF($K162&gt;=0,$K162,""),""))</f>
        <v/>
      </c>
      <c r="AQ162" s="100" t="str">
        <f aca="false">IF(ISBLANK($C162),"",IF($L162=Constants!$B$2,TRUE(),IF($L162=Constants!$B$3,FALSE(),TRUE())))</f>
        <v/>
      </c>
      <c r="AR162" s="100" t="str">
        <f aca="false">IF(ISBLANK($C162),"",IF($M162=Constants!$B$2,TRUE(),IF($M162=Constants!$B$3,FALSE(),TRUE())))</f>
        <v/>
      </c>
      <c r="AS162" s="100" t="str">
        <f aca="false">IF(ISBLANK($C162),"",IF($N162=Constants!$B$2,TRUE(),IF($N162=Constants!$B$3,FALSE(),FALSE())))</f>
        <v/>
      </c>
      <c r="AT162" s="100" t="str">
        <f aca="false">IF(ISBLANK($C162),"",IF($O162=Constants!$B$2,TRUE(),IF($O162=Constants!$B$3,FALSE(),TRUE())))</f>
        <v/>
      </c>
      <c r="AU162" s="100" t="str">
        <f aca="false">IF(ISBLANK($C162),"",IF($P162=Constants!$B$2,TRUE(),IF($P162=Constants!$B$3,FALSE(),TRUE())))</f>
        <v/>
      </c>
      <c r="AV162" s="100" t="str">
        <f aca="false">IF(ISBLANK($C162),"",IF($Q162=Constants!$B$2,TRUE(),IF($Q162=Constants!$B$3,FALSE(),FALSE())))</f>
        <v/>
      </c>
      <c r="AW162" s="100" t="str">
        <f aca="false">IF(ISBLANK($C162),"",IF($R162=Constants!$B$2,TRUE(),IF($R162=Constants!$B$3,FALSE(),FALSE())))</f>
        <v/>
      </c>
      <c r="AX162" s="100" t="str">
        <f aca="false">IF(ISBLANK($C162),"",IF($S162=Constants!$B$2,TRUE(),IF($S162=Constants!$B$3,FALSE(),FALSE())))</f>
        <v/>
      </c>
      <c r="AY162" s="100" t="str">
        <f aca="false">IF(ISBLANK($C162),"",IF($T162=Constants!$B$2,TRUE(),IF($T162=Constants!$B$3,FALSE(),FALSE())))</f>
        <v/>
      </c>
      <c r="AZ162" s="100" t="str">
        <f aca="false">IF(ISBLANK($C162),"",IF($U162=Constants!$B$2,TRUE(),IF($U162=Constants!$B$3,FALSE(),FALSE())))</f>
        <v/>
      </c>
      <c r="BA162" s="100" t="str">
        <f aca="false">IF(ISBLANK($C162),"",IF(OR($V162&amp;""="1",$V162&amp;""="2",$V162&amp;""="3",$V162&amp;""="4"),VALUE($V162&amp;""),IF($V162=Constants!$B$12,Constants!$B$12,"")))</f>
        <v/>
      </c>
      <c r="BB162" s="100" t="str">
        <f aca="false">IF(ISBLANK($C162),"",IF(ISBLANK($W162),0,IF(ISNUMBER($W162),IF(AND($W162&gt;=0,$W162&lt;=Constants!$B$21,$W162=INT($W162)),$W162,""),"")))</f>
        <v/>
      </c>
      <c r="BC162" s="100" t="str">
        <f aca="false">IF(ISBLANK($C162),"",IF(ISBLANK($X162),0,IF(ISNUMBER($X162),IF($X162&gt;=0,$X162,""),"")))</f>
        <v/>
      </c>
      <c r="BD162" s="100" t="str">
        <f aca="false">IF(ISBLANK($C162),"",IF($Y162=Constants!$B$2,TRUE(),IF($Y162=Constants!$B$3,FALSE(),TRUE())))</f>
        <v/>
      </c>
      <c r="BE162" s="100" t="str">
        <f aca="false">IF(ISBLANK($C162),"",IF($Z162=Constants!$B$2,TRUE(),IF($Z162=Constants!$B$3,FALSE(),FALSE())))</f>
        <v/>
      </c>
      <c r="BF162" s="100" t="str">
        <f aca="false">IF(ISBLANK($C162),"",IF(ISBLANK($AA162),0,IF(ISNUMBER($AA162),IF(AND($AA162&gt;=0,$AA162&lt;=Constants!$B$35,$AA162=INT($AA162)),$AA162,""),"")))</f>
        <v/>
      </c>
      <c r="BG162" s="100" t="str">
        <f aca="false">IF(ISBLANK($C162),"",IF($AB162=Constants!$B$2,TRUE(),IF($AB162=Constants!$B$3,FALSE(),TRUE())))</f>
        <v/>
      </c>
      <c r="BH162" s="100" t="str">
        <f aca="false">IF(ISBLANK($C162),"",IF($AC162=Constants!$B$2,TRUE(),IF($AC162=Constants!$B$3,FALSE(),TRUE())))</f>
        <v/>
      </c>
      <c r="BI162" s="100" t="str">
        <f aca="false">IF(ISBLANK($C162),"",IF($AD162=Constants!$B$2,TRUE(),IF($AD162=Constants!$B$3,FALSE(),TRUE())))</f>
        <v/>
      </c>
      <c r="BJ162" s="100" t="str">
        <f aca="false">IF(ISBLANK($C162),"",IF(ISNUMBER($AE162),IF($AE162&gt;=0,$AE162,""),""))</f>
        <v/>
      </c>
      <c r="BK162" s="100" t="str">
        <f aca="false">IF(ISBLANK($C162),"",IF($AF162=Constants!$B$2,TRUE(),IF($AF162=Constants!$B$3,FALSE(),FALSE())))</f>
        <v/>
      </c>
      <c r="BL162" s="99" t="str">
        <f aca="false">IF(ISBLANK($C162),"",IF($BK162,Constants!$B$7,IF(COUNTA($E162:$AE162)=0,Constants!$B$6,IF(OR(COUNTA($G162:$AE162)=0,NOT($AM162),$AS162),Constants!$B$5,IF(OR($CM162&lt;&gt;"",$CN162,$CO162,$CP162,$CQ162,$CR162,$CS162),Constants!$B$8,Constants!$B$4)))))</f>
        <v/>
      </c>
      <c r="BM162" s="100" t="str">
        <f aca="false">IF(ISBLANK($C162),"",IF($BL162&lt;&gt;Constants!$B$4,$BL162,IF(OR(NOT($AJ162),NOT($AL162),NOT($AT162)),Constants!$B$11,IF(OR(NOT($AR162),NOT($AU162),NOT($BI162),MAX($AN162,$AO162,$AP162)&gt;Constants!$B$30),Constants!$B$10,Constants!$B$9))))</f>
        <v/>
      </c>
      <c r="BN162" s="100" t="str">
        <f aca="false">IF($BL162&lt;&gt;Constants!$B$4,"",IF(NOT($AL162),0,MIN(Constants!$B$35,$BF162)))</f>
        <v/>
      </c>
      <c r="BO162" s="100" t="str">
        <f aca="false">IF($BL162&lt;&gt;Constants!$B$4,"",IF(NOT($AL162),0,IF($AW162,Constants!$B$18,IF($AV162,Constants!$B$17,0))))</f>
        <v/>
      </c>
      <c r="BP162" s="100" t="str">
        <f aca="false">IF($BL162&lt;&gt;Constants!$B$4,"",IF(NOT($AL162),0,Constants!$B$19*($AK162+$AX162+$AY162+$AZ162)))</f>
        <v/>
      </c>
      <c r="BQ162" s="100" t="str">
        <f aca="false">IF($BL162&lt;&gt;Constants!$B$4,"",IF(OR(NOT($AL162),NOT(ISNUMBER($BA162))),0,CHOOSE($BA162,Constants!$B$13,Constants!$B$14,Constants!$B$15,Constants!$B$16)))</f>
        <v/>
      </c>
      <c r="BR162" s="100" t="str">
        <f aca="false">IF($BL162&lt;&gt;Constants!$B$4,"",IF(NOT($AL162),0,Constants!$B$20*$BB162))</f>
        <v/>
      </c>
      <c r="BS162" s="100" t="str">
        <f aca="false">IF($BL162&lt;&gt;Constants!$B$4,"",IF(AND($AL162,$BD162,$BE162),Constants!$B$22,0))</f>
        <v/>
      </c>
      <c r="BT162" s="100" t="str">
        <f aca="false">IF($BL162&lt;&gt;Constants!$B$4,"",IF(OR(NOT($AL162),NOT($BD162)),0,IF($BJ162&gt;=2*$AH$9,0,Constants!$B$23*INT(ROUND(MIN($BJ162,$AH$9),6)))))</f>
        <v/>
      </c>
      <c r="BU162" s="100" t="str">
        <f aca="false">IF($BL162&lt;&gt;Constants!$B$4,"",IF(NOT($AL162),0,Constants!$B$24*INT(ROUND(MIN($BC162,$AH$9),6))))</f>
        <v/>
      </c>
      <c r="BV162" s="100" t="str">
        <f aca="false">IF($BL162&lt;&gt;Constants!$B$4,"",IF(AND($AL162,$BN162=0),Constants!$B$25,0))</f>
        <v/>
      </c>
      <c r="BW162" s="100" t="str">
        <f aca="false">IF($BL162&lt;&gt;Constants!$B$4,"",MIN(Constants!$B$29,MAX(0,Constants!$B$27*Constants!$B$28*INT(ROUND((Constants!$B$26-$AN162)/Constants!$B$28,6))))+MIN(Constants!$B$29,MAX(0,Constants!$B$27*Constants!$B$28*INT(ROUND((Constants!$B$26-$AO162)/Constants!$B$28,6))))+MIN(Constants!$B$29,MAX(0,Constants!$B$27*Constants!$B$28*INT(ROUND((Constants!$B$26-$AP162)/Constants!$B$28,6)))))</f>
        <v/>
      </c>
      <c r="BX162" s="100" t="str">
        <f aca="false">IF($BL162&lt;&gt;Constants!$B$4,"",IF(NOT($AL162),0,Constants!$B$31*INT(ROUND(MAX(0,MIN($BJ162,2*$AH$9)-$AH$9),6))))</f>
        <v/>
      </c>
      <c r="BY162" s="100" t="str">
        <f aca="false">IF($BL162&lt;&gt;Constants!$B$4,"",Constants!$B$32*(($AN162&gt;Constants!$B$26)+($AO162&gt;Constants!$B$26)+($AP162&gt;Constants!$B$26)))</f>
        <v/>
      </c>
      <c r="BZ162" s="100" t="str">
        <f aca="false">IF($BL162&lt;&gt;Constants!$B$4,"",IF(OR(NOT($AL162),$AQ162),0,Constants!$B$33))</f>
        <v/>
      </c>
      <c r="CA162" s="100" t="str">
        <f aca="false">IF($BL162&lt;&gt;Constants!$B$4,"",Constants!$B$34*$BN162)</f>
        <v/>
      </c>
      <c r="CB162" s="100" t="str">
        <f aca="false">IF($BL162&lt;&gt;Constants!$B$4,"",IF(OR(NOT($AL162),$BH162),0,Constants!$B$36))</f>
        <v/>
      </c>
      <c r="CC162" s="100" t="str">
        <f aca="false">IF($BL162&lt;&gt;Constants!$B$4,"",IF(OR(NOT($AL162),$BG162),0,Constants!$B$37))</f>
        <v/>
      </c>
      <c r="CD162" s="100" t="str">
        <f aca="false">IF($BL162&lt;&gt;Constants!$B$4,"",SUM($BX162:$CC162))</f>
        <v/>
      </c>
      <c r="CE162" s="100" t="str">
        <f aca="false">IF(ISBLANK($C162),"",IF($BL162&lt;&gt;Constants!$B$4,$BL162,SUM($BO162:$BW162)-$CD162))</f>
        <v/>
      </c>
      <c r="CF162" s="100" t="str">
        <f aca="false">IF(ISBLANK($C162),"",IF($BL162&lt;&gt;Constants!$B$4,$BL162,RANK($CE162,$CE$9:$CE$508)))</f>
        <v/>
      </c>
      <c r="CG162" s="100" t="str">
        <f aca="false">IF(ISBLANK($C162),"",IF($BL162&lt;&gt;Constants!$B$4,$BL162,COUNTIFS($BM$9:$BM$508,"&lt;"&amp;$BM162)+COUNTIFS($BM$9:$BM$508,$BM162,$CF$9:$CF$508,"&lt;"&amp;$CF162)+1))</f>
        <v/>
      </c>
      <c r="CH162" s="100" t="str">
        <f aca="false">IF(ISBLANK($C162),"",IF($BL162&lt;&gt;Constants!$B$4,$BL162,RANK($CD162,$CD$9:$CD$508,1)))</f>
        <v/>
      </c>
      <c r="CI162" s="100" t="str">
        <f aca="false">IF($BL162&lt;&gt;Constants!$B$4,"",$AN162+$AO162+$AP162)</f>
        <v/>
      </c>
      <c r="CJ162" s="100" t="str">
        <f aca="false">IF(ISBLANK($C162),"",IF($BL162&lt;&gt;Constants!$B$4,$BL162,RANK($CI162,$CI$9:$CI$508,1)))</f>
        <v/>
      </c>
      <c r="CK162" s="100" t="str">
        <f aca="false">IF(ISBLANK($C162),"",IF($BL162&lt;&gt;Constants!$B$4,$BL162,COUNTIFS($BM$9:$BM$508,"&lt;"&amp;$BM162)+COUNTIFS($BM$9:$BM$508,$BM162,$CF$9:$CF$508,"&lt;"&amp;$CF162)+COUNTIFS($BM$9:$BM$508,$BM162,$CF$9:$CF$508,$CF162,$CH$9:$CH$508,"&lt;"&amp;$CH162)+COUNTIFS($BM$9:$BM$508,$BM162,$CF$9:$CF$508,$CF162,$CH$9:$CH$508,$CH162,$CJ$9:$CJ$508,"&lt;"&amp;$CJ162)+1))</f>
        <v/>
      </c>
      <c r="CL162" s="100" t="str">
        <f aca="false">IF(ISBLANK($C162),"",IF($BL162&lt;&gt;Constants!$B$4,$BL162,$CG162-$CK162))</f>
        <v/>
      </c>
      <c r="CM162" s="100" t="str">
        <f aca="false">IF(ISBLANK($C162),"",IF(NOT($AL162),"",IF(ISBLANK($D$7),$CM$5,IF(NOT(ISNUMBER($D$7)),$CM$6,""))))</f>
        <v/>
      </c>
      <c r="CN162" s="100" t="str">
        <f aca="false">IF(ISBLANK($C162),"",OR($AN162="",$AO162="",$AP162=""))</f>
        <v/>
      </c>
      <c r="CO162" s="100" t="str">
        <f aca="false">IF(ISBLANK($C162),"",AND($AL162,$BA162=""))</f>
        <v/>
      </c>
      <c r="CP162" s="100" t="str">
        <f aca="false">IF(ISBLANK($C162),"",AND($AL162,$BB162=""))</f>
        <v/>
      </c>
      <c r="CQ162" s="100" t="str">
        <f aca="false">IF(ISBLANK($C162),"",AND($AL162,$BC162=""))</f>
        <v/>
      </c>
      <c r="CR162" s="100" t="str">
        <f aca="false">IF(ISBLANK($C162),"",AND($AL162,$BF162=""))</f>
        <v/>
      </c>
      <c r="CS162" s="100" t="str">
        <f aca="false">IF(ISBLANK($C162),"",AND($AL162,$BJ162=""))</f>
        <v/>
      </c>
      <c r="CT162" s="101"/>
      <c r="CU162" s="102"/>
      <c r="CV162" s="103" t="str">
        <f aca="false">IF(ISBLANK($C162),"",IF($BL162=Constants!$B$8,$CM162,""))</f>
        <v/>
      </c>
      <c r="CW162" s="102" t="str">
        <f aca="false">IF(ISBLANK($C162),"",IF($BL162&lt;&gt;Constants!$B$4,"",$BO162+$BP162))</f>
        <v/>
      </c>
      <c r="CX162" s="104" t="str">
        <f aca="false">IF(ISBLANK($C162),"",IF($BL162&lt;&gt;Constants!$B$4,"",$BQ162+$BR162+$BS162))</f>
        <v/>
      </c>
      <c r="CY162" s="104" t="str">
        <f aca="false">IF(ISBLANK($C162),"",IF($BL162&lt;&gt;Constants!$B$4,"",$BT162))</f>
        <v/>
      </c>
      <c r="CZ162" s="104" t="str">
        <f aca="false">IF(ISBLANK($C162),"",IF($BL162&lt;&gt;Constants!$B$4,"",$BU162+$BV162))</f>
        <v/>
      </c>
      <c r="DA162" s="104" t="str">
        <f aca="false">IF(ISBLANK($C162),"",IF($BL162&lt;&gt;Constants!$B$4,"",$BW162))</f>
        <v/>
      </c>
      <c r="DB162" s="104" t="str">
        <f aca="false">IF(ISBLANK($C162),"",IF($BL162&lt;&gt;Constants!$B$4,"",-$CD162))</f>
        <v/>
      </c>
      <c r="DC162" s="103" t="str">
        <f aca="false">IF(ISBLANK($C162),"",$CE162)</f>
        <v/>
      </c>
      <c r="DD162" s="105" t="str">
        <f aca="false">IF(ISBLANK($C162),"",$BM162)</f>
        <v/>
      </c>
      <c r="DE162" s="104" t="str">
        <f aca="false">IF(ISBLANK($C162),"",$CL162)</f>
        <v/>
      </c>
      <c r="DF162" s="104" t="str">
        <f aca="false">IF(ISBLANK($C162),"",$CK162)</f>
        <v/>
      </c>
      <c r="DG162" s="106" t="str">
        <f aca="false">IF(ISBLANK($C162),"",IF($DF162=Constants!$B$7,COUNTA($C$9:$C$508)+2,IF($DF162=Constants!$B$6,COUNTA($C$9:$C$508)+1,IF($DF162=Constants!$B$5,COUNTA($C$9:$C$508),$DF162))))</f>
        <v/>
      </c>
      <c r="DH162" s="7"/>
      <c r="DI162" s="107" t="n">
        <f aca="false">IF(OR(ISNUMBER($DF162),$DF162=Constants!$B$7,$DF162=Constants!$B$5,$DF162=Constants!$B$6),1,0)</f>
        <v>0</v>
      </c>
      <c r="DJ162" s="107" t="n">
        <v>154</v>
      </c>
      <c r="DK162" s="107" t="str">
        <f aca="false">IF(ISBLANK($C162),"",IF(ISNUMBER($DG162),$DG162+ROW($B162)/1000,""))</f>
        <v/>
      </c>
      <c r="DL162" s="107" t="str">
        <f aca="false">IF(ISNUMBER($DK162),RANK($DK162,$DK$9:$DK$508,1),"")</f>
        <v/>
      </c>
      <c r="DM162" s="107" t="str">
        <f aca="false">IF(ISBLANK($C162),"",$B162)</f>
        <v/>
      </c>
      <c r="DN162" s="107" t="str">
        <f aca="false">IF(ISBLANK($C162),"",$C162)</f>
        <v/>
      </c>
      <c r="DO162" s="107" t="str">
        <f aca="false">IF(ISBLANK($C162),"",$D162)</f>
        <v/>
      </c>
      <c r="DP162" s="108" t="str">
        <f aca="false">$DD162</f>
        <v/>
      </c>
      <c r="DQ162" s="109" t="str">
        <f aca="false">$DC162</f>
        <v/>
      </c>
      <c r="DR162" s="107" t="str">
        <f aca="false">IF(ISBLANK($C162),"",$DF162)</f>
        <v/>
      </c>
      <c r="DS162" s="110" t="str">
        <f aca="false">IF($DJ162&gt;$DI$8,"",VLOOKUP($DJ162,$DL$9:$DR$508,7,FALSE()))</f>
        <v/>
      </c>
      <c r="DT162" s="111" t="str">
        <f aca="false">IF($DJ162&gt;$DI$8,"",VLOOKUP($DJ162,$DL$9:$DR$508,2,FALSE()))</f>
        <v/>
      </c>
      <c r="DU162" s="111" t="str">
        <f aca="false">IF($DJ162&gt;$DI$8,"",VLOOKUP($DJ162,$DL$9:$DR$508,3,FALSE()))</f>
        <v/>
      </c>
      <c r="DV162" s="111" t="str">
        <f aca="false">IF($DJ162&gt;$DI$8,"",VLOOKUP($DJ162,$DL$9:$DR$508,4,FALSE()))</f>
        <v/>
      </c>
      <c r="DW162" s="111" t="str">
        <f aca="false">IF($DJ162&gt;$DI$8,"",VLOOKUP($DJ162,$DL$9:$DR$508,5,FALSE()))</f>
        <v/>
      </c>
      <c r="DX162" s="112" t="str">
        <f aca="false">IF($DJ162&gt;$DI$8,"",VLOOKUP($DJ162,$DL$9:$DR$508,6,FALSE()))</f>
        <v/>
      </c>
      <c r="DY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130"/>
      <c r="N163" s="130"/>
      <c r="O163" s="135"/>
      <c r="P163" s="135"/>
      <c r="Q163" s="130"/>
      <c r="R163" s="130"/>
      <c r="S163" s="130"/>
      <c r="T163" s="130"/>
      <c r="U163" s="135"/>
      <c r="V163" s="130"/>
      <c r="W163" s="96"/>
      <c r="X163" s="130"/>
      <c r="Y163" s="130"/>
      <c r="Z163" s="96"/>
      <c r="AA163" s="96"/>
      <c r="AB163" s="130"/>
      <c r="AC163" s="130"/>
      <c r="AD163" s="130"/>
      <c r="AE163" s="97"/>
      <c r="AF163" s="130"/>
      <c r="AG163" s="99"/>
      <c r="AH163" s="100"/>
      <c r="AI163" s="100"/>
      <c r="AJ163" s="100" t="str">
        <f aca="false">IF(ISBLANK($C163),"",IF($E163=Constants!$B$2,TRUE(),IF($E163=Constants!$B$3,FALSE(),TRUE())))</f>
        <v/>
      </c>
      <c r="AK163" s="100" t="str">
        <f aca="false">IF(ISBLANK($C163),"",IF($F163=Constants!$B$2,TRUE(),IF($F163=Constants!$B$3,FALSE(),FALSE())))</f>
        <v/>
      </c>
      <c r="AL163" s="100" t="str">
        <f aca="false">IF(ISBLANK($C163),"",IF($G163=Constants!$B$2,TRUE(),IF($G163=Constants!$B$3,FALSE(),TRUE())))</f>
        <v/>
      </c>
      <c r="AM163" s="100" t="str">
        <f aca="false">IF(ISBLANK($C163),"",IF($H163=Constants!$B$2,TRUE(),IF($H163=Constants!$B$3,FALSE(),TRUE())))</f>
        <v/>
      </c>
      <c r="AN163" s="100" t="str">
        <f aca="false">IF(ISBLANK($C163),"",IF(ISNUMBER($I163),IF($I163&gt;=0,$I163,""),""))</f>
        <v/>
      </c>
      <c r="AO163" s="100" t="str">
        <f aca="false">IF(ISBLANK($C163),"",IF(ISNUMBER($J163),IF($J163&gt;=0,$J163,""),""))</f>
        <v/>
      </c>
      <c r="AP163" s="100" t="str">
        <f aca="false">IF(ISBLANK($C163),"",IF(ISNUMBER($K163),IF($K163&gt;=0,$K163,""),""))</f>
        <v/>
      </c>
      <c r="AQ163" s="100" t="str">
        <f aca="false">IF(ISBLANK($C163),"",IF($L163=Constants!$B$2,TRUE(),IF($L163=Constants!$B$3,FALSE(),TRUE())))</f>
        <v/>
      </c>
      <c r="AR163" s="100" t="str">
        <f aca="false">IF(ISBLANK($C163),"",IF($M163=Constants!$B$2,TRUE(),IF($M163=Constants!$B$3,FALSE(),TRUE())))</f>
        <v/>
      </c>
      <c r="AS163" s="100" t="str">
        <f aca="false">IF(ISBLANK($C163),"",IF($N163=Constants!$B$2,TRUE(),IF($N163=Constants!$B$3,FALSE(),FALSE())))</f>
        <v/>
      </c>
      <c r="AT163" s="100" t="str">
        <f aca="false">IF(ISBLANK($C163),"",IF($O163=Constants!$B$2,TRUE(),IF($O163=Constants!$B$3,FALSE(),TRUE())))</f>
        <v/>
      </c>
      <c r="AU163" s="100" t="str">
        <f aca="false">IF(ISBLANK($C163),"",IF($P163=Constants!$B$2,TRUE(),IF($P163=Constants!$B$3,FALSE(),TRUE())))</f>
        <v/>
      </c>
      <c r="AV163" s="100" t="str">
        <f aca="false">IF(ISBLANK($C163),"",IF($Q163=Constants!$B$2,TRUE(),IF($Q163=Constants!$B$3,FALSE(),FALSE())))</f>
        <v/>
      </c>
      <c r="AW163" s="100" t="str">
        <f aca="false">IF(ISBLANK($C163),"",IF($R163=Constants!$B$2,TRUE(),IF($R163=Constants!$B$3,FALSE(),FALSE())))</f>
        <v/>
      </c>
      <c r="AX163" s="100" t="str">
        <f aca="false">IF(ISBLANK($C163),"",IF($S163=Constants!$B$2,TRUE(),IF($S163=Constants!$B$3,FALSE(),FALSE())))</f>
        <v/>
      </c>
      <c r="AY163" s="100" t="str">
        <f aca="false">IF(ISBLANK($C163),"",IF($T163=Constants!$B$2,TRUE(),IF($T163=Constants!$B$3,FALSE(),FALSE())))</f>
        <v/>
      </c>
      <c r="AZ163" s="100" t="str">
        <f aca="false">IF(ISBLANK($C163),"",IF($U163=Constants!$B$2,TRUE(),IF($U163=Constants!$B$3,FALSE(),FALSE())))</f>
        <v/>
      </c>
      <c r="BA163" s="100" t="str">
        <f aca="false">IF(ISBLANK($C163),"",IF(OR($V163&amp;""="1",$V163&amp;""="2",$V163&amp;""="3",$V163&amp;""="4"),VALUE($V163&amp;""),IF($V163=Constants!$B$12,Constants!$B$12,"")))</f>
        <v/>
      </c>
      <c r="BB163" s="100" t="str">
        <f aca="false">IF(ISBLANK($C163),"",IF(ISBLANK($W163),0,IF(ISNUMBER($W163),IF(AND($W163&gt;=0,$W163&lt;=Constants!$B$21,$W163=INT($W163)),$W163,""),"")))</f>
        <v/>
      </c>
      <c r="BC163" s="100" t="str">
        <f aca="false">IF(ISBLANK($C163),"",IF(ISBLANK($X163),0,IF(ISNUMBER($X163),IF($X163&gt;=0,$X163,""),"")))</f>
        <v/>
      </c>
      <c r="BD163" s="100" t="str">
        <f aca="false">IF(ISBLANK($C163),"",IF($Y163=Constants!$B$2,TRUE(),IF($Y163=Constants!$B$3,FALSE(),TRUE())))</f>
        <v/>
      </c>
      <c r="BE163" s="100" t="str">
        <f aca="false">IF(ISBLANK($C163),"",IF($Z163=Constants!$B$2,TRUE(),IF($Z163=Constants!$B$3,FALSE(),FALSE())))</f>
        <v/>
      </c>
      <c r="BF163" s="100" t="str">
        <f aca="false">IF(ISBLANK($C163),"",IF(ISBLANK($AA163),0,IF(ISNUMBER($AA163),IF(AND($AA163&gt;=0,$AA163&lt;=Constants!$B$35,$AA163=INT($AA163)),$AA163,""),"")))</f>
        <v/>
      </c>
      <c r="BG163" s="100" t="str">
        <f aca="false">IF(ISBLANK($C163),"",IF($AB163=Constants!$B$2,TRUE(),IF($AB163=Constants!$B$3,FALSE(),TRUE())))</f>
        <v/>
      </c>
      <c r="BH163" s="100" t="str">
        <f aca="false">IF(ISBLANK($C163),"",IF($AC163=Constants!$B$2,TRUE(),IF($AC163=Constants!$B$3,FALSE(),TRUE())))</f>
        <v/>
      </c>
      <c r="BI163" s="100" t="str">
        <f aca="false">IF(ISBLANK($C163),"",IF($AD163=Constants!$B$2,TRUE(),IF($AD163=Constants!$B$3,FALSE(),TRUE())))</f>
        <v/>
      </c>
      <c r="BJ163" s="100" t="str">
        <f aca="false">IF(ISBLANK($C163),"",IF(ISNUMBER($AE163),IF($AE163&gt;=0,$AE163,""),""))</f>
        <v/>
      </c>
      <c r="BK163" s="100" t="str">
        <f aca="false">IF(ISBLANK($C163),"",IF($AF163=Constants!$B$2,TRUE(),IF($AF163=Constants!$B$3,FALSE(),FALSE())))</f>
        <v/>
      </c>
      <c r="BL163" s="99" t="str">
        <f aca="false">IF(ISBLANK($C163),"",IF($BK163,Constants!$B$7,IF(COUNTA($E163:$AE163)=0,Constants!$B$6,IF(OR(COUNTA($G163:$AE163)=0,NOT($AM163),$AS163),Constants!$B$5,IF(OR($CM163&lt;&gt;"",$CN163,$CO163,$CP163,$CQ163,$CR163,$CS163),Constants!$B$8,Constants!$B$4)))))</f>
        <v/>
      </c>
      <c r="BM163" s="100" t="str">
        <f aca="false">IF(ISBLANK($C163),"",IF($BL163&lt;&gt;Constants!$B$4,$BL163,IF(OR(NOT($AJ163),NOT($AL163),NOT($AT163)),Constants!$B$11,IF(OR(NOT($AR163),NOT($AU163),NOT($BI163),MAX($AN163,$AO163,$AP163)&gt;Constants!$B$30),Constants!$B$10,Constants!$B$9))))</f>
        <v/>
      </c>
      <c r="BN163" s="100" t="str">
        <f aca="false">IF($BL163&lt;&gt;Constants!$B$4,"",IF(NOT($AL163),0,MIN(Constants!$B$35,$BF163)))</f>
        <v/>
      </c>
      <c r="BO163" s="100" t="str">
        <f aca="false">IF($BL163&lt;&gt;Constants!$B$4,"",IF(NOT($AL163),0,IF($AW163,Constants!$B$18,IF($AV163,Constants!$B$17,0))))</f>
        <v/>
      </c>
      <c r="BP163" s="100" t="str">
        <f aca="false">IF($BL163&lt;&gt;Constants!$B$4,"",IF(NOT($AL163),0,Constants!$B$19*($AK163+$AX163+$AY163+$AZ163)))</f>
        <v/>
      </c>
      <c r="BQ163" s="100" t="str">
        <f aca="false">IF($BL163&lt;&gt;Constants!$B$4,"",IF(OR(NOT($AL163),NOT(ISNUMBER($BA163))),0,CHOOSE($BA163,Constants!$B$13,Constants!$B$14,Constants!$B$15,Constants!$B$16)))</f>
        <v/>
      </c>
      <c r="BR163" s="100" t="str">
        <f aca="false">IF($BL163&lt;&gt;Constants!$B$4,"",IF(NOT($AL163),0,Constants!$B$20*$BB163))</f>
        <v/>
      </c>
      <c r="BS163" s="100" t="str">
        <f aca="false">IF($BL163&lt;&gt;Constants!$B$4,"",IF(AND($AL163,$BD163,$BE163),Constants!$B$22,0))</f>
        <v/>
      </c>
      <c r="BT163" s="100" t="str">
        <f aca="false">IF($BL163&lt;&gt;Constants!$B$4,"",IF(OR(NOT($AL163),NOT($BD163)),0,IF($BJ163&gt;=2*$AH$9,0,Constants!$B$23*INT(ROUND(MIN($BJ163,$AH$9),6)))))</f>
        <v/>
      </c>
      <c r="BU163" s="100" t="str">
        <f aca="false">IF($BL163&lt;&gt;Constants!$B$4,"",IF(NOT($AL163),0,Constants!$B$24*INT(ROUND(MIN($BC163,$AH$9),6))))</f>
        <v/>
      </c>
      <c r="BV163" s="100" t="str">
        <f aca="false">IF($BL163&lt;&gt;Constants!$B$4,"",IF(AND($AL163,$BN163=0),Constants!$B$25,0))</f>
        <v/>
      </c>
      <c r="BW163" s="100" t="str">
        <f aca="false">IF($BL163&lt;&gt;Constants!$B$4,"",MIN(Constants!$B$29,MAX(0,Constants!$B$27*Constants!$B$28*INT(ROUND((Constants!$B$26-$AN163)/Constants!$B$28,6))))+MIN(Constants!$B$29,MAX(0,Constants!$B$27*Constants!$B$28*INT(ROUND((Constants!$B$26-$AO163)/Constants!$B$28,6))))+MIN(Constants!$B$29,MAX(0,Constants!$B$27*Constants!$B$28*INT(ROUND((Constants!$B$26-$AP163)/Constants!$B$28,6)))))</f>
        <v/>
      </c>
      <c r="BX163" s="100" t="str">
        <f aca="false">IF($BL163&lt;&gt;Constants!$B$4,"",IF(NOT($AL163),0,Constants!$B$31*INT(ROUND(MAX(0,MIN($BJ163,2*$AH$9)-$AH$9),6))))</f>
        <v/>
      </c>
      <c r="BY163" s="100" t="str">
        <f aca="false">IF($BL163&lt;&gt;Constants!$B$4,"",Constants!$B$32*(($AN163&gt;Constants!$B$26)+($AO163&gt;Constants!$B$26)+($AP163&gt;Constants!$B$26)))</f>
        <v/>
      </c>
      <c r="BZ163" s="100" t="str">
        <f aca="false">IF($BL163&lt;&gt;Constants!$B$4,"",IF(OR(NOT($AL163),$AQ163),0,Constants!$B$33))</f>
        <v/>
      </c>
      <c r="CA163" s="100" t="str">
        <f aca="false">IF($BL163&lt;&gt;Constants!$B$4,"",Constants!$B$34*$BN163)</f>
        <v/>
      </c>
      <c r="CB163" s="100" t="str">
        <f aca="false">IF($BL163&lt;&gt;Constants!$B$4,"",IF(OR(NOT($AL163),$BH163),0,Constants!$B$36))</f>
        <v/>
      </c>
      <c r="CC163" s="100" t="str">
        <f aca="false">IF($BL163&lt;&gt;Constants!$B$4,"",IF(OR(NOT($AL163),$BG163),0,Constants!$B$37))</f>
        <v/>
      </c>
      <c r="CD163" s="100" t="str">
        <f aca="false">IF($BL163&lt;&gt;Constants!$B$4,"",SUM($BX163:$CC163))</f>
        <v/>
      </c>
      <c r="CE163" s="100" t="str">
        <f aca="false">IF(ISBLANK($C163),"",IF($BL163&lt;&gt;Constants!$B$4,$BL163,SUM($BO163:$BW163)-$CD163))</f>
        <v/>
      </c>
      <c r="CF163" s="100" t="str">
        <f aca="false">IF(ISBLANK($C163),"",IF($BL163&lt;&gt;Constants!$B$4,$BL163,RANK($CE163,$CE$9:$CE$508)))</f>
        <v/>
      </c>
      <c r="CG163" s="100" t="str">
        <f aca="false">IF(ISBLANK($C163),"",IF($BL163&lt;&gt;Constants!$B$4,$BL163,COUNTIFS($BM$9:$BM$508,"&lt;"&amp;$BM163)+COUNTIFS($BM$9:$BM$508,$BM163,$CF$9:$CF$508,"&lt;"&amp;$CF163)+1))</f>
        <v/>
      </c>
      <c r="CH163" s="100" t="str">
        <f aca="false">IF(ISBLANK($C163),"",IF($BL163&lt;&gt;Constants!$B$4,$BL163,RANK($CD163,$CD$9:$CD$508,1)))</f>
        <v/>
      </c>
      <c r="CI163" s="100" t="str">
        <f aca="false">IF($BL163&lt;&gt;Constants!$B$4,"",$AN163+$AO163+$AP163)</f>
        <v/>
      </c>
      <c r="CJ163" s="100" t="str">
        <f aca="false">IF(ISBLANK($C163),"",IF($BL163&lt;&gt;Constants!$B$4,$BL163,RANK($CI163,$CI$9:$CI$508,1)))</f>
        <v/>
      </c>
      <c r="CK163" s="100" t="str">
        <f aca="false">IF(ISBLANK($C163),"",IF($BL163&lt;&gt;Constants!$B$4,$BL163,COUNTIFS($BM$9:$BM$508,"&lt;"&amp;$BM163)+COUNTIFS($BM$9:$BM$508,$BM163,$CF$9:$CF$508,"&lt;"&amp;$CF163)+COUNTIFS($BM$9:$BM$508,$BM163,$CF$9:$CF$508,$CF163,$CH$9:$CH$508,"&lt;"&amp;$CH163)+COUNTIFS($BM$9:$BM$508,$BM163,$CF$9:$CF$508,$CF163,$CH$9:$CH$508,$CH163,$CJ$9:$CJ$508,"&lt;"&amp;$CJ163)+1))</f>
        <v/>
      </c>
      <c r="CL163" s="100" t="str">
        <f aca="false">IF(ISBLANK($C163),"",IF($BL163&lt;&gt;Constants!$B$4,$BL163,$CG163-$CK163))</f>
        <v/>
      </c>
      <c r="CM163" s="100" t="str">
        <f aca="false">IF(ISBLANK($C163),"",IF(NOT($AL163),"",IF(ISBLANK($D$7),$CM$5,IF(NOT(ISNUMBER($D$7)),$CM$6,""))))</f>
        <v/>
      </c>
      <c r="CN163" s="100" t="str">
        <f aca="false">IF(ISBLANK($C163),"",OR($AN163="",$AO163="",$AP163=""))</f>
        <v/>
      </c>
      <c r="CO163" s="100" t="str">
        <f aca="false">IF(ISBLANK($C163),"",AND($AL163,$BA163=""))</f>
        <v/>
      </c>
      <c r="CP163" s="100" t="str">
        <f aca="false">IF(ISBLANK($C163),"",AND($AL163,$BB163=""))</f>
        <v/>
      </c>
      <c r="CQ163" s="100" t="str">
        <f aca="false">IF(ISBLANK($C163),"",AND($AL163,$BC163=""))</f>
        <v/>
      </c>
      <c r="CR163" s="100" t="str">
        <f aca="false">IF(ISBLANK($C163),"",AND($AL163,$BF163=""))</f>
        <v/>
      </c>
      <c r="CS163" s="100" t="str">
        <f aca="false">IF(ISBLANK($C163),"",AND($AL163,$BJ163=""))</f>
        <v/>
      </c>
      <c r="CT163" s="101"/>
      <c r="CU163" s="102"/>
      <c r="CV163" s="103" t="str">
        <f aca="false">IF(ISBLANK($C163),"",IF($BL163=Constants!$B$8,$CM163,""))</f>
        <v/>
      </c>
      <c r="CW163" s="102" t="str">
        <f aca="false">IF(ISBLANK($C163),"",IF($BL163&lt;&gt;Constants!$B$4,"",$BO163+$BP163))</f>
        <v/>
      </c>
      <c r="CX163" s="104" t="str">
        <f aca="false">IF(ISBLANK($C163),"",IF($BL163&lt;&gt;Constants!$B$4,"",$BQ163+$BR163+$BS163))</f>
        <v/>
      </c>
      <c r="CY163" s="104" t="str">
        <f aca="false">IF(ISBLANK($C163),"",IF($BL163&lt;&gt;Constants!$B$4,"",$BT163))</f>
        <v/>
      </c>
      <c r="CZ163" s="104" t="str">
        <f aca="false">IF(ISBLANK($C163),"",IF($BL163&lt;&gt;Constants!$B$4,"",$BU163+$BV163))</f>
        <v/>
      </c>
      <c r="DA163" s="104" t="str">
        <f aca="false">IF(ISBLANK($C163),"",IF($BL163&lt;&gt;Constants!$B$4,"",$BW163))</f>
        <v/>
      </c>
      <c r="DB163" s="104" t="str">
        <f aca="false">IF(ISBLANK($C163),"",IF($BL163&lt;&gt;Constants!$B$4,"",-$CD163))</f>
        <v/>
      </c>
      <c r="DC163" s="103" t="str">
        <f aca="false">IF(ISBLANK($C163),"",$CE163)</f>
        <v/>
      </c>
      <c r="DD163" s="105" t="str">
        <f aca="false">IF(ISBLANK($C163),"",$BM163)</f>
        <v/>
      </c>
      <c r="DE163" s="104" t="str">
        <f aca="false">IF(ISBLANK($C163),"",$CL163)</f>
        <v/>
      </c>
      <c r="DF163" s="104" t="str">
        <f aca="false">IF(ISBLANK($C163),"",$CK163)</f>
        <v/>
      </c>
      <c r="DG163" s="106" t="str">
        <f aca="false">IF(ISBLANK($C163),"",IF($DF163=Constants!$B$7,COUNTA($C$9:$C$508)+2,IF($DF163=Constants!$B$6,COUNTA($C$9:$C$508)+1,IF($DF163=Constants!$B$5,COUNTA($C$9:$C$508),$DF163))))</f>
        <v/>
      </c>
      <c r="DH163" s="7"/>
      <c r="DI163" s="107" t="n">
        <f aca="false">IF(OR(ISNUMBER($DF163),$DF163=Constants!$B$7,$DF163=Constants!$B$5,$DF163=Constants!$B$6),1,0)</f>
        <v>0</v>
      </c>
      <c r="DJ163" s="107" t="n">
        <v>155</v>
      </c>
      <c r="DK163" s="107" t="str">
        <f aca="false">IF(ISBLANK($C163),"",IF(ISNUMBER($DG163),$DG163+ROW($B163)/1000,""))</f>
        <v/>
      </c>
      <c r="DL163" s="107" t="str">
        <f aca="false">IF(ISNUMBER($DK163),RANK($DK163,$DK$9:$DK$508,1),"")</f>
        <v/>
      </c>
      <c r="DM163" s="107" t="str">
        <f aca="false">IF(ISBLANK($C163),"",$B163)</f>
        <v/>
      </c>
      <c r="DN163" s="107" t="str">
        <f aca="false">IF(ISBLANK($C163),"",$C163)</f>
        <v/>
      </c>
      <c r="DO163" s="107" t="str">
        <f aca="false">IF(ISBLANK($C163),"",$D163)</f>
        <v/>
      </c>
      <c r="DP163" s="108" t="str">
        <f aca="false">$DD163</f>
        <v/>
      </c>
      <c r="DQ163" s="109" t="str">
        <f aca="false">$DC163</f>
        <v/>
      </c>
      <c r="DR163" s="107" t="str">
        <f aca="false">IF(ISBLANK($C163),"",$DF163)</f>
        <v/>
      </c>
      <c r="DS163" s="110" t="str">
        <f aca="false">IF($DJ163&gt;$DI$8,"",VLOOKUP($DJ163,$DL$9:$DR$508,7,FALSE()))</f>
        <v/>
      </c>
      <c r="DT163" s="111" t="str">
        <f aca="false">IF($DJ163&gt;$DI$8,"",VLOOKUP($DJ163,$DL$9:$DR$508,2,FALSE()))</f>
        <v/>
      </c>
      <c r="DU163" s="111" t="str">
        <f aca="false">IF($DJ163&gt;$DI$8,"",VLOOKUP($DJ163,$DL$9:$DR$508,3,FALSE()))</f>
        <v/>
      </c>
      <c r="DV163" s="111" t="str">
        <f aca="false">IF($DJ163&gt;$DI$8,"",VLOOKUP($DJ163,$DL$9:$DR$508,4,FALSE()))</f>
        <v/>
      </c>
      <c r="DW163" s="111" t="str">
        <f aca="false">IF($DJ163&gt;$DI$8,"",VLOOKUP($DJ163,$DL$9:$DR$508,5,FALSE()))</f>
        <v/>
      </c>
      <c r="DX163" s="112" t="str">
        <f aca="false">IF($DJ163&gt;$DI$8,"",VLOOKUP($DJ163,$DL$9:$DR$508,6,FALSE()))</f>
        <v/>
      </c>
      <c r="DY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130"/>
      <c r="N164" s="130"/>
      <c r="O164" s="135"/>
      <c r="P164" s="135"/>
      <c r="Q164" s="130"/>
      <c r="R164" s="130"/>
      <c r="S164" s="130"/>
      <c r="T164" s="130"/>
      <c r="U164" s="135"/>
      <c r="V164" s="130"/>
      <c r="W164" s="96"/>
      <c r="X164" s="130"/>
      <c r="Y164" s="130"/>
      <c r="Z164" s="96"/>
      <c r="AA164" s="96"/>
      <c r="AB164" s="130"/>
      <c r="AC164" s="130"/>
      <c r="AD164" s="130"/>
      <c r="AE164" s="97"/>
      <c r="AF164" s="130"/>
      <c r="AG164" s="99"/>
      <c r="AH164" s="100"/>
      <c r="AI164" s="100"/>
      <c r="AJ164" s="100" t="str">
        <f aca="false">IF(ISBLANK($C164),"",IF($E164=Constants!$B$2,TRUE(),IF($E164=Constants!$B$3,FALSE(),TRUE())))</f>
        <v/>
      </c>
      <c r="AK164" s="100" t="str">
        <f aca="false">IF(ISBLANK($C164),"",IF($F164=Constants!$B$2,TRUE(),IF($F164=Constants!$B$3,FALSE(),FALSE())))</f>
        <v/>
      </c>
      <c r="AL164" s="100" t="str">
        <f aca="false">IF(ISBLANK($C164),"",IF($G164=Constants!$B$2,TRUE(),IF($G164=Constants!$B$3,FALSE(),TRUE())))</f>
        <v/>
      </c>
      <c r="AM164" s="100" t="str">
        <f aca="false">IF(ISBLANK($C164),"",IF($H164=Constants!$B$2,TRUE(),IF($H164=Constants!$B$3,FALSE(),TRUE())))</f>
        <v/>
      </c>
      <c r="AN164" s="100" t="str">
        <f aca="false">IF(ISBLANK($C164),"",IF(ISNUMBER($I164),IF($I164&gt;=0,$I164,""),""))</f>
        <v/>
      </c>
      <c r="AO164" s="100" t="str">
        <f aca="false">IF(ISBLANK($C164),"",IF(ISNUMBER($J164),IF($J164&gt;=0,$J164,""),""))</f>
        <v/>
      </c>
      <c r="AP164" s="100" t="str">
        <f aca="false">IF(ISBLANK($C164),"",IF(ISNUMBER($K164),IF($K164&gt;=0,$K164,""),""))</f>
        <v/>
      </c>
      <c r="AQ164" s="100" t="str">
        <f aca="false">IF(ISBLANK($C164),"",IF($L164=Constants!$B$2,TRUE(),IF($L164=Constants!$B$3,FALSE(),TRUE())))</f>
        <v/>
      </c>
      <c r="AR164" s="100" t="str">
        <f aca="false">IF(ISBLANK($C164),"",IF($M164=Constants!$B$2,TRUE(),IF($M164=Constants!$B$3,FALSE(),TRUE())))</f>
        <v/>
      </c>
      <c r="AS164" s="100" t="str">
        <f aca="false">IF(ISBLANK($C164),"",IF($N164=Constants!$B$2,TRUE(),IF($N164=Constants!$B$3,FALSE(),FALSE())))</f>
        <v/>
      </c>
      <c r="AT164" s="100" t="str">
        <f aca="false">IF(ISBLANK($C164),"",IF($O164=Constants!$B$2,TRUE(),IF($O164=Constants!$B$3,FALSE(),TRUE())))</f>
        <v/>
      </c>
      <c r="AU164" s="100" t="str">
        <f aca="false">IF(ISBLANK($C164),"",IF($P164=Constants!$B$2,TRUE(),IF($P164=Constants!$B$3,FALSE(),TRUE())))</f>
        <v/>
      </c>
      <c r="AV164" s="100" t="str">
        <f aca="false">IF(ISBLANK($C164),"",IF($Q164=Constants!$B$2,TRUE(),IF($Q164=Constants!$B$3,FALSE(),FALSE())))</f>
        <v/>
      </c>
      <c r="AW164" s="100" t="str">
        <f aca="false">IF(ISBLANK($C164),"",IF($R164=Constants!$B$2,TRUE(),IF($R164=Constants!$B$3,FALSE(),FALSE())))</f>
        <v/>
      </c>
      <c r="AX164" s="100" t="str">
        <f aca="false">IF(ISBLANK($C164),"",IF($S164=Constants!$B$2,TRUE(),IF($S164=Constants!$B$3,FALSE(),FALSE())))</f>
        <v/>
      </c>
      <c r="AY164" s="100" t="str">
        <f aca="false">IF(ISBLANK($C164),"",IF($T164=Constants!$B$2,TRUE(),IF($T164=Constants!$B$3,FALSE(),FALSE())))</f>
        <v/>
      </c>
      <c r="AZ164" s="100" t="str">
        <f aca="false">IF(ISBLANK($C164),"",IF($U164=Constants!$B$2,TRUE(),IF($U164=Constants!$B$3,FALSE(),FALSE())))</f>
        <v/>
      </c>
      <c r="BA164" s="100" t="str">
        <f aca="false">IF(ISBLANK($C164),"",IF(OR($V164&amp;""="1",$V164&amp;""="2",$V164&amp;""="3",$V164&amp;""="4"),VALUE($V164&amp;""),IF($V164=Constants!$B$12,Constants!$B$12,"")))</f>
        <v/>
      </c>
      <c r="BB164" s="100" t="str">
        <f aca="false">IF(ISBLANK($C164),"",IF(ISBLANK($W164),0,IF(ISNUMBER($W164),IF(AND($W164&gt;=0,$W164&lt;=Constants!$B$21,$W164=INT($W164)),$W164,""),"")))</f>
        <v/>
      </c>
      <c r="BC164" s="100" t="str">
        <f aca="false">IF(ISBLANK($C164),"",IF(ISBLANK($X164),0,IF(ISNUMBER($X164),IF($X164&gt;=0,$X164,""),"")))</f>
        <v/>
      </c>
      <c r="BD164" s="100" t="str">
        <f aca="false">IF(ISBLANK($C164),"",IF($Y164=Constants!$B$2,TRUE(),IF($Y164=Constants!$B$3,FALSE(),TRUE())))</f>
        <v/>
      </c>
      <c r="BE164" s="100" t="str">
        <f aca="false">IF(ISBLANK($C164),"",IF($Z164=Constants!$B$2,TRUE(),IF($Z164=Constants!$B$3,FALSE(),FALSE())))</f>
        <v/>
      </c>
      <c r="BF164" s="100" t="str">
        <f aca="false">IF(ISBLANK($C164),"",IF(ISBLANK($AA164),0,IF(ISNUMBER($AA164),IF(AND($AA164&gt;=0,$AA164&lt;=Constants!$B$35,$AA164=INT($AA164)),$AA164,""),"")))</f>
        <v/>
      </c>
      <c r="BG164" s="100" t="str">
        <f aca="false">IF(ISBLANK($C164),"",IF($AB164=Constants!$B$2,TRUE(),IF($AB164=Constants!$B$3,FALSE(),TRUE())))</f>
        <v/>
      </c>
      <c r="BH164" s="100" t="str">
        <f aca="false">IF(ISBLANK($C164),"",IF($AC164=Constants!$B$2,TRUE(),IF($AC164=Constants!$B$3,FALSE(),TRUE())))</f>
        <v/>
      </c>
      <c r="BI164" s="100" t="str">
        <f aca="false">IF(ISBLANK($C164),"",IF($AD164=Constants!$B$2,TRUE(),IF($AD164=Constants!$B$3,FALSE(),TRUE())))</f>
        <v/>
      </c>
      <c r="BJ164" s="100" t="str">
        <f aca="false">IF(ISBLANK($C164),"",IF(ISNUMBER($AE164),IF($AE164&gt;=0,$AE164,""),""))</f>
        <v/>
      </c>
      <c r="BK164" s="100" t="str">
        <f aca="false">IF(ISBLANK($C164),"",IF($AF164=Constants!$B$2,TRUE(),IF($AF164=Constants!$B$3,FALSE(),FALSE())))</f>
        <v/>
      </c>
      <c r="BL164" s="99" t="str">
        <f aca="false">IF(ISBLANK($C164),"",IF($BK164,Constants!$B$7,IF(COUNTA($E164:$AE164)=0,Constants!$B$6,IF(OR(COUNTA($G164:$AE164)=0,NOT($AM164),$AS164),Constants!$B$5,IF(OR($CM164&lt;&gt;"",$CN164,$CO164,$CP164,$CQ164,$CR164,$CS164),Constants!$B$8,Constants!$B$4)))))</f>
        <v/>
      </c>
      <c r="BM164" s="100" t="str">
        <f aca="false">IF(ISBLANK($C164),"",IF($BL164&lt;&gt;Constants!$B$4,$BL164,IF(OR(NOT($AJ164),NOT($AL164),NOT($AT164)),Constants!$B$11,IF(OR(NOT($AR164),NOT($AU164),NOT($BI164),MAX($AN164,$AO164,$AP164)&gt;Constants!$B$30),Constants!$B$10,Constants!$B$9))))</f>
        <v/>
      </c>
      <c r="BN164" s="100" t="str">
        <f aca="false">IF($BL164&lt;&gt;Constants!$B$4,"",IF(NOT($AL164),0,MIN(Constants!$B$35,$BF164)))</f>
        <v/>
      </c>
      <c r="BO164" s="100" t="str">
        <f aca="false">IF($BL164&lt;&gt;Constants!$B$4,"",IF(NOT($AL164),0,IF($AW164,Constants!$B$18,IF($AV164,Constants!$B$17,0))))</f>
        <v/>
      </c>
      <c r="BP164" s="100" t="str">
        <f aca="false">IF($BL164&lt;&gt;Constants!$B$4,"",IF(NOT($AL164),0,Constants!$B$19*($AK164+$AX164+$AY164+$AZ164)))</f>
        <v/>
      </c>
      <c r="BQ164" s="100" t="str">
        <f aca="false">IF($BL164&lt;&gt;Constants!$B$4,"",IF(OR(NOT($AL164),NOT(ISNUMBER($BA164))),0,CHOOSE($BA164,Constants!$B$13,Constants!$B$14,Constants!$B$15,Constants!$B$16)))</f>
        <v/>
      </c>
      <c r="BR164" s="100" t="str">
        <f aca="false">IF($BL164&lt;&gt;Constants!$B$4,"",IF(NOT($AL164),0,Constants!$B$20*$BB164))</f>
        <v/>
      </c>
      <c r="BS164" s="100" t="str">
        <f aca="false">IF($BL164&lt;&gt;Constants!$B$4,"",IF(AND($AL164,$BD164,$BE164),Constants!$B$22,0))</f>
        <v/>
      </c>
      <c r="BT164" s="100" t="str">
        <f aca="false">IF($BL164&lt;&gt;Constants!$B$4,"",IF(OR(NOT($AL164),NOT($BD164)),0,IF($BJ164&gt;=2*$AH$9,0,Constants!$B$23*INT(ROUND(MIN($BJ164,$AH$9),6)))))</f>
        <v/>
      </c>
      <c r="BU164" s="100" t="str">
        <f aca="false">IF($BL164&lt;&gt;Constants!$B$4,"",IF(NOT($AL164),0,Constants!$B$24*INT(ROUND(MIN($BC164,$AH$9),6))))</f>
        <v/>
      </c>
      <c r="BV164" s="100" t="str">
        <f aca="false">IF($BL164&lt;&gt;Constants!$B$4,"",IF(AND($AL164,$BN164=0),Constants!$B$25,0))</f>
        <v/>
      </c>
      <c r="BW164" s="100" t="str">
        <f aca="false">IF($BL164&lt;&gt;Constants!$B$4,"",MIN(Constants!$B$29,MAX(0,Constants!$B$27*Constants!$B$28*INT(ROUND((Constants!$B$26-$AN164)/Constants!$B$28,6))))+MIN(Constants!$B$29,MAX(0,Constants!$B$27*Constants!$B$28*INT(ROUND((Constants!$B$26-$AO164)/Constants!$B$28,6))))+MIN(Constants!$B$29,MAX(0,Constants!$B$27*Constants!$B$28*INT(ROUND((Constants!$B$26-$AP164)/Constants!$B$28,6)))))</f>
        <v/>
      </c>
      <c r="BX164" s="100" t="str">
        <f aca="false">IF($BL164&lt;&gt;Constants!$B$4,"",IF(NOT($AL164),0,Constants!$B$31*INT(ROUND(MAX(0,MIN($BJ164,2*$AH$9)-$AH$9),6))))</f>
        <v/>
      </c>
      <c r="BY164" s="100" t="str">
        <f aca="false">IF($BL164&lt;&gt;Constants!$B$4,"",Constants!$B$32*(($AN164&gt;Constants!$B$26)+($AO164&gt;Constants!$B$26)+($AP164&gt;Constants!$B$26)))</f>
        <v/>
      </c>
      <c r="BZ164" s="100" t="str">
        <f aca="false">IF($BL164&lt;&gt;Constants!$B$4,"",IF(OR(NOT($AL164),$AQ164),0,Constants!$B$33))</f>
        <v/>
      </c>
      <c r="CA164" s="100" t="str">
        <f aca="false">IF($BL164&lt;&gt;Constants!$B$4,"",Constants!$B$34*$BN164)</f>
        <v/>
      </c>
      <c r="CB164" s="100" t="str">
        <f aca="false">IF($BL164&lt;&gt;Constants!$B$4,"",IF(OR(NOT($AL164),$BH164),0,Constants!$B$36))</f>
        <v/>
      </c>
      <c r="CC164" s="100" t="str">
        <f aca="false">IF($BL164&lt;&gt;Constants!$B$4,"",IF(OR(NOT($AL164),$BG164),0,Constants!$B$37))</f>
        <v/>
      </c>
      <c r="CD164" s="100" t="str">
        <f aca="false">IF($BL164&lt;&gt;Constants!$B$4,"",SUM($BX164:$CC164))</f>
        <v/>
      </c>
      <c r="CE164" s="100" t="str">
        <f aca="false">IF(ISBLANK($C164),"",IF($BL164&lt;&gt;Constants!$B$4,$BL164,SUM($BO164:$BW164)-$CD164))</f>
        <v/>
      </c>
      <c r="CF164" s="100" t="str">
        <f aca="false">IF(ISBLANK($C164),"",IF($BL164&lt;&gt;Constants!$B$4,$BL164,RANK($CE164,$CE$9:$CE$508)))</f>
        <v/>
      </c>
      <c r="CG164" s="100" t="str">
        <f aca="false">IF(ISBLANK($C164),"",IF($BL164&lt;&gt;Constants!$B$4,$BL164,COUNTIFS($BM$9:$BM$508,"&lt;"&amp;$BM164)+COUNTIFS($BM$9:$BM$508,$BM164,$CF$9:$CF$508,"&lt;"&amp;$CF164)+1))</f>
        <v/>
      </c>
      <c r="CH164" s="100" t="str">
        <f aca="false">IF(ISBLANK($C164),"",IF($BL164&lt;&gt;Constants!$B$4,$BL164,RANK($CD164,$CD$9:$CD$508,1)))</f>
        <v/>
      </c>
      <c r="CI164" s="100" t="str">
        <f aca="false">IF($BL164&lt;&gt;Constants!$B$4,"",$AN164+$AO164+$AP164)</f>
        <v/>
      </c>
      <c r="CJ164" s="100" t="str">
        <f aca="false">IF(ISBLANK($C164),"",IF($BL164&lt;&gt;Constants!$B$4,$BL164,RANK($CI164,$CI$9:$CI$508,1)))</f>
        <v/>
      </c>
      <c r="CK164" s="100" t="str">
        <f aca="false">IF(ISBLANK($C164),"",IF($BL164&lt;&gt;Constants!$B$4,$BL164,COUNTIFS($BM$9:$BM$508,"&lt;"&amp;$BM164)+COUNTIFS($BM$9:$BM$508,$BM164,$CF$9:$CF$508,"&lt;"&amp;$CF164)+COUNTIFS($BM$9:$BM$508,$BM164,$CF$9:$CF$508,$CF164,$CH$9:$CH$508,"&lt;"&amp;$CH164)+COUNTIFS($BM$9:$BM$508,$BM164,$CF$9:$CF$508,$CF164,$CH$9:$CH$508,$CH164,$CJ$9:$CJ$508,"&lt;"&amp;$CJ164)+1))</f>
        <v/>
      </c>
      <c r="CL164" s="100" t="str">
        <f aca="false">IF(ISBLANK($C164),"",IF($BL164&lt;&gt;Constants!$B$4,$BL164,$CG164-$CK164))</f>
        <v/>
      </c>
      <c r="CM164" s="100" t="str">
        <f aca="false">IF(ISBLANK($C164),"",IF(NOT($AL164),"",IF(ISBLANK($D$7),$CM$5,IF(NOT(ISNUMBER($D$7)),$CM$6,""))))</f>
        <v/>
      </c>
      <c r="CN164" s="100" t="str">
        <f aca="false">IF(ISBLANK($C164),"",OR($AN164="",$AO164="",$AP164=""))</f>
        <v/>
      </c>
      <c r="CO164" s="100" t="str">
        <f aca="false">IF(ISBLANK($C164),"",AND($AL164,$BA164=""))</f>
        <v/>
      </c>
      <c r="CP164" s="100" t="str">
        <f aca="false">IF(ISBLANK($C164),"",AND($AL164,$BB164=""))</f>
        <v/>
      </c>
      <c r="CQ164" s="100" t="str">
        <f aca="false">IF(ISBLANK($C164),"",AND($AL164,$BC164=""))</f>
        <v/>
      </c>
      <c r="CR164" s="100" t="str">
        <f aca="false">IF(ISBLANK($C164),"",AND($AL164,$BF164=""))</f>
        <v/>
      </c>
      <c r="CS164" s="100" t="str">
        <f aca="false">IF(ISBLANK($C164),"",AND($AL164,$BJ164=""))</f>
        <v/>
      </c>
      <c r="CT164" s="101"/>
      <c r="CU164" s="102"/>
      <c r="CV164" s="103" t="str">
        <f aca="false">IF(ISBLANK($C164),"",IF($BL164=Constants!$B$8,$CM164,""))</f>
        <v/>
      </c>
      <c r="CW164" s="102" t="str">
        <f aca="false">IF(ISBLANK($C164),"",IF($BL164&lt;&gt;Constants!$B$4,"",$BO164+$BP164))</f>
        <v/>
      </c>
      <c r="CX164" s="104" t="str">
        <f aca="false">IF(ISBLANK($C164),"",IF($BL164&lt;&gt;Constants!$B$4,"",$BQ164+$BR164+$BS164))</f>
        <v/>
      </c>
      <c r="CY164" s="104" t="str">
        <f aca="false">IF(ISBLANK($C164),"",IF($BL164&lt;&gt;Constants!$B$4,"",$BT164))</f>
        <v/>
      </c>
      <c r="CZ164" s="104" t="str">
        <f aca="false">IF(ISBLANK($C164),"",IF($BL164&lt;&gt;Constants!$B$4,"",$BU164+$BV164))</f>
        <v/>
      </c>
      <c r="DA164" s="104" t="str">
        <f aca="false">IF(ISBLANK($C164),"",IF($BL164&lt;&gt;Constants!$B$4,"",$BW164))</f>
        <v/>
      </c>
      <c r="DB164" s="104" t="str">
        <f aca="false">IF(ISBLANK($C164),"",IF($BL164&lt;&gt;Constants!$B$4,"",-$CD164))</f>
        <v/>
      </c>
      <c r="DC164" s="103" t="str">
        <f aca="false">IF(ISBLANK($C164),"",$CE164)</f>
        <v/>
      </c>
      <c r="DD164" s="105" t="str">
        <f aca="false">IF(ISBLANK($C164),"",$BM164)</f>
        <v/>
      </c>
      <c r="DE164" s="104" t="str">
        <f aca="false">IF(ISBLANK($C164),"",$CL164)</f>
        <v/>
      </c>
      <c r="DF164" s="104" t="str">
        <f aca="false">IF(ISBLANK($C164),"",$CK164)</f>
        <v/>
      </c>
      <c r="DG164" s="106" t="str">
        <f aca="false">IF(ISBLANK($C164),"",IF($DF164=Constants!$B$7,COUNTA($C$9:$C$508)+2,IF($DF164=Constants!$B$6,COUNTA($C$9:$C$508)+1,IF($DF164=Constants!$B$5,COUNTA($C$9:$C$508),$DF164))))</f>
        <v/>
      </c>
      <c r="DH164" s="7"/>
      <c r="DI164" s="107" t="n">
        <f aca="false">IF(OR(ISNUMBER($DF164),$DF164=Constants!$B$7,$DF164=Constants!$B$5,$DF164=Constants!$B$6),1,0)</f>
        <v>0</v>
      </c>
      <c r="DJ164" s="107" t="n">
        <v>156</v>
      </c>
      <c r="DK164" s="107" t="str">
        <f aca="false">IF(ISBLANK($C164),"",IF(ISNUMBER($DG164),$DG164+ROW($B164)/1000,""))</f>
        <v/>
      </c>
      <c r="DL164" s="107" t="str">
        <f aca="false">IF(ISNUMBER($DK164),RANK($DK164,$DK$9:$DK$508,1),"")</f>
        <v/>
      </c>
      <c r="DM164" s="107" t="str">
        <f aca="false">IF(ISBLANK($C164),"",$B164)</f>
        <v/>
      </c>
      <c r="DN164" s="107" t="str">
        <f aca="false">IF(ISBLANK($C164),"",$C164)</f>
        <v/>
      </c>
      <c r="DO164" s="107" t="str">
        <f aca="false">IF(ISBLANK($C164),"",$D164)</f>
        <v/>
      </c>
      <c r="DP164" s="108" t="str">
        <f aca="false">$DD164</f>
        <v/>
      </c>
      <c r="DQ164" s="109" t="str">
        <f aca="false">$DC164</f>
        <v/>
      </c>
      <c r="DR164" s="107" t="str">
        <f aca="false">IF(ISBLANK($C164),"",$DF164)</f>
        <v/>
      </c>
      <c r="DS164" s="110" t="str">
        <f aca="false">IF($DJ164&gt;$DI$8,"",VLOOKUP($DJ164,$DL$9:$DR$508,7,FALSE()))</f>
        <v/>
      </c>
      <c r="DT164" s="111" t="str">
        <f aca="false">IF($DJ164&gt;$DI$8,"",VLOOKUP($DJ164,$DL$9:$DR$508,2,FALSE()))</f>
        <v/>
      </c>
      <c r="DU164" s="111" t="str">
        <f aca="false">IF($DJ164&gt;$DI$8,"",VLOOKUP($DJ164,$DL$9:$DR$508,3,FALSE()))</f>
        <v/>
      </c>
      <c r="DV164" s="111" t="str">
        <f aca="false">IF($DJ164&gt;$DI$8,"",VLOOKUP($DJ164,$DL$9:$DR$508,4,FALSE()))</f>
        <v/>
      </c>
      <c r="DW164" s="111" t="str">
        <f aca="false">IF($DJ164&gt;$DI$8,"",VLOOKUP($DJ164,$DL$9:$DR$508,5,FALSE()))</f>
        <v/>
      </c>
      <c r="DX164" s="112" t="str">
        <f aca="false">IF($DJ164&gt;$DI$8,"",VLOOKUP($DJ164,$DL$9:$DR$508,6,FALSE()))</f>
        <v/>
      </c>
      <c r="DY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88"/>
      <c r="N165" s="88"/>
      <c r="O165" s="134"/>
      <c r="P165" s="134"/>
      <c r="Q165" s="88"/>
      <c r="R165" s="88"/>
      <c r="S165" s="88"/>
      <c r="T165" s="88"/>
      <c r="U165" s="134"/>
      <c r="V165" s="88"/>
      <c r="W165" s="70"/>
      <c r="X165" s="88"/>
      <c r="Y165" s="88"/>
      <c r="Z165" s="70"/>
      <c r="AA165" s="70"/>
      <c r="AB165" s="88"/>
      <c r="AC165" s="88"/>
      <c r="AD165" s="88"/>
      <c r="AE165" s="71"/>
      <c r="AF165" s="88"/>
      <c r="AG165" s="73"/>
      <c r="AH165" s="74"/>
      <c r="AI165" s="74"/>
      <c r="AJ165" s="74" t="str">
        <f aca="false">IF(ISBLANK($C165),"",IF($E165=Constants!$B$2,TRUE(),IF($E165=Constants!$B$3,FALSE(),TRUE())))</f>
        <v/>
      </c>
      <c r="AK165" s="74" t="str">
        <f aca="false">IF(ISBLANK($C165),"",IF($F165=Constants!$B$2,TRUE(),IF($F165=Constants!$B$3,FALSE(),FALSE())))</f>
        <v/>
      </c>
      <c r="AL165" s="74" t="str">
        <f aca="false">IF(ISBLANK($C165),"",IF($G165=Constants!$B$2,TRUE(),IF($G165=Constants!$B$3,FALSE(),TRUE())))</f>
        <v/>
      </c>
      <c r="AM165" s="74" t="str">
        <f aca="false">IF(ISBLANK($C165),"",IF($H165=Constants!$B$2,TRUE(),IF($H165=Constants!$B$3,FALSE(),TRUE())))</f>
        <v/>
      </c>
      <c r="AN165" s="74" t="str">
        <f aca="false">IF(ISBLANK($C165),"",IF(ISNUMBER($I165),IF($I165&gt;=0,$I165,""),""))</f>
        <v/>
      </c>
      <c r="AO165" s="74" t="str">
        <f aca="false">IF(ISBLANK($C165),"",IF(ISNUMBER($J165),IF($J165&gt;=0,$J165,""),""))</f>
        <v/>
      </c>
      <c r="AP165" s="74" t="str">
        <f aca="false">IF(ISBLANK($C165),"",IF(ISNUMBER($K165),IF($K165&gt;=0,$K165,""),""))</f>
        <v/>
      </c>
      <c r="AQ165" s="74" t="str">
        <f aca="false">IF(ISBLANK($C165),"",IF($L165=Constants!$B$2,TRUE(),IF($L165=Constants!$B$3,FALSE(),TRUE())))</f>
        <v/>
      </c>
      <c r="AR165" s="74" t="str">
        <f aca="false">IF(ISBLANK($C165),"",IF($M165=Constants!$B$2,TRUE(),IF($M165=Constants!$B$3,FALSE(),TRUE())))</f>
        <v/>
      </c>
      <c r="AS165" s="74" t="str">
        <f aca="false">IF(ISBLANK($C165),"",IF($N165=Constants!$B$2,TRUE(),IF($N165=Constants!$B$3,FALSE(),FALSE())))</f>
        <v/>
      </c>
      <c r="AT165" s="74" t="str">
        <f aca="false">IF(ISBLANK($C165),"",IF($O165=Constants!$B$2,TRUE(),IF($O165=Constants!$B$3,FALSE(),TRUE())))</f>
        <v/>
      </c>
      <c r="AU165" s="74" t="str">
        <f aca="false">IF(ISBLANK($C165),"",IF($P165=Constants!$B$2,TRUE(),IF($P165=Constants!$B$3,FALSE(),TRUE())))</f>
        <v/>
      </c>
      <c r="AV165" s="74" t="str">
        <f aca="false">IF(ISBLANK($C165),"",IF($Q165=Constants!$B$2,TRUE(),IF($Q165=Constants!$B$3,FALSE(),FALSE())))</f>
        <v/>
      </c>
      <c r="AW165" s="74" t="str">
        <f aca="false">IF(ISBLANK($C165),"",IF($R165=Constants!$B$2,TRUE(),IF($R165=Constants!$B$3,FALSE(),FALSE())))</f>
        <v/>
      </c>
      <c r="AX165" s="74" t="str">
        <f aca="false">IF(ISBLANK($C165),"",IF($S165=Constants!$B$2,TRUE(),IF($S165=Constants!$B$3,FALSE(),FALSE())))</f>
        <v/>
      </c>
      <c r="AY165" s="74" t="str">
        <f aca="false">IF(ISBLANK($C165),"",IF($T165=Constants!$B$2,TRUE(),IF($T165=Constants!$B$3,FALSE(),FALSE())))</f>
        <v/>
      </c>
      <c r="AZ165" s="74" t="str">
        <f aca="false">IF(ISBLANK($C165),"",IF($U165=Constants!$B$2,TRUE(),IF($U165=Constants!$B$3,FALSE(),FALSE())))</f>
        <v/>
      </c>
      <c r="BA165" s="74" t="str">
        <f aca="false">IF(ISBLANK($C165),"",IF(OR($V165&amp;""="1",$V165&amp;""="2",$V165&amp;""="3",$V165&amp;""="4"),VALUE($V165&amp;""),IF($V165=Constants!$B$12,Constants!$B$12,"")))</f>
        <v/>
      </c>
      <c r="BB165" s="74" t="str">
        <f aca="false">IF(ISBLANK($C165),"",IF(ISBLANK($W165),0,IF(ISNUMBER($W165),IF(AND($W165&gt;=0,$W165&lt;=Constants!$B$21,$W165=INT($W165)),$W165,""),"")))</f>
        <v/>
      </c>
      <c r="BC165" s="74" t="str">
        <f aca="false">IF(ISBLANK($C165),"",IF(ISBLANK($X165),0,IF(ISNUMBER($X165),IF($X165&gt;=0,$X165,""),"")))</f>
        <v/>
      </c>
      <c r="BD165" s="74" t="str">
        <f aca="false">IF(ISBLANK($C165),"",IF($Y165=Constants!$B$2,TRUE(),IF($Y165=Constants!$B$3,FALSE(),TRUE())))</f>
        <v/>
      </c>
      <c r="BE165" s="74" t="str">
        <f aca="false">IF(ISBLANK($C165),"",IF($Z165=Constants!$B$2,TRUE(),IF($Z165=Constants!$B$3,FALSE(),FALSE())))</f>
        <v/>
      </c>
      <c r="BF165" s="74" t="str">
        <f aca="false">IF(ISBLANK($C165),"",IF(ISBLANK($AA165),0,IF(ISNUMBER($AA165),IF(AND($AA165&gt;=0,$AA165&lt;=Constants!$B$35,$AA165=INT($AA165)),$AA165,""),"")))</f>
        <v/>
      </c>
      <c r="BG165" s="74" t="str">
        <f aca="false">IF(ISBLANK($C165),"",IF($AB165=Constants!$B$2,TRUE(),IF($AB165=Constants!$B$3,FALSE(),TRUE())))</f>
        <v/>
      </c>
      <c r="BH165" s="74" t="str">
        <f aca="false">IF(ISBLANK($C165),"",IF($AC165=Constants!$B$2,TRUE(),IF($AC165=Constants!$B$3,FALSE(),TRUE())))</f>
        <v/>
      </c>
      <c r="BI165" s="74" t="str">
        <f aca="false">IF(ISBLANK($C165),"",IF($AD165=Constants!$B$2,TRUE(),IF($AD165=Constants!$B$3,FALSE(),TRUE())))</f>
        <v/>
      </c>
      <c r="BJ165" s="74" t="str">
        <f aca="false">IF(ISBLANK($C165),"",IF(ISNUMBER($AE165),IF($AE165&gt;=0,$AE165,""),""))</f>
        <v/>
      </c>
      <c r="BK165" s="74" t="str">
        <f aca="false">IF(ISBLANK($C165),"",IF($AF165=Constants!$B$2,TRUE(),IF($AF165=Constants!$B$3,FALSE(),FALSE())))</f>
        <v/>
      </c>
      <c r="BL165" s="73" t="str">
        <f aca="false">IF(ISBLANK($C165),"",IF($BK165,Constants!$B$7,IF(COUNTA($E165:$AE165)=0,Constants!$B$6,IF(OR(COUNTA($G165:$AE165)=0,NOT($AM165),$AS165),Constants!$B$5,IF(OR($CM165&lt;&gt;"",$CN165,$CO165,$CP165,$CQ165,$CR165,$CS165),Constants!$B$8,Constants!$B$4)))))</f>
        <v/>
      </c>
      <c r="BM165" s="74" t="str">
        <f aca="false">IF(ISBLANK($C165),"",IF($BL165&lt;&gt;Constants!$B$4,$BL165,IF(OR(NOT($AJ165),NOT($AL165),NOT($AT165)),Constants!$B$11,IF(OR(NOT($AR165),NOT($AU165),NOT($BI165),MAX($AN165,$AO165,$AP165)&gt;Constants!$B$30),Constants!$B$10,Constants!$B$9))))</f>
        <v/>
      </c>
      <c r="BN165" s="74" t="str">
        <f aca="false">IF($BL165&lt;&gt;Constants!$B$4,"",IF(NOT($AL165),0,MIN(Constants!$B$35,$BF165)))</f>
        <v/>
      </c>
      <c r="BO165" s="74" t="str">
        <f aca="false">IF($BL165&lt;&gt;Constants!$B$4,"",IF(NOT($AL165),0,IF($AW165,Constants!$B$18,IF($AV165,Constants!$B$17,0))))</f>
        <v/>
      </c>
      <c r="BP165" s="74" t="str">
        <f aca="false">IF($BL165&lt;&gt;Constants!$B$4,"",IF(NOT($AL165),0,Constants!$B$19*($AK165+$AX165+$AY165+$AZ165)))</f>
        <v/>
      </c>
      <c r="BQ165" s="74" t="str">
        <f aca="false">IF($BL165&lt;&gt;Constants!$B$4,"",IF(OR(NOT($AL165),NOT(ISNUMBER($BA165))),0,CHOOSE($BA165,Constants!$B$13,Constants!$B$14,Constants!$B$15,Constants!$B$16)))</f>
        <v/>
      </c>
      <c r="BR165" s="74" t="str">
        <f aca="false">IF($BL165&lt;&gt;Constants!$B$4,"",IF(NOT($AL165),0,Constants!$B$20*$BB165))</f>
        <v/>
      </c>
      <c r="BS165" s="74" t="str">
        <f aca="false">IF($BL165&lt;&gt;Constants!$B$4,"",IF(AND($AL165,$BD165,$BE165),Constants!$B$22,0))</f>
        <v/>
      </c>
      <c r="BT165" s="74" t="str">
        <f aca="false">IF($BL165&lt;&gt;Constants!$B$4,"",IF(OR(NOT($AL165),NOT($BD165)),0,IF($BJ165&gt;=2*$AH$9,0,Constants!$B$23*INT(ROUND(MIN($BJ165,$AH$9),6)))))</f>
        <v/>
      </c>
      <c r="BU165" s="74" t="str">
        <f aca="false">IF($BL165&lt;&gt;Constants!$B$4,"",IF(NOT($AL165),0,Constants!$B$24*INT(ROUND(MIN($BC165,$AH$9),6))))</f>
        <v/>
      </c>
      <c r="BV165" s="74" t="str">
        <f aca="false">IF($BL165&lt;&gt;Constants!$B$4,"",IF(AND($AL165,$BN165=0),Constants!$B$25,0))</f>
        <v/>
      </c>
      <c r="BW165" s="74" t="str">
        <f aca="false">IF($BL165&lt;&gt;Constants!$B$4,"",MIN(Constants!$B$29,MAX(0,Constants!$B$27*Constants!$B$28*INT(ROUND((Constants!$B$26-$AN165)/Constants!$B$28,6))))+MIN(Constants!$B$29,MAX(0,Constants!$B$27*Constants!$B$28*INT(ROUND((Constants!$B$26-$AO165)/Constants!$B$28,6))))+MIN(Constants!$B$29,MAX(0,Constants!$B$27*Constants!$B$28*INT(ROUND((Constants!$B$26-$AP165)/Constants!$B$28,6)))))</f>
        <v/>
      </c>
      <c r="BX165" s="74" t="str">
        <f aca="false">IF($BL165&lt;&gt;Constants!$B$4,"",IF(NOT($AL165),0,Constants!$B$31*INT(ROUND(MAX(0,MIN($BJ165,2*$AH$9)-$AH$9),6))))</f>
        <v/>
      </c>
      <c r="BY165" s="74" t="str">
        <f aca="false">IF($BL165&lt;&gt;Constants!$B$4,"",Constants!$B$32*(($AN165&gt;Constants!$B$26)+($AO165&gt;Constants!$B$26)+($AP165&gt;Constants!$B$26)))</f>
        <v/>
      </c>
      <c r="BZ165" s="74" t="str">
        <f aca="false">IF($BL165&lt;&gt;Constants!$B$4,"",IF(OR(NOT($AL165),$AQ165),0,Constants!$B$33))</f>
        <v/>
      </c>
      <c r="CA165" s="74" t="str">
        <f aca="false">IF($BL165&lt;&gt;Constants!$B$4,"",Constants!$B$34*$BN165)</f>
        <v/>
      </c>
      <c r="CB165" s="74" t="str">
        <f aca="false">IF($BL165&lt;&gt;Constants!$B$4,"",IF(OR(NOT($AL165),$BH165),0,Constants!$B$36))</f>
        <v/>
      </c>
      <c r="CC165" s="74" t="str">
        <f aca="false">IF($BL165&lt;&gt;Constants!$B$4,"",IF(OR(NOT($AL165),$BG165),0,Constants!$B$37))</f>
        <v/>
      </c>
      <c r="CD165" s="74" t="str">
        <f aca="false">IF($BL165&lt;&gt;Constants!$B$4,"",SUM($BX165:$CC165))</f>
        <v/>
      </c>
      <c r="CE165" s="74" t="str">
        <f aca="false">IF(ISBLANK($C165),"",IF($BL165&lt;&gt;Constants!$B$4,$BL165,SUM($BO165:$BW165)-$CD165))</f>
        <v/>
      </c>
      <c r="CF165" s="74" t="str">
        <f aca="false">IF(ISBLANK($C165),"",IF($BL165&lt;&gt;Constants!$B$4,$BL165,RANK($CE165,$CE$9:$CE$508)))</f>
        <v/>
      </c>
      <c r="CG165" s="74" t="str">
        <f aca="false">IF(ISBLANK($C165),"",IF($BL165&lt;&gt;Constants!$B$4,$BL165,COUNTIFS($BM$9:$BM$508,"&lt;"&amp;$BM165)+COUNTIFS($BM$9:$BM$508,$BM165,$CF$9:$CF$508,"&lt;"&amp;$CF165)+1))</f>
        <v/>
      </c>
      <c r="CH165" s="74" t="str">
        <f aca="false">IF(ISBLANK($C165),"",IF($BL165&lt;&gt;Constants!$B$4,$BL165,RANK($CD165,$CD$9:$CD$508,1)))</f>
        <v/>
      </c>
      <c r="CI165" s="74" t="str">
        <f aca="false">IF($BL165&lt;&gt;Constants!$B$4,"",$AN165+$AO165+$AP165)</f>
        <v/>
      </c>
      <c r="CJ165" s="74" t="str">
        <f aca="false">IF(ISBLANK($C165),"",IF($BL165&lt;&gt;Constants!$B$4,$BL165,RANK($CI165,$CI$9:$CI$508,1)))</f>
        <v/>
      </c>
      <c r="CK165" s="74" t="str">
        <f aca="false">IF(ISBLANK($C165),"",IF($BL165&lt;&gt;Constants!$B$4,$BL165,COUNTIFS($BM$9:$BM$508,"&lt;"&amp;$BM165)+COUNTIFS($BM$9:$BM$508,$BM165,$CF$9:$CF$508,"&lt;"&amp;$CF165)+COUNTIFS($BM$9:$BM$508,$BM165,$CF$9:$CF$508,$CF165,$CH$9:$CH$508,"&lt;"&amp;$CH165)+COUNTIFS($BM$9:$BM$508,$BM165,$CF$9:$CF$508,$CF165,$CH$9:$CH$508,$CH165,$CJ$9:$CJ$508,"&lt;"&amp;$CJ165)+1))</f>
        <v/>
      </c>
      <c r="CL165" s="74" t="str">
        <f aca="false">IF(ISBLANK($C165),"",IF($BL165&lt;&gt;Constants!$B$4,$BL165,$CG165-$CK165))</f>
        <v/>
      </c>
      <c r="CM165" s="74" t="str">
        <f aca="false">IF(ISBLANK($C165),"",IF(NOT($AL165),"",IF(ISBLANK($D$7),$CM$5,IF(NOT(ISNUMBER($D$7)),$CM$6,""))))</f>
        <v/>
      </c>
      <c r="CN165" s="74" t="str">
        <f aca="false">IF(ISBLANK($C165),"",OR($AN165="",$AO165="",$AP165=""))</f>
        <v/>
      </c>
      <c r="CO165" s="74" t="str">
        <f aca="false">IF(ISBLANK($C165),"",AND($AL165,$BA165=""))</f>
        <v/>
      </c>
      <c r="CP165" s="74" t="str">
        <f aca="false">IF(ISBLANK($C165),"",AND($AL165,$BB165=""))</f>
        <v/>
      </c>
      <c r="CQ165" s="74" t="str">
        <f aca="false">IF(ISBLANK($C165),"",AND($AL165,$BC165=""))</f>
        <v/>
      </c>
      <c r="CR165" s="74" t="str">
        <f aca="false">IF(ISBLANK($C165),"",AND($AL165,$BF165=""))</f>
        <v/>
      </c>
      <c r="CS165" s="74" t="str">
        <f aca="false">IF(ISBLANK($C165),"",AND($AL165,$BJ165=""))</f>
        <v/>
      </c>
      <c r="CT165" s="75"/>
      <c r="CU165" s="76"/>
      <c r="CV165" s="79" t="str">
        <f aca="false">IF(ISBLANK($C165),"",IF($BL165=Constants!$B$8,$CM165,""))</f>
        <v/>
      </c>
      <c r="CW165" s="76" t="str">
        <f aca="false">IF(ISBLANK($C165),"",IF($BL165&lt;&gt;Constants!$B$4,"",$BO165+$BP165))</f>
        <v/>
      </c>
      <c r="CX165" s="78" t="str">
        <f aca="false">IF(ISBLANK($C165),"",IF($BL165&lt;&gt;Constants!$B$4,"",$BQ165+$BR165+$BS165))</f>
        <v/>
      </c>
      <c r="CY165" s="78" t="str">
        <f aca="false">IF(ISBLANK($C165),"",IF($BL165&lt;&gt;Constants!$B$4,"",$BT165))</f>
        <v/>
      </c>
      <c r="CZ165" s="78" t="str">
        <f aca="false">IF(ISBLANK($C165),"",IF($BL165&lt;&gt;Constants!$B$4,"",$BU165+$BV165))</f>
        <v/>
      </c>
      <c r="DA165" s="78" t="str">
        <f aca="false">IF(ISBLANK($C165),"",IF($BL165&lt;&gt;Constants!$B$4,"",$BW165))</f>
        <v/>
      </c>
      <c r="DB165" s="78" t="str">
        <f aca="false">IF(ISBLANK($C165),"",IF($BL165&lt;&gt;Constants!$B$4,"",-$CD165))</f>
        <v/>
      </c>
      <c r="DC165" s="79" t="str">
        <f aca="false">IF(ISBLANK($C165),"",$CE165)</f>
        <v/>
      </c>
      <c r="DD165" s="80" t="str">
        <f aca="false">IF(ISBLANK($C165),"",$BM165)</f>
        <v/>
      </c>
      <c r="DE165" s="78" t="str">
        <f aca="false">IF(ISBLANK($C165),"",$CL165)</f>
        <v/>
      </c>
      <c r="DF165" s="78" t="str">
        <f aca="false">IF(ISBLANK($C165),"",$CK165)</f>
        <v/>
      </c>
      <c r="DG165" s="81" t="str">
        <f aca="false">IF(ISBLANK($C165),"",IF($DF165=Constants!$B$7,COUNTA($C$9:$C$508)+2,IF($DF165=Constants!$B$6,COUNTA($C$9:$C$508)+1,IF($DF165=Constants!$B$5,COUNTA($C$9:$C$508),$DF165))))</f>
        <v/>
      </c>
      <c r="DH165" s="7"/>
      <c r="DI165" s="82" t="n">
        <f aca="false">IF(OR(ISNUMBER($DF165),$DF165=Constants!$B$7,$DF165=Constants!$B$5,$DF165=Constants!$B$6),1,0)</f>
        <v>0</v>
      </c>
      <c r="DJ165" s="82" t="n">
        <v>157</v>
      </c>
      <c r="DK165" s="82" t="str">
        <f aca="false">IF(ISBLANK($C165),"",IF(ISNUMBER($DG165),$DG165+ROW($B165)/1000,""))</f>
        <v/>
      </c>
      <c r="DL165" s="82" t="str">
        <f aca="false">IF(ISNUMBER($DK165),RANK($DK165,$DK$9:$DK$508,1),"")</f>
        <v/>
      </c>
      <c r="DM165" s="82" t="str">
        <f aca="false">IF(ISBLANK($C165),"",$B165)</f>
        <v/>
      </c>
      <c r="DN165" s="82" t="str">
        <f aca="false">IF(ISBLANK($C165),"",$C165)</f>
        <v/>
      </c>
      <c r="DO165" s="82" t="str">
        <f aca="false">IF(ISBLANK($C165),"",$D165)</f>
        <v/>
      </c>
      <c r="DP165" s="83" t="str">
        <f aca="false">$DD165</f>
        <v/>
      </c>
      <c r="DQ165" s="84" t="str">
        <f aca="false">$DC165</f>
        <v/>
      </c>
      <c r="DR165" s="82" t="str">
        <f aca="false">IF(ISBLANK($C165),"",$DF165)</f>
        <v/>
      </c>
      <c r="DS165" s="85" t="str">
        <f aca="false">IF($DJ165&gt;$DI$8,"",VLOOKUP($DJ165,$DL$9:$DR$508,7,FALSE()))</f>
        <v/>
      </c>
      <c r="DT165" s="86" t="str">
        <f aca="false">IF($DJ165&gt;$DI$8,"",VLOOKUP($DJ165,$DL$9:$DR$508,2,FALSE()))</f>
        <v/>
      </c>
      <c r="DU165" s="86" t="str">
        <f aca="false">IF($DJ165&gt;$DI$8,"",VLOOKUP($DJ165,$DL$9:$DR$508,3,FALSE()))</f>
        <v/>
      </c>
      <c r="DV165" s="86" t="str">
        <f aca="false">IF($DJ165&gt;$DI$8,"",VLOOKUP($DJ165,$DL$9:$DR$508,4,FALSE()))</f>
        <v/>
      </c>
      <c r="DW165" s="86" t="str">
        <f aca="false">IF($DJ165&gt;$DI$8,"",VLOOKUP($DJ165,$DL$9:$DR$508,5,FALSE()))</f>
        <v/>
      </c>
      <c r="DX165" s="87" t="str">
        <f aca="false">IF($DJ165&gt;$DI$8,"",VLOOKUP($DJ165,$DL$9:$DR$508,6,FALSE()))</f>
        <v/>
      </c>
      <c r="DY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88"/>
      <c r="N166" s="88"/>
      <c r="O166" s="134"/>
      <c r="P166" s="134"/>
      <c r="Q166" s="88"/>
      <c r="R166" s="88"/>
      <c r="S166" s="88"/>
      <c r="T166" s="88"/>
      <c r="U166" s="134"/>
      <c r="V166" s="88"/>
      <c r="W166" s="70"/>
      <c r="X166" s="88"/>
      <c r="Y166" s="88"/>
      <c r="Z166" s="70"/>
      <c r="AA166" s="70"/>
      <c r="AB166" s="88"/>
      <c r="AC166" s="88"/>
      <c r="AD166" s="88"/>
      <c r="AE166" s="71"/>
      <c r="AF166" s="88"/>
      <c r="AG166" s="73"/>
      <c r="AH166" s="74"/>
      <c r="AI166" s="74"/>
      <c r="AJ166" s="74" t="str">
        <f aca="false">IF(ISBLANK($C166),"",IF($E166=Constants!$B$2,TRUE(),IF($E166=Constants!$B$3,FALSE(),TRUE())))</f>
        <v/>
      </c>
      <c r="AK166" s="74" t="str">
        <f aca="false">IF(ISBLANK($C166),"",IF($F166=Constants!$B$2,TRUE(),IF($F166=Constants!$B$3,FALSE(),FALSE())))</f>
        <v/>
      </c>
      <c r="AL166" s="74" t="str">
        <f aca="false">IF(ISBLANK($C166),"",IF($G166=Constants!$B$2,TRUE(),IF($G166=Constants!$B$3,FALSE(),TRUE())))</f>
        <v/>
      </c>
      <c r="AM166" s="74" t="str">
        <f aca="false">IF(ISBLANK($C166),"",IF($H166=Constants!$B$2,TRUE(),IF($H166=Constants!$B$3,FALSE(),TRUE())))</f>
        <v/>
      </c>
      <c r="AN166" s="74" t="str">
        <f aca="false">IF(ISBLANK($C166),"",IF(ISNUMBER($I166),IF($I166&gt;=0,$I166,""),""))</f>
        <v/>
      </c>
      <c r="AO166" s="74" t="str">
        <f aca="false">IF(ISBLANK($C166),"",IF(ISNUMBER($J166),IF($J166&gt;=0,$J166,""),""))</f>
        <v/>
      </c>
      <c r="AP166" s="74" t="str">
        <f aca="false">IF(ISBLANK($C166),"",IF(ISNUMBER($K166),IF($K166&gt;=0,$K166,""),""))</f>
        <v/>
      </c>
      <c r="AQ166" s="74" t="str">
        <f aca="false">IF(ISBLANK($C166),"",IF($L166=Constants!$B$2,TRUE(),IF($L166=Constants!$B$3,FALSE(),TRUE())))</f>
        <v/>
      </c>
      <c r="AR166" s="74" t="str">
        <f aca="false">IF(ISBLANK($C166),"",IF($M166=Constants!$B$2,TRUE(),IF($M166=Constants!$B$3,FALSE(),TRUE())))</f>
        <v/>
      </c>
      <c r="AS166" s="74" t="str">
        <f aca="false">IF(ISBLANK($C166),"",IF($N166=Constants!$B$2,TRUE(),IF($N166=Constants!$B$3,FALSE(),FALSE())))</f>
        <v/>
      </c>
      <c r="AT166" s="74" t="str">
        <f aca="false">IF(ISBLANK($C166),"",IF($O166=Constants!$B$2,TRUE(),IF($O166=Constants!$B$3,FALSE(),TRUE())))</f>
        <v/>
      </c>
      <c r="AU166" s="74" t="str">
        <f aca="false">IF(ISBLANK($C166),"",IF($P166=Constants!$B$2,TRUE(),IF($P166=Constants!$B$3,FALSE(),TRUE())))</f>
        <v/>
      </c>
      <c r="AV166" s="74" t="str">
        <f aca="false">IF(ISBLANK($C166),"",IF($Q166=Constants!$B$2,TRUE(),IF($Q166=Constants!$B$3,FALSE(),FALSE())))</f>
        <v/>
      </c>
      <c r="AW166" s="74" t="str">
        <f aca="false">IF(ISBLANK($C166),"",IF($R166=Constants!$B$2,TRUE(),IF($R166=Constants!$B$3,FALSE(),FALSE())))</f>
        <v/>
      </c>
      <c r="AX166" s="74" t="str">
        <f aca="false">IF(ISBLANK($C166),"",IF($S166=Constants!$B$2,TRUE(),IF($S166=Constants!$B$3,FALSE(),FALSE())))</f>
        <v/>
      </c>
      <c r="AY166" s="74" t="str">
        <f aca="false">IF(ISBLANK($C166),"",IF($T166=Constants!$B$2,TRUE(),IF($T166=Constants!$B$3,FALSE(),FALSE())))</f>
        <v/>
      </c>
      <c r="AZ166" s="74" t="str">
        <f aca="false">IF(ISBLANK($C166),"",IF($U166=Constants!$B$2,TRUE(),IF($U166=Constants!$B$3,FALSE(),FALSE())))</f>
        <v/>
      </c>
      <c r="BA166" s="74" t="str">
        <f aca="false">IF(ISBLANK($C166),"",IF(OR($V166&amp;""="1",$V166&amp;""="2",$V166&amp;""="3",$V166&amp;""="4"),VALUE($V166&amp;""),IF($V166=Constants!$B$12,Constants!$B$12,"")))</f>
        <v/>
      </c>
      <c r="BB166" s="74" t="str">
        <f aca="false">IF(ISBLANK($C166),"",IF(ISBLANK($W166),0,IF(ISNUMBER($W166),IF(AND($W166&gt;=0,$W166&lt;=Constants!$B$21,$W166=INT($W166)),$W166,""),"")))</f>
        <v/>
      </c>
      <c r="BC166" s="74" t="str">
        <f aca="false">IF(ISBLANK($C166),"",IF(ISBLANK($X166),0,IF(ISNUMBER($X166),IF($X166&gt;=0,$X166,""),"")))</f>
        <v/>
      </c>
      <c r="BD166" s="74" t="str">
        <f aca="false">IF(ISBLANK($C166),"",IF($Y166=Constants!$B$2,TRUE(),IF($Y166=Constants!$B$3,FALSE(),TRUE())))</f>
        <v/>
      </c>
      <c r="BE166" s="74" t="str">
        <f aca="false">IF(ISBLANK($C166),"",IF($Z166=Constants!$B$2,TRUE(),IF($Z166=Constants!$B$3,FALSE(),FALSE())))</f>
        <v/>
      </c>
      <c r="BF166" s="74" t="str">
        <f aca="false">IF(ISBLANK($C166),"",IF(ISBLANK($AA166),0,IF(ISNUMBER($AA166),IF(AND($AA166&gt;=0,$AA166&lt;=Constants!$B$35,$AA166=INT($AA166)),$AA166,""),"")))</f>
        <v/>
      </c>
      <c r="BG166" s="74" t="str">
        <f aca="false">IF(ISBLANK($C166),"",IF($AB166=Constants!$B$2,TRUE(),IF($AB166=Constants!$B$3,FALSE(),TRUE())))</f>
        <v/>
      </c>
      <c r="BH166" s="74" t="str">
        <f aca="false">IF(ISBLANK($C166),"",IF($AC166=Constants!$B$2,TRUE(),IF($AC166=Constants!$B$3,FALSE(),TRUE())))</f>
        <v/>
      </c>
      <c r="BI166" s="74" t="str">
        <f aca="false">IF(ISBLANK($C166),"",IF($AD166=Constants!$B$2,TRUE(),IF($AD166=Constants!$B$3,FALSE(),TRUE())))</f>
        <v/>
      </c>
      <c r="BJ166" s="74" t="str">
        <f aca="false">IF(ISBLANK($C166),"",IF(ISNUMBER($AE166),IF($AE166&gt;=0,$AE166,""),""))</f>
        <v/>
      </c>
      <c r="BK166" s="74" t="str">
        <f aca="false">IF(ISBLANK($C166),"",IF($AF166=Constants!$B$2,TRUE(),IF($AF166=Constants!$B$3,FALSE(),FALSE())))</f>
        <v/>
      </c>
      <c r="BL166" s="73" t="str">
        <f aca="false">IF(ISBLANK($C166),"",IF($BK166,Constants!$B$7,IF(COUNTA($E166:$AE166)=0,Constants!$B$6,IF(OR(COUNTA($G166:$AE166)=0,NOT($AM166),$AS166),Constants!$B$5,IF(OR($CM166&lt;&gt;"",$CN166,$CO166,$CP166,$CQ166,$CR166,$CS166),Constants!$B$8,Constants!$B$4)))))</f>
        <v/>
      </c>
      <c r="BM166" s="74" t="str">
        <f aca="false">IF(ISBLANK($C166),"",IF($BL166&lt;&gt;Constants!$B$4,$BL166,IF(OR(NOT($AJ166),NOT($AL166),NOT($AT166)),Constants!$B$11,IF(OR(NOT($AR166),NOT($AU166),NOT($BI166),MAX($AN166,$AO166,$AP166)&gt;Constants!$B$30),Constants!$B$10,Constants!$B$9))))</f>
        <v/>
      </c>
      <c r="BN166" s="74" t="str">
        <f aca="false">IF($BL166&lt;&gt;Constants!$B$4,"",IF(NOT($AL166),0,MIN(Constants!$B$35,$BF166)))</f>
        <v/>
      </c>
      <c r="BO166" s="74" t="str">
        <f aca="false">IF($BL166&lt;&gt;Constants!$B$4,"",IF(NOT($AL166),0,IF($AW166,Constants!$B$18,IF($AV166,Constants!$B$17,0))))</f>
        <v/>
      </c>
      <c r="BP166" s="74" t="str">
        <f aca="false">IF($BL166&lt;&gt;Constants!$B$4,"",IF(NOT($AL166),0,Constants!$B$19*($AK166+$AX166+$AY166+$AZ166)))</f>
        <v/>
      </c>
      <c r="BQ166" s="74" t="str">
        <f aca="false">IF($BL166&lt;&gt;Constants!$B$4,"",IF(OR(NOT($AL166),NOT(ISNUMBER($BA166))),0,CHOOSE($BA166,Constants!$B$13,Constants!$B$14,Constants!$B$15,Constants!$B$16)))</f>
        <v/>
      </c>
      <c r="BR166" s="74" t="str">
        <f aca="false">IF($BL166&lt;&gt;Constants!$B$4,"",IF(NOT($AL166),0,Constants!$B$20*$BB166))</f>
        <v/>
      </c>
      <c r="BS166" s="74" t="str">
        <f aca="false">IF($BL166&lt;&gt;Constants!$B$4,"",IF(AND($AL166,$BD166,$BE166),Constants!$B$22,0))</f>
        <v/>
      </c>
      <c r="BT166" s="74" t="str">
        <f aca="false">IF($BL166&lt;&gt;Constants!$B$4,"",IF(OR(NOT($AL166),NOT($BD166)),0,IF($BJ166&gt;=2*$AH$9,0,Constants!$B$23*INT(ROUND(MIN($BJ166,$AH$9),6)))))</f>
        <v/>
      </c>
      <c r="BU166" s="74" t="str">
        <f aca="false">IF($BL166&lt;&gt;Constants!$B$4,"",IF(NOT($AL166),0,Constants!$B$24*INT(ROUND(MIN($BC166,$AH$9),6))))</f>
        <v/>
      </c>
      <c r="BV166" s="74" t="str">
        <f aca="false">IF($BL166&lt;&gt;Constants!$B$4,"",IF(AND($AL166,$BN166=0),Constants!$B$25,0))</f>
        <v/>
      </c>
      <c r="BW166" s="74" t="str">
        <f aca="false">IF($BL166&lt;&gt;Constants!$B$4,"",MIN(Constants!$B$29,MAX(0,Constants!$B$27*Constants!$B$28*INT(ROUND((Constants!$B$26-$AN166)/Constants!$B$28,6))))+MIN(Constants!$B$29,MAX(0,Constants!$B$27*Constants!$B$28*INT(ROUND((Constants!$B$26-$AO166)/Constants!$B$28,6))))+MIN(Constants!$B$29,MAX(0,Constants!$B$27*Constants!$B$28*INT(ROUND((Constants!$B$26-$AP166)/Constants!$B$28,6)))))</f>
        <v/>
      </c>
      <c r="BX166" s="74" t="str">
        <f aca="false">IF($BL166&lt;&gt;Constants!$B$4,"",IF(NOT($AL166),0,Constants!$B$31*INT(ROUND(MAX(0,MIN($BJ166,2*$AH$9)-$AH$9),6))))</f>
        <v/>
      </c>
      <c r="BY166" s="74" t="str">
        <f aca="false">IF($BL166&lt;&gt;Constants!$B$4,"",Constants!$B$32*(($AN166&gt;Constants!$B$26)+($AO166&gt;Constants!$B$26)+($AP166&gt;Constants!$B$26)))</f>
        <v/>
      </c>
      <c r="BZ166" s="74" t="str">
        <f aca="false">IF($BL166&lt;&gt;Constants!$B$4,"",IF(OR(NOT($AL166),$AQ166),0,Constants!$B$33))</f>
        <v/>
      </c>
      <c r="CA166" s="74" t="str">
        <f aca="false">IF($BL166&lt;&gt;Constants!$B$4,"",Constants!$B$34*$BN166)</f>
        <v/>
      </c>
      <c r="CB166" s="74" t="str">
        <f aca="false">IF($BL166&lt;&gt;Constants!$B$4,"",IF(OR(NOT($AL166),$BH166),0,Constants!$B$36))</f>
        <v/>
      </c>
      <c r="CC166" s="74" t="str">
        <f aca="false">IF($BL166&lt;&gt;Constants!$B$4,"",IF(OR(NOT($AL166),$BG166),0,Constants!$B$37))</f>
        <v/>
      </c>
      <c r="CD166" s="74" t="str">
        <f aca="false">IF($BL166&lt;&gt;Constants!$B$4,"",SUM($BX166:$CC166))</f>
        <v/>
      </c>
      <c r="CE166" s="74" t="str">
        <f aca="false">IF(ISBLANK($C166),"",IF($BL166&lt;&gt;Constants!$B$4,$BL166,SUM($BO166:$BW166)-$CD166))</f>
        <v/>
      </c>
      <c r="CF166" s="74" t="str">
        <f aca="false">IF(ISBLANK($C166),"",IF($BL166&lt;&gt;Constants!$B$4,$BL166,RANK($CE166,$CE$9:$CE$508)))</f>
        <v/>
      </c>
      <c r="CG166" s="74" t="str">
        <f aca="false">IF(ISBLANK($C166),"",IF($BL166&lt;&gt;Constants!$B$4,$BL166,COUNTIFS($BM$9:$BM$508,"&lt;"&amp;$BM166)+COUNTIFS($BM$9:$BM$508,$BM166,$CF$9:$CF$508,"&lt;"&amp;$CF166)+1))</f>
        <v/>
      </c>
      <c r="CH166" s="74" t="str">
        <f aca="false">IF(ISBLANK($C166),"",IF($BL166&lt;&gt;Constants!$B$4,$BL166,RANK($CD166,$CD$9:$CD$508,1)))</f>
        <v/>
      </c>
      <c r="CI166" s="74" t="str">
        <f aca="false">IF($BL166&lt;&gt;Constants!$B$4,"",$AN166+$AO166+$AP166)</f>
        <v/>
      </c>
      <c r="CJ166" s="74" t="str">
        <f aca="false">IF(ISBLANK($C166),"",IF($BL166&lt;&gt;Constants!$B$4,$BL166,RANK($CI166,$CI$9:$CI$508,1)))</f>
        <v/>
      </c>
      <c r="CK166" s="74" t="str">
        <f aca="false">IF(ISBLANK($C166),"",IF($BL166&lt;&gt;Constants!$B$4,$BL166,COUNTIFS($BM$9:$BM$508,"&lt;"&amp;$BM166)+COUNTIFS($BM$9:$BM$508,$BM166,$CF$9:$CF$508,"&lt;"&amp;$CF166)+COUNTIFS($BM$9:$BM$508,$BM166,$CF$9:$CF$508,$CF166,$CH$9:$CH$508,"&lt;"&amp;$CH166)+COUNTIFS($BM$9:$BM$508,$BM166,$CF$9:$CF$508,$CF166,$CH$9:$CH$508,$CH166,$CJ$9:$CJ$508,"&lt;"&amp;$CJ166)+1))</f>
        <v/>
      </c>
      <c r="CL166" s="74" t="str">
        <f aca="false">IF(ISBLANK($C166),"",IF($BL166&lt;&gt;Constants!$B$4,$BL166,$CG166-$CK166))</f>
        <v/>
      </c>
      <c r="CM166" s="74" t="str">
        <f aca="false">IF(ISBLANK($C166),"",IF(NOT($AL166),"",IF(ISBLANK($D$7),$CM$5,IF(NOT(ISNUMBER($D$7)),$CM$6,""))))</f>
        <v/>
      </c>
      <c r="CN166" s="74" t="str">
        <f aca="false">IF(ISBLANK($C166),"",OR($AN166="",$AO166="",$AP166=""))</f>
        <v/>
      </c>
      <c r="CO166" s="74" t="str">
        <f aca="false">IF(ISBLANK($C166),"",AND($AL166,$BA166=""))</f>
        <v/>
      </c>
      <c r="CP166" s="74" t="str">
        <f aca="false">IF(ISBLANK($C166),"",AND($AL166,$BB166=""))</f>
        <v/>
      </c>
      <c r="CQ166" s="74" t="str">
        <f aca="false">IF(ISBLANK($C166),"",AND($AL166,$BC166=""))</f>
        <v/>
      </c>
      <c r="CR166" s="74" t="str">
        <f aca="false">IF(ISBLANK($C166),"",AND($AL166,$BF166=""))</f>
        <v/>
      </c>
      <c r="CS166" s="74" t="str">
        <f aca="false">IF(ISBLANK($C166),"",AND($AL166,$BJ166=""))</f>
        <v/>
      </c>
      <c r="CT166" s="75"/>
      <c r="CU166" s="76"/>
      <c r="CV166" s="79" t="str">
        <f aca="false">IF(ISBLANK($C166),"",IF($BL166=Constants!$B$8,$CM166,""))</f>
        <v/>
      </c>
      <c r="CW166" s="76" t="str">
        <f aca="false">IF(ISBLANK($C166),"",IF($BL166&lt;&gt;Constants!$B$4,"",$BO166+$BP166))</f>
        <v/>
      </c>
      <c r="CX166" s="78" t="str">
        <f aca="false">IF(ISBLANK($C166),"",IF($BL166&lt;&gt;Constants!$B$4,"",$BQ166+$BR166+$BS166))</f>
        <v/>
      </c>
      <c r="CY166" s="78" t="str">
        <f aca="false">IF(ISBLANK($C166),"",IF($BL166&lt;&gt;Constants!$B$4,"",$BT166))</f>
        <v/>
      </c>
      <c r="CZ166" s="78" t="str">
        <f aca="false">IF(ISBLANK($C166),"",IF($BL166&lt;&gt;Constants!$B$4,"",$BU166+$BV166))</f>
        <v/>
      </c>
      <c r="DA166" s="78" t="str">
        <f aca="false">IF(ISBLANK($C166),"",IF($BL166&lt;&gt;Constants!$B$4,"",$BW166))</f>
        <v/>
      </c>
      <c r="DB166" s="78" t="str">
        <f aca="false">IF(ISBLANK($C166),"",IF($BL166&lt;&gt;Constants!$B$4,"",-$CD166))</f>
        <v/>
      </c>
      <c r="DC166" s="79" t="str">
        <f aca="false">IF(ISBLANK($C166),"",$CE166)</f>
        <v/>
      </c>
      <c r="DD166" s="80" t="str">
        <f aca="false">IF(ISBLANK($C166),"",$BM166)</f>
        <v/>
      </c>
      <c r="DE166" s="78" t="str">
        <f aca="false">IF(ISBLANK($C166),"",$CL166)</f>
        <v/>
      </c>
      <c r="DF166" s="78" t="str">
        <f aca="false">IF(ISBLANK($C166),"",$CK166)</f>
        <v/>
      </c>
      <c r="DG166" s="81" t="str">
        <f aca="false">IF(ISBLANK($C166),"",IF($DF166=Constants!$B$7,COUNTA($C$9:$C$508)+2,IF($DF166=Constants!$B$6,COUNTA($C$9:$C$508)+1,IF($DF166=Constants!$B$5,COUNTA($C$9:$C$508),$DF166))))</f>
        <v/>
      </c>
      <c r="DH166" s="7"/>
      <c r="DI166" s="82" t="n">
        <f aca="false">IF(OR(ISNUMBER($DF166),$DF166=Constants!$B$7,$DF166=Constants!$B$5,$DF166=Constants!$B$6),1,0)</f>
        <v>0</v>
      </c>
      <c r="DJ166" s="82" t="n">
        <v>158</v>
      </c>
      <c r="DK166" s="82" t="str">
        <f aca="false">IF(ISBLANK($C166),"",IF(ISNUMBER($DG166),$DG166+ROW($B166)/1000,""))</f>
        <v/>
      </c>
      <c r="DL166" s="82" t="str">
        <f aca="false">IF(ISNUMBER($DK166),RANK($DK166,$DK$9:$DK$508,1),"")</f>
        <v/>
      </c>
      <c r="DM166" s="82" t="str">
        <f aca="false">IF(ISBLANK($C166),"",$B166)</f>
        <v/>
      </c>
      <c r="DN166" s="82" t="str">
        <f aca="false">IF(ISBLANK($C166),"",$C166)</f>
        <v/>
      </c>
      <c r="DO166" s="82" t="str">
        <f aca="false">IF(ISBLANK($C166),"",$D166)</f>
        <v/>
      </c>
      <c r="DP166" s="83" t="str">
        <f aca="false">$DD166</f>
        <v/>
      </c>
      <c r="DQ166" s="84" t="str">
        <f aca="false">$DC166</f>
        <v/>
      </c>
      <c r="DR166" s="82" t="str">
        <f aca="false">IF(ISBLANK($C166),"",$DF166)</f>
        <v/>
      </c>
      <c r="DS166" s="85" t="str">
        <f aca="false">IF($DJ166&gt;$DI$8,"",VLOOKUP($DJ166,$DL$9:$DR$508,7,FALSE()))</f>
        <v/>
      </c>
      <c r="DT166" s="86" t="str">
        <f aca="false">IF($DJ166&gt;$DI$8,"",VLOOKUP($DJ166,$DL$9:$DR$508,2,FALSE()))</f>
        <v/>
      </c>
      <c r="DU166" s="86" t="str">
        <f aca="false">IF($DJ166&gt;$DI$8,"",VLOOKUP($DJ166,$DL$9:$DR$508,3,FALSE()))</f>
        <v/>
      </c>
      <c r="DV166" s="86" t="str">
        <f aca="false">IF($DJ166&gt;$DI$8,"",VLOOKUP($DJ166,$DL$9:$DR$508,4,FALSE()))</f>
        <v/>
      </c>
      <c r="DW166" s="86" t="str">
        <f aca="false">IF($DJ166&gt;$DI$8,"",VLOOKUP($DJ166,$DL$9:$DR$508,5,FALSE()))</f>
        <v/>
      </c>
      <c r="DX166" s="87" t="str">
        <f aca="false">IF($DJ166&gt;$DI$8,"",VLOOKUP($DJ166,$DL$9:$DR$508,6,FALSE()))</f>
        <v/>
      </c>
      <c r="DY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88"/>
      <c r="N167" s="88"/>
      <c r="O167" s="134"/>
      <c r="P167" s="134"/>
      <c r="Q167" s="88"/>
      <c r="R167" s="88"/>
      <c r="S167" s="88"/>
      <c r="T167" s="88"/>
      <c r="U167" s="134"/>
      <c r="V167" s="88"/>
      <c r="W167" s="70"/>
      <c r="X167" s="88"/>
      <c r="Y167" s="88"/>
      <c r="Z167" s="70"/>
      <c r="AA167" s="70"/>
      <c r="AB167" s="88"/>
      <c r="AC167" s="88"/>
      <c r="AD167" s="88"/>
      <c r="AE167" s="71"/>
      <c r="AF167" s="88"/>
      <c r="AG167" s="73"/>
      <c r="AH167" s="74"/>
      <c r="AI167" s="74"/>
      <c r="AJ167" s="74" t="str">
        <f aca="false">IF(ISBLANK($C167),"",IF($E167=Constants!$B$2,TRUE(),IF($E167=Constants!$B$3,FALSE(),TRUE())))</f>
        <v/>
      </c>
      <c r="AK167" s="74" t="str">
        <f aca="false">IF(ISBLANK($C167),"",IF($F167=Constants!$B$2,TRUE(),IF($F167=Constants!$B$3,FALSE(),FALSE())))</f>
        <v/>
      </c>
      <c r="AL167" s="74" t="str">
        <f aca="false">IF(ISBLANK($C167),"",IF($G167=Constants!$B$2,TRUE(),IF($G167=Constants!$B$3,FALSE(),TRUE())))</f>
        <v/>
      </c>
      <c r="AM167" s="74" t="str">
        <f aca="false">IF(ISBLANK($C167),"",IF($H167=Constants!$B$2,TRUE(),IF($H167=Constants!$B$3,FALSE(),TRUE())))</f>
        <v/>
      </c>
      <c r="AN167" s="74" t="str">
        <f aca="false">IF(ISBLANK($C167),"",IF(ISNUMBER($I167),IF($I167&gt;=0,$I167,""),""))</f>
        <v/>
      </c>
      <c r="AO167" s="74" t="str">
        <f aca="false">IF(ISBLANK($C167),"",IF(ISNUMBER($J167),IF($J167&gt;=0,$J167,""),""))</f>
        <v/>
      </c>
      <c r="AP167" s="74" t="str">
        <f aca="false">IF(ISBLANK($C167),"",IF(ISNUMBER($K167),IF($K167&gt;=0,$K167,""),""))</f>
        <v/>
      </c>
      <c r="AQ167" s="74" t="str">
        <f aca="false">IF(ISBLANK($C167),"",IF($L167=Constants!$B$2,TRUE(),IF($L167=Constants!$B$3,FALSE(),TRUE())))</f>
        <v/>
      </c>
      <c r="AR167" s="74" t="str">
        <f aca="false">IF(ISBLANK($C167),"",IF($M167=Constants!$B$2,TRUE(),IF($M167=Constants!$B$3,FALSE(),TRUE())))</f>
        <v/>
      </c>
      <c r="AS167" s="74" t="str">
        <f aca="false">IF(ISBLANK($C167),"",IF($N167=Constants!$B$2,TRUE(),IF($N167=Constants!$B$3,FALSE(),FALSE())))</f>
        <v/>
      </c>
      <c r="AT167" s="74" t="str">
        <f aca="false">IF(ISBLANK($C167),"",IF($O167=Constants!$B$2,TRUE(),IF($O167=Constants!$B$3,FALSE(),TRUE())))</f>
        <v/>
      </c>
      <c r="AU167" s="74" t="str">
        <f aca="false">IF(ISBLANK($C167),"",IF($P167=Constants!$B$2,TRUE(),IF($P167=Constants!$B$3,FALSE(),TRUE())))</f>
        <v/>
      </c>
      <c r="AV167" s="74" t="str">
        <f aca="false">IF(ISBLANK($C167),"",IF($Q167=Constants!$B$2,TRUE(),IF($Q167=Constants!$B$3,FALSE(),FALSE())))</f>
        <v/>
      </c>
      <c r="AW167" s="74" t="str">
        <f aca="false">IF(ISBLANK($C167),"",IF($R167=Constants!$B$2,TRUE(),IF($R167=Constants!$B$3,FALSE(),FALSE())))</f>
        <v/>
      </c>
      <c r="AX167" s="74" t="str">
        <f aca="false">IF(ISBLANK($C167),"",IF($S167=Constants!$B$2,TRUE(),IF($S167=Constants!$B$3,FALSE(),FALSE())))</f>
        <v/>
      </c>
      <c r="AY167" s="74" t="str">
        <f aca="false">IF(ISBLANK($C167),"",IF($T167=Constants!$B$2,TRUE(),IF($T167=Constants!$B$3,FALSE(),FALSE())))</f>
        <v/>
      </c>
      <c r="AZ167" s="74" t="str">
        <f aca="false">IF(ISBLANK($C167),"",IF($U167=Constants!$B$2,TRUE(),IF($U167=Constants!$B$3,FALSE(),FALSE())))</f>
        <v/>
      </c>
      <c r="BA167" s="74" t="str">
        <f aca="false">IF(ISBLANK($C167),"",IF(OR($V167&amp;""="1",$V167&amp;""="2",$V167&amp;""="3",$V167&amp;""="4"),VALUE($V167&amp;""),IF($V167=Constants!$B$12,Constants!$B$12,"")))</f>
        <v/>
      </c>
      <c r="BB167" s="74" t="str">
        <f aca="false">IF(ISBLANK($C167),"",IF(ISBLANK($W167),0,IF(ISNUMBER($W167),IF(AND($W167&gt;=0,$W167&lt;=Constants!$B$21,$W167=INT($W167)),$W167,""),"")))</f>
        <v/>
      </c>
      <c r="BC167" s="74" t="str">
        <f aca="false">IF(ISBLANK($C167),"",IF(ISBLANK($X167),0,IF(ISNUMBER($X167),IF($X167&gt;=0,$X167,""),"")))</f>
        <v/>
      </c>
      <c r="BD167" s="74" t="str">
        <f aca="false">IF(ISBLANK($C167),"",IF($Y167=Constants!$B$2,TRUE(),IF($Y167=Constants!$B$3,FALSE(),TRUE())))</f>
        <v/>
      </c>
      <c r="BE167" s="74" t="str">
        <f aca="false">IF(ISBLANK($C167),"",IF($Z167=Constants!$B$2,TRUE(),IF($Z167=Constants!$B$3,FALSE(),FALSE())))</f>
        <v/>
      </c>
      <c r="BF167" s="74" t="str">
        <f aca="false">IF(ISBLANK($C167),"",IF(ISBLANK($AA167),0,IF(ISNUMBER($AA167),IF(AND($AA167&gt;=0,$AA167&lt;=Constants!$B$35,$AA167=INT($AA167)),$AA167,""),"")))</f>
        <v/>
      </c>
      <c r="BG167" s="74" t="str">
        <f aca="false">IF(ISBLANK($C167),"",IF($AB167=Constants!$B$2,TRUE(),IF($AB167=Constants!$B$3,FALSE(),TRUE())))</f>
        <v/>
      </c>
      <c r="BH167" s="74" t="str">
        <f aca="false">IF(ISBLANK($C167),"",IF($AC167=Constants!$B$2,TRUE(),IF($AC167=Constants!$B$3,FALSE(),TRUE())))</f>
        <v/>
      </c>
      <c r="BI167" s="74" t="str">
        <f aca="false">IF(ISBLANK($C167),"",IF($AD167=Constants!$B$2,TRUE(),IF($AD167=Constants!$B$3,FALSE(),TRUE())))</f>
        <v/>
      </c>
      <c r="BJ167" s="74" t="str">
        <f aca="false">IF(ISBLANK($C167),"",IF(ISNUMBER($AE167),IF($AE167&gt;=0,$AE167,""),""))</f>
        <v/>
      </c>
      <c r="BK167" s="74" t="str">
        <f aca="false">IF(ISBLANK($C167),"",IF($AF167=Constants!$B$2,TRUE(),IF($AF167=Constants!$B$3,FALSE(),FALSE())))</f>
        <v/>
      </c>
      <c r="BL167" s="73" t="str">
        <f aca="false">IF(ISBLANK($C167),"",IF($BK167,Constants!$B$7,IF(COUNTA($E167:$AE167)=0,Constants!$B$6,IF(OR(COUNTA($G167:$AE167)=0,NOT($AM167),$AS167),Constants!$B$5,IF(OR($CM167&lt;&gt;"",$CN167,$CO167,$CP167,$CQ167,$CR167,$CS167),Constants!$B$8,Constants!$B$4)))))</f>
        <v/>
      </c>
      <c r="BM167" s="74" t="str">
        <f aca="false">IF(ISBLANK($C167),"",IF($BL167&lt;&gt;Constants!$B$4,$BL167,IF(OR(NOT($AJ167),NOT($AL167),NOT($AT167)),Constants!$B$11,IF(OR(NOT($AR167),NOT($AU167),NOT($BI167),MAX($AN167,$AO167,$AP167)&gt;Constants!$B$30),Constants!$B$10,Constants!$B$9))))</f>
        <v/>
      </c>
      <c r="BN167" s="74" t="str">
        <f aca="false">IF($BL167&lt;&gt;Constants!$B$4,"",IF(NOT($AL167),0,MIN(Constants!$B$35,$BF167)))</f>
        <v/>
      </c>
      <c r="BO167" s="74" t="str">
        <f aca="false">IF($BL167&lt;&gt;Constants!$B$4,"",IF(NOT($AL167),0,IF($AW167,Constants!$B$18,IF($AV167,Constants!$B$17,0))))</f>
        <v/>
      </c>
      <c r="BP167" s="74" t="str">
        <f aca="false">IF($BL167&lt;&gt;Constants!$B$4,"",IF(NOT($AL167),0,Constants!$B$19*($AK167+$AX167+$AY167+$AZ167)))</f>
        <v/>
      </c>
      <c r="BQ167" s="74" t="str">
        <f aca="false">IF($BL167&lt;&gt;Constants!$B$4,"",IF(OR(NOT($AL167),NOT(ISNUMBER($BA167))),0,CHOOSE($BA167,Constants!$B$13,Constants!$B$14,Constants!$B$15,Constants!$B$16)))</f>
        <v/>
      </c>
      <c r="BR167" s="74" t="str">
        <f aca="false">IF($BL167&lt;&gt;Constants!$B$4,"",IF(NOT($AL167),0,Constants!$B$20*$BB167))</f>
        <v/>
      </c>
      <c r="BS167" s="74" t="str">
        <f aca="false">IF($BL167&lt;&gt;Constants!$B$4,"",IF(AND($AL167,$BD167,$BE167),Constants!$B$22,0))</f>
        <v/>
      </c>
      <c r="BT167" s="74" t="str">
        <f aca="false">IF($BL167&lt;&gt;Constants!$B$4,"",IF(OR(NOT($AL167),NOT($BD167)),0,IF($BJ167&gt;=2*$AH$9,0,Constants!$B$23*INT(ROUND(MIN($BJ167,$AH$9),6)))))</f>
        <v/>
      </c>
      <c r="BU167" s="74" t="str">
        <f aca="false">IF($BL167&lt;&gt;Constants!$B$4,"",IF(NOT($AL167),0,Constants!$B$24*INT(ROUND(MIN($BC167,$AH$9),6))))</f>
        <v/>
      </c>
      <c r="BV167" s="74" t="str">
        <f aca="false">IF($BL167&lt;&gt;Constants!$B$4,"",IF(AND($AL167,$BN167=0),Constants!$B$25,0))</f>
        <v/>
      </c>
      <c r="BW167" s="74" t="str">
        <f aca="false">IF($BL167&lt;&gt;Constants!$B$4,"",MIN(Constants!$B$29,MAX(0,Constants!$B$27*Constants!$B$28*INT(ROUND((Constants!$B$26-$AN167)/Constants!$B$28,6))))+MIN(Constants!$B$29,MAX(0,Constants!$B$27*Constants!$B$28*INT(ROUND((Constants!$B$26-$AO167)/Constants!$B$28,6))))+MIN(Constants!$B$29,MAX(0,Constants!$B$27*Constants!$B$28*INT(ROUND((Constants!$B$26-$AP167)/Constants!$B$28,6)))))</f>
        <v/>
      </c>
      <c r="BX167" s="74" t="str">
        <f aca="false">IF($BL167&lt;&gt;Constants!$B$4,"",IF(NOT($AL167),0,Constants!$B$31*INT(ROUND(MAX(0,MIN($BJ167,2*$AH$9)-$AH$9),6))))</f>
        <v/>
      </c>
      <c r="BY167" s="74" t="str">
        <f aca="false">IF($BL167&lt;&gt;Constants!$B$4,"",Constants!$B$32*(($AN167&gt;Constants!$B$26)+($AO167&gt;Constants!$B$26)+($AP167&gt;Constants!$B$26)))</f>
        <v/>
      </c>
      <c r="BZ167" s="74" t="str">
        <f aca="false">IF($BL167&lt;&gt;Constants!$B$4,"",IF(OR(NOT($AL167),$AQ167),0,Constants!$B$33))</f>
        <v/>
      </c>
      <c r="CA167" s="74" t="str">
        <f aca="false">IF($BL167&lt;&gt;Constants!$B$4,"",Constants!$B$34*$BN167)</f>
        <v/>
      </c>
      <c r="CB167" s="74" t="str">
        <f aca="false">IF($BL167&lt;&gt;Constants!$B$4,"",IF(OR(NOT($AL167),$BH167),0,Constants!$B$36))</f>
        <v/>
      </c>
      <c r="CC167" s="74" t="str">
        <f aca="false">IF($BL167&lt;&gt;Constants!$B$4,"",IF(OR(NOT($AL167),$BG167),0,Constants!$B$37))</f>
        <v/>
      </c>
      <c r="CD167" s="74" t="str">
        <f aca="false">IF($BL167&lt;&gt;Constants!$B$4,"",SUM($BX167:$CC167))</f>
        <v/>
      </c>
      <c r="CE167" s="74" t="str">
        <f aca="false">IF(ISBLANK($C167),"",IF($BL167&lt;&gt;Constants!$B$4,$BL167,SUM($BO167:$BW167)-$CD167))</f>
        <v/>
      </c>
      <c r="CF167" s="74" t="str">
        <f aca="false">IF(ISBLANK($C167),"",IF($BL167&lt;&gt;Constants!$B$4,$BL167,RANK($CE167,$CE$9:$CE$508)))</f>
        <v/>
      </c>
      <c r="CG167" s="74" t="str">
        <f aca="false">IF(ISBLANK($C167),"",IF($BL167&lt;&gt;Constants!$B$4,$BL167,COUNTIFS($BM$9:$BM$508,"&lt;"&amp;$BM167)+COUNTIFS($BM$9:$BM$508,$BM167,$CF$9:$CF$508,"&lt;"&amp;$CF167)+1))</f>
        <v/>
      </c>
      <c r="CH167" s="74" t="str">
        <f aca="false">IF(ISBLANK($C167),"",IF($BL167&lt;&gt;Constants!$B$4,$BL167,RANK($CD167,$CD$9:$CD$508,1)))</f>
        <v/>
      </c>
      <c r="CI167" s="74" t="str">
        <f aca="false">IF($BL167&lt;&gt;Constants!$B$4,"",$AN167+$AO167+$AP167)</f>
        <v/>
      </c>
      <c r="CJ167" s="74" t="str">
        <f aca="false">IF(ISBLANK($C167),"",IF($BL167&lt;&gt;Constants!$B$4,$BL167,RANK($CI167,$CI$9:$CI$508,1)))</f>
        <v/>
      </c>
      <c r="CK167" s="74" t="str">
        <f aca="false">IF(ISBLANK($C167),"",IF($BL167&lt;&gt;Constants!$B$4,$BL167,COUNTIFS($BM$9:$BM$508,"&lt;"&amp;$BM167)+COUNTIFS($BM$9:$BM$508,$BM167,$CF$9:$CF$508,"&lt;"&amp;$CF167)+COUNTIFS($BM$9:$BM$508,$BM167,$CF$9:$CF$508,$CF167,$CH$9:$CH$508,"&lt;"&amp;$CH167)+COUNTIFS($BM$9:$BM$508,$BM167,$CF$9:$CF$508,$CF167,$CH$9:$CH$508,$CH167,$CJ$9:$CJ$508,"&lt;"&amp;$CJ167)+1))</f>
        <v/>
      </c>
      <c r="CL167" s="74" t="str">
        <f aca="false">IF(ISBLANK($C167),"",IF($BL167&lt;&gt;Constants!$B$4,$BL167,$CG167-$CK167))</f>
        <v/>
      </c>
      <c r="CM167" s="74" t="str">
        <f aca="false">IF(ISBLANK($C167),"",IF(NOT($AL167),"",IF(ISBLANK($D$7),$CM$5,IF(NOT(ISNUMBER($D$7)),$CM$6,""))))</f>
        <v/>
      </c>
      <c r="CN167" s="74" t="str">
        <f aca="false">IF(ISBLANK($C167),"",OR($AN167="",$AO167="",$AP167=""))</f>
        <v/>
      </c>
      <c r="CO167" s="74" t="str">
        <f aca="false">IF(ISBLANK($C167),"",AND($AL167,$BA167=""))</f>
        <v/>
      </c>
      <c r="CP167" s="74" t="str">
        <f aca="false">IF(ISBLANK($C167),"",AND($AL167,$BB167=""))</f>
        <v/>
      </c>
      <c r="CQ167" s="74" t="str">
        <f aca="false">IF(ISBLANK($C167),"",AND($AL167,$BC167=""))</f>
        <v/>
      </c>
      <c r="CR167" s="74" t="str">
        <f aca="false">IF(ISBLANK($C167),"",AND($AL167,$BF167=""))</f>
        <v/>
      </c>
      <c r="CS167" s="74" t="str">
        <f aca="false">IF(ISBLANK($C167),"",AND($AL167,$BJ167=""))</f>
        <v/>
      </c>
      <c r="CT167" s="75"/>
      <c r="CU167" s="76"/>
      <c r="CV167" s="79" t="str">
        <f aca="false">IF(ISBLANK($C167),"",IF($BL167=Constants!$B$8,$CM167,""))</f>
        <v/>
      </c>
      <c r="CW167" s="76" t="str">
        <f aca="false">IF(ISBLANK($C167),"",IF($BL167&lt;&gt;Constants!$B$4,"",$BO167+$BP167))</f>
        <v/>
      </c>
      <c r="CX167" s="78" t="str">
        <f aca="false">IF(ISBLANK($C167),"",IF($BL167&lt;&gt;Constants!$B$4,"",$BQ167+$BR167+$BS167))</f>
        <v/>
      </c>
      <c r="CY167" s="78" t="str">
        <f aca="false">IF(ISBLANK($C167),"",IF($BL167&lt;&gt;Constants!$B$4,"",$BT167))</f>
        <v/>
      </c>
      <c r="CZ167" s="78" t="str">
        <f aca="false">IF(ISBLANK($C167),"",IF($BL167&lt;&gt;Constants!$B$4,"",$BU167+$BV167))</f>
        <v/>
      </c>
      <c r="DA167" s="78" t="str">
        <f aca="false">IF(ISBLANK($C167),"",IF($BL167&lt;&gt;Constants!$B$4,"",$BW167))</f>
        <v/>
      </c>
      <c r="DB167" s="78" t="str">
        <f aca="false">IF(ISBLANK($C167),"",IF($BL167&lt;&gt;Constants!$B$4,"",-$CD167))</f>
        <v/>
      </c>
      <c r="DC167" s="79" t="str">
        <f aca="false">IF(ISBLANK($C167),"",$CE167)</f>
        <v/>
      </c>
      <c r="DD167" s="80" t="str">
        <f aca="false">IF(ISBLANK($C167),"",$BM167)</f>
        <v/>
      </c>
      <c r="DE167" s="78" t="str">
        <f aca="false">IF(ISBLANK($C167),"",$CL167)</f>
        <v/>
      </c>
      <c r="DF167" s="78" t="str">
        <f aca="false">IF(ISBLANK($C167),"",$CK167)</f>
        <v/>
      </c>
      <c r="DG167" s="81" t="str">
        <f aca="false">IF(ISBLANK($C167),"",IF($DF167=Constants!$B$7,COUNTA($C$9:$C$508)+2,IF($DF167=Constants!$B$6,COUNTA($C$9:$C$508)+1,IF($DF167=Constants!$B$5,COUNTA($C$9:$C$508),$DF167))))</f>
        <v/>
      </c>
      <c r="DH167" s="7"/>
      <c r="DI167" s="82" t="n">
        <f aca="false">IF(OR(ISNUMBER($DF167),$DF167=Constants!$B$7,$DF167=Constants!$B$5,$DF167=Constants!$B$6),1,0)</f>
        <v>0</v>
      </c>
      <c r="DJ167" s="82" t="n">
        <v>159</v>
      </c>
      <c r="DK167" s="82" t="str">
        <f aca="false">IF(ISBLANK($C167),"",IF(ISNUMBER($DG167),$DG167+ROW($B167)/1000,""))</f>
        <v/>
      </c>
      <c r="DL167" s="82" t="str">
        <f aca="false">IF(ISNUMBER($DK167),RANK($DK167,$DK$9:$DK$508,1),"")</f>
        <v/>
      </c>
      <c r="DM167" s="82" t="str">
        <f aca="false">IF(ISBLANK($C167),"",$B167)</f>
        <v/>
      </c>
      <c r="DN167" s="82" t="str">
        <f aca="false">IF(ISBLANK($C167),"",$C167)</f>
        <v/>
      </c>
      <c r="DO167" s="82" t="str">
        <f aca="false">IF(ISBLANK($C167),"",$D167)</f>
        <v/>
      </c>
      <c r="DP167" s="83" t="str">
        <f aca="false">$DD167</f>
        <v/>
      </c>
      <c r="DQ167" s="84" t="str">
        <f aca="false">$DC167</f>
        <v/>
      </c>
      <c r="DR167" s="82" t="str">
        <f aca="false">IF(ISBLANK($C167),"",$DF167)</f>
        <v/>
      </c>
      <c r="DS167" s="85" t="str">
        <f aca="false">IF($DJ167&gt;$DI$8,"",VLOOKUP($DJ167,$DL$9:$DR$508,7,FALSE()))</f>
        <v/>
      </c>
      <c r="DT167" s="86" t="str">
        <f aca="false">IF($DJ167&gt;$DI$8,"",VLOOKUP($DJ167,$DL$9:$DR$508,2,FALSE()))</f>
        <v/>
      </c>
      <c r="DU167" s="86" t="str">
        <f aca="false">IF($DJ167&gt;$DI$8,"",VLOOKUP($DJ167,$DL$9:$DR$508,3,FALSE()))</f>
        <v/>
      </c>
      <c r="DV167" s="86" t="str">
        <f aca="false">IF($DJ167&gt;$DI$8,"",VLOOKUP($DJ167,$DL$9:$DR$508,4,FALSE()))</f>
        <v/>
      </c>
      <c r="DW167" s="86" t="str">
        <f aca="false">IF($DJ167&gt;$DI$8,"",VLOOKUP($DJ167,$DL$9:$DR$508,5,FALSE()))</f>
        <v/>
      </c>
      <c r="DX167" s="87" t="str">
        <f aca="false">IF($DJ167&gt;$DI$8,"",VLOOKUP($DJ167,$DL$9:$DR$508,6,FALSE()))</f>
        <v/>
      </c>
      <c r="DY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130"/>
      <c r="N168" s="130"/>
      <c r="O168" s="135"/>
      <c r="P168" s="135"/>
      <c r="Q168" s="130"/>
      <c r="R168" s="130"/>
      <c r="S168" s="130"/>
      <c r="T168" s="130"/>
      <c r="U168" s="135"/>
      <c r="V168" s="130"/>
      <c r="W168" s="96"/>
      <c r="X168" s="130"/>
      <c r="Y168" s="130"/>
      <c r="Z168" s="96"/>
      <c r="AA168" s="96"/>
      <c r="AB168" s="130"/>
      <c r="AC168" s="130"/>
      <c r="AD168" s="130"/>
      <c r="AE168" s="97"/>
      <c r="AF168" s="130"/>
      <c r="AG168" s="99"/>
      <c r="AH168" s="100"/>
      <c r="AI168" s="100"/>
      <c r="AJ168" s="100" t="str">
        <f aca="false">IF(ISBLANK($C168),"",IF($E168=Constants!$B$2,TRUE(),IF($E168=Constants!$B$3,FALSE(),TRUE())))</f>
        <v/>
      </c>
      <c r="AK168" s="100" t="str">
        <f aca="false">IF(ISBLANK($C168),"",IF($F168=Constants!$B$2,TRUE(),IF($F168=Constants!$B$3,FALSE(),FALSE())))</f>
        <v/>
      </c>
      <c r="AL168" s="100" t="str">
        <f aca="false">IF(ISBLANK($C168),"",IF($G168=Constants!$B$2,TRUE(),IF($G168=Constants!$B$3,FALSE(),TRUE())))</f>
        <v/>
      </c>
      <c r="AM168" s="100" t="str">
        <f aca="false">IF(ISBLANK($C168),"",IF($H168=Constants!$B$2,TRUE(),IF($H168=Constants!$B$3,FALSE(),TRUE())))</f>
        <v/>
      </c>
      <c r="AN168" s="100" t="str">
        <f aca="false">IF(ISBLANK($C168),"",IF(ISNUMBER($I168),IF($I168&gt;=0,$I168,""),""))</f>
        <v/>
      </c>
      <c r="AO168" s="100" t="str">
        <f aca="false">IF(ISBLANK($C168),"",IF(ISNUMBER($J168),IF($J168&gt;=0,$J168,""),""))</f>
        <v/>
      </c>
      <c r="AP168" s="100" t="str">
        <f aca="false">IF(ISBLANK($C168),"",IF(ISNUMBER($K168),IF($K168&gt;=0,$K168,""),""))</f>
        <v/>
      </c>
      <c r="AQ168" s="100" t="str">
        <f aca="false">IF(ISBLANK($C168),"",IF($L168=Constants!$B$2,TRUE(),IF($L168=Constants!$B$3,FALSE(),TRUE())))</f>
        <v/>
      </c>
      <c r="AR168" s="100" t="str">
        <f aca="false">IF(ISBLANK($C168),"",IF($M168=Constants!$B$2,TRUE(),IF($M168=Constants!$B$3,FALSE(),TRUE())))</f>
        <v/>
      </c>
      <c r="AS168" s="100" t="str">
        <f aca="false">IF(ISBLANK($C168),"",IF($N168=Constants!$B$2,TRUE(),IF($N168=Constants!$B$3,FALSE(),FALSE())))</f>
        <v/>
      </c>
      <c r="AT168" s="100" t="str">
        <f aca="false">IF(ISBLANK($C168),"",IF($O168=Constants!$B$2,TRUE(),IF($O168=Constants!$B$3,FALSE(),TRUE())))</f>
        <v/>
      </c>
      <c r="AU168" s="100" t="str">
        <f aca="false">IF(ISBLANK($C168),"",IF($P168=Constants!$B$2,TRUE(),IF($P168=Constants!$B$3,FALSE(),TRUE())))</f>
        <v/>
      </c>
      <c r="AV168" s="100" t="str">
        <f aca="false">IF(ISBLANK($C168),"",IF($Q168=Constants!$B$2,TRUE(),IF($Q168=Constants!$B$3,FALSE(),FALSE())))</f>
        <v/>
      </c>
      <c r="AW168" s="100" t="str">
        <f aca="false">IF(ISBLANK($C168),"",IF($R168=Constants!$B$2,TRUE(),IF($R168=Constants!$B$3,FALSE(),FALSE())))</f>
        <v/>
      </c>
      <c r="AX168" s="100" t="str">
        <f aca="false">IF(ISBLANK($C168),"",IF($S168=Constants!$B$2,TRUE(),IF($S168=Constants!$B$3,FALSE(),FALSE())))</f>
        <v/>
      </c>
      <c r="AY168" s="100" t="str">
        <f aca="false">IF(ISBLANK($C168),"",IF($T168=Constants!$B$2,TRUE(),IF($T168=Constants!$B$3,FALSE(),FALSE())))</f>
        <v/>
      </c>
      <c r="AZ168" s="100" t="str">
        <f aca="false">IF(ISBLANK($C168),"",IF($U168=Constants!$B$2,TRUE(),IF($U168=Constants!$B$3,FALSE(),FALSE())))</f>
        <v/>
      </c>
      <c r="BA168" s="100" t="str">
        <f aca="false">IF(ISBLANK($C168),"",IF(OR($V168&amp;""="1",$V168&amp;""="2",$V168&amp;""="3",$V168&amp;""="4"),VALUE($V168&amp;""),IF($V168=Constants!$B$12,Constants!$B$12,"")))</f>
        <v/>
      </c>
      <c r="BB168" s="100" t="str">
        <f aca="false">IF(ISBLANK($C168),"",IF(ISBLANK($W168),0,IF(ISNUMBER($W168),IF(AND($W168&gt;=0,$W168&lt;=Constants!$B$21,$W168=INT($W168)),$W168,""),"")))</f>
        <v/>
      </c>
      <c r="BC168" s="100" t="str">
        <f aca="false">IF(ISBLANK($C168),"",IF(ISBLANK($X168),0,IF(ISNUMBER($X168),IF($X168&gt;=0,$X168,""),"")))</f>
        <v/>
      </c>
      <c r="BD168" s="100" t="str">
        <f aca="false">IF(ISBLANK($C168),"",IF($Y168=Constants!$B$2,TRUE(),IF($Y168=Constants!$B$3,FALSE(),TRUE())))</f>
        <v/>
      </c>
      <c r="BE168" s="100" t="str">
        <f aca="false">IF(ISBLANK($C168),"",IF($Z168=Constants!$B$2,TRUE(),IF($Z168=Constants!$B$3,FALSE(),FALSE())))</f>
        <v/>
      </c>
      <c r="BF168" s="100" t="str">
        <f aca="false">IF(ISBLANK($C168),"",IF(ISBLANK($AA168),0,IF(ISNUMBER($AA168),IF(AND($AA168&gt;=0,$AA168&lt;=Constants!$B$35,$AA168=INT($AA168)),$AA168,""),"")))</f>
        <v/>
      </c>
      <c r="BG168" s="100" t="str">
        <f aca="false">IF(ISBLANK($C168),"",IF($AB168=Constants!$B$2,TRUE(),IF($AB168=Constants!$B$3,FALSE(),TRUE())))</f>
        <v/>
      </c>
      <c r="BH168" s="100" t="str">
        <f aca="false">IF(ISBLANK($C168),"",IF($AC168=Constants!$B$2,TRUE(),IF($AC168=Constants!$B$3,FALSE(),TRUE())))</f>
        <v/>
      </c>
      <c r="BI168" s="100" t="str">
        <f aca="false">IF(ISBLANK($C168),"",IF($AD168=Constants!$B$2,TRUE(),IF($AD168=Constants!$B$3,FALSE(),TRUE())))</f>
        <v/>
      </c>
      <c r="BJ168" s="100" t="str">
        <f aca="false">IF(ISBLANK($C168),"",IF(ISNUMBER($AE168),IF($AE168&gt;=0,$AE168,""),""))</f>
        <v/>
      </c>
      <c r="BK168" s="100" t="str">
        <f aca="false">IF(ISBLANK($C168),"",IF($AF168=Constants!$B$2,TRUE(),IF($AF168=Constants!$B$3,FALSE(),FALSE())))</f>
        <v/>
      </c>
      <c r="BL168" s="99" t="str">
        <f aca="false">IF(ISBLANK($C168),"",IF($BK168,Constants!$B$7,IF(COUNTA($E168:$AE168)=0,Constants!$B$6,IF(OR(COUNTA($G168:$AE168)=0,NOT($AM168),$AS168),Constants!$B$5,IF(OR($CM168&lt;&gt;"",$CN168,$CO168,$CP168,$CQ168,$CR168,$CS168),Constants!$B$8,Constants!$B$4)))))</f>
        <v/>
      </c>
      <c r="BM168" s="100" t="str">
        <f aca="false">IF(ISBLANK($C168),"",IF($BL168&lt;&gt;Constants!$B$4,$BL168,IF(OR(NOT($AJ168),NOT($AL168),NOT($AT168)),Constants!$B$11,IF(OR(NOT($AR168),NOT($AU168),NOT($BI168),MAX($AN168,$AO168,$AP168)&gt;Constants!$B$30),Constants!$B$10,Constants!$B$9))))</f>
        <v/>
      </c>
      <c r="BN168" s="100" t="str">
        <f aca="false">IF($BL168&lt;&gt;Constants!$B$4,"",IF(NOT($AL168),0,MIN(Constants!$B$35,$BF168)))</f>
        <v/>
      </c>
      <c r="BO168" s="100" t="str">
        <f aca="false">IF($BL168&lt;&gt;Constants!$B$4,"",IF(NOT($AL168),0,IF($AW168,Constants!$B$18,IF($AV168,Constants!$B$17,0))))</f>
        <v/>
      </c>
      <c r="BP168" s="100" t="str">
        <f aca="false">IF($BL168&lt;&gt;Constants!$B$4,"",IF(NOT($AL168),0,Constants!$B$19*($AK168+$AX168+$AY168+$AZ168)))</f>
        <v/>
      </c>
      <c r="BQ168" s="100" t="str">
        <f aca="false">IF($BL168&lt;&gt;Constants!$B$4,"",IF(OR(NOT($AL168),NOT(ISNUMBER($BA168))),0,CHOOSE($BA168,Constants!$B$13,Constants!$B$14,Constants!$B$15,Constants!$B$16)))</f>
        <v/>
      </c>
      <c r="BR168" s="100" t="str">
        <f aca="false">IF($BL168&lt;&gt;Constants!$B$4,"",IF(NOT($AL168),0,Constants!$B$20*$BB168))</f>
        <v/>
      </c>
      <c r="BS168" s="100" t="str">
        <f aca="false">IF($BL168&lt;&gt;Constants!$B$4,"",IF(AND($AL168,$BD168,$BE168),Constants!$B$22,0))</f>
        <v/>
      </c>
      <c r="BT168" s="100" t="str">
        <f aca="false">IF($BL168&lt;&gt;Constants!$B$4,"",IF(OR(NOT($AL168),NOT($BD168)),0,IF($BJ168&gt;=2*$AH$9,0,Constants!$B$23*INT(ROUND(MIN($BJ168,$AH$9),6)))))</f>
        <v/>
      </c>
      <c r="BU168" s="100" t="str">
        <f aca="false">IF($BL168&lt;&gt;Constants!$B$4,"",IF(NOT($AL168),0,Constants!$B$24*INT(ROUND(MIN($BC168,$AH$9),6))))</f>
        <v/>
      </c>
      <c r="BV168" s="100" t="str">
        <f aca="false">IF($BL168&lt;&gt;Constants!$B$4,"",IF(AND($AL168,$BN168=0),Constants!$B$25,0))</f>
        <v/>
      </c>
      <c r="BW168" s="100" t="str">
        <f aca="false">IF($BL168&lt;&gt;Constants!$B$4,"",MIN(Constants!$B$29,MAX(0,Constants!$B$27*Constants!$B$28*INT(ROUND((Constants!$B$26-$AN168)/Constants!$B$28,6))))+MIN(Constants!$B$29,MAX(0,Constants!$B$27*Constants!$B$28*INT(ROUND((Constants!$B$26-$AO168)/Constants!$B$28,6))))+MIN(Constants!$B$29,MAX(0,Constants!$B$27*Constants!$B$28*INT(ROUND((Constants!$B$26-$AP168)/Constants!$B$28,6)))))</f>
        <v/>
      </c>
      <c r="BX168" s="100" t="str">
        <f aca="false">IF($BL168&lt;&gt;Constants!$B$4,"",IF(NOT($AL168),0,Constants!$B$31*INT(ROUND(MAX(0,MIN($BJ168,2*$AH$9)-$AH$9),6))))</f>
        <v/>
      </c>
      <c r="BY168" s="100" t="str">
        <f aca="false">IF($BL168&lt;&gt;Constants!$B$4,"",Constants!$B$32*(($AN168&gt;Constants!$B$26)+($AO168&gt;Constants!$B$26)+($AP168&gt;Constants!$B$26)))</f>
        <v/>
      </c>
      <c r="BZ168" s="100" t="str">
        <f aca="false">IF($BL168&lt;&gt;Constants!$B$4,"",IF(OR(NOT($AL168),$AQ168),0,Constants!$B$33))</f>
        <v/>
      </c>
      <c r="CA168" s="100" t="str">
        <f aca="false">IF($BL168&lt;&gt;Constants!$B$4,"",Constants!$B$34*$BN168)</f>
        <v/>
      </c>
      <c r="CB168" s="100" t="str">
        <f aca="false">IF($BL168&lt;&gt;Constants!$B$4,"",IF(OR(NOT($AL168),$BH168),0,Constants!$B$36))</f>
        <v/>
      </c>
      <c r="CC168" s="100" t="str">
        <f aca="false">IF($BL168&lt;&gt;Constants!$B$4,"",IF(OR(NOT($AL168),$BG168),0,Constants!$B$37))</f>
        <v/>
      </c>
      <c r="CD168" s="100" t="str">
        <f aca="false">IF($BL168&lt;&gt;Constants!$B$4,"",SUM($BX168:$CC168))</f>
        <v/>
      </c>
      <c r="CE168" s="100" t="str">
        <f aca="false">IF(ISBLANK($C168),"",IF($BL168&lt;&gt;Constants!$B$4,$BL168,SUM($BO168:$BW168)-$CD168))</f>
        <v/>
      </c>
      <c r="CF168" s="100" t="str">
        <f aca="false">IF(ISBLANK($C168),"",IF($BL168&lt;&gt;Constants!$B$4,$BL168,RANK($CE168,$CE$9:$CE$508)))</f>
        <v/>
      </c>
      <c r="CG168" s="100" t="str">
        <f aca="false">IF(ISBLANK($C168),"",IF($BL168&lt;&gt;Constants!$B$4,$BL168,COUNTIFS($BM$9:$BM$508,"&lt;"&amp;$BM168)+COUNTIFS($BM$9:$BM$508,$BM168,$CF$9:$CF$508,"&lt;"&amp;$CF168)+1))</f>
        <v/>
      </c>
      <c r="CH168" s="100" t="str">
        <f aca="false">IF(ISBLANK($C168),"",IF($BL168&lt;&gt;Constants!$B$4,$BL168,RANK($CD168,$CD$9:$CD$508,1)))</f>
        <v/>
      </c>
      <c r="CI168" s="100" t="str">
        <f aca="false">IF($BL168&lt;&gt;Constants!$B$4,"",$AN168+$AO168+$AP168)</f>
        <v/>
      </c>
      <c r="CJ168" s="100" t="str">
        <f aca="false">IF(ISBLANK($C168),"",IF($BL168&lt;&gt;Constants!$B$4,$BL168,RANK($CI168,$CI$9:$CI$508,1)))</f>
        <v/>
      </c>
      <c r="CK168" s="100" t="str">
        <f aca="false">IF(ISBLANK($C168),"",IF($BL168&lt;&gt;Constants!$B$4,$BL168,COUNTIFS($BM$9:$BM$508,"&lt;"&amp;$BM168)+COUNTIFS($BM$9:$BM$508,$BM168,$CF$9:$CF$508,"&lt;"&amp;$CF168)+COUNTIFS($BM$9:$BM$508,$BM168,$CF$9:$CF$508,$CF168,$CH$9:$CH$508,"&lt;"&amp;$CH168)+COUNTIFS($BM$9:$BM$508,$BM168,$CF$9:$CF$508,$CF168,$CH$9:$CH$508,$CH168,$CJ$9:$CJ$508,"&lt;"&amp;$CJ168)+1))</f>
        <v/>
      </c>
      <c r="CL168" s="100" t="str">
        <f aca="false">IF(ISBLANK($C168),"",IF($BL168&lt;&gt;Constants!$B$4,$BL168,$CG168-$CK168))</f>
        <v/>
      </c>
      <c r="CM168" s="100" t="str">
        <f aca="false">IF(ISBLANK($C168),"",IF(NOT($AL168),"",IF(ISBLANK($D$7),$CM$5,IF(NOT(ISNUMBER($D$7)),$CM$6,""))))</f>
        <v/>
      </c>
      <c r="CN168" s="100" t="str">
        <f aca="false">IF(ISBLANK($C168),"",OR($AN168="",$AO168="",$AP168=""))</f>
        <v/>
      </c>
      <c r="CO168" s="100" t="str">
        <f aca="false">IF(ISBLANK($C168),"",AND($AL168,$BA168=""))</f>
        <v/>
      </c>
      <c r="CP168" s="100" t="str">
        <f aca="false">IF(ISBLANK($C168),"",AND($AL168,$BB168=""))</f>
        <v/>
      </c>
      <c r="CQ168" s="100" t="str">
        <f aca="false">IF(ISBLANK($C168),"",AND($AL168,$BC168=""))</f>
        <v/>
      </c>
      <c r="CR168" s="100" t="str">
        <f aca="false">IF(ISBLANK($C168),"",AND($AL168,$BF168=""))</f>
        <v/>
      </c>
      <c r="CS168" s="100" t="str">
        <f aca="false">IF(ISBLANK($C168),"",AND($AL168,$BJ168=""))</f>
        <v/>
      </c>
      <c r="CT168" s="101"/>
      <c r="CU168" s="102"/>
      <c r="CV168" s="103" t="str">
        <f aca="false">IF(ISBLANK($C168),"",IF($BL168=Constants!$B$8,$CM168,""))</f>
        <v/>
      </c>
      <c r="CW168" s="102" t="str">
        <f aca="false">IF(ISBLANK($C168),"",IF($BL168&lt;&gt;Constants!$B$4,"",$BO168+$BP168))</f>
        <v/>
      </c>
      <c r="CX168" s="104" t="str">
        <f aca="false">IF(ISBLANK($C168),"",IF($BL168&lt;&gt;Constants!$B$4,"",$BQ168+$BR168+$BS168))</f>
        <v/>
      </c>
      <c r="CY168" s="104" t="str">
        <f aca="false">IF(ISBLANK($C168),"",IF($BL168&lt;&gt;Constants!$B$4,"",$BT168))</f>
        <v/>
      </c>
      <c r="CZ168" s="104" t="str">
        <f aca="false">IF(ISBLANK($C168),"",IF($BL168&lt;&gt;Constants!$B$4,"",$BU168+$BV168))</f>
        <v/>
      </c>
      <c r="DA168" s="104" t="str">
        <f aca="false">IF(ISBLANK($C168),"",IF($BL168&lt;&gt;Constants!$B$4,"",$BW168))</f>
        <v/>
      </c>
      <c r="DB168" s="104" t="str">
        <f aca="false">IF(ISBLANK($C168),"",IF($BL168&lt;&gt;Constants!$B$4,"",-$CD168))</f>
        <v/>
      </c>
      <c r="DC168" s="103" t="str">
        <f aca="false">IF(ISBLANK($C168),"",$CE168)</f>
        <v/>
      </c>
      <c r="DD168" s="105" t="str">
        <f aca="false">IF(ISBLANK($C168),"",$BM168)</f>
        <v/>
      </c>
      <c r="DE168" s="104" t="str">
        <f aca="false">IF(ISBLANK($C168),"",$CL168)</f>
        <v/>
      </c>
      <c r="DF168" s="104" t="str">
        <f aca="false">IF(ISBLANK($C168),"",$CK168)</f>
        <v/>
      </c>
      <c r="DG168" s="106" t="str">
        <f aca="false">IF(ISBLANK($C168),"",IF($DF168=Constants!$B$7,COUNTA($C$9:$C$508)+2,IF($DF168=Constants!$B$6,COUNTA($C$9:$C$508)+1,IF($DF168=Constants!$B$5,COUNTA($C$9:$C$508),$DF168))))</f>
        <v/>
      </c>
      <c r="DH168" s="7"/>
      <c r="DI168" s="107" t="n">
        <f aca="false">IF(OR(ISNUMBER($DF168),$DF168=Constants!$B$7,$DF168=Constants!$B$5,$DF168=Constants!$B$6),1,0)</f>
        <v>0</v>
      </c>
      <c r="DJ168" s="107" t="n">
        <v>160</v>
      </c>
      <c r="DK168" s="107" t="str">
        <f aca="false">IF(ISBLANK($C168),"",IF(ISNUMBER($DG168),$DG168+ROW($B168)/1000,""))</f>
        <v/>
      </c>
      <c r="DL168" s="107" t="str">
        <f aca="false">IF(ISNUMBER($DK168),RANK($DK168,$DK$9:$DK$508,1),"")</f>
        <v/>
      </c>
      <c r="DM168" s="107" t="str">
        <f aca="false">IF(ISBLANK($C168),"",$B168)</f>
        <v/>
      </c>
      <c r="DN168" s="107" t="str">
        <f aca="false">IF(ISBLANK($C168),"",$C168)</f>
        <v/>
      </c>
      <c r="DO168" s="107" t="str">
        <f aca="false">IF(ISBLANK($C168),"",$D168)</f>
        <v/>
      </c>
      <c r="DP168" s="108" t="str">
        <f aca="false">$DD168</f>
        <v/>
      </c>
      <c r="DQ168" s="109" t="str">
        <f aca="false">$DC168</f>
        <v/>
      </c>
      <c r="DR168" s="107" t="str">
        <f aca="false">IF(ISBLANK($C168),"",$DF168)</f>
        <v/>
      </c>
      <c r="DS168" s="110" t="str">
        <f aca="false">IF($DJ168&gt;$DI$8,"",VLOOKUP($DJ168,$DL$9:$DR$508,7,FALSE()))</f>
        <v/>
      </c>
      <c r="DT168" s="111" t="str">
        <f aca="false">IF($DJ168&gt;$DI$8,"",VLOOKUP($DJ168,$DL$9:$DR$508,2,FALSE()))</f>
        <v/>
      </c>
      <c r="DU168" s="111" t="str">
        <f aca="false">IF($DJ168&gt;$DI$8,"",VLOOKUP($DJ168,$DL$9:$DR$508,3,FALSE()))</f>
        <v/>
      </c>
      <c r="DV168" s="111" t="str">
        <f aca="false">IF($DJ168&gt;$DI$8,"",VLOOKUP($DJ168,$DL$9:$DR$508,4,FALSE()))</f>
        <v/>
      </c>
      <c r="DW168" s="111" t="str">
        <f aca="false">IF($DJ168&gt;$DI$8,"",VLOOKUP($DJ168,$DL$9:$DR$508,5,FALSE()))</f>
        <v/>
      </c>
      <c r="DX168" s="112" t="str">
        <f aca="false">IF($DJ168&gt;$DI$8,"",VLOOKUP($DJ168,$DL$9:$DR$508,6,FALSE()))</f>
        <v/>
      </c>
      <c r="DY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130"/>
      <c r="N169" s="130"/>
      <c r="O169" s="135"/>
      <c r="P169" s="135"/>
      <c r="Q169" s="130"/>
      <c r="R169" s="130"/>
      <c r="S169" s="130"/>
      <c r="T169" s="130"/>
      <c r="U169" s="135"/>
      <c r="V169" s="130"/>
      <c r="W169" s="96"/>
      <c r="X169" s="130"/>
      <c r="Y169" s="130"/>
      <c r="Z169" s="96"/>
      <c r="AA169" s="96"/>
      <c r="AB169" s="130"/>
      <c r="AC169" s="130"/>
      <c r="AD169" s="130"/>
      <c r="AE169" s="97"/>
      <c r="AF169" s="130"/>
      <c r="AG169" s="99"/>
      <c r="AH169" s="100"/>
      <c r="AI169" s="100"/>
      <c r="AJ169" s="100" t="str">
        <f aca="false">IF(ISBLANK($C169),"",IF($E169=Constants!$B$2,TRUE(),IF($E169=Constants!$B$3,FALSE(),TRUE())))</f>
        <v/>
      </c>
      <c r="AK169" s="100" t="str">
        <f aca="false">IF(ISBLANK($C169),"",IF($F169=Constants!$B$2,TRUE(),IF($F169=Constants!$B$3,FALSE(),FALSE())))</f>
        <v/>
      </c>
      <c r="AL169" s="100" t="str">
        <f aca="false">IF(ISBLANK($C169),"",IF($G169=Constants!$B$2,TRUE(),IF($G169=Constants!$B$3,FALSE(),TRUE())))</f>
        <v/>
      </c>
      <c r="AM169" s="100" t="str">
        <f aca="false">IF(ISBLANK($C169),"",IF($H169=Constants!$B$2,TRUE(),IF($H169=Constants!$B$3,FALSE(),TRUE())))</f>
        <v/>
      </c>
      <c r="AN169" s="100" t="str">
        <f aca="false">IF(ISBLANK($C169),"",IF(ISNUMBER($I169),IF($I169&gt;=0,$I169,""),""))</f>
        <v/>
      </c>
      <c r="AO169" s="100" t="str">
        <f aca="false">IF(ISBLANK($C169),"",IF(ISNUMBER($J169),IF($J169&gt;=0,$J169,""),""))</f>
        <v/>
      </c>
      <c r="AP169" s="100" t="str">
        <f aca="false">IF(ISBLANK($C169),"",IF(ISNUMBER($K169),IF($K169&gt;=0,$K169,""),""))</f>
        <v/>
      </c>
      <c r="AQ169" s="100" t="str">
        <f aca="false">IF(ISBLANK($C169),"",IF($L169=Constants!$B$2,TRUE(),IF($L169=Constants!$B$3,FALSE(),TRUE())))</f>
        <v/>
      </c>
      <c r="AR169" s="100" t="str">
        <f aca="false">IF(ISBLANK($C169),"",IF($M169=Constants!$B$2,TRUE(),IF($M169=Constants!$B$3,FALSE(),TRUE())))</f>
        <v/>
      </c>
      <c r="AS169" s="100" t="str">
        <f aca="false">IF(ISBLANK($C169),"",IF($N169=Constants!$B$2,TRUE(),IF($N169=Constants!$B$3,FALSE(),FALSE())))</f>
        <v/>
      </c>
      <c r="AT169" s="100" t="str">
        <f aca="false">IF(ISBLANK($C169),"",IF($O169=Constants!$B$2,TRUE(),IF($O169=Constants!$B$3,FALSE(),TRUE())))</f>
        <v/>
      </c>
      <c r="AU169" s="100" t="str">
        <f aca="false">IF(ISBLANK($C169),"",IF($P169=Constants!$B$2,TRUE(),IF($P169=Constants!$B$3,FALSE(),TRUE())))</f>
        <v/>
      </c>
      <c r="AV169" s="100" t="str">
        <f aca="false">IF(ISBLANK($C169),"",IF($Q169=Constants!$B$2,TRUE(),IF($Q169=Constants!$B$3,FALSE(),FALSE())))</f>
        <v/>
      </c>
      <c r="AW169" s="100" t="str">
        <f aca="false">IF(ISBLANK($C169),"",IF($R169=Constants!$B$2,TRUE(),IF($R169=Constants!$B$3,FALSE(),FALSE())))</f>
        <v/>
      </c>
      <c r="AX169" s="100" t="str">
        <f aca="false">IF(ISBLANK($C169),"",IF($S169=Constants!$B$2,TRUE(),IF($S169=Constants!$B$3,FALSE(),FALSE())))</f>
        <v/>
      </c>
      <c r="AY169" s="100" t="str">
        <f aca="false">IF(ISBLANK($C169),"",IF($T169=Constants!$B$2,TRUE(),IF($T169=Constants!$B$3,FALSE(),FALSE())))</f>
        <v/>
      </c>
      <c r="AZ169" s="100" t="str">
        <f aca="false">IF(ISBLANK($C169),"",IF($U169=Constants!$B$2,TRUE(),IF($U169=Constants!$B$3,FALSE(),FALSE())))</f>
        <v/>
      </c>
      <c r="BA169" s="100" t="str">
        <f aca="false">IF(ISBLANK($C169),"",IF(OR($V169&amp;""="1",$V169&amp;""="2",$V169&amp;""="3",$V169&amp;""="4"),VALUE($V169&amp;""),IF($V169=Constants!$B$12,Constants!$B$12,"")))</f>
        <v/>
      </c>
      <c r="BB169" s="100" t="str">
        <f aca="false">IF(ISBLANK($C169),"",IF(ISBLANK($W169),0,IF(ISNUMBER($W169),IF(AND($W169&gt;=0,$W169&lt;=Constants!$B$21,$W169=INT($W169)),$W169,""),"")))</f>
        <v/>
      </c>
      <c r="BC169" s="100" t="str">
        <f aca="false">IF(ISBLANK($C169),"",IF(ISBLANK($X169),0,IF(ISNUMBER($X169),IF($X169&gt;=0,$X169,""),"")))</f>
        <v/>
      </c>
      <c r="BD169" s="100" t="str">
        <f aca="false">IF(ISBLANK($C169),"",IF($Y169=Constants!$B$2,TRUE(),IF($Y169=Constants!$B$3,FALSE(),TRUE())))</f>
        <v/>
      </c>
      <c r="BE169" s="100" t="str">
        <f aca="false">IF(ISBLANK($C169),"",IF($Z169=Constants!$B$2,TRUE(),IF($Z169=Constants!$B$3,FALSE(),FALSE())))</f>
        <v/>
      </c>
      <c r="BF169" s="100" t="str">
        <f aca="false">IF(ISBLANK($C169),"",IF(ISBLANK($AA169),0,IF(ISNUMBER($AA169),IF(AND($AA169&gt;=0,$AA169&lt;=Constants!$B$35,$AA169=INT($AA169)),$AA169,""),"")))</f>
        <v/>
      </c>
      <c r="BG169" s="100" t="str">
        <f aca="false">IF(ISBLANK($C169),"",IF($AB169=Constants!$B$2,TRUE(),IF($AB169=Constants!$B$3,FALSE(),TRUE())))</f>
        <v/>
      </c>
      <c r="BH169" s="100" t="str">
        <f aca="false">IF(ISBLANK($C169),"",IF($AC169=Constants!$B$2,TRUE(),IF($AC169=Constants!$B$3,FALSE(),TRUE())))</f>
        <v/>
      </c>
      <c r="BI169" s="100" t="str">
        <f aca="false">IF(ISBLANK($C169),"",IF($AD169=Constants!$B$2,TRUE(),IF($AD169=Constants!$B$3,FALSE(),TRUE())))</f>
        <v/>
      </c>
      <c r="BJ169" s="100" t="str">
        <f aca="false">IF(ISBLANK($C169),"",IF(ISNUMBER($AE169),IF($AE169&gt;=0,$AE169,""),""))</f>
        <v/>
      </c>
      <c r="BK169" s="100" t="str">
        <f aca="false">IF(ISBLANK($C169),"",IF($AF169=Constants!$B$2,TRUE(),IF($AF169=Constants!$B$3,FALSE(),FALSE())))</f>
        <v/>
      </c>
      <c r="BL169" s="99" t="str">
        <f aca="false">IF(ISBLANK($C169),"",IF($BK169,Constants!$B$7,IF(COUNTA($E169:$AE169)=0,Constants!$B$6,IF(OR(COUNTA($G169:$AE169)=0,NOT($AM169),$AS169),Constants!$B$5,IF(OR($CM169&lt;&gt;"",$CN169,$CO169,$CP169,$CQ169,$CR169,$CS169),Constants!$B$8,Constants!$B$4)))))</f>
        <v/>
      </c>
      <c r="BM169" s="100" t="str">
        <f aca="false">IF(ISBLANK($C169),"",IF($BL169&lt;&gt;Constants!$B$4,$BL169,IF(OR(NOT($AJ169),NOT($AL169),NOT($AT169)),Constants!$B$11,IF(OR(NOT($AR169),NOT($AU169),NOT($BI169),MAX($AN169,$AO169,$AP169)&gt;Constants!$B$30),Constants!$B$10,Constants!$B$9))))</f>
        <v/>
      </c>
      <c r="BN169" s="100" t="str">
        <f aca="false">IF($BL169&lt;&gt;Constants!$B$4,"",IF(NOT($AL169),0,MIN(Constants!$B$35,$BF169)))</f>
        <v/>
      </c>
      <c r="BO169" s="100" t="str">
        <f aca="false">IF($BL169&lt;&gt;Constants!$B$4,"",IF(NOT($AL169),0,IF($AW169,Constants!$B$18,IF($AV169,Constants!$B$17,0))))</f>
        <v/>
      </c>
      <c r="BP169" s="100" t="str">
        <f aca="false">IF($BL169&lt;&gt;Constants!$B$4,"",IF(NOT($AL169),0,Constants!$B$19*($AK169+$AX169+$AY169+$AZ169)))</f>
        <v/>
      </c>
      <c r="BQ169" s="100" t="str">
        <f aca="false">IF($BL169&lt;&gt;Constants!$B$4,"",IF(OR(NOT($AL169),NOT(ISNUMBER($BA169))),0,CHOOSE($BA169,Constants!$B$13,Constants!$B$14,Constants!$B$15,Constants!$B$16)))</f>
        <v/>
      </c>
      <c r="BR169" s="100" t="str">
        <f aca="false">IF($BL169&lt;&gt;Constants!$B$4,"",IF(NOT($AL169),0,Constants!$B$20*$BB169))</f>
        <v/>
      </c>
      <c r="BS169" s="100" t="str">
        <f aca="false">IF($BL169&lt;&gt;Constants!$B$4,"",IF(AND($AL169,$BD169,$BE169),Constants!$B$22,0))</f>
        <v/>
      </c>
      <c r="BT169" s="100" t="str">
        <f aca="false">IF($BL169&lt;&gt;Constants!$B$4,"",IF(OR(NOT($AL169),NOT($BD169)),0,IF($BJ169&gt;=2*$AH$9,0,Constants!$B$23*INT(ROUND(MIN($BJ169,$AH$9),6)))))</f>
        <v/>
      </c>
      <c r="BU169" s="100" t="str">
        <f aca="false">IF($BL169&lt;&gt;Constants!$B$4,"",IF(NOT($AL169),0,Constants!$B$24*INT(ROUND(MIN($BC169,$AH$9),6))))</f>
        <v/>
      </c>
      <c r="BV169" s="100" t="str">
        <f aca="false">IF($BL169&lt;&gt;Constants!$B$4,"",IF(AND($AL169,$BN169=0),Constants!$B$25,0))</f>
        <v/>
      </c>
      <c r="BW169" s="100" t="str">
        <f aca="false">IF($BL169&lt;&gt;Constants!$B$4,"",MIN(Constants!$B$29,MAX(0,Constants!$B$27*Constants!$B$28*INT(ROUND((Constants!$B$26-$AN169)/Constants!$B$28,6))))+MIN(Constants!$B$29,MAX(0,Constants!$B$27*Constants!$B$28*INT(ROUND((Constants!$B$26-$AO169)/Constants!$B$28,6))))+MIN(Constants!$B$29,MAX(0,Constants!$B$27*Constants!$B$28*INT(ROUND((Constants!$B$26-$AP169)/Constants!$B$28,6)))))</f>
        <v/>
      </c>
      <c r="BX169" s="100" t="str">
        <f aca="false">IF($BL169&lt;&gt;Constants!$B$4,"",IF(NOT($AL169),0,Constants!$B$31*INT(ROUND(MAX(0,MIN($BJ169,2*$AH$9)-$AH$9),6))))</f>
        <v/>
      </c>
      <c r="BY169" s="100" t="str">
        <f aca="false">IF($BL169&lt;&gt;Constants!$B$4,"",Constants!$B$32*(($AN169&gt;Constants!$B$26)+($AO169&gt;Constants!$B$26)+($AP169&gt;Constants!$B$26)))</f>
        <v/>
      </c>
      <c r="BZ169" s="100" t="str">
        <f aca="false">IF($BL169&lt;&gt;Constants!$B$4,"",IF(OR(NOT($AL169),$AQ169),0,Constants!$B$33))</f>
        <v/>
      </c>
      <c r="CA169" s="100" t="str">
        <f aca="false">IF($BL169&lt;&gt;Constants!$B$4,"",Constants!$B$34*$BN169)</f>
        <v/>
      </c>
      <c r="CB169" s="100" t="str">
        <f aca="false">IF($BL169&lt;&gt;Constants!$B$4,"",IF(OR(NOT($AL169),$BH169),0,Constants!$B$36))</f>
        <v/>
      </c>
      <c r="CC169" s="100" t="str">
        <f aca="false">IF($BL169&lt;&gt;Constants!$B$4,"",IF(OR(NOT($AL169),$BG169),0,Constants!$B$37))</f>
        <v/>
      </c>
      <c r="CD169" s="100" t="str">
        <f aca="false">IF($BL169&lt;&gt;Constants!$B$4,"",SUM($BX169:$CC169))</f>
        <v/>
      </c>
      <c r="CE169" s="100" t="str">
        <f aca="false">IF(ISBLANK($C169),"",IF($BL169&lt;&gt;Constants!$B$4,$BL169,SUM($BO169:$BW169)-$CD169))</f>
        <v/>
      </c>
      <c r="CF169" s="100" t="str">
        <f aca="false">IF(ISBLANK($C169),"",IF($BL169&lt;&gt;Constants!$B$4,$BL169,RANK($CE169,$CE$9:$CE$508)))</f>
        <v/>
      </c>
      <c r="CG169" s="100" t="str">
        <f aca="false">IF(ISBLANK($C169),"",IF($BL169&lt;&gt;Constants!$B$4,$BL169,COUNTIFS($BM$9:$BM$508,"&lt;"&amp;$BM169)+COUNTIFS($BM$9:$BM$508,$BM169,$CF$9:$CF$508,"&lt;"&amp;$CF169)+1))</f>
        <v/>
      </c>
      <c r="CH169" s="100" t="str">
        <f aca="false">IF(ISBLANK($C169),"",IF($BL169&lt;&gt;Constants!$B$4,$BL169,RANK($CD169,$CD$9:$CD$508,1)))</f>
        <v/>
      </c>
      <c r="CI169" s="100" t="str">
        <f aca="false">IF($BL169&lt;&gt;Constants!$B$4,"",$AN169+$AO169+$AP169)</f>
        <v/>
      </c>
      <c r="CJ169" s="100" t="str">
        <f aca="false">IF(ISBLANK($C169),"",IF($BL169&lt;&gt;Constants!$B$4,$BL169,RANK($CI169,$CI$9:$CI$508,1)))</f>
        <v/>
      </c>
      <c r="CK169" s="100" t="str">
        <f aca="false">IF(ISBLANK($C169),"",IF($BL169&lt;&gt;Constants!$B$4,$BL169,COUNTIFS($BM$9:$BM$508,"&lt;"&amp;$BM169)+COUNTIFS($BM$9:$BM$508,$BM169,$CF$9:$CF$508,"&lt;"&amp;$CF169)+COUNTIFS($BM$9:$BM$508,$BM169,$CF$9:$CF$508,$CF169,$CH$9:$CH$508,"&lt;"&amp;$CH169)+COUNTIFS($BM$9:$BM$508,$BM169,$CF$9:$CF$508,$CF169,$CH$9:$CH$508,$CH169,$CJ$9:$CJ$508,"&lt;"&amp;$CJ169)+1))</f>
        <v/>
      </c>
      <c r="CL169" s="100" t="str">
        <f aca="false">IF(ISBLANK($C169),"",IF($BL169&lt;&gt;Constants!$B$4,$BL169,$CG169-$CK169))</f>
        <v/>
      </c>
      <c r="CM169" s="100" t="str">
        <f aca="false">IF(ISBLANK($C169),"",IF(NOT($AL169),"",IF(ISBLANK($D$7),$CM$5,IF(NOT(ISNUMBER($D$7)),$CM$6,""))))</f>
        <v/>
      </c>
      <c r="CN169" s="100" t="str">
        <f aca="false">IF(ISBLANK($C169),"",OR($AN169="",$AO169="",$AP169=""))</f>
        <v/>
      </c>
      <c r="CO169" s="100" t="str">
        <f aca="false">IF(ISBLANK($C169),"",AND($AL169,$BA169=""))</f>
        <v/>
      </c>
      <c r="CP169" s="100" t="str">
        <f aca="false">IF(ISBLANK($C169),"",AND($AL169,$BB169=""))</f>
        <v/>
      </c>
      <c r="CQ169" s="100" t="str">
        <f aca="false">IF(ISBLANK($C169),"",AND($AL169,$BC169=""))</f>
        <v/>
      </c>
      <c r="CR169" s="100" t="str">
        <f aca="false">IF(ISBLANK($C169),"",AND($AL169,$BF169=""))</f>
        <v/>
      </c>
      <c r="CS169" s="100" t="str">
        <f aca="false">IF(ISBLANK($C169),"",AND($AL169,$BJ169=""))</f>
        <v/>
      </c>
      <c r="CT169" s="101"/>
      <c r="CU169" s="102"/>
      <c r="CV169" s="103" t="str">
        <f aca="false">IF(ISBLANK($C169),"",IF($BL169=Constants!$B$8,$CM169,""))</f>
        <v/>
      </c>
      <c r="CW169" s="102" t="str">
        <f aca="false">IF(ISBLANK($C169),"",IF($BL169&lt;&gt;Constants!$B$4,"",$BO169+$BP169))</f>
        <v/>
      </c>
      <c r="CX169" s="104" t="str">
        <f aca="false">IF(ISBLANK($C169),"",IF($BL169&lt;&gt;Constants!$B$4,"",$BQ169+$BR169+$BS169))</f>
        <v/>
      </c>
      <c r="CY169" s="104" t="str">
        <f aca="false">IF(ISBLANK($C169),"",IF($BL169&lt;&gt;Constants!$B$4,"",$BT169))</f>
        <v/>
      </c>
      <c r="CZ169" s="104" t="str">
        <f aca="false">IF(ISBLANK($C169),"",IF($BL169&lt;&gt;Constants!$B$4,"",$BU169+$BV169))</f>
        <v/>
      </c>
      <c r="DA169" s="104" t="str">
        <f aca="false">IF(ISBLANK($C169),"",IF($BL169&lt;&gt;Constants!$B$4,"",$BW169))</f>
        <v/>
      </c>
      <c r="DB169" s="104" t="str">
        <f aca="false">IF(ISBLANK($C169),"",IF($BL169&lt;&gt;Constants!$B$4,"",-$CD169))</f>
        <v/>
      </c>
      <c r="DC169" s="103" t="str">
        <f aca="false">IF(ISBLANK($C169),"",$CE169)</f>
        <v/>
      </c>
      <c r="DD169" s="105" t="str">
        <f aca="false">IF(ISBLANK($C169),"",$BM169)</f>
        <v/>
      </c>
      <c r="DE169" s="104" t="str">
        <f aca="false">IF(ISBLANK($C169),"",$CL169)</f>
        <v/>
      </c>
      <c r="DF169" s="104" t="str">
        <f aca="false">IF(ISBLANK($C169),"",$CK169)</f>
        <v/>
      </c>
      <c r="DG169" s="106" t="str">
        <f aca="false">IF(ISBLANK($C169),"",IF($DF169=Constants!$B$7,COUNTA($C$9:$C$508)+2,IF($DF169=Constants!$B$6,COUNTA($C$9:$C$508)+1,IF($DF169=Constants!$B$5,COUNTA($C$9:$C$508),$DF169))))</f>
        <v/>
      </c>
      <c r="DH169" s="7"/>
      <c r="DI169" s="107" t="n">
        <f aca="false">IF(OR(ISNUMBER($DF169),$DF169=Constants!$B$7,$DF169=Constants!$B$5,$DF169=Constants!$B$6),1,0)</f>
        <v>0</v>
      </c>
      <c r="DJ169" s="107" t="n">
        <v>161</v>
      </c>
      <c r="DK169" s="107" t="str">
        <f aca="false">IF(ISBLANK($C169),"",IF(ISNUMBER($DG169),$DG169+ROW($B169)/1000,""))</f>
        <v/>
      </c>
      <c r="DL169" s="107" t="str">
        <f aca="false">IF(ISNUMBER($DK169),RANK($DK169,$DK$9:$DK$508,1),"")</f>
        <v/>
      </c>
      <c r="DM169" s="107" t="str">
        <f aca="false">IF(ISBLANK($C169),"",$B169)</f>
        <v/>
      </c>
      <c r="DN169" s="107" t="str">
        <f aca="false">IF(ISBLANK($C169),"",$C169)</f>
        <v/>
      </c>
      <c r="DO169" s="107" t="str">
        <f aca="false">IF(ISBLANK($C169),"",$D169)</f>
        <v/>
      </c>
      <c r="DP169" s="108" t="str">
        <f aca="false">$DD169</f>
        <v/>
      </c>
      <c r="DQ169" s="109" t="str">
        <f aca="false">$DC169</f>
        <v/>
      </c>
      <c r="DR169" s="107" t="str">
        <f aca="false">IF(ISBLANK($C169),"",$DF169)</f>
        <v/>
      </c>
      <c r="DS169" s="110" t="str">
        <f aca="false">IF($DJ169&gt;$DI$8,"",VLOOKUP($DJ169,$DL$9:$DR$508,7,FALSE()))</f>
        <v/>
      </c>
      <c r="DT169" s="111" t="str">
        <f aca="false">IF($DJ169&gt;$DI$8,"",VLOOKUP($DJ169,$DL$9:$DR$508,2,FALSE()))</f>
        <v/>
      </c>
      <c r="DU169" s="111" t="str">
        <f aca="false">IF($DJ169&gt;$DI$8,"",VLOOKUP($DJ169,$DL$9:$DR$508,3,FALSE()))</f>
        <v/>
      </c>
      <c r="DV169" s="111" t="str">
        <f aca="false">IF($DJ169&gt;$DI$8,"",VLOOKUP($DJ169,$DL$9:$DR$508,4,FALSE()))</f>
        <v/>
      </c>
      <c r="DW169" s="111" t="str">
        <f aca="false">IF($DJ169&gt;$DI$8,"",VLOOKUP($DJ169,$DL$9:$DR$508,5,FALSE()))</f>
        <v/>
      </c>
      <c r="DX169" s="112" t="str">
        <f aca="false">IF($DJ169&gt;$DI$8,"",VLOOKUP($DJ169,$DL$9:$DR$508,6,FALSE()))</f>
        <v/>
      </c>
      <c r="DY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130"/>
      <c r="N170" s="130"/>
      <c r="O170" s="135"/>
      <c r="P170" s="135"/>
      <c r="Q170" s="130"/>
      <c r="R170" s="130"/>
      <c r="S170" s="130"/>
      <c r="T170" s="130"/>
      <c r="U170" s="135"/>
      <c r="V170" s="130"/>
      <c r="W170" s="96"/>
      <c r="X170" s="130"/>
      <c r="Y170" s="130"/>
      <c r="Z170" s="96"/>
      <c r="AA170" s="96"/>
      <c r="AB170" s="130"/>
      <c r="AC170" s="130"/>
      <c r="AD170" s="130"/>
      <c r="AE170" s="97"/>
      <c r="AF170" s="130"/>
      <c r="AG170" s="99"/>
      <c r="AH170" s="100"/>
      <c r="AI170" s="100"/>
      <c r="AJ170" s="100" t="str">
        <f aca="false">IF(ISBLANK($C170),"",IF($E170=Constants!$B$2,TRUE(),IF($E170=Constants!$B$3,FALSE(),TRUE())))</f>
        <v/>
      </c>
      <c r="AK170" s="100" t="str">
        <f aca="false">IF(ISBLANK($C170),"",IF($F170=Constants!$B$2,TRUE(),IF($F170=Constants!$B$3,FALSE(),FALSE())))</f>
        <v/>
      </c>
      <c r="AL170" s="100" t="str">
        <f aca="false">IF(ISBLANK($C170),"",IF($G170=Constants!$B$2,TRUE(),IF($G170=Constants!$B$3,FALSE(),TRUE())))</f>
        <v/>
      </c>
      <c r="AM170" s="100" t="str">
        <f aca="false">IF(ISBLANK($C170),"",IF($H170=Constants!$B$2,TRUE(),IF($H170=Constants!$B$3,FALSE(),TRUE())))</f>
        <v/>
      </c>
      <c r="AN170" s="100" t="str">
        <f aca="false">IF(ISBLANK($C170),"",IF(ISNUMBER($I170),IF($I170&gt;=0,$I170,""),""))</f>
        <v/>
      </c>
      <c r="AO170" s="100" t="str">
        <f aca="false">IF(ISBLANK($C170),"",IF(ISNUMBER($J170),IF($J170&gt;=0,$J170,""),""))</f>
        <v/>
      </c>
      <c r="AP170" s="100" t="str">
        <f aca="false">IF(ISBLANK($C170),"",IF(ISNUMBER($K170),IF($K170&gt;=0,$K170,""),""))</f>
        <v/>
      </c>
      <c r="AQ170" s="100" t="str">
        <f aca="false">IF(ISBLANK($C170),"",IF($L170=Constants!$B$2,TRUE(),IF($L170=Constants!$B$3,FALSE(),TRUE())))</f>
        <v/>
      </c>
      <c r="AR170" s="100" t="str">
        <f aca="false">IF(ISBLANK($C170),"",IF($M170=Constants!$B$2,TRUE(),IF($M170=Constants!$B$3,FALSE(),TRUE())))</f>
        <v/>
      </c>
      <c r="AS170" s="100" t="str">
        <f aca="false">IF(ISBLANK($C170),"",IF($N170=Constants!$B$2,TRUE(),IF($N170=Constants!$B$3,FALSE(),FALSE())))</f>
        <v/>
      </c>
      <c r="AT170" s="100" t="str">
        <f aca="false">IF(ISBLANK($C170),"",IF($O170=Constants!$B$2,TRUE(),IF($O170=Constants!$B$3,FALSE(),TRUE())))</f>
        <v/>
      </c>
      <c r="AU170" s="100" t="str">
        <f aca="false">IF(ISBLANK($C170),"",IF($P170=Constants!$B$2,TRUE(),IF($P170=Constants!$B$3,FALSE(),TRUE())))</f>
        <v/>
      </c>
      <c r="AV170" s="100" t="str">
        <f aca="false">IF(ISBLANK($C170),"",IF($Q170=Constants!$B$2,TRUE(),IF($Q170=Constants!$B$3,FALSE(),FALSE())))</f>
        <v/>
      </c>
      <c r="AW170" s="100" t="str">
        <f aca="false">IF(ISBLANK($C170),"",IF($R170=Constants!$B$2,TRUE(),IF($R170=Constants!$B$3,FALSE(),FALSE())))</f>
        <v/>
      </c>
      <c r="AX170" s="100" t="str">
        <f aca="false">IF(ISBLANK($C170),"",IF($S170=Constants!$B$2,TRUE(),IF($S170=Constants!$B$3,FALSE(),FALSE())))</f>
        <v/>
      </c>
      <c r="AY170" s="100" t="str">
        <f aca="false">IF(ISBLANK($C170),"",IF($T170=Constants!$B$2,TRUE(),IF($T170=Constants!$B$3,FALSE(),FALSE())))</f>
        <v/>
      </c>
      <c r="AZ170" s="100" t="str">
        <f aca="false">IF(ISBLANK($C170),"",IF($U170=Constants!$B$2,TRUE(),IF($U170=Constants!$B$3,FALSE(),FALSE())))</f>
        <v/>
      </c>
      <c r="BA170" s="100" t="str">
        <f aca="false">IF(ISBLANK($C170),"",IF(OR($V170&amp;""="1",$V170&amp;""="2",$V170&amp;""="3",$V170&amp;""="4"),VALUE($V170&amp;""),IF($V170=Constants!$B$12,Constants!$B$12,"")))</f>
        <v/>
      </c>
      <c r="BB170" s="100" t="str">
        <f aca="false">IF(ISBLANK($C170),"",IF(ISBLANK($W170),0,IF(ISNUMBER($W170),IF(AND($W170&gt;=0,$W170&lt;=Constants!$B$21,$W170=INT($W170)),$W170,""),"")))</f>
        <v/>
      </c>
      <c r="BC170" s="100" t="str">
        <f aca="false">IF(ISBLANK($C170),"",IF(ISBLANK($X170),0,IF(ISNUMBER($X170),IF($X170&gt;=0,$X170,""),"")))</f>
        <v/>
      </c>
      <c r="BD170" s="100" t="str">
        <f aca="false">IF(ISBLANK($C170),"",IF($Y170=Constants!$B$2,TRUE(),IF($Y170=Constants!$B$3,FALSE(),TRUE())))</f>
        <v/>
      </c>
      <c r="BE170" s="100" t="str">
        <f aca="false">IF(ISBLANK($C170),"",IF($Z170=Constants!$B$2,TRUE(),IF($Z170=Constants!$B$3,FALSE(),FALSE())))</f>
        <v/>
      </c>
      <c r="BF170" s="100" t="str">
        <f aca="false">IF(ISBLANK($C170),"",IF(ISBLANK($AA170),0,IF(ISNUMBER($AA170),IF(AND($AA170&gt;=0,$AA170&lt;=Constants!$B$35,$AA170=INT($AA170)),$AA170,""),"")))</f>
        <v/>
      </c>
      <c r="BG170" s="100" t="str">
        <f aca="false">IF(ISBLANK($C170),"",IF($AB170=Constants!$B$2,TRUE(),IF($AB170=Constants!$B$3,FALSE(),TRUE())))</f>
        <v/>
      </c>
      <c r="BH170" s="100" t="str">
        <f aca="false">IF(ISBLANK($C170),"",IF($AC170=Constants!$B$2,TRUE(),IF($AC170=Constants!$B$3,FALSE(),TRUE())))</f>
        <v/>
      </c>
      <c r="BI170" s="100" t="str">
        <f aca="false">IF(ISBLANK($C170),"",IF($AD170=Constants!$B$2,TRUE(),IF($AD170=Constants!$B$3,FALSE(),TRUE())))</f>
        <v/>
      </c>
      <c r="BJ170" s="100" t="str">
        <f aca="false">IF(ISBLANK($C170),"",IF(ISNUMBER($AE170),IF($AE170&gt;=0,$AE170,""),""))</f>
        <v/>
      </c>
      <c r="BK170" s="100" t="str">
        <f aca="false">IF(ISBLANK($C170),"",IF($AF170=Constants!$B$2,TRUE(),IF($AF170=Constants!$B$3,FALSE(),FALSE())))</f>
        <v/>
      </c>
      <c r="BL170" s="99" t="str">
        <f aca="false">IF(ISBLANK($C170),"",IF($BK170,Constants!$B$7,IF(COUNTA($E170:$AE170)=0,Constants!$B$6,IF(OR(COUNTA($G170:$AE170)=0,NOT($AM170),$AS170),Constants!$B$5,IF(OR($CM170&lt;&gt;"",$CN170,$CO170,$CP170,$CQ170,$CR170,$CS170),Constants!$B$8,Constants!$B$4)))))</f>
        <v/>
      </c>
      <c r="BM170" s="100" t="str">
        <f aca="false">IF(ISBLANK($C170),"",IF($BL170&lt;&gt;Constants!$B$4,$BL170,IF(OR(NOT($AJ170),NOT($AL170),NOT($AT170)),Constants!$B$11,IF(OR(NOT($AR170),NOT($AU170),NOT($BI170),MAX($AN170,$AO170,$AP170)&gt;Constants!$B$30),Constants!$B$10,Constants!$B$9))))</f>
        <v/>
      </c>
      <c r="BN170" s="100" t="str">
        <f aca="false">IF($BL170&lt;&gt;Constants!$B$4,"",IF(NOT($AL170),0,MIN(Constants!$B$35,$BF170)))</f>
        <v/>
      </c>
      <c r="BO170" s="100" t="str">
        <f aca="false">IF($BL170&lt;&gt;Constants!$B$4,"",IF(NOT($AL170),0,IF($AW170,Constants!$B$18,IF($AV170,Constants!$B$17,0))))</f>
        <v/>
      </c>
      <c r="BP170" s="100" t="str">
        <f aca="false">IF($BL170&lt;&gt;Constants!$B$4,"",IF(NOT($AL170),0,Constants!$B$19*($AK170+$AX170+$AY170+$AZ170)))</f>
        <v/>
      </c>
      <c r="BQ170" s="100" t="str">
        <f aca="false">IF($BL170&lt;&gt;Constants!$B$4,"",IF(OR(NOT($AL170),NOT(ISNUMBER($BA170))),0,CHOOSE($BA170,Constants!$B$13,Constants!$B$14,Constants!$B$15,Constants!$B$16)))</f>
        <v/>
      </c>
      <c r="BR170" s="100" t="str">
        <f aca="false">IF($BL170&lt;&gt;Constants!$B$4,"",IF(NOT($AL170),0,Constants!$B$20*$BB170))</f>
        <v/>
      </c>
      <c r="BS170" s="100" t="str">
        <f aca="false">IF($BL170&lt;&gt;Constants!$B$4,"",IF(AND($AL170,$BD170,$BE170),Constants!$B$22,0))</f>
        <v/>
      </c>
      <c r="BT170" s="100" t="str">
        <f aca="false">IF($BL170&lt;&gt;Constants!$B$4,"",IF(OR(NOT($AL170),NOT($BD170)),0,IF($BJ170&gt;=2*$AH$9,0,Constants!$B$23*INT(ROUND(MIN($BJ170,$AH$9),6)))))</f>
        <v/>
      </c>
      <c r="BU170" s="100" t="str">
        <f aca="false">IF($BL170&lt;&gt;Constants!$B$4,"",IF(NOT($AL170),0,Constants!$B$24*INT(ROUND(MIN($BC170,$AH$9),6))))</f>
        <v/>
      </c>
      <c r="BV170" s="100" t="str">
        <f aca="false">IF($BL170&lt;&gt;Constants!$B$4,"",IF(AND($AL170,$BN170=0),Constants!$B$25,0))</f>
        <v/>
      </c>
      <c r="BW170" s="100" t="str">
        <f aca="false">IF($BL170&lt;&gt;Constants!$B$4,"",MIN(Constants!$B$29,MAX(0,Constants!$B$27*Constants!$B$28*INT(ROUND((Constants!$B$26-$AN170)/Constants!$B$28,6))))+MIN(Constants!$B$29,MAX(0,Constants!$B$27*Constants!$B$28*INT(ROUND((Constants!$B$26-$AO170)/Constants!$B$28,6))))+MIN(Constants!$B$29,MAX(0,Constants!$B$27*Constants!$B$28*INT(ROUND((Constants!$B$26-$AP170)/Constants!$B$28,6)))))</f>
        <v/>
      </c>
      <c r="BX170" s="100" t="str">
        <f aca="false">IF($BL170&lt;&gt;Constants!$B$4,"",IF(NOT($AL170),0,Constants!$B$31*INT(ROUND(MAX(0,MIN($BJ170,2*$AH$9)-$AH$9),6))))</f>
        <v/>
      </c>
      <c r="BY170" s="100" t="str">
        <f aca="false">IF($BL170&lt;&gt;Constants!$B$4,"",Constants!$B$32*(($AN170&gt;Constants!$B$26)+($AO170&gt;Constants!$B$26)+($AP170&gt;Constants!$B$26)))</f>
        <v/>
      </c>
      <c r="BZ170" s="100" t="str">
        <f aca="false">IF($BL170&lt;&gt;Constants!$B$4,"",IF(OR(NOT($AL170),$AQ170),0,Constants!$B$33))</f>
        <v/>
      </c>
      <c r="CA170" s="100" t="str">
        <f aca="false">IF($BL170&lt;&gt;Constants!$B$4,"",Constants!$B$34*$BN170)</f>
        <v/>
      </c>
      <c r="CB170" s="100" t="str">
        <f aca="false">IF($BL170&lt;&gt;Constants!$B$4,"",IF(OR(NOT($AL170),$BH170),0,Constants!$B$36))</f>
        <v/>
      </c>
      <c r="CC170" s="100" t="str">
        <f aca="false">IF($BL170&lt;&gt;Constants!$B$4,"",IF(OR(NOT($AL170),$BG170),0,Constants!$B$37))</f>
        <v/>
      </c>
      <c r="CD170" s="100" t="str">
        <f aca="false">IF($BL170&lt;&gt;Constants!$B$4,"",SUM($BX170:$CC170))</f>
        <v/>
      </c>
      <c r="CE170" s="100" t="str">
        <f aca="false">IF(ISBLANK($C170),"",IF($BL170&lt;&gt;Constants!$B$4,$BL170,SUM($BO170:$BW170)-$CD170))</f>
        <v/>
      </c>
      <c r="CF170" s="100" t="str">
        <f aca="false">IF(ISBLANK($C170),"",IF($BL170&lt;&gt;Constants!$B$4,$BL170,RANK($CE170,$CE$9:$CE$508)))</f>
        <v/>
      </c>
      <c r="CG170" s="100" t="str">
        <f aca="false">IF(ISBLANK($C170),"",IF($BL170&lt;&gt;Constants!$B$4,$BL170,COUNTIFS($BM$9:$BM$508,"&lt;"&amp;$BM170)+COUNTIFS($BM$9:$BM$508,$BM170,$CF$9:$CF$508,"&lt;"&amp;$CF170)+1))</f>
        <v/>
      </c>
      <c r="CH170" s="100" t="str">
        <f aca="false">IF(ISBLANK($C170),"",IF($BL170&lt;&gt;Constants!$B$4,$BL170,RANK($CD170,$CD$9:$CD$508,1)))</f>
        <v/>
      </c>
      <c r="CI170" s="100" t="str">
        <f aca="false">IF($BL170&lt;&gt;Constants!$B$4,"",$AN170+$AO170+$AP170)</f>
        <v/>
      </c>
      <c r="CJ170" s="100" t="str">
        <f aca="false">IF(ISBLANK($C170),"",IF($BL170&lt;&gt;Constants!$B$4,$BL170,RANK($CI170,$CI$9:$CI$508,1)))</f>
        <v/>
      </c>
      <c r="CK170" s="100" t="str">
        <f aca="false">IF(ISBLANK($C170),"",IF($BL170&lt;&gt;Constants!$B$4,$BL170,COUNTIFS($BM$9:$BM$508,"&lt;"&amp;$BM170)+COUNTIFS($BM$9:$BM$508,$BM170,$CF$9:$CF$508,"&lt;"&amp;$CF170)+COUNTIFS($BM$9:$BM$508,$BM170,$CF$9:$CF$508,$CF170,$CH$9:$CH$508,"&lt;"&amp;$CH170)+COUNTIFS($BM$9:$BM$508,$BM170,$CF$9:$CF$508,$CF170,$CH$9:$CH$508,$CH170,$CJ$9:$CJ$508,"&lt;"&amp;$CJ170)+1))</f>
        <v/>
      </c>
      <c r="CL170" s="100" t="str">
        <f aca="false">IF(ISBLANK($C170),"",IF($BL170&lt;&gt;Constants!$B$4,$BL170,$CG170-$CK170))</f>
        <v/>
      </c>
      <c r="CM170" s="100" t="str">
        <f aca="false">IF(ISBLANK($C170),"",IF(NOT($AL170),"",IF(ISBLANK($D$7),$CM$5,IF(NOT(ISNUMBER($D$7)),$CM$6,""))))</f>
        <v/>
      </c>
      <c r="CN170" s="100" t="str">
        <f aca="false">IF(ISBLANK($C170),"",OR($AN170="",$AO170="",$AP170=""))</f>
        <v/>
      </c>
      <c r="CO170" s="100" t="str">
        <f aca="false">IF(ISBLANK($C170),"",AND($AL170,$BA170=""))</f>
        <v/>
      </c>
      <c r="CP170" s="100" t="str">
        <f aca="false">IF(ISBLANK($C170),"",AND($AL170,$BB170=""))</f>
        <v/>
      </c>
      <c r="CQ170" s="100" t="str">
        <f aca="false">IF(ISBLANK($C170),"",AND($AL170,$BC170=""))</f>
        <v/>
      </c>
      <c r="CR170" s="100" t="str">
        <f aca="false">IF(ISBLANK($C170),"",AND($AL170,$BF170=""))</f>
        <v/>
      </c>
      <c r="CS170" s="100" t="str">
        <f aca="false">IF(ISBLANK($C170),"",AND($AL170,$BJ170=""))</f>
        <v/>
      </c>
      <c r="CT170" s="101"/>
      <c r="CU170" s="102"/>
      <c r="CV170" s="103" t="str">
        <f aca="false">IF(ISBLANK($C170),"",IF($BL170=Constants!$B$8,$CM170,""))</f>
        <v/>
      </c>
      <c r="CW170" s="102" t="str">
        <f aca="false">IF(ISBLANK($C170),"",IF($BL170&lt;&gt;Constants!$B$4,"",$BO170+$BP170))</f>
        <v/>
      </c>
      <c r="CX170" s="104" t="str">
        <f aca="false">IF(ISBLANK($C170),"",IF($BL170&lt;&gt;Constants!$B$4,"",$BQ170+$BR170+$BS170))</f>
        <v/>
      </c>
      <c r="CY170" s="104" t="str">
        <f aca="false">IF(ISBLANK($C170),"",IF($BL170&lt;&gt;Constants!$B$4,"",$BT170))</f>
        <v/>
      </c>
      <c r="CZ170" s="104" t="str">
        <f aca="false">IF(ISBLANK($C170),"",IF($BL170&lt;&gt;Constants!$B$4,"",$BU170+$BV170))</f>
        <v/>
      </c>
      <c r="DA170" s="104" t="str">
        <f aca="false">IF(ISBLANK($C170),"",IF($BL170&lt;&gt;Constants!$B$4,"",$BW170))</f>
        <v/>
      </c>
      <c r="DB170" s="104" t="str">
        <f aca="false">IF(ISBLANK($C170),"",IF($BL170&lt;&gt;Constants!$B$4,"",-$CD170))</f>
        <v/>
      </c>
      <c r="DC170" s="103" t="str">
        <f aca="false">IF(ISBLANK($C170),"",$CE170)</f>
        <v/>
      </c>
      <c r="DD170" s="105" t="str">
        <f aca="false">IF(ISBLANK($C170),"",$BM170)</f>
        <v/>
      </c>
      <c r="DE170" s="104" t="str">
        <f aca="false">IF(ISBLANK($C170),"",$CL170)</f>
        <v/>
      </c>
      <c r="DF170" s="104" t="str">
        <f aca="false">IF(ISBLANK($C170),"",$CK170)</f>
        <v/>
      </c>
      <c r="DG170" s="106" t="str">
        <f aca="false">IF(ISBLANK($C170),"",IF($DF170=Constants!$B$7,COUNTA($C$9:$C$508)+2,IF($DF170=Constants!$B$6,COUNTA($C$9:$C$508)+1,IF($DF170=Constants!$B$5,COUNTA($C$9:$C$508),$DF170))))</f>
        <v/>
      </c>
      <c r="DH170" s="7"/>
      <c r="DI170" s="107" t="n">
        <f aca="false">IF(OR(ISNUMBER($DF170),$DF170=Constants!$B$7,$DF170=Constants!$B$5,$DF170=Constants!$B$6),1,0)</f>
        <v>0</v>
      </c>
      <c r="DJ170" s="107" t="n">
        <v>162</v>
      </c>
      <c r="DK170" s="107" t="str">
        <f aca="false">IF(ISBLANK($C170),"",IF(ISNUMBER($DG170),$DG170+ROW($B170)/1000,""))</f>
        <v/>
      </c>
      <c r="DL170" s="107" t="str">
        <f aca="false">IF(ISNUMBER($DK170),RANK($DK170,$DK$9:$DK$508,1),"")</f>
        <v/>
      </c>
      <c r="DM170" s="107" t="str">
        <f aca="false">IF(ISBLANK($C170),"",$B170)</f>
        <v/>
      </c>
      <c r="DN170" s="107" t="str">
        <f aca="false">IF(ISBLANK($C170),"",$C170)</f>
        <v/>
      </c>
      <c r="DO170" s="107" t="str">
        <f aca="false">IF(ISBLANK($C170),"",$D170)</f>
        <v/>
      </c>
      <c r="DP170" s="108" t="str">
        <f aca="false">$DD170</f>
        <v/>
      </c>
      <c r="DQ170" s="109" t="str">
        <f aca="false">$DC170</f>
        <v/>
      </c>
      <c r="DR170" s="107" t="str">
        <f aca="false">IF(ISBLANK($C170),"",$DF170)</f>
        <v/>
      </c>
      <c r="DS170" s="110" t="str">
        <f aca="false">IF($DJ170&gt;$DI$8,"",VLOOKUP($DJ170,$DL$9:$DR$508,7,FALSE()))</f>
        <v/>
      </c>
      <c r="DT170" s="111" t="str">
        <f aca="false">IF($DJ170&gt;$DI$8,"",VLOOKUP($DJ170,$DL$9:$DR$508,2,FALSE()))</f>
        <v/>
      </c>
      <c r="DU170" s="111" t="str">
        <f aca="false">IF($DJ170&gt;$DI$8,"",VLOOKUP($DJ170,$DL$9:$DR$508,3,FALSE()))</f>
        <v/>
      </c>
      <c r="DV170" s="111" t="str">
        <f aca="false">IF($DJ170&gt;$DI$8,"",VLOOKUP($DJ170,$DL$9:$DR$508,4,FALSE()))</f>
        <v/>
      </c>
      <c r="DW170" s="111" t="str">
        <f aca="false">IF($DJ170&gt;$DI$8,"",VLOOKUP($DJ170,$DL$9:$DR$508,5,FALSE()))</f>
        <v/>
      </c>
      <c r="DX170" s="112" t="str">
        <f aca="false">IF($DJ170&gt;$DI$8,"",VLOOKUP($DJ170,$DL$9:$DR$508,6,FALSE()))</f>
        <v/>
      </c>
      <c r="DY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88"/>
      <c r="N171" s="88"/>
      <c r="O171" s="134"/>
      <c r="P171" s="134"/>
      <c r="Q171" s="88"/>
      <c r="R171" s="88"/>
      <c r="S171" s="88"/>
      <c r="T171" s="88"/>
      <c r="U171" s="134"/>
      <c r="V171" s="88"/>
      <c r="W171" s="70"/>
      <c r="X171" s="88"/>
      <c r="Y171" s="88"/>
      <c r="Z171" s="70"/>
      <c r="AA171" s="70"/>
      <c r="AB171" s="88"/>
      <c r="AC171" s="88"/>
      <c r="AD171" s="88"/>
      <c r="AE171" s="71"/>
      <c r="AF171" s="88"/>
      <c r="AG171" s="73"/>
      <c r="AH171" s="74"/>
      <c r="AI171" s="74"/>
      <c r="AJ171" s="74" t="str">
        <f aca="false">IF(ISBLANK($C171),"",IF($E171=Constants!$B$2,TRUE(),IF($E171=Constants!$B$3,FALSE(),TRUE())))</f>
        <v/>
      </c>
      <c r="AK171" s="74" t="str">
        <f aca="false">IF(ISBLANK($C171),"",IF($F171=Constants!$B$2,TRUE(),IF($F171=Constants!$B$3,FALSE(),FALSE())))</f>
        <v/>
      </c>
      <c r="AL171" s="74" t="str">
        <f aca="false">IF(ISBLANK($C171),"",IF($G171=Constants!$B$2,TRUE(),IF($G171=Constants!$B$3,FALSE(),TRUE())))</f>
        <v/>
      </c>
      <c r="AM171" s="74" t="str">
        <f aca="false">IF(ISBLANK($C171),"",IF($H171=Constants!$B$2,TRUE(),IF($H171=Constants!$B$3,FALSE(),TRUE())))</f>
        <v/>
      </c>
      <c r="AN171" s="74" t="str">
        <f aca="false">IF(ISBLANK($C171),"",IF(ISNUMBER($I171),IF($I171&gt;=0,$I171,""),""))</f>
        <v/>
      </c>
      <c r="AO171" s="74" t="str">
        <f aca="false">IF(ISBLANK($C171),"",IF(ISNUMBER($J171),IF($J171&gt;=0,$J171,""),""))</f>
        <v/>
      </c>
      <c r="AP171" s="74" t="str">
        <f aca="false">IF(ISBLANK($C171),"",IF(ISNUMBER($K171),IF($K171&gt;=0,$K171,""),""))</f>
        <v/>
      </c>
      <c r="AQ171" s="74" t="str">
        <f aca="false">IF(ISBLANK($C171),"",IF($L171=Constants!$B$2,TRUE(),IF($L171=Constants!$B$3,FALSE(),TRUE())))</f>
        <v/>
      </c>
      <c r="AR171" s="74" t="str">
        <f aca="false">IF(ISBLANK($C171),"",IF($M171=Constants!$B$2,TRUE(),IF($M171=Constants!$B$3,FALSE(),TRUE())))</f>
        <v/>
      </c>
      <c r="AS171" s="74" t="str">
        <f aca="false">IF(ISBLANK($C171),"",IF($N171=Constants!$B$2,TRUE(),IF($N171=Constants!$B$3,FALSE(),FALSE())))</f>
        <v/>
      </c>
      <c r="AT171" s="74" t="str">
        <f aca="false">IF(ISBLANK($C171),"",IF($O171=Constants!$B$2,TRUE(),IF($O171=Constants!$B$3,FALSE(),TRUE())))</f>
        <v/>
      </c>
      <c r="AU171" s="74" t="str">
        <f aca="false">IF(ISBLANK($C171),"",IF($P171=Constants!$B$2,TRUE(),IF($P171=Constants!$B$3,FALSE(),TRUE())))</f>
        <v/>
      </c>
      <c r="AV171" s="74" t="str">
        <f aca="false">IF(ISBLANK($C171),"",IF($Q171=Constants!$B$2,TRUE(),IF($Q171=Constants!$B$3,FALSE(),FALSE())))</f>
        <v/>
      </c>
      <c r="AW171" s="74" t="str">
        <f aca="false">IF(ISBLANK($C171),"",IF($R171=Constants!$B$2,TRUE(),IF($R171=Constants!$B$3,FALSE(),FALSE())))</f>
        <v/>
      </c>
      <c r="AX171" s="74" t="str">
        <f aca="false">IF(ISBLANK($C171),"",IF($S171=Constants!$B$2,TRUE(),IF($S171=Constants!$B$3,FALSE(),FALSE())))</f>
        <v/>
      </c>
      <c r="AY171" s="74" t="str">
        <f aca="false">IF(ISBLANK($C171),"",IF($T171=Constants!$B$2,TRUE(),IF($T171=Constants!$B$3,FALSE(),FALSE())))</f>
        <v/>
      </c>
      <c r="AZ171" s="74" t="str">
        <f aca="false">IF(ISBLANK($C171),"",IF($U171=Constants!$B$2,TRUE(),IF($U171=Constants!$B$3,FALSE(),FALSE())))</f>
        <v/>
      </c>
      <c r="BA171" s="74" t="str">
        <f aca="false">IF(ISBLANK($C171),"",IF(OR($V171&amp;""="1",$V171&amp;""="2",$V171&amp;""="3",$V171&amp;""="4"),VALUE($V171&amp;""),IF($V171=Constants!$B$12,Constants!$B$12,"")))</f>
        <v/>
      </c>
      <c r="BB171" s="74" t="str">
        <f aca="false">IF(ISBLANK($C171),"",IF(ISBLANK($W171),0,IF(ISNUMBER($W171),IF(AND($W171&gt;=0,$W171&lt;=Constants!$B$21,$W171=INT($W171)),$W171,""),"")))</f>
        <v/>
      </c>
      <c r="BC171" s="74" t="str">
        <f aca="false">IF(ISBLANK($C171),"",IF(ISBLANK($X171),0,IF(ISNUMBER($X171),IF($X171&gt;=0,$X171,""),"")))</f>
        <v/>
      </c>
      <c r="BD171" s="74" t="str">
        <f aca="false">IF(ISBLANK($C171),"",IF($Y171=Constants!$B$2,TRUE(),IF($Y171=Constants!$B$3,FALSE(),TRUE())))</f>
        <v/>
      </c>
      <c r="BE171" s="74" t="str">
        <f aca="false">IF(ISBLANK($C171),"",IF($Z171=Constants!$B$2,TRUE(),IF($Z171=Constants!$B$3,FALSE(),FALSE())))</f>
        <v/>
      </c>
      <c r="BF171" s="74" t="str">
        <f aca="false">IF(ISBLANK($C171),"",IF(ISBLANK($AA171),0,IF(ISNUMBER($AA171),IF(AND($AA171&gt;=0,$AA171&lt;=Constants!$B$35,$AA171=INT($AA171)),$AA171,""),"")))</f>
        <v/>
      </c>
      <c r="BG171" s="74" t="str">
        <f aca="false">IF(ISBLANK($C171),"",IF($AB171=Constants!$B$2,TRUE(),IF($AB171=Constants!$B$3,FALSE(),TRUE())))</f>
        <v/>
      </c>
      <c r="BH171" s="74" t="str">
        <f aca="false">IF(ISBLANK($C171),"",IF($AC171=Constants!$B$2,TRUE(),IF($AC171=Constants!$B$3,FALSE(),TRUE())))</f>
        <v/>
      </c>
      <c r="BI171" s="74" t="str">
        <f aca="false">IF(ISBLANK($C171),"",IF($AD171=Constants!$B$2,TRUE(),IF($AD171=Constants!$B$3,FALSE(),TRUE())))</f>
        <v/>
      </c>
      <c r="BJ171" s="74" t="str">
        <f aca="false">IF(ISBLANK($C171),"",IF(ISNUMBER($AE171),IF($AE171&gt;=0,$AE171,""),""))</f>
        <v/>
      </c>
      <c r="BK171" s="74" t="str">
        <f aca="false">IF(ISBLANK($C171),"",IF($AF171=Constants!$B$2,TRUE(),IF($AF171=Constants!$B$3,FALSE(),FALSE())))</f>
        <v/>
      </c>
      <c r="BL171" s="73" t="str">
        <f aca="false">IF(ISBLANK($C171),"",IF($BK171,Constants!$B$7,IF(COUNTA($E171:$AE171)=0,Constants!$B$6,IF(OR(COUNTA($G171:$AE171)=0,NOT($AM171),$AS171),Constants!$B$5,IF(OR($CM171&lt;&gt;"",$CN171,$CO171,$CP171,$CQ171,$CR171,$CS171),Constants!$B$8,Constants!$B$4)))))</f>
        <v/>
      </c>
      <c r="BM171" s="74" t="str">
        <f aca="false">IF(ISBLANK($C171),"",IF($BL171&lt;&gt;Constants!$B$4,$BL171,IF(OR(NOT($AJ171),NOT($AL171),NOT($AT171)),Constants!$B$11,IF(OR(NOT($AR171),NOT($AU171),NOT($BI171),MAX($AN171,$AO171,$AP171)&gt;Constants!$B$30),Constants!$B$10,Constants!$B$9))))</f>
        <v/>
      </c>
      <c r="BN171" s="74" t="str">
        <f aca="false">IF($BL171&lt;&gt;Constants!$B$4,"",IF(NOT($AL171),0,MIN(Constants!$B$35,$BF171)))</f>
        <v/>
      </c>
      <c r="BO171" s="74" t="str">
        <f aca="false">IF($BL171&lt;&gt;Constants!$B$4,"",IF(NOT($AL171),0,IF($AW171,Constants!$B$18,IF($AV171,Constants!$B$17,0))))</f>
        <v/>
      </c>
      <c r="BP171" s="74" t="str">
        <f aca="false">IF($BL171&lt;&gt;Constants!$B$4,"",IF(NOT($AL171),0,Constants!$B$19*($AK171+$AX171+$AY171+$AZ171)))</f>
        <v/>
      </c>
      <c r="BQ171" s="74" t="str">
        <f aca="false">IF($BL171&lt;&gt;Constants!$B$4,"",IF(OR(NOT($AL171),NOT(ISNUMBER($BA171))),0,CHOOSE($BA171,Constants!$B$13,Constants!$B$14,Constants!$B$15,Constants!$B$16)))</f>
        <v/>
      </c>
      <c r="BR171" s="74" t="str">
        <f aca="false">IF($BL171&lt;&gt;Constants!$B$4,"",IF(NOT($AL171),0,Constants!$B$20*$BB171))</f>
        <v/>
      </c>
      <c r="BS171" s="74" t="str">
        <f aca="false">IF($BL171&lt;&gt;Constants!$B$4,"",IF(AND($AL171,$BD171,$BE171),Constants!$B$22,0))</f>
        <v/>
      </c>
      <c r="BT171" s="74" t="str">
        <f aca="false">IF($BL171&lt;&gt;Constants!$B$4,"",IF(OR(NOT($AL171),NOT($BD171)),0,IF($BJ171&gt;=2*$AH$9,0,Constants!$B$23*INT(ROUND(MIN($BJ171,$AH$9),6)))))</f>
        <v/>
      </c>
      <c r="BU171" s="74" t="str">
        <f aca="false">IF($BL171&lt;&gt;Constants!$B$4,"",IF(NOT($AL171),0,Constants!$B$24*INT(ROUND(MIN($BC171,$AH$9),6))))</f>
        <v/>
      </c>
      <c r="BV171" s="74" t="str">
        <f aca="false">IF($BL171&lt;&gt;Constants!$B$4,"",IF(AND($AL171,$BN171=0),Constants!$B$25,0))</f>
        <v/>
      </c>
      <c r="BW171" s="74" t="str">
        <f aca="false">IF($BL171&lt;&gt;Constants!$B$4,"",MIN(Constants!$B$29,MAX(0,Constants!$B$27*Constants!$B$28*INT(ROUND((Constants!$B$26-$AN171)/Constants!$B$28,6))))+MIN(Constants!$B$29,MAX(0,Constants!$B$27*Constants!$B$28*INT(ROUND((Constants!$B$26-$AO171)/Constants!$B$28,6))))+MIN(Constants!$B$29,MAX(0,Constants!$B$27*Constants!$B$28*INT(ROUND((Constants!$B$26-$AP171)/Constants!$B$28,6)))))</f>
        <v/>
      </c>
      <c r="BX171" s="74" t="str">
        <f aca="false">IF($BL171&lt;&gt;Constants!$B$4,"",IF(NOT($AL171),0,Constants!$B$31*INT(ROUND(MAX(0,MIN($BJ171,2*$AH$9)-$AH$9),6))))</f>
        <v/>
      </c>
      <c r="BY171" s="74" t="str">
        <f aca="false">IF($BL171&lt;&gt;Constants!$B$4,"",Constants!$B$32*(($AN171&gt;Constants!$B$26)+($AO171&gt;Constants!$B$26)+($AP171&gt;Constants!$B$26)))</f>
        <v/>
      </c>
      <c r="BZ171" s="74" t="str">
        <f aca="false">IF($BL171&lt;&gt;Constants!$B$4,"",IF(OR(NOT($AL171),$AQ171),0,Constants!$B$33))</f>
        <v/>
      </c>
      <c r="CA171" s="74" t="str">
        <f aca="false">IF($BL171&lt;&gt;Constants!$B$4,"",Constants!$B$34*$BN171)</f>
        <v/>
      </c>
      <c r="CB171" s="74" t="str">
        <f aca="false">IF($BL171&lt;&gt;Constants!$B$4,"",IF(OR(NOT($AL171),$BH171),0,Constants!$B$36))</f>
        <v/>
      </c>
      <c r="CC171" s="74" t="str">
        <f aca="false">IF($BL171&lt;&gt;Constants!$B$4,"",IF(OR(NOT($AL171),$BG171),0,Constants!$B$37))</f>
        <v/>
      </c>
      <c r="CD171" s="74" t="str">
        <f aca="false">IF($BL171&lt;&gt;Constants!$B$4,"",SUM($BX171:$CC171))</f>
        <v/>
      </c>
      <c r="CE171" s="74" t="str">
        <f aca="false">IF(ISBLANK($C171),"",IF($BL171&lt;&gt;Constants!$B$4,$BL171,SUM($BO171:$BW171)-$CD171))</f>
        <v/>
      </c>
      <c r="CF171" s="74" t="str">
        <f aca="false">IF(ISBLANK($C171),"",IF($BL171&lt;&gt;Constants!$B$4,$BL171,RANK($CE171,$CE$9:$CE$508)))</f>
        <v/>
      </c>
      <c r="CG171" s="74" t="str">
        <f aca="false">IF(ISBLANK($C171),"",IF($BL171&lt;&gt;Constants!$B$4,$BL171,COUNTIFS($BM$9:$BM$508,"&lt;"&amp;$BM171)+COUNTIFS($BM$9:$BM$508,$BM171,$CF$9:$CF$508,"&lt;"&amp;$CF171)+1))</f>
        <v/>
      </c>
      <c r="CH171" s="74" t="str">
        <f aca="false">IF(ISBLANK($C171),"",IF($BL171&lt;&gt;Constants!$B$4,$BL171,RANK($CD171,$CD$9:$CD$508,1)))</f>
        <v/>
      </c>
      <c r="CI171" s="74" t="str">
        <f aca="false">IF($BL171&lt;&gt;Constants!$B$4,"",$AN171+$AO171+$AP171)</f>
        <v/>
      </c>
      <c r="CJ171" s="74" t="str">
        <f aca="false">IF(ISBLANK($C171),"",IF($BL171&lt;&gt;Constants!$B$4,$BL171,RANK($CI171,$CI$9:$CI$508,1)))</f>
        <v/>
      </c>
      <c r="CK171" s="74" t="str">
        <f aca="false">IF(ISBLANK($C171),"",IF($BL171&lt;&gt;Constants!$B$4,$BL171,COUNTIFS($BM$9:$BM$508,"&lt;"&amp;$BM171)+COUNTIFS($BM$9:$BM$508,$BM171,$CF$9:$CF$508,"&lt;"&amp;$CF171)+COUNTIFS($BM$9:$BM$508,$BM171,$CF$9:$CF$508,$CF171,$CH$9:$CH$508,"&lt;"&amp;$CH171)+COUNTIFS($BM$9:$BM$508,$BM171,$CF$9:$CF$508,$CF171,$CH$9:$CH$508,$CH171,$CJ$9:$CJ$508,"&lt;"&amp;$CJ171)+1))</f>
        <v/>
      </c>
      <c r="CL171" s="74" t="str">
        <f aca="false">IF(ISBLANK($C171),"",IF($BL171&lt;&gt;Constants!$B$4,$BL171,$CG171-$CK171))</f>
        <v/>
      </c>
      <c r="CM171" s="74" t="str">
        <f aca="false">IF(ISBLANK($C171),"",IF(NOT($AL171),"",IF(ISBLANK($D$7),$CM$5,IF(NOT(ISNUMBER($D$7)),$CM$6,""))))</f>
        <v/>
      </c>
      <c r="CN171" s="74" t="str">
        <f aca="false">IF(ISBLANK($C171),"",OR($AN171="",$AO171="",$AP171=""))</f>
        <v/>
      </c>
      <c r="CO171" s="74" t="str">
        <f aca="false">IF(ISBLANK($C171),"",AND($AL171,$BA171=""))</f>
        <v/>
      </c>
      <c r="CP171" s="74" t="str">
        <f aca="false">IF(ISBLANK($C171),"",AND($AL171,$BB171=""))</f>
        <v/>
      </c>
      <c r="CQ171" s="74" t="str">
        <f aca="false">IF(ISBLANK($C171),"",AND($AL171,$BC171=""))</f>
        <v/>
      </c>
      <c r="CR171" s="74" t="str">
        <f aca="false">IF(ISBLANK($C171),"",AND($AL171,$BF171=""))</f>
        <v/>
      </c>
      <c r="CS171" s="74" t="str">
        <f aca="false">IF(ISBLANK($C171),"",AND($AL171,$BJ171=""))</f>
        <v/>
      </c>
      <c r="CT171" s="75"/>
      <c r="CU171" s="76"/>
      <c r="CV171" s="79" t="str">
        <f aca="false">IF(ISBLANK($C171),"",IF($BL171=Constants!$B$8,$CM171,""))</f>
        <v/>
      </c>
      <c r="CW171" s="76" t="str">
        <f aca="false">IF(ISBLANK($C171),"",IF($BL171&lt;&gt;Constants!$B$4,"",$BO171+$BP171))</f>
        <v/>
      </c>
      <c r="CX171" s="78" t="str">
        <f aca="false">IF(ISBLANK($C171),"",IF($BL171&lt;&gt;Constants!$B$4,"",$BQ171+$BR171+$BS171))</f>
        <v/>
      </c>
      <c r="CY171" s="78" t="str">
        <f aca="false">IF(ISBLANK($C171),"",IF($BL171&lt;&gt;Constants!$B$4,"",$BT171))</f>
        <v/>
      </c>
      <c r="CZ171" s="78" t="str">
        <f aca="false">IF(ISBLANK($C171),"",IF($BL171&lt;&gt;Constants!$B$4,"",$BU171+$BV171))</f>
        <v/>
      </c>
      <c r="DA171" s="78" t="str">
        <f aca="false">IF(ISBLANK($C171),"",IF($BL171&lt;&gt;Constants!$B$4,"",$BW171))</f>
        <v/>
      </c>
      <c r="DB171" s="78" t="str">
        <f aca="false">IF(ISBLANK($C171),"",IF($BL171&lt;&gt;Constants!$B$4,"",-$CD171))</f>
        <v/>
      </c>
      <c r="DC171" s="79" t="str">
        <f aca="false">IF(ISBLANK($C171),"",$CE171)</f>
        <v/>
      </c>
      <c r="DD171" s="80" t="str">
        <f aca="false">IF(ISBLANK($C171),"",$BM171)</f>
        <v/>
      </c>
      <c r="DE171" s="78" t="str">
        <f aca="false">IF(ISBLANK($C171),"",$CL171)</f>
        <v/>
      </c>
      <c r="DF171" s="78" t="str">
        <f aca="false">IF(ISBLANK($C171),"",$CK171)</f>
        <v/>
      </c>
      <c r="DG171" s="81" t="str">
        <f aca="false">IF(ISBLANK($C171),"",IF($DF171=Constants!$B$7,COUNTA($C$9:$C$508)+2,IF($DF171=Constants!$B$6,COUNTA($C$9:$C$508)+1,IF($DF171=Constants!$B$5,COUNTA($C$9:$C$508),$DF171))))</f>
        <v/>
      </c>
      <c r="DH171" s="7"/>
      <c r="DI171" s="82" t="n">
        <f aca="false">IF(OR(ISNUMBER($DF171),$DF171=Constants!$B$7,$DF171=Constants!$B$5,$DF171=Constants!$B$6),1,0)</f>
        <v>0</v>
      </c>
      <c r="DJ171" s="82" t="n">
        <v>163</v>
      </c>
      <c r="DK171" s="82" t="str">
        <f aca="false">IF(ISBLANK($C171),"",IF(ISNUMBER($DG171),$DG171+ROW($B171)/1000,""))</f>
        <v/>
      </c>
      <c r="DL171" s="82" t="str">
        <f aca="false">IF(ISNUMBER($DK171),RANK($DK171,$DK$9:$DK$508,1),"")</f>
        <v/>
      </c>
      <c r="DM171" s="82" t="str">
        <f aca="false">IF(ISBLANK($C171),"",$B171)</f>
        <v/>
      </c>
      <c r="DN171" s="82" t="str">
        <f aca="false">IF(ISBLANK($C171),"",$C171)</f>
        <v/>
      </c>
      <c r="DO171" s="82" t="str">
        <f aca="false">IF(ISBLANK($C171),"",$D171)</f>
        <v/>
      </c>
      <c r="DP171" s="83" t="str">
        <f aca="false">$DD171</f>
        <v/>
      </c>
      <c r="DQ171" s="84" t="str">
        <f aca="false">$DC171</f>
        <v/>
      </c>
      <c r="DR171" s="82" t="str">
        <f aca="false">IF(ISBLANK($C171),"",$DF171)</f>
        <v/>
      </c>
      <c r="DS171" s="85" t="str">
        <f aca="false">IF($DJ171&gt;$DI$8,"",VLOOKUP($DJ171,$DL$9:$DR$508,7,FALSE()))</f>
        <v/>
      </c>
      <c r="DT171" s="86" t="str">
        <f aca="false">IF($DJ171&gt;$DI$8,"",VLOOKUP($DJ171,$DL$9:$DR$508,2,FALSE()))</f>
        <v/>
      </c>
      <c r="DU171" s="86" t="str">
        <f aca="false">IF($DJ171&gt;$DI$8,"",VLOOKUP($DJ171,$DL$9:$DR$508,3,FALSE()))</f>
        <v/>
      </c>
      <c r="DV171" s="86" t="str">
        <f aca="false">IF($DJ171&gt;$DI$8,"",VLOOKUP($DJ171,$DL$9:$DR$508,4,FALSE()))</f>
        <v/>
      </c>
      <c r="DW171" s="86" t="str">
        <f aca="false">IF($DJ171&gt;$DI$8,"",VLOOKUP($DJ171,$DL$9:$DR$508,5,FALSE()))</f>
        <v/>
      </c>
      <c r="DX171" s="87" t="str">
        <f aca="false">IF($DJ171&gt;$DI$8,"",VLOOKUP($DJ171,$DL$9:$DR$508,6,FALSE()))</f>
        <v/>
      </c>
      <c r="DY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88"/>
      <c r="N172" s="88"/>
      <c r="O172" s="134"/>
      <c r="P172" s="134"/>
      <c r="Q172" s="88"/>
      <c r="R172" s="88"/>
      <c r="S172" s="88"/>
      <c r="T172" s="88"/>
      <c r="U172" s="134"/>
      <c r="V172" s="88"/>
      <c r="W172" s="70"/>
      <c r="X172" s="88"/>
      <c r="Y172" s="88"/>
      <c r="Z172" s="70"/>
      <c r="AA172" s="70"/>
      <c r="AB172" s="88"/>
      <c r="AC172" s="88"/>
      <c r="AD172" s="88"/>
      <c r="AE172" s="71"/>
      <c r="AF172" s="88"/>
      <c r="AG172" s="73"/>
      <c r="AH172" s="74"/>
      <c r="AI172" s="74"/>
      <c r="AJ172" s="74" t="str">
        <f aca="false">IF(ISBLANK($C172),"",IF($E172=Constants!$B$2,TRUE(),IF($E172=Constants!$B$3,FALSE(),TRUE())))</f>
        <v/>
      </c>
      <c r="AK172" s="74" t="str">
        <f aca="false">IF(ISBLANK($C172),"",IF($F172=Constants!$B$2,TRUE(),IF($F172=Constants!$B$3,FALSE(),FALSE())))</f>
        <v/>
      </c>
      <c r="AL172" s="74" t="str">
        <f aca="false">IF(ISBLANK($C172),"",IF($G172=Constants!$B$2,TRUE(),IF($G172=Constants!$B$3,FALSE(),TRUE())))</f>
        <v/>
      </c>
      <c r="AM172" s="74" t="str">
        <f aca="false">IF(ISBLANK($C172),"",IF($H172=Constants!$B$2,TRUE(),IF($H172=Constants!$B$3,FALSE(),TRUE())))</f>
        <v/>
      </c>
      <c r="AN172" s="74" t="str">
        <f aca="false">IF(ISBLANK($C172),"",IF(ISNUMBER($I172),IF($I172&gt;=0,$I172,""),""))</f>
        <v/>
      </c>
      <c r="AO172" s="74" t="str">
        <f aca="false">IF(ISBLANK($C172),"",IF(ISNUMBER($J172),IF($J172&gt;=0,$J172,""),""))</f>
        <v/>
      </c>
      <c r="AP172" s="74" t="str">
        <f aca="false">IF(ISBLANK($C172),"",IF(ISNUMBER($K172),IF($K172&gt;=0,$K172,""),""))</f>
        <v/>
      </c>
      <c r="AQ172" s="74" t="str">
        <f aca="false">IF(ISBLANK($C172),"",IF($L172=Constants!$B$2,TRUE(),IF($L172=Constants!$B$3,FALSE(),TRUE())))</f>
        <v/>
      </c>
      <c r="AR172" s="74" t="str">
        <f aca="false">IF(ISBLANK($C172),"",IF($M172=Constants!$B$2,TRUE(),IF($M172=Constants!$B$3,FALSE(),TRUE())))</f>
        <v/>
      </c>
      <c r="AS172" s="74" t="str">
        <f aca="false">IF(ISBLANK($C172),"",IF($N172=Constants!$B$2,TRUE(),IF($N172=Constants!$B$3,FALSE(),FALSE())))</f>
        <v/>
      </c>
      <c r="AT172" s="74" t="str">
        <f aca="false">IF(ISBLANK($C172),"",IF($O172=Constants!$B$2,TRUE(),IF($O172=Constants!$B$3,FALSE(),TRUE())))</f>
        <v/>
      </c>
      <c r="AU172" s="74" t="str">
        <f aca="false">IF(ISBLANK($C172),"",IF($P172=Constants!$B$2,TRUE(),IF($P172=Constants!$B$3,FALSE(),TRUE())))</f>
        <v/>
      </c>
      <c r="AV172" s="74" t="str">
        <f aca="false">IF(ISBLANK($C172),"",IF($Q172=Constants!$B$2,TRUE(),IF($Q172=Constants!$B$3,FALSE(),FALSE())))</f>
        <v/>
      </c>
      <c r="AW172" s="74" t="str">
        <f aca="false">IF(ISBLANK($C172),"",IF($R172=Constants!$B$2,TRUE(),IF($R172=Constants!$B$3,FALSE(),FALSE())))</f>
        <v/>
      </c>
      <c r="AX172" s="74" t="str">
        <f aca="false">IF(ISBLANK($C172),"",IF($S172=Constants!$B$2,TRUE(),IF($S172=Constants!$B$3,FALSE(),FALSE())))</f>
        <v/>
      </c>
      <c r="AY172" s="74" t="str">
        <f aca="false">IF(ISBLANK($C172),"",IF($T172=Constants!$B$2,TRUE(),IF($T172=Constants!$B$3,FALSE(),FALSE())))</f>
        <v/>
      </c>
      <c r="AZ172" s="74" t="str">
        <f aca="false">IF(ISBLANK($C172),"",IF($U172=Constants!$B$2,TRUE(),IF($U172=Constants!$B$3,FALSE(),FALSE())))</f>
        <v/>
      </c>
      <c r="BA172" s="74" t="str">
        <f aca="false">IF(ISBLANK($C172),"",IF(OR($V172&amp;""="1",$V172&amp;""="2",$V172&amp;""="3",$V172&amp;""="4"),VALUE($V172&amp;""),IF($V172=Constants!$B$12,Constants!$B$12,"")))</f>
        <v/>
      </c>
      <c r="BB172" s="74" t="str">
        <f aca="false">IF(ISBLANK($C172),"",IF(ISBLANK($W172),0,IF(ISNUMBER($W172),IF(AND($W172&gt;=0,$W172&lt;=Constants!$B$21,$W172=INT($W172)),$W172,""),"")))</f>
        <v/>
      </c>
      <c r="BC172" s="74" t="str">
        <f aca="false">IF(ISBLANK($C172),"",IF(ISBLANK($X172),0,IF(ISNUMBER($X172),IF($X172&gt;=0,$X172,""),"")))</f>
        <v/>
      </c>
      <c r="BD172" s="74" t="str">
        <f aca="false">IF(ISBLANK($C172),"",IF($Y172=Constants!$B$2,TRUE(),IF($Y172=Constants!$B$3,FALSE(),TRUE())))</f>
        <v/>
      </c>
      <c r="BE172" s="74" t="str">
        <f aca="false">IF(ISBLANK($C172),"",IF($Z172=Constants!$B$2,TRUE(),IF($Z172=Constants!$B$3,FALSE(),FALSE())))</f>
        <v/>
      </c>
      <c r="BF172" s="74" t="str">
        <f aca="false">IF(ISBLANK($C172),"",IF(ISBLANK($AA172),0,IF(ISNUMBER($AA172),IF(AND($AA172&gt;=0,$AA172&lt;=Constants!$B$35,$AA172=INT($AA172)),$AA172,""),"")))</f>
        <v/>
      </c>
      <c r="BG172" s="74" t="str">
        <f aca="false">IF(ISBLANK($C172),"",IF($AB172=Constants!$B$2,TRUE(),IF($AB172=Constants!$B$3,FALSE(),TRUE())))</f>
        <v/>
      </c>
      <c r="BH172" s="74" t="str">
        <f aca="false">IF(ISBLANK($C172),"",IF($AC172=Constants!$B$2,TRUE(),IF($AC172=Constants!$B$3,FALSE(),TRUE())))</f>
        <v/>
      </c>
      <c r="BI172" s="74" t="str">
        <f aca="false">IF(ISBLANK($C172),"",IF($AD172=Constants!$B$2,TRUE(),IF($AD172=Constants!$B$3,FALSE(),TRUE())))</f>
        <v/>
      </c>
      <c r="BJ172" s="74" t="str">
        <f aca="false">IF(ISBLANK($C172),"",IF(ISNUMBER($AE172),IF($AE172&gt;=0,$AE172,""),""))</f>
        <v/>
      </c>
      <c r="BK172" s="74" t="str">
        <f aca="false">IF(ISBLANK($C172),"",IF($AF172=Constants!$B$2,TRUE(),IF($AF172=Constants!$B$3,FALSE(),FALSE())))</f>
        <v/>
      </c>
      <c r="BL172" s="73" t="str">
        <f aca="false">IF(ISBLANK($C172),"",IF($BK172,Constants!$B$7,IF(COUNTA($E172:$AE172)=0,Constants!$B$6,IF(OR(COUNTA($G172:$AE172)=0,NOT($AM172),$AS172),Constants!$B$5,IF(OR($CM172&lt;&gt;"",$CN172,$CO172,$CP172,$CQ172,$CR172,$CS172),Constants!$B$8,Constants!$B$4)))))</f>
        <v/>
      </c>
      <c r="BM172" s="74" t="str">
        <f aca="false">IF(ISBLANK($C172),"",IF($BL172&lt;&gt;Constants!$B$4,$BL172,IF(OR(NOT($AJ172),NOT($AL172),NOT($AT172)),Constants!$B$11,IF(OR(NOT($AR172),NOT($AU172),NOT($BI172),MAX($AN172,$AO172,$AP172)&gt;Constants!$B$30),Constants!$B$10,Constants!$B$9))))</f>
        <v/>
      </c>
      <c r="BN172" s="74" t="str">
        <f aca="false">IF($BL172&lt;&gt;Constants!$B$4,"",IF(NOT($AL172),0,MIN(Constants!$B$35,$BF172)))</f>
        <v/>
      </c>
      <c r="BO172" s="74" t="str">
        <f aca="false">IF($BL172&lt;&gt;Constants!$B$4,"",IF(NOT($AL172),0,IF($AW172,Constants!$B$18,IF($AV172,Constants!$B$17,0))))</f>
        <v/>
      </c>
      <c r="BP172" s="74" t="str">
        <f aca="false">IF($BL172&lt;&gt;Constants!$B$4,"",IF(NOT($AL172),0,Constants!$B$19*($AK172+$AX172+$AY172+$AZ172)))</f>
        <v/>
      </c>
      <c r="BQ172" s="74" t="str">
        <f aca="false">IF($BL172&lt;&gt;Constants!$B$4,"",IF(OR(NOT($AL172),NOT(ISNUMBER($BA172))),0,CHOOSE($BA172,Constants!$B$13,Constants!$B$14,Constants!$B$15,Constants!$B$16)))</f>
        <v/>
      </c>
      <c r="BR172" s="74" t="str">
        <f aca="false">IF($BL172&lt;&gt;Constants!$B$4,"",IF(NOT($AL172),0,Constants!$B$20*$BB172))</f>
        <v/>
      </c>
      <c r="BS172" s="74" t="str">
        <f aca="false">IF($BL172&lt;&gt;Constants!$B$4,"",IF(AND($AL172,$BD172,$BE172),Constants!$B$22,0))</f>
        <v/>
      </c>
      <c r="BT172" s="74" t="str">
        <f aca="false">IF($BL172&lt;&gt;Constants!$B$4,"",IF(OR(NOT($AL172),NOT($BD172)),0,IF($BJ172&gt;=2*$AH$9,0,Constants!$B$23*INT(ROUND(MIN($BJ172,$AH$9),6)))))</f>
        <v/>
      </c>
      <c r="BU172" s="74" t="str">
        <f aca="false">IF($BL172&lt;&gt;Constants!$B$4,"",IF(NOT($AL172),0,Constants!$B$24*INT(ROUND(MIN($BC172,$AH$9),6))))</f>
        <v/>
      </c>
      <c r="BV172" s="74" t="str">
        <f aca="false">IF($BL172&lt;&gt;Constants!$B$4,"",IF(AND($AL172,$BN172=0),Constants!$B$25,0))</f>
        <v/>
      </c>
      <c r="BW172" s="74" t="str">
        <f aca="false">IF($BL172&lt;&gt;Constants!$B$4,"",MIN(Constants!$B$29,MAX(0,Constants!$B$27*Constants!$B$28*INT(ROUND((Constants!$B$26-$AN172)/Constants!$B$28,6))))+MIN(Constants!$B$29,MAX(0,Constants!$B$27*Constants!$B$28*INT(ROUND((Constants!$B$26-$AO172)/Constants!$B$28,6))))+MIN(Constants!$B$29,MAX(0,Constants!$B$27*Constants!$B$28*INT(ROUND((Constants!$B$26-$AP172)/Constants!$B$28,6)))))</f>
        <v/>
      </c>
      <c r="BX172" s="74" t="str">
        <f aca="false">IF($BL172&lt;&gt;Constants!$B$4,"",IF(NOT($AL172),0,Constants!$B$31*INT(ROUND(MAX(0,MIN($BJ172,2*$AH$9)-$AH$9),6))))</f>
        <v/>
      </c>
      <c r="BY172" s="74" t="str">
        <f aca="false">IF($BL172&lt;&gt;Constants!$B$4,"",Constants!$B$32*(($AN172&gt;Constants!$B$26)+($AO172&gt;Constants!$B$26)+($AP172&gt;Constants!$B$26)))</f>
        <v/>
      </c>
      <c r="BZ172" s="74" t="str">
        <f aca="false">IF($BL172&lt;&gt;Constants!$B$4,"",IF(OR(NOT($AL172),$AQ172),0,Constants!$B$33))</f>
        <v/>
      </c>
      <c r="CA172" s="74" t="str">
        <f aca="false">IF($BL172&lt;&gt;Constants!$B$4,"",Constants!$B$34*$BN172)</f>
        <v/>
      </c>
      <c r="CB172" s="74" t="str">
        <f aca="false">IF($BL172&lt;&gt;Constants!$B$4,"",IF(OR(NOT($AL172),$BH172),0,Constants!$B$36))</f>
        <v/>
      </c>
      <c r="CC172" s="74" t="str">
        <f aca="false">IF($BL172&lt;&gt;Constants!$B$4,"",IF(OR(NOT($AL172),$BG172),0,Constants!$B$37))</f>
        <v/>
      </c>
      <c r="CD172" s="74" t="str">
        <f aca="false">IF($BL172&lt;&gt;Constants!$B$4,"",SUM($BX172:$CC172))</f>
        <v/>
      </c>
      <c r="CE172" s="74" t="str">
        <f aca="false">IF(ISBLANK($C172),"",IF($BL172&lt;&gt;Constants!$B$4,$BL172,SUM($BO172:$BW172)-$CD172))</f>
        <v/>
      </c>
      <c r="CF172" s="74" t="str">
        <f aca="false">IF(ISBLANK($C172),"",IF($BL172&lt;&gt;Constants!$B$4,$BL172,RANK($CE172,$CE$9:$CE$508)))</f>
        <v/>
      </c>
      <c r="CG172" s="74" t="str">
        <f aca="false">IF(ISBLANK($C172),"",IF($BL172&lt;&gt;Constants!$B$4,$BL172,COUNTIFS($BM$9:$BM$508,"&lt;"&amp;$BM172)+COUNTIFS($BM$9:$BM$508,$BM172,$CF$9:$CF$508,"&lt;"&amp;$CF172)+1))</f>
        <v/>
      </c>
      <c r="CH172" s="74" t="str">
        <f aca="false">IF(ISBLANK($C172),"",IF($BL172&lt;&gt;Constants!$B$4,$BL172,RANK($CD172,$CD$9:$CD$508,1)))</f>
        <v/>
      </c>
      <c r="CI172" s="74" t="str">
        <f aca="false">IF($BL172&lt;&gt;Constants!$B$4,"",$AN172+$AO172+$AP172)</f>
        <v/>
      </c>
      <c r="CJ172" s="74" t="str">
        <f aca="false">IF(ISBLANK($C172),"",IF($BL172&lt;&gt;Constants!$B$4,$BL172,RANK($CI172,$CI$9:$CI$508,1)))</f>
        <v/>
      </c>
      <c r="CK172" s="74" t="str">
        <f aca="false">IF(ISBLANK($C172),"",IF($BL172&lt;&gt;Constants!$B$4,$BL172,COUNTIFS($BM$9:$BM$508,"&lt;"&amp;$BM172)+COUNTIFS($BM$9:$BM$508,$BM172,$CF$9:$CF$508,"&lt;"&amp;$CF172)+COUNTIFS($BM$9:$BM$508,$BM172,$CF$9:$CF$508,$CF172,$CH$9:$CH$508,"&lt;"&amp;$CH172)+COUNTIFS($BM$9:$BM$508,$BM172,$CF$9:$CF$508,$CF172,$CH$9:$CH$508,$CH172,$CJ$9:$CJ$508,"&lt;"&amp;$CJ172)+1))</f>
        <v/>
      </c>
      <c r="CL172" s="74" t="str">
        <f aca="false">IF(ISBLANK($C172),"",IF($BL172&lt;&gt;Constants!$B$4,$BL172,$CG172-$CK172))</f>
        <v/>
      </c>
      <c r="CM172" s="74" t="str">
        <f aca="false">IF(ISBLANK($C172),"",IF(NOT($AL172),"",IF(ISBLANK($D$7),$CM$5,IF(NOT(ISNUMBER($D$7)),$CM$6,""))))</f>
        <v/>
      </c>
      <c r="CN172" s="74" t="str">
        <f aca="false">IF(ISBLANK($C172),"",OR($AN172="",$AO172="",$AP172=""))</f>
        <v/>
      </c>
      <c r="CO172" s="74" t="str">
        <f aca="false">IF(ISBLANK($C172),"",AND($AL172,$BA172=""))</f>
        <v/>
      </c>
      <c r="CP172" s="74" t="str">
        <f aca="false">IF(ISBLANK($C172),"",AND($AL172,$BB172=""))</f>
        <v/>
      </c>
      <c r="CQ172" s="74" t="str">
        <f aca="false">IF(ISBLANK($C172),"",AND($AL172,$BC172=""))</f>
        <v/>
      </c>
      <c r="CR172" s="74" t="str">
        <f aca="false">IF(ISBLANK($C172),"",AND($AL172,$BF172=""))</f>
        <v/>
      </c>
      <c r="CS172" s="74" t="str">
        <f aca="false">IF(ISBLANK($C172),"",AND($AL172,$BJ172=""))</f>
        <v/>
      </c>
      <c r="CT172" s="75"/>
      <c r="CU172" s="76"/>
      <c r="CV172" s="79" t="str">
        <f aca="false">IF(ISBLANK($C172),"",IF($BL172=Constants!$B$8,$CM172,""))</f>
        <v/>
      </c>
      <c r="CW172" s="76" t="str">
        <f aca="false">IF(ISBLANK($C172),"",IF($BL172&lt;&gt;Constants!$B$4,"",$BO172+$BP172))</f>
        <v/>
      </c>
      <c r="CX172" s="78" t="str">
        <f aca="false">IF(ISBLANK($C172),"",IF($BL172&lt;&gt;Constants!$B$4,"",$BQ172+$BR172+$BS172))</f>
        <v/>
      </c>
      <c r="CY172" s="78" t="str">
        <f aca="false">IF(ISBLANK($C172),"",IF($BL172&lt;&gt;Constants!$B$4,"",$BT172))</f>
        <v/>
      </c>
      <c r="CZ172" s="78" t="str">
        <f aca="false">IF(ISBLANK($C172),"",IF($BL172&lt;&gt;Constants!$B$4,"",$BU172+$BV172))</f>
        <v/>
      </c>
      <c r="DA172" s="78" t="str">
        <f aca="false">IF(ISBLANK($C172),"",IF($BL172&lt;&gt;Constants!$B$4,"",$BW172))</f>
        <v/>
      </c>
      <c r="DB172" s="78" t="str">
        <f aca="false">IF(ISBLANK($C172),"",IF($BL172&lt;&gt;Constants!$B$4,"",-$CD172))</f>
        <v/>
      </c>
      <c r="DC172" s="79" t="str">
        <f aca="false">IF(ISBLANK($C172),"",$CE172)</f>
        <v/>
      </c>
      <c r="DD172" s="80" t="str">
        <f aca="false">IF(ISBLANK($C172),"",$BM172)</f>
        <v/>
      </c>
      <c r="DE172" s="78" t="str">
        <f aca="false">IF(ISBLANK($C172),"",$CL172)</f>
        <v/>
      </c>
      <c r="DF172" s="78" t="str">
        <f aca="false">IF(ISBLANK($C172),"",$CK172)</f>
        <v/>
      </c>
      <c r="DG172" s="81" t="str">
        <f aca="false">IF(ISBLANK($C172),"",IF($DF172=Constants!$B$7,COUNTA($C$9:$C$508)+2,IF($DF172=Constants!$B$6,COUNTA($C$9:$C$508)+1,IF($DF172=Constants!$B$5,COUNTA($C$9:$C$508),$DF172))))</f>
        <v/>
      </c>
      <c r="DH172" s="7"/>
      <c r="DI172" s="82" t="n">
        <f aca="false">IF(OR(ISNUMBER($DF172),$DF172=Constants!$B$7,$DF172=Constants!$B$5,$DF172=Constants!$B$6),1,0)</f>
        <v>0</v>
      </c>
      <c r="DJ172" s="82" t="n">
        <v>164</v>
      </c>
      <c r="DK172" s="82" t="str">
        <f aca="false">IF(ISBLANK($C172),"",IF(ISNUMBER($DG172),$DG172+ROW($B172)/1000,""))</f>
        <v/>
      </c>
      <c r="DL172" s="82" t="str">
        <f aca="false">IF(ISNUMBER($DK172),RANK($DK172,$DK$9:$DK$508,1),"")</f>
        <v/>
      </c>
      <c r="DM172" s="82" t="str">
        <f aca="false">IF(ISBLANK($C172),"",$B172)</f>
        <v/>
      </c>
      <c r="DN172" s="82" t="str">
        <f aca="false">IF(ISBLANK($C172),"",$C172)</f>
        <v/>
      </c>
      <c r="DO172" s="82" t="str">
        <f aca="false">IF(ISBLANK($C172),"",$D172)</f>
        <v/>
      </c>
      <c r="DP172" s="83" t="str">
        <f aca="false">$DD172</f>
        <v/>
      </c>
      <c r="DQ172" s="84" t="str">
        <f aca="false">$DC172</f>
        <v/>
      </c>
      <c r="DR172" s="82" t="str">
        <f aca="false">IF(ISBLANK($C172),"",$DF172)</f>
        <v/>
      </c>
      <c r="DS172" s="85" t="str">
        <f aca="false">IF($DJ172&gt;$DI$8,"",VLOOKUP($DJ172,$DL$9:$DR$508,7,FALSE()))</f>
        <v/>
      </c>
      <c r="DT172" s="86" t="str">
        <f aca="false">IF($DJ172&gt;$DI$8,"",VLOOKUP($DJ172,$DL$9:$DR$508,2,FALSE()))</f>
        <v/>
      </c>
      <c r="DU172" s="86" t="str">
        <f aca="false">IF($DJ172&gt;$DI$8,"",VLOOKUP($DJ172,$DL$9:$DR$508,3,FALSE()))</f>
        <v/>
      </c>
      <c r="DV172" s="86" t="str">
        <f aca="false">IF($DJ172&gt;$DI$8,"",VLOOKUP($DJ172,$DL$9:$DR$508,4,FALSE()))</f>
        <v/>
      </c>
      <c r="DW172" s="86" t="str">
        <f aca="false">IF($DJ172&gt;$DI$8,"",VLOOKUP($DJ172,$DL$9:$DR$508,5,FALSE()))</f>
        <v/>
      </c>
      <c r="DX172" s="87" t="str">
        <f aca="false">IF($DJ172&gt;$DI$8,"",VLOOKUP($DJ172,$DL$9:$DR$508,6,FALSE()))</f>
        <v/>
      </c>
      <c r="DY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88"/>
      <c r="N173" s="88"/>
      <c r="O173" s="134"/>
      <c r="P173" s="134"/>
      <c r="Q173" s="88"/>
      <c r="R173" s="88"/>
      <c r="S173" s="88"/>
      <c r="T173" s="88"/>
      <c r="U173" s="134"/>
      <c r="V173" s="88"/>
      <c r="W173" s="70"/>
      <c r="X173" s="88"/>
      <c r="Y173" s="88"/>
      <c r="Z173" s="70"/>
      <c r="AA173" s="70"/>
      <c r="AB173" s="88"/>
      <c r="AC173" s="88"/>
      <c r="AD173" s="88"/>
      <c r="AE173" s="71"/>
      <c r="AF173" s="88"/>
      <c r="AG173" s="73"/>
      <c r="AH173" s="74"/>
      <c r="AI173" s="74"/>
      <c r="AJ173" s="74" t="str">
        <f aca="false">IF(ISBLANK($C173),"",IF($E173=Constants!$B$2,TRUE(),IF($E173=Constants!$B$3,FALSE(),TRUE())))</f>
        <v/>
      </c>
      <c r="AK173" s="74" t="str">
        <f aca="false">IF(ISBLANK($C173),"",IF($F173=Constants!$B$2,TRUE(),IF($F173=Constants!$B$3,FALSE(),FALSE())))</f>
        <v/>
      </c>
      <c r="AL173" s="74" t="str">
        <f aca="false">IF(ISBLANK($C173),"",IF($G173=Constants!$B$2,TRUE(),IF($G173=Constants!$B$3,FALSE(),TRUE())))</f>
        <v/>
      </c>
      <c r="AM173" s="74" t="str">
        <f aca="false">IF(ISBLANK($C173),"",IF($H173=Constants!$B$2,TRUE(),IF($H173=Constants!$B$3,FALSE(),TRUE())))</f>
        <v/>
      </c>
      <c r="AN173" s="74" t="str">
        <f aca="false">IF(ISBLANK($C173),"",IF(ISNUMBER($I173),IF($I173&gt;=0,$I173,""),""))</f>
        <v/>
      </c>
      <c r="AO173" s="74" t="str">
        <f aca="false">IF(ISBLANK($C173),"",IF(ISNUMBER($J173),IF($J173&gt;=0,$J173,""),""))</f>
        <v/>
      </c>
      <c r="AP173" s="74" t="str">
        <f aca="false">IF(ISBLANK($C173),"",IF(ISNUMBER($K173),IF($K173&gt;=0,$K173,""),""))</f>
        <v/>
      </c>
      <c r="AQ173" s="74" t="str">
        <f aca="false">IF(ISBLANK($C173),"",IF($L173=Constants!$B$2,TRUE(),IF($L173=Constants!$B$3,FALSE(),TRUE())))</f>
        <v/>
      </c>
      <c r="AR173" s="74" t="str">
        <f aca="false">IF(ISBLANK($C173),"",IF($M173=Constants!$B$2,TRUE(),IF($M173=Constants!$B$3,FALSE(),TRUE())))</f>
        <v/>
      </c>
      <c r="AS173" s="74" t="str">
        <f aca="false">IF(ISBLANK($C173),"",IF($N173=Constants!$B$2,TRUE(),IF($N173=Constants!$B$3,FALSE(),FALSE())))</f>
        <v/>
      </c>
      <c r="AT173" s="74" t="str">
        <f aca="false">IF(ISBLANK($C173),"",IF($O173=Constants!$B$2,TRUE(),IF($O173=Constants!$B$3,FALSE(),TRUE())))</f>
        <v/>
      </c>
      <c r="AU173" s="74" t="str">
        <f aca="false">IF(ISBLANK($C173),"",IF($P173=Constants!$B$2,TRUE(),IF($P173=Constants!$B$3,FALSE(),TRUE())))</f>
        <v/>
      </c>
      <c r="AV173" s="74" t="str">
        <f aca="false">IF(ISBLANK($C173),"",IF($Q173=Constants!$B$2,TRUE(),IF($Q173=Constants!$B$3,FALSE(),FALSE())))</f>
        <v/>
      </c>
      <c r="AW173" s="74" t="str">
        <f aca="false">IF(ISBLANK($C173),"",IF($R173=Constants!$B$2,TRUE(),IF($R173=Constants!$B$3,FALSE(),FALSE())))</f>
        <v/>
      </c>
      <c r="AX173" s="74" t="str">
        <f aca="false">IF(ISBLANK($C173),"",IF($S173=Constants!$B$2,TRUE(),IF($S173=Constants!$B$3,FALSE(),FALSE())))</f>
        <v/>
      </c>
      <c r="AY173" s="74" t="str">
        <f aca="false">IF(ISBLANK($C173),"",IF($T173=Constants!$B$2,TRUE(),IF($T173=Constants!$B$3,FALSE(),FALSE())))</f>
        <v/>
      </c>
      <c r="AZ173" s="74" t="str">
        <f aca="false">IF(ISBLANK($C173),"",IF($U173=Constants!$B$2,TRUE(),IF($U173=Constants!$B$3,FALSE(),FALSE())))</f>
        <v/>
      </c>
      <c r="BA173" s="74" t="str">
        <f aca="false">IF(ISBLANK($C173),"",IF(OR($V173&amp;""="1",$V173&amp;""="2",$V173&amp;""="3",$V173&amp;""="4"),VALUE($V173&amp;""),IF($V173=Constants!$B$12,Constants!$B$12,"")))</f>
        <v/>
      </c>
      <c r="BB173" s="74" t="str">
        <f aca="false">IF(ISBLANK($C173),"",IF(ISBLANK($W173),0,IF(ISNUMBER($W173),IF(AND($W173&gt;=0,$W173&lt;=Constants!$B$21,$W173=INT($W173)),$W173,""),"")))</f>
        <v/>
      </c>
      <c r="BC173" s="74" t="str">
        <f aca="false">IF(ISBLANK($C173),"",IF(ISBLANK($X173),0,IF(ISNUMBER($X173),IF($X173&gt;=0,$X173,""),"")))</f>
        <v/>
      </c>
      <c r="BD173" s="74" t="str">
        <f aca="false">IF(ISBLANK($C173),"",IF($Y173=Constants!$B$2,TRUE(),IF($Y173=Constants!$B$3,FALSE(),TRUE())))</f>
        <v/>
      </c>
      <c r="BE173" s="74" t="str">
        <f aca="false">IF(ISBLANK($C173),"",IF($Z173=Constants!$B$2,TRUE(),IF($Z173=Constants!$B$3,FALSE(),FALSE())))</f>
        <v/>
      </c>
      <c r="BF173" s="74" t="str">
        <f aca="false">IF(ISBLANK($C173),"",IF(ISBLANK($AA173),0,IF(ISNUMBER($AA173),IF(AND($AA173&gt;=0,$AA173&lt;=Constants!$B$35,$AA173=INT($AA173)),$AA173,""),"")))</f>
        <v/>
      </c>
      <c r="BG173" s="74" t="str">
        <f aca="false">IF(ISBLANK($C173),"",IF($AB173=Constants!$B$2,TRUE(),IF($AB173=Constants!$B$3,FALSE(),TRUE())))</f>
        <v/>
      </c>
      <c r="BH173" s="74" t="str">
        <f aca="false">IF(ISBLANK($C173),"",IF($AC173=Constants!$B$2,TRUE(),IF($AC173=Constants!$B$3,FALSE(),TRUE())))</f>
        <v/>
      </c>
      <c r="BI173" s="74" t="str">
        <f aca="false">IF(ISBLANK($C173),"",IF($AD173=Constants!$B$2,TRUE(),IF($AD173=Constants!$B$3,FALSE(),TRUE())))</f>
        <v/>
      </c>
      <c r="BJ173" s="74" t="str">
        <f aca="false">IF(ISBLANK($C173),"",IF(ISNUMBER($AE173),IF($AE173&gt;=0,$AE173,""),""))</f>
        <v/>
      </c>
      <c r="BK173" s="74" t="str">
        <f aca="false">IF(ISBLANK($C173),"",IF($AF173=Constants!$B$2,TRUE(),IF($AF173=Constants!$B$3,FALSE(),FALSE())))</f>
        <v/>
      </c>
      <c r="BL173" s="73" t="str">
        <f aca="false">IF(ISBLANK($C173),"",IF($BK173,Constants!$B$7,IF(COUNTA($E173:$AE173)=0,Constants!$B$6,IF(OR(COUNTA($G173:$AE173)=0,NOT($AM173),$AS173),Constants!$B$5,IF(OR($CM173&lt;&gt;"",$CN173,$CO173,$CP173,$CQ173,$CR173,$CS173),Constants!$B$8,Constants!$B$4)))))</f>
        <v/>
      </c>
      <c r="BM173" s="74" t="str">
        <f aca="false">IF(ISBLANK($C173),"",IF($BL173&lt;&gt;Constants!$B$4,$BL173,IF(OR(NOT($AJ173),NOT($AL173),NOT($AT173)),Constants!$B$11,IF(OR(NOT($AR173),NOT($AU173),NOT($BI173),MAX($AN173,$AO173,$AP173)&gt;Constants!$B$30),Constants!$B$10,Constants!$B$9))))</f>
        <v/>
      </c>
      <c r="BN173" s="74" t="str">
        <f aca="false">IF($BL173&lt;&gt;Constants!$B$4,"",IF(NOT($AL173),0,MIN(Constants!$B$35,$BF173)))</f>
        <v/>
      </c>
      <c r="BO173" s="74" t="str">
        <f aca="false">IF($BL173&lt;&gt;Constants!$B$4,"",IF(NOT($AL173),0,IF($AW173,Constants!$B$18,IF($AV173,Constants!$B$17,0))))</f>
        <v/>
      </c>
      <c r="BP173" s="74" t="str">
        <f aca="false">IF($BL173&lt;&gt;Constants!$B$4,"",IF(NOT($AL173),0,Constants!$B$19*($AK173+$AX173+$AY173+$AZ173)))</f>
        <v/>
      </c>
      <c r="BQ173" s="74" t="str">
        <f aca="false">IF($BL173&lt;&gt;Constants!$B$4,"",IF(OR(NOT($AL173),NOT(ISNUMBER($BA173))),0,CHOOSE($BA173,Constants!$B$13,Constants!$B$14,Constants!$B$15,Constants!$B$16)))</f>
        <v/>
      </c>
      <c r="BR173" s="74" t="str">
        <f aca="false">IF($BL173&lt;&gt;Constants!$B$4,"",IF(NOT($AL173),0,Constants!$B$20*$BB173))</f>
        <v/>
      </c>
      <c r="BS173" s="74" t="str">
        <f aca="false">IF($BL173&lt;&gt;Constants!$B$4,"",IF(AND($AL173,$BD173,$BE173),Constants!$B$22,0))</f>
        <v/>
      </c>
      <c r="BT173" s="74" t="str">
        <f aca="false">IF($BL173&lt;&gt;Constants!$B$4,"",IF(OR(NOT($AL173),NOT($BD173)),0,IF($BJ173&gt;=2*$AH$9,0,Constants!$B$23*INT(ROUND(MIN($BJ173,$AH$9),6)))))</f>
        <v/>
      </c>
      <c r="BU173" s="74" t="str">
        <f aca="false">IF($BL173&lt;&gt;Constants!$B$4,"",IF(NOT($AL173),0,Constants!$B$24*INT(ROUND(MIN($BC173,$AH$9),6))))</f>
        <v/>
      </c>
      <c r="BV173" s="74" t="str">
        <f aca="false">IF($BL173&lt;&gt;Constants!$B$4,"",IF(AND($AL173,$BN173=0),Constants!$B$25,0))</f>
        <v/>
      </c>
      <c r="BW173" s="74" t="str">
        <f aca="false">IF($BL173&lt;&gt;Constants!$B$4,"",MIN(Constants!$B$29,MAX(0,Constants!$B$27*Constants!$B$28*INT(ROUND((Constants!$B$26-$AN173)/Constants!$B$28,6))))+MIN(Constants!$B$29,MAX(0,Constants!$B$27*Constants!$B$28*INT(ROUND((Constants!$B$26-$AO173)/Constants!$B$28,6))))+MIN(Constants!$B$29,MAX(0,Constants!$B$27*Constants!$B$28*INT(ROUND((Constants!$B$26-$AP173)/Constants!$B$28,6)))))</f>
        <v/>
      </c>
      <c r="BX173" s="74" t="str">
        <f aca="false">IF($BL173&lt;&gt;Constants!$B$4,"",IF(NOT($AL173),0,Constants!$B$31*INT(ROUND(MAX(0,MIN($BJ173,2*$AH$9)-$AH$9),6))))</f>
        <v/>
      </c>
      <c r="BY173" s="74" t="str">
        <f aca="false">IF($BL173&lt;&gt;Constants!$B$4,"",Constants!$B$32*(($AN173&gt;Constants!$B$26)+($AO173&gt;Constants!$B$26)+($AP173&gt;Constants!$B$26)))</f>
        <v/>
      </c>
      <c r="BZ173" s="74" t="str">
        <f aca="false">IF($BL173&lt;&gt;Constants!$B$4,"",IF(OR(NOT($AL173),$AQ173),0,Constants!$B$33))</f>
        <v/>
      </c>
      <c r="CA173" s="74" t="str">
        <f aca="false">IF($BL173&lt;&gt;Constants!$B$4,"",Constants!$B$34*$BN173)</f>
        <v/>
      </c>
      <c r="CB173" s="74" t="str">
        <f aca="false">IF($BL173&lt;&gt;Constants!$B$4,"",IF(OR(NOT($AL173),$BH173),0,Constants!$B$36))</f>
        <v/>
      </c>
      <c r="CC173" s="74" t="str">
        <f aca="false">IF($BL173&lt;&gt;Constants!$B$4,"",IF(OR(NOT($AL173),$BG173),0,Constants!$B$37))</f>
        <v/>
      </c>
      <c r="CD173" s="74" t="str">
        <f aca="false">IF($BL173&lt;&gt;Constants!$B$4,"",SUM($BX173:$CC173))</f>
        <v/>
      </c>
      <c r="CE173" s="74" t="str">
        <f aca="false">IF(ISBLANK($C173),"",IF($BL173&lt;&gt;Constants!$B$4,$BL173,SUM($BO173:$BW173)-$CD173))</f>
        <v/>
      </c>
      <c r="CF173" s="74" t="str">
        <f aca="false">IF(ISBLANK($C173),"",IF($BL173&lt;&gt;Constants!$B$4,$BL173,RANK($CE173,$CE$9:$CE$508)))</f>
        <v/>
      </c>
      <c r="CG173" s="74" t="str">
        <f aca="false">IF(ISBLANK($C173),"",IF($BL173&lt;&gt;Constants!$B$4,$BL173,COUNTIFS($BM$9:$BM$508,"&lt;"&amp;$BM173)+COUNTIFS($BM$9:$BM$508,$BM173,$CF$9:$CF$508,"&lt;"&amp;$CF173)+1))</f>
        <v/>
      </c>
      <c r="CH173" s="74" t="str">
        <f aca="false">IF(ISBLANK($C173),"",IF($BL173&lt;&gt;Constants!$B$4,$BL173,RANK($CD173,$CD$9:$CD$508,1)))</f>
        <v/>
      </c>
      <c r="CI173" s="74" t="str">
        <f aca="false">IF($BL173&lt;&gt;Constants!$B$4,"",$AN173+$AO173+$AP173)</f>
        <v/>
      </c>
      <c r="CJ173" s="74" t="str">
        <f aca="false">IF(ISBLANK($C173),"",IF($BL173&lt;&gt;Constants!$B$4,$BL173,RANK($CI173,$CI$9:$CI$508,1)))</f>
        <v/>
      </c>
      <c r="CK173" s="74" t="str">
        <f aca="false">IF(ISBLANK($C173),"",IF($BL173&lt;&gt;Constants!$B$4,$BL173,COUNTIFS($BM$9:$BM$508,"&lt;"&amp;$BM173)+COUNTIFS($BM$9:$BM$508,$BM173,$CF$9:$CF$508,"&lt;"&amp;$CF173)+COUNTIFS($BM$9:$BM$508,$BM173,$CF$9:$CF$508,$CF173,$CH$9:$CH$508,"&lt;"&amp;$CH173)+COUNTIFS($BM$9:$BM$508,$BM173,$CF$9:$CF$508,$CF173,$CH$9:$CH$508,$CH173,$CJ$9:$CJ$508,"&lt;"&amp;$CJ173)+1))</f>
        <v/>
      </c>
      <c r="CL173" s="74" t="str">
        <f aca="false">IF(ISBLANK($C173),"",IF($BL173&lt;&gt;Constants!$B$4,$BL173,$CG173-$CK173))</f>
        <v/>
      </c>
      <c r="CM173" s="74" t="str">
        <f aca="false">IF(ISBLANK($C173),"",IF(NOT($AL173),"",IF(ISBLANK($D$7),$CM$5,IF(NOT(ISNUMBER($D$7)),$CM$6,""))))</f>
        <v/>
      </c>
      <c r="CN173" s="74" t="str">
        <f aca="false">IF(ISBLANK($C173),"",OR($AN173="",$AO173="",$AP173=""))</f>
        <v/>
      </c>
      <c r="CO173" s="74" t="str">
        <f aca="false">IF(ISBLANK($C173),"",AND($AL173,$BA173=""))</f>
        <v/>
      </c>
      <c r="CP173" s="74" t="str">
        <f aca="false">IF(ISBLANK($C173),"",AND($AL173,$BB173=""))</f>
        <v/>
      </c>
      <c r="CQ173" s="74" t="str">
        <f aca="false">IF(ISBLANK($C173),"",AND($AL173,$BC173=""))</f>
        <v/>
      </c>
      <c r="CR173" s="74" t="str">
        <f aca="false">IF(ISBLANK($C173),"",AND($AL173,$BF173=""))</f>
        <v/>
      </c>
      <c r="CS173" s="74" t="str">
        <f aca="false">IF(ISBLANK($C173),"",AND($AL173,$BJ173=""))</f>
        <v/>
      </c>
      <c r="CT173" s="75"/>
      <c r="CU173" s="76"/>
      <c r="CV173" s="79" t="str">
        <f aca="false">IF(ISBLANK($C173),"",IF($BL173=Constants!$B$8,$CM173,""))</f>
        <v/>
      </c>
      <c r="CW173" s="76" t="str">
        <f aca="false">IF(ISBLANK($C173),"",IF($BL173&lt;&gt;Constants!$B$4,"",$BO173+$BP173))</f>
        <v/>
      </c>
      <c r="CX173" s="78" t="str">
        <f aca="false">IF(ISBLANK($C173),"",IF($BL173&lt;&gt;Constants!$B$4,"",$BQ173+$BR173+$BS173))</f>
        <v/>
      </c>
      <c r="CY173" s="78" t="str">
        <f aca="false">IF(ISBLANK($C173),"",IF($BL173&lt;&gt;Constants!$B$4,"",$BT173))</f>
        <v/>
      </c>
      <c r="CZ173" s="78" t="str">
        <f aca="false">IF(ISBLANK($C173),"",IF($BL173&lt;&gt;Constants!$B$4,"",$BU173+$BV173))</f>
        <v/>
      </c>
      <c r="DA173" s="78" t="str">
        <f aca="false">IF(ISBLANK($C173),"",IF($BL173&lt;&gt;Constants!$B$4,"",$BW173))</f>
        <v/>
      </c>
      <c r="DB173" s="78" t="str">
        <f aca="false">IF(ISBLANK($C173),"",IF($BL173&lt;&gt;Constants!$B$4,"",-$CD173))</f>
        <v/>
      </c>
      <c r="DC173" s="79" t="str">
        <f aca="false">IF(ISBLANK($C173),"",$CE173)</f>
        <v/>
      </c>
      <c r="DD173" s="80" t="str">
        <f aca="false">IF(ISBLANK($C173),"",$BM173)</f>
        <v/>
      </c>
      <c r="DE173" s="78" t="str">
        <f aca="false">IF(ISBLANK($C173),"",$CL173)</f>
        <v/>
      </c>
      <c r="DF173" s="78" t="str">
        <f aca="false">IF(ISBLANK($C173),"",$CK173)</f>
        <v/>
      </c>
      <c r="DG173" s="81" t="str">
        <f aca="false">IF(ISBLANK($C173),"",IF($DF173=Constants!$B$7,COUNTA($C$9:$C$508)+2,IF($DF173=Constants!$B$6,COUNTA($C$9:$C$508)+1,IF($DF173=Constants!$B$5,COUNTA($C$9:$C$508),$DF173))))</f>
        <v/>
      </c>
      <c r="DH173" s="7"/>
      <c r="DI173" s="82" t="n">
        <f aca="false">IF(OR(ISNUMBER($DF173),$DF173=Constants!$B$7,$DF173=Constants!$B$5,$DF173=Constants!$B$6),1,0)</f>
        <v>0</v>
      </c>
      <c r="DJ173" s="82" t="n">
        <v>165</v>
      </c>
      <c r="DK173" s="82" t="str">
        <f aca="false">IF(ISBLANK($C173),"",IF(ISNUMBER($DG173),$DG173+ROW($B173)/1000,""))</f>
        <v/>
      </c>
      <c r="DL173" s="82" t="str">
        <f aca="false">IF(ISNUMBER($DK173),RANK($DK173,$DK$9:$DK$508,1),"")</f>
        <v/>
      </c>
      <c r="DM173" s="82" t="str">
        <f aca="false">IF(ISBLANK($C173),"",$B173)</f>
        <v/>
      </c>
      <c r="DN173" s="82" t="str">
        <f aca="false">IF(ISBLANK($C173),"",$C173)</f>
        <v/>
      </c>
      <c r="DO173" s="82" t="str">
        <f aca="false">IF(ISBLANK($C173),"",$D173)</f>
        <v/>
      </c>
      <c r="DP173" s="83" t="str">
        <f aca="false">$DD173</f>
        <v/>
      </c>
      <c r="DQ173" s="84" t="str">
        <f aca="false">$DC173</f>
        <v/>
      </c>
      <c r="DR173" s="82" t="str">
        <f aca="false">IF(ISBLANK($C173),"",$DF173)</f>
        <v/>
      </c>
      <c r="DS173" s="85" t="str">
        <f aca="false">IF($DJ173&gt;$DI$8,"",VLOOKUP($DJ173,$DL$9:$DR$508,7,FALSE()))</f>
        <v/>
      </c>
      <c r="DT173" s="86" t="str">
        <f aca="false">IF($DJ173&gt;$DI$8,"",VLOOKUP($DJ173,$DL$9:$DR$508,2,FALSE()))</f>
        <v/>
      </c>
      <c r="DU173" s="86" t="str">
        <f aca="false">IF($DJ173&gt;$DI$8,"",VLOOKUP($DJ173,$DL$9:$DR$508,3,FALSE()))</f>
        <v/>
      </c>
      <c r="DV173" s="86" t="str">
        <f aca="false">IF($DJ173&gt;$DI$8,"",VLOOKUP($DJ173,$DL$9:$DR$508,4,FALSE()))</f>
        <v/>
      </c>
      <c r="DW173" s="86" t="str">
        <f aca="false">IF($DJ173&gt;$DI$8,"",VLOOKUP($DJ173,$DL$9:$DR$508,5,FALSE()))</f>
        <v/>
      </c>
      <c r="DX173" s="87" t="str">
        <f aca="false">IF($DJ173&gt;$DI$8,"",VLOOKUP($DJ173,$DL$9:$DR$508,6,FALSE()))</f>
        <v/>
      </c>
      <c r="DY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130"/>
      <c r="N174" s="130"/>
      <c r="O174" s="135"/>
      <c r="P174" s="135"/>
      <c r="Q174" s="130"/>
      <c r="R174" s="130"/>
      <c r="S174" s="130"/>
      <c r="T174" s="130"/>
      <c r="U174" s="135"/>
      <c r="V174" s="130"/>
      <c r="W174" s="96"/>
      <c r="X174" s="130"/>
      <c r="Y174" s="130"/>
      <c r="Z174" s="96"/>
      <c r="AA174" s="96"/>
      <c r="AB174" s="130"/>
      <c r="AC174" s="130"/>
      <c r="AD174" s="130"/>
      <c r="AE174" s="97"/>
      <c r="AF174" s="130"/>
      <c r="AG174" s="99"/>
      <c r="AH174" s="100"/>
      <c r="AI174" s="100"/>
      <c r="AJ174" s="100" t="str">
        <f aca="false">IF(ISBLANK($C174),"",IF($E174=Constants!$B$2,TRUE(),IF($E174=Constants!$B$3,FALSE(),TRUE())))</f>
        <v/>
      </c>
      <c r="AK174" s="100" t="str">
        <f aca="false">IF(ISBLANK($C174),"",IF($F174=Constants!$B$2,TRUE(),IF($F174=Constants!$B$3,FALSE(),FALSE())))</f>
        <v/>
      </c>
      <c r="AL174" s="100" t="str">
        <f aca="false">IF(ISBLANK($C174),"",IF($G174=Constants!$B$2,TRUE(),IF($G174=Constants!$B$3,FALSE(),TRUE())))</f>
        <v/>
      </c>
      <c r="AM174" s="100" t="str">
        <f aca="false">IF(ISBLANK($C174),"",IF($H174=Constants!$B$2,TRUE(),IF($H174=Constants!$B$3,FALSE(),TRUE())))</f>
        <v/>
      </c>
      <c r="AN174" s="100" t="str">
        <f aca="false">IF(ISBLANK($C174),"",IF(ISNUMBER($I174),IF($I174&gt;=0,$I174,""),""))</f>
        <v/>
      </c>
      <c r="AO174" s="100" t="str">
        <f aca="false">IF(ISBLANK($C174),"",IF(ISNUMBER($J174),IF($J174&gt;=0,$J174,""),""))</f>
        <v/>
      </c>
      <c r="AP174" s="100" t="str">
        <f aca="false">IF(ISBLANK($C174),"",IF(ISNUMBER($K174),IF($K174&gt;=0,$K174,""),""))</f>
        <v/>
      </c>
      <c r="AQ174" s="100" t="str">
        <f aca="false">IF(ISBLANK($C174),"",IF($L174=Constants!$B$2,TRUE(),IF($L174=Constants!$B$3,FALSE(),TRUE())))</f>
        <v/>
      </c>
      <c r="AR174" s="100" t="str">
        <f aca="false">IF(ISBLANK($C174),"",IF($M174=Constants!$B$2,TRUE(),IF($M174=Constants!$B$3,FALSE(),TRUE())))</f>
        <v/>
      </c>
      <c r="AS174" s="100" t="str">
        <f aca="false">IF(ISBLANK($C174),"",IF($N174=Constants!$B$2,TRUE(),IF($N174=Constants!$B$3,FALSE(),FALSE())))</f>
        <v/>
      </c>
      <c r="AT174" s="100" t="str">
        <f aca="false">IF(ISBLANK($C174),"",IF($O174=Constants!$B$2,TRUE(),IF($O174=Constants!$B$3,FALSE(),TRUE())))</f>
        <v/>
      </c>
      <c r="AU174" s="100" t="str">
        <f aca="false">IF(ISBLANK($C174),"",IF($P174=Constants!$B$2,TRUE(),IF($P174=Constants!$B$3,FALSE(),TRUE())))</f>
        <v/>
      </c>
      <c r="AV174" s="100" t="str">
        <f aca="false">IF(ISBLANK($C174),"",IF($Q174=Constants!$B$2,TRUE(),IF($Q174=Constants!$B$3,FALSE(),FALSE())))</f>
        <v/>
      </c>
      <c r="AW174" s="100" t="str">
        <f aca="false">IF(ISBLANK($C174),"",IF($R174=Constants!$B$2,TRUE(),IF($R174=Constants!$B$3,FALSE(),FALSE())))</f>
        <v/>
      </c>
      <c r="AX174" s="100" t="str">
        <f aca="false">IF(ISBLANK($C174),"",IF($S174=Constants!$B$2,TRUE(),IF($S174=Constants!$B$3,FALSE(),FALSE())))</f>
        <v/>
      </c>
      <c r="AY174" s="100" t="str">
        <f aca="false">IF(ISBLANK($C174),"",IF($T174=Constants!$B$2,TRUE(),IF($T174=Constants!$B$3,FALSE(),FALSE())))</f>
        <v/>
      </c>
      <c r="AZ174" s="100" t="str">
        <f aca="false">IF(ISBLANK($C174),"",IF($U174=Constants!$B$2,TRUE(),IF($U174=Constants!$B$3,FALSE(),FALSE())))</f>
        <v/>
      </c>
      <c r="BA174" s="100" t="str">
        <f aca="false">IF(ISBLANK($C174),"",IF(OR($V174&amp;""="1",$V174&amp;""="2",$V174&amp;""="3",$V174&amp;""="4"),VALUE($V174&amp;""),IF($V174=Constants!$B$12,Constants!$B$12,"")))</f>
        <v/>
      </c>
      <c r="BB174" s="100" t="str">
        <f aca="false">IF(ISBLANK($C174),"",IF(ISBLANK($W174),0,IF(ISNUMBER($W174),IF(AND($W174&gt;=0,$W174&lt;=Constants!$B$21,$W174=INT($W174)),$W174,""),"")))</f>
        <v/>
      </c>
      <c r="BC174" s="100" t="str">
        <f aca="false">IF(ISBLANK($C174),"",IF(ISBLANK($X174),0,IF(ISNUMBER($X174),IF($X174&gt;=0,$X174,""),"")))</f>
        <v/>
      </c>
      <c r="BD174" s="100" t="str">
        <f aca="false">IF(ISBLANK($C174),"",IF($Y174=Constants!$B$2,TRUE(),IF($Y174=Constants!$B$3,FALSE(),TRUE())))</f>
        <v/>
      </c>
      <c r="BE174" s="100" t="str">
        <f aca="false">IF(ISBLANK($C174),"",IF($Z174=Constants!$B$2,TRUE(),IF($Z174=Constants!$B$3,FALSE(),FALSE())))</f>
        <v/>
      </c>
      <c r="BF174" s="100" t="str">
        <f aca="false">IF(ISBLANK($C174),"",IF(ISBLANK($AA174),0,IF(ISNUMBER($AA174),IF(AND($AA174&gt;=0,$AA174&lt;=Constants!$B$35,$AA174=INT($AA174)),$AA174,""),"")))</f>
        <v/>
      </c>
      <c r="BG174" s="100" t="str">
        <f aca="false">IF(ISBLANK($C174),"",IF($AB174=Constants!$B$2,TRUE(),IF($AB174=Constants!$B$3,FALSE(),TRUE())))</f>
        <v/>
      </c>
      <c r="BH174" s="100" t="str">
        <f aca="false">IF(ISBLANK($C174),"",IF($AC174=Constants!$B$2,TRUE(),IF($AC174=Constants!$B$3,FALSE(),TRUE())))</f>
        <v/>
      </c>
      <c r="BI174" s="100" t="str">
        <f aca="false">IF(ISBLANK($C174),"",IF($AD174=Constants!$B$2,TRUE(),IF($AD174=Constants!$B$3,FALSE(),TRUE())))</f>
        <v/>
      </c>
      <c r="BJ174" s="100" t="str">
        <f aca="false">IF(ISBLANK($C174),"",IF(ISNUMBER($AE174),IF($AE174&gt;=0,$AE174,""),""))</f>
        <v/>
      </c>
      <c r="BK174" s="100" t="str">
        <f aca="false">IF(ISBLANK($C174),"",IF($AF174=Constants!$B$2,TRUE(),IF($AF174=Constants!$B$3,FALSE(),FALSE())))</f>
        <v/>
      </c>
      <c r="BL174" s="99" t="str">
        <f aca="false">IF(ISBLANK($C174),"",IF($BK174,Constants!$B$7,IF(COUNTA($E174:$AE174)=0,Constants!$B$6,IF(OR(COUNTA($G174:$AE174)=0,NOT($AM174),$AS174),Constants!$B$5,IF(OR($CM174&lt;&gt;"",$CN174,$CO174,$CP174,$CQ174,$CR174,$CS174),Constants!$B$8,Constants!$B$4)))))</f>
        <v/>
      </c>
      <c r="BM174" s="100" t="str">
        <f aca="false">IF(ISBLANK($C174),"",IF($BL174&lt;&gt;Constants!$B$4,$BL174,IF(OR(NOT($AJ174),NOT($AL174),NOT($AT174)),Constants!$B$11,IF(OR(NOT($AR174),NOT($AU174),NOT($BI174),MAX($AN174,$AO174,$AP174)&gt;Constants!$B$30),Constants!$B$10,Constants!$B$9))))</f>
        <v/>
      </c>
      <c r="BN174" s="100" t="str">
        <f aca="false">IF($BL174&lt;&gt;Constants!$B$4,"",IF(NOT($AL174),0,MIN(Constants!$B$35,$BF174)))</f>
        <v/>
      </c>
      <c r="BO174" s="100" t="str">
        <f aca="false">IF($BL174&lt;&gt;Constants!$B$4,"",IF(NOT($AL174),0,IF($AW174,Constants!$B$18,IF($AV174,Constants!$B$17,0))))</f>
        <v/>
      </c>
      <c r="BP174" s="100" t="str">
        <f aca="false">IF($BL174&lt;&gt;Constants!$B$4,"",IF(NOT($AL174),0,Constants!$B$19*($AK174+$AX174+$AY174+$AZ174)))</f>
        <v/>
      </c>
      <c r="BQ174" s="100" t="str">
        <f aca="false">IF($BL174&lt;&gt;Constants!$B$4,"",IF(OR(NOT($AL174),NOT(ISNUMBER($BA174))),0,CHOOSE($BA174,Constants!$B$13,Constants!$B$14,Constants!$B$15,Constants!$B$16)))</f>
        <v/>
      </c>
      <c r="BR174" s="100" t="str">
        <f aca="false">IF($BL174&lt;&gt;Constants!$B$4,"",IF(NOT($AL174),0,Constants!$B$20*$BB174))</f>
        <v/>
      </c>
      <c r="BS174" s="100" t="str">
        <f aca="false">IF($BL174&lt;&gt;Constants!$B$4,"",IF(AND($AL174,$BD174,$BE174),Constants!$B$22,0))</f>
        <v/>
      </c>
      <c r="BT174" s="100" t="str">
        <f aca="false">IF($BL174&lt;&gt;Constants!$B$4,"",IF(OR(NOT($AL174),NOT($BD174)),0,IF($BJ174&gt;=2*$AH$9,0,Constants!$B$23*INT(ROUND(MIN($BJ174,$AH$9),6)))))</f>
        <v/>
      </c>
      <c r="BU174" s="100" t="str">
        <f aca="false">IF($BL174&lt;&gt;Constants!$B$4,"",IF(NOT($AL174),0,Constants!$B$24*INT(ROUND(MIN($BC174,$AH$9),6))))</f>
        <v/>
      </c>
      <c r="BV174" s="100" t="str">
        <f aca="false">IF($BL174&lt;&gt;Constants!$B$4,"",IF(AND($AL174,$BN174=0),Constants!$B$25,0))</f>
        <v/>
      </c>
      <c r="BW174" s="100" t="str">
        <f aca="false">IF($BL174&lt;&gt;Constants!$B$4,"",MIN(Constants!$B$29,MAX(0,Constants!$B$27*Constants!$B$28*INT(ROUND((Constants!$B$26-$AN174)/Constants!$B$28,6))))+MIN(Constants!$B$29,MAX(0,Constants!$B$27*Constants!$B$28*INT(ROUND((Constants!$B$26-$AO174)/Constants!$B$28,6))))+MIN(Constants!$B$29,MAX(0,Constants!$B$27*Constants!$B$28*INT(ROUND((Constants!$B$26-$AP174)/Constants!$B$28,6)))))</f>
        <v/>
      </c>
      <c r="BX174" s="100" t="str">
        <f aca="false">IF($BL174&lt;&gt;Constants!$B$4,"",IF(NOT($AL174),0,Constants!$B$31*INT(ROUND(MAX(0,MIN($BJ174,2*$AH$9)-$AH$9),6))))</f>
        <v/>
      </c>
      <c r="BY174" s="100" t="str">
        <f aca="false">IF($BL174&lt;&gt;Constants!$B$4,"",Constants!$B$32*(($AN174&gt;Constants!$B$26)+($AO174&gt;Constants!$B$26)+($AP174&gt;Constants!$B$26)))</f>
        <v/>
      </c>
      <c r="BZ174" s="100" t="str">
        <f aca="false">IF($BL174&lt;&gt;Constants!$B$4,"",IF(OR(NOT($AL174),$AQ174),0,Constants!$B$33))</f>
        <v/>
      </c>
      <c r="CA174" s="100" t="str">
        <f aca="false">IF($BL174&lt;&gt;Constants!$B$4,"",Constants!$B$34*$BN174)</f>
        <v/>
      </c>
      <c r="CB174" s="100" t="str">
        <f aca="false">IF($BL174&lt;&gt;Constants!$B$4,"",IF(OR(NOT($AL174),$BH174),0,Constants!$B$36))</f>
        <v/>
      </c>
      <c r="CC174" s="100" t="str">
        <f aca="false">IF($BL174&lt;&gt;Constants!$B$4,"",IF(OR(NOT($AL174),$BG174),0,Constants!$B$37))</f>
        <v/>
      </c>
      <c r="CD174" s="100" t="str">
        <f aca="false">IF($BL174&lt;&gt;Constants!$B$4,"",SUM($BX174:$CC174))</f>
        <v/>
      </c>
      <c r="CE174" s="100" t="str">
        <f aca="false">IF(ISBLANK($C174),"",IF($BL174&lt;&gt;Constants!$B$4,$BL174,SUM($BO174:$BW174)-$CD174))</f>
        <v/>
      </c>
      <c r="CF174" s="100" t="str">
        <f aca="false">IF(ISBLANK($C174),"",IF($BL174&lt;&gt;Constants!$B$4,$BL174,RANK($CE174,$CE$9:$CE$508)))</f>
        <v/>
      </c>
      <c r="CG174" s="100" t="str">
        <f aca="false">IF(ISBLANK($C174),"",IF($BL174&lt;&gt;Constants!$B$4,$BL174,COUNTIFS($BM$9:$BM$508,"&lt;"&amp;$BM174)+COUNTIFS($BM$9:$BM$508,$BM174,$CF$9:$CF$508,"&lt;"&amp;$CF174)+1))</f>
        <v/>
      </c>
      <c r="CH174" s="100" t="str">
        <f aca="false">IF(ISBLANK($C174),"",IF($BL174&lt;&gt;Constants!$B$4,$BL174,RANK($CD174,$CD$9:$CD$508,1)))</f>
        <v/>
      </c>
      <c r="CI174" s="100" t="str">
        <f aca="false">IF($BL174&lt;&gt;Constants!$B$4,"",$AN174+$AO174+$AP174)</f>
        <v/>
      </c>
      <c r="CJ174" s="100" t="str">
        <f aca="false">IF(ISBLANK($C174),"",IF($BL174&lt;&gt;Constants!$B$4,$BL174,RANK($CI174,$CI$9:$CI$508,1)))</f>
        <v/>
      </c>
      <c r="CK174" s="100" t="str">
        <f aca="false">IF(ISBLANK($C174),"",IF($BL174&lt;&gt;Constants!$B$4,$BL174,COUNTIFS($BM$9:$BM$508,"&lt;"&amp;$BM174)+COUNTIFS($BM$9:$BM$508,$BM174,$CF$9:$CF$508,"&lt;"&amp;$CF174)+COUNTIFS($BM$9:$BM$508,$BM174,$CF$9:$CF$508,$CF174,$CH$9:$CH$508,"&lt;"&amp;$CH174)+COUNTIFS($BM$9:$BM$508,$BM174,$CF$9:$CF$508,$CF174,$CH$9:$CH$508,$CH174,$CJ$9:$CJ$508,"&lt;"&amp;$CJ174)+1))</f>
        <v/>
      </c>
      <c r="CL174" s="100" t="str">
        <f aca="false">IF(ISBLANK($C174),"",IF($BL174&lt;&gt;Constants!$B$4,$BL174,$CG174-$CK174))</f>
        <v/>
      </c>
      <c r="CM174" s="100" t="str">
        <f aca="false">IF(ISBLANK($C174),"",IF(NOT($AL174),"",IF(ISBLANK($D$7),$CM$5,IF(NOT(ISNUMBER($D$7)),$CM$6,""))))</f>
        <v/>
      </c>
      <c r="CN174" s="100" t="str">
        <f aca="false">IF(ISBLANK($C174),"",OR($AN174="",$AO174="",$AP174=""))</f>
        <v/>
      </c>
      <c r="CO174" s="100" t="str">
        <f aca="false">IF(ISBLANK($C174),"",AND($AL174,$BA174=""))</f>
        <v/>
      </c>
      <c r="CP174" s="100" t="str">
        <f aca="false">IF(ISBLANK($C174),"",AND($AL174,$BB174=""))</f>
        <v/>
      </c>
      <c r="CQ174" s="100" t="str">
        <f aca="false">IF(ISBLANK($C174),"",AND($AL174,$BC174=""))</f>
        <v/>
      </c>
      <c r="CR174" s="100" t="str">
        <f aca="false">IF(ISBLANK($C174),"",AND($AL174,$BF174=""))</f>
        <v/>
      </c>
      <c r="CS174" s="100" t="str">
        <f aca="false">IF(ISBLANK($C174),"",AND($AL174,$BJ174=""))</f>
        <v/>
      </c>
      <c r="CT174" s="101"/>
      <c r="CU174" s="102"/>
      <c r="CV174" s="103" t="str">
        <f aca="false">IF(ISBLANK($C174),"",IF($BL174=Constants!$B$8,$CM174,""))</f>
        <v/>
      </c>
      <c r="CW174" s="102" t="str">
        <f aca="false">IF(ISBLANK($C174),"",IF($BL174&lt;&gt;Constants!$B$4,"",$BO174+$BP174))</f>
        <v/>
      </c>
      <c r="CX174" s="104" t="str">
        <f aca="false">IF(ISBLANK($C174),"",IF($BL174&lt;&gt;Constants!$B$4,"",$BQ174+$BR174+$BS174))</f>
        <v/>
      </c>
      <c r="CY174" s="104" t="str">
        <f aca="false">IF(ISBLANK($C174),"",IF($BL174&lt;&gt;Constants!$B$4,"",$BT174))</f>
        <v/>
      </c>
      <c r="CZ174" s="104" t="str">
        <f aca="false">IF(ISBLANK($C174),"",IF($BL174&lt;&gt;Constants!$B$4,"",$BU174+$BV174))</f>
        <v/>
      </c>
      <c r="DA174" s="104" t="str">
        <f aca="false">IF(ISBLANK($C174),"",IF($BL174&lt;&gt;Constants!$B$4,"",$BW174))</f>
        <v/>
      </c>
      <c r="DB174" s="104" t="str">
        <f aca="false">IF(ISBLANK($C174),"",IF($BL174&lt;&gt;Constants!$B$4,"",-$CD174))</f>
        <v/>
      </c>
      <c r="DC174" s="103" t="str">
        <f aca="false">IF(ISBLANK($C174),"",$CE174)</f>
        <v/>
      </c>
      <c r="DD174" s="105" t="str">
        <f aca="false">IF(ISBLANK($C174),"",$BM174)</f>
        <v/>
      </c>
      <c r="DE174" s="104" t="str">
        <f aca="false">IF(ISBLANK($C174),"",$CL174)</f>
        <v/>
      </c>
      <c r="DF174" s="104" t="str">
        <f aca="false">IF(ISBLANK($C174),"",$CK174)</f>
        <v/>
      </c>
      <c r="DG174" s="106" t="str">
        <f aca="false">IF(ISBLANK($C174),"",IF($DF174=Constants!$B$7,COUNTA($C$9:$C$508)+2,IF($DF174=Constants!$B$6,COUNTA($C$9:$C$508)+1,IF($DF174=Constants!$B$5,COUNTA($C$9:$C$508),$DF174))))</f>
        <v/>
      </c>
      <c r="DH174" s="7"/>
      <c r="DI174" s="107" t="n">
        <f aca="false">IF(OR(ISNUMBER($DF174),$DF174=Constants!$B$7,$DF174=Constants!$B$5,$DF174=Constants!$B$6),1,0)</f>
        <v>0</v>
      </c>
      <c r="DJ174" s="107" t="n">
        <v>166</v>
      </c>
      <c r="DK174" s="107" t="str">
        <f aca="false">IF(ISBLANK($C174),"",IF(ISNUMBER($DG174),$DG174+ROW($B174)/1000,""))</f>
        <v/>
      </c>
      <c r="DL174" s="107" t="str">
        <f aca="false">IF(ISNUMBER($DK174),RANK($DK174,$DK$9:$DK$508,1),"")</f>
        <v/>
      </c>
      <c r="DM174" s="107" t="str">
        <f aca="false">IF(ISBLANK($C174),"",$B174)</f>
        <v/>
      </c>
      <c r="DN174" s="107" t="str">
        <f aca="false">IF(ISBLANK($C174),"",$C174)</f>
        <v/>
      </c>
      <c r="DO174" s="107" t="str">
        <f aca="false">IF(ISBLANK($C174),"",$D174)</f>
        <v/>
      </c>
      <c r="DP174" s="108" t="str">
        <f aca="false">$DD174</f>
        <v/>
      </c>
      <c r="DQ174" s="109" t="str">
        <f aca="false">$DC174</f>
        <v/>
      </c>
      <c r="DR174" s="107" t="str">
        <f aca="false">IF(ISBLANK($C174),"",$DF174)</f>
        <v/>
      </c>
      <c r="DS174" s="110" t="str">
        <f aca="false">IF($DJ174&gt;$DI$8,"",VLOOKUP($DJ174,$DL$9:$DR$508,7,FALSE()))</f>
        <v/>
      </c>
      <c r="DT174" s="111" t="str">
        <f aca="false">IF($DJ174&gt;$DI$8,"",VLOOKUP($DJ174,$DL$9:$DR$508,2,FALSE()))</f>
        <v/>
      </c>
      <c r="DU174" s="111" t="str">
        <f aca="false">IF($DJ174&gt;$DI$8,"",VLOOKUP($DJ174,$DL$9:$DR$508,3,FALSE()))</f>
        <v/>
      </c>
      <c r="DV174" s="111" t="str">
        <f aca="false">IF($DJ174&gt;$DI$8,"",VLOOKUP($DJ174,$DL$9:$DR$508,4,FALSE()))</f>
        <v/>
      </c>
      <c r="DW174" s="111" t="str">
        <f aca="false">IF($DJ174&gt;$DI$8,"",VLOOKUP($DJ174,$DL$9:$DR$508,5,FALSE()))</f>
        <v/>
      </c>
      <c r="DX174" s="112" t="str">
        <f aca="false">IF($DJ174&gt;$DI$8,"",VLOOKUP($DJ174,$DL$9:$DR$508,6,FALSE()))</f>
        <v/>
      </c>
      <c r="DY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130"/>
      <c r="N175" s="130"/>
      <c r="O175" s="135"/>
      <c r="P175" s="135"/>
      <c r="Q175" s="130"/>
      <c r="R175" s="130"/>
      <c r="S175" s="130"/>
      <c r="T175" s="130"/>
      <c r="U175" s="135"/>
      <c r="V175" s="130"/>
      <c r="W175" s="96"/>
      <c r="X175" s="130"/>
      <c r="Y175" s="130"/>
      <c r="Z175" s="96"/>
      <c r="AA175" s="96"/>
      <c r="AB175" s="130"/>
      <c r="AC175" s="130"/>
      <c r="AD175" s="130"/>
      <c r="AE175" s="97"/>
      <c r="AF175" s="130"/>
      <c r="AG175" s="99"/>
      <c r="AH175" s="100"/>
      <c r="AI175" s="100"/>
      <c r="AJ175" s="100" t="str">
        <f aca="false">IF(ISBLANK($C175),"",IF($E175=Constants!$B$2,TRUE(),IF($E175=Constants!$B$3,FALSE(),TRUE())))</f>
        <v/>
      </c>
      <c r="AK175" s="100" t="str">
        <f aca="false">IF(ISBLANK($C175),"",IF($F175=Constants!$B$2,TRUE(),IF($F175=Constants!$B$3,FALSE(),FALSE())))</f>
        <v/>
      </c>
      <c r="AL175" s="100" t="str">
        <f aca="false">IF(ISBLANK($C175),"",IF($G175=Constants!$B$2,TRUE(),IF($G175=Constants!$B$3,FALSE(),TRUE())))</f>
        <v/>
      </c>
      <c r="AM175" s="100" t="str">
        <f aca="false">IF(ISBLANK($C175),"",IF($H175=Constants!$B$2,TRUE(),IF($H175=Constants!$B$3,FALSE(),TRUE())))</f>
        <v/>
      </c>
      <c r="AN175" s="100" t="str">
        <f aca="false">IF(ISBLANK($C175),"",IF(ISNUMBER($I175),IF($I175&gt;=0,$I175,""),""))</f>
        <v/>
      </c>
      <c r="AO175" s="100" t="str">
        <f aca="false">IF(ISBLANK($C175),"",IF(ISNUMBER($J175),IF($J175&gt;=0,$J175,""),""))</f>
        <v/>
      </c>
      <c r="AP175" s="100" t="str">
        <f aca="false">IF(ISBLANK($C175),"",IF(ISNUMBER($K175),IF($K175&gt;=0,$K175,""),""))</f>
        <v/>
      </c>
      <c r="AQ175" s="100" t="str">
        <f aca="false">IF(ISBLANK($C175),"",IF($L175=Constants!$B$2,TRUE(),IF($L175=Constants!$B$3,FALSE(),TRUE())))</f>
        <v/>
      </c>
      <c r="AR175" s="100" t="str">
        <f aca="false">IF(ISBLANK($C175),"",IF($M175=Constants!$B$2,TRUE(),IF($M175=Constants!$B$3,FALSE(),TRUE())))</f>
        <v/>
      </c>
      <c r="AS175" s="100" t="str">
        <f aca="false">IF(ISBLANK($C175),"",IF($N175=Constants!$B$2,TRUE(),IF($N175=Constants!$B$3,FALSE(),FALSE())))</f>
        <v/>
      </c>
      <c r="AT175" s="100" t="str">
        <f aca="false">IF(ISBLANK($C175),"",IF($O175=Constants!$B$2,TRUE(),IF($O175=Constants!$B$3,FALSE(),TRUE())))</f>
        <v/>
      </c>
      <c r="AU175" s="100" t="str">
        <f aca="false">IF(ISBLANK($C175),"",IF($P175=Constants!$B$2,TRUE(),IF($P175=Constants!$B$3,FALSE(),TRUE())))</f>
        <v/>
      </c>
      <c r="AV175" s="100" t="str">
        <f aca="false">IF(ISBLANK($C175),"",IF($Q175=Constants!$B$2,TRUE(),IF($Q175=Constants!$B$3,FALSE(),FALSE())))</f>
        <v/>
      </c>
      <c r="AW175" s="100" t="str">
        <f aca="false">IF(ISBLANK($C175),"",IF($R175=Constants!$B$2,TRUE(),IF($R175=Constants!$B$3,FALSE(),FALSE())))</f>
        <v/>
      </c>
      <c r="AX175" s="100" t="str">
        <f aca="false">IF(ISBLANK($C175),"",IF($S175=Constants!$B$2,TRUE(),IF($S175=Constants!$B$3,FALSE(),FALSE())))</f>
        <v/>
      </c>
      <c r="AY175" s="100" t="str">
        <f aca="false">IF(ISBLANK($C175),"",IF($T175=Constants!$B$2,TRUE(),IF($T175=Constants!$B$3,FALSE(),FALSE())))</f>
        <v/>
      </c>
      <c r="AZ175" s="100" t="str">
        <f aca="false">IF(ISBLANK($C175),"",IF($U175=Constants!$B$2,TRUE(),IF($U175=Constants!$B$3,FALSE(),FALSE())))</f>
        <v/>
      </c>
      <c r="BA175" s="100" t="str">
        <f aca="false">IF(ISBLANK($C175),"",IF(OR($V175&amp;""="1",$V175&amp;""="2",$V175&amp;""="3",$V175&amp;""="4"),VALUE($V175&amp;""),IF($V175=Constants!$B$12,Constants!$B$12,"")))</f>
        <v/>
      </c>
      <c r="BB175" s="100" t="str">
        <f aca="false">IF(ISBLANK($C175),"",IF(ISBLANK($W175),0,IF(ISNUMBER($W175),IF(AND($W175&gt;=0,$W175&lt;=Constants!$B$21,$W175=INT($W175)),$W175,""),"")))</f>
        <v/>
      </c>
      <c r="BC175" s="100" t="str">
        <f aca="false">IF(ISBLANK($C175),"",IF(ISBLANK($X175),0,IF(ISNUMBER($X175),IF($X175&gt;=0,$X175,""),"")))</f>
        <v/>
      </c>
      <c r="BD175" s="100" t="str">
        <f aca="false">IF(ISBLANK($C175),"",IF($Y175=Constants!$B$2,TRUE(),IF($Y175=Constants!$B$3,FALSE(),TRUE())))</f>
        <v/>
      </c>
      <c r="BE175" s="100" t="str">
        <f aca="false">IF(ISBLANK($C175),"",IF($Z175=Constants!$B$2,TRUE(),IF($Z175=Constants!$B$3,FALSE(),FALSE())))</f>
        <v/>
      </c>
      <c r="BF175" s="100" t="str">
        <f aca="false">IF(ISBLANK($C175),"",IF(ISBLANK($AA175),0,IF(ISNUMBER($AA175),IF(AND($AA175&gt;=0,$AA175&lt;=Constants!$B$35,$AA175=INT($AA175)),$AA175,""),"")))</f>
        <v/>
      </c>
      <c r="BG175" s="100" t="str">
        <f aca="false">IF(ISBLANK($C175),"",IF($AB175=Constants!$B$2,TRUE(),IF($AB175=Constants!$B$3,FALSE(),TRUE())))</f>
        <v/>
      </c>
      <c r="BH175" s="100" t="str">
        <f aca="false">IF(ISBLANK($C175),"",IF($AC175=Constants!$B$2,TRUE(),IF($AC175=Constants!$B$3,FALSE(),TRUE())))</f>
        <v/>
      </c>
      <c r="BI175" s="100" t="str">
        <f aca="false">IF(ISBLANK($C175),"",IF($AD175=Constants!$B$2,TRUE(),IF($AD175=Constants!$B$3,FALSE(),TRUE())))</f>
        <v/>
      </c>
      <c r="BJ175" s="100" t="str">
        <f aca="false">IF(ISBLANK($C175),"",IF(ISNUMBER($AE175),IF($AE175&gt;=0,$AE175,""),""))</f>
        <v/>
      </c>
      <c r="BK175" s="100" t="str">
        <f aca="false">IF(ISBLANK($C175),"",IF($AF175=Constants!$B$2,TRUE(),IF($AF175=Constants!$B$3,FALSE(),FALSE())))</f>
        <v/>
      </c>
      <c r="BL175" s="99" t="str">
        <f aca="false">IF(ISBLANK($C175),"",IF($BK175,Constants!$B$7,IF(COUNTA($E175:$AE175)=0,Constants!$B$6,IF(OR(COUNTA($G175:$AE175)=0,NOT($AM175),$AS175),Constants!$B$5,IF(OR($CM175&lt;&gt;"",$CN175,$CO175,$CP175,$CQ175,$CR175,$CS175),Constants!$B$8,Constants!$B$4)))))</f>
        <v/>
      </c>
      <c r="BM175" s="100" t="str">
        <f aca="false">IF(ISBLANK($C175),"",IF($BL175&lt;&gt;Constants!$B$4,$BL175,IF(OR(NOT($AJ175),NOT($AL175),NOT($AT175)),Constants!$B$11,IF(OR(NOT($AR175),NOT($AU175),NOT($BI175),MAX($AN175,$AO175,$AP175)&gt;Constants!$B$30),Constants!$B$10,Constants!$B$9))))</f>
        <v/>
      </c>
      <c r="BN175" s="100" t="str">
        <f aca="false">IF($BL175&lt;&gt;Constants!$B$4,"",IF(NOT($AL175),0,MIN(Constants!$B$35,$BF175)))</f>
        <v/>
      </c>
      <c r="BO175" s="100" t="str">
        <f aca="false">IF($BL175&lt;&gt;Constants!$B$4,"",IF(NOT($AL175),0,IF($AW175,Constants!$B$18,IF($AV175,Constants!$B$17,0))))</f>
        <v/>
      </c>
      <c r="BP175" s="100" t="str">
        <f aca="false">IF($BL175&lt;&gt;Constants!$B$4,"",IF(NOT($AL175),0,Constants!$B$19*($AK175+$AX175+$AY175+$AZ175)))</f>
        <v/>
      </c>
      <c r="BQ175" s="100" t="str">
        <f aca="false">IF($BL175&lt;&gt;Constants!$B$4,"",IF(OR(NOT($AL175),NOT(ISNUMBER($BA175))),0,CHOOSE($BA175,Constants!$B$13,Constants!$B$14,Constants!$B$15,Constants!$B$16)))</f>
        <v/>
      </c>
      <c r="BR175" s="100" t="str">
        <f aca="false">IF($BL175&lt;&gt;Constants!$B$4,"",IF(NOT($AL175),0,Constants!$B$20*$BB175))</f>
        <v/>
      </c>
      <c r="BS175" s="100" t="str">
        <f aca="false">IF($BL175&lt;&gt;Constants!$B$4,"",IF(AND($AL175,$BD175,$BE175),Constants!$B$22,0))</f>
        <v/>
      </c>
      <c r="BT175" s="100" t="str">
        <f aca="false">IF($BL175&lt;&gt;Constants!$B$4,"",IF(OR(NOT($AL175),NOT($BD175)),0,IF($BJ175&gt;=2*$AH$9,0,Constants!$B$23*INT(ROUND(MIN($BJ175,$AH$9),6)))))</f>
        <v/>
      </c>
      <c r="BU175" s="100" t="str">
        <f aca="false">IF($BL175&lt;&gt;Constants!$B$4,"",IF(NOT($AL175),0,Constants!$B$24*INT(ROUND(MIN($BC175,$AH$9),6))))</f>
        <v/>
      </c>
      <c r="BV175" s="100" t="str">
        <f aca="false">IF($BL175&lt;&gt;Constants!$B$4,"",IF(AND($AL175,$BN175=0),Constants!$B$25,0))</f>
        <v/>
      </c>
      <c r="BW175" s="100" t="str">
        <f aca="false">IF($BL175&lt;&gt;Constants!$B$4,"",MIN(Constants!$B$29,MAX(0,Constants!$B$27*Constants!$B$28*INT(ROUND((Constants!$B$26-$AN175)/Constants!$B$28,6))))+MIN(Constants!$B$29,MAX(0,Constants!$B$27*Constants!$B$28*INT(ROUND((Constants!$B$26-$AO175)/Constants!$B$28,6))))+MIN(Constants!$B$29,MAX(0,Constants!$B$27*Constants!$B$28*INT(ROUND((Constants!$B$26-$AP175)/Constants!$B$28,6)))))</f>
        <v/>
      </c>
      <c r="BX175" s="100" t="str">
        <f aca="false">IF($BL175&lt;&gt;Constants!$B$4,"",IF(NOT($AL175),0,Constants!$B$31*INT(ROUND(MAX(0,MIN($BJ175,2*$AH$9)-$AH$9),6))))</f>
        <v/>
      </c>
      <c r="BY175" s="100" t="str">
        <f aca="false">IF($BL175&lt;&gt;Constants!$B$4,"",Constants!$B$32*(($AN175&gt;Constants!$B$26)+($AO175&gt;Constants!$B$26)+($AP175&gt;Constants!$B$26)))</f>
        <v/>
      </c>
      <c r="BZ175" s="100" t="str">
        <f aca="false">IF($BL175&lt;&gt;Constants!$B$4,"",IF(OR(NOT($AL175),$AQ175),0,Constants!$B$33))</f>
        <v/>
      </c>
      <c r="CA175" s="100" t="str">
        <f aca="false">IF($BL175&lt;&gt;Constants!$B$4,"",Constants!$B$34*$BN175)</f>
        <v/>
      </c>
      <c r="CB175" s="100" t="str">
        <f aca="false">IF($BL175&lt;&gt;Constants!$B$4,"",IF(OR(NOT($AL175),$BH175),0,Constants!$B$36))</f>
        <v/>
      </c>
      <c r="CC175" s="100" t="str">
        <f aca="false">IF($BL175&lt;&gt;Constants!$B$4,"",IF(OR(NOT($AL175),$BG175),0,Constants!$B$37))</f>
        <v/>
      </c>
      <c r="CD175" s="100" t="str">
        <f aca="false">IF($BL175&lt;&gt;Constants!$B$4,"",SUM($BX175:$CC175))</f>
        <v/>
      </c>
      <c r="CE175" s="100" t="str">
        <f aca="false">IF(ISBLANK($C175),"",IF($BL175&lt;&gt;Constants!$B$4,$BL175,SUM($BO175:$BW175)-$CD175))</f>
        <v/>
      </c>
      <c r="CF175" s="100" t="str">
        <f aca="false">IF(ISBLANK($C175),"",IF($BL175&lt;&gt;Constants!$B$4,$BL175,RANK($CE175,$CE$9:$CE$508)))</f>
        <v/>
      </c>
      <c r="CG175" s="100" t="str">
        <f aca="false">IF(ISBLANK($C175),"",IF($BL175&lt;&gt;Constants!$B$4,$BL175,COUNTIFS($BM$9:$BM$508,"&lt;"&amp;$BM175)+COUNTIFS($BM$9:$BM$508,$BM175,$CF$9:$CF$508,"&lt;"&amp;$CF175)+1))</f>
        <v/>
      </c>
      <c r="CH175" s="100" t="str">
        <f aca="false">IF(ISBLANK($C175),"",IF($BL175&lt;&gt;Constants!$B$4,$BL175,RANK($CD175,$CD$9:$CD$508,1)))</f>
        <v/>
      </c>
      <c r="CI175" s="100" t="str">
        <f aca="false">IF($BL175&lt;&gt;Constants!$B$4,"",$AN175+$AO175+$AP175)</f>
        <v/>
      </c>
      <c r="CJ175" s="100" t="str">
        <f aca="false">IF(ISBLANK($C175),"",IF($BL175&lt;&gt;Constants!$B$4,$BL175,RANK($CI175,$CI$9:$CI$508,1)))</f>
        <v/>
      </c>
      <c r="CK175" s="100" t="str">
        <f aca="false">IF(ISBLANK($C175),"",IF($BL175&lt;&gt;Constants!$B$4,$BL175,COUNTIFS($BM$9:$BM$508,"&lt;"&amp;$BM175)+COUNTIFS($BM$9:$BM$508,$BM175,$CF$9:$CF$508,"&lt;"&amp;$CF175)+COUNTIFS($BM$9:$BM$508,$BM175,$CF$9:$CF$508,$CF175,$CH$9:$CH$508,"&lt;"&amp;$CH175)+COUNTIFS($BM$9:$BM$508,$BM175,$CF$9:$CF$508,$CF175,$CH$9:$CH$508,$CH175,$CJ$9:$CJ$508,"&lt;"&amp;$CJ175)+1))</f>
        <v/>
      </c>
      <c r="CL175" s="100" t="str">
        <f aca="false">IF(ISBLANK($C175),"",IF($BL175&lt;&gt;Constants!$B$4,$BL175,$CG175-$CK175))</f>
        <v/>
      </c>
      <c r="CM175" s="100" t="str">
        <f aca="false">IF(ISBLANK($C175),"",IF(NOT($AL175),"",IF(ISBLANK($D$7),$CM$5,IF(NOT(ISNUMBER($D$7)),$CM$6,""))))</f>
        <v/>
      </c>
      <c r="CN175" s="100" t="str">
        <f aca="false">IF(ISBLANK($C175),"",OR($AN175="",$AO175="",$AP175=""))</f>
        <v/>
      </c>
      <c r="CO175" s="100" t="str">
        <f aca="false">IF(ISBLANK($C175),"",AND($AL175,$BA175=""))</f>
        <v/>
      </c>
      <c r="CP175" s="100" t="str">
        <f aca="false">IF(ISBLANK($C175),"",AND($AL175,$BB175=""))</f>
        <v/>
      </c>
      <c r="CQ175" s="100" t="str">
        <f aca="false">IF(ISBLANK($C175),"",AND($AL175,$BC175=""))</f>
        <v/>
      </c>
      <c r="CR175" s="100" t="str">
        <f aca="false">IF(ISBLANK($C175),"",AND($AL175,$BF175=""))</f>
        <v/>
      </c>
      <c r="CS175" s="100" t="str">
        <f aca="false">IF(ISBLANK($C175),"",AND($AL175,$BJ175=""))</f>
        <v/>
      </c>
      <c r="CT175" s="101"/>
      <c r="CU175" s="102"/>
      <c r="CV175" s="103" t="str">
        <f aca="false">IF(ISBLANK($C175),"",IF($BL175=Constants!$B$8,$CM175,""))</f>
        <v/>
      </c>
      <c r="CW175" s="102" t="str">
        <f aca="false">IF(ISBLANK($C175),"",IF($BL175&lt;&gt;Constants!$B$4,"",$BO175+$BP175))</f>
        <v/>
      </c>
      <c r="CX175" s="104" t="str">
        <f aca="false">IF(ISBLANK($C175),"",IF($BL175&lt;&gt;Constants!$B$4,"",$BQ175+$BR175+$BS175))</f>
        <v/>
      </c>
      <c r="CY175" s="104" t="str">
        <f aca="false">IF(ISBLANK($C175),"",IF($BL175&lt;&gt;Constants!$B$4,"",$BT175))</f>
        <v/>
      </c>
      <c r="CZ175" s="104" t="str">
        <f aca="false">IF(ISBLANK($C175),"",IF($BL175&lt;&gt;Constants!$B$4,"",$BU175+$BV175))</f>
        <v/>
      </c>
      <c r="DA175" s="104" t="str">
        <f aca="false">IF(ISBLANK($C175),"",IF($BL175&lt;&gt;Constants!$B$4,"",$BW175))</f>
        <v/>
      </c>
      <c r="DB175" s="104" t="str">
        <f aca="false">IF(ISBLANK($C175),"",IF($BL175&lt;&gt;Constants!$B$4,"",-$CD175))</f>
        <v/>
      </c>
      <c r="DC175" s="103" t="str">
        <f aca="false">IF(ISBLANK($C175),"",$CE175)</f>
        <v/>
      </c>
      <c r="DD175" s="105" t="str">
        <f aca="false">IF(ISBLANK($C175),"",$BM175)</f>
        <v/>
      </c>
      <c r="DE175" s="104" t="str">
        <f aca="false">IF(ISBLANK($C175),"",$CL175)</f>
        <v/>
      </c>
      <c r="DF175" s="104" t="str">
        <f aca="false">IF(ISBLANK($C175),"",$CK175)</f>
        <v/>
      </c>
      <c r="DG175" s="106" t="str">
        <f aca="false">IF(ISBLANK($C175),"",IF($DF175=Constants!$B$7,COUNTA($C$9:$C$508)+2,IF($DF175=Constants!$B$6,COUNTA($C$9:$C$508)+1,IF($DF175=Constants!$B$5,COUNTA($C$9:$C$508),$DF175))))</f>
        <v/>
      </c>
      <c r="DH175" s="7"/>
      <c r="DI175" s="107" t="n">
        <f aca="false">IF(OR(ISNUMBER($DF175),$DF175=Constants!$B$7,$DF175=Constants!$B$5,$DF175=Constants!$B$6),1,0)</f>
        <v>0</v>
      </c>
      <c r="DJ175" s="107" t="n">
        <v>167</v>
      </c>
      <c r="DK175" s="107" t="str">
        <f aca="false">IF(ISBLANK($C175),"",IF(ISNUMBER($DG175),$DG175+ROW($B175)/1000,""))</f>
        <v/>
      </c>
      <c r="DL175" s="107" t="str">
        <f aca="false">IF(ISNUMBER($DK175),RANK($DK175,$DK$9:$DK$508,1),"")</f>
        <v/>
      </c>
      <c r="DM175" s="107" t="str">
        <f aca="false">IF(ISBLANK($C175),"",$B175)</f>
        <v/>
      </c>
      <c r="DN175" s="107" t="str">
        <f aca="false">IF(ISBLANK($C175),"",$C175)</f>
        <v/>
      </c>
      <c r="DO175" s="107" t="str">
        <f aca="false">IF(ISBLANK($C175),"",$D175)</f>
        <v/>
      </c>
      <c r="DP175" s="108" t="str">
        <f aca="false">$DD175</f>
        <v/>
      </c>
      <c r="DQ175" s="109" t="str">
        <f aca="false">$DC175</f>
        <v/>
      </c>
      <c r="DR175" s="107" t="str">
        <f aca="false">IF(ISBLANK($C175),"",$DF175)</f>
        <v/>
      </c>
      <c r="DS175" s="110" t="str">
        <f aca="false">IF($DJ175&gt;$DI$8,"",VLOOKUP($DJ175,$DL$9:$DR$508,7,FALSE()))</f>
        <v/>
      </c>
      <c r="DT175" s="111" t="str">
        <f aca="false">IF($DJ175&gt;$DI$8,"",VLOOKUP($DJ175,$DL$9:$DR$508,2,FALSE()))</f>
        <v/>
      </c>
      <c r="DU175" s="111" t="str">
        <f aca="false">IF($DJ175&gt;$DI$8,"",VLOOKUP($DJ175,$DL$9:$DR$508,3,FALSE()))</f>
        <v/>
      </c>
      <c r="DV175" s="111" t="str">
        <f aca="false">IF($DJ175&gt;$DI$8,"",VLOOKUP($DJ175,$DL$9:$DR$508,4,FALSE()))</f>
        <v/>
      </c>
      <c r="DW175" s="111" t="str">
        <f aca="false">IF($DJ175&gt;$DI$8,"",VLOOKUP($DJ175,$DL$9:$DR$508,5,FALSE()))</f>
        <v/>
      </c>
      <c r="DX175" s="112" t="str">
        <f aca="false">IF($DJ175&gt;$DI$8,"",VLOOKUP($DJ175,$DL$9:$DR$508,6,FALSE()))</f>
        <v/>
      </c>
      <c r="DY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130"/>
      <c r="N176" s="130"/>
      <c r="O176" s="135"/>
      <c r="P176" s="135"/>
      <c r="Q176" s="130"/>
      <c r="R176" s="130"/>
      <c r="S176" s="130"/>
      <c r="T176" s="130"/>
      <c r="U176" s="135"/>
      <c r="V176" s="130"/>
      <c r="W176" s="96"/>
      <c r="X176" s="130"/>
      <c r="Y176" s="130"/>
      <c r="Z176" s="96"/>
      <c r="AA176" s="96"/>
      <c r="AB176" s="130"/>
      <c r="AC176" s="130"/>
      <c r="AD176" s="130"/>
      <c r="AE176" s="97"/>
      <c r="AF176" s="130"/>
      <c r="AG176" s="99"/>
      <c r="AH176" s="100"/>
      <c r="AI176" s="100"/>
      <c r="AJ176" s="100" t="str">
        <f aca="false">IF(ISBLANK($C176),"",IF($E176=Constants!$B$2,TRUE(),IF($E176=Constants!$B$3,FALSE(),TRUE())))</f>
        <v/>
      </c>
      <c r="AK176" s="100" t="str">
        <f aca="false">IF(ISBLANK($C176),"",IF($F176=Constants!$B$2,TRUE(),IF($F176=Constants!$B$3,FALSE(),FALSE())))</f>
        <v/>
      </c>
      <c r="AL176" s="100" t="str">
        <f aca="false">IF(ISBLANK($C176),"",IF($G176=Constants!$B$2,TRUE(),IF($G176=Constants!$B$3,FALSE(),TRUE())))</f>
        <v/>
      </c>
      <c r="AM176" s="100" t="str">
        <f aca="false">IF(ISBLANK($C176),"",IF($H176=Constants!$B$2,TRUE(),IF($H176=Constants!$B$3,FALSE(),TRUE())))</f>
        <v/>
      </c>
      <c r="AN176" s="100" t="str">
        <f aca="false">IF(ISBLANK($C176),"",IF(ISNUMBER($I176),IF($I176&gt;=0,$I176,""),""))</f>
        <v/>
      </c>
      <c r="AO176" s="100" t="str">
        <f aca="false">IF(ISBLANK($C176),"",IF(ISNUMBER($J176),IF($J176&gt;=0,$J176,""),""))</f>
        <v/>
      </c>
      <c r="AP176" s="100" t="str">
        <f aca="false">IF(ISBLANK($C176),"",IF(ISNUMBER($K176),IF($K176&gt;=0,$K176,""),""))</f>
        <v/>
      </c>
      <c r="AQ176" s="100" t="str">
        <f aca="false">IF(ISBLANK($C176),"",IF($L176=Constants!$B$2,TRUE(),IF($L176=Constants!$B$3,FALSE(),TRUE())))</f>
        <v/>
      </c>
      <c r="AR176" s="100" t="str">
        <f aca="false">IF(ISBLANK($C176),"",IF($M176=Constants!$B$2,TRUE(),IF($M176=Constants!$B$3,FALSE(),TRUE())))</f>
        <v/>
      </c>
      <c r="AS176" s="100" t="str">
        <f aca="false">IF(ISBLANK($C176),"",IF($N176=Constants!$B$2,TRUE(),IF($N176=Constants!$B$3,FALSE(),FALSE())))</f>
        <v/>
      </c>
      <c r="AT176" s="100" t="str">
        <f aca="false">IF(ISBLANK($C176),"",IF($O176=Constants!$B$2,TRUE(),IF($O176=Constants!$B$3,FALSE(),TRUE())))</f>
        <v/>
      </c>
      <c r="AU176" s="100" t="str">
        <f aca="false">IF(ISBLANK($C176),"",IF($P176=Constants!$B$2,TRUE(),IF($P176=Constants!$B$3,FALSE(),TRUE())))</f>
        <v/>
      </c>
      <c r="AV176" s="100" t="str">
        <f aca="false">IF(ISBLANK($C176),"",IF($Q176=Constants!$B$2,TRUE(),IF($Q176=Constants!$B$3,FALSE(),FALSE())))</f>
        <v/>
      </c>
      <c r="AW176" s="100" t="str">
        <f aca="false">IF(ISBLANK($C176),"",IF($R176=Constants!$B$2,TRUE(),IF($R176=Constants!$B$3,FALSE(),FALSE())))</f>
        <v/>
      </c>
      <c r="AX176" s="100" t="str">
        <f aca="false">IF(ISBLANK($C176),"",IF($S176=Constants!$B$2,TRUE(),IF($S176=Constants!$B$3,FALSE(),FALSE())))</f>
        <v/>
      </c>
      <c r="AY176" s="100" t="str">
        <f aca="false">IF(ISBLANK($C176),"",IF($T176=Constants!$B$2,TRUE(),IF($T176=Constants!$B$3,FALSE(),FALSE())))</f>
        <v/>
      </c>
      <c r="AZ176" s="100" t="str">
        <f aca="false">IF(ISBLANK($C176),"",IF($U176=Constants!$B$2,TRUE(),IF($U176=Constants!$B$3,FALSE(),FALSE())))</f>
        <v/>
      </c>
      <c r="BA176" s="100" t="str">
        <f aca="false">IF(ISBLANK($C176),"",IF(OR($V176&amp;""="1",$V176&amp;""="2",$V176&amp;""="3",$V176&amp;""="4"),VALUE($V176&amp;""),IF($V176=Constants!$B$12,Constants!$B$12,"")))</f>
        <v/>
      </c>
      <c r="BB176" s="100" t="str">
        <f aca="false">IF(ISBLANK($C176),"",IF(ISBLANK($W176),0,IF(ISNUMBER($W176),IF(AND($W176&gt;=0,$W176&lt;=Constants!$B$21,$W176=INT($W176)),$W176,""),"")))</f>
        <v/>
      </c>
      <c r="BC176" s="100" t="str">
        <f aca="false">IF(ISBLANK($C176),"",IF(ISBLANK($X176),0,IF(ISNUMBER($X176),IF($X176&gt;=0,$X176,""),"")))</f>
        <v/>
      </c>
      <c r="BD176" s="100" t="str">
        <f aca="false">IF(ISBLANK($C176),"",IF($Y176=Constants!$B$2,TRUE(),IF($Y176=Constants!$B$3,FALSE(),TRUE())))</f>
        <v/>
      </c>
      <c r="BE176" s="100" t="str">
        <f aca="false">IF(ISBLANK($C176),"",IF($Z176=Constants!$B$2,TRUE(),IF($Z176=Constants!$B$3,FALSE(),FALSE())))</f>
        <v/>
      </c>
      <c r="BF176" s="100" t="str">
        <f aca="false">IF(ISBLANK($C176),"",IF(ISBLANK($AA176),0,IF(ISNUMBER($AA176),IF(AND($AA176&gt;=0,$AA176&lt;=Constants!$B$35,$AA176=INT($AA176)),$AA176,""),"")))</f>
        <v/>
      </c>
      <c r="BG176" s="100" t="str">
        <f aca="false">IF(ISBLANK($C176),"",IF($AB176=Constants!$B$2,TRUE(),IF($AB176=Constants!$B$3,FALSE(),TRUE())))</f>
        <v/>
      </c>
      <c r="BH176" s="100" t="str">
        <f aca="false">IF(ISBLANK($C176),"",IF($AC176=Constants!$B$2,TRUE(),IF($AC176=Constants!$B$3,FALSE(),TRUE())))</f>
        <v/>
      </c>
      <c r="BI176" s="100" t="str">
        <f aca="false">IF(ISBLANK($C176),"",IF($AD176=Constants!$B$2,TRUE(),IF($AD176=Constants!$B$3,FALSE(),TRUE())))</f>
        <v/>
      </c>
      <c r="BJ176" s="100" t="str">
        <f aca="false">IF(ISBLANK($C176),"",IF(ISNUMBER($AE176),IF($AE176&gt;=0,$AE176,""),""))</f>
        <v/>
      </c>
      <c r="BK176" s="100" t="str">
        <f aca="false">IF(ISBLANK($C176),"",IF($AF176=Constants!$B$2,TRUE(),IF($AF176=Constants!$B$3,FALSE(),FALSE())))</f>
        <v/>
      </c>
      <c r="BL176" s="99" t="str">
        <f aca="false">IF(ISBLANK($C176),"",IF($BK176,Constants!$B$7,IF(COUNTA($E176:$AE176)=0,Constants!$B$6,IF(OR(COUNTA($G176:$AE176)=0,NOT($AM176),$AS176),Constants!$B$5,IF(OR($CM176&lt;&gt;"",$CN176,$CO176,$CP176,$CQ176,$CR176,$CS176),Constants!$B$8,Constants!$B$4)))))</f>
        <v/>
      </c>
      <c r="BM176" s="100" t="str">
        <f aca="false">IF(ISBLANK($C176),"",IF($BL176&lt;&gt;Constants!$B$4,$BL176,IF(OR(NOT($AJ176),NOT($AL176),NOT($AT176)),Constants!$B$11,IF(OR(NOT($AR176),NOT($AU176),NOT($BI176),MAX($AN176,$AO176,$AP176)&gt;Constants!$B$30),Constants!$B$10,Constants!$B$9))))</f>
        <v/>
      </c>
      <c r="BN176" s="100" t="str">
        <f aca="false">IF($BL176&lt;&gt;Constants!$B$4,"",IF(NOT($AL176),0,MIN(Constants!$B$35,$BF176)))</f>
        <v/>
      </c>
      <c r="BO176" s="100" t="str">
        <f aca="false">IF($BL176&lt;&gt;Constants!$B$4,"",IF(NOT($AL176),0,IF($AW176,Constants!$B$18,IF($AV176,Constants!$B$17,0))))</f>
        <v/>
      </c>
      <c r="BP176" s="100" t="str">
        <f aca="false">IF($BL176&lt;&gt;Constants!$B$4,"",IF(NOT($AL176),0,Constants!$B$19*($AK176+$AX176+$AY176+$AZ176)))</f>
        <v/>
      </c>
      <c r="BQ176" s="100" t="str">
        <f aca="false">IF($BL176&lt;&gt;Constants!$B$4,"",IF(OR(NOT($AL176),NOT(ISNUMBER($BA176))),0,CHOOSE($BA176,Constants!$B$13,Constants!$B$14,Constants!$B$15,Constants!$B$16)))</f>
        <v/>
      </c>
      <c r="BR176" s="100" t="str">
        <f aca="false">IF($BL176&lt;&gt;Constants!$B$4,"",IF(NOT($AL176),0,Constants!$B$20*$BB176))</f>
        <v/>
      </c>
      <c r="BS176" s="100" t="str">
        <f aca="false">IF($BL176&lt;&gt;Constants!$B$4,"",IF(AND($AL176,$BD176,$BE176),Constants!$B$22,0))</f>
        <v/>
      </c>
      <c r="BT176" s="100" t="str">
        <f aca="false">IF($BL176&lt;&gt;Constants!$B$4,"",IF(OR(NOT($AL176),NOT($BD176)),0,IF($BJ176&gt;=2*$AH$9,0,Constants!$B$23*INT(ROUND(MIN($BJ176,$AH$9),6)))))</f>
        <v/>
      </c>
      <c r="BU176" s="100" t="str">
        <f aca="false">IF($BL176&lt;&gt;Constants!$B$4,"",IF(NOT($AL176),0,Constants!$B$24*INT(ROUND(MIN($BC176,$AH$9),6))))</f>
        <v/>
      </c>
      <c r="BV176" s="100" t="str">
        <f aca="false">IF($BL176&lt;&gt;Constants!$B$4,"",IF(AND($AL176,$BN176=0),Constants!$B$25,0))</f>
        <v/>
      </c>
      <c r="BW176" s="100" t="str">
        <f aca="false">IF($BL176&lt;&gt;Constants!$B$4,"",MIN(Constants!$B$29,MAX(0,Constants!$B$27*Constants!$B$28*INT(ROUND((Constants!$B$26-$AN176)/Constants!$B$28,6))))+MIN(Constants!$B$29,MAX(0,Constants!$B$27*Constants!$B$28*INT(ROUND((Constants!$B$26-$AO176)/Constants!$B$28,6))))+MIN(Constants!$B$29,MAX(0,Constants!$B$27*Constants!$B$28*INT(ROUND((Constants!$B$26-$AP176)/Constants!$B$28,6)))))</f>
        <v/>
      </c>
      <c r="BX176" s="100" t="str">
        <f aca="false">IF($BL176&lt;&gt;Constants!$B$4,"",IF(NOT($AL176),0,Constants!$B$31*INT(ROUND(MAX(0,MIN($BJ176,2*$AH$9)-$AH$9),6))))</f>
        <v/>
      </c>
      <c r="BY176" s="100" t="str">
        <f aca="false">IF($BL176&lt;&gt;Constants!$B$4,"",Constants!$B$32*(($AN176&gt;Constants!$B$26)+($AO176&gt;Constants!$B$26)+($AP176&gt;Constants!$B$26)))</f>
        <v/>
      </c>
      <c r="BZ176" s="100" t="str">
        <f aca="false">IF($BL176&lt;&gt;Constants!$B$4,"",IF(OR(NOT($AL176),$AQ176),0,Constants!$B$33))</f>
        <v/>
      </c>
      <c r="CA176" s="100" t="str">
        <f aca="false">IF($BL176&lt;&gt;Constants!$B$4,"",Constants!$B$34*$BN176)</f>
        <v/>
      </c>
      <c r="CB176" s="100" t="str">
        <f aca="false">IF($BL176&lt;&gt;Constants!$B$4,"",IF(OR(NOT($AL176),$BH176),0,Constants!$B$36))</f>
        <v/>
      </c>
      <c r="CC176" s="100" t="str">
        <f aca="false">IF($BL176&lt;&gt;Constants!$B$4,"",IF(OR(NOT($AL176),$BG176),0,Constants!$B$37))</f>
        <v/>
      </c>
      <c r="CD176" s="100" t="str">
        <f aca="false">IF($BL176&lt;&gt;Constants!$B$4,"",SUM($BX176:$CC176))</f>
        <v/>
      </c>
      <c r="CE176" s="100" t="str">
        <f aca="false">IF(ISBLANK($C176),"",IF($BL176&lt;&gt;Constants!$B$4,$BL176,SUM($BO176:$BW176)-$CD176))</f>
        <v/>
      </c>
      <c r="CF176" s="100" t="str">
        <f aca="false">IF(ISBLANK($C176),"",IF($BL176&lt;&gt;Constants!$B$4,$BL176,RANK($CE176,$CE$9:$CE$508)))</f>
        <v/>
      </c>
      <c r="CG176" s="100" t="str">
        <f aca="false">IF(ISBLANK($C176),"",IF($BL176&lt;&gt;Constants!$B$4,$BL176,COUNTIFS($BM$9:$BM$508,"&lt;"&amp;$BM176)+COUNTIFS($BM$9:$BM$508,$BM176,$CF$9:$CF$508,"&lt;"&amp;$CF176)+1))</f>
        <v/>
      </c>
      <c r="CH176" s="100" t="str">
        <f aca="false">IF(ISBLANK($C176),"",IF($BL176&lt;&gt;Constants!$B$4,$BL176,RANK($CD176,$CD$9:$CD$508,1)))</f>
        <v/>
      </c>
      <c r="CI176" s="100" t="str">
        <f aca="false">IF($BL176&lt;&gt;Constants!$B$4,"",$AN176+$AO176+$AP176)</f>
        <v/>
      </c>
      <c r="CJ176" s="100" t="str">
        <f aca="false">IF(ISBLANK($C176),"",IF($BL176&lt;&gt;Constants!$B$4,$BL176,RANK($CI176,$CI$9:$CI$508,1)))</f>
        <v/>
      </c>
      <c r="CK176" s="100" t="str">
        <f aca="false">IF(ISBLANK($C176),"",IF($BL176&lt;&gt;Constants!$B$4,$BL176,COUNTIFS($BM$9:$BM$508,"&lt;"&amp;$BM176)+COUNTIFS($BM$9:$BM$508,$BM176,$CF$9:$CF$508,"&lt;"&amp;$CF176)+COUNTIFS($BM$9:$BM$508,$BM176,$CF$9:$CF$508,$CF176,$CH$9:$CH$508,"&lt;"&amp;$CH176)+COUNTIFS($BM$9:$BM$508,$BM176,$CF$9:$CF$508,$CF176,$CH$9:$CH$508,$CH176,$CJ$9:$CJ$508,"&lt;"&amp;$CJ176)+1))</f>
        <v/>
      </c>
      <c r="CL176" s="100" t="str">
        <f aca="false">IF(ISBLANK($C176),"",IF($BL176&lt;&gt;Constants!$B$4,$BL176,$CG176-$CK176))</f>
        <v/>
      </c>
      <c r="CM176" s="100" t="str">
        <f aca="false">IF(ISBLANK($C176),"",IF(NOT($AL176),"",IF(ISBLANK($D$7),$CM$5,IF(NOT(ISNUMBER($D$7)),$CM$6,""))))</f>
        <v/>
      </c>
      <c r="CN176" s="100" t="str">
        <f aca="false">IF(ISBLANK($C176),"",OR($AN176="",$AO176="",$AP176=""))</f>
        <v/>
      </c>
      <c r="CO176" s="100" t="str">
        <f aca="false">IF(ISBLANK($C176),"",AND($AL176,$BA176=""))</f>
        <v/>
      </c>
      <c r="CP176" s="100" t="str">
        <f aca="false">IF(ISBLANK($C176),"",AND($AL176,$BB176=""))</f>
        <v/>
      </c>
      <c r="CQ176" s="100" t="str">
        <f aca="false">IF(ISBLANK($C176),"",AND($AL176,$BC176=""))</f>
        <v/>
      </c>
      <c r="CR176" s="100" t="str">
        <f aca="false">IF(ISBLANK($C176),"",AND($AL176,$BF176=""))</f>
        <v/>
      </c>
      <c r="CS176" s="100" t="str">
        <f aca="false">IF(ISBLANK($C176),"",AND($AL176,$BJ176=""))</f>
        <v/>
      </c>
      <c r="CT176" s="101"/>
      <c r="CU176" s="102"/>
      <c r="CV176" s="103" t="str">
        <f aca="false">IF(ISBLANK($C176),"",IF($BL176=Constants!$B$8,$CM176,""))</f>
        <v/>
      </c>
      <c r="CW176" s="102" t="str">
        <f aca="false">IF(ISBLANK($C176),"",IF($BL176&lt;&gt;Constants!$B$4,"",$BO176+$BP176))</f>
        <v/>
      </c>
      <c r="CX176" s="104" t="str">
        <f aca="false">IF(ISBLANK($C176),"",IF($BL176&lt;&gt;Constants!$B$4,"",$BQ176+$BR176+$BS176))</f>
        <v/>
      </c>
      <c r="CY176" s="104" t="str">
        <f aca="false">IF(ISBLANK($C176),"",IF($BL176&lt;&gt;Constants!$B$4,"",$BT176))</f>
        <v/>
      </c>
      <c r="CZ176" s="104" t="str">
        <f aca="false">IF(ISBLANK($C176),"",IF($BL176&lt;&gt;Constants!$B$4,"",$BU176+$BV176))</f>
        <v/>
      </c>
      <c r="DA176" s="104" t="str">
        <f aca="false">IF(ISBLANK($C176),"",IF($BL176&lt;&gt;Constants!$B$4,"",$BW176))</f>
        <v/>
      </c>
      <c r="DB176" s="104" t="str">
        <f aca="false">IF(ISBLANK($C176),"",IF($BL176&lt;&gt;Constants!$B$4,"",-$CD176))</f>
        <v/>
      </c>
      <c r="DC176" s="103" t="str">
        <f aca="false">IF(ISBLANK($C176),"",$CE176)</f>
        <v/>
      </c>
      <c r="DD176" s="105" t="str">
        <f aca="false">IF(ISBLANK($C176),"",$BM176)</f>
        <v/>
      </c>
      <c r="DE176" s="104" t="str">
        <f aca="false">IF(ISBLANK($C176),"",$CL176)</f>
        <v/>
      </c>
      <c r="DF176" s="104" t="str">
        <f aca="false">IF(ISBLANK($C176),"",$CK176)</f>
        <v/>
      </c>
      <c r="DG176" s="106" t="str">
        <f aca="false">IF(ISBLANK($C176),"",IF($DF176=Constants!$B$7,COUNTA($C$9:$C$508)+2,IF($DF176=Constants!$B$6,COUNTA($C$9:$C$508)+1,IF($DF176=Constants!$B$5,COUNTA($C$9:$C$508),$DF176))))</f>
        <v/>
      </c>
      <c r="DH176" s="7"/>
      <c r="DI176" s="107" t="n">
        <f aca="false">IF(OR(ISNUMBER($DF176),$DF176=Constants!$B$7,$DF176=Constants!$B$5,$DF176=Constants!$B$6),1,0)</f>
        <v>0</v>
      </c>
      <c r="DJ176" s="107" t="n">
        <v>168</v>
      </c>
      <c r="DK176" s="107" t="str">
        <f aca="false">IF(ISBLANK($C176),"",IF(ISNUMBER($DG176),$DG176+ROW($B176)/1000,""))</f>
        <v/>
      </c>
      <c r="DL176" s="107" t="str">
        <f aca="false">IF(ISNUMBER($DK176),RANK($DK176,$DK$9:$DK$508,1),"")</f>
        <v/>
      </c>
      <c r="DM176" s="107" t="str">
        <f aca="false">IF(ISBLANK($C176),"",$B176)</f>
        <v/>
      </c>
      <c r="DN176" s="107" t="str">
        <f aca="false">IF(ISBLANK($C176),"",$C176)</f>
        <v/>
      </c>
      <c r="DO176" s="107" t="str">
        <f aca="false">IF(ISBLANK($C176),"",$D176)</f>
        <v/>
      </c>
      <c r="DP176" s="108" t="str">
        <f aca="false">$DD176</f>
        <v/>
      </c>
      <c r="DQ176" s="109" t="str">
        <f aca="false">$DC176</f>
        <v/>
      </c>
      <c r="DR176" s="107" t="str">
        <f aca="false">IF(ISBLANK($C176),"",$DF176)</f>
        <v/>
      </c>
      <c r="DS176" s="110" t="str">
        <f aca="false">IF($DJ176&gt;$DI$8,"",VLOOKUP($DJ176,$DL$9:$DR$508,7,FALSE()))</f>
        <v/>
      </c>
      <c r="DT176" s="111" t="str">
        <f aca="false">IF($DJ176&gt;$DI$8,"",VLOOKUP($DJ176,$DL$9:$DR$508,2,FALSE()))</f>
        <v/>
      </c>
      <c r="DU176" s="111" t="str">
        <f aca="false">IF($DJ176&gt;$DI$8,"",VLOOKUP($DJ176,$DL$9:$DR$508,3,FALSE()))</f>
        <v/>
      </c>
      <c r="DV176" s="111" t="str">
        <f aca="false">IF($DJ176&gt;$DI$8,"",VLOOKUP($DJ176,$DL$9:$DR$508,4,FALSE()))</f>
        <v/>
      </c>
      <c r="DW176" s="111" t="str">
        <f aca="false">IF($DJ176&gt;$DI$8,"",VLOOKUP($DJ176,$DL$9:$DR$508,5,FALSE()))</f>
        <v/>
      </c>
      <c r="DX176" s="112" t="str">
        <f aca="false">IF($DJ176&gt;$DI$8,"",VLOOKUP($DJ176,$DL$9:$DR$508,6,FALSE()))</f>
        <v/>
      </c>
      <c r="DY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88"/>
      <c r="N177" s="88"/>
      <c r="O177" s="134"/>
      <c r="P177" s="134"/>
      <c r="Q177" s="88"/>
      <c r="R177" s="88"/>
      <c r="S177" s="88"/>
      <c r="T177" s="88"/>
      <c r="U177" s="134"/>
      <c r="V177" s="88"/>
      <c r="W177" s="70"/>
      <c r="X177" s="88"/>
      <c r="Y177" s="88"/>
      <c r="Z177" s="70"/>
      <c r="AA177" s="70"/>
      <c r="AB177" s="88"/>
      <c r="AC177" s="88"/>
      <c r="AD177" s="88"/>
      <c r="AE177" s="71"/>
      <c r="AF177" s="88"/>
      <c r="AG177" s="73"/>
      <c r="AH177" s="74"/>
      <c r="AI177" s="74"/>
      <c r="AJ177" s="74" t="str">
        <f aca="false">IF(ISBLANK($C177),"",IF($E177=Constants!$B$2,TRUE(),IF($E177=Constants!$B$3,FALSE(),TRUE())))</f>
        <v/>
      </c>
      <c r="AK177" s="74" t="str">
        <f aca="false">IF(ISBLANK($C177),"",IF($F177=Constants!$B$2,TRUE(),IF($F177=Constants!$B$3,FALSE(),FALSE())))</f>
        <v/>
      </c>
      <c r="AL177" s="74" t="str">
        <f aca="false">IF(ISBLANK($C177),"",IF($G177=Constants!$B$2,TRUE(),IF($G177=Constants!$B$3,FALSE(),TRUE())))</f>
        <v/>
      </c>
      <c r="AM177" s="74" t="str">
        <f aca="false">IF(ISBLANK($C177),"",IF($H177=Constants!$B$2,TRUE(),IF($H177=Constants!$B$3,FALSE(),TRUE())))</f>
        <v/>
      </c>
      <c r="AN177" s="74" t="str">
        <f aca="false">IF(ISBLANK($C177),"",IF(ISNUMBER($I177),IF($I177&gt;=0,$I177,""),""))</f>
        <v/>
      </c>
      <c r="AO177" s="74" t="str">
        <f aca="false">IF(ISBLANK($C177),"",IF(ISNUMBER($J177),IF($J177&gt;=0,$J177,""),""))</f>
        <v/>
      </c>
      <c r="AP177" s="74" t="str">
        <f aca="false">IF(ISBLANK($C177),"",IF(ISNUMBER($K177),IF($K177&gt;=0,$K177,""),""))</f>
        <v/>
      </c>
      <c r="AQ177" s="74" t="str">
        <f aca="false">IF(ISBLANK($C177),"",IF($L177=Constants!$B$2,TRUE(),IF($L177=Constants!$B$3,FALSE(),TRUE())))</f>
        <v/>
      </c>
      <c r="AR177" s="74" t="str">
        <f aca="false">IF(ISBLANK($C177),"",IF($M177=Constants!$B$2,TRUE(),IF($M177=Constants!$B$3,FALSE(),TRUE())))</f>
        <v/>
      </c>
      <c r="AS177" s="74" t="str">
        <f aca="false">IF(ISBLANK($C177),"",IF($N177=Constants!$B$2,TRUE(),IF($N177=Constants!$B$3,FALSE(),FALSE())))</f>
        <v/>
      </c>
      <c r="AT177" s="74" t="str">
        <f aca="false">IF(ISBLANK($C177),"",IF($O177=Constants!$B$2,TRUE(),IF($O177=Constants!$B$3,FALSE(),TRUE())))</f>
        <v/>
      </c>
      <c r="AU177" s="74" t="str">
        <f aca="false">IF(ISBLANK($C177),"",IF($P177=Constants!$B$2,TRUE(),IF($P177=Constants!$B$3,FALSE(),TRUE())))</f>
        <v/>
      </c>
      <c r="AV177" s="74" t="str">
        <f aca="false">IF(ISBLANK($C177),"",IF($Q177=Constants!$B$2,TRUE(),IF($Q177=Constants!$B$3,FALSE(),FALSE())))</f>
        <v/>
      </c>
      <c r="AW177" s="74" t="str">
        <f aca="false">IF(ISBLANK($C177),"",IF($R177=Constants!$B$2,TRUE(),IF($R177=Constants!$B$3,FALSE(),FALSE())))</f>
        <v/>
      </c>
      <c r="AX177" s="74" t="str">
        <f aca="false">IF(ISBLANK($C177),"",IF($S177=Constants!$B$2,TRUE(),IF($S177=Constants!$B$3,FALSE(),FALSE())))</f>
        <v/>
      </c>
      <c r="AY177" s="74" t="str">
        <f aca="false">IF(ISBLANK($C177),"",IF($T177=Constants!$B$2,TRUE(),IF($T177=Constants!$B$3,FALSE(),FALSE())))</f>
        <v/>
      </c>
      <c r="AZ177" s="74" t="str">
        <f aca="false">IF(ISBLANK($C177),"",IF($U177=Constants!$B$2,TRUE(),IF($U177=Constants!$B$3,FALSE(),FALSE())))</f>
        <v/>
      </c>
      <c r="BA177" s="74" t="str">
        <f aca="false">IF(ISBLANK($C177),"",IF(OR($V177&amp;""="1",$V177&amp;""="2",$V177&amp;""="3",$V177&amp;""="4"),VALUE($V177&amp;""),IF($V177=Constants!$B$12,Constants!$B$12,"")))</f>
        <v/>
      </c>
      <c r="BB177" s="74" t="str">
        <f aca="false">IF(ISBLANK($C177),"",IF(ISBLANK($W177),0,IF(ISNUMBER($W177),IF(AND($W177&gt;=0,$W177&lt;=Constants!$B$21,$W177=INT($W177)),$W177,""),"")))</f>
        <v/>
      </c>
      <c r="BC177" s="74" t="str">
        <f aca="false">IF(ISBLANK($C177),"",IF(ISBLANK($X177),0,IF(ISNUMBER($X177),IF($X177&gt;=0,$X177,""),"")))</f>
        <v/>
      </c>
      <c r="BD177" s="74" t="str">
        <f aca="false">IF(ISBLANK($C177),"",IF($Y177=Constants!$B$2,TRUE(),IF($Y177=Constants!$B$3,FALSE(),TRUE())))</f>
        <v/>
      </c>
      <c r="BE177" s="74" t="str">
        <f aca="false">IF(ISBLANK($C177),"",IF($Z177=Constants!$B$2,TRUE(),IF($Z177=Constants!$B$3,FALSE(),FALSE())))</f>
        <v/>
      </c>
      <c r="BF177" s="74" t="str">
        <f aca="false">IF(ISBLANK($C177),"",IF(ISBLANK($AA177),0,IF(ISNUMBER($AA177),IF(AND($AA177&gt;=0,$AA177&lt;=Constants!$B$35,$AA177=INT($AA177)),$AA177,""),"")))</f>
        <v/>
      </c>
      <c r="BG177" s="74" t="str">
        <f aca="false">IF(ISBLANK($C177),"",IF($AB177=Constants!$B$2,TRUE(),IF($AB177=Constants!$B$3,FALSE(),TRUE())))</f>
        <v/>
      </c>
      <c r="BH177" s="74" t="str">
        <f aca="false">IF(ISBLANK($C177),"",IF($AC177=Constants!$B$2,TRUE(),IF($AC177=Constants!$B$3,FALSE(),TRUE())))</f>
        <v/>
      </c>
      <c r="BI177" s="74" t="str">
        <f aca="false">IF(ISBLANK($C177),"",IF($AD177=Constants!$B$2,TRUE(),IF($AD177=Constants!$B$3,FALSE(),TRUE())))</f>
        <v/>
      </c>
      <c r="BJ177" s="74" t="str">
        <f aca="false">IF(ISBLANK($C177),"",IF(ISNUMBER($AE177),IF($AE177&gt;=0,$AE177,""),""))</f>
        <v/>
      </c>
      <c r="BK177" s="74" t="str">
        <f aca="false">IF(ISBLANK($C177),"",IF($AF177=Constants!$B$2,TRUE(),IF($AF177=Constants!$B$3,FALSE(),FALSE())))</f>
        <v/>
      </c>
      <c r="BL177" s="73" t="str">
        <f aca="false">IF(ISBLANK($C177),"",IF($BK177,Constants!$B$7,IF(COUNTA($E177:$AE177)=0,Constants!$B$6,IF(OR(COUNTA($G177:$AE177)=0,NOT($AM177),$AS177),Constants!$B$5,IF(OR($CM177&lt;&gt;"",$CN177,$CO177,$CP177,$CQ177,$CR177,$CS177),Constants!$B$8,Constants!$B$4)))))</f>
        <v/>
      </c>
      <c r="BM177" s="74" t="str">
        <f aca="false">IF(ISBLANK($C177),"",IF($BL177&lt;&gt;Constants!$B$4,$BL177,IF(OR(NOT($AJ177),NOT($AL177),NOT($AT177)),Constants!$B$11,IF(OR(NOT($AR177),NOT($AU177),NOT($BI177),MAX($AN177,$AO177,$AP177)&gt;Constants!$B$30),Constants!$B$10,Constants!$B$9))))</f>
        <v/>
      </c>
      <c r="BN177" s="74" t="str">
        <f aca="false">IF($BL177&lt;&gt;Constants!$B$4,"",IF(NOT($AL177),0,MIN(Constants!$B$35,$BF177)))</f>
        <v/>
      </c>
      <c r="BO177" s="74" t="str">
        <f aca="false">IF($BL177&lt;&gt;Constants!$B$4,"",IF(NOT($AL177),0,IF($AW177,Constants!$B$18,IF($AV177,Constants!$B$17,0))))</f>
        <v/>
      </c>
      <c r="BP177" s="74" t="str">
        <f aca="false">IF($BL177&lt;&gt;Constants!$B$4,"",IF(NOT($AL177),0,Constants!$B$19*($AK177+$AX177+$AY177+$AZ177)))</f>
        <v/>
      </c>
      <c r="BQ177" s="74" t="str">
        <f aca="false">IF($BL177&lt;&gt;Constants!$B$4,"",IF(OR(NOT($AL177),NOT(ISNUMBER($BA177))),0,CHOOSE($BA177,Constants!$B$13,Constants!$B$14,Constants!$B$15,Constants!$B$16)))</f>
        <v/>
      </c>
      <c r="BR177" s="74" t="str">
        <f aca="false">IF($BL177&lt;&gt;Constants!$B$4,"",IF(NOT($AL177),0,Constants!$B$20*$BB177))</f>
        <v/>
      </c>
      <c r="BS177" s="74" t="str">
        <f aca="false">IF($BL177&lt;&gt;Constants!$B$4,"",IF(AND($AL177,$BD177,$BE177),Constants!$B$22,0))</f>
        <v/>
      </c>
      <c r="BT177" s="74" t="str">
        <f aca="false">IF($BL177&lt;&gt;Constants!$B$4,"",IF(OR(NOT($AL177),NOT($BD177)),0,IF($BJ177&gt;=2*$AH$9,0,Constants!$B$23*INT(ROUND(MIN($BJ177,$AH$9),6)))))</f>
        <v/>
      </c>
      <c r="BU177" s="74" t="str">
        <f aca="false">IF($BL177&lt;&gt;Constants!$B$4,"",IF(NOT($AL177),0,Constants!$B$24*INT(ROUND(MIN($BC177,$AH$9),6))))</f>
        <v/>
      </c>
      <c r="BV177" s="74" t="str">
        <f aca="false">IF($BL177&lt;&gt;Constants!$B$4,"",IF(AND($AL177,$BN177=0),Constants!$B$25,0))</f>
        <v/>
      </c>
      <c r="BW177" s="74" t="str">
        <f aca="false">IF($BL177&lt;&gt;Constants!$B$4,"",MIN(Constants!$B$29,MAX(0,Constants!$B$27*Constants!$B$28*INT(ROUND((Constants!$B$26-$AN177)/Constants!$B$28,6))))+MIN(Constants!$B$29,MAX(0,Constants!$B$27*Constants!$B$28*INT(ROUND((Constants!$B$26-$AO177)/Constants!$B$28,6))))+MIN(Constants!$B$29,MAX(0,Constants!$B$27*Constants!$B$28*INT(ROUND((Constants!$B$26-$AP177)/Constants!$B$28,6)))))</f>
        <v/>
      </c>
      <c r="BX177" s="74" t="str">
        <f aca="false">IF($BL177&lt;&gt;Constants!$B$4,"",IF(NOT($AL177),0,Constants!$B$31*INT(ROUND(MAX(0,MIN($BJ177,2*$AH$9)-$AH$9),6))))</f>
        <v/>
      </c>
      <c r="BY177" s="74" t="str">
        <f aca="false">IF($BL177&lt;&gt;Constants!$B$4,"",Constants!$B$32*(($AN177&gt;Constants!$B$26)+($AO177&gt;Constants!$B$26)+($AP177&gt;Constants!$B$26)))</f>
        <v/>
      </c>
      <c r="BZ177" s="74" t="str">
        <f aca="false">IF($BL177&lt;&gt;Constants!$B$4,"",IF(OR(NOT($AL177),$AQ177),0,Constants!$B$33))</f>
        <v/>
      </c>
      <c r="CA177" s="74" t="str">
        <f aca="false">IF($BL177&lt;&gt;Constants!$B$4,"",Constants!$B$34*$BN177)</f>
        <v/>
      </c>
      <c r="CB177" s="74" t="str">
        <f aca="false">IF($BL177&lt;&gt;Constants!$B$4,"",IF(OR(NOT($AL177),$BH177),0,Constants!$B$36))</f>
        <v/>
      </c>
      <c r="CC177" s="74" t="str">
        <f aca="false">IF($BL177&lt;&gt;Constants!$B$4,"",IF(OR(NOT($AL177),$BG177),0,Constants!$B$37))</f>
        <v/>
      </c>
      <c r="CD177" s="74" t="str">
        <f aca="false">IF($BL177&lt;&gt;Constants!$B$4,"",SUM($BX177:$CC177))</f>
        <v/>
      </c>
      <c r="CE177" s="74" t="str">
        <f aca="false">IF(ISBLANK($C177),"",IF($BL177&lt;&gt;Constants!$B$4,$BL177,SUM($BO177:$BW177)-$CD177))</f>
        <v/>
      </c>
      <c r="CF177" s="74" t="str">
        <f aca="false">IF(ISBLANK($C177),"",IF($BL177&lt;&gt;Constants!$B$4,$BL177,RANK($CE177,$CE$9:$CE$508)))</f>
        <v/>
      </c>
      <c r="CG177" s="74" t="str">
        <f aca="false">IF(ISBLANK($C177),"",IF($BL177&lt;&gt;Constants!$B$4,$BL177,COUNTIFS($BM$9:$BM$508,"&lt;"&amp;$BM177)+COUNTIFS($BM$9:$BM$508,$BM177,$CF$9:$CF$508,"&lt;"&amp;$CF177)+1))</f>
        <v/>
      </c>
      <c r="CH177" s="74" t="str">
        <f aca="false">IF(ISBLANK($C177),"",IF($BL177&lt;&gt;Constants!$B$4,$BL177,RANK($CD177,$CD$9:$CD$508,1)))</f>
        <v/>
      </c>
      <c r="CI177" s="74" t="str">
        <f aca="false">IF($BL177&lt;&gt;Constants!$B$4,"",$AN177+$AO177+$AP177)</f>
        <v/>
      </c>
      <c r="CJ177" s="74" t="str">
        <f aca="false">IF(ISBLANK($C177),"",IF($BL177&lt;&gt;Constants!$B$4,$BL177,RANK($CI177,$CI$9:$CI$508,1)))</f>
        <v/>
      </c>
      <c r="CK177" s="74" t="str">
        <f aca="false">IF(ISBLANK($C177),"",IF($BL177&lt;&gt;Constants!$B$4,$BL177,COUNTIFS($BM$9:$BM$508,"&lt;"&amp;$BM177)+COUNTIFS($BM$9:$BM$508,$BM177,$CF$9:$CF$508,"&lt;"&amp;$CF177)+COUNTIFS($BM$9:$BM$508,$BM177,$CF$9:$CF$508,$CF177,$CH$9:$CH$508,"&lt;"&amp;$CH177)+COUNTIFS($BM$9:$BM$508,$BM177,$CF$9:$CF$508,$CF177,$CH$9:$CH$508,$CH177,$CJ$9:$CJ$508,"&lt;"&amp;$CJ177)+1))</f>
        <v/>
      </c>
      <c r="CL177" s="74" t="str">
        <f aca="false">IF(ISBLANK($C177),"",IF($BL177&lt;&gt;Constants!$B$4,$BL177,$CG177-$CK177))</f>
        <v/>
      </c>
      <c r="CM177" s="74" t="str">
        <f aca="false">IF(ISBLANK($C177),"",IF(NOT($AL177),"",IF(ISBLANK($D$7),$CM$5,IF(NOT(ISNUMBER($D$7)),$CM$6,""))))</f>
        <v/>
      </c>
      <c r="CN177" s="74" t="str">
        <f aca="false">IF(ISBLANK($C177),"",OR($AN177="",$AO177="",$AP177=""))</f>
        <v/>
      </c>
      <c r="CO177" s="74" t="str">
        <f aca="false">IF(ISBLANK($C177),"",AND($AL177,$BA177=""))</f>
        <v/>
      </c>
      <c r="CP177" s="74" t="str">
        <f aca="false">IF(ISBLANK($C177),"",AND($AL177,$BB177=""))</f>
        <v/>
      </c>
      <c r="CQ177" s="74" t="str">
        <f aca="false">IF(ISBLANK($C177),"",AND($AL177,$BC177=""))</f>
        <v/>
      </c>
      <c r="CR177" s="74" t="str">
        <f aca="false">IF(ISBLANK($C177),"",AND($AL177,$BF177=""))</f>
        <v/>
      </c>
      <c r="CS177" s="74" t="str">
        <f aca="false">IF(ISBLANK($C177),"",AND($AL177,$BJ177=""))</f>
        <v/>
      </c>
      <c r="CT177" s="75"/>
      <c r="CU177" s="76"/>
      <c r="CV177" s="79" t="str">
        <f aca="false">IF(ISBLANK($C177),"",IF($BL177=Constants!$B$8,$CM177,""))</f>
        <v/>
      </c>
      <c r="CW177" s="76" t="str">
        <f aca="false">IF(ISBLANK($C177),"",IF($BL177&lt;&gt;Constants!$B$4,"",$BO177+$BP177))</f>
        <v/>
      </c>
      <c r="CX177" s="78" t="str">
        <f aca="false">IF(ISBLANK($C177),"",IF($BL177&lt;&gt;Constants!$B$4,"",$BQ177+$BR177+$BS177))</f>
        <v/>
      </c>
      <c r="CY177" s="78" t="str">
        <f aca="false">IF(ISBLANK($C177),"",IF($BL177&lt;&gt;Constants!$B$4,"",$BT177))</f>
        <v/>
      </c>
      <c r="CZ177" s="78" t="str">
        <f aca="false">IF(ISBLANK($C177),"",IF($BL177&lt;&gt;Constants!$B$4,"",$BU177+$BV177))</f>
        <v/>
      </c>
      <c r="DA177" s="78" t="str">
        <f aca="false">IF(ISBLANK($C177),"",IF($BL177&lt;&gt;Constants!$B$4,"",$BW177))</f>
        <v/>
      </c>
      <c r="DB177" s="78" t="str">
        <f aca="false">IF(ISBLANK($C177),"",IF($BL177&lt;&gt;Constants!$B$4,"",-$CD177))</f>
        <v/>
      </c>
      <c r="DC177" s="79" t="str">
        <f aca="false">IF(ISBLANK($C177),"",$CE177)</f>
        <v/>
      </c>
      <c r="DD177" s="80" t="str">
        <f aca="false">IF(ISBLANK($C177),"",$BM177)</f>
        <v/>
      </c>
      <c r="DE177" s="78" t="str">
        <f aca="false">IF(ISBLANK($C177),"",$CL177)</f>
        <v/>
      </c>
      <c r="DF177" s="78" t="str">
        <f aca="false">IF(ISBLANK($C177),"",$CK177)</f>
        <v/>
      </c>
      <c r="DG177" s="81" t="str">
        <f aca="false">IF(ISBLANK($C177),"",IF($DF177=Constants!$B$7,COUNTA($C$9:$C$508)+2,IF($DF177=Constants!$B$6,COUNTA($C$9:$C$508)+1,IF($DF177=Constants!$B$5,COUNTA($C$9:$C$508),$DF177))))</f>
        <v/>
      </c>
      <c r="DH177" s="7"/>
      <c r="DI177" s="82" t="n">
        <f aca="false">IF(OR(ISNUMBER($DF177),$DF177=Constants!$B$7,$DF177=Constants!$B$5,$DF177=Constants!$B$6),1,0)</f>
        <v>0</v>
      </c>
      <c r="DJ177" s="82" t="n">
        <v>169</v>
      </c>
      <c r="DK177" s="82" t="str">
        <f aca="false">IF(ISBLANK($C177),"",IF(ISNUMBER($DG177),$DG177+ROW($B177)/1000,""))</f>
        <v/>
      </c>
      <c r="DL177" s="82" t="str">
        <f aca="false">IF(ISNUMBER($DK177),RANK($DK177,$DK$9:$DK$508,1),"")</f>
        <v/>
      </c>
      <c r="DM177" s="82" t="str">
        <f aca="false">IF(ISBLANK($C177),"",$B177)</f>
        <v/>
      </c>
      <c r="DN177" s="82" t="str">
        <f aca="false">IF(ISBLANK($C177),"",$C177)</f>
        <v/>
      </c>
      <c r="DO177" s="82" t="str">
        <f aca="false">IF(ISBLANK($C177),"",$D177)</f>
        <v/>
      </c>
      <c r="DP177" s="83" t="str">
        <f aca="false">$DD177</f>
        <v/>
      </c>
      <c r="DQ177" s="84" t="str">
        <f aca="false">$DC177</f>
        <v/>
      </c>
      <c r="DR177" s="82" t="str">
        <f aca="false">IF(ISBLANK($C177),"",$DF177)</f>
        <v/>
      </c>
      <c r="DS177" s="85" t="str">
        <f aca="false">IF($DJ177&gt;$DI$8,"",VLOOKUP($DJ177,$DL$9:$DR$508,7,FALSE()))</f>
        <v/>
      </c>
      <c r="DT177" s="86" t="str">
        <f aca="false">IF($DJ177&gt;$DI$8,"",VLOOKUP($DJ177,$DL$9:$DR$508,2,FALSE()))</f>
        <v/>
      </c>
      <c r="DU177" s="86" t="str">
        <f aca="false">IF($DJ177&gt;$DI$8,"",VLOOKUP($DJ177,$DL$9:$DR$508,3,FALSE()))</f>
        <v/>
      </c>
      <c r="DV177" s="86" t="str">
        <f aca="false">IF($DJ177&gt;$DI$8,"",VLOOKUP($DJ177,$DL$9:$DR$508,4,FALSE()))</f>
        <v/>
      </c>
      <c r="DW177" s="86" t="str">
        <f aca="false">IF($DJ177&gt;$DI$8,"",VLOOKUP($DJ177,$DL$9:$DR$508,5,FALSE()))</f>
        <v/>
      </c>
      <c r="DX177" s="87" t="str">
        <f aca="false">IF($DJ177&gt;$DI$8,"",VLOOKUP($DJ177,$DL$9:$DR$508,6,FALSE()))</f>
        <v/>
      </c>
      <c r="DY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88"/>
      <c r="N178" s="88"/>
      <c r="O178" s="134"/>
      <c r="P178" s="134"/>
      <c r="Q178" s="88"/>
      <c r="R178" s="88"/>
      <c r="S178" s="88"/>
      <c r="T178" s="88"/>
      <c r="U178" s="134"/>
      <c r="V178" s="88"/>
      <c r="W178" s="70"/>
      <c r="X178" s="88"/>
      <c r="Y178" s="88"/>
      <c r="Z178" s="70"/>
      <c r="AA178" s="70"/>
      <c r="AB178" s="88"/>
      <c r="AC178" s="88"/>
      <c r="AD178" s="88"/>
      <c r="AE178" s="71"/>
      <c r="AF178" s="88"/>
      <c r="AG178" s="73"/>
      <c r="AH178" s="74"/>
      <c r="AI178" s="74"/>
      <c r="AJ178" s="74" t="str">
        <f aca="false">IF(ISBLANK($C178),"",IF($E178=Constants!$B$2,TRUE(),IF($E178=Constants!$B$3,FALSE(),TRUE())))</f>
        <v/>
      </c>
      <c r="AK178" s="74" t="str">
        <f aca="false">IF(ISBLANK($C178),"",IF($F178=Constants!$B$2,TRUE(),IF($F178=Constants!$B$3,FALSE(),FALSE())))</f>
        <v/>
      </c>
      <c r="AL178" s="74" t="str">
        <f aca="false">IF(ISBLANK($C178),"",IF($G178=Constants!$B$2,TRUE(),IF($G178=Constants!$B$3,FALSE(),TRUE())))</f>
        <v/>
      </c>
      <c r="AM178" s="74" t="str">
        <f aca="false">IF(ISBLANK($C178),"",IF($H178=Constants!$B$2,TRUE(),IF($H178=Constants!$B$3,FALSE(),TRUE())))</f>
        <v/>
      </c>
      <c r="AN178" s="74" t="str">
        <f aca="false">IF(ISBLANK($C178),"",IF(ISNUMBER($I178),IF($I178&gt;=0,$I178,""),""))</f>
        <v/>
      </c>
      <c r="AO178" s="74" t="str">
        <f aca="false">IF(ISBLANK($C178),"",IF(ISNUMBER($J178),IF($J178&gt;=0,$J178,""),""))</f>
        <v/>
      </c>
      <c r="AP178" s="74" t="str">
        <f aca="false">IF(ISBLANK($C178),"",IF(ISNUMBER($K178),IF($K178&gt;=0,$K178,""),""))</f>
        <v/>
      </c>
      <c r="AQ178" s="74" t="str">
        <f aca="false">IF(ISBLANK($C178),"",IF($L178=Constants!$B$2,TRUE(),IF($L178=Constants!$B$3,FALSE(),TRUE())))</f>
        <v/>
      </c>
      <c r="AR178" s="74" t="str">
        <f aca="false">IF(ISBLANK($C178),"",IF($M178=Constants!$B$2,TRUE(),IF($M178=Constants!$B$3,FALSE(),TRUE())))</f>
        <v/>
      </c>
      <c r="AS178" s="74" t="str">
        <f aca="false">IF(ISBLANK($C178),"",IF($N178=Constants!$B$2,TRUE(),IF($N178=Constants!$B$3,FALSE(),FALSE())))</f>
        <v/>
      </c>
      <c r="AT178" s="74" t="str">
        <f aca="false">IF(ISBLANK($C178),"",IF($O178=Constants!$B$2,TRUE(),IF($O178=Constants!$B$3,FALSE(),TRUE())))</f>
        <v/>
      </c>
      <c r="AU178" s="74" t="str">
        <f aca="false">IF(ISBLANK($C178),"",IF($P178=Constants!$B$2,TRUE(),IF($P178=Constants!$B$3,FALSE(),TRUE())))</f>
        <v/>
      </c>
      <c r="AV178" s="74" t="str">
        <f aca="false">IF(ISBLANK($C178),"",IF($Q178=Constants!$B$2,TRUE(),IF($Q178=Constants!$B$3,FALSE(),FALSE())))</f>
        <v/>
      </c>
      <c r="AW178" s="74" t="str">
        <f aca="false">IF(ISBLANK($C178),"",IF($R178=Constants!$B$2,TRUE(),IF($R178=Constants!$B$3,FALSE(),FALSE())))</f>
        <v/>
      </c>
      <c r="AX178" s="74" t="str">
        <f aca="false">IF(ISBLANK($C178),"",IF($S178=Constants!$B$2,TRUE(),IF($S178=Constants!$B$3,FALSE(),FALSE())))</f>
        <v/>
      </c>
      <c r="AY178" s="74" t="str">
        <f aca="false">IF(ISBLANK($C178),"",IF($T178=Constants!$B$2,TRUE(),IF($T178=Constants!$B$3,FALSE(),FALSE())))</f>
        <v/>
      </c>
      <c r="AZ178" s="74" t="str">
        <f aca="false">IF(ISBLANK($C178),"",IF($U178=Constants!$B$2,TRUE(),IF($U178=Constants!$B$3,FALSE(),FALSE())))</f>
        <v/>
      </c>
      <c r="BA178" s="74" t="str">
        <f aca="false">IF(ISBLANK($C178),"",IF(OR($V178&amp;""="1",$V178&amp;""="2",$V178&amp;""="3",$V178&amp;""="4"),VALUE($V178&amp;""),IF($V178=Constants!$B$12,Constants!$B$12,"")))</f>
        <v/>
      </c>
      <c r="BB178" s="74" t="str">
        <f aca="false">IF(ISBLANK($C178),"",IF(ISBLANK($W178),0,IF(ISNUMBER($W178),IF(AND($W178&gt;=0,$W178&lt;=Constants!$B$21,$W178=INT($W178)),$W178,""),"")))</f>
        <v/>
      </c>
      <c r="BC178" s="74" t="str">
        <f aca="false">IF(ISBLANK($C178),"",IF(ISBLANK($X178),0,IF(ISNUMBER($X178),IF($X178&gt;=0,$X178,""),"")))</f>
        <v/>
      </c>
      <c r="BD178" s="74" t="str">
        <f aca="false">IF(ISBLANK($C178),"",IF($Y178=Constants!$B$2,TRUE(),IF($Y178=Constants!$B$3,FALSE(),TRUE())))</f>
        <v/>
      </c>
      <c r="BE178" s="74" t="str">
        <f aca="false">IF(ISBLANK($C178),"",IF($Z178=Constants!$B$2,TRUE(),IF($Z178=Constants!$B$3,FALSE(),FALSE())))</f>
        <v/>
      </c>
      <c r="BF178" s="74" t="str">
        <f aca="false">IF(ISBLANK($C178),"",IF(ISBLANK($AA178),0,IF(ISNUMBER($AA178),IF(AND($AA178&gt;=0,$AA178&lt;=Constants!$B$35,$AA178=INT($AA178)),$AA178,""),"")))</f>
        <v/>
      </c>
      <c r="BG178" s="74" t="str">
        <f aca="false">IF(ISBLANK($C178),"",IF($AB178=Constants!$B$2,TRUE(),IF($AB178=Constants!$B$3,FALSE(),TRUE())))</f>
        <v/>
      </c>
      <c r="BH178" s="74" t="str">
        <f aca="false">IF(ISBLANK($C178),"",IF($AC178=Constants!$B$2,TRUE(),IF($AC178=Constants!$B$3,FALSE(),TRUE())))</f>
        <v/>
      </c>
      <c r="BI178" s="74" t="str">
        <f aca="false">IF(ISBLANK($C178),"",IF($AD178=Constants!$B$2,TRUE(),IF($AD178=Constants!$B$3,FALSE(),TRUE())))</f>
        <v/>
      </c>
      <c r="BJ178" s="74" t="str">
        <f aca="false">IF(ISBLANK($C178),"",IF(ISNUMBER($AE178),IF($AE178&gt;=0,$AE178,""),""))</f>
        <v/>
      </c>
      <c r="BK178" s="74" t="str">
        <f aca="false">IF(ISBLANK($C178),"",IF($AF178=Constants!$B$2,TRUE(),IF($AF178=Constants!$B$3,FALSE(),FALSE())))</f>
        <v/>
      </c>
      <c r="BL178" s="73" t="str">
        <f aca="false">IF(ISBLANK($C178),"",IF($BK178,Constants!$B$7,IF(COUNTA($E178:$AE178)=0,Constants!$B$6,IF(OR(COUNTA($G178:$AE178)=0,NOT($AM178),$AS178),Constants!$B$5,IF(OR($CM178&lt;&gt;"",$CN178,$CO178,$CP178,$CQ178,$CR178,$CS178),Constants!$B$8,Constants!$B$4)))))</f>
        <v/>
      </c>
      <c r="BM178" s="74" t="str">
        <f aca="false">IF(ISBLANK($C178),"",IF($BL178&lt;&gt;Constants!$B$4,$BL178,IF(OR(NOT($AJ178),NOT($AL178),NOT($AT178)),Constants!$B$11,IF(OR(NOT($AR178),NOT($AU178),NOT($BI178),MAX($AN178,$AO178,$AP178)&gt;Constants!$B$30),Constants!$B$10,Constants!$B$9))))</f>
        <v/>
      </c>
      <c r="BN178" s="74" t="str">
        <f aca="false">IF($BL178&lt;&gt;Constants!$B$4,"",IF(NOT($AL178),0,MIN(Constants!$B$35,$BF178)))</f>
        <v/>
      </c>
      <c r="BO178" s="74" t="str">
        <f aca="false">IF($BL178&lt;&gt;Constants!$B$4,"",IF(NOT($AL178),0,IF($AW178,Constants!$B$18,IF($AV178,Constants!$B$17,0))))</f>
        <v/>
      </c>
      <c r="BP178" s="74" t="str">
        <f aca="false">IF($BL178&lt;&gt;Constants!$B$4,"",IF(NOT($AL178),0,Constants!$B$19*($AK178+$AX178+$AY178+$AZ178)))</f>
        <v/>
      </c>
      <c r="BQ178" s="74" t="str">
        <f aca="false">IF($BL178&lt;&gt;Constants!$B$4,"",IF(OR(NOT($AL178),NOT(ISNUMBER($BA178))),0,CHOOSE($BA178,Constants!$B$13,Constants!$B$14,Constants!$B$15,Constants!$B$16)))</f>
        <v/>
      </c>
      <c r="BR178" s="74" t="str">
        <f aca="false">IF($BL178&lt;&gt;Constants!$B$4,"",IF(NOT($AL178),0,Constants!$B$20*$BB178))</f>
        <v/>
      </c>
      <c r="BS178" s="74" t="str">
        <f aca="false">IF($BL178&lt;&gt;Constants!$B$4,"",IF(AND($AL178,$BD178,$BE178),Constants!$B$22,0))</f>
        <v/>
      </c>
      <c r="BT178" s="74" t="str">
        <f aca="false">IF($BL178&lt;&gt;Constants!$B$4,"",IF(OR(NOT($AL178),NOT($BD178)),0,IF($BJ178&gt;=2*$AH$9,0,Constants!$B$23*INT(ROUND(MIN($BJ178,$AH$9),6)))))</f>
        <v/>
      </c>
      <c r="BU178" s="74" t="str">
        <f aca="false">IF($BL178&lt;&gt;Constants!$B$4,"",IF(NOT($AL178),0,Constants!$B$24*INT(ROUND(MIN($BC178,$AH$9),6))))</f>
        <v/>
      </c>
      <c r="BV178" s="74" t="str">
        <f aca="false">IF($BL178&lt;&gt;Constants!$B$4,"",IF(AND($AL178,$BN178=0),Constants!$B$25,0))</f>
        <v/>
      </c>
      <c r="BW178" s="74" t="str">
        <f aca="false">IF($BL178&lt;&gt;Constants!$B$4,"",MIN(Constants!$B$29,MAX(0,Constants!$B$27*Constants!$B$28*INT(ROUND((Constants!$B$26-$AN178)/Constants!$B$28,6))))+MIN(Constants!$B$29,MAX(0,Constants!$B$27*Constants!$B$28*INT(ROUND((Constants!$B$26-$AO178)/Constants!$B$28,6))))+MIN(Constants!$B$29,MAX(0,Constants!$B$27*Constants!$B$28*INT(ROUND((Constants!$B$26-$AP178)/Constants!$B$28,6)))))</f>
        <v/>
      </c>
      <c r="BX178" s="74" t="str">
        <f aca="false">IF($BL178&lt;&gt;Constants!$B$4,"",IF(NOT($AL178),0,Constants!$B$31*INT(ROUND(MAX(0,MIN($BJ178,2*$AH$9)-$AH$9),6))))</f>
        <v/>
      </c>
      <c r="BY178" s="74" t="str">
        <f aca="false">IF($BL178&lt;&gt;Constants!$B$4,"",Constants!$B$32*(($AN178&gt;Constants!$B$26)+($AO178&gt;Constants!$B$26)+($AP178&gt;Constants!$B$26)))</f>
        <v/>
      </c>
      <c r="BZ178" s="74" t="str">
        <f aca="false">IF($BL178&lt;&gt;Constants!$B$4,"",IF(OR(NOT($AL178),$AQ178),0,Constants!$B$33))</f>
        <v/>
      </c>
      <c r="CA178" s="74" t="str">
        <f aca="false">IF($BL178&lt;&gt;Constants!$B$4,"",Constants!$B$34*$BN178)</f>
        <v/>
      </c>
      <c r="CB178" s="74" t="str">
        <f aca="false">IF($BL178&lt;&gt;Constants!$B$4,"",IF(OR(NOT($AL178),$BH178),0,Constants!$B$36))</f>
        <v/>
      </c>
      <c r="CC178" s="74" t="str">
        <f aca="false">IF($BL178&lt;&gt;Constants!$B$4,"",IF(OR(NOT($AL178),$BG178),0,Constants!$B$37))</f>
        <v/>
      </c>
      <c r="CD178" s="74" t="str">
        <f aca="false">IF($BL178&lt;&gt;Constants!$B$4,"",SUM($BX178:$CC178))</f>
        <v/>
      </c>
      <c r="CE178" s="74" t="str">
        <f aca="false">IF(ISBLANK($C178),"",IF($BL178&lt;&gt;Constants!$B$4,$BL178,SUM($BO178:$BW178)-$CD178))</f>
        <v/>
      </c>
      <c r="CF178" s="74" t="str">
        <f aca="false">IF(ISBLANK($C178),"",IF($BL178&lt;&gt;Constants!$B$4,$BL178,RANK($CE178,$CE$9:$CE$508)))</f>
        <v/>
      </c>
      <c r="CG178" s="74" t="str">
        <f aca="false">IF(ISBLANK($C178),"",IF($BL178&lt;&gt;Constants!$B$4,$BL178,COUNTIFS($BM$9:$BM$508,"&lt;"&amp;$BM178)+COUNTIFS($BM$9:$BM$508,$BM178,$CF$9:$CF$508,"&lt;"&amp;$CF178)+1))</f>
        <v/>
      </c>
      <c r="CH178" s="74" t="str">
        <f aca="false">IF(ISBLANK($C178),"",IF($BL178&lt;&gt;Constants!$B$4,$BL178,RANK($CD178,$CD$9:$CD$508,1)))</f>
        <v/>
      </c>
      <c r="CI178" s="74" t="str">
        <f aca="false">IF($BL178&lt;&gt;Constants!$B$4,"",$AN178+$AO178+$AP178)</f>
        <v/>
      </c>
      <c r="CJ178" s="74" t="str">
        <f aca="false">IF(ISBLANK($C178),"",IF($BL178&lt;&gt;Constants!$B$4,$BL178,RANK($CI178,$CI$9:$CI$508,1)))</f>
        <v/>
      </c>
      <c r="CK178" s="74" t="str">
        <f aca="false">IF(ISBLANK($C178),"",IF($BL178&lt;&gt;Constants!$B$4,$BL178,COUNTIFS($BM$9:$BM$508,"&lt;"&amp;$BM178)+COUNTIFS($BM$9:$BM$508,$BM178,$CF$9:$CF$508,"&lt;"&amp;$CF178)+COUNTIFS($BM$9:$BM$508,$BM178,$CF$9:$CF$508,$CF178,$CH$9:$CH$508,"&lt;"&amp;$CH178)+COUNTIFS($BM$9:$BM$508,$BM178,$CF$9:$CF$508,$CF178,$CH$9:$CH$508,$CH178,$CJ$9:$CJ$508,"&lt;"&amp;$CJ178)+1))</f>
        <v/>
      </c>
      <c r="CL178" s="74" t="str">
        <f aca="false">IF(ISBLANK($C178),"",IF($BL178&lt;&gt;Constants!$B$4,$BL178,$CG178-$CK178))</f>
        <v/>
      </c>
      <c r="CM178" s="74" t="str">
        <f aca="false">IF(ISBLANK($C178),"",IF(NOT($AL178),"",IF(ISBLANK($D$7),$CM$5,IF(NOT(ISNUMBER($D$7)),$CM$6,""))))</f>
        <v/>
      </c>
      <c r="CN178" s="74" t="str">
        <f aca="false">IF(ISBLANK($C178),"",OR($AN178="",$AO178="",$AP178=""))</f>
        <v/>
      </c>
      <c r="CO178" s="74" t="str">
        <f aca="false">IF(ISBLANK($C178),"",AND($AL178,$BA178=""))</f>
        <v/>
      </c>
      <c r="CP178" s="74" t="str">
        <f aca="false">IF(ISBLANK($C178),"",AND($AL178,$BB178=""))</f>
        <v/>
      </c>
      <c r="CQ178" s="74" t="str">
        <f aca="false">IF(ISBLANK($C178),"",AND($AL178,$BC178=""))</f>
        <v/>
      </c>
      <c r="CR178" s="74" t="str">
        <f aca="false">IF(ISBLANK($C178),"",AND($AL178,$BF178=""))</f>
        <v/>
      </c>
      <c r="CS178" s="74" t="str">
        <f aca="false">IF(ISBLANK($C178),"",AND($AL178,$BJ178=""))</f>
        <v/>
      </c>
      <c r="CT178" s="75"/>
      <c r="CU178" s="76"/>
      <c r="CV178" s="79" t="str">
        <f aca="false">IF(ISBLANK($C178),"",IF($BL178=Constants!$B$8,$CM178,""))</f>
        <v/>
      </c>
      <c r="CW178" s="76" t="str">
        <f aca="false">IF(ISBLANK($C178),"",IF($BL178&lt;&gt;Constants!$B$4,"",$BO178+$BP178))</f>
        <v/>
      </c>
      <c r="CX178" s="78" t="str">
        <f aca="false">IF(ISBLANK($C178),"",IF($BL178&lt;&gt;Constants!$B$4,"",$BQ178+$BR178+$BS178))</f>
        <v/>
      </c>
      <c r="CY178" s="78" t="str">
        <f aca="false">IF(ISBLANK($C178),"",IF($BL178&lt;&gt;Constants!$B$4,"",$BT178))</f>
        <v/>
      </c>
      <c r="CZ178" s="78" t="str">
        <f aca="false">IF(ISBLANK($C178),"",IF($BL178&lt;&gt;Constants!$B$4,"",$BU178+$BV178))</f>
        <v/>
      </c>
      <c r="DA178" s="78" t="str">
        <f aca="false">IF(ISBLANK($C178),"",IF($BL178&lt;&gt;Constants!$B$4,"",$BW178))</f>
        <v/>
      </c>
      <c r="DB178" s="78" t="str">
        <f aca="false">IF(ISBLANK($C178),"",IF($BL178&lt;&gt;Constants!$B$4,"",-$CD178))</f>
        <v/>
      </c>
      <c r="DC178" s="79" t="str">
        <f aca="false">IF(ISBLANK($C178),"",$CE178)</f>
        <v/>
      </c>
      <c r="DD178" s="80" t="str">
        <f aca="false">IF(ISBLANK($C178),"",$BM178)</f>
        <v/>
      </c>
      <c r="DE178" s="78" t="str">
        <f aca="false">IF(ISBLANK($C178),"",$CL178)</f>
        <v/>
      </c>
      <c r="DF178" s="78" t="str">
        <f aca="false">IF(ISBLANK($C178),"",$CK178)</f>
        <v/>
      </c>
      <c r="DG178" s="81" t="str">
        <f aca="false">IF(ISBLANK($C178),"",IF($DF178=Constants!$B$7,COUNTA($C$9:$C$508)+2,IF($DF178=Constants!$B$6,COUNTA($C$9:$C$508)+1,IF($DF178=Constants!$B$5,COUNTA($C$9:$C$508),$DF178))))</f>
        <v/>
      </c>
      <c r="DH178" s="7"/>
      <c r="DI178" s="82" t="n">
        <f aca="false">IF(OR(ISNUMBER($DF178),$DF178=Constants!$B$7,$DF178=Constants!$B$5,$DF178=Constants!$B$6),1,0)</f>
        <v>0</v>
      </c>
      <c r="DJ178" s="82" t="n">
        <v>170</v>
      </c>
      <c r="DK178" s="82" t="str">
        <f aca="false">IF(ISBLANK($C178),"",IF(ISNUMBER($DG178),$DG178+ROW($B178)/1000,""))</f>
        <v/>
      </c>
      <c r="DL178" s="82" t="str">
        <f aca="false">IF(ISNUMBER($DK178),RANK($DK178,$DK$9:$DK$508,1),"")</f>
        <v/>
      </c>
      <c r="DM178" s="82" t="str">
        <f aca="false">IF(ISBLANK($C178),"",$B178)</f>
        <v/>
      </c>
      <c r="DN178" s="82" t="str">
        <f aca="false">IF(ISBLANK($C178),"",$C178)</f>
        <v/>
      </c>
      <c r="DO178" s="82" t="str">
        <f aca="false">IF(ISBLANK($C178),"",$D178)</f>
        <v/>
      </c>
      <c r="DP178" s="83" t="str">
        <f aca="false">$DD178</f>
        <v/>
      </c>
      <c r="DQ178" s="84" t="str">
        <f aca="false">$DC178</f>
        <v/>
      </c>
      <c r="DR178" s="82" t="str">
        <f aca="false">IF(ISBLANK($C178),"",$DF178)</f>
        <v/>
      </c>
      <c r="DS178" s="85" t="str">
        <f aca="false">IF($DJ178&gt;$DI$8,"",VLOOKUP($DJ178,$DL$9:$DR$508,7,FALSE()))</f>
        <v/>
      </c>
      <c r="DT178" s="86" t="str">
        <f aca="false">IF($DJ178&gt;$DI$8,"",VLOOKUP($DJ178,$DL$9:$DR$508,2,FALSE()))</f>
        <v/>
      </c>
      <c r="DU178" s="86" t="str">
        <f aca="false">IF($DJ178&gt;$DI$8,"",VLOOKUP($DJ178,$DL$9:$DR$508,3,FALSE()))</f>
        <v/>
      </c>
      <c r="DV178" s="86" t="str">
        <f aca="false">IF($DJ178&gt;$DI$8,"",VLOOKUP($DJ178,$DL$9:$DR$508,4,FALSE()))</f>
        <v/>
      </c>
      <c r="DW178" s="86" t="str">
        <f aca="false">IF($DJ178&gt;$DI$8,"",VLOOKUP($DJ178,$DL$9:$DR$508,5,FALSE()))</f>
        <v/>
      </c>
      <c r="DX178" s="87" t="str">
        <f aca="false">IF($DJ178&gt;$DI$8,"",VLOOKUP($DJ178,$DL$9:$DR$508,6,FALSE()))</f>
        <v/>
      </c>
      <c r="DY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88"/>
      <c r="N179" s="88"/>
      <c r="O179" s="134"/>
      <c r="P179" s="134"/>
      <c r="Q179" s="88"/>
      <c r="R179" s="88"/>
      <c r="S179" s="88"/>
      <c r="T179" s="88"/>
      <c r="U179" s="134"/>
      <c r="V179" s="88"/>
      <c r="W179" s="70"/>
      <c r="X179" s="88"/>
      <c r="Y179" s="88"/>
      <c r="Z179" s="70"/>
      <c r="AA179" s="70"/>
      <c r="AB179" s="88"/>
      <c r="AC179" s="88"/>
      <c r="AD179" s="88"/>
      <c r="AE179" s="71"/>
      <c r="AF179" s="88"/>
      <c r="AG179" s="73"/>
      <c r="AH179" s="74"/>
      <c r="AI179" s="74"/>
      <c r="AJ179" s="74" t="str">
        <f aca="false">IF(ISBLANK($C179),"",IF($E179=Constants!$B$2,TRUE(),IF($E179=Constants!$B$3,FALSE(),TRUE())))</f>
        <v/>
      </c>
      <c r="AK179" s="74" t="str">
        <f aca="false">IF(ISBLANK($C179),"",IF($F179=Constants!$B$2,TRUE(),IF($F179=Constants!$B$3,FALSE(),FALSE())))</f>
        <v/>
      </c>
      <c r="AL179" s="74" t="str">
        <f aca="false">IF(ISBLANK($C179),"",IF($G179=Constants!$B$2,TRUE(),IF($G179=Constants!$B$3,FALSE(),TRUE())))</f>
        <v/>
      </c>
      <c r="AM179" s="74" t="str">
        <f aca="false">IF(ISBLANK($C179),"",IF($H179=Constants!$B$2,TRUE(),IF($H179=Constants!$B$3,FALSE(),TRUE())))</f>
        <v/>
      </c>
      <c r="AN179" s="74" t="str">
        <f aca="false">IF(ISBLANK($C179),"",IF(ISNUMBER($I179),IF($I179&gt;=0,$I179,""),""))</f>
        <v/>
      </c>
      <c r="AO179" s="74" t="str">
        <f aca="false">IF(ISBLANK($C179),"",IF(ISNUMBER($J179),IF($J179&gt;=0,$J179,""),""))</f>
        <v/>
      </c>
      <c r="AP179" s="74" t="str">
        <f aca="false">IF(ISBLANK($C179),"",IF(ISNUMBER($K179),IF($K179&gt;=0,$K179,""),""))</f>
        <v/>
      </c>
      <c r="AQ179" s="74" t="str">
        <f aca="false">IF(ISBLANK($C179),"",IF($L179=Constants!$B$2,TRUE(),IF($L179=Constants!$B$3,FALSE(),TRUE())))</f>
        <v/>
      </c>
      <c r="AR179" s="74" t="str">
        <f aca="false">IF(ISBLANK($C179),"",IF($M179=Constants!$B$2,TRUE(),IF($M179=Constants!$B$3,FALSE(),TRUE())))</f>
        <v/>
      </c>
      <c r="AS179" s="74" t="str">
        <f aca="false">IF(ISBLANK($C179),"",IF($N179=Constants!$B$2,TRUE(),IF($N179=Constants!$B$3,FALSE(),FALSE())))</f>
        <v/>
      </c>
      <c r="AT179" s="74" t="str">
        <f aca="false">IF(ISBLANK($C179),"",IF($O179=Constants!$B$2,TRUE(),IF($O179=Constants!$B$3,FALSE(),TRUE())))</f>
        <v/>
      </c>
      <c r="AU179" s="74" t="str">
        <f aca="false">IF(ISBLANK($C179),"",IF($P179=Constants!$B$2,TRUE(),IF($P179=Constants!$B$3,FALSE(),TRUE())))</f>
        <v/>
      </c>
      <c r="AV179" s="74" t="str">
        <f aca="false">IF(ISBLANK($C179),"",IF($Q179=Constants!$B$2,TRUE(),IF($Q179=Constants!$B$3,FALSE(),FALSE())))</f>
        <v/>
      </c>
      <c r="AW179" s="74" t="str">
        <f aca="false">IF(ISBLANK($C179),"",IF($R179=Constants!$B$2,TRUE(),IF($R179=Constants!$B$3,FALSE(),FALSE())))</f>
        <v/>
      </c>
      <c r="AX179" s="74" t="str">
        <f aca="false">IF(ISBLANK($C179),"",IF($S179=Constants!$B$2,TRUE(),IF($S179=Constants!$B$3,FALSE(),FALSE())))</f>
        <v/>
      </c>
      <c r="AY179" s="74" t="str">
        <f aca="false">IF(ISBLANK($C179),"",IF($T179=Constants!$B$2,TRUE(),IF($T179=Constants!$B$3,FALSE(),FALSE())))</f>
        <v/>
      </c>
      <c r="AZ179" s="74" t="str">
        <f aca="false">IF(ISBLANK($C179),"",IF($U179=Constants!$B$2,TRUE(),IF($U179=Constants!$B$3,FALSE(),FALSE())))</f>
        <v/>
      </c>
      <c r="BA179" s="74" t="str">
        <f aca="false">IF(ISBLANK($C179),"",IF(OR($V179&amp;""="1",$V179&amp;""="2",$V179&amp;""="3",$V179&amp;""="4"),VALUE($V179&amp;""),IF($V179=Constants!$B$12,Constants!$B$12,"")))</f>
        <v/>
      </c>
      <c r="BB179" s="74" t="str">
        <f aca="false">IF(ISBLANK($C179),"",IF(ISBLANK($W179),0,IF(ISNUMBER($W179),IF(AND($W179&gt;=0,$W179&lt;=Constants!$B$21,$W179=INT($W179)),$W179,""),"")))</f>
        <v/>
      </c>
      <c r="BC179" s="74" t="str">
        <f aca="false">IF(ISBLANK($C179),"",IF(ISBLANK($X179),0,IF(ISNUMBER($X179),IF($X179&gt;=0,$X179,""),"")))</f>
        <v/>
      </c>
      <c r="BD179" s="74" t="str">
        <f aca="false">IF(ISBLANK($C179),"",IF($Y179=Constants!$B$2,TRUE(),IF($Y179=Constants!$B$3,FALSE(),TRUE())))</f>
        <v/>
      </c>
      <c r="BE179" s="74" t="str">
        <f aca="false">IF(ISBLANK($C179),"",IF($Z179=Constants!$B$2,TRUE(),IF($Z179=Constants!$B$3,FALSE(),FALSE())))</f>
        <v/>
      </c>
      <c r="BF179" s="74" t="str">
        <f aca="false">IF(ISBLANK($C179),"",IF(ISBLANK($AA179),0,IF(ISNUMBER($AA179),IF(AND($AA179&gt;=0,$AA179&lt;=Constants!$B$35,$AA179=INT($AA179)),$AA179,""),"")))</f>
        <v/>
      </c>
      <c r="BG179" s="74" t="str">
        <f aca="false">IF(ISBLANK($C179),"",IF($AB179=Constants!$B$2,TRUE(),IF($AB179=Constants!$B$3,FALSE(),TRUE())))</f>
        <v/>
      </c>
      <c r="BH179" s="74" t="str">
        <f aca="false">IF(ISBLANK($C179),"",IF($AC179=Constants!$B$2,TRUE(),IF($AC179=Constants!$B$3,FALSE(),TRUE())))</f>
        <v/>
      </c>
      <c r="BI179" s="74" t="str">
        <f aca="false">IF(ISBLANK($C179),"",IF($AD179=Constants!$B$2,TRUE(),IF($AD179=Constants!$B$3,FALSE(),TRUE())))</f>
        <v/>
      </c>
      <c r="BJ179" s="74" t="str">
        <f aca="false">IF(ISBLANK($C179),"",IF(ISNUMBER($AE179),IF($AE179&gt;=0,$AE179,""),""))</f>
        <v/>
      </c>
      <c r="BK179" s="74" t="str">
        <f aca="false">IF(ISBLANK($C179),"",IF($AF179=Constants!$B$2,TRUE(),IF($AF179=Constants!$B$3,FALSE(),FALSE())))</f>
        <v/>
      </c>
      <c r="BL179" s="73" t="str">
        <f aca="false">IF(ISBLANK($C179),"",IF($BK179,Constants!$B$7,IF(COUNTA($E179:$AE179)=0,Constants!$B$6,IF(OR(COUNTA($G179:$AE179)=0,NOT($AM179),$AS179),Constants!$B$5,IF(OR($CM179&lt;&gt;"",$CN179,$CO179,$CP179,$CQ179,$CR179,$CS179),Constants!$B$8,Constants!$B$4)))))</f>
        <v/>
      </c>
      <c r="BM179" s="74" t="str">
        <f aca="false">IF(ISBLANK($C179),"",IF($BL179&lt;&gt;Constants!$B$4,$BL179,IF(OR(NOT($AJ179),NOT($AL179),NOT($AT179)),Constants!$B$11,IF(OR(NOT($AR179),NOT($AU179),NOT($BI179),MAX($AN179,$AO179,$AP179)&gt;Constants!$B$30),Constants!$B$10,Constants!$B$9))))</f>
        <v/>
      </c>
      <c r="BN179" s="74" t="str">
        <f aca="false">IF($BL179&lt;&gt;Constants!$B$4,"",IF(NOT($AL179),0,MIN(Constants!$B$35,$BF179)))</f>
        <v/>
      </c>
      <c r="BO179" s="74" t="str">
        <f aca="false">IF($BL179&lt;&gt;Constants!$B$4,"",IF(NOT($AL179),0,IF($AW179,Constants!$B$18,IF($AV179,Constants!$B$17,0))))</f>
        <v/>
      </c>
      <c r="BP179" s="74" t="str">
        <f aca="false">IF($BL179&lt;&gt;Constants!$B$4,"",IF(NOT($AL179),0,Constants!$B$19*($AK179+$AX179+$AY179+$AZ179)))</f>
        <v/>
      </c>
      <c r="BQ179" s="74" t="str">
        <f aca="false">IF($BL179&lt;&gt;Constants!$B$4,"",IF(OR(NOT($AL179),NOT(ISNUMBER($BA179))),0,CHOOSE($BA179,Constants!$B$13,Constants!$B$14,Constants!$B$15,Constants!$B$16)))</f>
        <v/>
      </c>
      <c r="BR179" s="74" t="str">
        <f aca="false">IF($BL179&lt;&gt;Constants!$B$4,"",IF(NOT($AL179),0,Constants!$B$20*$BB179))</f>
        <v/>
      </c>
      <c r="BS179" s="74" t="str">
        <f aca="false">IF($BL179&lt;&gt;Constants!$B$4,"",IF(AND($AL179,$BD179,$BE179),Constants!$B$22,0))</f>
        <v/>
      </c>
      <c r="BT179" s="74" t="str">
        <f aca="false">IF($BL179&lt;&gt;Constants!$B$4,"",IF(OR(NOT($AL179),NOT($BD179)),0,IF($BJ179&gt;=2*$AH$9,0,Constants!$B$23*INT(ROUND(MIN($BJ179,$AH$9),6)))))</f>
        <v/>
      </c>
      <c r="BU179" s="74" t="str">
        <f aca="false">IF($BL179&lt;&gt;Constants!$B$4,"",IF(NOT($AL179),0,Constants!$B$24*INT(ROUND(MIN($BC179,$AH$9),6))))</f>
        <v/>
      </c>
      <c r="BV179" s="74" t="str">
        <f aca="false">IF($BL179&lt;&gt;Constants!$B$4,"",IF(AND($AL179,$BN179=0),Constants!$B$25,0))</f>
        <v/>
      </c>
      <c r="BW179" s="74" t="str">
        <f aca="false">IF($BL179&lt;&gt;Constants!$B$4,"",MIN(Constants!$B$29,MAX(0,Constants!$B$27*Constants!$B$28*INT(ROUND((Constants!$B$26-$AN179)/Constants!$B$28,6))))+MIN(Constants!$B$29,MAX(0,Constants!$B$27*Constants!$B$28*INT(ROUND((Constants!$B$26-$AO179)/Constants!$B$28,6))))+MIN(Constants!$B$29,MAX(0,Constants!$B$27*Constants!$B$28*INT(ROUND((Constants!$B$26-$AP179)/Constants!$B$28,6)))))</f>
        <v/>
      </c>
      <c r="BX179" s="74" t="str">
        <f aca="false">IF($BL179&lt;&gt;Constants!$B$4,"",IF(NOT($AL179),0,Constants!$B$31*INT(ROUND(MAX(0,MIN($BJ179,2*$AH$9)-$AH$9),6))))</f>
        <v/>
      </c>
      <c r="BY179" s="74" t="str">
        <f aca="false">IF($BL179&lt;&gt;Constants!$B$4,"",Constants!$B$32*(($AN179&gt;Constants!$B$26)+($AO179&gt;Constants!$B$26)+($AP179&gt;Constants!$B$26)))</f>
        <v/>
      </c>
      <c r="BZ179" s="74" t="str">
        <f aca="false">IF($BL179&lt;&gt;Constants!$B$4,"",IF(OR(NOT($AL179),$AQ179),0,Constants!$B$33))</f>
        <v/>
      </c>
      <c r="CA179" s="74" t="str">
        <f aca="false">IF($BL179&lt;&gt;Constants!$B$4,"",Constants!$B$34*$BN179)</f>
        <v/>
      </c>
      <c r="CB179" s="74" t="str">
        <f aca="false">IF($BL179&lt;&gt;Constants!$B$4,"",IF(OR(NOT($AL179),$BH179),0,Constants!$B$36))</f>
        <v/>
      </c>
      <c r="CC179" s="74" t="str">
        <f aca="false">IF($BL179&lt;&gt;Constants!$B$4,"",IF(OR(NOT($AL179),$BG179),0,Constants!$B$37))</f>
        <v/>
      </c>
      <c r="CD179" s="74" t="str">
        <f aca="false">IF($BL179&lt;&gt;Constants!$B$4,"",SUM($BX179:$CC179))</f>
        <v/>
      </c>
      <c r="CE179" s="74" t="str">
        <f aca="false">IF(ISBLANK($C179),"",IF($BL179&lt;&gt;Constants!$B$4,$BL179,SUM($BO179:$BW179)-$CD179))</f>
        <v/>
      </c>
      <c r="CF179" s="74" t="str">
        <f aca="false">IF(ISBLANK($C179),"",IF($BL179&lt;&gt;Constants!$B$4,$BL179,RANK($CE179,$CE$9:$CE$508)))</f>
        <v/>
      </c>
      <c r="CG179" s="74" t="str">
        <f aca="false">IF(ISBLANK($C179),"",IF($BL179&lt;&gt;Constants!$B$4,$BL179,COUNTIFS($BM$9:$BM$508,"&lt;"&amp;$BM179)+COUNTIFS($BM$9:$BM$508,$BM179,$CF$9:$CF$508,"&lt;"&amp;$CF179)+1))</f>
        <v/>
      </c>
      <c r="CH179" s="74" t="str">
        <f aca="false">IF(ISBLANK($C179),"",IF($BL179&lt;&gt;Constants!$B$4,$BL179,RANK($CD179,$CD$9:$CD$508,1)))</f>
        <v/>
      </c>
      <c r="CI179" s="74" t="str">
        <f aca="false">IF($BL179&lt;&gt;Constants!$B$4,"",$AN179+$AO179+$AP179)</f>
        <v/>
      </c>
      <c r="CJ179" s="74" t="str">
        <f aca="false">IF(ISBLANK($C179),"",IF($BL179&lt;&gt;Constants!$B$4,$BL179,RANK($CI179,$CI$9:$CI$508,1)))</f>
        <v/>
      </c>
      <c r="CK179" s="74" t="str">
        <f aca="false">IF(ISBLANK($C179),"",IF($BL179&lt;&gt;Constants!$B$4,$BL179,COUNTIFS($BM$9:$BM$508,"&lt;"&amp;$BM179)+COUNTIFS($BM$9:$BM$508,$BM179,$CF$9:$CF$508,"&lt;"&amp;$CF179)+COUNTIFS($BM$9:$BM$508,$BM179,$CF$9:$CF$508,$CF179,$CH$9:$CH$508,"&lt;"&amp;$CH179)+COUNTIFS($BM$9:$BM$508,$BM179,$CF$9:$CF$508,$CF179,$CH$9:$CH$508,$CH179,$CJ$9:$CJ$508,"&lt;"&amp;$CJ179)+1))</f>
        <v/>
      </c>
      <c r="CL179" s="74" t="str">
        <f aca="false">IF(ISBLANK($C179),"",IF($BL179&lt;&gt;Constants!$B$4,$BL179,$CG179-$CK179))</f>
        <v/>
      </c>
      <c r="CM179" s="74" t="str">
        <f aca="false">IF(ISBLANK($C179),"",IF(NOT($AL179),"",IF(ISBLANK($D$7),$CM$5,IF(NOT(ISNUMBER($D$7)),$CM$6,""))))</f>
        <v/>
      </c>
      <c r="CN179" s="74" t="str">
        <f aca="false">IF(ISBLANK($C179),"",OR($AN179="",$AO179="",$AP179=""))</f>
        <v/>
      </c>
      <c r="CO179" s="74" t="str">
        <f aca="false">IF(ISBLANK($C179),"",AND($AL179,$BA179=""))</f>
        <v/>
      </c>
      <c r="CP179" s="74" t="str">
        <f aca="false">IF(ISBLANK($C179),"",AND($AL179,$BB179=""))</f>
        <v/>
      </c>
      <c r="CQ179" s="74" t="str">
        <f aca="false">IF(ISBLANK($C179),"",AND($AL179,$BC179=""))</f>
        <v/>
      </c>
      <c r="CR179" s="74" t="str">
        <f aca="false">IF(ISBLANK($C179),"",AND($AL179,$BF179=""))</f>
        <v/>
      </c>
      <c r="CS179" s="74" t="str">
        <f aca="false">IF(ISBLANK($C179),"",AND($AL179,$BJ179=""))</f>
        <v/>
      </c>
      <c r="CT179" s="75"/>
      <c r="CU179" s="76"/>
      <c r="CV179" s="79" t="str">
        <f aca="false">IF(ISBLANK($C179),"",IF($BL179=Constants!$B$8,$CM179,""))</f>
        <v/>
      </c>
      <c r="CW179" s="76" t="str">
        <f aca="false">IF(ISBLANK($C179),"",IF($BL179&lt;&gt;Constants!$B$4,"",$BO179+$BP179))</f>
        <v/>
      </c>
      <c r="CX179" s="78" t="str">
        <f aca="false">IF(ISBLANK($C179),"",IF($BL179&lt;&gt;Constants!$B$4,"",$BQ179+$BR179+$BS179))</f>
        <v/>
      </c>
      <c r="CY179" s="78" t="str">
        <f aca="false">IF(ISBLANK($C179),"",IF($BL179&lt;&gt;Constants!$B$4,"",$BT179))</f>
        <v/>
      </c>
      <c r="CZ179" s="78" t="str">
        <f aca="false">IF(ISBLANK($C179),"",IF($BL179&lt;&gt;Constants!$B$4,"",$BU179+$BV179))</f>
        <v/>
      </c>
      <c r="DA179" s="78" t="str">
        <f aca="false">IF(ISBLANK($C179),"",IF($BL179&lt;&gt;Constants!$B$4,"",$BW179))</f>
        <v/>
      </c>
      <c r="DB179" s="78" t="str">
        <f aca="false">IF(ISBLANK($C179),"",IF($BL179&lt;&gt;Constants!$B$4,"",-$CD179))</f>
        <v/>
      </c>
      <c r="DC179" s="79" t="str">
        <f aca="false">IF(ISBLANK($C179),"",$CE179)</f>
        <v/>
      </c>
      <c r="DD179" s="80" t="str">
        <f aca="false">IF(ISBLANK($C179),"",$BM179)</f>
        <v/>
      </c>
      <c r="DE179" s="78" t="str">
        <f aca="false">IF(ISBLANK($C179),"",$CL179)</f>
        <v/>
      </c>
      <c r="DF179" s="78" t="str">
        <f aca="false">IF(ISBLANK($C179),"",$CK179)</f>
        <v/>
      </c>
      <c r="DG179" s="81" t="str">
        <f aca="false">IF(ISBLANK($C179),"",IF($DF179=Constants!$B$7,COUNTA($C$9:$C$508)+2,IF($DF179=Constants!$B$6,COUNTA($C$9:$C$508)+1,IF($DF179=Constants!$B$5,COUNTA($C$9:$C$508),$DF179))))</f>
        <v/>
      </c>
      <c r="DH179" s="7"/>
      <c r="DI179" s="82" t="n">
        <f aca="false">IF(OR(ISNUMBER($DF179),$DF179=Constants!$B$7,$DF179=Constants!$B$5,$DF179=Constants!$B$6),1,0)</f>
        <v>0</v>
      </c>
      <c r="DJ179" s="82" t="n">
        <v>171</v>
      </c>
      <c r="DK179" s="82" t="str">
        <f aca="false">IF(ISBLANK($C179),"",IF(ISNUMBER($DG179),$DG179+ROW($B179)/1000,""))</f>
        <v/>
      </c>
      <c r="DL179" s="82" t="str">
        <f aca="false">IF(ISNUMBER($DK179),RANK($DK179,$DK$9:$DK$508,1),"")</f>
        <v/>
      </c>
      <c r="DM179" s="82" t="str">
        <f aca="false">IF(ISBLANK($C179),"",$B179)</f>
        <v/>
      </c>
      <c r="DN179" s="82" t="str">
        <f aca="false">IF(ISBLANK($C179),"",$C179)</f>
        <v/>
      </c>
      <c r="DO179" s="82" t="str">
        <f aca="false">IF(ISBLANK($C179),"",$D179)</f>
        <v/>
      </c>
      <c r="DP179" s="83" t="str">
        <f aca="false">$DD179</f>
        <v/>
      </c>
      <c r="DQ179" s="84" t="str">
        <f aca="false">$DC179</f>
        <v/>
      </c>
      <c r="DR179" s="82" t="str">
        <f aca="false">IF(ISBLANK($C179),"",$DF179)</f>
        <v/>
      </c>
      <c r="DS179" s="85" t="str">
        <f aca="false">IF($DJ179&gt;$DI$8,"",VLOOKUP($DJ179,$DL$9:$DR$508,7,FALSE()))</f>
        <v/>
      </c>
      <c r="DT179" s="86" t="str">
        <f aca="false">IF($DJ179&gt;$DI$8,"",VLOOKUP($DJ179,$DL$9:$DR$508,2,FALSE()))</f>
        <v/>
      </c>
      <c r="DU179" s="86" t="str">
        <f aca="false">IF($DJ179&gt;$DI$8,"",VLOOKUP($DJ179,$DL$9:$DR$508,3,FALSE()))</f>
        <v/>
      </c>
      <c r="DV179" s="86" t="str">
        <f aca="false">IF($DJ179&gt;$DI$8,"",VLOOKUP($DJ179,$DL$9:$DR$508,4,FALSE()))</f>
        <v/>
      </c>
      <c r="DW179" s="86" t="str">
        <f aca="false">IF($DJ179&gt;$DI$8,"",VLOOKUP($DJ179,$DL$9:$DR$508,5,FALSE()))</f>
        <v/>
      </c>
      <c r="DX179" s="87" t="str">
        <f aca="false">IF($DJ179&gt;$DI$8,"",VLOOKUP($DJ179,$DL$9:$DR$508,6,FALSE()))</f>
        <v/>
      </c>
      <c r="DY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130"/>
      <c r="N180" s="130"/>
      <c r="O180" s="135"/>
      <c r="P180" s="135"/>
      <c r="Q180" s="130"/>
      <c r="R180" s="130"/>
      <c r="S180" s="130"/>
      <c r="T180" s="130"/>
      <c r="U180" s="135"/>
      <c r="V180" s="130"/>
      <c r="W180" s="96"/>
      <c r="X180" s="130"/>
      <c r="Y180" s="130"/>
      <c r="Z180" s="96"/>
      <c r="AA180" s="96"/>
      <c r="AB180" s="130"/>
      <c r="AC180" s="130"/>
      <c r="AD180" s="130"/>
      <c r="AE180" s="97"/>
      <c r="AF180" s="130"/>
      <c r="AG180" s="99"/>
      <c r="AH180" s="100"/>
      <c r="AI180" s="100"/>
      <c r="AJ180" s="100" t="str">
        <f aca="false">IF(ISBLANK($C180),"",IF($E180=Constants!$B$2,TRUE(),IF($E180=Constants!$B$3,FALSE(),TRUE())))</f>
        <v/>
      </c>
      <c r="AK180" s="100" t="str">
        <f aca="false">IF(ISBLANK($C180),"",IF($F180=Constants!$B$2,TRUE(),IF($F180=Constants!$B$3,FALSE(),FALSE())))</f>
        <v/>
      </c>
      <c r="AL180" s="100" t="str">
        <f aca="false">IF(ISBLANK($C180),"",IF($G180=Constants!$B$2,TRUE(),IF($G180=Constants!$B$3,FALSE(),TRUE())))</f>
        <v/>
      </c>
      <c r="AM180" s="100" t="str">
        <f aca="false">IF(ISBLANK($C180),"",IF($H180=Constants!$B$2,TRUE(),IF($H180=Constants!$B$3,FALSE(),TRUE())))</f>
        <v/>
      </c>
      <c r="AN180" s="100" t="str">
        <f aca="false">IF(ISBLANK($C180),"",IF(ISNUMBER($I180),IF($I180&gt;=0,$I180,""),""))</f>
        <v/>
      </c>
      <c r="AO180" s="100" t="str">
        <f aca="false">IF(ISBLANK($C180),"",IF(ISNUMBER($J180),IF($J180&gt;=0,$J180,""),""))</f>
        <v/>
      </c>
      <c r="AP180" s="100" t="str">
        <f aca="false">IF(ISBLANK($C180),"",IF(ISNUMBER($K180),IF($K180&gt;=0,$K180,""),""))</f>
        <v/>
      </c>
      <c r="AQ180" s="100" t="str">
        <f aca="false">IF(ISBLANK($C180),"",IF($L180=Constants!$B$2,TRUE(),IF($L180=Constants!$B$3,FALSE(),TRUE())))</f>
        <v/>
      </c>
      <c r="AR180" s="100" t="str">
        <f aca="false">IF(ISBLANK($C180),"",IF($M180=Constants!$B$2,TRUE(),IF($M180=Constants!$B$3,FALSE(),TRUE())))</f>
        <v/>
      </c>
      <c r="AS180" s="100" t="str">
        <f aca="false">IF(ISBLANK($C180),"",IF($N180=Constants!$B$2,TRUE(),IF($N180=Constants!$B$3,FALSE(),FALSE())))</f>
        <v/>
      </c>
      <c r="AT180" s="100" t="str">
        <f aca="false">IF(ISBLANK($C180),"",IF($O180=Constants!$B$2,TRUE(),IF($O180=Constants!$B$3,FALSE(),TRUE())))</f>
        <v/>
      </c>
      <c r="AU180" s="100" t="str">
        <f aca="false">IF(ISBLANK($C180),"",IF($P180=Constants!$B$2,TRUE(),IF($P180=Constants!$B$3,FALSE(),TRUE())))</f>
        <v/>
      </c>
      <c r="AV180" s="100" t="str">
        <f aca="false">IF(ISBLANK($C180),"",IF($Q180=Constants!$B$2,TRUE(),IF($Q180=Constants!$B$3,FALSE(),FALSE())))</f>
        <v/>
      </c>
      <c r="AW180" s="100" t="str">
        <f aca="false">IF(ISBLANK($C180),"",IF($R180=Constants!$B$2,TRUE(),IF($R180=Constants!$B$3,FALSE(),FALSE())))</f>
        <v/>
      </c>
      <c r="AX180" s="100" t="str">
        <f aca="false">IF(ISBLANK($C180),"",IF($S180=Constants!$B$2,TRUE(),IF($S180=Constants!$B$3,FALSE(),FALSE())))</f>
        <v/>
      </c>
      <c r="AY180" s="100" t="str">
        <f aca="false">IF(ISBLANK($C180),"",IF($T180=Constants!$B$2,TRUE(),IF($T180=Constants!$B$3,FALSE(),FALSE())))</f>
        <v/>
      </c>
      <c r="AZ180" s="100" t="str">
        <f aca="false">IF(ISBLANK($C180),"",IF($U180=Constants!$B$2,TRUE(),IF($U180=Constants!$B$3,FALSE(),FALSE())))</f>
        <v/>
      </c>
      <c r="BA180" s="100" t="str">
        <f aca="false">IF(ISBLANK($C180),"",IF(OR($V180&amp;""="1",$V180&amp;""="2",$V180&amp;""="3",$V180&amp;""="4"),VALUE($V180&amp;""),IF($V180=Constants!$B$12,Constants!$B$12,"")))</f>
        <v/>
      </c>
      <c r="BB180" s="100" t="str">
        <f aca="false">IF(ISBLANK($C180),"",IF(ISBLANK($W180),0,IF(ISNUMBER($W180),IF(AND($W180&gt;=0,$W180&lt;=Constants!$B$21,$W180=INT($W180)),$W180,""),"")))</f>
        <v/>
      </c>
      <c r="BC180" s="100" t="str">
        <f aca="false">IF(ISBLANK($C180),"",IF(ISBLANK($X180),0,IF(ISNUMBER($X180),IF($X180&gt;=0,$X180,""),"")))</f>
        <v/>
      </c>
      <c r="BD180" s="100" t="str">
        <f aca="false">IF(ISBLANK($C180),"",IF($Y180=Constants!$B$2,TRUE(),IF($Y180=Constants!$B$3,FALSE(),TRUE())))</f>
        <v/>
      </c>
      <c r="BE180" s="100" t="str">
        <f aca="false">IF(ISBLANK($C180),"",IF($Z180=Constants!$B$2,TRUE(),IF($Z180=Constants!$B$3,FALSE(),FALSE())))</f>
        <v/>
      </c>
      <c r="BF180" s="100" t="str">
        <f aca="false">IF(ISBLANK($C180),"",IF(ISBLANK($AA180),0,IF(ISNUMBER($AA180),IF(AND($AA180&gt;=0,$AA180&lt;=Constants!$B$35,$AA180=INT($AA180)),$AA180,""),"")))</f>
        <v/>
      </c>
      <c r="BG180" s="100" t="str">
        <f aca="false">IF(ISBLANK($C180),"",IF($AB180=Constants!$B$2,TRUE(),IF($AB180=Constants!$B$3,FALSE(),TRUE())))</f>
        <v/>
      </c>
      <c r="BH180" s="100" t="str">
        <f aca="false">IF(ISBLANK($C180),"",IF($AC180=Constants!$B$2,TRUE(),IF($AC180=Constants!$B$3,FALSE(),TRUE())))</f>
        <v/>
      </c>
      <c r="BI180" s="100" t="str">
        <f aca="false">IF(ISBLANK($C180),"",IF($AD180=Constants!$B$2,TRUE(),IF($AD180=Constants!$B$3,FALSE(),TRUE())))</f>
        <v/>
      </c>
      <c r="BJ180" s="100" t="str">
        <f aca="false">IF(ISBLANK($C180),"",IF(ISNUMBER($AE180),IF($AE180&gt;=0,$AE180,""),""))</f>
        <v/>
      </c>
      <c r="BK180" s="100" t="str">
        <f aca="false">IF(ISBLANK($C180),"",IF($AF180=Constants!$B$2,TRUE(),IF($AF180=Constants!$B$3,FALSE(),FALSE())))</f>
        <v/>
      </c>
      <c r="BL180" s="99" t="str">
        <f aca="false">IF(ISBLANK($C180),"",IF($BK180,Constants!$B$7,IF(COUNTA($E180:$AE180)=0,Constants!$B$6,IF(OR(COUNTA($G180:$AE180)=0,NOT($AM180),$AS180),Constants!$B$5,IF(OR($CM180&lt;&gt;"",$CN180,$CO180,$CP180,$CQ180,$CR180,$CS180),Constants!$B$8,Constants!$B$4)))))</f>
        <v/>
      </c>
      <c r="BM180" s="100" t="str">
        <f aca="false">IF(ISBLANK($C180),"",IF($BL180&lt;&gt;Constants!$B$4,$BL180,IF(OR(NOT($AJ180),NOT($AL180),NOT($AT180)),Constants!$B$11,IF(OR(NOT($AR180),NOT($AU180),NOT($BI180),MAX($AN180,$AO180,$AP180)&gt;Constants!$B$30),Constants!$B$10,Constants!$B$9))))</f>
        <v/>
      </c>
      <c r="BN180" s="100" t="str">
        <f aca="false">IF($BL180&lt;&gt;Constants!$B$4,"",IF(NOT($AL180),0,MIN(Constants!$B$35,$BF180)))</f>
        <v/>
      </c>
      <c r="BO180" s="100" t="str">
        <f aca="false">IF($BL180&lt;&gt;Constants!$B$4,"",IF(NOT($AL180),0,IF($AW180,Constants!$B$18,IF($AV180,Constants!$B$17,0))))</f>
        <v/>
      </c>
      <c r="BP180" s="100" t="str">
        <f aca="false">IF($BL180&lt;&gt;Constants!$B$4,"",IF(NOT($AL180),0,Constants!$B$19*($AK180+$AX180+$AY180+$AZ180)))</f>
        <v/>
      </c>
      <c r="BQ180" s="100" t="str">
        <f aca="false">IF($BL180&lt;&gt;Constants!$B$4,"",IF(OR(NOT($AL180),NOT(ISNUMBER($BA180))),0,CHOOSE($BA180,Constants!$B$13,Constants!$B$14,Constants!$B$15,Constants!$B$16)))</f>
        <v/>
      </c>
      <c r="BR180" s="100" t="str">
        <f aca="false">IF($BL180&lt;&gt;Constants!$B$4,"",IF(NOT($AL180),0,Constants!$B$20*$BB180))</f>
        <v/>
      </c>
      <c r="BS180" s="100" t="str">
        <f aca="false">IF($BL180&lt;&gt;Constants!$B$4,"",IF(AND($AL180,$BD180,$BE180),Constants!$B$22,0))</f>
        <v/>
      </c>
      <c r="BT180" s="100" t="str">
        <f aca="false">IF($BL180&lt;&gt;Constants!$B$4,"",IF(OR(NOT($AL180),NOT($BD180)),0,IF($BJ180&gt;=2*$AH$9,0,Constants!$B$23*INT(ROUND(MIN($BJ180,$AH$9),6)))))</f>
        <v/>
      </c>
      <c r="BU180" s="100" t="str">
        <f aca="false">IF($BL180&lt;&gt;Constants!$B$4,"",IF(NOT($AL180),0,Constants!$B$24*INT(ROUND(MIN($BC180,$AH$9),6))))</f>
        <v/>
      </c>
      <c r="BV180" s="100" t="str">
        <f aca="false">IF($BL180&lt;&gt;Constants!$B$4,"",IF(AND($AL180,$BN180=0),Constants!$B$25,0))</f>
        <v/>
      </c>
      <c r="BW180" s="100" t="str">
        <f aca="false">IF($BL180&lt;&gt;Constants!$B$4,"",MIN(Constants!$B$29,MAX(0,Constants!$B$27*Constants!$B$28*INT(ROUND((Constants!$B$26-$AN180)/Constants!$B$28,6))))+MIN(Constants!$B$29,MAX(0,Constants!$B$27*Constants!$B$28*INT(ROUND((Constants!$B$26-$AO180)/Constants!$B$28,6))))+MIN(Constants!$B$29,MAX(0,Constants!$B$27*Constants!$B$28*INT(ROUND((Constants!$B$26-$AP180)/Constants!$B$28,6)))))</f>
        <v/>
      </c>
      <c r="BX180" s="100" t="str">
        <f aca="false">IF($BL180&lt;&gt;Constants!$B$4,"",IF(NOT($AL180),0,Constants!$B$31*INT(ROUND(MAX(0,MIN($BJ180,2*$AH$9)-$AH$9),6))))</f>
        <v/>
      </c>
      <c r="BY180" s="100" t="str">
        <f aca="false">IF($BL180&lt;&gt;Constants!$B$4,"",Constants!$B$32*(($AN180&gt;Constants!$B$26)+($AO180&gt;Constants!$B$26)+($AP180&gt;Constants!$B$26)))</f>
        <v/>
      </c>
      <c r="BZ180" s="100" t="str">
        <f aca="false">IF($BL180&lt;&gt;Constants!$B$4,"",IF(OR(NOT($AL180),$AQ180),0,Constants!$B$33))</f>
        <v/>
      </c>
      <c r="CA180" s="100" t="str">
        <f aca="false">IF($BL180&lt;&gt;Constants!$B$4,"",Constants!$B$34*$BN180)</f>
        <v/>
      </c>
      <c r="CB180" s="100" t="str">
        <f aca="false">IF($BL180&lt;&gt;Constants!$B$4,"",IF(OR(NOT($AL180),$BH180),0,Constants!$B$36))</f>
        <v/>
      </c>
      <c r="CC180" s="100" t="str">
        <f aca="false">IF($BL180&lt;&gt;Constants!$B$4,"",IF(OR(NOT($AL180),$BG180),0,Constants!$B$37))</f>
        <v/>
      </c>
      <c r="CD180" s="100" t="str">
        <f aca="false">IF($BL180&lt;&gt;Constants!$B$4,"",SUM($BX180:$CC180))</f>
        <v/>
      </c>
      <c r="CE180" s="100" t="str">
        <f aca="false">IF(ISBLANK($C180),"",IF($BL180&lt;&gt;Constants!$B$4,$BL180,SUM($BO180:$BW180)-$CD180))</f>
        <v/>
      </c>
      <c r="CF180" s="100" t="str">
        <f aca="false">IF(ISBLANK($C180),"",IF($BL180&lt;&gt;Constants!$B$4,$BL180,RANK($CE180,$CE$9:$CE$508)))</f>
        <v/>
      </c>
      <c r="CG180" s="100" t="str">
        <f aca="false">IF(ISBLANK($C180),"",IF($BL180&lt;&gt;Constants!$B$4,$BL180,COUNTIFS($BM$9:$BM$508,"&lt;"&amp;$BM180)+COUNTIFS($BM$9:$BM$508,$BM180,$CF$9:$CF$508,"&lt;"&amp;$CF180)+1))</f>
        <v/>
      </c>
      <c r="CH180" s="100" t="str">
        <f aca="false">IF(ISBLANK($C180),"",IF($BL180&lt;&gt;Constants!$B$4,$BL180,RANK($CD180,$CD$9:$CD$508,1)))</f>
        <v/>
      </c>
      <c r="CI180" s="100" t="str">
        <f aca="false">IF($BL180&lt;&gt;Constants!$B$4,"",$AN180+$AO180+$AP180)</f>
        <v/>
      </c>
      <c r="CJ180" s="100" t="str">
        <f aca="false">IF(ISBLANK($C180),"",IF($BL180&lt;&gt;Constants!$B$4,$BL180,RANK($CI180,$CI$9:$CI$508,1)))</f>
        <v/>
      </c>
      <c r="CK180" s="100" t="str">
        <f aca="false">IF(ISBLANK($C180),"",IF($BL180&lt;&gt;Constants!$B$4,$BL180,COUNTIFS($BM$9:$BM$508,"&lt;"&amp;$BM180)+COUNTIFS($BM$9:$BM$508,$BM180,$CF$9:$CF$508,"&lt;"&amp;$CF180)+COUNTIFS($BM$9:$BM$508,$BM180,$CF$9:$CF$508,$CF180,$CH$9:$CH$508,"&lt;"&amp;$CH180)+COUNTIFS($BM$9:$BM$508,$BM180,$CF$9:$CF$508,$CF180,$CH$9:$CH$508,$CH180,$CJ$9:$CJ$508,"&lt;"&amp;$CJ180)+1))</f>
        <v/>
      </c>
      <c r="CL180" s="100" t="str">
        <f aca="false">IF(ISBLANK($C180),"",IF($BL180&lt;&gt;Constants!$B$4,$BL180,$CG180-$CK180))</f>
        <v/>
      </c>
      <c r="CM180" s="100" t="str">
        <f aca="false">IF(ISBLANK($C180),"",IF(NOT($AL180),"",IF(ISBLANK($D$7),$CM$5,IF(NOT(ISNUMBER($D$7)),$CM$6,""))))</f>
        <v/>
      </c>
      <c r="CN180" s="100" t="str">
        <f aca="false">IF(ISBLANK($C180),"",OR($AN180="",$AO180="",$AP180=""))</f>
        <v/>
      </c>
      <c r="CO180" s="100" t="str">
        <f aca="false">IF(ISBLANK($C180),"",AND($AL180,$BA180=""))</f>
        <v/>
      </c>
      <c r="CP180" s="100" t="str">
        <f aca="false">IF(ISBLANK($C180),"",AND($AL180,$BB180=""))</f>
        <v/>
      </c>
      <c r="CQ180" s="100" t="str">
        <f aca="false">IF(ISBLANK($C180),"",AND($AL180,$BC180=""))</f>
        <v/>
      </c>
      <c r="CR180" s="100" t="str">
        <f aca="false">IF(ISBLANK($C180),"",AND($AL180,$BF180=""))</f>
        <v/>
      </c>
      <c r="CS180" s="100" t="str">
        <f aca="false">IF(ISBLANK($C180),"",AND($AL180,$BJ180=""))</f>
        <v/>
      </c>
      <c r="CT180" s="101"/>
      <c r="CU180" s="102"/>
      <c r="CV180" s="103" t="str">
        <f aca="false">IF(ISBLANK($C180),"",IF($BL180=Constants!$B$8,$CM180,""))</f>
        <v/>
      </c>
      <c r="CW180" s="102" t="str">
        <f aca="false">IF(ISBLANK($C180),"",IF($BL180&lt;&gt;Constants!$B$4,"",$BO180+$BP180))</f>
        <v/>
      </c>
      <c r="CX180" s="104" t="str">
        <f aca="false">IF(ISBLANK($C180),"",IF($BL180&lt;&gt;Constants!$B$4,"",$BQ180+$BR180+$BS180))</f>
        <v/>
      </c>
      <c r="CY180" s="104" t="str">
        <f aca="false">IF(ISBLANK($C180),"",IF($BL180&lt;&gt;Constants!$B$4,"",$BT180))</f>
        <v/>
      </c>
      <c r="CZ180" s="104" t="str">
        <f aca="false">IF(ISBLANK($C180),"",IF($BL180&lt;&gt;Constants!$B$4,"",$BU180+$BV180))</f>
        <v/>
      </c>
      <c r="DA180" s="104" t="str">
        <f aca="false">IF(ISBLANK($C180),"",IF($BL180&lt;&gt;Constants!$B$4,"",$BW180))</f>
        <v/>
      </c>
      <c r="DB180" s="104" t="str">
        <f aca="false">IF(ISBLANK($C180),"",IF($BL180&lt;&gt;Constants!$B$4,"",-$CD180))</f>
        <v/>
      </c>
      <c r="DC180" s="103" t="str">
        <f aca="false">IF(ISBLANK($C180),"",$CE180)</f>
        <v/>
      </c>
      <c r="DD180" s="105" t="str">
        <f aca="false">IF(ISBLANK($C180),"",$BM180)</f>
        <v/>
      </c>
      <c r="DE180" s="104" t="str">
        <f aca="false">IF(ISBLANK($C180),"",$CL180)</f>
        <v/>
      </c>
      <c r="DF180" s="104" t="str">
        <f aca="false">IF(ISBLANK($C180),"",$CK180)</f>
        <v/>
      </c>
      <c r="DG180" s="106" t="str">
        <f aca="false">IF(ISBLANK($C180),"",IF($DF180=Constants!$B$7,COUNTA($C$9:$C$508)+2,IF($DF180=Constants!$B$6,COUNTA($C$9:$C$508)+1,IF($DF180=Constants!$B$5,COUNTA($C$9:$C$508),$DF180))))</f>
        <v/>
      </c>
      <c r="DH180" s="7"/>
      <c r="DI180" s="107" t="n">
        <f aca="false">IF(OR(ISNUMBER($DF180),$DF180=Constants!$B$7,$DF180=Constants!$B$5,$DF180=Constants!$B$6),1,0)</f>
        <v>0</v>
      </c>
      <c r="DJ180" s="107" t="n">
        <v>172</v>
      </c>
      <c r="DK180" s="107" t="str">
        <f aca="false">IF(ISBLANK($C180),"",IF(ISNUMBER($DG180),$DG180+ROW($B180)/1000,""))</f>
        <v/>
      </c>
      <c r="DL180" s="107" t="str">
        <f aca="false">IF(ISNUMBER($DK180),RANK($DK180,$DK$9:$DK$508,1),"")</f>
        <v/>
      </c>
      <c r="DM180" s="107" t="str">
        <f aca="false">IF(ISBLANK($C180),"",$B180)</f>
        <v/>
      </c>
      <c r="DN180" s="107" t="str">
        <f aca="false">IF(ISBLANK($C180),"",$C180)</f>
        <v/>
      </c>
      <c r="DO180" s="107" t="str">
        <f aca="false">IF(ISBLANK($C180),"",$D180)</f>
        <v/>
      </c>
      <c r="DP180" s="108" t="str">
        <f aca="false">$DD180</f>
        <v/>
      </c>
      <c r="DQ180" s="109" t="str">
        <f aca="false">$DC180</f>
        <v/>
      </c>
      <c r="DR180" s="107" t="str">
        <f aca="false">IF(ISBLANK($C180),"",$DF180)</f>
        <v/>
      </c>
      <c r="DS180" s="110" t="str">
        <f aca="false">IF($DJ180&gt;$DI$8,"",VLOOKUP($DJ180,$DL$9:$DR$508,7,FALSE()))</f>
        <v/>
      </c>
      <c r="DT180" s="111" t="str">
        <f aca="false">IF($DJ180&gt;$DI$8,"",VLOOKUP($DJ180,$DL$9:$DR$508,2,FALSE()))</f>
        <v/>
      </c>
      <c r="DU180" s="111" t="str">
        <f aca="false">IF($DJ180&gt;$DI$8,"",VLOOKUP($DJ180,$DL$9:$DR$508,3,FALSE()))</f>
        <v/>
      </c>
      <c r="DV180" s="111" t="str">
        <f aca="false">IF($DJ180&gt;$DI$8,"",VLOOKUP($DJ180,$DL$9:$DR$508,4,FALSE()))</f>
        <v/>
      </c>
      <c r="DW180" s="111" t="str">
        <f aca="false">IF($DJ180&gt;$DI$8,"",VLOOKUP($DJ180,$DL$9:$DR$508,5,FALSE()))</f>
        <v/>
      </c>
      <c r="DX180" s="112" t="str">
        <f aca="false">IF($DJ180&gt;$DI$8,"",VLOOKUP($DJ180,$DL$9:$DR$508,6,FALSE()))</f>
        <v/>
      </c>
      <c r="DY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130"/>
      <c r="N181" s="130"/>
      <c r="O181" s="135"/>
      <c r="P181" s="135"/>
      <c r="Q181" s="130"/>
      <c r="R181" s="130"/>
      <c r="S181" s="130"/>
      <c r="T181" s="130"/>
      <c r="U181" s="135"/>
      <c r="V181" s="130"/>
      <c r="W181" s="96"/>
      <c r="X181" s="130"/>
      <c r="Y181" s="130"/>
      <c r="Z181" s="96"/>
      <c r="AA181" s="96"/>
      <c r="AB181" s="130"/>
      <c r="AC181" s="130"/>
      <c r="AD181" s="130"/>
      <c r="AE181" s="97"/>
      <c r="AF181" s="130"/>
      <c r="AG181" s="99"/>
      <c r="AH181" s="100"/>
      <c r="AI181" s="100"/>
      <c r="AJ181" s="100" t="str">
        <f aca="false">IF(ISBLANK($C181),"",IF($E181=Constants!$B$2,TRUE(),IF($E181=Constants!$B$3,FALSE(),TRUE())))</f>
        <v/>
      </c>
      <c r="AK181" s="100" t="str">
        <f aca="false">IF(ISBLANK($C181),"",IF($F181=Constants!$B$2,TRUE(),IF($F181=Constants!$B$3,FALSE(),FALSE())))</f>
        <v/>
      </c>
      <c r="AL181" s="100" t="str">
        <f aca="false">IF(ISBLANK($C181),"",IF($G181=Constants!$B$2,TRUE(),IF($G181=Constants!$B$3,FALSE(),TRUE())))</f>
        <v/>
      </c>
      <c r="AM181" s="100" t="str">
        <f aca="false">IF(ISBLANK($C181),"",IF($H181=Constants!$B$2,TRUE(),IF($H181=Constants!$B$3,FALSE(),TRUE())))</f>
        <v/>
      </c>
      <c r="AN181" s="100" t="str">
        <f aca="false">IF(ISBLANK($C181),"",IF(ISNUMBER($I181),IF($I181&gt;=0,$I181,""),""))</f>
        <v/>
      </c>
      <c r="AO181" s="100" t="str">
        <f aca="false">IF(ISBLANK($C181),"",IF(ISNUMBER($J181),IF($J181&gt;=0,$J181,""),""))</f>
        <v/>
      </c>
      <c r="AP181" s="100" t="str">
        <f aca="false">IF(ISBLANK($C181),"",IF(ISNUMBER($K181),IF($K181&gt;=0,$K181,""),""))</f>
        <v/>
      </c>
      <c r="AQ181" s="100" t="str">
        <f aca="false">IF(ISBLANK($C181),"",IF($L181=Constants!$B$2,TRUE(),IF($L181=Constants!$B$3,FALSE(),TRUE())))</f>
        <v/>
      </c>
      <c r="AR181" s="100" t="str">
        <f aca="false">IF(ISBLANK($C181),"",IF($M181=Constants!$B$2,TRUE(),IF($M181=Constants!$B$3,FALSE(),TRUE())))</f>
        <v/>
      </c>
      <c r="AS181" s="100" t="str">
        <f aca="false">IF(ISBLANK($C181),"",IF($N181=Constants!$B$2,TRUE(),IF($N181=Constants!$B$3,FALSE(),FALSE())))</f>
        <v/>
      </c>
      <c r="AT181" s="100" t="str">
        <f aca="false">IF(ISBLANK($C181),"",IF($O181=Constants!$B$2,TRUE(),IF($O181=Constants!$B$3,FALSE(),TRUE())))</f>
        <v/>
      </c>
      <c r="AU181" s="100" t="str">
        <f aca="false">IF(ISBLANK($C181),"",IF($P181=Constants!$B$2,TRUE(),IF($P181=Constants!$B$3,FALSE(),TRUE())))</f>
        <v/>
      </c>
      <c r="AV181" s="100" t="str">
        <f aca="false">IF(ISBLANK($C181),"",IF($Q181=Constants!$B$2,TRUE(),IF($Q181=Constants!$B$3,FALSE(),FALSE())))</f>
        <v/>
      </c>
      <c r="AW181" s="100" t="str">
        <f aca="false">IF(ISBLANK($C181),"",IF($R181=Constants!$B$2,TRUE(),IF($R181=Constants!$B$3,FALSE(),FALSE())))</f>
        <v/>
      </c>
      <c r="AX181" s="100" t="str">
        <f aca="false">IF(ISBLANK($C181),"",IF($S181=Constants!$B$2,TRUE(),IF($S181=Constants!$B$3,FALSE(),FALSE())))</f>
        <v/>
      </c>
      <c r="AY181" s="100" t="str">
        <f aca="false">IF(ISBLANK($C181),"",IF($T181=Constants!$B$2,TRUE(),IF($T181=Constants!$B$3,FALSE(),FALSE())))</f>
        <v/>
      </c>
      <c r="AZ181" s="100" t="str">
        <f aca="false">IF(ISBLANK($C181),"",IF($U181=Constants!$B$2,TRUE(),IF($U181=Constants!$B$3,FALSE(),FALSE())))</f>
        <v/>
      </c>
      <c r="BA181" s="100" t="str">
        <f aca="false">IF(ISBLANK($C181),"",IF(OR($V181&amp;""="1",$V181&amp;""="2",$V181&amp;""="3",$V181&amp;""="4"),VALUE($V181&amp;""),IF($V181=Constants!$B$12,Constants!$B$12,"")))</f>
        <v/>
      </c>
      <c r="BB181" s="100" t="str">
        <f aca="false">IF(ISBLANK($C181),"",IF(ISBLANK($W181),0,IF(ISNUMBER($W181),IF(AND($W181&gt;=0,$W181&lt;=Constants!$B$21,$W181=INT($W181)),$W181,""),"")))</f>
        <v/>
      </c>
      <c r="BC181" s="100" t="str">
        <f aca="false">IF(ISBLANK($C181),"",IF(ISBLANK($X181),0,IF(ISNUMBER($X181),IF($X181&gt;=0,$X181,""),"")))</f>
        <v/>
      </c>
      <c r="BD181" s="100" t="str">
        <f aca="false">IF(ISBLANK($C181),"",IF($Y181=Constants!$B$2,TRUE(),IF($Y181=Constants!$B$3,FALSE(),TRUE())))</f>
        <v/>
      </c>
      <c r="BE181" s="100" t="str">
        <f aca="false">IF(ISBLANK($C181),"",IF($Z181=Constants!$B$2,TRUE(),IF($Z181=Constants!$B$3,FALSE(),FALSE())))</f>
        <v/>
      </c>
      <c r="BF181" s="100" t="str">
        <f aca="false">IF(ISBLANK($C181),"",IF(ISBLANK($AA181),0,IF(ISNUMBER($AA181),IF(AND($AA181&gt;=0,$AA181&lt;=Constants!$B$35,$AA181=INT($AA181)),$AA181,""),"")))</f>
        <v/>
      </c>
      <c r="BG181" s="100" t="str">
        <f aca="false">IF(ISBLANK($C181),"",IF($AB181=Constants!$B$2,TRUE(),IF($AB181=Constants!$B$3,FALSE(),TRUE())))</f>
        <v/>
      </c>
      <c r="BH181" s="100" t="str">
        <f aca="false">IF(ISBLANK($C181),"",IF($AC181=Constants!$B$2,TRUE(),IF($AC181=Constants!$B$3,FALSE(),TRUE())))</f>
        <v/>
      </c>
      <c r="BI181" s="100" t="str">
        <f aca="false">IF(ISBLANK($C181),"",IF($AD181=Constants!$B$2,TRUE(),IF($AD181=Constants!$B$3,FALSE(),TRUE())))</f>
        <v/>
      </c>
      <c r="BJ181" s="100" t="str">
        <f aca="false">IF(ISBLANK($C181),"",IF(ISNUMBER($AE181),IF($AE181&gt;=0,$AE181,""),""))</f>
        <v/>
      </c>
      <c r="BK181" s="100" t="str">
        <f aca="false">IF(ISBLANK($C181),"",IF($AF181=Constants!$B$2,TRUE(),IF($AF181=Constants!$B$3,FALSE(),FALSE())))</f>
        <v/>
      </c>
      <c r="BL181" s="99" t="str">
        <f aca="false">IF(ISBLANK($C181),"",IF($BK181,Constants!$B$7,IF(COUNTA($E181:$AE181)=0,Constants!$B$6,IF(OR(COUNTA($G181:$AE181)=0,NOT($AM181),$AS181),Constants!$B$5,IF(OR($CM181&lt;&gt;"",$CN181,$CO181,$CP181,$CQ181,$CR181,$CS181),Constants!$B$8,Constants!$B$4)))))</f>
        <v/>
      </c>
      <c r="BM181" s="100" t="str">
        <f aca="false">IF(ISBLANK($C181),"",IF($BL181&lt;&gt;Constants!$B$4,$BL181,IF(OR(NOT($AJ181),NOT($AL181),NOT($AT181)),Constants!$B$11,IF(OR(NOT($AR181),NOT($AU181),NOT($BI181),MAX($AN181,$AO181,$AP181)&gt;Constants!$B$30),Constants!$B$10,Constants!$B$9))))</f>
        <v/>
      </c>
      <c r="BN181" s="100" t="str">
        <f aca="false">IF($BL181&lt;&gt;Constants!$B$4,"",IF(NOT($AL181),0,MIN(Constants!$B$35,$BF181)))</f>
        <v/>
      </c>
      <c r="BO181" s="100" t="str">
        <f aca="false">IF($BL181&lt;&gt;Constants!$B$4,"",IF(NOT($AL181),0,IF($AW181,Constants!$B$18,IF($AV181,Constants!$B$17,0))))</f>
        <v/>
      </c>
      <c r="BP181" s="100" t="str">
        <f aca="false">IF($BL181&lt;&gt;Constants!$B$4,"",IF(NOT($AL181),0,Constants!$B$19*($AK181+$AX181+$AY181+$AZ181)))</f>
        <v/>
      </c>
      <c r="BQ181" s="100" t="str">
        <f aca="false">IF($BL181&lt;&gt;Constants!$B$4,"",IF(OR(NOT($AL181),NOT(ISNUMBER($BA181))),0,CHOOSE($BA181,Constants!$B$13,Constants!$B$14,Constants!$B$15,Constants!$B$16)))</f>
        <v/>
      </c>
      <c r="BR181" s="100" t="str">
        <f aca="false">IF($BL181&lt;&gt;Constants!$B$4,"",IF(NOT($AL181),0,Constants!$B$20*$BB181))</f>
        <v/>
      </c>
      <c r="BS181" s="100" t="str">
        <f aca="false">IF($BL181&lt;&gt;Constants!$B$4,"",IF(AND($AL181,$BD181,$BE181),Constants!$B$22,0))</f>
        <v/>
      </c>
      <c r="BT181" s="100" t="str">
        <f aca="false">IF($BL181&lt;&gt;Constants!$B$4,"",IF(OR(NOT($AL181),NOT($BD181)),0,IF($BJ181&gt;=2*$AH$9,0,Constants!$B$23*INT(ROUND(MIN($BJ181,$AH$9),6)))))</f>
        <v/>
      </c>
      <c r="BU181" s="100" t="str">
        <f aca="false">IF($BL181&lt;&gt;Constants!$B$4,"",IF(NOT($AL181),0,Constants!$B$24*INT(ROUND(MIN($BC181,$AH$9),6))))</f>
        <v/>
      </c>
      <c r="BV181" s="100" t="str">
        <f aca="false">IF($BL181&lt;&gt;Constants!$B$4,"",IF(AND($AL181,$BN181=0),Constants!$B$25,0))</f>
        <v/>
      </c>
      <c r="BW181" s="100" t="str">
        <f aca="false">IF($BL181&lt;&gt;Constants!$B$4,"",MIN(Constants!$B$29,MAX(0,Constants!$B$27*Constants!$B$28*INT(ROUND((Constants!$B$26-$AN181)/Constants!$B$28,6))))+MIN(Constants!$B$29,MAX(0,Constants!$B$27*Constants!$B$28*INT(ROUND((Constants!$B$26-$AO181)/Constants!$B$28,6))))+MIN(Constants!$B$29,MAX(0,Constants!$B$27*Constants!$B$28*INT(ROUND((Constants!$B$26-$AP181)/Constants!$B$28,6)))))</f>
        <v/>
      </c>
      <c r="BX181" s="100" t="str">
        <f aca="false">IF($BL181&lt;&gt;Constants!$B$4,"",IF(NOT($AL181),0,Constants!$B$31*INT(ROUND(MAX(0,MIN($BJ181,2*$AH$9)-$AH$9),6))))</f>
        <v/>
      </c>
      <c r="BY181" s="100" t="str">
        <f aca="false">IF($BL181&lt;&gt;Constants!$B$4,"",Constants!$B$32*(($AN181&gt;Constants!$B$26)+($AO181&gt;Constants!$B$26)+($AP181&gt;Constants!$B$26)))</f>
        <v/>
      </c>
      <c r="BZ181" s="100" t="str">
        <f aca="false">IF($BL181&lt;&gt;Constants!$B$4,"",IF(OR(NOT($AL181),$AQ181),0,Constants!$B$33))</f>
        <v/>
      </c>
      <c r="CA181" s="100" t="str">
        <f aca="false">IF($BL181&lt;&gt;Constants!$B$4,"",Constants!$B$34*$BN181)</f>
        <v/>
      </c>
      <c r="CB181" s="100" t="str">
        <f aca="false">IF($BL181&lt;&gt;Constants!$B$4,"",IF(OR(NOT($AL181),$BH181),0,Constants!$B$36))</f>
        <v/>
      </c>
      <c r="CC181" s="100" t="str">
        <f aca="false">IF($BL181&lt;&gt;Constants!$B$4,"",IF(OR(NOT($AL181),$BG181),0,Constants!$B$37))</f>
        <v/>
      </c>
      <c r="CD181" s="100" t="str">
        <f aca="false">IF($BL181&lt;&gt;Constants!$B$4,"",SUM($BX181:$CC181))</f>
        <v/>
      </c>
      <c r="CE181" s="100" t="str">
        <f aca="false">IF(ISBLANK($C181),"",IF($BL181&lt;&gt;Constants!$B$4,$BL181,SUM($BO181:$BW181)-$CD181))</f>
        <v/>
      </c>
      <c r="CF181" s="100" t="str">
        <f aca="false">IF(ISBLANK($C181),"",IF($BL181&lt;&gt;Constants!$B$4,$BL181,RANK($CE181,$CE$9:$CE$508)))</f>
        <v/>
      </c>
      <c r="CG181" s="100" t="str">
        <f aca="false">IF(ISBLANK($C181),"",IF($BL181&lt;&gt;Constants!$B$4,$BL181,COUNTIFS($BM$9:$BM$508,"&lt;"&amp;$BM181)+COUNTIFS($BM$9:$BM$508,$BM181,$CF$9:$CF$508,"&lt;"&amp;$CF181)+1))</f>
        <v/>
      </c>
      <c r="CH181" s="100" t="str">
        <f aca="false">IF(ISBLANK($C181),"",IF($BL181&lt;&gt;Constants!$B$4,$BL181,RANK($CD181,$CD$9:$CD$508,1)))</f>
        <v/>
      </c>
      <c r="CI181" s="100" t="str">
        <f aca="false">IF($BL181&lt;&gt;Constants!$B$4,"",$AN181+$AO181+$AP181)</f>
        <v/>
      </c>
      <c r="CJ181" s="100" t="str">
        <f aca="false">IF(ISBLANK($C181),"",IF($BL181&lt;&gt;Constants!$B$4,$BL181,RANK($CI181,$CI$9:$CI$508,1)))</f>
        <v/>
      </c>
      <c r="CK181" s="100" t="str">
        <f aca="false">IF(ISBLANK($C181),"",IF($BL181&lt;&gt;Constants!$B$4,$BL181,COUNTIFS($BM$9:$BM$508,"&lt;"&amp;$BM181)+COUNTIFS($BM$9:$BM$508,$BM181,$CF$9:$CF$508,"&lt;"&amp;$CF181)+COUNTIFS($BM$9:$BM$508,$BM181,$CF$9:$CF$508,$CF181,$CH$9:$CH$508,"&lt;"&amp;$CH181)+COUNTIFS($BM$9:$BM$508,$BM181,$CF$9:$CF$508,$CF181,$CH$9:$CH$508,$CH181,$CJ$9:$CJ$508,"&lt;"&amp;$CJ181)+1))</f>
        <v/>
      </c>
      <c r="CL181" s="100" t="str">
        <f aca="false">IF(ISBLANK($C181),"",IF($BL181&lt;&gt;Constants!$B$4,$BL181,$CG181-$CK181))</f>
        <v/>
      </c>
      <c r="CM181" s="100" t="str">
        <f aca="false">IF(ISBLANK($C181),"",IF(NOT($AL181),"",IF(ISBLANK($D$7),$CM$5,IF(NOT(ISNUMBER($D$7)),$CM$6,""))))</f>
        <v/>
      </c>
      <c r="CN181" s="100" t="str">
        <f aca="false">IF(ISBLANK($C181),"",OR($AN181="",$AO181="",$AP181=""))</f>
        <v/>
      </c>
      <c r="CO181" s="100" t="str">
        <f aca="false">IF(ISBLANK($C181),"",AND($AL181,$BA181=""))</f>
        <v/>
      </c>
      <c r="CP181" s="100" t="str">
        <f aca="false">IF(ISBLANK($C181),"",AND($AL181,$BB181=""))</f>
        <v/>
      </c>
      <c r="CQ181" s="100" t="str">
        <f aca="false">IF(ISBLANK($C181),"",AND($AL181,$BC181=""))</f>
        <v/>
      </c>
      <c r="CR181" s="100" t="str">
        <f aca="false">IF(ISBLANK($C181),"",AND($AL181,$BF181=""))</f>
        <v/>
      </c>
      <c r="CS181" s="100" t="str">
        <f aca="false">IF(ISBLANK($C181),"",AND($AL181,$BJ181=""))</f>
        <v/>
      </c>
      <c r="CT181" s="101"/>
      <c r="CU181" s="102"/>
      <c r="CV181" s="103" t="str">
        <f aca="false">IF(ISBLANK($C181),"",IF($BL181=Constants!$B$8,$CM181,""))</f>
        <v/>
      </c>
      <c r="CW181" s="102" t="str">
        <f aca="false">IF(ISBLANK($C181),"",IF($BL181&lt;&gt;Constants!$B$4,"",$BO181+$BP181))</f>
        <v/>
      </c>
      <c r="CX181" s="104" t="str">
        <f aca="false">IF(ISBLANK($C181),"",IF($BL181&lt;&gt;Constants!$B$4,"",$BQ181+$BR181+$BS181))</f>
        <v/>
      </c>
      <c r="CY181" s="104" t="str">
        <f aca="false">IF(ISBLANK($C181),"",IF($BL181&lt;&gt;Constants!$B$4,"",$BT181))</f>
        <v/>
      </c>
      <c r="CZ181" s="104" t="str">
        <f aca="false">IF(ISBLANK($C181),"",IF($BL181&lt;&gt;Constants!$B$4,"",$BU181+$BV181))</f>
        <v/>
      </c>
      <c r="DA181" s="104" t="str">
        <f aca="false">IF(ISBLANK($C181),"",IF($BL181&lt;&gt;Constants!$B$4,"",$BW181))</f>
        <v/>
      </c>
      <c r="DB181" s="104" t="str">
        <f aca="false">IF(ISBLANK($C181),"",IF($BL181&lt;&gt;Constants!$B$4,"",-$CD181))</f>
        <v/>
      </c>
      <c r="DC181" s="103" t="str">
        <f aca="false">IF(ISBLANK($C181),"",$CE181)</f>
        <v/>
      </c>
      <c r="DD181" s="105" t="str">
        <f aca="false">IF(ISBLANK($C181),"",$BM181)</f>
        <v/>
      </c>
      <c r="DE181" s="104" t="str">
        <f aca="false">IF(ISBLANK($C181),"",$CL181)</f>
        <v/>
      </c>
      <c r="DF181" s="104" t="str">
        <f aca="false">IF(ISBLANK($C181),"",$CK181)</f>
        <v/>
      </c>
      <c r="DG181" s="106" t="str">
        <f aca="false">IF(ISBLANK($C181),"",IF($DF181=Constants!$B$7,COUNTA($C$9:$C$508)+2,IF($DF181=Constants!$B$6,COUNTA($C$9:$C$508)+1,IF($DF181=Constants!$B$5,COUNTA($C$9:$C$508),$DF181))))</f>
        <v/>
      </c>
      <c r="DH181" s="7"/>
      <c r="DI181" s="107" t="n">
        <f aca="false">IF(OR(ISNUMBER($DF181),$DF181=Constants!$B$7,$DF181=Constants!$B$5,$DF181=Constants!$B$6),1,0)</f>
        <v>0</v>
      </c>
      <c r="DJ181" s="107" t="n">
        <v>173</v>
      </c>
      <c r="DK181" s="107" t="str">
        <f aca="false">IF(ISBLANK($C181),"",IF(ISNUMBER($DG181),$DG181+ROW($B181)/1000,""))</f>
        <v/>
      </c>
      <c r="DL181" s="107" t="str">
        <f aca="false">IF(ISNUMBER($DK181),RANK($DK181,$DK$9:$DK$508,1),"")</f>
        <v/>
      </c>
      <c r="DM181" s="107" t="str">
        <f aca="false">IF(ISBLANK($C181),"",$B181)</f>
        <v/>
      </c>
      <c r="DN181" s="107" t="str">
        <f aca="false">IF(ISBLANK($C181),"",$C181)</f>
        <v/>
      </c>
      <c r="DO181" s="107" t="str">
        <f aca="false">IF(ISBLANK($C181),"",$D181)</f>
        <v/>
      </c>
      <c r="DP181" s="108" t="str">
        <f aca="false">$DD181</f>
        <v/>
      </c>
      <c r="DQ181" s="109" t="str">
        <f aca="false">$DC181</f>
        <v/>
      </c>
      <c r="DR181" s="107" t="str">
        <f aca="false">IF(ISBLANK($C181),"",$DF181)</f>
        <v/>
      </c>
      <c r="DS181" s="110" t="str">
        <f aca="false">IF($DJ181&gt;$DI$8,"",VLOOKUP($DJ181,$DL$9:$DR$508,7,FALSE()))</f>
        <v/>
      </c>
      <c r="DT181" s="111" t="str">
        <f aca="false">IF($DJ181&gt;$DI$8,"",VLOOKUP($DJ181,$DL$9:$DR$508,2,FALSE()))</f>
        <v/>
      </c>
      <c r="DU181" s="111" t="str">
        <f aca="false">IF($DJ181&gt;$DI$8,"",VLOOKUP($DJ181,$DL$9:$DR$508,3,FALSE()))</f>
        <v/>
      </c>
      <c r="DV181" s="111" t="str">
        <f aca="false">IF($DJ181&gt;$DI$8,"",VLOOKUP($DJ181,$DL$9:$DR$508,4,FALSE()))</f>
        <v/>
      </c>
      <c r="DW181" s="111" t="str">
        <f aca="false">IF($DJ181&gt;$DI$8,"",VLOOKUP($DJ181,$DL$9:$DR$508,5,FALSE()))</f>
        <v/>
      </c>
      <c r="DX181" s="112" t="str">
        <f aca="false">IF($DJ181&gt;$DI$8,"",VLOOKUP($DJ181,$DL$9:$DR$508,6,FALSE()))</f>
        <v/>
      </c>
      <c r="DY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130"/>
      <c r="N182" s="130"/>
      <c r="O182" s="135"/>
      <c r="P182" s="135"/>
      <c r="Q182" s="130"/>
      <c r="R182" s="130"/>
      <c r="S182" s="130"/>
      <c r="T182" s="130"/>
      <c r="U182" s="135"/>
      <c r="V182" s="130"/>
      <c r="W182" s="96"/>
      <c r="X182" s="130"/>
      <c r="Y182" s="130"/>
      <c r="Z182" s="96"/>
      <c r="AA182" s="96"/>
      <c r="AB182" s="130"/>
      <c r="AC182" s="130"/>
      <c r="AD182" s="130"/>
      <c r="AE182" s="97"/>
      <c r="AF182" s="130"/>
      <c r="AG182" s="99"/>
      <c r="AH182" s="100"/>
      <c r="AI182" s="100"/>
      <c r="AJ182" s="100" t="str">
        <f aca="false">IF(ISBLANK($C182),"",IF($E182=Constants!$B$2,TRUE(),IF($E182=Constants!$B$3,FALSE(),TRUE())))</f>
        <v/>
      </c>
      <c r="AK182" s="100" t="str">
        <f aca="false">IF(ISBLANK($C182),"",IF($F182=Constants!$B$2,TRUE(),IF($F182=Constants!$B$3,FALSE(),FALSE())))</f>
        <v/>
      </c>
      <c r="AL182" s="100" t="str">
        <f aca="false">IF(ISBLANK($C182),"",IF($G182=Constants!$B$2,TRUE(),IF($G182=Constants!$B$3,FALSE(),TRUE())))</f>
        <v/>
      </c>
      <c r="AM182" s="100" t="str">
        <f aca="false">IF(ISBLANK($C182),"",IF($H182=Constants!$B$2,TRUE(),IF($H182=Constants!$B$3,FALSE(),TRUE())))</f>
        <v/>
      </c>
      <c r="AN182" s="100" t="str">
        <f aca="false">IF(ISBLANK($C182),"",IF(ISNUMBER($I182),IF($I182&gt;=0,$I182,""),""))</f>
        <v/>
      </c>
      <c r="AO182" s="100" t="str">
        <f aca="false">IF(ISBLANK($C182),"",IF(ISNUMBER($J182),IF($J182&gt;=0,$J182,""),""))</f>
        <v/>
      </c>
      <c r="AP182" s="100" t="str">
        <f aca="false">IF(ISBLANK($C182),"",IF(ISNUMBER($K182),IF($K182&gt;=0,$K182,""),""))</f>
        <v/>
      </c>
      <c r="AQ182" s="100" t="str">
        <f aca="false">IF(ISBLANK($C182),"",IF($L182=Constants!$B$2,TRUE(),IF($L182=Constants!$B$3,FALSE(),TRUE())))</f>
        <v/>
      </c>
      <c r="AR182" s="100" t="str">
        <f aca="false">IF(ISBLANK($C182),"",IF($M182=Constants!$B$2,TRUE(),IF($M182=Constants!$B$3,FALSE(),TRUE())))</f>
        <v/>
      </c>
      <c r="AS182" s="100" t="str">
        <f aca="false">IF(ISBLANK($C182),"",IF($N182=Constants!$B$2,TRUE(),IF($N182=Constants!$B$3,FALSE(),FALSE())))</f>
        <v/>
      </c>
      <c r="AT182" s="100" t="str">
        <f aca="false">IF(ISBLANK($C182),"",IF($O182=Constants!$B$2,TRUE(),IF($O182=Constants!$B$3,FALSE(),TRUE())))</f>
        <v/>
      </c>
      <c r="AU182" s="100" t="str">
        <f aca="false">IF(ISBLANK($C182),"",IF($P182=Constants!$B$2,TRUE(),IF($P182=Constants!$B$3,FALSE(),TRUE())))</f>
        <v/>
      </c>
      <c r="AV182" s="100" t="str">
        <f aca="false">IF(ISBLANK($C182),"",IF($Q182=Constants!$B$2,TRUE(),IF($Q182=Constants!$B$3,FALSE(),FALSE())))</f>
        <v/>
      </c>
      <c r="AW182" s="100" t="str">
        <f aca="false">IF(ISBLANK($C182),"",IF($R182=Constants!$B$2,TRUE(),IF($R182=Constants!$B$3,FALSE(),FALSE())))</f>
        <v/>
      </c>
      <c r="AX182" s="100" t="str">
        <f aca="false">IF(ISBLANK($C182),"",IF($S182=Constants!$B$2,TRUE(),IF($S182=Constants!$B$3,FALSE(),FALSE())))</f>
        <v/>
      </c>
      <c r="AY182" s="100" t="str">
        <f aca="false">IF(ISBLANK($C182),"",IF($T182=Constants!$B$2,TRUE(),IF($T182=Constants!$B$3,FALSE(),FALSE())))</f>
        <v/>
      </c>
      <c r="AZ182" s="100" t="str">
        <f aca="false">IF(ISBLANK($C182),"",IF($U182=Constants!$B$2,TRUE(),IF($U182=Constants!$B$3,FALSE(),FALSE())))</f>
        <v/>
      </c>
      <c r="BA182" s="100" t="str">
        <f aca="false">IF(ISBLANK($C182),"",IF(OR($V182&amp;""="1",$V182&amp;""="2",$V182&amp;""="3",$V182&amp;""="4"),VALUE($V182&amp;""),IF($V182=Constants!$B$12,Constants!$B$12,"")))</f>
        <v/>
      </c>
      <c r="BB182" s="100" t="str">
        <f aca="false">IF(ISBLANK($C182),"",IF(ISBLANK($W182),0,IF(ISNUMBER($W182),IF(AND($W182&gt;=0,$W182&lt;=Constants!$B$21,$W182=INT($W182)),$W182,""),"")))</f>
        <v/>
      </c>
      <c r="BC182" s="100" t="str">
        <f aca="false">IF(ISBLANK($C182),"",IF(ISBLANK($X182),0,IF(ISNUMBER($X182),IF($X182&gt;=0,$X182,""),"")))</f>
        <v/>
      </c>
      <c r="BD182" s="100" t="str">
        <f aca="false">IF(ISBLANK($C182),"",IF($Y182=Constants!$B$2,TRUE(),IF($Y182=Constants!$B$3,FALSE(),TRUE())))</f>
        <v/>
      </c>
      <c r="BE182" s="100" t="str">
        <f aca="false">IF(ISBLANK($C182),"",IF($Z182=Constants!$B$2,TRUE(),IF($Z182=Constants!$B$3,FALSE(),FALSE())))</f>
        <v/>
      </c>
      <c r="BF182" s="100" t="str">
        <f aca="false">IF(ISBLANK($C182),"",IF(ISBLANK($AA182),0,IF(ISNUMBER($AA182),IF(AND($AA182&gt;=0,$AA182&lt;=Constants!$B$35,$AA182=INT($AA182)),$AA182,""),"")))</f>
        <v/>
      </c>
      <c r="BG182" s="100" t="str">
        <f aca="false">IF(ISBLANK($C182),"",IF($AB182=Constants!$B$2,TRUE(),IF($AB182=Constants!$B$3,FALSE(),TRUE())))</f>
        <v/>
      </c>
      <c r="BH182" s="100" t="str">
        <f aca="false">IF(ISBLANK($C182),"",IF($AC182=Constants!$B$2,TRUE(),IF($AC182=Constants!$B$3,FALSE(),TRUE())))</f>
        <v/>
      </c>
      <c r="BI182" s="100" t="str">
        <f aca="false">IF(ISBLANK($C182),"",IF($AD182=Constants!$B$2,TRUE(),IF($AD182=Constants!$B$3,FALSE(),TRUE())))</f>
        <v/>
      </c>
      <c r="BJ182" s="100" t="str">
        <f aca="false">IF(ISBLANK($C182),"",IF(ISNUMBER($AE182),IF($AE182&gt;=0,$AE182,""),""))</f>
        <v/>
      </c>
      <c r="BK182" s="100" t="str">
        <f aca="false">IF(ISBLANK($C182),"",IF($AF182=Constants!$B$2,TRUE(),IF($AF182=Constants!$B$3,FALSE(),FALSE())))</f>
        <v/>
      </c>
      <c r="BL182" s="99" t="str">
        <f aca="false">IF(ISBLANK($C182),"",IF($BK182,Constants!$B$7,IF(COUNTA($E182:$AE182)=0,Constants!$B$6,IF(OR(COUNTA($G182:$AE182)=0,NOT($AM182),$AS182),Constants!$B$5,IF(OR($CM182&lt;&gt;"",$CN182,$CO182,$CP182,$CQ182,$CR182,$CS182),Constants!$B$8,Constants!$B$4)))))</f>
        <v/>
      </c>
      <c r="BM182" s="100" t="str">
        <f aca="false">IF(ISBLANK($C182),"",IF($BL182&lt;&gt;Constants!$B$4,$BL182,IF(OR(NOT($AJ182),NOT($AL182),NOT($AT182)),Constants!$B$11,IF(OR(NOT($AR182),NOT($AU182),NOT($BI182),MAX($AN182,$AO182,$AP182)&gt;Constants!$B$30),Constants!$B$10,Constants!$B$9))))</f>
        <v/>
      </c>
      <c r="BN182" s="100" t="str">
        <f aca="false">IF($BL182&lt;&gt;Constants!$B$4,"",IF(NOT($AL182),0,MIN(Constants!$B$35,$BF182)))</f>
        <v/>
      </c>
      <c r="BO182" s="100" t="str">
        <f aca="false">IF($BL182&lt;&gt;Constants!$B$4,"",IF(NOT($AL182),0,IF($AW182,Constants!$B$18,IF($AV182,Constants!$B$17,0))))</f>
        <v/>
      </c>
      <c r="BP182" s="100" t="str">
        <f aca="false">IF($BL182&lt;&gt;Constants!$B$4,"",IF(NOT($AL182),0,Constants!$B$19*($AK182+$AX182+$AY182+$AZ182)))</f>
        <v/>
      </c>
      <c r="BQ182" s="100" t="str">
        <f aca="false">IF($BL182&lt;&gt;Constants!$B$4,"",IF(OR(NOT($AL182),NOT(ISNUMBER($BA182))),0,CHOOSE($BA182,Constants!$B$13,Constants!$B$14,Constants!$B$15,Constants!$B$16)))</f>
        <v/>
      </c>
      <c r="BR182" s="100" t="str">
        <f aca="false">IF($BL182&lt;&gt;Constants!$B$4,"",IF(NOT($AL182),0,Constants!$B$20*$BB182))</f>
        <v/>
      </c>
      <c r="BS182" s="100" t="str">
        <f aca="false">IF($BL182&lt;&gt;Constants!$B$4,"",IF(AND($AL182,$BD182,$BE182),Constants!$B$22,0))</f>
        <v/>
      </c>
      <c r="BT182" s="100" t="str">
        <f aca="false">IF($BL182&lt;&gt;Constants!$B$4,"",IF(OR(NOT($AL182),NOT($BD182)),0,IF($BJ182&gt;=2*$AH$9,0,Constants!$B$23*INT(ROUND(MIN($BJ182,$AH$9),6)))))</f>
        <v/>
      </c>
      <c r="BU182" s="100" t="str">
        <f aca="false">IF($BL182&lt;&gt;Constants!$B$4,"",IF(NOT($AL182),0,Constants!$B$24*INT(ROUND(MIN($BC182,$AH$9),6))))</f>
        <v/>
      </c>
      <c r="BV182" s="100" t="str">
        <f aca="false">IF($BL182&lt;&gt;Constants!$B$4,"",IF(AND($AL182,$BN182=0),Constants!$B$25,0))</f>
        <v/>
      </c>
      <c r="BW182" s="100" t="str">
        <f aca="false">IF($BL182&lt;&gt;Constants!$B$4,"",MIN(Constants!$B$29,MAX(0,Constants!$B$27*Constants!$B$28*INT(ROUND((Constants!$B$26-$AN182)/Constants!$B$28,6))))+MIN(Constants!$B$29,MAX(0,Constants!$B$27*Constants!$B$28*INT(ROUND((Constants!$B$26-$AO182)/Constants!$B$28,6))))+MIN(Constants!$B$29,MAX(0,Constants!$B$27*Constants!$B$28*INT(ROUND((Constants!$B$26-$AP182)/Constants!$B$28,6)))))</f>
        <v/>
      </c>
      <c r="BX182" s="100" t="str">
        <f aca="false">IF($BL182&lt;&gt;Constants!$B$4,"",IF(NOT($AL182),0,Constants!$B$31*INT(ROUND(MAX(0,MIN($BJ182,2*$AH$9)-$AH$9),6))))</f>
        <v/>
      </c>
      <c r="BY182" s="100" t="str">
        <f aca="false">IF($BL182&lt;&gt;Constants!$B$4,"",Constants!$B$32*(($AN182&gt;Constants!$B$26)+($AO182&gt;Constants!$B$26)+($AP182&gt;Constants!$B$26)))</f>
        <v/>
      </c>
      <c r="BZ182" s="100" t="str">
        <f aca="false">IF($BL182&lt;&gt;Constants!$B$4,"",IF(OR(NOT($AL182),$AQ182),0,Constants!$B$33))</f>
        <v/>
      </c>
      <c r="CA182" s="100" t="str">
        <f aca="false">IF($BL182&lt;&gt;Constants!$B$4,"",Constants!$B$34*$BN182)</f>
        <v/>
      </c>
      <c r="CB182" s="100" t="str">
        <f aca="false">IF($BL182&lt;&gt;Constants!$B$4,"",IF(OR(NOT($AL182),$BH182),0,Constants!$B$36))</f>
        <v/>
      </c>
      <c r="CC182" s="100" t="str">
        <f aca="false">IF($BL182&lt;&gt;Constants!$B$4,"",IF(OR(NOT($AL182),$BG182),0,Constants!$B$37))</f>
        <v/>
      </c>
      <c r="CD182" s="100" t="str">
        <f aca="false">IF($BL182&lt;&gt;Constants!$B$4,"",SUM($BX182:$CC182))</f>
        <v/>
      </c>
      <c r="CE182" s="100" t="str">
        <f aca="false">IF(ISBLANK($C182),"",IF($BL182&lt;&gt;Constants!$B$4,$BL182,SUM($BO182:$BW182)-$CD182))</f>
        <v/>
      </c>
      <c r="CF182" s="100" t="str">
        <f aca="false">IF(ISBLANK($C182),"",IF($BL182&lt;&gt;Constants!$B$4,$BL182,RANK($CE182,$CE$9:$CE$508)))</f>
        <v/>
      </c>
      <c r="CG182" s="100" t="str">
        <f aca="false">IF(ISBLANK($C182),"",IF($BL182&lt;&gt;Constants!$B$4,$BL182,COUNTIFS($BM$9:$BM$508,"&lt;"&amp;$BM182)+COUNTIFS($BM$9:$BM$508,$BM182,$CF$9:$CF$508,"&lt;"&amp;$CF182)+1))</f>
        <v/>
      </c>
      <c r="CH182" s="100" t="str">
        <f aca="false">IF(ISBLANK($C182),"",IF($BL182&lt;&gt;Constants!$B$4,$BL182,RANK($CD182,$CD$9:$CD$508,1)))</f>
        <v/>
      </c>
      <c r="CI182" s="100" t="str">
        <f aca="false">IF($BL182&lt;&gt;Constants!$B$4,"",$AN182+$AO182+$AP182)</f>
        <v/>
      </c>
      <c r="CJ182" s="100" t="str">
        <f aca="false">IF(ISBLANK($C182),"",IF($BL182&lt;&gt;Constants!$B$4,$BL182,RANK($CI182,$CI$9:$CI$508,1)))</f>
        <v/>
      </c>
      <c r="CK182" s="100" t="str">
        <f aca="false">IF(ISBLANK($C182),"",IF($BL182&lt;&gt;Constants!$B$4,$BL182,COUNTIFS($BM$9:$BM$508,"&lt;"&amp;$BM182)+COUNTIFS($BM$9:$BM$508,$BM182,$CF$9:$CF$508,"&lt;"&amp;$CF182)+COUNTIFS($BM$9:$BM$508,$BM182,$CF$9:$CF$508,$CF182,$CH$9:$CH$508,"&lt;"&amp;$CH182)+COUNTIFS($BM$9:$BM$508,$BM182,$CF$9:$CF$508,$CF182,$CH$9:$CH$508,$CH182,$CJ$9:$CJ$508,"&lt;"&amp;$CJ182)+1))</f>
        <v/>
      </c>
      <c r="CL182" s="100" t="str">
        <f aca="false">IF(ISBLANK($C182),"",IF($BL182&lt;&gt;Constants!$B$4,$BL182,$CG182-$CK182))</f>
        <v/>
      </c>
      <c r="CM182" s="100" t="str">
        <f aca="false">IF(ISBLANK($C182),"",IF(NOT($AL182),"",IF(ISBLANK($D$7),$CM$5,IF(NOT(ISNUMBER($D$7)),$CM$6,""))))</f>
        <v/>
      </c>
      <c r="CN182" s="100" t="str">
        <f aca="false">IF(ISBLANK($C182),"",OR($AN182="",$AO182="",$AP182=""))</f>
        <v/>
      </c>
      <c r="CO182" s="100" t="str">
        <f aca="false">IF(ISBLANK($C182),"",AND($AL182,$BA182=""))</f>
        <v/>
      </c>
      <c r="CP182" s="100" t="str">
        <f aca="false">IF(ISBLANK($C182),"",AND($AL182,$BB182=""))</f>
        <v/>
      </c>
      <c r="CQ182" s="100" t="str">
        <f aca="false">IF(ISBLANK($C182),"",AND($AL182,$BC182=""))</f>
        <v/>
      </c>
      <c r="CR182" s="100" t="str">
        <f aca="false">IF(ISBLANK($C182),"",AND($AL182,$BF182=""))</f>
        <v/>
      </c>
      <c r="CS182" s="100" t="str">
        <f aca="false">IF(ISBLANK($C182),"",AND($AL182,$BJ182=""))</f>
        <v/>
      </c>
      <c r="CT182" s="101"/>
      <c r="CU182" s="102"/>
      <c r="CV182" s="103" t="str">
        <f aca="false">IF(ISBLANK($C182),"",IF($BL182=Constants!$B$8,$CM182,""))</f>
        <v/>
      </c>
      <c r="CW182" s="102" t="str">
        <f aca="false">IF(ISBLANK($C182),"",IF($BL182&lt;&gt;Constants!$B$4,"",$BO182+$BP182))</f>
        <v/>
      </c>
      <c r="CX182" s="104" t="str">
        <f aca="false">IF(ISBLANK($C182),"",IF($BL182&lt;&gt;Constants!$B$4,"",$BQ182+$BR182+$BS182))</f>
        <v/>
      </c>
      <c r="CY182" s="104" t="str">
        <f aca="false">IF(ISBLANK($C182),"",IF($BL182&lt;&gt;Constants!$B$4,"",$BT182))</f>
        <v/>
      </c>
      <c r="CZ182" s="104" t="str">
        <f aca="false">IF(ISBLANK($C182),"",IF($BL182&lt;&gt;Constants!$B$4,"",$BU182+$BV182))</f>
        <v/>
      </c>
      <c r="DA182" s="104" t="str">
        <f aca="false">IF(ISBLANK($C182),"",IF($BL182&lt;&gt;Constants!$B$4,"",$BW182))</f>
        <v/>
      </c>
      <c r="DB182" s="104" t="str">
        <f aca="false">IF(ISBLANK($C182),"",IF($BL182&lt;&gt;Constants!$B$4,"",-$CD182))</f>
        <v/>
      </c>
      <c r="DC182" s="103" t="str">
        <f aca="false">IF(ISBLANK($C182),"",$CE182)</f>
        <v/>
      </c>
      <c r="DD182" s="105" t="str">
        <f aca="false">IF(ISBLANK($C182),"",$BM182)</f>
        <v/>
      </c>
      <c r="DE182" s="104" t="str">
        <f aca="false">IF(ISBLANK($C182),"",$CL182)</f>
        <v/>
      </c>
      <c r="DF182" s="104" t="str">
        <f aca="false">IF(ISBLANK($C182),"",$CK182)</f>
        <v/>
      </c>
      <c r="DG182" s="106" t="str">
        <f aca="false">IF(ISBLANK($C182),"",IF($DF182=Constants!$B$7,COUNTA($C$9:$C$508)+2,IF($DF182=Constants!$B$6,COUNTA($C$9:$C$508)+1,IF($DF182=Constants!$B$5,COUNTA($C$9:$C$508),$DF182))))</f>
        <v/>
      </c>
      <c r="DH182" s="7"/>
      <c r="DI182" s="107" t="n">
        <f aca="false">IF(OR(ISNUMBER($DF182),$DF182=Constants!$B$7,$DF182=Constants!$B$5,$DF182=Constants!$B$6),1,0)</f>
        <v>0</v>
      </c>
      <c r="DJ182" s="107" t="n">
        <v>174</v>
      </c>
      <c r="DK182" s="107" t="str">
        <f aca="false">IF(ISBLANK($C182),"",IF(ISNUMBER($DG182),$DG182+ROW($B182)/1000,""))</f>
        <v/>
      </c>
      <c r="DL182" s="107" t="str">
        <f aca="false">IF(ISNUMBER($DK182),RANK($DK182,$DK$9:$DK$508,1),"")</f>
        <v/>
      </c>
      <c r="DM182" s="107" t="str">
        <f aca="false">IF(ISBLANK($C182),"",$B182)</f>
        <v/>
      </c>
      <c r="DN182" s="107" t="str">
        <f aca="false">IF(ISBLANK($C182),"",$C182)</f>
        <v/>
      </c>
      <c r="DO182" s="107" t="str">
        <f aca="false">IF(ISBLANK($C182),"",$D182)</f>
        <v/>
      </c>
      <c r="DP182" s="108" t="str">
        <f aca="false">$DD182</f>
        <v/>
      </c>
      <c r="DQ182" s="109" t="str">
        <f aca="false">$DC182</f>
        <v/>
      </c>
      <c r="DR182" s="107" t="str">
        <f aca="false">IF(ISBLANK($C182),"",$DF182)</f>
        <v/>
      </c>
      <c r="DS182" s="110" t="str">
        <f aca="false">IF($DJ182&gt;$DI$8,"",VLOOKUP($DJ182,$DL$9:$DR$508,7,FALSE()))</f>
        <v/>
      </c>
      <c r="DT182" s="111" t="str">
        <f aca="false">IF($DJ182&gt;$DI$8,"",VLOOKUP($DJ182,$DL$9:$DR$508,2,FALSE()))</f>
        <v/>
      </c>
      <c r="DU182" s="111" t="str">
        <f aca="false">IF($DJ182&gt;$DI$8,"",VLOOKUP($DJ182,$DL$9:$DR$508,3,FALSE()))</f>
        <v/>
      </c>
      <c r="DV182" s="111" t="str">
        <f aca="false">IF($DJ182&gt;$DI$8,"",VLOOKUP($DJ182,$DL$9:$DR$508,4,FALSE()))</f>
        <v/>
      </c>
      <c r="DW182" s="111" t="str">
        <f aca="false">IF($DJ182&gt;$DI$8,"",VLOOKUP($DJ182,$DL$9:$DR$508,5,FALSE()))</f>
        <v/>
      </c>
      <c r="DX182" s="112" t="str">
        <f aca="false">IF($DJ182&gt;$DI$8,"",VLOOKUP($DJ182,$DL$9:$DR$508,6,FALSE()))</f>
        <v/>
      </c>
      <c r="DY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88"/>
      <c r="N183" s="88"/>
      <c r="O183" s="134"/>
      <c r="P183" s="134"/>
      <c r="Q183" s="88"/>
      <c r="R183" s="88"/>
      <c r="S183" s="88"/>
      <c r="T183" s="88"/>
      <c r="U183" s="134"/>
      <c r="V183" s="88"/>
      <c r="W183" s="70"/>
      <c r="X183" s="88"/>
      <c r="Y183" s="88"/>
      <c r="Z183" s="70"/>
      <c r="AA183" s="70"/>
      <c r="AB183" s="88"/>
      <c r="AC183" s="88"/>
      <c r="AD183" s="88"/>
      <c r="AE183" s="71"/>
      <c r="AF183" s="88"/>
      <c r="AG183" s="73"/>
      <c r="AH183" s="74"/>
      <c r="AI183" s="74"/>
      <c r="AJ183" s="74" t="str">
        <f aca="false">IF(ISBLANK($C183),"",IF($E183=Constants!$B$2,TRUE(),IF($E183=Constants!$B$3,FALSE(),TRUE())))</f>
        <v/>
      </c>
      <c r="AK183" s="74" t="str">
        <f aca="false">IF(ISBLANK($C183),"",IF($F183=Constants!$B$2,TRUE(),IF($F183=Constants!$B$3,FALSE(),FALSE())))</f>
        <v/>
      </c>
      <c r="AL183" s="74" t="str">
        <f aca="false">IF(ISBLANK($C183),"",IF($G183=Constants!$B$2,TRUE(),IF($G183=Constants!$B$3,FALSE(),TRUE())))</f>
        <v/>
      </c>
      <c r="AM183" s="74" t="str">
        <f aca="false">IF(ISBLANK($C183),"",IF($H183=Constants!$B$2,TRUE(),IF($H183=Constants!$B$3,FALSE(),TRUE())))</f>
        <v/>
      </c>
      <c r="AN183" s="74" t="str">
        <f aca="false">IF(ISBLANK($C183),"",IF(ISNUMBER($I183),IF($I183&gt;=0,$I183,""),""))</f>
        <v/>
      </c>
      <c r="AO183" s="74" t="str">
        <f aca="false">IF(ISBLANK($C183),"",IF(ISNUMBER($J183),IF($J183&gt;=0,$J183,""),""))</f>
        <v/>
      </c>
      <c r="AP183" s="74" t="str">
        <f aca="false">IF(ISBLANK($C183),"",IF(ISNUMBER($K183),IF($K183&gt;=0,$K183,""),""))</f>
        <v/>
      </c>
      <c r="AQ183" s="74" t="str">
        <f aca="false">IF(ISBLANK($C183),"",IF($L183=Constants!$B$2,TRUE(),IF($L183=Constants!$B$3,FALSE(),TRUE())))</f>
        <v/>
      </c>
      <c r="AR183" s="74" t="str">
        <f aca="false">IF(ISBLANK($C183),"",IF($M183=Constants!$B$2,TRUE(),IF($M183=Constants!$B$3,FALSE(),TRUE())))</f>
        <v/>
      </c>
      <c r="AS183" s="74" t="str">
        <f aca="false">IF(ISBLANK($C183),"",IF($N183=Constants!$B$2,TRUE(),IF($N183=Constants!$B$3,FALSE(),FALSE())))</f>
        <v/>
      </c>
      <c r="AT183" s="74" t="str">
        <f aca="false">IF(ISBLANK($C183),"",IF($O183=Constants!$B$2,TRUE(),IF($O183=Constants!$B$3,FALSE(),TRUE())))</f>
        <v/>
      </c>
      <c r="AU183" s="74" t="str">
        <f aca="false">IF(ISBLANK($C183),"",IF($P183=Constants!$B$2,TRUE(),IF($P183=Constants!$B$3,FALSE(),TRUE())))</f>
        <v/>
      </c>
      <c r="AV183" s="74" t="str">
        <f aca="false">IF(ISBLANK($C183),"",IF($Q183=Constants!$B$2,TRUE(),IF($Q183=Constants!$B$3,FALSE(),FALSE())))</f>
        <v/>
      </c>
      <c r="AW183" s="74" t="str">
        <f aca="false">IF(ISBLANK($C183),"",IF($R183=Constants!$B$2,TRUE(),IF($R183=Constants!$B$3,FALSE(),FALSE())))</f>
        <v/>
      </c>
      <c r="AX183" s="74" t="str">
        <f aca="false">IF(ISBLANK($C183),"",IF($S183=Constants!$B$2,TRUE(),IF($S183=Constants!$B$3,FALSE(),FALSE())))</f>
        <v/>
      </c>
      <c r="AY183" s="74" t="str">
        <f aca="false">IF(ISBLANK($C183),"",IF($T183=Constants!$B$2,TRUE(),IF($T183=Constants!$B$3,FALSE(),FALSE())))</f>
        <v/>
      </c>
      <c r="AZ183" s="74" t="str">
        <f aca="false">IF(ISBLANK($C183),"",IF($U183=Constants!$B$2,TRUE(),IF($U183=Constants!$B$3,FALSE(),FALSE())))</f>
        <v/>
      </c>
      <c r="BA183" s="74" t="str">
        <f aca="false">IF(ISBLANK($C183),"",IF(OR($V183&amp;""="1",$V183&amp;""="2",$V183&amp;""="3",$V183&amp;""="4"),VALUE($V183&amp;""),IF($V183=Constants!$B$12,Constants!$B$12,"")))</f>
        <v/>
      </c>
      <c r="BB183" s="74" t="str">
        <f aca="false">IF(ISBLANK($C183),"",IF(ISBLANK($W183),0,IF(ISNUMBER($W183),IF(AND($W183&gt;=0,$W183&lt;=Constants!$B$21,$W183=INT($W183)),$W183,""),"")))</f>
        <v/>
      </c>
      <c r="BC183" s="74" t="str">
        <f aca="false">IF(ISBLANK($C183),"",IF(ISBLANK($X183),0,IF(ISNUMBER($X183),IF($X183&gt;=0,$X183,""),"")))</f>
        <v/>
      </c>
      <c r="BD183" s="74" t="str">
        <f aca="false">IF(ISBLANK($C183),"",IF($Y183=Constants!$B$2,TRUE(),IF($Y183=Constants!$B$3,FALSE(),TRUE())))</f>
        <v/>
      </c>
      <c r="BE183" s="74" t="str">
        <f aca="false">IF(ISBLANK($C183),"",IF($Z183=Constants!$B$2,TRUE(),IF($Z183=Constants!$B$3,FALSE(),FALSE())))</f>
        <v/>
      </c>
      <c r="BF183" s="74" t="str">
        <f aca="false">IF(ISBLANK($C183),"",IF(ISBLANK($AA183),0,IF(ISNUMBER($AA183),IF(AND($AA183&gt;=0,$AA183&lt;=Constants!$B$35,$AA183=INT($AA183)),$AA183,""),"")))</f>
        <v/>
      </c>
      <c r="BG183" s="74" t="str">
        <f aca="false">IF(ISBLANK($C183),"",IF($AB183=Constants!$B$2,TRUE(),IF($AB183=Constants!$B$3,FALSE(),TRUE())))</f>
        <v/>
      </c>
      <c r="BH183" s="74" t="str">
        <f aca="false">IF(ISBLANK($C183),"",IF($AC183=Constants!$B$2,TRUE(),IF($AC183=Constants!$B$3,FALSE(),TRUE())))</f>
        <v/>
      </c>
      <c r="BI183" s="74" t="str">
        <f aca="false">IF(ISBLANK($C183),"",IF($AD183=Constants!$B$2,TRUE(),IF($AD183=Constants!$B$3,FALSE(),TRUE())))</f>
        <v/>
      </c>
      <c r="BJ183" s="74" t="str">
        <f aca="false">IF(ISBLANK($C183),"",IF(ISNUMBER($AE183),IF($AE183&gt;=0,$AE183,""),""))</f>
        <v/>
      </c>
      <c r="BK183" s="74" t="str">
        <f aca="false">IF(ISBLANK($C183),"",IF($AF183=Constants!$B$2,TRUE(),IF($AF183=Constants!$B$3,FALSE(),FALSE())))</f>
        <v/>
      </c>
      <c r="BL183" s="73" t="str">
        <f aca="false">IF(ISBLANK($C183),"",IF($BK183,Constants!$B$7,IF(COUNTA($E183:$AE183)=0,Constants!$B$6,IF(OR(COUNTA($G183:$AE183)=0,NOT($AM183),$AS183),Constants!$B$5,IF(OR($CM183&lt;&gt;"",$CN183,$CO183,$CP183,$CQ183,$CR183,$CS183),Constants!$B$8,Constants!$B$4)))))</f>
        <v/>
      </c>
      <c r="BM183" s="74" t="str">
        <f aca="false">IF(ISBLANK($C183),"",IF($BL183&lt;&gt;Constants!$B$4,$BL183,IF(OR(NOT($AJ183),NOT($AL183),NOT($AT183)),Constants!$B$11,IF(OR(NOT($AR183),NOT($AU183),NOT($BI183),MAX($AN183,$AO183,$AP183)&gt;Constants!$B$30),Constants!$B$10,Constants!$B$9))))</f>
        <v/>
      </c>
      <c r="BN183" s="74" t="str">
        <f aca="false">IF($BL183&lt;&gt;Constants!$B$4,"",IF(NOT($AL183),0,MIN(Constants!$B$35,$BF183)))</f>
        <v/>
      </c>
      <c r="BO183" s="74" t="str">
        <f aca="false">IF($BL183&lt;&gt;Constants!$B$4,"",IF(NOT($AL183),0,IF($AW183,Constants!$B$18,IF($AV183,Constants!$B$17,0))))</f>
        <v/>
      </c>
      <c r="BP183" s="74" t="str">
        <f aca="false">IF($BL183&lt;&gt;Constants!$B$4,"",IF(NOT($AL183),0,Constants!$B$19*($AK183+$AX183+$AY183+$AZ183)))</f>
        <v/>
      </c>
      <c r="BQ183" s="74" t="str">
        <f aca="false">IF($BL183&lt;&gt;Constants!$B$4,"",IF(OR(NOT($AL183),NOT(ISNUMBER($BA183))),0,CHOOSE($BA183,Constants!$B$13,Constants!$B$14,Constants!$B$15,Constants!$B$16)))</f>
        <v/>
      </c>
      <c r="BR183" s="74" t="str">
        <f aca="false">IF($BL183&lt;&gt;Constants!$B$4,"",IF(NOT($AL183),0,Constants!$B$20*$BB183))</f>
        <v/>
      </c>
      <c r="BS183" s="74" t="str">
        <f aca="false">IF($BL183&lt;&gt;Constants!$B$4,"",IF(AND($AL183,$BD183,$BE183),Constants!$B$22,0))</f>
        <v/>
      </c>
      <c r="BT183" s="74" t="str">
        <f aca="false">IF($BL183&lt;&gt;Constants!$B$4,"",IF(OR(NOT($AL183),NOT($BD183)),0,IF($BJ183&gt;=2*$AH$9,0,Constants!$B$23*INT(ROUND(MIN($BJ183,$AH$9),6)))))</f>
        <v/>
      </c>
      <c r="BU183" s="74" t="str">
        <f aca="false">IF($BL183&lt;&gt;Constants!$B$4,"",IF(NOT($AL183),0,Constants!$B$24*INT(ROUND(MIN($BC183,$AH$9),6))))</f>
        <v/>
      </c>
      <c r="BV183" s="74" t="str">
        <f aca="false">IF($BL183&lt;&gt;Constants!$B$4,"",IF(AND($AL183,$BN183=0),Constants!$B$25,0))</f>
        <v/>
      </c>
      <c r="BW183" s="74" t="str">
        <f aca="false">IF($BL183&lt;&gt;Constants!$B$4,"",MIN(Constants!$B$29,MAX(0,Constants!$B$27*Constants!$B$28*INT(ROUND((Constants!$B$26-$AN183)/Constants!$B$28,6))))+MIN(Constants!$B$29,MAX(0,Constants!$B$27*Constants!$B$28*INT(ROUND((Constants!$B$26-$AO183)/Constants!$B$28,6))))+MIN(Constants!$B$29,MAX(0,Constants!$B$27*Constants!$B$28*INT(ROUND((Constants!$B$26-$AP183)/Constants!$B$28,6)))))</f>
        <v/>
      </c>
      <c r="BX183" s="74" t="str">
        <f aca="false">IF($BL183&lt;&gt;Constants!$B$4,"",IF(NOT($AL183),0,Constants!$B$31*INT(ROUND(MAX(0,MIN($BJ183,2*$AH$9)-$AH$9),6))))</f>
        <v/>
      </c>
      <c r="BY183" s="74" t="str">
        <f aca="false">IF($BL183&lt;&gt;Constants!$B$4,"",Constants!$B$32*(($AN183&gt;Constants!$B$26)+($AO183&gt;Constants!$B$26)+($AP183&gt;Constants!$B$26)))</f>
        <v/>
      </c>
      <c r="BZ183" s="74" t="str">
        <f aca="false">IF($BL183&lt;&gt;Constants!$B$4,"",IF(OR(NOT($AL183),$AQ183),0,Constants!$B$33))</f>
        <v/>
      </c>
      <c r="CA183" s="74" t="str">
        <f aca="false">IF($BL183&lt;&gt;Constants!$B$4,"",Constants!$B$34*$BN183)</f>
        <v/>
      </c>
      <c r="CB183" s="74" t="str">
        <f aca="false">IF($BL183&lt;&gt;Constants!$B$4,"",IF(OR(NOT($AL183),$BH183),0,Constants!$B$36))</f>
        <v/>
      </c>
      <c r="CC183" s="74" t="str">
        <f aca="false">IF($BL183&lt;&gt;Constants!$B$4,"",IF(OR(NOT($AL183),$BG183),0,Constants!$B$37))</f>
        <v/>
      </c>
      <c r="CD183" s="74" t="str">
        <f aca="false">IF($BL183&lt;&gt;Constants!$B$4,"",SUM($BX183:$CC183))</f>
        <v/>
      </c>
      <c r="CE183" s="74" t="str">
        <f aca="false">IF(ISBLANK($C183),"",IF($BL183&lt;&gt;Constants!$B$4,$BL183,SUM($BO183:$BW183)-$CD183))</f>
        <v/>
      </c>
      <c r="CF183" s="74" t="str">
        <f aca="false">IF(ISBLANK($C183),"",IF($BL183&lt;&gt;Constants!$B$4,$BL183,RANK($CE183,$CE$9:$CE$508)))</f>
        <v/>
      </c>
      <c r="CG183" s="74" t="str">
        <f aca="false">IF(ISBLANK($C183),"",IF($BL183&lt;&gt;Constants!$B$4,$BL183,COUNTIFS($BM$9:$BM$508,"&lt;"&amp;$BM183)+COUNTIFS($BM$9:$BM$508,$BM183,$CF$9:$CF$508,"&lt;"&amp;$CF183)+1))</f>
        <v/>
      </c>
      <c r="CH183" s="74" t="str">
        <f aca="false">IF(ISBLANK($C183),"",IF($BL183&lt;&gt;Constants!$B$4,$BL183,RANK($CD183,$CD$9:$CD$508,1)))</f>
        <v/>
      </c>
      <c r="CI183" s="74" t="str">
        <f aca="false">IF($BL183&lt;&gt;Constants!$B$4,"",$AN183+$AO183+$AP183)</f>
        <v/>
      </c>
      <c r="CJ183" s="74" t="str">
        <f aca="false">IF(ISBLANK($C183),"",IF($BL183&lt;&gt;Constants!$B$4,$BL183,RANK($CI183,$CI$9:$CI$508,1)))</f>
        <v/>
      </c>
      <c r="CK183" s="74" t="str">
        <f aca="false">IF(ISBLANK($C183),"",IF($BL183&lt;&gt;Constants!$B$4,$BL183,COUNTIFS($BM$9:$BM$508,"&lt;"&amp;$BM183)+COUNTIFS($BM$9:$BM$508,$BM183,$CF$9:$CF$508,"&lt;"&amp;$CF183)+COUNTIFS($BM$9:$BM$508,$BM183,$CF$9:$CF$508,$CF183,$CH$9:$CH$508,"&lt;"&amp;$CH183)+COUNTIFS($BM$9:$BM$508,$BM183,$CF$9:$CF$508,$CF183,$CH$9:$CH$508,$CH183,$CJ$9:$CJ$508,"&lt;"&amp;$CJ183)+1))</f>
        <v/>
      </c>
      <c r="CL183" s="74" t="str">
        <f aca="false">IF(ISBLANK($C183),"",IF($BL183&lt;&gt;Constants!$B$4,$BL183,$CG183-$CK183))</f>
        <v/>
      </c>
      <c r="CM183" s="74" t="str">
        <f aca="false">IF(ISBLANK($C183),"",IF(NOT($AL183),"",IF(ISBLANK($D$7),$CM$5,IF(NOT(ISNUMBER($D$7)),$CM$6,""))))</f>
        <v/>
      </c>
      <c r="CN183" s="74" t="str">
        <f aca="false">IF(ISBLANK($C183),"",OR($AN183="",$AO183="",$AP183=""))</f>
        <v/>
      </c>
      <c r="CO183" s="74" t="str">
        <f aca="false">IF(ISBLANK($C183),"",AND($AL183,$BA183=""))</f>
        <v/>
      </c>
      <c r="CP183" s="74" t="str">
        <f aca="false">IF(ISBLANK($C183),"",AND($AL183,$BB183=""))</f>
        <v/>
      </c>
      <c r="CQ183" s="74" t="str">
        <f aca="false">IF(ISBLANK($C183),"",AND($AL183,$BC183=""))</f>
        <v/>
      </c>
      <c r="CR183" s="74" t="str">
        <f aca="false">IF(ISBLANK($C183),"",AND($AL183,$BF183=""))</f>
        <v/>
      </c>
      <c r="CS183" s="74" t="str">
        <f aca="false">IF(ISBLANK($C183),"",AND($AL183,$BJ183=""))</f>
        <v/>
      </c>
      <c r="CT183" s="75"/>
      <c r="CU183" s="76"/>
      <c r="CV183" s="79" t="str">
        <f aca="false">IF(ISBLANK($C183),"",IF($BL183=Constants!$B$8,$CM183,""))</f>
        <v/>
      </c>
      <c r="CW183" s="76" t="str">
        <f aca="false">IF(ISBLANK($C183),"",IF($BL183&lt;&gt;Constants!$B$4,"",$BO183+$BP183))</f>
        <v/>
      </c>
      <c r="CX183" s="78" t="str">
        <f aca="false">IF(ISBLANK($C183),"",IF($BL183&lt;&gt;Constants!$B$4,"",$BQ183+$BR183+$BS183))</f>
        <v/>
      </c>
      <c r="CY183" s="78" t="str">
        <f aca="false">IF(ISBLANK($C183),"",IF($BL183&lt;&gt;Constants!$B$4,"",$BT183))</f>
        <v/>
      </c>
      <c r="CZ183" s="78" t="str">
        <f aca="false">IF(ISBLANK($C183),"",IF($BL183&lt;&gt;Constants!$B$4,"",$BU183+$BV183))</f>
        <v/>
      </c>
      <c r="DA183" s="78" t="str">
        <f aca="false">IF(ISBLANK($C183),"",IF($BL183&lt;&gt;Constants!$B$4,"",$BW183))</f>
        <v/>
      </c>
      <c r="DB183" s="78" t="str">
        <f aca="false">IF(ISBLANK($C183),"",IF($BL183&lt;&gt;Constants!$B$4,"",-$CD183))</f>
        <v/>
      </c>
      <c r="DC183" s="79" t="str">
        <f aca="false">IF(ISBLANK($C183),"",$CE183)</f>
        <v/>
      </c>
      <c r="DD183" s="80" t="str">
        <f aca="false">IF(ISBLANK($C183),"",$BM183)</f>
        <v/>
      </c>
      <c r="DE183" s="78" t="str">
        <f aca="false">IF(ISBLANK($C183),"",$CL183)</f>
        <v/>
      </c>
      <c r="DF183" s="78" t="str">
        <f aca="false">IF(ISBLANK($C183),"",$CK183)</f>
        <v/>
      </c>
      <c r="DG183" s="81" t="str">
        <f aca="false">IF(ISBLANK($C183),"",IF($DF183=Constants!$B$7,COUNTA($C$9:$C$508)+2,IF($DF183=Constants!$B$6,COUNTA($C$9:$C$508)+1,IF($DF183=Constants!$B$5,COUNTA($C$9:$C$508),$DF183))))</f>
        <v/>
      </c>
      <c r="DH183" s="7"/>
      <c r="DI183" s="82" t="n">
        <f aca="false">IF(OR(ISNUMBER($DF183),$DF183=Constants!$B$7,$DF183=Constants!$B$5,$DF183=Constants!$B$6),1,0)</f>
        <v>0</v>
      </c>
      <c r="DJ183" s="82" t="n">
        <v>175</v>
      </c>
      <c r="DK183" s="82" t="str">
        <f aca="false">IF(ISBLANK($C183),"",IF(ISNUMBER($DG183),$DG183+ROW($B183)/1000,""))</f>
        <v/>
      </c>
      <c r="DL183" s="82" t="str">
        <f aca="false">IF(ISNUMBER($DK183),RANK($DK183,$DK$9:$DK$508,1),"")</f>
        <v/>
      </c>
      <c r="DM183" s="82" t="str">
        <f aca="false">IF(ISBLANK($C183),"",$B183)</f>
        <v/>
      </c>
      <c r="DN183" s="82" t="str">
        <f aca="false">IF(ISBLANK($C183),"",$C183)</f>
        <v/>
      </c>
      <c r="DO183" s="82" t="str">
        <f aca="false">IF(ISBLANK($C183),"",$D183)</f>
        <v/>
      </c>
      <c r="DP183" s="83" t="str">
        <f aca="false">$DD183</f>
        <v/>
      </c>
      <c r="DQ183" s="84" t="str">
        <f aca="false">$DC183</f>
        <v/>
      </c>
      <c r="DR183" s="82" t="str">
        <f aca="false">IF(ISBLANK($C183),"",$DF183)</f>
        <v/>
      </c>
      <c r="DS183" s="85" t="str">
        <f aca="false">IF($DJ183&gt;$DI$8,"",VLOOKUP($DJ183,$DL$9:$DR$508,7,FALSE()))</f>
        <v/>
      </c>
      <c r="DT183" s="86" t="str">
        <f aca="false">IF($DJ183&gt;$DI$8,"",VLOOKUP($DJ183,$DL$9:$DR$508,2,FALSE()))</f>
        <v/>
      </c>
      <c r="DU183" s="86" t="str">
        <f aca="false">IF($DJ183&gt;$DI$8,"",VLOOKUP($DJ183,$DL$9:$DR$508,3,FALSE()))</f>
        <v/>
      </c>
      <c r="DV183" s="86" t="str">
        <f aca="false">IF($DJ183&gt;$DI$8,"",VLOOKUP($DJ183,$DL$9:$DR$508,4,FALSE()))</f>
        <v/>
      </c>
      <c r="DW183" s="86" t="str">
        <f aca="false">IF($DJ183&gt;$DI$8,"",VLOOKUP($DJ183,$DL$9:$DR$508,5,FALSE()))</f>
        <v/>
      </c>
      <c r="DX183" s="87" t="str">
        <f aca="false">IF($DJ183&gt;$DI$8,"",VLOOKUP($DJ183,$DL$9:$DR$508,6,FALSE()))</f>
        <v/>
      </c>
      <c r="DY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88"/>
      <c r="N184" s="88"/>
      <c r="O184" s="134"/>
      <c r="P184" s="134"/>
      <c r="Q184" s="88"/>
      <c r="R184" s="88"/>
      <c r="S184" s="88"/>
      <c r="T184" s="88"/>
      <c r="U184" s="134"/>
      <c r="V184" s="88"/>
      <c r="W184" s="70"/>
      <c r="X184" s="88"/>
      <c r="Y184" s="88"/>
      <c r="Z184" s="70"/>
      <c r="AA184" s="70"/>
      <c r="AB184" s="88"/>
      <c r="AC184" s="88"/>
      <c r="AD184" s="88"/>
      <c r="AE184" s="71"/>
      <c r="AF184" s="88"/>
      <c r="AG184" s="73"/>
      <c r="AH184" s="74"/>
      <c r="AI184" s="74"/>
      <c r="AJ184" s="74" t="str">
        <f aca="false">IF(ISBLANK($C184),"",IF($E184=Constants!$B$2,TRUE(),IF($E184=Constants!$B$3,FALSE(),TRUE())))</f>
        <v/>
      </c>
      <c r="AK184" s="74" t="str">
        <f aca="false">IF(ISBLANK($C184),"",IF($F184=Constants!$B$2,TRUE(),IF($F184=Constants!$B$3,FALSE(),FALSE())))</f>
        <v/>
      </c>
      <c r="AL184" s="74" t="str">
        <f aca="false">IF(ISBLANK($C184),"",IF($G184=Constants!$B$2,TRUE(),IF($G184=Constants!$B$3,FALSE(),TRUE())))</f>
        <v/>
      </c>
      <c r="AM184" s="74" t="str">
        <f aca="false">IF(ISBLANK($C184),"",IF($H184=Constants!$B$2,TRUE(),IF($H184=Constants!$B$3,FALSE(),TRUE())))</f>
        <v/>
      </c>
      <c r="AN184" s="74" t="str">
        <f aca="false">IF(ISBLANK($C184),"",IF(ISNUMBER($I184),IF($I184&gt;=0,$I184,""),""))</f>
        <v/>
      </c>
      <c r="AO184" s="74" t="str">
        <f aca="false">IF(ISBLANK($C184),"",IF(ISNUMBER($J184),IF($J184&gt;=0,$J184,""),""))</f>
        <v/>
      </c>
      <c r="AP184" s="74" t="str">
        <f aca="false">IF(ISBLANK($C184),"",IF(ISNUMBER($K184),IF($K184&gt;=0,$K184,""),""))</f>
        <v/>
      </c>
      <c r="AQ184" s="74" t="str">
        <f aca="false">IF(ISBLANK($C184),"",IF($L184=Constants!$B$2,TRUE(),IF($L184=Constants!$B$3,FALSE(),TRUE())))</f>
        <v/>
      </c>
      <c r="AR184" s="74" t="str">
        <f aca="false">IF(ISBLANK($C184),"",IF($M184=Constants!$B$2,TRUE(),IF($M184=Constants!$B$3,FALSE(),TRUE())))</f>
        <v/>
      </c>
      <c r="AS184" s="74" t="str">
        <f aca="false">IF(ISBLANK($C184),"",IF($N184=Constants!$B$2,TRUE(),IF($N184=Constants!$B$3,FALSE(),FALSE())))</f>
        <v/>
      </c>
      <c r="AT184" s="74" t="str">
        <f aca="false">IF(ISBLANK($C184),"",IF($O184=Constants!$B$2,TRUE(),IF($O184=Constants!$B$3,FALSE(),TRUE())))</f>
        <v/>
      </c>
      <c r="AU184" s="74" t="str">
        <f aca="false">IF(ISBLANK($C184),"",IF($P184=Constants!$B$2,TRUE(),IF($P184=Constants!$B$3,FALSE(),TRUE())))</f>
        <v/>
      </c>
      <c r="AV184" s="74" t="str">
        <f aca="false">IF(ISBLANK($C184),"",IF($Q184=Constants!$B$2,TRUE(),IF($Q184=Constants!$B$3,FALSE(),FALSE())))</f>
        <v/>
      </c>
      <c r="AW184" s="74" t="str">
        <f aca="false">IF(ISBLANK($C184),"",IF($R184=Constants!$B$2,TRUE(),IF($R184=Constants!$B$3,FALSE(),FALSE())))</f>
        <v/>
      </c>
      <c r="AX184" s="74" t="str">
        <f aca="false">IF(ISBLANK($C184),"",IF($S184=Constants!$B$2,TRUE(),IF($S184=Constants!$B$3,FALSE(),FALSE())))</f>
        <v/>
      </c>
      <c r="AY184" s="74" t="str">
        <f aca="false">IF(ISBLANK($C184),"",IF($T184=Constants!$B$2,TRUE(),IF($T184=Constants!$B$3,FALSE(),FALSE())))</f>
        <v/>
      </c>
      <c r="AZ184" s="74" t="str">
        <f aca="false">IF(ISBLANK($C184),"",IF($U184=Constants!$B$2,TRUE(),IF($U184=Constants!$B$3,FALSE(),FALSE())))</f>
        <v/>
      </c>
      <c r="BA184" s="74" t="str">
        <f aca="false">IF(ISBLANK($C184),"",IF(OR($V184&amp;""="1",$V184&amp;""="2",$V184&amp;""="3",$V184&amp;""="4"),VALUE($V184&amp;""),IF($V184=Constants!$B$12,Constants!$B$12,"")))</f>
        <v/>
      </c>
      <c r="BB184" s="74" t="str">
        <f aca="false">IF(ISBLANK($C184),"",IF(ISBLANK($W184),0,IF(ISNUMBER($W184),IF(AND($W184&gt;=0,$W184&lt;=Constants!$B$21,$W184=INT($W184)),$W184,""),"")))</f>
        <v/>
      </c>
      <c r="BC184" s="74" t="str">
        <f aca="false">IF(ISBLANK($C184),"",IF(ISBLANK($X184),0,IF(ISNUMBER($X184),IF($X184&gt;=0,$X184,""),"")))</f>
        <v/>
      </c>
      <c r="BD184" s="74" t="str">
        <f aca="false">IF(ISBLANK($C184),"",IF($Y184=Constants!$B$2,TRUE(),IF($Y184=Constants!$B$3,FALSE(),TRUE())))</f>
        <v/>
      </c>
      <c r="BE184" s="74" t="str">
        <f aca="false">IF(ISBLANK($C184),"",IF($Z184=Constants!$B$2,TRUE(),IF($Z184=Constants!$B$3,FALSE(),FALSE())))</f>
        <v/>
      </c>
      <c r="BF184" s="74" t="str">
        <f aca="false">IF(ISBLANK($C184),"",IF(ISBLANK($AA184),0,IF(ISNUMBER($AA184),IF(AND($AA184&gt;=0,$AA184&lt;=Constants!$B$35,$AA184=INT($AA184)),$AA184,""),"")))</f>
        <v/>
      </c>
      <c r="BG184" s="74" t="str">
        <f aca="false">IF(ISBLANK($C184),"",IF($AB184=Constants!$B$2,TRUE(),IF($AB184=Constants!$B$3,FALSE(),TRUE())))</f>
        <v/>
      </c>
      <c r="BH184" s="74" t="str">
        <f aca="false">IF(ISBLANK($C184),"",IF($AC184=Constants!$B$2,TRUE(),IF($AC184=Constants!$B$3,FALSE(),TRUE())))</f>
        <v/>
      </c>
      <c r="BI184" s="74" t="str">
        <f aca="false">IF(ISBLANK($C184),"",IF($AD184=Constants!$B$2,TRUE(),IF($AD184=Constants!$B$3,FALSE(),TRUE())))</f>
        <v/>
      </c>
      <c r="BJ184" s="74" t="str">
        <f aca="false">IF(ISBLANK($C184),"",IF(ISNUMBER($AE184),IF($AE184&gt;=0,$AE184,""),""))</f>
        <v/>
      </c>
      <c r="BK184" s="74" t="str">
        <f aca="false">IF(ISBLANK($C184),"",IF($AF184=Constants!$B$2,TRUE(),IF($AF184=Constants!$B$3,FALSE(),FALSE())))</f>
        <v/>
      </c>
      <c r="BL184" s="73" t="str">
        <f aca="false">IF(ISBLANK($C184),"",IF($BK184,Constants!$B$7,IF(COUNTA($E184:$AE184)=0,Constants!$B$6,IF(OR(COUNTA($G184:$AE184)=0,NOT($AM184),$AS184),Constants!$B$5,IF(OR($CM184&lt;&gt;"",$CN184,$CO184,$CP184,$CQ184,$CR184,$CS184),Constants!$B$8,Constants!$B$4)))))</f>
        <v/>
      </c>
      <c r="BM184" s="74" t="str">
        <f aca="false">IF(ISBLANK($C184),"",IF($BL184&lt;&gt;Constants!$B$4,$BL184,IF(OR(NOT($AJ184),NOT($AL184),NOT($AT184)),Constants!$B$11,IF(OR(NOT($AR184),NOT($AU184),NOT($BI184),MAX($AN184,$AO184,$AP184)&gt;Constants!$B$30),Constants!$B$10,Constants!$B$9))))</f>
        <v/>
      </c>
      <c r="BN184" s="74" t="str">
        <f aca="false">IF($BL184&lt;&gt;Constants!$B$4,"",IF(NOT($AL184),0,MIN(Constants!$B$35,$BF184)))</f>
        <v/>
      </c>
      <c r="BO184" s="74" t="str">
        <f aca="false">IF($BL184&lt;&gt;Constants!$B$4,"",IF(NOT($AL184),0,IF($AW184,Constants!$B$18,IF($AV184,Constants!$B$17,0))))</f>
        <v/>
      </c>
      <c r="BP184" s="74" t="str">
        <f aca="false">IF($BL184&lt;&gt;Constants!$B$4,"",IF(NOT($AL184),0,Constants!$B$19*($AK184+$AX184+$AY184+$AZ184)))</f>
        <v/>
      </c>
      <c r="BQ184" s="74" t="str">
        <f aca="false">IF($BL184&lt;&gt;Constants!$B$4,"",IF(OR(NOT($AL184),NOT(ISNUMBER($BA184))),0,CHOOSE($BA184,Constants!$B$13,Constants!$B$14,Constants!$B$15,Constants!$B$16)))</f>
        <v/>
      </c>
      <c r="BR184" s="74" t="str">
        <f aca="false">IF($BL184&lt;&gt;Constants!$B$4,"",IF(NOT($AL184),0,Constants!$B$20*$BB184))</f>
        <v/>
      </c>
      <c r="BS184" s="74" t="str">
        <f aca="false">IF($BL184&lt;&gt;Constants!$B$4,"",IF(AND($AL184,$BD184,$BE184),Constants!$B$22,0))</f>
        <v/>
      </c>
      <c r="BT184" s="74" t="str">
        <f aca="false">IF($BL184&lt;&gt;Constants!$B$4,"",IF(OR(NOT($AL184),NOT($BD184)),0,IF($BJ184&gt;=2*$AH$9,0,Constants!$B$23*INT(ROUND(MIN($BJ184,$AH$9),6)))))</f>
        <v/>
      </c>
      <c r="BU184" s="74" t="str">
        <f aca="false">IF($BL184&lt;&gt;Constants!$B$4,"",IF(NOT($AL184),0,Constants!$B$24*INT(ROUND(MIN($BC184,$AH$9),6))))</f>
        <v/>
      </c>
      <c r="BV184" s="74" t="str">
        <f aca="false">IF($BL184&lt;&gt;Constants!$B$4,"",IF(AND($AL184,$BN184=0),Constants!$B$25,0))</f>
        <v/>
      </c>
      <c r="BW184" s="74" t="str">
        <f aca="false">IF($BL184&lt;&gt;Constants!$B$4,"",MIN(Constants!$B$29,MAX(0,Constants!$B$27*Constants!$B$28*INT(ROUND((Constants!$B$26-$AN184)/Constants!$B$28,6))))+MIN(Constants!$B$29,MAX(0,Constants!$B$27*Constants!$B$28*INT(ROUND((Constants!$B$26-$AO184)/Constants!$B$28,6))))+MIN(Constants!$B$29,MAX(0,Constants!$B$27*Constants!$B$28*INT(ROUND((Constants!$B$26-$AP184)/Constants!$B$28,6)))))</f>
        <v/>
      </c>
      <c r="BX184" s="74" t="str">
        <f aca="false">IF($BL184&lt;&gt;Constants!$B$4,"",IF(NOT($AL184),0,Constants!$B$31*INT(ROUND(MAX(0,MIN($BJ184,2*$AH$9)-$AH$9),6))))</f>
        <v/>
      </c>
      <c r="BY184" s="74" t="str">
        <f aca="false">IF($BL184&lt;&gt;Constants!$B$4,"",Constants!$B$32*(($AN184&gt;Constants!$B$26)+($AO184&gt;Constants!$B$26)+($AP184&gt;Constants!$B$26)))</f>
        <v/>
      </c>
      <c r="BZ184" s="74" t="str">
        <f aca="false">IF($BL184&lt;&gt;Constants!$B$4,"",IF(OR(NOT($AL184),$AQ184),0,Constants!$B$33))</f>
        <v/>
      </c>
      <c r="CA184" s="74" t="str">
        <f aca="false">IF($BL184&lt;&gt;Constants!$B$4,"",Constants!$B$34*$BN184)</f>
        <v/>
      </c>
      <c r="CB184" s="74" t="str">
        <f aca="false">IF($BL184&lt;&gt;Constants!$B$4,"",IF(OR(NOT($AL184),$BH184),0,Constants!$B$36))</f>
        <v/>
      </c>
      <c r="CC184" s="74" t="str">
        <f aca="false">IF($BL184&lt;&gt;Constants!$B$4,"",IF(OR(NOT($AL184),$BG184),0,Constants!$B$37))</f>
        <v/>
      </c>
      <c r="CD184" s="74" t="str">
        <f aca="false">IF($BL184&lt;&gt;Constants!$B$4,"",SUM($BX184:$CC184))</f>
        <v/>
      </c>
      <c r="CE184" s="74" t="str">
        <f aca="false">IF(ISBLANK($C184),"",IF($BL184&lt;&gt;Constants!$B$4,$BL184,SUM($BO184:$BW184)-$CD184))</f>
        <v/>
      </c>
      <c r="CF184" s="74" t="str">
        <f aca="false">IF(ISBLANK($C184),"",IF($BL184&lt;&gt;Constants!$B$4,$BL184,RANK($CE184,$CE$9:$CE$508)))</f>
        <v/>
      </c>
      <c r="CG184" s="74" t="str">
        <f aca="false">IF(ISBLANK($C184),"",IF($BL184&lt;&gt;Constants!$B$4,$BL184,COUNTIFS($BM$9:$BM$508,"&lt;"&amp;$BM184)+COUNTIFS($BM$9:$BM$508,$BM184,$CF$9:$CF$508,"&lt;"&amp;$CF184)+1))</f>
        <v/>
      </c>
      <c r="CH184" s="74" t="str">
        <f aca="false">IF(ISBLANK($C184),"",IF($BL184&lt;&gt;Constants!$B$4,$BL184,RANK($CD184,$CD$9:$CD$508,1)))</f>
        <v/>
      </c>
      <c r="CI184" s="74" t="str">
        <f aca="false">IF($BL184&lt;&gt;Constants!$B$4,"",$AN184+$AO184+$AP184)</f>
        <v/>
      </c>
      <c r="CJ184" s="74" t="str">
        <f aca="false">IF(ISBLANK($C184),"",IF($BL184&lt;&gt;Constants!$B$4,$BL184,RANK($CI184,$CI$9:$CI$508,1)))</f>
        <v/>
      </c>
      <c r="CK184" s="74" t="str">
        <f aca="false">IF(ISBLANK($C184),"",IF($BL184&lt;&gt;Constants!$B$4,$BL184,COUNTIFS($BM$9:$BM$508,"&lt;"&amp;$BM184)+COUNTIFS($BM$9:$BM$508,$BM184,$CF$9:$CF$508,"&lt;"&amp;$CF184)+COUNTIFS($BM$9:$BM$508,$BM184,$CF$9:$CF$508,$CF184,$CH$9:$CH$508,"&lt;"&amp;$CH184)+COUNTIFS($BM$9:$BM$508,$BM184,$CF$9:$CF$508,$CF184,$CH$9:$CH$508,$CH184,$CJ$9:$CJ$508,"&lt;"&amp;$CJ184)+1))</f>
        <v/>
      </c>
      <c r="CL184" s="74" t="str">
        <f aca="false">IF(ISBLANK($C184),"",IF($BL184&lt;&gt;Constants!$B$4,$BL184,$CG184-$CK184))</f>
        <v/>
      </c>
      <c r="CM184" s="74" t="str">
        <f aca="false">IF(ISBLANK($C184),"",IF(NOT($AL184),"",IF(ISBLANK($D$7),$CM$5,IF(NOT(ISNUMBER($D$7)),$CM$6,""))))</f>
        <v/>
      </c>
      <c r="CN184" s="74" t="str">
        <f aca="false">IF(ISBLANK($C184),"",OR($AN184="",$AO184="",$AP184=""))</f>
        <v/>
      </c>
      <c r="CO184" s="74" t="str">
        <f aca="false">IF(ISBLANK($C184),"",AND($AL184,$BA184=""))</f>
        <v/>
      </c>
      <c r="CP184" s="74" t="str">
        <f aca="false">IF(ISBLANK($C184),"",AND($AL184,$BB184=""))</f>
        <v/>
      </c>
      <c r="CQ184" s="74" t="str">
        <f aca="false">IF(ISBLANK($C184),"",AND($AL184,$BC184=""))</f>
        <v/>
      </c>
      <c r="CR184" s="74" t="str">
        <f aca="false">IF(ISBLANK($C184),"",AND($AL184,$BF184=""))</f>
        <v/>
      </c>
      <c r="CS184" s="74" t="str">
        <f aca="false">IF(ISBLANK($C184),"",AND($AL184,$BJ184=""))</f>
        <v/>
      </c>
      <c r="CT184" s="75"/>
      <c r="CU184" s="76"/>
      <c r="CV184" s="79" t="str">
        <f aca="false">IF(ISBLANK($C184),"",IF($BL184=Constants!$B$8,$CM184,""))</f>
        <v/>
      </c>
      <c r="CW184" s="76" t="str">
        <f aca="false">IF(ISBLANK($C184),"",IF($BL184&lt;&gt;Constants!$B$4,"",$BO184+$BP184))</f>
        <v/>
      </c>
      <c r="CX184" s="78" t="str">
        <f aca="false">IF(ISBLANK($C184),"",IF($BL184&lt;&gt;Constants!$B$4,"",$BQ184+$BR184+$BS184))</f>
        <v/>
      </c>
      <c r="CY184" s="78" t="str">
        <f aca="false">IF(ISBLANK($C184),"",IF($BL184&lt;&gt;Constants!$B$4,"",$BT184))</f>
        <v/>
      </c>
      <c r="CZ184" s="78" t="str">
        <f aca="false">IF(ISBLANK($C184),"",IF($BL184&lt;&gt;Constants!$B$4,"",$BU184+$BV184))</f>
        <v/>
      </c>
      <c r="DA184" s="78" t="str">
        <f aca="false">IF(ISBLANK($C184),"",IF($BL184&lt;&gt;Constants!$B$4,"",$BW184))</f>
        <v/>
      </c>
      <c r="DB184" s="78" t="str">
        <f aca="false">IF(ISBLANK($C184),"",IF($BL184&lt;&gt;Constants!$B$4,"",-$CD184))</f>
        <v/>
      </c>
      <c r="DC184" s="79" t="str">
        <f aca="false">IF(ISBLANK($C184),"",$CE184)</f>
        <v/>
      </c>
      <c r="DD184" s="80" t="str">
        <f aca="false">IF(ISBLANK($C184),"",$BM184)</f>
        <v/>
      </c>
      <c r="DE184" s="78" t="str">
        <f aca="false">IF(ISBLANK($C184),"",$CL184)</f>
        <v/>
      </c>
      <c r="DF184" s="78" t="str">
        <f aca="false">IF(ISBLANK($C184),"",$CK184)</f>
        <v/>
      </c>
      <c r="DG184" s="81" t="str">
        <f aca="false">IF(ISBLANK($C184),"",IF($DF184=Constants!$B$7,COUNTA($C$9:$C$508)+2,IF($DF184=Constants!$B$6,COUNTA($C$9:$C$508)+1,IF($DF184=Constants!$B$5,COUNTA($C$9:$C$508),$DF184))))</f>
        <v/>
      </c>
      <c r="DH184" s="7"/>
      <c r="DI184" s="82" t="n">
        <f aca="false">IF(OR(ISNUMBER($DF184),$DF184=Constants!$B$7,$DF184=Constants!$B$5,$DF184=Constants!$B$6),1,0)</f>
        <v>0</v>
      </c>
      <c r="DJ184" s="82" t="n">
        <v>176</v>
      </c>
      <c r="DK184" s="82" t="str">
        <f aca="false">IF(ISBLANK($C184),"",IF(ISNUMBER($DG184),$DG184+ROW($B184)/1000,""))</f>
        <v/>
      </c>
      <c r="DL184" s="82" t="str">
        <f aca="false">IF(ISNUMBER($DK184),RANK($DK184,$DK$9:$DK$508,1),"")</f>
        <v/>
      </c>
      <c r="DM184" s="82" t="str">
        <f aca="false">IF(ISBLANK($C184),"",$B184)</f>
        <v/>
      </c>
      <c r="DN184" s="82" t="str">
        <f aca="false">IF(ISBLANK($C184),"",$C184)</f>
        <v/>
      </c>
      <c r="DO184" s="82" t="str">
        <f aca="false">IF(ISBLANK($C184),"",$D184)</f>
        <v/>
      </c>
      <c r="DP184" s="83" t="str">
        <f aca="false">$DD184</f>
        <v/>
      </c>
      <c r="DQ184" s="84" t="str">
        <f aca="false">$DC184</f>
        <v/>
      </c>
      <c r="DR184" s="82" t="str">
        <f aca="false">IF(ISBLANK($C184),"",$DF184)</f>
        <v/>
      </c>
      <c r="DS184" s="85" t="str">
        <f aca="false">IF($DJ184&gt;$DI$8,"",VLOOKUP($DJ184,$DL$9:$DR$508,7,FALSE()))</f>
        <v/>
      </c>
      <c r="DT184" s="86" t="str">
        <f aca="false">IF($DJ184&gt;$DI$8,"",VLOOKUP($DJ184,$DL$9:$DR$508,2,FALSE()))</f>
        <v/>
      </c>
      <c r="DU184" s="86" t="str">
        <f aca="false">IF($DJ184&gt;$DI$8,"",VLOOKUP($DJ184,$DL$9:$DR$508,3,FALSE()))</f>
        <v/>
      </c>
      <c r="DV184" s="86" t="str">
        <f aca="false">IF($DJ184&gt;$DI$8,"",VLOOKUP($DJ184,$DL$9:$DR$508,4,FALSE()))</f>
        <v/>
      </c>
      <c r="DW184" s="86" t="str">
        <f aca="false">IF($DJ184&gt;$DI$8,"",VLOOKUP($DJ184,$DL$9:$DR$508,5,FALSE()))</f>
        <v/>
      </c>
      <c r="DX184" s="87" t="str">
        <f aca="false">IF($DJ184&gt;$DI$8,"",VLOOKUP($DJ184,$DL$9:$DR$508,6,FALSE()))</f>
        <v/>
      </c>
      <c r="DY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88"/>
      <c r="N185" s="88"/>
      <c r="O185" s="134"/>
      <c r="P185" s="134"/>
      <c r="Q185" s="88"/>
      <c r="R185" s="88"/>
      <c r="S185" s="88"/>
      <c r="T185" s="88"/>
      <c r="U185" s="134"/>
      <c r="V185" s="88"/>
      <c r="W185" s="70"/>
      <c r="X185" s="88"/>
      <c r="Y185" s="88"/>
      <c r="Z185" s="70"/>
      <c r="AA185" s="70"/>
      <c r="AB185" s="88"/>
      <c r="AC185" s="88"/>
      <c r="AD185" s="88"/>
      <c r="AE185" s="71"/>
      <c r="AF185" s="88"/>
      <c r="AG185" s="73"/>
      <c r="AH185" s="74"/>
      <c r="AI185" s="74"/>
      <c r="AJ185" s="74" t="str">
        <f aca="false">IF(ISBLANK($C185),"",IF($E185=Constants!$B$2,TRUE(),IF($E185=Constants!$B$3,FALSE(),TRUE())))</f>
        <v/>
      </c>
      <c r="AK185" s="74" t="str">
        <f aca="false">IF(ISBLANK($C185),"",IF($F185=Constants!$B$2,TRUE(),IF($F185=Constants!$B$3,FALSE(),FALSE())))</f>
        <v/>
      </c>
      <c r="AL185" s="74" t="str">
        <f aca="false">IF(ISBLANK($C185),"",IF($G185=Constants!$B$2,TRUE(),IF($G185=Constants!$B$3,FALSE(),TRUE())))</f>
        <v/>
      </c>
      <c r="AM185" s="74" t="str">
        <f aca="false">IF(ISBLANK($C185),"",IF($H185=Constants!$B$2,TRUE(),IF($H185=Constants!$B$3,FALSE(),TRUE())))</f>
        <v/>
      </c>
      <c r="AN185" s="74" t="str">
        <f aca="false">IF(ISBLANK($C185),"",IF(ISNUMBER($I185),IF($I185&gt;=0,$I185,""),""))</f>
        <v/>
      </c>
      <c r="AO185" s="74" t="str">
        <f aca="false">IF(ISBLANK($C185),"",IF(ISNUMBER($J185),IF($J185&gt;=0,$J185,""),""))</f>
        <v/>
      </c>
      <c r="AP185" s="74" t="str">
        <f aca="false">IF(ISBLANK($C185),"",IF(ISNUMBER($K185),IF($K185&gt;=0,$K185,""),""))</f>
        <v/>
      </c>
      <c r="AQ185" s="74" t="str">
        <f aca="false">IF(ISBLANK($C185),"",IF($L185=Constants!$B$2,TRUE(),IF($L185=Constants!$B$3,FALSE(),TRUE())))</f>
        <v/>
      </c>
      <c r="AR185" s="74" t="str">
        <f aca="false">IF(ISBLANK($C185),"",IF($M185=Constants!$B$2,TRUE(),IF($M185=Constants!$B$3,FALSE(),TRUE())))</f>
        <v/>
      </c>
      <c r="AS185" s="74" t="str">
        <f aca="false">IF(ISBLANK($C185),"",IF($N185=Constants!$B$2,TRUE(),IF($N185=Constants!$B$3,FALSE(),FALSE())))</f>
        <v/>
      </c>
      <c r="AT185" s="74" t="str">
        <f aca="false">IF(ISBLANK($C185),"",IF($O185=Constants!$B$2,TRUE(),IF($O185=Constants!$B$3,FALSE(),TRUE())))</f>
        <v/>
      </c>
      <c r="AU185" s="74" t="str">
        <f aca="false">IF(ISBLANK($C185),"",IF($P185=Constants!$B$2,TRUE(),IF($P185=Constants!$B$3,FALSE(),TRUE())))</f>
        <v/>
      </c>
      <c r="AV185" s="74" t="str">
        <f aca="false">IF(ISBLANK($C185),"",IF($Q185=Constants!$B$2,TRUE(),IF($Q185=Constants!$B$3,FALSE(),FALSE())))</f>
        <v/>
      </c>
      <c r="AW185" s="74" t="str">
        <f aca="false">IF(ISBLANK($C185),"",IF($R185=Constants!$B$2,TRUE(),IF($R185=Constants!$B$3,FALSE(),FALSE())))</f>
        <v/>
      </c>
      <c r="AX185" s="74" t="str">
        <f aca="false">IF(ISBLANK($C185),"",IF($S185=Constants!$B$2,TRUE(),IF($S185=Constants!$B$3,FALSE(),FALSE())))</f>
        <v/>
      </c>
      <c r="AY185" s="74" t="str">
        <f aca="false">IF(ISBLANK($C185),"",IF($T185=Constants!$B$2,TRUE(),IF($T185=Constants!$B$3,FALSE(),FALSE())))</f>
        <v/>
      </c>
      <c r="AZ185" s="74" t="str">
        <f aca="false">IF(ISBLANK($C185),"",IF($U185=Constants!$B$2,TRUE(),IF($U185=Constants!$B$3,FALSE(),FALSE())))</f>
        <v/>
      </c>
      <c r="BA185" s="74" t="str">
        <f aca="false">IF(ISBLANK($C185),"",IF(OR($V185&amp;""="1",$V185&amp;""="2",$V185&amp;""="3",$V185&amp;""="4"),VALUE($V185&amp;""),IF($V185=Constants!$B$12,Constants!$B$12,"")))</f>
        <v/>
      </c>
      <c r="BB185" s="74" t="str">
        <f aca="false">IF(ISBLANK($C185),"",IF(ISBLANK($W185),0,IF(ISNUMBER($W185),IF(AND($W185&gt;=0,$W185&lt;=Constants!$B$21,$W185=INT($W185)),$W185,""),"")))</f>
        <v/>
      </c>
      <c r="BC185" s="74" t="str">
        <f aca="false">IF(ISBLANK($C185),"",IF(ISBLANK($X185),0,IF(ISNUMBER($X185),IF($X185&gt;=0,$X185,""),"")))</f>
        <v/>
      </c>
      <c r="BD185" s="74" t="str">
        <f aca="false">IF(ISBLANK($C185),"",IF($Y185=Constants!$B$2,TRUE(),IF($Y185=Constants!$B$3,FALSE(),TRUE())))</f>
        <v/>
      </c>
      <c r="BE185" s="74" t="str">
        <f aca="false">IF(ISBLANK($C185),"",IF($Z185=Constants!$B$2,TRUE(),IF($Z185=Constants!$B$3,FALSE(),FALSE())))</f>
        <v/>
      </c>
      <c r="BF185" s="74" t="str">
        <f aca="false">IF(ISBLANK($C185),"",IF(ISBLANK($AA185),0,IF(ISNUMBER($AA185),IF(AND($AA185&gt;=0,$AA185&lt;=Constants!$B$35,$AA185=INT($AA185)),$AA185,""),"")))</f>
        <v/>
      </c>
      <c r="BG185" s="74" t="str">
        <f aca="false">IF(ISBLANK($C185),"",IF($AB185=Constants!$B$2,TRUE(),IF($AB185=Constants!$B$3,FALSE(),TRUE())))</f>
        <v/>
      </c>
      <c r="BH185" s="74" t="str">
        <f aca="false">IF(ISBLANK($C185),"",IF($AC185=Constants!$B$2,TRUE(),IF($AC185=Constants!$B$3,FALSE(),TRUE())))</f>
        <v/>
      </c>
      <c r="BI185" s="74" t="str">
        <f aca="false">IF(ISBLANK($C185),"",IF($AD185=Constants!$B$2,TRUE(),IF($AD185=Constants!$B$3,FALSE(),TRUE())))</f>
        <v/>
      </c>
      <c r="BJ185" s="74" t="str">
        <f aca="false">IF(ISBLANK($C185),"",IF(ISNUMBER($AE185),IF($AE185&gt;=0,$AE185,""),""))</f>
        <v/>
      </c>
      <c r="BK185" s="74" t="str">
        <f aca="false">IF(ISBLANK($C185),"",IF($AF185=Constants!$B$2,TRUE(),IF($AF185=Constants!$B$3,FALSE(),FALSE())))</f>
        <v/>
      </c>
      <c r="BL185" s="73" t="str">
        <f aca="false">IF(ISBLANK($C185),"",IF($BK185,Constants!$B$7,IF(COUNTA($E185:$AE185)=0,Constants!$B$6,IF(OR(COUNTA($G185:$AE185)=0,NOT($AM185),$AS185),Constants!$B$5,IF(OR($CM185&lt;&gt;"",$CN185,$CO185,$CP185,$CQ185,$CR185,$CS185),Constants!$B$8,Constants!$B$4)))))</f>
        <v/>
      </c>
      <c r="BM185" s="74" t="str">
        <f aca="false">IF(ISBLANK($C185),"",IF($BL185&lt;&gt;Constants!$B$4,$BL185,IF(OR(NOT($AJ185),NOT($AL185),NOT($AT185)),Constants!$B$11,IF(OR(NOT($AR185),NOT($AU185),NOT($BI185),MAX($AN185,$AO185,$AP185)&gt;Constants!$B$30),Constants!$B$10,Constants!$B$9))))</f>
        <v/>
      </c>
      <c r="BN185" s="74" t="str">
        <f aca="false">IF($BL185&lt;&gt;Constants!$B$4,"",IF(NOT($AL185),0,MIN(Constants!$B$35,$BF185)))</f>
        <v/>
      </c>
      <c r="BO185" s="74" t="str">
        <f aca="false">IF($BL185&lt;&gt;Constants!$B$4,"",IF(NOT($AL185),0,IF($AW185,Constants!$B$18,IF($AV185,Constants!$B$17,0))))</f>
        <v/>
      </c>
      <c r="BP185" s="74" t="str">
        <f aca="false">IF($BL185&lt;&gt;Constants!$B$4,"",IF(NOT($AL185),0,Constants!$B$19*($AK185+$AX185+$AY185+$AZ185)))</f>
        <v/>
      </c>
      <c r="BQ185" s="74" t="str">
        <f aca="false">IF($BL185&lt;&gt;Constants!$B$4,"",IF(OR(NOT($AL185),NOT(ISNUMBER($BA185))),0,CHOOSE($BA185,Constants!$B$13,Constants!$B$14,Constants!$B$15,Constants!$B$16)))</f>
        <v/>
      </c>
      <c r="BR185" s="74" t="str">
        <f aca="false">IF($BL185&lt;&gt;Constants!$B$4,"",IF(NOT($AL185),0,Constants!$B$20*$BB185))</f>
        <v/>
      </c>
      <c r="BS185" s="74" t="str">
        <f aca="false">IF($BL185&lt;&gt;Constants!$B$4,"",IF(AND($AL185,$BD185,$BE185),Constants!$B$22,0))</f>
        <v/>
      </c>
      <c r="BT185" s="74" t="str">
        <f aca="false">IF($BL185&lt;&gt;Constants!$B$4,"",IF(OR(NOT($AL185),NOT($BD185)),0,IF($BJ185&gt;=2*$AH$9,0,Constants!$B$23*INT(ROUND(MIN($BJ185,$AH$9),6)))))</f>
        <v/>
      </c>
      <c r="BU185" s="74" t="str">
        <f aca="false">IF($BL185&lt;&gt;Constants!$B$4,"",IF(NOT($AL185),0,Constants!$B$24*INT(ROUND(MIN($BC185,$AH$9),6))))</f>
        <v/>
      </c>
      <c r="BV185" s="74" t="str">
        <f aca="false">IF($BL185&lt;&gt;Constants!$B$4,"",IF(AND($AL185,$BN185=0),Constants!$B$25,0))</f>
        <v/>
      </c>
      <c r="BW185" s="74" t="str">
        <f aca="false">IF($BL185&lt;&gt;Constants!$B$4,"",MIN(Constants!$B$29,MAX(0,Constants!$B$27*Constants!$B$28*INT(ROUND((Constants!$B$26-$AN185)/Constants!$B$28,6))))+MIN(Constants!$B$29,MAX(0,Constants!$B$27*Constants!$B$28*INT(ROUND((Constants!$B$26-$AO185)/Constants!$B$28,6))))+MIN(Constants!$B$29,MAX(0,Constants!$B$27*Constants!$B$28*INT(ROUND((Constants!$B$26-$AP185)/Constants!$B$28,6)))))</f>
        <v/>
      </c>
      <c r="BX185" s="74" t="str">
        <f aca="false">IF($BL185&lt;&gt;Constants!$B$4,"",IF(NOT($AL185),0,Constants!$B$31*INT(ROUND(MAX(0,MIN($BJ185,2*$AH$9)-$AH$9),6))))</f>
        <v/>
      </c>
      <c r="BY185" s="74" t="str">
        <f aca="false">IF($BL185&lt;&gt;Constants!$B$4,"",Constants!$B$32*(($AN185&gt;Constants!$B$26)+($AO185&gt;Constants!$B$26)+($AP185&gt;Constants!$B$26)))</f>
        <v/>
      </c>
      <c r="BZ185" s="74" t="str">
        <f aca="false">IF($BL185&lt;&gt;Constants!$B$4,"",IF(OR(NOT($AL185),$AQ185),0,Constants!$B$33))</f>
        <v/>
      </c>
      <c r="CA185" s="74" t="str">
        <f aca="false">IF($BL185&lt;&gt;Constants!$B$4,"",Constants!$B$34*$BN185)</f>
        <v/>
      </c>
      <c r="CB185" s="74" t="str">
        <f aca="false">IF($BL185&lt;&gt;Constants!$B$4,"",IF(OR(NOT($AL185),$BH185),0,Constants!$B$36))</f>
        <v/>
      </c>
      <c r="CC185" s="74" t="str">
        <f aca="false">IF($BL185&lt;&gt;Constants!$B$4,"",IF(OR(NOT($AL185),$BG185),0,Constants!$B$37))</f>
        <v/>
      </c>
      <c r="CD185" s="74" t="str">
        <f aca="false">IF($BL185&lt;&gt;Constants!$B$4,"",SUM($BX185:$CC185))</f>
        <v/>
      </c>
      <c r="CE185" s="74" t="str">
        <f aca="false">IF(ISBLANK($C185),"",IF($BL185&lt;&gt;Constants!$B$4,$BL185,SUM($BO185:$BW185)-$CD185))</f>
        <v/>
      </c>
      <c r="CF185" s="74" t="str">
        <f aca="false">IF(ISBLANK($C185),"",IF($BL185&lt;&gt;Constants!$B$4,$BL185,RANK($CE185,$CE$9:$CE$508)))</f>
        <v/>
      </c>
      <c r="CG185" s="74" t="str">
        <f aca="false">IF(ISBLANK($C185),"",IF($BL185&lt;&gt;Constants!$B$4,$BL185,COUNTIFS($BM$9:$BM$508,"&lt;"&amp;$BM185)+COUNTIFS($BM$9:$BM$508,$BM185,$CF$9:$CF$508,"&lt;"&amp;$CF185)+1))</f>
        <v/>
      </c>
      <c r="CH185" s="74" t="str">
        <f aca="false">IF(ISBLANK($C185),"",IF($BL185&lt;&gt;Constants!$B$4,$BL185,RANK($CD185,$CD$9:$CD$508,1)))</f>
        <v/>
      </c>
      <c r="CI185" s="74" t="str">
        <f aca="false">IF($BL185&lt;&gt;Constants!$B$4,"",$AN185+$AO185+$AP185)</f>
        <v/>
      </c>
      <c r="CJ185" s="74" t="str">
        <f aca="false">IF(ISBLANK($C185),"",IF($BL185&lt;&gt;Constants!$B$4,$BL185,RANK($CI185,$CI$9:$CI$508,1)))</f>
        <v/>
      </c>
      <c r="CK185" s="74" t="str">
        <f aca="false">IF(ISBLANK($C185),"",IF($BL185&lt;&gt;Constants!$B$4,$BL185,COUNTIFS($BM$9:$BM$508,"&lt;"&amp;$BM185)+COUNTIFS($BM$9:$BM$508,$BM185,$CF$9:$CF$508,"&lt;"&amp;$CF185)+COUNTIFS($BM$9:$BM$508,$BM185,$CF$9:$CF$508,$CF185,$CH$9:$CH$508,"&lt;"&amp;$CH185)+COUNTIFS($BM$9:$BM$508,$BM185,$CF$9:$CF$508,$CF185,$CH$9:$CH$508,$CH185,$CJ$9:$CJ$508,"&lt;"&amp;$CJ185)+1))</f>
        <v/>
      </c>
      <c r="CL185" s="74" t="str">
        <f aca="false">IF(ISBLANK($C185),"",IF($BL185&lt;&gt;Constants!$B$4,$BL185,$CG185-$CK185))</f>
        <v/>
      </c>
      <c r="CM185" s="74" t="str">
        <f aca="false">IF(ISBLANK($C185),"",IF(NOT($AL185),"",IF(ISBLANK($D$7),$CM$5,IF(NOT(ISNUMBER($D$7)),$CM$6,""))))</f>
        <v/>
      </c>
      <c r="CN185" s="74" t="str">
        <f aca="false">IF(ISBLANK($C185),"",OR($AN185="",$AO185="",$AP185=""))</f>
        <v/>
      </c>
      <c r="CO185" s="74" t="str">
        <f aca="false">IF(ISBLANK($C185),"",AND($AL185,$BA185=""))</f>
        <v/>
      </c>
      <c r="CP185" s="74" t="str">
        <f aca="false">IF(ISBLANK($C185),"",AND($AL185,$BB185=""))</f>
        <v/>
      </c>
      <c r="CQ185" s="74" t="str">
        <f aca="false">IF(ISBLANK($C185),"",AND($AL185,$BC185=""))</f>
        <v/>
      </c>
      <c r="CR185" s="74" t="str">
        <f aca="false">IF(ISBLANK($C185),"",AND($AL185,$BF185=""))</f>
        <v/>
      </c>
      <c r="CS185" s="74" t="str">
        <f aca="false">IF(ISBLANK($C185),"",AND($AL185,$BJ185=""))</f>
        <v/>
      </c>
      <c r="CT185" s="75"/>
      <c r="CU185" s="76"/>
      <c r="CV185" s="79" t="str">
        <f aca="false">IF(ISBLANK($C185),"",IF($BL185=Constants!$B$8,$CM185,""))</f>
        <v/>
      </c>
      <c r="CW185" s="76" t="str">
        <f aca="false">IF(ISBLANK($C185),"",IF($BL185&lt;&gt;Constants!$B$4,"",$BO185+$BP185))</f>
        <v/>
      </c>
      <c r="CX185" s="78" t="str">
        <f aca="false">IF(ISBLANK($C185),"",IF($BL185&lt;&gt;Constants!$B$4,"",$BQ185+$BR185+$BS185))</f>
        <v/>
      </c>
      <c r="CY185" s="78" t="str">
        <f aca="false">IF(ISBLANK($C185),"",IF($BL185&lt;&gt;Constants!$B$4,"",$BT185))</f>
        <v/>
      </c>
      <c r="CZ185" s="78" t="str">
        <f aca="false">IF(ISBLANK($C185),"",IF($BL185&lt;&gt;Constants!$B$4,"",$BU185+$BV185))</f>
        <v/>
      </c>
      <c r="DA185" s="78" t="str">
        <f aca="false">IF(ISBLANK($C185),"",IF($BL185&lt;&gt;Constants!$B$4,"",$BW185))</f>
        <v/>
      </c>
      <c r="DB185" s="78" t="str">
        <f aca="false">IF(ISBLANK($C185),"",IF($BL185&lt;&gt;Constants!$B$4,"",-$CD185))</f>
        <v/>
      </c>
      <c r="DC185" s="79" t="str">
        <f aca="false">IF(ISBLANK($C185),"",$CE185)</f>
        <v/>
      </c>
      <c r="DD185" s="80" t="str">
        <f aca="false">IF(ISBLANK($C185),"",$BM185)</f>
        <v/>
      </c>
      <c r="DE185" s="78" t="str">
        <f aca="false">IF(ISBLANK($C185),"",$CL185)</f>
        <v/>
      </c>
      <c r="DF185" s="78" t="str">
        <f aca="false">IF(ISBLANK($C185),"",$CK185)</f>
        <v/>
      </c>
      <c r="DG185" s="81" t="str">
        <f aca="false">IF(ISBLANK($C185),"",IF($DF185=Constants!$B$7,COUNTA($C$9:$C$508)+2,IF($DF185=Constants!$B$6,COUNTA($C$9:$C$508)+1,IF($DF185=Constants!$B$5,COUNTA($C$9:$C$508),$DF185))))</f>
        <v/>
      </c>
      <c r="DH185" s="7"/>
      <c r="DI185" s="82" t="n">
        <f aca="false">IF(OR(ISNUMBER($DF185),$DF185=Constants!$B$7,$DF185=Constants!$B$5,$DF185=Constants!$B$6),1,0)</f>
        <v>0</v>
      </c>
      <c r="DJ185" s="82" t="n">
        <v>177</v>
      </c>
      <c r="DK185" s="82" t="str">
        <f aca="false">IF(ISBLANK($C185),"",IF(ISNUMBER($DG185),$DG185+ROW($B185)/1000,""))</f>
        <v/>
      </c>
      <c r="DL185" s="82" t="str">
        <f aca="false">IF(ISNUMBER($DK185),RANK($DK185,$DK$9:$DK$508,1),"")</f>
        <v/>
      </c>
      <c r="DM185" s="82" t="str">
        <f aca="false">IF(ISBLANK($C185),"",$B185)</f>
        <v/>
      </c>
      <c r="DN185" s="82" t="str">
        <f aca="false">IF(ISBLANK($C185),"",$C185)</f>
        <v/>
      </c>
      <c r="DO185" s="82" t="str">
        <f aca="false">IF(ISBLANK($C185),"",$D185)</f>
        <v/>
      </c>
      <c r="DP185" s="83" t="str">
        <f aca="false">$DD185</f>
        <v/>
      </c>
      <c r="DQ185" s="84" t="str">
        <f aca="false">$DC185</f>
        <v/>
      </c>
      <c r="DR185" s="82" t="str">
        <f aca="false">IF(ISBLANK($C185),"",$DF185)</f>
        <v/>
      </c>
      <c r="DS185" s="85" t="str">
        <f aca="false">IF($DJ185&gt;$DI$8,"",VLOOKUP($DJ185,$DL$9:$DR$508,7,FALSE()))</f>
        <v/>
      </c>
      <c r="DT185" s="86" t="str">
        <f aca="false">IF($DJ185&gt;$DI$8,"",VLOOKUP($DJ185,$DL$9:$DR$508,2,FALSE()))</f>
        <v/>
      </c>
      <c r="DU185" s="86" t="str">
        <f aca="false">IF($DJ185&gt;$DI$8,"",VLOOKUP($DJ185,$DL$9:$DR$508,3,FALSE()))</f>
        <v/>
      </c>
      <c r="DV185" s="86" t="str">
        <f aca="false">IF($DJ185&gt;$DI$8,"",VLOOKUP($DJ185,$DL$9:$DR$508,4,FALSE()))</f>
        <v/>
      </c>
      <c r="DW185" s="86" t="str">
        <f aca="false">IF($DJ185&gt;$DI$8,"",VLOOKUP($DJ185,$DL$9:$DR$508,5,FALSE()))</f>
        <v/>
      </c>
      <c r="DX185" s="87" t="str">
        <f aca="false">IF($DJ185&gt;$DI$8,"",VLOOKUP($DJ185,$DL$9:$DR$508,6,FALSE()))</f>
        <v/>
      </c>
      <c r="DY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130"/>
      <c r="N186" s="130"/>
      <c r="O186" s="135"/>
      <c r="P186" s="135"/>
      <c r="Q186" s="130"/>
      <c r="R186" s="130"/>
      <c r="S186" s="130"/>
      <c r="T186" s="130"/>
      <c r="U186" s="135"/>
      <c r="V186" s="130"/>
      <c r="W186" s="96"/>
      <c r="X186" s="130"/>
      <c r="Y186" s="130"/>
      <c r="Z186" s="96"/>
      <c r="AA186" s="96"/>
      <c r="AB186" s="130"/>
      <c r="AC186" s="130"/>
      <c r="AD186" s="130"/>
      <c r="AE186" s="97"/>
      <c r="AF186" s="130"/>
      <c r="AG186" s="99"/>
      <c r="AH186" s="100"/>
      <c r="AI186" s="100"/>
      <c r="AJ186" s="100" t="str">
        <f aca="false">IF(ISBLANK($C186),"",IF($E186=Constants!$B$2,TRUE(),IF($E186=Constants!$B$3,FALSE(),TRUE())))</f>
        <v/>
      </c>
      <c r="AK186" s="100" t="str">
        <f aca="false">IF(ISBLANK($C186),"",IF($F186=Constants!$B$2,TRUE(),IF($F186=Constants!$B$3,FALSE(),FALSE())))</f>
        <v/>
      </c>
      <c r="AL186" s="100" t="str">
        <f aca="false">IF(ISBLANK($C186),"",IF($G186=Constants!$B$2,TRUE(),IF($G186=Constants!$B$3,FALSE(),TRUE())))</f>
        <v/>
      </c>
      <c r="AM186" s="100" t="str">
        <f aca="false">IF(ISBLANK($C186),"",IF($H186=Constants!$B$2,TRUE(),IF($H186=Constants!$B$3,FALSE(),TRUE())))</f>
        <v/>
      </c>
      <c r="AN186" s="100" t="str">
        <f aca="false">IF(ISBLANK($C186),"",IF(ISNUMBER($I186),IF($I186&gt;=0,$I186,""),""))</f>
        <v/>
      </c>
      <c r="AO186" s="100" t="str">
        <f aca="false">IF(ISBLANK($C186),"",IF(ISNUMBER($J186),IF($J186&gt;=0,$J186,""),""))</f>
        <v/>
      </c>
      <c r="AP186" s="100" t="str">
        <f aca="false">IF(ISBLANK($C186),"",IF(ISNUMBER($K186),IF($K186&gt;=0,$K186,""),""))</f>
        <v/>
      </c>
      <c r="AQ186" s="100" t="str">
        <f aca="false">IF(ISBLANK($C186),"",IF($L186=Constants!$B$2,TRUE(),IF($L186=Constants!$B$3,FALSE(),TRUE())))</f>
        <v/>
      </c>
      <c r="AR186" s="100" t="str">
        <f aca="false">IF(ISBLANK($C186),"",IF($M186=Constants!$B$2,TRUE(),IF($M186=Constants!$B$3,FALSE(),TRUE())))</f>
        <v/>
      </c>
      <c r="AS186" s="100" t="str">
        <f aca="false">IF(ISBLANK($C186),"",IF($N186=Constants!$B$2,TRUE(),IF($N186=Constants!$B$3,FALSE(),FALSE())))</f>
        <v/>
      </c>
      <c r="AT186" s="100" t="str">
        <f aca="false">IF(ISBLANK($C186),"",IF($O186=Constants!$B$2,TRUE(),IF($O186=Constants!$B$3,FALSE(),TRUE())))</f>
        <v/>
      </c>
      <c r="AU186" s="100" t="str">
        <f aca="false">IF(ISBLANK($C186),"",IF($P186=Constants!$B$2,TRUE(),IF($P186=Constants!$B$3,FALSE(),TRUE())))</f>
        <v/>
      </c>
      <c r="AV186" s="100" t="str">
        <f aca="false">IF(ISBLANK($C186),"",IF($Q186=Constants!$B$2,TRUE(),IF($Q186=Constants!$B$3,FALSE(),FALSE())))</f>
        <v/>
      </c>
      <c r="AW186" s="100" t="str">
        <f aca="false">IF(ISBLANK($C186),"",IF($R186=Constants!$B$2,TRUE(),IF($R186=Constants!$B$3,FALSE(),FALSE())))</f>
        <v/>
      </c>
      <c r="AX186" s="100" t="str">
        <f aca="false">IF(ISBLANK($C186),"",IF($S186=Constants!$B$2,TRUE(),IF($S186=Constants!$B$3,FALSE(),FALSE())))</f>
        <v/>
      </c>
      <c r="AY186" s="100" t="str">
        <f aca="false">IF(ISBLANK($C186),"",IF($T186=Constants!$B$2,TRUE(),IF($T186=Constants!$B$3,FALSE(),FALSE())))</f>
        <v/>
      </c>
      <c r="AZ186" s="100" t="str">
        <f aca="false">IF(ISBLANK($C186),"",IF($U186=Constants!$B$2,TRUE(),IF($U186=Constants!$B$3,FALSE(),FALSE())))</f>
        <v/>
      </c>
      <c r="BA186" s="100" t="str">
        <f aca="false">IF(ISBLANK($C186),"",IF(OR($V186&amp;""="1",$V186&amp;""="2",$V186&amp;""="3",$V186&amp;""="4"),VALUE($V186&amp;""),IF($V186=Constants!$B$12,Constants!$B$12,"")))</f>
        <v/>
      </c>
      <c r="BB186" s="100" t="str">
        <f aca="false">IF(ISBLANK($C186),"",IF(ISBLANK($W186),0,IF(ISNUMBER($W186),IF(AND($W186&gt;=0,$W186&lt;=Constants!$B$21,$W186=INT($W186)),$W186,""),"")))</f>
        <v/>
      </c>
      <c r="BC186" s="100" t="str">
        <f aca="false">IF(ISBLANK($C186),"",IF(ISBLANK($X186),0,IF(ISNUMBER($X186),IF($X186&gt;=0,$X186,""),"")))</f>
        <v/>
      </c>
      <c r="BD186" s="100" t="str">
        <f aca="false">IF(ISBLANK($C186),"",IF($Y186=Constants!$B$2,TRUE(),IF($Y186=Constants!$B$3,FALSE(),TRUE())))</f>
        <v/>
      </c>
      <c r="BE186" s="100" t="str">
        <f aca="false">IF(ISBLANK($C186),"",IF($Z186=Constants!$B$2,TRUE(),IF($Z186=Constants!$B$3,FALSE(),FALSE())))</f>
        <v/>
      </c>
      <c r="BF186" s="100" t="str">
        <f aca="false">IF(ISBLANK($C186),"",IF(ISBLANK($AA186),0,IF(ISNUMBER($AA186),IF(AND($AA186&gt;=0,$AA186&lt;=Constants!$B$35,$AA186=INT($AA186)),$AA186,""),"")))</f>
        <v/>
      </c>
      <c r="BG186" s="100" t="str">
        <f aca="false">IF(ISBLANK($C186),"",IF($AB186=Constants!$B$2,TRUE(),IF($AB186=Constants!$B$3,FALSE(),TRUE())))</f>
        <v/>
      </c>
      <c r="BH186" s="100" t="str">
        <f aca="false">IF(ISBLANK($C186),"",IF($AC186=Constants!$B$2,TRUE(),IF($AC186=Constants!$B$3,FALSE(),TRUE())))</f>
        <v/>
      </c>
      <c r="BI186" s="100" t="str">
        <f aca="false">IF(ISBLANK($C186),"",IF($AD186=Constants!$B$2,TRUE(),IF($AD186=Constants!$B$3,FALSE(),TRUE())))</f>
        <v/>
      </c>
      <c r="BJ186" s="100" t="str">
        <f aca="false">IF(ISBLANK($C186),"",IF(ISNUMBER($AE186),IF($AE186&gt;=0,$AE186,""),""))</f>
        <v/>
      </c>
      <c r="BK186" s="100" t="str">
        <f aca="false">IF(ISBLANK($C186),"",IF($AF186=Constants!$B$2,TRUE(),IF($AF186=Constants!$B$3,FALSE(),FALSE())))</f>
        <v/>
      </c>
      <c r="BL186" s="99" t="str">
        <f aca="false">IF(ISBLANK($C186),"",IF($BK186,Constants!$B$7,IF(COUNTA($E186:$AE186)=0,Constants!$B$6,IF(OR(COUNTA($G186:$AE186)=0,NOT($AM186),$AS186),Constants!$B$5,IF(OR($CM186&lt;&gt;"",$CN186,$CO186,$CP186,$CQ186,$CR186,$CS186),Constants!$B$8,Constants!$B$4)))))</f>
        <v/>
      </c>
      <c r="BM186" s="100" t="str">
        <f aca="false">IF(ISBLANK($C186),"",IF($BL186&lt;&gt;Constants!$B$4,$BL186,IF(OR(NOT($AJ186),NOT($AL186),NOT($AT186)),Constants!$B$11,IF(OR(NOT($AR186),NOT($AU186),NOT($BI186),MAX($AN186,$AO186,$AP186)&gt;Constants!$B$30),Constants!$B$10,Constants!$B$9))))</f>
        <v/>
      </c>
      <c r="BN186" s="100" t="str">
        <f aca="false">IF($BL186&lt;&gt;Constants!$B$4,"",IF(NOT($AL186),0,MIN(Constants!$B$35,$BF186)))</f>
        <v/>
      </c>
      <c r="BO186" s="100" t="str">
        <f aca="false">IF($BL186&lt;&gt;Constants!$B$4,"",IF(NOT($AL186),0,IF($AW186,Constants!$B$18,IF($AV186,Constants!$B$17,0))))</f>
        <v/>
      </c>
      <c r="BP186" s="100" t="str">
        <f aca="false">IF($BL186&lt;&gt;Constants!$B$4,"",IF(NOT($AL186),0,Constants!$B$19*($AK186+$AX186+$AY186+$AZ186)))</f>
        <v/>
      </c>
      <c r="BQ186" s="100" t="str">
        <f aca="false">IF($BL186&lt;&gt;Constants!$B$4,"",IF(OR(NOT($AL186),NOT(ISNUMBER($BA186))),0,CHOOSE($BA186,Constants!$B$13,Constants!$B$14,Constants!$B$15,Constants!$B$16)))</f>
        <v/>
      </c>
      <c r="BR186" s="100" t="str">
        <f aca="false">IF($BL186&lt;&gt;Constants!$B$4,"",IF(NOT($AL186),0,Constants!$B$20*$BB186))</f>
        <v/>
      </c>
      <c r="BS186" s="100" t="str">
        <f aca="false">IF($BL186&lt;&gt;Constants!$B$4,"",IF(AND($AL186,$BD186,$BE186),Constants!$B$22,0))</f>
        <v/>
      </c>
      <c r="BT186" s="100" t="str">
        <f aca="false">IF($BL186&lt;&gt;Constants!$B$4,"",IF(OR(NOT($AL186),NOT($BD186)),0,IF($BJ186&gt;=2*$AH$9,0,Constants!$B$23*INT(ROUND(MIN($BJ186,$AH$9),6)))))</f>
        <v/>
      </c>
      <c r="BU186" s="100" t="str">
        <f aca="false">IF($BL186&lt;&gt;Constants!$B$4,"",IF(NOT($AL186),0,Constants!$B$24*INT(ROUND(MIN($BC186,$AH$9),6))))</f>
        <v/>
      </c>
      <c r="BV186" s="100" t="str">
        <f aca="false">IF($BL186&lt;&gt;Constants!$B$4,"",IF(AND($AL186,$BN186=0),Constants!$B$25,0))</f>
        <v/>
      </c>
      <c r="BW186" s="100" t="str">
        <f aca="false">IF($BL186&lt;&gt;Constants!$B$4,"",MIN(Constants!$B$29,MAX(0,Constants!$B$27*Constants!$B$28*INT(ROUND((Constants!$B$26-$AN186)/Constants!$B$28,6))))+MIN(Constants!$B$29,MAX(0,Constants!$B$27*Constants!$B$28*INT(ROUND((Constants!$B$26-$AO186)/Constants!$B$28,6))))+MIN(Constants!$B$29,MAX(0,Constants!$B$27*Constants!$B$28*INT(ROUND((Constants!$B$26-$AP186)/Constants!$B$28,6)))))</f>
        <v/>
      </c>
      <c r="BX186" s="100" t="str">
        <f aca="false">IF($BL186&lt;&gt;Constants!$B$4,"",IF(NOT($AL186),0,Constants!$B$31*INT(ROUND(MAX(0,MIN($BJ186,2*$AH$9)-$AH$9),6))))</f>
        <v/>
      </c>
      <c r="BY186" s="100" t="str">
        <f aca="false">IF($BL186&lt;&gt;Constants!$B$4,"",Constants!$B$32*(($AN186&gt;Constants!$B$26)+($AO186&gt;Constants!$B$26)+($AP186&gt;Constants!$B$26)))</f>
        <v/>
      </c>
      <c r="BZ186" s="100" t="str">
        <f aca="false">IF($BL186&lt;&gt;Constants!$B$4,"",IF(OR(NOT($AL186),$AQ186),0,Constants!$B$33))</f>
        <v/>
      </c>
      <c r="CA186" s="100" t="str">
        <f aca="false">IF($BL186&lt;&gt;Constants!$B$4,"",Constants!$B$34*$BN186)</f>
        <v/>
      </c>
      <c r="CB186" s="100" t="str">
        <f aca="false">IF($BL186&lt;&gt;Constants!$B$4,"",IF(OR(NOT($AL186),$BH186),0,Constants!$B$36))</f>
        <v/>
      </c>
      <c r="CC186" s="100" t="str">
        <f aca="false">IF($BL186&lt;&gt;Constants!$B$4,"",IF(OR(NOT($AL186),$BG186),0,Constants!$B$37))</f>
        <v/>
      </c>
      <c r="CD186" s="100" t="str">
        <f aca="false">IF($BL186&lt;&gt;Constants!$B$4,"",SUM($BX186:$CC186))</f>
        <v/>
      </c>
      <c r="CE186" s="100" t="str">
        <f aca="false">IF(ISBLANK($C186),"",IF($BL186&lt;&gt;Constants!$B$4,$BL186,SUM($BO186:$BW186)-$CD186))</f>
        <v/>
      </c>
      <c r="CF186" s="100" t="str">
        <f aca="false">IF(ISBLANK($C186),"",IF($BL186&lt;&gt;Constants!$B$4,$BL186,RANK($CE186,$CE$9:$CE$508)))</f>
        <v/>
      </c>
      <c r="CG186" s="100" t="str">
        <f aca="false">IF(ISBLANK($C186),"",IF($BL186&lt;&gt;Constants!$B$4,$BL186,COUNTIFS($BM$9:$BM$508,"&lt;"&amp;$BM186)+COUNTIFS($BM$9:$BM$508,$BM186,$CF$9:$CF$508,"&lt;"&amp;$CF186)+1))</f>
        <v/>
      </c>
      <c r="CH186" s="100" t="str">
        <f aca="false">IF(ISBLANK($C186),"",IF($BL186&lt;&gt;Constants!$B$4,$BL186,RANK($CD186,$CD$9:$CD$508,1)))</f>
        <v/>
      </c>
      <c r="CI186" s="100" t="str">
        <f aca="false">IF($BL186&lt;&gt;Constants!$B$4,"",$AN186+$AO186+$AP186)</f>
        <v/>
      </c>
      <c r="CJ186" s="100" t="str">
        <f aca="false">IF(ISBLANK($C186),"",IF($BL186&lt;&gt;Constants!$B$4,$BL186,RANK($CI186,$CI$9:$CI$508,1)))</f>
        <v/>
      </c>
      <c r="CK186" s="100" t="str">
        <f aca="false">IF(ISBLANK($C186),"",IF($BL186&lt;&gt;Constants!$B$4,$BL186,COUNTIFS($BM$9:$BM$508,"&lt;"&amp;$BM186)+COUNTIFS($BM$9:$BM$508,$BM186,$CF$9:$CF$508,"&lt;"&amp;$CF186)+COUNTIFS($BM$9:$BM$508,$BM186,$CF$9:$CF$508,$CF186,$CH$9:$CH$508,"&lt;"&amp;$CH186)+COUNTIFS($BM$9:$BM$508,$BM186,$CF$9:$CF$508,$CF186,$CH$9:$CH$508,$CH186,$CJ$9:$CJ$508,"&lt;"&amp;$CJ186)+1))</f>
        <v/>
      </c>
      <c r="CL186" s="100" t="str">
        <f aca="false">IF(ISBLANK($C186),"",IF($BL186&lt;&gt;Constants!$B$4,$BL186,$CG186-$CK186))</f>
        <v/>
      </c>
      <c r="CM186" s="100" t="str">
        <f aca="false">IF(ISBLANK($C186),"",IF(NOT($AL186),"",IF(ISBLANK($D$7),$CM$5,IF(NOT(ISNUMBER($D$7)),$CM$6,""))))</f>
        <v/>
      </c>
      <c r="CN186" s="100" t="str">
        <f aca="false">IF(ISBLANK($C186),"",OR($AN186="",$AO186="",$AP186=""))</f>
        <v/>
      </c>
      <c r="CO186" s="100" t="str">
        <f aca="false">IF(ISBLANK($C186),"",AND($AL186,$BA186=""))</f>
        <v/>
      </c>
      <c r="CP186" s="100" t="str">
        <f aca="false">IF(ISBLANK($C186),"",AND($AL186,$BB186=""))</f>
        <v/>
      </c>
      <c r="CQ186" s="100" t="str">
        <f aca="false">IF(ISBLANK($C186),"",AND($AL186,$BC186=""))</f>
        <v/>
      </c>
      <c r="CR186" s="100" t="str">
        <f aca="false">IF(ISBLANK($C186),"",AND($AL186,$BF186=""))</f>
        <v/>
      </c>
      <c r="CS186" s="100" t="str">
        <f aca="false">IF(ISBLANK($C186),"",AND($AL186,$BJ186=""))</f>
        <v/>
      </c>
      <c r="CT186" s="101"/>
      <c r="CU186" s="102"/>
      <c r="CV186" s="103" t="str">
        <f aca="false">IF(ISBLANK($C186),"",IF($BL186=Constants!$B$8,$CM186,""))</f>
        <v/>
      </c>
      <c r="CW186" s="102" t="str">
        <f aca="false">IF(ISBLANK($C186),"",IF($BL186&lt;&gt;Constants!$B$4,"",$BO186+$BP186))</f>
        <v/>
      </c>
      <c r="CX186" s="104" t="str">
        <f aca="false">IF(ISBLANK($C186),"",IF($BL186&lt;&gt;Constants!$B$4,"",$BQ186+$BR186+$BS186))</f>
        <v/>
      </c>
      <c r="CY186" s="104" t="str">
        <f aca="false">IF(ISBLANK($C186),"",IF($BL186&lt;&gt;Constants!$B$4,"",$BT186))</f>
        <v/>
      </c>
      <c r="CZ186" s="104" t="str">
        <f aca="false">IF(ISBLANK($C186),"",IF($BL186&lt;&gt;Constants!$B$4,"",$BU186+$BV186))</f>
        <v/>
      </c>
      <c r="DA186" s="104" t="str">
        <f aca="false">IF(ISBLANK($C186),"",IF($BL186&lt;&gt;Constants!$B$4,"",$BW186))</f>
        <v/>
      </c>
      <c r="DB186" s="104" t="str">
        <f aca="false">IF(ISBLANK($C186),"",IF($BL186&lt;&gt;Constants!$B$4,"",-$CD186))</f>
        <v/>
      </c>
      <c r="DC186" s="103" t="str">
        <f aca="false">IF(ISBLANK($C186),"",$CE186)</f>
        <v/>
      </c>
      <c r="DD186" s="105" t="str">
        <f aca="false">IF(ISBLANK($C186),"",$BM186)</f>
        <v/>
      </c>
      <c r="DE186" s="104" t="str">
        <f aca="false">IF(ISBLANK($C186),"",$CL186)</f>
        <v/>
      </c>
      <c r="DF186" s="104" t="str">
        <f aca="false">IF(ISBLANK($C186),"",$CK186)</f>
        <v/>
      </c>
      <c r="DG186" s="106" t="str">
        <f aca="false">IF(ISBLANK($C186),"",IF($DF186=Constants!$B$7,COUNTA($C$9:$C$508)+2,IF($DF186=Constants!$B$6,COUNTA($C$9:$C$508)+1,IF($DF186=Constants!$B$5,COUNTA($C$9:$C$508),$DF186))))</f>
        <v/>
      </c>
      <c r="DH186" s="7"/>
      <c r="DI186" s="107" t="n">
        <f aca="false">IF(OR(ISNUMBER($DF186),$DF186=Constants!$B$7,$DF186=Constants!$B$5,$DF186=Constants!$B$6),1,0)</f>
        <v>0</v>
      </c>
      <c r="DJ186" s="107" t="n">
        <v>178</v>
      </c>
      <c r="DK186" s="107" t="str">
        <f aca="false">IF(ISBLANK($C186),"",IF(ISNUMBER($DG186),$DG186+ROW($B186)/1000,""))</f>
        <v/>
      </c>
      <c r="DL186" s="107" t="str">
        <f aca="false">IF(ISNUMBER($DK186),RANK($DK186,$DK$9:$DK$508,1),"")</f>
        <v/>
      </c>
      <c r="DM186" s="107" t="str">
        <f aca="false">IF(ISBLANK($C186),"",$B186)</f>
        <v/>
      </c>
      <c r="DN186" s="107" t="str">
        <f aca="false">IF(ISBLANK($C186),"",$C186)</f>
        <v/>
      </c>
      <c r="DO186" s="107" t="str">
        <f aca="false">IF(ISBLANK($C186),"",$D186)</f>
        <v/>
      </c>
      <c r="DP186" s="108" t="str">
        <f aca="false">$DD186</f>
        <v/>
      </c>
      <c r="DQ186" s="109" t="str">
        <f aca="false">$DC186</f>
        <v/>
      </c>
      <c r="DR186" s="107" t="str">
        <f aca="false">IF(ISBLANK($C186),"",$DF186)</f>
        <v/>
      </c>
      <c r="DS186" s="110" t="str">
        <f aca="false">IF($DJ186&gt;$DI$8,"",VLOOKUP($DJ186,$DL$9:$DR$508,7,FALSE()))</f>
        <v/>
      </c>
      <c r="DT186" s="111" t="str">
        <f aca="false">IF($DJ186&gt;$DI$8,"",VLOOKUP($DJ186,$DL$9:$DR$508,2,FALSE()))</f>
        <v/>
      </c>
      <c r="DU186" s="111" t="str">
        <f aca="false">IF($DJ186&gt;$DI$8,"",VLOOKUP($DJ186,$DL$9:$DR$508,3,FALSE()))</f>
        <v/>
      </c>
      <c r="DV186" s="111" t="str">
        <f aca="false">IF($DJ186&gt;$DI$8,"",VLOOKUP($DJ186,$DL$9:$DR$508,4,FALSE()))</f>
        <v/>
      </c>
      <c r="DW186" s="111" t="str">
        <f aca="false">IF($DJ186&gt;$DI$8,"",VLOOKUP($DJ186,$DL$9:$DR$508,5,FALSE()))</f>
        <v/>
      </c>
      <c r="DX186" s="112" t="str">
        <f aca="false">IF($DJ186&gt;$DI$8,"",VLOOKUP($DJ186,$DL$9:$DR$508,6,FALSE()))</f>
        <v/>
      </c>
      <c r="DY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130"/>
      <c r="N187" s="130"/>
      <c r="O187" s="135"/>
      <c r="P187" s="135"/>
      <c r="Q187" s="130"/>
      <c r="R187" s="130"/>
      <c r="S187" s="130"/>
      <c r="T187" s="130"/>
      <c r="U187" s="135"/>
      <c r="V187" s="130"/>
      <c r="W187" s="96"/>
      <c r="X187" s="130"/>
      <c r="Y187" s="130"/>
      <c r="Z187" s="96"/>
      <c r="AA187" s="96"/>
      <c r="AB187" s="130"/>
      <c r="AC187" s="130"/>
      <c r="AD187" s="130"/>
      <c r="AE187" s="97"/>
      <c r="AF187" s="130"/>
      <c r="AG187" s="99"/>
      <c r="AH187" s="100"/>
      <c r="AI187" s="100"/>
      <c r="AJ187" s="100" t="str">
        <f aca="false">IF(ISBLANK($C187),"",IF($E187=Constants!$B$2,TRUE(),IF($E187=Constants!$B$3,FALSE(),TRUE())))</f>
        <v/>
      </c>
      <c r="AK187" s="100" t="str">
        <f aca="false">IF(ISBLANK($C187),"",IF($F187=Constants!$B$2,TRUE(),IF($F187=Constants!$B$3,FALSE(),FALSE())))</f>
        <v/>
      </c>
      <c r="AL187" s="100" t="str">
        <f aca="false">IF(ISBLANK($C187),"",IF($G187=Constants!$B$2,TRUE(),IF($G187=Constants!$B$3,FALSE(),TRUE())))</f>
        <v/>
      </c>
      <c r="AM187" s="100" t="str">
        <f aca="false">IF(ISBLANK($C187),"",IF($H187=Constants!$B$2,TRUE(),IF($H187=Constants!$B$3,FALSE(),TRUE())))</f>
        <v/>
      </c>
      <c r="AN187" s="100" t="str">
        <f aca="false">IF(ISBLANK($C187),"",IF(ISNUMBER($I187),IF($I187&gt;=0,$I187,""),""))</f>
        <v/>
      </c>
      <c r="AO187" s="100" t="str">
        <f aca="false">IF(ISBLANK($C187),"",IF(ISNUMBER($J187),IF($J187&gt;=0,$J187,""),""))</f>
        <v/>
      </c>
      <c r="AP187" s="100" t="str">
        <f aca="false">IF(ISBLANK($C187),"",IF(ISNUMBER($K187),IF($K187&gt;=0,$K187,""),""))</f>
        <v/>
      </c>
      <c r="AQ187" s="100" t="str">
        <f aca="false">IF(ISBLANK($C187),"",IF($L187=Constants!$B$2,TRUE(),IF($L187=Constants!$B$3,FALSE(),TRUE())))</f>
        <v/>
      </c>
      <c r="AR187" s="100" t="str">
        <f aca="false">IF(ISBLANK($C187),"",IF($M187=Constants!$B$2,TRUE(),IF($M187=Constants!$B$3,FALSE(),TRUE())))</f>
        <v/>
      </c>
      <c r="AS187" s="100" t="str">
        <f aca="false">IF(ISBLANK($C187),"",IF($N187=Constants!$B$2,TRUE(),IF($N187=Constants!$B$3,FALSE(),FALSE())))</f>
        <v/>
      </c>
      <c r="AT187" s="100" t="str">
        <f aca="false">IF(ISBLANK($C187),"",IF($O187=Constants!$B$2,TRUE(),IF($O187=Constants!$B$3,FALSE(),TRUE())))</f>
        <v/>
      </c>
      <c r="AU187" s="100" t="str">
        <f aca="false">IF(ISBLANK($C187),"",IF($P187=Constants!$B$2,TRUE(),IF($P187=Constants!$B$3,FALSE(),TRUE())))</f>
        <v/>
      </c>
      <c r="AV187" s="100" t="str">
        <f aca="false">IF(ISBLANK($C187),"",IF($Q187=Constants!$B$2,TRUE(),IF($Q187=Constants!$B$3,FALSE(),FALSE())))</f>
        <v/>
      </c>
      <c r="AW187" s="100" t="str">
        <f aca="false">IF(ISBLANK($C187),"",IF($R187=Constants!$B$2,TRUE(),IF($R187=Constants!$B$3,FALSE(),FALSE())))</f>
        <v/>
      </c>
      <c r="AX187" s="100" t="str">
        <f aca="false">IF(ISBLANK($C187),"",IF($S187=Constants!$B$2,TRUE(),IF($S187=Constants!$B$3,FALSE(),FALSE())))</f>
        <v/>
      </c>
      <c r="AY187" s="100" t="str">
        <f aca="false">IF(ISBLANK($C187),"",IF($T187=Constants!$B$2,TRUE(),IF($T187=Constants!$B$3,FALSE(),FALSE())))</f>
        <v/>
      </c>
      <c r="AZ187" s="100" t="str">
        <f aca="false">IF(ISBLANK($C187),"",IF($U187=Constants!$B$2,TRUE(),IF($U187=Constants!$B$3,FALSE(),FALSE())))</f>
        <v/>
      </c>
      <c r="BA187" s="100" t="str">
        <f aca="false">IF(ISBLANK($C187),"",IF(OR($V187&amp;""="1",$V187&amp;""="2",$V187&amp;""="3",$V187&amp;""="4"),VALUE($V187&amp;""),IF($V187=Constants!$B$12,Constants!$B$12,"")))</f>
        <v/>
      </c>
      <c r="BB187" s="100" t="str">
        <f aca="false">IF(ISBLANK($C187),"",IF(ISBLANK($W187),0,IF(ISNUMBER($W187),IF(AND($W187&gt;=0,$W187&lt;=Constants!$B$21,$W187=INT($W187)),$W187,""),"")))</f>
        <v/>
      </c>
      <c r="BC187" s="100" t="str">
        <f aca="false">IF(ISBLANK($C187),"",IF(ISBLANK($X187),0,IF(ISNUMBER($X187),IF($X187&gt;=0,$X187,""),"")))</f>
        <v/>
      </c>
      <c r="BD187" s="100" t="str">
        <f aca="false">IF(ISBLANK($C187),"",IF($Y187=Constants!$B$2,TRUE(),IF($Y187=Constants!$B$3,FALSE(),TRUE())))</f>
        <v/>
      </c>
      <c r="BE187" s="100" t="str">
        <f aca="false">IF(ISBLANK($C187),"",IF($Z187=Constants!$B$2,TRUE(),IF($Z187=Constants!$B$3,FALSE(),FALSE())))</f>
        <v/>
      </c>
      <c r="BF187" s="100" t="str">
        <f aca="false">IF(ISBLANK($C187),"",IF(ISBLANK($AA187),0,IF(ISNUMBER($AA187),IF(AND($AA187&gt;=0,$AA187&lt;=Constants!$B$35,$AA187=INT($AA187)),$AA187,""),"")))</f>
        <v/>
      </c>
      <c r="BG187" s="100" t="str">
        <f aca="false">IF(ISBLANK($C187),"",IF($AB187=Constants!$B$2,TRUE(),IF($AB187=Constants!$B$3,FALSE(),TRUE())))</f>
        <v/>
      </c>
      <c r="BH187" s="100" t="str">
        <f aca="false">IF(ISBLANK($C187),"",IF($AC187=Constants!$B$2,TRUE(),IF($AC187=Constants!$B$3,FALSE(),TRUE())))</f>
        <v/>
      </c>
      <c r="BI187" s="100" t="str">
        <f aca="false">IF(ISBLANK($C187),"",IF($AD187=Constants!$B$2,TRUE(),IF($AD187=Constants!$B$3,FALSE(),TRUE())))</f>
        <v/>
      </c>
      <c r="BJ187" s="100" t="str">
        <f aca="false">IF(ISBLANK($C187),"",IF(ISNUMBER($AE187),IF($AE187&gt;=0,$AE187,""),""))</f>
        <v/>
      </c>
      <c r="BK187" s="100" t="str">
        <f aca="false">IF(ISBLANK($C187),"",IF($AF187=Constants!$B$2,TRUE(),IF($AF187=Constants!$B$3,FALSE(),FALSE())))</f>
        <v/>
      </c>
      <c r="BL187" s="99" t="str">
        <f aca="false">IF(ISBLANK($C187),"",IF($BK187,Constants!$B$7,IF(COUNTA($E187:$AE187)=0,Constants!$B$6,IF(OR(COUNTA($G187:$AE187)=0,NOT($AM187),$AS187),Constants!$B$5,IF(OR($CM187&lt;&gt;"",$CN187,$CO187,$CP187,$CQ187,$CR187,$CS187),Constants!$B$8,Constants!$B$4)))))</f>
        <v/>
      </c>
      <c r="BM187" s="100" t="str">
        <f aca="false">IF(ISBLANK($C187),"",IF($BL187&lt;&gt;Constants!$B$4,$BL187,IF(OR(NOT($AJ187),NOT($AL187),NOT($AT187)),Constants!$B$11,IF(OR(NOT($AR187),NOT($AU187),NOT($BI187),MAX($AN187,$AO187,$AP187)&gt;Constants!$B$30),Constants!$B$10,Constants!$B$9))))</f>
        <v/>
      </c>
      <c r="BN187" s="100" t="str">
        <f aca="false">IF($BL187&lt;&gt;Constants!$B$4,"",IF(NOT($AL187),0,MIN(Constants!$B$35,$BF187)))</f>
        <v/>
      </c>
      <c r="BO187" s="100" t="str">
        <f aca="false">IF($BL187&lt;&gt;Constants!$B$4,"",IF(NOT($AL187),0,IF($AW187,Constants!$B$18,IF($AV187,Constants!$B$17,0))))</f>
        <v/>
      </c>
      <c r="BP187" s="100" t="str">
        <f aca="false">IF($BL187&lt;&gt;Constants!$B$4,"",IF(NOT($AL187),0,Constants!$B$19*($AK187+$AX187+$AY187+$AZ187)))</f>
        <v/>
      </c>
      <c r="BQ187" s="100" t="str">
        <f aca="false">IF($BL187&lt;&gt;Constants!$B$4,"",IF(OR(NOT($AL187),NOT(ISNUMBER($BA187))),0,CHOOSE($BA187,Constants!$B$13,Constants!$B$14,Constants!$B$15,Constants!$B$16)))</f>
        <v/>
      </c>
      <c r="BR187" s="100" t="str">
        <f aca="false">IF($BL187&lt;&gt;Constants!$B$4,"",IF(NOT($AL187),0,Constants!$B$20*$BB187))</f>
        <v/>
      </c>
      <c r="BS187" s="100" t="str">
        <f aca="false">IF($BL187&lt;&gt;Constants!$B$4,"",IF(AND($AL187,$BD187,$BE187),Constants!$B$22,0))</f>
        <v/>
      </c>
      <c r="BT187" s="100" t="str">
        <f aca="false">IF($BL187&lt;&gt;Constants!$B$4,"",IF(OR(NOT($AL187),NOT($BD187)),0,IF($BJ187&gt;=2*$AH$9,0,Constants!$B$23*INT(ROUND(MIN($BJ187,$AH$9),6)))))</f>
        <v/>
      </c>
      <c r="BU187" s="100" t="str">
        <f aca="false">IF($BL187&lt;&gt;Constants!$B$4,"",IF(NOT($AL187),0,Constants!$B$24*INT(ROUND(MIN($BC187,$AH$9),6))))</f>
        <v/>
      </c>
      <c r="BV187" s="100" t="str">
        <f aca="false">IF($BL187&lt;&gt;Constants!$B$4,"",IF(AND($AL187,$BN187=0),Constants!$B$25,0))</f>
        <v/>
      </c>
      <c r="BW187" s="100" t="str">
        <f aca="false">IF($BL187&lt;&gt;Constants!$B$4,"",MIN(Constants!$B$29,MAX(0,Constants!$B$27*Constants!$B$28*INT(ROUND((Constants!$B$26-$AN187)/Constants!$B$28,6))))+MIN(Constants!$B$29,MAX(0,Constants!$B$27*Constants!$B$28*INT(ROUND((Constants!$B$26-$AO187)/Constants!$B$28,6))))+MIN(Constants!$B$29,MAX(0,Constants!$B$27*Constants!$B$28*INT(ROUND((Constants!$B$26-$AP187)/Constants!$B$28,6)))))</f>
        <v/>
      </c>
      <c r="BX187" s="100" t="str">
        <f aca="false">IF($BL187&lt;&gt;Constants!$B$4,"",IF(NOT($AL187),0,Constants!$B$31*INT(ROUND(MAX(0,MIN($BJ187,2*$AH$9)-$AH$9),6))))</f>
        <v/>
      </c>
      <c r="BY187" s="100" t="str">
        <f aca="false">IF($BL187&lt;&gt;Constants!$B$4,"",Constants!$B$32*(($AN187&gt;Constants!$B$26)+($AO187&gt;Constants!$B$26)+($AP187&gt;Constants!$B$26)))</f>
        <v/>
      </c>
      <c r="BZ187" s="100" t="str">
        <f aca="false">IF($BL187&lt;&gt;Constants!$B$4,"",IF(OR(NOT($AL187),$AQ187),0,Constants!$B$33))</f>
        <v/>
      </c>
      <c r="CA187" s="100" t="str">
        <f aca="false">IF($BL187&lt;&gt;Constants!$B$4,"",Constants!$B$34*$BN187)</f>
        <v/>
      </c>
      <c r="CB187" s="100" t="str">
        <f aca="false">IF($BL187&lt;&gt;Constants!$B$4,"",IF(OR(NOT($AL187),$BH187),0,Constants!$B$36))</f>
        <v/>
      </c>
      <c r="CC187" s="100" t="str">
        <f aca="false">IF($BL187&lt;&gt;Constants!$B$4,"",IF(OR(NOT($AL187),$BG187),0,Constants!$B$37))</f>
        <v/>
      </c>
      <c r="CD187" s="100" t="str">
        <f aca="false">IF($BL187&lt;&gt;Constants!$B$4,"",SUM($BX187:$CC187))</f>
        <v/>
      </c>
      <c r="CE187" s="100" t="str">
        <f aca="false">IF(ISBLANK($C187),"",IF($BL187&lt;&gt;Constants!$B$4,$BL187,SUM($BO187:$BW187)-$CD187))</f>
        <v/>
      </c>
      <c r="CF187" s="100" t="str">
        <f aca="false">IF(ISBLANK($C187),"",IF($BL187&lt;&gt;Constants!$B$4,$BL187,RANK($CE187,$CE$9:$CE$508)))</f>
        <v/>
      </c>
      <c r="CG187" s="100" t="str">
        <f aca="false">IF(ISBLANK($C187),"",IF($BL187&lt;&gt;Constants!$B$4,$BL187,COUNTIFS($BM$9:$BM$508,"&lt;"&amp;$BM187)+COUNTIFS($BM$9:$BM$508,$BM187,$CF$9:$CF$508,"&lt;"&amp;$CF187)+1))</f>
        <v/>
      </c>
      <c r="CH187" s="100" t="str">
        <f aca="false">IF(ISBLANK($C187),"",IF($BL187&lt;&gt;Constants!$B$4,$BL187,RANK($CD187,$CD$9:$CD$508,1)))</f>
        <v/>
      </c>
      <c r="CI187" s="100" t="str">
        <f aca="false">IF($BL187&lt;&gt;Constants!$B$4,"",$AN187+$AO187+$AP187)</f>
        <v/>
      </c>
      <c r="CJ187" s="100" t="str">
        <f aca="false">IF(ISBLANK($C187),"",IF($BL187&lt;&gt;Constants!$B$4,$BL187,RANK($CI187,$CI$9:$CI$508,1)))</f>
        <v/>
      </c>
      <c r="CK187" s="100" t="str">
        <f aca="false">IF(ISBLANK($C187),"",IF($BL187&lt;&gt;Constants!$B$4,$BL187,COUNTIFS($BM$9:$BM$508,"&lt;"&amp;$BM187)+COUNTIFS($BM$9:$BM$508,$BM187,$CF$9:$CF$508,"&lt;"&amp;$CF187)+COUNTIFS($BM$9:$BM$508,$BM187,$CF$9:$CF$508,$CF187,$CH$9:$CH$508,"&lt;"&amp;$CH187)+COUNTIFS($BM$9:$BM$508,$BM187,$CF$9:$CF$508,$CF187,$CH$9:$CH$508,$CH187,$CJ$9:$CJ$508,"&lt;"&amp;$CJ187)+1))</f>
        <v/>
      </c>
      <c r="CL187" s="100" t="str">
        <f aca="false">IF(ISBLANK($C187),"",IF($BL187&lt;&gt;Constants!$B$4,$BL187,$CG187-$CK187))</f>
        <v/>
      </c>
      <c r="CM187" s="100" t="str">
        <f aca="false">IF(ISBLANK($C187),"",IF(NOT($AL187),"",IF(ISBLANK($D$7),$CM$5,IF(NOT(ISNUMBER($D$7)),$CM$6,""))))</f>
        <v/>
      </c>
      <c r="CN187" s="100" t="str">
        <f aca="false">IF(ISBLANK($C187),"",OR($AN187="",$AO187="",$AP187=""))</f>
        <v/>
      </c>
      <c r="CO187" s="100" t="str">
        <f aca="false">IF(ISBLANK($C187),"",AND($AL187,$BA187=""))</f>
        <v/>
      </c>
      <c r="CP187" s="100" t="str">
        <f aca="false">IF(ISBLANK($C187),"",AND($AL187,$BB187=""))</f>
        <v/>
      </c>
      <c r="CQ187" s="100" t="str">
        <f aca="false">IF(ISBLANK($C187),"",AND($AL187,$BC187=""))</f>
        <v/>
      </c>
      <c r="CR187" s="100" t="str">
        <f aca="false">IF(ISBLANK($C187),"",AND($AL187,$BF187=""))</f>
        <v/>
      </c>
      <c r="CS187" s="100" t="str">
        <f aca="false">IF(ISBLANK($C187),"",AND($AL187,$BJ187=""))</f>
        <v/>
      </c>
      <c r="CT187" s="101"/>
      <c r="CU187" s="102"/>
      <c r="CV187" s="103" t="str">
        <f aca="false">IF(ISBLANK($C187),"",IF($BL187=Constants!$B$8,$CM187,""))</f>
        <v/>
      </c>
      <c r="CW187" s="102" t="str">
        <f aca="false">IF(ISBLANK($C187),"",IF($BL187&lt;&gt;Constants!$B$4,"",$BO187+$BP187))</f>
        <v/>
      </c>
      <c r="CX187" s="104" t="str">
        <f aca="false">IF(ISBLANK($C187),"",IF($BL187&lt;&gt;Constants!$B$4,"",$BQ187+$BR187+$BS187))</f>
        <v/>
      </c>
      <c r="CY187" s="104" t="str">
        <f aca="false">IF(ISBLANK($C187),"",IF($BL187&lt;&gt;Constants!$B$4,"",$BT187))</f>
        <v/>
      </c>
      <c r="CZ187" s="104" t="str">
        <f aca="false">IF(ISBLANK($C187),"",IF($BL187&lt;&gt;Constants!$B$4,"",$BU187+$BV187))</f>
        <v/>
      </c>
      <c r="DA187" s="104" t="str">
        <f aca="false">IF(ISBLANK($C187),"",IF($BL187&lt;&gt;Constants!$B$4,"",$BW187))</f>
        <v/>
      </c>
      <c r="DB187" s="104" t="str">
        <f aca="false">IF(ISBLANK($C187),"",IF($BL187&lt;&gt;Constants!$B$4,"",-$CD187))</f>
        <v/>
      </c>
      <c r="DC187" s="103" t="str">
        <f aca="false">IF(ISBLANK($C187),"",$CE187)</f>
        <v/>
      </c>
      <c r="DD187" s="105" t="str">
        <f aca="false">IF(ISBLANK($C187),"",$BM187)</f>
        <v/>
      </c>
      <c r="DE187" s="104" t="str">
        <f aca="false">IF(ISBLANK($C187),"",$CL187)</f>
        <v/>
      </c>
      <c r="DF187" s="104" t="str">
        <f aca="false">IF(ISBLANK($C187),"",$CK187)</f>
        <v/>
      </c>
      <c r="DG187" s="106" t="str">
        <f aca="false">IF(ISBLANK($C187),"",IF($DF187=Constants!$B$7,COUNTA($C$9:$C$508)+2,IF($DF187=Constants!$B$6,COUNTA($C$9:$C$508)+1,IF($DF187=Constants!$B$5,COUNTA($C$9:$C$508),$DF187))))</f>
        <v/>
      </c>
      <c r="DH187" s="7"/>
      <c r="DI187" s="107" t="n">
        <f aca="false">IF(OR(ISNUMBER($DF187),$DF187=Constants!$B$7,$DF187=Constants!$B$5,$DF187=Constants!$B$6),1,0)</f>
        <v>0</v>
      </c>
      <c r="DJ187" s="107" t="n">
        <v>179</v>
      </c>
      <c r="DK187" s="107" t="str">
        <f aca="false">IF(ISBLANK($C187),"",IF(ISNUMBER($DG187),$DG187+ROW($B187)/1000,""))</f>
        <v/>
      </c>
      <c r="DL187" s="107" t="str">
        <f aca="false">IF(ISNUMBER($DK187),RANK($DK187,$DK$9:$DK$508,1),"")</f>
        <v/>
      </c>
      <c r="DM187" s="107" t="str">
        <f aca="false">IF(ISBLANK($C187),"",$B187)</f>
        <v/>
      </c>
      <c r="DN187" s="107" t="str">
        <f aca="false">IF(ISBLANK($C187),"",$C187)</f>
        <v/>
      </c>
      <c r="DO187" s="107" t="str">
        <f aca="false">IF(ISBLANK($C187),"",$D187)</f>
        <v/>
      </c>
      <c r="DP187" s="108" t="str">
        <f aca="false">$DD187</f>
        <v/>
      </c>
      <c r="DQ187" s="109" t="str">
        <f aca="false">$DC187</f>
        <v/>
      </c>
      <c r="DR187" s="107" t="str">
        <f aca="false">IF(ISBLANK($C187),"",$DF187)</f>
        <v/>
      </c>
      <c r="DS187" s="110" t="str">
        <f aca="false">IF($DJ187&gt;$DI$8,"",VLOOKUP($DJ187,$DL$9:$DR$508,7,FALSE()))</f>
        <v/>
      </c>
      <c r="DT187" s="111" t="str">
        <f aca="false">IF($DJ187&gt;$DI$8,"",VLOOKUP($DJ187,$DL$9:$DR$508,2,FALSE()))</f>
        <v/>
      </c>
      <c r="DU187" s="111" t="str">
        <f aca="false">IF($DJ187&gt;$DI$8,"",VLOOKUP($DJ187,$DL$9:$DR$508,3,FALSE()))</f>
        <v/>
      </c>
      <c r="DV187" s="111" t="str">
        <f aca="false">IF($DJ187&gt;$DI$8,"",VLOOKUP($DJ187,$DL$9:$DR$508,4,FALSE()))</f>
        <v/>
      </c>
      <c r="DW187" s="111" t="str">
        <f aca="false">IF($DJ187&gt;$DI$8,"",VLOOKUP($DJ187,$DL$9:$DR$508,5,FALSE()))</f>
        <v/>
      </c>
      <c r="DX187" s="112" t="str">
        <f aca="false">IF($DJ187&gt;$DI$8,"",VLOOKUP($DJ187,$DL$9:$DR$508,6,FALSE()))</f>
        <v/>
      </c>
      <c r="DY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130"/>
      <c r="N188" s="130"/>
      <c r="O188" s="135"/>
      <c r="P188" s="135"/>
      <c r="Q188" s="130"/>
      <c r="R188" s="130"/>
      <c r="S188" s="130"/>
      <c r="T188" s="130"/>
      <c r="U188" s="135"/>
      <c r="V188" s="130"/>
      <c r="W188" s="96"/>
      <c r="X188" s="130"/>
      <c r="Y188" s="130"/>
      <c r="Z188" s="96"/>
      <c r="AA188" s="96"/>
      <c r="AB188" s="130"/>
      <c r="AC188" s="130"/>
      <c r="AD188" s="130"/>
      <c r="AE188" s="97"/>
      <c r="AF188" s="130"/>
      <c r="AG188" s="99"/>
      <c r="AH188" s="100"/>
      <c r="AI188" s="100"/>
      <c r="AJ188" s="100" t="str">
        <f aca="false">IF(ISBLANK($C188),"",IF($E188=Constants!$B$2,TRUE(),IF($E188=Constants!$B$3,FALSE(),TRUE())))</f>
        <v/>
      </c>
      <c r="AK188" s="100" t="str">
        <f aca="false">IF(ISBLANK($C188),"",IF($F188=Constants!$B$2,TRUE(),IF($F188=Constants!$B$3,FALSE(),FALSE())))</f>
        <v/>
      </c>
      <c r="AL188" s="100" t="str">
        <f aca="false">IF(ISBLANK($C188),"",IF($G188=Constants!$B$2,TRUE(),IF($G188=Constants!$B$3,FALSE(),TRUE())))</f>
        <v/>
      </c>
      <c r="AM188" s="100" t="str">
        <f aca="false">IF(ISBLANK($C188),"",IF($H188=Constants!$B$2,TRUE(),IF($H188=Constants!$B$3,FALSE(),TRUE())))</f>
        <v/>
      </c>
      <c r="AN188" s="100" t="str">
        <f aca="false">IF(ISBLANK($C188),"",IF(ISNUMBER($I188),IF($I188&gt;=0,$I188,""),""))</f>
        <v/>
      </c>
      <c r="AO188" s="100" t="str">
        <f aca="false">IF(ISBLANK($C188),"",IF(ISNUMBER($J188),IF($J188&gt;=0,$J188,""),""))</f>
        <v/>
      </c>
      <c r="AP188" s="100" t="str">
        <f aca="false">IF(ISBLANK($C188),"",IF(ISNUMBER($K188),IF($K188&gt;=0,$K188,""),""))</f>
        <v/>
      </c>
      <c r="AQ188" s="100" t="str">
        <f aca="false">IF(ISBLANK($C188),"",IF($L188=Constants!$B$2,TRUE(),IF($L188=Constants!$B$3,FALSE(),TRUE())))</f>
        <v/>
      </c>
      <c r="AR188" s="100" t="str">
        <f aca="false">IF(ISBLANK($C188),"",IF($M188=Constants!$B$2,TRUE(),IF($M188=Constants!$B$3,FALSE(),TRUE())))</f>
        <v/>
      </c>
      <c r="AS188" s="100" t="str">
        <f aca="false">IF(ISBLANK($C188),"",IF($N188=Constants!$B$2,TRUE(),IF($N188=Constants!$B$3,FALSE(),FALSE())))</f>
        <v/>
      </c>
      <c r="AT188" s="100" t="str">
        <f aca="false">IF(ISBLANK($C188),"",IF($O188=Constants!$B$2,TRUE(),IF($O188=Constants!$B$3,FALSE(),TRUE())))</f>
        <v/>
      </c>
      <c r="AU188" s="100" t="str">
        <f aca="false">IF(ISBLANK($C188),"",IF($P188=Constants!$B$2,TRUE(),IF($P188=Constants!$B$3,FALSE(),TRUE())))</f>
        <v/>
      </c>
      <c r="AV188" s="100" t="str">
        <f aca="false">IF(ISBLANK($C188),"",IF($Q188=Constants!$B$2,TRUE(),IF($Q188=Constants!$B$3,FALSE(),FALSE())))</f>
        <v/>
      </c>
      <c r="AW188" s="100" t="str">
        <f aca="false">IF(ISBLANK($C188),"",IF($R188=Constants!$B$2,TRUE(),IF($R188=Constants!$B$3,FALSE(),FALSE())))</f>
        <v/>
      </c>
      <c r="AX188" s="100" t="str">
        <f aca="false">IF(ISBLANK($C188),"",IF($S188=Constants!$B$2,TRUE(),IF($S188=Constants!$B$3,FALSE(),FALSE())))</f>
        <v/>
      </c>
      <c r="AY188" s="100" t="str">
        <f aca="false">IF(ISBLANK($C188),"",IF($T188=Constants!$B$2,TRUE(),IF($T188=Constants!$B$3,FALSE(),FALSE())))</f>
        <v/>
      </c>
      <c r="AZ188" s="100" t="str">
        <f aca="false">IF(ISBLANK($C188),"",IF($U188=Constants!$B$2,TRUE(),IF($U188=Constants!$B$3,FALSE(),FALSE())))</f>
        <v/>
      </c>
      <c r="BA188" s="100" t="str">
        <f aca="false">IF(ISBLANK($C188),"",IF(OR($V188&amp;""="1",$V188&amp;""="2",$V188&amp;""="3",$V188&amp;""="4"),VALUE($V188&amp;""),IF($V188=Constants!$B$12,Constants!$B$12,"")))</f>
        <v/>
      </c>
      <c r="BB188" s="100" t="str">
        <f aca="false">IF(ISBLANK($C188),"",IF(ISBLANK($W188),0,IF(ISNUMBER($W188),IF(AND($W188&gt;=0,$W188&lt;=Constants!$B$21,$W188=INT($W188)),$W188,""),"")))</f>
        <v/>
      </c>
      <c r="BC188" s="100" t="str">
        <f aca="false">IF(ISBLANK($C188),"",IF(ISBLANK($X188),0,IF(ISNUMBER($X188),IF($X188&gt;=0,$X188,""),"")))</f>
        <v/>
      </c>
      <c r="BD188" s="100" t="str">
        <f aca="false">IF(ISBLANK($C188),"",IF($Y188=Constants!$B$2,TRUE(),IF($Y188=Constants!$B$3,FALSE(),TRUE())))</f>
        <v/>
      </c>
      <c r="BE188" s="100" t="str">
        <f aca="false">IF(ISBLANK($C188),"",IF($Z188=Constants!$B$2,TRUE(),IF($Z188=Constants!$B$3,FALSE(),FALSE())))</f>
        <v/>
      </c>
      <c r="BF188" s="100" t="str">
        <f aca="false">IF(ISBLANK($C188),"",IF(ISBLANK($AA188),0,IF(ISNUMBER($AA188),IF(AND($AA188&gt;=0,$AA188&lt;=Constants!$B$35,$AA188=INT($AA188)),$AA188,""),"")))</f>
        <v/>
      </c>
      <c r="BG188" s="100" t="str">
        <f aca="false">IF(ISBLANK($C188),"",IF($AB188=Constants!$B$2,TRUE(),IF($AB188=Constants!$B$3,FALSE(),TRUE())))</f>
        <v/>
      </c>
      <c r="BH188" s="100" t="str">
        <f aca="false">IF(ISBLANK($C188),"",IF($AC188=Constants!$B$2,TRUE(),IF($AC188=Constants!$B$3,FALSE(),TRUE())))</f>
        <v/>
      </c>
      <c r="BI188" s="100" t="str">
        <f aca="false">IF(ISBLANK($C188),"",IF($AD188=Constants!$B$2,TRUE(),IF($AD188=Constants!$B$3,FALSE(),TRUE())))</f>
        <v/>
      </c>
      <c r="BJ188" s="100" t="str">
        <f aca="false">IF(ISBLANK($C188),"",IF(ISNUMBER($AE188),IF($AE188&gt;=0,$AE188,""),""))</f>
        <v/>
      </c>
      <c r="BK188" s="100" t="str">
        <f aca="false">IF(ISBLANK($C188),"",IF($AF188=Constants!$B$2,TRUE(),IF($AF188=Constants!$B$3,FALSE(),FALSE())))</f>
        <v/>
      </c>
      <c r="BL188" s="99" t="str">
        <f aca="false">IF(ISBLANK($C188),"",IF($BK188,Constants!$B$7,IF(COUNTA($E188:$AE188)=0,Constants!$B$6,IF(OR(COUNTA($G188:$AE188)=0,NOT($AM188),$AS188),Constants!$B$5,IF(OR($CM188&lt;&gt;"",$CN188,$CO188,$CP188,$CQ188,$CR188,$CS188),Constants!$B$8,Constants!$B$4)))))</f>
        <v/>
      </c>
      <c r="BM188" s="100" t="str">
        <f aca="false">IF(ISBLANK($C188),"",IF($BL188&lt;&gt;Constants!$B$4,$BL188,IF(OR(NOT($AJ188),NOT($AL188),NOT($AT188)),Constants!$B$11,IF(OR(NOT($AR188),NOT($AU188),NOT($BI188),MAX($AN188,$AO188,$AP188)&gt;Constants!$B$30),Constants!$B$10,Constants!$B$9))))</f>
        <v/>
      </c>
      <c r="BN188" s="100" t="str">
        <f aca="false">IF($BL188&lt;&gt;Constants!$B$4,"",IF(NOT($AL188),0,MIN(Constants!$B$35,$BF188)))</f>
        <v/>
      </c>
      <c r="BO188" s="100" t="str">
        <f aca="false">IF($BL188&lt;&gt;Constants!$B$4,"",IF(NOT($AL188),0,IF($AW188,Constants!$B$18,IF($AV188,Constants!$B$17,0))))</f>
        <v/>
      </c>
      <c r="BP188" s="100" t="str">
        <f aca="false">IF($BL188&lt;&gt;Constants!$B$4,"",IF(NOT($AL188),0,Constants!$B$19*($AK188+$AX188+$AY188+$AZ188)))</f>
        <v/>
      </c>
      <c r="BQ188" s="100" t="str">
        <f aca="false">IF($BL188&lt;&gt;Constants!$B$4,"",IF(OR(NOT($AL188),NOT(ISNUMBER($BA188))),0,CHOOSE($BA188,Constants!$B$13,Constants!$B$14,Constants!$B$15,Constants!$B$16)))</f>
        <v/>
      </c>
      <c r="BR188" s="100" t="str">
        <f aca="false">IF($BL188&lt;&gt;Constants!$B$4,"",IF(NOT($AL188),0,Constants!$B$20*$BB188))</f>
        <v/>
      </c>
      <c r="BS188" s="100" t="str">
        <f aca="false">IF($BL188&lt;&gt;Constants!$B$4,"",IF(AND($AL188,$BD188,$BE188),Constants!$B$22,0))</f>
        <v/>
      </c>
      <c r="BT188" s="100" t="str">
        <f aca="false">IF($BL188&lt;&gt;Constants!$B$4,"",IF(OR(NOT($AL188),NOT($BD188)),0,IF($BJ188&gt;=2*$AH$9,0,Constants!$B$23*INT(ROUND(MIN($BJ188,$AH$9),6)))))</f>
        <v/>
      </c>
      <c r="BU188" s="100" t="str">
        <f aca="false">IF($BL188&lt;&gt;Constants!$B$4,"",IF(NOT($AL188),0,Constants!$B$24*INT(ROUND(MIN($BC188,$AH$9),6))))</f>
        <v/>
      </c>
      <c r="BV188" s="100" t="str">
        <f aca="false">IF($BL188&lt;&gt;Constants!$B$4,"",IF(AND($AL188,$BN188=0),Constants!$B$25,0))</f>
        <v/>
      </c>
      <c r="BW188" s="100" t="str">
        <f aca="false">IF($BL188&lt;&gt;Constants!$B$4,"",MIN(Constants!$B$29,MAX(0,Constants!$B$27*Constants!$B$28*INT(ROUND((Constants!$B$26-$AN188)/Constants!$B$28,6))))+MIN(Constants!$B$29,MAX(0,Constants!$B$27*Constants!$B$28*INT(ROUND((Constants!$B$26-$AO188)/Constants!$B$28,6))))+MIN(Constants!$B$29,MAX(0,Constants!$B$27*Constants!$B$28*INT(ROUND((Constants!$B$26-$AP188)/Constants!$B$28,6)))))</f>
        <v/>
      </c>
      <c r="BX188" s="100" t="str">
        <f aca="false">IF($BL188&lt;&gt;Constants!$B$4,"",IF(NOT($AL188),0,Constants!$B$31*INT(ROUND(MAX(0,MIN($BJ188,2*$AH$9)-$AH$9),6))))</f>
        <v/>
      </c>
      <c r="BY188" s="100" t="str">
        <f aca="false">IF($BL188&lt;&gt;Constants!$B$4,"",Constants!$B$32*(($AN188&gt;Constants!$B$26)+($AO188&gt;Constants!$B$26)+($AP188&gt;Constants!$B$26)))</f>
        <v/>
      </c>
      <c r="BZ188" s="100" t="str">
        <f aca="false">IF($BL188&lt;&gt;Constants!$B$4,"",IF(OR(NOT($AL188),$AQ188),0,Constants!$B$33))</f>
        <v/>
      </c>
      <c r="CA188" s="100" t="str">
        <f aca="false">IF($BL188&lt;&gt;Constants!$B$4,"",Constants!$B$34*$BN188)</f>
        <v/>
      </c>
      <c r="CB188" s="100" t="str">
        <f aca="false">IF($BL188&lt;&gt;Constants!$B$4,"",IF(OR(NOT($AL188),$BH188),0,Constants!$B$36))</f>
        <v/>
      </c>
      <c r="CC188" s="100" t="str">
        <f aca="false">IF($BL188&lt;&gt;Constants!$B$4,"",IF(OR(NOT($AL188),$BG188),0,Constants!$B$37))</f>
        <v/>
      </c>
      <c r="CD188" s="100" t="str">
        <f aca="false">IF($BL188&lt;&gt;Constants!$B$4,"",SUM($BX188:$CC188))</f>
        <v/>
      </c>
      <c r="CE188" s="100" t="str">
        <f aca="false">IF(ISBLANK($C188),"",IF($BL188&lt;&gt;Constants!$B$4,$BL188,SUM($BO188:$BW188)-$CD188))</f>
        <v/>
      </c>
      <c r="CF188" s="100" t="str">
        <f aca="false">IF(ISBLANK($C188),"",IF($BL188&lt;&gt;Constants!$B$4,$BL188,RANK($CE188,$CE$9:$CE$508)))</f>
        <v/>
      </c>
      <c r="CG188" s="100" t="str">
        <f aca="false">IF(ISBLANK($C188),"",IF($BL188&lt;&gt;Constants!$B$4,$BL188,COUNTIFS($BM$9:$BM$508,"&lt;"&amp;$BM188)+COUNTIFS($BM$9:$BM$508,$BM188,$CF$9:$CF$508,"&lt;"&amp;$CF188)+1))</f>
        <v/>
      </c>
      <c r="CH188" s="100" t="str">
        <f aca="false">IF(ISBLANK($C188),"",IF($BL188&lt;&gt;Constants!$B$4,$BL188,RANK($CD188,$CD$9:$CD$508,1)))</f>
        <v/>
      </c>
      <c r="CI188" s="100" t="str">
        <f aca="false">IF($BL188&lt;&gt;Constants!$B$4,"",$AN188+$AO188+$AP188)</f>
        <v/>
      </c>
      <c r="CJ188" s="100" t="str">
        <f aca="false">IF(ISBLANK($C188),"",IF($BL188&lt;&gt;Constants!$B$4,$BL188,RANK($CI188,$CI$9:$CI$508,1)))</f>
        <v/>
      </c>
      <c r="CK188" s="100" t="str">
        <f aca="false">IF(ISBLANK($C188),"",IF($BL188&lt;&gt;Constants!$B$4,$BL188,COUNTIFS($BM$9:$BM$508,"&lt;"&amp;$BM188)+COUNTIFS($BM$9:$BM$508,$BM188,$CF$9:$CF$508,"&lt;"&amp;$CF188)+COUNTIFS($BM$9:$BM$508,$BM188,$CF$9:$CF$508,$CF188,$CH$9:$CH$508,"&lt;"&amp;$CH188)+COUNTIFS($BM$9:$BM$508,$BM188,$CF$9:$CF$508,$CF188,$CH$9:$CH$508,$CH188,$CJ$9:$CJ$508,"&lt;"&amp;$CJ188)+1))</f>
        <v/>
      </c>
      <c r="CL188" s="100" t="str">
        <f aca="false">IF(ISBLANK($C188),"",IF($BL188&lt;&gt;Constants!$B$4,$BL188,$CG188-$CK188))</f>
        <v/>
      </c>
      <c r="CM188" s="100" t="str">
        <f aca="false">IF(ISBLANK($C188),"",IF(NOT($AL188),"",IF(ISBLANK($D$7),$CM$5,IF(NOT(ISNUMBER($D$7)),$CM$6,""))))</f>
        <v/>
      </c>
      <c r="CN188" s="100" t="str">
        <f aca="false">IF(ISBLANK($C188),"",OR($AN188="",$AO188="",$AP188=""))</f>
        <v/>
      </c>
      <c r="CO188" s="100" t="str">
        <f aca="false">IF(ISBLANK($C188),"",AND($AL188,$BA188=""))</f>
        <v/>
      </c>
      <c r="CP188" s="100" t="str">
        <f aca="false">IF(ISBLANK($C188),"",AND($AL188,$BB188=""))</f>
        <v/>
      </c>
      <c r="CQ188" s="100" t="str">
        <f aca="false">IF(ISBLANK($C188),"",AND($AL188,$BC188=""))</f>
        <v/>
      </c>
      <c r="CR188" s="100" t="str">
        <f aca="false">IF(ISBLANK($C188),"",AND($AL188,$BF188=""))</f>
        <v/>
      </c>
      <c r="CS188" s="100" t="str">
        <f aca="false">IF(ISBLANK($C188),"",AND($AL188,$BJ188=""))</f>
        <v/>
      </c>
      <c r="CT188" s="101"/>
      <c r="CU188" s="102"/>
      <c r="CV188" s="103" t="str">
        <f aca="false">IF(ISBLANK($C188),"",IF($BL188=Constants!$B$8,$CM188,""))</f>
        <v/>
      </c>
      <c r="CW188" s="102" t="str">
        <f aca="false">IF(ISBLANK($C188),"",IF($BL188&lt;&gt;Constants!$B$4,"",$BO188+$BP188))</f>
        <v/>
      </c>
      <c r="CX188" s="104" t="str">
        <f aca="false">IF(ISBLANK($C188),"",IF($BL188&lt;&gt;Constants!$B$4,"",$BQ188+$BR188+$BS188))</f>
        <v/>
      </c>
      <c r="CY188" s="104" t="str">
        <f aca="false">IF(ISBLANK($C188),"",IF($BL188&lt;&gt;Constants!$B$4,"",$BT188))</f>
        <v/>
      </c>
      <c r="CZ188" s="104" t="str">
        <f aca="false">IF(ISBLANK($C188),"",IF($BL188&lt;&gt;Constants!$B$4,"",$BU188+$BV188))</f>
        <v/>
      </c>
      <c r="DA188" s="104" t="str">
        <f aca="false">IF(ISBLANK($C188),"",IF($BL188&lt;&gt;Constants!$B$4,"",$BW188))</f>
        <v/>
      </c>
      <c r="DB188" s="104" t="str">
        <f aca="false">IF(ISBLANK($C188),"",IF($BL188&lt;&gt;Constants!$B$4,"",-$CD188))</f>
        <v/>
      </c>
      <c r="DC188" s="103" t="str">
        <f aca="false">IF(ISBLANK($C188),"",$CE188)</f>
        <v/>
      </c>
      <c r="DD188" s="105" t="str">
        <f aca="false">IF(ISBLANK($C188),"",$BM188)</f>
        <v/>
      </c>
      <c r="DE188" s="104" t="str">
        <f aca="false">IF(ISBLANK($C188),"",$CL188)</f>
        <v/>
      </c>
      <c r="DF188" s="104" t="str">
        <f aca="false">IF(ISBLANK($C188),"",$CK188)</f>
        <v/>
      </c>
      <c r="DG188" s="106" t="str">
        <f aca="false">IF(ISBLANK($C188),"",IF($DF188=Constants!$B$7,COUNTA($C$9:$C$508)+2,IF($DF188=Constants!$B$6,COUNTA($C$9:$C$508)+1,IF($DF188=Constants!$B$5,COUNTA($C$9:$C$508),$DF188))))</f>
        <v/>
      </c>
      <c r="DH188" s="7"/>
      <c r="DI188" s="107" t="n">
        <f aca="false">IF(OR(ISNUMBER($DF188),$DF188=Constants!$B$7,$DF188=Constants!$B$5,$DF188=Constants!$B$6),1,0)</f>
        <v>0</v>
      </c>
      <c r="DJ188" s="107" t="n">
        <v>180</v>
      </c>
      <c r="DK188" s="107" t="str">
        <f aca="false">IF(ISBLANK($C188),"",IF(ISNUMBER($DG188),$DG188+ROW($B188)/1000,""))</f>
        <v/>
      </c>
      <c r="DL188" s="107" t="str">
        <f aca="false">IF(ISNUMBER($DK188),RANK($DK188,$DK$9:$DK$508,1),"")</f>
        <v/>
      </c>
      <c r="DM188" s="107" t="str">
        <f aca="false">IF(ISBLANK($C188),"",$B188)</f>
        <v/>
      </c>
      <c r="DN188" s="107" t="str">
        <f aca="false">IF(ISBLANK($C188),"",$C188)</f>
        <v/>
      </c>
      <c r="DO188" s="107" t="str">
        <f aca="false">IF(ISBLANK($C188),"",$D188)</f>
        <v/>
      </c>
      <c r="DP188" s="108" t="str">
        <f aca="false">$DD188</f>
        <v/>
      </c>
      <c r="DQ188" s="109" t="str">
        <f aca="false">$DC188</f>
        <v/>
      </c>
      <c r="DR188" s="107" t="str">
        <f aca="false">IF(ISBLANK($C188),"",$DF188)</f>
        <v/>
      </c>
      <c r="DS188" s="110" t="str">
        <f aca="false">IF($DJ188&gt;$DI$8,"",VLOOKUP($DJ188,$DL$9:$DR$508,7,FALSE()))</f>
        <v/>
      </c>
      <c r="DT188" s="111" t="str">
        <f aca="false">IF($DJ188&gt;$DI$8,"",VLOOKUP($DJ188,$DL$9:$DR$508,2,FALSE()))</f>
        <v/>
      </c>
      <c r="DU188" s="111" t="str">
        <f aca="false">IF($DJ188&gt;$DI$8,"",VLOOKUP($DJ188,$DL$9:$DR$508,3,FALSE()))</f>
        <v/>
      </c>
      <c r="DV188" s="111" t="str">
        <f aca="false">IF($DJ188&gt;$DI$8,"",VLOOKUP($DJ188,$DL$9:$DR$508,4,FALSE()))</f>
        <v/>
      </c>
      <c r="DW188" s="111" t="str">
        <f aca="false">IF($DJ188&gt;$DI$8,"",VLOOKUP($DJ188,$DL$9:$DR$508,5,FALSE()))</f>
        <v/>
      </c>
      <c r="DX188" s="112" t="str">
        <f aca="false">IF($DJ188&gt;$DI$8,"",VLOOKUP($DJ188,$DL$9:$DR$508,6,FALSE()))</f>
        <v/>
      </c>
      <c r="DY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88"/>
      <c r="N189" s="88"/>
      <c r="O189" s="134"/>
      <c r="P189" s="134"/>
      <c r="Q189" s="88"/>
      <c r="R189" s="88"/>
      <c r="S189" s="88"/>
      <c r="T189" s="88"/>
      <c r="U189" s="134"/>
      <c r="V189" s="88"/>
      <c r="W189" s="70"/>
      <c r="X189" s="88"/>
      <c r="Y189" s="88"/>
      <c r="Z189" s="70"/>
      <c r="AA189" s="70"/>
      <c r="AB189" s="88"/>
      <c r="AC189" s="88"/>
      <c r="AD189" s="88"/>
      <c r="AE189" s="71"/>
      <c r="AF189" s="88"/>
      <c r="AG189" s="73"/>
      <c r="AH189" s="74"/>
      <c r="AI189" s="74"/>
      <c r="AJ189" s="74" t="str">
        <f aca="false">IF(ISBLANK($C189),"",IF($E189=Constants!$B$2,TRUE(),IF($E189=Constants!$B$3,FALSE(),TRUE())))</f>
        <v/>
      </c>
      <c r="AK189" s="74" t="str">
        <f aca="false">IF(ISBLANK($C189),"",IF($F189=Constants!$B$2,TRUE(),IF($F189=Constants!$B$3,FALSE(),FALSE())))</f>
        <v/>
      </c>
      <c r="AL189" s="74" t="str">
        <f aca="false">IF(ISBLANK($C189),"",IF($G189=Constants!$B$2,TRUE(),IF($G189=Constants!$B$3,FALSE(),TRUE())))</f>
        <v/>
      </c>
      <c r="AM189" s="74" t="str">
        <f aca="false">IF(ISBLANK($C189),"",IF($H189=Constants!$B$2,TRUE(),IF($H189=Constants!$B$3,FALSE(),TRUE())))</f>
        <v/>
      </c>
      <c r="AN189" s="74" t="str">
        <f aca="false">IF(ISBLANK($C189),"",IF(ISNUMBER($I189),IF($I189&gt;=0,$I189,""),""))</f>
        <v/>
      </c>
      <c r="AO189" s="74" t="str">
        <f aca="false">IF(ISBLANK($C189),"",IF(ISNUMBER($J189),IF($J189&gt;=0,$J189,""),""))</f>
        <v/>
      </c>
      <c r="AP189" s="74" t="str">
        <f aca="false">IF(ISBLANK($C189),"",IF(ISNUMBER($K189),IF($K189&gt;=0,$K189,""),""))</f>
        <v/>
      </c>
      <c r="AQ189" s="74" t="str">
        <f aca="false">IF(ISBLANK($C189),"",IF($L189=Constants!$B$2,TRUE(),IF($L189=Constants!$B$3,FALSE(),TRUE())))</f>
        <v/>
      </c>
      <c r="AR189" s="74" t="str">
        <f aca="false">IF(ISBLANK($C189),"",IF($M189=Constants!$B$2,TRUE(),IF($M189=Constants!$B$3,FALSE(),TRUE())))</f>
        <v/>
      </c>
      <c r="AS189" s="74" t="str">
        <f aca="false">IF(ISBLANK($C189),"",IF($N189=Constants!$B$2,TRUE(),IF($N189=Constants!$B$3,FALSE(),FALSE())))</f>
        <v/>
      </c>
      <c r="AT189" s="74" t="str">
        <f aca="false">IF(ISBLANK($C189),"",IF($O189=Constants!$B$2,TRUE(),IF($O189=Constants!$B$3,FALSE(),TRUE())))</f>
        <v/>
      </c>
      <c r="AU189" s="74" t="str">
        <f aca="false">IF(ISBLANK($C189),"",IF($P189=Constants!$B$2,TRUE(),IF($P189=Constants!$B$3,FALSE(),TRUE())))</f>
        <v/>
      </c>
      <c r="AV189" s="74" t="str">
        <f aca="false">IF(ISBLANK($C189),"",IF($Q189=Constants!$B$2,TRUE(),IF($Q189=Constants!$B$3,FALSE(),FALSE())))</f>
        <v/>
      </c>
      <c r="AW189" s="74" t="str">
        <f aca="false">IF(ISBLANK($C189),"",IF($R189=Constants!$B$2,TRUE(),IF($R189=Constants!$B$3,FALSE(),FALSE())))</f>
        <v/>
      </c>
      <c r="AX189" s="74" t="str">
        <f aca="false">IF(ISBLANK($C189),"",IF($S189=Constants!$B$2,TRUE(),IF($S189=Constants!$B$3,FALSE(),FALSE())))</f>
        <v/>
      </c>
      <c r="AY189" s="74" t="str">
        <f aca="false">IF(ISBLANK($C189),"",IF($T189=Constants!$B$2,TRUE(),IF($T189=Constants!$B$3,FALSE(),FALSE())))</f>
        <v/>
      </c>
      <c r="AZ189" s="74" t="str">
        <f aca="false">IF(ISBLANK($C189),"",IF($U189=Constants!$B$2,TRUE(),IF($U189=Constants!$B$3,FALSE(),FALSE())))</f>
        <v/>
      </c>
      <c r="BA189" s="74" t="str">
        <f aca="false">IF(ISBLANK($C189),"",IF(OR($V189&amp;""="1",$V189&amp;""="2",$V189&amp;""="3",$V189&amp;""="4"),VALUE($V189&amp;""),IF($V189=Constants!$B$12,Constants!$B$12,"")))</f>
        <v/>
      </c>
      <c r="BB189" s="74" t="str">
        <f aca="false">IF(ISBLANK($C189),"",IF(ISBLANK($W189),0,IF(ISNUMBER($W189),IF(AND($W189&gt;=0,$W189&lt;=Constants!$B$21,$W189=INT($W189)),$W189,""),"")))</f>
        <v/>
      </c>
      <c r="BC189" s="74" t="str">
        <f aca="false">IF(ISBLANK($C189),"",IF(ISBLANK($X189),0,IF(ISNUMBER($X189),IF($X189&gt;=0,$X189,""),"")))</f>
        <v/>
      </c>
      <c r="BD189" s="74" t="str">
        <f aca="false">IF(ISBLANK($C189),"",IF($Y189=Constants!$B$2,TRUE(),IF($Y189=Constants!$B$3,FALSE(),TRUE())))</f>
        <v/>
      </c>
      <c r="BE189" s="74" t="str">
        <f aca="false">IF(ISBLANK($C189),"",IF($Z189=Constants!$B$2,TRUE(),IF($Z189=Constants!$B$3,FALSE(),FALSE())))</f>
        <v/>
      </c>
      <c r="BF189" s="74" t="str">
        <f aca="false">IF(ISBLANK($C189),"",IF(ISBLANK($AA189),0,IF(ISNUMBER($AA189),IF(AND($AA189&gt;=0,$AA189&lt;=Constants!$B$35,$AA189=INT($AA189)),$AA189,""),"")))</f>
        <v/>
      </c>
      <c r="BG189" s="74" t="str">
        <f aca="false">IF(ISBLANK($C189),"",IF($AB189=Constants!$B$2,TRUE(),IF($AB189=Constants!$B$3,FALSE(),TRUE())))</f>
        <v/>
      </c>
      <c r="BH189" s="74" t="str">
        <f aca="false">IF(ISBLANK($C189),"",IF($AC189=Constants!$B$2,TRUE(),IF($AC189=Constants!$B$3,FALSE(),TRUE())))</f>
        <v/>
      </c>
      <c r="BI189" s="74" t="str">
        <f aca="false">IF(ISBLANK($C189),"",IF($AD189=Constants!$B$2,TRUE(),IF($AD189=Constants!$B$3,FALSE(),TRUE())))</f>
        <v/>
      </c>
      <c r="BJ189" s="74" t="str">
        <f aca="false">IF(ISBLANK($C189),"",IF(ISNUMBER($AE189),IF($AE189&gt;=0,$AE189,""),""))</f>
        <v/>
      </c>
      <c r="BK189" s="74" t="str">
        <f aca="false">IF(ISBLANK($C189),"",IF($AF189=Constants!$B$2,TRUE(),IF($AF189=Constants!$B$3,FALSE(),FALSE())))</f>
        <v/>
      </c>
      <c r="BL189" s="73" t="str">
        <f aca="false">IF(ISBLANK($C189),"",IF($BK189,Constants!$B$7,IF(COUNTA($E189:$AE189)=0,Constants!$B$6,IF(OR(COUNTA($G189:$AE189)=0,NOT($AM189),$AS189),Constants!$B$5,IF(OR($CM189&lt;&gt;"",$CN189,$CO189,$CP189,$CQ189,$CR189,$CS189),Constants!$B$8,Constants!$B$4)))))</f>
        <v/>
      </c>
      <c r="BM189" s="74" t="str">
        <f aca="false">IF(ISBLANK($C189),"",IF($BL189&lt;&gt;Constants!$B$4,$BL189,IF(OR(NOT($AJ189),NOT($AL189),NOT($AT189)),Constants!$B$11,IF(OR(NOT($AR189),NOT($AU189),NOT($BI189),MAX($AN189,$AO189,$AP189)&gt;Constants!$B$30),Constants!$B$10,Constants!$B$9))))</f>
        <v/>
      </c>
      <c r="BN189" s="74" t="str">
        <f aca="false">IF($BL189&lt;&gt;Constants!$B$4,"",IF(NOT($AL189),0,MIN(Constants!$B$35,$BF189)))</f>
        <v/>
      </c>
      <c r="BO189" s="74" t="str">
        <f aca="false">IF($BL189&lt;&gt;Constants!$B$4,"",IF(NOT($AL189),0,IF($AW189,Constants!$B$18,IF($AV189,Constants!$B$17,0))))</f>
        <v/>
      </c>
      <c r="BP189" s="74" t="str">
        <f aca="false">IF($BL189&lt;&gt;Constants!$B$4,"",IF(NOT($AL189),0,Constants!$B$19*($AK189+$AX189+$AY189+$AZ189)))</f>
        <v/>
      </c>
      <c r="BQ189" s="74" t="str">
        <f aca="false">IF($BL189&lt;&gt;Constants!$B$4,"",IF(OR(NOT($AL189),NOT(ISNUMBER($BA189))),0,CHOOSE($BA189,Constants!$B$13,Constants!$B$14,Constants!$B$15,Constants!$B$16)))</f>
        <v/>
      </c>
      <c r="BR189" s="74" t="str">
        <f aca="false">IF($BL189&lt;&gt;Constants!$B$4,"",IF(NOT($AL189),0,Constants!$B$20*$BB189))</f>
        <v/>
      </c>
      <c r="BS189" s="74" t="str">
        <f aca="false">IF($BL189&lt;&gt;Constants!$B$4,"",IF(AND($AL189,$BD189,$BE189),Constants!$B$22,0))</f>
        <v/>
      </c>
      <c r="BT189" s="74" t="str">
        <f aca="false">IF($BL189&lt;&gt;Constants!$B$4,"",IF(OR(NOT($AL189),NOT($BD189)),0,IF($BJ189&gt;=2*$AH$9,0,Constants!$B$23*INT(ROUND(MIN($BJ189,$AH$9),6)))))</f>
        <v/>
      </c>
      <c r="BU189" s="74" t="str">
        <f aca="false">IF($BL189&lt;&gt;Constants!$B$4,"",IF(NOT($AL189),0,Constants!$B$24*INT(ROUND(MIN($BC189,$AH$9),6))))</f>
        <v/>
      </c>
      <c r="BV189" s="74" t="str">
        <f aca="false">IF($BL189&lt;&gt;Constants!$B$4,"",IF(AND($AL189,$BN189=0),Constants!$B$25,0))</f>
        <v/>
      </c>
      <c r="BW189" s="74" t="str">
        <f aca="false">IF($BL189&lt;&gt;Constants!$B$4,"",MIN(Constants!$B$29,MAX(0,Constants!$B$27*Constants!$B$28*INT(ROUND((Constants!$B$26-$AN189)/Constants!$B$28,6))))+MIN(Constants!$B$29,MAX(0,Constants!$B$27*Constants!$B$28*INT(ROUND((Constants!$B$26-$AO189)/Constants!$B$28,6))))+MIN(Constants!$B$29,MAX(0,Constants!$B$27*Constants!$B$28*INT(ROUND((Constants!$B$26-$AP189)/Constants!$B$28,6)))))</f>
        <v/>
      </c>
      <c r="BX189" s="74" t="str">
        <f aca="false">IF($BL189&lt;&gt;Constants!$B$4,"",IF(NOT($AL189),0,Constants!$B$31*INT(ROUND(MAX(0,MIN($BJ189,2*$AH$9)-$AH$9),6))))</f>
        <v/>
      </c>
      <c r="BY189" s="74" t="str">
        <f aca="false">IF($BL189&lt;&gt;Constants!$B$4,"",Constants!$B$32*(($AN189&gt;Constants!$B$26)+($AO189&gt;Constants!$B$26)+($AP189&gt;Constants!$B$26)))</f>
        <v/>
      </c>
      <c r="BZ189" s="74" t="str">
        <f aca="false">IF($BL189&lt;&gt;Constants!$B$4,"",IF(OR(NOT($AL189),$AQ189),0,Constants!$B$33))</f>
        <v/>
      </c>
      <c r="CA189" s="74" t="str">
        <f aca="false">IF($BL189&lt;&gt;Constants!$B$4,"",Constants!$B$34*$BN189)</f>
        <v/>
      </c>
      <c r="CB189" s="74" t="str">
        <f aca="false">IF($BL189&lt;&gt;Constants!$B$4,"",IF(OR(NOT($AL189),$BH189),0,Constants!$B$36))</f>
        <v/>
      </c>
      <c r="CC189" s="74" t="str">
        <f aca="false">IF($BL189&lt;&gt;Constants!$B$4,"",IF(OR(NOT($AL189),$BG189),0,Constants!$B$37))</f>
        <v/>
      </c>
      <c r="CD189" s="74" t="str">
        <f aca="false">IF($BL189&lt;&gt;Constants!$B$4,"",SUM($BX189:$CC189))</f>
        <v/>
      </c>
      <c r="CE189" s="74" t="str">
        <f aca="false">IF(ISBLANK($C189),"",IF($BL189&lt;&gt;Constants!$B$4,$BL189,SUM($BO189:$BW189)-$CD189))</f>
        <v/>
      </c>
      <c r="CF189" s="74" t="str">
        <f aca="false">IF(ISBLANK($C189),"",IF($BL189&lt;&gt;Constants!$B$4,$BL189,RANK($CE189,$CE$9:$CE$508)))</f>
        <v/>
      </c>
      <c r="CG189" s="74" t="str">
        <f aca="false">IF(ISBLANK($C189),"",IF($BL189&lt;&gt;Constants!$B$4,$BL189,COUNTIFS($BM$9:$BM$508,"&lt;"&amp;$BM189)+COUNTIFS($BM$9:$BM$508,$BM189,$CF$9:$CF$508,"&lt;"&amp;$CF189)+1))</f>
        <v/>
      </c>
      <c r="CH189" s="74" t="str">
        <f aca="false">IF(ISBLANK($C189),"",IF($BL189&lt;&gt;Constants!$B$4,$BL189,RANK($CD189,$CD$9:$CD$508,1)))</f>
        <v/>
      </c>
      <c r="CI189" s="74" t="str">
        <f aca="false">IF($BL189&lt;&gt;Constants!$B$4,"",$AN189+$AO189+$AP189)</f>
        <v/>
      </c>
      <c r="CJ189" s="74" t="str">
        <f aca="false">IF(ISBLANK($C189),"",IF($BL189&lt;&gt;Constants!$B$4,$BL189,RANK($CI189,$CI$9:$CI$508,1)))</f>
        <v/>
      </c>
      <c r="CK189" s="74" t="str">
        <f aca="false">IF(ISBLANK($C189),"",IF($BL189&lt;&gt;Constants!$B$4,$BL189,COUNTIFS($BM$9:$BM$508,"&lt;"&amp;$BM189)+COUNTIFS($BM$9:$BM$508,$BM189,$CF$9:$CF$508,"&lt;"&amp;$CF189)+COUNTIFS($BM$9:$BM$508,$BM189,$CF$9:$CF$508,$CF189,$CH$9:$CH$508,"&lt;"&amp;$CH189)+COUNTIFS($BM$9:$BM$508,$BM189,$CF$9:$CF$508,$CF189,$CH$9:$CH$508,$CH189,$CJ$9:$CJ$508,"&lt;"&amp;$CJ189)+1))</f>
        <v/>
      </c>
      <c r="CL189" s="74" t="str">
        <f aca="false">IF(ISBLANK($C189),"",IF($BL189&lt;&gt;Constants!$B$4,$BL189,$CG189-$CK189))</f>
        <v/>
      </c>
      <c r="CM189" s="74" t="str">
        <f aca="false">IF(ISBLANK($C189),"",IF(NOT($AL189),"",IF(ISBLANK($D$7),$CM$5,IF(NOT(ISNUMBER($D$7)),$CM$6,""))))</f>
        <v/>
      </c>
      <c r="CN189" s="74" t="str">
        <f aca="false">IF(ISBLANK($C189),"",OR($AN189="",$AO189="",$AP189=""))</f>
        <v/>
      </c>
      <c r="CO189" s="74" t="str">
        <f aca="false">IF(ISBLANK($C189),"",AND($AL189,$BA189=""))</f>
        <v/>
      </c>
      <c r="CP189" s="74" t="str">
        <f aca="false">IF(ISBLANK($C189),"",AND($AL189,$BB189=""))</f>
        <v/>
      </c>
      <c r="CQ189" s="74" t="str">
        <f aca="false">IF(ISBLANK($C189),"",AND($AL189,$BC189=""))</f>
        <v/>
      </c>
      <c r="CR189" s="74" t="str">
        <f aca="false">IF(ISBLANK($C189),"",AND($AL189,$BF189=""))</f>
        <v/>
      </c>
      <c r="CS189" s="74" t="str">
        <f aca="false">IF(ISBLANK($C189),"",AND($AL189,$BJ189=""))</f>
        <v/>
      </c>
      <c r="CT189" s="75"/>
      <c r="CU189" s="76"/>
      <c r="CV189" s="79" t="str">
        <f aca="false">IF(ISBLANK($C189),"",IF($BL189=Constants!$B$8,$CM189,""))</f>
        <v/>
      </c>
      <c r="CW189" s="76" t="str">
        <f aca="false">IF(ISBLANK($C189),"",IF($BL189&lt;&gt;Constants!$B$4,"",$BO189+$BP189))</f>
        <v/>
      </c>
      <c r="CX189" s="78" t="str">
        <f aca="false">IF(ISBLANK($C189),"",IF($BL189&lt;&gt;Constants!$B$4,"",$BQ189+$BR189+$BS189))</f>
        <v/>
      </c>
      <c r="CY189" s="78" t="str">
        <f aca="false">IF(ISBLANK($C189),"",IF($BL189&lt;&gt;Constants!$B$4,"",$BT189))</f>
        <v/>
      </c>
      <c r="CZ189" s="78" t="str">
        <f aca="false">IF(ISBLANK($C189),"",IF($BL189&lt;&gt;Constants!$B$4,"",$BU189+$BV189))</f>
        <v/>
      </c>
      <c r="DA189" s="78" t="str">
        <f aca="false">IF(ISBLANK($C189),"",IF($BL189&lt;&gt;Constants!$B$4,"",$BW189))</f>
        <v/>
      </c>
      <c r="DB189" s="78" t="str">
        <f aca="false">IF(ISBLANK($C189),"",IF($BL189&lt;&gt;Constants!$B$4,"",-$CD189))</f>
        <v/>
      </c>
      <c r="DC189" s="79" t="str">
        <f aca="false">IF(ISBLANK($C189),"",$CE189)</f>
        <v/>
      </c>
      <c r="DD189" s="80" t="str">
        <f aca="false">IF(ISBLANK($C189),"",$BM189)</f>
        <v/>
      </c>
      <c r="DE189" s="78" t="str">
        <f aca="false">IF(ISBLANK($C189),"",$CL189)</f>
        <v/>
      </c>
      <c r="DF189" s="78" t="str">
        <f aca="false">IF(ISBLANK($C189),"",$CK189)</f>
        <v/>
      </c>
      <c r="DG189" s="81" t="str">
        <f aca="false">IF(ISBLANK($C189),"",IF($DF189=Constants!$B$7,COUNTA($C$9:$C$508)+2,IF($DF189=Constants!$B$6,COUNTA($C$9:$C$508)+1,IF($DF189=Constants!$B$5,COUNTA($C$9:$C$508),$DF189))))</f>
        <v/>
      </c>
      <c r="DH189" s="7"/>
      <c r="DI189" s="82" t="n">
        <f aca="false">IF(OR(ISNUMBER($DF189),$DF189=Constants!$B$7,$DF189=Constants!$B$5,$DF189=Constants!$B$6),1,0)</f>
        <v>0</v>
      </c>
      <c r="DJ189" s="82" t="n">
        <v>181</v>
      </c>
      <c r="DK189" s="82" t="str">
        <f aca="false">IF(ISBLANK($C189),"",IF(ISNUMBER($DG189),$DG189+ROW($B189)/1000,""))</f>
        <v/>
      </c>
      <c r="DL189" s="82" t="str">
        <f aca="false">IF(ISNUMBER($DK189),RANK($DK189,$DK$9:$DK$508,1),"")</f>
        <v/>
      </c>
      <c r="DM189" s="82" t="str">
        <f aca="false">IF(ISBLANK($C189),"",$B189)</f>
        <v/>
      </c>
      <c r="DN189" s="82" t="str">
        <f aca="false">IF(ISBLANK($C189),"",$C189)</f>
        <v/>
      </c>
      <c r="DO189" s="82" t="str">
        <f aca="false">IF(ISBLANK($C189),"",$D189)</f>
        <v/>
      </c>
      <c r="DP189" s="83" t="str">
        <f aca="false">$DD189</f>
        <v/>
      </c>
      <c r="DQ189" s="84" t="str">
        <f aca="false">$DC189</f>
        <v/>
      </c>
      <c r="DR189" s="82" t="str">
        <f aca="false">IF(ISBLANK($C189),"",$DF189)</f>
        <v/>
      </c>
      <c r="DS189" s="85" t="str">
        <f aca="false">IF($DJ189&gt;$DI$8,"",VLOOKUP($DJ189,$DL$9:$DR$508,7,FALSE()))</f>
        <v/>
      </c>
      <c r="DT189" s="86" t="str">
        <f aca="false">IF($DJ189&gt;$DI$8,"",VLOOKUP($DJ189,$DL$9:$DR$508,2,FALSE()))</f>
        <v/>
      </c>
      <c r="DU189" s="86" t="str">
        <f aca="false">IF($DJ189&gt;$DI$8,"",VLOOKUP($DJ189,$DL$9:$DR$508,3,FALSE()))</f>
        <v/>
      </c>
      <c r="DV189" s="86" t="str">
        <f aca="false">IF($DJ189&gt;$DI$8,"",VLOOKUP($DJ189,$DL$9:$DR$508,4,FALSE()))</f>
        <v/>
      </c>
      <c r="DW189" s="86" t="str">
        <f aca="false">IF($DJ189&gt;$DI$8,"",VLOOKUP($DJ189,$DL$9:$DR$508,5,FALSE()))</f>
        <v/>
      </c>
      <c r="DX189" s="87" t="str">
        <f aca="false">IF($DJ189&gt;$DI$8,"",VLOOKUP($DJ189,$DL$9:$DR$508,6,FALSE()))</f>
        <v/>
      </c>
      <c r="DY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88"/>
      <c r="N190" s="88"/>
      <c r="O190" s="134"/>
      <c r="P190" s="134"/>
      <c r="Q190" s="88"/>
      <c r="R190" s="88"/>
      <c r="S190" s="88"/>
      <c r="T190" s="88"/>
      <c r="U190" s="134"/>
      <c r="V190" s="88"/>
      <c r="W190" s="70"/>
      <c r="X190" s="88"/>
      <c r="Y190" s="88"/>
      <c r="Z190" s="70"/>
      <c r="AA190" s="70"/>
      <c r="AB190" s="88"/>
      <c r="AC190" s="88"/>
      <c r="AD190" s="88"/>
      <c r="AE190" s="71"/>
      <c r="AF190" s="88"/>
      <c r="AG190" s="73"/>
      <c r="AH190" s="74"/>
      <c r="AI190" s="74"/>
      <c r="AJ190" s="74" t="str">
        <f aca="false">IF(ISBLANK($C190),"",IF($E190=Constants!$B$2,TRUE(),IF($E190=Constants!$B$3,FALSE(),TRUE())))</f>
        <v/>
      </c>
      <c r="AK190" s="74" t="str">
        <f aca="false">IF(ISBLANK($C190),"",IF($F190=Constants!$B$2,TRUE(),IF($F190=Constants!$B$3,FALSE(),FALSE())))</f>
        <v/>
      </c>
      <c r="AL190" s="74" t="str">
        <f aca="false">IF(ISBLANK($C190),"",IF($G190=Constants!$B$2,TRUE(),IF($G190=Constants!$B$3,FALSE(),TRUE())))</f>
        <v/>
      </c>
      <c r="AM190" s="74" t="str">
        <f aca="false">IF(ISBLANK($C190),"",IF($H190=Constants!$B$2,TRUE(),IF($H190=Constants!$B$3,FALSE(),TRUE())))</f>
        <v/>
      </c>
      <c r="AN190" s="74" t="str">
        <f aca="false">IF(ISBLANK($C190),"",IF(ISNUMBER($I190),IF($I190&gt;=0,$I190,""),""))</f>
        <v/>
      </c>
      <c r="AO190" s="74" t="str">
        <f aca="false">IF(ISBLANK($C190),"",IF(ISNUMBER($J190),IF($J190&gt;=0,$J190,""),""))</f>
        <v/>
      </c>
      <c r="AP190" s="74" t="str">
        <f aca="false">IF(ISBLANK($C190),"",IF(ISNUMBER($K190),IF($K190&gt;=0,$K190,""),""))</f>
        <v/>
      </c>
      <c r="AQ190" s="74" t="str">
        <f aca="false">IF(ISBLANK($C190),"",IF($L190=Constants!$B$2,TRUE(),IF($L190=Constants!$B$3,FALSE(),TRUE())))</f>
        <v/>
      </c>
      <c r="AR190" s="74" t="str">
        <f aca="false">IF(ISBLANK($C190),"",IF($M190=Constants!$B$2,TRUE(),IF($M190=Constants!$B$3,FALSE(),TRUE())))</f>
        <v/>
      </c>
      <c r="AS190" s="74" t="str">
        <f aca="false">IF(ISBLANK($C190),"",IF($N190=Constants!$B$2,TRUE(),IF($N190=Constants!$B$3,FALSE(),FALSE())))</f>
        <v/>
      </c>
      <c r="AT190" s="74" t="str">
        <f aca="false">IF(ISBLANK($C190),"",IF($O190=Constants!$B$2,TRUE(),IF($O190=Constants!$B$3,FALSE(),TRUE())))</f>
        <v/>
      </c>
      <c r="AU190" s="74" t="str">
        <f aca="false">IF(ISBLANK($C190),"",IF($P190=Constants!$B$2,TRUE(),IF($P190=Constants!$B$3,FALSE(),TRUE())))</f>
        <v/>
      </c>
      <c r="AV190" s="74" t="str">
        <f aca="false">IF(ISBLANK($C190),"",IF($Q190=Constants!$B$2,TRUE(),IF($Q190=Constants!$B$3,FALSE(),FALSE())))</f>
        <v/>
      </c>
      <c r="AW190" s="74" t="str">
        <f aca="false">IF(ISBLANK($C190),"",IF($R190=Constants!$B$2,TRUE(),IF($R190=Constants!$B$3,FALSE(),FALSE())))</f>
        <v/>
      </c>
      <c r="AX190" s="74" t="str">
        <f aca="false">IF(ISBLANK($C190),"",IF($S190=Constants!$B$2,TRUE(),IF($S190=Constants!$B$3,FALSE(),FALSE())))</f>
        <v/>
      </c>
      <c r="AY190" s="74" t="str">
        <f aca="false">IF(ISBLANK($C190),"",IF($T190=Constants!$B$2,TRUE(),IF($T190=Constants!$B$3,FALSE(),FALSE())))</f>
        <v/>
      </c>
      <c r="AZ190" s="74" t="str">
        <f aca="false">IF(ISBLANK($C190),"",IF($U190=Constants!$B$2,TRUE(),IF($U190=Constants!$B$3,FALSE(),FALSE())))</f>
        <v/>
      </c>
      <c r="BA190" s="74" t="str">
        <f aca="false">IF(ISBLANK($C190),"",IF(OR($V190&amp;""="1",$V190&amp;""="2",$V190&amp;""="3",$V190&amp;""="4"),VALUE($V190&amp;""),IF($V190=Constants!$B$12,Constants!$B$12,"")))</f>
        <v/>
      </c>
      <c r="BB190" s="74" t="str">
        <f aca="false">IF(ISBLANK($C190),"",IF(ISBLANK($W190),0,IF(ISNUMBER($W190),IF(AND($W190&gt;=0,$W190&lt;=Constants!$B$21,$W190=INT($W190)),$W190,""),"")))</f>
        <v/>
      </c>
      <c r="BC190" s="74" t="str">
        <f aca="false">IF(ISBLANK($C190),"",IF(ISBLANK($X190),0,IF(ISNUMBER($X190),IF($X190&gt;=0,$X190,""),"")))</f>
        <v/>
      </c>
      <c r="BD190" s="74" t="str">
        <f aca="false">IF(ISBLANK($C190),"",IF($Y190=Constants!$B$2,TRUE(),IF($Y190=Constants!$B$3,FALSE(),TRUE())))</f>
        <v/>
      </c>
      <c r="BE190" s="74" t="str">
        <f aca="false">IF(ISBLANK($C190),"",IF($Z190=Constants!$B$2,TRUE(),IF($Z190=Constants!$B$3,FALSE(),FALSE())))</f>
        <v/>
      </c>
      <c r="BF190" s="74" t="str">
        <f aca="false">IF(ISBLANK($C190),"",IF(ISBLANK($AA190),0,IF(ISNUMBER($AA190),IF(AND($AA190&gt;=0,$AA190&lt;=Constants!$B$35,$AA190=INT($AA190)),$AA190,""),"")))</f>
        <v/>
      </c>
      <c r="BG190" s="74" t="str">
        <f aca="false">IF(ISBLANK($C190),"",IF($AB190=Constants!$B$2,TRUE(),IF($AB190=Constants!$B$3,FALSE(),TRUE())))</f>
        <v/>
      </c>
      <c r="BH190" s="74" t="str">
        <f aca="false">IF(ISBLANK($C190),"",IF($AC190=Constants!$B$2,TRUE(),IF($AC190=Constants!$B$3,FALSE(),TRUE())))</f>
        <v/>
      </c>
      <c r="BI190" s="74" t="str">
        <f aca="false">IF(ISBLANK($C190),"",IF($AD190=Constants!$B$2,TRUE(),IF($AD190=Constants!$B$3,FALSE(),TRUE())))</f>
        <v/>
      </c>
      <c r="BJ190" s="74" t="str">
        <f aca="false">IF(ISBLANK($C190),"",IF(ISNUMBER($AE190),IF($AE190&gt;=0,$AE190,""),""))</f>
        <v/>
      </c>
      <c r="BK190" s="74" t="str">
        <f aca="false">IF(ISBLANK($C190),"",IF($AF190=Constants!$B$2,TRUE(),IF($AF190=Constants!$B$3,FALSE(),FALSE())))</f>
        <v/>
      </c>
      <c r="BL190" s="73" t="str">
        <f aca="false">IF(ISBLANK($C190),"",IF($BK190,Constants!$B$7,IF(COUNTA($E190:$AE190)=0,Constants!$B$6,IF(OR(COUNTA($G190:$AE190)=0,NOT($AM190),$AS190),Constants!$B$5,IF(OR($CM190&lt;&gt;"",$CN190,$CO190,$CP190,$CQ190,$CR190,$CS190),Constants!$B$8,Constants!$B$4)))))</f>
        <v/>
      </c>
      <c r="BM190" s="74" t="str">
        <f aca="false">IF(ISBLANK($C190),"",IF($BL190&lt;&gt;Constants!$B$4,$BL190,IF(OR(NOT($AJ190),NOT($AL190),NOT($AT190)),Constants!$B$11,IF(OR(NOT($AR190),NOT($AU190),NOT($BI190),MAX($AN190,$AO190,$AP190)&gt;Constants!$B$30),Constants!$B$10,Constants!$B$9))))</f>
        <v/>
      </c>
      <c r="BN190" s="74" t="str">
        <f aca="false">IF($BL190&lt;&gt;Constants!$B$4,"",IF(NOT($AL190),0,MIN(Constants!$B$35,$BF190)))</f>
        <v/>
      </c>
      <c r="BO190" s="74" t="str">
        <f aca="false">IF($BL190&lt;&gt;Constants!$B$4,"",IF(NOT($AL190),0,IF($AW190,Constants!$B$18,IF($AV190,Constants!$B$17,0))))</f>
        <v/>
      </c>
      <c r="BP190" s="74" t="str">
        <f aca="false">IF($BL190&lt;&gt;Constants!$B$4,"",IF(NOT($AL190),0,Constants!$B$19*($AK190+$AX190+$AY190+$AZ190)))</f>
        <v/>
      </c>
      <c r="BQ190" s="74" t="str">
        <f aca="false">IF($BL190&lt;&gt;Constants!$B$4,"",IF(OR(NOT($AL190),NOT(ISNUMBER($BA190))),0,CHOOSE($BA190,Constants!$B$13,Constants!$B$14,Constants!$B$15,Constants!$B$16)))</f>
        <v/>
      </c>
      <c r="BR190" s="74" t="str">
        <f aca="false">IF($BL190&lt;&gt;Constants!$B$4,"",IF(NOT($AL190),0,Constants!$B$20*$BB190))</f>
        <v/>
      </c>
      <c r="BS190" s="74" t="str">
        <f aca="false">IF($BL190&lt;&gt;Constants!$B$4,"",IF(AND($AL190,$BD190,$BE190),Constants!$B$22,0))</f>
        <v/>
      </c>
      <c r="BT190" s="74" t="str">
        <f aca="false">IF($BL190&lt;&gt;Constants!$B$4,"",IF(OR(NOT($AL190),NOT($BD190)),0,IF($BJ190&gt;=2*$AH$9,0,Constants!$B$23*INT(ROUND(MIN($BJ190,$AH$9),6)))))</f>
        <v/>
      </c>
      <c r="BU190" s="74" t="str">
        <f aca="false">IF($BL190&lt;&gt;Constants!$B$4,"",IF(NOT($AL190),0,Constants!$B$24*INT(ROUND(MIN($BC190,$AH$9),6))))</f>
        <v/>
      </c>
      <c r="BV190" s="74" t="str">
        <f aca="false">IF($BL190&lt;&gt;Constants!$B$4,"",IF(AND($AL190,$BN190=0),Constants!$B$25,0))</f>
        <v/>
      </c>
      <c r="BW190" s="74" t="str">
        <f aca="false">IF($BL190&lt;&gt;Constants!$B$4,"",MIN(Constants!$B$29,MAX(0,Constants!$B$27*Constants!$B$28*INT(ROUND((Constants!$B$26-$AN190)/Constants!$B$28,6))))+MIN(Constants!$B$29,MAX(0,Constants!$B$27*Constants!$B$28*INT(ROUND((Constants!$B$26-$AO190)/Constants!$B$28,6))))+MIN(Constants!$B$29,MAX(0,Constants!$B$27*Constants!$B$28*INT(ROUND((Constants!$B$26-$AP190)/Constants!$B$28,6)))))</f>
        <v/>
      </c>
      <c r="BX190" s="74" t="str">
        <f aca="false">IF($BL190&lt;&gt;Constants!$B$4,"",IF(NOT($AL190),0,Constants!$B$31*INT(ROUND(MAX(0,MIN($BJ190,2*$AH$9)-$AH$9),6))))</f>
        <v/>
      </c>
      <c r="BY190" s="74" t="str">
        <f aca="false">IF($BL190&lt;&gt;Constants!$B$4,"",Constants!$B$32*(($AN190&gt;Constants!$B$26)+($AO190&gt;Constants!$B$26)+($AP190&gt;Constants!$B$26)))</f>
        <v/>
      </c>
      <c r="BZ190" s="74" t="str">
        <f aca="false">IF($BL190&lt;&gt;Constants!$B$4,"",IF(OR(NOT($AL190),$AQ190),0,Constants!$B$33))</f>
        <v/>
      </c>
      <c r="CA190" s="74" t="str">
        <f aca="false">IF($BL190&lt;&gt;Constants!$B$4,"",Constants!$B$34*$BN190)</f>
        <v/>
      </c>
      <c r="CB190" s="74" t="str">
        <f aca="false">IF($BL190&lt;&gt;Constants!$B$4,"",IF(OR(NOT($AL190),$BH190),0,Constants!$B$36))</f>
        <v/>
      </c>
      <c r="CC190" s="74" t="str">
        <f aca="false">IF($BL190&lt;&gt;Constants!$B$4,"",IF(OR(NOT($AL190),$BG190),0,Constants!$B$37))</f>
        <v/>
      </c>
      <c r="CD190" s="74" t="str">
        <f aca="false">IF($BL190&lt;&gt;Constants!$B$4,"",SUM($BX190:$CC190))</f>
        <v/>
      </c>
      <c r="CE190" s="74" t="str">
        <f aca="false">IF(ISBLANK($C190),"",IF($BL190&lt;&gt;Constants!$B$4,$BL190,SUM($BO190:$BW190)-$CD190))</f>
        <v/>
      </c>
      <c r="CF190" s="74" t="str">
        <f aca="false">IF(ISBLANK($C190),"",IF($BL190&lt;&gt;Constants!$B$4,$BL190,RANK($CE190,$CE$9:$CE$508)))</f>
        <v/>
      </c>
      <c r="CG190" s="74" t="str">
        <f aca="false">IF(ISBLANK($C190),"",IF($BL190&lt;&gt;Constants!$B$4,$BL190,COUNTIFS($BM$9:$BM$508,"&lt;"&amp;$BM190)+COUNTIFS($BM$9:$BM$508,$BM190,$CF$9:$CF$508,"&lt;"&amp;$CF190)+1))</f>
        <v/>
      </c>
      <c r="CH190" s="74" t="str">
        <f aca="false">IF(ISBLANK($C190),"",IF($BL190&lt;&gt;Constants!$B$4,$BL190,RANK($CD190,$CD$9:$CD$508,1)))</f>
        <v/>
      </c>
      <c r="CI190" s="74" t="str">
        <f aca="false">IF($BL190&lt;&gt;Constants!$B$4,"",$AN190+$AO190+$AP190)</f>
        <v/>
      </c>
      <c r="CJ190" s="74" t="str">
        <f aca="false">IF(ISBLANK($C190),"",IF($BL190&lt;&gt;Constants!$B$4,$BL190,RANK($CI190,$CI$9:$CI$508,1)))</f>
        <v/>
      </c>
      <c r="CK190" s="74" t="str">
        <f aca="false">IF(ISBLANK($C190),"",IF($BL190&lt;&gt;Constants!$B$4,$BL190,COUNTIFS($BM$9:$BM$508,"&lt;"&amp;$BM190)+COUNTIFS($BM$9:$BM$508,$BM190,$CF$9:$CF$508,"&lt;"&amp;$CF190)+COUNTIFS($BM$9:$BM$508,$BM190,$CF$9:$CF$508,$CF190,$CH$9:$CH$508,"&lt;"&amp;$CH190)+COUNTIFS($BM$9:$BM$508,$BM190,$CF$9:$CF$508,$CF190,$CH$9:$CH$508,$CH190,$CJ$9:$CJ$508,"&lt;"&amp;$CJ190)+1))</f>
        <v/>
      </c>
      <c r="CL190" s="74" t="str">
        <f aca="false">IF(ISBLANK($C190),"",IF($BL190&lt;&gt;Constants!$B$4,$BL190,$CG190-$CK190))</f>
        <v/>
      </c>
      <c r="CM190" s="74" t="str">
        <f aca="false">IF(ISBLANK($C190),"",IF(NOT($AL190),"",IF(ISBLANK($D$7),$CM$5,IF(NOT(ISNUMBER($D$7)),$CM$6,""))))</f>
        <v/>
      </c>
      <c r="CN190" s="74" t="str">
        <f aca="false">IF(ISBLANK($C190),"",OR($AN190="",$AO190="",$AP190=""))</f>
        <v/>
      </c>
      <c r="CO190" s="74" t="str">
        <f aca="false">IF(ISBLANK($C190),"",AND($AL190,$BA190=""))</f>
        <v/>
      </c>
      <c r="CP190" s="74" t="str">
        <f aca="false">IF(ISBLANK($C190),"",AND($AL190,$BB190=""))</f>
        <v/>
      </c>
      <c r="CQ190" s="74" t="str">
        <f aca="false">IF(ISBLANK($C190),"",AND($AL190,$BC190=""))</f>
        <v/>
      </c>
      <c r="CR190" s="74" t="str">
        <f aca="false">IF(ISBLANK($C190),"",AND($AL190,$BF190=""))</f>
        <v/>
      </c>
      <c r="CS190" s="74" t="str">
        <f aca="false">IF(ISBLANK($C190),"",AND($AL190,$BJ190=""))</f>
        <v/>
      </c>
      <c r="CT190" s="75"/>
      <c r="CU190" s="76"/>
      <c r="CV190" s="79" t="str">
        <f aca="false">IF(ISBLANK($C190),"",IF($BL190=Constants!$B$8,$CM190,""))</f>
        <v/>
      </c>
      <c r="CW190" s="76" t="str">
        <f aca="false">IF(ISBLANK($C190),"",IF($BL190&lt;&gt;Constants!$B$4,"",$BO190+$BP190))</f>
        <v/>
      </c>
      <c r="CX190" s="78" t="str">
        <f aca="false">IF(ISBLANK($C190),"",IF($BL190&lt;&gt;Constants!$B$4,"",$BQ190+$BR190+$BS190))</f>
        <v/>
      </c>
      <c r="CY190" s="78" t="str">
        <f aca="false">IF(ISBLANK($C190),"",IF($BL190&lt;&gt;Constants!$B$4,"",$BT190))</f>
        <v/>
      </c>
      <c r="CZ190" s="78" t="str">
        <f aca="false">IF(ISBLANK($C190),"",IF($BL190&lt;&gt;Constants!$B$4,"",$BU190+$BV190))</f>
        <v/>
      </c>
      <c r="DA190" s="78" t="str">
        <f aca="false">IF(ISBLANK($C190),"",IF($BL190&lt;&gt;Constants!$B$4,"",$BW190))</f>
        <v/>
      </c>
      <c r="DB190" s="78" t="str">
        <f aca="false">IF(ISBLANK($C190),"",IF($BL190&lt;&gt;Constants!$B$4,"",-$CD190))</f>
        <v/>
      </c>
      <c r="DC190" s="79" t="str">
        <f aca="false">IF(ISBLANK($C190),"",$CE190)</f>
        <v/>
      </c>
      <c r="DD190" s="80" t="str">
        <f aca="false">IF(ISBLANK($C190),"",$BM190)</f>
        <v/>
      </c>
      <c r="DE190" s="78" t="str">
        <f aca="false">IF(ISBLANK($C190),"",$CL190)</f>
        <v/>
      </c>
      <c r="DF190" s="78" t="str">
        <f aca="false">IF(ISBLANK($C190),"",$CK190)</f>
        <v/>
      </c>
      <c r="DG190" s="81" t="str">
        <f aca="false">IF(ISBLANK($C190),"",IF($DF190=Constants!$B$7,COUNTA($C$9:$C$508)+2,IF($DF190=Constants!$B$6,COUNTA($C$9:$C$508)+1,IF($DF190=Constants!$B$5,COUNTA($C$9:$C$508),$DF190))))</f>
        <v/>
      </c>
      <c r="DH190" s="7"/>
      <c r="DI190" s="82" t="n">
        <f aca="false">IF(OR(ISNUMBER($DF190),$DF190=Constants!$B$7,$DF190=Constants!$B$5,$DF190=Constants!$B$6),1,0)</f>
        <v>0</v>
      </c>
      <c r="DJ190" s="82" t="n">
        <v>182</v>
      </c>
      <c r="DK190" s="82" t="str">
        <f aca="false">IF(ISBLANK($C190),"",IF(ISNUMBER($DG190),$DG190+ROW($B190)/1000,""))</f>
        <v/>
      </c>
      <c r="DL190" s="82" t="str">
        <f aca="false">IF(ISNUMBER($DK190),RANK($DK190,$DK$9:$DK$508,1),"")</f>
        <v/>
      </c>
      <c r="DM190" s="82" t="str">
        <f aca="false">IF(ISBLANK($C190),"",$B190)</f>
        <v/>
      </c>
      <c r="DN190" s="82" t="str">
        <f aca="false">IF(ISBLANK($C190),"",$C190)</f>
        <v/>
      </c>
      <c r="DO190" s="82" t="str">
        <f aca="false">IF(ISBLANK($C190),"",$D190)</f>
        <v/>
      </c>
      <c r="DP190" s="83" t="str">
        <f aca="false">$DD190</f>
        <v/>
      </c>
      <c r="DQ190" s="84" t="str">
        <f aca="false">$DC190</f>
        <v/>
      </c>
      <c r="DR190" s="82" t="str">
        <f aca="false">IF(ISBLANK($C190),"",$DF190)</f>
        <v/>
      </c>
      <c r="DS190" s="85" t="str">
        <f aca="false">IF($DJ190&gt;$DI$8,"",VLOOKUP($DJ190,$DL$9:$DR$508,7,FALSE()))</f>
        <v/>
      </c>
      <c r="DT190" s="86" t="str">
        <f aca="false">IF($DJ190&gt;$DI$8,"",VLOOKUP($DJ190,$DL$9:$DR$508,2,FALSE()))</f>
        <v/>
      </c>
      <c r="DU190" s="86" t="str">
        <f aca="false">IF($DJ190&gt;$DI$8,"",VLOOKUP($DJ190,$DL$9:$DR$508,3,FALSE()))</f>
        <v/>
      </c>
      <c r="DV190" s="86" t="str">
        <f aca="false">IF($DJ190&gt;$DI$8,"",VLOOKUP($DJ190,$DL$9:$DR$508,4,FALSE()))</f>
        <v/>
      </c>
      <c r="DW190" s="86" t="str">
        <f aca="false">IF($DJ190&gt;$DI$8,"",VLOOKUP($DJ190,$DL$9:$DR$508,5,FALSE()))</f>
        <v/>
      </c>
      <c r="DX190" s="87" t="str">
        <f aca="false">IF($DJ190&gt;$DI$8,"",VLOOKUP($DJ190,$DL$9:$DR$508,6,FALSE()))</f>
        <v/>
      </c>
      <c r="DY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88"/>
      <c r="N191" s="88"/>
      <c r="O191" s="134"/>
      <c r="P191" s="134"/>
      <c r="Q191" s="88"/>
      <c r="R191" s="88"/>
      <c r="S191" s="88"/>
      <c r="T191" s="88"/>
      <c r="U191" s="134"/>
      <c r="V191" s="88"/>
      <c r="W191" s="70"/>
      <c r="X191" s="88"/>
      <c r="Y191" s="88"/>
      <c r="Z191" s="70"/>
      <c r="AA191" s="70"/>
      <c r="AB191" s="88"/>
      <c r="AC191" s="88"/>
      <c r="AD191" s="88"/>
      <c r="AE191" s="71"/>
      <c r="AF191" s="88"/>
      <c r="AG191" s="73"/>
      <c r="AH191" s="74"/>
      <c r="AI191" s="74"/>
      <c r="AJ191" s="74" t="str">
        <f aca="false">IF(ISBLANK($C191),"",IF($E191=Constants!$B$2,TRUE(),IF($E191=Constants!$B$3,FALSE(),TRUE())))</f>
        <v/>
      </c>
      <c r="AK191" s="74" t="str">
        <f aca="false">IF(ISBLANK($C191),"",IF($F191=Constants!$B$2,TRUE(),IF($F191=Constants!$B$3,FALSE(),FALSE())))</f>
        <v/>
      </c>
      <c r="AL191" s="74" t="str">
        <f aca="false">IF(ISBLANK($C191),"",IF($G191=Constants!$B$2,TRUE(),IF($G191=Constants!$B$3,FALSE(),TRUE())))</f>
        <v/>
      </c>
      <c r="AM191" s="74" t="str">
        <f aca="false">IF(ISBLANK($C191),"",IF($H191=Constants!$B$2,TRUE(),IF($H191=Constants!$B$3,FALSE(),TRUE())))</f>
        <v/>
      </c>
      <c r="AN191" s="74" t="str">
        <f aca="false">IF(ISBLANK($C191),"",IF(ISNUMBER($I191),IF($I191&gt;=0,$I191,""),""))</f>
        <v/>
      </c>
      <c r="AO191" s="74" t="str">
        <f aca="false">IF(ISBLANK($C191),"",IF(ISNUMBER($J191),IF($J191&gt;=0,$J191,""),""))</f>
        <v/>
      </c>
      <c r="AP191" s="74" t="str">
        <f aca="false">IF(ISBLANK($C191),"",IF(ISNUMBER($K191),IF($K191&gt;=0,$K191,""),""))</f>
        <v/>
      </c>
      <c r="AQ191" s="74" t="str">
        <f aca="false">IF(ISBLANK($C191),"",IF($L191=Constants!$B$2,TRUE(),IF($L191=Constants!$B$3,FALSE(),TRUE())))</f>
        <v/>
      </c>
      <c r="AR191" s="74" t="str">
        <f aca="false">IF(ISBLANK($C191),"",IF($M191=Constants!$B$2,TRUE(),IF($M191=Constants!$B$3,FALSE(),TRUE())))</f>
        <v/>
      </c>
      <c r="AS191" s="74" t="str">
        <f aca="false">IF(ISBLANK($C191),"",IF($N191=Constants!$B$2,TRUE(),IF($N191=Constants!$B$3,FALSE(),FALSE())))</f>
        <v/>
      </c>
      <c r="AT191" s="74" t="str">
        <f aca="false">IF(ISBLANK($C191),"",IF($O191=Constants!$B$2,TRUE(),IF($O191=Constants!$B$3,FALSE(),TRUE())))</f>
        <v/>
      </c>
      <c r="AU191" s="74" t="str">
        <f aca="false">IF(ISBLANK($C191),"",IF($P191=Constants!$B$2,TRUE(),IF($P191=Constants!$B$3,FALSE(),TRUE())))</f>
        <v/>
      </c>
      <c r="AV191" s="74" t="str">
        <f aca="false">IF(ISBLANK($C191),"",IF($Q191=Constants!$B$2,TRUE(),IF($Q191=Constants!$B$3,FALSE(),FALSE())))</f>
        <v/>
      </c>
      <c r="AW191" s="74" t="str">
        <f aca="false">IF(ISBLANK($C191),"",IF($R191=Constants!$B$2,TRUE(),IF($R191=Constants!$B$3,FALSE(),FALSE())))</f>
        <v/>
      </c>
      <c r="AX191" s="74" t="str">
        <f aca="false">IF(ISBLANK($C191),"",IF($S191=Constants!$B$2,TRUE(),IF($S191=Constants!$B$3,FALSE(),FALSE())))</f>
        <v/>
      </c>
      <c r="AY191" s="74" t="str">
        <f aca="false">IF(ISBLANK($C191),"",IF($T191=Constants!$B$2,TRUE(),IF($T191=Constants!$B$3,FALSE(),FALSE())))</f>
        <v/>
      </c>
      <c r="AZ191" s="74" t="str">
        <f aca="false">IF(ISBLANK($C191),"",IF($U191=Constants!$B$2,TRUE(),IF($U191=Constants!$B$3,FALSE(),FALSE())))</f>
        <v/>
      </c>
      <c r="BA191" s="74" t="str">
        <f aca="false">IF(ISBLANK($C191),"",IF(OR($V191&amp;""="1",$V191&amp;""="2",$V191&amp;""="3",$V191&amp;""="4"),VALUE($V191&amp;""),IF($V191=Constants!$B$12,Constants!$B$12,"")))</f>
        <v/>
      </c>
      <c r="BB191" s="74" t="str">
        <f aca="false">IF(ISBLANK($C191),"",IF(ISBLANK($W191),0,IF(ISNUMBER($W191),IF(AND($W191&gt;=0,$W191&lt;=Constants!$B$21,$W191=INT($W191)),$W191,""),"")))</f>
        <v/>
      </c>
      <c r="BC191" s="74" t="str">
        <f aca="false">IF(ISBLANK($C191),"",IF(ISBLANK($X191),0,IF(ISNUMBER($X191),IF($X191&gt;=0,$X191,""),"")))</f>
        <v/>
      </c>
      <c r="BD191" s="74" t="str">
        <f aca="false">IF(ISBLANK($C191),"",IF($Y191=Constants!$B$2,TRUE(),IF($Y191=Constants!$B$3,FALSE(),TRUE())))</f>
        <v/>
      </c>
      <c r="BE191" s="74" t="str">
        <f aca="false">IF(ISBLANK($C191),"",IF($Z191=Constants!$B$2,TRUE(),IF($Z191=Constants!$B$3,FALSE(),FALSE())))</f>
        <v/>
      </c>
      <c r="BF191" s="74" t="str">
        <f aca="false">IF(ISBLANK($C191),"",IF(ISBLANK($AA191),0,IF(ISNUMBER($AA191),IF(AND($AA191&gt;=0,$AA191&lt;=Constants!$B$35,$AA191=INT($AA191)),$AA191,""),"")))</f>
        <v/>
      </c>
      <c r="BG191" s="74" t="str">
        <f aca="false">IF(ISBLANK($C191),"",IF($AB191=Constants!$B$2,TRUE(),IF($AB191=Constants!$B$3,FALSE(),TRUE())))</f>
        <v/>
      </c>
      <c r="BH191" s="74" t="str">
        <f aca="false">IF(ISBLANK($C191),"",IF($AC191=Constants!$B$2,TRUE(),IF($AC191=Constants!$B$3,FALSE(),TRUE())))</f>
        <v/>
      </c>
      <c r="BI191" s="74" t="str">
        <f aca="false">IF(ISBLANK($C191),"",IF($AD191=Constants!$B$2,TRUE(),IF($AD191=Constants!$B$3,FALSE(),TRUE())))</f>
        <v/>
      </c>
      <c r="BJ191" s="74" t="str">
        <f aca="false">IF(ISBLANK($C191),"",IF(ISNUMBER($AE191),IF($AE191&gt;=0,$AE191,""),""))</f>
        <v/>
      </c>
      <c r="BK191" s="74" t="str">
        <f aca="false">IF(ISBLANK($C191),"",IF($AF191=Constants!$B$2,TRUE(),IF($AF191=Constants!$B$3,FALSE(),FALSE())))</f>
        <v/>
      </c>
      <c r="BL191" s="73" t="str">
        <f aca="false">IF(ISBLANK($C191),"",IF($BK191,Constants!$B$7,IF(COUNTA($E191:$AE191)=0,Constants!$B$6,IF(OR(COUNTA($G191:$AE191)=0,NOT($AM191),$AS191),Constants!$B$5,IF(OR($CM191&lt;&gt;"",$CN191,$CO191,$CP191,$CQ191,$CR191,$CS191),Constants!$B$8,Constants!$B$4)))))</f>
        <v/>
      </c>
      <c r="BM191" s="74" t="str">
        <f aca="false">IF(ISBLANK($C191),"",IF($BL191&lt;&gt;Constants!$B$4,$BL191,IF(OR(NOT($AJ191),NOT($AL191),NOT($AT191)),Constants!$B$11,IF(OR(NOT($AR191),NOT($AU191),NOT($BI191),MAX($AN191,$AO191,$AP191)&gt;Constants!$B$30),Constants!$B$10,Constants!$B$9))))</f>
        <v/>
      </c>
      <c r="BN191" s="74" t="str">
        <f aca="false">IF($BL191&lt;&gt;Constants!$B$4,"",IF(NOT($AL191),0,MIN(Constants!$B$35,$BF191)))</f>
        <v/>
      </c>
      <c r="BO191" s="74" t="str">
        <f aca="false">IF($BL191&lt;&gt;Constants!$B$4,"",IF(NOT($AL191),0,IF($AW191,Constants!$B$18,IF($AV191,Constants!$B$17,0))))</f>
        <v/>
      </c>
      <c r="BP191" s="74" t="str">
        <f aca="false">IF($BL191&lt;&gt;Constants!$B$4,"",IF(NOT($AL191),0,Constants!$B$19*($AK191+$AX191+$AY191+$AZ191)))</f>
        <v/>
      </c>
      <c r="BQ191" s="74" t="str">
        <f aca="false">IF($BL191&lt;&gt;Constants!$B$4,"",IF(OR(NOT($AL191),NOT(ISNUMBER($BA191))),0,CHOOSE($BA191,Constants!$B$13,Constants!$B$14,Constants!$B$15,Constants!$B$16)))</f>
        <v/>
      </c>
      <c r="BR191" s="74" t="str">
        <f aca="false">IF($BL191&lt;&gt;Constants!$B$4,"",IF(NOT($AL191),0,Constants!$B$20*$BB191))</f>
        <v/>
      </c>
      <c r="BS191" s="74" t="str">
        <f aca="false">IF($BL191&lt;&gt;Constants!$B$4,"",IF(AND($AL191,$BD191,$BE191),Constants!$B$22,0))</f>
        <v/>
      </c>
      <c r="BT191" s="74" t="str">
        <f aca="false">IF($BL191&lt;&gt;Constants!$B$4,"",IF(OR(NOT($AL191),NOT($BD191)),0,IF($BJ191&gt;=2*$AH$9,0,Constants!$B$23*INT(ROUND(MIN($BJ191,$AH$9),6)))))</f>
        <v/>
      </c>
      <c r="BU191" s="74" t="str">
        <f aca="false">IF($BL191&lt;&gt;Constants!$B$4,"",IF(NOT($AL191),0,Constants!$B$24*INT(ROUND(MIN($BC191,$AH$9),6))))</f>
        <v/>
      </c>
      <c r="BV191" s="74" t="str">
        <f aca="false">IF($BL191&lt;&gt;Constants!$B$4,"",IF(AND($AL191,$BN191=0),Constants!$B$25,0))</f>
        <v/>
      </c>
      <c r="BW191" s="74" t="str">
        <f aca="false">IF($BL191&lt;&gt;Constants!$B$4,"",MIN(Constants!$B$29,MAX(0,Constants!$B$27*Constants!$B$28*INT(ROUND((Constants!$B$26-$AN191)/Constants!$B$28,6))))+MIN(Constants!$B$29,MAX(0,Constants!$B$27*Constants!$B$28*INT(ROUND((Constants!$B$26-$AO191)/Constants!$B$28,6))))+MIN(Constants!$B$29,MAX(0,Constants!$B$27*Constants!$B$28*INT(ROUND((Constants!$B$26-$AP191)/Constants!$B$28,6)))))</f>
        <v/>
      </c>
      <c r="BX191" s="74" t="str">
        <f aca="false">IF($BL191&lt;&gt;Constants!$B$4,"",IF(NOT($AL191),0,Constants!$B$31*INT(ROUND(MAX(0,MIN($BJ191,2*$AH$9)-$AH$9),6))))</f>
        <v/>
      </c>
      <c r="BY191" s="74" t="str">
        <f aca="false">IF($BL191&lt;&gt;Constants!$B$4,"",Constants!$B$32*(($AN191&gt;Constants!$B$26)+($AO191&gt;Constants!$B$26)+($AP191&gt;Constants!$B$26)))</f>
        <v/>
      </c>
      <c r="BZ191" s="74" t="str">
        <f aca="false">IF($BL191&lt;&gt;Constants!$B$4,"",IF(OR(NOT($AL191),$AQ191),0,Constants!$B$33))</f>
        <v/>
      </c>
      <c r="CA191" s="74" t="str">
        <f aca="false">IF($BL191&lt;&gt;Constants!$B$4,"",Constants!$B$34*$BN191)</f>
        <v/>
      </c>
      <c r="CB191" s="74" t="str">
        <f aca="false">IF($BL191&lt;&gt;Constants!$B$4,"",IF(OR(NOT($AL191),$BH191),0,Constants!$B$36))</f>
        <v/>
      </c>
      <c r="CC191" s="74" t="str">
        <f aca="false">IF($BL191&lt;&gt;Constants!$B$4,"",IF(OR(NOT($AL191),$BG191),0,Constants!$B$37))</f>
        <v/>
      </c>
      <c r="CD191" s="74" t="str">
        <f aca="false">IF($BL191&lt;&gt;Constants!$B$4,"",SUM($BX191:$CC191))</f>
        <v/>
      </c>
      <c r="CE191" s="74" t="str">
        <f aca="false">IF(ISBLANK($C191),"",IF($BL191&lt;&gt;Constants!$B$4,$BL191,SUM($BO191:$BW191)-$CD191))</f>
        <v/>
      </c>
      <c r="CF191" s="74" t="str">
        <f aca="false">IF(ISBLANK($C191),"",IF($BL191&lt;&gt;Constants!$B$4,$BL191,RANK($CE191,$CE$9:$CE$508)))</f>
        <v/>
      </c>
      <c r="CG191" s="74" t="str">
        <f aca="false">IF(ISBLANK($C191),"",IF($BL191&lt;&gt;Constants!$B$4,$BL191,COUNTIFS($BM$9:$BM$508,"&lt;"&amp;$BM191)+COUNTIFS($BM$9:$BM$508,$BM191,$CF$9:$CF$508,"&lt;"&amp;$CF191)+1))</f>
        <v/>
      </c>
      <c r="CH191" s="74" t="str">
        <f aca="false">IF(ISBLANK($C191),"",IF($BL191&lt;&gt;Constants!$B$4,$BL191,RANK($CD191,$CD$9:$CD$508,1)))</f>
        <v/>
      </c>
      <c r="CI191" s="74" t="str">
        <f aca="false">IF($BL191&lt;&gt;Constants!$B$4,"",$AN191+$AO191+$AP191)</f>
        <v/>
      </c>
      <c r="CJ191" s="74" t="str">
        <f aca="false">IF(ISBLANK($C191),"",IF($BL191&lt;&gt;Constants!$B$4,$BL191,RANK($CI191,$CI$9:$CI$508,1)))</f>
        <v/>
      </c>
      <c r="CK191" s="74" t="str">
        <f aca="false">IF(ISBLANK($C191),"",IF($BL191&lt;&gt;Constants!$B$4,$BL191,COUNTIFS($BM$9:$BM$508,"&lt;"&amp;$BM191)+COUNTIFS($BM$9:$BM$508,$BM191,$CF$9:$CF$508,"&lt;"&amp;$CF191)+COUNTIFS($BM$9:$BM$508,$BM191,$CF$9:$CF$508,$CF191,$CH$9:$CH$508,"&lt;"&amp;$CH191)+COUNTIFS($BM$9:$BM$508,$BM191,$CF$9:$CF$508,$CF191,$CH$9:$CH$508,$CH191,$CJ$9:$CJ$508,"&lt;"&amp;$CJ191)+1))</f>
        <v/>
      </c>
      <c r="CL191" s="74" t="str">
        <f aca="false">IF(ISBLANK($C191),"",IF($BL191&lt;&gt;Constants!$B$4,$BL191,$CG191-$CK191))</f>
        <v/>
      </c>
      <c r="CM191" s="74" t="str">
        <f aca="false">IF(ISBLANK($C191),"",IF(NOT($AL191),"",IF(ISBLANK($D$7),$CM$5,IF(NOT(ISNUMBER($D$7)),$CM$6,""))))</f>
        <v/>
      </c>
      <c r="CN191" s="74" t="str">
        <f aca="false">IF(ISBLANK($C191),"",OR($AN191="",$AO191="",$AP191=""))</f>
        <v/>
      </c>
      <c r="CO191" s="74" t="str">
        <f aca="false">IF(ISBLANK($C191),"",AND($AL191,$BA191=""))</f>
        <v/>
      </c>
      <c r="CP191" s="74" t="str">
        <f aca="false">IF(ISBLANK($C191),"",AND($AL191,$BB191=""))</f>
        <v/>
      </c>
      <c r="CQ191" s="74" t="str">
        <f aca="false">IF(ISBLANK($C191),"",AND($AL191,$BC191=""))</f>
        <v/>
      </c>
      <c r="CR191" s="74" t="str">
        <f aca="false">IF(ISBLANK($C191),"",AND($AL191,$BF191=""))</f>
        <v/>
      </c>
      <c r="CS191" s="74" t="str">
        <f aca="false">IF(ISBLANK($C191),"",AND($AL191,$BJ191=""))</f>
        <v/>
      </c>
      <c r="CT191" s="75"/>
      <c r="CU191" s="76"/>
      <c r="CV191" s="79" t="str">
        <f aca="false">IF(ISBLANK($C191),"",IF($BL191=Constants!$B$8,$CM191,""))</f>
        <v/>
      </c>
      <c r="CW191" s="76" t="str">
        <f aca="false">IF(ISBLANK($C191),"",IF($BL191&lt;&gt;Constants!$B$4,"",$BO191+$BP191))</f>
        <v/>
      </c>
      <c r="CX191" s="78" t="str">
        <f aca="false">IF(ISBLANK($C191),"",IF($BL191&lt;&gt;Constants!$B$4,"",$BQ191+$BR191+$BS191))</f>
        <v/>
      </c>
      <c r="CY191" s="78" t="str">
        <f aca="false">IF(ISBLANK($C191),"",IF($BL191&lt;&gt;Constants!$B$4,"",$BT191))</f>
        <v/>
      </c>
      <c r="CZ191" s="78" t="str">
        <f aca="false">IF(ISBLANK($C191),"",IF($BL191&lt;&gt;Constants!$B$4,"",$BU191+$BV191))</f>
        <v/>
      </c>
      <c r="DA191" s="78" t="str">
        <f aca="false">IF(ISBLANK($C191),"",IF($BL191&lt;&gt;Constants!$B$4,"",$BW191))</f>
        <v/>
      </c>
      <c r="DB191" s="78" t="str">
        <f aca="false">IF(ISBLANK($C191),"",IF($BL191&lt;&gt;Constants!$B$4,"",-$CD191))</f>
        <v/>
      </c>
      <c r="DC191" s="79" t="str">
        <f aca="false">IF(ISBLANK($C191),"",$CE191)</f>
        <v/>
      </c>
      <c r="DD191" s="80" t="str">
        <f aca="false">IF(ISBLANK($C191),"",$BM191)</f>
        <v/>
      </c>
      <c r="DE191" s="78" t="str">
        <f aca="false">IF(ISBLANK($C191),"",$CL191)</f>
        <v/>
      </c>
      <c r="DF191" s="78" t="str">
        <f aca="false">IF(ISBLANK($C191),"",$CK191)</f>
        <v/>
      </c>
      <c r="DG191" s="81" t="str">
        <f aca="false">IF(ISBLANK($C191),"",IF($DF191=Constants!$B$7,COUNTA($C$9:$C$508)+2,IF($DF191=Constants!$B$6,COUNTA($C$9:$C$508)+1,IF($DF191=Constants!$B$5,COUNTA($C$9:$C$508),$DF191))))</f>
        <v/>
      </c>
      <c r="DH191" s="7"/>
      <c r="DI191" s="82" t="n">
        <f aca="false">IF(OR(ISNUMBER($DF191),$DF191=Constants!$B$7,$DF191=Constants!$B$5,$DF191=Constants!$B$6),1,0)</f>
        <v>0</v>
      </c>
      <c r="DJ191" s="82" t="n">
        <v>183</v>
      </c>
      <c r="DK191" s="82" t="str">
        <f aca="false">IF(ISBLANK($C191),"",IF(ISNUMBER($DG191),$DG191+ROW($B191)/1000,""))</f>
        <v/>
      </c>
      <c r="DL191" s="82" t="str">
        <f aca="false">IF(ISNUMBER($DK191),RANK($DK191,$DK$9:$DK$508,1),"")</f>
        <v/>
      </c>
      <c r="DM191" s="82" t="str">
        <f aca="false">IF(ISBLANK($C191),"",$B191)</f>
        <v/>
      </c>
      <c r="DN191" s="82" t="str">
        <f aca="false">IF(ISBLANK($C191),"",$C191)</f>
        <v/>
      </c>
      <c r="DO191" s="82" t="str">
        <f aca="false">IF(ISBLANK($C191),"",$D191)</f>
        <v/>
      </c>
      <c r="DP191" s="83" t="str">
        <f aca="false">$DD191</f>
        <v/>
      </c>
      <c r="DQ191" s="84" t="str">
        <f aca="false">$DC191</f>
        <v/>
      </c>
      <c r="DR191" s="82" t="str">
        <f aca="false">IF(ISBLANK($C191),"",$DF191)</f>
        <v/>
      </c>
      <c r="DS191" s="85" t="str">
        <f aca="false">IF($DJ191&gt;$DI$8,"",VLOOKUP($DJ191,$DL$9:$DR$508,7,FALSE()))</f>
        <v/>
      </c>
      <c r="DT191" s="86" t="str">
        <f aca="false">IF($DJ191&gt;$DI$8,"",VLOOKUP($DJ191,$DL$9:$DR$508,2,FALSE()))</f>
        <v/>
      </c>
      <c r="DU191" s="86" t="str">
        <f aca="false">IF($DJ191&gt;$DI$8,"",VLOOKUP($DJ191,$DL$9:$DR$508,3,FALSE()))</f>
        <v/>
      </c>
      <c r="DV191" s="86" t="str">
        <f aca="false">IF($DJ191&gt;$DI$8,"",VLOOKUP($DJ191,$DL$9:$DR$508,4,FALSE()))</f>
        <v/>
      </c>
      <c r="DW191" s="86" t="str">
        <f aca="false">IF($DJ191&gt;$DI$8,"",VLOOKUP($DJ191,$DL$9:$DR$508,5,FALSE()))</f>
        <v/>
      </c>
      <c r="DX191" s="87" t="str">
        <f aca="false">IF($DJ191&gt;$DI$8,"",VLOOKUP($DJ191,$DL$9:$DR$508,6,FALSE()))</f>
        <v/>
      </c>
      <c r="DY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130"/>
      <c r="N192" s="130"/>
      <c r="O192" s="135"/>
      <c r="P192" s="135"/>
      <c r="Q192" s="130"/>
      <c r="R192" s="130"/>
      <c r="S192" s="130"/>
      <c r="T192" s="130"/>
      <c r="U192" s="135"/>
      <c r="V192" s="130"/>
      <c r="W192" s="96"/>
      <c r="X192" s="130"/>
      <c r="Y192" s="130"/>
      <c r="Z192" s="96"/>
      <c r="AA192" s="96"/>
      <c r="AB192" s="130"/>
      <c r="AC192" s="130"/>
      <c r="AD192" s="130"/>
      <c r="AE192" s="97"/>
      <c r="AF192" s="130"/>
      <c r="AG192" s="99"/>
      <c r="AH192" s="100"/>
      <c r="AI192" s="100"/>
      <c r="AJ192" s="100" t="str">
        <f aca="false">IF(ISBLANK($C192),"",IF($E192=Constants!$B$2,TRUE(),IF($E192=Constants!$B$3,FALSE(),TRUE())))</f>
        <v/>
      </c>
      <c r="AK192" s="100" t="str">
        <f aca="false">IF(ISBLANK($C192),"",IF($F192=Constants!$B$2,TRUE(),IF($F192=Constants!$B$3,FALSE(),FALSE())))</f>
        <v/>
      </c>
      <c r="AL192" s="100" t="str">
        <f aca="false">IF(ISBLANK($C192),"",IF($G192=Constants!$B$2,TRUE(),IF($G192=Constants!$B$3,FALSE(),TRUE())))</f>
        <v/>
      </c>
      <c r="AM192" s="100" t="str">
        <f aca="false">IF(ISBLANK($C192),"",IF($H192=Constants!$B$2,TRUE(),IF($H192=Constants!$B$3,FALSE(),TRUE())))</f>
        <v/>
      </c>
      <c r="AN192" s="100" t="str">
        <f aca="false">IF(ISBLANK($C192),"",IF(ISNUMBER($I192),IF($I192&gt;=0,$I192,""),""))</f>
        <v/>
      </c>
      <c r="AO192" s="100" t="str">
        <f aca="false">IF(ISBLANK($C192),"",IF(ISNUMBER($J192),IF($J192&gt;=0,$J192,""),""))</f>
        <v/>
      </c>
      <c r="AP192" s="100" t="str">
        <f aca="false">IF(ISBLANK($C192),"",IF(ISNUMBER($K192),IF($K192&gt;=0,$K192,""),""))</f>
        <v/>
      </c>
      <c r="AQ192" s="100" t="str">
        <f aca="false">IF(ISBLANK($C192),"",IF($L192=Constants!$B$2,TRUE(),IF($L192=Constants!$B$3,FALSE(),TRUE())))</f>
        <v/>
      </c>
      <c r="AR192" s="100" t="str">
        <f aca="false">IF(ISBLANK($C192),"",IF($M192=Constants!$B$2,TRUE(),IF($M192=Constants!$B$3,FALSE(),TRUE())))</f>
        <v/>
      </c>
      <c r="AS192" s="100" t="str">
        <f aca="false">IF(ISBLANK($C192),"",IF($N192=Constants!$B$2,TRUE(),IF($N192=Constants!$B$3,FALSE(),FALSE())))</f>
        <v/>
      </c>
      <c r="AT192" s="100" t="str">
        <f aca="false">IF(ISBLANK($C192),"",IF($O192=Constants!$B$2,TRUE(),IF($O192=Constants!$B$3,FALSE(),TRUE())))</f>
        <v/>
      </c>
      <c r="AU192" s="100" t="str">
        <f aca="false">IF(ISBLANK($C192),"",IF($P192=Constants!$B$2,TRUE(),IF($P192=Constants!$B$3,FALSE(),TRUE())))</f>
        <v/>
      </c>
      <c r="AV192" s="100" t="str">
        <f aca="false">IF(ISBLANK($C192),"",IF($Q192=Constants!$B$2,TRUE(),IF($Q192=Constants!$B$3,FALSE(),FALSE())))</f>
        <v/>
      </c>
      <c r="AW192" s="100" t="str">
        <f aca="false">IF(ISBLANK($C192),"",IF($R192=Constants!$B$2,TRUE(),IF($R192=Constants!$B$3,FALSE(),FALSE())))</f>
        <v/>
      </c>
      <c r="AX192" s="100" t="str">
        <f aca="false">IF(ISBLANK($C192),"",IF($S192=Constants!$B$2,TRUE(),IF($S192=Constants!$B$3,FALSE(),FALSE())))</f>
        <v/>
      </c>
      <c r="AY192" s="100" t="str">
        <f aca="false">IF(ISBLANK($C192),"",IF($T192=Constants!$B$2,TRUE(),IF($T192=Constants!$B$3,FALSE(),FALSE())))</f>
        <v/>
      </c>
      <c r="AZ192" s="100" t="str">
        <f aca="false">IF(ISBLANK($C192),"",IF($U192=Constants!$B$2,TRUE(),IF($U192=Constants!$B$3,FALSE(),FALSE())))</f>
        <v/>
      </c>
      <c r="BA192" s="100" t="str">
        <f aca="false">IF(ISBLANK($C192),"",IF(OR($V192&amp;""="1",$V192&amp;""="2",$V192&amp;""="3",$V192&amp;""="4"),VALUE($V192&amp;""),IF($V192=Constants!$B$12,Constants!$B$12,"")))</f>
        <v/>
      </c>
      <c r="BB192" s="100" t="str">
        <f aca="false">IF(ISBLANK($C192),"",IF(ISBLANK($W192),0,IF(ISNUMBER($W192),IF(AND($W192&gt;=0,$W192&lt;=Constants!$B$21,$W192=INT($W192)),$W192,""),"")))</f>
        <v/>
      </c>
      <c r="BC192" s="100" t="str">
        <f aca="false">IF(ISBLANK($C192),"",IF(ISBLANK($X192),0,IF(ISNUMBER($X192),IF($X192&gt;=0,$X192,""),"")))</f>
        <v/>
      </c>
      <c r="BD192" s="100" t="str">
        <f aca="false">IF(ISBLANK($C192),"",IF($Y192=Constants!$B$2,TRUE(),IF($Y192=Constants!$B$3,FALSE(),TRUE())))</f>
        <v/>
      </c>
      <c r="BE192" s="100" t="str">
        <f aca="false">IF(ISBLANK($C192),"",IF($Z192=Constants!$B$2,TRUE(),IF($Z192=Constants!$B$3,FALSE(),FALSE())))</f>
        <v/>
      </c>
      <c r="BF192" s="100" t="str">
        <f aca="false">IF(ISBLANK($C192),"",IF(ISBLANK($AA192),0,IF(ISNUMBER($AA192),IF(AND($AA192&gt;=0,$AA192&lt;=Constants!$B$35,$AA192=INT($AA192)),$AA192,""),"")))</f>
        <v/>
      </c>
      <c r="BG192" s="100" t="str">
        <f aca="false">IF(ISBLANK($C192),"",IF($AB192=Constants!$B$2,TRUE(),IF($AB192=Constants!$B$3,FALSE(),TRUE())))</f>
        <v/>
      </c>
      <c r="BH192" s="100" t="str">
        <f aca="false">IF(ISBLANK($C192),"",IF($AC192=Constants!$B$2,TRUE(),IF($AC192=Constants!$B$3,FALSE(),TRUE())))</f>
        <v/>
      </c>
      <c r="BI192" s="100" t="str">
        <f aca="false">IF(ISBLANK($C192),"",IF($AD192=Constants!$B$2,TRUE(),IF($AD192=Constants!$B$3,FALSE(),TRUE())))</f>
        <v/>
      </c>
      <c r="BJ192" s="100" t="str">
        <f aca="false">IF(ISBLANK($C192),"",IF(ISNUMBER($AE192),IF($AE192&gt;=0,$AE192,""),""))</f>
        <v/>
      </c>
      <c r="BK192" s="100" t="str">
        <f aca="false">IF(ISBLANK($C192),"",IF($AF192=Constants!$B$2,TRUE(),IF($AF192=Constants!$B$3,FALSE(),FALSE())))</f>
        <v/>
      </c>
      <c r="BL192" s="99" t="str">
        <f aca="false">IF(ISBLANK($C192),"",IF($BK192,Constants!$B$7,IF(COUNTA($E192:$AE192)=0,Constants!$B$6,IF(OR(COUNTA($G192:$AE192)=0,NOT($AM192),$AS192),Constants!$B$5,IF(OR($CM192&lt;&gt;"",$CN192,$CO192,$CP192,$CQ192,$CR192,$CS192),Constants!$B$8,Constants!$B$4)))))</f>
        <v/>
      </c>
      <c r="BM192" s="100" t="str">
        <f aca="false">IF(ISBLANK($C192),"",IF($BL192&lt;&gt;Constants!$B$4,$BL192,IF(OR(NOT($AJ192),NOT($AL192),NOT($AT192)),Constants!$B$11,IF(OR(NOT($AR192),NOT($AU192),NOT($BI192),MAX($AN192,$AO192,$AP192)&gt;Constants!$B$30),Constants!$B$10,Constants!$B$9))))</f>
        <v/>
      </c>
      <c r="BN192" s="100" t="str">
        <f aca="false">IF($BL192&lt;&gt;Constants!$B$4,"",IF(NOT($AL192),0,MIN(Constants!$B$35,$BF192)))</f>
        <v/>
      </c>
      <c r="BO192" s="100" t="str">
        <f aca="false">IF($BL192&lt;&gt;Constants!$B$4,"",IF(NOT($AL192),0,IF($AW192,Constants!$B$18,IF($AV192,Constants!$B$17,0))))</f>
        <v/>
      </c>
      <c r="BP192" s="100" t="str">
        <f aca="false">IF($BL192&lt;&gt;Constants!$B$4,"",IF(NOT($AL192),0,Constants!$B$19*($AK192+$AX192+$AY192+$AZ192)))</f>
        <v/>
      </c>
      <c r="BQ192" s="100" t="str">
        <f aca="false">IF($BL192&lt;&gt;Constants!$B$4,"",IF(OR(NOT($AL192),NOT(ISNUMBER($BA192))),0,CHOOSE($BA192,Constants!$B$13,Constants!$B$14,Constants!$B$15,Constants!$B$16)))</f>
        <v/>
      </c>
      <c r="BR192" s="100" t="str">
        <f aca="false">IF($BL192&lt;&gt;Constants!$B$4,"",IF(NOT($AL192),0,Constants!$B$20*$BB192))</f>
        <v/>
      </c>
      <c r="BS192" s="100" t="str">
        <f aca="false">IF($BL192&lt;&gt;Constants!$B$4,"",IF(AND($AL192,$BD192,$BE192),Constants!$B$22,0))</f>
        <v/>
      </c>
      <c r="BT192" s="100" t="str">
        <f aca="false">IF($BL192&lt;&gt;Constants!$B$4,"",IF(OR(NOT($AL192),NOT($BD192)),0,IF($BJ192&gt;=2*$AH$9,0,Constants!$B$23*INT(ROUND(MIN($BJ192,$AH$9),6)))))</f>
        <v/>
      </c>
      <c r="BU192" s="100" t="str">
        <f aca="false">IF($BL192&lt;&gt;Constants!$B$4,"",IF(NOT($AL192),0,Constants!$B$24*INT(ROUND(MIN($BC192,$AH$9),6))))</f>
        <v/>
      </c>
      <c r="BV192" s="100" t="str">
        <f aca="false">IF($BL192&lt;&gt;Constants!$B$4,"",IF(AND($AL192,$BN192=0),Constants!$B$25,0))</f>
        <v/>
      </c>
      <c r="BW192" s="100" t="str">
        <f aca="false">IF($BL192&lt;&gt;Constants!$B$4,"",MIN(Constants!$B$29,MAX(0,Constants!$B$27*Constants!$B$28*INT(ROUND((Constants!$B$26-$AN192)/Constants!$B$28,6))))+MIN(Constants!$B$29,MAX(0,Constants!$B$27*Constants!$B$28*INT(ROUND((Constants!$B$26-$AO192)/Constants!$B$28,6))))+MIN(Constants!$B$29,MAX(0,Constants!$B$27*Constants!$B$28*INT(ROUND((Constants!$B$26-$AP192)/Constants!$B$28,6)))))</f>
        <v/>
      </c>
      <c r="BX192" s="100" t="str">
        <f aca="false">IF($BL192&lt;&gt;Constants!$B$4,"",IF(NOT($AL192),0,Constants!$B$31*INT(ROUND(MAX(0,MIN($BJ192,2*$AH$9)-$AH$9),6))))</f>
        <v/>
      </c>
      <c r="BY192" s="100" t="str">
        <f aca="false">IF($BL192&lt;&gt;Constants!$B$4,"",Constants!$B$32*(($AN192&gt;Constants!$B$26)+($AO192&gt;Constants!$B$26)+($AP192&gt;Constants!$B$26)))</f>
        <v/>
      </c>
      <c r="BZ192" s="100" t="str">
        <f aca="false">IF($BL192&lt;&gt;Constants!$B$4,"",IF(OR(NOT($AL192),$AQ192),0,Constants!$B$33))</f>
        <v/>
      </c>
      <c r="CA192" s="100" t="str">
        <f aca="false">IF($BL192&lt;&gt;Constants!$B$4,"",Constants!$B$34*$BN192)</f>
        <v/>
      </c>
      <c r="CB192" s="100" t="str">
        <f aca="false">IF($BL192&lt;&gt;Constants!$B$4,"",IF(OR(NOT($AL192),$BH192),0,Constants!$B$36))</f>
        <v/>
      </c>
      <c r="CC192" s="100" t="str">
        <f aca="false">IF($BL192&lt;&gt;Constants!$B$4,"",IF(OR(NOT($AL192),$BG192),0,Constants!$B$37))</f>
        <v/>
      </c>
      <c r="CD192" s="100" t="str">
        <f aca="false">IF($BL192&lt;&gt;Constants!$B$4,"",SUM($BX192:$CC192))</f>
        <v/>
      </c>
      <c r="CE192" s="100" t="str">
        <f aca="false">IF(ISBLANK($C192),"",IF($BL192&lt;&gt;Constants!$B$4,$BL192,SUM($BO192:$BW192)-$CD192))</f>
        <v/>
      </c>
      <c r="CF192" s="100" t="str">
        <f aca="false">IF(ISBLANK($C192),"",IF($BL192&lt;&gt;Constants!$B$4,$BL192,RANK($CE192,$CE$9:$CE$508)))</f>
        <v/>
      </c>
      <c r="CG192" s="100" t="str">
        <f aca="false">IF(ISBLANK($C192),"",IF($BL192&lt;&gt;Constants!$B$4,$BL192,COUNTIFS($BM$9:$BM$508,"&lt;"&amp;$BM192)+COUNTIFS($BM$9:$BM$508,$BM192,$CF$9:$CF$508,"&lt;"&amp;$CF192)+1))</f>
        <v/>
      </c>
      <c r="CH192" s="100" t="str">
        <f aca="false">IF(ISBLANK($C192),"",IF($BL192&lt;&gt;Constants!$B$4,$BL192,RANK($CD192,$CD$9:$CD$508,1)))</f>
        <v/>
      </c>
      <c r="CI192" s="100" t="str">
        <f aca="false">IF($BL192&lt;&gt;Constants!$B$4,"",$AN192+$AO192+$AP192)</f>
        <v/>
      </c>
      <c r="CJ192" s="100" t="str">
        <f aca="false">IF(ISBLANK($C192),"",IF($BL192&lt;&gt;Constants!$B$4,$BL192,RANK($CI192,$CI$9:$CI$508,1)))</f>
        <v/>
      </c>
      <c r="CK192" s="100" t="str">
        <f aca="false">IF(ISBLANK($C192),"",IF($BL192&lt;&gt;Constants!$B$4,$BL192,COUNTIFS($BM$9:$BM$508,"&lt;"&amp;$BM192)+COUNTIFS($BM$9:$BM$508,$BM192,$CF$9:$CF$508,"&lt;"&amp;$CF192)+COUNTIFS($BM$9:$BM$508,$BM192,$CF$9:$CF$508,$CF192,$CH$9:$CH$508,"&lt;"&amp;$CH192)+COUNTIFS($BM$9:$BM$508,$BM192,$CF$9:$CF$508,$CF192,$CH$9:$CH$508,$CH192,$CJ$9:$CJ$508,"&lt;"&amp;$CJ192)+1))</f>
        <v/>
      </c>
      <c r="CL192" s="100" t="str">
        <f aca="false">IF(ISBLANK($C192),"",IF($BL192&lt;&gt;Constants!$B$4,$BL192,$CG192-$CK192))</f>
        <v/>
      </c>
      <c r="CM192" s="100" t="str">
        <f aca="false">IF(ISBLANK($C192),"",IF(NOT($AL192),"",IF(ISBLANK($D$7),$CM$5,IF(NOT(ISNUMBER($D$7)),$CM$6,""))))</f>
        <v/>
      </c>
      <c r="CN192" s="100" t="str">
        <f aca="false">IF(ISBLANK($C192),"",OR($AN192="",$AO192="",$AP192=""))</f>
        <v/>
      </c>
      <c r="CO192" s="100" t="str">
        <f aca="false">IF(ISBLANK($C192),"",AND($AL192,$BA192=""))</f>
        <v/>
      </c>
      <c r="CP192" s="100" t="str">
        <f aca="false">IF(ISBLANK($C192),"",AND($AL192,$BB192=""))</f>
        <v/>
      </c>
      <c r="CQ192" s="100" t="str">
        <f aca="false">IF(ISBLANK($C192),"",AND($AL192,$BC192=""))</f>
        <v/>
      </c>
      <c r="CR192" s="100" t="str">
        <f aca="false">IF(ISBLANK($C192),"",AND($AL192,$BF192=""))</f>
        <v/>
      </c>
      <c r="CS192" s="100" t="str">
        <f aca="false">IF(ISBLANK($C192),"",AND($AL192,$BJ192=""))</f>
        <v/>
      </c>
      <c r="CT192" s="101"/>
      <c r="CU192" s="102"/>
      <c r="CV192" s="103" t="str">
        <f aca="false">IF(ISBLANK($C192),"",IF($BL192=Constants!$B$8,$CM192,""))</f>
        <v/>
      </c>
      <c r="CW192" s="102" t="str">
        <f aca="false">IF(ISBLANK($C192),"",IF($BL192&lt;&gt;Constants!$B$4,"",$BO192+$BP192))</f>
        <v/>
      </c>
      <c r="CX192" s="104" t="str">
        <f aca="false">IF(ISBLANK($C192),"",IF($BL192&lt;&gt;Constants!$B$4,"",$BQ192+$BR192+$BS192))</f>
        <v/>
      </c>
      <c r="CY192" s="104" t="str">
        <f aca="false">IF(ISBLANK($C192),"",IF($BL192&lt;&gt;Constants!$B$4,"",$BT192))</f>
        <v/>
      </c>
      <c r="CZ192" s="104" t="str">
        <f aca="false">IF(ISBLANK($C192),"",IF($BL192&lt;&gt;Constants!$B$4,"",$BU192+$BV192))</f>
        <v/>
      </c>
      <c r="DA192" s="104" t="str">
        <f aca="false">IF(ISBLANK($C192),"",IF($BL192&lt;&gt;Constants!$B$4,"",$BW192))</f>
        <v/>
      </c>
      <c r="DB192" s="104" t="str">
        <f aca="false">IF(ISBLANK($C192),"",IF($BL192&lt;&gt;Constants!$B$4,"",-$CD192))</f>
        <v/>
      </c>
      <c r="DC192" s="103" t="str">
        <f aca="false">IF(ISBLANK($C192),"",$CE192)</f>
        <v/>
      </c>
      <c r="DD192" s="105" t="str">
        <f aca="false">IF(ISBLANK($C192),"",$BM192)</f>
        <v/>
      </c>
      <c r="DE192" s="104" t="str">
        <f aca="false">IF(ISBLANK($C192),"",$CL192)</f>
        <v/>
      </c>
      <c r="DF192" s="104" t="str">
        <f aca="false">IF(ISBLANK($C192),"",$CK192)</f>
        <v/>
      </c>
      <c r="DG192" s="106" t="str">
        <f aca="false">IF(ISBLANK($C192),"",IF($DF192=Constants!$B$7,COUNTA($C$9:$C$508)+2,IF($DF192=Constants!$B$6,COUNTA($C$9:$C$508)+1,IF($DF192=Constants!$B$5,COUNTA($C$9:$C$508),$DF192))))</f>
        <v/>
      </c>
      <c r="DH192" s="7"/>
      <c r="DI192" s="107" t="n">
        <f aca="false">IF(OR(ISNUMBER($DF192),$DF192=Constants!$B$7,$DF192=Constants!$B$5,$DF192=Constants!$B$6),1,0)</f>
        <v>0</v>
      </c>
      <c r="DJ192" s="107" t="n">
        <v>184</v>
      </c>
      <c r="DK192" s="107" t="str">
        <f aca="false">IF(ISBLANK($C192),"",IF(ISNUMBER($DG192),$DG192+ROW($B192)/1000,""))</f>
        <v/>
      </c>
      <c r="DL192" s="107" t="str">
        <f aca="false">IF(ISNUMBER($DK192),RANK($DK192,$DK$9:$DK$508,1),"")</f>
        <v/>
      </c>
      <c r="DM192" s="107" t="str">
        <f aca="false">IF(ISBLANK($C192),"",$B192)</f>
        <v/>
      </c>
      <c r="DN192" s="107" t="str">
        <f aca="false">IF(ISBLANK($C192),"",$C192)</f>
        <v/>
      </c>
      <c r="DO192" s="107" t="str">
        <f aca="false">IF(ISBLANK($C192),"",$D192)</f>
        <v/>
      </c>
      <c r="DP192" s="108" t="str">
        <f aca="false">$DD192</f>
        <v/>
      </c>
      <c r="DQ192" s="109" t="str">
        <f aca="false">$DC192</f>
        <v/>
      </c>
      <c r="DR192" s="107" t="str">
        <f aca="false">IF(ISBLANK($C192),"",$DF192)</f>
        <v/>
      </c>
      <c r="DS192" s="110" t="str">
        <f aca="false">IF($DJ192&gt;$DI$8,"",VLOOKUP($DJ192,$DL$9:$DR$508,7,FALSE()))</f>
        <v/>
      </c>
      <c r="DT192" s="111" t="str">
        <f aca="false">IF($DJ192&gt;$DI$8,"",VLOOKUP($DJ192,$DL$9:$DR$508,2,FALSE()))</f>
        <v/>
      </c>
      <c r="DU192" s="111" t="str">
        <f aca="false">IF($DJ192&gt;$DI$8,"",VLOOKUP($DJ192,$DL$9:$DR$508,3,FALSE()))</f>
        <v/>
      </c>
      <c r="DV192" s="111" t="str">
        <f aca="false">IF($DJ192&gt;$DI$8,"",VLOOKUP($DJ192,$DL$9:$DR$508,4,FALSE()))</f>
        <v/>
      </c>
      <c r="DW192" s="111" t="str">
        <f aca="false">IF($DJ192&gt;$DI$8,"",VLOOKUP($DJ192,$DL$9:$DR$508,5,FALSE()))</f>
        <v/>
      </c>
      <c r="DX192" s="112" t="str">
        <f aca="false">IF($DJ192&gt;$DI$8,"",VLOOKUP($DJ192,$DL$9:$DR$508,6,FALSE()))</f>
        <v/>
      </c>
      <c r="DY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130"/>
      <c r="N193" s="130"/>
      <c r="O193" s="135"/>
      <c r="P193" s="135"/>
      <c r="Q193" s="130"/>
      <c r="R193" s="130"/>
      <c r="S193" s="130"/>
      <c r="T193" s="130"/>
      <c r="U193" s="135"/>
      <c r="V193" s="130"/>
      <c r="W193" s="96"/>
      <c r="X193" s="130"/>
      <c r="Y193" s="130"/>
      <c r="Z193" s="96"/>
      <c r="AA193" s="96"/>
      <c r="AB193" s="130"/>
      <c r="AC193" s="130"/>
      <c r="AD193" s="130"/>
      <c r="AE193" s="97"/>
      <c r="AF193" s="130"/>
      <c r="AG193" s="99"/>
      <c r="AH193" s="100"/>
      <c r="AI193" s="100"/>
      <c r="AJ193" s="100" t="str">
        <f aca="false">IF(ISBLANK($C193),"",IF($E193=Constants!$B$2,TRUE(),IF($E193=Constants!$B$3,FALSE(),TRUE())))</f>
        <v/>
      </c>
      <c r="AK193" s="100" t="str">
        <f aca="false">IF(ISBLANK($C193),"",IF($F193=Constants!$B$2,TRUE(),IF($F193=Constants!$B$3,FALSE(),FALSE())))</f>
        <v/>
      </c>
      <c r="AL193" s="100" t="str">
        <f aca="false">IF(ISBLANK($C193),"",IF($G193=Constants!$B$2,TRUE(),IF($G193=Constants!$B$3,FALSE(),TRUE())))</f>
        <v/>
      </c>
      <c r="AM193" s="100" t="str">
        <f aca="false">IF(ISBLANK($C193),"",IF($H193=Constants!$B$2,TRUE(),IF($H193=Constants!$B$3,FALSE(),TRUE())))</f>
        <v/>
      </c>
      <c r="AN193" s="100" t="str">
        <f aca="false">IF(ISBLANK($C193),"",IF(ISNUMBER($I193),IF($I193&gt;=0,$I193,""),""))</f>
        <v/>
      </c>
      <c r="AO193" s="100" t="str">
        <f aca="false">IF(ISBLANK($C193),"",IF(ISNUMBER($J193),IF($J193&gt;=0,$J193,""),""))</f>
        <v/>
      </c>
      <c r="AP193" s="100" t="str">
        <f aca="false">IF(ISBLANK($C193),"",IF(ISNUMBER($K193),IF($K193&gt;=0,$K193,""),""))</f>
        <v/>
      </c>
      <c r="AQ193" s="100" t="str">
        <f aca="false">IF(ISBLANK($C193),"",IF($L193=Constants!$B$2,TRUE(),IF($L193=Constants!$B$3,FALSE(),TRUE())))</f>
        <v/>
      </c>
      <c r="AR193" s="100" t="str">
        <f aca="false">IF(ISBLANK($C193),"",IF($M193=Constants!$B$2,TRUE(),IF($M193=Constants!$B$3,FALSE(),TRUE())))</f>
        <v/>
      </c>
      <c r="AS193" s="100" t="str">
        <f aca="false">IF(ISBLANK($C193),"",IF($N193=Constants!$B$2,TRUE(),IF($N193=Constants!$B$3,FALSE(),FALSE())))</f>
        <v/>
      </c>
      <c r="AT193" s="100" t="str">
        <f aca="false">IF(ISBLANK($C193),"",IF($O193=Constants!$B$2,TRUE(),IF($O193=Constants!$B$3,FALSE(),TRUE())))</f>
        <v/>
      </c>
      <c r="AU193" s="100" t="str">
        <f aca="false">IF(ISBLANK($C193),"",IF($P193=Constants!$B$2,TRUE(),IF($P193=Constants!$B$3,FALSE(),TRUE())))</f>
        <v/>
      </c>
      <c r="AV193" s="100" t="str">
        <f aca="false">IF(ISBLANK($C193),"",IF($Q193=Constants!$B$2,TRUE(),IF($Q193=Constants!$B$3,FALSE(),FALSE())))</f>
        <v/>
      </c>
      <c r="AW193" s="100" t="str">
        <f aca="false">IF(ISBLANK($C193),"",IF($R193=Constants!$B$2,TRUE(),IF($R193=Constants!$B$3,FALSE(),FALSE())))</f>
        <v/>
      </c>
      <c r="AX193" s="100" t="str">
        <f aca="false">IF(ISBLANK($C193),"",IF($S193=Constants!$B$2,TRUE(),IF($S193=Constants!$B$3,FALSE(),FALSE())))</f>
        <v/>
      </c>
      <c r="AY193" s="100" t="str">
        <f aca="false">IF(ISBLANK($C193),"",IF($T193=Constants!$B$2,TRUE(),IF($T193=Constants!$B$3,FALSE(),FALSE())))</f>
        <v/>
      </c>
      <c r="AZ193" s="100" t="str">
        <f aca="false">IF(ISBLANK($C193),"",IF($U193=Constants!$B$2,TRUE(),IF($U193=Constants!$B$3,FALSE(),FALSE())))</f>
        <v/>
      </c>
      <c r="BA193" s="100" t="str">
        <f aca="false">IF(ISBLANK($C193),"",IF(OR($V193&amp;""="1",$V193&amp;""="2",$V193&amp;""="3",$V193&amp;""="4"),VALUE($V193&amp;""),IF($V193=Constants!$B$12,Constants!$B$12,"")))</f>
        <v/>
      </c>
      <c r="BB193" s="100" t="str">
        <f aca="false">IF(ISBLANK($C193),"",IF(ISBLANK($W193),0,IF(ISNUMBER($W193),IF(AND($W193&gt;=0,$W193&lt;=Constants!$B$21,$W193=INT($W193)),$W193,""),"")))</f>
        <v/>
      </c>
      <c r="BC193" s="100" t="str">
        <f aca="false">IF(ISBLANK($C193),"",IF(ISBLANK($X193),0,IF(ISNUMBER($X193),IF($X193&gt;=0,$X193,""),"")))</f>
        <v/>
      </c>
      <c r="BD193" s="100" t="str">
        <f aca="false">IF(ISBLANK($C193),"",IF($Y193=Constants!$B$2,TRUE(),IF($Y193=Constants!$B$3,FALSE(),TRUE())))</f>
        <v/>
      </c>
      <c r="BE193" s="100" t="str">
        <f aca="false">IF(ISBLANK($C193),"",IF($Z193=Constants!$B$2,TRUE(),IF($Z193=Constants!$B$3,FALSE(),FALSE())))</f>
        <v/>
      </c>
      <c r="BF193" s="100" t="str">
        <f aca="false">IF(ISBLANK($C193),"",IF(ISBLANK($AA193),0,IF(ISNUMBER($AA193),IF(AND($AA193&gt;=0,$AA193&lt;=Constants!$B$35,$AA193=INT($AA193)),$AA193,""),"")))</f>
        <v/>
      </c>
      <c r="BG193" s="100" t="str">
        <f aca="false">IF(ISBLANK($C193),"",IF($AB193=Constants!$B$2,TRUE(),IF($AB193=Constants!$B$3,FALSE(),TRUE())))</f>
        <v/>
      </c>
      <c r="BH193" s="100" t="str">
        <f aca="false">IF(ISBLANK($C193),"",IF($AC193=Constants!$B$2,TRUE(),IF($AC193=Constants!$B$3,FALSE(),TRUE())))</f>
        <v/>
      </c>
      <c r="BI193" s="100" t="str">
        <f aca="false">IF(ISBLANK($C193),"",IF($AD193=Constants!$B$2,TRUE(),IF($AD193=Constants!$B$3,FALSE(),TRUE())))</f>
        <v/>
      </c>
      <c r="BJ193" s="100" t="str">
        <f aca="false">IF(ISBLANK($C193),"",IF(ISNUMBER($AE193),IF($AE193&gt;=0,$AE193,""),""))</f>
        <v/>
      </c>
      <c r="BK193" s="100" t="str">
        <f aca="false">IF(ISBLANK($C193),"",IF($AF193=Constants!$B$2,TRUE(),IF($AF193=Constants!$B$3,FALSE(),FALSE())))</f>
        <v/>
      </c>
      <c r="BL193" s="99" t="str">
        <f aca="false">IF(ISBLANK($C193),"",IF($BK193,Constants!$B$7,IF(COUNTA($E193:$AE193)=0,Constants!$B$6,IF(OR(COUNTA($G193:$AE193)=0,NOT($AM193),$AS193),Constants!$B$5,IF(OR($CM193&lt;&gt;"",$CN193,$CO193,$CP193,$CQ193,$CR193,$CS193),Constants!$B$8,Constants!$B$4)))))</f>
        <v/>
      </c>
      <c r="BM193" s="100" t="str">
        <f aca="false">IF(ISBLANK($C193),"",IF($BL193&lt;&gt;Constants!$B$4,$BL193,IF(OR(NOT($AJ193),NOT($AL193),NOT($AT193)),Constants!$B$11,IF(OR(NOT($AR193),NOT($AU193),NOT($BI193),MAX($AN193,$AO193,$AP193)&gt;Constants!$B$30),Constants!$B$10,Constants!$B$9))))</f>
        <v/>
      </c>
      <c r="BN193" s="100" t="str">
        <f aca="false">IF($BL193&lt;&gt;Constants!$B$4,"",IF(NOT($AL193),0,MIN(Constants!$B$35,$BF193)))</f>
        <v/>
      </c>
      <c r="BO193" s="100" t="str">
        <f aca="false">IF($BL193&lt;&gt;Constants!$B$4,"",IF(NOT($AL193),0,IF($AW193,Constants!$B$18,IF($AV193,Constants!$B$17,0))))</f>
        <v/>
      </c>
      <c r="BP193" s="100" t="str">
        <f aca="false">IF($BL193&lt;&gt;Constants!$B$4,"",IF(NOT($AL193),0,Constants!$B$19*($AK193+$AX193+$AY193+$AZ193)))</f>
        <v/>
      </c>
      <c r="BQ193" s="100" t="str">
        <f aca="false">IF($BL193&lt;&gt;Constants!$B$4,"",IF(OR(NOT($AL193),NOT(ISNUMBER($BA193))),0,CHOOSE($BA193,Constants!$B$13,Constants!$B$14,Constants!$B$15,Constants!$B$16)))</f>
        <v/>
      </c>
      <c r="BR193" s="100" t="str">
        <f aca="false">IF($BL193&lt;&gt;Constants!$B$4,"",IF(NOT($AL193),0,Constants!$B$20*$BB193))</f>
        <v/>
      </c>
      <c r="BS193" s="100" t="str">
        <f aca="false">IF($BL193&lt;&gt;Constants!$B$4,"",IF(AND($AL193,$BD193,$BE193),Constants!$B$22,0))</f>
        <v/>
      </c>
      <c r="BT193" s="100" t="str">
        <f aca="false">IF($BL193&lt;&gt;Constants!$B$4,"",IF(OR(NOT($AL193),NOT($BD193)),0,IF($BJ193&gt;=2*$AH$9,0,Constants!$B$23*INT(ROUND(MIN($BJ193,$AH$9),6)))))</f>
        <v/>
      </c>
      <c r="BU193" s="100" t="str">
        <f aca="false">IF($BL193&lt;&gt;Constants!$B$4,"",IF(NOT($AL193),0,Constants!$B$24*INT(ROUND(MIN($BC193,$AH$9),6))))</f>
        <v/>
      </c>
      <c r="BV193" s="100" t="str">
        <f aca="false">IF($BL193&lt;&gt;Constants!$B$4,"",IF(AND($AL193,$BN193=0),Constants!$B$25,0))</f>
        <v/>
      </c>
      <c r="BW193" s="100" t="str">
        <f aca="false">IF($BL193&lt;&gt;Constants!$B$4,"",MIN(Constants!$B$29,MAX(0,Constants!$B$27*Constants!$B$28*INT(ROUND((Constants!$B$26-$AN193)/Constants!$B$28,6))))+MIN(Constants!$B$29,MAX(0,Constants!$B$27*Constants!$B$28*INT(ROUND((Constants!$B$26-$AO193)/Constants!$B$28,6))))+MIN(Constants!$B$29,MAX(0,Constants!$B$27*Constants!$B$28*INT(ROUND((Constants!$B$26-$AP193)/Constants!$B$28,6)))))</f>
        <v/>
      </c>
      <c r="BX193" s="100" t="str">
        <f aca="false">IF($BL193&lt;&gt;Constants!$B$4,"",IF(NOT($AL193),0,Constants!$B$31*INT(ROUND(MAX(0,MIN($BJ193,2*$AH$9)-$AH$9),6))))</f>
        <v/>
      </c>
      <c r="BY193" s="100" t="str">
        <f aca="false">IF($BL193&lt;&gt;Constants!$B$4,"",Constants!$B$32*(($AN193&gt;Constants!$B$26)+($AO193&gt;Constants!$B$26)+($AP193&gt;Constants!$B$26)))</f>
        <v/>
      </c>
      <c r="BZ193" s="100" t="str">
        <f aca="false">IF($BL193&lt;&gt;Constants!$B$4,"",IF(OR(NOT($AL193),$AQ193),0,Constants!$B$33))</f>
        <v/>
      </c>
      <c r="CA193" s="100" t="str">
        <f aca="false">IF($BL193&lt;&gt;Constants!$B$4,"",Constants!$B$34*$BN193)</f>
        <v/>
      </c>
      <c r="CB193" s="100" t="str">
        <f aca="false">IF($BL193&lt;&gt;Constants!$B$4,"",IF(OR(NOT($AL193),$BH193),0,Constants!$B$36))</f>
        <v/>
      </c>
      <c r="CC193" s="100" t="str">
        <f aca="false">IF($BL193&lt;&gt;Constants!$B$4,"",IF(OR(NOT($AL193),$BG193),0,Constants!$B$37))</f>
        <v/>
      </c>
      <c r="CD193" s="100" t="str">
        <f aca="false">IF($BL193&lt;&gt;Constants!$B$4,"",SUM($BX193:$CC193))</f>
        <v/>
      </c>
      <c r="CE193" s="100" t="str">
        <f aca="false">IF(ISBLANK($C193),"",IF($BL193&lt;&gt;Constants!$B$4,$BL193,SUM($BO193:$BW193)-$CD193))</f>
        <v/>
      </c>
      <c r="CF193" s="100" t="str">
        <f aca="false">IF(ISBLANK($C193),"",IF($BL193&lt;&gt;Constants!$B$4,$BL193,RANK($CE193,$CE$9:$CE$508)))</f>
        <v/>
      </c>
      <c r="CG193" s="100" t="str">
        <f aca="false">IF(ISBLANK($C193),"",IF($BL193&lt;&gt;Constants!$B$4,$BL193,COUNTIFS($BM$9:$BM$508,"&lt;"&amp;$BM193)+COUNTIFS($BM$9:$BM$508,$BM193,$CF$9:$CF$508,"&lt;"&amp;$CF193)+1))</f>
        <v/>
      </c>
      <c r="CH193" s="100" t="str">
        <f aca="false">IF(ISBLANK($C193),"",IF($BL193&lt;&gt;Constants!$B$4,$BL193,RANK($CD193,$CD$9:$CD$508,1)))</f>
        <v/>
      </c>
      <c r="CI193" s="100" t="str">
        <f aca="false">IF($BL193&lt;&gt;Constants!$B$4,"",$AN193+$AO193+$AP193)</f>
        <v/>
      </c>
      <c r="CJ193" s="100" t="str">
        <f aca="false">IF(ISBLANK($C193),"",IF($BL193&lt;&gt;Constants!$B$4,$BL193,RANK($CI193,$CI$9:$CI$508,1)))</f>
        <v/>
      </c>
      <c r="CK193" s="100" t="str">
        <f aca="false">IF(ISBLANK($C193),"",IF($BL193&lt;&gt;Constants!$B$4,$BL193,COUNTIFS($BM$9:$BM$508,"&lt;"&amp;$BM193)+COUNTIFS($BM$9:$BM$508,$BM193,$CF$9:$CF$508,"&lt;"&amp;$CF193)+COUNTIFS($BM$9:$BM$508,$BM193,$CF$9:$CF$508,$CF193,$CH$9:$CH$508,"&lt;"&amp;$CH193)+COUNTIFS($BM$9:$BM$508,$BM193,$CF$9:$CF$508,$CF193,$CH$9:$CH$508,$CH193,$CJ$9:$CJ$508,"&lt;"&amp;$CJ193)+1))</f>
        <v/>
      </c>
      <c r="CL193" s="100" t="str">
        <f aca="false">IF(ISBLANK($C193),"",IF($BL193&lt;&gt;Constants!$B$4,$BL193,$CG193-$CK193))</f>
        <v/>
      </c>
      <c r="CM193" s="100" t="str">
        <f aca="false">IF(ISBLANK($C193),"",IF(NOT($AL193),"",IF(ISBLANK($D$7),$CM$5,IF(NOT(ISNUMBER($D$7)),$CM$6,""))))</f>
        <v/>
      </c>
      <c r="CN193" s="100" t="str">
        <f aca="false">IF(ISBLANK($C193),"",OR($AN193="",$AO193="",$AP193=""))</f>
        <v/>
      </c>
      <c r="CO193" s="100" t="str">
        <f aca="false">IF(ISBLANK($C193),"",AND($AL193,$BA193=""))</f>
        <v/>
      </c>
      <c r="CP193" s="100" t="str">
        <f aca="false">IF(ISBLANK($C193),"",AND($AL193,$BB193=""))</f>
        <v/>
      </c>
      <c r="CQ193" s="100" t="str">
        <f aca="false">IF(ISBLANK($C193),"",AND($AL193,$BC193=""))</f>
        <v/>
      </c>
      <c r="CR193" s="100" t="str">
        <f aca="false">IF(ISBLANK($C193),"",AND($AL193,$BF193=""))</f>
        <v/>
      </c>
      <c r="CS193" s="100" t="str">
        <f aca="false">IF(ISBLANK($C193),"",AND($AL193,$BJ193=""))</f>
        <v/>
      </c>
      <c r="CT193" s="101"/>
      <c r="CU193" s="102"/>
      <c r="CV193" s="103" t="str">
        <f aca="false">IF(ISBLANK($C193),"",IF($BL193=Constants!$B$8,$CM193,""))</f>
        <v/>
      </c>
      <c r="CW193" s="102" t="str">
        <f aca="false">IF(ISBLANK($C193),"",IF($BL193&lt;&gt;Constants!$B$4,"",$BO193+$BP193))</f>
        <v/>
      </c>
      <c r="CX193" s="104" t="str">
        <f aca="false">IF(ISBLANK($C193),"",IF($BL193&lt;&gt;Constants!$B$4,"",$BQ193+$BR193+$BS193))</f>
        <v/>
      </c>
      <c r="CY193" s="104" t="str">
        <f aca="false">IF(ISBLANK($C193),"",IF($BL193&lt;&gt;Constants!$B$4,"",$BT193))</f>
        <v/>
      </c>
      <c r="CZ193" s="104" t="str">
        <f aca="false">IF(ISBLANK($C193),"",IF($BL193&lt;&gt;Constants!$B$4,"",$BU193+$BV193))</f>
        <v/>
      </c>
      <c r="DA193" s="104" t="str">
        <f aca="false">IF(ISBLANK($C193),"",IF($BL193&lt;&gt;Constants!$B$4,"",$BW193))</f>
        <v/>
      </c>
      <c r="DB193" s="104" t="str">
        <f aca="false">IF(ISBLANK($C193),"",IF($BL193&lt;&gt;Constants!$B$4,"",-$CD193))</f>
        <v/>
      </c>
      <c r="DC193" s="103" t="str">
        <f aca="false">IF(ISBLANK($C193),"",$CE193)</f>
        <v/>
      </c>
      <c r="DD193" s="105" t="str">
        <f aca="false">IF(ISBLANK($C193),"",$BM193)</f>
        <v/>
      </c>
      <c r="DE193" s="104" t="str">
        <f aca="false">IF(ISBLANK($C193),"",$CL193)</f>
        <v/>
      </c>
      <c r="DF193" s="104" t="str">
        <f aca="false">IF(ISBLANK($C193),"",$CK193)</f>
        <v/>
      </c>
      <c r="DG193" s="106" t="str">
        <f aca="false">IF(ISBLANK($C193),"",IF($DF193=Constants!$B$7,COUNTA($C$9:$C$508)+2,IF($DF193=Constants!$B$6,COUNTA($C$9:$C$508)+1,IF($DF193=Constants!$B$5,COUNTA($C$9:$C$508),$DF193))))</f>
        <v/>
      </c>
      <c r="DH193" s="7"/>
      <c r="DI193" s="107" t="n">
        <f aca="false">IF(OR(ISNUMBER($DF193),$DF193=Constants!$B$7,$DF193=Constants!$B$5,$DF193=Constants!$B$6),1,0)</f>
        <v>0</v>
      </c>
      <c r="DJ193" s="107" t="n">
        <v>185</v>
      </c>
      <c r="DK193" s="107" t="str">
        <f aca="false">IF(ISBLANK($C193),"",IF(ISNUMBER($DG193),$DG193+ROW($B193)/1000,""))</f>
        <v/>
      </c>
      <c r="DL193" s="107" t="str">
        <f aca="false">IF(ISNUMBER($DK193),RANK($DK193,$DK$9:$DK$508,1),"")</f>
        <v/>
      </c>
      <c r="DM193" s="107" t="str">
        <f aca="false">IF(ISBLANK($C193),"",$B193)</f>
        <v/>
      </c>
      <c r="DN193" s="107" t="str">
        <f aca="false">IF(ISBLANK($C193),"",$C193)</f>
        <v/>
      </c>
      <c r="DO193" s="107" t="str">
        <f aca="false">IF(ISBLANK($C193),"",$D193)</f>
        <v/>
      </c>
      <c r="DP193" s="108" t="str">
        <f aca="false">$DD193</f>
        <v/>
      </c>
      <c r="DQ193" s="109" t="str">
        <f aca="false">$DC193</f>
        <v/>
      </c>
      <c r="DR193" s="107" t="str">
        <f aca="false">IF(ISBLANK($C193),"",$DF193)</f>
        <v/>
      </c>
      <c r="DS193" s="110" t="str">
        <f aca="false">IF($DJ193&gt;$DI$8,"",VLOOKUP($DJ193,$DL$9:$DR$508,7,FALSE()))</f>
        <v/>
      </c>
      <c r="DT193" s="111" t="str">
        <f aca="false">IF($DJ193&gt;$DI$8,"",VLOOKUP($DJ193,$DL$9:$DR$508,2,FALSE()))</f>
        <v/>
      </c>
      <c r="DU193" s="111" t="str">
        <f aca="false">IF($DJ193&gt;$DI$8,"",VLOOKUP($DJ193,$DL$9:$DR$508,3,FALSE()))</f>
        <v/>
      </c>
      <c r="DV193" s="111" t="str">
        <f aca="false">IF($DJ193&gt;$DI$8,"",VLOOKUP($DJ193,$DL$9:$DR$508,4,FALSE()))</f>
        <v/>
      </c>
      <c r="DW193" s="111" t="str">
        <f aca="false">IF($DJ193&gt;$DI$8,"",VLOOKUP($DJ193,$DL$9:$DR$508,5,FALSE()))</f>
        <v/>
      </c>
      <c r="DX193" s="112" t="str">
        <f aca="false">IF($DJ193&gt;$DI$8,"",VLOOKUP($DJ193,$DL$9:$DR$508,6,FALSE()))</f>
        <v/>
      </c>
      <c r="DY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130"/>
      <c r="N194" s="130"/>
      <c r="O194" s="135"/>
      <c r="P194" s="135"/>
      <c r="Q194" s="130"/>
      <c r="R194" s="130"/>
      <c r="S194" s="130"/>
      <c r="T194" s="130"/>
      <c r="U194" s="135"/>
      <c r="V194" s="130"/>
      <c r="W194" s="96"/>
      <c r="X194" s="130"/>
      <c r="Y194" s="130"/>
      <c r="Z194" s="96"/>
      <c r="AA194" s="96"/>
      <c r="AB194" s="130"/>
      <c r="AC194" s="130"/>
      <c r="AD194" s="130"/>
      <c r="AE194" s="97"/>
      <c r="AF194" s="130"/>
      <c r="AG194" s="99"/>
      <c r="AH194" s="100"/>
      <c r="AI194" s="100"/>
      <c r="AJ194" s="100" t="str">
        <f aca="false">IF(ISBLANK($C194),"",IF($E194=Constants!$B$2,TRUE(),IF($E194=Constants!$B$3,FALSE(),TRUE())))</f>
        <v/>
      </c>
      <c r="AK194" s="100" t="str">
        <f aca="false">IF(ISBLANK($C194),"",IF($F194=Constants!$B$2,TRUE(),IF($F194=Constants!$B$3,FALSE(),FALSE())))</f>
        <v/>
      </c>
      <c r="AL194" s="100" t="str">
        <f aca="false">IF(ISBLANK($C194),"",IF($G194=Constants!$B$2,TRUE(),IF($G194=Constants!$B$3,FALSE(),TRUE())))</f>
        <v/>
      </c>
      <c r="AM194" s="100" t="str">
        <f aca="false">IF(ISBLANK($C194),"",IF($H194=Constants!$B$2,TRUE(),IF($H194=Constants!$B$3,FALSE(),TRUE())))</f>
        <v/>
      </c>
      <c r="AN194" s="100" t="str">
        <f aca="false">IF(ISBLANK($C194),"",IF(ISNUMBER($I194),IF($I194&gt;=0,$I194,""),""))</f>
        <v/>
      </c>
      <c r="AO194" s="100" t="str">
        <f aca="false">IF(ISBLANK($C194),"",IF(ISNUMBER($J194),IF($J194&gt;=0,$J194,""),""))</f>
        <v/>
      </c>
      <c r="AP194" s="100" t="str">
        <f aca="false">IF(ISBLANK($C194),"",IF(ISNUMBER($K194),IF($K194&gt;=0,$K194,""),""))</f>
        <v/>
      </c>
      <c r="AQ194" s="100" t="str">
        <f aca="false">IF(ISBLANK($C194),"",IF($L194=Constants!$B$2,TRUE(),IF($L194=Constants!$B$3,FALSE(),TRUE())))</f>
        <v/>
      </c>
      <c r="AR194" s="100" t="str">
        <f aca="false">IF(ISBLANK($C194),"",IF($M194=Constants!$B$2,TRUE(),IF($M194=Constants!$B$3,FALSE(),TRUE())))</f>
        <v/>
      </c>
      <c r="AS194" s="100" t="str">
        <f aca="false">IF(ISBLANK($C194),"",IF($N194=Constants!$B$2,TRUE(),IF($N194=Constants!$B$3,FALSE(),FALSE())))</f>
        <v/>
      </c>
      <c r="AT194" s="100" t="str">
        <f aca="false">IF(ISBLANK($C194),"",IF($O194=Constants!$B$2,TRUE(),IF($O194=Constants!$B$3,FALSE(),TRUE())))</f>
        <v/>
      </c>
      <c r="AU194" s="100" t="str">
        <f aca="false">IF(ISBLANK($C194),"",IF($P194=Constants!$B$2,TRUE(),IF($P194=Constants!$B$3,FALSE(),TRUE())))</f>
        <v/>
      </c>
      <c r="AV194" s="100" t="str">
        <f aca="false">IF(ISBLANK($C194),"",IF($Q194=Constants!$B$2,TRUE(),IF($Q194=Constants!$B$3,FALSE(),FALSE())))</f>
        <v/>
      </c>
      <c r="AW194" s="100" t="str">
        <f aca="false">IF(ISBLANK($C194),"",IF($R194=Constants!$B$2,TRUE(),IF($R194=Constants!$B$3,FALSE(),FALSE())))</f>
        <v/>
      </c>
      <c r="AX194" s="100" t="str">
        <f aca="false">IF(ISBLANK($C194),"",IF($S194=Constants!$B$2,TRUE(),IF($S194=Constants!$B$3,FALSE(),FALSE())))</f>
        <v/>
      </c>
      <c r="AY194" s="100" t="str">
        <f aca="false">IF(ISBLANK($C194),"",IF($T194=Constants!$B$2,TRUE(),IF($T194=Constants!$B$3,FALSE(),FALSE())))</f>
        <v/>
      </c>
      <c r="AZ194" s="100" t="str">
        <f aca="false">IF(ISBLANK($C194),"",IF($U194=Constants!$B$2,TRUE(),IF($U194=Constants!$B$3,FALSE(),FALSE())))</f>
        <v/>
      </c>
      <c r="BA194" s="100" t="str">
        <f aca="false">IF(ISBLANK($C194),"",IF(OR($V194&amp;""="1",$V194&amp;""="2",$V194&amp;""="3",$V194&amp;""="4"),VALUE($V194&amp;""),IF($V194=Constants!$B$12,Constants!$B$12,"")))</f>
        <v/>
      </c>
      <c r="BB194" s="100" t="str">
        <f aca="false">IF(ISBLANK($C194),"",IF(ISBLANK($W194),0,IF(ISNUMBER($W194),IF(AND($W194&gt;=0,$W194&lt;=Constants!$B$21,$W194=INT($W194)),$W194,""),"")))</f>
        <v/>
      </c>
      <c r="BC194" s="100" t="str">
        <f aca="false">IF(ISBLANK($C194),"",IF(ISBLANK($X194),0,IF(ISNUMBER($X194),IF($X194&gt;=0,$X194,""),"")))</f>
        <v/>
      </c>
      <c r="BD194" s="100" t="str">
        <f aca="false">IF(ISBLANK($C194),"",IF($Y194=Constants!$B$2,TRUE(),IF($Y194=Constants!$B$3,FALSE(),TRUE())))</f>
        <v/>
      </c>
      <c r="BE194" s="100" t="str">
        <f aca="false">IF(ISBLANK($C194),"",IF($Z194=Constants!$B$2,TRUE(),IF($Z194=Constants!$B$3,FALSE(),FALSE())))</f>
        <v/>
      </c>
      <c r="BF194" s="100" t="str">
        <f aca="false">IF(ISBLANK($C194),"",IF(ISBLANK($AA194),0,IF(ISNUMBER($AA194),IF(AND($AA194&gt;=0,$AA194&lt;=Constants!$B$35,$AA194=INT($AA194)),$AA194,""),"")))</f>
        <v/>
      </c>
      <c r="BG194" s="100" t="str">
        <f aca="false">IF(ISBLANK($C194),"",IF($AB194=Constants!$B$2,TRUE(),IF($AB194=Constants!$B$3,FALSE(),TRUE())))</f>
        <v/>
      </c>
      <c r="BH194" s="100" t="str">
        <f aca="false">IF(ISBLANK($C194),"",IF($AC194=Constants!$B$2,TRUE(),IF($AC194=Constants!$B$3,FALSE(),TRUE())))</f>
        <v/>
      </c>
      <c r="BI194" s="100" t="str">
        <f aca="false">IF(ISBLANK($C194),"",IF($AD194=Constants!$B$2,TRUE(),IF($AD194=Constants!$B$3,FALSE(),TRUE())))</f>
        <v/>
      </c>
      <c r="BJ194" s="100" t="str">
        <f aca="false">IF(ISBLANK($C194),"",IF(ISNUMBER($AE194),IF($AE194&gt;=0,$AE194,""),""))</f>
        <v/>
      </c>
      <c r="BK194" s="100" t="str">
        <f aca="false">IF(ISBLANK($C194),"",IF($AF194=Constants!$B$2,TRUE(),IF($AF194=Constants!$B$3,FALSE(),FALSE())))</f>
        <v/>
      </c>
      <c r="BL194" s="99" t="str">
        <f aca="false">IF(ISBLANK($C194),"",IF($BK194,Constants!$B$7,IF(COUNTA($E194:$AE194)=0,Constants!$B$6,IF(OR(COUNTA($G194:$AE194)=0,NOT($AM194),$AS194),Constants!$B$5,IF(OR($CM194&lt;&gt;"",$CN194,$CO194,$CP194,$CQ194,$CR194,$CS194),Constants!$B$8,Constants!$B$4)))))</f>
        <v/>
      </c>
      <c r="BM194" s="100" t="str">
        <f aca="false">IF(ISBLANK($C194),"",IF($BL194&lt;&gt;Constants!$B$4,$BL194,IF(OR(NOT($AJ194),NOT($AL194),NOT($AT194)),Constants!$B$11,IF(OR(NOT($AR194),NOT($AU194),NOT($BI194),MAX($AN194,$AO194,$AP194)&gt;Constants!$B$30),Constants!$B$10,Constants!$B$9))))</f>
        <v/>
      </c>
      <c r="BN194" s="100" t="str">
        <f aca="false">IF($BL194&lt;&gt;Constants!$B$4,"",IF(NOT($AL194),0,MIN(Constants!$B$35,$BF194)))</f>
        <v/>
      </c>
      <c r="BO194" s="100" t="str">
        <f aca="false">IF($BL194&lt;&gt;Constants!$B$4,"",IF(NOT($AL194),0,IF($AW194,Constants!$B$18,IF($AV194,Constants!$B$17,0))))</f>
        <v/>
      </c>
      <c r="BP194" s="100" t="str">
        <f aca="false">IF($BL194&lt;&gt;Constants!$B$4,"",IF(NOT($AL194),0,Constants!$B$19*($AK194+$AX194+$AY194+$AZ194)))</f>
        <v/>
      </c>
      <c r="BQ194" s="100" t="str">
        <f aca="false">IF($BL194&lt;&gt;Constants!$B$4,"",IF(OR(NOT($AL194),NOT(ISNUMBER($BA194))),0,CHOOSE($BA194,Constants!$B$13,Constants!$B$14,Constants!$B$15,Constants!$B$16)))</f>
        <v/>
      </c>
      <c r="BR194" s="100" t="str">
        <f aca="false">IF($BL194&lt;&gt;Constants!$B$4,"",IF(NOT($AL194),0,Constants!$B$20*$BB194))</f>
        <v/>
      </c>
      <c r="BS194" s="100" t="str">
        <f aca="false">IF($BL194&lt;&gt;Constants!$B$4,"",IF(AND($AL194,$BD194,$BE194),Constants!$B$22,0))</f>
        <v/>
      </c>
      <c r="BT194" s="100" t="str">
        <f aca="false">IF($BL194&lt;&gt;Constants!$B$4,"",IF(OR(NOT($AL194),NOT($BD194)),0,IF($BJ194&gt;=2*$AH$9,0,Constants!$B$23*INT(ROUND(MIN($BJ194,$AH$9),6)))))</f>
        <v/>
      </c>
      <c r="BU194" s="100" t="str">
        <f aca="false">IF($BL194&lt;&gt;Constants!$B$4,"",IF(NOT($AL194),0,Constants!$B$24*INT(ROUND(MIN($BC194,$AH$9),6))))</f>
        <v/>
      </c>
      <c r="BV194" s="100" t="str">
        <f aca="false">IF($BL194&lt;&gt;Constants!$B$4,"",IF(AND($AL194,$BN194=0),Constants!$B$25,0))</f>
        <v/>
      </c>
      <c r="BW194" s="100" t="str">
        <f aca="false">IF($BL194&lt;&gt;Constants!$B$4,"",MIN(Constants!$B$29,MAX(0,Constants!$B$27*Constants!$B$28*INT(ROUND((Constants!$B$26-$AN194)/Constants!$B$28,6))))+MIN(Constants!$B$29,MAX(0,Constants!$B$27*Constants!$B$28*INT(ROUND((Constants!$B$26-$AO194)/Constants!$B$28,6))))+MIN(Constants!$B$29,MAX(0,Constants!$B$27*Constants!$B$28*INT(ROUND((Constants!$B$26-$AP194)/Constants!$B$28,6)))))</f>
        <v/>
      </c>
      <c r="BX194" s="100" t="str">
        <f aca="false">IF($BL194&lt;&gt;Constants!$B$4,"",IF(NOT($AL194),0,Constants!$B$31*INT(ROUND(MAX(0,MIN($BJ194,2*$AH$9)-$AH$9),6))))</f>
        <v/>
      </c>
      <c r="BY194" s="100" t="str">
        <f aca="false">IF($BL194&lt;&gt;Constants!$B$4,"",Constants!$B$32*(($AN194&gt;Constants!$B$26)+($AO194&gt;Constants!$B$26)+($AP194&gt;Constants!$B$26)))</f>
        <v/>
      </c>
      <c r="BZ194" s="100" t="str">
        <f aca="false">IF($BL194&lt;&gt;Constants!$B$4,"",IF(OR(NOT($AL194),$AQ194),0,Constants!$B$33))</f>
        <v/>
      </c>
      <c r="CA194" s="100" t="str">
        <f aca="false">IF($BL194&lt;&gt;Constants!$B$4,"",Constants!$B$34*$BN194)</f>
        <v/>
      </c>
      <c r="CB194" s="100" t="str">
        <f aca="false">IF($BL194&lt;&gt;Constants!$B$4,"",IF(OR(NOT($AL194),$BH194),0,Constants!$B$36))</f>
        <v/>
      </c>
      <c r="CC194" s="100" t="str">
        <f aca="false">IF($BL194&lt;&gt;Constants!$B$4,"",IF(OR(NOT($AL194),$BG194),0,Constants!$B$37))</f>
        <v/>
      </c>
      <c r="CD194" s="100" t="str">
        <f aca="false">IF($BL194&lt;&gt;Constants!$B$4,"",SUM($BX194:$CC194))</f>
        <v/>
      </c>
      <c r="CE194" s="100" t="str">
        <f aca="false">IF(ISBLANK($C194),"",IF($BL194&lt;&gt;Constants!$B$4,$BL194,SUM($BO194:$BW194)-$CD194))</f>
        <v/>
      </c>
      <c r="CF194" s="100" t="str">
        <f aca="false">IF(ISBLANK($C194),"",IF($BL194&lt;&gt;Constants!$B$4,$BL194,RANK($CE194,$CE$9:$CE$508)))</f>
        <v/>
      </c>
      <c r="CG194" s="100" t="str">
        <f aca="false">IF(ISBLANK($C194),"",IF($BL194&lt;&gt;Constants!$B$4,$BL194,COUNTIFS($BM$9:$BM$508,"&lt;"&amp;$BM194)+COUNTIFS($BM$9:$BM$508,$BM194,$CF$9:$CF$508,"&lt;"&amp;$CF194)+1))</f>
        <v/>
      </c>
      <c r="CH194" s="100" t="str">
        <f aca="false">IF(ISBLANK($C194),"",IF($BL194&lt;&gt;Constants!$B$4,$BL194,RANK($CD194,$CD$9:$CD$508,1)))</f>
        <v/>
      </c>
      <c r="CI194" s="100" t="str">
        <f aca="false">IF($BL194&lt;&gt;Constants!$B$4,"",$AN194+$AO194+$AP194)</f>
        <v/>
      </c>
      <c r="CJ194" s="100" t="str">
        <f aca="false">IF(ISBLANK($C194),"",IF($BL194&lt;&gt;Constants!$B$4,$BL194,RANK($CI194,$CI$9:$CI$508,1)))</f>
        <v/>
      </c>
      <c r="CK194" s="100" t="str">
        <f aca="false">IF(ISBLANK($C194),"",IF($BL194&lt;&gt;Constants!$B$4,$BL194,COUNTIFS($BM$9:$BM$508,"&lt;"&amp;$BM194)+COUNTIFS($BM$9:$BM$508,$BM194,$CF$9:$CF$508,"&lt;"&amp;$CF194)+COUNTIFS($BM$9:$BM$508,$BM194,$CF$9:$CF$508,$CF194,$CH$9:$CH$508,"&lt;"&amp;$CH194)+COUNTIFS($BM$9:$BM$508,$BM194,$CF$9:$CF$508,$CF194,$CH$9:$CH$508,$CH194,$CJ$9:$CJ$508,"&lt;"&amp;$CJ194)+1))</f>
        <v/>
      </c>
      <c r="CL194" s="100" t="str">
        <f aca="false">IF(ISBLANK($C194),"",IF($BL194&lt;&gt;Constants!$B$4,$BL194,$CG194-$CK194))</f>
        <v/>
      </c>
      <c r="CM194" s="100" t="str">
        <f aca="false">IF(ISBLANK($C194),"",IF(NOT($AL194),"",IF(ISBLANK($D$7),$CM$5,IF(NOT(ISNUMBER($D$7)),$CM$6,""))))</f>
        <v/>
      </c>
      <c r="CN194" s="100" t="str">
        <f aca="false">IF(ISBLANK($C194),"",OR($AN194="",$AO194="",$AP194=""))</f>
        <v/>
      </c>
      <c r="CO194" s="100" t="str">
        <f aca="false">IF(ISBLANK($C194),"",AND($AL194,$BA194=""))</f>
        <v/>
      </c>
      <c r="CP194" s="100" t="str">
        <f aca="false">IF(ISBLANK($C194),"",AND($AL194,$BB194=""))</f>
        <v/>
      </c>
      <c r="CQ194" s="100" t="str">
        <f aca="false">IF(ISBLANK($C194),"",AND($AL194,$BC194=""))</f>
        <v/>
      </c>
      <c r="CR194" s="100" t="str">
        <f aca="false">IF(ISBLANK($C194),"",AND($AL194,$BF194=""))</f>
        <v/>
      </c>
      <c r="CS194" s="100" t="str">
        <f aca="false">IF(ISBLANK($C194),"",AND($AL194,$BJ194=""))</f>
        <v/>
      </c>
      <c r="CT194" s="101"/>
      <c r="CU194" s="102"/>
      <c r="CV194" s="103" t="str">
        <f aca="false">IF(ISBLANK($C194),"",IF($BL194=Constants!$B$8,$CM194,""))</f>
        <v/>
      </c>
      <c r="CW194" s="102" t="str">
        <f aca="false">IF(ISBLANK($C194),"",IF($BL194&lt;&gt;Constants!$B$4,"",$BO194+$BP194))</f>
        <v/>
      </c>
      <c r="CX194" s="104" t="str">
        <f aca="false">IF(ISBLANK($C194),"",IF($BL194&lt;&gt;Constants!$B$4,"",$BQ194+$BR194+$BS194))</f>
        <v/>
      </c>
      <c r="CY194" s="104" t="str">
        <f aca="false">IF(ISBLANK($C194),"",IF($BL194&lt;&gt;Constants!$B$4,"",$BT194))</f>
        <v/>
      </c>
      <c r="CZ194" s="104" t="str">
        <f aca="false">IF(ISBLANK($C194),"",IF($BL194&lt;&gt;Constants!$B$4,"",$BU194+$BV194))</f>
        <v/>
      </c>
      <c r="DA194" s="104" t="str">
        <f aca="false">IF(ISBLANK($C194),"",IF($BL194&lt;&gt;Constants!$B$4,"",$BW194))</f>
        <v/>
      </c>
      <c r="DB194" s="104" t="str">
        <f aca="false">IF(ISBLANK($C194),"",IF($BL194&lt;&gt;Constants!$B$4,"",-$CD194))</f>
        <v/>
      </c>
      <c r="DC194" s="103" t="str">
        <f aca="false">IF(ISBLANK($C194),"",$CE194)</f>
        <v/>
      </c>
      <c r="DD194" s="105" t="str">
        <f aca="false">IF(ISBLANK($C194),"",$BM194)</f>
        <v/>
      </c>
      <c r="DE194" s="104" t="str">
        <f aca="false">IF(ISBLANK($C194),"",$CL194)</f>
        <v/>
      </c>
      <c r="DF194" s="104" t="str">
        <f aca="false">IF(ISBLANK($C194),"",$CK194)</f>
        <v/>
      </c>
      <c r="DG194" s="106" t="str">
        <f aca="false">IF(ISBLANK($C194),"",IF($DF194=Constants!$B$7,COUNTA($C$9:$C$508)+2,IF($DF194=Constants!$B$6,COUNTA($C$9:$C$508)+1,IF($DF194=Constants!$B$5,COUNTA($C$9:$C$508),$DF194))))</f>
        <v/>
      </c>
      <c r="DH194" s="7"/>
      <c r="DI194" s="107" t="n">
        <f aca="false">IF(OR(ISNUMBER($DF194),$DF194=Constants!$B$7,$DF194=Constants!$B$5,$DF194=Constants!$B$6),1,0)</f>
        <v>0</v>
      </c>
      <c r="DJ194" s="107" t="n">
        <v>186</v>
      </c>
      <c r="DK194" s="107" t="str">
        <f aca="false">IF(ISBLANK($C194),"",IF(ISNUMBER($DG194),$DG194+ROW($B194)/1000,""))</f>
        <v/>
      </c>
      <c r="DL194" s="107" t="str">
        <f aca="false">IF(ISNUMBER($DK194),RANK($DK194,$DK$9:$DK$508,1),"")</f>
        <v/>
      </c>
      <c r="DM194" s="107" t="str">
        <f aca="false">IF(ISBLANK($C194),"",$B194)</f>
        <v/>
      </c>
      <c r="DN194" s="107" t="str">
        <f aca="false">IF(ISBLANK($C194),"",$C194)</f>
        <v/>
      </c>
      <c r="DO194" s="107" t="str">
        <f aca="false">IF(ISBLANK($C194),"",$D194)</f>
        <v/>
      </c>
      <c r="DP194" s="108" t="str">
        <f aca="false">$DD194</f>
        <v/>
      </c>
      <c r="DQ194" s="109" t="str">
        <f aca="false">$DC194</f>
        <v/>
      </c>
      <c r="DR194" s="107" t="str">
        <f aca="false">IF(ISBLANK($C194),"",$DF194)</f>
        <v/>
      </c>
      <c r="DS194" s="110" t="str">
        <f aca="false">IF($DJ194&gt;$DI$8,"",VLOOKUP($DJ194,$DL$9:$DR$508,7,FALSE()))</f>
        <v/>
      </c>
      <c r="DT194" s="111" t="str">
        <f aca="false">IF($DJ194&gt;$DI$8,"",VLOOKUP($DJ194,$DL$9:$DR$508,2,FALSE()))</f>
        <v/>
      </c>
      <c r="DU194" s="111" t="str">
        <f aca="false">IF($DJ194&gt;$DI$8,"",VLOOKUP($DJ194,$DL$9:$DR$508,3,FALSE()))</f>
        <v/>
      </c>
      <c r="DV194" s="111" t="str">
        <f aca="false">IF($DJ194&gt;$DI$8,"",VLOOKUP($DJ194,$DL$9:$DR$508,4,FALSE()))</f>
        <v/>
      </c>
      <c r="DW194" s="111" t="str">
        <f aca="false">IF($DJ194&gt;$DI$8,"",VLOOKUP($DJ194,$DL$9:$DR$508,5,FALSE()))</f>
        <v/>
      </c>
      <c r="DX194" s="112" t="str">
        <f aca="false">IF($DJ194&gt;$DI$8,"",VLOOKUP($DJ194,$DL$9:$DR$508,6,FALSE()))</f>
        <v/>
      </c>
      <c r="DY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88"/>
      <c r="N195" s="88"/>
      <c r="O195" s="134"/>
      <c r="P195" s="134"/>
      <c r="Q195" s="88"/>
      <c r="R195" s="88"/>
      <c r="S195" s="88"/>
      <c r="T195" s="88"/>
      <c r="U195" s="134"/>
      <c r="V195" s="88"/>
      <c r="W195" s="70"/>
      <c r="X195" s="88"/>
      <c r="Y195" s="88"/>
      <c r="Z195" s="70"/>
      <c r="AA195" s="70"/>
      <c r="AB195" s="88"/>
      <c r="AC195" s="88"/>
      <c r="AD195" s="88"/>
      <c r="AE195" s="71"/>
      <c r="AF195" s="88"/>
      <c r="AG195" s="73"/>
      <c r="AH195" s="74"/>
      <c r="AI195" s="74"/>
      <c r="AJ195" s="74" t="str">
        <f aca="false">IF(ISBLANK($C195),"",IF($E195=Constants!$B$2,TRUE(),IF($E195=Constants!$B$3,FALSE(),TRUE())))</f>
        <v/>
      </c>
      <c r="AK195" s="74" t="str">
        <f aca="false">IF(ISBLANK($C195),"",IF($F195=Constants!$B$2,TRUE(),IF($F195=Constants!$B$3,FALSE(),FALSE())))</f>
        <v/>
      </c>
      <c r="AL195" s="74" t="str">
        <f aca="false">IF(ISBLANK($C195),"",IF($G195=Constants!$B$2,TRUE(),IF($G195=Constants!$B$3,FALSE(),TRUE())))</f>
        <v/>
      </c>
      <c r="AM195" s="74" t="str">
        <f aca="false">IF(ISBLANK($C195),"",IF($H195=Constants!$B$2,TRUE(),IF($H195=Constants!$B$3,FALSE(),TRUE())))</f>
        <v/>
      </c>
      <c r="AN195" s="74" t="str">
        <f aca="false">IF(ISBLANK($C195),"",IF(ISNUMBER($I195),IF($I195&gt;=0,$I195,""),""))</f>
        <v/>
      </c>
      <c r="AO195" s="74" t="str">
        <f aca="false">IF(ISBLANK($C195),"",IF(ISNUMBER($J195),IF($J195&gt;=0,$J195,""),""))</f>
        <v/>
      </c>
      <c r="AP195" s="74" t="str">
        <f aca="false">IF(ISBLANK($C195),"",IF(ISNUMBER($K195),IF($K195&gt;=0,$K195,""),""))</f>
        <v/>
      </c>
      <c r="AQ195" s="74" t="str">
        <f aca="false">IF(ISBLANK($C195),"",IF($L195=Constants!$B$2,TRUE(),IF($L195=Constants!$B$3,FALSE(),TRUE())))</f>
        <v/>
      </c>
      <c r="AR195" s="74" t="str">
        <f aca="false">IF(ISBLANK($C195),"",IF($M195=Constants!$B$2,TRUE(),IF($M195=Constants!$B$3,FALSE(),TRUE())))</f>
        <v/>
      </c>
      <c r="AS195" s="74" t="str">
        <f aca="false">IF(ISBLANK($C195),"",IF($N195=Constants!$B$2,TRUE(),IF($N195=Constants!$B$3,FALSE(),FALSE())))</f>
        <v/>
      </c>
      <c r="AT195" s="74" t="str">
        <f aca="false">IF(ISBLANK($C195),"",IF($O195=Constants!$B$2,TRUE(),IF($O195=Constants!$B$3,FALSE(),TRUE())))</f>
        <v/>
      </c>
      <c r="AU195" s="74" t="str">
        <f aca="false">IF(ISBLANK($C195),"",IF($P195=Constants!$B$2,TRUE(),IF($P195=Constants!$B$3,FALSE(),TRUE())))</f>
        <v/>
      </c>
      <c r="AV195" s="74" t="str">
        <f aca="false">IF(ISBLANK($C195),"",IF($Q195=Constants!$B$2,TRUE(),IF($Q195=Constants!$B$3,FALSE(),FALSE())))</f>
        <v/>
      </c>
      <c r="AW195" s="74" t="str">
        <f aca="false">IF(ISBLANK($C195),"",IF($R195=Constants!$B$2,TRUE(),IF($R195=Constants!$B$3,FALSE(),FALSE())))</f>
        <v/>
      </c>
      <c r="AX195" s="74" t="str">
        <f aca="false">IF(ISBLANK($C195),"",IF($S195=Constants!$B$2,TRUE(),IF($S195=Constants!$B$3,FALSE(),FALSE())))</f>
        <v/>
      </c>
      <c r="AY195" s="74" t="str">
        <f aca="false">IF(ISBLANK($C195),"",IF($T195=Constants!$B$2,TRUE(),IF($T195=Constants!$B$3,FALSE(),FALSE())))</f>
        <v/>
      </c>
      <c r="AZ195" s="74" t="str">
        <f aca="false">IF(ISBLANK($C195),"",IF($U195=Constants!$B$2,TRUE(),IF($U195=Constants!$B$3,FALSE(),FALSE())))</f>
        <v/>
      </c>
      <c r="BA195" s="74" t="str">
        <f aca="false">IF(ISBLANK($C195),"",IF(OR($V195&amp;""="1",$V195&amp;""="2",$V195&amp;""="3",$V195&amp;""="4"),VALUE($V195&amp;""),IF($V195=Constants!$B$12,Constants!$B$12,"")))</f>
        <v/>
      </c>
      <c r="BB195" s="74" t="str">
        <f aca="false">IF(ISBLANK($C195),"",IF(ISBLANK($W195),0,IF(ISNUMBER($W195),IF(AND($W195&gt;=0,$W195&lt;=Constants!$B$21,$W195=INT($W195)),$W195,""),"")))</f>
        <v/>
      </c>
      <c r="BC195" s="74" t="str">
        <f aca="false">IF(ISBLANK($C195),"",IF(ISBLANK($X195),0,IF(ISNUMBER($X195),IF($X195&gt;=0,$X195,""),"")))</f>
        <v/>
      </c>
      <c r="BD195" s="74" t="str">
        <f aca="false">IF(ISBLANK($C195),"",IF($Y195=Constants!$B$2,TRUE(),IF($Y195=Constants!$B$3,FALSE(),TRUE())))</f>
        <v/>
      </c>
      <c r="BE195" s="74" t="str">
        <f aca="false">IF(ISBLANK($C195),"",IF($Z195=Constants!$B$2,TRUE(),IF($Z195=Constants!$B$3,FALSE(),FALSE())))</f>
        <v/>
      </c>
      <c r="BF195" s="74" t="str">
        <f aca="false">IF(ISBLANK($C195),"",IF(ISBLANK($AA195),0,IF(ISNUMBER($AA195),IF(AND($AA195&gt;=0,$AA195&lt;=Constants!$B$35,$AA195=INT($AA195)),$AA195,""),"")))</f>
        <v/>
      </c>
      <c r="BG195" s="74" t="str">
        <f aca="false">IF(ISBLANK($C195),"",IF($AB195=Constants!$B$2,TRUE(),IF($AB195=Constants!$B$3,FALSE(),TRUE())))</f>
        <v/>
      </c>
      <c r="BH195" s="74" t="str">
        <f aca="false">IF(ISBLANK($C195),"",IF($AC195=Constants!$B$2,TRUE(),IF($AC195=Constants!$B$3,FALSE(),TRUE())))</f>
        <v/>
      </c>
      <c r="BI195" s="74" t="str">
        <f aca="false">IF(ISBLANK($C195),"",IF($AD195=Constants!$B$2,TRUE(),IF($AD195=Constants!$B$3,FALSE(),TRUE())))</f>
        <v/>
      </c>
      <c r="BJ195" s="74" t="str">
        <f aca="false">IF(ISBLANK($C195),"",IF(ISNUMBER($AE195),IF($AE195&gt;=0,$AE195,""),""))</f>
        <v/>
      </c>
      <c r="BK195" s="74" t="str">
        <f aca="false">IF(ISBLANK($C195),"",IF($AF195=Constants!$B$2,TRUE(),IF($AF195=Constants!$B$3,FALSE(),FALSE())))</f>
        <v/>
      </c>
      <c r="BL195" s="73" t="str">
        <f aca="false">IF(ISBLANK($C195),"",IF($BK195,Constants!$B$7,IF(COUNTA($E195:$AE195)=0,Constants!$B$6,IF(OR(COUNTA($G195:$AE195)=0,NOT($AM195),$AS195),Constants!$B$5,IF(OR($CM195&lt;&gt;"",$CN195,$CO195,$CP195,$CQ195,$CR195,$CS195),Constants!$B$8,Constants!$B$4)))))</f>
        <v/>
      </c>
      <c r="BM195" s="74" t="str">
        <f aca="false">IF(ISBLANK($C195),"",IF($BL195&lt;&gt;Constants!$B$4,$BL195,IF(OR(NOT($AJ195),NOT($AL195),NOT($AT195)),Constants!$B$11,IF(OR(NOT($AR195),NOT($AU195),NOT($BI195),MAX($AN195,$AO195,$AP195)&gt;Constants!$B$30),Constants!$B$10,Constants!$B$9))))</f>
        <v/>
      </c>
      <c r="BN195" s="74" t="str">
        <f aca="false">IF($BL195&lt;&gt;Constants!$B$4,"",IF(NOT($AL195),0,MIN(Constants!$B$35,$BF195)))</f>
        <v/>
      </c>
      <c r="BO195" s="74" t="str">
        <f aca="false">IF($BL195&lt;&gt;Constants!$B$4,"",IF(NOT($AL195),0,IF($AW195,Constants!$B$18,IF($AV195,Constants!$B$17,0))))</f>
        <v/>
      </c>
      <c r="BP195" s="74" t="str">
        <f aca="false">IF($BL195&lt;&gt;Constants!$B$4,"",IF(NOT($AL195),0,Constants!$B$19*($AK195+$AX195+$AY195+$AZ195)))</f>
        <v/>
      </c>
      <c r="BQ195" s="74" t="str">
        <f aca="false">IF($BL195&lt;&gt;Constants!$B$4,"",IF(OR(NOT($AL195),NOT(ISNUMBER($BA195))),0,CHOOSE($BA195,Constants!$B$13,Constants!$B$14,Constants!$B$15,Constants!$B$16)))</f>
        <v/>
      </c>
      <c r="BR195" s="74" t="str">
        <f aca="false">IF($BL195&lt;&gt;Constants!$B$4,"",IF(NOT($AL195),0,Constants!$B$20*$BB195))</f>
        <v/>
      </c>
      <c r="BS195" s="74" t="str">
        <f aca="false">IF($BL195&lt;&gt;Constants!$B$4,"",IF(AND($AL195,$BD195,$BE195),Constants!$B$22,0))</f>
        <v/>
      </c>
      <c r="BT195" s="74" t="str">
        <f aca="false">IF($BL195&lt;&gt;Constants!$B$4,"",IF(OR(NOT($AL195),NOT($BD195)),0,IF($BJ195&gt;=2*$AH$9,0,Constants!$B$23*INT(ROUND(MIN($BJ195,$AH$9),6)))))</f>
        <v/>
      </c>
      <c r="BU195" s="74" t="str">
        <f aca="false">IF($BL195&lt;&gt;Constants!$B$4,"",IF(NOT($AL195),0,Constants!$B$24*INT(ROUND(MIN($BC195,$AH$9),6))))</f>
        <v/>
      </c>
      <c r="BV195" s="74" t="str">
        <f aca="false">IF($BL195&lt;&gt;Constants!$B$4,"",IF(AND($AL195,$BN195=0),Constants!$B$25,0))</f>
        <v/>
      </c>
      <c r="BW195" s="74" t="str">
        <f aca="false">IF($BL195&lt;&gt;Constants!$B$4,"",MIN(Constants!$B$29,MAX(0,Constants!$B$27*Constants!$B$28*INT(ROUND((Constants!$B$26-$AN195)/Constants!$B$28,6))))+MIN(Constants!$B$29,MAX(0,Constants!$B$27*Constants!$B$28*INT(ROUND((Constants!$B$26-$AO195)/Constants!$B$28,6))))+MIN(Constants!$B$29,MAX(0,Constants!$B$27*Constants!$B$28*INT(ROUND((Constants!$B$26-$AP195)/Constants!$B$28,6)))))</f>
        <v/>
      </c>
      <c r="BX195" s="74" t="str">
        <f aca="false">IF($BL195&lt;&gt;Constants!$B$4,"",IF(NOT($AL195),0,Constants!$B$31*INT(ROUND(MAX(0,MIN($BJ195,2*$AH$9)-$AH$9),6))))</f>
        <v/>
      </c>
      <c r="BY195" s="74" t="str">
        <f aca="false">IF($BL195&lt;&gt;Constants!$B$4,"",Constants!$B$32*(($AN195&gt;Constants!$B$26)+($AO195&gt;Constants!$B$26)+($AP195&gt;Constants!$B$26)))</f>
        <v/>
      </c>
      <c r="BZ195" s="74" t="str">
        <f aca="false">IF($BL195&lt;&gt;Constants!$B$4,"",IF(OR(NOT($AL195),$AQ195),0,Constants!$B$33))</f>
        <v/>
      </c>
      <c r="CA195" s="74" t="str">
        <f aca="false">IF($BL195&lt;&gt;Constants!$B$4,"",Constants!$B$34*$BN195)</f>
        <v/>
      </c>
      <c r="CB195" s="74" t="str">
        <f aca="false">IF($BL195&lt;&gt;Constants!$B$4,"",IF(OR(NOT($AL195),$BH195),0,Constants!$B$36))</f>
        <v/>
      </c>
      <c r="CC195" s="74" t="str">
        <f aca="false">IF($BL195&lt;&gt;Constants!$B$4,"",IF(OR(NOT($AL195),$BG195),0,Constants!$B$37))</f>
        <v/>
      </c>
      <c r="CD195" s="74" t="str">
        <f aca="false">IF($BL195&lt;&gt;Constants!$B$4,"",SUM($BX195:$CC195))</f>
        <v/>
      </c>
      <c r="CE195" s="74" t="str">
        <f aca="false">IF(ISBLANK($C195),"",IF($BL195&lt;&gt;Constants!$B$4,$BL195,SUM($BO195:$BW195)-$CD195))</f>
        <v/>
      </c>
      <c r="CF195" s="74" t="str">
        <f aca="false">IF(ISBLANK($C195),"",IF($BL195&lt;&gt;Constants!$B$4,$BL195,RANK($CE195,$CE$9:$CE$508)))</f>
        <v/>
      </c>
      <c r="CG195" s="74" t="str">
        <f aca="false">IF(ISBLANK($C195),"",IF($BL195&lt;&gt;Constants!$B$4,$BL195,COUNTIFS($BM$9:$BM$508,"&lt;"&amp;$BM195)+COUNTIFS($BM$9:$BM$508,$BM195,$CF$9:$CF$508,"&lt;"&amp;$CF195)+1))</f>
        <v/>
      </c>
      <c r="CH195" s="74" t="str">
        <f aca="false">IF(ISBLANK($C195),"",IF($BL195&lt;&gt;Constants!$B$4,$BL195,RANK($CD195,$CD$9:$CD$508,1)))</f>
        <v/>
      </c>
      <c r="CI195" s="74" t="str">
        <f aca="false">IF($BL195&lt;&gt;Constants!$B$4,"",$AN195+$AO195+$AP195)</f>
        <v/>
      </c>
      <c r="CJ195" s="74" t="str">
        <f aca="false">IF(ISBLANK($C195),"",IF($BL195&lt;&gt;Constants!$B$4,$BL195,RANK($CI195,$CI$9:$CI$508,1)))</f>
        <v/>
      </c>
      <c r="CK195" s="74" t="str">
        <f aca="false">IF(ISBLANK($C195),"",IF($BL195&lt;&gt;Constants!$B$4,$BL195,COUNTIFS($BM$9:$BM$508,"&lt;"&amp;$BM195)+COUNTIFS($BM$9:$BM$508,$BM195,$CF$9:$CF$508,"&lt;"&amp;$CF195)+COUNTIFS($BM$9:$BM$508,$BM195,$CF$9:$CF$508,$CF195,$CH$9:$CH$508,"&lt;"&amp;$CH195)+COUNTIFS($BM$9:$BM$508,$BM195,$CF$9:$CF$508,$CF195,$CH$9:$CH$508,$CH195,$CJ$9:$CJ$508,"&lt;"&amp;$CJ195)+1))</f>
        <v/>
      </c>
      <c r="CL195" s="74" t="str">
        <f aca="false">IF(ISBLANK($C195),"",IF($BL195&lt;&gt;Constants!$B$4,$BL195,$CG195-$CK195))</f>
        <v/>
      </c>
      <c r="CM195" s="74" t="str">
        <f aca="false">IF(ISBLANK($C195),"",IF(NOT($AL195),"",IF(ISBLANK($D$7),$CM$5,IF(NOT(ISNUMBER($D$7)),$CM$6,""))))</f>
        <v/>
      </c>
      <c r="CN195" s="74" t="str">
        <f aca="false">IF(ISBLANK($C195),"",OR($AN195="",$AO195="",$AP195=""))</f>
        <v/>
      </c>
      <c r="CO195" s="74" t="str">
        <f aca="false">IF(ISBLANK($C195),"",AND($AL195,$BA195=""))</f>
        <v/>
      </c>
      <c r="CP195" s="74" t="str">
        <f aca="false">IF(ISBLANK($C195),"",AND($AL195,$BB195=""))</f>
        <v/>
      </c>
      <c r="CQ195" s="74" t="str">
        <f aca="false">IF(ISBLANK($C195),"",AND($AL195,$BC195=""))</f>
        <v/>
      </c>
      <c r="CR195" s="74" t="str">
        <f aca="false">IF(ISBLANK($C195),"",AND($AL195,$BF195=""))</f>
        <v/>
      </c>
      <c r="CS195" s="74" t="str">
        <f aca="false">IF(ISBLANK($C195),"",AND($AL195,$BJ195=""))</f>
        <v/>
      </c>
      <c r="CT195" s="75"/>
      <c r="CU195" s="76"/>
      <c r="CV195" s="79" t="str">
        <f aca="false">IF(ISBLANK($C195),"",IF($BL195=Constants!$B$8,$CM195,""))</f>
        <v/>
      </c>
      <c r="CW195" s="76" t="str">
        <f aca="false">IF(ISBLANK($C195),"",IF($BL195&lt;&gt;Constants!$B$4,"",$BO195+$BP195))</f>
        <v/>
      </c>
      <c r="CX195" s="78" t="str">
        <f aca="false">IF(ISBLANK($C195),"",IF($BL195&lt;&gt;Constants!$B$4,"",$BQ195+$BR195+$BS195))</f>
        <v/>
      </c>
      <c r="CY195" s="78" t="str">
        <f aca="false">IF(ISBLANK($C195),"",IF($BL195&lt;&gt;Constants!$B$4,"",$BT195))</f>
        <v/>
      </c>
      <c r="CZ195" s="78" t="str">
        <f aca="false">IF(ISBLANK($C195),"",IF($BL195&lt;&gt;Constants!$B$4,"",$BU195+$BV195))</f>
        <v/>
      </c>
      <c r="DA195" s="78" t="str">
        <f aca="false">IF(ISBLANK($C195),"",IF($BL195&lt;&gt;Constants!$B$4,"",$BW195))</f>
        <v/>
      </c>
      <c r="DB195" s="78" t="str">
        <f aca="false">IF(ISBLANK($C195),"",IF($BL195&lt;&gt;Constants!$B$4,"",-$CD195))</f>
        <v/>
      </c>
      <c r="DC195" s="79" t="str">
        <f aca="false">IF(ISBLANK($C195),"",$CE195)</f>
        <v/>
      </c>
      <c r="DD195" s="80" t="str">
        <f aca="false">IF(ISBLANK($C195),"",$BM195)</f>
        <v/>
      </c>
      <c r="DE195" s="78" t="str">
        <f aca="false">IF(ISBLANK($C195),"",$CL195)</f>
        <v/>
      </c>
      <c r="DF195" s="78" t="str">
        <f aca="false">IF(ISBLANK($C195),"",$CK195)</f>
        <v/>
      </c>
      <c r="DG195" s="81" t="str">
        <f aca="false">IF(ISBLANK($C195),"",IF($DF195=Constants!$B$7,COUNTA($C$9:$C$508)+2,IF($DF195=Constants!$B$6,COUNTA($C$9:$C$508)+1,IF($DF195=Constants!$B$5,COUNTA($C$9:$C$508),$DF195))))</f>
        <v/>
      </c>
      <c r="DH195" s="7"/>
      <c r="DI195" s="82" t="n">
        <f aca="false">IF(OR(ISNUMBER($DF195),$DF195=Constants!$B$7,$DF195=Constants!$B$5,$DF195=Constants!$B$6),1,0)</f>
        <v>0</v>
      </c>
      <c r="DJ195" s="82" t="n">
        <v>187</v>
      </c>
      <c r="DK195" s="82" t="str">
        <f aca="false">IF(ISBLANK($C195),"",IF(ISNUMBER($DG195),$DG195+ROW($B195)/1000,""))</f>
        <v/>
      </c>
      <c r="DL195" s="82" t="str">
        <f aca="false">IF(ISNUMBER($DK195),RANK($DK195,$DK$9:$DK$508,1),"")</f>
        <v/>
      </c>
      <c r="DM195" s="82" t="str">
        <f aca="false">IF(ISBLANK($C195),"",$B195)</f>
        <v/>
      </c>
      <c r="DN195" s="82" t="str">
        <f aca="false">IF(ISBLANK($C195),"",$C195)</f>
        <v/>
      </c>
      <c r="DO195" s="82" t="str">
        <f aca="false">IF(ISBLANK($C195),"",$D195)</f>
        <v/>
      </c>
      <c r="DP195" s="83" t="str">
        <f aca="false">$DD195</f>
        <v/>
      </c>
      <c r="DQ195" s="84" t="str">
        <f aca="false">$DC195</f>
        <v/>
      </c>
      <c r="DR195" s="82" t="str">
        <f aca="false">IF(ISBLANK($C195),"",$DF195)</f>
        <v/>
      </c>
      <c r="DS195" s="85" t="str">
        <f aca="false">IF($DJ195&gt;$DI$8,"",VLOOKUP($DJ195,$DL$9:$DR$508,7,FALSE()))</f>
        <v/>
      </c>
      <c r="DT195" s="86" t="str">
        <f aca="false">IF($DJ195&gt;$DI$8,"",VLOOKUP($DJ195,$DL$9:$DR$508,2,FALSE()))</f>
        <v/>
      </c>
      <c r="DU195" s="86" t="str">
        <f aca="false">IF($DJ195&gt;$DI$8,"",VLOOKUP($DJ195,$DL$9:$DR$508,3,FALSE()))</f>
        <v/>
      </c>
      <c r="DV195" s="86" t="str">
        <f aca="false">IF($DJ195&gt;$DI$8,"",VLOOKUP($DJ195,$DL$9:$DR$508,4,FALSE()))</f>
        <v/>
      </c>
      <c r="DW195" s="86" t="str">
        <f aca="false">IF($DJ195&gt;$DI$8,"",VLOOKUP($DJ195,$DL$9:$DR$508,5,FALSE()))</f>
        <v/>
      </c>
      <c r="DX195" s="87" t="str">
        <f aca="false">IF($DJ195&gt;$DI$8,"",VLOOKUP($DJ195,$DL$9:$DR$508,6,FALSE()))</f>
        <v/>
      </c>
      <c r="DY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88"/>
      <c r="N196" s="88"/>
      <c r="O196" s="134"/>
      <c r="P196" s="134"/>
      <c r="Q196" s="88"/>
      <c r="R196" s="88"/>
      <c r="S196" s="88"/>
      <c r="T196" s="88"/>
      <c r="U196" s="134"/>
      <c r="V196" s="88"/>
      <c r="W196" s="70"/>
      <c r="X196" s="88"/>
      <c r="Y196" s="88"/>
      <c r="Z196" s="70"/>
      <c r="AA196" s="70"/>
      <c r="AB196" s="88"/>
      <c r="AC196" s="88"/>
      <c r="AD196" s="88"/>
      <c r="AE196" s="71"/>
      <c r="AF196" s="88"/>
      <c r="AG196" s="73"/>
      <c r="AH196" s="74"/>
      <c r="AI196" s="74"/>
      <c r="AJ196" s="74" t="str">
        <f aca="false">IF(ISBLANK($C196),"",IF($E196=Constants!$B$2,TRUE(),IF($E196=Constants!$B$3,FALSE(),TRUE())))</f>
        <v/>
      </c>
      <c r="AK196" s="74" t="str">
        <f aca="false">IF(ISBLANK($C196),"",IF($F196=Constants!$B$2,TRUE(),IF($F196=Constants!$B$3,FALSE(),FALSE())))</f>
        <v/>
      </c>
      <c r="AL196" s="74" t="str">
        <f aca="false">IF(ISBLANK($C196),"",IF($G196=Constants!$B$2,TRUE(),IF($G196=Constants!$B$3,FALSE(),TRUE())))</f>
        <v/>
      </c>
      <c r="AM196" s="74" t="str">
        <f aca="false">IF(ISBLANK($C196),"",IF($H196=Constants!$B$2,TRUE(),IF($H196=Constants!$B$3,FALSE(),TRUE())))</f>
        <v/>
      </c>
      <c r="AN196" s="74" t="str">
        <f aca="false">IF(ISBLANK($C196),"",IF(ISNUMBER($I196),IF($I196&gt;=0,$I196,""),""))</f>
        <v/>
      </c>
      <c r="AO196" s="74" t="str">
        <f aca="false">IF(ISBLANK($C196),"",IF(ISNUMBER($J196),IF($J196&gt;=0,$J196,""),""))</f>
        <v/>
      </c>
      <c r="AP196" s="74" t="str">
        <f aca="false">IF(ISBLANK($C196),"",IF(ISNUMBER($K196),IF($K196&gt;=0,$K196,""),""))</f>
        <v/>
      </c>
      <c r="AQ196" s="74" t="str">
        <f aca="false">IF(ISBLANK($C196),"",IF($L196=Constants!$B$2,TRUE(),IF($L196=Constants!$B$3,FALSE(),TRUE())))</f>
        <v/>
      </c>
      <c r="AR196" s="74" t="str">
        <f aca="false">IF(ISBLANK($C196),"",IF($M196=Constants!$B$2,TRUE(),IF($M196=Constants!$B$3,FALSE(),TRUE())))</f>
        <v/>
      </c>
      <c r="AS196" s="74" t="str">
        <f aca="false">IF(ISBLANK($C196),"",IF($N196=Constants!$B$2,TRUE(),IF($N196=Constants!$B$3,FALSE(),FALSE())))</f>
        <v/>
      </c>
      <c r="AT196" s="74" t="str">
        <f aca="false">IF(ISBLANK($C196),"",IF($O196=Constants!$B$2,TRUE(),IF($O196=Constants!$B$3,FALSE(),TRUE())))</f>
        <v/>
      </c>
      <c r="AU196" s="74" t="str">
        <f aca="false">IF(ISBLANK($C196),"",IF($P196=Constants!$B$2,TRUE(),IF($P196=Constants!$B$3,FALSE(),TRUE())))</f>
        <v/>
      </c>
      <c r="AV196" s="74" t="str">
        <f aca="false">IF(ISBLANK($C196),"",IF($Q196=Constants!$B$2,TRUE(),IF($Q196=Constants!$B$3,FALSE(),FALSE())))</f>
        <v/>
      </c>
      <c r="AW196" s="74" t="str">
        <f aca="false">IF(ISBLANK($C196),"",IF($R196=Constants!$B$2,TRUE(),IF($R196=Constants!$B$3,FALSE(),FALSE())))</f>
        <v/>
      </c>
      <c r="AX196" s="74" t="str">
        <f aca="false">IF(ISBLANK($C196),"",IF($S196=Constants!$B$2,TRUE(),IF($S196=Constants!$B$3,FALSE(),FALSE())))</f>
        <v/>
      </c>
      <c r="AY196" s="74" t="str">
        <f aca="false">IF(ISBLANK($C196),"",IF($T196=Constants!$B$2,TRUE(),IF($T196=Constants!$B$3,FALSE(),FALSE())))</f>
        <v/>
      </c>
      <c r="AZ196" s="74" t="str">
        <f aca="false">IF(ISBLANK($C196),"",IF($U196=Constants!$B$2,TRUE(),IF($U196=Constants!$B$3,FALSE(),FALSE())))</f>
        <v/>
      </c>
      <c r="BA196" s="74" t="str">
        <f aca="false">IF(ISBLANK($C196),"",IF(OR($V196&amp;""="1",$V196&amp;""="2",$V196&amp;""="3",$V196&amp;""="4"),VALUE($V196&amp;""),IF($V196=Constants!$B$12,Constants!$B$12,"")))</f>
        <v/>
      </c>
      <c r="BB196" s="74" t="str">
        <f aca="false">IF(ISBLANK($C196),"",IF(ISBLANK($W196),0,IF(ISNUMBER($W196),IF(AND($W196&gt;=0,$W196&lt;=Constants!$B$21,$W196=INT($W196)),$W196,""),"")))</f>
        <v/>
      </c>
      <c r="BC196" s="74" t="str">
        <f aca="false">IF(ISBLANK($C196),"",IF(ISBLANK($X196),0,IF(ISNUMBER($X196),IF($X196&gt;=0,$X196,""),"")))</f>
        <v/>
      </c>
      <c r="BD196" s="74" t="str">
        <f aca="false">IF(ISBLANK($C196),"",IF($Y196=Constants!$B$2,TRUE(),IF($Y196=Constants!$B$3,FALSE(),TRUE())))</f>
        <v/>
      </c>
      <c r="BE196" s="74" t="str">
        <f aca="false">IF(ISBLANK($C196),"",IF($Z196=Constants!$B$2,TRUE(),IF($Z196=Constants!$B$3,FALSE(),FALSE())))</f>
        <v/>
      </c>
      <c r="BF196" s="74" t="str">
        <f aca="false">IF(ISBLANK($C196),"",IF(ISBLANK($AA196),0,IF(ISNUMBER($AA196),IF(AND($AA196&gt;=0,$AA196&lt;=Constants!$B$35,$AA196=INT($AA196)),$AA196,""),"")))</f>
        <v/>
      </c>
      <c r="BG196" s="74" t="str">
        <f aca="false">IF(ISBLANK($C196),"",IF($AB196=Constants!$B$2,TRUE(),IF($AB196=Constants!$B$3,FALSE(),TRUE())))</f>
        <v/>
      </c>
      <c r="BH196" s="74" t="str">
        <f aca="false">IF(ISBLANK($C196),"",IF($AC196=Constants!$B$2,TRUE(),IF($AC196=Constants!$B$3,FALSE(),TRUE())))</f>
        <v/>
      </c>
      <c r="BI196" s="74" t="str">
        <f aca="false">IF(ISBLANK($C196),"",IF($AD196=Constants!$B$2,TRUE(),IF($AD196=Constants!$B$3,FALSE(),TRUE())))</f>
        <v/>
      </c>
      <c r="BJ196" s="74" t="str">
        <f aca="false">IF(ISBLANK($C196),"",IF(ISNUMBER($AE196),IF($AE196&gt;=0,$AE196,""),""))</f>
        <v/>
      </c>
      <c r="BK196" s="74" t="str">
        <f aca="false">IF(ISBLANK($C196),"",IF($AF196=Constants!$B$2,TRUE(),IF($AF196=Constants!$B$3,FALSE(),FALSE())))</f>
        <v/>
      </c>
      <c r="BL196" s="73" t="str">
        <f aca="false">IF(ISBLANK($C196),"",IF($BK196,Constants!$B$7,IF(COUNTA($E196:$AE196)=0,Constants!$B$6,IF(OR(COUNTA($G196:$AE196)=0,NOT($AM196),$AS196),Constants!$B$5,IF(OR($CM196&lt;&gt;"",$CN196,$CO196,$CP196,$CQ196,$CR196,$CS196),Constants!$B$8,Constants!$B$4)))))</f>
        <v/>
      </c>
      <c r="BM196" s="74" t="str">
        <f aca="false">IF(ISBLANK($C196),"",IF($BL196&lt;&gt;Constants!$B$4,$BL196,IF(OR(NOT($AJ196),NOT($AL196),NOT($AT196)),Constants!$B$11,IF(OR(NOT($AR196),NOT($AU196),NOT($BI196),MAX($AN196,$AO196,$AP196)&gt;Constants!$B$30),Constants!$B$10,Constants!$B$9))))</f>
        <v/>
      </c>
      <c r="BN196" s="74" t="str">
        <f aca="false">IF($BL196&lt;&gt;Constants!$B$4,"",IF(NOT($AL196),0,MIN(Constants!$B$35,$BF196)))</f>
        <v/>
      </c>
      <c r="BO196" s="74" t="str">
        <f aca="false">IF($BL196&lt;&gt;Constants!$B$4,"",IF(NOT($AL196),0,IF($AW196,Constants!$B$18,IF($AV196,Constants!$B$17,0))))</f>
        <v/>
      </c>
      <c r="BP196" s="74" t="str">
        <f aca="false">IF($BL196&lt;&gt;Constants!$B$4,"",IF(NOT($AL196),0,Constants!$B$19*($AK196+$AX196+$AY196+$AZ196)))</f>
        <v/>
      </c>
      <c r="BQ196" s="74" t="str">
        <f aca="false">IF($BL196&lt;&gt;Constants!$B$4,"",IF(OR(NOT($AL196),NOT(ISNUMBER($BA196))),0,CHOOSE($BA196,Constants!$B$13,Constants!$B$14,Constants!$B$15,Constants!$B$16)))</f>
        <v/>
      </c>
      <c r="BR196" s="74" t="str">
        <f aca="false">IF($BL196&lt;&gt;Constants!$B$4,"",IF(NOT($AL196),0,Constants!$B$20*$BB196))</f>
        <v/>
      </c>
      <c r="BS196" s="74" t="str">
        <f aca="false">IF($BL196&lt;&gt;Constants!$B$4,"",IF(AND($AL196,$BD196,$BE196),Constants!$B$22,0))</f>
        <v/>
      </c>
      <c r="BT196" s="74" t="str">
        <f aca="false">IF($BL196&lt;&gt;Constants!$B$4,"",IF(OR(NOT($AL196),NOT($BD196)),0,IF($BJ196&gt;=2*$AH$9,0,Constants!$B$23*INT(ROUND(MIN($BJ196,$AH$9),6)))))</f>
        <v/>
      </c>
      <c r="BU196" s="74" t="str">
        <f aca="false">IF($BL196&lt;&gt;Constants!$B$4,"",IF(NOT($AL196),0,Constants!$B$24*INT(ROUND(MIN($BC196,$AH$9),6))))</f>
        <v/>
      </c>
      <c r="BV196" s="74" t="str">
        <f aca="false">IF($BL196&lt;&gt;Constants!$B$4,"",IF(AND($AL196,$BN196=0),Constants!$B$25,0))</f>
        <v/>
      </c>
      <c r="BW196" s="74" t="str">
        <f aca="false">IF($BL196&lt;&gt;Constants!$B$4,"",MIN(Constants!$B$29,MAX(0,Constants!$B$27*Constants!$B$28*INT(ROUND((Constants!$B$26-$AN196)/Constants!$B$28,6))))+MIN(Constants!$B$29,MAX(0,Constants!$B$27*Constants!$B$28*INT(ROUND((Constants!$B$26-$AO196)/Constants!$B$28,6))))+MIN(Constants!$B$29,MAX(0,Constants!$B$27*Constants!$B$28*INT(ROUND((Constants!$B$26-$AP196)/Constants!$B$28,6)))))</f>
        <v/>
      </c>
      <c r="BX196" s="74" t="str">
        <f aca="false">IF($BL196&lt;&gt;Constants!$B$4,"",IF(NOT($AL196),0,Constants!$B$31*INT(ROUND(MAX(0,MIN($BJ196,2*$AH$9)-$AH$9),6))))</f>
        <v/>
      </c>
      <c r="BY196" s="74" t="str">
        <f aca="false">IF($BL196&lt;&gt;Constants!$B$4,"",Constants!$B$32*(($AN196&gt;Constants!$B$26)+($AO196&gt;Constants!$B$26)+($AP196&gt;Constants!$B$26)))</f>
        <v/>
      </c>
      <c r="BZ196" s="74" t="str">
        <f aca="false">IF($BL196&lt;&gt;Constants!$B$4,"",IF(OR(NOT($AL196),$AQ196),0,Constants!$B$33))</f>
        <v/>
      </c>
      <c r="CA196" s="74" t="str">
        <f aca="false">IF($BL196&lt;&gt;Constants!$B$4,"",Constants!$B$34*$BN196)</f>
        <v/>
      </c>
      <c r="CB196" s="74" t="str">
        <f aca="false">IF($BL196&lt;&gt;Constants!$B$4,"",IF(OR(NOT($AL196),$BH196),0,Constants!$B$36))</f>
        <v/>
      </c>
      <c r="CC196" s="74" t="str">
        <f aca="false">IF($BL196&lt;&gt;Constants!$B$4,"",IF(OR(NOT($AL196),$BG196),0,Constants!$B$37))</f>
        <v/>
      </c>
      <c r="CD196" s="74" t="str">
        <f aca="false">IF($BL196&lt;&gt;Constants!$B$4,"",SUM($BX196:$CC196))</f>
        <v/>
      </c>
      <c r="CE196" s="74" t="str">
        <f aca="false">IF(ISBLANK($C196),"",IF($BL196&lt;&gt;Constants!$B$4,$BL196,SUM($BO196:$BW196)-$CD196))</f>
        <v/>
      </c>
      <c r="CF196" s="74" t="str">
        <f aca="false">IF(ISBLANK($C196),"",IF($BL196&lt;&gt;Constants!$B$4,$BL196,RANK($CE196,$CE$9:$CE$508)))</f>
        <v/>
      </c>
      <c r="CG196" s="74" t="str">
        <f aca="false">IF(ISBLANK($C196),"",IF($BL196&lt;&gt;Constants!$B$4,$BL196,COUNTIFS($BM$9:$BM$508,"&lt;"&amp;$BM196)+COUNTIFS($BM$9:$BM$508,$BM196,$CF$9:$CF$508,"&lt;"&amp;$CF196)+1))</f>
        <v/>
      </c>
      <c r="CH196" s="74" t="str">
        <f aca="false">IF(ISBLANK($C196),"",IF($BL196&lt;&gt;Constants!$B$4,$BL196,RANK($CD196,$CD$9:$CD$508,1)))</f>
        <v/>
      </c>
      <c r="CI196" s="74" t="str">
        <f aca="false">IF($BL196&lt;&gt;Constants!$B$4,"",$AN196+$AO196+$AP196)</f>
        <v/>
      </c>
      <c r="CJ196" s="74" t="str">
        <f aca="false">IF(ISBLANK($C196),"",IF($BL196&lt;&gt;Constants!$B$4,$BL196,RANK($CI196,$CI$9:$CI$508,1)))</f>
        <v/>
      </c>
      <c r="CK196" s="74" t="str">
        <f aca="false">IF(ISBLANK($C196),"",IF($BL196&lt;&gt;Constants!$B$4,$BL196,COUNTIFS($BM$9:$BM$508,"&lt;"&amp;$BM196)+COUNTIFS($BM$9:$BM$508,$BM196,$CF$9:$CF$508,"&lt;"&amp;$CF196)+COUNTIFS($BM$9:$BM$508,$BM196,$CF$9:$CF$508,$CF196,$CH$9:$CH$508,"&lt;"&amp;$CH196)+COUNTIFS($BM$9:$BM$508,$BM196,$CF$9:$CF$508,$CF196,$CH$9:$CH$508,$CH196,$CJ$9:$CJ$508,"&lt;"&amp;$CJ196)+1))</f>
        <v/>
      </c>
      <c r="CL196" s="74" t="str">
        <f aca="false">IF(ISBLANK($C196),"",IF($BL196&lt;&gt;Constants!$B$4,$BL196,$CG196-$CK196))</f>
        <v/>
      </c>
      <c r="CM196" s="74" t="str">
        <f aca="false">IF(ISBLANK($C196),"",IF(NOT($AL196),"",IF(ISBLANK($D$7),$CM$5,IF(NOT(ISNUMBER($D$7)),$CM$6,""))))</f>
        <v/>
      </c>
      <c r="CN196" s="74" t="str">
        <f aca="false">IF(ISBLANK($C196),"",OR($AN196="",$AO196="",$AP196=""))</f>
        <v/>
      </c>
      <c r="CO196" s="74" t="str">
        <f aca="false">IF(ISBLANK($C196),"",AND($AL196,$BA196=""))</f>
        <v/>
      </c>
      <c r="CP196" s="74" t="str">
        <f aca="false">IF(ISBLANK($C196),"",AND($AL196,$BB196=""))</f>
        <v/>
      </c>
      <c r="CQ196" s="74" t="str">
        <f aca="false">IF(ISBLANK($C196),"",AND($AL196,$BC196=""))</f>
        <v/>
      </c>
      <c r="CR196" s="74" t="str">
        <f aca="false">IF(ISBLANK($C196),"",AND($AL196,$BF196=""))</f>
        <v/>
      </c>
      <c r="CS196" s="74" t="str">
        <f aca="false">IF(ISBLANK($C196),"",AND($AL196,$BJ196=""))</f>
        <v/>
      </c>
      <c r="CT196" s="75"/>
      <c r="CU196" s="76"/>
      <c r="CV196" s="79" t="str">
        <f aca="false">IF(ISBLANK($C196),"",IF($BL196=Constants!$B$8,$CM196,""))</f>
        <v/>
      </c>
      <c r="CW196" s="76" t="str">
        <f aca="false">IF(ISBLANK($C196),"",IF($BL196&lt;&gt;Constants!$B$4,"",$BO196+$BP196))</f>
        <v/>
      </c>
      <c r="CX196" s="78" t="str">
        <f aca="false">IF(ISBLANK($C196),"",IF($BL196&lt;&gt;Constants!$B$4,"",$BQ196+$BR196+$BS196))</f>
        <v/>
      </c>
      <c r="CY196" s="78" t="str">
        <f aca="false">IF(ISBLANK($C196),"",IF($BL196&lt;&gt;Constants!$B$4,"",$BT196))</f>
        <v/>
      </c>
      <c r="CZ196" s="78" t="str">
        <f aca="false">IF(ISBLANK($C196),"",IF($BL196&lt;&gt;Constants!$B$4,"",$BU196+$BV196))</f>
        <v/>
      </c>
      <c r="DA196" s="78" t="str">
        <f aca="false">IF(ISBLANK($C196),"",IF($BL196&lt;&gt;Constants!$B$4,"",$BW196))</f>
        <v/>
      </c>
      <c r="DB196" s="78" t="str">
        <f aca="false">IF(ISBLANK($C196),"",IF($BL196&lt;&gt;Constants!$B$4,"",-$CD196))</f>
        <v/>
      </c>
      <c r="DC196" s="79" t="str">
        <f aca="false">IF(ISBLANK($C196),"",$CE196)</f>
        <v/>
      </c>
      <c r="DD196" s="80" t="str">
        <f aca="false">IF(ISBLANK($C196),"",$BM196)</f>
        <v/>
      </c>
      <c r="DE196" s="78" t="str">
        <f aca="false">IF(ISBLANK($C196),"",$CL196)</f>
        <v/>
      </c>
      <c r="DF196" s="78" t="str">
        <f aca="false">IF(ISBLANK($C196),"",$CK196)</f>
        <v/>
      </c>
      <c r="DG196" s="81" t="str">
        <f aca="false">IF(ISBLANK($C196),"",IF($DF196=Constants!$B$7,COUNTA($C$9:$C$508)+2,IF($DF196=Constants!$B$6,COUNTA($C$9:$C$508)+1,IF($DF196=Constants!$B$5,COUNTA($C$9:$C$508),$DF196))))</f>
        <v/>
      </c>
      <c r="DH196" s="7"/>
      <c r="DI196" s="82" t="n">
        <f aca="false">IF(OR(ISNUMBER($DF196),$DF196=Constants!$B$7,$DF196=Constants!$B$5,$DF196=Constants!$B$6),1,0)</f>
        <v>0</v>
      </c>
      <c r="DJ196" s="82" t="n">
        <v>188</v>
      </c>
      <c r="DK196" s="82" t="str">
        <f aca="false">IF(ISBLANK($C196),"",IF(ISNUMBER($DG196),$DG196+ROW($B196)/1000,""))</f>
        <v/>
      </c>
      <c r="DL196" s="82" t="str">
        <f aca="false">IF(ISNUMBER($DK196),RANK($DK196,$DK$9:$DK$508,1),"")</f>
        <v/>
      </c>
      <c r="DM196" s="82" t="str">
        <f aca="false">IF(ISBLANK($C196),"",$B196)</f>
        <v/>
      </c>
      <c r="DN196" s="82" t="str">
        <f aca="false">IF(ISBLANK($C196),"",$C196)</f>
        <v/>
      </c>
      <c r="DO196" s="82" t="str">
        <f aca="false">IF(ISBLANK($C196),"",$D196)</f>
        <v/>
      </c>
      <c r="DP196" s="83" t="str">
        <f aca="false">$DD196</f>
        <v/>
      </c>
      <c r="DQ196" s="84" t="str">
        <f aca="false">$DC196</f>
        <v/>
      </c>
      <c r="DR196" s="82" t="str">
        <f aca="false">IF(ISBLANK($C196),"",$DF196)</f>
        <v/>
      </c>
      <c r="DS196" s="85" t="str">
        <f aca="false">IF($DJ196&gt;$DI$8,"",VLOOKUP($DJ196,$DL$9:$DR$508,7,FALSE()))</f>
        <v/>
      </c>
      <c r="DT196" s="86" t="str">
        <f aca="false">IF($DJ196&gt;$DI$8,"",VLOOKUP($DJ196,$DL$9:$DR$508,2,FALSE()))</f>
        <v/>
      </c>
      <c r="DU196" s="86" t="str">
        <f aca="false">IF($DJ196&gt;$DI$8,"",VLOOKUP($DJ196,$DL$9:$DR$508,3,FALSE()))</f>
        <v/>
      </c>
      <c r="DV196" s="86" t="str">
        <f aca="false">IF($DJ196&gt;$DI$8,"",VLOOKUP($DJ196,$DL$9:$DR$508,4,FALSE()))</f>
        <v/>
      </c>
      <c r="DW196" s="86" t="str">
        <f aca="false">IF($DJ196&gt;$DI$8,"",VLOOKUP($DJ196,$DL$9:$DR$508,5,FALSE()))</f>
        <v/>
      </c>
      <c r="DX196" s="87" t="str">
        <f aca="false">IF($DJ196&gt;$DI$8,"",VLOOKUP($DJ196,$DL$9:$DR$508,6,FALSE()))</f>
        <v/>
      </c>
      <c r="DY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88"/>
      <c r="N197" s="88"/>
      <c r="O197" s="134"/>
      <c r="P197" s="134"/>
      <c r="Q197" s="88"/>
      <c r="R197" s="88"/>
      <c r="S197" s="88"/>
      <c r="T197" s="88"/>
      <c r="U197" s="134"/>
      <c r="V197" s="88"/>
      <c r="W197" s="70"/>
      <c r="X197" s="88"/>
      <c r="Y197" s="88"/>
      <c r="Z197" s="70"/>
      <c r="AA197" s="70"/>
      <c r="AB197" s="88"/>
      <c r="AC197" s="88"/>
      <c r="AD197" s="88"/>
      <c r="AE197" s="71"/>
      <c r="AF197" s="88"/>
      <c r="AG197" s="73"/>
      <c r="AH197" s="74"/>
      <c r="AI197" s="74"/>
      <c r="AJ197" s="74" t="str">
        <f aca="false">IF(ISBLANK($C197),"",IF($E197=Constants!$B$2,TRUE(),IF($E197=Constants!$B$3,FALSE(),TRUE())))</f>
        <v/>
      </c>
      <c r="AK197" s="74" t="str">
        <f aca="false">IF(ISBLANK($C197),"",IF($F197=Constants!$B$2,TRUE(),IF($F197=Constants!$B$3,FALSE(),FALSE())))</f>
        <v/>
      </c>
      <c r="AL197" s="74" t="str">
        <f aca="false">IF(ISBLANK($C197),"",IF($G197=Constants!$B$2,TRUE(),IF($G197=Constants!$B$3,FALSE(),TRUE())))</f>
        <v/>
      </c>
      <c r="AM197" s="74" t="str">
        <f aca="false">IF(ISBLANK($C197),"",IF($H197=Constants!$B$2,TRUE(),IF($H197=Constants!$B$3,FALSE(),TRUE())))</f>
        <v/>
      </c>
      <c r="AN197" s="74" t="str">
        <f aca="false">IF(ISBLANK($C197),"",IF(ISNUMBER($I197),IF($I197&gt;=0,$I197,""),""))</f>
        <v/>
      </c>
      <c r="AO197" s="74" t="str">
        <f aca="false">IF(ISBLANK($C197),"",IF(ISNUMBER($J197),IF($J197&gt;=0,$J197,""),""))</f>
        <v/>
      </c>
      <c r="AP197" s="74" t="str">
        <f aca="false">IF(ISBLANK($C197),"",IF(ISNUMBER($K197),IF($K197&gt;=0,$K197,""),""))</f>
        <v/>
      </c>
      <c r="AQ197" s="74" t="str">
        <f aca="false">IF(ISBLANK($C197),"",IF($L197=Constants!$B$2,TRUE(),IF($L197=Constants!$B$3,FALSE(),TRUE())))</f>
        <v/>
      </c>
      <c r="AR197" s="74" t="str">
        <f aca="false">IF(ISBLANK($C197),"",IF($M197=Constants!$B$2,TRUE(),IF($M197=Constants!$B$3,FALSE(),TRUE())))</f>
        <v/>
      </c>
      <c r="AS197" s="74" t="str">
        <f aca="false">IF(ISBLANK($C197),"",IF($N197=Constants!$B$2,TRUE(),IF($N197=Constants!$B$3,FALSE(),FALSE())))</f>
        <v/>
      </c>
      <c r="AT197" s="74" t="str">
        <f aca="false">IF(ISBLANK($C197),"",IF($O197=Constants!$B$2,TRUE(),IF($O197=Constants!$B$3,FALSE(),TRUE())))</f>
        <v/>
      </c>
      <c r="AU197" s="74" t="str">
        <f aca="false">IF(ISBLANK($C197),"",IF($P197=Constants!$B$2,TRUE(),IF($P197=Constants!$B$3,FALSE(),TRUE())))</f>
        <v/>
      </c>
      <c r="AV197" s="74" t="str">
        <f aca="false">IF(ISBLANK($C197),"",IF($Q197=Constants!$B$2,TRUE(),IF($Q197=Constants!$B$3,FALSE(),FALSE())))</f>
        <v/>
      </c>
      <c r="AW197" s="74" t="str">
        <f aca="false">IF(ISBLANK($C197),"",IF($R197=Constants!$B$2,TRUE(),IF($R197=Constants!$B$3,FALSE(),FALSE())))</f>
        <v/>
      </c>
      <c r="AX197" s="74" t="str">
        <f aca="false">IF(ISBLANK($C197),"",IF($S197=Constants!$B$2,TRUE(),IF($S197=Constants!$B$3,FALSE(),FALSE())))</f>
        <v/>
      </c>
      <c r="AY197" s="74" t="str">
        <f aca="false">IF(ISBLANK($C197),"",IF($T197=Constants!$B$2,TRUE(),IF($T197=Constants!$B$3,FALSE(),FALSE())))</f>
        <v/>
      </c>
      <c r="AZ197" s="74" t="str">
        <f aca="false">IF(ISBLANK($C197),"",IF($U197=Constants!$B$2,TRUE(),IF($U197=Constants!$B$3,FALSE(),FALSE())))</f>
        <v/>
      </c>
      <c r="BA197" s="74" t="str">
        <f aca="false">IF(ISBLANK($C197),"",IF(OR($V197&amp;""="1",$V197&amp;""="2",$V197&amp;""="3",$V197&amp;""="4"),VALUE($V197&amp;""),IF($V197=Constants!$B$12,Constants!$B$12,"")))</f>
        <v/>
      </c>
      <c r="BB197" s="74" t="str">
        <f aca="false">IF(ISBLANK($C197),"",IF(ISBLANK($W197),0,IF(ISNUMBER($W197),IF(AND($W197&gt;=0,$W197&lt;=Constants!$B$21,$W197=INT($W197)),$W197,""),"")))</f>
        <v/>
      </c>
      <c r="BC197" s="74" t="str">
        <f aca="false">IF(ISBLANK($C197),"",IF(ISBLANK($X197),0,IF(ISNUMBER($X197),IF($X197&gt;=0,$X197,""),"")))</f>
        <v/>
      </c>
      <c r="BD197" s="74" t="str">
        <f aca="false">IF(ISBLANK($C197),"",IF($Y197=Constants!$B$2,TRUE(),IF($Y197=Constants!$B$3,FALSE(),TRUE())))</f>
        <v/>
      </c>
      <c r="BE197" s="74" t="str">
        <f aca="false">IF(ISBLANK($C197),"",IF($Z197=Constants!$B$2,TRUE(),IF($Z197=Constants!$B$3,FALSE(),FALSE())))</f>
        <v/>
      </c>
      <c r="BF197" s="74" t="str">
        <f aca="false">IF(ISBLANK($C197),"",IF(ISBLANK($AA197),0,IF(ISNUMBER($AA197),IF(AND($AA197&gt;=0,$AA197&lt;=Constants!$B$35,$AA197=INT($AA197)),$AA197,""),"")))</f>
        <v/>
      </c>
      <c r="BG197" s="74" t="str">
        <f aca="false">IF(ISBLANK($C197),"",IF($AB197=Constants!$B$2,TRUE(),IF($AB197=Constants!$B$3,FALSE(),TRUE())))</f>
        <v/>
      </c>
      <c r="BH197" s="74" t="str">
        <f aca="false">IF(ISBLANK($C197),"",IF($AC197=Constants!$B$2,TRUE(),IF($AC197=Constants!$B$3,FALSE(),TRUE())))</f>
        <v/>
      </c>
      <c r="BI197" s="74" t="str">
        <f aca="false">IF(ISBLANK($C197),"",IF($AD197=Constants!$B$2,TRUE(),IF($AD197=Constants!$B$3,FALSE(),TRUE())))</f>
        <v/>
      </c>
      <c r="BJ197" s="74" t="str">
        <f aca="false">IF(ISBLANK($C197),"",IF(ISNUMBER($AE197),IF($AE197&gt;=0,$AE197,""),""))</f>
        <v/>
      </c>
      <c r="BK197" s="74" t="str">
        <f aca="false">IF(ISBLANK($C197),"",IF($AF197=Constants!$B$2,TRUE(),IF($AF197=Constants!$B$3,FALSE(),FALSE())))</f>
        <v/>
      </c>
      <c r="BL197" s="73" t="str">
        <f aca="false">IF(ISBLANK($C197),"",IF($BK197,Constants!$B$7,IF(COUNTA($E197:$AE197)=0,Constants!$B$6,IF(OR(COUNTA($G197:$AE197)=0,NOT($AM197),$AS197),Constants!$B$5,IF(OR($CM197&lt;&gt;"",$CN197,$CO197,$CP197,$CQ197,$CR197,$CS197),Constants!$B$8,Constants!$B$4)))))</f>
        <v/>
      </c>
      <c r="BM197" s="74" t="str">
        <f aca="false">IF(ISBLANK($C197),"",IF($BL197&lt;&gt;Constants!$B$4,$BL197,IF(OR(NOT($AJ197),NOT($AL197),NOT($AT197)),Constants!$B$11,IF(OR(NOT($AR197),NOT($AU197),NOT($BI197),MAX($AN197,$AO197,$AP197)&gt;Constants!$B$30),Constants!$B$10,Constants!$B$9))))</f>
        <v/>
      </c>
      <c r="BN197" s="74" t="str">
        <f aca="false">IF($BL197&lt;&gt;Constants!$B$4,"",IF(NOT($AL197),0,MIN(Constants!$B$35,$BF197)))</f>
        <v/>
      </c>
      <c r="BO197" s="74" t="str">
        <f aca="false">IF($BL197&lt;&gt;Constants!$B$4,"",IF(NOT($AL197),0,IF($AW197,Constants!$B$18,IF($AV197,Constants!$B$17,0))))</f>
        <v/>
      </c>
      <c r="BP197" s="74" t="str">
        <f aca="false">IF($BL197&lt;&gt;Constants!$B$4,"",IF(NOT($AL197),0,Constants!$B$19*($AK197+$AX197+$AY197+$AZ197)))</f>
        <v/>
      </c>
      <c r="BQ197" s="74" t="str">
        <f aca="false">IF($BL197&lt;&gt;Constants!$B$4,"",IF(OR(NOT($AL197),NOT(ISNUMBER($BA197))),0,CHOOSE($BA197,Constants!$B$13,Constants!$B$14,Constants!$B$15,Constants!$B$16)))</f>
        <v/>
      </c>
      <c r="BR197" s="74" t="str">
        <f aca="false">IF($BL197&lt;&gt;Constants!$B$4,"",IF(NOT($AL197),0,Constants!$B$20*$BB197))</f>
        <v/>
      </c>
      <c r="BS197" s="74" t="str">
        <f aca="false">IF($BL197&lt;&gt;Constants!$B$4,"",IF(AND($AL197,$BD197,$BE197),Constants!$B$22,0))</f>
        <v/>
      </c>
      <c r="BT197" s="74" t="str">
        <f aca="false">IF($BL197&lt;&gt;Constants!$B$4,"",IF(OR(NOT($AL197),NOT($BD197)),0,IF($BJ197&gt;=2*$AH$9,0,Constants!$B$23*INT(ROUND(MIN($BJ197,$AH$9),6)))))</f>
        <v/>
      </c>
      <c r="BU197" s="74" t="str">
        <f aca="false">IF($BL197&lt;&gt;Constants!$B$4,"",IF(NOT($AL197),0,Constants!$B$24*INT(ROUND(MIN($BC197,$AH$9),6))))</f>
        <v/>
      </c>
      <c r="BV197" s="74" t="str">
        <f aca="false">IF($BL197&lt;&gt;Constants!$B$4,"",IF(AND($AL197,$BN197=0),Constants!$B$25,0))</f>
        <v/>
      </c>
      <c r="BW197" s="74" t="str">
        <f aca="false">IF($BL197&lt;&gt;Constants!$B$4,"",MIN(Constants!$B$29,MAX(0,Constants!$B$27*Constants!$B$28*INT(ROUND((Constants!$B$26-$AN197)/Constants!$B$28,6))))+MIN(Constants!$B$29,MAX(0,Constants!$B$27*Constants!$B$28*INT(ROUND((Constants!$B$26-$AO197)/Constants!$B$28,6))))+MIN(Constants!$B$29,MAX(0,Constants!$B$27*Constants!$B$28*INT(ROUND((Constants!$B$26-$AP197)/Constants!$B$28,6)))))</f>
        <v/>
      </c>
      <c r="BX197" s="74" t="str">
        <f aca="false">IF($BL197&lt;&gt;Constants!$B$4,"",IF(NOT($AL197),0,Constants!$B$31*INT(ROUND(MAX(0,MIN($BJ197,2*$AH$9)-$AH$9),6))))</f>
        <v/>
      </c>
      <c r="BY197" s="74" t="str">
        <f aca="false">IF($BL197&lt;&gt;Constants!$B$4,"",Constants!$B$32*(($AN197&gt;Constants!$B$26)+($AO197&gt;Constants!$B$26)+($AP197&gt;Constants!$B$26)))</f>
        <v/>
      </c>
      <c r="BZ197" s="74" t="str">
        <f aca="false">IF($BL197&lt;&gt;Constants!$B$4,"",IF(OR(NOT($AL197),$AQ197),0,Constants!$B$33))</f>
        <v/>
      </c>
      <c r="CA197" s="74" t="str">
        <f aca="false">IF($BL197&lt;&gt;Constants!$B$4,"",Constants!$B$34*$BN197)</f>
        <v/>
      </c>
      <c r="CB197" s="74" t="str">
        <f aca="false">IF($BL197&lt;&gt;Constants!$B$4,"",IF(OR(NOT($AL197),$BH197),0,Constants!$B$36))</f>
        <v/>
      </c>
      <c r="CC197" s="74" t="str">
        <f aca="false">IF($BL197&lt;&gt;Constants!$B$4,"",IF(OR(NOT($AL197),$BG197),0,Constants!$B$37))</f>
        <v/>
      </c>
      <c r="CD197" s="74" t="str">
        <f aca="false">IF($BL197&lt;&gt;Constants!$B$4,"",SUM($BX197:$CC197))</f>
        <v/>
      </c>
      <c r="CE197" s="74" t="str">
        <f aca="false">IF(ISBLANK($C197),"",IF($BL197&lt;&gt;Constants!$B$4,$BL197,SUM($BO197:$BW197)-$CD197))</f>
        <v/>
      </c>
      <c r="CF197" s="74" t="str">
        <f aca="false">IF(ISBLANK($C197),"",IF($BL197&lt;&gt;Constants!$B$4,$BL197,RANK($CE197,$CE$9:$CE$508)))</f>
        <v/>
      </c>
      <c r="CG197" s="74" t="str">
        <f aca="false">IF(ISBLANK($C197),"",IF($BL197&lt;&gt;Constants!$B$4,$BL197,COUNTIFS($BM$9:$BM$508,"&lt;"&amp;$BM197)+COUNTIFS($BM$9:$BM$508,$BM197,$CF$9:$CF$508,"&lt;"&amp;$CF197)+1))</f>
        <v/>
      </c>
      <c r="CH197" s="74" t="str">
        <f aca="false">IF(ISBLANK($C197),"",IF($BL197&lt;&gt;Constants!$B$4,$BL197,RANK($CD197,$CD$9:$CD$508,1)))</f>
        <v/>
      </c>
      <c r="CI197" s="74" t="str">
        <f aca="false">IF($BL197&lt;&gt;Constants!$B$4,"",$AN197+$AO197+$AP197)</f>
        <v/>
      </c>
      <c r="CJ197" s="74" t="str">
        <f aca="false">IF(ISBLANK($C197),"",IF($BL197&lt;&gt;Constants!$B$4,$BL197,RANK($CI197,$CI$9:$CI$508,1)))</f>
        <v/>
      </c>
      <c r="CK197" s="74" t="str">
        <f aca="false">IF(ISBLANK($C197),"",IF($BL197&lt;&gt;Constants!$B$4,$BL197,COUNTIFS($BM$9:$BM$508,"&lt;"&amp;$BM197)+COUNTIFS($BM$9:$BM$508,$BM197,$CF$9:$CF$508,"&lt;"&amp;$CF197)+COUNTIFS($BM$9:$BM$508,$BM197,$CF$9:$CF$508,$CF197,$CH$9:$CH$508,"&lt;"&amp;$CH197)+COUNTIFS($BM$9:$BM$508,$BM197,$CF$9:$CF$508,$CF197,$CH$9:$CH$508,$CH197,$CJ$9:$CJ$508,"&lt;"&amp;$CJ197)+1))</f>
        <v/>
      </c>
      <c r="CL197" s="74" t="str">
        <f aca="false">IF(ISBLANK($C197),"",IF($BL197&lt;&gt;Constants!$B$4,$BL197,$CG197-$CK197))</f>
        <v/>
      </c>
      <c r="CM197" s="74" t="str">
        <f aca="false">IF(ISBLANK($C197),"",IF(NOT($AL197),"",IF(ISBLANK($D$7),$CM$5,IF(NOT(ISNUMBER($D$7)),$CM$6,""))))</f>
        <v/>
      </c>
      <c r="CN197" s="74" t="str">
        <f aca="false">IF(ISBLANK($C197),"",OR($AN197="",$AO197="",$AP197=""))</f>
        <v/>
      </c>
      <c r="CO197" s="74" t="str">
        <f aca="false">IF(ISBLANK($C197),"",AND($AL197,$BA197=""))</f>
        <v/>
      </c>
      <c r="CP197" s="74" t="str">
        <f aca="false">IF(ISBLANK($C197),"",AND($AL197,$BB197=""))</f>
        <v/>
      </c>
      <c r="CQ197" s="74" t="str">
        <f aca="false">IF(ISBLANK($C197),"",AND($AL197,$BC197=""))</f>
        <v/>
      </c>
      <c r="CR197" s="74" t="str">
        <f aca="false">IF(ISBLANK($C197),"",AND($AL197,$BF197=""))</f>
        <v/>
      </c>
      <c r="CS197" s="74" t="str">
        <f aca="false">IF(ISBLANK($C197),"",AND($AL197,$BJ197=""))</f>
        <v/>
      </c>
      <c r="CT197" s="75"/>
      <c r="CU197" s="76"/>
      <c r="CV197" s="79" t="str">
        <f aca="false">IF(ISBLANK($C197),"",IF($BL197=Constants!$B$8,$CM197,""))</f>
        <v/>
      </c>
      <c r="CW197" s="76" t="str">
        <f aca="false">IF(ISBLANK($C197),"",IF($BL197&lt;&gt;Constants!$B$4,"",$BO197+$BP197))</f>
        <v/>
      </c>
      <c r="CX197" s="78" t="str">
        <f aca="false">IF(ISBLANK($C197),"",IF($BL197&lt;&gt;Constants!$B$4,"",$BQ197+$BR197+$BS197))</f>
        <v/>
      </c>
      <c r="CY197" s="78" t="str">
        <f aca="false">IF(ISBLANK($C197),"",IF($BL197&lt;&gt;Constants!$B$4,"",$BT197))</f>
        <v/>
      </c>
      <c r="CZ197" s="78" t="str">
        <f aca="false">IF(ISBLANK($C197),"",IF($BL197&lt;&gt;Constants!$B$4,"",$BU197+$BV197))</f>
        <v/>
      </c>
      <c r="DA197" s="78" t="str">
        <f aca="false">IF(ISBLANK($C197),"",IF($BL197&lt;&gt;Constants!$B$4,"",$BW197))</f>
        <v/>
      </c>
      <c r="DB197" s="78" t="str">
        <f aca="false">IF(ISBLANK($C197),"",IF($BL197&lt;&gt;Constants!$B$4,"",-$CD197))</f>
        <v/>
      </c>
      <c r="DC197" s="79" t="str">
        <f aca="false">IF(ISBLANK($C197),"",$CE197)</f>
        <v/>
      </c>
      <c r="DD197" s="80" t="str">
        <f aca="false">IF(ISBLANK($C197),"",$BM197)</f>
        <v/>
      </c>
      <c r="DE197" s="78" t="str">
        <f aca="false">IF(ISBLANK($C197),"",$CL197)</f>
        <v/>
      </c>
      <c r="DF197" s="78" t="str">
        <f aca="false">IF(ISBLANK($C197),"",$CK197)</f>
        <v/>
      </c>
      <c r="DG197" s="81" t="str">
        <f aca="false">IF(ISBLANK($C197),"",IF($DF197=Constants!$B$7,COUNTA($C$9:$C$508)+2,IF($DF197=Constants!$B$6,COUNTA($C$9:$C$508)+1,IF($DF197=Constants!$B$5,COUNTA($C$9:$C$508),$DF197))))</f>
        <v/>
      </c>
      <c r="DH197" s="7"/>
      <c r="DI197" s="82" t="n">
        <f aca="false">IF(OR(ISNUMBER($DF197),$DF197=Constants!$B$7,$DF197=Constants!$B$5,$DF197=Constants!$B$6),1,0)</f>
        <v>0</v>
      </c>
      <c r="DJ197" s="82" t="n">
        <v>189</v>
      </c>
      <c r="DK197" s="82" t="str">
        <f aca="false">IF(ISBLANK($C197),"",IF(ISNUMBER($DG197),$DG197+ROW($B197)/1000,""))</f>
        <v/>
      </c>
      <c r="DL197" s="82" t="str">
        <f aca="false">IF(ISNUMBER($DK197),RANK($DK197,$DK$9:$DK$508,1),"")</f>
        <v/>
      </c>
      <c r="DM197" s="82" t="str">
        <f aca="false">IF(ISBLANK($C197),"",$B197)</f>
        <v/>
      </c>
      <c r="DN197" s="82" t="str">
        <f aca="false">IF(ISBLANK($C197),"",$C197)</f>
        <v/>
      </c>
      <c r="DO197" s="82" t="str">
        <f aca="false">IF(ISBLANK($C197),"",$D197)</f>
        <v/>
      </c>
      <c r="DP197" s="83" t="str">
        <f aca="false">$DD197</f>
        <v/>
      </c>
      <c r="DQ197" s="84" t="str">
        <f aca="false">$DC197</f>
        <v/>
      </c>
      <c r="DR197" s="82" t="str">
        <f aca="false">IF(ISBLANK($C197),"",$DF197)</f>
        <v/>
      </c>
      <c r="DS197" s="85" t="str">
        <f aca="false">IF($DJ197&gt;$DI$8,"",VLOOKUP($DJ197,$DL$9:$DR$508,7,FALSE()))</f>
        <v/>
      </c>
      <c r="DT197" s="86" t="str">
        <f aca="false">IF($DJ197&gt;$DI$8,"",VLOOKUP($DJ197,$DL$9:$DR$508,2,FALSE()))</f>
        <v/>
      </c>
      <c r="DU197" s="86" t="str">
        <f aca="false">IF($DJ197&gt;$DI$8,"",VLOOKUP($DJ197,$DL$9:$DR$508,3,FALSE()))</f>
        <v/>
      </c>
      <c r="DV197" s="86" t="str">
        <f aca="false">IF($DJ197&gt;$DI$8,"",VLOOKUP($DJ197,$DL$9:$DR$508,4,FALSE()))</f>
        <v/>
      </c>
      <c r="DW197" s="86" t="str">
        <f aca="false">IF($DJ197&gt;$DI$8,"",VLOOKUP($DJ197,$DL$9:$DR$508,5,FALSE()))</f>
        <v/>
      </c>
      <c r="DX197" s="87" t="str">
        <f aca="false">IF($DJ197&gt;$DI$8,"",VLOOKUP($DJ197,$DL$9:$DR$508,6,FALSE()))</f>
        <v/>
      </c>
      <c r="DY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130"/>
      <c r="N198" s="130"/>
      <c r="O198" s="135"/>
      <c r="P198" s="135"/>
      <c r="Q198" s="130"/>
      <c r="R198" s="130"/>
      <c r="S198" s="130"/>
      <c r="T198" s="130"/>
      <c r="U198" s="135"/>
      <c r="V198" s="130"/>
      <c r="W198" s="96"/>
      <c r="X198" s="130"/>
      <c r="Y198" s="130"/>
      <c r="Z198" s="96"/>
      <c r="AA198" s="96"/>
      <c r="AB198" s="130"/>
      <c r="AC198" s="130"/>
      <c r="AD198" s="130"/>
      <c r="AE198" s="97"/>
      <c r="AF198" s="130"/>
      <c r="AG198" s="99"/>
      <c r="AH198" s="100"/>
      <c r="AI198" s="100"/>
      <c r="AJ198" s="100" t="str">
        <f aca="false">IF(ISBLANK($C198),"",IF($E198=Constants!$B$2,TRUE(),IF($E198=Constants!$B$3,FALSE(),TRUE())))</f>
        <v/>
      </c>
      <c r="AK198" s="100" t="str">
        <f aca="false">IF(ISBLANK($C198),"",IF($F198=Constants!$B$2,TRUE(),IF($F198=Constants!$B$3,FALSE(),FALSE())))</f>
        <v/>
      </c>
      <c r="AL198" s="100" t="str">
        <f aca="false">IF(ISBLANK($C198),"",IF($G198=Constants!$B$2,TRUE(),IF($G198=Constants!$B$3,FALSE(),TRUE())))</f>
        <v/>
      </c>
      <c r="AM198" s="100" t="str">
        <f aca="false">IF(ISBLANK($C198),"",IF($H198=Constants!$B$2,TRUE(),IF($H198=Constants!$B$3,FALSE(),TRUE())))</f>
        <v/>
      </c>
      <c r="AN198" s="100" t="str">
        <f aca="false">IF(ISBLANK($C198),"",IF(ISNUMBER($I198),IF($I198&gt;=0,$I198,""),""))</f>
        <v/>
      </c>
      <c r="AO198" s="100" t="str">
        <f aca="false">IF(ISBLANK($C198),"",IF(ISNUMBER($J198),IF($J198&gt;=0,$J198,""),""))</f>
        <v/>
      </c>
      <c r="AP198" s="100" t="str">
        <f aca="false">IF(ISBLANK($C198),"",IF(ISNUMBER($K198),IF($K198&gt;=0,$K198,""),""))</f>
        <v/>
      </c>
      <c r="AQ198" s="100" t="str">
        <f aca="false">IF(ISBLANK($C198),"",IF($L198=Constants!$B$2,TRUE(),IF($L198=Constants!$B$3,FALSE(),TRUE())))</f>
        <v/>
      </c>
      <c r="AR198" s="100" t="str">
        <f aca="false">IF(ISBLANK($C198),"",IF($M198=Constants!$B$2,TRUE(),IF($M198=Constants!$B$3,FALSE(),TRUE())))</f>
        <v/>
      </c>
      <c r="AS198" s="100" t="str">
        <f aca="false">IF(ISBLANK($C198),"",IF($N198=Constants!$B$2,TRUE(),IF($N198=Constants!$B$3,FALSE(),FALSE())))</f>
        <v/>
      </c>
      <c r="AT198" s="100" t="str">
        <f aca="false">IF(ISBLANK($C198),"",IF($O198=Constants!$B$2,TRUE(),IF($O198=Constants!$B$3,FALSE(),TRUE())))</f>
        <v/>
      </c>
      <c r="AU198" s="100" t="str">
        <f aca="false">IF(ISBLANK($C198),"",IF($P198=Constants!$B$2,TRUE(),IF($P198=Constants!$B$3,FALSE(),TRUE())))</f>
        <v/>
      </c>
      <c r="AV198" s="100" t="str">
        <f aca="false">IF(ISBLANK($C198),"",IF($Q198=Constants!$B$2,TRUE(),IF($Q198=Constants!$B$3,FALSE(),FALSE())))</f>
        <v/>
      </c>
      <c r="AW198" s="100" t="str">
        <f aca="false">IF(ISBLANK($C198),"",IF($R198=Constants!$B$2,TRUE(),IF($R198=Constants!$B$3,FALSE(),FALSE())))</f>
        <v/>
      </c>
      <c r="AX198" s="100" t="str">
        <f aca="false">IF(ISBLANK($C198),"",IF($S198=Constants!$B$2,TRUE(),IF($S198=Constants!$B$3,FALSE(),FALSE())))</f>
        <v/>
      </c>
      <c r="AY198" s="100" t="str">
        <f aca="false">IF(ISBLANK($C198),"",IF($T198=Constants!$B$2,TRUE(),IF($T198=Constants!$B$3,FALSE(),FALSE())))</f>
        <v/>
      </c>
      <c r="AZ198" s="100" t="str">
        <f aca="false">IF(ISBLANK($C198),"",IF($U198=Constants!$B$2,TRUE(),IF($U198=Constants!$B$3,FALSE(),FALSE())))</f>
        <v/>
      </c>
      <c r="BA198" s="100" t="str">
        <f aca="false">IF(ISBLANK($C198),"",IF(OR($V198&amp;""="1",$V198&amp;""="2",$V198&amp;""="3",$V198&amp;""="4"),VALUE($V198&amp;""),IF($V198=Constants!$B$12,Constants!$B$12,"")))</f>
        <v/>
      </c>
      <c r="BB198" s="100" t="str">
        <f aca="false">IF(ISBLANK($C198),"",IF(ISBLANK($W198),0,IF(ISNUMBER($W198),IF(AND($W198&gt;=0,$W198&lt;=Constants!$B$21,$W198=INT($W198)),$W198,""),"")))</f>
        <v/>
      </c>
      <c r="BC198" s="100" t="str">
        <f aca="false">IF(ISBLANK($C198),"",IF(ISBLANK($X198),0,IF(ISNUMBER($X198),IF($X198&gt;=0,$X198,""),"")))</f>
        <v/>
      </c>
      <c r="BD198" s="100" t="str">
        <f aca="false">IF(ISBLANK($C198),"",IF($Y198=Constants!$B$2,TRUE(),IF($Y198=Constants!$B$3,FALSE(),TRUE())))</f>
        <v/>
      </c>
      <c r="BE198" s="100" t="str">
        <f aca="false">IF(ISBLANK($C198),"",IF($Z198=Constants!$B$2,TRUE(),IF($Z198=Constants!$B$3,FALSE(),FALSE())))</f>
        <v/>
      </c>
      <c r="BF198" s="100" t="str">
        <f aca="false">IF(ISBLANK($C198),"",IF(ISBLANK($AA198),0,IF(ISNUMBER($AA198),IF(AND($AA198&gt;=0,$AA198&lt;=Constants!$B$35,$AA198=INT($AA198)),$AA198,""),"")))</f>
        <v/>
      </c>
      <c r="BG198" s="100" t="str">
        <f aca="false">IF(ISBLANK($C198),"",IF($AB198=Constants!$B$2,TRUE(),IF($AB198=Constants!$B$3,FALSE(),TRUE())))</f>
        <v/>
      </c>
      <c r="BH198" s="100" t="str">
        <f aca="false">IF(ISBLANK($C198),"",IF($AC198=Constants!$B$2,TRUE(),IF($AC198=Constants!$B$3,FALSE(),TRUE())))</f>
        <v/>
      </c>
      <c r="BI198" s="100" t="str">
        <f aca="false">IF(ISBLANK($C198),"",IF($AD198=Constants!$B$2,TRUE(),IF($AD198=Constants!$B$3,FALSE(),TRUE())))</f>
        <v/>
      </c>
      <c r="BJ198" s="100" t="str">
        <f aca="false">IF(ISBLANK($C198),"",IF(ISNUMBER($AE198),IF($AE198&gt;=0,$AE198,""),""))</f>
        <v/>
      </c>
      <c r="BK198" s="100" t="str">
        <f aca="false">IF(ISBLANK($C198),"",IF($AF198=Constants!$B$2,TRUE(),IF($AF198=Constants!$B$3,FALSE(),FALSE())))</f>
        <v/>
      </c>
      <c r="BL198" s="99" t="str">
        <f aca="false">IF(ISBLANK($C198),"",IF($BK198,Constants!$B$7,IF(COUNTA($E198:$AE198)=0,Constants!$B$6,IF(OR(COUNTA($G198:$AE198)=0,NOT($AM198),$AS198),Constants!$B$5,IF(OR($CM198&lt;&gt;"",$CN198,$CO198,$CP198,$CQ198,$CR198,$CS198),Constants!$B$8,Constants!$B$4)))))</f>
        <v/>
      </c>
      <c r="BM198" s="100" t="str">
        <f aca="false">IF(ISBLANK($C198),"",IF($BL198&lt;&gt;Constants!$B$4,$BL198,IF(OR(NOT($AJ198),NOT($AL198),NOT($AT198)),Constants!$B$11,IF(OR(NOT($AR198),NOT($AU198),NOT($BI198),MAX($AN198,$AO198,$AP198)&gt;Constants!$B$30),Constants!$B$10,Constants!$B$9))))</f>
        <v/>
      </c>
      <c r="BN198" s="100" t="str">
        <f aca="false">IF($BL198&lt;&gt;Constants!$B$4,"",IF(NOT($AL198),0,MIN(Constants!$B$35,$BF198)))</f>
        <v/>
      </c>
      <c r="BO198" s="100" t="str">
        <f aca="false">IF($BL198&lt;&gt;Constants!$B$4,"",IF(NOT($AL198),0,IF($AW198,Constants!$B$18,IF($AV198,Constants!$B$17,0))))</f>
        <v/>
      </c>
      <c r="BP198" s="100" t="str">
        <f aca="false">IF($BL198&lt;&gt;Constants!$B$4,"",IF(NOT($AL198),0,Constants!$B$19*($AK198+$AX198+$AY198+$AZ198)))</f>
        <v/>
      </c>
      <c r="BQ198" s="100" t="str">
        <f aca="false">IF($BL198&lt;&gt;Constants!$B$4,"",IF(OR(NOT($AL198),NOT(ISNUMBER($BA198))),0,CHOOSE($BA198,Constants!$B$13,Constants!$B$14,Constants!$B$15,Constants!$B$16)))</f>
        <v/>
      </c>
      <c r="BR198" s="100" t="str">
        <f aca="false">IF($BL198&lt;&gt;Constants!$B$4,"",IF(NOT($AL198),0,Constants!$B$20*$BB198))</f>
        <v/>
      </c>
      <c r="BS198" s="100" t="str">
        <f aca="false">IF($BL198&lt;&gt;Constants!$B$4,"",IF(AND($AL198,$BD198,$BE198),Constants!$B$22,0))</f>
        <v/>
      </c>
      <c r="BT198" s="100" t="str">
        <f aca="false">IF($BL198&lt;&gt;Constants!$B$4,"",IF(OR(NOT($AL198),NOT($BD198)),0,IF($BJ198&gt;=2*$AH$9,0,Constants!$B$23*INT(ROUND(MIN($BJ198,$AH$9),6)))))</f>
        <v/>
      </c>
      <c r="BU198" s="100" t="str">
        <f aca="false">IF($BL198&lt;&gt;Constants!$B$4,"",IF(NOT($AL198),0,Constants!$B$24*INT(ROUND(MIN($BC198,$AH$9),6))))</f>
        <v/>
      </c>
      <c r="BV198" s="100" t="str">
        <f aca="false">IF($BL198&lt;&gt;Constants!$B$4,"",IF(AND($AL198,$BN198=0),Constants!$B$25,0))</f>
        <v/>
      </c>
      <c r="BW198" s="100" t="str">
        <f aca="false">IF($BL198&lt;&gt;Constants!$B$4,"",MIN(Constants!$B$29,MAX(0,Constants!$B$27*Constants!$B$28*INT(ROUND((Constants!$B$26-$AN198)/Constants!$B$28,6))))+MIN(Constants!$B$29,MAX(0,Constants!$B$27*Constants!$B$28*INT(ROUND((Constants!$B$26-$AO198)/Constants!$B$28,6))))+MIN(Constants!$B$29,MAX(0,Constants!$B$27*Constants!$B$28*INT(ROUND((Constants!$B$26-$AP198)/Constants!$B$28,6)))))</f>
        <v/>
      </c>
      <c r="BX198" s="100" t="str">
        <f aca="false">IF($BL198&lt;&gt;Constants!$B$4,"",IF(NOT($AL198),0,Constants!$B$31*INT(ROUND(MAX(0,MIN($BJ198,2*$AH$9)-$AH$9),6))))</f>
        <v/>
      </c>
      <c r="BY198" s="100" t="str">
        <f aca="false">IF($BL198&lt;&gt;Constants!$B$4,"",Constants!$B$32*(($AN198&gt;Constants!$B$26)+($AO198&gt;Constants!$B$26)+($AP198&gt;Constants!$B$26)))</f>
        <v/>
      </c>
      <c r="BZ198" s="100" t="str">
        <f aca="false">IF($BL198&lt;&gt;Constants!$B$4,"",IF(OR(NOT($AL198),$AQ198),0,Constants!$B$33))</f>
        <v/>
      </c>
      <c r="CA198" s="100" t="str">
        <f aca="false">IF($BL198&lt;&gt;Constants!$B$4,"",Constants!$B$34*$BN198)</f>
        <v/>
      </c>
      <c r="CB198" s="100" t="str">
        <f aca="false">IF($BL198&lt;&gt;Constants!$B$4,"",IF(OR(NOT($AL198),$BH198),0,Constants!$B$36))</f>
        <v/>
      </c>
      <c r="CC198" s="100" t="str">
        <f aca="false">IF($BL198&lt;&gt;Constants!$B$4,"",IF(OR(NOT($AL198),$BG198),0,Constants!$B$37))</f>
        <v/>
      </c>
      <c r="CD198" s="100" t="str">
        <f aca="false">IF($BL198&lt;&gt;Constants!$B$4,"",SUM($BX198:$CC198))</f>
        <v/>
      </c>
      <c r="CE198" s="100" t="str">
        <f aca="false">IF(ISBLANK($C198),"",IF($BL198&lt;&gt;Constants!$B$4,$BL198,SUM($BO198:$BW198)-$CD198))</f>
        <v/>
      </c>
      <c r="CF198" s="100" t="str">
        <f aca="false">IF(ISBLANK($C198),"",IF($BL198&lt;&gt;Constants!$B$4,$BL198,RANK($CE198,$CE$9:$CE$508)))</f>
        <v/>
      </c>
      <c r="CG198" s="100" t="str">
        <f aca="false">IF(ISBLANK($C198),"",IF($BL198&lt;&gt;Constants!$B$4,$BL198,COUNTIFS($BM$9:$BM$508,"&lt;"&amp;$BM198)+COUNTIFS($BM$9:$BM$508,$BM198,$CF$9:$CF$508,"&lt;"&amp;$CF198)+1))</f>
        <v/>
      </c>
      <c r="CH198" s="100" t="str">
        <f aca="false">IF(ISBLANK($C198),"",IF($BL198&lt;&gt;Constants!$B$4,$BL198,RANK($CD198,$CD$9:$CD$508,1)))</f>
        <v/>
      </c>
      <c r="CI198" s="100" t="str">
        <f aca="false">IF($BL198&lt;&gt;Constants!$B$4,"",$AN198+$AO198+$AP198)</f>
        <v/>
      </c>
      <c r="CJ198" s="100" t="str">
        <f aca="false">IF(ISBLANK($C198),"",IF($BL198&lt;&gt;Constants!$B$4,$BL198,RANK($CI198,$CI$9:$CI$508,1)))</f>
        <v/>
      </c>
      <c r="CK198" s="100" t="str">
        <f aca="false">IF(ISBLANK($C198),"",IF($BL198&lt;&gt;Constants!$B$4,$BL198,COUNTIFS($BM$9:$BM$508,"&lt;"&amp;$BM198)+COUNTIFS($BM$9:$BM$508,$BM198,$CF$9:$CF$508,"&lt;"&amp;$CF198)+COUNTIFS($BM$9:$BM$508,$BM198,$CF$9:$CF$508,$CF198,$CH$9:$CH$508,"&lt;"&amp;$CH198)+COUNTIFS($BM$9:$BM$508,$BM198,$CF$9:$CF$508,$CF198,$CH$9:$CH$508,$CH198,$CJ$9:$CJ$508,"&lt;"&amp;$CJ198)+1))</f>
        <v/>
      </c>
      <c r="CL198" s="100" t="str">
        <f aca="false">IF(ISBLANK($C198),"",IF($BL198&lt;&gt;Constants!$B$4,$BL198,$CG198-$CK198))</f>
        <v/>
      </c>
      <c r="CM198" s="100" t="str">
        <f aca="false">IF(ISBLANK($C198),"",IF(NOT($AL198),"",IF(ISBLANK($D$7),$CM$5,IF(NOT(ISNUMBER($D$7)),$CM$6,""))))</f>
        <v/>
      </c>
      <c r="CN198" s="100" t="str">
        <f aca="false">IF(ISBLANK($C198),"",OR($AN198="",$AO198="",$AP198=""))</f>
        <v/>
      </c>
      <c r="CO198" s="100" t="str">
        <f aca="false">IF(ISBLANK($C198),"",AND($AL198,$BA198=""))</f>
        <v/>
      </c>
      <c r="CP198" s="100" t="str">
        <f aca="false">IF(ISBLANK($C198),"",AND($AL198,$BB198=""))</f>
        <v/>
      </c>
      <c r="CQ198" s="100" t="str">
        <f aca="false">IF(ISBLANK($C198),"",AND($AL198,$BC198=""))</f>
        <v/>
      </c>
      <c r="CR198" s="100" t="str">
        <f aca="false">IF(ISBLANK($C198),"",AND($AL198,$BF198=""))</f>
        <v/>
      </c>
      <c r="CS198" s="100" t="str">
        <f aca="false">IF(ISBLANK($C198),"",AND($AL198,$BJ198=""))</f>
        <v/>
      </c>
      <c r="CT198" s="101"/>
      <c r="CU198" s="102"/>
      <c r="CV198" s="103" t="str">
        <f aca="false">IF(ISBLANK($C198),"",IF($BL198=Constants!$B$8,$CM198,""))</f>
        <v/>
      </c>
      <c r="CW198" s="102" t="str">
        <f aca="false">IF(ISBLANK($C198),"",IF($BL198&lt;&gt;Constants!$B$4,"",$BO198+$BP198))</f>
        <v/>
      </c>
      <c r="CX198" s="104" t="str">
        <f aca="false">IF(ISBLANK($C198),"",IF($BL198&lt;&gt;Constants!$B$4,"",$BQ198+$BR198+$BS198))</f>
        <v/>
      </c>
      <c r="CY198" s="104" t="str">
        <f aca="false">IF(ISBLANK($C198),"",IF($BL198&lt;&gt;Constants!$B$4,"",$BT198))</f>
        <v/>
      </c>
      <c r="CZ198" s="104" t="str">
        <f aca="false">IF(ISBLANK($C198),"",IF($BL198&lt;&gt;Constants!$B$4,"",$BU198+$BV198))</f>
        <v/>
      </c>
      <c r="DA198" s="104" t="str">
        <f aca="false">IF(ISBLANK($C198),"",IF($BL198&lt;&gt;Constants!$B$4,"",$BW198))</f>
        <v/>
      </c>
      <c r="DB198" s="104" t="str">
        <f aca="false">IF(ISBLANK($C198),"",IF($BL198&lt;&gt;Constants!$B$4,"",-$CD198))</f>
        <v/>
      </c>
      <c r="DC198" s="103" t="str">
        <f aca="false">IF(ISBLANK($C198),"",$CE198)</f>
        <v/>
      </c>
      <c r="DD198" s="105" t="str">
        <f aca="false">IF(ISBLANK($C198),"",$BM198)</f>
        <v/>
      </c>
      <c r="DE198" s="104" t="str">
        <f aca="false">IF(ISBLANK($C198),"",$CL198)</f>
        <v/>
      </c>
      <c r="DF198" s="104" t="str">
        <f aca="false">IF(ISBLANK($C198),"",$CK198)</f>
        <v/>
      </c>
      <c r="DG198" s="106" t="str">
        <f aca="false">IF(ISBLANK($C198),"",IF($DF198=Constants!$B$7,COUNTA($C$9:$C$508)+2,IF($DF198=Constants!$B$6,COUNTA($C$9:$C$508)+1,IF($DF198=Constants!$B$5,COUNTA($C$9:$C$508),$DF198))))</f>
        <v/>
      </c>
      <c r="DH198" s="7"/>
      <c r="DI198" s="107" t="n">
        <f aca="false">IF(OR(ISNUMBER($DF198),$DF198=Constants!$B$7,$DF198=Constants!$B$5,$DF198=Constants!$B$6),1,0)</f>
        <v>0</v>
      </c>
      <c r="DJ198" s="107" t="n">
        <v>190</v>
      </c>
      <c r="DK198" s="107" t="str">
        <f aca="false">IF(ISBLANK($C198),"",IF(ISNUMBER($DG198),$DG198+ROW($B198)/1000,""))</f>
        <v/>
      </c>
      <c r="DL198" s="107" t="str">
        <f aca="false">IF(ISNUMBER($DK198),RANK($DK198,$DK$9:$DK$508,1),"")</f>
        <v/>
      </c>
      <c r="DM198" s="107" t="str">
        <f aca="false">IF(ISBLANK($C198),"",$B198)</f>
        <v/>
      </c>
      <c r="DN198" s="107" t="str">
        <f aca="false">IF(ISBLANK($C198),"",$C198)</f>
        <v/>
      </c>
      <c r="DO198" s="107" t="str">
        <f aca="false">IF(ISBLANK($C198),"",$D198)</f>
        <v/>
      </c>
      <c r="DP198" s="108" t="str">
        <f aca="false">$DD198</f>
        <v/>
      </c>
      <c r="DQ198" s="109" t="str">
        <f aca="false">$DC198</f>
        <v/>
      </c>
      <c r="DR198" s="107" t="str">
        <f aca="false">IF(ISBLANK($C198),"",$DF198)</f>
        <v/>
      </c>
      <c r="DS198" s="110" t="str">
        <f aca="false">IF($DJ198&gt;$DI$8,"",VLOOKUP($DJ198,$DL$9:$DR$508,7,FALSE()))</f>
        <v/>
      </c>
      <c r="DT198" s="111" t="str">
        <f aca="false">IF($DJ198&gt;$DI$8,"",VLOOKUP($DJ198,$DL$9:$DR$508,2,FALSE()))</f>
        <v/>
      </c>
      <c r="DU198" s="111" t="str">
        <f aca="false">IF($DJ198&gt;$DI$8,"",VLOOKUP($DJ198,$DL$9:$DR$508,3,FALSE()))</f>
        <v/>
      </c>
      <c r="DV198" s="111" t="str">
        <f aca="false">IF($DJ198&gt;$DI$8,"",VLOOKUP($DJ198,$DL$9:$DR$508,4,FALSE()))</f>
        <v/>
      </c>
      <c r="DW198" s="111" t="str">
        <f aca="false">IF($DJ198&gt;$DI$8,"",VLOOKUP($DJ198,$DL$9:$DR$508,5,FALSE()))</f>
        <v/>
      </c>
      <c r="DX198" s="112" t="str">
        <f aca="false">IF($DJ198&gt;$DI$8,"",VLOOKUP($DJ198,$DL$9:$DR$508,6,FALSE()))</f>
        <v/>
      </c>
      <c r="DY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130"/>
      <c r="N199" s="130"/>
      <c r="O199" s="135"/>
      <c r="P199" s="135"/>
      <c r="Q199" s="130"/>
      <c r="R199" s="130"/>
      <c r="S199" s="130"/>
      <c r="T199" s="130"/>
      <c r="U199" s="135"/>
      <c r="V199" s="130"/>
      <c r="W199" s="96"/>
      <c r="X199" s="130"/>
      <c r="Y199" s="130"/>
      <c r="Z199" s="96"/>
      <c r="AA199" s="96"/>
      <c r="AB199" s="130"/>
      <c r="AC199" s="130"/>
      <c r="AD199" s="130"/>
      <c r="AE199" s="97"/>
      <c r="AF199" s="130"/>
      <c r="AG199" s="99"/>
      <c r="AH199" s="100"/>
      <c r="AI199" s="100"/>
      <c r="AJ199" s="100" t="str">
        <f aca="false">IF(ISBLANK($C199),"",IF($E199=Constants!$B$2,TRUE(),IF($E199=Constants!$B$3,FALSE(),TRUE())))</f>
        <v/>
      </c>
      <c r="AK199" s="100" t="str">
        <f aca="false">IF(ISBLANK($C199),"",IF($F199=Constants!$B$2,TRUE(),IF($F199=Constants!$B$3,FALSE(),FALSE())))</f>
        <v/>
      </c>
      <c r="AL199" s="100" t="str">
        <f aca="false">IF(ISBLANK($C199),"",IF($G199=Constants!$B$2,TRUE(),IF($G199=Constants!$B$3,FALSE(),TRUE())))</f>
        <v/>
      </c>
      <c r="AM199" s="100" t="str">
        <f aca="false">IF(ISBLANK($C199),"",IF($H199=Constants!$B$2,TRUE(),IF($H199=Constants!$B$3,FALSE(),TRUE())))</f>
        <v/>
      </c>
      <c r="AN199" s="100" t="str">
        <f aca="false">IF(ISBLANK($C199),"",IF(ISNUMBER($I199),IF($I199&gt;=0,$I199,""),""))</f>
        <v/>
      </c>
      <c r="AO199" s="100" t="str">
        <f aca="false">IF(ISBLANK($C199),"",IF(ISNUMBER($J199),IF($J199&gt;=0,$J199,""),""))</f>
        <v/>
      </c>
      <c r="AP199" s="100" t="str">
        <f aca="false">IF(ISBLANK($C199),"",IF(ISNUMBER($K199),IF($K199&gt;=0,$K199,""),""))</f>
        <v/>
      </c>
      <c r="AQ199" s="100" t="str">
        <f aca="false">IF(ISBLANK($C199),"",IF($L199=Constants!$B$2,TRUE(),IF($L199=Constants!$B$3,FALSE(),TRUE())))</f>
        <v/>
      </c>
      <c r="AR199" s="100" t="str">
        <f aca="false">IF(ISBLANK($C199),"",IF($M199=Constants!$B$2,TRUE(),IF($M199=Constants!$B$3,FALSE(),TRUE())))</f>
        <v/>
      </c>
      <c r="AS199" s="100" t="str">
        <f aca="false">IF(ISBLANK($C199),"",IF($N199=Constants!$B$2,TRUE(),IF($N199=Constants!$B$3,FALSE(),FALSE())))</f>
        <v/>
      </c>
      <c r="AT199" s="100" t="str">
        <f aca="false">IF(ISBLANK($C199),"",IF($O199=Constants!$B$2,TRUE(),IF($O199=Constants!$B$3,FALSE(),TRUE())))</f>
        <v/>
      </c>
      <c r="AU199" s="100" t="str">
        <f aca="false">IF(ISBLANK($C199),"",IF($P199=Constants!$B$2,TRUE(),IF($P199=Constants!$B$3,FALSE(),TRUE())))</f>
        <v/>
      </c>
      <c r="AV199" s="100" t="str">
        <f aca="false">IF(ISBLANK($C199),"",IF($Q199=Constants!$B$2,TRUE(),IF($Q199=Constants!$B$3,FALSE(),FALSE())))</f>
        <v/>
      </c>
      <c r="AW199" s="100" t="str">
        <f aca="false">IF(ISBLANK($C199),"",IF($R199=Constants!$B$2,TRUE(),IF($R199=Constants!$B$3,FALSE(),FALSE())))</f>
        <v/>
      </c>
      <c r="AX199" s="100" t="str">
        <f aca="false">IF(ISBLANK($C199),"",IF($S199=Constants!$B$2,TRUE(),IF($S199=Constants!$B$3,FALSE(),FALSE())))</f>
        <v/>
      </c>
      <c r="AY199" s="100" t="str">
        <f aca="false">IF(ISBLANK($C199),"",IF($T199=Constants!$B$2,TRUE(),IF($T199=Constants!$B$3,FALSE(),FALSE())))</f>
        <v/>
      </c>
      <c r="AZ199" s="100" t="str">
        <f aca="false">IF(ISBLANK($C199),"",IF($U199=Constants!$B$2,TRUE(),IF($U199=Constants!$B$3,FALSE(),FALSE())))</f>
        <v/>
      </c>
      <c r="BA199" s="100" t="str">
        <f aca="false">IF(ISBLANK($C199),"",IF(OR($V199&amp;""="1",$V199&amp;""="2",$V199&amp;""="3",$V199&amp;""="4"),VALUE($V199&amp;""),IF($V199=Constants!$B$12,Constants!$B$12,"")))</f>
        <v/>
      </c>
      <c r="BB199" s="100" t="str">
        <f aca="false">IF(ISBLANK($C199),"",IF(ISBLANK($W199),0,IF(ISNUMBER($W199),IF(AND($W199&gt;=0,$W199&lt;=Constants!$B$21,$W199=INT($W199)),$W199,""),"")))</f>
        <v/>
      </c>
      <c r="BC199" s="100" t="str">
        <f aca="false">IF(ISBLANK($C199),"",IF(ISBLANK($X199),0,IF(ISNUMBER($X199),IF($X199&gt;=0,$X199,""),"")))</f>
        <v/>
      </c>
      <c r="BD199" s="100" t="str">
        <f aca="false">IF(ISBLANK($C199),"",IF($Y199=Constants!$B$2,TRUE(),IF($Y199=Constants!$B$3,FALSE(),TRUE())))</f>
        <v/>
      </c>
      <c r="BE199" s="100" t="str">
        <f aca="false">IF(ISBLANK($C199),"",IF($Z199=Constants!$B$2,TRUE(),IF($Z199=Constants!$B$3,FALSE(),FALSE())))</f>
        <v/>
      </c>
      <c r="BF199" s="100" t="str">
        <f aca="false">IF(ISBLANK($C199),"",IF(ISBLANK($AA199),0,IF(ISNUMBER($AA199),IF(AND($AA199&gt;=0,$AA199&lt;=Constants!$B$35,$AA199=INT($AA199)),$AA199,""),"")))</f>
        <v/>
      </c>
      <c r="BG199" s="100" t="str">
        <f aca="false">IF(ISBLANK($C199),"",IF($AB199=Constants!$B$2,TRUE(),IF($AB199=Constants!$B$3,FALSE(),TRUE())))</f>
        <v/>
      </c>
      <c r="BH199" s="100" t="str">
        <f aca="false">IF(ISBLANK($C199),"",IF($AC199=Constants!$B$2,TRUE(),IF($AC199=Constants!$B$3,FALSE(),TRUE())))</f>
        <v/>
      </c>
      <c r="BI199" s="100" t="str">
        <f aca="false">IF(ISBLANK($C199),"",IF($AD199=Constants!$B$2,TRUE(),IF($AD199=Constants!$B$3,FALSE(),TRUE())))</f>
        <v/>
      </c>
      <c r="BJ199" s="100" t="str">
        <f aca="false">IF(ISBLANK($C199),"",IF(ISNUMBER($AE199),IF($AE199&gt;=0,$AE199,""),""))</f>
        <v/>
      </c>
      <c r="BK199" s="100" t="str">
        <f aca="false">IF(ISBLANK($C199),"",IF($AF199=Constants!$B$2,TRUE(),IF($AF199=Constants!$B$3,FALSE(),FALSE())))</f>
        <v/>
      </c>
      <c r="BL199" s="99" t="str">
        <f aca="false">IF(ISBLANK($C199),"",IF($BK199,Constants!$B$7,IF(COUNTA($E199:$AE199)=0,Constants!$B$6,IF(OR(COUNTA($G199:$AE199)=0,NOT($AM199),$AS199),Constants!$B$5,IF(OR($CM199&lt;&gt;"",$CN199,$CO199,$CP199,$CQ199,$CR199,$CS199),Constants!$B$8,Constants!$B$4)))))</f>
        <v/>
      </c>
      <c r="BM199" s="100" t="str">
        <f aca="false">IF(ISBLANK($C199),"",IF($BL199&lt;&gt;Constants!$B$4,$BL199,IF(OR(NOT($AJ199),NOT($AL199),NOT($AT199)),Constants!$B$11,IF(OR(NOT($AR199),NOT($AU199),NOT($BI199),MAX($AN199,$AO199,$AP199)&gt;Constants!$B$30),Constants!$B$10,Constants!$B$9))))</f>
        <v/>
      </c>
      <c r="BN199" s="100" t="str">
        <f aca="false">IF($BL199&lt;&gt;Constants!$B$4,"",IF(NOT($AL199),0,MIN(Constants!$B$35,$BF199)))</f>
        <v/>
      </c>
      <c r="BO199" s="100" t="str">
        <f aca="false">IF($BL199&lt;&gt;Constants!$B$4,"",IF(NOT($AL199),0,IF($AW199,Constants!$B$18,IF($AV199,Constants!$B$17,0))))</f>
        <v/>
      </c>
      <c r="BP199" s="100" t="str">
        <f aca="false">IF($BL199&lt;&gt;Constants!$B$4,"",IF(NOT($AL199),0,Constants!$B$19*($AK199+$AX199+$AY199+$AZ199)))</f>
        <v/>
      </c>
      <c r="BQ199" s="100" t="str">
        <f aca="false">IF($BL199&lt;&gt;Constants!$B$4,"",IF(OR(NOT($AL199),NOT(ISNUMBER($BA199))),0,CHOOSE($BA199,Constants!$B$13,Constants!$B$14,Constants!$B$15,Constants!$B$16)))</f>
        <v/>
      </c>
      <c r="BR199" s="100" t="str">
        <f aca="false">IF($BL199&lt;&gt;Constants!$B$4,"",IF(NOT($AL199),0,Constants!$B$20*$BB199))</f>
        <v/>
      </c>
      <c r="BS199" s="100" t="str">
        <f aca="false">IF($BL199&lt;&gt;Constants!$B$4,"",IF(AND($AL199,$BD199,$BE199),Constants!$B$22,0))</f>
        <v/>
      </c>
      <c r="BT199" s="100" t="str">
        <f aca="false">IF($BL199&lt;&gt;Constants!$B$4,"",IF(OR(NOT($AL199),NOT($BD199)),0,IF($BJ199&gt;=2*$AH$9,0,Constants!$B$23*INT(ROUND(MIN($BJ199,$AH$9),6)))))</f>
        <v/>
      </c>
      <c r="BU199" s="100" t="str">
        <f aca="false">IF($BL199&lt;&gt;Constants!$B$4,"",IF(NOT($AL199),0,Constants!$B$24*INT(ROUND(MIN($BC199,$AH$9),6))))</f>
        <v/>
      </c>
      <c r="BV199" s="100" t="str">
        <f aca="false">IF($BL199&lt;&gt;Constants!$B$4,"",IF(AND($AL199,$BN199=0),Constants!$B$25,0))</f>
        <v/>
      </c>
      <c r="BW199" s="100" t="str">
        <f aca="false">IF($BL199&lt;&gt;Constants!$B$4,"",MIN(Constants!$B$29,MAX(0,Constants!$B$27*Constants!$B$28*INT(ROUND((Constants!$B$26-$AN199)/Constants!$B$28,6))))+MIN(Constants!$B$29,MAX(0,Constants!$B$27*Constants!$B$28*INT(ROUND((Constants!$B$26-$AO199)/Constants!$B$28,6))))+MIN(Constants!$B$29,MAX(0,Constants!$B$27*Constants!$B$28*INT(ROUND((Constants!$B$26-$AP199)/Constants!$B$28,6)))))</f>
        <v/>
      </c>
      <c r="BX199" s="100" t="str">
        <f aca="false">IF($BL199&lt;&gt;Constants!$B$4,"",IF(NOT($AL199),0,Constants!$B$31*INT(ROUND(MAX(0,MIN($BJ199,2*$AH$9)-$AH$9),6))))</f>
        <v/>
      </c>
      <c r="BY199" s="100" t="str">
        <f aca="false">IF($BL199&lt;&gt;Constants!$B$4,"",Constants!$B$32*(($AN199&gt;Constants!$B$26)+($AO199&gt;Constants!$B$26)+($AP199&gt;Constants!$B$26)))</f>
        <v/>
      </c>
      <c r="BZ199" s="100" t="str">
        <f aca="false">IF($BL199&lt;&gt;Constants!$B$4,"",IF(OR(NOT($AL199),$AQ199),0,Constants!$B$33))</f>
        <v/>
      </c>
      <c r="CA199" s="100" t="str">
        <f aca="false">IF($BL199&lt;&gt;Constants!$B$4,"",Constants!$B$34*$BN199)</f>
        <v/>
      </c>
      <c r="CB199" s="100" t="str">
        <f aca="false">IF($BL199&lt;&gt;Constants!$B$4,"",IF(OR(NOT($AL199),$BH199),0,Constants!$B$36))</f>
        <v/>
      </c>
      <c r="CC199" s="100" t="str">
        <f aca="false">IF($BL199&lt;&gt;Constants!$B$4,"",IF(OR(NOT($AL199),$BG199),0,Constants!$B$37))</f>
        <v/>
      </c>
      <c r="CD199" s="100" t="str">
        <f aca="false">IF($BL199&lt;&gt;Constants!$B$4,"",SUM($BX199:$CC199))</f>
        <v/>
      </c>
      <c r="CE199" s="100" t="str">
        <f aca="false">IF(ISBLANK($C199),"",IF($BL199&lt;&gt;Constants!$B$4,$BL199,SUM($BO199:$BW199)-$CD199))</f>
        <v/>
      </c>
      <c r="CF199" s="100" t="str">
        <f aca="false">IF(ISBLANK($C199),"",IF($BL199&lt;&gt;Constants!$B$4,$BL199,RANK($CE199,$CE$9:$CE$508)))</f>
        <v/>
      </c>
      <c r="CG199" s="100" t="str">
        <f aca="false">IF(ISBLANK($C199),"",IF($BL199&lt;&gt;Constants!$B$4,$BL199,COUNTIFS($BM$9:$BM$508,"&lt;"&amp;$BM199)+COUNTIFS($BM$9:$BM$508,$BM199,$CF$9:$CF$508,"&lt;"&amp;$CF199)+1))</f>
        <v/>
      </c>
      <c r="CH199" s="100" t="str">
        <f aca="false">IF(ISBLANK($C199),"",IF($BL199&lt;&gt;Constants!$B$4,$BL199,RANK($CD199,$CD$9:$CD$508,1)))</f>
        <v/>
      </c>
      <c r="CI199" s="100" t="str">
        <f aca="false">IF($BL199&lt;&gt;Constants!$B$4,"",$AN199+$AO199+$AP199)</f>
        <v/>
      </c>
      <c r="CJ199" s="100" t="str">
        <f aca="false">IF(ISBLANK($C199),"",IF($BL199&lt;&gt;Constants!$B$4,$BL199,RANK($CI199,$CI$9:$CI$508,1)))</f>
        <v/>
      </c>
      <c r="CK199" s="100" t="str">
        <f aca="false">IF(ISBLANK($C199),"",IF($BL199&lt;&gt;Constants!$B$4,$BL199,COUNTIFS($BM$9:$BM$508,"&lt;"&amp;$BM199)+COUNTIFS($BM$9:$BM$508,$BM199,$CF$9:$CF$508,"&lt;"&amp;$CF199)+COUNTIFS($BM$9:$BM$508,$BM199,$CF$9:$CF$508,$CF199,$CH$9:$CH$508,"&lt;"&amp;$CH199)+COUNTIFS($BM$9:$BM$508,$BM199,$CF$9:$CF$508,$CF199,$CH$9:$CH$508,$CH199,$CJ$9:$CJ$508,"&lt;"&amp;$CJ199)+1))</f>
        <v/>
      </c>
      <c r="CL199" s="100" t="str">
        <f aca="false">IF(ISBLANK($C199),"",IF($BL199&lt;&gt;Constants!$B$4,$BL199,$CG199-$CK199))</f>
        <v/>
      </c>
      <c r="CM199" s="100" t="str">
        <f aca="false">IF(ISBLANK($C199),"",IF(NOT($AL199),"",IF(ISBLANK($D$7),$CM$5,IF(NOT(ISNUMBER($D$7)),$CM$6,""))))</f>
        <v/>
      </c>
      <c r="CN199" s="100" t="str">
        <f aca="false">IF(ISBLANK($C199),"",OR($AN199="",$AO199="",$AP199=""))</f>
        <v/>
      </c>
      <c r="CO199" s="100" t="str">
        <f aca="false">IF(ISBLANK($C199),"",AND($AL199,$BA199=""))</f>
        <v/>
      </c>
      <c r="CP199" s="100" t="str">
        <f aca="false">IF(ISBLANK($C199),"",AND($AL199,$BB199=""))</f>
        <v/>
      </c>
      <c r="CQ199" s="100" t="str">
        <f aca="false">IF(ISBLANK($C199),"",AND($AL199,$BC199=""))</f>
        <v/>
      </c>
      <c r="CR199" s="100" t="str">
        <f aca="false">IF(ISBLANK($C199),"",AND($AL199,$BF199=""))</f>
        <v/>
      </c>
      <c r="CS199" s="100" t="str">
        <f aca="false">IF(ISBLANK($C199),"",AND($AL199,$BJ199=""))</f>
        <v/>
      </c>
      <c r="CT199" s="101"/>
      <c r="CU199" s="102"/>
      <c r="CV199" s="103" t="str">
        <f aca="false">IF(ISBLANK($C199),"",IF($BL199=Constants!$B$8,$CM199,""))</f>
        <v/>
      </c>
      <c r="CW199" s="102" t="str">
        <f aca="false">IF(ISBLANK($C199),"",IF($BL199&lt;&gt;Constants!$B$4,"",$BO199+$BP199))</f>
        <v/>
      </c>
      <c r="CX199" s="104" t="str">
        <f aca="false">IF(ISBLANK($C199),"",IF($BL199&lt;&gt;Constants!$B$4,"",$BQ199+$BR199+$BS199))</f>
        <v/>
      </c>
      <c r="CY199" s="104" t="str">
        <f aca="false">IF(ISBLANK($C199),"",IF($BL199&lt;&gt;Constants!$B$4,"",$BT199))</f>
        <v/>
      </c>
      <c r="CZ199" s="104" t="str">
        <f aca="false">IF(ISBLANK($C199),"",IF($BL199&lt;&gt;Constants!$B$4,"",$BU199+$BV199))</f>
        <v/>
      </c>
      <c r="DA199" s="104" t="str">
        <f aca="false">IF(ISBLANK($C199),"",IF($BL199&lt;&gt;Constants!$B$4,"",$BW199))</f>
        <v/>
      </c>
      <c r="DB199" s="104" t="str">
        <f aca="false">IF(ISBLANK($C199),"",IF($BL199&lt;&gt;Constants!$B$4,"",-$CD199))</f>
        <v/>
      </c>
      <c r="DC199" s="103" t="str">
        <f aca="false">IF(ISBLANK($C199),"",$CE199)</f>
        <v/>
      </c>
      <c r="DD199" s="105" t="str">
        <f aca="false">IF(ISBLANK($C199),"",$BM199)</f>
        <v/>
      </c>
      <c r="DE199" s="104" t="str">
        <f aca="false">IF(ISBLANK($C199),"",$CL199)</f>
        <v/>
      </c>
      <c r="DF199" s="104" t="str">
        <f aca="false">IF(ISBLANK($C199),"",$CK199)</f>
        <v/>
      </c>
      <c r="DG199" s="106" t="str">
        <f aca="false">IF(ISBLANK($C199),"",IF($DF199=Constants!$B$7,COUNTA($C$9:$C$508)+2,IF($DF199=Constants!$B$6,COUNTA($C$9:$C$508)+1,IF($DF199=Constants!$B$5,COUNTA($C$9:$C$508),$DF199))))</f>
        <v/>
      </c>
      <c r="DH199" s="7"/>
      <c r="DI199" s="107" t="n">
        <f aca="false">IF(OR(ISNUMBER($DF199),$DF199=Constants!$B$7,$DF199=Constants!$B$5,$DF199=Constants!$B$6),1,0)</f>
        <v>0</v>
      </c>
      <c r="DJ199" s="107" t="n">
        <v>191</v>
      </c>
      <c r="DK199" s="107" t="str">
        <f aca="false">IF(ISBLANK($C199),"",IF(ISNUMBER($DG199),$DG199+ROW($B199)/1000,""))</f>
        <v/>
      </c>
      <c r="DL199" s="107" t="str">
        <f aca="false">IF(ISNUMBER($DK199),RANK($DK199,$DK$9:$DK$508,1),"")</f>
        <v/>
      </c>
      <c r="DM199" s="107" t="str">
        <f aca="false">IF(ISBLANK($C199),"",$B199)</f>
        <v/>
      </c>
      <c r="DN199" s="107" t="str">
        <f aca="false">IF(ISBLANK($C199),"",$C199)</f>
        <v/>
      </c>
      <c r="DO199" s="107" t="str">
        <f aca="false">IF(ISBLANK($C199),"",$D199)</f>
        <v/>
      </c>
      <c r="DP199" s="108" t="str">
        <f aca="false">$DD199</f>
        <v/>
      </c>
      <c r="DQ199" s="109" t="str">
        <f aca="false">$DC199</f>
        <v/>
      </c>
      <c r="DR199" s="107" t="str">
        <f aca="false">IF(ISBLANK($C199),"",$DF199)</f>
        <v/>
      </c>
      <c r="DS199" s="110" t="str">
        <f aca="false">IF($DJ199&gt;$DI$8,"",VLOOKUP($DJ199,$DL$9:$DR$508,7,FALSE()))</f>
        <v/>
      </c>
      <c r="DT199" s="111" t="str">
        <f aca="false">IF($DJ199&gt;$DI$8,"",VLOOKUP($DJ199,$DL$9:$DR$508,2,FALSE()))</f>
        <v/>
      </c>
      <c r="DU199" s="111" t="str">
        <f aca="false">IF($DJ199&gt;$DI$8,"",VLOOKUP($DJ199,$DL$9:$DR$508,3,FALSE()))</f>
        <v/>
      </c>
      <c r="DV199" s="111" t="str">
        <f aca="false">IF($DJ199&gt;$DI$8,"",VLOOKUP($DJ199,$DL$9:$DR$508,4,FALSE()))</f>
        <v/>
      </c>
      <c r="DW199" s="111" t="str">
        <f aca="false">IF($DJ199&gt;$DI$8,"",VLOOKUP($DJ199,$DL$9:$DR$508,5,FALSE()))</f>
        <v/>
      </c>
      <c r="DX199" s="112" t="str">
        <f aca="false">IF($DJ199&gt;$DI$8,"",VLOOKUP($DJ199,$DL$9:$DR$508,6,FALSE()))</f>
        <v/>
      </c>
      <c r="DY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130"/>
      <c r="N200" s="130"/>
      <c r="O200" s="135"/>
      <c r="P200" s="135"/>
      <c r="Q200" s="130"/>
      <c r="R200" s="130"/>
      <c r="S200" s="130"/>
      <c r="T200" s="130"/>
      <c r="U200" s="135"/>
      <c r="V200" s="130"/>
      <c r="W200" s="96"/>
      <c r="X200" s="130"/>
      <c r="Y200" s="130"/>
      <c r="Z200" s="96"/>
      <c r="AA200" s="96"/>
      <c r="AB200" s="130"/>
      <c r="AC200" s="130"/>
      <c r="AD200" s="130"/>
      <c r="AE200" s="97"/>
      <c r="AF200" s="130"/>
      <c r="AG200" s="99"/>
      <c r="AH200" s="100"/>
      <c r="AI200" s="100"/>
      <c r="AJ200" s="100" t="str">
        <f aca="false">IF(ISBLANK($C200),"",IF($E200=Constants!$B$2,TRUE(),IF($E200=Constants!$B$3,FALSE(),TRUE())))</f>
        <v/>
      </c>
      <c r="AK200" s="100" t="str">
        <f aca="false">IF(ISBLANK($C200),"",IF($F200=Constants!$B$2,TRUE(),IF($F200=Constants!$B$3,FALSE(),FALSE())))</f>
        <v/>
      </c>
      <c r="AL200" s="100" t="str">
        <f aca="false">IF(ISBLANK($C200),"",IF($G200=Constants!$B$2,TRUE(),IF($G200=Constants!$B$3,FALSE(),TRUE())))</f>
        <v/>
      </c>
      <c r="AM200" s="100" t="str">
        <f aca="false">IF(ISBLANK($C200),"",IF($H200=Constants!$B$2,TRUE(),IF($H200=Constants!$B$3,FALSE(),TRUE())))</f>
        <v/>
      </c>
      <c r="AN200" s="100" t="str">
        <f aca="false">IF(ISBLANK($C200),"",IF(ISNUMBER($I200),IF($I200&gt;=0,$I200,""),""))</f>
        <v/>
      </c>
      <c r="AO200" s="100" t="str">
        <f aca="false">IF(ISBLANK($C200),"",IF(ISNUMBER($J200),IF($J200&gt;=0,$J200,""),""))</f>
        <v/>
      </c>
      <c r="AP200" s="100" t="str">
        <f aca="false">IF(ISBLANK($C200),"",IF(ISNUMBER($K200),IF($K200&gt;=0,$K200,""),""))</f>
        <v/>
      </c>
      <c r="AQ200" s="100" t="str">
        <f aca="false">IF(ISBLANK($C200),"",IF($L200=Constants!$B$2,TRUE(),IF($L200=Constants!$B$3,FALSE(),TRUE())))</f>
        <v/>
      </c>
      <c r="AR200" s="100" t="str">
        <f aca="false">IF(ISBLANK($C200),"",IF($M200=Constants!$B$2,TRUE(),IF($M200=Constants!$B$3,FALSE(),TRUE())))</f>
        <v/>
      </c>
      <c r="AS200" s="100" t="str">
        <f aca="false">IF(ISBLANK($C200),"",IF($N200=Constants!$B$2,TRUE(),IF($N200=Constants!$B$3,FALSE(),FALSE())))</f>
        <v/>
      </c>
      <c r="AT200" s="100" t="str">
        <f aca="false">IF(ISBLANK($C200),"",IF($O200=Constants!$B$2,TRUE(),IF($O200=Constants!$B$3,FALSE(),TRUE())))</f>
        <v/>
      </c>
      <c r="AU200" s="100" t="str">
        <f aca="false">IF(ISBLANK($C200),"",IF($P200=Constants!$B$2,TRUE(),IF($P200=Constants!$B$3,FALSE(),TRUE())))</f>
        <v/>
      </c>
      <c r="AV200" s="100" t="str">
        <f aca="false">IF(ISBLANK($C200),"",IF($Q200=Constants!$B$2,TRUE(),IF($Q200=Constants!$B$3,FALSE(),FALSE())))</f>
        <v/>
      </c>
      <c r="AW200" s="100" t="str">
        <f aca="false">IF(ISBLANK($C200),"",IF($R200=Constants!$B$2,TRUE(),IF($R200=Constants!$B$3,FALSE(),FALSE())))</f>
        <v/>
      </c>
      <c r="AX200" s="100" t="str">
        <f aca="false">IF(ISBLANK($C200),"",IF($S200=Constants!$B$2,TRUE(),IF($S200=Constants!$B$3,FALSE(),FALSE())))</f>
        <v/>
      </c>
      <c r="AY200" s="100" t="str">
        <f aca="false">IF(ISBLANK($C200),"",IF($T200=Constants!$B$2,TRUE(),IF($T200=Constants!$B$3,FALSE(),FALSE())))</f>
        <v/>
      </c>
      <c r="AZ200" s="100" t="str">
        <f aca="false">IF(ISBLANK($C200),"",IF($U200=Constants!$B$2,TRUE(),IF($U200=Constants!$B$3,FALSE(),FALSE())))</f>
        <v/>
      </c>
      <c r="BA200" s="100" t="str">
        <f aca="false">IF(ISBLANK($C200),"",IF(OR($V200&amp;""="1",$V200&amp;""="2",$V200&amp;""="3",$V200&amp;""="4"),VALUE($V200&amp;""),IF($V200=Constants!$B$12,Constants!$B$12,"")))</f>
        <v/>
      </c>
      <c r="BB200" s="100" t="str">
        <f aca="false">IF(ISBLANK($C200),"",IF(ISBLANK($W200),0,IF(ISNUMBER($W200),IF(AND($W200&gt;=0,$W200&lt;=Constants!$B$21,$W200=INT($W200)),$W200,""),"")))</f>
        <v/>
      </c>
      <c r="BC200" s="100" t="str">
        <f aca="false">IF(ISBLANK($C200),"",IF(ISBLANK($X200),0,IF(ISNUMBER($X200),IF($X200&gt;=0,$X200,""),"")))</f>
        <v/>
      </c>
      <c r="BD200" s="100" t="str">
        <f aca="false">IF(ISBLANK($C200),"",IF($Y200=Constants!$B$2,TRUE(),IF($Y200=Constants!$B$3,FALSE(),TRUE())))</f>
        <v/>
      </c>
      <c r="BE200" s="100" t="str">
        <f aca="false">IF(ISBLANK($C200),"",IF($Z200=Constants!$B$2,TRUE(),IF($Z200=Constants!$B$3,FALSE(),FALSE())))</f>
        <v/>
      </c>
      <c r="BF200" s="100" t="str">
        <f aca="false">IF(ISBLANK($C200),"",IF(ISBLANK($AA200),0,IF(ISNUMBER($AA200),IF(AND($AA200&gt;=0,$AA200&lt;=Constants!$B$35,$AA200=INT($AA200)),$AA200,""),"")))</f>
        <v/>
      </c>
      <c r="BG200" s="100" t="str">
        <f aca="false">IF(ISBLANK($C200),"",IF($AB200=Constants!$B$2,TRUE(),IF($AB200=Constants!$B$3,FALSE(),TRUE())))</f>
        <v/>
      </c>
      <c r="BH200" s="100" t="str">
        <f aca="false">IF(ISBLANK($C200),"",IF($AC200=Constants!$B$2,TRUE(),IF($AC200=Constants!$B$3,FALSE(),TRUE())))</f>
        <v/>
      </c>
      <c r="BI200" s="100" t="str">
        <f aca="false">IF(ISBLANK($C200),"",IF($AD200=Constants!$B$2,TRUE(),IF($AD200=Constants!$B$3,FALSE(),TRUE())))</f>
        <v/>
      </c>
      <c r="BJ200" s="100" t="str">
        <f aca="false">IF(ISBLANK($C200),"",IF(ISNUMBER($AE200),IF($AE200&gt;=0,$AE200,""),""))</f>
        <v/>
      </c>
      <c r="BK200" s="100" t="str">
        <f aca="false">IF(ISBLANK($C200),"",IF($AF200=Constants!$B$2,TRUE(),IF($AF200=Constants!$B$3,FALSE(),FALSE())))</f>
        <v/>
      </c>
      <c r="BL200" s="99" t="str">
        <f aca="false">IF(ISBLANK($C200),"",IF($BK200,Constants!$B$7,IF(COUNTA($E200:$AE200)=0,Constants!$B$6,IF(OR(COUNTA($G200:$AE200)=0,NOT($AM200),$AS200),Constants!$B$5,IF(OR($CM200&lt;&gt;"",$CN200,$CO200,$CP200,$CQ200,$CR200,$CS200),Constants!$B$8,Constants!$B$4)))))</f>
        <v/>
      </c>
      <c r="BM200" s="100" t="str">
        <f aca="false">IF(ISBLANK($C200),"",IF($BL200&lt;&gt;Constants!$B$4,$BL200,IF(OR(NOT($AJ200),NOT($AL200),NOT($AT200)),Constants!$B$11,IF(OR(NOT($AR200),NOT($AU200),NOT($BI200),MAX($AN200,$AO200,$AP200)&gt;Constants!$B$30),Constants!$B$10,Constants!$B$9))))</f>
        <v/>
      </c>
      <c r="BN200" s="100" t="str">
        <f aca="false">IF($BL200&lt;&gt;Constants!$B$4,"",IF(NOT($AL200),0,MIN(Constants!$B$35,$BF200)))</f>
        <v/>
      </c>
      <c r="BO200" s="100" t="str">
        <f aca="false">IF($BL200&lt;&gt;Constants!$B$4,"",IF(NOT($AL200),0,IF($AW200,Constants!$B$18,IF($AV200,Constants!$B$17,0))))</f>
        <v/>
      </c>
      <c r="BP200" s="100" t="str">
        <f aca="false">IF($BL200&lt;&gt;Constants!$B$4,"",IF(NOT($AL200),0,Constants!$B$19*($AK200+$AX200+$AY200+$AZ200)))</f>
        <v/>
      </c>
      <c r="BQ200" s="100" t="str">
        <f aca="false">IF($BL200&lt;&gt;Constants!$B$4,"",IF(OR(NOT($AL200),NOT(ISNUMBER($BA200))),0,CHOOSE($BA200,Constants!$B$13,Constants!$B$14,Constants!$B$15,Constants!$B$16)))</f>
        <v/>
      </c>
      <c r="BR200" s="100" t="str">
        <f aca="false">IF($BL200&lt;&gt;Constants!$B$4,"",IF(NOT($AL200),0,Constants!$B$20*$BB200))</f>
        <v/>
      </c>
      <c r="BS200" s="100" t="str">
        <f aca="false">IF($BL200&lt;&gt;Constants!$B$4,"",IF(AND($AL200,$BD200,$BE200),Constants!$B$22,0))</f>
        <v/>
      </c>
      <c r="BT200" s="100" t="str">
        <f aca="false">IF($BL200&lt;&gt;Constants!$B$4,"",IF(OR(NOT($AL200),NOT($BD200)),0,IF($BJ200&gt;=2*$AH$9,0,Constants!$B$23*INT(ROUND(MIN($BJ200,$AH$9),6)))))</f>
        <v/>
      </c>
      <c r="BU200" s="100" t="str">
        <f aca="false">IF($BL200&lt;&gt;Constants!$B$4,"",IF(NOT($AL200),0,Constants!$B$24*INT(ROUND(MIN($BC200,$AH$9),6))))</f>
        <v/>
      </c>
      <c r="BV200" s="100" t="str">
        <f aca="false">IF($BL200&lt;&gt;Constants!$B$4,"",IF(AND($AL200,$BN200=0),Constants!$B$25,0))</f>
        <v/>
      </c>
      <c r="BW200" s="100" t="str">
        <f aca="false">IF($BL200&lt;&gt;Constants!$B$4,"",MIN(Constants!$B$29,MAX(0,Constants!$B$27*Constants!$B$28*INT(ROUND((Constants!$B$26-$AN200)/Constants!$B$28,6))))+MIN(Constants!$B$29,MAX(0,Constants!$B$27*Constants!$B$28*INT(ROUND((Constants!$B$26-$AO200)/Constants!$B$28,6))))+MIN(Constants!$B$29,MAX(0,Constants!$B$27*Constants!$B$28*INT(ROUND((Constants!$B$26-$AP200)/Constants!$B$28,6)))))</f>
        <v/>
      </c>
      <c r="BX200" s="100" t="str">
        <f aca="false">IF($BL200&lt;&gt;Constants!$B$4,"",IF(NOT($AL200),0,Constants!$B$31*INT(ROUND(MAX(0,MIN($BJ200,2*$AH$9)-$AH$9),6))))</f>
        <v/>
      </c>
      <c r="BY200" s="100" t="str">
        <f aca="false">IF($BL200&lt;&gt;Constants!$B$4,"",Constants!$B$32*(($AN200&gt;Constants!$B$26)+($AO200&gt;Constants!$B$26)+($AP200&gt;Constants!$B$26)))</f>
        <v/>
      </c>
      <c r="BZ200" s="100" t="str">
        <f aca="false">IF($BL200&lt;&gt;Constants!$B$4,"",IF(OR(NOT($AL200),$AQ200),0,Constants!$B$33))</f>
        <v/>
      </c>
      <c r="CA200" s="100" t="str">
        <f aca="false">IF($BL200&lt;&gt;Constants!$B$4,"",Constants!$B$34*$BN200)</f>
        <v/>
      </c>
      <c r="CB200" s="100" t="str">
        <f aca="false">IF($BL200&lt;&gt;Constants!$B$4,"",IF(OR(NOT($AL200),$BH200),0,Constants!$B$36))</f>
        <v/>
      </c>
      <c r="CC200" s="100" t="str">
        <f aca="false">IF($BL200&lt;&gt;Constants!$B$4,"",IF(OR(NOT($AL200),$BG200),0,Constants!$B$37))</f>
        <v/>
      </c>
      <c r="CD200" s="100" t="str">
        <f aca="false">IF($BL200&lt;&gt;Constants!$B$4,"",SUM($BX200:$CC200))</f>
        <v/>
      </c>
      <c r="CE200" s="100" t="str">
        <f aca="false">IF(ISBLANK($C200),"",IF($BL200&lt;&gt;Constants!$B$4,$BL200,SUM($BO200:$BW200)-$CD200))</f>
        <v/>
      </c>
      <c r="CF200" s="100" t="str">
        <f aca="false">IF(ISBLANK($C200),"",IF($BL200&lt;&gt;Constants!$B$4,$BL200,RANK($CE200,$CE$9:$CE$508)))</f>
        <v/>
      </c>
      <c r="CG200" s="100" t="str">
        <f aca="false">IF(ISBLANK($C200),"",IF($BL200&lt;&gt;Constants!$B$4,$BL200,COUNTIFS($BM$9:$BM$508,"&lt;"&amp;$BM200)+COUNTIFS($BM$9:$BM$508,$BM200,$CF$9:$CF$508,"&lt;"&amp;$CF200)+1))</f>
        <v/>
      </c>
      <c r="CH200" s="100" t="str">
        <f aca="false">IF(ISBLANK($C200),"",IF($BL200&lt;&gt;Constants!$B$4,$BL200,RANK($CD200,$CD$9:$CD$508,1)))</f>
        <v/>
      </c>
      <c r="CI200" s="100" t="str">
        <f aca="false">IF($BL200&lt;&gt;Constants!$B$4,"",$AN200+$AO200+$AP200)</f>
        <v/>
      </c>
      <c r="CJ200" s="100" t="str">
        <f aca="false">IF(ISBLANK($C200),"",IF($BL200&lt;&gt;Constants!$B$4,$BL200,RANK($CI200,$CI$9:$CI$508,1)))</f>
        <v/>
      </c>
      <c r="CK200" s="100" t="str">
        <f aca="false">IF(ISBLANK($C200),"",IF($BL200&lt;&gt;Constants!$B$4,$BL200,COUNTIFS($BM$9:$BM$508,"&lt;"&amp;$BM200)+COUNTIFS($BM$9:$BM$508,$BM200,$CF$9:$CF$508,"&lt;"&amp;$CF200)+COUNTIFS($BM$9:$BM$508,$BM200,$CF$9:$CF$508,$CF200,$CH$9:$CH$508,"&lt;"&amp;$CH200)+COUNTIFS($BM$9:$BM$508,$BM200,$CF$9:$CF$508,$CF200,$CH$9:$CH$508,$CH200,$CJ$9:$CJ$508,"&lt;"&amp;$CJ200)+1))</f>
        <v/>
      </c>
      <c r="CL200" s="100" t="str">
        <f aca="false">IF(ISBLANK($C200),"",IF($BL200&lt;&gt;Constants!$B$4,$BL200,$CG200-$CK200))</f>
        <v/>
      </c>
      <c r="CM200" s="100" t="str">
        <f aca="false">IF(ISBLANK($C200),"",IF(NOT($AL200),"",IF(ISBLANK($D$7),$CM$5,IF(NOT(ISNUMBER($D$7)),$CM$6,""))))</f>
        <v/>
      </c>
      <c r="CN200" s="100" t="str">
        <f aca="false">IF(ISBLANK($C200),"",OR($AN200="",$AO200="",$AP200=""))</f>
        <v/>
      </c>
      <c r="CO200" s="100" t="str">
        <f aca="false">IF(ISBLANK($C200),"",AND($AL200,$BA200=""))</f>
        <v/>
      </c>
      <c r="CP200" s="100" t="str">
        <f aca="false">IF(ISBLANK($C200),"",AND($AL200,$BB200=""))</f>
        <v/>
      </c>
      <c r="CQ200" s="100" t="str">
        <f aca="false">IF(ISBLANK($C200),"",AND($AL200,$BC200=""))</f>
        <v/>
      </c>
      <c r="CR200" s="100" t="str">
        <f aca="false">IF(ISBLANK($C200),"",AND($AL200,$BF200=""))</f>
        <v/>
      </c>
      <c r="CS200" s="100" t="str">
        <f aca="false">IF(ISBLANK($C200),"",AND($AL200,$BJ200=""))</f>
        <v/>
      </c>
      <c r="CT200" s="101"/>
      <c r="CU200" s="102"/>
      <c r="CV200" s="103" t="str">
        <f aca="false">IF(ISBLANK($C200),"",IF($BL200=Constants!$B$8,$CM200,""))</f>
        <v/>
      </c>
      <c r="CW200" s="102" t="str">
        <f aca="false">IF(ISBLANK($C200),"",IF($BL200&lt;&gt;Constants!$B$4,"",$BO200+$BP200))</f>
        <v/>
      </c>
      <c r="CX200" s="104" t="str">
        <f aca="false">IF(ISBLANK($C200),"",IF($BL200&lt;&gt;Constants!$B$4,"",$BQ200+$BR200+$BS200))</f>
        <v/>
      </c>
      <c r="CY200" s="104" t="str">
        <f aca="false">IF(ISBLANK($C200),"",IF($BL200&lt;&gt;Constants!$B$4,"",$BT200))</f>
        <v/>
      </c>
      <c r="CZ200" s="104" t="str">
        <f aca="false">IF(ISBLANK($C200),"",IF($BL200&lt;&gt;Constants!$B$4,"",$BU200+$BV200))</f>
        <v/>
      </c>
      <c r="DA200" s="104" t="str">
        <f aca="false">IF(ISBLANK($C200),"",IF($BL200&lt;&gt;Constants!$B$4,"",$BW200))</f>
        <v/>
      </c>
      <c r="DB200" s="104" t="str">
        <f aca="false">IF(ISBLANK($C200),"",IF($BL200&lt;&gt;Constants!$B$4,"",-$CD200))</f>
        <v/>
      </c>
      <c r="DC200" s="103" t="str">
        <f aca="false">IF(ISBLANK($C200),"",$CE200)</f>
        <v/>
      </c>
      <c r="DD200" s="105" t="str">
        <f aca="false">IF(ISBLANK($C200),"",$BM200)</f>
        <v/>
      </c>
      <c r="DE200" s="104" t="str">
        <f aca="false">IF(ISBLANK($C200),"",$CL200)</f>
        <v/>
      </c>
      <c r="DF200" s="104" t="str">
        <f aca="false">IF(ISBLANK($C200),"",$CK200)</f>
        <v/>
      </c>
      <c r="DG200" s="106" t="str">
        <f aca="false">IF(ISBLANK($C200),"",IF($DF200=Constants!$B$7,COUNTA($C$9:$C$508)+2,IF($DF200=Constants!$B$6,COUNTA($C$9:$C$508)+1,IF($DF200=Constants!$B$5,COUNTA($C$9:$C$508),$DF200))))</f>
        <v/>
      </c>
      <c r="DH200" s="7"/>
      <c r="DI200" s="107" t="n">
        <f aca="false">IF(OR(ISNUMBER($DF200),$DF200=Constants!$B$7,$DF200=Constants!$B$5,$DF200=Constants!$B$6),1,0)</f>
        <v>0</v>
      </c>
      <c r="DJ200" s="107" t="n">
        <v>192</v>
      </c>
      <c r="DK200" s="107" t="str">
        <f aca="false">IF(ISBLANK($C200),"",IF(ISNUMBER($DG200),$DG200+ROW($B200)/1000,""))</f>
        <v/>
      </c>
      <c r="DL200" s="107" t="str">
        <f aca="false">IF(ISNUMBER($DK200),RANK($DK200,$DK$9:$DK$508,1),"")</f>
        <v/>
      </c>
      <c r="DM200" s="107" t="str">
        <f aca="false">IF(ISBLANK($C200),"",$B200)</f>
        <v/>
      </c>
      <c r="DN200" s="107" t="str">
        <f aca="false">IF(ISBLANK($C200),"",$C200)</f>
        <v/>
      </c>
      <c r="DO200" s="107" t="str">
        <f aca="false">IF(ISBLANK($C200),"",$D200)</f>
        <v/>
      </c>
      <c r="DP200" s="108" t="str">
        <f aca="false">$DD200</f>
        <v/>
      </c>
      <c r="DQ200" s="109" t="str">
        <f aca="false">$DC200</f>
        <v/>
      </c>
      <c r="DR200" s="107" t="str">
        <f aca="false">IF(ISBLANK($C200),"",$DF200)</f>
        <v/>
      </c>
      <c r="DS200" s="110" t="str">
        <f aca="false">IF($DJ200&gt;$DI$8,"",VLOOKUP($DJ200,$DL$9:$DR$508,7,FALSE()))</f>
        <v/>
      </c>
      <c r="DT200" s="111" t="str">
        <f aca="false">IF($DJ200&gt;$DI$8,"",VLOOKUP($DJ200,$DL$9:$DR$508,2,FALSE()))</f>
        <v/>
      </c>
      <c r="DU200" s="111" t="str">
        <f aca="false">IF($DJ200&gt;$DI$8,"",VLOOKUP($DJ200,$DL$9:$DR$508,3,FALSE()))</f>
        <v/>
      </c>
      <c r="DV200" s="111" t="str">
        <f aca="false">IF($DJ200&gt;$DI$8,"",VLOOKUP($DJ200,$DL$9:$DR$508,4,FALSE()))</f>
        <v/>
      </c>
      <c r="DW200" s="111" t="str">
        <f aca="false">IF($DJ200&gt;$DI$8,"",VLOOKUP($DJ200,$DL$9:$DR$508,5,FALSE()))</f>
        <v/>
      </c>
      <c r="DX200" s="112" t="str">
        <f aca="false">IF($DJ200&gt;$DI$8,"",VLOOKUP($DJ200,$DL$9:$DR$508,6,FALSE()))</f>
        <v/>
      </c>
      <c r="DY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88"/>
      <c r="N201" s="88"/>
      <c r="O201" s="134"/>
      <c r="P201" s="134"/>
      <c r="Q201" s="88"/>
      <c r="R201" s="88"/>
      <c r="S201" s="88"/>
      <c r="T201" s="88"/>
      <c r="U201" s="134"/>
      <c r="V201" s="88"/>
      <c r="W201" s="70"/>
      <c r="X201" s="88"/>
      <c r="Y201" s="88"/>
      <c r="Z201" s="70"/>
      <c r="AA201" s="70"/>
      <c r="AB201" s="88"/>
      <c r="AC201" s="88"/>
      <c r="AD201" s="88"/>
      <c r="AE201" s="71"/>
      <c r="AF201" s="88"/>
      <c r="AG201" s="73"/>
      <c r="AH201" s="74"/>
      <c r="AI201" s="74"/>
      <c r="AJ201" s="74" t="str">
        <f aca="false">IF(ISBLANK($C201),"",IF($E201=Constants!$B$2,TRUE(),IF($E201=Constants!$B$3,FALSE(),TRUE())))</f>
        <v/>
      </c>
      <c r="AK201" s="74" t="str">
        <f aca="false">IF(ISBLANK($C201),"",IF($F201=Constants!$B$2,TRUE(),IF($F201=Constants!$B$3,FALSE(),FALSE())))</f>
        <v/>
      </c>
      <c r="AL201" s="74" t="str">
        <f aca="false">IF(ISBLANK($C201),"",IF($G201=Constants!$B$2,TRUE(),IF($G201=Constants!$B$3,FALSE(),TRUE())))</f>
        <v/>
      </c>
      <c r="AM201" s="74" t="str">
        <f aca="false">IF(ISBLANK($C201),"",IF($H201=Constants!$B$2,TRUE(),IF($H201=Constants!$B$3,FALSE(),TRUE())))</f>
        <v/>
      </c>
      <c r="AN201" s="74" t="str">
        <f aca="false">IF(ISBLANK($C201),"",IF(ISNUMBER($I201),IF($I201&gt;=0,$I201,""),""))</f>
        <v/>
      </c>
      <c r="AO201" s="74" t="str">
        <f aca="false">IF(ISBLANK($C201),"",IF(ISNUMBER($J201),IF($J201&gt;=0,$J201,""),""))</f>
        <v/>
      </c>
      <c r="AP201" s="74" t="str">
        <f aca="false">IF(ISBLANK($C201),"",IF(ISNUMBER($K201),IF($K201&gt;=0,$K201,""),""))</f>
        <v/>
      </c>
      <c r="AQ201" s="74" t="str">
        <f aca="false">IF(ISBLANK($C201),"",IF($L201=Constants!$B$2,TRUE(),IF($L201=Constants!$B$3,FALSE(),TRUE())))</f>
        <v/>
      </c>
      <c r="AR201" s="74" t="str">
        <f aca="false">IF(ISBLANK($C201),"",IF($M201=Constants!$B$2,TRUE(),IF($M201=Constants!$B$3,FALSE(),TRUE())))</f>
        <v/>
      </c>
      <c r="AS201" s="74" t="str">
        <f aca="false">IF(ISBLANK($C201),"",IF($N201=Constants!$B$2,TRUE(),IF($N201=Constants!$B$3,FALSE(),FALSE())))</f>
        <v/>
      </c>
      <c r="AT201" s="74" t="str">
        <f aca="false">IF(ISBLANK($C201),"",IF($O201=Constants!$B$2,TRUE(),IF($O201=Constants!$B$3,FALSE(),TRUE())))</f>
        <v/>
      </c>
      <c r="AU201" s="74" t="str">
        <f aca="false">IF(ISBLANK($C201),"",IF($P201=Constants!$B$2,TRUE(),IF($P201=Constants!$B$3,FALSE(),TRUE())))</f>
        <v/>
      </c>
      <c r="AV201" s="74" t="str">
        <f aca="false">IF(ISBLANK($C201),"",IF($Q201=Constants!$B$2,TRUE(),IF($Q201=Constants!$B$3,FALSE(),FALSE())))</f>
        <v/>
      </c>
      <c r="AW201" s="74" t="str">
        <f aca="false">IF(ISBLANK($C201),"",IF($R201=Constants!$B$2,TRUE(),IF($R201=Constants!$B$3,FALSE(),FALSE())))</f>
        <v/>
      </c>
      <c r="AX201" s="74" t="str">
        <f aca="false">IF(ISBLANK($C201),"",IF($S201=Constants!$B$2,TRUE(),IF($S201=Constants!$B$3,FALSE(),FALSE())))</f>
        <v/>
      </c>
      <c r="AY201" s="74" t="str">
        <f aca="false">IF(ISBLANK($C201),"",IF($T201=Constants!$B$2,TRUE(),IF($T201=Constants!$B$3,FALSE(),FALSE())))</f>
        <v/>
      </c>
      <c r="AZ201" s="74" t="str">
        <f aca="false">IF(ISBLANK($C201),"",IF($U201=Constants!$B$2,TRUE(),IF($U201=Constants!$B$3,FALSE(),FALSE())))</f>
        <v/>
      </c>
      <c r="BA201" s="74" t="str">
        <f aca="false">IF(ISBLANK($C201),"",IF(OR($V201&amp;""="1",$V201&amp;""="2",$V201&amp;""="3",$V201&amp;""="4"),VALUE($V201&amp;""),IF($V201=Constants!$B$12,Constants!$B$12,"")))</f>
        <v/>
      </c>
      <c r="BB201" s="74" t="str">
        <f aca="false">IF(ISBLANK($C201),"",IF(ISBLANK($W201),0,IF(ISNUMBER($W201),IF(AND($W201&gt;=0,$W201&lt;=Constants!$B$21,$W201=INT($W201)),$W201,""),"")))</f>
        <v/>
      </c>
      <c r="BC201" s="74" t="str">
        <f aca="false">IF(ISBLANK($C201),"",IF(ISBLANK($X201),0,IF(ISNUMBER($X201),IF($X201&gt;=0,$X201,""),"")))</f>
        <v/>
      </c>
      <c r="BD201" s="74" t="str">
        <f aca="false">IF(ISBLANK($C201),"",IF($Y201=Constants!$B$2,TRUE(),IF($Y201=Constants!$B$3,FALSE(),TRUE())))</f>
        <v/>
      </c>
      <c r="BE201" s="74" t="str">
        <f aca="false">IF(ISBLANK($C201),"",IF($Z201=Constants!$B$2,TRUE(),IF($Z201=Constants!$B$3,FALSE(),FALSE())))</f>
        <v/>
      </c>
      <c r="BF201" s="74" t="str">
        <f aca="false">IF(ISBLANK($C201),"",IF(ISBLANK($AA201),0,IF(ISNUMBER($AA201),IF(AND($AA201&gt;=0,$AA201&lt;=Constants!$B$35,$AA201=INT($AA201)),$AA201,""),"")))</f>
        <v/>
      </c>
      <c r="BG201" s="74" t="str">
        <f aca="false">IF(ISBLANK($C201),"",IF($AB201=Constants!$B$2,TRUE(),IF($AB201=Constants!$B$3,FALSE(),TRUE())))</f>
        <v/>
      </c>
      <c r="BH201" s="74" t="str">
        <f aca="false">IF(ISBLANK($C201),"",IF($AC201=Constants!$B$2,TRUE(),IF($AC201=Constants!$B$3,FALSE(),TRUE())))</f>
        <v/>
      </c>
      <c r="BI201" s="74" t="str">
        <f aca="false">IF(ISBLANK($C201),"",IF($AD201=Constants!$B$2,TRUE(),IF($AD201=Constants!$B$3,FALSE(),TRUE())))</f>
        <v/>
      </c>
      <c r="BJ201" s="74" t="str">
        <f aca="false">IF(ISBLANK($C201),"",IF(ISNUMBER($AE201),IF($AE201&gt;=0,$AE201,""),""))</f>
        <v/>
      </c>
      <c r="BK201" s="74" t="str">
        <f aca="false">IF(ISBLANK($C201),"",IF($AF201=Constants!$B$2,TRUE(),IF($AF201=Constants!$B$3,FALSE(),FALSE())))</f>
        <v/>
      </c>
      <c r="BL201" s="73" t="str">
        <f aca="false">IF(ISBLANK($C201),"",IF($BK201,Constants!$B$7,IF(COUNTA($E201:$AE201)=0,Constants!$B$6,IF(OR(COUNTA($G201:$AE201)=0,NOT($AM201),$AS201),Constants!$B$5,IF(OR($CM201&lt;&gt;"",$CN201,$CO201,$CP201,$CQ201,$CR201,$CS201),Constants!$B$8,Constants!$B$4)))))</f>
        <v/>
      </c>
      <c r="BM201" s="74" t="str">
        <f aca="false">IF(ISBLANK($C201),"",IF($BL201&lt;&gt;Constants!$B$4,$BL201,IF(OR(NOT($AJ201),NOT($AL201),NOT($AT201)),Constants!$B$11,IF(OR(NOT($AR201),NOT($AU201),NOT($BI201),MAX($AN201,$AO201,$AP201)&gt;Constants!$B$30),Constants!$B$10,Constants!$B$9))))</f>
        <v/>
      </c>
      <c r="BN201" s="74" t="str">
        <f aca="false">IF($BL201&lt;&gt;Constants!$B$4,"",IF(NOT($AL201),0,MIN(Constants!$B$35,$BF201)))</f>
        <v/>
      </c>
      <c r="BO201" s="74" t="str">
        <f aca="false">IF($BL201&lt;&gt;Constants!$B$4,"",IF(NOT($AL201),0,IF($AW201,Constants!$B$18,IF($AV201,Constants!$B$17,0))))</f>
        <v/>
      </c>
      <c r="BP201" s="74" t="str">
        <f aca="false">IF($BL201&lt;&gt;Constants!$B$4,"",IF(NOT($AL201),0,Constants!$B$19*($AK201+$AX201+$AY201+$AZ201)))</f>
        <v/>
      </c>
      <c r="BQ201" s="74" t="str">
        <f aca="false">IF($BL201&lt;&gt;Constants!$B$4,"",IF(OR(NOT($AL201),NOT(ISNUMBER($BA201))),0,CHOOSE($BA201,Constants!$B$13,Constants!$B$14,Constants!$B$15,Constants!$B$16)))</f>
        <v/>
      </c>
      <c r="BR201" s="74" t="str">
        <f aca="false">IF($BL201&lt;&gt;Constants!$B$4,"",IF(NOT($AL201),0,Constants!$B$20*$BB201))</f>
        <v/>
      </c>
      <c r="BS201" s="74" t="str">
        <f aca="false">IF($BL201&lt;&gt;Constants!$B$4,"",IF(AND($AL201,$BD201,$BE201),Constants!$B$22,0))</f>
        <v/>
      </c>
      <c r="BT201" s="74" t="str">
        <f aca="false">IF($BL201&lt;&gt;Constants!$B$4,"",IF(OR(NOT($AL201),NOT($BD201)),0,IF($BJ201&gt;=2*$AH$9,0,Constants!$B$23*INT(ROUND(MIN($BJ201,$AH$9),6)))))</f>
        <v/>
      </c>
      <c r="BU201" s="74" t="str">
        <f aca="false">IF($BL201&lt;&gt;Constants!$B$4,"",IF(NOT($AL201),0,Constants!$B$24*INT(ROUND(MIN($BC201,$AH$9),6))))</f>
        <v/>
      </c>
      <c r="BV201" s="74" t="str">
        <f aca="false">IF($BL201&lt;&gt;Constants!$B$4,"",IF(AND($AL201,$BN201=0),Constants!$B$25,0))</f>
        <v/>
      </c>
      <c r="BW201" s="74" t="str">
        <f aca="false">IF($BL201&lt;&gt;Constants!$B$4,"",MIN(Constants!$B$29,MAX(0,Constants!$B$27*Constants!$B$28*INT(ROUND((Constants!$B$26-$AN201)/Constants!$B$28,6))))+MIN(Constants!$B$29,MAX(0,Constants!$B$27*Constants!$B$28*INT(ROUND((Constants!$B$26-$AO201)/Constants!$B$28,6))))+MIN(Constants!$B$29,MAX(0,Constants!$B$27*Constants!$B$28*INT(ROUND((Constants!$B$26-$AP201)/Constants!$B$28,6)))))</f>
        <v/>
      </c>
      <c r="BX201" s="74" t="str">
        <f aca="false">IF($BL201&lt;&gt;Constants!$B$4,"",IF(NOT($AL201),0,Constants!$B$31*INT(ROUND(MAX(0,MIN($BJ201,2*$AH$9)-$AH$9),6))))</f>
        <v/>
      </c>
      <c r="BY201" s="74" t="str">
        <f aca="false">IF($BL201&lt;&gt;Constants!$B$4,"",Constants!$B$32*(($AN201&gt;Constants!$B$26)+($AO201&gt;Constants!$B$26)+($AP201&gt;Constants!$B$26)))</f>
        <v/>
      </c>
      <c r="BZ201" s="74" t="str">
        <f aca="false">IF($BL201&lt;&gt;Constants!$B$4,"",IF(OR(NOT($AL201),$AQ201),0,Constants!$B$33))</f>
        <v/>
      </c>
      <c r="CA201" s="74" t="str">
        <f aca="false">IF($BL201&lt;&gt;Constants!$B$4,"",Constants!$B$34*$BN201)</f>
        <v/>
      </c>
      <c r="CB201" s="74" t="str">
        <f aca="false">IF($BL201&lt;&gt;Constants!$B$4,"",IF(OR(NOT($AL201),$BH201),0,Constants!$B$36))</f>
        <v/>
      </c>
      <c r="CC201" s="74" t="str">
        <f aca="false">IF($BL201&lt;&gt;Constants!$B$4,"",IF(OR(NOT($AL201),$BG201),0,Constants!$B$37))</f>
        <v/>
      </c>
      <c r="CD201" s="74" t="str">
        <f aca="false">IF($BL201&lt;&gt;Constants!$B$4,"",SUM($BX201:$CC201))</f>
        <v/>
      </c>
      <c r="CE201" s="74" t="str">
        <f aca="false">IF(ISBLANK($C201),"",IF($BL201&lt;&gt;Constants!$B$4,$BL201,SUM($BO201:$BW201)-$CD201))</f>
        <v/>
      </c>
      <c r="CF201" s="74" t="str">
        <f aca="false">IF(ISBLANK($C201),"",IF($BL201&lt;&gt;Constants!$B$4,$BL201,RANK($CE201,$CE$9:$CE$508)))</f>
        <v/>
      </c>
      <c r="CG201" s="74" t="str">
        <f aca="false">IF(ISBLANK($C201),"",IF($BL201&lt;&gt;Constants!$B$4,$BL201,COUNTIFS($BM$9:$BM$508,"&lt;"&amp;$BM201)+COUNTIFS($BM$9:$BM$508,$BM201,$CF$9:$CF$508,"&lt;"&amp;$CF201)+1))</f>
        <v/>
      </c>
      <c r="CH201" s="74" t="str">
        <f aca="false">IF(ISBLANK($C201),"",IF($BL201&lt;&gt;Constants!$B$4,$BL201,RANK($CD201,$CD$9:$CD$508,1)))</f>
        <v/>
      </c>
      <c r="CI201" s="74" t="str">
        <f aca="false">IF($BL201&lt;&gt;Constants!$B$4,"",$AN201+$AO201+$AP201)</f>
        <v/>
      </c>
      <c r="CJ201" s="74" t="str">
        <f aca="false">IF(ISBLANK($C201),"",IF($BL201&lt;&gt;Constants!$B$4,$BL201,RANK($CI201,$CI$9:$CI$508,1)))</f>
        <v/>
      </c>
      <c r="CK201" s="74" t="str">
        <f aca="false">IF(ISBLANK($C201),"",IF($BL201&lt;&gt;Constants!$B$4,$BL201,COUNTIFS($BM$9:$BM$508,"&lt;"&amp;$BM201)+COUNTIFS($BM$9:$BM$508,$BM201,$CF$9:$CF$508,"&lt;"&amp;$CF201)+COUNTIFS($BM$9:$BM$508,$BM201,$CF$9:$CF$508,$CF201,$CH$9:$CH$508,"&lt;"&amp;$CH201)+COUNTIFS($BM$9:$BM$508,$BM201,$CF$9:$CF$508,$CF201,$CH$9:$CH$508,$CH201,$CJ$9:$CJ$508,"&lt;"&amp;$CJ201)+1))</f>
        <v/>
      </c>
      <c r="CL201" s="74" t="str">
        <f aca="false">IF(ISBLANK($C201),"",IF($BL201&lt;&gt;Constants!$B$4,$BL201,$CG201-$CK201))</f>
        <v/>
      </c>
      <c r="CM201" s="74" t="str">
        <f aca="false">IF(ISBLANK($C201),"",IF(NOT($AL201),"",IF(ISBLANK($D$7),$CM$5,IF(NOT(ISNUMBER($D$7)),$CM$6,""))))</f>
        <v/>
      </c>
      <c r="CN201" s="74" t="str">
        <f aca="false">IF(ISBLANK($C201),"",OR($AN201="",$AO201="",$AP201=""))</f>
        <v/>
      </c>
      <c r="CO201" s="74" t="str">
        <f aca="false">IF(ISBLANK($C201),"",AND($AL201,$BA201=""))</f>
        <v/>
      </c>
      <c r="CP201" s="74" t="str">
        <f aca="false">IF(ISBLANK($C201),"",AND($AL201,$BB201=""))</f>
        <v/>
      </c>
      <c r="CQ201" s="74" t="str">
        <f aca="false">IF(ISBLANK($C201),"",AND($AL201,$BC201=""))</f>
        <v/>
      </c>
      <c r="CR201" s="74" t="str">
        <f aca="false">IF(ISBLANK($C201),"",AND($AL201,$BF201=""))</f>
        <v/>
      </c>
      <c r="CS201" s="74" t="str">
        <f aca="false">IF(ISBLANK($C201),"",AND($AL201,$BJ201=""))</f>
        <v/>
      </c>
      <c r="CT201" s="75"/>
      <c r="CU201" s="76"/>
      <c r="CV201" s="79" t="str">
        <f aca="false">IF(ISBLANK($C201),"",IF($BL201=Constants!$B$8,$CM201,""))</f>
        <v/>
      </c>
      <c r="CW201" s="76" t="str">
        <f aca="false">IF(ISBLANK($C201),"",IF($BL201&lt;&gt;Constants!$B$4,"",$BO201+$BP201))</f>
        <v/>
      </c>
      <c r="CX201" s="78" t="str">
        <f aca="false">IF(ISBLANK($C201),"",IF($BL201&lt;&gt;Constants!$B$4,"",$BQ201+$BR201+$BS201))</f>
        <v/>
      </c>
      <c r="CY201" s="78" t="str">
        <f aca="false">IF(ISBLANK($C201),"",IF($BL201&lt;&gt;Constants!$B$4,"",$BT201))</f>
        <v/>
      </c>
      <c r="CZ201" s="78" t="str">
        <f aca="false">IF(ISBLANK($C201),"",IF($BL201&lt;&gt;Constants!$B$4,"",$BU201+$BV201))</f>
        <v/>
      </c>
      <c r="DA201" s="78" t="str">
        <f aca="false">IF(ISBLANK($C201),"",IF($BL201&lt;&gt;Constants!$B$4,"",$BW201))</f>
        <v/>
      </c>
      <c r="DB201" s="78" t="str">
        <f aca="false">IF(ISBLANK($C201),"",IF($BL201&lt;&gt;Constants!$B$4,"",-$CD201))</f>
        <v/>
      </c>
      <c r="DC201" s="79" t="str">
        <f aca="false">IF(ISBLANK($C201),"",$CE201)</f>
        <v/>
      </c>
      <c r="DD201" s="80" t="str">
        <f aca="false">IF(ISBLANK($C201),"",$BM201)</f>
        <v/>
      </c>
      <c r="DE201" s="78" t="str">
        <f aca="false">IF(ISBLANK($C201),"",$CL201)</f>
        <v/>
      </c>
      <c r="DF201" s="78" t="str">
        <f aca="false">IF(ISBLANK($C201),"",$CK201)</f>
        <v/>
      </c>
      <c r="DG201" s="81" t="str">
        <f aca="false">IF(ISBLANK($C201),"",IF($DF201=Constants!$B$7,COUNTA($C$9:$C$508)+2,IF($DF201=Constants!$B$6,COUNTA($C$9:$C$508)+1,IF($DF201=Constants!$B$5,COUNTA($C$9:$C$508),$DF201))))</f>
        <v/>
      </c>
      <c r="DH201" s="7"/>
      <c r="DI201" s="82" t="n">
        <f aca="false">IF(OR(ISNUMBER($DF201),$DF201=Constants!$B$7,$DF201=Constants!$B$5,$DF201=Constants!$B$6),1,0)</f>
        <v>0</v>
      </c>
      <c r="DJ201" s="82" t="n">
        <v>193</v>
      </c>
      <c r="DK201" s="82" t="str">
        <f aca="false">IF(ISBLANK($C201),"",IF(ISNUMBER($DG201),$DG201+ROW($B201)/1000,""))</f>
        <v/>
      </c>
      <c r="DL201" s="82" t="str">
        <f aca="false">IF(ISNUMBER($DK201),RANK($DK201,$DK$9:$DK$508,1),"")</f>
        <v/>
      </c>
      <c r="DM201" s="82" t="str">
        <f aca="false">IF(ISBLANK($C201),"",$B201)</f>
        <v/>
      </c>
      <c r="DN201" s="82" t="str">
        <f aca="false">IF(ISBLANK($C201),"",$C201)</f>
        <v/>
      </c>
      <c r="DO201" s="82" t="str">
        <f aca="false">IF(ISBLANK($C201),"",$D201)</f>
        <v/>
      </c>
      <c r="DP201" s="83" t="str">
        <f aca="false">$DD201</f>
        <v/>
      </c>
      <c r="DQ201" s="84" t="str">
        <f aca="false">$DC201</f>
        <v/>
      </c>
      <c r="DR201" s="82" t="str">
        <f aca="false">IF(ISBLANK($C201),"",$DF201)</f>
        <v/>
      </c>
      <c r="DS201" s="85" t="str">
        <f aca="false">IF($DJ201&gt;$DI$8,"",VLOOKUP($DJ201,$DL$9:$DR$508,7,FALSE()))</f>
        <v/>
      </c>
      <c r="DT201" s="86" t="str">
        <f aca="false">IF($DJ201&gt;$DI$8,"",VLOOKUP($DJ201,$DL$9:$DR$508,2,FALSE()))</f>
        <v/>
      </c>
      <c r="DU201" s="86" t="str">
        <f aca="false">IF($DJ201&gt;$DI$8,"",VLOOKUP($DJ201,$DL$9:$DR$508,3,FALSE()))</f>
        <v/>
      </c>
      <c r="DV201" s="86" t="str">
        <f aca="false">IF($DJ201&gt;$DI$8,"",VLOOKUP($DJ201,$DL$9:$DR$508,4,FALSE()))</f>
        <v/>
      </c>
      <c r="DW201" s="86" t="str">
        <f aca="false">IF($DJ201&gt;$DI$8,"",VLOOKUP($DJ201,$DL$9:$DR$508,5,FALSE()))</f>
        <v/>
      </c>
      <c r="DX201" s="87" t="str">
        <f aca="false">IF($DJ201&gt;$DI$8,"",VLOOKUP($DJ201,$DL$9:$DR$508,6,FALSE()))</f>
        <v/>
      </c>
      <c r="DY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88"/>
      <c r="N202" s="88"/>
      <c r="O202" s="134"/>
      <c r="P202" s="134"/>
      <c r="Q202" s="88"/>
      <c r="R202" s="88"/>
      <c r="S202" s="88"/>
      <c r="T202" s="88"/>
      <c r="U202" s="134"/>
      <c r="V202" s="88"/>
      <c r="W202" s="70"/>
      <c r="X202" s="88"/>
      <c r="Y202" s="88"/>
      <c r="Z202" s="70"/>
      <c r="AA202" s="70"/>
      <c r="AB202" s="88"/>
      <c r="AC202" s="88"/>
      <c r="AD202" s="88"/>
      <c r="AE202" s="71"/>
      <c r="AF202" s="88"/>
      <c r="AG202" s="73"/>
      <c r="AH202" s="74"/>
      <c r="AI202" s="74"/>
      <c r="AJ202" s="74" t="str">
        <f aca="false">IF(ISBLANK($C202),"",IF($E202=Constants!$B$2,TRUE(),IF($E202=Constants!$B$3,FALSE(),TRUE())))</f>
        <v/>
      </c>
      <c r="AK202" s="74" t="str">
        <f aca="false">IF(ISBLANK($C202),"",IF($F202=Constants!$B$2,TRUE(),IF($F202=Constants!$B$3,FALSE(),FALSE())))</f>
        <v/>
      </c>
      <c r="AL202" s="74" t="str">
        <f aca="false">IF(ISBLANK($C202),"",IF($G202=Constants!$B$2,TRUE(),IF($G202=Constants!$B$3,FALSE(),TRUE())))</f>
        <v/>
      </c>
      <c r="AM202" s="74" t="str">
        <f aca="false">IF(ISBLANK($C202),"",IF($H202=Constants!$B$2,TRUE(),IF($H202=Constants!$B$3,FALSE(),TRUE())))</f>
        <v/>
      </c>
      <c r="AN202" s="74" t="str">
        <f aca="false">IF(ISBLANK($C202),"",IF(ISNUMBER($I202),IF($I202&gt;=0,$I202,""),""))</f>
        <v/>
      </c>
      <c r="AO202" s="74" t="str">
        <f aca="false">IF(ISBLANK($C202),"",IF(ISNUMBER($J202),IF($J202&gt;=0,$J202,""),""))</f>
        <v/>
      </c>
      <c r="AP202" s="74" t="str">
        <f aca="false">IF(ISBLANK($C202),"",IF(ISNUMBER($K202),IF($K202&gt;=0,$K202,""),""))</f>
        <v/>
      </c>
      <c r="AQ202" s="74" t="str">
        <f aca="false">IF(ISBLANK($C202),"",IF($L202=Constants!$B$2,TRUE(),IF($L202=Constants!$B$3,FALSE(),TRUE())))</f>
        <v/>
      </c>
      <c r="AR202" s="74" t="str">
        <f aca="false">IF(ISBLANK($C202),"",IF($M202=Constants!$B$2,TRUE(),IF($M202=Constants!$B$3,FALSE(),TRUE())))</f>
        <v/>
      </c>
      <c r="AS202" s="74" t="str">
        <f aca="false">IF(ISBLANK($C202),"",IF($N202=Constants!$B$2,TRUE(),IF($N202=Constants!$B$3,FALSE(),FALSE())))</f>
        <v/>
      </c>
      <c r="AT202" s="74" t="str">
        <f aca="false">IF(ISBLANK($C202),"",IF($O202=Constants!$B$2,TRUE(),IF($O202=Constants!$B$3,FALSE(),TRUE())))</f>
        <v/>
      </c>
      <c r="AU202" s="74" t="str">
        <f aca="false">IF(ISBLANK($C202),"",IF($P202=Constants!$B$2,TRUE(),IF($P202=Constants!$B$3,FALSE(),TRUE())))</f>
        <v/>
      </c>
      <c r="AV202" s="74" t="str">
        <f aca="false">IF(ISBLANK($C202),"",IF($Q202=Constants!$B$2,TRUE(),IF($Q202=Constants!$B$3,FALSE(),FALSE())))</f>
        <v/>
      </c>
      <c r="AW202" s="74" t="str">
        <f aca="false">IF(ISBLANK($C202),"",IF($R202=Constants!$B$2,TRUE(),IF($R202=Constants!$B$3,FALSE(),FALSE())))</f>
        <v/>
      </c>
      <c r="AX202" s="74" t="str">
        <f aca="false">IF(ISBLANK($C202),"",IF($S202=Constants!$B$2,TRUE(),IF($S202=Constants!$B$3,FALSE(),FALSE())))</f>
        <v/>
      </c>
      <c r="AY202" s="74" t="str">
        <f aca="false">IF(ISBLANK($C202),"",IF($T202=Constants!$B$2,TRUE(),IF($T202=Constants!$B$3,FALSE(),FALSE())))</f>
        <v/>
      </c>
      <c r="AZ202" s="74" t="str">
        <f aca="false">IF(ISBLANK($C202),"",IF($U202=Constants!$B$2,TRUE(),IF($U202=Constants!$B$3,FALSE(),FALSE())))</f>
        <v/>
      </c>
      <c r="BA202" s="74" t="str">
        <f aca="false">IF(ISBLANK($C202),"",IF(OR($V202&amp;""="1",$V202&amp;""="2",$V202&amp;""="3",$V202&amp;""="4"),VALUE($V202&amp;""),IF($V202=Constants!$B$12,Constants!$B$12,"")))</f>
        <v/>
      </c>
      <c r="BB202" s="74" t="str">
        <f aca="false">IF(ISBLANK($C202),"",IF(ISBLANK($W202),0,IF(ISNUMBER($W202),IF(AND($W202&gt;=0,$W202&lt;=Constants!$B$21,$W202=INT($W202)),$W202,""),"")))</f>
        <v/>
      </c>
      <c r="BC202" s="74" t="str">
        <f aca="false">IF(ISBLANK($C202),"",IF(ISBLANK($X202),0,IF(ISNUMBER($X202),IF($X202&gt;=0,$X202,""),"")))</f>
        <v/>
      </c>
      <c r="BD202" s="74" t="str">
        <f aca="false">IF(ISBLANK($C202),"",IF($Y202=Constants!$B$2,TRUE(),IF($Y202=Constants!$B$3,FALSE(),TRUE())))</f>
        <v/>
      </c>
      <c r="BE202" s="74" t="str">
        <f aca="false">IF(ISBLANK($C202),"",IF($Z202=Constants!$B$2,TRUE(),IF($Z202=Constants!$B$3,FALSE(),FALSE())))</f>
        <v/>
      </c>
      <c r="BF202" s="74" t="str">
        <f aca="false">IF(ISBLANK($C202),"",IF(ISBLANK($AA202),0,IF(ISNUMBER($AA202),IF(AND($AA202&gt;=0,$AA202&lt;=Constants!$B$35,$AA202=INT($AA202)),$AA202,""),"")))</f>
        <v/>
      </c>
      <c r="BG202" s="74" t="str">
        <f aca="false">IF(ISBLANK($C202),"",IF($AB202=Constants!$B$2,TRUE(),IF($AB202=Constants!$B$3,FALSE(),TRUE())))</f>
        <v/>
      </c>
      <c r="BH202" s="74" t="str">
        <f aca="false">IF(ISBLANK($C202),"",IF($AC202=Constants!$B$2,TRUE(),IF($AC202=Constants!$B$3,FALSE(),TRUE())))</f>
        <v/>
      </c>
      <c r="BI202" s="74" t="str">
        <f aca="false">IF(ISBLANK($C202),"",IF($AD202=Constants!$B$2,TRUE(),IF($AD202=Constants!$B$3,FALSE(),TRUE())))</f>
        <v/>
      </c>
      <c r="BJ202" s="74" t="str">
        <f aca="false">IF(ISBLANK($C202),"",IF(ISNUMBER($AE202),IF($AE202&gt;=0,$AE202,""),""))</f>
        <v/>
      </c>
      <c r="BK202" s="74" t="str">
        <f aca="false">IF(ISBLANK($C202),"",IF($AF202=Constants!$B$2,TRUE(),IF($AF202=Constants!$B$3,FALSE(),FALSE())))</f>
        <v/>
      </c>
      <c r="BL202" s="73" t="str">
        <f aca="false">IF(ISBLANK($C202),"",IF($BK202,Constants!$B$7,IF(COUNTA($E202:$AE202)=0,Constants!$B$6,IF(OR(COUNTA($G202:$AE202)=0,NOT($AM202),$AS202),Constants!$B$5,IF(OR($CM202&lt;&gt;"",$CN202,$CO202,$CP202,$CQ202,$CR202,$CS202),Constants!$B$8,Constants!$B$4)))))</f>
        <v/>
      </c>
      <c r="BM202" s="74" t="str">
        <f aca="false">IF(ISBLANK($C202),"",IF($BL202&lt;&gt;Constants!$B$4,$BL202,IF(OR(NOT($AJ202),NOT($AL202),NOT($AT202)),Constants!$B$11,IF(OR(NOT($AR202),NOT($AU202),NOT($BI202),MAX($AN202,$AO202,$AP202)&gt;Constants!$B$30),Constants!$B$10,Constants!$B$9))))</f>
        <v/>
      </c>
      <c r="BN202" s="74" t="str">
        <f aca="false">IF($BL202&lt;&gt;Constants!$B$4,"",IF(NOT($AL202),0,MIN(Constants!$B$35,$BF202)))</f>
        <v/>
      </c>
      <c r="BO202" s="74" t="str">
        <f aca="false">IF($BL202&lt;&gt;Constants!$B$4,"",IF(NOT($AL202),0,IF($AW202,Constants!$B$18,IF($AV202,Constants!$B$17,0))))</f>
        <v/>
      </c>
      <c r="BP202" s="74" t="str">
        <f aca="false">IF($BL202&lt;&gt;Constants!$B$4,"",IF(NOT($AL202),0,Constants!$B$19*($AK202+$AX202+$AY202+$AZ202)))</f>
        <v/>
      </c>
      <c r="BQ202" s="74" t="str">
        <f aca="false">IF($BL202&lt;&gt;Constants!$B$4,"",IF(OR(NOT($AL202),NOT(ISNUMBER($BA202))),0,CHOOSE($BA202,Constants!$B$13,Constants!$B$14,Constants!$B$15,Constants!$B$16)))</f>
        <v/>
      </c>
      <c r="BR202" s="74" t="str">
        <f aca="false">IF($BL202&lt;&gt;Constants!$B$4,"",IF(NOT($AL202),0,Constants!$B$20*$BB202))</f>
        <v/>
      </c>
      <c r="BS202" s="74" t="str">
        <f aca="false">IF($BL202&lt;&gt;Constants!$B$4,"",IF(AND($AL202,$BD202,$BE202),Constants!$B$22,0))</f>
        <v/>
      </c>
      <c r="BT202" s="74" t="str">
        <f aca="false">IF($BL202&lt;&gt;Constants!$B$4,"",IF(OR(NOT($AL202),NOT($BD202)),0,IF($BJ202&gt;=2*$AH$9,0,Constants!$B$23*INT(ROUND(MIN($BJ202,$AH$9),6)))))</f>
        <v/>
      </c>
      <c r="BU202" s="74" t="str">
        <f aca="false">IF($BL202&lt;&gt;Constants!$B$4,"",IF(NOT($AL202),0,Constants!$B$24*INT(ROUND(MIN($BC202,$AH$9),6))))</f>
        <v/>
      </c>
      <c r="BV202" s="74" t="str">
        <f aca="false">IF($BL202&lt;&gt;Constants!$B$4,"",IF(AND($AL202,$BN202=0),Constants!$B$25,0))</f>
        <v/>
      </c>
      <c r="BW202" s="74" t="str">
        <f aca="false">IF($BL202&lt;&gt;Constants!$B$4,"",MIN(Constants!$B$29,MAX(0,Constants!$B$27*Constants!$B$28*INT(ROUND((Constants!$B$26-$AN202)/Constants!$B$28,6))))+MIN(Constants!$B$29,MAX(0,Constants!$B$27*Constants!$B$28*INT(ROUND((Constants!$B$26-$AO202)/Constants!$B$28,6))))+MIN(Constants!$B$29,MAX(0,Constants!$B$27*Constants!$B$28*INT(ROUND((Constants!$B$26-$AP202)/Constants!$B$28,6)))))</f>
        <v/>
      </c>
      <c r="BX202" s="74" t="str">
        <f aca="false">IF($BL202&lt;&gt;Constants!$B$4,"",IF(NOT($AL202),0,Constants!$B$31*INT(ROUND(MAX(0,MIN($BJ202,2*$AH$9)-$AH$9),6))))</f>
        <v/>
      </c>
      <c r="BY202" s="74" t="str">
        <f aca="false">IF($BL202&lt;&gt;Constants!$B$4,"",Constants!$B$32*(($AN202&gt;Constants!$B$26)+($AO202&gt;Constants!$B$26)+($AP202&gt;Constants!$B$26)))</f>
        <v/>
      </c>
      <c r="BZ202" s="74" t="str">
        <f aca="false">IF($BL202&lt;&gt;Constants!$B$4,"",IF(OR(NOT($AL202),$AQ202),0,Constants!$B$33))</f>
        <v/>
      </c>
      <c r="CA202" s="74" t="str">
        <f aca="false">IF($BL202&lt;&gt;Constants!$B$4,"",Constants!$B$34*$BN202)</f>
        <v/>
      </c>
      <c r="CB202" s="74" t="str">
        <f aca="false">IF($BL202&lt;&gt;Constants!$B$4,"",IF(OR(NOT($AL202),$BH202),0,Constants!$B$36))</f>
        <v/>
      </c>
      <c r="CC202" s="74" t="str">
        <f aca="false">IF($BL202&lt;&gt;Constants!$B$4,"",IF(OR(NOT($AL202),$BG202),0,Constants!$B$37))</f>
        <v/>
      </c>
      <c r="CD202" s="74" t="str">
        <f aca="false">IF($BL202&lt;&gt;Constants!$B$4,"",SUM($BX202:$CC202))</f>
        <v/>
      </c>
      <c r="CE202" s="74" t="str">
        <f aca="false">IF(ISBLANK($C202),"",IF($BL202&lt;&gt;Constants!$B$4,$BL202,SUM($BO202:$BW202)-$CD202))</f>
        <v/>
      </c>
      <c r="CF202" s="74" t="str">
        <f aca="false">IF(ISBLANK($C202),"",IF($BL202&lt;&gt;Constants!$B$4,$BL202,RANK($CE202,$CE$9:$CE$508)))</f>
        <v/>
      </c>
      <c r="CG202" s="74" t="str">
        <f aca="false">IF(ISBLANK($C202),"",IF($BL202&lt;&gt;Constants!$B$4,$BL202,COUNTIFS($BM$9:$BM$508,"&lt;"&amp;$BM202)+COUNTIFS($BM$9:$BM$508,$BM202,$CF$9:$CF$508,"&lt;"&amp;$CF202)+1))</f>
        <v/>
      </c>
      <c r="CH202" s="74" t="str">
        <f aca="false">IF(ISBLANK($C202),"",IF($BL202&lt;&gt;Constants!$B$4,$BL202,RANK($CD202,$CD$9:$CD$508,1)))</f>
        <v/>
      </c>
      <c r="CI202" s="74" t="str">
        <f aca="false">IF($BL202&lt;&gt;Constants!$B$4,"",$AN202+$AO202+$AP202)</f>
        <v/>
      </c>
      <c r="CJ202" s="74" t="str">
        <f aca="false">IF(ISBLANK($C202),"",IF($BL202&lt;&gt;Constants!$B$4,$BL202,RANK($CI202,$CI$9:$CI$508,1)))</f>
        <v/>
      </c>
      <c r="CK202" s="74" t="str">
        <f aca="false">IF(ISBLANK($C202),"",IF($BL202&lt;&gt;Constants!$B$4,$BL202,COUNTIFS($BM$9:$BM$508,"&lt;"&amp;$BM202)+COUNTIFS($BM$9:$BM$508,$BM202,$CF$9:$CF$508,"&lt;"&amp;$CF202)+COUNTIFS($BM$9:$BM$508,$BM202,$CF$9:$CF$508,$CF202,$CH$9:$CH$508,"&lt;"&amp;$CH202)+COUNTIFS($BM$9:$BM$508,$BM202,$CF$9:$CF$508,$CF202,$CH$9:$CH$508,$CH202,$CJ$9:$CJ$508,"&lt;"&amp;$CJ202)+1))</f>
        <v/>
      </c>
      <c r="CL202" s="74" t="str">
        <f aca="false">IF(ISBLANK($C202),"",IF($BL202&lt;&gt;Constants!$B$4,$BL202,$CG202-$CK202))</f>
        <v/>
      </c>
      <c r="CM202" s="74" t="str">
        <f aca="false">IF(ISBLANK($C202),"",IF(NOT($AL202),"",IF(ISBLANK($D$7),$CM$5,IF(NOT(ISNUMBER($D$7)),$CM$6,""))))</f>
        <v/>
      </c>
      <c r="CN202" s="74" t="str">
        <f aca="false">IF(ISBLANK($C202),"",OR($AN202="",$AO202="",$AP202=""))</f>
        <v/>
      </c>
      <c r="CO202" s="74" t="str">
        <f aca="false">IF(ISBLANK($C202),"",AND($AL202,$BA202=""))</f>
        <v/>
      </c>
      <c r="CP202" s="74" t="str">
        <f aca="false">IF(ISBLANK($C202),"",AND($AL202,$BB202=""))</f>
        <v/>
      </c>
      <c r="CQ202" s="74" t="str">
        <f aca="false">IF(ISBLANK($C202),"",AND($AL202,$BC202=""))</f>
        <v/>
      </c>
      <c r="CR202" s="74" t="str">
        <f aca="false">IF(ISBLANK($C202),"",AND($AL202,$BF202=""))</f>
        <v/>
      </c>
      <c r="CS202" s="74" t="str">
        <f aca="false">IF(ISBLANK($C202),"",AND($AL202,$BJ202=""))</f>
        <v/>
      </c>
      <c r="CT202" s="75"/>
      <c r="CU202" s="76"/>
      <c r="CV202" s="79" t="str">
        <f aca="false">IF(ISBLANK($C202),"",IF($BL202=Constants!$B$8,$CM202,""))</f>
        <v/>
      </c>
      <c r="CW202" s="76" t="str">
        <f aca="false">IF(ISBLANK($C202),"",IF($BL202&lt;&gt;Constants!$B$4,"",$BO202+$BP202))</f>
        <v/>
      </c>
      <c r="CX202" s="78" t="str">
        <f aca="false">IF(ISBLANK($C202),"",IF($BL202&lt;&gt;Constants!$B$4,"",$BQ202+$BR202+$BS202))</f>
        <v/>
      </c>
      <c r="CY202" s="78" t="str">
        <f aca="false">IF(ISBLANK($C202),"",IF($BL202&lt;&gt;Constants!$B$4,"",$BT202))</f>
        <v/>
      </c>
      <c r="CZ202" s="78" t="str">
        <f aca="false">IF(ISBLANK($C202),"",IF($BL202&lt;&gt;Constants!$B$4,"",$BU202+$BV202))</f>
        <v/>
      </c>
      <c r="DA202" s="78" t="str">
        <f aca="false">IF(ISBLANK($C202),"",IF($BL202&lt;&gt;Constants!$B$4,"",$BW202))</f>
        <v/>
      </c>
      <c r="DB202" s="78" t="str">
        <f aca="false">IF(ISBLANK($C202),"",IF($BL202&lt;&gt;Constants!$B$4,"",-$CD202))</f>
        <v/>
      </c>
      <c r="DC202" s="79" t="str">
        <f aca="false">IF(ISBLANK($C202),"",$CE202)</f>
        <v/>
      </c>
      <c r="DD202" s="80" t="str">
        <f aca="false">IF(ISBLANK($C202),"",$BM202)</f>
        <v/>
      </c>
      <c r="DE202" s="78" t="str">
        <f aca="false">IF(ISBLANK($C202),"",$CL202)</f>
        <v/>
      </c>
      <c r="DF202" s="78" t="str">
        <f aca="false">IF(ISBLANK($C202),"",$CK202)</f>
        <v/>
      </c>
      <c r="DG202" s="81" t="str">
        <f aca="false">IF(ISBLANK($C202),"",IF($DF202=Constants!$B$7,COUNTA($C$9:$C$508)+2,IF($DF202=Constants!$B$6,COUNTA($C$9:$C$508)+1,IF($DF202=Constants!$B$5,COUNTA($C$9:$C$508),$DF202))))</f>
        <v/>
      </c>
      <c r="DH202" s="7"/>
      <c r="DI202" s="82" t="n">
        <f aca="false">IF(OR(ISNUMBER($DF202),$DF202=Constants!$B$7,$DF202=Constants!$B$5,$DF202=Constants!$B$6),1,0)</f>
        <v>0</v>
      </c>
      <c r="DJ202" s="82" t="n">
        <v>194</v>
      </c>
      <c r="DK202" s="82" t="str">
        <f aca="false">IF(ISBLANK($C202),"",IF(ISNUMBER($DG202),$DG202+ROW($B202)/1000,""))</f>
        <v/>
      </c>
      <c r="DL202" s="82" t="str">
        <f aca="false">IF(ISNUMBER($DK202),RANK($DK202,$DK$9:$DK$508,1),"")</f>
        <v/>
      </c>
      <c r="DM202" s="82" t="str">
        <f aca="false">IF(ISBLANK($C202),"",$B202)</f>
        <v/>
      </c>
      <c r="DN202" s="82" t="str">
        <f aca="false">IF(ISBLANK($C202),"",$C202)</f>
        <v/>
      </c>
      <c r="DO202" s="82" t="str">
        <f aca="false">IF(ISBLANK($C202),"",$D202)</f>
        <v/>
      </c>
      <c r="DP202" s="83" t="str">
        <f aca="false">$DD202</f>
        <v/>
      </c>
      <c r="DQ202" s="84" t="str">
        <f aca="false">$DC202</f>
        <v/>
      </c>
      <c r="DR202" s="82" t="str">
        <f aca="false">IF(ISBLANK($C202),"",$DF202)</f>
        <v/>
      </c>
      <c r="DS202" s="85" t="str">
        <f aca="false">IF($DJ202&gt;$DI$8,"",VLOOKUP($DJ202,$DL$9:$DR$508,7,FALSE()))</f>
        <v/>
      </c>
      <c r="DT202" s="86" t="str">
        <f aca="false">IF($DJ202&gt;$DI$8,"",VLOOKUP($DJ202,$DL$9:$DR$508,2,FALSE()))</f>
        <v/>
      </c>
      <c r="DU202" s="86" t="str">
        <f aca="false">IF($DJ202&gt;$DI$8,"",VLOOKUP($DJ202,$DL$9:$DR$508,3,FALSE()))</f>
        <v/>
      </c>
      <c r="DV202" s="86" t="str">
        <f aca="false">IF($DJ202&gt;$DI$8,"",VLOOKUP($DJ202,$DL$9:$DR$508,4,FALSE()))</f>
        <v/>
      </c>
      <c r="DW202" s="86" t="str">
        <f aca="false">IF($DJ202&gt;$DI$8,"",VLOOKUP($DJ202,$DL$9:$DR$508,5,FALSE()))</f>
        <v/>
      </c>
      <c r="DX202" s="87" t="str">
        <f aca="false">IF($DJ202&gt;$DI$8,"",VLOOKUP($DJ202,$DL$9:$DR$508,6,FALSE()))</f>
        <v/>
      </c>
      <c r="DY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88"/>
      <c r="N203" s="88"/>
      <c r="O203" s="134"/>
      <c r="P203" s="134"/>
      <c r="Q203" s="88"/>
      <c r="R203" s="88"/>
      <c r="S203" s="88"/>
      <c r="T203" s="88"/>
      <c r="U203" s="134"/>
      <c r="V203" s="88"/>
      <c r="W203" s="70"/>
      <c r="X203" s="88"/>
      <c r="Y203" s="88"/>
      <c r="Z203" s="70"/>
      <c r="AA203" s="70"/>
      <c r="AB203" s="88"/>
      <c r="AC203" s="88"/>
      <c r="AD203" s="88"/>
      <c r="AE203" s="71"/>
      <c r="AF203" s="88"/>
      <c r="AG203" s="73"/>
      <c r="AH203" s="74"/>
      <c r="AI203" s="74"/>
      <c r="AJ203" s="74" t="str">
        <f aca="false">IF(ISBLANK($C203),"",IF($E203=Constants!$B$2,TRUE(),IF($E203=Constants!$B$3,FALSE(),TRUE())))</f>
        <v/>
      </c>
      <c r="AK203" s="74" t="str">
        <f aca="false">IF(ISBLANK($C203),"",IF($F203=Constants!$B$2,TRUE(),IF($F203=Constants!$B$3,FALSE(),FALSE())))</f>
        <v/>
      </c>
      <c r="AL203" s="74" t="str">
        <f aca="false">IF(ISBLANK($C203),"",IF($G203=Constants!$B$2,TRUE(),IF($G203=Constants!$B$3,FALSE(),TRUE())))</f>
        <v/>
      </c>
      <c r="AM203" s="74" t="str">
        <f aca="false">IF(ISBLANK($C203),"",IF($H203=Constants!$B$2,TRUE(),IF($H203=Constants!$B$3,FALSE(),TRUE())))</f>
        <v/>
      </c>
      <c r="AN203" s="74" t="str">
        <f aca="false">IF(ISBLANK($C203),"",IF(ISNUMBER($I203),IF($I203&gt;=0,$I203,""),""))</f>
        <v/>
      </c>
      <c r="AO203" s="74" t="str">
        <f aca="false">IF(ISBLANK($C203),"",IF(ISNUMBER($J203),IF($J203&gt;=0,$J203,""),""))</f>
        <v/>
      </c>
      <c r="AP203" s="74" t="str">
        <f aca="false">IF(ISBLANK($C203),"",IF(ISNUMBER($K203),IF($K203&gt;=0,$K203,""),""))</f>
        <v/>
      </c>
      <c r="AQ203" s="74" t="str">
        <f aca="false">IF(ISBLANK($C203),"",IF($L203=Constants!$B$2,TRUE(),IF($L203=Constants!$B$3,FALSE(),TRUE())))</f>
        <v/>
      </c>
      <c r="AR203" s="74" t="str">
        <f aca="false">IF(ISBLANK($C203),"",IF($M203=Constants!$B$2,TRUE(),IF($M203=Constants!$B$3,FALSE(),TRUE())))</f>
        <v/>
      </c>
      <c r="AS203" s="74" t="str">
        <f aca="false">IF(ISBLANK($C203),"",IF($N203=Constants!$B$2,TRUE(),IF($N203=Constants!$B$3,FALSE(),FALSE())))</f>
        <v/>
      </c>
      <c r="AT203" s="74" t="str">
        <f aca="false">IF(ISBLANK($C203),"",IF($O203=Constants!$B$2,TRUE(),IF($O203=Constants!$B$3,FALSE(),TRUE())))</f>
        <v/>
      </c>
      <c r="AU203" s="74" t="str">
        <f aca="false">IF(ISBLANK($C203),"",IF($P203=Constants!$B$2,TRUE(),IF($P203=Constants!$B$3,FALSE(),TRUE())))</f>
        <v/>
      </c>
      <c r="AV203" s="74" t="str">
        <f aca="false">IF(ISBLANK($C203),"",IF($Q203=Constants!$B$2,TRUE(),IF($Q203=Constants!$B$3,FALSE(),FALSE())))</f>
        <v/>
      </c>
      <c r="AW203" s="74" t="str">
        <f aca="false">IF(ISBLANK($C203),"",IF($R203=Constants!$B$2,TRUE(),IF($R203=Constants!$B$3,FALSE(),FALSE())))</f>
        <v/>
      </c>
      <c r="AX203" s="74" t="str">
        <f aca="false">IF(ISBLANK($C203),"",IF($S203=Constants!$B$2,TRUE(),IF($S203=Constants!$B$3,FALSE(),FALSE())))</f>
        <v/>
      </c>
      <c r="AY203" s="74" t="str">
        <f aca="false">IF(ISBLANK($C203),"",IF($T203=Constants!$B$2,TRUE(),IF($T203=Constants!$B$3,FALSE(),FALSE())))</f>
        <v/>
      </c>
      <c r="AZ203" s="74" t="str">
        <f aca="false">IF(ISBLANK($C203),"",IF($U203=Constants!$B$2,TRUE(),IF($U203=Constants!$B$3,FALSE(),FALSE())))</f>
        <v/>
      </c>
      <c r="BA203" s="74" t="str">
        <f aca="false">IF(ISBLANK($C203),"",IF(OR($V203&amp;""="1",$V203&amp;""="2",$V203&amp;""="3",$V203&amp;""="4"),VALUE($V203&amp;""),IF($V203=Constants!$B$12,Constants!$B$12,"")))</f>
        <v/>
      </c>
      <c r="BB203" s="74" t="str">
        <f aca="false">IF(ISBLANK($C203),"",IF(ISBLANK($W203),0,IF(ISNUMBER($W203),IF(AND($W203&gt;=0,$W203&lt;=Constants!$B$21,$W203=INT($W203)),$W203,""),"")))</f>
        <v/>
      </c>
      <c r="BC203" s="74" t="str">
        <f aca="false">IF(ISBLANK($C203),"",IF(ISBLANK($X203),0,IF(ISNUMBER($X203),IF($X203&gt;=0,$X203,""),"")))</f>
        <v/>
      </c>
      <c r="BD203" s="74" t="str">
        <f aca="false">IF(ISBLANK($C203),"",IF($Y203=Constants!$B$2,TRUE(),IF($Y203=Constants!$B$3,FALSE(),TRUE())))</f>
        <v/>
      </c>
      <c r="BE203" s="74" t="str">
        <f aca="false">IF(ISBLANK($C203),"",IF($Z203=Constants!$B$2,TRUE(),IF($Z203=Constants!$B$3,FALSE(),FALSE())))</f>
        <v/>
      </c>
      <c r="BF203" s="74" t="str">
        <f aca="false">IF(ISBLANK($C203),"",IF(ISBLANK($AA203),0,IF(ISNUMBER($AA203),IF(AND($AA203&gt;=0,$AA203&lt;=Constants!$B$35,$AA203=INT($AA203)),$AA203,""),"")))</f>
        <v/>
      </c>
      <c r="BG203" s="74" t="str">
        <f aca="false">IF(ISBLANK($C203),"",IF($AB203=Constants!$B$2,TRUE(),IF($AB203=Constants!$B$3,FALSE(),TRUE())))</f>
        <v/>
      </c>
      <c r="BH203" s="74" t="str">
        <f aca="false">IF(ISBLANK($C203),"",IF($AC203=Constants!$B$2,TRUE(),IF($AC203=Constants!$B$3,FALSE(),TRUE())))</f>
        <v/>
      </c>
      <c r="BI203" s="74" t="str">
        <f aca="false">IF(ISBLANK($C203),"",IF($AD203=Constants!$B$2,TRUE(),IF($AD203=Constants!$B$3,FALSE(),TRUE())))</f>
        <v/>
      </c>
      <c r="BJ203" s="74" t="str">
        <f aca="false">IF(ISBLANK($C203),"",IF(ISNUMBER($AE203),IF($AE203&gt;=0,$AE203,""),""))</f>
        <v/>
      </c>
      <c r="BK203" s="74" t="str">
        <f aca="false">IF(ISBLANK($C203),"",IF($AF203=Constants!$B$2,TRUE(),IF($AF203=Constants!$B$3,FALSE(),FALSE())))</f>
        <v/>
      </c>
      <c r="BL203" s="73" t="str">
        <f aca="false">IF(ISBLANK($C203),"",IF($BK203,Constants!$B$7,IF(COUNTA($E203:$AE203)=0,Constants!$B$6,IF(OR(COUNTA($G203:$AE203)=0,NOT($AM203),$AS203),Constants!$B$5,IF(OR($CM203&lt;&gt;"",$CN203,$CO203,$CP203,$CQ203,$CR203,$CS203),Constants!$B$8,Constants!$B$4)))))</f>
        <v/>
      </c>
      <c r="BM203" s="74" t="str">
        <f aca="false">IF(ISBLANK($C203),"",IF($BL203&lt;&gt;Constants!$B$4,$BL203,IF(OR(NOT($AJ203),NOT($AL203),NOT($AT203)),Constants!$B$11,IF(OR(NOT($AR203),NOT($AU203),NOT($BI203),MAX($AN203,$AO203,$AP203)&gt;Constants!$B$30),Constants!$B$10,Constants!$B$9))))</f>
        <v/>
      </c>
      <c r="BN203" s="74" t="str">
        <f aca="false">IF($BL203&lt;&gt;Constants!$B$4,"",IF(NOT($AL203),0,MIN(Constants!$B$35,$BF203)))</f>
        <v/>
      </c>
      <c r="BO203" s="74" t="str">
        <f aca="false">IF($BL203&lt;&gt;Constants!$B$4,"",IF(NOT($AL203),0,IF($AW203,Constants!$B$18,IF($AV203,Constants!$B$17,0))))</f>
        <v/>
      </c>
      <c r="BP203" s="74" t="str">
        <f aca="false">IF($BL203&lt;&gt;Constants!$B$4,"",IF(NOT($AL203),0,Constants!$B$19*($AK203+$AX203+$AY203+$AZ203)))</f>
        <v/>
      </c>
      <c r="BQ203" s="74" t="str">
        <f aca="false">IF($BL203&lt;&gt;Constants!$B$4,"",IF(OR(NOT($AL203),NOT(ISNUMBER($BA203))),0,CHOOSE($BA203,Constants!$B$13,Constants!$B$14,Constants!$B$15,Constants!$B$16)))</f>
        <v/>
      </c>
      <c r="BR203" s="74" t="str">
        <f aca="false">IF($BL203&lt;&gt;Constants!$B$4,"",IF(NOT($AL203),0,Constants!$B$20*$BB203))</f>
        <v/>
      </c>
      <c r="BS203" s="74" t="str">
        <f aca="false">IF($BL203&lt;&gt;Constants!$B$4,"",IF(AND($AL203,$BD203,$BE203),Constants!$B$22,0))</f>
        <v/>
      </c>
      <c r="BT203" s="74" t="str">
        <f aca="false">IF($BL203&lt;&gt;Constants!$B$4,"",IF(OR(NOT($AL203),NOT($BD203)),0,IF($BJ203&gt;=2*$AH$9,0,Constants!$B$23*INT(ROUND(MIN($BJ203,$AH$9),6)))))</f>
        <v/>
      </c>
      <c r="BU203" s="74" t="str">
        <f aca="false">IF($BL203&lt;&gt;Constants!$B$4,"",IF(NOT($AL203),0,Constants!$B$24*INT(ROUND(MIN($BC203,$AH$9),6))))</f>
        <v/>
      </c>
      <c r="BV203" s="74" t="str">
        <f aca="false">IF($BL203&lt;&gt;Constants!$B$4,"",IF(AND($AL203,$BN203=0),Constants!$B$25,0))</f>
        <v/>
      </c>
      <c r="BW203" s="74" t="str">
        <f aca="false">IF($BL203&lt;&gt;Constants!$B$4,"",MIN(Constants!$B$29,MAX(0,Constants!$B$27*Constants!$B$28*INT(ROUND((Constants!$B$26-$AN203)/Constants!$B$28,6))))+MIN(Constants!$B$29,MAX(0,Constants!$B$27*Constants!$B$28*INT(ROUND((Constants!$B$26-$AO203)/Constants!$B$28,6))))+MIN(Constants!$B$29,MAX(0,Constants!$B$27*Constants!$B$28*INT(ROUND((Constants!$B$26-$AP203)/Constants!$B$28,6)))))</f>
        <v/>
      </c>
      <c r="BX203" s="74" t="str">
        <f aca="false">IF($BL203&lt;&gt;Constants!$B$4,"",IF(NOT($AL203),0,Constants!$B$31*INT(ROUND(MAX(0,MIN($BJ203,2*$AH$9)-$AH$9),6))))</f>
        <v/>
      </c>
      <c r="BY203" s="74" t="str">
        <f aca="false">IF($BL203&lt;&gt;Constants!$B$4,"",Constants!$B$32*(($AN203&gt;Constants!$B$26)+($AO203&gt;Constants!$B$26)+($AP203&gt;Constants!$B$26)))</f>
        <v/>
      </c>
      <c r="BZ203" s="74" t="str">
        <f aca="false">IF($BL203&lt;&gt;Constants!$B$4,"",IF(OR(NOT($AL203),$AQ203),0,Constants!$B$33))</f>
        <v/>
      </c>
      <c r="CA203" s="74" t="str">
        <f aca="false">IF($BL203&lt;&gt;Constants!$B$4,"",Constants!$B$34*$BN203)</f>
        <v/>
      </c>
      <c r="CB203" s="74" t="str">
        <f aca="false">IF($BL203&lt;&gt;Constants!$B$4,"",IF(OR(NOT($AL203),$BH203),0,Constants!$B$36))</f>
        <v/>
      </c>
      <c r="CC203" s="74" t="str">
        <f aca="false">IF($BL203&lt;&gt;Constants!$B$4,"",IF(OR(NOT($AL203),$BG203),0,Constants!$B$37))</f>
        <v/>
      </c>
      <c r="CD203" s="74" t="str">
        <f aca="false">IF($BL203&lt;&gt;Constants!$B$4,"",SUM($BX203:$CC203))</f>
        <v/>
      </c>
      <c r="CE203" s="74" t="str">
        <f aca="false">IF(ISBLANK($C203),"",IF($BL203&lt;&gt;Constants!$B$4,$BL203,SUM($BO203:$BW203)-$CD203))</f>
        <v/>
      </c>
      <c r="CF203" s="74" t="str">
        <f aca="false">IF(ISBLANK($C203),"",IF($BL203&lt;&gt;Constants!$B$4,$BL203,RANK($CE203,$CE$9:$CE$508)))</f>
        <v/>
      </c>
      <c r="CG203" s="74" t="str">
        <f aca="false">IF(ISBLANK($C203),"",IF($BL203&lt;&gt;Constants!$B$4,$BL203,COUNTIFS($BM$9:$BM$508,"&lt;"&amp;$BM203)+COUNTIFS($BM$9:$BM$508,$BM203,$CF$9:$CF$508,"&lt;"&amp;$CF203)+1))</f>
        <v/>
      </c>
      <c r="CH203" s="74" t="str">
        <f aca="false">IF(ISBLANK($C203),"",IF($BL203&lt;&gt;Constants!$B$4,$BL203,RANK($CD203,$CD$9:$CD$508,1)))</f>
        <v/>
      </c>
      <c r="CI203" s="74" t="str">
        <f aca="false">IF($BL203&lt;&gt;Constants!$B$4,"",$AN203+$AO203+$AP203)</f>
        <v/>
      </c>
      <c r="CJ203" s="74" t="str">
        <f aca="false">IF(ISBLANK($C203),"",IF($BL203&lt;&gt;Constants!$B$4,$BL203,RANK($CI203,$CI$9:$CI$508,1)))</f>
        <v/>
      </c>
      <c r="CK203" s="74" t="str">
        <f aca="false">IF(ISBLANK($C203),"",IF($BL203&lt;&gt;Constants!$B$4,$BL203,COUNTIFS($BM$9:$BM$508,"&lt;"&amp;$BM203)+COUNTIFS($BM$9:$BM$508,$BM203,$CF$9:$CF$508,"&lt;"&amp;$CF203)+COUNTIFS($BM$9:$BM$508,$BM203,$CF$9:$CF$508,$CF203,$CH$9:$CH$508,"&lt;"&amp;$CH203)+COUNTIFS($BM$9:$BM$508,$BM203,$CF$9:$CF$508,$CF203,$CH$9:$CH$508,$CH203,$CJ$9:$CJ$508,"&lt;"&amp;$CJ203)+1))</f>
        <v/>
      </c>
      <c r="CL203" s="74" t="str">
        <f aca="false">IF(ISBLANK($C203),"",IF($BL203&lt;&gt;Constants!$B$4,$BL203,$CG203-$CK203))</f>
        <v/>
      </c>
      <c r="CM203" s="74" t="str">
        <f aca="false">IF(ISBLANK($C203),"",IF(NOT($AL203),"",IF(ISBLANK($D$7),$CM$5,IF(NOT(ISNUMBER($D$7)),$CM$6,""))))</f>
        <v/>
      </c>
      <c r="CN203" s="74" t="str">
        <f aca="false">IF(ISBLANK($C203),"",OR($AN203="",$AO203="",$AP203=""))</f>
        <v/>
      </c>
      <c r="CO203" s="74" t="str">
        <f aca="false">IF(ISBLANK($C203),"",AND($AL203,$BA203=""))</f>
        <v/>
      </c>
      <c r="CP203" s="74" t="str">
        <f aca="false">IF(ISBLANK($C203),"",AND($AL203,$BB203=""))</f>
        <v/>
      </c>
      <c r="CQ203" s="74" t="str">
        <f aca="false">IF(ISBLANK($C203),"",AND($AL203,$BC203=""))</f>
        <v/>
      </c>
      <c r="CR203" s="74" t="str">
        <f aca="false">IF(ISBLANK($C203),"",AND($AL203,$BF203=""))</f>
        <v/>
      </c>
      <c r="CS203" s="74" t="str">
        <f aca="false">IF(ISBLANK($C203),"",AND($AL203,$BJ203=""))</f>
        <v/>
      </c>
      <c r="CT203" s="75"/>
      <c r="CU203" s="76"/>
      <c r="CV203" s="79" t="str">
        <f aca="false">IF(ISBLANK($C203),"",IF($BL203=Constants!$B$8,$CM203,""))</f>
        <v/>
      </c>
      <c r="CW203" s="76" t="str">
        <f aca="false">IF(ISBLANK($C203),"",IF($BL203&lt;&gt;Constants!$B$4,"",$BO203+$BP203))</f>
        <v/>
      </c>
      <c r="CX203" s="78" t="str">
        <f aca="false">IF(ISBLANK($C203),"",IF($BL203&lt;&gt;Constants!$B$4,"",$BQ203+$BR203+$BS203))</f>
        <v/>
      </c>
      <c r="CY203" s="78" t="str">
        <f aca="false">IF(ISBLANK($C203),"",IF($BL203&lt;&gt;Constants!$B$4,"",$BT203))</f>
        <v/>
      </c>
      <c r="CZ203" s="78" t="str">
        <f aca="false">IF(ISBLANK($C203),"",IF($BL203&lt;&gt;Constants!$B$4,"",$BU203+$BV203))</f>
        <v/>
      </c>
      <c r="DA203" s="78" t="str">
        <f aca="false">IF(ISBLANK($C203),"",IF($BL203&lt;&gt;Constants!$B$4,"",$BW203))</f>
        <v/>
      </c>
      <c r="DB203" s="78" t="str">
        <f aca="false">IF(ISBLANK($C203),"",IF($BL203&lt;&gt;Constants!$B$4,"",-$CD203))</f>
        <v/>
      </c>
      <c r="DC203" s="79" t="str">
        <f aca="false">IF(ISBLANK($C203),"",$CE203)</f>
        <v/>
      </c>
      <c r="DD203" s="80" t="str">
        <f aca="false">IF(ISBLANK($C203),"",$BM203)</f>
        <v/>
      </c>
      <c r="DE203" s="78" t="str">
        <f aca="false">IF(ISBLANK($C203),"",$CL203)</f>
        <v/>
      </c>
      <c r="DF203" s="78" t="str">
        <f aca="false">IF(ISBLANK($C203),"",$CK203)</f>
        <v/>
      </c>
      <c r="DG203" s="81" t="str">
        <f aca="false">IF(ISBLANK($C203),"",IF($DF203=Constants!$B$7,COUNTA($C$9:$C$508)+2,IF($DF203=Constants!$B$6,COUNTA($C$9:$C$508)+1,IF($DF203=Constants!$B$5,COUNTA($C$9:$C$508),$DF203))))</f>
        <v/>
      </c>
      <c r="DH203" s="7"/>
      <c r="DI203" s="82" t="n">
        <f aca="false">IF(OR(ISNUMBER($DF203),$DF203=Constants!$B$7,$DF203=Constants!$B$5,$DF203=Constants!$B$6),1,0)</f>
        <v>0</v>
      </c>
      <c r="DJ203" s="82" t="n">
        <v>195</v>
      </c>
      <c r="DK203" s="82" t="str">
        <f aca="false">IF(ISBLANK($C203),"",IF(ISNUMBER($DG203),$DG203+ROW($B203)/1000,""))</f>
        <v/>
      </c>
      <c r="DL203" s="82" t="str">
        <f aca="false">IF(ISNUMBER($DK203),RANK($DK203,$DK$9:$DK$508,1),"")</f>
        <v/>
      </c>
      <c r="DM203" s="82" t="str">
        <f aca="false">IF(ISBLANK($C203),"",$B203)</f>
        <v/>
      </c>
      <c r="DN203" s="82" t="str">
        <f aca="false">IF(ISBLANK($C203),"",$C203)</f>
        <v/>
      </c>
      <c r="DO203" s="82" t="str">
        <f aca="false">IF(ISBLANK($C203),"",$D203)</f>
        <v/>
      </c>
      <c r="DP203" s="83" t="str">
        <f aca="false">$DD203</f>
        <v/>
      </c>
      <c r="DQ203" s="84" t="str">
        <f aca="false">$DC203</f>
        <v/>
      </c>
      <c r="DR203" s="82" t="str">
        <f aca="false">IF(ISBLANK($C203),"",$DF203)</f>
        <v/>
      </c>
      <c r="DS203" s="85" t="str">
        <f aca="false">IF($DJ203&gt;$DI$8,"",VLOOKUP($DJ203,$DL$9:$DR$508,7,FALSE()))</f>
        <v/>
      </c>
      <c r="DT203" s="86" t="str">
        <f aca="false">IF($DJ203&gt;$DI$8,"",VLOOKUP($DJ203,$DL$9:$DR$508,2,FALSE()))</f>
        <v/>
      </c>
      <c r="DU203" s="86" t="str">
        <f aca="false">IF($DJ203&gt;$DI$8,"",VLOOKUP($DJ203,$DL$9:$DR$508,3,FALSE()))</f>
        <v/>
      </c>
      <c r="DV203" s="86" t="str">
        <f aca="false">IF($DJ203&gt;$DI$8,"",VLOOKUP($DJ203,$DL$9:$DR$508,4,FALSE()))</f>
        <v/>
      </c>
      <c r="DW203" s="86" t="str">
        <f aca="false">IF($DJ203&gt;$DI$8,"",VLOOKUP($DJ203,$DL$9:$DR$508,5,FALSE()))</f>
        <v/>
      </c>
      <c r="DX203" s="87" t="str">
        <f aca="false">IF($DJ203&gt;$DI$8,"",VLOOKUP($DJ203,$DL$9:$DR$508,6,FALSE()))</f>
        <v/>
      </c>
      <c r="DY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130"/>
      <c r="N204" s="130"/>
      <c r="O204" s="135"/>
      <c r="P204" s="135"/>
      <c r="Q204" s="130"/>
      <c r="R204" s="130"/>
      <c r="S204" s="130"/>
      <c r="T204" s="130"/>
      <c r="U204" s="135"/>
      <c r="V204" s="130"/>
      <c r="W204" s="96"/>
      <c r="X204" s="130"/>
      <c r="Y204" s="130"/>
      <c r="Z204" s="96"/>
      <c r="AA204" s="96"/>
      <c r="AB204" s="130"/>
      <c r="AC204" s="130"/>
      <c r="AD204" s="130"/>
      <c r="AE204" s="97"/>
      <c r="AF204" s="130"/>
      <c r="AG204" s="99"/>
      <c r="AH204" s="100"/>
      <c r="AI204" s="100"/>
      <c r="AJ204" s="100" t="str">
        <f aca="false">IF(ISBLANK($C204),"",IF($E204=Constants!$B$2,TRUE(),IF($E204=Constants!$B$3,FALSE(),TRUE())))</f>
        <v/>
      </c>
      <c r="AK204" s="100" t="str">
        <f aca="false">IF(ISBLANK($C204),"",IF($F204=Constants!$B$2,TRUE(),IF($F204=Constants!$B$3,FALSE(),FALSE())))</f>
        <v/>
      </c>
      <c r="AL204" s="100" t="str">
        <f aca="false">IF(ISBLANK($C204),"",IF($G204=Constants!$B$2,TRUE(),IF($G204=Constants!$B$3,FALSE(),TRUE())))</f>
        <v/>
      </c>
      <c r="AM204" s="100" t="str">
        <f aca="false">IF(ISBLANK($C204),"",IF($H204=Constants!$B$2,TRUE(),IF($H204=Constants!$B$3,FALSE(),TRUE())))</f>
        <v/>
      </c>
      <c r="AN204" s="100" t="str">
        <f aca="false">IF(ISBLANK($C204),"",IF(ISNUMBER($I204),IF($I204&gt;=0,$I204,""),""))</f>
        <v/>
      </c>
      <c r="AO204" s="100" t="str">
        <f aca="false">IF(ISBLANK($C204),"",IF(ISNUMBER($J204),IF($J204&gt;=0,$J204,""),""))</f>
        <v/>
      </c>
      <c r="AP204" s="100" t="str">
        <f aca="false">IF(ISBLANK($C204),"",IF(ISNUMBER($K204),IF($K204&gt;=0,$K204,""),""))</f>
        <v/>
      </c>
      <c r="AQ204" s="100" t="str">
        <f aca="false">IF(ISBLANK($C204),"",IF($L204=Constants!$B$2,TRUE(),IF($L204=Constants!$B$3,FALSE(),TRUE())))</f>
        <v/>
      </c>
      <c r="AR204" s="100" t="str">
        <f aca="false">IF(ISBLANK($C204),"",IF($M204=Constants!$B$2,TRUE(),IF($M204=Constants!$B$3,FALSE(),TRUE())))</f>
        <v/>
      </c>
      <c r="AS204" s="100" t="str">
        <f aca="false">IF(ISBLANK($C204),"",IF($N204=Constants!$B$2,TRUE(),IF($N204=Constants!$B$3,FALSE(),FALSE())))</f>
        <v/>
      </c>
      <c r="AT204" s="100" t="str">
        <f aca="false">IF(ISBLANK($C204),"",IF($O204=Constants!$B$2,TRUE(),IF($O204=Constants!$B$3,FALSE(),TRUE())))</f>
        <v/>
      </c>
      <c r="AU204" s="100" t="str">
        <f aca="false">IF(ISBLANK($C204),"",IF($P204=Constants!$B$2,TRUE(),IF($P204=Constants!$B$3,FALSE(),TRUE())))</f>
        <v/>
      </c>
      <c r="AV204" s="100" t="str">
        <f aca="false">IF(ISBLANK($C204),"",IF($Q204=Constants!$B$2,TRUE(),IF($Q204=Constants!$B$3,FALSE(),FALSE())))</f>
        <v/>
      </c>
      <c r="AW204" s="100" t="str">
        <f aca="false">IF(ISBLANK($C204),"",IF($R204=Constants!$B$2,TRUE(),IF($R204=Constants!$B$3,FALSE(),FALSE())))</f>
        <v/>
      </c>
      <c r="AX204" s="100" t="str">
        <f aca="false">IF(ISBLANK($C204),"",IF($S204=Constants!$B$2,TRUE(),IF($S204=Constants!$B$3,FALSE(),FALSE())))</f>
        <v/>
      </c>
      <c r="AY204" s="100" t="str">
        <f aca="false">IF(ISBLANK($C204),"",IF($T204=Constants!$B$2,TRUE(),IF($T204=Constants!$B$3,FALSE(),FALSE())))</f>
        <v/>
      </c>
      <c r="AZ204" s="100" t="str">
        <f aca="false">IF(ISBLANK($C204),"",IF($U204=Constants!$B$2,TRUE(),IF($U204=Constants!$B$3,FALSE(),FALSE())))</f>
        <v/>
      </c>
      <c r="BA204" s="100" t="str">
        <f aca="false">IF(ISBLANK($C204),"",IF(OR($V204&amp;""="1",$V204&amp;""="2",$V204&amp;""="3",$V204&amp;""="4"),VALUE($V204&amp;""),IF($V204=Constants!$B$12,Constants!$B$12,"")))</f>
        <v/>
      </c>
      <c r="BB204" s="100" t="str">
        <f aca="false">IF(ISBLANK($C204),"",IF(ISBLANK($W204),0,IF(ISNUMBER($W204),IF(AND($W204&gt;=0,$W204&lt;=Constants!$B$21,$W204=INT($W204)),$W204,""),"")))</f>
        <v/>
      </c>
      <c r="BC204" s="100" t="str">
        <f aca="false">IF(ISBLANK($C204),"",IF(ISBLANK($X204),0,IF(ISNUMBER($X204),IF($X204&gt;=0,$X204,""),"")))</f>
        <v/>
      </c>
      <c r="BD204" s="100" t="str">
        <f aca="false">IF(ISBLANK($C204),"",IF($Y204=Constants!$B$2,TRUE(),IF($Y204=Constants!$B$3,FALSE(),TRUE())))</f>
        <v/>
      </c>
      <c r="BE204" s="100" t="str">
        <f aca="false">IF(ISBLANK($C204),"",IF($Z204=Constants!$B$2,TRUE(),IF($Z204=Constants!$B$3,FALSE(),FALSE())))</f>
        <v/>
      </c>
      <c r="BF204" s="100" t="str">
        <f aca="false">IF(ISBLANK($C204),"",IF(ISBLANK($AA204),0,IF(ISNUMBER($AA204),IF(AND($AA204&gt;=0,$AA204&lt;=Constants!$B$35,$AA204=INT($AA204)),$AA204,""),"")))</f>
        <v/>
      </c>
      <c r="BG204" s="100" t="str">
        <f aca="false">IF(ISBLANK($C204),"",IF($AB204=Constants!$B$2,TRUE(),IF($AB204=Constants!$B$3,FALSE(),TRUE())))</f>
        <v/>
      </c>
      <c r="BH204" s="100" t="str">
        <f aca="false">IF(ISBLANK($C204),"",IF($AC204=Constants!$B$2,TRUE(),IF($AC204=Constants!$B$3,FALSE(),TRUE())))</f>
        <v/>
      </c>
      <c r="BI204" s="100" t="str">
        <f aca="false">IF(ISBLANK($C204),"",IF($AD204=Constants!$B$2,TRUE(),IF($AD204=Constants!$B$3,FALSE(),TRUE())))</f>
        <v/>
      </c>
      <c r="BJ204" s="100" t="str">
        <f aca="false">IF(ISBLANK($C204),"",IF(ISNUMBER($AE204),IF($AE204&gt;=0,$AE204,""),""))</f>
        <v/>
      </c>
      <c r="BK204" s="100" t="str">
        <f aca="false">IF(ISBLANK($C204),"",IF($AF204=Constants!$B$2,TRUE(),IF($AF204=Constants!$B$3,FALSE(),FALSE())))</f>
        <v/>
      </c>
      <c r="BL204" s="99" t="str">
        <f aca="false">IF(ISBLANK($C204),"",IF($BK204,Constants!$B$7,IF(COUNTA($E204:$AE204)=0,Constants!$B$6,IF(OR(COUNTA($G204:$AE204)=0,NOT($AM204),$AS204),Constants!$B$5,IF(OR($CM204&lt;&gt;"",$CN204,$CO204,$CP204,$CQ204,$CR204,$CS204),Constants!$B$8,Constants!$B$4)))))</f>
        <v/>
      </c>
      <c r="BM204" s="100" t="str">
        <f aca="false">IF(ISBLANK($C204),"",IF($BL204&lt;&gt;Constants!$B$4,$BL204,IF(OR(NOT($AJ204),NOT($AL204),NOT($AT204)),Constants!$B$11,IF(OR(NOT($AR204),NOT($AU204),NOT($BI204),MAX($AN204,$AO204,$AP204)&gt;Constants!$B$30),Constants!$B$10,Constants!$B$9))))</f>
        <v/>
      </c>
      <c r="BN204" s="100" t="str">
        <f aca="false">IF($BL204&lt;&gt;Constants!$B$4,"",IF(NOT($AL204),0,MIN(Constants!$B$35,$BF204)))</f>
        <v/>
      </c>
      <c r="BO204" s="100" t="str">
        <f aca="false">IF($BL204&lt;&gt;Constants!$B$4,"",IF(NOT($AL204),0,IF($AW204,Constants!$B$18,IF($AV204,Constants!$B$17,0))))</f>
        <v/>
      </c>
      <c r="BP204" s="100" t="str">
        <f aca="false">IF($BL204&lt;&gt;Constants!$B$4,"",IF(NOT($AL204),0,Constants!$B$19*($AK204+$AX204+$AY204+$AZ204)))</f>
        <v/>
      </c>
      <c r="BQ204" s="100" t="str">
        <f aca="false">IF($BL204&lt;&gt;Constants!$B$4,"",IF(OR(NOT($AL204),NOT(ISNUMBER($BA204))),0,CHOOSE($BA204,Constants!$B$13,Constants!$B$14,Constants!$B$15,Constants!$B$16)))</f>
        <v/>
      </c>
      <c r="BR204" s="100" t="str">
        <f aca="false">IF($BL204&lt;&gt;Constants!$B$4,"",IF(NOT($AL204),0,Constants!$B$20*$BB204))</f>
        <v/>
      </c>
      <c r="BS204" s="100" t="str">
        <f aca="false">IF($BL204&lt;&gt;Constants!$B$4,"",IF(AND($AL204,$BD204,$BE204),Constants!$B$22,0))</f>
        <v/>
      </c>
      <c r="BT204" s="100" t="str">
        <f aca="false">IF($BL204&lt;&gt;Constants!$B$4,"",IF(OR(NOT($AL204),NOT($BD204)),0,IF($BJ204&gt;=2*$AH$9,0,Constants!$B$23*INT(ROUND(MIN($BJ204,$AH$9),6)))))</f>
        <v/>
      </c>
      <c r="BU204" s="100" t="str">
        <f aca="false">IF($BL204&lt;&gt;Constants!$B$4,"",IF(NOT($AL204),0,Constants!$B$24*INT(ROUND(MIN($BC204,$AH$9),6))))</f>
        <v/>
      </c>
      <c r="BV204" s="100" t="str">
        <f aca="false">IF($BL204&lt;&gt;Constants!$B$4,"",IF(AND($AL204,$BN204=0),Constants!$B$25,0))</f>
        <v/>
      </c>
      <c r="BW204" s="100" t="str">
        <f aca="false">IF($BL204&lt;&gt;Constants!$B$4,"",MIN(Constants!$B$29,MAX(0,Constants!$B$27*Constants!$B$28*INT(ROUND((Constants!$B$26-$AN204)/Constants!$B$28,6))))+MIN(Constants!$B$29,MAX(0,Constants!$B$27*Constants!$B$28*INT(ROUND((Constants!$B$26-$AO204)/Constants!$B$28,6))))+MIN(Constants!$B$29,MAX(0,Constants!$B$27*Constants!$B$28*INT(ROUND((Constants!$B$26-$AP204)/Constants!$B$28,6)))))</f>
        <v/>
      </c>
      <c r="BX204" s="100" t="str">
        <f aca="false">IF($BL204&lt;&gt;Constants!$B$4,"",IF(NOT($AL204),0,Constants!$B$31*INT(ROUND(MAX(0,MIN($BJ204,2*$AH$9)-$AH$9),6))))</f>
        <v/>
      </c>
      <c r="BY204" s="100" t="str">
        <f aca="false">IF($BL204&lt;&gt;Constants!$B$4,"",Constants!$B$32*(($AN204&gt;Constants!$B$26)+($AO204&gt;Constants!$B$26)+($AP204&gt;Constants!$B$26)))</f>
        <v/>
      </c>
      <c r="BZ204" s="100" t="str">
        <f aca="false">IF($BL204&lt;&gt;Constants!$B$4,"",IF(OR(NOT($AL204),$AQ204),0,Constants!$B$33))</f>
        <v/>
      </c>
      <c r="CA204" s="100" t="str">
        <f aca="false">IF($BL204&lt;&gt;Constants!$B$4,"",Constants!$B$34*$BN204)</f>
        <v/>
      </c>
      <c r="CB204" s="100" t="str">
        <f aca="false">IF($BL204&lt;&gt;Constants!$B$4,"",IF(OR(NOT($AL204),$BH204),0,Constants!$B$36))</f>
        <v/>
      </c>
      <c r="CC204" s="100" t="str">
        <f aca="false">IF($BL204&lt;&gt;Constants!$B$4,"",IF(OR(NOT($AL204),$BG204),0,Constants!$B$37))</f>
        <v/>
      </c>
      <c r="CD204" s="100" t="str">
        <f aca="false">IF($BL204&lt;&gt;Constants!$B$4,"",SUM($BX204:$CC204))</f>
        <v/>
      </c>
      <c r="CE204" s="100" t="str">
        <f aca="false">IF(ISBLANK($C204),"",IF($BL204&lt;&gt;Constants!$B$4,$BL204,SUM($BO204:$BW204)-$CD204))</f>
        <v/>
      </c>
      <c r="CF204" s="100" t="str">
        <f aca="false">IF(ISBLANK($C204),"",IF($BL204&lt;&gt;Constants!$B$4,$BL204,RANK($CE204,$CE$9:$CE$508)))</f>
        <v/>
      </c>
      <c r="CG204" s="100" t="str">
        <f aca="false">IF(ISBLANK($C204),"",IF($BL204&lt;&gt;Constants!$B$4,$BL204,COUNTIFS($BM$9:$BM$508,"&lt;"&amp;$BM204)+COUNTIFS($BM$9:$BM$508,$BM204,$CF$9:$CF$508,"&lt;"&amp;$CF204)+1))</f>
        <v/>
      </c>
      <c r="CH204" s="100" t="str">
        <f aca="false">IF(ISBLANK($C204),"",IF($BL204&lt;&gt;Constants!$B$4,$BL204,RANK($CD204,$CD$9:$CD$508,1)))</f>
        <v/>
      </c>
      <c r="CI204" s="100" t="str">
        <f aca="false">IF($BL204&lt;&gt;Constants!$B$4,"",$AN204+$AO204+$AP204)</f>
        <v/>
      </c>
      <c r="CJ204" s="100" t="str">
        <f aca="false">IF(ISBLANK($C204),"",IF($BL204&lt;&gt;Constants!$B$4,$BL204,RANK($CI204,$CI$9:$CI$508,1)))</f>
        <v/>
      </c>
      <c r="CK204" s="100" t="str">
        <f aca="false">IF(ISBLANK($C204),"",IF($BL204&lt;&gt;Constants!$B$4,$BL204,COUNTIFS($BM$9:$BM$508,"&lt;"&amp;$BM204)+COUNTIFS($BM$9:$BM$508,$BM204,$CF$9:$CF$508,"&lt;"&amp;$CF204)+COUNTIFS($BM$9:$BM$508,$BM204,$CF$9:$CF$508,$CF204,$CH$9:$CH$508,"&lt;"&amp;$CH204)+COUNTIFS($BM$9:$BM$508,$BM204,$CF$9:$CF$508,$CF204,$CH$9:$CH$508,$CH204,$CJ$9:$CJ$508,"&lt;"&amp;$CJ204)+1))</f>
        <v/>
      </c>
      <c r="CL204" s="100" t="str">
        <f aca="false">IF(ISBLANK($C204),"",IF($BL204&lt;&gt;Constants!$B$4,$BL204,$CG204-$CK204))</f>
        <v/>
      </c>
      <c r="CM204" s="100" t="str">
        <f aca="false">IF(ISBLANK($C204),"",IF(NOT($AL204),"",IF(ISBLANK($D$7),$CM$5,IF(NOT(ISNUMBER($D$7)),$CM$6,""))))</f>
        <v/>
      </c>
      <c r="CN204" s="100" t="str">
        <f aca="false">IF(ISBLANK($C204),"",OR($AN204="",$AO204="",$AP204=""))</f>
        <v/>
      </c>
      <c r="CO204" s="100" t="str">
        <f aca="false">IF(ISBLANK($C204),"",AND($AL204,$BA204=""))</f>
        <v/>
      </c>
      <c r="CP204" s="100" t="str">
        <f aca="false">IF(ISBLANK($C204),"",AND($AL204,$BB204=""))</f>
        <v/>
      </c>
      <c r="CQ204" s="100" t="str">
        <f aca="false">IF(ISBLANK($C204),"",AND($AL204,$BC204=""))</f>
        <v/>
      </c>
      <c r="CR204" s="100" t="str">
        <f aca="false">IF(ISBLANK($C204),"",AND($AL204,$BF204=""))</f>
        <v/>
      </c>
      <c r="CS204" s="100" t="str">
        <f aca="false">IF(ISBLANK($C204),"",AND($AL204,$BJ204=""))</f>
        <v/>
      </c>
      <c r="CT204" s="101"/>
      <c r="CU204" s="102"/>
      <c r="CV204" s="103" t="str">
        <f aca="false">IF(ISBLANK($C204),"",IF($BL204=Constants!$B$8,$CM204,""))</f>
        <v/>
      </c>
      <c r="CW204" s="102" t="str">
        <f aca="false">IF(ISBLANK($C204),"",IF($BL204&lt;&gt;Constants!$B$4,"",$BO204+$BP204))</f>
        <v/>
      </c>
      <c r="CX204" s="104" t="str">
        <f aca="false">IF(ISBLANK($C204),"",IF($BL204&lt;&gt;Constants!$B$4,"",$BQ204+$BR204+$BS204))</f>
        <v/>
      </c>
      <c r="CY204" s="104" t="str">
        <f aca="false">IF(ISBLANK($C204),"",IF($BL204&lt;&gt;Constants!$B$4,"",$BT204))</f>
        <v/>
      </c>
      <c r="CZ204" s="104" t="str">
        <f aca="false">IF(ISBLANK($C204),"",IF($BL204&lt;&gt;Constants!$B$4,"",$BU204+$BV204))</f>
        <v/>
      </c>
      <c r="DA204" s="104" t="str">
        <f aca="false">IF(ISBLANK($C204),"",IF($BL204&lt;&gt;Constants!$B$4,"",$BW204))</f>
        <v/>
      </c>
      <c r="DB204" s="104" t="str">
        <f aca="false">IF(ISBLANK($C204),"",IF($BL204&lt;&gt;Constants!$B$4,"",-$CD204))</f>
        <v/>
      </c>
      <c r="DC204" s="103" t="str">
        <f aca="false">IF(ISBLANK($C204),"",$CE204)</f>
        <v/>
      </c>
      <c r="DD204" s="105" t="str">
        <f aca="false">IF(ISBLANK($C204),"",$BM204)</f>
        <v/>
      </c>
      <c r="DE204" s="104" t="str">
        <f aca="false">IF(ISBLANK($C204),"",$CL204)</f>
        <v/>
      </c>
      <c r="DF204" s="104" t="str">
        <f aca="false">IF(ISBLANK($C204),"",$CK204)</f>
        <v/>
      </c>
      <c r="DG204" s="106" t="str">
        <f aca="false">IF(ISBLANK($C204),"",IF($DF204=Constants!$B$7,COUNTA($C$9:$C$508)+2,IF($DF204=Constants!$B$6,COUNTA($C$9:$C$508)+1,IF($DF204=Constants!$B$5,COUNTA($C$9:$C$508),$DF204))))</f>
        <v/>
      </c>
      <c r="DH204" s="7"/>
      <c r="DI204" s="107" t="n">
        <f aca="false">IF(OR(ISNUMBER($DF204),$DF204=Constants!$B$7,$DF204=Constants!$B$5,$DF204=Constants!$B$6),1,0)</f>
        <v>0</v>
      </c>
      <c r="DJ204" s="107" t="n">
        <v>196</v>
      </c>
      <c r="DK204" s="107" t="str">
        <f aca="false">IF(ISBLANK($C204),"",IF(ISNUMBER($DG204),$DG204+ROW($B204)/1000,""))</f>
        <v/>
      </c>
      <c r="DL204" s="107" t="str">
        <f aca="false">IF(ISNUMBER($DK204),RANK($DK204,$DK$9:$DK$508,1),"")</f>
        <v/>
      </c>
      <c r="DM204" s="107" t="str">
        <f aca="false">IF(ISBLANK($C204),"",$B204)</f>
        <v/>
      </c>
      <c r="DN204" s="107" t="str">
        <f aca="false">IF(ISBLANK($C204),"",$C204)</f>
        <v/>
      </c>
      <c r="DO204" s="107" t="str">
        <f aca="false">IF(ISBLANK($C204),"",$D204)</f>
        <v/>
      </c>
      <c r="DP204" s="108" t="str">
        <f aca="false">$DD204</f>
        <v/>
      </c>
      <c r="DQ204" s="109" t="str">
        <f aca="false">$DC204</f>
        <v/>
      </c>
      <c r="DR204" s="107" t="str">
        <f aca="false">IF(ISBLANK($C204),"",$DF204)</f>
        <v/>
      </c>
      <c r="DS204" s="110" t="str">
        <f aca="false">IF($DJ204&gt;$DI$8,"",VLOOKUP($DJ204,$DL$9:$DR$508,7,FALSE()))</f>
        <v/>
      </c>
      <c r="DT204" s="111" t="str">
        <f aca="false">IF($DJ204&gt;$DI$8,"",VLOOKUP($DJ204,$DL$9:$DR$508,2,FALSE()))</f>
        <v/>
      </c>
      <c r="DU204" s="111" t="str">
        <f aca="false">IF($DJ204&gt;$DI$8,"",VLOOKUP($DJ204,$DL$9:$DR$508,3,FALSE()))</f>
        <v/>
      </c>
      <c r="DV204" s="111" t="str">
        <f aca="false">IF($DJ204&gt;$DI$8,"",VLOOKUP($DJ204,$DL$9:$DR$508,4,FALSE()))</f>
        <v/>
      </c>
      <c r="DW204" s="111" t="str">
        <f aca="false">IF($DJ204&gt;$DI$8,"",VLOOKUP($DJ204,$DL$9:$DR$508,5,FALSE()))</f>
        <v/>
      </c>
      <c r="DX204" s="112" t="str">
        <f aca="false">IF($DJ204&gt;$DI$8,"",VLOOKUP($DJ204,$DL$9:$DR$508,6,FALSE()))</f>
        <v/>
      </c>
      <c r="DY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130"/>
      <c r="N205" s="130"/>
      <c r="O205" s="135"/>
      <c r="P205" s="135"/>
      <c r="Q205" s="130"/>
      <c r="R205" s="130"/>
      <c r="S205" s="130"/>
      <c r="T205" s="130"/>
      <c r="U205" s="135"/>
      <c r="V205" s="130"/>
      <c r="W205" s="96"/>
      <c r="X205" s="130"/>
      <c r="Y205" s="130"/>
      <c r="Z205" s="96"/>
      <c r="AA205" s="96"/>
      <c r="AB205" s="130"/>
      <c r="AC205" s="130"/>
      <c r="AD205" s="130"/>
      <c r="AE205" s="97"/>
      <c r="AF205" s="130"/>
      <c r="AG205" s="99"/>
      <c r="AH205" s="100"/>
      <c r="AI205" s="100"/>
      <c r="AJ205" s="100" t="str">
        <f aca="false">IF(ISBLANK($C205),"",IF($E205=Constants!$B$2,TRUE(),IF($E205=Constants!$B$3,FALSE(),TRUE())))</f>
        <v/>
      </c>
      <c r="AK205" s="100" t="str">
        <f aca="false">IF(ISBLANK($C205),"",IF($F205=Constants!$B$2,TRUE(),IF($F205=Constants!$B$3,FALSE(),FALSE())))</f>
        <v/>
      </c>
      <c r="AL205" s="100" t="str">
        <f aca="false">IF(ISBLANK($C205),"",IF($G205=Constants!$B$2,TRUE(),IF($G205=Constants!$B$3,FALSE(),TRUE())))</f>
        <v/>
      </c>
      <c r="AM205" s="100" t="str">
        <f aca="false">IF(ISBLANK($C205),"",IF($H205=Constants!$B$2,TRUE(),IF($H205=Constants!$B$3,FALSE(),TRUE())))</f>
        <v/>
      </c>
      <c r="AN205" s="100" t="str">
        <f aca="false">IF(ISBLANK($C205),"",IF(ISNUMBER($I205),IF($I205&gt;=0,$I205,""),""))</f>
        <v/>
      </c>
      <c r="AO205" s="100" t="str">
        <f aca="false">IF(ISBLANK($C205),"",IF(ISNUMBER($J205),IF($J205&gt;=0,$J205,""),""))</f>
        <v/>
      </c>
      <c r="AP205" s="100" t="str">
        <f aca="false">IF(ISBLANK($C205),"",IF(ISNUMBER($K205),IF($K205&gt;=0,$K205,""),""))</f>
        <v/>
      </c>
      <c r="AQ205" s="100" t="str">
        <f aca="false">IF(ISBLANK($C205),"",IF($L205=Constants!$B$2,TRUE(),IF($L205=Constants!$B$3,FALSE(),TRUE())))</f>
        <v/>
      </c>
      <c r="AR205" s="100" t="str">
        <f aca="false">IF(ISBLANK($C205),"",IF($M205=Constants!$B$2,TRUE(),IF($M205=Constants!$B$3,FALSE(),TRUE())))</f>
        <v/>
      </c>
      <c r="AS205" s="100" t="str">
        <f aca="false">IF(ISBLANK($C205),"",IF($N205=Constants!$B$2,TRUE(),IF($N205=Constants!$B$3,FALSE(),FALSE())))</f>
        <v/>
      </c>
      <c r="AT205" s="100" t="str">
        <f aca="false">IF(ISBLANK($C205),"",IF($O205=Constants!$B$2,TRUE(),IF($O205=Constants!$B$3,FALSE(),TRUE())))</f>
        <v/>
      </c>
      <c r="AU205" s="100" t="str">
        <f aca="false">IF(ISBLANK($C205),"",IF($P205=Constants!$B$2,TRUE(),IF($P205=Constants!$B$3,FALSE(),TRUE())))</f>
        <v/>
      </c>
      <c r="AV205" s="100" t="str">
        <f aca="false">IF(ISBLANK($C205),"",IF($Q205=Constants!$B$2,TRUE(),IF($Q205=Constants!$B$3,FALSE(),FALSE())))</f>
        <v/>
      </c>
      <c r="AW205" s="100" t="str">
        <f aca="false">IF(ISBLANK($C205),"",IF($R205=Constants!$B$2,TRUE(),IF($R205=Constants!$B$3,FALSE(),FALSE())))</f>
        <v/>
      </c>
      <c r="AX205" s="100" t="str">
        <f aca="false">IF(ISBLANK($C205),"",IF($S205=Constants!$B$2,TRUE(),IF($S205=Constants!$B$3,FALSE(),FALSE())))</f>
        <v/>
      </c>
      <c r="AY205" s="100" t="str">
        <f aca="false">IF(ISBLANK($C205),"",IF($T205=Constants!$B$2,TRUE(),IF($T205=Constants!$B$3,FALSE(),FALSE())))</f>
        <v/>
      </c>
      <c r="AZ205" s="100" t="str">
        <f aca="false">IF(ISBLANK($C205),"",IF($U205=Constants!$B$2,TRUE(),IF($U205=Constants!$B$3,FALSE(),FALSE())))</f>
        <v/>
      </c>
      <c r="BA205" s="100" t="str">
        <f aca="false">IF(ISBLANK($C205),"",IF(OR($V205&amp;""="1",$V205&amp;""="2",$V205&amp;""="3",$V205&amp;""="4"),VALUE($V205&amp;""),IF($V205=Constants!$B$12,Constants!$B$12,"")))</f>
        <v/>
      </c>
      <c r="BB205" s="100" t="str">
        <f aca="false">IF(ISBLANK($C205),"",IF(ISBLANK($W205),0,IF(ISNUMBER($W205),IF(AND($W205&gt;=0,$W205&lt;=Constants!$B$21,$W205=INT($W205)),$W205,""),"")))</f>
        <v/>
      </c>
      <c r="BC205" s="100" t="str">
        <f aca="false">IF(ISBLANK($C205),"",IF(ISBLANK($X205),0,IF(ISNUMBER($X205),IF($X205&gt;=0,$X205,""),"")))</f>
        <v/>
      </c>
      <c r="BD205" s="100" t="str">
        <f aca="false">IF(ISBLANK($C205),"",IF($Y205=Constants!$B$2,TRUE(),IF($Y205=Constants!$B$3,FALSE(),TRUE())))</f>
        <v/>
      </c>
      <c r="BE205" s="100" t="str">
        <f aca="false">IF(ISBLANK($C205),"",IF($Z205=Constants!$B$2,TRUE(),IF($Z205=Constants!$B$3,FALSE(),FALSE())))</f>
        <v/>
      </c>
      <c r="BF205" s="100" t="str">
        <f aca="false">IF(ISBLANK($C205),"",IF(ISBLANK($AA205),0,IF(ISNUMBER($AA205),IF(AND($AA205&gt;=0,$AA205&lt;=Constants!$B$35,$AA205=INT($AA205)),$AA205,""),"")))</f>
        <v/>
      </c>
      <c r="BG205" s="100" t="str">
        <f aca="false">IF(ISBLANK($C205),"",IF($AB205=Constants!$B$2,TRUE(),IF($AB205=Constants!$B$3,FALSE(),TRUE())))</f>
        <v/>
      </c>
      <c r="BH205" s="100" t="str">
        <f aca="false">IF(ISBLANK($C205),"",IF($AC205=Constants!$B$2,TRUE(),IF($AC205=Constants!$B$3,FALSE(),TRUE())))</f>
        <v/>
      </c>
      <c r="BI205" s="100" t="str">
        <f aca="false">IF(ISBLANK($C205),"",IF($AD205=Constants!$B$2,TRUE(),IF($AD205=Constants!$B$3,FALSE(),TRUE())))</f>
        <v/>
      </c>
      <c r="BJ205" s="100" t="str">
        <f aca="false">IF(ISBLANK($C205),"",IF(ISNUMBER($AE205),IF($AE205&gt;=0,$AE205,""),""))</f>
        <v/>
      </c>
      <c r="BK205" s="100" t="str">
        <f aca="false">IF(ISBLANK($C205),"",IF($AF205=Constants!$B$2,TRUE(),IF($AF205=Constants!$B$3,FALSE(),FALSE())))</f>
        <v/>
      </c>
      <c r="BL205" s="99" t="str">
        <f aca="false">IF(ISBLANK($C205),"",IF($BK205,Constants!$B$7,IF(COUNTA($E205:$AE205)=0,Constants!$B$6,IF(OR(COUNTA($G205:$AE205)=0,NOT($AM205),$AS205),Constants!$B$5,IF(OR($CM205&lt;&gt;"",$CN205,$CO205,$CP205,$CQ205,$CR205,$CS205),Constants!$B$8,Constants!$B$4)))))</f>
        <v/>
      </c>
      <c r="BM205" s="100" t="str">
        <f aca="false">IF(ISBLANK($C205),"",IF($BL205&lt;&gt;Constants!$B$4,$BL205,IF(OR(NOT($AJ205),NOT($AL205),NOT($AT205)),Constants!$B$11,IF(OR(NOT($AR205),NOT($AU205),NOT($BI205),MAX($AN205,$AO205,$AP205)&gt;Constants!$B$30),Constants!$B$10,Constants!$B$9))))</f>
        <v/>
      </c>
      <c r="BN205" s="100" t="str">
        <f aca="false">IF($BL205&lt;&gt;Constants!$B$4,"",IF(NOT($AL205),0,MIN(Constants!$B$35,$BF205)))</f>
        <v/>
      </c>
      <c r="BO205" s="100" t="str">
        <f aca="false">IF($BL205&lt;&gt;Constants!$B$4,"",IF(NOT($AL205),0,IF($AW205,Constants!$B$18,IF($AV205,Constants!$B$17,0))))</f>
        <v/>
      </c>
      <c r="BP205" s="100" t="str">
        <f aca="false">IF($BL205&lt;&gt;Constants!$B$4,"",IF(NOT($AL205),0,Constants!$B$19*($AK205+$AX205+$AY205+$AZ205)))</f>
        <v/>
      </c>
      <c r="BQ205" s="100" t="str">
        <f aca="false">IF($BL205&lt;&gt;Constants!$B$4,"",IF(OR(NOT($AL205),NOT(ISNUMBER($BA205))),0,CHOOSE($BA205,Constants!$B$13,Constants!$B$14,Constants!$B$15,Constants!$B$16)))</f>
        <v/>
      </c>
      <c r="BR205" s="100" t="str">
        <f aca="false">IF($BL205&lt;&gt;Constants!$B$4,"",IF(NOT($AL205),0,Constants!$B$20*$BB205))</f>
        <v/>
      </c>
      <c r="BS205" s="100" t="str">
        <f aca="false">IF($BL205&lt;&gt;Constants!$B$4,"",IF(AND($AL205,$BD205,$BE205),Constants!$B$22,0))</f>
        <v/>
      </c>
      <c r="BT205" s="100" t="str">
        <f aca="false">IF($BL205&lt;&gt;Constants!$B$4,"",IF(OR(NOT($AL205),NOT($BD205)),0,IF($BJ205&gt;=2*$AH$9,0,Constants!$B$23*INT(ROUND(MIN($BJ205,$AH$9),6)))))</f>
        <v/>
      </c>
      <c r="BU205" s="100" t="str">
        <f aca="false">IF($BL205&lt;&gt;Constants!$B$4,"",IF(NOT($AL205),0,Constants!$B$24*INT(ROUND(MIN($BC205,$AH$9),6))))</f>
        <v/>
      </c>
      <c r="BV205" s="100" t="str">
        <f aca="false">IF($BL205&lt;&gt;Constants!$B$4,"",IF(AND($AL205,$BN205=0),Constants!$B$25,0))</f>
        <v/>
      </c>
      <c r="BW205" s="100" t="str">
        <f aca="false">IF($BL205&lt;&gt;Constants!$B$4,"",MIN(Constants!$B$29,MAX(0,Constants!$B$27*Constants!$B$28*INT(ROUND((Constants!$B$26-$AN205)/Constants!$B$28,6))))+MIN(Constants!$B$29,MAX(0,Constants!$B$27*Constants!$B$28*INT(ROUND((Constants!$B$26-$AO205)/Constants!$B$28,6))))+MIN(Constants!$B$29,MAX(0,Constants!$B$27*Constants!$B$28*INT(ROUND((Constants!$B$26-$AP205)/Constants!$B$28,6)))))</f>
        <v/>
      </c>
      <c r="BX205" s="100" t="str">
        <f aca="false">IF($BL205&lt;&gt;Constants!$B$4,"",IF(NOT($AL205),0,Constants!$B$31*INT(ROUND(MAX(0,MIN($BJ205,2*$AH$9)-$AH$9),6))))</f>
        <v/>
      </c>
      <c r="BY205" s="100" t="str">
        <f aca="false">IF($BL205&lt;&gt;Constants!$B$4,"",Constants!$B$32*(($AN205&gt;Constants!$B$26)+($AO205&gt;Constants!$B$26)+($AP205&gt;Constants!$B$26)))</f>
        <v/>
      </c>
      <c r="BZ205" s="100" t="str">
        <f aca="false">IF($BL205&lt;&gt;Constants!$B$4,"",IF(OR(NOT($AL205),$AQ205),0,Constants!$B$33))</f>
        <v/>
      </c>
      <c r="CA205" s="100" t="str">
        <f aca="false">IF($BL205&lt;&gt;Constants!$B$4,"",Constants!$B$34*$BN205)</f>
        <v/>
      </c>
      <c r="CB205" s="100" t="str">
        <f aca="false">IF($BL205&lt;&gt;Constants!$B$4,"",IF(OR(NOT($AL205),$BH205),0,Constants!$B$36))</f>
        <v/>
      </c>
      <c r="CC205" s="100" t="str">
        <f aca="false">IF($BL205&lt;&gt;Constants!$B$4,"",IF(OR(NOT($AL205),$BG205),0,Constants!$B$37))</f>
        <v/>
      </c>
      <c r="CD205" s="100" t="str">
        <f aca="false">IF($BL205&lt;&gt;Constants!$B$4,"",SUM($BX205:$CC205))</f>
        <v/>
      </c>
      <c r="CE205" s="100" t="str">
        <f aca="false">IF(ISBLANK($C205),"",IF($BL205&lt;&gt;Constants!$B$4,$BL205,SUM($BO205:$BW205)-$CD205))</f>
        <v/>
      </c>
      <c r="CF205" s="100" t="str">
        <f aca="false">IF(ISBLANK($C205),"",IF($BL205&lt;&gt;Constants!$B$4,$BL205,RANK($CE205,$CE$9:$CE$508)))</f>
        <v/>
      </c>
      <c r="CG205" s="100" t="str">
        <f aca="false">IF(ISBLANK($C205),"",IF($BL205&lt;&gt;Constants!$B$4,$BL205,COUNTIFS($BM$9:$BM$508,"&lt;"&amp;$BM205)+COUNTIFS($BM$9:$BM$508,$BM205,$CF$9:$CF$508,"&lt;"&amp;$CF205)+1))</f>
        <v/>
      </c>
      <c r="CH205" s="100" t="str">
        <f aca="false">IF(ISBLANK($C205),"",IF($BL205&lt;&gt;Constants!$B$4,$BL205,RANK($CD205,$CD$9:$CD$508,1)))</f>
        <v/>
      </c>
      <c r="CI205" s="100" t="str">
        <f aca="false">IF($BL205&lt;&gt;Constants!$B$4,"",$AN205+$AO205+$AP205)</f>
        <v/>
      </c>
      <c r="CJ205" s="100" t="str">
        <f aca="false">IF(ISBLANK($C205),"",IF($BL205&lt;&gt;Constants!$B$4,$BL205,RANK($CI205,$CI$9:$CI$508,1)))</f>
        <v/>
      </c>
      <c r="CK205" s="100" t="str">
        <f aca="false">IF(ISBLANK($C205),"",IF($BL205&lt;&gt;Constants!$B$4,$BL205,COUNTIFS($BM$9:$BM$508,"&lt;"&amp;$BM205)+COUNTIFS($BM$9:$BM$508,$BM205,$CF$9:$CF$508,"&lt;"&amp;$CF205)+COUNTIFS($BM$9:$BM$508,$BM205,$CF$9:$CF$508,$CF205,$CH$9:$CH$508,"&lt;"&amp;$CH205)+COUNTIFS($BM$9:$BM$508,$BM205,$CF$9:$CF$508,$CF205,$CH$9:$CH$508,$CH205,$CJ$9:$CJ$508,"&lt;"&amp;$CJ205)+1))</f>
        <v/>
      </c>
      <c r="CL205" s="100" t="str">
        <f aca="false">IF(ISBLANK($C205),"",IF($BL205&lt;&gt;Constants!$B$4,$BL205,$CG205-$CK205))</f>
        <v/>
      </c>
      <c r="CM205" s="100" t="str">
        <f aca="false">IF(ISBLANK($C205),"",IF(NOT($AL205),"",IF(ISBLANK($D$7),$CM$5,IF(NOT(ISNUMBER($D$7)),$CM$6,""))))</f>
        <v/>
      </c>
      <c r="CN205" s="100" t="str">
        <f aca="false">IF(ISBLANK($C205),"",OR($AN205="",$AO205="",$AP205=""))</f>
        <v/>
      </c>
      <c r="CO205" s="100" t="str">
        <f aca="false">IF(ISBLANK($C205),"",AND($AL205,$BA205=""))</f>
        <v/>
      </c>
      <c r="CP205" s="100" t="str">
        <f aca="false">IF(ISBLANK($C205),"",AND($AL205,$BB205=""))</f>
        <v/>
      </c>
      <c r="CQ205" s="100" t="str">
        <f aca="false">IF(ISBLANK($C205),"",AND($AL205,$BC205=""))</f>
        <v/>
      </c>
      <c r="CR205" s="100" t="str">
        <f aca="false">IF(ISBLANK($C205),"",AND($AL205,$BF205=""))</f>
        <v/>
      </c>
      <c r="CS205" s="100" t="str">
        <f aca="false">IF(ISBLANK($C205),"",AND($AL205,$BJ205=""))</f>
        <v/>
      </c>
      <c r="CT205" s="101"/>
      <c r="CU205" s="102"/>
      <c r="CV205" s="103" t="str">
        <f aca="false">IF(ISBLANK($C205),"",IF($BL205=Constants!$B$8,$CM205,""))</f>
        <v/>
      </c>
      <c r="CW205" s="102" t="str">
        <f aca="false">IF(ISBLANK($C205),"",IF($BL205&lt;&gt;Constants!$B$4,"",$BO205+$BP205))</f>
        <v/>
      </c>
      <c r="CX205" s="104" t="str">
        <f aca="false">IF(ISBLANK($C205),"",IF($BL205&lt;&gt;Constants!$B$4,"",$BQ205+$BR205+$BS205))</f>
        <v/>
      </c>
      <c r="CY205" s="104" t="str">
        <f aca="false">IF(ISBLANK($C205),"",IF($BL205&lt;&gt;Constants!$B$4,"",$BT205))</f>
        <v/>
      </c>
      <c r="CZ205" s="104" t="str">
        <f aca="false">IF(ISBLANK($C205),"",IF($BL205&lt;&gt;Constants!$B$4,"",$BU205+$BV205))</f>
        <v/>
      </c>
      <c r="DA205" s="104" t="str">
        <f aca="false">IF(ISBLANK($C205),"",IF($BL205&lt;&gt;Constants!$B$4,"",$BW205))</f>
        <v/>
      </c>
      <c r="DB205" s="104" t="str">
        <f aca="false">IF(ISBLANK($C205),"",IF($BL205&lt;&gt;Constants!$B$4,"",-$CD205))</f>
        <v/>
      </c>
      <c r="DC205" s="103" t="str">
        <f aca="false">IF(ISBLANK($C205),"",$CE205)</f>
        <v/>
      </c>
      <c r="DD205" s="105" t="str">
        <f aca="false">IF(ISBLANK($C205),"",$BM205)</f>
        <v/>
      </c>
      <c r="DE205" s="104" t="str">
        <f aca="false">IF(ISBLANK($C205),"",$CL205)</f>
        <v/>
      </c>
      <c r="DF205" s="104" t="str">
        <f aca="false">IF(ISBLANK($C205),"",$CK205)</f>
        <v/>
      </c>
      <c r="DG205" s="106" t="str">
        <f aca="false">IF(ISBLANK($C205),"",IF($DF205=Constants!$B$7,COUNTA($C$9:$C$508)+2,IF($DF205=Constants!$B$6,COUNTA($C$9:$C$508)+1,IF($DF205=Constants!$B$5,COUNTA($C$9:$C$508),$DF205))))</f>
        <v/>
      </c>
      <c r="DH205" s="7"/>
      <c r="DI205" s="107" t="n">
        <f aca="false">IF(OR(ISNUMBER($DF205),$DF205=Constants!$B$7,$DF205=Constants!$B$5,$DF205=Constants!$B$6),1,0)</f>
        <v>0</v>
      </c>
      <c r="DJ205" s="107" t="n">
        <v>197</v>
      </c>
      <c r="DK205" s="107" t="str">
        <f aca="false">IF(ISBLANK($C205),"",IF(ISNUMBER($DG205),$DG205+ROW($B205)/1000,""))</f>
        <v/>
      </c>
      <c r="DL205" s="107" t="str">
        <f aca="false">IF(ISNUMBER($DK205),RANK($DK205,$DK$9:$DK$508,1),"")</f>
        <v/>
      </c>
      <c r="DM205" s="107" t="str">
        <f aca="false">IF(ISBLANK($C205),"",$B205)</f>
        <v/>
      </c>
      <c r="DN205" s="107" t="str">
        <f aca="false">IF(ISBLANK($C205),"",$C205)</f>
        <v/>
      </c>
      <c r="DO205" s="107" t="str">
        <f aca="false">IF(ISBLANK($C205),"",$D205)</f>
        <v/>
      </c>
      <c r="DP205" s="108" t="str">
        <f aca="false">$DD205</f>
        <v/>
      </c>
      <c r="DQ205" s="109" t="str">
        <f aca="false">$DC205</f>
        <v/>
      </c>
      <c r="DR205" s="107" t="str">
        <f aca="false">IF(ISBLANK($C205),"",$DF205)</f>
        <v/>
      </c>
      <c r="DS205" s="110" t="str">
        <f aca="false">IF($DJ205&gt;$DI$8,"",VLOOKUP($DJ205,$DL$9:$DR$508,7,FALSE()))</f>
        <v/>
      </c>
      <c r="DT205" s="111" t="str">
        <f aca="false">IF($DJ205&gt;$DI$8,"",VLOOKUP($DJ205,$DL$9:$DR$508,2,FALSE()))</f>
        <v/>
      </c>
      <c r="DU205" s="111" t="str">
        <f aca="false">IF($DJ205&gt;$DI$8,"",VLOOKUP($DJ205,$DL$9:$DR$508,3,FALSE()))</f>
        <v/>
      </c>
      <c r="DV205" s="111" t="str">
        <f aca="false">IF($DJ205&gt;$DI$8,"",VLOOKUP($DJ205,$DL$9:$DR$508,4,FALSE()))</f>
        <v/>
      </c>
      <c r="DW205" s="111" t="str">
        <f aca="false">IF($DJ205&gt;$DI$8,"",VLOOKUP($DJ205,$DL$9:$DR$508,5,FALSE()))</f>
        <v/>
      </c>
      <c r="DX205" s="112" t="str">
        <f aca="false">IF($DJ205&gt;$DI$8,"",VLOOKUP($DJ205,$DL$9:$DR$508,6,FALSE()))</f>
        <v/>
      </c>
      <c r="DY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130"/>
      <c r="N206" s="130"/>
      <c r="O206" s="135"/>
      <c r="P206" s="135"/>
      <c r="Q206" s="130"/>
      <c r="R206" s="130"/>
      <c r="S206" s="130"/>
      <c r="T206" s="130"/>
      <c r="U206" s="135"/>
      <c r="V206" s="130"/>
      <c r="W206" s="96"/>
      <c r="X206" s="130"/>
      <c r="Y206" s="130"/>
      <c r="Z206" s="96"/>
      <c r="AA206" s="96"/>
      <c r="AB206" s="130"/>
      <c r="AC206" s="130"/>
      <c r="AD206" s="130"/>
      <c r="AE206" s="97"/>
      <c r="AF206" s="130"/>
      <c r="AG206" s="99"/>
      <c r="AH206" s="100"/>
      <c r="AI206" s="100"/>
      <c r="AJ206" s="100" t="str">
        <f aca="false">IF(ISBLANK($C206),"",IF($E206=Constants!$B$2,TRUE(),IF($E206=Constants!$B$3,FALSE(),TRUE())))</f>
        <v/>
      </c>
      <c r="AK206" s="100" t="str">
        <f aca="false">IF(ISBLANK($C206),"",IF($F206=Constants!$B$2,TRUE(),IF($F206=Constants!$B$3,FALSE(),FALSE())))</f>
        <v/>
      </c>
      <c r="AL206" s="100" t="str">
        <f aca="false">IF(ISBLANK($C206),"",IF($G206=Constants!$B$2,TRUE(),IF($G206=Constants!$B$3,FALSE(),TRUE())))</f>
        <v/>
      </c>
      <c r="AM206" s="100" t="str">
        <f aca="false">IF(ISBLANK($C206),"",IF($H206=Constants!$B$2,TRUE(),IF($H206=Constants!$B$3,FALSE(),TRUE())))</f>
        <v/>
      </c>
      <c r="AN206" s="100" t="str">
        <f aca="false">IF(ISBLANK($C206),"",IF(ISNUMBER($I206),IF($I206&gt;=0,$I206,""),""))</f>
        <v/>
      </c>
      <c r="AO206" s="100" t="str">
        <f aca="false">IF(ISBLANK($C206),"",IF(ISNUMBER($J206),IF($J206&gt;=0,$J206,""),""))</f>
        <v/>
      </c>
      <c r="AP206" s="100" t="str">
        <f aca="false">IF(ISBLANK($C206),"",IF(ISNUMBER($K206),IF($K206&gt;=0,$K206,""),""))</f>
        <v/>
      </c>
      <c r="AQ206" s="100" t="str">
        <f aca="false">IF(ISBLANK($C206),"",IF($L206=Constants!$B$2,TRUE(),IF($L206=Constants!$B$3,FALSE(),TRUE())))</f>
        <v/>
      </c>
      <c r="AR206" s="100" t="str">
        <f aca="false">IF(ISBLANK($C206),"",IF($M206=Constants!$B$2,TRUE(),IF($M206=Constants!$B$3,FALSE(),TRUE())))</f>
        <v/>
      </c>
      <c r="AS206" s="100" t="str">
        <f aca="false">IF(ISBLANK($C206),"",IF($N206=Constants!$B$2,TRUE(),IF($N206=Constants!$B$3,FALSE(),FALSE())))</f>
        <v/>
      </c>
      <c r="AT206" s="100" t="str">
        <f aca="false">IF(ISBLANK($C206),"",IF($O206=Constants!$B$2,TRUE(),IF($O206=Constants!$B$3,FALSE(),TRUE())))</f>
        <v/>
      </c>
      <c r="AU206" s="100" t="str">
        <f aca="false">IF(ISBLANK($C206),"",IF($P206=Constants!$B$2,TRUE(),IF($P206=Constants!$B$3,FALSE(),TRUE())))</f>
        <v/>
      </c>
      <c r="AV206" s="100" t="str">
        <f aca="false">IF(ISBLANK($C206),"",IF($Q206=Constants!$B$2,TRUE(),IF($Q206=Constants!$B$3,FALSE(),FALSE())))</f>
        <v/>
      </c>
      <c r="AW206" s="100" t="str">
        <f aca="false">IF(ISBLANK($C206),"",IF($R206=Constants!$B$2,TRUE(),IF($R206=Constants!$B$3,FALSE(),FALSE())))</f>
        <v/>
      </c>
      <c r="AX206" s="100" t="str">
        <f aca="false">IF(ISBLANK($C206),"",IF($S206=Constants!$B$2,TRUE(),IF($S206=Constants!$B$3,FALSE(),FALSE())))</f>
        <v/>
      </c>
      <c r="AY206" s="100" t="str">
        <f aca="false">IF(ISBLANK($C206),"",IF($T206=Constants!$B$2,TRUE(),IF($T206=Constants!$B$3,FALSE(),FALSE())))</f>
        <v/>
      </c>
      <c r="AZ206" s="100" t="str">
        <f aca="false">IF(ISBLANK($C206),"",IF($U206=Constants!$B$2,TRUE(),IF($U206=Constants!$B$3,FALSE(),FALSE())))</f>
        <v/>
      </c>
      <c r="BA206" s="100" t="str">
        <f aca="false">IF(ISBLANK($C206),"",IF(OR($V206&amp;""="1",$V206&amp;""="2",$V206&amp;""="3",$V206&amp;""="4"),VALUE($V206&amp;""),IF($V206=Constants!$B$12,Constants!$B$12,"")))</f>
        <v/>
      </c>
      <c r="BB206" s="100" t="str">
        <f aca="false">IF(ISBLANK($C206),"",IF(ISBLANK($W206),0,IF(ISNUMBER($W206),IF(AND($W206&gt;=0,$W206&lt;=Constants!$B$21,$W206=INT($W206)),$W206,""),"")))</f>
        <v/>
      </c>
      <c r="BC206" s="100" t="str">
        <f aca="false">IF(ISBLANK($C206),"",IF(ISBLANK($X206),0,IF(ISNUMBER($X206),IF($X206&gt;=0,$X206,""),"")))</f>
        <v/>
      </c>
      <c r="BD206" s="100" t="str">
        <f aca="false">IF(ISBLANK($C206),"",IF($Y206=Constants!$B$2,TRUE(),IF($Y206=Constants!$B$3,FALSE(),TRUE())))</f>
        <v/>
      </c>
      <c r="BE206" s="100" t="str">
        <f aca="false">IF(ISBLANK($C206),"",IF($Z206=Constants!$B$2,TRUE(),IF($Z206=Constants!$B$3,FALSE(),FALSE())))</f>
        <v/>
      </c>
      <c r="BF206" s="100" t="str">
        <f aca="false">IF(ISBLANK($C206),"",IF(ISBLANK($AA206),0,IF(ISNUMBER($AA206),IF(AND($AA206&gt;=0,$AA206&lt;=Constants!$B$35,$AA206=INT($AA206)),$AA206,""),"")))</f>
        <v/>
      </c>
      <c r="BG206" s="100" t="str">
        <f aca="false">IF(ISBLANK($C206),"",IF($AB206=Constants!$B$2,TRUE(),IF($AB206=Constants!$B$3,FALSE(),TRUE())))</f>
        <v/>
      </c>
      <c r="BH206" s="100" t="str">
        <f aca="false">IF(ISBLANK($C206),"",IF($AC206=Constants!$B$2,TRUE(),IF($AC206=Constants!$B$3,FALSE(),TRUE())))</f>
        <v/>
      </c>
      <c r="BI206" s="100" t="str">
        <f aca="false">IF(ISBLANK($C206),"",IF($AD206=Constants!$B$2,TRUE(),IF($AD206=Constants!$B$3,FALSE(),TRUE())))</f>
        <v/>
      </c>
      <c r="BJ206" s="100" t="str">
        <f aca="false">IF(ISBLANK($C206),"",IF(ISNUMBER($AE206),IF($AE206&gt;=0,$AE206,""),""))</f>
        <v/>
      </c>
      <c r="BK206" s="100" t="str">
        <f aca="false">IF(ISBLANK($C206),"",IF($AF206=Constants!$B$2,TRUE(),IF($AF206=Constants!$B$3,FALSE(),FALSE())))</f>
        <v/>
      </c>
      <c r="BL206" s="99" t="str">
        <f aca="false">IF(ISBLANK($C206),"",IF($BK206,Constants!$B$7,IF(COUNTA($E206:$AE206)=0,Constants!$B$6,IF(OR(COUNTA($G206:$AE206)=0,NOT($AM206),$AS206),Constants!$B$5,IF(OR($CM206&lt;&gt;"",$CN206,$CO206,$CP206,$CQ206,$CR206,$CS206),Constants!$B$8,Constants!$B$4)))))</f>
        <v/>
      </c>
      <c r="BM206" s="100" t="str">
        <f aca="false">IF(ISBLANK($C206),"",IF($BL206&lt;&gt;Constants!$B$4,$BL206,IF(OR(NOT($AJ206),NOT($AL206),NOT($AT206)),Constants!$B$11,IF(OR(NOT($AR206),NOT($AU206),NOT($BI206),MAX($AN206,$AO206,$AP206)&gt;Constants!$B$30),Constants!$B$10,Constants!$B$9))))</f>
        <v/>
      </c>
      <c r="BN206" s="100" t="str">
        <f aca="false">IF($BL206&lt;&gt;Constants!$B$4,"",IF(NOT($AL206),0,MIN(Constants!$B$35,$BF206)))</f>
        <v/>
      </c>
      <c r="BO206" s="100" t="str">
        <f aca="false">IF($BL206&lt;&gt;Constants!$B$4,"",IF(NOT($AL206),0,IF($AW206,Constants!$B$18,IF($AV206,Constants!$B$17,0))))</f>
        <v/>
      </c>
      <c r="BP206" s="100" t="str">
        <f aca="false">IF($BL206&lt;&gt;Constants!$B$4,"",IF(NOT($AL206),0,Constants!$B$19*($AK206+$AX206+$AY206+$AZ206)))</f>
        <v/>
      </c>
      <c r="BQ206" s="100" t="str">
        <f aca="false">IF($BL206&lt;&gt;Constants!$B$4,"",IF(OR(NOT($AL206),NOT(ISNUMBER($BA206))),0,CHOOSE($BA206,Constants!$B$13,Constants!$B$14,Constants!$B$15,Constants!$B$16)))</f>
        <v/>
      </c>
      <c r="BR206" s="100" t="str">
        <f aca="false">IF($BL206&lt;&gt;Constants!$B$4,"",IF(NOT($AL206),0,Constants!$B$20*$BB206))</f>
        <v/>
      </c>
      <c r="BS206" s="100" t="str">
        <f aca="false">IF($BL206&lt;&gt;Constants!$B$4,"",IF(AND($AL206,$BD206,$BE206),Constants!$B$22,0))</f>
        <v/>
      </c>
      <c r="BT206" s="100" t="str">
        <f aca="false">IF($BL206&lt;&gt;Constants!$B$4,"",IF(OR(NOT($AL206),NOT($BD206)),0,IF($BJ206&gt;=2*$AH$9,0,Constants!$B$23*INT(ROUND(MIN($BJ206,$AH$9),6)))))</f>
        <v/>
      </c>
      <c r="BU206" s="100" t="str">
        <f aca="false">IF($BL206&lt;&gt;Constants!$B$4,"",IF(NOT($AL206),0,Constants!$B$24*INT(ROUND(MIN($BC206,$AH$9),6))))</f>
        <v/>
      </c>
      <c r="BV206" s="100" t="str">
        <f aca="false">IF($BL206&lt;&gt;Constants!$B$4,"",IF(AND($AL206,$BN206=0),Constants!$B$25,0))</f>
        <v/>
      </c>
      <c r="BW206" s="100" t="str">
        <f aca="false">IF($BL206&lt;&gt;Constants!$B$4,"",MIN(Constants!$B$29,MAX(0,Constants!$B$27*Constants!$B$28*INT(ROUND((Constants!$B$26-$AN206)/Constants!$B$28,6))))+MIN(Constants!$B$29,MAX(0,Constants!$B$27*Constants!$B$28*INT(ROUND((Constants!$B$26-$AO206)/Constants!$B$28,6))))+MIN(Constants!$B$29,MAX(0,Constants!$B$27*Constants!$B$28*INT(ROUND((Constants!$B$26-$AP206)/Constants!$B$28,6)))))</f>
        <v/>
      </c>
      <c r="BX206" s="100" t="str">
        <f aca="false">IF($BL206&lt;&gt;Constants!$B$4,"",IF(NOT($AL206),0,Constants!$B$31*INT(ROUND(MAX(0,MIN($BJ206,2*$AH$9)-$AH$9),6))))</f>
        <v/>
      </c>
      <c r="BY206" s="100" t="str">
        <f aca="false">IF($BL206&lt;&gt;Constants!$B$4,"",Constants!$B$32*(($AN206&gt;Constants!$B$26)+($AO206&gt;Constants!$B$26)+($AP206&gt;Constants!$B$26)))</f>
        <v/>
      </c>
      <c r="BZ206" s="100" t="str">
        <f aca="false">IF($BL206&lt;&gt;Constants!$B$4,"",IF(OR(NOT($AL206),$AQ206),0,Constants!$B$33))</f>
        <v/>
      </c>
      <c r="CA206" s="100" t="str">
        <f aca="false">IF($BL206&lt;&gt;Constants!$B$4,"",Constants!$B$34*$BN206)</f>
        <v/>
      </c>
      <c r="CB206" s="100" t="str">
        <f aca="false">IF($BL206&lt;&gt;Constants!$B$4,"",IF(OR(NOT($AL206),$BH206),0,Constants!$B$36))</f>
        <v/>
      </c>
      <c r="CC206" s="100" t="str">
        <f aca="false">IF($BL206&lt;&gt;Constants!$B$4,"",IF(OR(NOT($AL206),$BG206),0,Constants!$B$37))</f>
        <v/>
      </c>
      <c r="CD206" s="100" t="str">
        <f aca="false">IF($BL206&lt;&gt;Constants!$B$4,"",SUM($BX206:$CC206))</f>
        <v/>
      </c>
      <c r="CE206" s="100" t="str">
        <f aca="false">IF(ISBLANK($C206),"",IF($BL206&lt;&gt;Constants!$B$4,$BL206,SUM($BO206:$BW206)-$CD206))</f>
        <v/>
      </c>
      <c r="CF206" s="100" t="str">
        <f aca="false">IF(ISBLANK($C206),"",IF($BL206&lt;&gt;Constants!$B$4,$BL206,RANK($CE206,$CE$9:$CE$508)))</f>
        <v/>
      </c>
      <c r="CG206" s="100" t="str">
        <f aca="false">IF(ISBLANK($C206),"",IF($BL206&lt;&gt;Constants!$B$4,$BL206,COUNTIFS($BM$9:$BM$508,"&lt;"&amp;$BM206)+COUNTIFS($BM$9:$BM$508,$BM206,$CF$9:$CF$508,"&lt;"&amp;$CF206)+1))</f>
        <v/>
      </c>
      <c r="CH206" s="100" t="str">
        <f aca="false">IF(ISBLANK($C206),"",IF($BL206&lt;&gt;Constants!$B$4,$BL206,RANK($CD206,$CD$9:$CD$508,1)))</f>
        <v/>
      </c>
      <c r="CI206" s="100" t="str">
        <f aca="false">IF($BL206&lt;&gt;Constants!$B$4,"",$AN206+$AO206+$AP206)</f>
        <v/>
      </c>
      <c r="CJ206" s="100" t="str">
        <f aca="false">IF(ISBLANK($C206),"",IF($BL206&lt;&gt;Constants!$B$4,$BL206,RANK($CI206,$CI$9:$CI$508,1)))</f>
        <v/>
      </c>
      <c r="CK206" s="100" t="str">
        <f aca="false">IF(ISBLANK($C206),"",IF($BL206&lt;&gt;Constants!$B$4,$BL206,COUNTIFS($BM$9:$BM$508,"&lt;"&amp;$BM206)+COUNTIFS($BM$9:$BM$508,$BM206,$CF$9:$CF$508,"&lt;"&amp;$CF206)+COUNTIFS($BM$9:$BM$508,$BM206,$CF$9:$CF$508,$CF206,$CH$9:$CH$508,"&lt;"&amp;$CH206)+COUNTIFS($BM$9:$BM$508,$BM206,$CF$9:$CF$508,$CF206,$CH$9:$CH$508,$CH206,$CJ$9:$CJ$508,"&lt;"&amp;$CJ206)+1))</f>
        <v/>
      </c>
      <c r="CL206" s="100" t="str">
        <f aca="false">IF(ISBLANK($C206),"",IF($BL206&lt;&gt;Constants!$B$4,$BL206,$CG206-$CK206))</f>
        <v/>
      </c>
      <c r="CM206" s="100" t="str">
        <f aca="false">IF(ISBLANK($C206),"",IF(NOT($AL206),"",IF(ISBLANK($D$7),$CM$5,IF(NOT(ISNUMBER($D$7)),$CM$6,""))))</f>
        <v/>
      </c>
      <c r="CN206" s="100" t="str">
        <f aca="false">IF(ISBLANK($C206),"",OR($AN206="",$AO206="",$AP206=""))</f>
        <v/>
      </c>
      <c r="CO206" s="100" t="str">
        <f aca="false">IF(ISBLANK($C206),"",AND($AL206,$BA206=""))</f>
        <v/>
      </c>
      <c r="CP206" s="100" t="str">
        <f aca="false">IF(ISBLANK($C206),"",AND($AL206,$BB206=""))</f>
        <v/>
      </c>
      <c r="CQ206" s="100" t="str">
        <f aca="false">IF(ISBLANK($C206),"",AND($AL206,$BC206=""))</f>
        <v/>
      </c>
      <c r="CR206" s="100" t="str">
        <f aca="false">IF(ISBLANK($C206),"",AND($AL206,$BF206=""))</f>
        <v/>
      </c>
      <c r="CS206" s="100" t="str">
        <f aca="false">IF(ISBLANK($C206),"",AND($AL206,$BJ206=""))</f>
        <v/>
      </c>
      <c r="CT206" s="101"/>
      <c r="CU206" s="102"/>
      <c r="CV206" s="103" t="str">
        <f aca="false">IF(ISBLANK($C206),"",IF($BL206=Constants!$B$8,$CM206,""))</f>
        <v/>
      </c>
      <c r="CW206" s="102" t="str">
        <f aca="false">IF(ISBLANK($C206),"",IF($BL206&lt;&gt;Constants!$B$4,"",$BO206+$BP206))</f>
        <v/>
      </c>
      <c r="CX206" s="104" t="str">
        <f aca="false">IF(ISBLANK($C206),"",IF($BL206&lt;&gt;Constants!$B$4,"",$BQ206+$BR206+$BS206))</f>
        <v/>
      </c>
      <c r="CY206" s="104" t="str">
        <f aca="false">IF(ISBLANK($C206),"",IF($BL206&lt;&gt;Constants!$B$4,"",$BT206))</f>
        <v/>
      </c>
      <c r="CZ206" s="104" t="str">
        <f aca="false">IF(ISBLANK($C206),"",IF($BL206&lt;&gt;Constants!$B$4,"",$BU206+$BV206))</f>
        <v/>
      </c>
      <c r="DA206" s="104" t="str">
        <f aca="false">IF(ISBLANK($C206),"",IF($BL206&lt;&gt;Constants!$B$4,"",$BW206))</f>
        <v/>
      </c>
      <c r="DB206" s="104" t="str">
        <f aca="false">IF(ISBLANK($C206),"",IF($BL206&lt;&gt;Constants!$B$4,"",-$CD206))</f>
        <v/>
      </c>
      <c r="DC206" s="103" t="str">
        <f aca="false">IF(ISBLANK($C206),"",$CE206)</f>
        <v/>
      </c>
      <c r="DD206" s="105" t="str">
        <f aca="false">IF(ISBLANK($C206),"",$BM206)</f>
        <v/>
      </c>
      <c r="DE206" s="104" t="str">
        <f aca="false">IF(ISBLANK($C206),"",$CL206)</f>
        <v/>
      </c>
      <c r="DF206" s="104" t="str">
        <f aca="false">IF(ISBLANK($C206),"",$CK206)</f>
        <v/>
      </c>
      <c r="DG206" s="106" t="str">
        <f aca="false">IF(ISBLANK($C206),"",IF($DF206=Constants!$B$7,COUNTA($C$9:$C$508)+2,IF($DF206=Constants!$B$6,COUNTA($C$9:$C$508)+1,IF($DF206=Constants!$B$5,COUNTA($C$9:$C$508),$DF206))))</f>
        <v/>
      </c>
      <c r="DH206" s="7"/>
      <c r="DI206" s="107" t="n">
        <f aca="false">IF(OR(ISNUMBER($DF206),$DF206=Constants!$B$7,$DF206=Constants!$B$5,$DF206=Constants!$B$6),1,0)</f>
        <v>0</v>
      </c>
      <c r="DJ206" s="107" t="n">
        <v>198</v>
      </c>
      <c r="DK206" s="107" t="str">
        <f aca="false">IF(ISBLANK($C206),"",IF(ISNUMBER($DG206),$DG206+ROW($B206)/1000,""))</f>
        <v/>
      </c>
      <c r="DL206" s="107" t="str">
        <f aca="false">IF(ISNUMBER($DK206),RANK($DK206,$DK$9:$DK$508,1),"")</f>
        <v/>
      </c>
      <c r="DM206" s="107" t="str">
        <f aca="false">IF(ISBLANK($C206),"",$B206)</f>
        <v/>
      </c>
      <c r="DN206" s="107" t="str">
        <f aca="false">IF(ISBLANK($C206),"",$C206)</f>
        <v/>
      </c>
      <c r="DO206" s="107" t="str">
        <f aca="false">IF(ISBLANK($C206),"",$D206)</f>
        <v/>
      </c>
      <c r="DP206" s="108" t="str">
        <f aca="false">$DD206</f>
        <v/>
      </c>
      <c r="DQ206" s="109" t="str">
        <f aca="false">$DC206</f>
        <v/>
      </c>
      <c r="DR206" s="107" t="str">
        <f aca="false">IF(ISBLANK($C206),"",$DF206)</f>
        <v/>
      </c>
      <c r="DS206" s="110" t="str">
        <f aca="false">IF($DJ206&gt;$DI$8,"",VLOOKUP($DJ206,$DL$9:$DR$508,7,FALSE()))</f>
        <v/>
      </c>
      <c r="DT206" s="111" t="str">
        <f aca="false">IF($DJ206&gt;$DI$8,"",VLOOKUP($DJ206,$DL$9:$DR$508,2,FALSE()))</f>
        <v/>
      </c>
      <c r="DU206" s="111" t="str">
        <f aca="false">IF($DJ206&gt;$DI$8,"",VLOOKUP($DJ206,$DL$9:$DR$508,3,FALSE()))</f>
        <v/>
      </c>
      <c r="DV206" s="111" t="str">
        <f aca="false">IF($DJ206&gt;$DI$8,"",VLOOKUP($DJ206,$DL$9:$DR$508,4,FALSE()))</f>
        <v/>
      </c>
      <c r="DW206" s="111" t="str">
        <f aca="false">IF($DJ206&gt;$DI$8,"",VLOOKUP($DJ206,$DL$9:$DR$508,5,FALSE()))</f>
        <v/>
      </c>
      <c r="DX206" s="112" t="str">
        <f aca="false">IF($DJ206&gt;$DI$8,"",VLOOKUP($DJ206,$DL$9:$DR$508,6,FALSE()))</f>
        <v/>
      </c>
      <c r="DY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88"/>
      <c r="N207" s="88"/>
      <c r="O207" s="134"/>
      <c r="P207" s="134"/>
      <c r="Q207" s="88"/>
      <c r="R207" s="88"/>
      <c r="S207" s="88"/>
      <c r="T207" s="88"/>
      <c r="U207" s="134"/>
      <c r="V207" s="88"/>
      <c r="W207" s="70"/>
      <c r="X207" s="88"/>
      <c r="Y207" s="88"/>
      <c r="Z207" s="70"/>
      <c r="AA207" s="70"/>
      <c r="AB207" s="88"/>
      <c r="AC207" s="88"/>
      <c r="AD207" s="88"/>
      <c r="AE207" s="71"/>
      <c r="AF207" s="88"/>
      <c r="AG207" s="73"/>
      <c r="AH207" s="74"/>
      <c r="AI207" s="74"/>
      <c r="AJ207" s="74" t="str">
        <f aca="false">IF(ISBLANK($C207),"",IF($E207=Constants!$B$2,TRUE(),IF($E207=Constants!$B$3,FALSE(),TRUE())))</f>
        <v/>
      </c>
      <c r="AK207" s="74" t="str">
        <f aca="false">IF(ISBLANK($C207),"",IF($F207=Constants!$B$2,TRUE(),IF($F207=Constants!$B$3,FALSE(),FALSE())))</f>
        <v/>
      </c>
      <c r="AL207" s="74" t="str">
        <f aca="false">IF(ISBLANK($C207),"",IF($G207=Constants!$B$2,TRUE(),IF($G207=Constants!$B$3,FALSE(),TRUE())))</f>
        <v/>
      </c>
      <c r="AM207" s="74" t="str">
        <f aca="false">IF(ISBLANK($C207),"",IF($H207=Constants!$B$2,TRUE(),IF($H207=Constants!$B$3,FALSE(),TRUE())))</f>
        <v/>
      </c>
      <c r="AN207" s="74" t="str">
        <f aca="false">IF(ISBLANK($C207),"",IF(ISNUMBER($I207),IF($I207&gt;=0,$I207,""),""))</f>
        <v/>
      </c>
      <c r="AO207" s="74" t="str">
        <f aca="false">IF(ISBLANK($C207),"",IF(ISNUMBER($J207),IF($J207&gt;=0,$J207,""),""))</f>
        <v/>
      </c>
      <c r="AP207" s="74" t="str">
        <f aca="false">IF(ISBLANK($C207),"",IF(ISNUMBER($K207),IF($K207&gt;=0,$K207,""),""))</f>
        <v/>
      </c>
      <c r="AQ207" s="74" t="str">
        <f aca="false">IF(ISBLANK($C207),"",IF($L207=Constants!$B$2,TRUE(),IF($L207=Constants!$B$3,FALSE(),TRUE())))</f>
        <v/>
      </c>
      <c r="AR207" s="74" t="str">
        <f aca="false">IF(ISBLANK($C207),"",IF($M207=Constants!$B$2,TRUE(),IF($M207=Constants!$B$3,FALSE(),TRUE())))</f>
        <v/>
      </c>
      <c r="AS207" s="74" t="str">
        <f aca="false">IF(ISBLANK($C207),"",IF($N207=Constants!$B$2,TRUE(),IF($N207=Constants!$B$3,FALSE(),FALSE())))</f>
        <v/>
      </c>
      <c r="AT207" s="74" t="str">
        <f aca="false">IF(ISBLANK($C207),"",IF($O207=Constants!$B$2,TRUE(),IF($O207=Constants!$B$3,FALSE(),TRUE())))</f>
        <v/>
      </c>
      <c r="AU207" s="74" t="str">
        <f aca="false">IF(ISBLANK($C207),"",IF($P207=Constants!$B$2,TRUE(),IF($P207=Constants!$B$3,FALSE(),TRUE())))</f>
        <v/>
      </c>
      <c r="AV207" s="74" t="str">
        <f aca="false">IF(ISBLANK($C207),"",IF($Q207=Constants!$B$2,TRUE(),IF($Q207=Constants!$B$3,FALSE(),FALSE())))</f>
        <v/>
      </c>
      <c r="AW207" s="74" t="str">
        <f aca="false">IF(ISBLANK($C207),"",IF($R207=Constants!$B$2,TRUE(),IF($R207=Constants!$B$3,FALSE(),FALSE())))</f>
        <v/>
      </c>
      <c r="AX207" s="74" t="str">
        <f aca="false">IF(ISBLANK($C207),"",IF($S207=Constants!$B$2,TRUE(),IF($S207=Constants!$B$3,FALSE(),FALSE())))</f>
        <v/>
      </c>
      <c r="AY207" s="74" t="str">
        <f aca="false">IF(ISBLANK($C207),"",IF($T207=Constants!$B$2,TRUE(),IF($T207=Constants!$B$3,FALSE(),FALSE())))</f>
        <v/>
      </c>
      <c r="AZ207" s="74" t="str">
        <f aca="false">IF(ISBLANK($C207),"",IF($U207=Constants!$B$2,TRUE(),IF($U207=Constants!$B$3,FALSE(),FALSE())))</f>
        <v/>
      </c>
      <c r="BA207" s="74" t="str">
        <f aca="false">IF(ISBLANK($C207),"",IF(OR($V207&amp;""="1",$V207&amp;""="2",$V207&amp;""="3",$V207&amp;""="4"),VALUE($V207&amp;""),IF($V207=Constants!$B$12,Constants!$B$12,"")))</f>
        <v/>
      </c>
      <c r="BB207" s="74" t="str">
        <f aca="false">IF(ISBLANK($C207),"",IF(ISBLANK($W207),0,IF(ISNUMBER($W207),IF(AND($W207&gt;=0,$W207&lt;=Constants!$B$21,$W207=INT($W207)),$W207,""),"")))</f>
        <v/>
      </c>
      <c r="BC207" s="74" t="str">
        <f aca="false">IF(ISBLANK($C207),"",IF(ISBLANK($X207),0,IF(ISNUMBER($X207),IF($X207&gt;=0,$X207,""),"")))</f>
        <v/>
      </c>
      <c r="BD207" s="74" t="str">
        <f aca="false">IF(ISBLANK($C207),"",IF($Y207=Constants!$B$2,TRUE(),IF($Y207=Constants!$B$3,FALSE(),TRUE())))</f>
        <v/>
      </c>
      <c r="BE207" s="74" t="str">
        <f aca="false">IF(ISBLANK($C207),"",IF($Z207=Constants!$B$2,TRUE(),IF($Z207=Constants!$B$3,FALSE(),FALSE())))</f>
        <v/>
      </c>
      <c r="BF207" s="74" t="str">
        <f aca="false">IF(ISBLANK($C207),"",IF(ISBLANK($AA207),0,IF(ISNUMBER($AA207),IF(AND($AA207&gt;=0,$AA207&lt;=Constants!$B$35,$AA207=INT($AA207)),$AA207,""),"")))</f>
        <v/>
      </c>
      <c r="BG207" s="74" t="str">
        <f aca="false">IF(ISBLANK($C207),"",IF($AB207=Constants!$B$2,TRUE(),IF($AB207=Constants!$B$3,FALSE(),TRUE())))</f>
        <v/>
      </c>
      <c r="BH207" s="74" t="str">
        <f aca="false">IF(ISBLANK($C207),"",IF($AC207=Constants!$B$2,TRUE(),IF($AC207=Constants!$B$3,FALSE(),TRUE())))</f>
        <v/>
      </c>
      <c r="BI207" s="74" t="str">
        <f aca="false">IF(ISBLANK($C207),"",IF($AD207=Constants!$B$2,TRUE(),IF($AD207=Constants!$B$3,FALSE(),TRUE())))</f>
        <v/>
      </c>
      <c r="BJ207" s="74" t="str">
        <f aca="false">IF(ISBLANK($C207),"",IF(ISNUMBER($AE207),IF($AE207&gt;=0,$AE207,""),""))</f>
        <v/>
      </c>
      <c r="BK207" s="74" t="str">
        <f aca="false">IF(ISBLANK($C207),"",IF($AF207=Constants!$B$2,TRUE(),IF($AF207=Constants!$B$3,FALSE(),FALSE())))</f>
        <v/>
      </c>
      <c r="BL207" s="73" t="str">
        <f aca="false">IF(ISBLANK($C207),"",IF($BK207,Constants!$B$7,IF(COUNTA($E207:$AE207)=0,Constants!$B$6,IF(OR(COUNTA($G207:$AE207)=0,NOT($AM207),$AS207),Constants!$B$5,IF(OR($CM207&lt;&gt;"",$CN207,$CO207,$CP207,$CQ207,$CR207,$CS207),Constants!$B$8,Constants!$B$4)))))</f>
        <v/>
      </c>
      <c r="BM207" s="74" t="str">
        <f aca="false">IF(ISBLANK($C207),"",IF($BL207&lt;&gt;Constants!$B$4,$BL207,IF(OR(NOT($AJ207),NOT($AL207),NOT($AT207)),Constants!$B$11,IF(OR(NOT($AR207),NOT($AU207),NOT($BI207),MAX($AN207,$AO207,$AP207)&gt;Constants!$B$30),Constants!$B$10,Constants!$B$9))))</f>
        <v/>
      </c>
      <c r="BN207" s="74" t="str">
        <f aca="false">IF($BL207&lt;&gt;Constants!$B$4,"",IF(NOT($AL207),0,MIN(Constants!$B$35,$BF207)))</f>
        <v/>
      </c>
      <c r="BO207" s="74" t="str">
        <f aca="false">IF($BL207&lt;&gt;Constants!$B$4,"",IF(NOT($AL207),0,IF($AW207,Constants!$B$18,IF($AV207,Constants!$B$17,0))))</f>
        <v/>
      </c>
      <c r="BP207" s="74" t="str">
        <f aca="false">IF($BL207&lt;&gt;Constants!$B$4,"",IF(NOT($AL207),0,Constants!$B$19*($AK207+$AX207+$AY207+$AZ207)))</f>
        <v/>
      </c>
      <c r="BQ207" s="74" t="str">
        <f aca="false">IF($BL207&lt;&gt;Constants!$B$4,"",IF(OR(NOT($AL207),NOT(ISNUMBER($BA207))),0,CHOOSE($BA207,Constants!$B$13,Constants!$B$14,Constants!$B$15,Constants!$B$16)))</f>
        <v/>
      </c>
      <c r="BR207" s="74" t="str">
        <f aca="false">IF($BL207&lt;&gt;Constants!$B$4,"",IF(NOT($AL207),0,Constants!$B$20*$BB207))</f>
        <v/>
      </c>
      <c r="BS207" s="74" t="str">
        <f aca="false">IF($BL207&lt;&gt;Constants!$B$4,"",IF(AND($AL207,$BD207,$BE207),Constants!$B$22,0))</f>
        <v/>
      </c>
      <c r="BT207" s="74" t="str">
        <f aca="false">IF($BL207&lt;&gt;Constants!$B$4,"",IF(OR(NOT($AL207),NOT($BD207)),0,IF($BJ207&gt;=2*$AH$9,0,Constants!$B$23*INT(ROUND(MIN($BJ207,$AH$9),6)))))</f>
        <v/>
      </c>
      <c r="BU207" s="74" t="str">
        <f aca="false">IF($BL207&lt;&gt;Constants!$B$4,"",IF(NOT($AL207),0,Constants!$B$24*INT(ROUND(MIN($BC207,$AH$9),6))))</f>
        <v/>
      </c>
      <c r="BV207" s="74" t="str">
        <f aca="false">IF($BL207&lt;&gt;Constants!$B$4,"",IF(AND($AL207,$BN207=0),Constants!$B$25,0))</f>
        <v/>
      </c>
      <c r="BW207" s="74" t="str">
        <f aca="false">IF($BL207&lt;&gt;Constants!$B$4,"",MIN(Constants!$B$29,MAX(0,Constants!$B$27*Constants!$B$28*INT(ROUND((Constants!$B$26-$AN207)/Constants!$B$28,6))))+MIN(Constants!$B$29,MAX(0,Constants!$B$27*Constants!$B$28*INT(ROUND((Constants!$B$26-$AO207)/Constants!$B$28,6))))+MIN(Constants!$B$29,MAX(0,Constants!$B$27*Constants!$B$28*INT(ROUND((Constants!$B$26-$AP207)/Constants!$B$28,6)))))</f>
        <v/>
      </c>
      <c r="BX207" s="74" t="str">
        <f aca="false">IF($BL207&lt;&gt;Constants!$B$4,"",IF(NOT($AL207),0,Constants!$B$31*INT(ROUND(MAX(0,MIN($BJ207,2*$AH$9)-$AH$9),6))))</f>
        <v/>
      </c>
      <c r="BY207" s="74" t="str">
        <f aca="false">IF($BL207&lt;&gt;Constants!$B$4,"",Constants!$B$32*(($AN207&gt;Constants!$B$26)+($AO207&gt;Constants!$B$26)+($AP207&gt;Constants!$B$26)))</f>
        <v/>
      </c>
      <c r="BZ207" s="74" t="str">
        <f aca="false">IF($BL207&lt;&gt;Constants!$B$4,"",IF(OR(NOT($AL207),$AQ207),0,Constants!$B$33))</f>
        <v/>
      </c>
      <c r="CA207" s="74" t="str">
        <f aca="false">IF($BL207&lt;&gt;Constants!$B$4,"",Constants!$B$34*$BN207)</f>
        <v/>
      </c>
      <c r="CB207" s="74" t="str">
        <f aca="false">IF($BL207&lt;&gt;Constants!$B$4,"",IF(OR(NOT($AL207),$BH207),0,Constants!$B$36))</f>
        <v/>
      </c>
      <c r="CC207" s="74" t="str">
        <f aca="false">IF($BL207&lt;&gt;Constants!$B$4,"",IF(OR(NOT($AL207),$BG207),0,Constants!$B$37))</f>
        <v/>
      </c>
      <c r="CD207" s="74" t="str">
        <f aca="false">IF($BL207&lt;&gt;Constants!$B$4,"",SUM($BX207:$CC207))</f>
        <v/>
      </c>
      <c r="CE207" s="74" t="str">
        <f aca="false">IF(ISBLANK($C207),"",IF($BL207&lt;&gt;Constants!$B$4,$BL207,SUM($BO207:$BW207)-$CD207))</f>
        <v/>
      </c>
      <c r="CF207" s="74" t="str">
        <f aca="false">IF(ISBLANK($C207),"",IF($BL207&lt;&gt;Constants!$B$4,$BL207,RANK($CE207,$CE$9:$CE$508)))</f>
        <v/>
      </c>
      <c r="CG207" s="74" t="str">
        <f aca="false">IF(ISBLANK($C207),"",IF($BL207&lt;&gt;Constants!$B$4,$BL207,COUNTIFS($BM$9:$BM$508,"&lt;"&amp;$BM207)+COUNTIFS($BM$9:$BM$508,$BM207,$CF$9:$CF$508,"&lt;"&amp;$CF207)+1))</f>
        <v/>
      </c>
      <c r="CH207" s="74" t="str">
        <f aca="false">IF(ISBLANK($C207),"",IF($BL207&lt;&gt;Constants!$B$4,$BL207,RANK($CD207,$CD$9:$CD$508,1)))</f>
        <v/>
      </c>
      <c r="CI207" s="74" t="str">
        <f aca="false">IF($BL207&lt;&gt;Constants!$B$4,"",$AN207+$AO207+$AP207)</f>
        <v/>
      </c>
      <c r="CJ207" s="74" t="str">
        <f aca="false">IF(ISBLANK($C207),"",IF($BL207&lt;&gt;Constants!$B$4,$BL207,RANK($CI207,$CI$9:$CI$508,1)))</f>
        <v/>
      </c>
      <c r="CK207" s="74" t="str">
        <f aca="false">IF(ISBLANK($C207),"",IF($BL207&lt;&gt;Constants!$B$4,$BL207,COUNTIFS($BM$9:$BM$508,"&lt;"&amp;$BM207)+COUNTIFS($BM$9:$BM$508,$BM207,$CF$9:$CF$508,"&lt;"&amp;$CF207)+COUNTIFS($BM$9:$BM$508,$BM207,$CF$9:$CF$508,$CF207,$CH$9:$CH$508,"&lt;"&amp;$CH207)+COUNTIFS($BM$9:$BM$508,$BM207,$CF$9:$CF$508,$CF207,$CH$9:$CH$508,$CH207,$CJ$9:$CJ$508,"&lt;"&amp;$CJ207)+1))</f>
        <v/>
      </c>
      <c r="CL207" s="74" t="str">
        <f aca="false">IF(ISBLANK($C207),"",IF($BL207&lt;&gt;Constants!$B$4,$BL207,$CG207-$CK207))</f>
        <v/>
      </c>
      <c r="CM207" s="74" t="str">
        <f aca="false">IF(ISBLANK($C207),"",IF(NOT($AL207),"",IF(ISBLANK($D$7),$CM$5,IF(NOT(ISNUMBER($D$7)),$CM$6,""))))</f>
        <v/>
      </c>
      <c r="CN207" s="74" t="str">
        <f aca="false">IF(ISBLANK($C207),"",OR($AN207="",$AO207="",$AP207=""))</f>
        <v/>
      </c>
      <c r="CO207" s="74" t="str">
        <f aca="false">IF(ISBLANK($C207),"",AND($AL207,$BA207=""))</f>
        <v/>
      </c>
      <c r="CP207" s="74" t="str">
        <f aca="false">IF(ISBLANK($C207),"",AND($AL207,$BB207=""))</f>
        <v/>
      </c>
      <c r="CQ207" s="74" t="str">
        <f aca="false">IF(ISBLANK($C207),"",AND($AL207,$BC207=""))</f>
        <v/>
      </c>
      <c r="CR207" s="74" t="str">
        <f aca="false">IF(ISBLANK($C207),"",AND($AL207,$BF207=""))</f>
        <v/>
      </c>
      <c r="CS207" s="74" t="str">
        <f aca="false">IF(ISBLANK($C207),"",AND($AL207,$BJ207=""))</f>
        <v/>
      </c>
      <c r="CT207" s="75"/>
      <c r="CU207" s="76"/>
      <c r="CV207" s="79" t="str">
        <f aca="false">IF(ISBLANK($C207),"",IF($BL207=Constants!$B$8,$CM207,""))</f>
        <v/>
      </c>
      <c r="CW207" s="76" t="str">
        <f aca="false">IF(ISBLANK($C207),"",IF($BL207&lt;&gt;Constants!$B$4,"",$BO207+$BP207))</f>
        <v/>
      </c>
      <c r="CX207" s="78" t="str">
        <f aca="false">IF(ISBLANK($C207),"",IF($BL207&lt;&gt;Constants!$B$4,"",$BQ207+$BR207+$BS207))</f>
        <v/>
      </c>
      <c r="CY207" s="78" t="str">
        <f aca="false">IF(ISBLANK($C207),"",IF($BL207&lt;&gt;Constants!$B$4,"",$BT207))</f>
        <v/>
      </c>
      <c r="CZ207" s="78" t="str">
        <f aca="false">IF(ISBLANK($C207),"",IF($BL207&lt;&gt;Constants!$B$4,"",$BU207+$BV207))</f>
        <v/>
      </c>
      <c r="DA207" s="78" t="str">
        <f aca="false">IF(ISBLANK($C207),"",IF($BL207&lt;&gt;Constants!$B$4,"",$BW207))</f>
        <v/>
      </c>
      <c r="DB207" s="78" t="str">
        <f aca="false">IF(ISBLANK($C207),"",IF($BL207&lt;&gt;Constants!$B$4,"",-$CD207))</f>
        <v/>
      </c>
      <c r="DC207" s="79" t="str">
        <f aca="false">IF(ISBLANK($C207),"",$CE207)</f>
        <v/>
      </c>
      <c r="DD207" s="80" t="str">
        <f aca="false">IF(ISBLANK($C207),"",$BM207)</f>
        <v/>
      </c>
      <c r="DE207" s="78" t="str">
        <f aca="false">IF(ISBLANK($C207),"",$CL207)</f>
        <v/>
      </c>
      <c r="DF207" s="78" t="str">
        <f aca="false">IF(ISBLANK($C207),"",$CK207)</f>
        <v/>
      </c>
      <c r="DG207" s="81" t="str">
        <f aca="false">IF(ISBLANK($C207),"",IF($DF207=Constants!$B$7,COUNTA($C$9:$C$508)+2,IF($DF207=Constants!$B$6,COUNTA($C$9:$C$508)+1,IF($DF207=Constants!$B$5,COUNTA($C$9:$C$508),$DF207))))</f>
        <v/>
      </c>
      <c r="DH207" s="7"/>
      <c r="DI207" s="82" t="n">
        <f aca="false">IF(OR(ISNUMBER($DF207),$DF207=Constants!$B$7,$DF207=Constants!$B$5,$DF207=Constants!$B$6),1,0)</f>
        <v>0</v>
      </c>
      <c r="DJ207" s="82" t="n">
        <v>199</v>
      </c>
      <c r="DK207" s="82" t="str">
        <f aca="false">IF(ISBLANK($C207),"",IF(ISNUMBER($DG207),$DG207+ROW($B207)/1000,""))</f>
        <v/>
      </c>
      <c r="DL207" s="82" t="str">
        <f aca="false">IF(ISNUMBER($DK207),RANK($DK207,$DK$9:$DK$508,1),"")</f>
        <v/>
      </c>
      <c r="DM207" s="82" t="str">
        <f aca="false">IF(ISBLANK($C207),"",$B207)</f>
        <v/>
      </c>
      <c r="DN207" s="82" t="str">
        <f aca="false">IF(ISBLANK($C207),"",$C207)</f>
        <v/>
      </c>
      <c r="DO207" s="82" t="str">
        <f aca="false">IF(ISBLANK($C207),"",$D207)</f>
        <v/>
      </c>
      <c r="DP207" s="83" t="str">
        <f aca="false">$DD207</f>
        <v/>
      </c>
      <c r="DQ207" s="84" t="str">
        <f aca="false">$DC207</f>
        <v/>
      </c>
      <c r="DR207" s="82" t="str">
        <f aca="false">IF(ISBLANK($C207),"",$DF207)</f>
        <v/>
      </c>
      <c r="DS207" s="85" t="str">
        <f aca="false">IF($DJ207&gt;$DI$8,"",VLOOKUP($DJ207,$DL$9:$DR$508,7,FALSE()))</f>
        <v/>
      </c>
      <c r="DT207" s="86" t="str">
        <f aca="false">IF($DJ207&gt;$DI$8,"",VLOOKUP($DJ207,$DL$9:$DR$508,2,FALSE()))</f>
        <v/>
      </c>
      <c r="DU207" s="86" t="str">
        <f aca="false">IF($DJ207&gt;$DI$8,"",VLOOKUP($DJ207,$DL$9:$DR$508,3,FALSE()))</f>
        <v/>
      </c>
      <c r="DV207" s="86" t="str">
        <f aca="false">IF($DJ207&gt;$DI$8,"",VLOOKUP($DJ207,$DL$9:$DR$508,4,FALSE()))</f>
        <v/>
      </c>
      <c r="DW207" s="86" t="str">
        <f aca="false">IF($DJ207&gt;$DI$8,"",VLOOKUP($DJ207,$DL$9:$DR$508,5,FALSE()))</f>
        <v/>
      </c>
      <c r="DX207" s="87" t="str">
        <f aca="false">IF($DJ207&gt;$DI$8,"",VLOOKUP($DJ207,$DL$9:$DR$508,6,FALSE()))</f>
        <v/>
      </c>
      <c r="DY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88"/>
      <c r="N208" s="88"/>
      <c r="O208" s="134"/>
      <c r="P208" s="134"/>
      <c r="Q208" s="88"/>
      <c r="R208" s="88"/>
      <c r="S208" s="88"/>
      <c r="T208" s="88"/>
      <c r="U208" s="134"/>
      <c r="V208" s="88"/>
      <c r="W208" s="70"/>
      <c r="X208" s="88"/>
      <c r="Y208" s="88"/>
      <c r="Z208" s="70"/>
      <c r="AA208" s="70"/>
      <c r="AB208" s="88"/>
      <c r="AC208" s="88"/>
      <c r="AD208" s="88"/>
      <c r="AE208" s="71"/>
      <c r="AF208" s="88"/>
      <c r="AG208" s="73"/>
      <c r="AH208" s="74"/>
      <c r="AI208" s="74"/>
      <c r="AJ208" s="74" t="str">
        <f aca="false">IF(ISBLANK($C208),"",IF($E208=Constants!$B$2,TRUE(),IF($E208=Constants!$B$3,FALSE(),TRUE())))</f>
        <v/>
      </c>
      <c r="AK208" s="74" t="str">
        <f aca="false">IF(ISBLANK($C208),"",IF($F208=Constants!$B$2,TRUE(),IF($F208=Constants!$B$3,FALSE(),FALSE())))</f>
        <v/>
      </c>
      <c r="AL208" s="74" t="str">
        <f aca="false">IF(ISBLANK($C208),"",IF($G208=Constants!$B$2,TRUE(),IF($G208=Constants!$B$3,FALSE(),TRUE())))</f>
        <v/>
      </c>
      <c r="AM208" s="74" t="str">
        <f aca="false">IF(ISBLANK($C208),"",IF($H208=Constants!$B$2,TRUE(),IF($H208=Constants!$B$3,FALSE(),TRUE())))</f>
        <v/>
      </c>
      <c r="AN208" s="74" t="str">
        <f aca="false">IF(ISBLANK($C208),"",IF(ISNUMBER($I208),IF($I208&gt;=0,$I208,""),""))</f>
        <v/>
      </c>
      <c r="AO208" s="74" t="str">
        <f aca="false">IF(ISBLANK($C208),"",IF(ISNUMBER($J208),IF($J208&gt;=0,$J208,""),""))</f>
        <v/>
      </c>
      <c r="AP208" s="74" t="str">
        <f aca="false">IF(ISBLANK($C208),"",IF(ISNUMBER($K208),IF($K208&gt;=0,$K208,""),""))</f>
        <v/>
      </c>
      <c r="AQ208" s="74" t="str">
        <f aca="false">IF(ISBLANK($C208),"",IF($L208=Constants!$B$2,TRUE(),IF($L208=Constants!$B$3,FALSE(),TRUE())))</f>
        <v/>
      </c>
      <c r="AR208" s="74" t="str">
        <f aca="false">IF(ISBLANK($C208),"",IF($M208=Constants!$B$2,TRUE(),IF($M208=Constants!$B$3,FALSE(),TRUE())))</f>
        <v/>
      </c>
      <c r="AS208" s="74" t="str">
        <f aca="false">IF(ISBLANK($C208),"",IF($N208=Constants!$B$2,TRUE(),IF($N208=Constants!$B$3,FALSE(),FALSE())))</f>
        <v/>
      </c>
      <c r="AT208" s="74" t="str">
        <f aca="false">IF(ISBLANK($C208),"",IF($O208=Constants!$B$2,TRUE(),IF($O208=Constants!$B$3,FALSE(),TRUE())))</f>
        <v/>
      </c>
      <c r="AU208" s="74" t="str">
        <f aca="false">IF(ISBLANK($C208),"",IF($P208=Constants!$B$2,TRUE(),IF($P208=Constants!$B$3,FALSE(),TRUE())))</f>
        <v/>
      </c>
      <c r="AV208" s="74" t="str">
        <f aca="false">IF(ISBLANK($C208),"",IF($Q208=Constants!$B$2,TRUE(),IF($Q208=Constants!$B$3,FALSE(),FALSE())))</f>
        <v/>
      </c>
      <c r="AW208" s="74" t="str">
        <f aca="false">IF(ISBLANK($C208),"",IF($R208=Constants!$B$2,TRUE(),IF($R208=Constants!$B$3,FALSE(),FALSE())))</f>
        <v/>
      </c>
      <c r="AX208" s="74" t="str">
        <f aca="false">IF(ISBLANK($C208),"",IF($S208=Constants!$B$2,TRUE(),IF($S208=Constants!$B$3,FALSE(),FALSE())))</f>
        <v/>
      </c>
      <c r="AY208" s="74" t="str">
        <f aca="false">IF(ISBLANK($C208),"",IF($T208=Constants!$B$2,TRUE(),IF($T208=Constants!$B$3,FALSE(),FALSE())))</f>
        <v/>
      </c>
      <c r="AZ208" s="74" t="str">
        <f aca="false">IF(ISBLANK($C208),"",IF($U208=Constants!$B$2,TRUE(),IF($U208=Constants!$B$3,FALSE(),FALSE())))</f>
        <v/>
      </c>
      <c r="BA208" s="74" t="str">
        <f aca="false">IF(ISBLANK($C208),"",IF(OR($V208&amp;""="1",$V208&amp;""="2",$V208&amp;""="3",$V208&amp;""="4"),VALUE($V208&amp;""),IF($V208=Constants!$B$12,Constants!$B$12,"")))</f>
        <v/>
      </c>
      <c r="BB208" s="74" t="str">
        <f aca="false">IF(ISBLANK($C208),"",IF(ISBLANK($W208),0,IF(ISNUMBER($W208),IF(AND($W208&gt;=0,$W208&lt;=Constants!$B$21,$W208=INT($W208)),$W208,""),"")))</f>
        <v/>
      </c>
      <c r="BC208" s="74" t="str">
        <f aca="false">IF(ISBLANK($C208),"",IF(ISBLANK($X208),0,IF(ISNUMBER($X208),IF($X208&gt;=0,$X208,""),"")))</f>
        <v/>
      </c>
      <c r="BD208" s="74" t="str">
        <f aca="false">IF(ISBLANK($C208),"",IF($Y208=Constants!$B$2,TRUE(),IF($Y208=Constants!$B$3,FALSE(),TRUE())))</f>
        <v/>
      </c>
      <c r="BE208" s="74" t="str">
        <f aca="false">IF(ISBLANK($C208),"",IF($Z208=Constants!$B$2,TRUE(),IF($Z208=Constants!$B$3,FALSE(),FALSE())))</f>
        <v/>
      </c>
      <c r="BF208" s="74" t="str">
        <f aca="false">IF(ISBLANK($C208),"",IF(ISBLANK($AA208),0,IF(ISNUMBER($AA208),IF(AND($AA208&gt;=0,$AA208&lt;=Constants!$B$35,$AA208=INT($AA208)),$AA208,""),"")))</f>
        <v/>
      </c>
      <c r="BG208" s="74" t="str">
        <f aca="false">IF(ISBLANK($C208),"",IF($AB208=Constants!$B$2,TRUE(),IF($AB208=Constants!$B$3,FALSE(),TRUE())))</f>
        <v/>
      </c>
      <c r="BH208" s="74" t="str">
        <f aca="false">IF(ISBLANK($C208),"",IF($AC208=Constants!$B$2,TRUE(),IF($AC208=Constants!$B$3,FALSE(),TRUE())))</f>
        <v/>
      </c>
      <c r="BI208" s="74" t="str">
        <f aca="false">IF(ISBLANK($C208),"",IF($AD208=Constants!$B$2,TRUE(),IF($AD208=Constants!$B$3,FALSE(),TRUE())))</f>
        <v/>
      </c>
      <c r="BJ208" s="74" t="str">
        <f aca="false">IF(ISBLANK($C208),"",IF(ISNUMBER($AE208),IF($AE208&gt;=0,$AE208,""),""))</f>
        <v/>
      </c>
      <c r="BK208" s="74" t="str">
        <f aca="false">IF(ISBLANK($C208),"",IF($AF208=Constants!$B$2,TRUE(),IF($AF208=Constants!$B$3,FALSE(),FALSE())))</f>
        <v/>
      </c>
      <c r="BL208" s="73" t="str">
        <f aca="false">IF(ISBLANK($C208),"",IF($BK208,Constants!$B$7,IF(COUNTA($E208:$AE208)=0,Constants!$B$6,IF(OR(COUNTA($G208:$AE208)=0,NOT($AM208),$AS208),Constants!$B$5,IF(OR($CM208&lt;&gt;"",$CN208,$CO208,$CP208,$CQ208,$CR208,$CS208),Constants!$B$8,Constants!$B$4)))))</f>
        <v/>
      </c>
      <c r="BM208" s="74" t="str">
        <f aca="false">IF(ISBLANK($C208),"",IF($BL208&lt;&gt;Constants!$B$4,$BL208,IF(OR(NOT($AJ208),NOT($AL208),NOT($AT208)),Constants!$B$11,IF(OR(NOT($AR208),NOT($AU208),NOT($BI208),MAX($AN208,$AO208,$AP208)&gt;Constants!$B$30),Constants!$B$10,Constants!$B$9))))</f>
        <v/>
      </c>
      <c r="BN208" s="74" t="str">
        <f aca="false">IF($BL208&lt;&gt;Constants!$B$4,"",IF(NOT($AL208),0,MIN(Constants!$B$35,$BF208)))</f>
        <v/>
      </c>
      <c r="BO208" s="74" t="str">
        <f aca="false">IF($BL208&lt;&gt;Constants!$B$4,"",IF(NOT($AL208),0,IF($AW208,Constants!$B$18,IF($AV208,Constants!$B$17,0))))</f>
        <v/>
      </c>
      <c r="BP208" s="74" t="str">
        <f aca="false">IF($BL208&lt;&gt;Constants!$B$4,"",IF(NOT($AL208),0,Constants!$B$19*($AK208+$AX208+$AY208+$AZ208)))</f>
        <v/>
      </c>
      <c r="BQ208" s="74" t="str">
        <f aca="false">IF($BL208&lt;&gt;Constants!$B$4,"",IF(OR(NOT($AL208),NOT(ISNUMBER($BA208))),0,CHOOSE($BA208,Constants!$B$13,Constants!$B$14,Constants!$B$15,Constants!$B$16)))</f>
        <v/>
      </c>
      <c r="BR208" s="74" t="str">
        <f aca="false">IF($BL208&lt;&gt;Constants!$B$4,"",IF(NOT($AL208),0,Constants!$B$20*$BB208))</f>
        <v/>
      </c>
      <c r="BS208" s="74" t="str">
        <f aca="false">IF($BL208&lt;&gt;Constants!$B$4,"",IF(AND($AL208,$BD208,$BE208),Constants!$B$22,0))</f>
        <v/>
      </c>
      <c r="BT208" s="74" t="str">
        <f aca="false">IF($BL208&lt;&gt;Constants!$B$4,"",IF(OR(NOT($AL208),NOT($BD208)),0,IF($BJ208&gt;=2*$AH$9,0,Constants!$B$23*INT(ROUND(MIN($BJ208,$AH$9),6)))))</f>
        <v/>
      </c>
      <c r="BU208" s="74" t="str">
        <f aca="false">IF($BL208&lt;&gt;Constants!$B$4,"",IF(NOT($AL208),0,Constants!$B$24*INT(ROUND(MIN($BC208,$AH$9),6))))</f>
        <v/>
      </c>
      <c r="BV208" s="74" t="str">
        <f aca="false">IF($BL208&lt;&gt;Constants!$B$4,"",IF(AND($AL208,$BN208=0),Constants!$B$25,0))</f>
        <v/>
      </c>
      <c r="BW208" s="74" t="str">
        <f aca="false">IF($BL208&lt;&gt;Constants!$B$4,"",MIN(Constants!$B$29,MAX(0,Constants!$B$27*Constants!$B$28*INT(ROUND((Constants!$B$26-$AN208)/Constants!$B$28,6))))+MIN(Constants!$B$29,MAX(0,Constants!$B$27*Constants!$B$28*INT(ROUND((Constants!$B$26-$AO208)/Constants!$B$28,6))))+MIN(Constants!$B$29,MAX(0,Constants!$B$27*Constants!$B$28*INT(ROUND((Constants!$B$26-$AP208)/Constants!$B$28,6)))))</f>
        <v/>
      </c>
      <c r="BX208" s="74" t="str">
        <f aca="false">IF($BL208&lt;&gt;Constants!$B$4,"",IF(NOT($AL208),0,Constants!$B$31*INT(ROUND(MAX(0,MIN($BJ208,2*$AH$9)-$AH$9),6))))</f>
        <v/>
      </c>
      <c r="BY208" s="74" t="str">
        <f aca="false">IF($BL208&lt;&gt;Constants!$B$4,"",Constants!$B$32*(($AN208&gt;Constants!$B$26)+($AO208&gt;Constants!$B$26)+($AP208&gt;Constants!$B$26)))</f>
        <v/>
      </c>
      <c r="BZ208" s="74" t="str">
        <f aca="false">IF($BL208&lt;&gt;Constants!$B$4,"",IF(OR(NOT($AL208),$AQ208),0,Constants!$B$33))</f>
        <v/>
      </c>
      <c r="CA208" s="74" t="str">
        <f aca="false">IF($BL208&lt;&gt;Constants!$B$4,"",Constants!$B$34*$BN208)</f>
        <v/>
      </c>
      <c r="CB208" s="74" t="str">
        <f aca="false">IF($BL208&lt;&gt;Constants!$B$4,"",IF(OR(NOT($AL208),$BH208),0,Constants!$B$36))</f>
        <v/>
      </c>
      <c r="CC208" s="74" t="str">
        <f aca="false">IF($BL208&lt;&gt;Constants!$B$4,"",IF(OR(NOT($AL208),$BG208),0,Constants!$B$37))</f>
        <v/>
      </c>
      <c r="CD208" s="74" t="str">
        <f aca="false">IF($BL208&lt;&gt;Constants!$B$4,"",SUM($BX208:$CC208))</f>
        <v/>
      </c>
      <c r="CE208" s="74" t="str">
        <f aca="false">IF(ISBLANK($C208),"",IF($BL208&lt;&gt;Constants!$B$4,$BL208,SUM($BO208:$BW208)-$CD208))</f>
        <v/>
      </c>
      <c r="CF208" s="74" t="str">
        <f aca="false">IF(ISBLANK($C208),"",IF($BL208&lt;&gt;Constants!$B$4,$BL208,RANK($CE208,$CE$9:$CE$508)))</f>
        <v/>
      </c>
      <c r="CG208" s="74" t="str">
        <f aca="false">IF(ISBLANK($C208),"",IF($BL208&lt;&gt;Constants!$B$4,$BL208,COUNTIFS($BM$9:$BM$508,"&lt;"&amp;$BM208)+COUNTIFS($BM$9:$BM$508,$BM208,$CF$9:$CF$508,"&lt;"&amp;$CF208)+1))</f>
        <v/>
      </c>
      <c r="CH208" s="74" t="str">
        <f aca="false">IF(ISBLANK($C208),"",IF($BL208&lt;&gt;Constants!$B$4,$BL208,RANK($CD208,$CD$9:$CD$508,1)))</f>
        <v/>
      </c>
      <c r="CI208" s="74" t="str">
        <f aca="false">IF($BL208&lt;&gt;Constants!$B$4,"",$AN208+$AO208+$AP208)</f>
        <v/>
      </c>
      <c r="CJ208" s="74" t="str">
        <f aca="false">IF(ISBLANK($C208),"",IF($BL208&lt;&gt;Constants!$B$4,$BL208,RANK($CI208,$CI$9:$CI$508,1)))</f>
        <v/>
      </c>
      <c r="CK208" s="74" t="str">
        <f aca="false">IF(ISBLANK($C208),"",IF($BL208&lt;&gt;Constants!$B$4,$BL208,COUNTIFS($BM$9:$BM$508,"&lt;"&amp;$BM208)+COUNTIFS($BM$9:$BM$508,$BM208,$CF$9:$CF$508,"&lt;"&amp;$CF208)+COUNTIFS($BM$9:$BM$508,$BM208,$CF$9:$CF$508,$CF208,$CH$9:$CH$508,"&lt;"&amp;$CH208)+COUNTIFS($BM$9:$BM$508,$BM208,$CF$9:$CF$508,$CF208,$CH$9:$CH$508,$CH208,$CJ$9:$CJ$508,"&lt;"&amp;$CJ208)+1))</f>
        <v/>
      </c>
      <c r="CL208" s="74" t="str">
        <f aca="false">IF(ISBLANK($C208),"",IF($BL208&lt;&gt;Constants!$B$4,$BL208,$CG208-$CK208))</f>
        <v/>
      </c>
      <c r="CM208" s="74" t="str">
        <f aca="false">IF(ISBLANK($C208),"",IF(NOT($AL208),"",IF(ISBLANK($D$7),$CM$5,IF(NOT(ISNUMBER($D$7)),$CM$6,""))))</f>
        <v/>
      </c>
      <c r="CN208" s="74" t="str">
        <f aca="false">IF(ISBLANK($C208),"",OR($AN208="",$AO208="",$AP208=""))</f>
        <v/>
      </c>
      <c r="CO208" s="74" t="str">
        <f aca="false">IF(ISBLANK($C208),"",AND($AL208,$BA208=""))</f>
        <v/>
      </c>
      <c r="CP208" s="74" t="str">
        <f aca="false">IF(ISBLANK($C208),"",AND($AL208,$BB208=""))</f>
        <v/>
      </c>
      <c r="CQ208" s="74" t="str">
        <f aca="false">IF(ISBLANK($C208),"",AND($AL208,$BC208=""))</f>
        <v/>
      </c>
      <c r="CR208" s="74" t="str">
        <f aca="false">IF(ISBLANK($C208),"",AND($AL208,$BF208=""))</f>
        <v/>
      </c>
      <c r="CS208" s="74" t="str">
        <f aca="false">IF(ISBLANK($C208),"",AND($AL208,$BJ208=""))</f>
        <v/>
      </c>
      <c r="CT208" s="75"/>
      <c r="CU208" s="76"/>
      <c r="CV208" s="79" t="str">
        <f aca="false">IF(ISBLANK($C208),"",IF($BL208=Constants!$B$8,$CM208,""))</f>
        <v/>
      </c>
      <c r="CW208" s="76" t="str">
        <f aca="false">IF(ISBLANK($C208),"",IF($BL208&lt;&gt;Constants!$B$4,"",$BO208+$BP208))</f>
        <v/>
      </c>
      <c r="CX208" s="78" t="str">
        <f aca="false">IF(ISBLANK($C208),"",IF($BL208&lt;&gt;Constants!$B$4,"",$BQ208+$BR208+$BS208))</f>
        <v/>
      </c>
      <c r="CY208" s="78" t="str">
        <f aca="false">IF(ISBLANK($C208),"",IF($BL208&lt;&gt;Constants!$B$4,"",$BT208))</f>
        <v/>
      </c>
      <c r="CZ208" s="78" t="str">
        <f aca="false">IF(ISBLANK($C208),"",IF($BL208&lt;&gt;Constants!$B$4,"",$BU208+$BV208))</f>
        <v/>
      </c>
      <c r="DA208" s="78" t="str">
        <f aca="false">IF(ISBLANK($C208),"",IF($BL208&lt;&gt;Constants!$B$4,"",$BW208))</f>
        <v/>
      </c>
      <c r="DB208" s="78" t="str">
        <f aca="false">IF(ISBLANK($C208),"",IF($BL208&lt;&gt;Constants!$B$4,"",-$CD208))</f>
        <v/>
      </c>
      <c r="DC208" s="79" t="str">
        <f aca="false">IF(ISBLANK($C208),"",$CE208)</f>
        <v/>
      </c>
      <c r="DD208" s="80" t="str">
        <f aca="false">IF(ISBLANK($C208),"",$BM208)</f>
        <v/>
      </c>
      <c r="DE208" s="78" t="str">
        <f aca="false">IF(ISBLANK($C208),"",$CL208)</f>
        <v/>
      </c>
      <c r="DF208" s="78" t="str">
        <f aca="false">IF(ISBLANK($C208),"",$CK208)</f>
        <v/>
      </c>
      <c r="DG208" s="81" t="str">
        <f aca="false">IF(ISBLANK($C208),"",IF($DF208=Constants!$B$7,COUNTA($C$9:$C$508)+2,IF($DF208=Constants!$B$6,COUNTA($C$9:$C$508)+1,IF($DF208=Constants!$B$5,COUNTA($C$9:$C$508),$DF208))))</f>
        <v/>
      </c>
      <c r="DH208" s="7"/>
      <c r="DI208" s="82" t="n">
        <f aca="false">IF(OR(ISNUMBER($DF208),$DF208=Constants!$B$7,$DF208=Constants!$B$5,$DF208=Constants!$B$6),1,0)</f>
        <v>0</v>
      </c>
      <c r="DJ208" s="82" t="n">
        <v>200</v>
      </c>
      <c r="DK208" s="82" t="str">
        <f aca="false">IF(ISBLANK($C208),"",IF(ISNUMBER($DG208),$DG208+ROW($B208)/1000,""))</f>
        <v/>
      </c>
      <c r="DL208" s="82" t="str">
        <f aca="false">IF(ISNUMBER($DK208),RANK($DK208,$DK$9:$DK$508,1),"")</f>
        <v/>
      </c>
      <c r="DM208" s="82" t="str">
        <f aca="false">IF(ISBLANK($C208),"",$B208)</f>
        <v/>
      </c>
      <c r="DN208" s="82" t="str">
        <f aca="false">IF(ISBLANK($C208),"",$C208)</f>
        <v/>
      </c>
      <c r="DO208" s="82" t="str">
        <f aca="false">IF(ISBLANK($C208),"",$D208)</f>
        <v/>
      </c>
      <c r="DP208" s="83" t="str">
        <f aca="false">$DD208</f>
        <v/>
      </c>
      <c r="DQ208" s="84" t="str">
        <f aca="false">$DC208</f>
        <v/>
      </c>
      <c r="DR208" s="82" t="str">
        <f aca="false">IF(ISBLANK($C208),"",$DF208)</f>
        <v/>
      </c>
      <c r="DS208" s="85" t="str">
        <f aca="false">IF($DJ208&gt;$DI$8,"",VLOOKUP($DJ208,$DL$9:$DR$508,7,FALSE()))</f>
        <v/>
      </c>
      <c r="DT208" s="86" t="str">
        <f aca="false">IF($DJ208&gt;$DI$8,"",VLOOKUP($DJ208,$DL$9:$DR$508,2,FALSE()))</f>
        <v/>
      </c>
      <c r="DU208" s="86" t="str">
        <f aca="false">IF($DJ208&gt;$DI$8,"",VLOOKUP($DJ208,$DL$9:$DR$508,3,FALSE()))</f>
        <v/>
      </c>
      <c r="DV208" s="86" t="str">
        <f aca="false">IF($DJ208&gt;$DI$8,"",VLOOKUP($DJ208,$DL$9:$DR$508,4,FALSE()))</f>
        <v/>
      </c>
      <c r="DW208" s="86" t="str">
        <f aca="false">IF($DJ208&gt;$DI$8,"",VLOOKUP($DJ208,$DL$9:$DR$508,5,FALSE()))</f>
        <v/>
      </c>
      <c r="DX208" s="87" t="str">
        <f aca="false">IF($DJ208&gt;$DI$8,"",VLOOKUP($DJ208,$DL$9:$DR$508,6,FALSE()))</f>
        <v/>
      </c>
      <c r="DY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88"/>
      <c r="N209" s="88"/>
      <c r="O209" s="134"/>
      <c r="P209" s="134"/>
      <c r="Q209" s="88"/>
      <c r="R209" s="88"/>
      <c r="S209" s="88"/>
      <c r="T209" s="88"/>
      <c r="U209" s="134"/>
      <c r="V209" s="88"/>
      <c r="W209" s="70"/>
      <c r="X209" s="88"/>
      <c r="Y209" s="88"/>
      <c r="Z209" s="70"/>
      <c r="AA209" s="70"/>
      <c r="AB209" s="88"/>
      <c r="AC209" s="88"/>
      <c r="AD209" s="88"/>
      <c r="AE209" s="71"/>
      <c r="AF209" s="88"/>
      <c r="AG209" s="73"/>
      <c r="AH209" s="74"/>
      <c r="AI209" s="74"/>
      <c r="AJ209" s="74" t="str">
        <f aca="false">IF(ISBLANK($C209),"",IF($E209=Constants!$B$2,TRUE(),IF($E209=Constants!$B$3,FALSE(),TRUE())))</f>
        <v/>
      </c>
      <c r="AK209" s="74" t="str">
        <f aca="false">IF(ISBLANK($C209),"",IF($F209=Constants!$B$2,TRUE(),IF($F209=Constants!$B$3,FALSE(),FALSE())))</f>
        <v/>
      </c>
      <c r="AL209" s="74" t="str">
        <f aca="false">IF(ISBLANK($C209),"",IF($G209=Constants!$B$2,TRUE(),IF($G209=Constants!$B$3,FALSE(),TRUE())))</f>
        <v/>
      </c>
      <c r="AM209" s="74" t="str">
        <f aca="false">IF(ISBLANK($C209),"",IF($H209=Constants!$B$2,TRUE(),IF($H209=Constants!$B$3,FALSE(),TRUE())))</f>
        <v/>
      </c>
      <c r="AN209" s="74" t="str">
        <f aca="false">IF(ISBLANK($C209),"",IF(ISNUMBER($I209),IF($I209&gt;=0,$I209,""),""))</f>
        <v/>
      </c>
      <c r="AO209" s="74" t="str">
        <f aca="false">IF(ISBLANK($C209),"",IF(ISNUMBER($J209),IF($J209&gt;=0,$J209,""),""))</f>
        <v/>
      </c>
      <c r="AP209" s="74" t="str">
        <f aca="false">IF(ISBLANK($C209),"",IF(ISNUMBER($K209),IF($K209&gt;=0,$K209,""),""))</f>
        <v/>
      </c>
      <c r="AQ209" s="74" t="str">
        <f aca="false">IF(ISBLANK($C209),"",IF($L209=Constants!$B$2,TRUE(),IF($L209=Constants!$B$3,FALSE(),TRUE())))</f>
        <v/>
      </c>
      <c r="AR209" s="74" t="str">
        <f aca="false">IF(ISBLANK($C209),"",IF($M209=Constants!$B$2,TRUE(),IF($M209=Constants!$B$3,FALSE(),TRUE())))</f>
        <v/>
      </c>
      <c r="AS209" s="74" t="str">
        <f aca="false">IF(ISBLANK($C209),"",IF($N209=Constants!$B$2,TRUE(),IF($N209=Constants!$B$3,FALSE(),FALSE())))</f>
        <v/>
      </c>
      <c r="AT209" s="74" t="str">
        <f aca="false">IF(ISBLANK($C209),"",IF($O209=Constants!$B$2,TRUE(),IF($O209=Constants!$B$3,FALSE(),TRUE())))</f>
        <v/>
      </c>
      <c r="AU209" s="74" t="str">
        <f aca="false">IF(ISBLANK($C209),"",IF($P209=Constants!$B$2,TRUE(),IF($P209=Constants!$B$3,FALSE(),TRUE())))</f>
        <v/>
      </c>
      <c r="AV209" s="74" t="str">
        <f aca="false">IF(ISBLANK($C209),"",IF($Q209=Constants!$B$2,TRUE(),IF($Q209=Constants!$B$3,FALSE(),FALSE())))</f>
        <v/>
      </c>
      <c r="AW209" s="74" t="str">
        <f aca="false">IF(ISBLANK($C209),"",IF($R209=Constants!$B$2,TRUE(),IF($R209=Constants!$B$3,FALSE(),FALSE())))</f>
        <v/>
      </c>
      <c r="AX209" s="74" t="str">
        <f aca="false">IF(ISBLANK($C209),"",IF($S209=Constants!$B$2,TRUE(),IF($S209=Constants!$B$3,FALSE(),FALSE())))</f>
        <v/>
      </c>
      <c r="AY209" s="74" t="str">
        <f aca="false">IF(ISBLANK($C209),"",IF($T209=Constants!$B$2,TRUE(),IF($T209=Constants!$B$3,FALSE(),FALSE())))</f>
        <v/>
      </c>
      <c r="AZ209" s="74" t="str">
        <f aca="false">IF(ISBLANK($C209),"",IF($U209=Constants!$B$2,TRUE(),IF($U209=Constants!$B$3,FALSE(),FALSE())))</f>
        <v/>
      </c>
      <c r="BA209" s="74" t="str">
        <f aca="false">IF(ISBLANK($C209),"",IF(OR($V209&amp;""="1",$V209&amp;""="2",$V209&amp;""="3",$V209&amp;""="4"),VALUE($V209&amp;""),IF($V209=Constants!$B$12,Constants!$B$12,"")))</f>
        <v/>
      </c>
      <c r="BB209" s="74" t="str">
        <f aca="false">IF(ISBLANK($C209),"",IF(ISBLANK($W209),0,IF(ISNUMBER($W209),IF(AND($W209&gt;=0,$W209&lt;=Constants!$B$21,$W209=INT($W209)),$W209,""),"")))</f>
        <v/>
      </c>
      <c r="BC209" s="74" t="str">
        <f aca="false">IF(ISBLANK($C209),"",IF(ISBLANK($X209),0,IF(ISNUMBER($X209),IF($X209&gt;=0,$X209,""),"")))</f>
        <v/>
      </c>
      <c r="BD209" s="74" t="str">
        <f aca="false">IF(ISBLANK($C209),"",IF($Y209=Constants!$B$2,TRUE(),IF($Y209=Constants!$B$3,FALSE(),TRUE())))</f>
        <v/>
      </c>
      <c r="BE209" s="74" t="str">
        <f aca="false">IF(ISBLANK($C209),"",IF($Z209=Constants!$B$2,TRUE(),IF($Z209=Constants!$B$3,FALSE(),FALSE())))</f>
        <v/>
      </c>
      <c r="BF209" s="74" t="str">
        <f aca="false">IF(ISBLANK($C209),"",IF(ISBLANK($AA209),0,IF(ISNUMBER($AA209),IF(AND($AA209&gt;=0,$AA209&lt;=Constants!$B$35,$AA209=INT($AA209)),$AA209,""),"")))</f>
        <v/>
      </c>
      <c r="BG209" s="74" t="str">
        <f aca="false">IF(ISBLANK($C209),"",IF($AB209=Constants!$B$2,TRUE(),IF($AB209=Constants!$B$3,FALSE(),TRUE())))</f>
        <v/>
      </c>
      <c r="BH209" s="74" t="str">
        <f aca="false">IF(ISBLANK($C209),"",IF($AC209=Constants!$B$2,TRUE(),IF($AC209=Constants!$B$3,FALSE(),TRUE())))</f>
        <v/>
      </c>
      <c r="BI209" s="74" t="str">
        <f aca="false">IF(ISBLANK($C209),"",IF($AD209=Constants!$B$2,TRUE(),IF($AD209=Constants!$B$3,FALSE(),TRUE())))</f>
        <v/>
      </c>
      <c r="BJ209" s="74" t="str">
        <f aca="false">IF(ISBLANK($C209),"",IF(ISNUMBER($AE209),IF($AE209&gt;=0,$AE209,""),""))</f>
        <v/>
      </c>
      <c r="BK209" s="74" t="str">
        <f aca="false">IF(ISBLANK($C209),"",IF($AF209=Constants!$B$2,TRUE(),IF($AF209=Constants!$B$3,FALSE(),FALSE())))</f>
        <v/>
      </c>
      <c r="BL209" s="73" t="str">
        <f aca="false">IF(ISBLANK($C209),"",IF($BK209,Constants!$B$7,IF(COUNTA($E209:$AE209)=0,Constants!$B$6,IF(OR(COUNTA($G209:$AE209)=0,NOT($AM209),$AS209),Constants!$B$5,IF(OR($CM209&lt;&gt;"",$CN209,$CO209,$CP209,$CQ209,$CR209,$CS209),Constants!$B$8,Constants!$B$4)))))</f>
        <v/>
      </c>
      <c r="BM209" s="74" t="str">
        <f aca="false">IF(ISBLANK($C209),"",IF($BL209&lt;&gt;Constants!$B$4,$BL209,IF(OR(NOT($AJ209),NOT($AL209),NOT($AT209)),Constants!$B$11,IF(OR(NOT($AR209),NOT($AU209),NOT($BI209),MAX($AN209,$AO209,$AP209)&gt;Constants!$B$30),Constants!$B$10,Constants!$B$9))))</f>
        <v/>
      </c>
      <c r="BN209" s="74" t="str">
        <f aca="false">IF($BL209&lt;&gt;Constants!$B$4,"",IF(NOT($AL209),0,MIN(Constants!$B$35,$BF209)))</f>
        <v/>
      </c>
      <c r="BO209" s="74" t="str">
        <f aca="false">IF($BL209&lt;&gt;Constants!$B$4,"",IF(NOT($AL209),0,IF($AW209,Constants!$B$18,IF($AV209,Constants!$B$17,0))))</f>
        <v/>
      </c>
      <c r="BP209" s="74" t="str">
        <f aca="false">IF($BL209&lt;&gt;Constants!$B$4,"",IF(NOT($AL209),0,Constants!$B$19*($AK209+$AX209+$AY209+$AZ209)))</f>
        <v/>
      </c>
      <c r="BQ209" s="74" t="str">
        <f aca="false">IF($BL209&lt;&gt;Constants!$B$4,"",IF(OR(NOT($AL209),NOT(ISNUMBER($BA209))),0,CHOOSE($BA209,Constants!$B$13,Constants!$B$14,Constants!$B$15,Constants!$B$16)))</f>
        <v/>
      </c>
      <c r="BR209" s="74" t="str">
        <f aca="false">IF($BL209&lt;&gt;Constants!$B$4,"",IF(NOT($AL209),0,Constants!$B$20*$BB209))</f>
        <v/>
      </c>
      <c r="BS209" s="74" t="str">
        <f aca="false">IF($BL209&lt;&gt;Constants!$B$4,"",IF(AND($AL209,$BD209,$BE209),Constants!$B$22,0))</f>
        <v/>
      </c>
      <c r="BT209" s="74" t="str">
        <f aca="false">IF($BL209&lt;&gt;Constants!$B$4,"",IF(OR(NOT($AL209),NOT($BD209)),0,IF($BJ209&gt;=2*$AH$9,0,Constants!$B$23*INT(ROUND(MIN($BJ209,$AH$9),6)))))</f>
        <v/>
      </c>
      <c r="BU209" s="74" t="str">
        <f aca="false">IF($BL209&lt;&gt;Constants!$B$4,"",IF(NOT($AL209),0,Constants!$B$24*INT(ROUND(MIN($BC209,$AH$9),6))))</f>
        <v/>
      </c>
      <c r="BV209" s="74" t="str">
        <f aca="false">IF($BL209&lt;&gt;Constants!$B$4,"",IF(AND($AL209,$BN209=0),Constants!$B$25,0))</f>
        <v/>
      </c>
      <c r="BW209" s="74" t="str">
        <f aca="false">IF($BL209&lt;&gt;Constants!$B$4,"",MIN(Constants!$B$29,MAX(0,Constants!$B$27*Constants!$B$28*INT(ROUND((Constants!$B$26-$AN209)/Constants!$B$28,6))))+MIN(Constants!$B$29,MAX(0,Constants!$B$27*Constants!$B$28*INT(ROUND((Constants!$B$26-$AO209)/Constants!$B$28,6))))+MIN(Constants!$B$29,MAX(0,Constants!$B$27*Constants!$B$28*INT(ROUND((Constants!$B$26-$AP209)/Constants!$B$28,6)))))</f>
        <v/>
      </c>
      <c r="BX209" s="74" t="str">
        <f aca="false">IF($BL209&lt;&gt;Constants!$B$4,"",IF(NOT($AL209),0,Constants!$B$31*INT(ROUND(MAX(0,MIN($BJ209,2*$AH$9)-$AH$9),6))))</f>
        <v/>
      </c>
      <c r="BY209" s="74" t="str">
        <f aca="false">IF($BL209&lt;&gt;Constants!$B$4,"",Constants!$B$32*(($AN209&gt;Constants!$B$26)+($AO209&gt;Constants!$B$26)+($AP209&gt;Constants!$B$26)))</f>
        <v/>
      </c>
      <c r="BZ209" s="74" t="str">
        <f aca="false">IF($BL209&lt;&gt;Constants!$B$4,"",IF(OR(NOT($AL209),$AQ209),0,Constants!$B$33))</f>
        <v/>
      </c>
      <c r="CA209" s="74" t="str">
        <f aca="false">IF($BL209&lt;&gt;Constants!$B$4,"",Constants!$B$34*$BN209)</f>
        <v/>
      </c>
      <c r="CB209" s="74" t="str">
        <f aca="false">IF($BL209&lt;&gt;Constants!$B$4,"",IF(OR(NOT($AL209),$BH209),0,Constants!$B$36))</f>
        <v/>
      </c>
      <c r="CC209" s="74" t="str">
        <f aca="false">IF($BL209&lt;&gt;Constants!$B$4,"",IF(OR(NOT($AL209),$BG209),0,Constants!$B$37))</f>
        <v/>
      </c>
      <c r="CD209" s="74" t="str">
        <f aca="false">IF($BL209&lt;&gt;Constants!$B$4,"",SUM($BX209:$CC209))</f>
        <v/>
      </c>
      <c r="CE209" s="74" t="str">
        <f aca="false">IF(ISBLANK($C209),"",IF($BL209&lt;&gt;Constants!$B$4,$BL209,SUM($BO209:$BW209)-$CD209))</f>
        <v/>
      </c>
      <c r="CF209" s="74" t="str">
        <f aca="false">IF(ISBLANK($C209),"",IF($BL209&lt;&gt;Constants!$B$4,$BL209,RANK($CE209,$CE$9:$CE$508)))</f>
        <v/>
      </c>
      <c r="CG209" s="74" t="str">
        <f aca="false">IF(ISBLANK($C209),"",IF($BL209&lt;&gt;Constants!$B$4,$BL209,COUNTIFS($BM$9:$BM$508,"&lt;"&amp;$BM209)+COUNTIFS($BM$9:$BM$508,$BM209,$CF$9:$CF$508,"&lt;"&amp;$CF209)+1))</f>
        <v/>
      </c>
      <c r="CH209" s="74" t="str">
        <f aca="false">IF(ISBLANK($C209),"",IF($BL209&lt;&gt;Constants!$B$4,$BL209,RANK($CD209,$CD$9:$CD$508,1)))</f>
        <v/>
      </c>
      <c r="CI209" s="74" t="str">
        <f aca="false">IF($BL209&lt;&gt;Constants!$B$4,"",$AN209+$AO209+$AP209)</f>
        <v/>
      </c>
      <c r="CJ209" s="74" t="str">
        <f aca="false">IF(ISBLANK($C209),"",IF($BL209&lt;&gt;Constants!$B$4,$BL209,RANK($CI209,$CI$9:$CI$508,1)))</f>
        <v/>
      </c>
      <c r="CK209" s="74" t="str">
        <f aca="false">IF(ISBLANK($C209),"",IF($BL209&lt;&gt;Constants!$B$4,$BL209,COUNTIFS($BM$9:$BM$508,"&lt;"&amp;$BM209)+COUNTIFS($BM$9:$BM$508,$BM209,$CF$9:$CF$508,"&lt;"&amp;$CF209)+COUNTIFS($BM$9:$BM$508,$BM209,$CF$9:$CF$508,$CF209,$CH$9:$CH$508,"&lt;"&amp;$CH209)+COUNTIFS($BM$9:$BM$508,$BM209,$CF$9:$CF$508,$CF209,$CH$9:$CH$508,$CH209,$CJ$9:$CJ$508,"&lt;"&amp;$CJ209)+1))</f>
        <v/>
      </c>
      <c r="CL209" s="74" t="str">
        <f aca="false">IF(ISBLANK($C209),"",IF($BL209&lt;&gt;Constants!$B$4,$BL209,$CG209-$CK209))</f>
        <v/>
      </c>
      <c r="CM209" s="74" t="str">
        <f aca="false">IF(ISBLANK($C209),"",IF(NOT($AL209),"",IF(ISBLANK($D$7),$CM$5,IF(NOT(ISNUMBER($D$7)),$CM$6,""))))</f>
        <v/>
      </c>
      <c r="CN209" s="74" t="str">
        <f aca="false">IF(ISBLANK($C209),"",OR($AN209="",$AO209="",$AP209=""))</f>
        <v/>
      </c>
      <c r="CO209" s="74" t="str">
        <f aca="false">IF(ISBLANK($C209),"",AND($AL209,$BA209=""))</f>
        <v/>
      </c>
      <c r="CP209" s="74" t="str">
        <f aca="false">IF(ISBLANK($C209),"",AND($AL209,$BB209=""))</f>
        <v/>
      </c>
      <c r="CQ209" s="74" t="str">
        <f aca="false">IF(ISBLANK($C209),"",AND($AL209,$BC209=""))</f>
        <v/>
      </c>
      <c r="CR209" s="74" t="str">
        <f aca="false">IF(ISBLANK($C209),"",AND($AL209,$BF209=""))</f>
        <v/>
      </c>
      <c r="CS209" s="74" t="str">
        <f aca="false">IF(ISBLANK($C209),"",AND($AL209,$BJ209=""))</f>
        <v/>
      </c>
      <c r="CT209" s="75"/>
      <c r="CU209" s="76"/>
      <c r="CV209" s="79" t="str">
        <f aca="false">IF(ISBLANK($C209),"",IF($BL209=Constants!$B$8,$CM209,""))</f>
        <v/>
      </c>
      <c r="CW209" s="76" t="str">
        <f aca="false">IF(ISBLANK($C209),"",IF($BL209&lt;&gt;Constants!$B$4,"",$BO209+$BP209))</f>
        <v/>
      </c>
      <c r="CX209" s="78" t="str">
        <f aca="false">IF(ISBLANK($C209),"",IF($BL209&lt;&gt;Constants!$B$4,"",$BQ209+$BR209+$BS209))</f>
        <v/>
      </c>
      <c r="CY209" s="78" t="str">
        <f aca="false">IF(ISBLANK($C209),"",IF($BL209&lt;&gt;Constants!$B$4,"",$BT209))</f>
        <v/>
      </c>
      <c r="CZ209" s="78" t="str">
        <f aca="false">IF(ISBLANK($C209),"",IF($BL209&lt;&gt;Constants!$B$4,"",$BU209+$BV209))</f>
        <v/>
      </c>
      <c r="DA209" s="78" t="str">
        <f aca="false">IF(ISBLANK($C209),"",IF($BL209&lt;&gt;Constants!$B$4,"",$BW209))</f>
        <v/>
      </c>
      <c r="DB209" s="78" t="str">
        <f aca="false">IF(ISBLANK($C209),"",IF($BL209&lt;&gt;Constants!$B$4,"",-$CD209))</f>
        <v/>
      </c>
      <c r="DC209" s="79" t="str">
        <f aca="false">IF(ISBLANK($C209),"",$CE209)</f>
        <v/>
      </c>
      <c r="DD209" s="80" t="str">
        <f aca="false">IF(ISBLANK($C209),"",$BM209)</f>
        <v/>
      </c>
      <c r="DE209" s="78" t="str">
        <f aca="false">IF(ISBLANK($C209),"",$CL209)</f>
        <v/>
      </c>
      <c r="DF209" s="78" t="str">
        <f aca="false">IF(ISBLANK($C209),"",$CK209)</f>
        <v/>
      </c>
      <c r="DG209" s="81" t="str">
        <f aca="false">IF(ISBLANK($C209),"",IF($DF209=Constants!$B$7,COUNTA($C$9:$C$508)+2,IF($DF209=Constants!$B$6,COUNTA($C$9:$C$508)+1,IF($DF209=Constants!$B$5,COUNTA($C$9:$C$508),$DF209))))</f>
        <v/>
      </c>
      <c r="DH209" s="7"/>
      <c r="DI209" s="82" t="n">
        <f aca="false">IF(OR(ISNUMBER($DF209),$DF209=Constants!$B$7,$DF209=Constants!$B$5,$DF209=Constants!$B$6),1,0)</f>
        <v>0</v>
      </c>
      <c r="DJ209" s="82" t="n">
        <v>201</v>
      </c>
      <c r="DK209" s="82" t="str">
        <f aca="false">IF(ISBLANK($C209),"",IF(ISNUMBER($DG209),$DG209+ROW($B209)/1000,""))</f>
        <v/>
      </c>
      <c r="DL209" s="82" t="str">
        <f aca="false">IF(ISNUMBER($DK209),RANK($DK209,$DK$9:$DK$508,1),"")</f>
        <v/>
      </c>
      <c r="DM209" s="82" t="str">
        <f aca="false">IF(ISBLANK($C209),"",$B209)</f>
        <v/>
      </c>
      <c r="DN209" s="82" t="str">
        <f aca="false">IF(ISBLANK($C209),"",$C209)</f>
        <v/>
      </c>
      <c r="DO209" s="82" t="str">
        <f aca="false">IF(ISBLANK($C209),"",$D209)</f>
        <v/>
      </c>
      <c r="DP209" s="83" t="str">
        <f aca="false">$DD209</f>
        <v/>
      </c>
      <c r="DQ209" s="84" t="str">
        <f aca="false">$DC209</f>
        <v/>
      </c>
      <c r="DR209" s="82" t="str">
        <f aca="false">IF(ISBLANK($C209),"",$DF209)</f>
        <v/>
      </c>
      <c r="DS209" s="85" t="str">
        <f aca="false">IF($DJ209&gt;$DI$8,"",VLOOKUP($DJ209,$DL$9:$DR$508,7,FALSE()))</f>
        <v/>
      </c>
      <c r="DT209" s="86" t="str">
        <f aca="false">IF($DJ209&gt;$DI$8,"",VLOOKUP($DJ209,$DL$9:$DR$508,2,FALSE()))</f>
        <v/>
      </c>
      <c r="DU209" s="86" t="str">
        <f aca="false">IF($DJ209&gt;$DI$8,"",VLOOKUP($DJ209,$DL$9:$DR$508,3,FALSE()))</f>
        <v/>
      </c>
      <c r="DV209" s="86" t="str">
        <f aca="false">IF($DJ209&gt;$DI$8,"",VLOOKUP($DJ209,$DL$9:$DR$508,4,FALSE()))</f>
        <v/>
      </c>
      <c r="DW209" s="86" t="str">
        <f aca="false">IF($DJ209&gt;$DI$8,"",VLOOKUP($DJ209,$DL$9:$DR$508,5,FALSE()))</f>
        <v/>
      </c>
      <c r="DX209" s="87" t="str">
        <f aca="false">IF($DJ209&gt;$DI$8,"",VLOOKUP($DJ209,$DL$9:$DR$508,6,FALSE()))</f>
        <v/>
      </c>
      <c r="DY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130"/>
      <c r="N210" s="130"/>
      <c r="O210" s="135"/>
      <c r="P210" s="135"/>
      <c r="Q210" s="130"/>
      <c r="R210" s="130"/>
      <c r="S210" s="130"/>
      <c r="T210" s="130"/>
      <c r="U210" s="135"/>
      <c r="V210" s="130"/>
      <c r="W210" s="96"/>
      <c r="X210" s="130"/>
      <c r="Y210" s="130"/>
      <c r="Z210" s="96"/>
      <c r="AA210" s="96"/>
      <c r="AB210" s="130"/>
      <c r="AC210" s="130"/>
      <c r="AD210" s="130"/>
      <c r="AE210" s="97"/>
      <c r="AF210" s="130"/>
      <c r="AG210" s="99"/>
      <c r="AH210" s="100"/>
      <c r="AI210" s="100"/>
      <c r="AJ210" s="100" t="str">
        <f aca="false">IF(ISBLANK($C210),"",IF($E210=Constants!$B$2,TRUE(),IF($E210=Constants!$B$3,FALSE(),TRUE())))</f>
        <v/>
      </c>
      <c r="AK210" s="100" t="str">
        <f aca="false">IF(ISBLANK($C210),"",IF($F210=Constants!$B$2,TRUE(),IF($F210=Constants!$B$3,FALSE(),FALSE())))</f>
        <v/>
      </c>
      <c r="AL210" s="100" t="str">
        <f aca="false">IF(ISBLANK($C210),"",IF($G210=Constants!$B$2,TRUE(),IF($G210=Constants!$B$3,FALSE(),TRUE())))</f>
        <v/>
      </c>
      <c r="AM210" s="100" t="str">
        <f aca="false">IF(ISBLANK($C210),"",IF($H210=Constants!$B$2,TRUE(),IF($H210=Constants!$B$3,FALSE(),TRUE())))</f>
        <v/>
      </c>
      <c r="AN210" s="100" t="str">
        <f aca="false">IF(ISBLANK($C210),"",IF(ISNUMBER($I210),IF($I210&gt;=0,$I210,""),""))</f>
        <v/>
      </c>
      <c r="AO210" s="100" t="str">
        <f aca="false">IF(ISBLANK($C210),"",IF(ISNUMBER($J210),IF($J210&gt;=0,$J210,""),""))</f>
        <v/>
      </c>
      <c r="AP210" s="100" t="str">
        <f aca="false">IF(ISBLANK($C210),"",IF(ISNUMBER($K210),IF($K210&gt;=0,$K210,""),""))</f>
        <v/>
      </c>
      <c r="AQ210" s="100" t="str">
        <f aca="false">IF(ISBLANK($C210),"",IF($L210=Constants!$B$2,TRUE(),IF($L210=Constants!$B$3,FALSE(),TRUE())))</f>
        <v/>
      </c>
      <c r="AR210" s="100" t="str">
        <f aca="false">IF(ISBLANK($C210),"",IF($M210=Constants!$B$2,TRUE(),IF($M210=Constants!$B$3,FALSE(),TRUE())))</f>
        <v/>
      </c>
      <c r="AS210" s="100" t="str">
        <f aca="false">IF(ISBLANK($C210),"",IF($N210=Constants!$B$2,TRUE(),IF($N210=Constants!$B$3,FALSE(),FALSE())))</f>
        <v/>
      </c>
      <c r="AT210" s="100" t="str">
        <f aca="false">IF(ISBLANK($C210),"",IF($O210=Constants!$B$2,TRUE(),IF($O210=Constants!$B$3,FALSE(),TRUE())))</f>
        <v/>
      </c>
      <c r="AU210" s="100" t="str">
        <f aca="false">IF(ISBLANK($C210),"",IF($P210=Constants!$B$2,TRUE(),IF($P210=Constants!$B$3,FALSE(),TRUE())))</f>
        <v/>
      </c>
      <c r="AV210" s="100" t="str">
        <f aca="false">IF(ISBLANK($C210),"",IF($Q210=Constants!$B$2,TRUE(),IF($Q210=Constants!$B$3,FALSE(),FALSE())))</f>
        <v/>
      </c>
      <c r="AW210" s="100" t="str">
        <f aca="false">IF(ISBLANK($C210),"",IF($R210=Constants!$B$2,TRUE(),IF($R210=Constants!$B$3,FALSE(),FALSE())))</f>
        <v/>
      </c>
      <c r="AX210" s="100" t="str">
        <f aca="false">IF(ISBLANK($C210),"",IF($S210=Constants!$B$2,TRUE(),IF($S210=Constants!$B$3,FALSE(),FALSE())))</f>
        <v/>
      </c>
      <c r="AY210" s="100" t="str">
        <f aca="false">IF(ISBLANK($C210),"",IF($T210=Constants!$B$2,TRUE(),IF($T210=Constants!$B$3,FALSE(),FALSE())))</f>
        <v/>
      </c>
      <c r="AZ210" s="100" t="str">
        <f aca="false">IF(ISBLANK($C210),"",IF($U210=Constants!$B$2,TRUE(),IF($U210=Constants!$B$3,FALSE(),FALSE())))</f>
        <v/>
      </c>
      <c r="BA210" s="100" t="str">
        <f aca="false">IF(ISBLANK($C210),"",IF(OR($V210&amp;""="1",$V210&amp;""="2",$V210&amp;""="3",$V210&amp;""="4"),VALUE($V210&amp;""),IF($V210=Constants!$B$12,Constants!$B$12,"")))</f>
        <v/>
      </c>
      <c r="BB210" s="100" t="str">
        <f aca="false">IF(ISBLANK($C210),"",IF(ISBLANK($W210),0,IF(ISNUMBER($W210),IF(AND($W210&gt;=0,$W210&lt;=Constants!$B$21,$W210=INT($W210)),$W210,""),"")))</f>
        <v/>
      </c>
      <c r="BC210" s="100" t="str">
        <f aca="false">IF(ISBLANK($C210),"",IF(ISBLANK($X210),0,IF(ISNUMBER($X210),IF($X210&gt;=0,$X210,""),"")))</f>
        <v/>
      </c>
      <c r="BD210" s="100" t="str">
        <f aca="false">IF(ISBLANK($C210),"",IF($Y210=Constants!$B$2,TRUE(),IF($Y210=Constants!$B$3,FALSE(),TRUE())))</f>
        <v/>
      </c>
      <c r="BE210" s="100" t="str">
        <f aca="false">IF(ISBLANK($C210),"",IF($Z210=Constants!$B$2,TRUE(),IF($Z210=Constants!$B$3,FALSE(),FALSE())))</f>
        <v/>
      </c>
      <c r="BF210" s="100" t="str">
        <f aca="false">IF(ISBLANK($C210),"",IF(ISBLANK($AA210),0,IF(ISNUMBER($AA210),IF(AND($AA210&gt;=0,$AA210&lt;=Constants!$B$35,$AA210=INT($AA210)),$AA210,""),"")))</f>
        <v/>
      </c>
      <c r="BG210" s="100" t="str">
        <f aca="false">IF(ISBLANK($C210),"",IF($AB210=Constants!$B$2,TRUE(),IF($AB210=Constants!$B$3,FALSE(),TRUE())))</f>
        <v/>
      </c>
      <c r="BH210" s="100" t="str">
        <f aca="false">IF(ISBLANK($C210),"",IF($AC210=Constants!$B$2,TRUE(),IF($AC210=Constants!$B$3,FALSE(),TRUE())))</f>
        <v/>
      </c>
      <c r="BI210" s="100" t="str">
        <f aca="false">IF(ISBLANK($C210),"",IF($AD210=Constants!$B$2,TRUE(),IF($AD210=Constants!$B$3,FALSE(),TRUE())))</f>
        <v/>
      </c>
      <c r="BJ210" s="100" t="str">
        <f aca="false">IF(ISBLANK($C210),"",IF(ISNUMBER($AE210),IF($AE210&gt;=0,$AE210,""),""))</f>
        <v/>
      </c>
      <c r="BK210" s="100" t="str">
        <f aca="false">IF(ISBLANK($C210),"",IF($AF210=Constants!$B$2,TRUE(),IF($AF210=Constants!$B$3,FALSE(),FALSE())))</f>
        <v/>
      </c>
      <c r="BL210" s="99" t="str">
        <f aca="false">IF(ISBLANK($C210),"",IF($BK210,Constants!$B$7,IF(COUNTA($E210:$AE210)=0,Constants!$B$6,IF(OR(COUNTA($G210:$AE210)=0,NOT($AM210),$AS210),Constants!$B$5,IF(OR($CM210&lt;&gt;"",$CN210,$CO210,$CP210,$CQ210,$CR210,$CS210),Constants!$B$8,Constants!$B$4)))))</f>
        <v/>
      </c>
      <c r="BM210" s="100" t="str">
        <f aca="false">IF(ISBLANK($C210),"",IF($BL210&lt;&gt;Constants!$B$4,$BL210,IF(OR(NOT($AJ210),NOT($AL210),NOT($AT210)),Constants!$B$11,IF(OR(NOT($AR210),NOT($AU210),NOT($BI210),MAX($AN210,$AO210,$AP210)&gt;Constants!$B$30),Constants!$B$10,Constants!$B$9))))</f>
        <v/>
      </c>
      <c r="BN210" s="100" t="str">
        <f aca="false">IF($BL210&lt;&gt;Constants!$B$4,"",IF(NOT($AL210),0,MIN(Constants!$B$35,$BF210)))</f>
        <v/>
      </c>
      <c r="BO210" s="100" t="str">
        <f aca="false">IF($BL210&lt;&gt;Constants!$B$4,"",IF(NOT($AL210),0,IF($AW210,Constants!$B$18,IF($AV210,Constants!$B$17,0))))</f>
        <v/>
      </c>
      <c r="BP210" s="100" t="str">
        <f aca="false">IF($BL210&lt;&gt;Constants!$B$4,"",IF(NOT($AL210),0,Constants!$B$19*($AK210+$AX210+$AY210+$AZ210)))</f>
        <v/>
      </c>
      <c r="BQ210" s="100" t="str">
        <f aca="false">IF($BL210&lt;&gt;Constants!$B$4,"",IF(OR(NOT($AL210),NOT(ISNUMBER($BA210))),0,CHOOSE($BA210,Constants!$B$13,Constants!$B$14,Constants!$B$15,Constants!$B$16)))</f>
        <v/>
      </c>
      <c r="BR210" s="100" t="str">
        <f aca="false">IF($BL210&lt;&gt;Constants!$B$4,"",IF(NOT($AL210),0,Constants!$B$20*$BB210))</f>
        <v/>
      </c>
      <c r="BS210" s="100" t="str">
        <f aca="false">IF($BL210&lt;&gt;Constants!$B$4,"",IF(AND($AL210,$BD210,$BE210),Constants!$B$22,0))</f>
        <v/>
      </c>
      <c r="BT210" s="100" t="str">
        <f aca="false">IF($BL210&lt;&gt;Constants!$B$4,"",IF(OR(NOT($AL210),NOT($BD210)),0,IF($BJ210&gt;=2*$AH$9,0,Constants!$B$23*INT(ROUND(MIN($BJ210,$AH$9),6)))))</f>
        <v/>
      </c>
      <c r="BU210" s="100" t="str">
        <f aca="false">IF($BL210&lt;&gt;Constants!$B$4,"",IF(NOT($AL210),0,Constants!$B$24*INT(ROUND(MIN($BC210,$AH$9),6))))</f>
        <v/>
      </c>
      <c r="BV210" s="100" t="str">
        <f aca="false">IF($BL210&lt;&gt;Constants!$B$4,"",IF(AND($AL210,$BN210=0),Constants!$B$25,0))</f>
        <v/>
      </c>
      <c r="BW210" s="100" t="str">
        <f aca="false">IF($BL210&lt;&gt;Constants!$B$4,"",MIN(Constants!$B$29,MAX(0,Constants!$B$27*Constants!$B$28*INT(ROUND((Constants!$B$26-$AN210)/Constants!$B$28,6))))+MIN(Constants!$B$29,MAX(0,Constants!$B$27*Constants!$B$28*INT(ROUND((Constants!$B$26-$AO210)/Constants!$B$28,6))))+MIN(Constants!$B$29,MAX(0,Constants!$B$27*Constants!$B$28*INT(ROUND((Constants!$B$26-$AP210)/Constants!$B$28,6)))))</f>
        <v/>
      </c>
      <c r="BX210" s="100" t="str">
        <f aca="false">IF($BL210&lt;&gt;Constants!$B$4,"",IF(NOT($AL210),0,Constants!$B$31*INT(ROUND(MAX(0,MIN($BJ210,2*$AH$9)-$AH$9),6))))</f>
        <v/>
      </c>
      <c r="BY210" s="100" t="str">
        <f aca="false">IF($BL210&lt;&gt;Constants!$B$4,"",Constants!$B$32*(($AN210&gt;Constants!$B$26)+($AO210&gt;Constants!$B$26)+($AP210&gt;Constants!$B$26)))</f>
        <v/>
      </c>
      <c r="BZ210" s="100" t="str">
        <f aca="false">IF($BL210&lt;&gt;Constants!$B$4,"",IF(OR(NOT($AL210),$AQ210),0,Constants!$B$33))</f>
        <v/>
      </c>
      <c r="CA210" s="100" t="str">
        <f aca="false">IF($BL210&lt;&gt;Constants!$B$4,"",Constants!$B$34*$BN210)</f>
        <v/>
      </c>
      <c r="CB210" s="100" t="str">
        <f aca="false">IF($BL210&lt;&gt;Constants!$B$4,"",IF(OR(NOT($AL210),$BH210),0,Constants!$B$36))</f>
        <v/>
      </c>
      <c r="CC210" s="100" t="str">
        <f aca="false">IF($BL210&lt;&gt;Constants!$B$4,"",IF(OR(NOT($AL210),$BG210),0,Constants!$B$37))</f>
        <v/>
      </c>
      <c r="CD210" s="100" t="str">
        <f aca="false">IF($BL210&lt;&gt;Constants!$B$4,"",SUM($BX210:$CC210))</f>
        <v/>
      </c>
      <c r="CE210" s="100" t="str">
        <f aca="false">IF(ISBLANK($C210),"",IF($BL210&lt;&gt;Constants!$B$4,$BL210,SUM($BO210:$BW210)-$CD210))</f>
        <v/>
      </c>
      <c r="CF210" s="100" t="str">
        <f aca="false">IF(ISBLANK($C210),"",IF($BL210&lt;&gt;Constants!$B$4,$BL210,RANK($CE210,$CE$9:$CE$508)))</f>
        <v/>
      </c>
      <c r="CG210" s="100" t="str">
        <f aca="false">IF(ISBLANK($C210),"",IF($BL210&lt;&gt;Constants!$B$4,$BL210,COUNTIFS($BM$9:$BM$508,"&lt;"&amp;$BM210)+COUNTIFS($BM$9:$BM$508,$BM210,$CF$9:$CF$508,"&lt;"&amp;$CF210)+1))</f>
        <v/>
      </c>
      <c r="CH210" s="100" t="str">
        <f aca="false">IF(ISBLANK($C210),"",IF($BL210&lt;&gt;Constants!$B$4,$BL210,RANK($CD210,$CD$9:$CD$508,1)))</f>
        <v/>
      </c>
      <c r="CI210" s="100" t="str">
        <f aca="false">IF($BL210&lt;&gt;Constants!$B$4,"",$AN210+$AO210+$AP210)</f>
        <v/>
      </c>
      <c r="CJ210" s="100" t="str">
        <f aca="false">IF(ISBLANK($C210),"",IF($BL210&lt;&gt;Constants!$B$4,$BL210,RANK($CI210,$CI$9:$CI$508,1)))</f>
        <v/>
      </c>
      <c r="CK210" s="100" t="str">
        <f aca="false">IF(ISBLANK($C210),"",IF($BL210&lt;&gt;Constants!$B$4,$BL210,COUNTIFS($BM$9:$BM$508,"&lt;"&amp;$BM210)+COUNTIFS($BM$9:$BM$508,$BM210,$CF$9:$CF$508,"&lt;"&amp;$CF210)+COUNTIFS($BM$9:$BM$508,$BM210,$CF$9:$CF$508,$CF210,$CH$9:$CH$508,"&lt;"&amp;$CH210)+COUNTIFS($BM$9:$BM$508,$BM210,$CF$9:$CF$508,$CF210,$CH$9:$CH$508,$CH210,$CJ$9:$CJ$508,"&lt;"&amp;$CJ210)+1))</f>
        <v/>
      </c>
      <c r="CL210" s="100" t="str">
        <f aca="false">IF(ISBLANK($C210),"",IF($BL210&lt;&gt;Constants!$B$4,$BL210,$CG210-$CK210))</f>
        <v/>
      </c>
      <c r="CM210" s="100" t="str">
        <f aca="false">IF(ISBLANK($C210),"",IF(NOT($AL210),"",IF(ISBLANK($D$7),$CM$5,IF(NOT(ISNUMBER($D$7)),$CM$6,""))))</f>
        <v/>
      </c>
      <c r="CN210" s="100" t="str">
        <f aca="false">IF(ISBLANK($C210),"",OR($AN210="",$AO210="",$AP210=""))</f>
        <v/>
      </c>
      <c r="CO210" s="100" t="str">
        <f aca="false">IF(ISBLANK($C210),"",AND($AL210,$BA210=""))</f>
        <v/>
      </c>
      <c r="CP210" s="100" t="str">
        <f aca="false">IF(ISBLANK($C210),"",AND($AL210,$BB210=""))</f>
        <v/>
      </c>
      <c r="CQ210" s="100" t="str">
        <f aca="false">IF(ISBLANK($C210),"",AND($AL210,$BC210=""))</f>
        <v/>
      </c>
      <c r="CR210" s="100" t="str">
        <f aca="false">IF(ISBLANK($C210),"",AND($AL210,$BF210=""))</f>
        <v/>
      </c>
      <c r="CS210" s="100" t="str">
        <f aca="false">IF(ISBLANK($C210),"",AND($AL210,$BJ210=""))</f>
        <v/>
      </c>
      <c r="CT210" s="101"/>
      <c r="CU210" s="102"/>
      <c r="CV210" s="103" t="str">
        <f aca="false">IF(ISBLANK($C210),"",IF($BL210=Constants!$B$8,$CM210,""))</f>
        <v/>
      </c>
      <c r="CW210" s="102" t="str">
        <f aca="false">IF(ISBLANK($C210),"",IF($BL210&lt;&gt;Constants!$B$4,"",$BO210+$BP210))</f>
        <v/>
      </c>
      <c r="CX210" s="104" t="str">
        <f aca="false">IF(ISBLANK($C210),"",IF($BL210&lt;&gt;Constants!$B$4,"",$BQ210+$BR210+$BS210))</f>
        <v/>
      </c>
      <c r="CY210" s="104" t="str">
        <f aca="false">IF(ISBLANK($C210),"",IF($BL210&lt;&gt;Constants!$B$4,"",$BT210))</f>
        <v/>
      </c>
      <c r="CZ210" s="104" t="str">
        <f aca="false">IF(ISBLANK($C210),"",IF($BL210&lt;&gt;Constants!$B$4,"",$BU210+$BV210))</f>
        <v/>
      </c>
      <c r="DA210" s="104" t="str">
        <f aca="false">IF(ISBLANK($C210),"",IF($BL210&lt;&gt;Constants!$B$4,"",$BW210))</f>
        <v/>
      </c>
      <c r="DB210" s="104" t="str">
        <f aca="false">IF(ISBLANK($C210),"",IF($BL210&lt;&gt;Constants!$B$4,"",-$CD210))</f>
        <v/>
      </c>
      <c r="DC210" s="103" t="str">
        <f aca="false">IF(ISBLANK($C210),"",$CE210)</f>
        <v/>
      </c>
      <c r="DD210" s="105" t="str">
        <f aca="false">IF(ISBLANK($C210),"",$BM210)</f>
        <v/>
      </c>
      <c r="DE210" s="104" t="str">
        <f aca="false">IF(ISBLANK($C210),"",$CL210)</f>
        <v/>
      </c>
      <c r="DF210" s="104" t="str">
        <f aca="false">IF(ISBLANK($C210),"",$CK210)</f>
        <v/>
      </c>
      <c r="DG210" s="106" t="str">
        <f aca="false">IF(ISBLANK($C210),"",IF($DF210=Constants!$B$7,COUNTA($C$9:$C$508)+2,IF($DF210=Constants!$B$6,COUNTA($C$9:$C$508)+1,IF($DF210=Constants!$B$5,COUNTA($C$9:$C$508),$DF210))))</f>
        <v/>
      </c>
      <c r="DH210" s="7"/>
      <c r="DI210" s="107" t="n">
        <f aca="false">IF(OR(ISNUMBER($DF210),$DF210=Constants!$B$7,$DF210=Constants!$B$5,$DF210=Constants!$B$6),1,0)</f>
        <v>0</v>
      </c>
      <c r="DJ210" s="107" t="n">
        <v>202</v>
      </c>
      <c r="DK210" s="107" t="str">
        <f aca="false">IF(ISBLANK($C210),"",IF(ISNUMBER($DG210),$DG210+ROW($B210)/1000,""))</f>
        <v/>
      </c>
      <c r="DL210" s="107" t="str">
        <f aca="false">IF(ISNUMBER($DK210),RANK($DK210,$DK$9:$DK$508,1),"")</f>
        <v/>
      </c>
      <c r="DM210" s="107" t="str">
        <f aca="false">IF(ISBLANK($C210),"",$B210)</f>
        <v/>
      </c>
      <c r="DN210" s="107" t="str">
        <f aca="false">IF(ISBLANK($C210),"",$C210)</f>
        <v/>
      </c>
      <c r="DO210" s="107" t="str">
        <f aca="false">IF(ISBLANK($C210),"",$D210)</f>
        <v/>
      </c>
      <c r="DP210" s="108" t="str">
        <f aca="false">$DD210</f>
        <v/>
      </c>
      <c r="DQ210" s="109" t="str">
        <f aca="false">$DC210</f>
        <v/>
      </c>
      <c r="DR210" s="107" t="str">
        <f aca="false">IF(ISBLANK($C210),"",$DF210)</f>
        <v/>
      </c>
      <c r="DS210" s="110" t="str">
        <f aca="false">IF($DJ210&gt;$DI$8,"",VLOOKUP($DJ210,$DL$9:$DR$508,7,FALSE()))</f>
        <v/>
      </c>
      <c r="DT210" s="111" t="str">
        <f aca="false">IF($DJ210&gt;$DI$8,"",VLOOKUP($DJ210,$DL$9:$DR$508,2,FALSE()))</f>
        <v/>
      </c>
      <c r="DU210" s="111" t="str">
        <f aca="false">IF($DJ210&gt;$DI$8,"",VLOOKUP($DJ210,$DL$9:$DR$508,3,FALSE()))</f>
        <v/>
      </c>
      <c r="DV210" s="111" t="str">
        <f aca="false">IF($DJ210&gt;$DI$8,"",VLOOKUP($DJ210,$DL$9:$DR$508,4,FALSE()))</f>
        <v/>
      </c>
      <c r="DW210" s="111" t="str">
        <f aca="false">IF($DJ210&gt;$DI$8,"",VLOOKUP($DJ210,$DL$9:$DR$508,5,FALSE()))</f>
        <v/>
      </c>
      <c r="DX210" s="112" t="str">
        <f aca="false">IF($DJ210&gt;$DI$8,"",VLOOKUP($DJ210,$DL$9:$DR$508,6,FALSE()))</f>
        <v/>
      </c>
      <c r="DY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130"/>
      <c r="N211" s="130"/>
      <c r="O211" s="135"/>
      <c r="P211" s="135"/>
      <c r="Q211" s="130"/>
      <c r="R211" s="130"/>
      <c r="S211" s="130"/>
      <c r="T211" s="130"/>
      <c r="U211" s="135"/>
      <c r="V211" s="130"/>
      <c r="W211" s="96"/>
      <c r="X211" s="130"/>
      <c r="Y211" s="130"/>
      <c r="Z211" s="96"/>
      <c r="AA211" s="96"/>
      <c r="AB211" s="130"/>
      <c r="AC211" s="130"/>
      <c r="AD211" s="130"/>
      <c r="AE211" s="97"/>
      <c r="AF211" s="130"/>
      <c r="AG211" s="99"/>
      <c r="AH211" s="100"/>
      <c r="AI211" s="100"/>
      <c r="AJ211" s="100" t="str">
        <f aca="false">IF(ISBLANK($C211),"",IF($E211=Constants!$B$2,TRUE(),IF($E211=Constants!$B$3,FALSE(),TRUE())))</f>
        <v/>
      </c>
      <c r="AK211" s="100" t="str">
        <f aca="false">IF(ISBLANK($C211),"",IF($F211=Constants!$B$2,TRUE(),IF($F211=Constants!$B$3,FALSE(),FALSE())))</f>
        <v/>
      </c>
      <c r="AL211" s="100" t="str">
        <f aca="false">IF(ISBLANK($C211),"",IF($G211=Constants!$B$2,TRUE(),IF($G211=Constants!$B$3,FALSE(),TRUE())))</f>
        <v/>
      </c>
      <c r="AM211" s="100" t="str">
        <f aca="false">IF(ISBLANK($C211),"",IF($H211=Constants!$B$2,TRUE(),IF($H211=Constants!$B$3,FALSE(),TRUE())))</f>
        <v/>
      </c>
      <c r="AN211" s="100" t="str">
        <f aca="false">IF(ISBLANK($C211),"",IF(ISNUMBER($I211),IF($I211&gt;=0,$I211,""),""))</f>
        <v/>
      </c>
      <c r="AO211" s="100" t="str">
        <f aca="false">IF(ISBLANK($C211),"",IF(ISNUMBER($J211),IF($J211&gt;=0,$J211,""),""))</f>
        <v/>
      </c>
      <c r="AP211" s="100" t="str">
        <f aca="false">IF(ISBLANK($C211),"",IF(ISNUMBER($K211),IF($K211&gt;=0,$K211,""),""))</f>
        <v/>
      </c>
      <c r="AQ211" s="100" t="str">
        <f aca="false">IF(ISBLANK($C211),"",IF($L211=Constants!$B$2,TRUE(),IF($L211=Constants!$B$3,FALSE(),TRUE())))</f>
        <v/>
      </c>
      <c r="AR211" s="100" t="str">
        <f aca="false">IF(ISBLANK($C211),"",IF($M211=Constants!$B$2,TRUE(),IF($M211=Constants!$B$3,FALSE(),TRUE())))</f>
        <v/>
      </c>
      <c r="AS211" s="100" t="str">
        <f aca="false">IF(ISBLANK($C211),"",IF($N211=Constants!$B$2,TRUE(),IF($N211=Constants!$B$3,FALSE(),FALSE())))</f>
        <v/>
      </c>
      <c r="AT211" s="100" t="str">
        <f aca="false">IF(ISBLANK($C211),"",IF($O211=Constants!$B$2,TRUE(),IF($O211=Constants!$B$3,FALSE(),TRUE())))</f>
        <v/>
      </c>
      <c r="AU211" s="100" t="str">
        <f aca="false">IF(ISBLANK($C211),"",IF($P211=Constants!$B$2,TRUE(),IF($P211=Constants!$B$3,FALSE(),TRUE())))</f>
        <v/>
      </c>
      <c r="AV211" s="100" t="str">
        <f aca="false">IF(ISBLANK($C211),"",IF($Q211=Constants!$B$2,TRUE(),IF($Q211=Constants!$B$3,FALSE(),FALSE())))</f>
        <v/>
      </c>
      <c r="AW211" s="100" t="str">
        <f aca="false">IF(ISBLANK($C211),"",IF($R211=Constants!$B$2,TRUE(),IF($R211=Constants!$B$3,FALSE(),FALSE())))</f>
        <v/>
      </c>
      <c r="AX211" s="100" t="str">
        <f aca="false">IF(ISBLANK($C211),"",IF($S211=Constants!$B$2,TRUE(),IF($S211=Constants!$B$3,FALSE(),FALSE())))</f>
        <v/>
      </c>
      <c r="AY211" s="100" t="str">
        <f aca="false">IF(ISBLANK($C211),"",IF($T211=Constants!$B$2,TRUE(),IF($T211=Constants!$B$3,FALSE(),FALSE())))</f>
        <v/>
      </c>
      <c r="AZ211" s="100" t="str">
        <f aca="false">IF(ISBLANK($C211),"",IF($U211=Constants!$B$2,TRUE(),IF($U211=Constants!$B$3,FALSE(),FALSE())))</f>
        <v/>
      </c>
      <c r="BA211" s="100" t="str">
        <f aca="false">IF(ISBLANK($C211),"",IF(OR($V211&amp;""="1",$V211&amp;""="2",$V211&amp;""="3",$V211&amp;""="4"),VALUE($V211&amp;""),IF($V211=Constants!$B$12,Constants!$B$12,"")))</f>
        <v/>
      </c>
      <c r="BB211" s="100" t="str">
        <f aca="false">IF(ISBLANK($C211),"",IF(ISBLANK($W211),0,IF(ISNUMBER($W211),IF(AND($W211&gt;=0,$W211&lt;=Constants!$B$21,$W211=INT($W211)),$W211,""),"")))</f>
        <v/>
      </c>
      <c r="BC211" s="100" t="str">
        <f aca="false">IF(ISBLANK($C211),"",IF(ISBLANK($X211),0,IF(ISNUMBER($X211),IF($X211&gt;=0,$X211,""),"")))</f>
        <v/>
      </c>
      <c r="BD211" s="100" t="str">
        <f aca="false">IF(ISBLANK($C211),"",IF($Y211=Constants!$B$2,TRUE(),IF($Y211=Constants!$B$3,FALSE(),TRUE())))</f>
        <v/>
      </c>
      <c r="BE211" s="100" t="str">
        <f aca="false">IF(ISBLANK($C211),"",IF($Z211=Constants!$B$2,TRUE(),IF($Z211=Constants!$B$3,FALSE(),FALSE())))</f>
        <v/>
      </c>
      <c r="BF211" s="100" t="str">
        <f aca="false">IF(ISBLANK($C211),"",IF(ISBLANK($AA211),0,IF(ISNUMBER($AA211),IF(AND($AA211&gt;=0,$AA211&lt;=Constants!$B$35,$AA211=INT($AA211)),$AA211,""),"")))</f>
        <v/>
      </c>
      <c r="BG211" s="100" t="str">
        <f aca="false">IF(ISBLANK($C211),"",IF($AB211=Constants!$B$2,TRUE(),IF($AB211=Constants!$B$3,FALSE(),TRUE())))</f>
        <v/>
      </c>
      <c r="BH211" s="100" t="str">
        <f aca="false">IF(ISBLANK($C211),"",IF($AC211=Constants!$B$2,TRUE(),IF($AC211=Constants!$B$3,FALSE(),TRUE())))</f>
        <v/>
      </c>
      <c r="BI211" s="100" t="str">
        <f aca="false">IF(ISBLANK($C211),"",IF($AD211=Constants!$B$2,TRUE(),IF($AD211=Constants!$B$3,FALSE(),TRUE())))</f>
        <v/>
      </c>
      <c r="BJ211" s="100" t="str">
        <f aca="false">IF(ISBLANK($C211),"",IF(ISNUMBER($AE211),IF($AE211&gt;=0,$AE211,""),""))</f>
        <v/>
      </c>
      <c r="BK211" s="100" t="str">
        <f aca="false">IF(ISBLANK($C211),"",IF($AF211=Constants!$B$2,TRUE(),IF($AF211=Constants!$B$3,FALSE(),FALSE())))</f>
        <v/>
      </c>
      <c r="BL211" s="99" t="str">
        <f aca="false">IF(ISBLANK($C211),"",IF($BK211,Constants!$B$7,IF(COUNTA($E211:$AE211)=0,Constants!$B$6,IF(OR(COUNTA($G211:$AE211)=0,NOT($AM211),$AS211),Constants!$B$5,IF(OR($CM211&lt;&gt;"",$CN211,$CO211,$CP211,$CQ211,$CR211,$CS211),Constants!$B$8,Constants!$B$4)))))</f>
        <v/>
      </c>
      <c r="BM211" s="100" t="str">
        <f aca="false">IF(ISBLANK($C211),"",IF($BL211&lt;&gt;Constants!$B$4,$BL211,IF(OR(NOT($AJ211),NOT($AL211),NOT($AT211)),Constants!$B$11,IF(OR(NOT($AR211),NOT($AU211),NOT($BI211),MAX($AN211,$AO211,$AP211)&gt;Constants!$B$30),Constants!$B$10,Constants!$B$9))))</f>
        <v/>
      </c>
      <c r="BN211" s="100" t="str">
        <f aca="false">IF($BL211&lt;&gt;Constants!$B$4,"",IF(NOT($AL211),0,MIN(Constants!$B$35,$BF211)))</f>
        <v/>
      </c>
      <c r="BO211" s="100" t="str">
        <f aca="false">IF($BL211&lt;&gt;Constants!$B$4,"",IF(NOT($AL211),0,IF($AW211,Constants!$B$18,IF($AV211,Constants!$B$17,0))))</f>
        <v/>
      </c>
      <c r="BP211" s="100" t="str">
        <f aca="false">IF($BL211&lt;&gt;Constants!$B$4,"",IF(NOT($AL211),0,Constants!$B$19*($AK211+$AX211+$AY211+$AZ211)))</f>
        <v/>
      </c>
      <c r="BQ211" s="100" t="str">
        <f aca="false">IF($BL211&lt;&gt;Constants!$B$4,"",IF(OR(NOT($AL211),NOT(ISNUMBER($BA211))),0,CHOOSE($BA211,Constants!$B$13,Constants!$B$14,Constants!$B$15,Constants!$B$16)))</f>
        <v/>
      </c>
      <c r="BR211" s="100" t="str">
        <f aca="false">IF($BL211&lt;&gt;Constants!$B$4,"",IF(NOT($AL211),0,Constants!$B$20*$BB211))</f>
        <v/>
      </c>
      <c r="BS211" s="100" t="str">
        <f aca="false">IF($BL211&lt;&gt;Constants!$B$4,"",IF(AND($AL211,$BD211,$BE211),Constants!$B$22,0))</f>
        <v/>
      </c>
      <c r="BT211" s="100" t="str">
        <f aca="false">IF($BL211&lt;&gt;Constants!$B$4,"",IF(OR(NOT($AL211),NOT($BD211)),0,IF($BJ211&gt;=2*$AH$9,0,Constants!$B$23*INT(ROUND(MIN($BJ211,$AH$9),6)))))</f>
        <v/>
      </c>
      <c r="BU211" s="100" t="str">
        <f aca="false">IF($BL211&lt;&gt;Constants!$B$4,"",IF(NOT($AL211),0,Constants!$B$24*INT(ROUND(MIN($BC211,$AH$9),6))))</f>
        <v/>
      </c>
      <c r="BV211" s="100" t="str">
        <f aca="false">IF($BL211&lt;&gt;Constants!$B$4,"",IF(AND($AL211,$BN211=0),Constants!$B$25,0))</f>
        <v/>
      </c>
      <c r="BW211" s="100" t="str">
        <f aca="false">IF($BL211&lt;&gt;Constants!$B$4,"",MIN(Constants!$B$29,MAX(0,Constants!$B$27*Constants!$B$28*INT(ROUND((Constants!$B$26-$AN211)/Constants!$B$28,6))))+MIN(Constants!$B$29,MAX(0,Constants!$B$27*Constants!$B$28*INT(ROUND((Constants!$B$26-$AO211)/Constants!$B$28,6))))+MIN(Constants!$B$29,MAX(0,Constants!$B$27*Constants!$B$28*INT(ROUND((Constants!$B$26-$AP211)/Constants!$B$28,6)))))</f>
        <v/>
      </c>
      <c r="BX211" s="100" t="str">
        <f aca="false">IF($BL211&lt;&gt;Constants!$B$4,"",IF(NOT($AL211),0,Constants!$B$31*INT(ROUND(MAX(0,MIN($BJ211,2*$AH$9)-$AH$9),6))))</f>
        <v/>
      </c>
      <c r="BY211" s="100" t="str">
        <f aca="false">IF($BL211&lt;&gt;Constants!$B$4,"",Constants!$B$32*(($AN211&gt;Constants!$B$26)+($AO211&gt;Constants!$B$26)+($AP211&gt;Constants!$B$26)))</f>
        <v/>
      </c>
      <c r="BZ211" s="100" t="str">
        <f aca="false">IF($BL211&lt;&gt;Constants!$B$4,"",IF(OR(NOT($AL211),$AQ211),0,Constants!$B$33))</f>
        <v/>
      </c>
      <c r="CA211" s="100" t="str">
        <f aca="false">IF($BL211&lt;&gt;Constants!$B$4,"",Constants!$B$34*$BN211)</f>
        <v/>
      </c>
      <c r="CB211" s="100" t="str">
        <f aca="false">IF($BL211&lt;&gt;Constants!$B$4,"",IF(OR(NOT($AL211),$BH211),0,Constants!$B$36))</f>
        <v/>
      </c>
      <c r="CC211" s="100" t="str">
        <f aca="false">IF($BL211&lt;&gt;Constants!$B$4,"",IF(OR(NOT($AL211),$BG211),0,Constants!$B$37))</f>
        <v/>
      </c>
      <c r="CD211" s="100" t="str">
        <f aca="false">IF($BL211&lt;&gt;Constants!$B$4,"",SUM($BX211:$CC211))</f>
        <v/>
      </c>
      <c r="CE211" s="100" t="str">
        <f aca="false">IF(ISBLANK($C211),"",IF($BL211&lt;&gt;Constants!$B$4,$BL211,SUM($BO211:$BW211)-$CD211))</f>
        <v/>
      </c>
      <c r="CF211" s="100" t="str">
        <f aca="false">IF(ISBLANK($C211),"",IF($BL211&lt;&gt;Constants!$B$4,$BL211,RANK($CE211,$CE$9:$CE$508)))</f>
        <v/>
      </c>
      <c r="CG211" s="100" t="str">
        <f aca="false">IF(ISBLANK($C211),"",IF($BL211&lt;&gt;Constants!$B$4,$BL211,COUNTIFS($BM$9:$BM$508,"&lt;"&amp;$BM211)+COUNTIFS($BM$9:$BM$508,$BM211,$CF$9:$CF$508,"&lt;"&amp;$CF211)+1))</f>
        <v/>
      </c>
      <c r="CH211" s="100" t="str">
        <f aca="false">IF(ISBLANK($C211),"",IF($BL211&lt;&gt;Constants!$B$4,$BL211,RANK($CD211,$CD$9:$CD$508,1)))</f>
        <v/>
      </c>
      <c r="CI211" s="100" t="str">
        <f aca="false">IF($BL211&lt;&gt;Constants!$B$4,"",$AN211+$AO211+$AP211)</f>
        <v/>
      </c>
      <c r="CJ211" s="100" t="str">
        <f aca="false">IF(ISBLANK($C211),"",IF($BL211&lt;&gt;Constants!$B$4,$BL211,RANK($CI211,$CI$9:$CI$508,1)))</f>
        <v/>
      </c>
      <c r="CK211" s="100" t="str">
        <f aca="false">IF(ISBLANK($C211),"",IF($BL211&lt;&gt;Constants!$B$4,$BL211,COUNTIFS($BM$9:$BM$508,"&lt;"&amp;$BM211)+COUNTIFS($BM$9:$BM$508,$BM211,$CF$9:$CF$508,"&lt;"&amp;$CF211)+COUNTIFS($BM$9:$BM$508,$BM211,$CF$9:$CF$508,$CF211,$CH$9:$CH$508,"&lt;"&amp;$CH211)+COUNTIFS($BM$9:$BM$508,$BM211,$CF$9:$CF$508,$CF211,$CH$9:$CH$508,$CH211,$CJ$9:$CJ$508,"&lt;"&amp;$CJ211)+1))</f>
        <v/>
      </c>
      <c r="CL211" s="100" t="str">
        <f aca="false">IF(ISBLANK($C211),"",IF($BL211&lt;&gt;Constants!$B$4,$BL211,$CG211-$CK211))</f>
        <v/>
      </c>
      <c r="CM211" s="100" t="str">
        <f aca="false">IF(ISBLANK($C211),"",IF(NOT($AL211),"",IF(ISBLANK($D$7),$CM$5,IF(NOT(ISNUMBER($D$7)),$CM$6,""))))</f>
        <v/>
      </c>
      <c r="CN211" s="100" t="str">
        <f aca="false">IF(ISBLANK($C211),"",OR($AN211="",$AO211="",$AP211=""))</f>
        <v/>
      </c>
      <c r="CO211" s="100" t="str">
        <f aca="false">IF(ISBLANK($C211),"",AND($AL211,$BA211=""))</f>
        <v/>
      </c>
      <c r="CP211" s="100" t="str">
        <f aca="false">IF(ISBLANK($C211),"",AND($AL211,$BB211=""))</f>
        <v/>
      </c>
      <c r="CQ211" s="100" t="str">
        <f aca="false">IF(ISBLANK($C211),"",AND($AL211,$BC211=""))</f>
        <v/>
      </c>
      <c r="CR211" s="100" t="str">
        <f aca="false">IF(ISBLANK($C211),"",AND($AL211,$BF211=""))</f>
        <v/>
      </c>
      <c r="CS211" s="100" t="str">
        <f aca="false">IF(ISBLANK($C211),"",AND($AL211,$BJ211=""))</f>
        <v/>
      </c>
      <c r="CT211" s="101"/>
      <c r="CU211" s="102"/>
      <c r="CV211" s="103" t="str">
        <f aca="false">IF(ISBLANK($C211),"",IF($BL211=Constants!$B$8,$CM211,""))</f>
        <v/>
      </c>
      <c r="CW211" s="102" t="str">
        <f aca="false">IF(ISBLANK($C211),"",IF($BL211&lt;&gt;Constants!$B$4,"",$BO211+$BP211))</f>
        <v/>
      </c>
      <c r="CX211" s="104" t="str">
        <f aca="false">IF(ISBLANK($C211),"",IF($BL211&lt;&gt;Constants!$B$4,"",$BQ211+$BR211+$BS211))</f>
        <v/>
      </c>
      <c r="CY211" s="104" t="str">
        <f aca="false">IF(ISBLANK($C211),"",IF($BL211&lt;&gt;Constants!$B$4,"",$BT211))</f>
        <v/>
      </c>
      <c r="CZ211" s="104" t="str">
        <f aca="false">IF(ISBLANK($C211),"",IF($BL211&lt;&gt;Constants!$B$4,"",$BU211+$BV211))</f>
        <v/>
      </c>
      <c r="DA211" s="104" t="str">
        <f aca="false">IF(ISBLANK($C211),"",IF($BL211&lt;&gt;Constants!$B$4,"",$BW211))</f>
        <v/>
      </c>
      <c r="DB211" s="104" t="str">
        <f aca="false">IF(ISBLANK($C211),"",IF($BL211&lt;&gt;Constants!$B$4,"",-$CD211))</f>
        <v/>
      </c>
      <c r="DC211" s="103" t="str">
        <f aca="false">IF(ISBLANK($C211),"",$CE211)</f>
        <v/>
      </c>
      <c r="DD211" s="105" t="str">
        <f aca="false">IF(ISBLANK($C211),"",$BM211)</f>
        <v/>
      </c>
      <c r="DE211" s="104" t="str">
        <f aca="false">IF(ISBLANK($C211),"",$CL211)</f>
        <v/>
      </c>
      <c r="DF211" s="104" t="str">
        <f aca="false">IF(ISBLANK($C211),"",$CK211)</f>
        <v/>
      </c>
      <c r="DG211" s="106" t="str">
        <f aca="false">IF(ISBLANK($C211),"",IF($DF211=Constants!$B$7,COUNTA($C$9:$C$508)+2,IF($DF211=Constants!$B$6,COUNTA($C$9:$C$508)+1,IF($DF211=Constants!$B$5,COUNTA($C$9:$C$508),$DF211))))</f>
        <v/>
      </c>
      <c r="DH211" s="7"/>
      <c r="DI211" s="107" t="n">
        <f aca="false">IF(OR(ISNUMBER($DF211),$DF211=Constants!$B$7,$DF211=Constants!$B$5,$DF211=Constants!$B$6),1,0)</f>
        <v>0</v>
      </c>
      <c r="DJ211" s="107" t="n">
        <v>203</v>
      </c>
      <c r="DK211" s="107" t="str">
        <f aca="false">IF(ISBLANK($C211),"",IF(ISNUMBER($DG211),$DG211+ROW($B211)/1000,""))</f>
        <v/>
      </c>
      <c r="DL211" s="107" t="str">
        <f aca="false">IF(ISNUMBER($DK211),RANK($DK211,$DK$9:$DK$508,1),"")</f>
        <v/>
      </c>
      <c r="DM211" s="107" t="str">
        <f aca="false">IF(ISBLANK($C211),"",$B211)</f>
        <v/>
      </c>
      <c r="DN211" s="107" t="str">
        <f aca="false">IF(ISBLANK($C211),"",$C211)</f>
        <v/>
      </c>
      <c r="DO211" s="107" t="str">
        <f aca="false">IF(ISBLANK($C211),"",$D211)</f>
        <v/>
      </c>
      <c r="DP211" s="108" t="str">
        <f aca="false">$DD211</f>
        <v/>
      </c>
      <c r="DQ211" s="109" t="str">
        <f aca="false">$DC211</f>
        <v/>
      </c>
      <c r="DR211" s="107" t="str">
        <f aca="false">IF(ISBLANK($C211),"",$DF211)</f>
        <v/>
      </c>
      <c r="DS211" s="110" t="str">
        <f aca="false">IF($DJ211&gt;$DI$8,"",VLOOKUP($DJ211,$DL$9:$DR$508,7,FALSE()))</f>
        <v/>
      </c>
      <c r="DT211" s="111" t="str">
        <f aca="false">IF($DJ211&gt;$DI$8,"",VLOOKUP($DJ211,$DL$9:$DR$508,2,FALSE()))</f>
        <v/>
      </c>
      <c r="DU211" s="111" t="str">
        <f aca="false">IF($DJ211&gt;$DI$8,"",VLOOKUP($DJ211,$DL$9:$DR$508,3,FALSE()))</f>
        <v/>
      </c>
      <c r="DV211" s="111" t="str">
        <f aca="false">IF($DJ211&gt;$DI$8,"",VLOOKUP($DJ211,$DL$9:$DR$508,4,FALSE()))</f>
        <v/>
      </c>
      <c r="DW211" s="111" t="str">
        <f aca="false">IF($DJ211&gt;$DI$8,"",VLOOKUP($DJ211,$DL$9:$DR$508,5,FALSE()))</f>
        <v/>
      </c>
      <c r="DX211" s="112" t="str">
        <f aca="false">IF($DJ211&gt;$DI$8,"",VLOOKUP($DJ211,$DL$9:$DR$508,6,FALSE()))</f>
        <v/>
      </c>
      <c r="DY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130"/>
      <c r="N212" s="130"/>
      <c r="O212" s="135"/>
      <c r="P212" s="135"/>
      <c r="Q212" s="130"/>
      <c r="R212" s="130"/>
      <c r="S212" s="130"/>
      <c r="T212" s="130"/>
      <c r="U212" s="135"/>
      <c r="V212" s="130"/>
      <c r="W212" s="96"/>
      <c r="X212" s="130"/>
      <c r="Y212" s="130"/>
      <c r="Z212" s="96"/>
      <c r="AA212" s="96"/>
      <c r="AB212" s="130"/>
      <c r="AC212" s="130"/>
      <c r="AD212" s="130"/>
      <c r="AE212" s="97"/>
      <c r="AF212" s="130"/>
      <c r="AG212" s="99"/>
      <c r="AH212" s="100"/>
      <c r="AI212" s="100"/>
      <c r="AJ212" s="100" t="str">
        <f aca="false">IF(ISBLANK($C212),"",IF($E212=Constants!$B$2,TRUE(),IF($E212=Constants!$B$3,FALSE(),TRUE())))</f>
        <v/>
      </c>
      <c r="AK212" s="100" t="str">
        <f aca="false">IF(ISBLANK($C212),"",IF($F212=Constants!$B$2,TRUE(),IF($F212=Constants!$B$3,FALSE(),FALSE())))</f>
        <v/>
      </c>
      <c r="AL212" s="100" t="str">
        <f aca="false">IF(ISBLANK($C212),"",IF($G212=Constants!$B$2,TRUE(),IF($G212=Constants!$B$3,FALSE(),TRUE())))</f>
        <v/>
      </c>
      <c r="AM212" s="100" t="str">
        <f aca="false">IF(ISBLANK($C212),"",IF($H212=Constants!$B$2,TRUE(),IF($H212=Constants!$B$3,FALSE(),TRUE())))</f>
        <v/>
      </c>
      <c r="AN212" s="100" t="str">
        <f aca="false">IF(ISBLANK($C212),"",IF(ISNUMBER($I212),IF($I212&gt;=0,$I212,""),""))</f>
        <v/>
      </c>
      <c r="AO212" s="100" t="str">
        <f aca="false">IF(ISBLANK($C212),"",IF(ISNUMBER($J212),IF($J212&gt;=0,$J212,""),""))</f>
        <v/>
      </c>
      <c r="AP212" s="100" t="str">
        <f aca="false">IF(ISBLANK($C212),"",IF(ISNUMBER($K212),IF($K212&gt;=0,$K212,""),""))</f>
        <v/>
      </c>
      <c r="AQ212" s="100" t="str">
        <f aca="false">IF(ISBLANK($C212),"",IF($L212=Constants!$B$2,TRUE(),IF($L212=Constants!$B$3,FALSE(),TRUE())))</f>
        <v/>
      </c>
      <c r="AR212" s="100" t="str">
        <f aca="false">IF(ISBLANK($C212),"",IF($M212=Constants!$B$2,TRUE(),IF($M212=Constants!$B$3,FALSE(),TRUE())))</f>
        <v/>
      </c>
      <c r="AS212" s="100" t="str">
        <f aca="false">IF(ISBLANK($C212),"",IF($N212=Constants!$B$2,TRUE(),IF($N212=Constants!$B$3,FALSE(),FALSE())))</f>
        <v/>
      </c>
      <c r="AT212" s="100" t="str">
        <f aca="false">IF(ISBLANK($C212),"",IF($O212=Constants!$B$2,TRUE(),IF($O212=Constants!$B$3,FALSE(),TRUE())))</f>
        <v/>
      </c>
      <c r="AU212" s="100" t="str">
        <f aca="false">IF(ISBLANK($C212),"",IF($P212=Constants!$B$2,TRUE(),IF($P212=Constants!$B$3,FALSE(),TRUE())))</f>
        <v/>
      </c>
      <c r="AV212" s="100" t="str">
        <f aca="false">IF(ISBLANK($C212),"",IF($Q212=Constants!$B$2,TRUE(),IF($Q212=Constants!$B$3,FALSE(),FALSE())))</f>
        <v/>
      </c>
      <c r="AW212" s="100" t="str">
        <f aca="false">IF(ISBLANK($C212),"",IF($R212=Constants!$B$2,TRUE(),IF($R212=Constants!$B$3,FALSE(),FALSE())))</f>
        <v/>
      </c>
      <c r="AX212" s="100" t="str">
        <f aca="false">IF(ISBLANK($C212),"",IF($S212=Constants!$B$2,TRUE(),IF($S212=Constants!$B$3,FALSE(),FALSE())))</f>
        <v/>
      </c>
      <c r="AY212" s="100" t="str">
        <f aca="false">IF(ISBLANK($C212),"",IF($T212=Constants!$B$2,TRUE(),IF($T212=Constants!$B$3,FALSE(),FALSE())))</f>
        <v/>
      </c>
      <c r="AZ212" s="100" t="str">
        <f aca="false">IF(ISBLANK($C212),"",IF($U212=Constants!$B$2,TRUE(),IF($U212=Constants!$B$3,FALSE(),FALSE())))</f>
        <v/>
      </c>
      <c r="BA212" s="100" t="str">
        <f aca="false">IF(ISBLANK($C212),"",IF(OR($V212&amp;""="1",$V212&amp;""="2",$V212&amp;""="3",$V212&amp;""="4"),VALUE($V212&amp;""),IF($V212=Constants!$B$12,Constants!$B$12,"")))</f>
        <v/>
      </c>
      <c r="BB212" s="100" t="str">
        <f aca="false">IF(ISBLANK($C212),"",IF(ISBLANK($W212),0,IF(ISNUMBER($W212),IF(AND($W212&gt;=0,$W212&lt;=Constants!$B$21,$W212=INT($W212)),$W212,""),"")))</f>
        <v/>
      </c>
      <c r="BC212" s="100" t="str">
        <f aca="false">IF(ISBLANK($C212),"",IF(ISBLANK($X212),0,IF(ISNUMBER($X212),IF($X212&gt;=0,$X212,""),"")))</f>
        <v/>
      </c>
      <c r="BD212" s="100" t="str">
        <f aca="false">IF(ISBLANK($C212),"",IF($Y212=Constants!$B$2,TRUE(),IF($Y212=Constants!$B$3,FALSE(),TRUE())))</f>
        <v/>
      </c>
      <c r="BE212" s="100" t="str">
        <f aca="false">IF(ISBLANK($C212),"",IF($Z212=Constants!$B$2,TRUE(),IF($Z212=Constants!$B$3,FALSE(),FALSE())))</f>
        <v/>
      </c>
      <c r="BF212" s="100" t="str">
        <f aca="false">IF(ISBLANK($C212),"",IF(ISBLANK($AA212),0,IF(ISNUMBER($AA212),IF(AND($AA212&gt;=0,$AA212&lt;=Constants!$B$35,$AA212=INT($AA212)),$AA212,""),"")))</f>
        <v/>
      </c>
      <c r="BG212" s="100" t="str">
        <f aca="false">IF(ISBLANK($C212),"",IF($AB212=Constants!$B$2,TRUE(),IF($AB212=Constants!$B$3,FALSE(),TRUE())))</f>
        <v/>
      </c>
      <c r="BH212" s="100" t="str">
        <f aca="false">IF(ISBLANK($C212),"",IF($AC212=Constants!$B$2,TRUE(),IF($AC212=Constants!$B$3,FALSE(),TRUE())))</f>
        <v/>
      </c>
      <c r="BI212" s="100" t="str">
        <f aca="false">IF(ISBLANK($C212),"",IF($AD212=Constants!$B$2,TRUE(),IF($AD212=Constants!$B$3,FALSE(),TRUE())))</f>
        <v/>
      </c>
      <c r="BJ212" s="100" t="str">
        <f aca="false">IF(ISBLANK($C212),"",IF(ISNUMBER($AE212),IF($AE212&gt;=0,$AE212,""),""))</f>
        <v/>
      </c>
      <c r="BK212" s="100" t="str">
        <f aca="false">IF(ISBLANK($C212),"",IF($AF212=Constants!$B$2,TRUE(),IF($AF212=Constants!$B$3,FALSE(),FALSE())))</f>
        <v/>
      </c>
      <c r="BL212" s="99" t="str">
        <f aca="false">IF(ISBLANK($C212),"",IF($BK212,Constants!$B$7,IF(COUNTA($E212:$AE212)=0,Constants!$B$6,IF(OR(COUNTA($G212:$AE212)=0,NOT($AM212),$AS212),Constants!$B$5,IF(OR($CM212&lt;&gt;"",$CN212,$CO212,$CP212,$CQ212,$CR212,$CS212),Constants!$B$8,Constants!$B$4)))))</f>
        <v/>
      </c>
      <c r="BM212" s="100" t="str">
        <f aca="false">IF(ISBLANK($C212),"",IF($BL212&lt;&gt;Constants!$B$4,$BL212,IF(OR(NOT($AJ212),NOT($AL212),NOT($AT212)),Constants!$B$11,IF(OR(NOT($AR212),NOT($AU212),NOT($BI212),MAX($AN212,$AO212,$AP212)&gt;Constants!$B$30),Constants!$B$10,Constants!$B$9))))</f>
        <v/>
      </c>
      <c r="BN212" s="100" t="str">
        <f aca="false">IF($BL212&lt;&gt;Constants!$B$4,"",IF(NOT($AL212),0,MIN(Constants!$B$35,$BF212)))</f>
        <v/>
      </c>
      <c r="BO212" s="100" t="str">
        <f aca="false">IF($BL212&lt;&gt;Constants!$B$4,"",IF(NOT($AL212),0,IF($AW212,Constants!$B$18,IF($AV212,Constants!$B$17,0))))</f>
        <v/>
      </c>
      <c r="BP212" s="100" t="str">
        <f aca="false">IF($BL212&lt;&gt;Constants!$B$4,"",IF(NOT($AL212),0,Constants!$B$19*($AK212+$AX212+$AY212+$AZ212)))</f>
        <v/>
      </c>
      <c r="BQ212" s="100" t="str">
        <f aca="false">IF($BL212&lt;&gt;Constants!$B$4,"",IF(OR(NOT($AL212),NOT(ISNUMBER($BA212))),0,CHOOSE($BA212,Constants!$B$13,Constants!$B$14,Constants!$B$15,Constants!$B$16)))</f>
        <v/>
      </c>
      <c r="BR212" s="100" t="str">
        <f aca="false">IF($BL212&lt;&gt;Constants!$B$4,"",IF(NOT($AL212),0,Constants!$B$20*$BB212))</f>
        <v/>
      </c>
      <c r="BS212" s="100" t="str">
        <f aca="false">IF($BL212&lt;&gt;Constants!$B$4,"",IF(AND($AL212,$BD212,$BE212),Constants!$B$22,0))</f>
        <v/>
      </c>
      <c r="BT212" s="100" t="str">
        <f aca="false">IF($BL212&lt;&gt;Constants!$B$4,"",IF(OR(NOT($AL212),NOT($BD212)),0,IF($BJ212&gt;=2*$AH$9,0,Constants!$B$23*INT(ROUND(MIN($BJ212,$AH$9),6)))))</f>
        <v/>
      </c>
      <c r="BU212" s="100" t="str">
        <f aca="false">IF($BL212&lt;&gt;Constants!$B$4,"",IF(NOT($AL212),0,Constants!$B$24*INT(ROUND(MIN($BC212,$AH$9),6))))</f>
        <v/>
      </c>
      <c r="BV212" s="100" t="str">
        <f aca="false">IF($BL212&lt;&gt;Constants!$B$4,"",IF(AND($AL212,$BN212=0),Constants!$B$25,0))</f>
        <v/>
      </c>
      <c r="BW212" s="100" t="str">
        <f aca="false">IF($BL212&lt;&gt;Constants!$B$4,"",MIN(Constants!$B$29,MAX(0,Constants!$B$27*Constants!$B$28*INT(ROUND((Constants!$B$26-$AN212)/Constants!$B$28,6))))+MIN(Constants!$B$29,MAX(0,Constants!$B$27*Constants!$B$28*INT(ROUND((Constants!$B$26-$AO212)/Constants!$B$28,6))))+MIN(Constants!$B$29,MAX(0,Constants!$B$27*Constants!$B$28*INT(ROUND((Constants!$B$26-$AP212)/Constants!$B$28,6)))))</f>
        <v/>
      </c>
      <c r="BX212" s="100" t="str">
        <f aca="false">IF($BL212&lt;&gt;Constants!$B$4,"",IF(NOT($AL212),0,Constants!$B$31*INT(ROUND(MAX(0,MIN($BJ212,2*$AH$9)-$AH$9),6))))</f>
        <v/>
      </c>
      <c r="BY212" s="100" t="str">
        <f aca="false">IF($BL212&lt;&gt;Constants!$B$4,"",Constants!$B$32*(($AN212&gt;Constants!$B$26)+($AO212&gt;Constants!$B$26)+($AP212&gt;Constants!$B$26)))</f>
        <v/>
      </c>
      <c r="BZ212" s="100" t="str">
        <f aca="false">IF($BL212&lt;&gt;Constants!$B$4,"",IF(OR(NOT($AL212),$AQ212),0,Constants!$B$33))</f>
        <v/>
      </c>
      <c r="CA212" s="100" t="str">
        <f aca="false">IF($BL212&lt;&gt;Constants!$B$4,"",Constants!$B$34*$BN212)</f>
        <v/>
      </c>
      <c r="CB212" s="100" t="str">
        <f aca="false">IF($BL212&lt;&gt;Constants!$B$4,"",IF(OR(NOT($AL212),$BH212),0,Constants!$B$36))</f>
        <v/>
      </c>
      <c r="CC212" s="100" t="str">
        <f aca="false">IF($BL212&lt;&gt;Constants!$B$4,"",IF(OR(NOT($AL212),$BG212),0,Constants!$B$37))</f>
        <v/>
      </c>
      <c r="CD212" s="100" t="str">
        <f aca="false">IF($BL212&lt;&gt;Constants!$B$4,"",SUM($BX212:$CC212))</f>
        <v/>
      </c>
      <c r="CE212" s="100" t="str">
        <f aca="false">IF(ISBLANK($C212),"",IF($BL212&lt;&gt;Constants!$B$4,$BL212,SUM($BO212:$BW212)-$CD212))</f>
        <v/>
      </c>
      <c r="CF212" s="100" t="str">
        <f aca="false">IF(ISBLANK($C212),"",IF($BL212&lt;&gt;Constants!$B$4,$BL212,RANK($CE212,$CE$9:$CE$508)))</f>
        <v/>
      </c>
      <c r="CG212" s="100" t="str">
        <f aca="false">IF(ISBLANK($C212),"",IF($BL212&lt;&gt;Constants!$B$4,$BL212,COUNTIFS($BM$9:$BM$508,"&lt;"&amp;$BM212)+COUNTIFS($BM$9:$BM$508,$BM212,$CF$9:$CF$508,"&lt;"&amp;$CF212)+1))</f>
        <v/>
      </c>
      <c r="CH212" s="100" t="str">
        <f aca="false">IF(ISBLANK($C212),"",IF($BL212&lt;&gt;Constants!$B$4,$BL212,RANK($CD212,$CD$9:$CD$508,1)))</f>
        <v/>
      </c>
      <c r="CI212" s="100" t="str">
        <f aca="false">IF($BL212&lt;&gt;Constants!$B$4,"",$AN212+$AO212+$AP212)</f>
        <v/>
      </c>
      <c r="CJ212" s="100" t="str">
        <f aca="false">IF(ISBLANK($C212),"",IF($BL212&lt;&gt;Constants!$B$4,$BL212,RANK($CI212,$CI$9:$CI$508,1)))</f>
        <v/>
      </c>
      <c r="CK212" s="100" t="str">
        <f aca="false">IF(ISBLANK($C212),"",IF($BL212&lt;&gt;Constants!$B$4,$BL212,COUNTIFS($BM$9:$BM$508,"&lt;"&amp;$BM212)+COUNTIFS($BM$9:$BM$508,$BM212,$CF$9:$CF$508,"&lt;"&amp;$CF212)+COUNTIFS($BM$9:$BM$508,$BM212,$CF$9:$CF$508,$CF212,$CH$9:$CH$508,"&lt;"&amp;$CH212)+COUNTIFS($BM$9:$BM$508,$BM212,$CF$9:$CF$508,$CF212,$CH$9:$CH$508,$CH212,$CJ$9:$CJ$508,"&lt;"&amp;$CJ212)+1))</f>
        <v/>
      </c>
      <c r="CL212" s="100" t="str">
        <f aca="false">IF(ISBLANK($C212),"",IF($BL212&lt;&gt;Constants!$B$4,$BL212,$CG212-$CK212))</f>
        <v/>
      </c>
      <c r="CM212" s="100" t="str">
        <f aca="false">IF(ISBLANK($C212),"",IF(NOT($AL212),"",IF(ISBLANK($D$7),$CM$5,IF(NOT(ISNUMBER($D$7)),$CM$6,""))))</f>
        <v/>
      </c>
      <c r="CN212" s="100" t="str">
        <f aca="false">IF(ISBLANK($C212),"",OR($AN212="",$AO212="",$AP212=""))</f>
        <v/>
      </c>
      <c r="CO212" s="100" t="str">
        <f aca="false">IF(ISBLANK($C212),"",AND($AL212,$BA212=""))</f>
        <v/>
      </c>
      <c r="CP212" s="100" t="str">
        <f aca="false">IF(ISBLANK($C212),"",AND($AL212,$BB212=""))</f>
        <v/>
      </c>
      <c r="CQ212" s="100" t="str">
        <f aca="false">IF(ISBLANK($C212),"",AND($AL212,$BC212=""))</f>
        <v/>
      </c>
      <c r="CR212" s="100" t="str">
        <f aca="false">IF(ISBLANK($C212),"",AND($AL212,$BF212=""))</f>
        <v/>
      </c>
      <c r="CS212" s="100" t="str">
        <f aca="false">IF(ISBLANK($C212),"",AND($AL212,$BJ212=""))</f>
        <v/>
      </c>
      <c r="CT212" s="101"/>
      <c r="CU212" s="102"/>
      <c r="CV212" s="103" t="str">
        <f aca="false">IF(ISBLANK($C212),"",IF($BL212=Constants!$B$8,$CM212,""))</f>
        <v/>
      </c>
      <c r="CW212" s="102" t="str">
        <f aca="false">IF(ISBLANK($C212),"",IF($BL212&lt;&gt;Constants!$B$4,"",$BO212+$BP212))</f>
        <v/>
      </c>
      <c r="CX212" s="104" t="str">
        <f aca="false">IF(ISBLANK($C212),"",IF($BL212&lt;&gt;Constants!$B$4,"",$BQ212+$BR212+$BS212))</f>
        <v/>
      </c>
      <c r="CY212" s="104" t="str">
        <f aca="false">IF(ISBLANK($C212),"",IF($BL212&lt;&gt;Constants!$B$4,"",$BT212))</f>
        <v/>
      </c>
      <c r="CZ212" s="104" t="str">
        <f aca="false">IF(ISBLANK($C212),"",IF($BL212&lt;&gt;Constants!$B$4,"",$BU212+$BV212))</f>
        <v/>
      </c>
      <c r="DA212" s="104" t="str">
        <f aca="false">IF(ISBLANK($C212),"",IF($BL212&lt;&gt;Constants!$B$4,"",$BW212))</f>
        <v/>
      </c>
      <c r="DB212" s="104" t="str">
        <f aca="false">IF(ISBLANK($C212),"",IF($BL212&lt;&gt;Constants!$B$4,"",-$CD212))</f>
        <v/>
      </c>
      <c r="DC212" s="103" t="str">
        <f aca="false">IF(ISBLANK($C212),"",$CE212)</f>
        <v/>
      </c>
      <c r="DD212" s="105" t="str">
        <f aca="false">IF(ISBLANK($C212),"",$BM212)</f>
        <v/>
      </c>
      <c r="DE212" s="104" t="str">
        <f aca="false">IF(ISBLANK($C212),"",$CL212)</f>
        <v/>
      </c>
      <c r="DF212" s="104" t="str">
        <f aca="false">IF(ISBLANK($C212),"",$CK212)</f>
        <v/>
      </c>
      <c r="DG212" s="106" t="str">
        <f aca="false">IF(ISBLANK($C212),"",IF($DF212=Constants!$B$7,COUNTA($C$9:$C$508)+2,IF($DF212=Constants!$B$6,COUNTA($C$9:$C$508)+1,IF($DF212=Constants!$B$5,COUNTA($C$9:$C$508),$DF212))))</f>
        <v/>
      </c>
      <c r="DH212" s="7"/>
      <c r="DI212" s="107" t="n">
        <f aca="false">IF(OR(ISNUMBER($DF212),$DF212=Constants!$B$7,$DF212=Constants!$B$5,$DF212=Constants!$B$6),1,0)</f>
        <v>0</v>
      </c>
      <c r="DJ212" s="107" t="n">
        <v>204</v>
      </c>
      <c r="DK212" s="107" t="str">
        <f aca="false">IF(ISBLANK($C212),"",IF(ISNUMBER($DG212),$DG212+ROW($B212)/1000,""))</f>
        <v/>
      </c>
      <c r="DL212" s="107" t="str">
        <f aca="false">IF(ISNUMBER($DK212),RANK($DK212,$DK$9:$DK$508,1),"")</f>
        <v/>
      </c>
      <c r="DM212" s="107" t="str">
        <f aca="false">IF(ISBLANK($C212),"",$B212)</f>
        <v/>
      </c>
      <c r="DN212" s="107" t="str">
        <f aca="false">IF(ISBLANK($C212),"",$C212)</f>
        <v/>
      </c>
      <c r="DO212" s="107" t="str">
        <f aca="false">IF(ISBLANK($C212),"",$D212)</f>
        <v/>
      </c>
      <c r="DP212" s="108" t="str">
        <f aca="false">$DD212</f>
        <v/>
      </c>
      <c r="DQ212" s="109" t="str">
        <f aca="false">$DC212</f>
        <v/>
      </c>
      <c r="DR212" s="107" t="str">
        <f aca="false">IF(ISBLANK($C212),"",$DF212)</f>
        <v/>
      </c>
      <c r="DS212" s="110" t="str">
        <f aca="false">IF($DJ212&gt;$DI$8,"",VLOOKUP($DJ212,$DL$9:$DR$508,7,FALSE()))</f>
        <v/>
      </c>
      <c r="DT212" s="111" t="str">
        <f aca="false">IF($DJ212&gt;$DI$8,"",VLOOKUP($DJ212,$DL$9:$DR$508,2,FALSE()))</f>
        <v/>
      </c>
      <c r="DU212" s="111" t="str">
        <f aca="false">IF($DJ212&gt;$DI$8,"",VLOOKUP($DJ212,$DL$9:$DR$508,3,FALSE()))</f>
        <v/>
      </c>
      <c r="DV212" s="111" t="str">
        <f aca="false">IF($DJ212&gt;$DI$8,"",VLOOKUP($DJ212,$DL$9:$DR$508,4,FALSE()))</f>
        <v/>
      </c>
      <c r="DW212" s="111" t="str">
        <f aca="false">IF($DJ212&gt;$DI$8,"",VLOOKUP($DJ212,$DL$9:$DR$508,5,FALSE()))</f>
        <v/>
      </c>
      <c r="DX212" s="112" t="str">
        <f aca="false">IF($DJ212&gt;$DI$8,"",VLOOKUP($DJ212,$DL$9:$DR$508,6,FALSE()))</f>
        <v/>
      </c>
      <c r="DY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88"/>
      <c r="N213" s="88"/>
      <c r="O213" s="134"/>
      <c r="P213" s="134"/>
      <c r="Q213" s="88"/>
      <c r="R213" s="88"/>
      <c r="S213" s="88"/>
      <c r="T213" s="88"/>
      <c r="U213" s="134"/>
      <c r="V213" s="88"/>
      <c r="W213" s="70"/>
      <c r="X213" s="88"/>
      <c r="Y213" s="88"/>
      <c r="Z213" s="70"/>
      <c r="AA213" s="70"/>
      <c r="AB213" s="88"/>
      <c r="AC213" s="88"/>
      <c r="AD213" s="88"/>
      <c r="AE213" s="71"/>
      <c r="AF213" s="88"/>
      <c r="AG213" s="73"/>
      <c r="AH213" s="74"/>
      <c r="AI213" s="74"/>
      <c r="AJ213" s="74" t="str">
        <f aca="false">IF(ISBLANK($C213),"",IF($E213=Constants!$B$2,TRUE(),IF($E213=Constants!$B$3,FALSE(),TRUE())))</f>
        <v/>
      </c>
      <c r="AK213" s="74" t="str">
        <f aca="false">IF(ISBLANK($C213),"",IF($F213=Constants!$B$2,TRUE(),IF($F213=Constants!$B$3,FALSE(),FALSE())))</f>
        <v/>
      </c>
      <c r="AL213" s="74" t="str">
        <f aca="false">IF(ISBLANK($C213),"",IF($G213=Constants!$B$2,TRUE(),IF($G213=Constants!$B$3,FALSE(),TRUE())))</f>
        <v/>
      </c>
      <c r="AM213" s="74" t="str">
        <f aca="false">IF(ISBLANK($C213),"",IF($H213=Constants!$B$2,TRUE(),IF($H213=Constants!$B$3,FALSE(),TRUE())))</f>
        <v/>
      </c>
      <c r="AN213" s="74" t="str">
        <f aca="false">IF(ISBLANK($C213),"",IF(ISNUMBER($I213),IF($I213&gt;=0,$I213,""),""))</f>
        <v/>
      </c>
      <c r="AO213" s="74" t="str">
        <f aca="false">IF(ISBLANK($C213),"",IF(ISNUMBER($J213),IF($J213&gt;=0,$J213,""),""))</f>
        <v/>
      </c>
      <c r="AP213" s="74" t="str">
        <f aca="false">IF(ISBLANK($C213),"",IF(ISNUMBER($K213),IF($K213&gt;=0,$K213,""),""))</f>
        <v/>
      </c>
      <c r="AQ213" s="74" t="str">
        <f aca="false">IF(ISBLANK($C213),"",IF($L213=Constants!$B$2,TRUE(),IF($L213=Constants!$B$3,FALSE(),TRUE())))</f>
        <v/>
      </c>
      <c r="AR213" s="74" t="str">
        <f aca="false">IF(ISBLANK($C213),"",IF($M213=Constants!$B$2,TRUE(),IF($M213=Constants!$B$3,FALSE(),TRUE())))</f>
        <v/>
      </c>
      <c r="AS213" s="74" t="str">
        <f aca="false">IF(ISBLANK($C213),"",IF($N213=Constants!$B$2,TRUE(),IF($N213=Constants!$B$3,FALSE(),FALSE())))</f>
        <v/>
      </c>
      <c r="AT213" s="74" t="str">
        <f aca="false">IF(ISBLANK($C213),"",IF($O213=Constants!$B$2,TRUE(),IF($O213=Constants!$B$3,FALSE(),TRUE())))</f>
        <v/>
      </c>
      <c r="AU213" s="74" t="str">
        <f aca="false">IF(ISBLANK($C213),"",IF($P213=Constants!$B$2,TRUE(),IF($P213=Constants!$B$3,FALSE(),TRUE())))</f>
        <v/>
      </c>
      <c r="AV213" s="74" t="str">
        <f aca="false">IF(ISBLANK($C213),"",IF($Q213=Constants!$B$2,TRUE(),IF($Q213=Constants!$B$3,FALSE(),FALSE())))</f>
        <v/>
      </c>
      <c r="AW213" s="74" t="str">
        <f aca="false">IF(ISBLANK($C213),"",IF($R213=Constants!$B$2,TRUE(),IF($R213=Constants!$B$3,FALSE(),FALSE())))</f>
        <v/>
      </c>
      <c r="AX213" s="74" t="str">
        <f aca="false">IF(ISBLANK($C213),"",IF($S213=Constants!$B$2,TRUE(),IF($S213=Constants!$B$3,FALSE(),FALSE())))</f>
        <v/>
      </c>
      <c r="AY213" s="74" t="str">
        <f aca="false">IF(ISBLANK($C213),"",IF($T213=Constants!$B$2,TRUE(),IF($T213=Constants!$B$3,FALSE(),FALSE())))</f>
        <v/>
      </c>
      <c r="AZ213" s="74" t="str">
        <f aca="false">IF(ISBLANK($C213),"",IF($U213=Constants!$B$2,TRUE(),IF($U213=Constants!$B$3,FALSE(),FALSE())))</f>
        <v/>
      </c>
      <c r="BA213" s="74" t="str">
        <f aca="false">IF(ISBLANK($C213),"",IF(OR($V213&amp;""="1",$V213&amp;""="2",$V213&amp;""="3",$V213&amp;""="4"),VALUE($V213&amp;""),IF($V213=Constants!$B$12,Constants!$B$12,"")))</f>
        <v/>
      </c>
      <c r="BB213" s="74" t="str">
        <f aca="false">IF(ISBLANK($C213),"",IF(ISBLANK($W213),0,IF(ISNUMBER($W213),IF(AND($W213&gt;=0,$W213&lt;=Constants!$B$21,$W213=INT($W213)),$W213,""),"")))</f>
        <v/>
      </c>
      <c r="BC213" s="74" t="str">
        <f aca="false">IF(ISBLANK($C213),"",IF(ISBLANK($X213),0,IF(ISNUMBER($X213),IF($X213&gt;=0,$X213,""),"")))</f>
        <v/>
      </c>
      <c r="BD213" s="74" t="str">
        <f aca="false">IF(ISBLANK($C213),"",IF($Y213=Constants!$B$2,TRUE(),IF($Y213=Constants!$B$3,FALSE(),TRUE())))</f>
        <v/>
      </c>
      <c r="BE213" s="74" t="str">
        <f aca="false">IF(ISBLANK($C213),"",IF($Z213=Constants!$B$2,TRUE(),IF($Z213=Constants!$B$3,FALSE(),FALSE())))</f>
        <v/>
      </c>
      <c r="BF213" s="74" t="str">
        <f aca="false">IF(ISBLANK($C213),"",IF(ISBLANK($AA213),0,IF(ISNUMBER($AA213),IF(AND($AA213&gt;=0,$AA213&lt;=Constants!$B$35,$AA213=INT($AA213)),$AA213,""),"")))</f>
        <v/>
      </c>
      <c r="BG213" s="74" t="str">
        <f aca="false">IF(ISBLANK($C213),"",IF($AB213=Constants!$B$2,TRUE(),IF($AB213=Constants!$B$3,FALSE(),TRUE())))</f>
        <v/>
      </c>
      <c r="BH213" s="74" t="str">
        <f aca="false">IF(ISBLANK($C213),"",IF($AC213=Constants!$B$2,TRUE(),IF($AC213=Constants!$B$3,FALSE(),TRUE())))</f>
        <v/>
      </c>
      <c r="BI213" s="74" t="str">
        <f aca="false">IF(ISBLANK($C213),"",IF($AD213=Constants!$B$2,TRUE(),IF($AD213=Constants!$B$3,FALSE(),TRUE())))</f>
        <v/>
      </c>
      <c r="BJ213" s="74" t="str">
        <f aca="false">IF(ISBLANK($C213),"",IF(ISNUMBER($AE213),IF($AE213&gt;=0,$AE213,""),""))</f>
        <v/>
      </c>
      <c r="BK213" s="74" t="str">
        <f aca="false">IF(ISBLANK($C213),"",IF($AF213=Constants!$B$2,TRUE(),IF($AF213=Constants!$B$3,FALSE(),FALSE())))</f>
        <v/>
      </c>
      <c r="BL213" s="73" t="str">
        <f aca="false">IF(ISBLANK($C213),"",IF($BK213,Constants!$B$7,IF(COUNTA($E213:$AE213)=0,Constants!$B$6,IF(OR(COUNTA($G213:$AE213)=0,NOT($AM213),$AS213),Constants!$B$5,IF(OR($CM213&lt;&gt;"",$CN213,$CO213,$CP213,$CQ213,$CR213,$CS213),Constants!$B$8,Constants!$B$4)))))</f>
        <v/>
      </c>
      <c r="BM213" s="74" t="str">
        <f aca="false">IF(ISBLANK($C213),"",IF($BL213&lt;&gt;Constants!$B$4,$BL213,IF(OR(NOT($AJ213),NOT($AL213),NOT($AT213)),Constants!$B$11,IF(OR(NOT($AR213),NOT($AU213),NOT($BI213),MAX($AN213,$AO213,$AP213)&gt;Constants!$B$30),Constants!$B$10,Constants!$B$9))))</f>
        <v/>
      </c>
      <c r="BN213" s="74" t="str">
        <f aca="false">IF($BL213&lt;&gt;Constants!$B$4,"",IF(NOT($AL213),0,MIN(Constants!$B$35,$BF213)))</f>
        <v/>
      </c>
      <c r="BO213" s="74" t="str">
        <f aca="false">IF($BL213&lt;&gt;Constants!$B$4,"",IF(NOT($AL213),0,IF($AW213,Constants!$B$18,IF($AV213,Constants!$B$17,0))))</f>
        <v/>
      </c>
      <c r="BP213" s="74" t="str">
        <f aca="false">IF($BL213&lt;&gt;Constants!$B$4,"",IF(NOT($AL213),0,Constants!$B$19*($AK213+$AX213+$AY213+$AZ213)))</f>
        <v/>
      </c>
      <c r="BQ213" s="74" t="str">
        <f aca="false">IF($BL213&lt;&gt;Constants!$B$4,"",IF(OR(NOT($AL213),NOT(ISNUMBER($BA213))),0,CHOOSE($BA213,Constants!$B$13,Constants!$B$14,Constants!$B$15,Constants!$B$16)))</f>
        <v/>
      </c>
      <c r="BR213" s="74" t="str">
        <f aca="false">IF($BL213&lt;&gt;Constants!$B$4,"",IF(NOT($AL213),0,Constants!$B$20*$BB213))</f>
        <v/>
      </c>
      <c r="BS213" s="74" t="str">
        <f aca="false">IF($BL213&lt;&gt;Constants!$B$4,"",IF(AND($AL213,$BD213,$BE213),Constants!$B$22,0))</f>
        <v/>
      </c>
      <c r="BT213" s="74" t="str">
        <f aca="false">IF($BL213&lt;&gt;Constants!$B$4,"",IF(OR(NOT($AL213),NOT($BD213)),0,IF($BJ213&gt;=2*$AH$9,0,Constants!$B$23*INT(ROUND(MIN($BJ213,$AH$9),6)))))</f>
        <v/>
      </c>
      <c r="BU213" s="74" t="str">
        <f aca="false">IF($BL213&lt;&gt;Constants!$B$4,"",IF(NOT($AL213),0,Constants!$B$24*INT(ROUND(MIN($BC213,$AH$9),6))))</f>
        <v/>
      </c>
      <c r="BV213" s="74" t="str">
        <f aca="false">IF($BL213&lt;&gt;Constants!$B$4,"",IF(AND($AL213,$BN213=0),Constants!$B$25,0))</f>
        <v/>
      </c>
      <c r="BW213" s="74" t="str">
        <f aca="false">IF($BL213&lt;&gt;Constants!$B$4,"",MIN(Constants!$B$29,MAX(0,Constants!$B$27*Constants!$B$28*INT(ROUND((Constants!$B$26-$AN213)/Constants!$B$28,6))))+MIN(Constants!$B$29,MAX(0,Constants!$B$27*Constants!$B$28*INT(ROUND((Constants!$B$26-$AO213)/Constants!$B$28,6))))+MIN(Constants!$B$29,MAX(0,Constants!$B$27*Constants!$B$28*INT(ROUND((Constants!$B$26-$AP213)/Constants!$B$28,6)))))</f>
        <v/>
      </c>
      <c r="BX213" s="74" t="str">
        <f aca="false">IF($BL213&lt;&gt;Constants!$B$4,"",IF(NOT($AL213),0,Constants!$B$31*INT(ROUND(MAX(0,MIN($BJ213,2*$AH$9)-$AH$9),6))))</f>
        <v/>
      </c>
      <c r="BY213" s="74" t="str">
        <f aca="false">IF($BL213&lt;&gt;Constants!$B$4,"",Constants!$B$32*(($AN213&gt;Constants!$B$26)+($AO213&gt;Constants!$B$26)+($AP213&gt;Constants!$B$26)))</f>
        <v/>
      </c>
      <c r="BZ213" s="74" t="str">
        <f aca="false">IF($BL213&lt;&gt;Constants!$B$4,"",IF(OR(NOT($AL213),$AQ213),0,Constants!$B$33))</f>
        <v/>
      </c>
      <c r="CA213" s="74" t="str">
        <f aca="false">IF($BL213&lt;&gt;Constants!$B$4,"",Constants!$B$34*$BN213)</f>
        <v/>
      </c>
      <c r="CB213" s="74" t="str">
        <f aca="false">IF($BL213&lt;&gt;Constants!$B$4,"",IF(OR(NOT($AL213),$BH213),0,Constants!$B$36))</f>
        <v/>
      </c>
      <c r="CC213" s="74" t="str">
        <f aca="false">IF($BL213&lt;&gt;Constants!$B$4,"",IF(OR(NOT($AL213),$BG213),0,Constants!$B$37))</f>
        <v/>
      </c>
      <c r="CD213" s="74" t="str">
        <f aca="false">IF($BL213&lt;&gt;Constants!$B$4,"",SUM($BX213:$CC213))</f>
        <v/>
      </c>
      <c r="CE213" s="74" t="str">
        <f aca="false">IF(ISBLANK($C213),"",IF($BL213&lt;&gt;Constants!$B$4,$BL213,SUM($BO213:$BW213)-$CD213))</f>
        <v/>
      </c>
      <c r="CF213" s="74" t="str">
        <f aca="false">IF(ISBLANK($C213),"",IF($BL213&lt;&gt;Constants!$B$4,$BL213,RANK($CE213,$CE$9:$CE$508)))</f>
        <v/>
      </c>
      <c r="CG213" s="74" t="str">
        <f aca="false">IF(ISBLANK($C213),"",IF($BL213&lt;&gt;Constants!$B$4,$BL213,COUNTIFS($BM$9:$BM$508,"&lt;"&amp;$BM213)+COUNTIFS($BM$9:$BM$508,$BM213,$CF$9:$CF$508,"&lt;"&amp;$CF213)+1))</f>
        <v/>
      </c>
      <c r="CH213" s="74" t="str">
        <f aca="false">IF(ISBLANK($C213),"",IF($BL213&lt;&gt;Constants!$B$4,$BL213,RANK($CD213,$CD$9:$CD$508,1)))</f>
        <v/>
      </c>
      <c r="CI213" s="74" t="str">
        <f aca="false">IF($BL213&lt;&gt;Constants!$B$4,"",$AN213+$AO213+$AP213)</f>
        <v/>
      </c>
      <c r="CJ213" s="74" t="str">
        <f aca="false">IF(ISBLANK($C213),"",IF($BL213&lt;&gt;Constants!$B$4,$BL213,RANK($CI213,$CI$9:$CI$508,1)))</f>
        <v/>
      </c>
      <c r="CK213" s="74" t="str">
        <f aca="false">IF(ISBLANK($C213),"",IF($BL213&lt;&gt;Constants!$B$4,$BL213,COUNTIFS($BM$9:$BM$508,"&lt;"&amp;$BM213)+COUNTIFS($BM$9:$BM$508,$BM213,$CF$9:$CF$508,"&lt;"&amp;$CF213)+COUNTIFS($BM$9:$BM$508,$BM213,$CF$9:$CF$508,$CF213,$CH$9:$CH$508,"&lt;"&amp;$CH213)+COUNTIFS($BM$9:$BM$508,$BM213,$CF$9:$CF$508,$CF213,$CH$9:$CH$508,$CH213,$CJ$9:$CJ$508,"&lt;"&amp;$CJ213)+1))</f>
        <v/>
      </c>
      <c r="CL213" s="74" t="str">
        <f aca="false">IF(ISBLANK($C213),"",IF($BL213&lt;&gt;Constants!$B$4,$BL213,$CG213-$CK213))</f>
        <v/>
      </c>
      <c r="CM213" s="74" t="str">
        <f aca="false">IF(ISBLANK($C213),"",IF(NOT($AL213),"",IF(ISBLANK($D$7),$CM$5,IF(NOT(ISNUMBER($D$7)),$CM$6,""))))</f>
        <v/>
      </c>
      <c r="CN213" s="74" t="str">
        <f aca="false">IF(ISBLANK($C213),"",OR($AN213="",$AO213="",$AP213=""))</f>
        <v/>
      </c>
      <c r="CO213" s="74" t="str">
        <f aca="false">IF(ISBLANK($C213),"",AND($AL213,$BA213=""))</f>
        <v/>
      </c>
      <c r="CP213" s="74" t="str">
        <f aca="false">IF(ISBLANK($C213),"",AND($AL213,$BB213=""))</f>
        <v/>
      </c>
      <c r="CQ213" s="74" t="str">
        <f aca="false">IF(ISBLANK($C213),"",AND($AL213,$BC213=""))</f>
        <v/>
      </c>
      <c r="CR213" s="74" t="str">
        <f aca="false">IF(ISBLANK($C213),"",AND($AL213,$BF213=""))</f>
        <v/>
      </c>
      <c r="CS213" s="74" t="str">
        <f aca="false">IF(ISBLANK($C213),"",AND($AL213,$BJ213=""))</f>
        <v/>
      </c>
      <c r="CT213" s="75"/>
      <c r="CU213" s="76"/>
      <c r="CV213" s="79" t="str">
        <f aca="false">IF(ISBLANK($C213),"",IF($BL213=Constants!$B$8,$CM213,""))</f>
        <v/>
      </c>
      <c r="CW213" s="76" t="str">
        <f aca="false">IF(ISBLANK($C213),"",IF($BL213&lt;&gt;Constants!$B$4,"",$BO213+$BP213))</f>
        <v/>
      </c>
      <c r="CX213" s="78" t="str">
        <f aca="false">IF(ISBLANK($C213),"",IF($BL213&lt;&gt;Constants!$B$4,"",$BQ213+$BR213+$BS213))</f>
        <v/>
      </c>
      <c r="CY213" s="78" t="str">
        <f aca="false">IF(ISBLANK($C213),"",IF($BL213&lt;&gt;Constants!$B$4,"",$BT213))</f>
        <v/>
      </c>
      <c r="CZ213" s="78" t="str">
        <f aca="false">IF(ISBLANK($C213),"",IF($BL213&lt;&gt;Constants!$B$4,"",$BU213+$BV213))</f>
        <v/>
      </c>
      <c r="DA213" s="78" t="str">
        <f aca="false">IF(ISBLANK($C213),"",IF($BL213&lt;&gt;Constants!$B$4,"",$BW213))</f>
        <v/>
      </c>
      <c r="DB213" s="78" t="str">
        <f aca="false">IF(ISBLANK($C213),"",IF($BL213&lt;&gt;Constants!$B$4,"",-$CD213))</f>
        <v/>
      </c>
      <c r="DC213" s="79" t="str">
        <f aca="false">IF(ISBLANK($C213),"",$CE213)</f>
        <v/>
      </c>
      <c r="DD213" s="80" t="str">
        <f aca="false">IF(ISBLANK($C213),"",$BM213)</f>
        <v/>
      </c>
      <c r="DE213" s="78" t="str">
        <f aca="false">IF(ISBLANK($C213),"",$CL213)</f>
        <v/>
      </c>
      <c r="DF213" s="78" t="str">
        <f aca="false">IF(ISBLANK($C213),"",$CK213)</f>
        <v/>
      </c>
      <c r="DG213" s="81" t="str">
        <f aca="false">IF(ISBLANK($C213),"",IF($DF213=Constants!$B$7,COUNTA($C$9:$C$508)+2,IF($DF213=Constants!$B$6,COUNTA($C$9:$C$508)+1,IF($DF213=Constants!$B$5,COUNTA($C$9:$C$508),$DF213))))</f>
        <v/>
      </c>
      <c r="DH213" s="7"/>
      <c r="DI213" s="82" t="n">
        <f aca="false">IF(OR(ISNUMBER($DF213),$DF213=Constants!$B$7,$DF213=Constants!$B$5,$DF213=Constants!$B$6),1,0)</f>
        <v>0</v>
      </c>
      <c r="DJ213" s="82" t="n">
        <v>205</v>
      </c>
      <c r="DK213" s="82" t="str">
        <f aca="false">IF(ISBLANK($C213),"",IF(ISNUMBER($DG213),$DG213+ROW($B213)/1000,""))</f>
        <v/>
      </c>
      <c r="DL213" s="82" t="str">
        <f aca="false">IF(ISNUMBER($DK213),RANK($DK213,$DK$9:$DK$508,1),"")</f>
        <v/>
      </c>
      <c r="DM213" s="82" t="str">
        <f aca="false">IF(ISBLANK($C213),"",$B213)</f>
        <v/>
      </c>
      <c r="DN213" s="82" t="str">
        <f aca="false">IF(ISBLANK($C213),"",$C213)</f>
        <v/>
      </c>
      <c r="DO213" s="82" t="str">
        <f aca="false">IF(ISBLANK($C213),"",$D213)</f>
        <v/>
      </c>
      <c r="DP213" s="83" t="str">
        <f aca="false">$DD213</f>
        <v/>
      </c>
      <c r="DQ213" s="84" t="str">
        <f aca="false">$DC213</f>
        <v/>
      </c>
      <c r="DR213" s="82" t="str">
        <f aca="false">IF(ISBLANK($C213),"",$DF213)</f>
        <v/>
      </c>
      <c r="DS213" s="85" t="str">
        <f aca="false">IF($DJ213&gt;$DI$8,"",VLOOKUP($DJ213,$DL$9:$DR$508,7,FALSE()))</f>
        <v/>
      </c>
      <c r="DT213" s="86" t="str">
        <f aca="false">IF($DJ213&gt;$DI$8,"",VLOOKUP($DJ213,$DL$9:$DR$508,2,FALSE()))</f>
        <v/>
      </c>
      <c r="DU213" s="86" t="str">
        <f aca="false">IF($DJ213&gt;$DI$8,"",VLOOKUP($DJ213,$DL$9:$DR$508,3,FALSE()))</f>
        <v/>
      </c>
      <c r="DV213" s="86" t="str">
        <f aca="false">IF($DJ213&gt;$DI$8,"",VLOOKUP($DJ213,$DL$9:$DR$508,4,FALSE()))</f>
        <v/>
      </c>
      <c r="DW213" s="86" t="str">
        <f aca="false">IF($DJ213&gt;$DI$8,"",VLOOKUP($DJ213,$DL$9:$DR$508,5,FALSE()))</f>
        <v/>
      </c>
      <c r="DX213" s="87" t="str">
        <f aca="false">IF($DJ213&gt;$DI$8,"",VLOOKUP($DJ213,$DL$9:$DR$508,6,FALSE()))</f>
        <v/>
      </c>
      <c r="DY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88"/>
      <c r="N214" s="88"/>
      <c r="O214" s="134"/>
      <c r="P214" s="134"/>
      <c r="Q214" s="88"/>
      <c r="R214" s="88"/>
      <c r="S214" s="88"/>
      <c r="T214" s="88"/>
      <c r="U214" s="134"/>
      <c r="V214" s="88"/>
      <c r="W214" s="70"/>
      <c r="X214" s="88"/>
      <c r="Y214" s="88"/>
      <c r="Z214" s="70"/>
      <c r="AA214" s="70"/>
      <c r="AB214" s="88"/>
      <c r="AC214" s="88"/>
      <c r="AD214" s="88"/>
      <c r="AE214" s="71"/>
      <c r="AF214" s="88"/>
      <c r="AG214" s="73"/>
      <c r="AH214" s="74"/>
      <c r="AI214" s="74"/>
      <c r="AJ214" s="74" t="str">
        <f aca="false">IF(ISBLANK($C214),"",IF($E214=Constants!$B$2,TRUE(),IF($E214=Constants!$B$3,FALSE(),TRUE())))</f>
        <v/>
      </c>
      <c r="AK214" s="74" t="str">
        <f aca="false">IF(ISBLANK($C214),"",IF($F214=Constants!$B$2,TRUE(),IF($F214=Constants!$B$3,FALSE(),FALSE())))</f>
        <v/>
      </c>
      <c r="AL214" s="74" t="str">
        <f aca="false">IF(ISBLANK($C214),"",IF($G214=Constants!$B$2,TRUE(),IF($G214=Constants!$B$3,FALSE(),TRUE())))</f>
        <v/>
      </c>
      <c r="AM214" s="74" t="str">
        <f aca="false">IF(ISBLANK($C214),"",IF($H214=Constants!$B$2,TRUE(),IF($H214=Constants!$B$3,FALSE(),TRUE())))</f>
        <v/>
      </c>
      <c r="AN214" s="74" t="str">
        <f aca="false">IF(ISBLANK($C214),"",IF(ISNUMBER($I214),IF($I214&gt;=0,$I214,""),""))</f>
        <v/>
      </c>
      <c r="AO214" s="74" t="str">
        <f aca="false">IF(ISBLANK($C214),"",IF(ISNUMBER($J214),IF($J214&gt;=0,$J214,""),""))</f>
        <v/>
      </c>
      <c r="AP214" s="74" t="str">
        <f aca="false">IF(ISBLANK($C214),"",IF(ISNUMBER($K214),IF($K214&gt;=0,$K214,""),""))</f>
        <v/>
      </c>
      <c r="AQ214" s="74" t="str">
        <f aca="false">IF(ISBLANK($C214),"",IF($L214=Constants!$B$2,TRUE(),IF($L214=Constants!$B$3,FALSE(),TRUE())))</f>
        <v/>
      </c>
      <c r="AR214" s="74" t="str">
        <f aca="false">IF(ISBLANK($C214),"",IF($M214=Constants!$B$2,TRUE(),IF($M214=Constants!$B$3,FALSE(),TRUE())))</f>
        <v/>
      </c>
      <c r="AS214" s="74" t="str">
        <f aca="false">IF(ISBLANK($C214),"",IF($N214=Constants!$B$2,TRUE(),IF($N214=Constants!$B$3,FALSE(),FALSE())))</f>
        <v/>
      </c>
      <c r="AT214" s="74" t="str">
        <f aca="false">IF(ISBLANK($C214),"",IF($O214=Constants!$B$2,TRUE(),IF($O214=Constants!$B$3,FALSE(),TRUE())))</f>
        <v/>
      </c>
      <c r="AU214" s="74" t="str">
        <f aca="false">IF(ISBLANK($C214),"",IF($P214=Constants!$B$2,TRUE(),IF($P214=Constants!$B$3,FALSE(),TRUE())))</f>
        <v/>
      </c>
      <c r="AV214" s="74" t="str">
        <f aca="false">IF(ISBLANK($C214),"",IF($Q214=Constants!$B$2,TRUE(),IF($Q214=Constants!$B$3,FALSE(),FALSE())))</f>
        <v/>
      </c>
      <c r="AW214" s="74" t="str">
        <f aca="false">IF(ISBLANK($C214),"",IF($R214=Constants!$B$2,TRUE(),IF($R214=Constants!$B$3,FALSE(),FALSE())))</f>
        <v/>
      </c>
      <c r="AX214" s="74" t="str">
        <f aca="false">IF(ISBLANK($C214),"",IF($S214=Constants!$B$2,TRUE(),IF($S214=Constants!$B$3,FALSE(),FALSE())))</f>
        <v/>
      </c>
      <c r="AY214" s="74" t="str">
        <f aca="false">IF(ISBLANK($C214),"",IF($T214=Constants!$B$2,TRUE(),IF($T214=Constants!$B$3,FALSE(),FALSE())))</f>
        <v/>
      </c>
      <c r="AZ214" s="74" t="str">
        <f aca="false">IF(ISBLANK($C214),"",IF($U214=Constants!$B$2,TRUE(),IF($U214=Constants!$B$3,FALSE(),FALSE())))</f>
        <v/>
      </c>
      <c r="BA214" s="74" t="str">
        <f aca="false">IF(ISBLANK($C214),"",IF(OR($V214&amp;""="1",$V214&amp;""="2",$V214&amp;""="3",$V214&amp;""="4"),VALUE($V214&amp;""),IF($V214=Constants!$B$12,Constants!$B$12,"")))</f>
        <v/>
      </c>
      <c r="BB214" s="74" t="str">
        <f aca="false">IF(ISBLANK($C214),"",IF(ISBLANK($W214),0,IF(ISNUMBER($W214),IF(AND($W214&gt;=0,$W214&lt;=Constants!$B$21,$W214=INT($W214)),$W214,""),"")))</f>
        <v/>
      </c>
      <c r="BC214" s="74" t="str">
        <f aca="false">IF(ISBLANK($C214),"",IF(ISBLANK($X214),0,IF(ISNUMBER($X214),IF($X214&gt;=0,$X214,""),"")))</f>
        <v/>
      </c>
      <c r="BD214" s="74" t="str">
        <f aca="false">IF(ISBLANK($C214),"",IF($Y214=Constants!$B$2,TRUE(),IF($Y214=Constants!$B$3,FALSE(),TRUE())))</f>
        <v/>
      </c>
      <c r="BE214" s="74" t="str">
        <f aca="false">IF(ISBLANK($C214),"",IF($Z214=Constants!$B$2,TRUE(),IF($Z214=Constants!$B$3,FALSE(),FALSE())))</f>
        <v/>
      </c>
      <c r="BF214" s="74" t="str">
        <f aca="false">IF(ISBLANK($C214),"",IF(ISBLANK($AA214),0,IF(ISNUMBER($AA214),IF(AND($AA214&gt;=0,$AA214&lt;=Constants!$B$35,$AA214=INT($AA214)),$AA214,""),"")))</f>
        <v/>
      </c>
      <c r="BG214" s="74" t="str">
        <f aca="false">IF(ISBLANK($C214),"",IF($AB214=Constants!$B$2,TRUE(),IF($AB214=Constants!$B$3,FALSE(),TRUE())))</f>
        <v/>
      </c>
      <c r="BH214" s="74" t="str">
        <f aca="false">IF(ISBLANK($C214),"",IF($AC214=Constants!$B$2,TRUE(),IF($AC214=Constants!$B$3,FALSE(),TRUE())))</f>
        <v/>
      </c>
      <c r="BI214" s="74" t="str">
        <f aca="false">IF(ISBLANK($C214),"",IF($AD214=Constants!$B$2,TRUE(),IF($AD214=Constants!$B$3,FALSE(),TRUE())))</f>
        <v/>
      </c>
      <c r="BJ214" s="74" t="str">
        <f aca="false">IF(ISBLANK($C214),"",IF(ISNUMBER($AE214),IF($AE214&gt;=0,$AE214,""),""))</f>
        <v/>
      </c>
      <c r="BK214" s="74" t="str">
        <f aca="false">IF(ISBLANK($C214),"",IF($AF214=Constants!$B$2,TRUE(),IF($AF214=Constants!$B$3,FALSE(),FALSE())))</f>
        <v/>
      </c>
      <c r="BL214" s="73" t="str">
        <f aca="false">IF(ISBLANK($C214),"",IF($BK214,Constants!$B$7,IF(COUNTA($E214:$AE214)=0,Constants!$B$6,IF(OR(COUNTA($G214:$AE214)=0,NOT($AM214),$AS214),Constants!$B$5,IF(OR($CM214&lt;&gt;"",$CN214,$CO214,$CP214,$CQ214,$CR214,$CS214),Constants!$B$8,Constants!$B$4)))))</f>
        <v/>
      </c>
      <c r="BM214" s="74" t="str">
        <f aca="false">IF(ISBLANK($C214),"",IF($BL214&lt;&gt;Constants!$B$4,$BL214,IF(OR(NOT($AJ214),NOT($AL214),NOT($AT214)),Constants!$B$11,IF(OR(NOT($AR214),NOT($AU214),NOT($BI214),MAX($AN214,$AO214,$AP214)&gt;Constants!$B$30),Constants!$B$10,Constants!$B$9))))</f>
        <v/>
      </c>
      <c r="BN214" s="74" t="str">
        <f aca="false">IF($BL214&lt;&gt;Constants!$B$4,"",IF(NOT($AL214),0,MIN(Constants!$B$35,$BF214)))</f>
        <v/>
      </c>
      <c r="BO214" s="74" t="str">
        <f aca="false">IF($BL214&lt;&gt;Constants!$B$4,"",IF(NOT($AL214),0,IF($AW214,Constants!$B$18,IF($AV214,Constants!$B$17,0))))</f>
        <v/>
      </c>
      <c r="BP214" s="74" t="str">
        <f aca="false">IF($BL214&lt;&gt;Constants!$B$4,"",IF(NOT($AL214),0,Constants!$B$19*($AK214+$AX214+$AY214+$AZ214)))</f>
        <v/>
      </c>
      <c r="BQ214" s="74" t="str">
        <f aca="false">IF($BL214&lt;&gt;Constants!$B$4,"",IF(OR(NOT($AL214),NOT(ISNUMBER($BA214))),0,CHOOSE($BA214,Constants!$B$13,Constants!$B$14,Constants!$B$15,Constants!$B$16)))</f>
        <v/>
      </c>
      <c r="BR214" s="74" t="str">
        <f aca="false">IF($BL214&lt;&gt;Constants!$B$4,"",IF(NOT($AL214),0,Constants!$B$20*$BB214))</f>
        <v/>
      </c>
      <c r="BS214" s="74" t="str">
        <f aca="false">IF($BL214&lt;&gt;Constants!$B$4,"",IF(AND($AL214,$BD214,$BE214),Constants!$B$22,0))</f>
        <v/>
      </c>
      <c r="BT214" s="74" t="str">
        <f aca="false">IF($BL214&lt;&gt;Constants!$B$4,"",IF(OR(NOT($AL214),NOT($BD214)),0,IF($BJ214&gt;=2*$AH$9,0,Constants!$B$23*INT(ROUND(MIN($BJ214,$AH$9),6)))))</f>
        <v/>
      </c>
      <c r="BU214" s="74" t="str">
        <f aca="false">IF($BL214&lt;&gt;Constants!$B$4,"",IF(NOT($AL214),0,Constants!$B$24*INT(ROUND(MIN($BC214,$AH$9),6))))</f>
        <v/>
      </c>
      <c r="BV214" s="74" t="str">
        <f aca="false">IF($BL214&lt;&gt;Constants!$B$4,"",IF(AND($AL214,$BN214=0),Constants!$B$25,0))</f>
        <v/>
      </c>
      <c r="BW214" s="74" t="str">
        <f aca="false">IF($BL214&lt;&gt;Constants!$B$4,"",MIN(Constants!$B$29,MAX(0,Constants!$B$27*Constants!$B$28*INT(ROUND((Constants!$B$26-$AN214)/Constants!$B$28,6))))+MIN(Constants!$B$29,MAX(0,Constants!$B$27*Constants!$B$28*INT(ROUND((Constants!$B$26-$AO214)/Constants!$B$28,6))))+MIN(Constants!$B$29,MAX(0,Constants!$B$27*Constants!$B$28*INT(ROUND((Constants!$B$26-$AP214)/Constants!$B$28,6)))))</f>
        <v/>
      </c>
      <c r="BX214" s="74" t="str">
        <f aca="false">IF($BL214&lt;&gt;Constants!$B$4,"",IF(NOT($AL214),0,Constants!$B$31*INT(ROUND(MAX(0,MIN($BJ214,2*$AH$9)-$AH$9),6))))</f>
        <v/>
      </c>
      <c r="BY214" s="74" t="str">
        <f aca="false">IF($BL214&lt;&gt;Constants!$B$4,"",Constants!$B$32*(($AN214&gt;Constants!$B$26)+($AO214&gt;Constants!$B$26)+($AP214&gt;Constants!$B$26)))</f>
        <v/>
      </c>
      <c r="BZ214" s="74" t="str">
        <f aca="false">IF($BL214&lt;&gt;Constants!$B$4,"",IF(OR(NOT($AL214),$AQ214),0,Constants!$B$33))</f>
        <v/>
      </c>
      <c r="CA214" s="74" t="str">
        <f aca="false">IF($BL214&lt;&gt;Constants!$B$4,"",Constants!$B$34*$BN214)</f>
        <v/>
      </c>
      <c r="CB214" s="74" t="str">
        <f aca="false">IF($BL214&lt;&gt;Constants!$B$4,"",IF(OR(NOT($AL214),$BH214),0,Constants!$B$36))</f>
        <v/>
      </c>
      <c r="CC214" s="74" t="str">
        <f aca="false">IF($BL214&lt;&gt;Constants!$B$4,"",IF(OR(NOT($AL214),$BG214),0,Constants!$B$37))</f>
        <v/>
      </c>
      <c r="CD214" s="74" t="str">
        <f aca="false">IF($BL214&lt;&gt;Constants!$B$4,"",SUM($BX214:$CC214))</f>
        <v/>
      </c>
      <c r="CE214" s="74" t="str">
        <f aca="false">IF(ISBLANK($C214),"",IF($BL214&lt;&gt;Constants!$B$4,$BL214,SUM($BO214:$BW214)-$CD214))</f>
        <v/>
      </c>
      <c r="CF214" s="74" t="str">
        <f aca="false">IF(ISBLANK($C214),"",IF($BL214&lt;&gt;Constants!$B$4,$BL214,RANK($CE214,$CE$9:$CE$508)))</f>
        <v/>
      </c>
      <c r="CG214" s="74" t="str">
        <f aca="false">IF(ISBLANK($C214),"",IF($BL214&lt;&gt;Constants!$B$4,$BL214,COUNTIFS($BM$9:$BM$508,"&lt;"&amp;$BM214)+COUNTIFS($BM$9:$BM$508,$BM214,$CF$9:$CF$508,"&lt;"&amp;$CF214)+1))</f>
        <v/>
      </c>
      <c r="CH214" s="74" t="str">
        <f aca="false">IF(ISBLANK($C214),"",IF($BL214&lt;&gt;Constants!$B$4,$BL214,RANK($CD214,$CD$9:$CD$508,1)))</f>
        <v/>
      </c>
      <c r="CI214" s="74" t="str">
        <f aca="false">IF($BL214&lt;&gt;Constants!$B$4,"",$AN214+$AO214+$AP214)</f>
        <v/>
      </c>
      <c r="CJ214" s="74" t="str">
        <f aca="false">IF(ISBLANK($C214),"",IF($BL214&lt;&gt;Constants!$B$4,$BL214,RANK($CI214,$CI$9:$CI$508,1)))</f>
        <v/>
      </c>
      <c r="CK214" s="74" t="str">
        <f aca="false">IF(ISBLANK($C214),"",IF($BL214&lt;&gt;Constants!$B$4,$BL214,COUNTIFS($BM$9:$BM$508,"&lt;"&amp;$BM214)+COUNTIFS($BM$9:$BM$508,$BM214,$CF$9:$CF$508,"&lt;"&amp;$CF214)+COUNTIFS($BM$9:$BM$508,$BM214,$CF$9:$CF$508,$CF214,$CH$9:$CH$508,"&lt;"&amp;$CH214)+COUNTIFS($BM$9:$BM$508,$BM214,$CF$9:$CF$508,$CF214,$CH$9:$CH$508,$CH214,$CJ$9:$CJ$508,"&lt;"&amp;$CJ214)+1))</f>
        <v/>
      </c>
      <c r="CL214" s="74" t="str">
        <f aca="false">IF(ISBLANK($C214),"",IF($BL214&lt;&gt;Constants!$B$4,$BL214,$CG214-$CK214))</f>
        <v/>
      </c>
      <c r="CM214" s="74" t="str">
        <f aca="false">IF(ISBLANK($C214),"",IF(NOT($AL214),"",IF(ISBLANK($D$7),$CM$5,IF(NOT(ISNUMBER($D$7)),$CM$6,""))))</f>
        <v/>
      </c>
      <c r="CN214" s="74" t="str">
        <f aca="false">IF(ISBLANK($C214),"",OR($AN214="",$AO214="",$AP214=""))</f>
        <v/>
      </c>
      <c r="CO214" s="74" t="str">
        <f aca="false">IF(ISBLANK($C214),"",AND($AL214,$BA214=""))</f>
        <v/>
      </c>
      <c r="CP214" s="74" t="str">
        <f aca="false">IF(ISBLANK($C214),"",AND($AL214,$BB214=""))</f>
        <v/>
      </c>
      <c r="CQ214" s="74" t="str">
        <f aca="false">IF(ISBLANK($C214),"",AND($AL214,$BC214=""))</f>
        <v/>
      </c>
      <c r="CR214" s="74" t="str">
        <f aca="false">IF(ISBLANK($C214),"",AND($AL214,$BF214=""))</f>
        <v/>
      </c>
      <c r="CS214" s="74" t="str">
        <f aca="false">IF(ISBLANK($C214),"",AND($AL214,$BJ214=""))</f>
        <v/>
      </c>
      <c r="CT214" s="75"/>
      <c r="CU214" s="76"/>
      <c r="CV214" s="79" t="str">
        <f aca="false">IF(ISBLANK($C214),"",IF($BL214=Constants!$B$8,$CM214,""))</f>
        <v/>
      </c>
      <c r="CW214" s="76" t="str">
        <f aca="false">IF(ISBLANK($C214),"",IF($BL214&lt;&gt;Constants!$B$4,"",$BO214+$BP214))</f>
        <v/>
      </c>
      <c r="CX214" s="78" t="str">
        <f aca="false">IF(ISBLANK($C214),"",IF($BL214&lt;&gt;Constants!$B$4,"",$BQ214+$BR214+$BS214))</f>
        <v/>
      </c>
      <c r="CY214" s="78" t="str">
        <f aca="false">IF(ISBLANK($C214),"",IF($BL214&lt;&gt;Constants!$B$4,"",$BT214))</f>
        <v/>
      </c>
      <c r="CZ214" s="78" t="str">
        <f aca="false">IF(ISBLANK($C214),"",IF($BL214&lt;&gt;Constants!$B$4,"",$BU214+$BV214))</f>
        <v/>
      </c>
      <c r="DA214" s="78" t="str">
        <f aca="false">IF(ISBLANK($C214),"",IF($BL214&lt;&gt;Constants!$B$4,"",$BW214))</f>
        <v/>
      </c>
      <c r="DB214" s="78" t="str">
        <f aca="false">IF(ISBLANK($C214),"",IF($BL214&lt;&gt;Constants!$B$4,"",-$CD214))</f>
        <v/>
      </c>
      <c r="DC214" s="79" t="str">
        <f aca="false">IF(ISBLANK($C214),"",$CE214)</f>
        <v/>
      </c>
      <c r="DD214" s="80" t="str">
        <f aca="false">IF(ISBLANK($C214),"",$BM214)</f>
        <v/>
      </c>
      <c r="DE214" s="78" t="str">
        <f aca="false">IF(ISBLANK($C214),"",$CL214)</f>
        <v/>
      </c>
      <c r="DF214" s="78" t="str">
        <f aca="false">IF(ISBLANK($C214),"",$CK214)</f>
        <v/>
      </c>
      <c r="DG214" s="81" t="str">
        <f aca="false">IF(ISBLANK($C214),"",IF($DF214=Constants!$B$7,COUNTA($C$9:$C$508)+2,IF($DF214=Constants!$B$6,COUNTA($C$9:$C$508)+1,IF($DF214=Constants!$B$5,COUNTA($C$9:$C$508),$DF214))))</f>
        <v/>
      </c>
      <c r="DH214" s="7"/>
      <c r="DI214" s="82" t="n">
        <f aca="false">IF(OR(ISNUMBER($DF214),$DF214=Constants!$B$7,$DF214=Constants!$B$5,$DF214=Constants!$B$6),1,0)</f>
        <v>0</v>
      </c>
      <c r="DJ214" s="82" t="n">
        <v>206</v>
      </c>
      <c r="DK214" s="82" t="str">
        <f aca="false">IF(ISBLANK($C214),"",IF(ISNUMBER($DG214),$DG214+ROW($B214)/1000,""))</f>
        <v/>
      </c>
      <c r="DL214" s="82" t="str">
        <f aca="false">IF(ISNUMBER($DK214),RANK($DK214,$DK$9:$DK$508,1),"")</f>
        <v/>
      </c>
      <c r="DM214" s="82" t="str">
        <f aca="false">IF(ISBLANK($C214),"",$B214)</f>
        <v/>
      </c>
      <c r="DN214" s="82" t="str">
        <f aca="false">IF(ISBLANK($C214),"",$C214)</f>
        <v/>
      </c>
      <c r="DO214" s="82" t="str">
        <f aca="false">IF(ISBLANK($C214),"",$D214)</f>
        <v/>
      </c>
      <c r="DP214" s="83" t="str">
        <f aca="false">$DD214</f>
        <v/>
      </c>
      <c r="DQ214" s="84" t="str">
        <f aca="false">$DC214</f>
        <v/>
      </c>
      <c r="DR214" s="82" t="str">
        <f aca="false">IF(ISBLANK($C214),"",$DF214)</f>
        <v/>
      </c>
      <c r="DS214" s="85" t="str">
        <f aca="false">IF($DJ214&gt;$DI$8,"",VLOOKUP($DJ214,$DL$9:$DR$508,7,FALSE()))</f>
        <v/>
      </c>
      <c r="DT214" s="86" t="str">
        <f aca="false">IF($DJ214&gt;$DI$8,"",VLOOKUP($DJ214,$DL$9:$DR$508,2,FALSE()))</f>
        <v/>
      </c>
      <c r="DU214" s="86" t="str">
        <f aca="false">IF($DJ214&gt;$DI$8,"",VLOOKUP($DJ214,$DL$9:$DR$508,3,FALSE()))</f>
        <v/>
      </c>
      <c r="DV214" s="86" t="str">
        <f aca="false">IF($DJ214&gt;$DI$8,"",VLOOKUP($DJ214,$DL$9:$DR$508,4,FALSE()))</f>
        <v/>
      </c>
      <c r="DW214" s="86" t="str">
        <f aca="false">IF($DJ214&gt;$DI$8,"",VLOOKUP($DJ214,$DL$9:$DR$508,5,FALSE()))</f>
        <v/>
      </c>
      <c r="DX214" s="87" t="str">
        <f aca="false">IF($DJ214&gt;$DI$8,"",VLOOKUP($DJ214,$DL$9:$DR$508,6,FALSE()))</f>
        <v/>
      </c>
      <c r="DY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88"/>
      <c r="N215" s="88"/>
      <c r="O215" s="134"/>
      <c r="P215" s="134"/>
      <c r="Q215" s="88"/>
      <c r="R215" s="88"/>
      <c r="S215" s="88"/>
      <c r="T215" s="88"/>
      <c r="U215" s="134"/>
      <c r="V215" s="88"/>
      <c r="W215" s="70"/>
      <c r="X215" s="88"/>
      <c r="Y215" s="88"/>
      <c r="Z215" s="70"/>
      <c r="AA215" s="70"/>
      <c r="AB215" s="88"/>
      <c r="AC215" s="88"/>
      <c r="AD215" s="88"/>
      <c r="AE215" s="71"/>
      <c r="AF215" s="88"/>
      <c r="AG215" s="73"/>
      <c r="AH215" s="74"/>
      <c r="AI215" s="74"/>
      <c r="AJ215" s="74" t="str">
        <f aca="false">IF(ISBLANK($C215),"",IF($E215=Constants!$B$2,TRUE(),IF($E215=Constants!$B$3,FALSE(),TRUE())))</f>
        <v/>
      </c>
      <c r="AK215" s="74" t="str">
        <f aca="false">IF(ISBLANK($C215),"",IF($F215=Constants!$B$2,TRUE(),IF($F215=Constants!$B$3,FALSE(),FALSE())))</f>
        <v/>
      </c>
      <c r="AL215" s="74" t="str">
        <f aca="false">IF(ISBLANK($C215),"",IF($G215=Constants!$B$2,TRUE(),IF($G215=Constants!$B$3,FALSE(),TRUE())))</f>
        <v/>
      </c>
      <c r="AM215" s="74" t="str">
        <f aca="false">IF(ISBLANK($C215),"",IF($H215=Constants!$B$2,TRUE(),IF($H215=Constants!$B$3,FALSE(),TRUE())))</f>
        <v/>
      </c>
      <c r="AN215" s="74" t="str">
        <f aca="false">IF(ISBLANK($C215),"",IF(ISNUMBER($I215),IF($I215&gt;=0,$I215,""),""))</f>
        <v/>
      </c>
      <c r="AO215" s="74" t="str">
        <f aca="false">IF(ISBLANK($C215),"",IF(ISNUMBER($J215),IF($J215&gt;=0,$J215,""),""))</f>
        <v/>
      </c>
      <c r="AP215" s="74" t="str">
        <f aca="false">IF(ISBLANK($C215),"",IF(ISNUMBER($K215),IF($K215&gt;=0,$K215,""),""))</f>
        <v/>
      </c>
      <c r="AQ215" s="74" t="str">
        <f aca="false">IF(ISBLANK($C215),"",IF($L215=Constants!$B$2,TRUE(),IF($L215=Constants!$B$3,FALSE(),TRUE())))</f>
        <v/>
      </c>
      <c r="AR215" s="74" t="str">
        <f aca="false">IF(ISBLANK($C215),"",IF($M215=Constants!$B$2,TRUE(),IF($M215=Constants!$B$3,FALSE(),TRUE())))</f>
        <v/>
      </c>
      <c r="AS215" s="74" t="str">
        <f aca="false">IF(ISBLANK($C215),"",IF($N215=Constants!$B$2,TRUE(),IF($N215=Constants!$B$3,FALSE(),FALSE())))</f>
        <v/>
      </c>
      <c r="AT215" s="74" t="str">
        <f aca="false">IF(ISBLANK($C215),"",IF($O215=Constants!$B$2,TRUE(),IF($O215=Constants!$B$3,FALSE(),TRUE())))</f>
        <v/>
      </c>
      <c r="AU215" s="74" t="str">
        <f aca="false">IF(ISBLANK($C215),"",IF($P215=Constants!$B$2,TRUE(),IF($P215=Constants!$B$3,FALSE(),TRUE())))</f>
        <v/>
      </c>
      <c r="AV215" s="74" t="str">
        <f aca="false">IF(ISBLANK($C215),"",IF($Q215=Constants!$B$2,TRUE(),IF($Q215=Constants!$B$3,FALSE(),FALSE())))</f>
        <v/>
      </c>
      <c r="AW215" s="74" t="str">
        <f aca="false">IF(ISBLANK($C215),"",IF($R215=Constants!$B$2,TRUE(),IF($R215=Constants!$B$3,FALSE(),FALSE())))</f>
        <v/>
      </c>
      <c r="AX215" s="74" t="str">
        <f aca="false">IF(ISBLANK($C215),"",IF($S215=Constants!$B$2,TRUE(),IF($S215=Constants!$B$3,FALSE(),FALSE())))</f>
        <v/>
      </c>
      <c r="AY215" s="74" t="str">
        <f aca="false">IF(ISBLANK($C215),"",IF($T215=Constants!$B$2,TRUE(),IF($T215=Constants!$B$3,FALSE(),FALSE())))</f>
        <v/>
      </c>
      <c r="AZ215" s="74" t="str">
        <f aca="false">IF(ISBLANK($C215),"",IF($U215=Constants!$B$2,TRUE(),IF($U215=Constants!$B$3,FALSE(),FALSE())))</f>
        <v/>
      </c>
      <c r="BA215" s="74" t="str">
        <f aca="false">IF(ISBLANK($C215),"",IF(OR($V215&amp;""="1",$V215&amp;""="2",$V215&amp;""="3",$V215&amp;""="4"),VALUE($V215&amp;""),IF($V215=Constants!$B$12,Constants!$B$12,"")))</f>
        <v/>
      </c>
      <c r="BB215" s="74" t="str">
        <f aca="false">IF(ISBLANK($C215),"",IF(ISBLANK($W215),0,IF(ISNUMBER($W215),IF(AND($W215&gt;=0,$W215&lt;=Constants!$B$21,$W215=INT($W215)),$W215,""),"")))</f>
        <v/>
      </c>
      <c r="BC215" s="74" t="str">
        <f aca="false">IF(ISBLANK($C215),"",IF(ISBLANK($X215),0,IF(ISNUMBER($X215),IF($X215&gt;=0,$X215,""),"")))</f>
        <v/>
      </c>
      <c r="BD215" s="74" t="str">
        <f aca="false">IF(ISBLANK($C215),"",IF($Y215=Constants!$B$2,TRUE(),IF($Y215=Constants!$B$3,FALSE(),TRUE())))</f>
        <v/>
      </c>
      <c r="BE215" s="74" t="str">
        <f aca="false">IF(ISBLANK($C215),"",IF($Z215=Constants!$B$2,TRUE(),IF($Z215=Constants!$B$3,FALSE(),FALSE())))</f>
        <v/>
      </c>
      <c r="BF215" s="74" t="str">
        <f aca="false">IF(ISBLANK($C215),"",IF(ISBLANK($AA215),0,IF(ISNUMBER($AA215),IF(AND($AA215&gt;=0,$AA215&lt;=Constants!$B$35,$AA215=INT($AA215)),$AA215,""),"")))</f>
        <v/>
      </c>
      <c r="BG215" s="74" t="str">
        <f aca="false">IF(ISBLANK($C215),"",IF($AB215=Constants!$B$2,TRUE(),IF($AB215=Constants!$B$3,FALSE(),TRUE())))</f>
        <v/>
      </c>
      <c r="BH215" s="74" t="str">
        <f aca="false">IF(ISBLANK($C215),"",IF($AC215=Constants!$B$2,TRUE(),IF($AC215=Constants!$B$3,FALSE(),TRUE())))</f>
        <v/>
      </c>
      <c r="BI215" s="74" t="str">
        <f aca="false">IF(ISBLANK($C215),"",IF($AD215=Constants!$B$2,TRUE(),IF($AD215=Constants!$B$3,FALSE(),TRUE())))</f>
        <v/>
      </c>
      <c r="BJ215" s="74" t="str">
        <f aca="false">IF(ISBLANK($C215),"",IF(ISNUMBER($AE215),IF($AE215&gt;=0,$AE215,""),""))</f>
        <v/>
      </c>
      <c r="BK215" s="74" t="str">
        <f aca="false">IF(ISBLANK($C215),"",IF($AF215=Constants!$B$2,TRUE(),IF($AF215=Constants!$B$3,FALSE(),FALSE())))</f>
        <v/>
      </c>
      <c r="BL215" s="73" t="str">
        <f aca="false">IF(ISBLANK($C215),"",IF($BK215,Constants!$B$7,IF(COUNTA($E215:$AE215)=0,Constants!$B$6,IF(OR(COUNTA($G215:$AE215)=0,NOT($AM215),$AS215),Constants!$B$5,IF(OR($CM215&lt;&gt;"",$CN215,$CO215,$CP215,$CQ215,$CR215,$CS215),Constants!$B$8,Constants!$B$4)))))</f>
        <v/>
      </c>
      <c r="BM215" s="74" t="str">
        <f aca="false">IF(ISBLANK($C215),"",IF($BL215&lt;&gt;Constants!$B$4,$BL215,IF(OR(NOT($AJ215),NOT($AL215),NOT($AT215)),Constants!$B$11,IF(OR(NOT($AR215),NOT($AU215),NOT($BI215),MAX($AN215,$AO215,$AP215)&gt;Constants!$B$30),Constants!$B$10,Constants!$B$9))))</f>
        <v/>
      </c>
      <c r="BN215" s="74" t="str">
        <f aca="false">IF($BL215&lt;&gt;Constants!$B$4,"",IF(NOT($AL215),0,MIN(Constants!$B$35,$BF215)))</f>
        <v/>
      </c>
      <c r="BO215" s="74" t="str">
        <f aca="false">IF($BL215&lt;&gt;Constants!$B$4,"",IF(NOT($AL215),0,IF($AW215,Constants!$B$18,IF($AV215,Constants!$B$17,0))))</f>
        <v/>
      </c>
      <c r="BP215" s="74" t="str">
        <f aca="false">IF($BL215&lt;&gt;Constants!$B$4,"",IF(NOT($AL215),0,Constants!$B$19*($AK215+$AX215+$AY215+$AZ215)))</f>
        <v/>
      </c>
      <c r="BQ215" s="74" t="str">
        <f aca="false">IF($BL215&lt;&gt;Constants!$B$4,"",IF(OR(NOT($AL215),NOT(ISNUMBER($BA215))),0,CHOOSE($BA215,Constants!$B$13,Constants!$B$14,Constants!$B$15,Constants!$B$16)))</f>
        <v/>
      </c>
      <c r="BR215" s="74" t="str">
        <f aca="false">IF($BL215&lt;&gt;Constants!$B$4,"",IF(NOT($AL215),0,Constants!$B$20*$BB215))</f>
        <v/>
      </c>
      <c r="BS215" s="74" t="str">
        <f aca="false">IF($BL215&lt;&gt;Constants!$B$4,"",IF(AND($AL215,$BD215,$BE215),Constants!$B$22,0))</f>
        <v/>
      </c>
      <c r="BT215" s="74" t="str">
        <f aca="false">IF($BL215&lt;&gt;Constants!$B$4,"",IF(OR(NOT($AL215),NOT($BD215)),0,IF($BJ215&gt;=2*$AH$9,0,Constants!$B$23*INT(ROUND(MIN($BJ215,$AH$9),6)))))</f>
        <v/>
      </c>
      <c r="BU215" s="74" t="str">
        <f aca="false">IF($BL215&lt;&gt;Constants!$B$4,"",IF(NOT($AL215),0,Constants!$B$24*INT(ROUND(MIN($BC215,$AH$9),6))))</f>
        <v/>
      </c>
      <c r="BV215" s="74" t="str">
        <f aca="false">IF($BL215&lt;&gt;Constants!$B$4,"",IF(AND($AL215,$BN215=0),Constants!$B$25,0))</f>
        <v/>
      </c>
      <c r="BW215" s="74" t="str">
        <f aca="false">IF($BL215&lt;&gt;Constants!$B$4,"",MIN(Constants!$B$29,MAX(0,Constants!$B$27*Constants!$B$28*INT(ROUND((Constants!$B$26-$AN215)/Constants!$B$28,6))))+MIN(Constants!$B$29,MAX(0,Constants!$B$27*Constants!$B$28*INT(ROUND((Constants!$B$26-$AO215)/Constants!$B$28,6))))+MIN(Constants!$B$29,MAX(0,Constants!$B$27*Constants!$B$28*INT(ROUND((Constants!$B$26-$AP215)/Constants!$B$28,6)))))</f>
        <v/>
      </c>
      <c r="BX215" s="74" t="str">
        <f aca="false">IF($BL215&lt;&gt;Constants!$B$4,"",IF(NOT($AL215),0,Constants!$B$31*INT(ROUND(MAX(0,MIN($BJ215,2*$AH$9)-$AH$9),6))))</f>
        <v/>
      </c>
      <c r="BY215" s="74" t="str">
        <f aca="false">IF($BL215&lt;&gt;Constants!$B$4,"",Constants!$B$32*(($AN215&gt;Constants!$B$26)+($AO215&gt;Constants!$B$26)+($AP215&gt;Constants!$B$26)))</f>
        <v/>
      </c>
      <c r="BZ215" s="74" t="str">
        <f aca="false">IF($BL215&lt;&gt;Constants!$B$4,"",IF(OR(NOT($AL215),$AQ215),0,Constants!$B$33))</f>
        <v/>
      </c>
      <c r="CA215" s="74" t="str">
        <f aca="false">IF($BL215&lt;&gt;Constants!$B$4,"",Constants!$B$34*$BN215)</f>
        <v/>
      </c>
      <c r="CB215" s="74" t="str">
        <f aca="false">IF($BL215&lt;&gt;Constants!$B$4,"",IF(OR(NOT($AL215),$BH215),0,Constants!$B$36))</f>
        <v/>
      </c>
      <c r="CC215" s="74" t="str">
        <f aca="false">IF($BL215&lt;&gt;Constants!$B$4,"",IF(OR(NOT($AL215),$BG215),0,Constants!$B$37))</f>
        <v/>
      </c>
      <c r="CD215" s="74" t="str">
        <f aca="false">IF($BL215&lt;&gt;Constants!$B$4,"",SUM($BX215:$CC215))</f>
        <v/>
      </c>
      <c r="CE215" s="74" t="str">
        <f aca="false">IF(ISBLANK($C215),"",IF($BL215&lt;&gt;Constants!$B$4,$BL215,SUM($BO215:$BW215)-$CD215))</f>
        <v/>
      </c>
      <c r="CF215" s="74" t="str">
        <f aca="false">IF(ISBLANK($C215),"",IF($BL215&lt;&gt;Constants!$B$4,$BL215,RANK($CE215,$CE$9:$CE$508)))</f>
        <v/>
      </c>
      <c r="CG215" s="74" t="str">
        <f aca="false">IF(ISBLANK($C215),"",IF($BL215&lt;&gt;Constants!$B$4,$BL215,COUNTIFS($BM$9:$BM$508,"&lt;"&amp;$BM215)+COUNTIFS($BM$9:$BM$508,$BM215,$CF$9:$CF$508,"&lt;"&amp;$CF215)+1))</f>
        <v/>
      </c>
      <c r="CH215" s="74" t="str">
        <f aca="false">IF(ISBLANK($C215),"",IF($BL215&lt;&gt;Constants!$B$4,$BL215,RANK($CD215,$CD$9:$CD$508,1)))</f>
        <v/>
      </c>
      <c r="CI215" s="74" t="str">
        <f aca="false">IF($BL215&lt;&gt;Constants!$B$4,"",$AN215+$AO215+$AP215)</f>
        <v/>
      </c>
      <c r="CJ215" s="74" t="str">
        <f aca="false">IF(ISBLANK($C215),"",IF($BL215&lt;&gt;Constants!$B$4,$BL215,RANK($CI215,$CI$9:$CI$508,1)))</f>
        <v/>
      </c>
      <c r="CK215" s="74" t="str">
        <f aca="false">IF(ISBLANK($C215),"",IF($BL215&lt;&gt;Constants!$B$4,$BL215,COUNTIFS($BM$9:$BM$508,"&lt;"&amp;$BM215)+COUNTIFS($BM$9:$BM$508,$BM215,$CF$9:$CF$508,"&lt;"&amp;$CF215)+COUNTIFS($BM$9:$BM$508,$BM215,$CF$9:$CF$508,$CF215,$CH$9:$CH$508,"&lt;"&amp;$CH215)+COUNTIFS($BM$9:$BM$508,$BM215,$CF$9:$CF$508,$CF215,$CH$9:$CH$508,$CH215,$CJ$9:$CJ$508,"&lt;"&amp;$CJ215)+1))</f>
        <v/>
      </c>
      <c r="CL215" s="74" t="str">
        <f aca="false">IF(ISBLANK($C215),"",IF($BL215&lt;&gt;Constants!$B$4,$BL215,$CG215-$CK215))</f>
        <v/>
      </c>
      <c r="CM215" s="74" t="str">
        <f aca="false">IF(ISBLANK($C215),"",IF(NOT($AL215),"",IF(ISBLANK($D$7),$CM$5,IF(NOT(ISNUMBER($D$7)),$CM$6,""))))</f>
        <v/>
      </c>
      <c r="CN215" s="74" t="str">
        <f aca="false">IF(ISBLANK($C215),"",OR($AN215="",$AO215="",$AP215=""))</f>
        <v/>
      </c>
      <c r="CO215" s="74" t="str">
        <f aca="false">IF(ISBLANK($C215),"",AND($AL215,$BA215=""))</f>
        <v/>
      </c>
      <c r="CP215" s="74" t="str">
        <f aca="false">IF(ISBLANK($C215),"",AND($AL215,$BB215=""))</f>
        <v/>
      </c>
      <c r="CQ215" s="74" t="str">
        <f aca="false">IF(ISBLANK($C215),"",AND($AL215,$BC215=""))</f>
        <v/>
      </c>
      <c r="CR215" s="74" t="str">
        <f aca="false">IF(ISBLANK($C215),"",AND($AL215,$BF215=""))</f>
        <v/>
      </c>
      <c r="CS215" s="74" t="str">
        <f aca="false">IF(ISBLANK($C215),"",AND($AL215,$BJ215=""))</f>
        <v/>
      </c>
      <c r="CT215" s="75"/>
      <c r="CU215" s="76"/>
      <c r="CV215" s="79" t="str">
        <f aca="false">IF(ISBLANK($C215),"",IF($BL215=Constants!$B$8,$CM215,""))</f>
        <v/>
      </c>
      <c r="CW215" s="76" t="str">
        <f aca="false">IF(ISBLANK($C215),"",IF($BL215&lt;&gt;Constants!$B$4,"",$BO215+$BP215))</f>
        <v/>
      </c>
      <c r="CX215" s="78" t="str">
        <f aca="false">IF(ISBLANK($C215),"",IF($BL215&lt;&gt;Constants!$B$4,"",$BQ215+$BR215+$BS215))</f>
        <v/>
      </c>
      <c r="CY215" s="78" t="str">
        <f aca="false">IF(ISBLANK($C215),"",IF($BL215&lt;&gt;Constants!$B$4,"",$BT215))</f>
        <v/>
      </c>
      <c r="CZ215" s="78" t="str">
        <f aca="false">IF(ISBLANK($C215),"",IF($BL215&lt;&gt;Constants!$B$4,"",$BU215+$BV215))</f>
        <v/>
      </c>
      <c r="DA215" s="78" t="str">
        <f aca="false">IF(ISBLANK($C215),"",IF($BL215&lt;&gt;Constants!$B$4,"",$BW215))</f>
        <v/>
      </c>
      <c r="DB215" s="78" t="str">
        <f aca="false">IF(ISBLANK($C215),"",IF($BL215&lt;&gt;Constants!$B$4,"",-$CD215))</f>
        <v/>
      </c>
      <c r="DC215" s="79" t="str">
        <f aca="false">IF(ISBLANK($C215),"",$CE215)</f>
        <v/>
      </c>
      <c r="DD215" s="80" t="str">
        <f aca="false">IF(ISBLANK($C215),"",$BM215)</f>
        <v/>
      </c>
      <c r="DE215" s="78" t="str">
        <f aca="false">IF(ISBLANK($C215),"",$CL215)</f>
        <v/>
      </c>
      <c r="DF215" s="78" t="str">
        <f aca="false">IF(ISBLANK($C215),"",$CK215)</f>
        <v/>
      </c>
      <c r="DG215" s="81" t="str">
        <f aca="false">IF(ISBLANK($C215),"",IF($DF215=Constants!$B$7,COUNTA($C$9:$C$508)+2,IF($DF215=Constants!$B$6,COUNTA($C$9:$C$508)+1,IF($DF215=Constants!$B$5,COUNTA($C$9:$C$508),$DF215))))</f>
        <v/>
      </c>
      <c r="DH215" s="7"/>
      <c r="DI215" s="82" t="n">
        <f aca="false">IF(OR(ISNUMBER($DF215),$DF215=Constants!$B$7,$DF215=Constants!$B$5,$DF215=Constants!$B$6),1,0)</f>
        <v>0</v>
      </c>
      <c r="DJ215" s="82" t="n">
        <v>207</v>
      </c>
      <c r="DK215" s="82" t="str">
        <f aca="false">IF(ISBLANK($C215),"",IF(ISNUMBER($DG215),$DG215+ROW($B215)/1000,""))</f>
        <v/>
      </c>
      <c r="DL215" s="82" t="str">
        <f aca="false">IF(ISNUMBER($DK215),RANK($DK215,$DK$9:$DK$508,1),"")</f>
        <v/>
      </c>
      <c r="DM215" s="82" t="str">
        <f aca="false">IF(ISBLANK($C215),"",$B215)</f>
        <v/>
      </c>
      <c r="DN215" s="82" t="str">
        <f aca="false">IF(ISBLANK($C215),"",$C215)</f>
        <v/>
      </c>
      <c r="DO215" s="82" t="str">
        <f aca="false">IF(ISBLANK($C215),"",$D215)</f>
        <v/>
      </c>
      <c r="DP215" s="83" t="str">
        <f aca="false">$DD215</f>
        <v/>
      </c>
      <c r="DQ215" s="84" t="str">
        <f aca="false">$DC215</f>
        <v/>
      </c>
      <c r="DR215" s="82" t="str">
        <f aca="false">IF(ISBLANK($C215),"",$DF215)</f>
        <v/>
      </c>
      <c r="DS215" s="85" t="str">
        <f aca="false">IF($DJ215&gt;$DI$8,"",VLOOKUP($DJ215,$DL$9:$DR$508,7,FALSE()))</f>
        <v/>
      </c>
      <c r="DT215" s="86" t="str">
        <f aca="false">IF($DJ215&gt;$DI$8,"",VLOOKUP($DJ215,$DL$9:$DR$508,2,FALSE()))</f>
        <v/>
      </c>
      <c r="DU215" s="86" t="str">
        <f aca="false">IF($DJ215&gt;$DI$8,"",VLOOKUP($DJ215,$DL$9:$DR$508,3,FALSE()))</f>
        <v/>
      </c>
      <c r="DV215" s="86" t="str">
        <f aca="false">IF($DJ215&gt;$DI$8,"",VLOOKUP($DJ215,$DL$9:$DR$508,4,FALSE()))</f>
        <v/>
      </c>
      <c r="DW215" s="86" t="str">
        <f aca="false">IF($DJ215&gt;$DI$8,"",VLOOKUP($DJ215,$DL$9:$DR$508,5,FALSE()))</f>
        <v/>
      </c>
      <c r="DX215" s="87" t="str">
        <f aca="false">IF($DJ215&gt;$DI$8,"",VLOOKUP($DJ215,$DL$9:$DR$508,6,FALSE()))</f>
        <v/>
      </c>
      <c r="DY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130"/>
      <c r="N216" s="130"/>
      <c r="O216" s="135"/>
      <c r="P216" s="135"/>
      <c r="Q216" s="130"/>
      <c r="R216" s="130"/>
      <c r="S216" s="130"/>
      <c r="T216" s="130"/>
      <c r="U216" s="135"/>
      <c r="V216" s="130"/>
      <c r="W216" s="96"/>
      <c r="X216" s="130"/>
      <c r="Y216" s="130"/>
      <c r="Z216" s="96"/>
      <c r="AA216" s="96"/>
      <c r="AB216" s="130"/>
      <c r="AC216" s="130"/>
      <c r="AD216" s="130"/>
      <c r="AE216" s="97"/>
      <c r="AF216" s="130"/>
      <c r="AG216" s="99"/>
      <c r="AH216" s="100"/>
      <c r="AI216" s="100"/>
      <c r="AJ216" s="100" t="str">
        <f aca="false">IF(ISBLANK($C216),"",IF($E216=Constants!$B$2,TRUE(),IF($E216=Constants!$B$3,FALSE(),TRUE())))</f>
        <v/>
      </c>
      <c r="AK216" s="100" t="str">
        <f aca="false">IF(ISBLANK($C216),"",IF($F216=Constants!$B$2,TRUE(),IF($F216=Constants!$B$3,FALSE(),FALSE())))</f>
        <v/>
      </c>
      <c r="AL216" s="100" t="str">
        <f aca="false">IF(ISBLANK($C216),"",IF($G216=Constants!$B$2,TRUE(),IF($G216=Constants!$B$3,FALSE(),TRUE())))</f>
        <v/>
      </c>
      <c r="AM216" s="100" t="str">
        <f aca="false">IF(ISBLANK($C216),"",IF($H216=Constants!$B$2,TRUE(),IF($H216=Constants!$B$3,FALSE(),TRUE())))</f>
        <v/>
      </c>
      <c r="AN216" s="100" t="str">
        <f aca="false">IF(ISBLANK($C216),"",IF(ISNUMBER($I216),IF($I216&gt;=0,$I216,""),""))</f>
        <v/>
      </c>
      <c r="AO216" s="100" t="str">
        <f aca="false">IF(ISBLANK($C216),"",IF(ISNUMBER($J216),IF($J216&gt;=0,$J216,""),""))</f>
        <v/>
      </c>
      <c r="AP216" s="100" t="str">
        <f aca="false">IF(ISBLANK($C216),"",IF(ISNUMBER($K216),IF($K216&gt;=0,$K216,""),""))</f>
        <v/>
      </c>
      <c r="AQ216" s="100" t="str">
        <f aca="false">IF(ISBLANK($C216),"",IF($L216=Constants!$B$2,TRUE(),IF($L216=Constants!$B$3,FALSE(),TRUE())))</f>
        <v/>
      </c>
      <c r="AR216" s="100" t="str">
        <f aca="false">IF(ISBLANK($C216),"",IF($M216=Constants!$B$2,TRUE(),IF($M216=Constants!$B$3,FALSE(),TRUE())))</f>
        <v/>
      </c>
      <c r="AS216" s="100" t="str">
        <f aca="false">IF(ISBLANK($C216),"",IF($N216=Constants!$B$2,TRUE(),IF($N216=Constants!$B$3,FALSE(),FALSE())))</f>
        <v/>
      </c>
      <c r="AT216" s="100" t="str">
        <f aca="false">IF(ISBLANK($C216),"",IF($O216=Constants!$B$2,TRUE(),IF($O216=Constants!$B$3,FALSE(),TRUE())))</f>
        <v/>
      </c>
      <c r="AU216" s="100" t="str">
        <f aca="false">IF(ISBLANK($C216),"",IF($P216=Constants!$B$2,TRUE(),IF($P216=Constants!$B$3,FALSE(),TRUE())))</f>
        <v/>
      </c>
      <c r="AV216" s="100" t="str">
        <f aca="false">IF(ISBLANK($C216),"",IF($Q216=Constants!$B$2,TRUE(),IF($Q216=Constants!$B$3,FALSE(),FALSE())))</f>
        <v/>
      </c>
      <c r="AW216" s="100" t="str">
        <f aca="false">IF(ISBLANK($C216),"",IF($R216=Constants!$B$2,TRUE(),IF($R216=Constants!$B$3,FALSE(),FALSE())))</f>
        <v/>
      </c>
      <c r="AX216" s="100" t="str">
        <f aca="false">IF(ISBLANK($C216),"",IF($S216=Constants!$B$2,TRUE(),IF($S216=Constants!$B$3,FALSE(),FALSE())))</f>
        <v/>
      </c>
      <c r="AY216" s="100" t="str">
        <f aca="false">IF(ISBLANK($C216),"",IF($T216=Constants!$B$2,TRUE(),IF($T216=Constants!$B$3,FALSE(),FALSE())))</f>
        <v/>
      </c>
      <c r="AZ216" s="100" t="str">
        <f aca="false">IF(ISBLANK($C216),"",IF($U216=Constants!$B$2,TRUE(),IF($U216=Constants!$B$3,FALSE(),FALSE())))</f>
        <v/>
      </c>
      <c r="BA216" s="100" t="str">
        <f aca="false">IF(ISBLANK($C216),"",IF(OR($V216&amp;""="1",$V216&amp;""="2",$V216&amp;""="3",$V216&amp;""="4"),VALUE($V216&amp;""),IF($V216=Constants!$B$12,Constants!$B$12,"")))</f>
        <v/>
      </c>
      <c r="BB216" s="100" t="str">
        <f aca="false">IF(ISBLANK($C216),"",IF(ISBLANK($W216),0,IF(ISNUMBER($W216),IF(AND($W216&gt;=0,$W216&lt;=Constants!$B$21,$W216=INT($W216)),$W216,""),"")))</f>
        <v/>
      </c>
      <c r="BC216" s="100" t="str">
        <f aca="false">IF(ISBLANK($C216),"",IF(ISBLANK($X216),0,IF(ISNUMBER($X216),IF($X216&gt;=0,$X216,""),"")))</f>
        <v/>
      </c>
      <c r="BD216" s="100" t="str">
        <f aca="false">IF(ISBLANK($C216),"",IF($Y216=Constants!$B$2,TRUE(),IF($Y216=Constants!$B$3,FALSE(),TRUE())))</f>
        <v/>
      </c>
      <c r="BE216" s="100" t="str">
        <f aca="false">IF(ISBLANK($C216),"",IF($Z216=Constants!$B$2,TRUE(),IF($Z216=Constants!$B$3,FALSE(),FALSE())))</f>
        <v/>
      </c>
      <c r="BF216" s="100" t="str">
        <f aca="false">IF(ISBLANK($C216),"",IF(ISBLANK($AA216),0,IF(ISNUMBER($AA216),IF(AND($AA216&gt;=0,$AA216&lt;=Constants!$B$35,$AA216=INT($AA216)),$AA216,""),"")))</f>
        <v/>
      </c>
      <c r="BG216" s="100" t="str">
        <f aca="false">IF(ISBLANK($C216),"",IF($AB216=Constants!$B$2,TRUE(),IF($AB216=Constants!$B$3,FALSE(),TRUE())))</f>
        <v/>
      </c>
      <c r="BH216" s="100" t="str">
        <f aca="false">IF(ISBLANK($C216),"",IF($AC216=Constants!$B$2,TRUE(),IF($AC216=Constants!$B$3,FALSE(),TRUE())))</f>
        <v/>
      </c>
      <c r="BI216" s="100" t="str">
        <f aca="false">IF(ISBLANK($C216),"",IF($AD216=Constants!$B$2,TRUE(),IF($AD216=Constants!$B$3,FALSE(),TRUE())))</f>
        <v/>
      </c>
      <c r="BJ216" s="100" t="str">
        <f aca="false">IF(ISBLANK($C216),"",IF(ISNUMBER($AE216),IF($AE216&gt;=0,$AE216,""),""))</f>
        <v/>
      </c>
      <c r="BK216" s="100" t="str">
        <f aca="false">IF(ISBLANK($C216),"",IF($AF216=Constants!$B$2,TRUE(),IF($AF216=Constants!$B$3,FALSE(),FALSE())))</f>
        <v/>
      </c>
      <c r="BL216" s="99" t="str">
        <f aca="false">IF(ISBLANK($C216),"",IF($BK216,Constants!$B$7,IF(COUNTA($E216:$AE216)=0,Constants!$B$6,IF(OR(COUNTA($G216:$AE216)=0,NOT($AM216),$AS216),Constants!$B$5,IF(OR($CM216&lt;&gt;"",$CN216,$CO216,$CP216,$CQ216,$CR216,$CS216),Constants!$B$8,Constants!$B$4)))))</f>
        <v/>
      </c>
      <c r="BM216" s="100" t="str">
        <f aca="false">IF(ISBLANK($C216),"",IF($BL216&lt;&gt;Constants!$B$4,$BL216,IF(OR(NOT($AJ216),NOT($AL216),NOT($AT216)),Constants!$B$11,IF(OR(NOT($AR216),NOT($AU216),NOT($BI216),MAX($AN216,$AO216,$AP216)&gt;Constants!$B$30),Constants!$B$10,Constants!$B$9))))</f>
        <v/>
      </c>
      <c r="BN216" s="100" t="str">
        <f aca="false">IF($BL216&lt;&gt;Constants!$B$4,"",IF(NOT($AL216),0,MIN(Constants!$B$35,$BF216)))</f>
        <v/>
      </c>
      <c r="BO216" s="100" t="str">
        <f aca="false">IF($BL216&lt;&gt;Constants!$B$4,"",IF(NOT($AL216),0,IF($AW216,Constants!$B$18,IF($AV216,Constants!$B$17,0))))</f>
        <v/>
      </c>
      <c r="BP216" s="100" t="str">
        <f aca="false">IF($BL216&lt;&gt;Constants!$B$4,"",IF(NOT($AL216),0,Constants!$B$19*($AK216+$AX216+$AY216+$AZ216)))</f>
        <v/>
      </c>
      <c r="BQ216" s="100" t="str">
        <f aca="false">IF($BL216&lt;&gt;Constants!$B$4,"",IF(OR(NOT($AL216),NOT(ISNUMBER($BA216))),0,CHOOSE($BA216,Constants!$B$13,Constants!$B$14,Constants!$B$15,Constants!$B$16)))</f>
        <v/>
      </c>
      <c r="BR216" s="100" t="str">
        <f aca="false">IF($BL216&lt;&gt;Constants!$B$4,"",IF(NOT($AL216),0,Constants!$B$20*$BB216))</f>
        <v/>
      </c>
      <c r="BS216" s="100" t="str">
        <f aca="false">IF($BL216&lt;&gt;Constants!$B$4,"",IF(AND($AL216,$BD216,$BE216),Constants!$B$22,0))</f>
        <v/>
      </c>
      <c r="BT216" s="100" t="str">
        <f aca="false">IF($BL216&lt;&gt;Constants!$B$4,"",IF(OR(NOT($AL216),NOT($BD216)),0,IF($BJ216&gt;=2*$AH$9,0,Constants!$B$23*INT(ROUND(MIN($BJ216,$AH$9),6)))))</f>
        <v/>
      </c>
      <c r="BU216" s="100" t="str">
        <f aca="false">IF($BL216&lt;&gt;Constants!$B$4,"",IF(NOT($AL216),0,Constants!$B$24*INT(ROUND(MIN($BC216,$AH$9),6))))</f>
        <v/>
      </c>
      <c r="BV216" s="100" t="str">
        <f aca="false">IF($BL216&lt;&gt;Constants!$B$4,"",IF(AND($AL216,$BN216=0),Constants!$B$25,0))</f>
        <v/>
      </c>
      <c r="BW216" s="100" t="str">
        <f aca="false">IF($BL216&lt;&gt;Constants!$B$4,"",MIN(Constants!$B$29,MAX(0,Constants!$B$27*Constants!$B$28*INT(ROUND((Constants!$B$26-$AN216)/Constants!$B$28,6))))+MIN(Constants!$B$29,MAX(0,Constants!$B$27*Constants!$B$28*INT(ROUND((Constants!$B$26-$AO216)/Constants!$B$28,6))))+MIN(Constants!$B$29,MAX(0,Constants!$B$27*Constants!$B$28*INT(ROUND((Constants!$B$26-$AP216)/Constants!$B$28,6)))))</f>
        <v/>
      </c>
      <c r="BX216" s="100" t="str">
        <f aca="false">IF($BL216&lt;&gt;Constants!$B$4,"",IF(NOT($AL216),0,Constants!$B$31*INT(ROUND(MAX(0,MIN($BJ216,2*$AH$9)-$AH$9),6))))</f>
        <v/>
      </c>
      <c r="BY216" s="100" t="str">
        <f aca="false">IF($BL216&lt;&gt;Constants!$B$4,"",Constants!$B$32*(($AN216&gt;Constants!$B$26)+($AO216&gt;Constants!$B$26)+($AP216&gt;Constants!$B$26)))</f>
        <v/>
      </c>
      <c r="BZ216" s="100" t="str">
        <f aca="false">IF($BL216&lt;&gt;Constants!$B$4,"",IF(OR(NOT($AL216),$AQ216),0,Constants!$B$33))</f>
        <v/>
      </c>
      <c r="CA216" s="100" t="str">
        <f aca="false">IF($BL216&lt;&gt;Constants!$B$4,"",Constants!$B$34*$BN216)</f>
        <v/>
      </c>
      <c r="CB216" s="100" t="str">
        <f aca="false">IF($BL216&lt;&gt;Constants!$B$4,"",IF(OR(NOT($AL216),$BH216),0,Constants!$B$36))</f>
        <v/>
      </c>
      <c r="CC216" s="100" t="str">
        <f aca="false">IF($BL216&lt;&gt;Constants!$B$4,"",IF(OR(NOT($AL216),$BG216),0,Constants!$B$37))</f>
        <v/>
      </c>
      <c r="CD216" s="100" t="str">
        <f aca="false">IF($BL216&lt;&gt;Constants!$B$4,"",SUM($BX216:$CC216))</f>
        <v/>
      </c>
      <c r="CE216" s="100" t="str">
        <f aca="false">IF(ISBLANK($C216),"",IF($BL216&lt;&gt;Constants!$B$4,$BL216,SUM($BO216:$BW216)-$CD216))</f>
        <v/>
      </c>
      <c r="CF216" s="100" t="str">
        <f aca="false">IF(ISBLANK($C216),"",IF($BL216&lt;&gt;Constants!$B$4,$BL216,RANK($CE216,$CE$9:$CE$508)))</f>
        <v/>
      </c>
      <c r="CG216" s="100" t="str">
        <f aca="false">IF(ISBLANK($C216),"",IF($BL216&lt;&gt;Constants!$B$4,$BL216,COUNTIFS($BM$9:$BM$508,"&lt;"&amp;$BM216)+COUNTIFS($BM$9:$BM$508,$BM216,$CF$9:$CF$508,"&lt;"&amp;$CF216)+1))</f>
        <v/>
      </c>
      <c r="CH216" s="100" t="str">
        <f aca="false">IF(ISBLANK($C216),"",IF($BL216&lt;&gt;Constants!$B$4,$BL216,RANK($CD216,$CD$9:$CD$508,1)))</f>
        <v/>
      </c>
      <c r="CI216" s="100" t="str">
        <f aca="false">IF($BL216&lt;&gt;Constants!$B$4,"",$AN216+$AO216+$AP216)</f>
        <v/>
      </c>
      <c r="CJ216" s="100" t="str">
        <f aca="false">IF(ISBLANK($C216),"",IF($BL216&lt;&gt;Constants!$B$4,$BL216,RANK($CI216,$CI$9:$CI$508,1)))</f>
        <v/>
      </c>
      <c r="CK216" s="100" t="str">
        <f aca="false">IF(ISBLANK($C216),"",IF($BL216&lt;&gt;Constants!$B$4,$BL216,COUNTIFS($BM$9:$BM$508,"&lt;"&amp;$BM216)+COUNTIFS($BM$9:$BM$508,$BM216,$CF$9:$CF$508,"&lt;"&amp;$CF216)+COUNTIFS($BM$9:$BM$508,$BM216,$CF$9:$CF$508,$CF216,$CH$9:$CH$508,"&lt;"&amp;$CH216)+COUNTIFS($BM$9:$BM$508,$BM216,$CF$9:$CF$508,$CF216,$CH$9:$CH$508,$CH216,$CJ$9:$CJ$508,"&lt;"&amp;$CJ216)+1))</f>
        <v/>
      </c>
      <c r="CL216" s="100" t="str">
        <f aca="false">IF(ISBLANK($C216),"",IF($BL216&lt;&gt;Constants!$B$4,$BL216,$CG216-$CK216))</f>
        <v/>
      </c>
      <c r="CM216" s="100" t="str">
        <f aca="false">IF(ISBLANK($C216),"",IF(NOT($AL216),"",IF(ISBLANK($D$7),$CM$5,IF(NOT(ISNUMBER($D$7)),$CM$6,""))))</f>
        <v/>
      </c>
      <c r="CN216" s="100" t="str">
        <f aca="false">IF(ISBLANK($C216),"",OR($AN216="",$AO216="",$AP216=""))</f>
        <v/>
      </c>
      <c r="CO216" s="100" t="str">
        <f aca="false">IF(ISBLANK($C216),"",AND($AL216,$BA216=""))</f>
        <v/>
      </c>
      <c r="CP216" s="100" t="str">
        <f aca="false">IF(ISBLANK($C216),"",AND($AL216,$BB216=""))</f>
        <v/>
      </c>
      <c r="CQ216" s="100" t="str">
        <f aca="false">IF(ISBLANK($C216),"",AND($AL216,$BC216=""))</f>
        <v/>
      </c>
      <c r="CR216" s="100" t="str">
        <f aca="false">IF(ISBLANK($C216),"",AND($AL216,$BF216=""))</f>
        <v/>
      </c>
      <c r="CS216" s="100" t="str">
        <f aca="false">IF(ISBLANK($C216),"",AND($AL216,$BJ216=""))</f>
        <v/>
      </c>
      <c r="CT216" s="101"/>
      <c r="CU216" s="102"/>
      <c r="CV216" s="103" t="str">
        <f aca="false">IF(ISBLANK($C216),"",IF($BL216=Constants!$B$8,$CM216,""))</f>
        <v/>
      </c>
      <c r="CW216" s="102" t="str">
        <f aca="false">IF(ISBLANK($C216),"",IF($BL216&lt;&gt;Constants!$B$4,"",$BO216+$BP216))</f>
        <v/>
      </c>
      <c r="CX216" s="104" t="str">
        <f aca="false">IF(ISBLANK($C216),"",IF($BL216&lt;&gt;Constants!$B$4,"",$BQ216+$BR216+$BS216))</f>
        <v/>
      </c>
      <c r="CY216" s="104" t="str">
        <f aca="false">IF(ISBLANK($C216),"",IF($BL216&lt;&gt;Constants!$B$4,"",$BT216))</f>
        <v/>
      </c>
      <c r="CZ216" s="104" t="str">
        <f aca="false">IF(ISBLANK($C216),"",IF($BL216&lt;&gt;Constants!$B$4,"",$BU216+$BV216))</f>
        <v/>
      </c>
      <c r="DA216" s="104" t="str">
        <f aca="false">IF(ISBLANK($C216),"",IF($BL216&lt;&gt;Constants!$B$4,"",$BW216))</f>
        <v/>
      </c>
      <c r="DB216" s="104" t="str">
        <f aca="false">IF(ISBLANK($C216),"",IF($BL216&lt;&gt;Constants!$B$4,"",-$CD216))</f>
        <v/>
      </c>
      <c r="DC216" s="103" t="str">
        <f aca="false">IF(ISBLANK($C216),"",$CE216)</f>
        <v/>
      </c>
      <c r="DD216" s="105" t="str">
        <f aca="false">IF(ISBLANK($C216),"",$BM216)</f>
        <v/>
      </c>
      <c r="DE216" s="104" t="str">
        <f aca="false">IF(ISBLANK($C216),"",$CL216)</f>
        <v/>
      </c>
      <c r="DF216" s="104" t="str">
        <f aca="false">IF(ISBLANK($C216),"",$CK216)</f>
        <v/>
      </c>
      <c r="DG216" s="106" t="str">
        <f aca="false">IF(ISBLANK($C216),"",IF($DF216=Constants!$B$7,COUNTA($C$9:$C$508)+2,IF($DF216=Constants!$B$6,COUNTA($C$9:$C$508)+1,IF($DF216=Constants!$B$5,COUNTA($C$9:$C$508),$DF216))))</f>
        <v/>
      </c>
      <c r="DH216" s="7"/>
      <c r="DI216" s="107" t="n">
        <f aca="false">IF(OR(ISNUMBER($DF216),$DF216=Constants!$B$7,$DF216=Constants!$B$5,$DF216=Constants!$B$6),1,0)</f>
        <v>0</v>
      </c>
      <c r="DJ216" s="107" t="n">
        <v>208</v>
      </c>
      <c r="DK216" s="107" t="str">
        <f aca="false">IF(ISBLANK($C216),"",IF(ISNUMBER($DG216),$DG216+ROW($B216)/1000,""))</f>
        <v/>
      </c>
      <c r="DL216" s="107" t="str">
        <f aca="false">IF(ISNUMBER($DK216),RANK($DK216,$DK$9:$DK$508,1),"")</f>
        <v/>
      </c>
      <c r="DM216" s="107" t="str">
        <f aca="false">IF(ISBLANK($C216),"",$B216)</f>
        <v/>
      </c>
      <c r="DN216" s="107" t="str">
        <f aca="false">IF(ISBLANK($C216),"",$C216)</f>
        <v/>
      </c>
      <c r="DO216" s="107" t="str">
        <f aca="false">IF(ISBLANK($C216),"",$D216)</f>
        <v/>
      </c>
      <c r="DP216" s="108" t="str">
        <f aca="false">$DD216</f>
        <v/>
      </c>
      <c r="DQ216" s="109" t="str">
        <f aca="false">$DC216</f>
        <v/>
      </c>
      <c r="DR216" s="107" t="str">
        <f aca="false">IF(ISBLANK($C216),"",$DF216)</f>
        <v/>
      </c>
      <c r="DS216" s="110" t="str">
        <f aca="false">IF($DJ216&gt;$DI$8,"",VLOOKUP($DJ216,$DL$9:$DR$508,7,FALSE()))</f>
        <v/>
      </c>
      <c r="DT216" s="111" t="str">
        <f aca="false">IF($DJ216&gt;$DI$8,"",VLOOKUP($DJ216,$DL$9:$DR$508,2,FALSE()))</f>
        <v/>
      </c>
      <c r="DU216" s="111" t="str">
        <f aca="false">IF($DJ216&gt;$DI$8,"",VLOOKUP($DJ216,$DL$9:$DR$508,3,FALSE()))</f>
        <v/>
      </c>
      <c r="DV216" s="111" t="str">
        <f aca="false">IF($DJ216&gt;$DI$8,"",VLOOKUP($DJ216,$DL$9:$DR$508,4,FALSE()))</f>
        <v/>
      </c>
      <c r="DW216" s="111" t="str">
        <f aca="false">IF($DJ216&gt;$DI$8,"",VLOOKUP($DJ216,$DL$9:$DR$508,5,FALSE()))</f>
        <v/>
      </c>
      <c r="DX216" s="112" t="str">
        <f aca="false">IF($DJ216&gt;$DI$8,"",VLOOKUP($DJ216,$DL$9:$DR$508,6,FALSE()))</f>
        <v/>
      </c>
      <c r="DY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130"/>
      <c r="N217" s="130"/>
      <c r="O217" s="135"/>
      <c r="P217" s="135"/>
      <c r="Q217" s="130"/>
      <c r="R217" s="130"/>
      <c r="S217" s="130"/>
      <c r="T217" s="130"/>
      <c r="U217" s="135"/>
      <c r="V217" s="130"/>
      <c r="W217" s="96"/>
      <c r="X217" s="130"/>
      <c r="Y217" s="130"/>
      <c r="Z217" s="96"/>
      <c r="AA217" s="96"/>
      <c r="AB217" s="130"/>
      <c r="AC217" s="130"/>
      <c r="AD217" s="130"/>
      <c r="AE217" s="97"/>
      <c r="AF217" s="130"/>
      <c r="AG217" s="99"/>
      <c r="AH217" s="100"/>
      <c r="AI217" s="100"/>
      <c r="AJ217" s="100" t="str">
        <f aca="false">IF(ISBLANK($C217),"",IF($E217=Constants!$B$2,TRUE(),IF($E217=Constants!$B$3,FALSE(),TRUE())))</f>
        <v/>
      </c>
      <c r="AK217" s="100" t="str">
        <f aca="false">IF(ISBLANK($C217),"",IF($F217=Constants!$B$2,TRUE(),IF($F217=Constants!$B$3,FALSE(),FALSE())))</f>
        <v/>
      </c>
      <c r="AL217" s="100" t="str">
        <f aca="false">IF(ISBLANK($C217),"",IF($G217=Constants!$B$2,TRUE(),IF($G217=Constants!$B$3,FALSE(),TRUE())))</f>
        <v/>
      </c>
      <c r="AM217" s="100" t="str">
        <f aca="false">IF(ISBLANK($C217),"",IF($H217=Constants!$B$2,TRUE(),IF($H217=Constants!$B$3,FALSE(),TRUE())))</f>
        <v/>
      </c>
      <c r="AN217" s="100" t="str">
        <f aca="false">IF(ISBLANK($C217),"",IF(ISNUMBER($I217),IF($I217&gt;=0,$I217,""),""))</f>
        <v/>
      </c>
      <c r="AO217" s="100" t="str">
        <f aca="false">IF(ISBLANK($C217),"",IF(ISNUMBER($J217),IF($J217&gt;=0,$J217,""),""))</f>
        <v/>
      </c>
      <c r="AP217" s="100" t="str">
        <f aca="false">IF(ISBLANK($C217),"",IF(ISNUMBER($K217),IF($K217&gt;=0,$K217,""),""))</f>
        <v/>
      </c>
      <c r="AQ217" s="100" t="str">
        <f aca="false">IF(ISBLANK($C217),"",IF($L217=Constants!$B$2,TRUE(),IF($L217=Constants!$B$3,FALSE(),TRUE())))</f>
        <v/>
      </c>
      <c r="AR217" s="100" t="str">
        <f aca="false">IF(ISBLANK($C217),"",IF($M217=Constants!$B$2,TRUE(),IF($M217=Constants!$B$3,FALSE(),TRUE())))</f>
        <v/>
      </c>
      <c r="AS217" s="100" t="str">
        <f aca="false">IF(ISBLANK($C217),"",IF($N217=Constants!$B$2,TRUE(),IF($N217=Constants!$B$3,FALSE(),FALSE())))</f>
        <v/>
      </c>
      <c r="AT217" s="100" t="str">
        <f aca="false">IF(ISBLANK($C217),"",IF($O217=Constants!$B$2,TRUE(),IF($O217=Constants!$B$3,FALSE(),TRUE())))</f>
        <v/>
      </c>
      <c r="AU217" s="100" t="str">
        <f aca="false">IF(ISBLANK($C217),"",IF($P217=Constants!$B$2,TRUE(),IF($P217=Constants!$B$3,FALSE(),TRUE())))</f>
        <v/>
      </c>
      <c r="AV217" s="100" t="str">
        <f aca="false">IF(ISBLANK($C217),"",IF($Q217=Constants!$B$2,TRUE(),IF($Q217=Constants!$B$3,FALSE(),FALSE())))</f>
        <v/>
      </c>
      <c r="AW217" s="100" t="str">
        <f aca="false">IF(ISBLANK($C217),"",IF($R217=Constants!$B$2,TRUE(),IF($R217=Constants!$B$3,FALSE(),FALSE())))</f>
        <v/>
      </c>
      <c r="AX217" s="100" t="str">
        <f aca="false">IF(ISBLANK($C217),"",IF($S217=Constants!$B$2,TRUE(),IF($S217=Constants!$B$3,FALSE(),FALSE())))</f>
        <v/>
      </c>
      <c r="AY217" s="100" t="str">
        <f aca="false">IF(ISBLANK($C217),"",IF($T217=Constants!$B$2,TRUE(),IF($T217=Constants!$B$3,FALSE(),FALSE())))</f>
        <v/>
      </c>
      <c r="AZ217" s="100" t="str">
        <f aca="false">IF(ISBLANK($C217),"",IF($U217=Constants!$B$2,TRUE(),IF($U217=Constants!$B$3,FALSE(),FALSE())))</f>
        <v/>
      </c>
      <c r="BA217" s="100" t="str">
        <f aca="false">IF(ISBLANK($C217),"",IF(OR($V217&amp;""="1",$V217&amp;""="2",$V217&amp;""="3",$V217&amp;""="4"),VALUE($V217&amp;""),IF($V217=Constants!$B$12,Constants!$B$12,"")))</f>
        <v/>
      </c>
      <c r="BB217" s="100" t="str">
        <f aca="false">IF(ISBLANK($C217),"",IF(ISBLANK($W217),0,IF(ISNUMBER($W217),IF(AND($W217&gt;=0,$W217&lt;=Constants!$B$21,$W217=INT($W217)),$W217,""),"")))</f>
        <v/>
      </c>
      <c r="BC217" s="100" t="str">
        <f aca="false">IF(ISBLANK($C217),"",IF(ISBLANK($X217),0,IF(ISNUMBER($X217),IF($X217&gt;=0,$X217,""),"")))</f>
        <v/>
      </c>
      <c r="BD217" s="100" t="str">
        <f aca="false">IF(ISBLANK($C217),"",IF($Y217=Constants!$B$2,TRUE(),IF($Y217=Constants!$B$3,FALSE(),TRUE())))</f>
        <v/>
      </c>
      <c r="BE217" s="100" t="str">
        <f aca="false">IF(ISBLANK($C217),"",IF($Z217=Constants!$B$2,TRUE(),IF($Z217=Constants!$B$3,FALSE(),FALSE())))</f>
        <v/>
      </c>
      <c r="BF217" s="100" t="str">
        <f aca="false">IF(ISBLANK($C217),"",IF(ISBLANK($AA217),0,IF(ISNUMBER($AA217),IF(AND($AA217&gt;=0,$AA217&lt;=Constants!$B$35,$AA217=INT($AA217)),$AA217,""),"")))</f>
        <v/>
      </c>
      <c r="BG217" s="100" t="str">
        <f aca="false">IF(ISBLANK($C217),"",IF($AB217=Constants!$B$2,TRUE(),IF($AB217=Constants!$B$3,FALSE(),TRUE())))</f>
        <v/>
      </c>
      <c r="BH217" s="100" t="str">
        <f aca="false">IF(ISBLANK($C217),"",IF($AC217=Constants!$B$2,TRUE(),IF($AC217=Constants!$B$3,FALSE(),TRUE())))</f>
        <v/>
      </c>
      <c r="BI217" s="100" t="str">
        <f aca="false">IF(ISBLANK($C217),"",IF($AD217=Constants!$B$2,TRUE(),IF($AD217=Constants!$B$3,FALSE(),TRUE())))</f>
        <v/>
      </c>
      <c r="BJ217" s="100" t="str">
        <f aca="false">IF(ISBLANK($C217),"",IF(ISNUMBER($AE217),IF($AE217&gt;=0,$AE217,""),""))</f>
        <v/>
      </c>
      <c r="BK217" s="100" t="str">
        <f aca="false">IF(ISBLANK($C217),"",IF($AF217=Constants!$B$2,TRUE(),IF($AF217=Constants!$B$3,FALSE(),FALSE())))</f>
        <v/>
      </c>
      <c r="BL217" s="99" t="str">
        <f aca="false">IF(ISBLANK($C217),"",IF($BK217,Constants!$B$7,IF(COUNTA($E217:$AE217)=0,Constants!$B$6,IF(OR(COUNTA($G217:$AE217)=0,NOT($AM217),$AS217),Constants!$B$5,IF(OR($CM217&lt;&gt;"",$CN217,$CO217,$CP217,$CQ217,$CR217,$CS217),Constants!$B$8,Constants!$B$4)))))</f>
        <v/>
      </c>
      <c r="BM217" s="100" t="str">
        <f aca="false">IF(ISBLANK($C217),"",IF($BL217&lt;&gt;Constants!$B$4,$BL217,IF(OR(NOT($AJ217),NOT($AL217),NOT($AT217)),Constants!$B$11,IF(OR(NOT($AR217),NOT($AU217),NOT($BI217),MAX($AN217,$AO217,$AP217)&gt;Constants!$B$30),Constants!$B$10,Constants!$B$9))))</f>
        <v/>
      </c>
      <c r="BN217" s="100" t="str">
        <f aca="false">IF($BL217&lt;&gt;Constants!$B$4,"",IF(NOT($AL217),0,MIN(Constants!$B$35,$BF217)))</f>
        <v/>
      </c>
      <c r="BO217" s="100" t="str">
        <f aca="false">IF($BL217&lt;&gt;Constants!$B$4,"",IF(NOT($AL217),0,IF($AW217,Constants!$B$18,IF($AV217,Constants!$B$17,0))))</f>
        <v/>
      </c>
      <c r="BP217" s="100" t="str">
        <f aca="false">IF($BL217&lt;&gt;Constants!$B$4,"",IF(NOT($AL217),0,Constants!$B$19*($AK217+$AX217+$AY217+$AZ217)))</f>
        <v/>
      </c>
      <c r="BQ217" s="100" t="str">
        <f aca="false">IF($BL217&lt;&gt;Constants!$B$4,"",IF(OR(NOT($AL217),NOT(ISNUMBER($BA217))),0,CHOOSE($BA217,Constants!$B$13,Constants!$B$14,Constants!$B$15,Constants!$B$16)))</f>
        <v/>
      </c>
      <c r="BR217" s="100" t="str">
        <f aca="false">IF($BL217&lt;&gt;Constants!$B$4,"",IF(NOT($AL217),0,Constants!$B$20*$BB217))</f>
        <v/>
      </c>
      <c r="BS217" s="100" t="str">
        <f aca="false">IF($BL217&lt;&gt;Constants!$B$4,"",IF(AND($AL217,$BD217,$BE217),Constants!$B$22,0))</f>
        <v/>
      </c>
      <c r="BT217" s="100" t="str">
        <f aca="false">IF($BL217&lt;&gt;Constants!$B$4,"",IF(OR(NOT($AL217),NOT($BD217)),0,IF($BJ217&gt;=2*$AH$9,0,Constants!$B$23*INT(ROUND(MIN($BJ217,$AH$9),6)))))</f>
        <v/>
      </c>
      <c r="BU217" s="100" t="str">
        <f aca="false">IF($BL217&lt;&gt;Constants!$B$4,"",IF(NOT($AL217),0,Constants!$B$24*INT(ROUND(MIN($BC217,$AH$9),6))))</f>
        <v/>
      </c>
      <c r="BV217" s="100" t="str">
        <f aca="false">IF($BL217&lt;&gt;Constants!$B$4,"",IF(AND($AL217,$BN217=0),Constants!$B$25,0))</f>
        <v/>
      </c>
      <c r="BW217" s="100" t="str">
        <f aca="false">IF($BL217&lt;&gt;Constants!$B$4,"",MIN(Constants!$B$29,MAX(0,Constants!$B$27*Constants!$B$28*INT(ROUND((Constants!$B$26-$AN217)/Constants!$B$28,6))))+MIN(Constants!$B$29,MAX(0,Constants!$B$27*Constants!$B$28*INT(ROUND((Constants!$B$26-$AO217)/Constants!$B$28,6))))+MIN(Constants!$B$29,MAX(0,Constants!$B$27*Constants!$B$28*INT(ROUND((Constants!$B$26-$AP217)/Constants!$B$28,6)))))</f>
        <v/>
      </c>
      <c r="BX217" s="100" t="str">
        <f aca="false">IF($BL217&lt;&gt;Constants!$B$4,"",IF(NOT($AL217),0,Constants!$B$31*INT(ROUND(MAX(0,MIN($BJ217,2*$AH$9)-$AH$9),6))))</f>
        <v/>
      </c>
      <c r="BY217" s="100" t="str">
        <f aca="false">IF($BL217&lt;&gt;Constants!$B$4,"",Constants!$B$32*(($AN217&gt;Constants!$B$26)+($AO217&gt;Constants!$B$26)+($AP217&gt;Constants!$B$26)))</f>
        <v/>
      </c>
      <c r="BZ217" s="100" t="str">
        <f aca="false">IF($BL217&lt;&gt;Constants!$B$4,"",IF(OR(NOT($AL217),$AQ217),0,Constants!$B$33))</f>
        <v/>
      </c>
      <c r="CA217" s="100" t="str">
        <f aca="false">IF($BL217&lt;&gt;Constants!$B$4,"",Constants!$B$34*$BN217)</f>
        <v/>
      </c>
      <c r="CB217" s="100" t="str">
        <f aca="false">IF($BL217&lt;&gt;Constants!$B$4,"",IF(OR(NOT($AL217),$BH217),0,Constants!$B$36))</f>
        <v/>
      </c>
      <c r="CC217" s="100" t="str">
        <f aca="false">IF($BL217&lt;&gt;Constants!$B$4,"",IF(OR(NOT($AL217),$BG217),0,Constants!$B$37))</f>
        <v/>
      </c>
      <c r="CD217" s="100" t="str">
        <f aca="false">IF($BL217&lt;&gt;Constants!$B$4,"",SUM($BX217:$CC217))</f>
        <v/>
      </c>
      <c r="CE217" s="100" t="str">
        <f aca="false">IF(ISBLANK($C217),"",IF($BL217&lt;&gt;Constants!$B$4,$BL217,SUM($BO217:$BW217)-$CD217))</f>
        <v/>
      </c>
      <c r="CF217" s="100" t="str">
        <f aca="false">IF(ISBLANK($C217),"",IF($BL217&lt;&gt;Constants!$B$4,$BL217,RANK($CE217,$CE$9:$CE$508)))</f>
        <v/>
      </c>
      <c r="CG217" s="100" t="str">
        <f aca="false">IF(ISBLANK($C217),"",IF($BL217&lt;&gt;Constants!$B$4,$BL217,COUNTIFS($BM$9:$BM$508,"&lt;"&amp;$BM217)+COUNTIFS($BM$9:$BM$508,$BM217,$CF$9:$CF$508,"&lt;"&amp;$CF217)+1))</f>
        <v/>
      </c>
      <c r="CH217" s="100" t="str">
        <f aca="false">IF(ISBLANK($C217),"",IF($BL217&lt;&gt;Constants!$B$4,$BL217,RANK($CD217,$CD$9:$CD$508,1)))</f>
        <v/>
      </c>
      <c r="CI217" s="100" t="str">
        <f aca="false">IF($BL217&lt;&gt;Constants!$B$4,"",$AN217+$AO217+$AP217)</f>
        <v/>
      </c>
      <c r="CJ217" s="100" t="str">
        <f aca="false">IF(ISBLANK($C217),"",IF($BL217&lt;&gt;Constants!$B$4,$BL217,RANK($CI217,$CI$9:$CI$508,1)))</f>
        <v/>
      </c>
      <c r="CK217" s="100" t="str">
        <f aca="false">IF(ISBLANK($C217),"",IF($BL217&lt;&gt;Constants!$B$4,$BL217,COUNTIFS($BM$9:$BM$508,"&lt;"&amp;$BM217)+COUNTIFS($BM$9:$BM$508,$BM217,$CF$9:$CF$508,"&lt;"&amp;$CF217)+COUNTIFS($BM$9:$BM$508,$BM217,$CF$9:$CF$508,$CF217,$CH$9:$CH$508,"&lt;"&amp;$CH217)+COUNTIFS($BM$9:$BM$508,$BM217,$CF$9:$CF$508,$CF217,$CH$9:$CH$508,$CH217,$CJ$9:$CJ$508,"&lt;"&amp;$CJ217)+1))</f>
        <v/>
      </c>
      <c r="CL217" s="100" t="str">
        <f aca="false">IF(ISBLANK($C217),"",IF($BL217&lt;&gt;Constants!$B$4,$BL217,$CG217-$CK217))</f>
        <v/>
      </c>
      <c r="CM217" s="100" t="str">
        <f aca="false">IF(ISBLANK($C217),"",IF(NOT($AL217),"",IF(ISBLANK($D$7),$CM$5,IF(NOT(ISNUMBER($D$7)),$CM$6,""))))</f>
        <v/>
      </c>
      <c r="CN217" s="100" t="str">
        <f aca="false">IF(ISBLANK($C217),"",OR($AN217="",$AO217="",$AP217=""))</f>
        <v/>
      </c>
      <c r="CO217" s="100" t="str">
        <f aca="false">IF(ISBLANK($C217),"",AND($AL217,$BA217=""))</f>
        <v/>
      </c>
      <c r="CP217" s="100" t="str">
        <f aca="false">IF(ISBLANK($C217),"",AND($AL217,$BB217=""))</f>
        <v/>
      </c>
      <c r="CQ217" s="100" t="str">
        <f aca="false">IF(ISBLANK($C217),"",AND($AL217,$BC217=""))</f>
        <v/>
      </c>
      <c r="CR217" s="100" t="str">
        <f aca="false">IF(ISBLANK($C217),"",AND($AL217,$BF217=""))</f>
        <v/>
      </c>
      <c r="CS217" s="100" t="str">
        <f aca="false">IF(ISBLANK($C217),"",AND($AL217,$BJ217=""))</f>
        <v/>
      </c>
      <c r="CT217" s="101"/>
      <c r="CU217" s="102"/>
      <c r="CV217" s="103" t="str">
        <f aca="false">IF(ISBLANK($C217),"",IF($BL217=Constants!$B$8,$CM217,""))</f>
        <v/>
      </c>
      <c r="CW217" s="102" t="str">
        <f aca="false">IF(ISBLANK($C217),"",IF($BL217&lt;&gt;Constants!$B$4,"",$BO217+$BP217))</f>
        <v/>
      </c>
      <c r="CX217" s="104" t="str">
        <f aca="false">IF(ISBLANK($C217),"",IF($BL217&lt;&gt;Constants!$B$4,"",$BQ217+$BR217+$BS217))</f>
        <v/>
      </c>
      <c r="CY217" s="104" t="str">
        <f aca="false">IF(ISBLANK($C217),"",IF($BL217&lt;&gt;Constants!$B$4,"",$BT217))</f>
        <v/>
      </c>
      <c r="CZ217" s="104" t="str">
        <f aca="false">IF(ISBLANK($C217),"",IF($BL217&lt;&gt;Constants!$B$4,"",$BU217+$BV217))</f>
        <v/>
      </c>
      <c r="DA217" s="104" t="str">
        <f aca="false">IF(ISBLANK($C217),"",IF($BL217&lt;&gt;Constants!$B$4,"",$BW217))</f>
        <v/>
      </c>
      <c r="DB217" s="104" t="str">
        <f aca="false">IF(ISBLANK($C217),"",IF($BL217&lt;&gt;Constants!$B$4,"",-$CD217))</f>
        <v/>
      </c>
      <c r="DC217" s="103" t="str">
        <f aca="false">IF(ISBLANK($C217),"",$CE217)</f>
        <v/>
      </c>
      <c r="DD217" s="105" t="str">
        <f aca="false">IF(ISBLANK($C217),"",$BM217)</f>
        <v/>
      </c>
      <c r="DE217" s="104" t="str">
        <f aca="false">IF(ISBLANK($C217),"",$CL217)</f>
        <v/>
      </c>
      <c r="DF217" s="104" t="str">
        <f aca="false">IF(ISBLANK($C217),"",$CK217)</f>
        <v/>
      </c>
      <c r="DG217" s="106" t="str">
        <f aca="false">IF(ISBLANK($C217),"",IF($DF217=Constants!$B$7,COUNTA($C$9:$C$508)+2,IF($DF217=Constants!$B$6,COUNTA($C$9:$C$508)+1,IF($DF217=Constants!$B$5,COUNTA($C$9:$C$508),$DF217))))</f>
        <v/>
      </c>
      <c r="DH217" s="7"/>
      <c r="DI217" s="107" t="n">
        <f aca="false">IF(OR(ISNUMBER($DF217),$DF217=Constants!$B$7,$DF217=Constants!$B$5,$DF217=Constants!$B$6),1,0)</f>
        <v>0</v>
      </c>
      <c r="DJ217" s="107" t="n">
        <v>209</v>
      </c>
      <c r="DK217" s="107" t="str">
        <f aca="false">IF(ISBLANK($C217),"",IF(ISNUMBER($DG217),$DG217+ROW($B217)/1000,""))</f>
        <v/>
      </c>
      <c r="DL217" s="107" t="str">
        <f aca="false">IF(ISNUMBER($DK217),RANK($DK217,$DK$9:$DK$508,1),"")</f>
        <v/>
      </c>
      <c r="DM217" s="107" t="str">
        <f aca="false">IF(ISBLANK($C217),"",$B217)</f>
        <v/>
      </c>
      <c r="DN217" s="107" t="str">
        <f aca="false">IF(ISBLANK($C217),"",$C217)</f>
        <v/>
      </c>
      <c r="DO217" s="107" t="str">
        <f aca="false">IF(ISBLANK($C217),"",$D217)</f>
        <v/>
      </c>
      <c r="DP217" s="108" t="str">
        <f aca="false">$DD217</f>
        <v/>
      </c>
      <c r="DQ217" s="109" t="str">
        <f aca="false">$DC217</f>
        <v/>
      </c>
      <c r="DR217" s="107" t="str">
        <f aca="false">IF(ISBLANK($C217),"",$DF217)</f>
        <v/>
      </c>
      <c r="DS217" s="110" t="str">
        <f aca="false">IF($DJ217&gt;$DI$8,"",VLOOKUP($DJ217,$DL$9:$DR$508,7,FALSE()))</f>
        <v/>
      </c>
      <c r="DT217" s="111" t="str">
        <f aca="false">IF($DJ217&gt;$DI$8,"",VLOOKUP($DJ217,$DL$9:$DR$508,2,FALSE()))</f>
        <v/>
      </c>
      <c r="DU217" s="111" t="str">
        <f aca="false">IF($DJ217&gt;$DI$8,"",VLOOKUP($DJ217,$DL$9:$DR$508,3,FALSE()))</f>
        <v/>
      </c>
      <c r="DV217" s="111" t="str">
        <f aca="false">IF($DJ217&gt;$DI$8,"",VLOOKUP($DJ217,$DL$9:$DR$508,4,FALSE()))</f>
        <v/>
      </c>
      <c r="DW217" s="111" t="str">
        <f aca="false">IF($DJ217&gt;$DI$8,"",VLOOKUP($DJ217,$DL$9:$DR$508,5,FALSE()))</f>
        <v/>
      </c>
      <c r="DX217" s="112" t="str">
        <f aca="false">IF($DJ217&gt;$DI$8,"",VLOOKUP($DJ217,$DL$9:$DR$508,6,FALSE()))</f>
        <v/>
      </c>
      <c r="DY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130"/>
      <c r="N218" s="130"/>
      <c r="O218" s="135"/>
      <c r="P218" s="135"/>
      <c r="Q218" s="130"/>
      <c r="R218" s="130"/>
      <c r="S218" s="130"/>
      <c r="T218" s="130"/>
      <c r="U218" s="135"/>
      <c r="V218" s="130"/>
      <c r="W218" s="96"/>
      <c r="X218" s="130"/>
      <c r="Y218" s="130"/>
      <c r="Z218" s="96"/>
      <c r="AA218" s="96"/>
      <c r="AB218" s="130"/>
      <c r="AC218" s="130"/>
      <c r="AD218" s="130"/>
      <c r="AE218" s="97"/>
      <c r="AF218" s="130"/>
      <c r="AG218" s="99"/>
      <c r="AH218" s="100"/>
      <c r="AI218" s="100"/>
      <c r="AJ218" s="100" t="str">
        <f aca="false">IF(ISBLANK($C218),"",IF($E218=Constants!$B$2,TRUE(),IF($E218=Constants!$B$3,FALSE(),TRUE())))</f>
        <v/>
      </c>
      <c r="AK218" s="100" t="str">
        <f aca="false">IF(ISBLANK($C218),"",IF($F218=Constants!$B$2,TRUE(),IF($F218=Constants!$B$3,FALSE(),FALSE())))</f>
        <v/>
      </c>
      <c r="AL218" s="100" t="str">
        <f aca="false">IF(ISBLANK($C218),"",IF($G218=Constants!$B$2,TRUE(),IF($G218=Constants!$B$3,FALSE(),TRUE())))</f>
        <v/>
      </c>
      <c r="AM218" s="100" t="str">
        <f aca="false">IF(ISBLANK($C218),"",IF($H218=Constants!$B$2,TRUE(),IF($H218=Constants!$B$3,FALSE(),TRUE())))</f>
        <v/>
      </c>
      <c r="AN218" s="100" t="str">
        <f aca="false">IF(ISBLANK($C218),"",IF(ISNUMBER($I218),IF($I218&gt;=0,$I218,""),""))</f>
        <v/>
      </c>
      <c r="AO218" s="100" t="str">
        <f aca="false">IF(ISBLANK($C218),"",IF(ISNUMBER($J218),IF($J218&gt;=0,$J218,""),""))</f>
        <v/>
      </c>
      <c r="AP218" s="100" t="str">
        <f aca="false">IF(ISBLANK($C218),"",IF(ISNUMBER($K218),IF($K218&gt;=0,$K218,""),""))</f>
        <v/>
      </c>
      <c r="AQ218" s="100" t="str">
        <f aca="false">IF(ISBLANK($C218),"",IF($L218=Constants!$B$2,TRUE(),IF($L218=Constants!$B$3,FALSE(),TRUE())))</f>
        <v/>
      </c>
      <c r="AR218" s="100" t="str">
        <f aca="false">IF(ISBLANK($C218),"",IF($M218=Constants!$B$2,TRUE(),IF($M218=Constants!$B$3,FALSE(),TRUE())))</f>
        <v/>
      </c>
      <c r="AS218" s="100" t="str">
        <f aca="false">IF(ISBLANK($C218),"",IF($N218=Constants!$B$2,TRUE(),IF($N218=Constants!$B$3,FALSE(),FALSE())))</f>
        <v/>
      </c>
      <c r="AT218" s="100" t="str">
        <f aca="false">IF(ISBLANK($C218),"",IF($O218=Constants!$B$2,TRUE(),IF($O218=Constants!$B$3,FALSE(),TRUE())))</f>
        <v/>
      </c>
      <c r="AU218" s="100" t="str">
        <f aca="false">IF(ISBLANK($C218),"",IF($P218=Constants!$B$2,TRUE(),IF($P218=Constants!$B$3,FALSE(),TRUE())))</f>
        <v/>
      </c>
      <c r="AV218" s="100" t="str">
        <f aca="false">IF(ISBLANK($C218),"",IF($Q218=Constants!$B$2,TRUE(),IF($Q218=Constants!$B$3,FALSE(),FALSE())))</f>
        <v/>
      </c>
      <c r="AW218" s="100" t="str">
        <f aca="false">IF(ISBLANK($C218),"",IF($R218=Constants!$B$2,TRUE(),IF($R218=Constants!$B$3,FALSE(),FALSE())))</f>
        <v/>
      </c>
      <c r="AX218" s="100" t="str">
        <f aca="false">IF(ISBLANK($C218),"",IF($S218=Constants!$B$2,TRUE(),IF($S218=Constants!$B$3,FALSE(),FALSE())))</f>
        <v/>
      </c>
      <c r="AY218" s="100" t="str">
        <f aca="false">IF(ISBLANK($C218),"",IF($T218=Constants!$B$2,TRUE(),IF($T218=Constants!$B$3,FALSE(),FALSE())))</f>
        <v/>
      </c>
      <c r="AZ218" s="100" t="str">
        <f aca="false">IF(ISBLANK($C218),"",IF($U218=Constants!$B$2,TRUE(),IF($U218=Constants!$B$3,FALSE(),FALSE())))</f>
        <v/>
      </c>
      <c r="BA218" s="100" t="str">
        <f aca="false">IF(ISBLANK($C218),"",IF(OR($V218&amp;""="1",$V218&amp;""="2",$V218&amp;""="3",$V218&amp;""="4"),VALUE($V218&amp;""),IF($V218=Constants!$B$12,Constants!$B$12,"")))</f>
        <v/>
      </c>
      <c r="BB218" s="100" t="str">
        <f aca="false">IF(ISBLANK($C218),"",IF(ISBLANK($W218),0,IF(ISNUMBER($W218),IF(AND($W218&gt;=0,$W218&lt;=Constants!$B$21,$W218=INT($W218)),$W218,""),"")))</f>
        <v/>
      </c>
      <c r="BC218" s="100" t="str">
        <f aca="false">IF(ISBLANK($C218),"",IF(ISBLANK($X218),0,IF(ISNUMBER($X218),IF($X218&gt;=0,$X218,""),"")))</f>
        <v/>
      </c>
      <c r="BD218" s="100" t="str">
        <f aca="false">IF(ISBLANK($C218),"",IF($Y218=Constants!$B$2,TRUE(),IF($Y218=Constants!$B$3,FALSE(),TRUE())))</f>
        <v/>
      </c>
      <c r="BE218" s="100" t="str">
        <f aca="false">IF(ISBLANK($C218),"",IF($Z218=Constants!$B$2,TRUE(),IF($Z218=Constants!$B$3,FALSE(),FALSE())))</f>
        <v/>
      </c>
      <c r="BF218" s="100" t="str">
        <f aca="false">IF(ISBLANK($C218),"",IF(ISBLANK($AA218),0,IF(ISNUMBER($AA218),IF(AND($AA218&gt;=0,$AA218&lt;=Constants!$B$35,$AA218=INT($AA218)),$AA218,""),"")))</f>
        <v/>
      </c>
      <c r="BG218" s="100" t="str">
        <f aca="false">IF(ISBLANK($C218),"",IF($AB218=Constants!$B$2,TRUE(),IF($AB218=Constants!$B$3,FALSE(),TRUE())))</f>
        <v/>
      </c>
      <c r="BH218" s="100" t="str">
        <f aca="false">IF(ISBLANK($C218),"",IF($AC218=Constants!$B$2,TRUE(),IF($AC218=Constants!$B$3,FALSE(),TRUE())))</f>
        <v/>
      </c>
      <c r="BI218" s="100" t="str">
        <f aca="false">IF(ISBLANK($C218),"",IF($AD218=Constants!$B$2,TRUE(),IF($AD218=Constants!$B$3,FALSE(),TRUE())))</f>
        <v/>
      </c>
      <c r="BJ218" s="100" t="str">
        <f aca="false">IF(ISBLANK($C218),"",IF(ISNUMBER($AE218),IF($AE218&gt;=0,$AE218,""),""))</f>
        <v/>
      </c>
      <c r="BK218" s="100" t="str">
        <f aca="false">IF(ISBLANK($C218),"",IF($AF218=Constants!$B$2,TRUE(),IF($AF218=Constants!$B$3,FALSE(),FALSE())))</f>
        <v/>
      </c>
      <c r="BL218" s="99" t="str">
        <f aca="false">IF(ISBLANK($C218),"",IF($BK218,Constants!$B$7,IF(COUNTA($E218:$AE218)=0,Constants!$B$6,IF(OR(COUNTA($G218:$AE218)=0,NOT($AM218),$AS218),Constants!$B$5,IF(OR($CM218&lt;&gt;"",$CN218,$CO218,$CP218,$CQ218,$CR218,$CS218),Constants!$B$8,Constants!$B$4)))))</f>
        <v/>
      </c>
      <c r="BM218" s="100" t="str">
        <f aca="false">IF(ISBLANK($C218),"",IF($BL218&lt;&gt;Constants!$B$4,$BL218,IF(OR(NOT($AJ218),NOT($AL218),NOT($AT218)),Constants!$B$11,IF(OR(NOT($AR218),NOT($AU218),NOT($BI218),MAX($AN218,$AO218,$AP218)&gt;Constants!$B$30),Constants!$B$10,Constants!$B$9))))</f>
        <v/>
      </c>
      <c r="BN218" s="100" t="str">
        <f aca="false">IF($BL218&lt;&gt;Constants!$B$4,"",IF(NOT($AL218),0,MIN(Constants!$B$35,$BF218)))</f>
        <v/>
      </c>
      <c r="BO218" s="100" t="str">
        <f aca="false">IF($BL218&lt;&gt;Constants!$B$4,"",IF(NOT($AL218),0,IF($AW218,Constants!$B$18,IF($AV218,Constants!$B$17,0))))</f>
        <v/>
      </c>
      <c r="BP218" s="100" t="str">
        <f aca="false">IF($BL218&lt;&gt;Constants!$B$4,"",IF(NOT($AL218),0,Constants!$B$19*($AK218+$AX218+$AY218+$AZ218)))</f>
        <v/>
      </c>
      <c r="BQ218" s="100" t="str">
        <f aca="false">IF($BL218&lt;&gt;Constants!$B$4,"",IF(OR(NOT($AL218),NOT(ISNUMBER($BA218))),0,CHOOSE($BA218,Constants!$B$13,Constants!$B$14,Constants!$B$15,Constants!$B$16)))</f>
        <v/>
      </c>
      <c r="BR218" s="100" t="str">
        <f aca="false">IF($BL218&lt;&gt;Constants!$B$4,"",IF(NOT($AL218),0,Constants!$B$20*$BB218))</f>
        <v/>
      </c>
      <c r="BS218" s="100" t="str">
        <f aca="false">IF($BL218&lt;&gt;Constants!$B$4,"",IF(AND($AL218,$BD218,$BE218),Constants!$B$22,0))</f>
        <v/>
      </c>
      <c r="BT218" s="100" t="str">
        <f aca="false">IF($BL218&lt;&gt;Constants!$B$4,"",IF(OR(NOT($AL218),NOT($BD218)),0,IF($BJ218&gt;=2*$AH$9,0,Constants!$B$23*INT(ROUND(MIN($BJ218,$AH$9),6)))))</f>
        <v/>
      </c>
      <c r="BU218" s="100" t="str">
        <f aca="false">IF($BL218&lt;&gt;Constants!$B$4,"",IF(NOT($AL218),0,Constants!$B$24*INT(ROUND(MIN($BC218,$AH$9),6))))</f>
        <v/>
      </c>
      <c r="BV218" s="100" t="str">
        <f aca="false">IF($BL218&lt;&gt;Constants!$B$4,"",IF(AND($AL218,$BN218=0),Constants!$B$25,0))</f>
        <v/>
      </c>
      <c r="BW218" s="100" t="str">
        <f aca="false">IF($BL218&lt;&gt;Constants!$B$4,"",MIN(Constants!$B$29,MAX(0,Constants!$B$27*Constants!$B$28*INT(ROUND((Constants!$B$26-$AN218)/Constants!$B$28,6))))+MIN(Constants!$B$29,MAX(0,Constants!$B$27*Constants!$B$28*INT(ROUND((Constants!$B$26-$AO218)/Constants!$B$28,6))))+MIN(Constants!$B$29,MAX(0,Constants!$B$27*Constants!$B$28*INT(ROUND((Constants!$B$26-$AP218)/Constants!$B$28,6)))))</f>
        <v/>
      </c>
      <c r="BX218" s="100" t="str">
        <f aca="false">IF($BL218&lt;&gt;Constants!$B$4,"",IF(NOT($AL218),0,Constants!$B$31*INT(ROUND(MAX(0,MIN($BJ218,2*$AH$9)-$AH$9),6))))</f>
        <v/>
      </c>
      <c r="BY218" s="100" t="str">
        <f aca="false">IF($BL218&lt;&gt;Constants!$B$4,"",Constants!$B$32*(($AN218&gt;Constants!$B$26)+($AO218&gt;Constants!$B$26)+($AP218&gt;Constants!$B$26)))</f>
        <v/>
      </c>
      <c r="BZ218" s="100" t="str">
        <f aca="false">IF($BL218&lt;&gt;Constants!$B$4,"",IF(OR(NOT($AL218),$AQ218),0,Constants!$B$33))</f>
        <v/>
      </c>
      <c r="CA218" s="100" t="str">
        <f aca="false">IF($BL218&lt;&gt;Constants!$B$4,"",Constants!$B$34*$BN218)</f>
        <v/>
      </c>
      <c r="CB218" s="100" t="str">
        <f aca="false">IF($BL218&lt;&gt;Constants!$B$4,"",IF(OR(NOT($AL218),$BH218),0,Constants!$B$36))</f>
        <v/>
      </c>
      <c r="CC218" s="100" t="str">
        <f aca="false">IF($BL218&lt;&gt;Constants!$B$4,"",IF(OR(NOT($AL218),$BG218),0,Constants!$B$37))</f>
        <v/>
      </c>
      <c r="CD218" s="100" t="str">
        <f aca="false">IF($BL218&lt;&gt;Constants!$B$4,"",SUM($BX218:$CC218))</f>
        <v/>
      </c>
      <c r="CE218" s="100" t="str">
        <f aca="false">IF(ISBLANK($C218),"",IF($BL218&lt;&gt;Constants!$B$4,$BL218,SUM($BO218:$BW218)-$CD218))</f>
        <v/>
      </c>
      <c r="CF218" s="100" t="str">
        <f aca="false">IF(ISBLANK($C218),"",IF($BL218&lt;&gt;Constants!$B$4,$BL218,RANK($CE218,$CE$9:$CE$508)))</f>
        <v/>
      </c>
      <c r="CG218" s="100" t="str">
        <f aca="false">IF(ISBLANK($C218),"",IF($BL218&lt;&gt;Constants!$B$4,$BL218,COUNTIFS($BM$9:$BM$508,"&lt;"&amp;$BM218)+COUNTIFS($BM$9:$BM$508,$BM218,$CF$9:$CF$508,"&lt;"&amp;$CF218)+1))</f>
        <v/>
      </c>
      <c r="CH218" s="100" t="str">
        <f aca="false">IF(ISBLANK($C218),"",IF($BL218&lt;&gt;Constants!$B$4,$BL218,RANK($CD218,$CD$9:$CD$508,1)))</f>
        <v/>
      </c>
      <c r="CI218" s="100" t="str">
        <f aca="false">IF($BL218&lt;&gt;Constants!$B$4,"",$AN218+$AO218+$AP218)</f>
        <v/>
      </c>
      <c r="CJ218" s="100" t="str">
        <f aca="false">IF(ISBLANK($C218),"",IF($BL218&lt;&gt;Constants!$B$4,$BL218,RANK($CI218,$CI$9:$CI$508,1)))</f>
        <v/>
      </c>
      <c r="CK218" s="100" t="str">
        <f aca="false">IF(ISBLANK($C218),"",IF($BL218&lt;&gt;Constants!$B$4,$BL218,COUNTIFS($BM$9:$BM$508,"&lt;"&amp;$BM218)+COUNTIFS($BM$9:$BM$508,$BM218,$CF$9:$CF$508,"&lt;"&amp;$CF218)+COUNTIFS($BM$9:$BM$508,$BM218,$CF$9:$CF$508,$CF218,$CH$9:$CH$508,"&lt;"&amp;$CH218)+COUNTIFS($BM$9:$BM$508,$BM218,$CF$9:$CF$508,$CF218,$CH$9:$CH$508,$CH218,$CJ$9:$CJ$508,"&lt;"&amp;$CJ218)+1))</f>
        <v/>
      </c>
      <c r="CL218" s="100" t="str">
        <f aca="false">IF(ISBLANK($C218),"",IF($BL218&lt;&gt;Constants!$B$4,$BL218,$CG218-$CK218))</f>
        <v/>
      </c>
      <c r="CM218" s="100" t="str">
        <f aca="false">IF(ISBLANK($C218),"",IF(NOT($AL218),"",IF(ISBLANK($D$7),$CM$5,IF(NOT(ISNUMBER($D$7)),$CM$6,""))))</f>
        <v/>
      </c>
      <c r="CN218" s="100" t="str">
        <f aca="false">IF(ISBLANK($C218),"",OR($AN218="",$AO218="",$AP218=""))</f>
        <v/>
      </c>
      <c r="CO218" s="100" t="str">
        <f aca="false">IF(ISBLANK($C218),"",AND($AL218,$BA218=""))</f>
        <v/>
      </c>
      <c r="CP218" s="100" t="str">
        <f aca="false">IF(ISBLANK($C218),"",AND($AL218,$BB218=""))</f>
        <v/>
      </c>
      <c r="CQ218" s="100" t="str">
        <f aca="false">IF(ISBLANK($C218),"",AND($AL218,$BC218=""))</f>
        <v/>
      </c>
      <c r="CR218" s="100" t="str">
        <f aca="false">IF(ISBLANK($C218),"",AND($AL218,$BF218=""))</f>
        <v/>
      </c>
      <c r="CS218" s="100" t="str">
        <f aca="false">IF(ISBLANK($C218),"",AND($AL218,$BJ218=""))</f>
        <v/>
      </c>
      <c r="CT218" s="101"/>
      <c r="CU218" s="102"/>
      <c r="CV218" s="103" t="str">
        <f aca="false">IF(ISBLANK($C218),"",IF($BL218=Constants!$B$8,$CM218,""))</f>
        <v/>
      </c>
      <c r="CW218" s="102" t="str">
        <f aca="false">IF(ISBLANK($C218),"",IF($BL218&lt;&gt;Constants!$B$4,"",$BO218+$BP218))</f>
        <v/>
      </c>
      <c r="CX218" s="104" t="str">
        <f aca="false">IF(ISBLANK($C218),"",IF($BL218&lt;&gt;Constants!$B$4,"",$BQ218+$BR218+$BS218))</f>
        <v/>
      </c>
      <c r="CY218" s="104" t="str">
        <f aca="false">IF(ISBLANK($C218),"",IF($BL218&lt;&gt;Constants!$B$4,"",$BT218))</f>
        <v/>
      </c>
      <c r="CZ218" s="104" t="str">
        <f aca="false">IF(ISBLANK($C218),"",IF($BL218&lt;&gt;Constants!$B$4,"",$BU218+$BV218))</f>
        <v/>
      </c>
      <c r="DA218" s="104" t="str">
        <f aca="false">IF(ISBLANK($C218),"",IF($BL218&lt;&gt;Constants!$B$4,"",$BW218))</f>
        <v/>
      </c>
      <c r="DB218" s="104" t="str">
        <f aca="false">IF(ISBLANK($C218),"",IF($BL218&lt;&gt;Constants!$B$4,"",-$CD218))</f>
        <v/>
      </c>
      <c r="DC218" s="103" t="str">
        <f aca="false">IF(ISBLANK($C218),"",$CE218)</f>
        <v/>
      </c>
      <c r="DD218" s="105" t="str">
        <f aca="false">IF(ISBLANK($C218),"",$BM218)</f>
        <v/>
      </c>
      <c r="DE218" s="104" t="str">
        <f aca="false">IF(ISBLANK($C218),"",$CL218)</f>
        <v/>
      </c>
      <c r="DF218" s="104" t="str">
        <f aca="false">IF(ISBLANK($C218),"",$CK218)</f>
        <v/>
      </c>
      <c r="DG218" s="106" t="str">
        <f aca="false">IF(ISBLANK($C218),"",IF($DF218=Constants!$B$7,COUNTA($C$9:$C$508)+2,IF($DF218=Constants!$B$6,COUNTA($C$9:$C$508)+1,IF($DF218=Constants!$B$5,COUNTA($C$9:$C$508),$DF218))))</f>
        <v/>
      </c>
      <c r="DH218" s="7"/>
      <c r="DI218" s="107" t="n">
        <f aca="false">IF(OR(ISNUMBER($DF218),$DF218=Constants!$B$7,$DF218=Constants!$B$5,$DF218=Constants!$B$6),1,0)</f>
        <v>0</v>
      </c>
      <c r="DJ218" s="107" t="n">
        <v>210</v>
      </c>
      <c r="DK218" s="107" t="str">
        <f aca="false">IF(ISBLANK($C218),"",IF(ISNUMBER($DG218),$DG218+ROW($B218)/1000,""))</f>
        <v/>
      </c>
      <c r="DL218" s="107" t="str">
        <f aca="false">IF(ISNUMBER($DK218),RANK($DK218,$DK$9:$DK$508,1),"")</f>
        <v/>
      </c>
      <c r="DM218" s="107" t="str">
        <f aca="false">IF(ISBLANK($C218),"",$B218)</f>
        <v/>
      </c>
      <c r="DN218" s="107" t="str">
        <f aca="false">IF(ISBLANK($C218),"",$C218)</f>
        <v/>
      </c>
      <c r="DO218" s="107" t="str">
        <f aca="false">IF(ISBLANK($C218),"",$D218)</f>
        <v/>
      </c>
      <c r="DP218" s="108" t="str">
        <f aca="false">$DD218</f>
        <v/>
      </c>
      <c r="DQ218" s="109" t="str">
        <f aca="false">$DC218</f>
        <v/>
      </c>
      <c r="DR218" s="107" t="str">
        <f aca="false">IF(ISBLANK($C218),"",$DF218)</f>
        <v/>
      </c>
      <c r="DS218" s="110" t="str">
        <f aca="false">IF($DJ218&gt;$DI$8,"",VLOOKUP($DJ218,$DL$9:$DR$508,7,FALSE()))</f>
        <v/>
      </c>
      <c r="DT218" s="111" t="str">
        <f aca="false">IF($DJ218&gt;$DI$8,"",VLOOKUP($DJ218,$DL$9:$DR$508,2,FALSE()))</f>
        <v/>
      </c>
      <c r="DU218" s="111" t="str">
        <f aca="false">IF($DJ218&gt;$DI$8,"",VLOOKUP($DJ218,$DL$9:$DR$508,3,FALSE()))</f>
        <v/>
      </c>
      <c r="DV218" s="111" t="str">
        <f aca="false">IF($DJ218&gt;$DI$8,"",VLOOKUP($DJ218,$DL$9:$DR$508,4,FALSE()))</f>
        <v/>
      </c>
      <c r="DW218" s="111" t="str">
        <f aca="false">IF($DJ218&gt;$DI$8,"",VLOOKUP($DJ218,$DL$9:$DR$508,5,FALSE()))</f>
        <v/>
      </c>
      <c r="DX218" s="112" t="str">
        <f aca="false">IF($DJ218&gt;$DI$8,"",VLOOKUP($DJ218,$DL$9:$DR$508,6,FALSE()))</f>
        <v/>
      </c>
      <c r="DY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88"/>
      <c r="N219" s="88"/>
      <c r="O219" s="134"/>
      <c r="P219" s="134"/>
      <c r="Q219" s="88"/>
      <c r="R219" s="88"/>
      <c r="S219" s="88"/>
      <c r="T219" s="88"/>
      <c r="U219" s="134"/>
      <c r="V219" s="88"/>
      <c r="W219" s="70"/>
      <c r="X219" s="88"/>
      <c r="Y219" s="88"/>
      <c r="Z219" s="70"/>
      <c r="AA219" s="70"/>
      <c r="AB219" s="88"/>
      <c r="AC219" s="88"/>
      <c r="AD219" s="88"/>
      <c r="AE219" s="71"/>
      <c r="AF219" s="88"/>
      <c r="AG219" s="73"/>
      <c r="AH219" s="74"/>
      <c r="AI219" s="74"/>
      <c r="AJ219" s="74" t="str">
        <f aca="false">IF(ISBLANK($C219),"",IF($E219=Constants!$B$2,TRUE(),IF($E219=Constants!$B$3,FALSE(),TRUE())))</f>
        <v/>
      </c>
      <c r="AK219" s="74" t="str">
        <f aca="false">IF(ISBLANK($C219),"",IF($F219=Constants!$B$2,TRUE(),IF($F219=Constants!$B$3,FALSE(),FALSE())))</f>
        <v/>
      </c>
      <c r="AL219" s="74" t="str">
        <f aca="false">IF(ISBLANK($C219),"",IF($G219=Constants!$B$2,TRUE(),IF($G219=Constants!$B$3,FALSE(),TRUE())))</f>
        <v/>
      </c>
      <c r="AM219" s="74" t="str">
        <f aca="false">IF(ISBLANK($C219),"",IF($H219=Constants!$B$2,TRUE(),IF($H219=Constants!$B$3,FALSE(),TRUE())))</f>
        <v/>
      </c>
      <c r="AN219" s="74" t="str">
        <f aca="false">IF(ISBLANK($C219),"",IF(ISNUMBER($I219),IF($I219&gt;=0,$I219,""),""))</f>
        <v/>
      </c>
      <c r="AO219" s="74" t="str">
        <f aca="false">IF(ISBLANK($C219),"",IF(ISNUMBER($J219),IF($J219&gt;=0,$J219,""),""))</f>
        <v/>
      </c>
      <c r="AP219" s="74" t="str">
        <f aca="false">IF(ISBLANK($C219),"",IF(ISNUMBER($K219),IF($K219&gt;=0,$K219,""),""))</f>
        <v/>
      </c>
      <c r="AQ219" s="74" t="str">
        <f aca="false">IF(ISBLANK($C219),"",IF($L219=Constants!$B$2,TRUE(),IF($L219=Constants!$B$3,FALSE(),TRUE())))</f>
        <v/>
      </c>
      <c r="AR219" s="74" t="str">
        <f aca="false">IF(ISBLANK($C219),"",IF($M219=Constants!$B$2,TRUE(),IF($M219=Constants!$B$3,FALSE(),TRUE())))</f>
        <v/>
      </c>
      <c r="AS219" s="74" t="str">
        <f aca="false">IF(ISBLANK($C219),"",IF($N219=Constants!$B$2,TRUE(),IF($N219=Constants!$B$3,FALSE(),FALSE())))</f>
        <v/>
      </c>
      <c r="AT219" s="74" t="str">
        <f aca="false">IF(ISBLANK($C219),"",IF($O219=Constants!$B$2,TRUE(),IF($O219=Constants!$B$3,FALSE(),TRUE())))</f>
        <v/>
      </c>
      <c r="AU219" s="74" t="str">
        <f aca="false">IF(ISBLANK($C219),"",IF($P219=Constants!$B$2,TRUE(),IF($P219=Constants!$B$3,FALSE(),TRUE())))</f>
        <v/>
      </c>
      <c r="AV219" s="74" t="str">
        <f aca="false">IF(ISBLANK($C219),"",IF($Q219=Constants!$B$2,TRUE(),IF($Q219=Constants!$B$3,FALSE(),FALSE())))</f>
        <v/>
      </c>
      <c r="AW219" s="74" t="str">
        <f aca="false">IF(ISBLANK($C219),"",IF($R219=Constants!$B$2,TRUE(),IF($R219=Constants!$B$3,FALSE(),FALSE())))</f>
        <v/>
      </c>
      <c r="AX219" s="74" t="str">
        <f aca="false">IF(ISBLANK($C219),"",IF($S219=Constants!$B$2,TRUE(),IF($S219=Constants!$B$3,FALSE(),FALSE())))</f>
        <v/>
      </c>
      <c r="AY219" s="74" t="str">
        <f aca="false">IF(ISBLANK($C219),"",IF($T219=Constants!$B$2,TRUE(),IF($T219=Constants!$B$3,FALSE(),FALSE())))</f>
        <v/>
      </c>
      <c r="AZ219" s="74" t="str">
        <f aca="false">IF(ISBLANK($C219),"",IF($U219=Constants!$B$2,TRUE(),IF($U219=Constants!$B$3,FALSE(),FALSE())))</f>
        <v/>
      </c>
      <c r="BA219" s="74" t="str">
        <f aca="false">IF(ISBLANK($C219),"",IF(OR($V219&amp;""="1",$V219&amp;""="2",$V219&amp;""="3",$V219&amp;""="4"),VALUE($V219&amp;""),IF($V219=Constants!$B$12,Constants!$B$12,"")))</f>
        <v/>
      </c>
      <c r="BB219" s="74" t="str">
        <f aca="false">IF(ISBLANK($C219),"",IF(ISBLANK($W219),0,IF(ISNUMBER($W219),IF(AND($W219&gt;=0,$W219&lt;=Constants!$B$21,$W219=INT($W219)),$W219,""),"")))</f>
        <v/>
      </c>
      <c r="BC219" s="74" t="str">
        <f aca="false">IF(ISBLANK($C219),"",IF(ISBLANK($X219),0,IF(ISNUMBER($X219),IF($X219&gt;=0,$X219,""),"")))</f>
        <v/>
      </c>
      <c r="BD219" s="74" t="str">
        <f aca="false">IF(ISBLANK($C219),"",IF($Y219=Constants!$B$2,TRUE(),IF($Y219=Constants!$B$3,FALSE(),TRUE())))</f>
        <v/>
      </c>
      <c r="BE219" s="74" t="str">
        <f aca="false">IF(ISBLANK($C219),"",IF($Z219=Constants!$B$2,TRUE(),IF($Z219=Constants!$B$3,FALSE(),FALSE())))</f>
        <v/>
      </c>
      <c r="BF219" s="74" t="str">
        <f aca="false">IF(ISBLANK($C219),"",IF(ISBLANK($AA219),0,IF(ISNUMBER($AA219),IF(AND($AA219&gt;=0,$AA219&lt;=Constants!$B$35,$AA219=INT($AA219)),$AA219,""),"")))</f>
        <v/>
      </c>
      <c r="BG219" s="74" t="str">
        <f aca="false">IF(ISBLANK($C219),"",IF($AB219=Constants!$B$2,TRUE(),IF($AB219=Constants!$B$3,FALSE(),TRUE())))</f>
        <v/>
      </c>
      <c r="BH219" s="74" t="str">
        <f aca="false">IF(ISBLANK($C219),"",IF($AC219=Constants!$B$2,TRUE(),IF($AC219=Constants!$B$3,FALSE(),TRUE())))</f>
        <v/>
      </c>
      <c r="BI219" s="74" t="str">
        <f aca="false">IF(ISBLANK($C219),"",IF($AD219=Constants!$B$2,TRUE(),IF($AD219=Constants!$B$3,FALSE(),TRUE())))</f>
        <v/>
      </c>
      <c r="BJ219" s="74" t="str">
        <f aca="false">IF(ISBLANK($C219),"",IF(ISNUMBER($AE219),IF($AE219&gt;=0,$AE219,""),""))</f>
        <v/>
      </c>
      <c r="BK219" s="74" t="str">
        <f aca="false">IF(ISBLANK($C219),"",IF($AF219=Constants!$B$2,TRUE(),IF($AF219=Constants!$B$3,FALSE(),FALSE())))</f>
        <v/>
      </c>
      <c r="BL219" s="73" t="str">
        <f aca="false">IF(ISBLANK($C219),"",IF($BK219,Constants!$B$7,IF(COUNTA($E219:$AE219)=0,Constants!$B$6,IF(OR(COUNTA($G219:$AE219)=0,NOT($AM219),$AS219),Constants!$B$5,IF(OR($CM219&lt;&gt;"",$CN219,$CO219,$CP219,$CQ219,$CR219,$CS219),Constants!$B$8,Constants!$B$4)))))</f>
        <v/>
      </c>
      <c r="BM219" s="74" t="str">
        <f aca="false">IF(ISBLANK($C219),"",IF($BL219&lt;&gt;Constants!$B$4,$BL219,IF(OR(NOT($AJ219),NOT($AL219),NOT($AT219)),Constants!$B$11,IF(OR(NOT($AR219),NOT($AU219),NOT($BI219),MAX($AN219,$AO219,$AP219)&gt;Constants!$B$30),Constants!$B$10,Constants!$B$9))))</f>
        <v/>
      </c>
      <c r="BN219" s="74" t="str">
        <f aca="false">IF($BL219&lt;&gt;Constants!$B$4,"",IF(NOT($AL219),0,MIN(Constants!$B$35,$BF219)))</f>
        <v/>
      </c>
      <c r="BO219" s="74" t="str">
        <f aca="false">IF($BL219&lt;&gt;Constants!$B$4,"",IF(NOT($AL219),0,IF($AW219,Constants!$B$18,IF($AV219,Constants!$B$17,0))))</f>
        <v/>
      </c>
      <c r="BP219" s="74" t="str">
        <f aca="false">IF($BL219&lt;&gt;Constants!$B$4,"",IF(NOT($AL219),0,Constants!$B$19*($AK219+$AX219+$AY219+$AZ219)))</f>
        <v/>
      </c>
      <c r="BQ219" s="74" t="str">
        <f aca="false">IF($BL219&lt;&gt;Constants!$B$4,"",IF(OR(NOT($AL219),NOT(ISNUMBER($BA219))),0,CHOOSE($BA219,Constants!$B$13,Constants!$B$14,Constants!$B$15,Constants!$B$16)))</f>
        <v/>
      </c>
      <c r="BR219" s="74" t="str">
        <f aca="false">IF($BL219&lt;&gt;Constants!$B$4,"",IF(NOT($AL219),0,Constants!$B$20*$BB219))</f>
        <v/>
      </c>
      <c r="BS219" s="74" t="str">
        <f aca="false">IF($BL219&lt;&gt;Constants!$B$4,"",IF(AND($AL219,$BD219,$BE219),Constants!$B$22,0))</f>
        <v/>
      </c>
      <c r="BT219" s="74" t="str">
        <f aca="false">IF($BL219&lt;&gt;Constants!$B$4,"",IF(OR(NOT($AL219),NOT($BD219)),0,IF($BJ219&gt;=2*$AH$9,0,Constants!$B$23*INT(ROUND(MIN($BJ219,$AH$9),6)))))</f>
        <v/>
      </c>
      <c r="BU219" s="74" t="str">
        <f aca="false">IF($BL219&lt;&gt;Constants!$B$4,"",IF(NOT($AL219),0,Constants!$B$24*INT(ROUND(MIN($BC219,$AH$9),6))))</f>
        <v/>
      </c>
      <c r="BV219" s="74" t="str">
        <f aca="false">IF($BL219&lt;&gt;Constants!$B$4,"",IF(AND($AL219,$BN219=0),Constants!$B$25,0))</f>
        <v/>
      </c>
      <c r="BW219" s="74" t="str">
        <f aca="false">IF($BL219&lt;&gt;Constants!$B$4,"",MIN(Constants!$B$29,MAX(0,Constants!$B$27*Constants!$B$28*INT(ROUND((Constants!$B$26-$AN219)/Constants!$B$28,6))))+MIN(Constants!$B$29,MAX(0,Constants!$B$27*Constants!$B$28*INT(ROUND((Constants!$B$26-$AO219)/Constants!$B$28,6))))+MIN(Constants!$B$29,MAX(0,Constants!$B$27*Constants!$B$28*INT(ROUND((Constants!$B$26-$AP219)/Constants!$B$28,6)))))</f>
        <v/>
      </c>
      <c r="BX219" s="74" t="str">
        <f aca="false">IF($BL219&lt;&gt;Constants!$B$4,"",IF(NOT($AL219),0,Constants!$B$31*INT(ROUND(MAX(0,MIN($BJ219,2*$AH$9)-$AH$9),6))))</f>
        <v/>
      </c>
      <c r="BY219" s="74" t="str">
        <f aca="false">IF($BL219&lt;&gt;Constants!$B$4,"",Constants!$B$32*(($AN219&gt;Constants!$B$26)+($AO219&gt;Constants!$B$26)+($AP219&gt;Constants!$B$26)))</f>
        <v/>
      </c>
      <c r="BZ219" s="74" t="str">
        <f aca="false">IF($BL219&lt;&gt;Constants!$B$4,"",IF(OR(NOT($AL219),$AQ219),0,Constants!$B$33))</f>
        <v/>
      </c>
      <c r="CA219" s="74" t="str">
        <f aca="false">IF($BL219&lt;&gt;Constants!$B$4,"",Constants!$B$34*$BN219)</f>
        <v/>
      </c>
      <c r="CB219" s="74" t="str">
        <f aca="false">IF($BL219&lt;&gt;Constants!$B$4,"",IF(OR(NOT($AL219),$BH219),0,Constants!$B$36))</f>
        <v/>
      </c>
      <c r="CC219" s="74" t="str">
        <f aca="false">IF($BL219&lt;&gt;Constants!$B$4,"",IF(OR(NOT($AL219),$BG219),0,Constants!$B$37))</f>
        <v/>
      </c>
      <c r="CD219" s="74" t="str">
        <f aca="false">IF($BL219&lt;&gt;Constants!$B$4,"",SUM($BX219:$CC219))</f>
        <v/>
      </c>
      <c r="CE219" s="74" t="str">
        <f aca="false">IF(ISBLANK($C219),"",IF($BL219&lt;&gt;Constants!$B$4,$BL219,SUM($BO219:$BW219)-$CD219))</f>
        <v/>
      </c>
      <c r="CF219" s="74" t="str">
        <f aca="false">IF(ISBLANK($C219),"",IF($BL219&lt;&gt;Constants!$B$4,$BL219,RANK($CE219,$CE$9:$CE$508)))</f>
        <v/>
      </c>
      <c r="CG219" s="74" t="str">
        <f aca="false">IF(ISBLANK($C219),"",IF($BL219&lt;&gt;Constants!$B$4,$BL219,COUNTIFS($BM$9:$BM$508,"&lt;"&amp;$BM219)+COUNTIFS($BM$9:$BM$508,$BM219,$CF$9:$CF$508,"&lt;"&amp;$CF219)+1))</f>
        <v/>
      </c>
      <c r="CH219" s="74" t="str">
        <f aca="false">IF(ISBLANK($C219),"",IF($BL219&lt;&gt;Constants!$B$4,$BL219,RANK($CD219,$CD$9:$CD$508,1)))</f>
        <v/>
      </c>
      <c r="CI219" s="74" t="str">
        <f aca="false">IF($BL219&lt;&gt;Constants!$B$4,"",$AN219+$AO219+$AP219)</f>
        <v/>
      </c>
      <c r="CJ219" s="74" t="str">
        <f aca="false">IF(ISBLANK($C219),"",IF($BL219&lt;&gt;Constants!$B$4,$BL219,RANK($CI219,$CI$9:$CI$508,1)))</f>
        <v/>
      </c>
      <c r="CK219" s="74" t="str">
        <f aca="false">IF(ISBLANK($C219),"",IF($BL219&lt;&gt;Constants!$B$4,$BL219,COUNTIFS($BM$9:$BM$508,"&lt;"&amp;$BM219)+COUNTIFS($BM$9:$BM$508,$BM219,$CF$9:$CF$508,"&lt;"&amp;$CF219)+COUNTIFS($BM$9:$BM$508,$BM219,$CF$9:$CF$508,$CF219,$CH$9:$CH$508,"&lt;"&amp;$CH219)+COUNTIFS($BM$9:$BM$508,$BM219,$CF$9:$CF$508,$CF219,$CH$9:$CH$508,$CH219,$CJ$9:$CJ$508,"&lt;"&amp;$CJ219)+1))</f>
        <v/>
      </c>
      <c r="CL219" s="74" t="str">
        <f aca="false">IF(ISBLANK($C219),"",IF($BL219&lt;&gt;Constants!$B$4,$BL219,$CG219-$CK219))</f>
        <v/>
      </c>
      <c r="CM219" s="74" t="str">
        <f aca="false">IF(ISBLANK($C219),"",IF(NOT($AL219),"",IF(ISBLANK($D$7),$CM$5,IF(NOT(ISNUMBER($D$7)),$CM$6,""))))</f>
        <v/>
      </c>
      <c r="CN219" s="74" t="str">
        <f aca="false">IF(ISBLANK($C219),"",OR($AN219="",$AO219="",$AP219=""))</f>
        <v/>
      </c>
      <c r="CO219" s="74" t="str">
        <f aca="false">IF(ISBLANK($C219),"",AND($AL219,$BA219=""))</f>
        <v/>
      </c>
      <c r="CP219" s="74" t="str">
        <f aca="false">IF(ISBLANK($C219),"",AND($AL219,$BB219=""))</f>
        <v/>
      </c>
      <c r="CQ219" s="74" t="str">
        <f aca="false">IF(ISBLANK($C219),"",AND($AL219,$BC219=""))</f>
        <v/>
      </c>
      <c r="CR219" s="74" t="str">
        <f aca="false">IF(ISBLANK($C219),"",AND($AL219,$BF219=""))</f>
        <v/>
      </c>
      <c r="CS219" s="74" t="str">
        <f aca="false">IF(ISBLANK($C219),"",AND($AL219,$BJ219=""))</f>
        <v/>
      </c>
      <c r="CT219" s="75"/>
      <c r="CU219" s="76"/>
      <c r="CV219" s="79" t="str">
        <f aca="false">IF(ISBLANK($C219),"",IF($BL219=Constants!$B$8,$CM219,""))</f>
        <v/>
      </c>
      <c r="CW219" s="76" t="str">
        <f aca="false">IF(ISBLANK($C219),"",IF($BL219&lt;&gt;Constants!$B$4,"",$BO219+$BP219))</f>
        <v/>
      </c>
      <c r="CX219" s="78" t="str">
        <f aca="false">IF(ISBLANK($C219),"",IF($BL219&lt;&gt;Constants!$B$4,"",$BQ219+$BR219+$BS219))</f>
        <v/>
      </c>
      <c r="CY219" s="78" t="str">
        <f aca="false">IF(ISBLANK($C219),"",IF($BL219&lt;&gt;Constants!$B$4,"",$BT219))</f>
        <v/>
      </c>
      <c r="CZ219" s="78" t="str">
        <f aca="false">IF(ISBLANK($C219),"",IF($BL219&lt;&gt;Constants!$B$4,"",$BU219+$BV219))</f>
        <v/>
      </c>
      <c r="DA219" s="78" t="str">
        <f aca="false">IF(ISBLANK($C219),"",IF($BL219&lt;&gt;Constants!$B$4,"",$BW219))</f>
        <v/>
      </c>
      <c r="DB219" s="78" t="str">
        <f aca="false">IF(ISBLANK($C219),"",IF($BL219&lt;&gt;Constants!$B$4,"",-$CD219))</f>
        <v/>
      </c>
      <c r="DC219" s="79" t="str">
        <f aca="false">IF(ISBLANK($C219),"",$CE219)</f>
        <v/>
      </c>
      <c r="DD219" s="80" t="str">
        <f aca="false">IF(ISBLANK($C219),"",$BM219)</f>
        <v/>
      </c>
      <c r="DE219" s="78" t="str">
        <f aca="false">IF(ISBLANK($C219),"",$CL219)</f>
        <v/>
      </c>
      <c r="DF219" s="78" t="str">
        <f aca="false">IF(ISBLANK($C219),"",$CK219)</f>
        <v/>
      </c>
      <c r="DG219" s="81" t="str">
        <f aca="false">IF(ISBLANK($C219),"",IF($DF219=Constants!$B$7,COUNTA($C$9:$C$508)+2,IF($DF219=Constants!$B$6,COUNTA($C$9:$C$508)+1,IF($DF219=Constants!$B$5,COUNTA($C$9:$C$508),$DF219))))</f>
        <v/>
      </c>
      <c r="DH219" s="7"/>
      <c r="DI219" s="82" t="n">
        <f aca="false">IF(OR(ISNUMBER($DF219),$DF219=Constants!$B$7,$DF219=Constants!$B$5,$DF219=Constants!$B$6),1,0)</f>
        <v>0</v>
      </c>
      <c r="DJ219" s="82" t="n">
        <v>211</v>
      </c>
      <c r="DK219" s="82" t="str">
        <f aca="false">IF(ISBLANK($C219),"",IF(ISNUMBER($DG219),$DG219+ROW($B219)/1000,""))</f>
        <v/>
      </c>
      <c r="DL219" s="82" t="str">
        <f aca="false">IF(ISNUMBER($DK219),RANK($DK219,$DK$9:$DK$508,1),"")</f>
        <v/>
      </c>
      <c r="DM219" s="82" t="str">
        <f aca="false">IF(ISBLANK($C219),"",$B219)</f>
        <v/>
      </c>
      <c r="DN219" s="82" t="str">
        <f aca="false">IF(ISBLANK($C219),"",$C219)</f>
        <v/>
      </c>
      <c r="DO219" s="82" t="str">
        <f aca="false">IF(ISBLANK($C219),"",$D219)</f>
        <v/>
      </c>
      <c r="DP219" s="83" t="str">
        <f aca="false">$DD219</f>
        <v/>
      </c>
      <c r="DQ219" s="84" t="str">
        <f aca="false">$DC219</f>
        <v/>
      </c>
      <c r="DR219" s="82" t="str">
        <f aca="false">IF(ISBLANK($C219),"",$DF219)</f>
        <v/>
      </c>
      <c r="DS219" s="85" t="str">
        <f aca="false">IF($DJ219&gt;$DI$8,"",VLOOKUP($DJ219,$DL$9:$DR$508,7,FALSE()))</f>
        <v/>
      </c>
      <c r="DT219" s="86" t="str">
        <f aca="false">IF($DJ219&gt;$DI$8,"",VLOOKUP($DJ219,$DL$9:$DR$508,2,FALSE()))</f>
        <v/>
      </c>
      <c r="DU219" s="86" t="str">
        <f aca="false">IF($DJ219&gt;$DI$8,"",VLOOKUP($DJ219,$DL$9:$DR$508,3,FALSE()))</f>
        <v/>
      </c>
      <c r="DV219" s="86" t="str">
        <f aca="false">IF($DJ219&gt;$DI$8,"",VLOOKUP($DJ219,$DL$9:$DR$508,4,FALSE()))</f>
        <v/>
      </c>
      <c r="DW219" s="86" t="str">
        <f aca="false">IF($DJ219&gt;$DI$8,"",VLOOKUP($DJ219,$DL$9:$DR$508,5,FALSE()))</f>
        <v/>
      </c>
      <c r="DX219" s="87" t="str">
        <f aca="false">IF($DJ219&gt;$DI$8,"",VLOOKUP($DJ219,$DL$9:$DR$508,6,FALSE()))</f>
        <v/>
      </c>
      <c r="DY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88"/>
      <c r="N220" s="88"/>
      <c r="O220" s="134"/>
      <c r="P220" s="134"/>
      <c r="Q220" s="88"/>
      <c r="R220" s="88"/>
      <c r="S220" s="88"/>
      <c r="T220" s="88"/>
      <c r="U220" s="134"/>
      <c r="V220" s="88"/>
      <c r="W220" s="70"/>
      <c r="X220" s="88"/>
      <c r="Y220" s="88"/>
      <c r="Z220" s="70"/>
      <c r="AA220" s="70"/>
      <c r="AB220" s="88"/>
      <c r="AC220" s="88"/>
      <c r="AD220" s="88"/>
      <c r="AE220" s="71"/>
      <c r="AF220" s="88"/>
      <c r="AG220" s="73"/>
      <c r="AH220" s="74"/>
      <c r="AI220" s="74"/>
      <c r="AJ220" s="74" t="str">
        <f aca="false">IF(ISBLANK($C220),"",IF($E220=Constants!$B$2,TRUE(),IF($E220=Constants!$B$3,FALSE(),TRUE())))</f>
        <v/>
      </c>
      <c r="AK220" s="74" t="str">
        <f aca="false">IF(ISBLANK($C220),"",IF($F220=Constants!$B$2,TRUE(),IF($F220=Constants!$B$3,FALSE(),FALSE())))</f>
        <v/>
      </c>
      <c r="AL220" s="74" t="str">
        <f aca="false">IF(ISBLANK($C220),"",IF($G220=Constants!$B$2,TRUE(),IF($G220=Constants!$B$3,FALSE(),TRUE())))</f>
        <v/>
      </c>
      <c r="AM220" s="74" t="str">
        <f aca="false">IF(ISBLANK($C220),"",IF($H220=Constants!$B$2,TRUE(),IF($H220=Constants!$B$3,FALSE(),TRUE())))</f>
        <v/>
      </c>
      <c r="AN220" s="74" t="str">
        <f aca="false">IF(ISBLANK($C220),"",IF(ISNUMBER($I220),IF($I220&gt;=0,$I220,""),""))</f>
        <v/>
      </c>
      <c r="AO220" s="74" t="str">
        <f aca="false">IF(ISBLANK($C220),"",IF(ISNUMBER($J220),IF($J220&gt;=0,$J220,""),""))</f>
        <v/>
      </c>
      <c r="AP220" s="74" t="str">
        <f aca="false">IF(ISBLANK($C220),"",IF(ISNUMBER($K220),IF($K220&gt;=0,$K220,""),""))</f>
        <v/>
      </c>
      <c r="AQ220" s="74" t="str">
        <f aca="false">IF(ISBLANK($C220),"",IF($L220=Constants!$B$2,TRUE(),IF($L220=Constants!$B$3,FALSE(),TRUE())))</f>
        <v/>
      </c>
      <c r="AR220" s="74" t="str">
        <f aca="false">IF(ISBLANK($C220),"",IF($M220=Constants!$B$2,TRUE(),IF($M220=Constants!$B$3,FALSE(),TRUE())))</f>
        <v/>
      </c>
      <c r="AS220" s="74" t="str">
        <f aca="false">IF(ISBLANK($C220),"",IF($N220=Constants!$B$2,TRUE(),IF($N220=Constants!$B$3,FALSE(),FALSE())))</f>
        <v/>
      </c>
      <c r="AT220" s="74" t="str">
        <f aca="false">IF(ISBLANK($C220),"",IF($O220=Constants!$B$2,TRUE(),IF($O220=Constants!$B$3,FALSE(),TRUE())))</f>
        <v/>
      </c>
      <c r="AU220" s="74" t="str">
        <f aca="false">IF(ISBLANK($C220),"",IF($P220=Constants!$B$2,TRUE(),IF($P220=Constants!$B$3,FALSE(),TRUE())))</f>
        <v/>
      </c>
      <c r="AV220" s="74" t="str">
        <f aca="false">IF(ISBLANK($C220),"",IF($Q220=Constants!$B$2,TRUE(),IF($Q220=Constants!$B$3,FALSE(),FALSE())))</f>
        <v/>
      </c>
      <c r="AW220" s="74" t="str">
        <f aca="false">IF(ISBLANK($C220),"",IF($R220=Constants!$B$2,TRUE(),IF($R220=Constants!$B$3,FALSE(),FALSE())))</f>
        <v/>
      </c>
      <c r="AX220" s="74" t="str">
        <f aca="false">IF(ISBLANK($C220),"",IF($S220=Constants!$B$2,TRUE(),IF($S220=Constants!$B$3,FALSE(),FALSE())))</f>
        <v/>
      </c>
      <c r="AY220" s="74" t="str">
        <f aca="false">IF(ISBLANK($C220),"",IF($T220=Constants!$B$2,TRUE(),IF($T220=Constants!$B$3,FALSE(),FALSE())))</f>
        <v/>
      </c>
      <c r="AZ220" s="74" t="str">
        <f aca="false">IF(ISBLANK($C220),"",IF($U220=Constants!$B$2,TRUE(),IF($U220=Constants!$B$3,FALSE(),FALSE())))</f>
        <v/>
      </c>
      <c r="BA220" s="74" t="str">
        <f aca="false">IF(ISBLANK($C220),"",IF(OR($V220&amp;""="1",$V220&amp;""="2",$V220&amp;""="3",$V220&amp;""="4"),VALUE($V220&amp;""),IF($V220=Constants!$B$12,Constants!$B$12,"")))</f>
        <v/>
      </c>
      <c r="BB220" s="74" t="str">
        <f aca="false">IF(ISBLANK($C220),"",IF(ISBLANK($W220),0,IF(ISNUMBER($W220),IF(AND($W220&gt;=0,$W220&lt;=Constants!$B$21,$W220=INT($W220)),$W220,""),"")))</f>
        <v/>
      </c>
      <c r="BC220" s="74" t="str">
        <f aca="false">IF(ISBLANK($C220),"",IF(ISBLANK($X220),0,IF(ISNUMBER($X220),IF($X220&gt;=0,$X220,""),"")))</f>
        <v/>
      </c>
      <c r="BD220" s="74" t="str">
        <f aca="false">IF(ISBLANK($C220),"",IF($Y220=Constants!$B$2,TRUE(),IF($Y220=Constants!$B$3,FALSE(),TRUE())))</f>
        <v/>
      </c>
      <c r="BE220" s="74" t="str">
        <f aca="false">IF(ISBLANK($C220),"",IF($Z220=Constants!$B$2,TRUE(),IF($Z220=Constants!$B$3,FALSE(),FALSE())))</f>
        <v/>
      </c>
      <c r="BF220" s="74" t="str">
        <f aca="false">IF(ISBLANK($C220),"",IF(ISBLANK($AA220),0,IF(ISNUMBER($AA220),IF(AND($AA220&gt;=0,$AA220&lt;=Constants!$B$35,$AA220=INT($AA220)),$AA220,""),"")))</f>
        <v/>
      </c>
      <c r="BG220" s="74" t="str">
        <f aca="false">IF(ISBLANK($C220),"",IF($AB220=Constants!$B$2,TRUE(),IF($AB220=Constants!$B$3,FALSE(),TRUE())))</f>
        <v/>
      </c>
      <c r="BH220" s="74" t="str">
        <f aca="false">IF(ISBLANK($C220),"",IF($AC220=Constants!$B$2,TRUE(),IF($AC220=Constants!$B$3,FALSE(),TRUE())))</f>
        <v/>
      </c>
      <c r="BI220" s="74" t="str">
        <f aca="false">IF(ISBLANK($C220),"",IF($AD220=Constants!$B$2,TRUE(),IF($AD220=Constants!$B$3,FALSE(),TRUE())))</f>
        <v/>
      </c>
      <c r="BJ220" s="74" t="str">
        <f aca="false">IF(ISBLANK($C220),"",IF(ISNUMBER($AE220),IF($AE220&gt;=0,$AE220,""),""))</f>
        <v/>
      </c>
      <c r="BK220" s="74" t="str">
        <f aca="false">IF(ISBLANK($C220),"",IF($AF220=Constants!$B$2,TRUE(),IF($AF220=Constants!$B$3,FALSE(),FALSE())))</f>
        <v/>
      </c>
      <c r="BL220" s="73" t="str">
        <f aca="false">IF(ISBLANK($C220),"",IF($BK220,Constants!$B$7,IF(COUNTA($E220:$AE220)=0,Constants!$B$6,IF(OR(COUNTA($G220:$AE220)=0,NOT($AM220),$AS220),Constants!$B$5,IF(OR($CM220&lt;&gt;"",$CN220,$CO220,$CP220,$CQ220,$CR220,$CS220),Constants!$B$8,Constants!$B$4)))))</f>
        <v/>
      </c>
      <c r="BM220" s="74" t="str">
        <f aca="false">IF(ISBLANK($C220),"",IF($BL220&lt;&gt;Constants!$B$4,$BL220,IF(OR(NOT($AJ220),NOT($AL220),NOT($AT220)),Constants!$B$11,IF(OR(NOT($AR220),NOT($AU220),NOT($BI220),MAX($AN220,$AO220,$AP220)&gt;Constants!$B$30),Constants!$B$10,Constants!$B$9))))</f>
        <v/>
      </c>
      <c r="BN220" s="74" t="str">
        <f aca="false">IF($BL220&lt;&gt;Constants!$B$4,"",IF(NOT($AL220),0,MIN(Constants!$B$35,$BF220)))</f>
        <v/>
      </c>
      <c r="BO220" s="74" t="str">
        <f aca="false">IF($BL220&lt;&gt;Constants!$B$4,"",IF(NOT($AL220),0,IF($AW220,Constants!$B$18,IF($AV220,Constants!$B$17,0))))</f>
        <v/>
      </c>
      <c r="BP220" s="74" t="str">
        <f aca="false">IF($BL220&lt;&gt;Constants!$B$4,"",IF(NOT($AL220),0,Constants!$B$19*($AK220+$AX220+$AY220+$AZ220)))</f>
        <v/>
      </c>
      <c r="BQ220" s="74" t="str">
        <f aca="false">IF($BL220&lt;&gt;Constants!$B$4,"",IF(OR(NOT($AL220),NOT(ISNUMBER($BA220))),0,CHOOSE($BA220,Constants!$B$13,Constants!$B$14,Constants!$B$15,Constants!$B$16)))</f>
        <v/>
      </c>
      <c r="BR220" s="74" t="str">
        <f aca="false">IF($BL220&lt;&gt;Constants!$B$4,"",IF(NOT($AL220),0,Constants!$B$20*$BB220))</f>
        <v/>
      </c>
      <c r="BS220" s="74" t="str">
        <f aca="false">IF($BL220&lt;&gt;Constants!$B$4,"",IF(AND($AL220,$BD220,$BE220),Constants!$B$22,0))</f>
        <v/>
      </c>
      <c r="BT220" s="74" t="str">
        <f aca="false">IF($BL220&lt;&gt;Constants!$B$4,"",IF(OR(NOT($AL220),NOT($BD220)),0,IF($BJ220&gt;=2*$AH$9,0,Constants!$B$23*INT(ROUND(MIN($BJ220,$AH$9),6)))))</f>
        <v/>
      </c>
      <c r="BU220" s="74" t="str">
        <f aca="false">IF($BL220&lt;&gt;Constants!$B$4,"",IF(NOT($AL220),0,Constants!$B$24*INT(ROUND(MIN($BC220,$AH$9),6))))</f>
        <v/>
      </c>
      <c r="BV220" s="74" t="str">
        <f aca="false">IF($BL220&lt;&gt;Constants!$B$4,"",IF(AND($AL220,$BN220=0),Constants!$B$25,0))</f>
        <v/>
      </c>
      <c r="BW220" s="74" t="str">
        <f aca="false">IF($BL220&lt;&gt;Constants!$B$4,"",MIN(Constants!$B$29,MAX(0,Constants!$B$27*Constants!$B$28*INT(ROUND((Constants!$B$26-$AN220)/Constants!$B$28,6))))+MIN(Constants!$B$29,MAX(0,Constants!$B$27*Constants!$B$28*INT(ROUND((Constants!$B$26-$AO220)/Constants!$B$28,6))))+MIN(Constants!$B$29,MAX(0,Constants!$B$27*Constants!$B$28*INT(ROUND((Constants!$B$26-$AP220)/Constants!$B$28,6)))))</f>
        <v/>
      </c>
      <c r="BX220" s="74" t="str">
        <f aca="false">IF($BL220&lt;&gt;Constants!$B$4,"",IF(NOT($AL220),0,Constants!$B$31*INT(ROUND(MAX(0,MIN($BJ220,2*$AH$9)-$AH$9),6))))</f>
        <v/>
      </c>
      <c r="BY220" s="74" t="str">
        <f aca="false">IF($BL220&lt;&gt;Constants!$B$4,"",Constants!$B$32*(($AN220&gt;Constants!$B$26)+($AO220&gt;Constants!$B$26)+($AP220&gt;Constants!$B$26)))</f>
        <v/>
      </c>
      <c r="BZ220" s="74" t="str">
        <f aca="false">IF($BL220&lt;&gt;Constants!$B$4,"",IF(OR(NOT($AL220),$AQ220),0,Constants!$B$33))</f>
        <v/>
      </c>
      <c r="CA220" s="74" t="str">
        <f aca="false">IF($BL220&lt;&gt;Constants!$B$4,"",Constants!$B$34*$BN220)</f>
        <v/>
      </c>
      <c r="CB220" s="74" t="str">
        <f aca="false">IF($BL220&lt;&gt;Constants!$B$4,"",IF(OR(NOT($AL220),$BH220),0,Constants!$B$36))</f>
        <v/>
      </c>
      <c r="CC220" s="74" t="str">
        <f aca="false">IF($BL220&lt;&gt;Constants!$B$4,"",IF(OR(NOT($AL220),$BG220),0,Constants!$B$37))</f>
        <v/>
      </c>
      <c r="CD220" s="74" t="str">
        <f aca="false">IF($BL220&lt;&gt;Constants!$B$4,"",SUM($BX220:$CC220))</f>
        <v/>
      </c>
      <c r="CE220" s="74" t="str">
        <f aca="false">IF(ISBLANK($C220),"",IF($BL220&lt;&gt;Constants!$B$4,$BL220,SUM($BO220:$BW220)-$CD220))</f>
        <v/>
      </c>
      <c r="CF220" s="74" t="str">
        <f aca="false">IF(ISBLANK($C220),"",IF($BL220&lt;&gt;Constants!$B$4,$BL220,RANK($CE220,$CE$9:$CE$508)))</f>
        <v/>
      </c>
      <c r="CG220" s="74" t="str">
        <f aca="false">IF(ISBLANK($C220),"",IF($BL220&lt;&gt;Constants!$B$4,$BL220,COUNTIFS($BM$9:$BM$508,"&lt;"&amp;$BM220)+COUNTIFS($BM$9:$BM$508,$BM220,$CF$9:$CF$508,"&lt;"&amp;$CF220)+1))</f>
        <v/>
      </c>
      <c r="CH220" s="74" t="str">
        <f aca="false">IF(ISBLANK($C220),"",IF($BL220&lt;&gt;Constants!$B$4,$BL220,RANK($CD220,$CD$9:$CD$508,1)))</f>
        <v/>
      </c>
      <c r="CI220" s="74" t="str">
        <f aca="false">IF($BL220&lt;&gt;Constants!$B$4,"",$AN220+$AO220+$AP220)</f>
        <v/>
      </c>
      <c r="CJ220" s="74" t="str">
        <f aca="false">IF(ISBLANK($C220),"",IF($BL220&lt;&gt;Constants!$B$4,$BL220,RANK($CI220,$CI$9:$CI$508,1)))</f>
        <v/>
      </c>
      <c r="CK220" s="74" t="str">
        <f aca="false">IF(ISBLANK($C220),"",IF($BL220&lt;&gt;Constants!$B$4,$BL220,COUNTIFS($BM$9:$BM$508,"&lt;"&amp;$BM220)+COUNTIFS($BM$9:$BM$508,$BM220,$CF$9:$CF$508,"&lt;"&amp;$CF220)+COUNTIFS($BM$9:$BM$508,$BM220,$CF$9:$CF$508,$CF220,$CH$9:$CH$508,"&lt;"&amp;$CH220)+COUNTIFS($BM$9:$BM$508,$BM220,$CF$9:$CF$508,$CF220,$CH$9:$CH$508,$CH220,$CJ$9:$CJ$508,"&lt;"&amp;$CJ220)+1))</f>
        <v/>
      </c>
      <c r="CL220" s="74" t="str">
        <f aca="false">IF(ISBLANK($C220),"",IF($BL220&lt;&gt;Constants!$B$4,$BL220,$CG220-$CK220))</f>
        <v/>
      </c>
      <c r="CM220" s="74" t="str">
        <f aca="false">IF(ISBLANK($C220),"",IF(NOT($AL220),"",IF(ISBLANK($D$7),$CM$5,IF(NOT(ISNUMBER($D$7)),$CM$6,""))))</f>
        <v/>
      </c>
      <c r="CN220" s="74" t="str">
        <f aca="false">IF(ISBLANK($C220),"",OR($AN220="",$AO220="",$AP220=""))</f>
        <v/>
      </c>
      <c r="CO220" s="74" t="str">
        <f aca="false">IF(ISBLANK($C220),"",AND($AL220,$BA220=""))</f>
        <v/>
      </c>
      <c r="CP220" s="74" t="str">
        <f aca="false">IF(ISBLANK($C220),"",AND($AL220,$BB220=""))</f>
        <v/>
      </c>
      <c r="CQ220" s="74" t="str">
        <f aca="false">IF(ISBLANK($C220),"",AND($AL220,$BC220=""))</f>
        <v/>
      </c>
      <c r="CR220" s="74" t="str">
        <f aca="false">IF(ISBLANK($C220),"",AND($AL220,$BF220=""))</f>
        <v/>
      </c>
      <c r="CS220" s="74" t="str">
        <f aca="false">IF(ISBLANK($C220),"",AND($AL220,$BJ220=""))</f>
        <v/>
      </c>
      <c r="CT220" s="75"/>
      <c r="CU220" s="76"/>
      <c r="CV220" s="79" t="str">
        <f aca="false">IF(ISBLANK($C220),"",IF($BL220=Constants!$B$8,$CM220,""))</f>
        <v/>
      </c>
      <c r="CW220" s="76" t="str">
        <f aca="false">IF(ISBLANK($C220),"",IF($BL220&lt;&gt;Constants!$B$4,"",$BO220+$BP220))</f>
        <v/>
      </c>
      <c r="CX220" s="78" t="str">
        <f aca="false">IF(ISBLANK($C220),"",IF($BL220&lt;&gt;Constants!$B$4,"",$BQ220+$BR220+$BS220))</f>
        <v/>
      </c>
      <c r="CY220" s="78" t="str">
        <f aca="false">IF(ISBLANK($C220),"",IF($BL220&lt;&gt;Constants!$B$4,"",$BT220))</f>
        <v/>
      </c>
      <c r="CZ220" s="78" t="str">
        <f aca="false">IF(ISBLANK($C220),"",IF($BL220&lt;&gt;Constants!$B$4,"",$BU220+$BV220))</f>
        <v/>
      </c>
      <c r="DA220" s="78" t="str">
        <f aca="false">IF(ISBLANK($C220),"",IF($BL220&lt;&gt;Constants!$B$4,"",$BW220))</f>
        <v/>
      </c>
      <c r="DB220" s="78" t="str">
        <f aca="false">IF(ISBLANK($C220),"",IF($BL220&lt;&gt;Constants!$B$4,"",-$CD220))</f>
        <v/>
      </c>
      <c r="DC220" s="79" t="str">
        <f aca="false">IF(ISBLANK($C220),"",$CE220)</f>
        <v/>
      </c>
      <c r="DD220" s="80" t="str">
        <f aca="false">IF(ISBLANK($C220),"",$BM220)</f>
        <v/>
      </c>
      <c r="DE220" s="78" t="str">
        <f aca="false">IF(ISBLANK($C220),"",$CL220)</f>
        <v/>
      </c>
      <c r="DF220" s="78" t="str">
        <f aca="false">IF(ISBLANK($C220),"",$CK220)</f>
        <v/>
      </c>
      <c r="DG220" s="81" t="str">
        <f aca="false">IF(ISBLANK($C220),"",IF($DF220=Constants!$B$7,COUNTA($C$9:$C$508)+2,IF($DF220=Constants!$B$6,COUNTA($C$9:$C$508)+1,IF($DF220=Constants!$B$5,COUNTA($C$9:$C$508),$DF220))))</f>
        <v/>
      </c>
      <c r="DH220" s="7"/>
      <c r="DI220" s="82" t="n">
        <f aca="false">IF(OR(ISNUMBER($DF220),$DF220=Constants!$B$7,$DF220=Constants!$B$5,$DF220=Constants!$B$6),1,0)</f>
        <v>0</v>
      </c>
      <c r="DJ220" s="82" t="n">
        <v>212</v>
      </c>
      <c r="DK220" s="82" t="str">
        <f aca="false">IF(ISBLANK($C220),"",IF(ISNUMBER($DG220),$DG220+ROW($B220)/1000,""))</f>
        <v/>
      </c>
      <c r="DL220" s="82" t="str">
        <f aca="false">IF(ISNUMBER($DK220),RANK($DK220,$DK$9:$DK$508,1),"")</f>
        <v/>
      </c>
      <c r="DM220" s="82" t="str">
        <f aca="false">IF(ISBLANK($C220),"",$B220)</f>
        <v/>
      </c>
      <c r="DN220" s="82" t="str">
        <f aca="false">IF(ISBLANK($C220),"",$C220)</f>
        <v/>
      </c>
      <c r="DO220" s="82" t="str">
        <f aca="false">IF(ISBLANK($C220),"",$D220)</f>
        <v/>
      </c>
      <c r="DP220" s="83" t="str">
        <f aca="false">$DD220</f>
        <v/>
      </c>
      <c r="DQ220" s="84" t="str">
        <f aca="false">$DC220</f>
        <v/>
      </c>
      <c r="DR220" s="82" t="str">
        <f aca="false">IF(ISBLANK($C220),"",$DF220)</f>
        <v/>
      </c>
      <c r="DS220" s="85" t="str">
        <f aca="false">IF($DJ220&gt;$DI$8,"",VLOOKUP($DJ220,$DL$9:$DR$508,7,FALSE()))</f>
        <v/>
      </c>
      <c r="DT220" s="86" t="str">
        <f aca="false">IF($DJ220&gt;$DI$8,"",VLOOKUP($DJ220,$DL$9:$DR$508,2,FALSE()))</f>
        <v/>
      </c>
      <c r="DU220" s="86" t="str">
        <f aca="false">IF($DJ220&gt;$DI$8,"",VLOOKUP($DJ220,$DL$9:$DR$508,3,FALSE()))</f>
        <v/>
      </c>
      <c r="DV220" s="86" t="str">
        <f aca="false">IF($DJ220&gt;$DI$8,"",VLOOKUP($DJ220,$DL$9:$DR$508,4,FALSE()))</f>
        <v/>
      </c>
      <c r="DW220" s="86" t="str">
        <f aca="false">IF($DJ220&gt;$DI$8,"",VLOOKUP($DJ220,$DL$9:$DR$508,5,FALSE()))</f>
        <v/>
      </c>
      <c r="DX220" s="87" t="str">
        <f aca="false">IF($DJ220&gt;$DI$8,"",VLOOKUP($DJ220,$DL$9:$DR$508,6,FALSE()))</f>
        <v/>
      </c>
      <c r="DY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88"/>
      <c r="N221" s="88"/>
      <c r="O221" s="134"/>
      <c r="P221" s="134"/>
      <c r="Q221" s="88"/>
      <c r="R221" s="88"/>
      <c r="S221" s="88"/>
      <c r="T221" s="88"/>
      <c r="U221" s="134"/>
      <c r="V221" s="88"/>
      <c r="W221" s="70"/>
      <c r="X221" s="88"/>
      <c r="Y221" s="88"/>
      <c r="Z221" s="70"/>
      <c r="AA221" s="70"/>
      <c r="AB221" s="88"/>
      <c r="AC221" s="88"/>
      <c r="AD221" s="88"/>
      <c r="AE221" s="71"/>
      <c r="AF221" s="88"/>
      <c r="AG221" s="73"/>
      <c r="AH221" s="74"/>
      <c r="AI221" s="74"/>
      <c r="AJ221" s="74" t="str">
        <f aca="false">IF(ISBLANK($C221),"",IF($E221=Constants!$B$2,TRUE(),IF($E221=Constants!$B$3,FALSE(),TRUE())))</f>
        <v/>
      </c>
      <c r="AK221" s="74" t="str">
        <f aca="false">IF(ISBLANK($C221),"",IF($F221=Constants!$B$2,TRUE(),IF($F221=Constants!$B$3,FALSE(),FALSE())))</f>
        <v/>
      </c>
      <c r="AL221" s="74" t="str">
        <f aca="false">IF(ISBLANK($C221),"",IF($G221=Constants!$B$2,TRUE(),IF($G221=Constants!$B$3,FALSE(),TRUE())))</f>
        <v/>
      </c>
      <c r="AM221" s="74" t="str">
        <f aca="false">IF(ISBLANK($C221),"",IF($H221=Constants!$B$2,TRUE(),IF($H221=Constants!$B$3,FALSE(),TRUE())))</f>
        <v/>
      </c>
      <c r="AN221" s="74" t="str">
        <f aca="false">IF(ISBLANK($C221),"",IF(ISNUMBER($I221),IF($I221&gt;=0,$I221,""),""))</f>
        <v/>
      </c>
      <c r="AO221" s="74" t="str">
        <f aca="false">IF(ISBLANK($C221),"",IF(ISNUMBER($J221),IF($J221&gt;=0,$J221,""),""))</f>
        <v/>
      </c>
      <c r="AP221" s="74" t="str">
        <f aca="false">IF(ISBLANK($C221),"",IF(ISNUMBER($K221),IF($K221&gt;=0,$K221,""),""))</f>
        <v/>
      </c>
      <c r="AQ221" s="74" t="str">
        <f aca="false">IF(ISBLANK($C221),"",IF($L221=Constants!$B$2,TRUE(),IF($L221=Constants!$B$3,FALSE(),TRUE())))</f>
        <v/>
      </c>
      <c r="AR221" s="74" t="str">
        <f aca="false">IF(ISBLANK($C221),"",IF($M221=Constants!$B$2,TRUE(),IF($M221=Constants!$B$3,FALSE(),TRUE())))</f>
        <v/>
      </c>
      <c r="AS221" s="74" t="str">
        <f aca="false">IF(ISBLANK($C221),"",IF($N221=Constants!$B$2,TRUE(),IF($N221=Constants!$B$3,FALSE(),FALSE())))</f>
        <v/>
      </c>
      <c r="AT221" s="74" t="str">
        <f aca="false">IF(ISBLANK($C221),"",IF($O221=Constants!$B$2,TRUE(),IF($O221=Constants!$B$3,FALSE(),TRUE())))</f>
        <v/>
      </c>
      <c r="AU221" s="74" t="str">
        <f aca="false">IF(ISBLANK($C221),"",IF($P221=Constants!$B$2,TRUE(),IF($P221=Constants!$B$3,FALSE(),TRUE())))</f>
        <v/>
      </c>
      <c r="AV221" s="74" t="str">
        <f aca="false">IF(ISBLANK($C221),"",IF($Q221=Constants!$B$2,TRUE(),IF($Q221=Constants!$B$3,FALSE(),FALSE())))</f>
        <v/>
      </c>
      <c r="AW221" s="74" t="str">
        <f aca="false">IF(ISBLANK($C221),"",IF($R221=Constants!$B$2,TRUE(),IF($R221=Constants!$B$3,FALSE(),FALSE())))</f>
        <v/>
      </c>
      <c r="AX221" s="74" t="str">
        <f aca="false">IF(ISBLANK($C221),"",IF($S221=Constants!$B$2,TRUE(),IF($S221=Constants!$B$3,FALSE(),FALSE())))</f>
        <v/>
      </c>
      <c r="AY221" s="74" t="str">
        <f aca="false">IF(ISBLANK($C221),"",IF($T221=Constants!$B$2,TRUE(),IF($T221=Constants!$B$3,FALSE(),FALSE())))</f>
        <v/>
      </c>
      <c r="AZ221" s="74" t="str">
        <f aca="false">IF(ISBLANK($C221),"",IF($U221=Constants!$B$2,TRUE(),IF($U221=Constants!$B$3,FALSE(),FALSE())))</f>
        <v/>
      </c>
      <c r="BA221" s="74" t="str">
        <f aca="false">IF(ISBLANK($C221),"",IF(OR($V221&amp;""="1",$V221&amp;""="2",$V221&amp;""="3",$V221&amp;""="4"),VALUE($V221&amp;""),IF($V221=Constants!$B$12,Constants!$B$12,"")))</f>
        <v/>
      </c>
      <c r="BB221" s="74" t="str">
        <f aca="false">IF(ISBLANK($C221),"",IF(ISBLANK($W221),0,IF(ISNUMBER($W221),IF(AND($W221&gt;=0,$W221&lt;=Constants!$B$21,$W221=INT($W221)),$W221,""),"")))</f>
        <v/>
      </c>
      <c r="BC221" s="74" t="str">
        <f aca="false">IF(ISBLANK($C221),"",IF(ISBLANK($X221),0,IF(ISNUMBER($X221),IF($X221&gt;=0,$X221,""),"")))</f>
        <v/>
      </c>
      <c r="BD221" s="74" t="str">
        <f aca="false">IF(ISBLANK($C221),"",IF($Y221=Constants!$B$2,TRUE(),IF($Y221=Constants!$B$3,FALSE(),TRUE())))</f>
        <v/>
      </c>
      <c r="BE221" s="74" t="str">
        <f aca="false">IF(ISBLANK($C221),"",IF($Z221=Constants!$B$2,TRUE(),IF($Z221=Constants!$B$3,FALSE(),FALSE())))</f>
        <v/>
      </c>
      <c r="BF221" s="74" t="str">
        <f aca="false">IF(ISBLANK($C221),"",IF(ISBLANK($AA221),0,IF(ISNUMBER($AA221),IF(AND($AA221&gt;=0,$AA221&lt;=Constants!$B$35,$AA221=INT($AA221)),$AA221,""),"")))</f>
        <v/>
      </c>
      <c r="BG221" s="74" t="str">
        <f aca="false">IF(ISBLANK($C221),"",IF($AB221=Constants!$B$2,TRUE(),IF($AB221=Constants!$B$3,FALSE(),TRUE())))</f>
        <v/>
      </c>
      <c r="BH221" s="74" t="str">
        <f aca="false">IF(ISBLANK($C221),"",IF($AC221=Constants!$B$2,TRUE(),IF($AC221=Constants!$B$3,FALSE(),TRUE())))</f>
        <v/>
      </c>
      <c r="BI221" s="74" t="str">
        <f aca="false">IF(ISBLANK($C221),"",IF($AD221=Constants!$B$2,TRUE(),IF($AD221=Constants!$B$3,FALSE(),TRUE())))</f>
        <v/>
      </c>
      <c r="BJ221" s="74" t="str">
        <f aca="false">IF(ISBLANK($C221),"",IF(ISNUMBER($AE221),IF($AE221&gt;=0,$AE221,""),""))</f>
        <v/>
      </c>
      <c r="BK221" s="74" t="str">
        <f aca="false">IF(ISBLANK($C221),"",IF($AF221=Constants!$B$2,TRUE(),IF($AF221=Constants!$B$3,FALSE(),FALSE())))</f>
        <v/>
      </c>
      <c r="BL221" s="73" t="str">
        <f aca="false">IF(ISBLANK($C221),"",IF($BK221,Constants!$B$7,IF(COUNTA($E221:$AE221)=0,Constants!$B$6,IF(OR(COUNTA($G221:$AE221)=0,NOT($AM221),$AS221),Constants!$B$5,IF(OR($CM221&lt;&gt;"",$CN221,$CO221,$CP221,$CQ221,$CR221,$CS221),Constants!$B$8,Constants!$B$4)))))</f>
        <v/>
      </c>
      <c r="BM221" s="74" t="str">
        <f aca="false">IF(ISBLANK($C221),"",IF($BL221&lt;&gt;Constants!$B$4,$BL221,IF(OR(NOT($AJ221),NOT($AL221),NOT($AT221)),Constants!$B$11,IF(OR(NOT($AR221),NOT($AU221),NOT($BI221),MAX($AN221,$AO221,$AP221)&gt;Constants!$B$30),Constants!$B$10,Constants!$B$9))))</f>
        <v/>
      </c>
      <c r="BN221" s="74" t="str">
        <f aca="false">IF($BL221&lt;&gt;Constants!$B$4,"",IF(NOT($AL221),0,MIN(Constants!$B$35,$BF221)))</f>
        <v/>
      </c>
      <c r="BO221" s="74" t="str">
        <f aca="false">IF($BL221&lt;&gt;Constants!$B$4,"",IF(NOT($AL221),0,IF($AW221,Constants!$B$18,IF($AV221,Constants!$B$17,0))))</f>
        <v/>
      </c>
      <c r="BP221" s="74" t="str">
        <f aca="false">IF($BL221&lt;&gt;Constants!$B$4,"",IF(NOT($AL221),0,Constants!$B$19*($AK221+$AX221+$AY221+$AZ221)))</f>
        <v/>
      </c>
      <c r="BQ221" s="74" t="str">
        <f aca="false">IF($BL221&lt;&gt;Constants!$B$4,"",IF(OR(NOT($AL221),NOT(ISNUMBER($BA221))),0,CHOOSE($BA221,Constants!$B$13,Constants!$B$14,Constants!$B$15,Constants!$B$16)))</f>
        <v/>
      </c>
      <c r="BR221" s="74" t="str">
        <f aca="false">IF($BL221&lt;&gt;Constants!$B$4,"",IF(NOT($AL221),0,Constants!$B$20*$BB221))</f>
        <v/>
      </c>
      <c r="BS221" s="74" t="str">
        <f aca="false">IF($BL221&lt;&gt;Constants!$B$4,"",IF(AND($AL221,$BD221,$BE221),Constants!$B$22,0))</f>
        <v/>
      </c>
      <c r="BT221" s="74" t="str">
        <f aca="false">IF($BL221&lt;&gt;Constants!$B$4,"",IF(OR(NOT($AL221),NOT($BD221)),0,IF($BJ221&gt;=2*$AH$9,0,Constants!$B$23*INT(ROUND(MIN($BJ221,$AH$9),6)))))</f>
        <v/>
      </c>
      <c r="BU221" s="74" t="str">
        <f aca="false">IF($BL221&lt;&gt;Constants!$B$4,"",IF(NOT($AL221),0,Constants!$B$24*INT(ROUND(MIN($BC221,$AH$9),6))))</f>
        <v/>
      </c>
      <c r="BV221" s="74" t="str">
        <f aca="false">IF($BL221&lt;&gt;Constants!$B$4,"",IF(AND($AL221,$BN221=0),Constants!$B$25,0))</f>
        <v/>
      </c>
      <c r="BW221" s="74" t="str">
        <f aca="false">IF($BL221&lt;&gt;Constants!$B$4,"",MIN(Constants!$B$29,MAX(0,Constants!$B$27*Constants!$B$28*INT(ROUND((Constants!$B$26-$AN221)/Constants!$B$28,6))))+MIN(Constants!$B$29,MAX(0,Constants!$B$27*Constants!$B$28*INT(ROUND((Constants!$B$26-$AO221)/Constants!$B$28,6))))+MIN(Constants!$B$29,MAX(0,Constants!$B$27*Constants!$B$28*INT(ROUND((Constants!$B$26-$AP221)/Constants!$B$28,6)))))</f>
        <v/>
      </c>
      <c r="BX221" s="74" t="str">
        <f aca="false">IF($BL221&lt;&gt;Constants!$B$4,"",IF(NOT($AL221),0,Constants!$B$31*INT(ROUND(MAX(0,MIN($BJ221,2*$AH$9)-$AH$9),6))))</f>
        <v/>
      </c>
      <c r="BY221" s="74" t="str">
        <f aca="false">IF($BL221&lt;&gt;Constants!$B$4,"",Constants!$B$32*(($AN221&gt;Constants!$B$26)+($AO221&gt;Constants!$B$26)+($AP221&gt;Constants!$B$26)))</f>
        <v/>
      </c>
      <c r="BZ221" s="74" t="str">
        <f aca="false">IF($BL221&lt;&gt;Constants!$B$4,"",IF(OR(NOT($AL221),$AQ221),0,Constants!$B$33))</f>
        <v/>
      </c>
      <c r="CA221" s="74" t="str">
        <f aca="false">IF($BL221&lt;&gt;Constants!$B$4,"",Constants!$B$34*$BN221)</f>
        <v/>
      </c>
      <c r="CB221" s="74" t="str">
        <f aca="false">IF($BL221&lt;&gt;Constants!$B$4,"",IF(OR(NOT($AL221),$BH221),0,Constants!$B$36))</f>
        <v/>
      </c>
      <c r="CC221" s="74" t="str">
        <f aca="false">IF($BL221&lt;&gt;Constants!$B$4,"",IF(OR(NOT($AL221),$BG221),0,Constants!$B$37))</f>
        <v/>
      </c>
      <c r="CD221" s="74" t="str">
        <f aca="false">IF($BL221&lt;&gt;Constants!$B$4,"",SUM($BX221:$CC221))</f>
        <v/>
      </c>
      <c r="CE221" s="74" t="str">
        <f aca="false">IF(ISBLANK($C221),"",IF($BL221&lt;&gt;Constants!$B$4,$BL221,SUM($BO221:$BW221)-$CD221))</f>
        <v/>
      </c>
      <c r="CF221" s="74" t="str">
        <f aca="false">IF(ISBLANK($C221),"",IF($BL221&lt;&gt;Constants!$B$4,$BL221,RANK($CE221,$CE$9:$CE$508)))</f>
        <v/>
      </c>
      <c r="CG221" s="74" t="str">
        <f aca="false">IF(ISBLANK($C221),"",IF($BL221&lt;&gt;Constants!$B$4,$BL221,COUNTIFS($BM$9:$BM$508,"&lt;"&amp;$BM221)+COUNTIFS($BM$9:$BM$508,$BM221,$CF$9:$CF$508,"&lt;"&amp;$CF221)+1))</f>
        <v/>
      </c>
      <c r="CH221" s="74" t="str">
        <f aca="false">IF(ISBLANK($C221),"",IF($BL221&lt;&gt;Constants!$B$4,$BL221,RANK($CD221,$CD$9:$CD$508,1)))</f>
        <v/>
      </c>
      <c r="CI221" s="74" t="str">
        <f aca="false">IF($BL221&lt;&gt;Constants!$B$4,"",$AN221+$AO221+$AP221)</f>
        <v/>
      </c>
      <c r="CJ221" s="74" t="str">
        <f aca="false">IF(ISBLANK($C221),"",IF($BL221&lt;&gt;Constants!$B$4,$BL221,RANK($CI221,$CI$9:$CI$508,1)))</f>
        <v/>
      </c>
      <c r="CK221" s="74" t="str">
        <f aca="false">IF(ISBLANK($C221),"",IF($BL221&lt;&gt;Constants!$B$4,$BL221,COUNTIFS($BM$9:$BM$508,"&lt;"&amp;$BM221)+COUNTIFS($BM$9:$BM$508,$BM221,$CF$9:$CF$508,"&lt;"&amp;$CF221)+COUNTIFS($BM$9:$BM$508,$BM221,$CF$9:$CF$508,$CF221,$CH$9:$CH$508,"&lt;"&amp;$CH221)+COUNTIFS($BM$9:$BM$508,$BM221,$CF$9:$CF$508,$CF221,$CH$9:$CH$508,$CH221,$CJ$9:$CJ$508,"&lt;"&amp;$CJ221)+1))</f>
        <v/>
      </c>
      <c r="CL221" s="74" t="str">
        <f aca="false">IF(ISBLANK($C221),"",IF($BL221&lt;&gt;Constants!$B$4,$BL221,$CG221-$CK221))</f>
        <v/>
      </c>
      <c r="CM221" s="74" t="str">
        <f aca="false">IF(ISBLANK($C221),"",IF(NOT($AL221),"",IF(ISBLANK($D$7),$CM$5,IF(NOT(ISNUMBER($D$7)),$CM$6,""))))</f>
        <v/>
      </c>
      <c r="CN221" s="74" t="str">
        <f aca="false">IF(ISBLANK($C221),"",OR($AN221="",$AO221="",$AP221=""))</f>
        <v/>
      </c>
      <c r="CO221" s="74" t="str">
        <f aca="false">IF(ISBLANK($C221),"",AND($AL221,$BA221=""))</f>
        <v/>
      </c>
      <c r="CP221" s="74" t="str">
        <f aca="false">IF(ISBLANK($C221),"",AND($AL221,$BB221=""))</f>
        <v/>
      </c>
      <c r="CQ221" s="74" t="str">
        <f aca="false">IF(ISBLANK($C221),"",AND($AL221,$BC221=""))</f>
        <v/>
      </c>
      <c r="CR221" s="74" t="str">
        <f aca="false">IF(ISBLANK($C221),"",AND($AL221,$BF221=""))</f>
        <v/>
      </c>
      <c r="CS221" s="74" t="str">
        <f aca="false">IF(ISBLANK($C221),"",AND($AL221,$BJ221=""))</f>
        <v/>
      </c>
      <c r="CT221" s="75"/>
      <c r="CU221" s="76"/>
      <c r="CV221" s="79" t="str">
        <f aca="false">IF(ISBLANK($C221),"",IF($BL221=Constants!$B$8,$CM221,""))</f>
        <v/>
      </c>
      <c r="CW221" s="76" t="str">
        <f aca="false">IF(ISBLANK($C221),"",IF($BL221&lt;&gt;Constants!$B$4,"",$BO221+$BP221))</f>
        <v/>
      </c>
      <c r="CX221" s="78" t="str">
        <f aca="false">IF(ISBLANK($C221),"",IF($BL221&lt;&gt;Constants!$B$4,"",$BQ221+$BR221+$BS221))</f>
        <v/>
      </c>
      <c r="CY221" s="78" t="str">
        <f aca="false">IF(ISBLANK($C221),"",IF($BL221&lt;&gt;Constants!$B$4,"",$BT221))</f>
        <v/>
      </c>
      <c r="CZ221" s="78" t="str">
        <f aca="false">IF(ISBLANK($C221),"",IF($BL221&lt;&gt;Constants!$B$4,"",$BU221+$BV221))</f>
        <v/>
      </c>
      <c r="DA221" s="78" t="str">
        <f aca="false">IF(ISBLANK($C221),"",IF($BL221&lt;&gt;Constants!$B$4,"",$BW221))</f>
        <v/>
      </c>
      <c r="DB221" s="78" t="str">
        <f aca="false">IF(ISBLANK($C221),"",IF($BL221&lt;&gt;Constants!$B$4,"",-$CD221))</f>
        <v/>
      </c>
      <c r="DC221" s="79" t="str">
        <f aca="false">IF(ISBLANK($C221),"",$CE221)</f>
        <v/>
      </c>
      <c r="DD221" s="80" t="str">
        <f aca="false">IF(ISBLANK($C221),"",$BM221)</f>
        <v/>
      </c>
      <c r="DE221" s="78" t="str">
        <f aca="false">IF(ISBLANK($C221),"",$CL221)</f>
        <v/>
      </c>
      <c r="DF221" s="78" t="str">
        <f aca="false">IF(ISBLANK($C221),"",$CK221)</f>
        <v/>
      </c>
      <c r="DG221" s="81" t="str">
        <f aca="false">IF(ISBLANK($C221),"",IF($DF221=Constants!$B$7,COUNTA($C$9:$C$508)+2,IF($DF221=Constants!$B$6,COUNTA($C$9:$C$508)+1,IF($DF221=Constants!$B$5,COUNTA($C$9:$C$508),$DF221))))</f>
        <v/>
      </c>
      <c r="DH221" s="7"/>
      <c r="DI221" s="82" t="n">
        <f aca="false">IF(OR(ISNUMBER($DF221),$DF221=Constants!$B$7,$DF221=Constants!$B$5,$DF221=Constants!$B$6),1,0)</f>
        <v>0</v>
      </c>
      <c r="DJ221" s="82" t="n">
        <v>213</v>
      </c>
      <c r="DK221" s="82" t="str">
        <f aca="false">IF(ISBLANK($C221),"",IF(ISNUMBER($DG221),$DG221+ROW($B221)/1000,""))</f>
        <v/>
      </c>
      <c r="DL221" s="82" t="str">
        <f aca="false">IF(ISNUMBER($DK221),RANK($DK221,$DK$9:$DK$508,1),"")</f>
        <v/>
      </c>
      <c r="DM221" s="82" t="str">
        <f aca="false">IF(ISBLANK($C221),"",$B221)</f>
        <v/>
      </c>
      <c r="DN221" s="82" t="str">
        <f aca="false">IF(ISBLANK($C221),"",$C221)</f>
        <v/>
      </c>
      <c r="DO221" s="82" t="str">
        <f aca="false">IF(ISBLANK($C221),"",$D221)</f>
        <v/>
      </c>
      <c r="DP221" s="83" t="str">
        <f aca="false">$DD221</f>
        <v/>
      </c>
      <c r="DQ221" s="84" t="str">
        <f aca="false">$DC221</f>
        <v/>
      </c>
      <c r="DR221" s="82" t="str">
        <f aca="false">IF(ISBLANK($C221),"",$DF221)</f>
        <v/>
      </c>
      <c r="DS221" s="85" t="str">
        <f aca="false">IF($DJ221&gt;$DI$8,"",VLOOKUP($DJ221,$DL$9:$DR$508,7,FALSE()))</f>
        <v/>
      </c>
      <c r="DT221" s="86" t="str">
        <f aca="false">IF($DJ221&gt;$DI$8,"",VLOOKUP($DJ221,$DL$9:$DR$508,2,FALSE()))</f>
        <v/>
      </c>
      <c r="DU221" s="86" t="str">
        <f aca="false">IF($DJ221&gt;$DI$8,"",VLOOKUP($DJ221,$DL$9:$DR$508,3,FALSE()))</f>
        <v/>
      </c>
      <c r="DV221" s="86" t="str">
        <f aca="false">IF($DJ221&gt;$DI$8,"",VLOOKUP($DJ221,$DL$9:$DR$508,4,FALSE()))</f>
        <v/>
      </c>
      <c r="DW221" s="86" t="str">
        <f aca="false">IF($DJ221&gt;$DI$8,"",VLOOKUP($DJ221,$DL$9:$DR$508,5,FALSE()))</f>
        <v/>
      </c>
      <c r="DX221" s="87" t="str">
        <f aca="false">IF($DJ221&gt;$DI$8,"",VLOOKUP($DJ221,$DL$9:$DR$508,6,FALSE()))</f>
        <v/>
      </c>
      <c r="DY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130"/>
      <c r="N222" s="130"/>
      <c r="O222" s="135"/>
      <c r="P222" s="135"/>
      <c r="Q222" s="130"/>
      <c r="R222" s="130"/>
      <c r="S222" s="130"/>
      <c r="T222" s="130"/>
      <c r="U222" s="135"/>
      <c r="V222" s="130"/>
      <c r="W222" s="96"/>
      <c r="X222" s="130"/>
      <c r="Y222" s="130"/>
      <c r="Z222" s="96"/>
      <c r="AA222" s="96"/>
      <c r="AB222" s="130"/>
      <c r="AC222" s="130"/>
      <c r="AD222" s="130"/>
      <c r="AE222" s="97"/>
      <c r="AF222" s="130"/>
      <c r="AG222" s="99"/>
      <c r="AH222" s="100"/>
      <c r="AI222" s="100"/>
      <c r="AJ222" s="100" t="str">
        <f aca="false">IF(ISBLANK($C222),"",IF($E222=Constants!$B$2,TRUE(),IF($E222=Constants!$B$3,FALSE(),TRUE())))</f>
        <v/>
      </c>
      <c r="AK222" s="100" t="str">
        <f aca="false">IF(ISBLANK($C222),"",IF($F222=Constants!$B$2,TRUE(),IF($F222=Constants!$B$3,FALSE(),FALSE())))</f>
        <v/>
      </c>
      <c r="AL222" s="100" t="str">
        <f aca="false">IF(ISBLANK($C222),"",IF($G222=Constants!$B$2,TRUE(),IF($G222=Constants!$B$3,FALSE(),TRUE())))</f>
        <v/>
      </c>
      <c r="AM222" s="100" t="str">
        <f aca="false">IF(ISBLANK($C222),"",IF($H222=Constants!$B$2,TRUE(),IF($H222=Constants!$B$3,FALSE(),TRUE())))</f>
        <v/>
      </c>
      <c r="AN222" s="100" t="str">
        <f aca="false">IF(ISBLANK($C222),"",IF(ISNUMBER($I222),IF($I222&gt;=0,$I222,""),""))</f>
        <v/>
      </c>
      <c r="AO222" s="100" t="str">
        <f aca="false">IF(ISBLANK($C222),"",IF(ISNUMBER($J222),IF($J222&gt;=0,$J222,""),""))</f>
        <v/>
      </c>
      <c r="AP222" s="100" t="str">
        <f aca="false">IF(ISBLANK($C222),"",IF(ISNUMBER($K222),IF($K222&gt;=0,$K222,""),""))</f>
        <v/>
      </c>
      <c r="AQ222" s="100" t="str">
        <f aca="false">IF(ISBLANK($C222),"",IF($L222=Constants!$B$2,TRUE(),IF($L222=Constants!$B$3,FALSE(),TRUE())))</f>
        <v/>
      </c>
      <c r="AR222" s="100" t="str">
        <f aca="false">IF(ISBLANK($C222),"",IF($M222=Constants!$B$2,TRUE(),IF($M222=Constants!$B$3,FALSE(),TRUE())))</f>
        <v/>
      </c>
      <c r="AS222" s="100" t="str">
        <f aca="false">IF(ISBLANK($C222),"",IF($N222=Constants!$B$2,TRUE(),IF($N222=Constants!$B$3,FALSE(),FALSE())))</f>
        <v/>
      </c>
      <c r="AT222" s="100" t="str">
        <f aca="false">IF(ISBLANK($C222),"",IF($O222=Constants!$B$2,TRUE(),IF($O222=Constants!$B$3,FALSE(),TRUE())))</f>
        <v/>
      </c>
      <c r="AU222" s="100" t="str">
        <f aca="false">IF(ISBLANK($C222),"",IF($P222=Constants!$B$2,TRUE(),IF($P222=Constants!$B$3,FALSE(),TRUE())))</f>
        <v/>
      </c>
      <c r="AV222" s="100" t="str">
        <f aca="false">IF(ISBLANK($C222),"",IF($Q222=Constants!$B$2,TRUE(),IF($Q222=Constants!$B$3,FALSE(),FALSE())))</f>
        <v/>
      </c>
      <c r="AW222" s="100" t="str">
        <f aca="false">IF(ISBLANK($C222),"",IF($R222=Constants!$B$2,TRUE(),IF($R222=Constants!$B$3,FALSE(),FALSE())))</f>
        <v/>
      </c>
      <c r="AX222" s="100" t="str">
        <f aca="false">IF(ISBLANK($C222),"",IF($S222=Constants!$B$2,TRUE(),IF($S222=Constants!$B$3,FALSE(),FALSE())))</f>
        <v/>
      </c>
      <c r="AY222" s="100" t="str">
        <f aca="false">IF(ISBLANK($C222),"",IF($T222=Constants!$B$2,TRUE(),IF($T222=Constants!$B$3,FALSE(),FALSE())))</f>
        <v/>
      </c>
      <c r="AZ222" s="100" t="str">
        <f aca="false">IF(ISBLANK($C222),"",IF($U222=Constants!$B$2,TRUE(),IF($U222=Constants!$B$3,FALSE(),FALSE())))</f>
        <v/>
      </c>
      <c r="BA222" s="100" t="str">
        <f aca="false">IF(ISBLANK($C222),"",IF(OR($V222&amp;""="1",$V222&amp;""="2",$V222&amp;""="3",$V222&amp;""="4"),VALUE($V222&amp;""),IF($V222=Constants!$B$12,Constants!$B$12,"")))</f>
        <v/>
      </c>
      <c r="BB222" s="100" t="str">
        <f aca="false">IF(ISBLANK($C222),"",IF(ISBLANK($W222),0,IF(ISNUMBER($W222),IF(AND($W222&gt;=0,$W222&lt;=Constants!$B$21,$W222=INT($W222)),$W222,""),"")))</f>
        <v/>
      </c>
      <c r="BC222" s="100" t="str">
        <f aca="false">IF(ISBLANK($C222),"",IF(ISBLANK($X222),0,IF(ISNUMBER($X222),IF($X222&gt;=0,$X222,""),"")))</f>
        <v/>
      </c>
      <c r="BD222" s="100" t="str">
        <f aca="false">IF(ISBLANK($C222),"",IF($Y222=Constants!$B$2,TRUE(),IF($Y222=Constants!$B$3,FALSE(),TRUE())))</f>
        <v/>
      </c>
      <c r="BE222" s="100" t="str">
        <f aca="false">IF(ISBLANK($C222),"",IF($Z222=Constants!$B$2,TRUE(),IF($Z222=Constants!$B$3,FALSE(),FALSE())))</f>
        <v/>
      </c>
      <c r="BF222" s="100" t="str">
        <f aca="false">IF(ISBLANK($C222),"",IF(ISBLANK($AA222),0,IF(ISNUMBER($AA222),IF(AND($AA222&gt;=0,$AA222&lt;=Constants!$B$35,$AA222=INT($AA222)),$AA222,""),"")))</f>
        <v/>
      </c>
      <c r="BG222" s="100" t="str">
        <f aca="false">IF(ISBLANK($C222),"",IF($AB222=Constants!$B$2,TRUE(),IF($AB222=Constants!$B$3,FALSE(),TRUE())))</f>
        <v/>
      </c>
      <c r="BH222" s="100" t="str">
        <f aca="false">IF(ISBLANK($C222),"",IF($AC222=Constants!$B$2,TRUE(),IF($AC222=Constants!$B$3,FALSE(),TRUE())))</f>
        <v/>
      </c>
      <c r="BI222" s="100" t="str">
        <f aca="false">IF(ISBLANK($C222),"",IF($AD222=Constants!$B$2,TRUE(),IF($AD222=Constants!$B$3,FALSE(),TRUE())))</f>
        <v/>
      </c>
      <c r="BJ222" s="100" t="str">
        <f aca="false">IF(ISBLANK($C222),"",IF(ISNUMBER($AE222),IF($AE222&gt;=0,$AE222,""),""))</f>
        <v/>
      </c>
      <c r="BK222" s="100" t="str">
        <f aca="false">IF(ISBLANK($C222),"",IF($AF222=Constants!$B$2,TRUE(),IF($AF222=Constants!$B$3,FALSE(),FALSE())))</f>
        <v/>
      </c>
      <c r="BL222" s="99" t="str">
        <f aca="false">IF(ISBLANK($C222),"",IF($BK222,Constants!$B$7,IF(COUNTA($E222:$AE222)=0,Constants!$B$6,IF(OR(COUNTA($G222:$AE222)=0,NOT($AM222),$AS222),Constants!$B$5,IF(OR($CM222&lt;&gt;"",$CN222,$CO222,$CP222,$CQ222,$CR222,$CS222),Constants!$B$8,Constants!$B$4)))))</f>
        <v/>
      </c>
      <c r="BM222" s="100" t="str">
        <f aca="false">IF(ISBLANK($C222),"",IF($BL222&lt;&gt;Constants!$B$4,$BL222,IF(OR(NOT($AJ222),NOT($AL222),NOT($AT222)),Constants!$B$11,IF(OR(NOT($AR222),NOT($AU222),NOT($BI222),MAX($AN222,$AO222,$AP222)&gt;Constants!$B$30),Constants!$B$10,Constants!$B$9))))</f>
        <v/>
      </c>
      <c r="BN222" s="100" t="str">
        <f aca="false">IF($BL222&lt;&gt;Constants!$B$4,"",IF(NOT($AL222),0,MIN(Constants!$B$35,$BF222)))</f>
        <v/>
      </c>
      <c r="BO222" s="100" t="str">
        <f aca="false">IF($BL222&lt;&gt;Constants!$B$4,"",IF(NOT($AL222),0,IF($AW222,Constants!$B$18,IF($AV222,Constants!$B$17,0))))</f>
        <v/>
      </c>
      <c r="BP222" s="100" t="str">
        <f aca="false">IF($BL222&lt;&gt;Constants!$B$4,"",IF(NOT($AL222),0,Constants!$B$19*($AK222+$AX222+$AY222+$AZ222)))</f>
        <v/>
      </c>
      <c r="BQ222" s="100" t="str">
        <f aca="false">IF($BL222&lt;&gt;Constants!$B$4,"",IF(OR(NOT($AL222),NOT(ISNUMBER($BA222))),0,CHOOSE($BA222,Constants!$B$13,Constants!$B$14,Constants!$B$15,Constants!$B$16)))</f>
        <v/>
      </c>
      <c r="BR222" s="100" t="str">
        <f aca="false">IF($BL222&lt;&gt;Constants!$B$4,"",IF(NOT($AL222),0,Constants!$B$20*$BB222))</f>
        <v/>
      </c>
      <c r="BS222" s="100" t="str">
        <f aca="false">IF($BL222&lt;&gt;Constants!$B$4,"",IF(AND($AL222,$BD222,$BE222),Constants!$B$22,0))</f>
        <v/>
      </c>
      <c r="BT222" s="100" t="str">
        <f aca="false">IF($BL222&lt;&gt;Constants!$B$4,"",IF(OR(NOT($AL222),NOT($BD222)),0,IF($BJ222&gt;=2*$AH$9,0,Constants!$B$23*INT(ROUND(MIN($BJ222,$AH$9),6)))))</f>
        <v/>
      </c>
      <c r="BU222" s="100" t="str">
        <f aca="false">IF($BL222&lt;&gt;Constants!$B$4,"",IF(NOT($AL222),0,Constants!$B$24*INT(ROUND(MIN($BC222,$AH$9),6))))</f>
        <v/>
      </c>
      <c r="BV222" s="100" t="str">
        <f aca="false">IF($BL222&lt;&gt;Constants!$B$4,"",IF(AND($AL222,$BN222=0),Constants!$B$25,0))</f>
        <v/>
      </c>
      <c r="BW222" s="100" t="str">
        <f aca="false">IF($BL222&lt;&gt;Constants!$B$4,"",MIN(Constants!$B$29,MAX(0,Constants!$B$27*Constants!$B$28*INT(ROUND((Constants!$B$26-$AN222)/Constants!$B$28,6))))+MIN(Constants!$B$29,MAX(0,Constants!$B$27*Constants!$B$28*INT(ROUND((Constants!$B$26-$AO222)/Constants!$B$28,6))))+MIN(Constants!$B$29,MAX(0,Constants!$B$27*Constants!$B$28*INT(ROUND((Constants!$B$26-$AP222)/Constants!$B$28,6)))))</f>
        <v/>
      </c>
      <c r="BX222" s="100" t="str">
        <f aca="false">IF($BL222&lt;&gt;Constants!$B$4,"",IF(NOT($AL222),0,Constants!$B$31*INT(ROUND(MAX(0,MIN($BJ222,2*$AH$9)-$AH$9),6))))</f>
        <v/>
      </c>
      <c r="BY222" s="100" t="str">
        <f aca="false">IF($BL222&lt;&gt;Constants!$B$4,"",Constants!$B$32*(($AN222&gt;Constants!$B$26)+($AO222&gt;Constants!$B$26)+($AP222&gt;Constants!$B$26)))</f>
        <v/>
      </c>
      <c r="BZ222" s="100" t="str">
        <f aca="false">IF($BL222&lt;&gt;Constants!$B$4,"",IF(OR(NOT($AL222),$AQ222),0,Constants!$B$33))</f>
        <v/>
      </c>
      <c r="CA222" s="100" t="str">
        <f aca="false">IF($BL222&lt;&gt;Constants!$B$4,"",Constants!$B$34*$BN222)</f>
        <v/>
      </c>
      <c r="CB222" s="100" t="str">
        <f aca="false">IF($BL222&lt;&gt;Constants!$B$4,"",IF(OR(NOT($AL222),$BH222),0,Constants!$B$36))</f>
        <v/>
      </c>
      <c r="CC222" s="100" t="str">
        <f aca="false">IF($BL222&lt;&gt;Constants!$B$4,"",IF(OR(NOT($AL222),$BG222),0,Constants!$B$37))</f>
        <v/>
      </c>
      <c r="CD222" s="100" t="str">
        <f aca="false">IF($BL222&lt;&gt;Constants!$B$4,"",SUM($BX222:$CC222))</f>
        <v/>
      </c>
      <c r="CE222" s="100" t="str">
        <f aca="false">IF(ISBLANK($C222),"",IF($BL222&lt;&gt;Constants!$B$4,$BL222,SUM($BO222:$BW222)-$CD222))</f>
        <v/>
      </c>
      <c r="CF222" s="100" t="str">
        <f aca="false">IF(ISBLANK($C222),"",IF($BL222&lt;&gt;Constants!$B$4,$BL222,RANK($CE222,$CE$9:$CE$508)))</f>
        <v/>
      </c>
      <c r="CG222" s="100" t="str">
        <f aca="false">IF(ISBLANK($C222),"",IF($BL222&lt;&gt;Constants!$B$4,$BL222,COUNTIFS($BM$9:$BM$508,"&lt;"&amp;$BM222)+COUNTIFS($BM$9:$BM$508,$BM222,$CF$9:$CF$508,"&lt;"&amp;$CF222)+1))</f>
        <v/>
      </c>
      <c r="CH222" s="100" t="str">
        <f aca="false">IF(ISBLANK($C222),"",IF($BL222&lt;&gt;Constants!$B$4,$BL222,RANK($CD222,$CD$9:$CD$508,1)))</f>
        <v/>
      </c>
      <c r="CI222" s="100" t="str">
        <f aca="false">IF($BL222&lt;&gt;Constants!$B$4,"",$AN222+$AO222+$AP222)</f>
        <v/>
      </c>
      <c r="CJ222" s="100" t="str">
        <f aca="false">IF(ISBLANK($C222),"",IF($BL222&lt;&gt;Constants!$B$4,$BL222,RANK($CI222,$CI$9:$CI$508,1)))</f>
        <v/>
      </c>
      <c r="CK222" s="100" t="str">
        <f aca="false">IF(ISBLANK($C222),"",IF($BL222&lt;&gt;Constants!$B$4,$BL222,COUNTIFS($BM$9:$BM$508,"&lt;"&amp;$BM222)+COUNTIFS($BM$9:$BM$508,$BM222,$CF$9:$CF$508,"&lt;"&amp;$CF222)+COUNTIFS($BM$9:$BM$508,$BM222,$CF$9:$CF$508,$CF222,$CH$9:$CH$508,"&lt;"&amp;$CH222)+COUNTIFS($BM$9:$BM$508,$BM222,$CF$9:$CF$508,$CF222,$CH$9:$CH$508,$CH222,$CJ$9:$CJ$508,"&lt;"&amp;$CJ222)+1))</f>
        <v/>
      </c>
      <c r="CL222" s="100" t="str">
        <f aca="false">IF(ISBLANK($C222),"",IF($BL222&lt;&gt;Constants!$B$4,$BL222,$CG222-$CK222))</f>
        <v/>
      </c>
      <c r="CM222" s="100" t="str">
        <f aca="false">IF(ISBLANK($C222),"",IF(NOT($AL222),"",IF(ISBLANK($D$7),$CM$5,IF(NOT(ISNUMBER($D$7)),$CM$6,""))))</f>
        <v/>
      </c>
      <c r="CN222" s="100" t="str">
        <f aca="false">IF(ISBLANK($C222),"",OR($AN222="",$AO222="",$AP222=""))</f>
        <v/>
      </c>
      <c r="CO222" s="100" t="str">
        <f aca="false">IF(ISBLANK($C222),"",AND($AL222,$BA222=""))</f>
        <v/>
      </c>
      <c r="CP222" s="100" t="str">
        <f aca="false">IF(ISBLANK($C222),"",AND($AL222,$BB222=""))</f>
        <v/>
      </c>
      <c r="CQ222" s="100" t="str">
        <f aca="false">IF(ISBLANK($C222),"",AND($AL222,$BC222=""))</f>
        <v/>
      </c>
      <c r="CR222" s="100" t="str">
        <f aca="false">IF(ISBLANK($C222),"",AND($AL222,$BF222=""))</f>
        <v/>
      </c>
      <c r="CS222" s="100" t="str">
        <f aca="false">IF(ISBLANK($C222),"",AND($AL222,$BJ222=""))</f>
        <v/>
      </c>
      <c r="CT222" s="101"/>
      <c r="CU222" s="102"/>
      <c r="CV222" s="103" t="str">
        <f aca="false">IF(ISBLANK($C222),"",IF($BL222=Constants!$B$8,$CM222,""))</f>
        <v/>
      </c>
      <c r="CW222" s="102" t="str">
        <f aca="false">IF(ISBLANK($C222),"",IF($BL222&lt;&gt;Constants!$B$4,"",$BO222+$BP222))</f>
        <v/>
      </c>
      <c r="CX222" s="104" t="str">
        <f aca="false">IF(ISBLANK($C222),"",IF($BL222&lt;&gt;Constants!$B$4,"",$BQ222+$BR222+$BS222))</f>
        <v/>
      </c>
      <c r="CY222" s="104" t="str">
        <f aca="false">IF(ISBLANK($C222),"",IF($BL222&lt;&gt;Constants!$B$4,"",$BT222))</f>
        <v/>
      </c>
      <c r="CZ222" s="104" t="str">
        <f aca="false">IF(ISBLANK($C222),"",IF($BL222&lt;&gt;Constants!$B$4,"",$BU222+$BV222))</f>
        <v/>
      </c>
      <c r="DA222" s="104" t="str">
        <f aca="false">IF(ISBLANK($C222),"",IF($BL222&lt;&gt;Constants!$B$4,"",$BW222))</f>
        <v/>
      </c>
      <c r="DB222" s="104" t="str">
        <f aca="false">IF(ISBLANK($C222),"",IF($BL222&lt;&gt;Constants!$B$4,"",-$CD222))</f>
        <v/>
      </c>
      <c r="DC222" s="103" t="str">
        <f aca="false">IF(ISBLANK($C222),"",$CE222)</f>
        <v/>
      </c>
      <c r="DD222" s="105" t="str">
        <f aca="false">IF(ISBLANK($C222),"",$BM222)</f>
        <v/>
      </c>
      <c r="DE222" s="104" t="str">
        <f aca="false">IF(ISBLANK($C222),"",$CL222)</f>
        <v/>
      </c>
      <c r="DF222" s="104" t="str">
        <f aca="false">IF(ISBLANK($C222),"",$CK222)</f>
        <v/>
      </c>
      <c r="DG222" s="106" t="str">
        <f aca="false">IF(ISBLANK($C222),"",IF($DF222=Constants!$B$7,COUNTA($C$9:$C$508)+2,IF($DF222=Constants!$B$6,COUNTA($C$9:$C$508)+1,IF($DF222=Constants!$B$5,COUNTA($C$9:$C$508),$DF222))))</f>
        <v/>
      </c>
      <c r="DH222" s="7"/>
      <c r="DI222" s="107" t="n">
        <f aca="false">IF(OR(ISNUMBER($DF222),$DF222=Constants!$B$7,$DF222=Constants!$B$5,$DF222=Constants!$B$6),1,0)</f>
        <v>0</v>
      </c>
      <c r="DJ222" s="107" t="n">
        <v>214</v>
      </c>
      <c r="DK222" s="107" t="str">
        <f aca="false">IF(ISBLANK($C222),"",IF(ISNUMBER($DG222),$DG222+ROW($B222)/1000,""))</f>
        <v/>
      </c>
      <c r="DL222" s="107" t="str">
        <f aca="false">IF(ISNUMBER($DK222),RANK($DK222,$DK$9:$DK$508,1),"")</f>
        <v/>
      </c>
      <c r="DM222" s="107" t="str">
        <f aca="false">IF(ISBLANK($C222),"",$B222)</f>
        <v/>
      </c>
      <c r="DN222" s="107" t="str">
        <f aca="false">IF(ISBLANK($C222),"",$C222)</f>
        <v/>
      </c>
      <c r="DO222" s="107" t="str">
        <f aca="false">IF(ISBLANK($C222),"",$D222)</f>
        <v/>
      </c>
      <c r="DP222" s="108" t="str">
        <f aca="false">$DD222</f>
        <v/>
      </c>
      <c r="DQ222" s="109" t="str">
        <f aca="false">$DC222</f>
        <v/>
      </c>
      <c r="DR222" s="107" t="str">
        <f aca="false">IF(ISBLANK($C222),"",$DF222)</f>
        <v/>
      </c>
      <c r="DS222" s="110" t="str">
        <f aca="false">IF($DJ222&gt;$DI$8,"",VLOOKUP($DJ222,$DL$9:$DR$508,7,FALSE()))</f>
        <v/>
      </c>
      <c r="DT222" s="111" t="str">
        <f aca="false">IF($DJ222&gt;$DI$8,"",VLOOKUP($DJ222,$DL$9:$DR$508,2,FALSE()))</f>
        <v/>
      </c>
      <c r="DU222" s="111" t="str">
        <f aca="false">IF($DJ222&gt;$DI$8,"",VLOOKUP($DJ222,$DL$9:$DR$508,3,FALSE()))</f>
        <v/>
      </c>
      <c r="DV222" s="111" t="str">
        <f aca="false">IF($DJ222&gt;$DI$8,"",VLOOKUP($DJ222,$DL$9:$DR$508,4,FALSE()))</f>
        <v/>
      </c>
      <c r="DW222" s="111" t="str">
        <f aca="false">IF($DJ222&gt;$DI$8,"",VLOOKUP($DJ222,$DL$9:$DR$508,5,FALSE()))</f>
        <v/>
      </c>
      <c r="DX222" s="112" t="str">
        <f aca="false">IF($DJ222&gt;$DI$8,"",VLOOKUP($DJ222,$DL$9:$DR$508,6,FALSE()))</f>
        <v/>
      </c>
      <c r="DY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130"/>
      <c r="N223" s="130"/>
      <c r="O223" s="135"/>
      <c r="P223" s="135"/>
      <c r="Q223" s="130"/>
      <c r="R223" s="130"/>
      <c r="S223" s="130"/>
      <c r="T223" s="130"/>
      <c r="U223" s="135"/>
      <c r="V223" s="130"/>
      <c r="W223" s="96"/>
      <c r="X223" s="130"/>
      <c r="Y223" s="130"/>
      <c r="Z223" s="96"/>
      <c r="AA223" s="96"/>
      <c r="AB223" s="130"/>
      <c r="AC223" s="130"/>
      <c r="AD223" s="130"/>
      <c r="AE223" s="97"/>
      <c r="AF223" s="130"/>
      <c r="AG223" s="99"/>
      <c r="AH223" s="100"/>
      <c r="AI223" s="100"/>
      <c r="AJ223" s="100" t="str">
        <f aca="false">IF(ISBLANK($C223),"",IF($E223=Constants!$B$2,TRUE(),IF($E223=Constants!$B$3,FALSE(),TRUE())))</f>
        <v/>
      </c>
      <c r="AK223" s="100" t="str">
        <f aca="false">IF(ISBLANK($C223),"",IF($F223=Constants!$B$2,TRUE(),IF($F223=Constants!$B$3,FALSE(),FALSE())))</f>
        <v/>
      </c>
      <c r="AL223" s="100" t="str">
        <f aca="false">IF(ISBLANK($C223),"",IF($G223=Constants!$B$2,TRUE(),IF($G223=Constants!$B$3,FALSE(),TRUE())))</f>
        <v/>
      </c>
      <c r="AM223" s="100" t="str">
        <f aca="false">IF(ISBLANK($C223),"",IF($H223=Constants!$B$2,TRUE(),IF($H223=Constants!$B$3,FALSE(),TRUE())))</f>
        <v/>
      </c>
      <c r="AN223" s="100" t="str">
        <f aca="false">IF(ISBLANK($C223),"",IF(ISNUMBER($I223),IF($I223&gt;=0,$I223,""),""))</f>
        <v/>
      </c>
      <c r="AO223" s="100" t="str">
        <f aca="false">IF(ISBLANK($C223),"",IF(ISNUMBER($J223),IF($J223&gt;=0,$J223,""),""))</f>
        <v/>
      </c>
      <c r="AP223" s="100" t="str">
        <f aca="false">IF(ISBLANK($C223),"",IF(ISNUMBER($K223),IF($K223&gt;=0,$K223,""),""))</f>
        <v/>
      </c>
      <c r="AQ223" s="100" t="str">
        <f aca="false">IF(ISBLANK($C223),"",IF($L223=Constants!$B$2,TRUE(),IF($L223=Constants!$B$3,FALSE(),TRUE())))</f>
        <v/>
      </c>
      <c r="AR223" s="100" t="str">
        <f aca="false">IF(ISBLANK($C223),"",IF($M223=Constants!$B$2,TRUE(),IF($M223=Constants!$B$3,FALSE(),TRUE())))</f>
        <v/>
      </c>
      <c r="AS223" s="100" t="str">
        <f aca="false">IF(ISBLANK($C223),"",IF($N223=Constants!$B$2,TRUE(),IF($N223=Constants!$B$3,FALSE(),FALSE())))</f>
        <v/>
      </c>
      <c r="AT223" s="100" t="str">
        <f aca="false">IF(ISBLANK($C223),"",IF($O223=Constants!$B$2,TRUE(),IF($O223=Constants!$B$3,FALSE(),TRUE())))</f>
        <v/>
      </c>
      <c r="AU223" s="100" t="str">
        <f aca="false">IF(ISBLANK($C223),"",IF($P223=Constants!$B$2,TRUE(),IF($P223=Constants!$B$3,FALSE(),TRUE())))</f>
        <v/>
      </c>
      <c r="AV223" s="100" t="str">
        <f aca="false">IF(ISBLANK($C223),"",IF($Q223=Constants!$B$2,TRUE(),IF($Q223=Constants!$B$3,FALSE(),FALSE())))</f>
        <v/>
      </c>
      <c r="AW223" s="100" t="str">
        <f aca="false">IF(ISBLANK($C223),"",IF($R223=Constants!$B$2,TRUE(),IF($R223=Constants!$B$3,FALSE(),FALSE())))</f>
        <v/>
      </c>
      <c r="AX223" s="100" t="str">
        <f aca="false">IF(ISBLANK($C223),"",IF($S223=Constants!$B$2,TRUE(),IF($S223=Constants!$B$3,FALSE(),FALSE())))</f>
        <v/>
      </c>
      <c r="AY223" s="100" t="str">
        <f aca="false">IF(ISBLANK($C223),"",IF($T223=Constants!$B$2,TRUE(),IF($T223=Constants!$B$3,FALSE(),FALSE())))</f>
        <v/>
      </c>
      <c r="AZ223" s="100" t="str">
        <f aca="false">IF(ISBLANK($C223),"",IF($U223=Constants!$B$2,TRUE(),IF($U223=Constants!$B$3,FALSE(),FALSE())))</f>
        <v/>
      </c>
      <c r="BA223" s="100" t="str">
        <f aca="false">IF(ISBLANK($C223),"",IF(OR($V223&amp;""="1",$V223&amp;""="2",$V223&amp;""="3",$V223&amp;""="4"),VALUE($V223&amp;""),IF($V223=Constants!$B$12,Constants!$B$12,"")))</f>
        <v/>
      </c>
      <c r="BB223" s="100" t="str">
        <f aca="false">IF(ISBLANK($C223),"",IF(ISBLANK($W223),0,IF(ISNUMBER($W223),IF(AND($W223&gt;=0,$W223&lt;=Constants!$B$21,$W223=INT($W223)),$W223,""),"")))</f>
        <v/>
      </c>
      <c r="BC223" s="100" t="str">
        <f aca="false">IF(ISBLANK($C223),"",IF(ISBLANK($X223),0,IF(ISNUMBER($X223),IF($X223&gt;=0,$X223,""),"")))</f>
        <v/>
      </c>
      <c r="BD223" s="100" t="str">
        <f aca="false">IF(ISBLANK($C223),"",IF($Y223=Constants!$B$2,TRUE(),IF($Y223=Constants!$B$3,FALSE(),TRUE())))</f>
        <v/>
      </c>
      <c r="BE223" s="100" t="str">
        <f aca="false">IF(ISBLANK($C223),"",IF($Z223=Constants!$B$2,TRUE(),IF($Z223=Constants!$B$3,FALSE(),FALSE())))</f>
        <v/>
      </c>
      <c r="BF223" s="100" t="str">
        <f aca="false">IF(ISBLANK($C223),"",IF(ISBLANK($AA223),0,IF(ISNUMBER($AA223),IF(AND($AA223&gt;=0,$AA223&lt;=Constants!$B$35,$AA223=INT($AA223)),$AA223,""),"")))</f>
        <v/>
      </c>
      <c r="BG223" s="100" t="str">
        <f aca="false">IF(ISBLANK($C223),"",IF($AB223=Constants!$B$2,TRUE(),IF($AB223=Constants!$B$3,FALSE(),TRUE())))</f>
        <v/>
      </c>
      <c r="BH223" s="100" t="str">
        <f aca="false">IF(ISBLANK($C223),"",IF($AC223=Constants!$B$2,TRUE(),IF($AC223=Constants!$B$3,FALSE(),TRUE())))</f>
        <v/>
      </c>
      <c r="BI223" s="100" t="str">
        <f aca="false">IF(ISBLANK($C223),"",IF($AD223=Constants!$B$2,TRUE(),IF($AD223=Constants!$B$3,FALSE(),TRUE())))</f>
        <v/>
      </c>
      <c r="BJ223" s="100" t="str">
        <f aca="false">IF(ISBLANK($C223),"",IF(ISNUMBER($AE223),IF($AE223&gt;=0,$AE223,""),""))</f>
        <v/>
      </c>
      <c r="BK223" s="100" t="str">
        <f aca="false">IF(ISBLANK($C223),"",IF($AF223=Constants!$B$2,TRUE(),IF($AF223=Constants!$B$3,FALSE(),FALSE())))</f>
        <v/>
      </c>
      <c r="BL223" s="99" t="str">
        <f aca="false">IF(ISBLANK($C223),"",IF($BK223,Constants!$B$7,IF(COUNTA($E223:$AE223)=0,Constants!$B$6,IF(OR(COUNTA($G223:$AE223)=0,NOT($AM223),$AS223),Constants!$B$5,IF(OR($CM223&lt;&gt;"",$CN223,$CO223,$CP223,$CQ223,$CR223,$CS223),Constants!$B$8,Constants!$B$4)))))</f>
        <v/>
      </c>
      <c r="BM223" s="100" t="str">
        <f aca="false">IF(ISBLANK($C223),"",IF($BL223&lt;&gt;Constants!$B$4,$BL223,IF(OR(NOT($AJ223),NOT($AL223),NOT($AT223)),Constants!$B$11,IF(OR(NOT($AR223),NOT($AU223),NOT($BI223),MAX($AN223,$AO223,$AP223)&gt;Constants!$B$30),Constants!$B$10,Constants!$B$9))))</f>
        <v/>
      </c>
      <c r="BN223" s="100" t="str">
        <f aca="false">IF($BL223&lt;&gt;Constants!$B$4,"",IF(NOT($AL223),0,MIN(Constants!$B$35,$BF223)))</f>
        <v/>
      </c>
      <c r="BO223" s="100" t="str">
        <f aca="false">IF($BL223&lt;&gt;Constants!$B$4,"",IF(NOT($AL223),0,IF($AW223,Constants!$B$18,IF($AV223,Constants!$B$17,0))))</f>
        <v/>
      </c>
      <c r="BP223" s="100" t="str">
        <f aca="false">IF($BL223&lt;&gt;Constants!$B$4,"",IF(NOT($AL223),0,Constants!$B$19*($AK223+$AX223+$AY223+$AZ223)))</f>
        <v/>
      </c>
      <c r="BQ223" s="100" t="str">
        <f aca="false">IF($BL223&lt;&gt;Constants!$B$4,"",IF(OR(NOT($AL223),NOT(ISNUMBER($BA223))),0,CHOOSE($BA223,Constants!$B$13,Constants!$B$14,Constants!$B$15,Constants!$B$16)))</f>
        <v/>
      </c>
      <c r="BR223" s="100" t="str">
        <f aca="false">IF($BL223&lt;&gt;Constants!$B$4,"",IF(NOT($AL223),0,Constants!$B$20*$BB223))</f>
        <v/>
      </c>
      <c r="BS223" s="100" t="str">
        <f aca="false">IF($BL223&lt;&gt;Constants!$B$4,"",IF(AND($AL223,$BD223,$BE223),Constants!$B$22,0))</f>
        <v/>
      </c>
      <c r="BT223" s="100" t="str">
        <f aca="false">IF($BL223&lt;&gt;Constants!$B$4,"",IF(OR(NOT($AL223),NOT($BD223)),0,IF($BJ223&gt;=2*$AH$9,0,Constants!$B$23*INT(ROUND(MIN($BJ223,$AH$9),6)))))</f>
        <v/>
      </c>
      <c r="BU223" s="100" t="str">
        <f aca="false">IF($BL223&lt;&gt;Constants!$B$4,"",IF(NOT($AL223),0,Constants!$B$24*INT(ROUND(MIN($BC223,$AH$9),6))))</f>
        <v/>
      </c>
      <c r="BV223" s="100" t="str">
        <f aca="false">IF($BL223&lt;&gt;Constants!$B$4,"",IF(AND($AL223,$BN223=0),Constants!$B$25,0))</f>
        <v/>
      </c>
      <c r="BW223" s="100" t="str">
        <f aca="false">IF($BL223&lt;&gt;Constants!$B$4,"",MIN(Constants!$B$29,MAX(0,Constants!$B$27*Constants!$B$28*INT(ROUND((Constants!$B$26-$AN223)/Constants!$B$28,6))))+MIN(Constants!$B$29,MAX(0,Constants!$B$27*Constants!$B$28*INT(ROUND((Constants!$B$26-$AO223)/Constants!$B$28,6))))+MIN(Constants!$B$29,MAX(0,Constants!$B$27*Constants!$B$28*INT(ROUND((Constants!$B$26-$AP223)/Constants!$B$28,6)))))</f>
        <v/>
      </c>
      <c r="BX223" s="100" t="str">
        <f aca="false">IF($BL223&lt;&gt;Constants!$B$4,"",IF(NOT($AL223),0,Constants!$B$31*INT(ROUND(MAX(0,MIN($BJ223,2*$AH$9)-$AH$9),6))))</f>
        <v/>
      </c>
      <c r="BY223" s="100" t="str">
        <f aca="false">IF($BL223&lt;&gt;Constants!$B$4,"",Constants!$B$32*(($AN223&gt;Constants!$B$26)+($AO223&gt;Constants!$B$26)+($AP223&gt;Constants!$B$26)))</f>
        <v/>
      </c>
      <c r="BZ223" s="100" t="str">
        <f aca="false">IF($BL223&lt;&gt;Constants!$B$4,"",IF(OR(NOT($AL223),$AQ223),0,Constants!$B$33))</f>
        <v/>
      </c>
      <c r="CA223" s="100" t="str">
        <f aca="false">IF($BL223&lt;&gt;Constants!$B$4,"",Constants!$B$34*$BN223)</f>
        <v/>
      </c>
      <c r="CB223" s="100" t="str">
        <f aca="false">IF($BL223&lt;&gt;Constants!$B$4,"",IF(OR(NOT($AL223),$BH223),0,Constants!$B$36))</f>
        <v/>
      </c>
      <c r="CC223" s="100" t="str">
        <f aca="false">IF($BL223&lt;&gt;Constants!$B$4,"",IF(OR(NOT($AL223),$BG223),0,Constants!$B$37))</f>
        <v/>
      </c>
      <c r="CD223" s="100" t="str">
        <f aca="false">IF($BL223&lt;&gt;Constants!$B$4,"",SUM($BX223:$CC223))</f>
        <v/>
      </c>
      <c r="CE223" s="100" t="str">
        <f aca="false">IF(ISBLANK($C223),"",IF($BL223&lt;&gt;Constants!$B$4,$BL223,SUM($BO223:$BW223)-$CD223))</f>
        <v/>
      </c>
      <c r="CF223" s="100" t="str">
        <f aca="false">IF(ISBLANK($C223),"",IF($BL223&lt;&gt;Constants!$B$4,$BL223,RANK($CE223,$CE$9:$CE$508)))</f>
        <v/>
      </c>
      <c r="CG223" s="100" t="str">
        <f aca="false">IF(ISBLANK($C223),"",IF($BL223&lt;&gt;Constants!$B$4,$BL223,COUNTIFS($BM$9:$BM$508,"&lt;"&amp;$BM223)+COUNTIFS($BM$9:$BM$508,$BM223,$CF$9:$CF$508,"&lt;"&amp;$CF223)+1))</f>
        <v/>
      </c>
      <c r="CH223" s="100" t="str">
        <f aca="false">IF(ISBLANK($C223),"",IF($BL223&lt;&gt;Constants!$B$4,$BL223,RANK($CD223,$CD$9:$CD$508,1)))</f>
        <v/>
      </c>
      <c r="CI223" s="100" t="str">
        <f aca="false">IF($BL223&lt;&gt;Constants!$B$4,"",$AN223+$AO223+$AP223)</f>
        <v/>
      </c>
      <c r="CJ223" s="100" t="str">
        <f aca="false">IF(ISBLANK($C223),"",IF($BL223&lt;&gt;Constants!$B$4,$BL223,RANK($CI223,$CI$9:$CI$508,1)))</f>
        <v/>
      </c>
      <c r="CK223" s="100" t="str">
        <f aca="false">IF(ISBLANK($C223),"",IF($BL223&lt;&gt;Constants!$B$4,$BL223,COUNTIFS($BM$9:$BM$508,"&lt;"&amp;$BM223)+COUNTIFS($BM$9:$BM$508,$BM223,$CF$9:$CF$508,"&lt;"&amp;$CF223)+COUNTIFS($BM$9:$BM$508,$BM223,$CF$9:$CF$508,$CF223,$CH$9:$CH$508,"&lt;"&amp;$CH223)+COUNTIFS($BM$9:$BM$508,$BM223,$CF$9:$CF$508,$CF223,$CH$9:$CH$508,$CH223,$CJ$9:$CJ$508,"&lt;"&amp;$CJ223)+1))</f>
        <v/>
      </c>
      <c r="CL223" s="100" t="str">
        <f aca="false">IF(ISBLANK($C223),"",IF($BL223&lt;&gt;Constants!$B$4,$BL223,$CG223-$CK223))</f>
        <v/>
      </c>
      <c r="CM223" s="100" t="str">
        <f aca="false">IF(ISBLANK($C223),"",IF(NOT($AL223),"",IF(ISBLANK($D$7),$CM$5,IF(NOT(ISNUMBER($D$7)),$CM$6,""))))</f>
        <v/>
      </c>
      <c r="CN223" s="100" t="str">
        <f aca="false">IF(ISBLANK($C223),"",OR($AN223="",$AO223="",$AP223=""))</f>
        <v/>
      </c>
      <c r="CO223" s="100" t="str">
        <f aca="false">IF(ISBLANK($C223),"",AND($AL223,$BA223=""))</f>
        <v/>
      </c>
      <c r="CP223" s="100" t="str">
        <f aca="false">IF(ISBLANK($C223),"",AND($AL223,$BB223=""))</f>
        <v/>
      </c>
      <c r="CQ223" s="100" t="str">
        <f aca="false">IF(ISBLANK($C223),"",AND($AL223,$BC223=""))</f>
        <v/>
      </c>
      <c r="CR223" s="100" t="str">
        <f aca="false">IF(ISBLANK($C223),"",AND($AL223,$BF223=""))</f>
        <v/>
      </c>
      <c r="CS223" s="100" t="str">
        <f aca="false">IF(ISBLANK($C223),"",AND($AL223,$BJ223=""))</f>
        <v/>
      </c>
      <c r="CT223" s="101"/>
      <c r="CU223" s="102"/>
      <c r="CV223" s="103" t="str">
        <f aca="false">IF(ISBLANK($C223),"",IF($BL223=Constants!$B$8,$CM223,""))</f>
        <v/>
      </c>
      <c r="CW223" s="102" t="str">
        <f aca="false">IF(ISBLANK($C223),"",IF($BL223&lt;&gt;Constants!$B$4,"",$BO223+$BP223))</f>
        <v/>
      </c>
      <c r="CX223" s="104" t="str">
        <f aca="false">IF(ISBLANK($C223),"",IF($BL223&lt;&gt;Constants!$B$4,"",$BQ223+$BR223+$BS223))</f>
        <v/>
      </c>
      <c r="CY223" s="104" t="str">
        <f aca="false">IF(ISBLANK($C223),"",IF($BL223&lt;&gt;Constants!$B$4,"",$BT223))</f>
        <v/>
      </c>
      <c r="CZ223" s="104" t="str">
        <f aca="false">IF(ISBLANK($C223),"",IF($BL223&lt;&gt;Constants!$B$4,"",$BU223+$BV223))</f>
        <v/>
      </c>
      <c r="DA223" s="104" t="str">
        <f aca="false">IF(ISBLANK($C223),"",IF($BL223&lt;&gt;Constants!$B$4,"",$BW223))</f>
        <v/>
      </c>
      <c r="DB223" s="104" t="str">
        <f aca="false">IF(ISBLANK($C223),"",IF($BL223&lt;&gt;Constants!$B$4,"",-$CD223))</f>
        <v/>
      </c>
      <c r="DC223" s="103" t="str">
        <f aca="false">IF(ISBLANK($C223),"",$CE223)</f>
        <v/>
      </c>
      <c r="DD223" s="105" t="str">
        <f aca="false">IF(ISBLANK($C223),"",$BM223)</f>
        <v/>
      </c>
      <c r="DE223" s="104" t="str">
        <f aca="false">IF(ISBLANK($C223),"",$CL223)</f>
        <v/>
      </c>
      <c r="DF223" s="104" t="str">
        <f aca="false">IF(ISBLANK($C223),"",$CK223)</f>
        <v/>
      </c>
      <c r="DG223" s="106" t="str">
        <f aca="false">IF(ISBLANK($C223),"",IF($DF223=Constants!$B$7,COUNTA($C$9:$C$508)+2,IF($DF223=Constants!$B$6,COUNTA($C$9:$C$508)+1,IF($DF223=Constants!$B$5,COUNTA($C$9:$C$508),$DF223))))</f>
        <v/>
      </c>
      <c r="DH223" s="7"/>
      <c r="DI223" s="107" t="n">
        <f aca="false">IF(OR(ISNUMBER($DF223),$DF223=Constants!$B$7,$DF223=Constants!$B$5,$DF223=Constants!$B$6),1,0)</f>
        <v>0</v>
      </c>
      <c r="DJ223" s="107" t="n">
        <v>215</v>
      </c>
      <c r="DK223" s="107" t="str">
        <f aca="false">IF(ISBLANK($C223),"",IF(ISNUMBER($DG223),$DG223+ROW($B223)/1000,""))</f>
        <v/>
      </c>
      <c r="DL223" s="107" t="str">
        <f aca="false">IF(ISNUMBER($DK223),RANK($DK223,$DK$9:$DK$508,1),"")</f>
        <v/>
      </c>
      <c r="DM223" s="107" t="str">
        <f aca="false">IF(ISBLANK($C223),"",$B223)</f>
        <v/>
      </c>
      <c r="DN223" s="107" t="str">
        <f aca="false">IF(ISBLANK($C223),"",$C223)</f>
        <v/>
      </c>
      <c r="DO223" s="107" t="str">
        <f aca="false">IF(ISBLANK($C223),"",$D223)</f>
        <v/>
      </c>
      <c r="DP223" s="108" t="str">
        <f aca="false">$DD223</f>
        <v/>
      </c>
      <c r="DQ223" s="109" t="str">
        <f aca="false">$DC223</f>
        <v/>
      </c>
      <c r="DR223" s="107" t="str">
        <f aca="false">IF(ISBLANK($C223),"",$DF223)</f>
        <v/>
      </c>
      <c r="DS223" s="110" t="str">
        <f aca="false">IF($DJ223&gt;$DI$8,"",VLOOKUP($DJ223,$DL$9:$DR$508,7,FALSE()))</f>
        <v/>
      </c>
      <c r="DT223" s="111" t="str">
        <f aca="false">IF($DJ223&gt;$DI$8,"",VLOOKUP($DJ223,$DL$9:$DR$508,2,FALSE()))</f>
        <v/>
      </c>
      <c r="DU223" s="111" t="str">
        <f aca="false">IF($DJ223&gt;$DI$8,"",VLOOKUP($DJ223,$DL$9:$DR$508,3,FALSE()))</f>
        <v/>
      </c>
      <c r="DV223" s="111" t="str">
        <f aca="false">IF($DJ223&gt;$DI$8,"",VLOOKUP($DJ223,$DL$9:$DR$508,4,FALSE()))</f>
        <v/>
      </c>
      <c r="DW223" s="111" t="str">
        <f aca="false">IF($DJ223&gt;$DI$8,"",VLOOKUP($DJ223,$DL$9:$DR$508,5,FALSE()))</f>
        <v/>
      </c>
      <c r="DX223" s="112" t="str">
        <f aca="false">IF($DJ223&gt;$DI$8,"",VLOOKUP($DJ223,$DL$9:$DR$508,6,FALSE()))</f>
        <v/>
      </c>
      <c r="DY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130"/>
      <c r="N224" s="130"/>
      <c r="O224" s="135"/>
      <c r="P224" s="135"/>
      <c r="Q224" s="130"/>
      <c r="R224" s="130"/>
      <c r="S224" s="130"/>
      <c r="T224" s="130"/>
      <c r="U224" s="135"/>
      <c r="V224" s="130"/>
      <c r="W224" s="96"/>
      <c r="X224" s="130"/>
      <c r="Y224" s="130"/>
      <c r="Z224" s="96"/>
      <c r="AA224" s="96"/>
      <c r="AB224" s="130"/>
      <c r="AC224" s="130"/>
      <c r="AD224" s="130"/>
      <c r="AE224" s="97"/>
      <c r="AF224" s="130"/>
      <c r="AG224" s="99"/>
      <c r="AH224" s="100"/>
      <c r="AI224" s="100"/>
      <c r="AJ224" s="100" t="str">
        <f aca="false">IF(ISBLANK($C224),"",IF($E224=Constants!$B$2,TRUE(),IF($E224=Constants!$B$3,FALSE(),TRUE())))</f>
        <v/>
      </c>
      <c r="AK224" s="100" t="str">
        <f aca="false">IF(ISBLANK($C224),"",IF($F224=Constants!$B$2,TRUE(),IF($F224=Constants!$B$3,FALSE(),FALSE())))</f>
        <v/>
      </c>
      <c r="AL224" s="100" t="str">
        <f aca="false">IF(ISBLANK($C224),"",IF($G224=Constants!$B$2,TRUE(),IF($G224=Constants!$B$3,FALSE(),TRUE())))</f>
        <v/>
      </c>
      <c r="AM224" s="100" t="str">
        <f aca="false">IF(ISBLANK($C224),"",IF($H224=Constants!$B$2,TRUE(),IF($H224=Constants!$B$3,FALSE(),TRUE())))</f>
        <v/>
      </c>
      <c r="AN224" s="100" t="str">
        <f aca="false">IF(ISBLANK($C224),"",IF(ISNUMBER($I224),IF($I224&gt;=0,$I224,""),""))</f>
        <v/>
      </c>
      <c r="AO224" s="100" t="str">
        <f aca="false">IF(ISBLANK($C224),"",IF(ISNUMBER($J224),IF($J224&gt;=0,$J224,""),""))</f>
        <v/>
      </c>
      <c r="AP224" s="100" t="str">
        <f aca="false">IF(ISBLANK($C224),"",IF(ISNUMBER($K224),IF($K224&gt;=0,$K224,""),""))</f>
        <v/>
      </c>
      <c r="AQ224" s="100" t="str">
        <f aca="false">IF(ISBLANK($C224),"",IF($L224=Constants!$B$2,TRUE(),IF($L224=Constants!$B$3,FALSE(),TRUE())))</f>
        <v/>
      </c>
      <c r="AR224" s="100" t="str">
        <f aca="false">IF(ISBLANK($C224),"",IF($M224=Constants!$B$2,TRUE(),IF($M224=Constants!$B$3,FALSE(),TRUE())))</f>
        <v/>
      </c>
      <c r="AS224" s="100" t="str">
        <f aca="false">IF(ISBLANK($C224),"",IF($N224=Constants!$B$2,TRUE(),IF($N224=Constants!$B$3,FALSE(),FALSE())))</f>
        <v/>
      </c>
      <c r="AT224" s="100" t="str">
        <f aca="false">IF(ISBLANK($C224),"",IF($O224=Constants!$B$2,TRUE(),IF($O224=Constants!$B$3,FALSE(),TRUE())))</f>
        <v/>
      </c>
      <c r="AU224" s="100" t="str">
        <f aca="false">IF(ISBLANK($C224),"",IF($P224=Constants!$B$2,TRUE(),IF($P224=Constants!$B$3,FALSE(),TRUE())))</f>
        <v/>
      </c>
      <c r="AV224" s="100" t="str">
        <f aca="false">IF(ISBLANK($C224),"",IF($Q224=Constants!$B$2,TRUE(),IF($Q224=Constants!$B$3,FALSE(),FALSE())))</f>
        <v/>
      </c>
      <c r="AW224" s="100" t="str">
        <f aca="false">IF(ISBLANK($C224),"",IF($R224=Constants!$B$2,TRUE(),IF($R224=Constants!$B$3,FALSE(),FALSE())))</f>
        <v/>
      </c>
      <c r="AX224" s="100" t="str">
        <f aca="false">IF(ISBLANK($C224),"",IF($S224=Constants!$B$2,TRUE(),IF($S224=Constants!$B$3,FALSE(),FALSE())))</f>
        <v/>
      </c>
      <c r="AY224" s="100" t="str">
        <f aca="false">IF(ISBLANK($C224),"",IF($T224=Constants!$B$2,TRUE(),IF($T224=Constants!$B$3,FALSE(),FALSE())))</f>
        <v/>
      </c>
      <c r="AZ224" s="100" t="str">
        <f aca="false">IF(ISBLANK($C224),"",IF($U224=Constants!$B$2,TRUE(),IF($U224=Constants!$B$3,FALSE(),FALSE())))</f>
        <v/>
      </c>
      <c r="BA224" s="100" t="str">
        <f aca="false">IF(ISBLANK($C224),"",IF(OR($V224&amp;""="1",$V224&amp;""="2",$V224&amp;""="3",$V224&amp;""="4"),VALUE($V224&amp;""),IF($V224=Constants!$B$12,Constants!$B$12,"")))</f>
        <v/>
      </c>
      <c r="BB224" s="100" t="str">
        <f aca="false">IF(ISBLANK($C224),"",IF(ISBLANK($W224),0,IF(ISNUMBER($W224),IF(AND($W224&gt;=0,$W224&lt;=Constants!$B$21,$W224=INT($W224)),$W224,""),"")))</f>
        <v/>
      </c>
      <c r="BC224" s="100" t="str">
        <f aca="false">IF(ISBLANK($C224),"",IF(ISBLANK($X224),0,IF(ISNUMBER($X224),IF($X224&gt;=0,$X224,""),"")))</f>
        <v/>
      </c>
      <c r="BD224" s="100" t="str">
        <f aca="false">IF(ISBLANK($C224),"",IF($Y224=Constants!$B$2,TRUE(),IF($Y224=Constants!$B$3,FALSE(),TRUE())))</f>
        <v/>
      </c>
      <c r="BE224" s="100" t="str">
        <f aca="false">IF(ISBLANK($C224),"",IF($Z224=Constants!$B$2,TRUE(),IF($Z224=Constants!$B$3,FALSE(),FALSE())))</f>
        <v/>
      </c>
      <c r="BF224" s="100" t="str">
        <f aca="false">IF(ISBLANK($C224),"",IF(ISBLANK($AA224),0,IF(ISNUMBER($AA224),IF(AND($AA224&gt;=0,$AA224&lt;=Constants!$B$35,$AA224=INT($AA224)),$AA224,""),"")))</f>
        <v/>
      </c>
      <c r="BG224" s="100" t="str">
        <f aca="false">IF(ISBLANK($C224),"",IF($AB224=Constants!$B$2,TRUE(),IF($AB224=Constants!$B$3,FALSE(),TRUE())))</f>
        <v/>
      </c>
      <c r="BH224" s="100" t="str">
        <f aca="false">IF(ISBLANK($C224),"",IF($AC224=Constants!$B$2,TRUE(),IF($AC224=Constants!$B$3,FALSE(),TRUE())))</f>
        <v/>
      </c>
      <c r="BI224" s="100" t="str">
        <f aca="false">IF(ISBLANK($C224),"",IF($AD224=Constants!$B$2,TRUE(),IF($AD224=Constants!$B$3,FALSE(),TRUE())))</f>
        <v/>
      </c>
      <c r="BJ224" s="100" t="str">
        <f aca="false">IF(ISBLANK($C224),"",IF(ISNUMBER($AE224),IF($AE224&gt;=0,$AE224,""),""))</f>
        <v/>
      </c>
      <c r="BK224" s="100" t="str">
        <f aca="false">IF(ISBLANK($C224),"",IF($AF224=Constants!$B$2,TRUE(),IF($AF224=Constants!$B$3,FALSE(),FALSE())))</f>
        <v/>
      </c>
      <c r="BL224" s="99" t="str">
        <f aca="false">IF(ISBLANK($C224),"",IF($BK224,Constants!$B$7,IF(COUNTA($E224:$AE224)=0,Constants!$B$6,IF(OR(COUNTA($G224:$AE224)=0,NOT($AM224),$AS224),Constants!$B$5,IF(OR($CM224&lt;&gt;"",$CN224,$CO224,$CP224,$CQ224,$CR224,$CS224),Constants!$B$8,Constants!$B$4)))))</f>
        <v/>
      </c>
      <c r="BM224" s="100" t="str">
        <f aca="false">IF(ISBLANK($C224),"",IF($BL224&lt;&gt;Constants!$B$4,$BL224,IF(OR(NOT($AJ224),NOT($AL224),NOT($AT224)),Constants!$B$11,IF(OR(NOT($AR224),NOT($AU224),NOT($BI224),MAX($AN224,$AO224,$AP224)&gt;Constants!$B$30),Constants!$B$10,Constants!$B$9))))</f>
        <v/>
      </c>
      <c r="BN224" s="100" t="str">
        <f aca="false">IF($BL224&lt;&gt;Constants!$B$4,"",IF(NOT($AL224),0,MIN(Constants!$B$35,$BF224)))</f>
        <v/>
      </c>
      <c r="BO224" s="100" t="str">
        <f aca="false">IF($BL224&lt;&gt;Constants!$B$4,"",IF(NOT($AL224),0,IF($AW224,Constants!$B$18,IF($AV224,Constants!$B$17,0))))</f>
        <v/>
      </c>
      <c r="BP224" s="100" t="str">
        <f aca="false">IF($BL224&lt;&gt;Constants!$B$4,"",IF(NOT($AL224),0,Constants!$B$19*($AK224+$AX224+$AY224+$AZ224)))</f>
        <v/>
      </c>
      <c r="BQ224" s="100" t="str">
        <f aca="false">IF($BL224&lt;&gt;Constants!$B$4,"",IF(OR(NOT($AL224),NOT(ISNUMBER($BA224))),0,CHOOSE($BA224,Constants!$B$13,Constants!$B$14,Constants!$B$15,Constants!$B$16)))</f>
        <v/>
      </c>
      <c r="BR224" s="100" t="str">
        <f aca="false">IF($BL224&lt;&gt;Constants!$B$4,"",IF(NOT($AL224),0,Constants!$B$20*$BB224))</f>
        <v/>
      </c>
      <c r="BS224" s="100" t="str">
        <f aca="false">IF($BL224&lt;&gt;Constants!$B$4,"",IF(AND($AL224,$BD224,$BE224),Constants!$B$22,0))</f>
        <v/>
      </c>
      <c r="BT224" s="100" t="str">
        <f aca="false">IF($BL224&lt;&gt;Constants!$B$4,"",IF(OR(NOT($AL224),NOT($BD224)),0,IF($BJ224&gt;=2*$AH$9,0,Constants!$B$23*INT(ROUND(MIN($BJ224,$AH$9),6)))))</f>
        <v/>
      </c>
      <c r="BU224" s="100" t="str">
        <f aca="false">IF($BL224&lt;&gt;Constants!$B$4,"",IF(NOT($AL224),0,Constants!$B$24*INT(ROUND(MIN($BC224,$AH$9),6))))</f>
        <v/>
      </c>
      <c r="BV224" s="100" t="str">
        <f aca="false">IF($BL224&lt;&gt;Constants!$B$4,"",IF(AND($AL224,$BN224=0),Constants!$B$25,0))</f>
        <v/>
      </c>
      <c r="BW224" s="100" t="str">
        <f aca="false">IF($BL224&lt;&gt;Constants!$B$4,"",MIN(Constants!$B$29,MAX(0,Constants!$B$27*Constants!$B$28*INT(ROUND((Constants!$B$26-$AN224)/Constants!$B$28,6))))+MIN(Constants!$B$29,MAX(0,Constants!$B$27*Constants!$B$28*INT(ROUND((Constants!$B$26-$AO224)/Constants!$B$28,6))))+MIN(Constants!$B$29,MAX(0,Constants!$B$27*Constants!$B$28*INT(ROUND((Constants!$B$26-$AP224)/Constants!$B$28,6)))))</f>
        <v/>
      </c>
      <c r="BX224" s="100" t="str">
        <f aca="false">IF($BL224&lt;&gt;Constants!$B$4,"",IF(NOT($AL224),0,Constants!$B$31*INT(ROUND(MAX(0,MIN($BJ224,2*$AH$9)-$AH$9),6))))</f>
        <v/>
      </c>
      <c r="BY224" s="100" t="str">
        <f aca="false">IF($BL224&lt;&gt;Constants!$B$4,"",Constants!$B$32*(($AN224&gt;Constants!$B$26)+($AO224&gt;Constants!$B$26)+($AP224&gt;Constants!$B$26)))</f>
        <v/>
      </c>
      <c r="BZ224" s="100" t="str">
        <f aca="false">IF($BL224&lt;&gt;Constants!$B$4,"",IF(OR(NOT($AL224),$AQ224),0,Constants!$B$33))</f>
        <v/>
      </c>
      <c r="CA224" s="100" t="str">
        <f aca="false">IF($BL224&lt;&gt;Constants!$B$4,"",Constants!$B$34*$BN224)</f>
        <v/>
      </c>
      <c r="CB224" s="100" t="str">
        <f aca="false">IF($BL224&lt;&gt;Constants!$B$4,"",IF(OR(NOT($AL224),$BH224),0,Constants!$B$36))</f>
        <v/>
      </c>
      <c r="CC224" s="100" t="str">
        <f aca="false">IF($BL224&lt;&gt;Constants!$B$4,"",IF(OR(NOT($AL224),$BG224),0,Constants!$B$37))</f>
        <v/>
      </c>
      <c r="CD224" s="100" t="str">
        <f aca="false">IF($BL224&lt;&gt;Constants!$B$4,"",SUM($BX224:$CC224))</f>
        <v/>
      </c>
      <c r="CE224" s="100" t="str">
        <f aca="false">IF(ISBLANK($C224),"",IF($BL224&lt;&gt;Constants!$B$4,$BL224,SUM($BO224:$BW224)-$CD224))</f>
        <v/>
      </c>
      <c r="CF224" s="100" t="str">
        <f aca="false">IF(ISBLANK($C224),"",IF($BL224&lt;&gt;Constants!$B$4,$BL224,RANK($CE224,$CE$9:$CE$508)))</f>
        <v/>
      </c>
      <c r="CG224" s="100" t="str">
        <f aca="false">IF(ISBLANK($C224),"",IF($BL224&lt;&gt;Constants!$B$4,$BL224,COUNTIFS($BM$9:$BM$508,"&lt;"&amp;$BM224)+COUNTIFS($BM$9:$BM$508,$BM224,$CF$9:$CF$508,"&lt;"&amp;$CF224)+1))</f>
        <v/>
      </c>
      <c r="CH224" s="100" t="str">
        <f aca="false">IF(ISBLANK($C224),"",IF($BL224&lt;&gt;Constants!$B$4,$BL224,RANK($CD224,$CD$9:$CD$508,1)))</f>
        <v/>
      </c>
      <c r="CI224" s="100" t="str">
        <f aca="false">IF($BL224&lt;&gt;Constants!$B$4,"",$AN224+$AO224+$AP224)</f>
        <v/>
      </c>
      <c r="CJ224" s="100" t="str">
        <f aca="false">IF(ISBLANK($C224),"",IF($BL224&lt;&gt;Constants!$B$4,$BL224,RANK($CI224,$CI$9:$CI$508,1)))</f>
        <v/>
      </c>
      <c r="CK224" s="100" t="str">
        <f aca="false">IF(ISBLANK($C224),"",IF($BL224&lt;&gt;Constants!$B$4,$BL224,COUNTIFS($BM$9:$BM$508,"&lt;"&amp;$BM224)+COUNTIFS($BM$9:$BM$508,$BM224,$CF$9:$CF$508,"&lt;"&amp;$CF224)+COUNTIFS($BM$9:$BM$508,$BM224,$CF$9:$CF$508,$CF224,$CH$9:$CH$508,"&lt;"&amp;$CH224)+COUNTIFS($BM$9:$BM$508,$BM224,$CF$9:$CF$508,$CF224,$CH$9:$CH$508,$CH224,$CJ$9:$CJ$508,"&lt;"&amp;$CJ224)+1))</f>
        <v/>
      </c>
      <c r="CL224" s="100" t="str">
        <f aca="false">IF(ISBLANK($C224),"",IF($BL224&lt;&gt;Constants!$B$4,$BL224,$CG224-$CK224))</f>
        <v/>
      </c>
      <c r="CM224" s="100" t="str">
        <f aca="false">IF(ISBLANK($C224),"",IF(NOT($AL224),"",IF(ISBLANK($D$7),$CM$5,IF(NOT(ISNUMBER($D$7)),$CM$6,""))))</f>
        <v/>
      </c>
      <c r="CN224" s="100" t="str">
        <f aca="false">IF(ISBLANK($C224),"",OR($AN224="",$AO224="",$AP224=""))</f>
        <v/>
      </c>
      <c r="CO224" s="100" t="str">
        <f aca="false">IF(ISBLANK($C224),"",AND($AL224,$BA224=""))</f>
        <v/>
      </c>
      <c r="CP224" s="100" t="str">
        <f aca="false">IF(ISBLANK($C224),"",AND($AL224,$BB224=""))</f>
        <v/>
      </c>
      <c r="CQ224" s="100" t="str">
        <f aca="false">IF(ISBLANK($C224),"",AND($AL224,$BC224=""))</f>
        <v/>
      </c>
      <c r="CR224" s="100" t="str">
        <f aca="false">IF(ISBLANK($C224),"",AND($AL224,$BF224=""))</f>
        <v/>
      </c>
      <c r="CS224" s="100" t="str">
        <f aca="false">IF(ISBLANK($C224),"",AND($AL224,$BJ224=""))</f>
        <v/>
      </c>
      <c r="CT224" s="101"/>
      <c r="CU224" s="102"/>
      <c r="CV224" s="103" t="str">
        <f aca="false">IF(ISBLANK($C224),"",IF($BL224=Constants!$B$8,$CM224,""))</f>
        <v/>
      </c>
      <c r="CW224" s="102" t="str">
        <f aca="false">IF(ISBLANK($C224),"",IF($BL224&lt;&gt;Constants!$B$4,"",$BO224+$BP224))</f>
        <v/>
      </c>
      <c r="CX224" s="104" t="str">
        <f aca="false">IF(ISBLANK($C224),"",IF($BL224&lt;&gt;Constants!$B$4,"",$BQ224+$BR224+$BS224))</f>
        <v/>
      </c>
      <c r="CY224" s="104" t="str">
        <f aca="false">IF(ISBLANK($C224),"",IF($BL224&lt;&gt;Constants!$B$4,"",$BT224))</f>
        <v/>
      </c>
      <c r="CZ224" s="104" t="str">
        <f aca="false">IF(ISBLANK($C224),"",IF($BL224&lt;&gt;Constants!$B$4,"",$BU224+$BV224))</f>
        <v/>
      </c>
      <c r="DA224" s="104" t="str">
        <f aca="false">IF(ISBLANK($C224),"",IF($BL224&lt;&gt;Constants!$B$4,"",$BW224))</f>
        <v/>
      </c>
      <c r="DB224" s="104" t="str">
        <f aca="false">IF(ISBLANK($C224),"",IF($BL224&lt;&gt;Constants!$B$4,"",-$CD224))</f>
        <v/>
      </c>
      <c r="DC224" s="103" t="str">
        <f aca="false">IF(ISBLANK($C224),"",$CE224)</f>
        <v/>
      </c>
      <c r="DD224" s="105" t="str">
        <f aca="false">IF(ISBLANK($C224),"",$BM224)</f>
        <v/>
      </c>
      <c r="DE224" s="104" t="str">
        <f aca="false">IF(ISBLANK($C224),"",$CL224)</f>
        <v/>
      </c>
      <c r="DF224" s="104" t="str">
        <f aca="false">IF(ISBLANK($C224),"",$CK224)</f>
        <v/>
      </c>
      <c r="DG224" s="106" t="str">
        <f aca="false">IF(ISBLANK($C224),"",IF($DF224=Constants!$B$7,COUNTA($C$9:$C$508)+2,IF($DF224=Constants!$B$6,COUNTA($C$9:$C$508)+1,IF($DF224=Constants!$B$5,COUNTA($C$9:$C$508),$DF224))))</f>
        <v/>
      </c>
      <c r="DH224" s="7"/>
      <c r="DI224" s="107" t="n">
        <f aca="false">IF(OR(ISNUMBER($DF224),$DF224=Constants!$B$7,$DF224=Constants!$B$5,$DF224=Constants!$B$6),1,0)</f>
        <v>0</v>
      </c>
      <c r="DJ224" s="107" t="n">
        <v>216</v>
      </c>
      <c r="DK224" s="107" t="str">
        <f aca="false">IF(ISBLANK($C224),"",IF(ISNUMBER($DG224),$DG224+ROW($B224)/1000,""))</f>
        <v/>
      </c>
      <c r="DL224" s="107" t="str">
        <f aca="false">IF(ISNUMBER($DK224),RANK($DK224,$DK$9:$DK$508,1),"")</f>
        <v/>
      </c>
      <c r="DM224" s="107" t="str">
        <f aca="false">IF(ISBLANK($C224),"",$B224)</f>
        <v/>
      </c>
      <c r="DN224" s="107" t="str">
        <f aca="false">IF(ISBLANK($C224),"",$C224)</f>
        <v/>
      </c>
      <c r="DO224" s="107" t="str">
        <f aca="false">IF(ISBLANK($C224),"",$D224)</f>
        <v/>
      </c>
      <c r="DP224" s="108" t="str">
        <f aca="false">$DD224</f>
        <v/>
      </c>
      <c r="DQ224" s="109" t="str">
        <f aca="false">$DC224</f>
        <v/>
      </c>
      <c r="DR224" s="107" t="str">
        <f aca="false">IF(ISBLANK($C224),"",$DF224)</f>
        <v/>
      </c>
      <c r="DS224" s="110" t="str">
        <f aca="false">IF($DJ224&gt;$DI$8,"",VLOOKUP($DJ224,$DL$9:$DR$508,7,FALSE()))</f>
        <v/>
      </c>
      <c r="DT224" s="111" t="str">
        <f aca="false">IF($DJ224&gt;$DI$8,"",VLOOKUP($DJ224,$DL$9:$DR$508,2,FALSE()))</f>
        <v/>
      </c>
      <c r="DU224" s="111" t="str">
        <f aca="false">IF($DJ224&gt;$DI$8,"",VLOOKUP($DJ224,$DL$9:$DR$508,3,FALSE()))</f>
        <v/>
      </c>
      <c r="DV224" s="111" t="str">
        <f aca="false">IF($DJ224&gt;$DI$8,"",VLOOKUP($DJ224,$DL$9:$DR$508,4,FALSE()))</f>
        <v/>
      </c>
      <c r="DW224" s="111" t="str">
        <f aca="false">IF($DJ224&gt;$DI$8,"",VLOOKUP($DJ224,$DL$9:$DR$508,5,FALSE()))</f>
        <v/>
      </c>
      <c r="DX224" s="112" t="str">
        <f aca="false">IF($DJ224&gt;$DI$8,"",VLOOKUP($DJ224,$DL$9:$DR$508,6,FALSE()))</f>
        <v/>
      </c>
      <c r="DY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88"/>
      <c r="N225" s="88"/>
      <c r="O225" s="134"/>
      <c r="P225" s="134"/>
      <c r="Q225" s="88"/>
      <c r="R225" s="88"/>
      <c r="S225" s="88"/>
      <c r="T225" s="88"/>
      <c r="U225" s="134"/>
      <c r="V225" s="88"/>
      <c r="W225" s="70"/>
      <c r="X225" s="88"/>
      <c r="Y225" s="88"/>
      <c r="Z225" s="70"/>
      <c r="AA225" s="70"/>
      <c r="AB225" s="88"/>
      <c r="AC225" s="88"/>
      <c r="AD225" s="88"/>
      <c r="AE225" s="71"/>
      <c r="AF225" s="88"/>
      <c r="AG225" s="73"/>
      <c r="AH225" s="74"/>
      <c r="AI225" s="74"/>
      <c r="AJ225" s="74" t="str">
        <f aca="false">IF(ISBLANK($C225),"",IF($E225=Constants!$B$2,TRUE(),IF($E225=Constants!$B$3,FALSE(),TRUE())))</f>
        <v/>
      </c>
      <c r="AK225" s="74" t="str">
        <f aca="false">IF(ISBLANK($C225),"",IF($F225=Constants!$B$2,TRUE(),IF($F225=Constants!$B$3,FALSE(),FALSE())))</f>
        <v/>
      </c>
      <c r="AL225" s="74" t="str">
        <f aca="false">IF(ISBLANK($C225),"",IF($G225=Constants!$B$2,TRUE(),IF($G225=Constants!$B$3,FALSE(),TRUE())))</f>
        <v/>
      </c>
      <c r="AM225" s="74" t="str">
        <f aca="false">IF(ISBLANK($C225),"",IF($H225=Constants!$B$2,TRUE(),IF($H225=Constants!$B$3,FALSE(),TRUE())))</f>
        <v/>
      </c>
      <c r="AN225" s="74" t="str">
        <f aca="false">IF(ISBLANK($C225),"",IF(ISNUMBER($I225),IF($I225&gt;=0,$I225,""),""))</f>
        <v/>
      </c>
      <c r="AO225" s="74" t="str">
        <f aca="false">IF(ISBLANK($C225),"",IF(ISNUMBER($J225),IF($J225&gt;=0,$J225,""),""))</f>
        <v/>
      </c>
      <c r="AP225" s="74" t="str">
        <f aca="false">IF(ISBLANK($C225),"",IF(ISNUMBER($K225),IF($K225&gt;=0,$K225,""),""))</f>
        <v/>
      </c>
      <c r="AQ225" s="74" t="str">
        <f aca="false">IF(ISBLANK($C225),"",IF($L225=Constants!$B$2,TRUE(),IF($L225=Constants!$B$3,FALSE(),TRUE())))</f>
        <v/>
      </c>
      <c r="AR225" s="74" t="str">
        <f aca="false">IF(ISBLANK($C225),"",IF($M225=Constants!$B$2,TRUE(),IF($M225=Constants!$B$3,FALSE(),TRUE())))</f>
        <v/>
      </c>
      <c r="AS225" s="74" t="str">
        <f aca="false">IF(ISBLANK($C225),"",IF($N225=Constants!$B$2,TRUE(),IF($N225=Constants!$B$3,FALSE(),FALSE())))</f>
        <v/>
      </c>
      <c r="AT225" s="74" t="str">
        <f aca="false">IF(ISBLANK($C225),"",IF($O225=Constants!$B$2,TRUE(),IF($O225=Constants!$B$3,FALSE(),TRUE())))</f>
        <v/>
      </c>
      <c r="AU225" s="74" t="str">
        <f aca="false">IF(ISBLANK($C225),"",IF($P225=Constants!$B$2,TRUE(),IF($P225=Constants!$B$3,FALSE(),TRUE())))</f>
        <v/>
      </c>
      <c r="AV225" s="74" t="str">
        <f aca="false">IF(ISBLANK($C225),"",IF($Q225=Constants!$B$2,TRUE(),IF($Q225=Constants!$B$3,FALSE(),FALSE())))</f>
        <v/>
      </c>
      <c r="AW225" s="74" t="str">
        <f aca="false">IF(ISBLANK($C225),"",IF($R225=Constants!$B$2,TRUE(),IF($R225=Constants!$B$3,FALSE(),FALSE())))</f>
        <v/>
      </c>
      <c r="AX225" s="74" t="str">
        <f aca="false">IF(ISBLANK($C225),"",IF($S225=Constants!$B$2,TRUE(),IF($S225=Constants!$B$3,FALSE(),FALSE())))</f>
        <v/>
      </c>
      <c r="AY225" s="74" t="str">
        <f aca="false">IF(ISBLANK($C225),"",IF($T225=Constants!$B$2,TRUE(),IF($T225=Constants!$B$3,FALSE(),FALSE())))</f>
        <v/>
      </c>
      <c r="AZ225" s="74" t="str">
        <f aca="false">IF(ISBLANK($C225),"",IF($U225=Constants!$B$2,TRUE(),IF($U225=Constants!$B$3,FALSE(),FALSE())))</f>
        <v/>
      </c>
      <c r="BA225" s="74" t="str">
        <f aca="false">IF(ISBLANK($C225),"",IF(OR($V225&amp;""="1",$V225&amp;""="2",$V225&amp;""="3",$V225&amp;""="4"),VALUE($V225&amp;""),IF($V225=Constants!$B$12,Constants!$B$12,"")))</f>
        <v/>
      </c>
      <c r="BB225" s="74" t="str">
        <f aca="false">IF(ISBLANK($C225),"",IF(ISBLANK($W225),0,IF(ISNUMBER($W225),IF(AND($W225&gt;=0,$W225&lt;=Constants!$B$21,$W225=INT($W225)),$W225,""),"")))</f>
        <v/>
      </c>
      <c r="BC225" s="74" t="str">
        <f aca="false">IF(ISBLANK($C225),"",IF(ISBLANK($X225),0,IF(ISNUMBER($X225),IF($X225&gt;=0,$X225,""),"")))</f>
        <v/>
      </c>
      <c r="BD225" s="74" t="str">
        <f aca="false">IF(ISBLANK($C225),"",IF($Y225=Constants!$B$2,TRUE(),IF($Y225=Constants!$B$3,FALSE(),TRUE())))</f>
        <v/>
      </c>
      <c r="BE225" s="74" t="str">
        <f aca="false">IF(ISBLANK($C225),"",IF($Z225=Constants!$B$2,TRUE(),IF($Z225=Constants!$B$3,FALSE(),FALSE())))</f>
        <v/>
      </c>
      <c r="BF225" s="74" t="str">
        <f aca="false">IF(ISBLANK($C225),"",IF(ISBLANK($AA225),0,IF(ISNUMBER($AA225),IF(AND($AA225&gt;=0,$AA225&lt;=Constants!$B$35,$AA225=INT($AA225)),$AA225,""),"")))</f>
        <v/>
      </c>
      <c r="BG225" s="74" t="str">
        <f aca="false">IF(ISBLANK($C225),"",IF($AB225=Constants!$B$2,TRUE(),IF($AB225=Constants!$B$3,FALSE(),TRUE())))</f>
        <v/>
      </c>
      <c r="BH225" s="74" t="str">
        <f aca="false">IF(ISBLANK($C225),"",IF($AC225=Constants!$B$2,TRUE(),IF($AC225=Constants!$B$3,FALSE(),TRUE())))</f>
        <v/>
      </c>
      <c r="BI225" s="74" t="str">
        <f aca="false">IF(ISBLANK($C225),"",IF($AD225=Constants!$B$2,TRUE(),IF($AD225=Constants!$B$3,FALSE(),TRUE())))</f>
        <v/>
      </c>
      <c r="BJ225" s="74" t="str">
        <f aca="false">IF(ISBLANK($C225),"",IF(ISNUMBER($AE225),IF($AE225&gt;=0,$AE225,""),""))</f>
        <v/>
      </c>
      <c r="BK225" s="74" t="str">
        <f aca="false">IF(ISBLANK($C225),"",IF($AF225=Constants!$B$2,TRUE(),IF($AF225=Constants!$B$3,FALSE(),FALSE())))</f>
        <v/>
      </c>
      <c r="BL225" s="73" t="str">
        <f aca="false">IF(ISBLANK($C225),"",IF($BK225,Constants!$B$7,IF(COUNTA($E225:$AE225)=0,Constants!$B$6,IF(OR(COUNTA($G225:$AE225)=0,NOT($AM225),$AS225),Constants!$B$5,IF(OR($CM225&lt;&gt;"",$CN225,$CO225,$CP225,$CQ225,$CR225,$CS225),Constants!$B$8,Constants!$B$4)))))</f>
        <v/>
      </c>
      <c r="BM225" s="74" t="str">
        <f aca="false">IF(ISBLANK($C225),"",IF($BL225&lt;&gt;Constants!$B$4,$BL225,IF(OR(NOT($AJ225),NOT($AL225),NOT($AT225)),Constants!$B$11,IF(OR(NOT($AR225),NOT($AU225),NOT($BI225),MAX($AN225,$AO225,$AP225)&gt;Constants!$B$30),Constants!$B$10,Constants!$B$9))))</f>
        <v/>
      </c>
      <c r="BN225" s="74" t="str">
        <f aca="false">IF($BL225&lt;&gt;Constants!$B$4,"",IF(NOT($AL225),0,MIN(Constants!$B$35,$BF225)))</f>
        <v/>
      </c>
      <c r="BO225" s="74" t="str">
        <f aca="false">IF($BL225&lt;&gt;Constants!$B$4,"",IF(NOT($AL225),0,IF($AW225,Constants!$B$18,IF($AV225,Constants!$B$17,0))))</f>
        <v/>
      </c>
      <c r="BP225" s="74" t="str">
        <f aca="false">IF($BL225&lt;&gt;Constants!$B$4,"",IF(NOT($AL225),0,Constants!$B$19*($AK225+$AX225+$AY225+$AZ225)))</f>
        <v/>
      </c>
      <c r="BQ225" s="74" t="str">
        <f aca="false">IF($BL225&lt;&gt;Constants!$B$4,"",IF(OR(NOT($AL225),NOT(ISNUMBER($BA225))),0,CHOOSE($BA225,Constants!$B$13,Constants!$B$14,Constants!$B$15,Constants!$B$16)))</f>
        <v/>
      </c>
      <c r="BR225" s="74" t="str">
        <f aca="false">IF($BL225&lt;&gt;Constants!$B$4,"",IF(NOT($AL225),0,Constants!$B$20*$BB225))</f>
        <v/>
      </c>
      <c r="BS225" s="74" t="str">
        <f aca="false">IF($BL225&lt;&gt;Constants!$B$4,"",IF(AND($AL225,$BD225,$BE225),Constants!$B$22,0))</f>
        <v/>
      </c>
      <c r="BT225" s="74" t="str">
        <f aca="false">IF($BL225&lt;&gt;Constants!$B$4,"",IF(OR(NOT($AL225),NOT($BD225)),0,IF($BJ225&gt;=2*$AH$9,0,Constants!$B$23*INT(ROUND(MIN($BJ225,$AH$9),6)))))</f>
        <v/>
      </c>
      <c r="BU225" s="74" t="str">
        <f aca="false">IF($BL225&lt;&gt;Constants!$B$4,"",IF(NOT($AL225),0,Constants!$B$24*INT(ROUND(MIN($BC225,$AH$9),6))))</f>
        <v/>
      </c>
      <c r="BV225" s="74" t="str">
        <f aca="false">IF($BL225&lt;&gt;Constants!$B$4,"",IF(AND($AL225,$BN225=0),Constants!$B$25,0))</f>
        <v/>
      </c>
      <c r="BW225" s="74" t="str">
        <f aca="false">IF($BL225&lt;&gt;Constants!$B$4,"",MIN(Constants!$B$29,MAX(0,Constants!$B$27*Constants!$B$28*INT(ROUND((Constants!$B$26-$AN225)/Constants!$B$28,6))))+MIN(Constants!$B$29,MAX(0,Constants!$B$27*Constants!$B$28*INT(ROUND((Constants!$B$26-$AO225)/Constants!$B$28,6))))+MIN(Constants!$B$29,MAX(0,Constants!$B$27*Constants!$B$28*INT(ROUND((Constants!$B$26-$AP225)/Constants!$B$28,6)))))</f>
        <v/>
      </c>
      <c r="BX225" s="74" t="str">
        <f aca="false">IF($BL225&lt;&gt;Constants!$B$4,"",IF(NOT($AL225),0,Constants!$B$31*INT(ROUND(MAX(0,MIN($BJ225,2*$AH$9)-$AH$9),6))))</f>
        <v/>
      </c>
      <c r="BY225" s="74" t="str">
        <f aca="false">IF($BL225&lt;&gt;Constants!$B$4,"",Constants!$B$32*(($AN225&gt;Constants!$B$26)+($AO225&gt;Constants!$B$26)+($AP225&gt;Constants!$B$26)))</f>
        <v/>
      </c>
      <c r="BZ225" s="74" t="str">
        <f aca="false">IF($BL225&lt;&gt;Constants!$B$4,"",IF(OR(NOT($AL225),$AQ225),0,Constants!$B$33))</f>
        <v/>
      </c>
      <c r="CA225" s="74" t="str">
        <f aca="false">IF($BL225&lt;&gt;Constants!$B$4,"",Constants!$B$34*$BN225)</f>
        <v/>
      </c>
      <c r="CB225" s="74" t="str">
        <f aca="false">IF($BL225&lt;&gt;Constants!$B$4,"",IF(OR(NOT($AL225),$BH225),0,Constants!$B$36))</f>
        <v/>
      </c>
      <c r="CC225" s="74" t="str">
        <f aca="false">IF($BL225&lt;&gt;Constants!$B$4,"",IF(OR(NOT($AL225),$BG225),0,Constants!$B$37))</f>
        <v/>
      </c>
      <c r="CD225" s="74" t="str">
        <f aca="false">IF($BL225&lt;&gt;Constants!$B$4,"",SUM($BX225:$CC225))</f>
        <v/>
      </c>
      <c r="CE225" s="74" t="str">
        <f aca="false">IF(ISBLANK($C225),"",IF($BL225&lt;&gt;Constants!$B$4,$BL225,SUM($BO225:$BW225)-$CD225))</f>
        <v/>
      </c>
      <c r="CF225" s="74" t="str">
        <f aca="false">IF(ISBLANK($C225),"",IF($BL225&lt;&gt;Constants!$B$4,$BL225,RANK($CE225,$CE$9:$CE$508)))</f>
        <v/>
      </c>
      <c r="CG225" s="74" t="str">
        <f aca="false">IF(ISBLANK($C225),"",IF($BL225&lt;&gt;Constants!$B$4,$BL225,COUNTIFS($BM$9:$BM$508,"&lt;"&amp;$BM225)+COUNTIFS($BM$9:$BM$508,$BM225,$CF$9:$CF$508,"&lt;"&amp;$CF225)+1))</f>
        <v/>
      </c>
      <c r="CH225" s="74" t="str">
        <f aca="false">IF(ISBLANK($C225),"",IF($BL225&lt;&gt;Constants!$B$4,$BL225,RANK($CD225,$CD$9:$CD$508,1)))</f>
        <v/>
      </c>
      <c r="CI225" s="74" t="str">
        <f aca="false">IF($BL225&lt;&gt;Constants!$B$4,"",$AN225+$AO225+$AP225)</f>
        <v/>
      </c>
      <c r="CJ225" s="74" t="str">
        <f aca="false">IF(ISBLANK($C225),"",IF($BL225&lt;&gt;Constants!$B$4,$BL225,RANK($CI225,$CI$9:$CI$508,1)))</f>
        <v/>
      </c>
      <c r="CK225" s="74" t="str">
        <f aca="false">IF(ISBLANK($C225),"",IF($BL225&lt;&gt;Constants!$B$4,$BL225,COUNTIFS($BM$9:$BM$508,"&lt;"&amp;$BM225)+COUNTIFS($BM$9:$BM$508,$BM225,$CF$9:$CF$508,"&lt;"&amp;$CF225)+COUNTIFS($BM$9:$BM$508,$BM225,$CF$9:$CF$508,$CF225,$CH$9:$CH$508,"&lt;"&amp;$CH225)+COUNTIFS($BM$9:$BM$508,$BM225,$CF$9:$CF$508,$CF225,$CH$9:$CH$508,$CH225,$CJ$9:$CJ$508,"&lt;"&amp;$CJ225)+1))</f>
        <v/>
      </c>
      <c r="CL225" s="74" t="str">
        <f aca="false">IF(ISBLANK($C225),"",IF($BL225&lt;&gt;Constants!$B$4,$BL225,$CG225-$CK225))</f>
        <v/>
      </c>
      <c r="CM225" s="74" t="str">
        <f aca="false">IF(ISBLANK($C225),"",IF(NOT($AL225),"",IF(ISBLANK($D$7),$CM$5,IF(NOT(ISNUMBER($D$7)),$CM$6,""))))</f>
        <v/>
      </c>
      <c r="CN225" s="74" t="str">
        <f aca="false">IF(ISBLANK($C225),"",OR($AN225="",$AO225="",$AP225=""))</f>
        <v/>
      </c>
      <c r="CO225" s="74" t="str">
        <f aca="false">IF(ISBLANK($C225),"",AND($AL225,$BA225=""))</f>
        <v/>
      </c>
      <c r="CP225" s="74" t="str">
        <f aca="false">IF(ISBLANK($C225),"",AND($AL225,$BB225=""))</f>
        <v/>
      </c>
      <c r="CQ225" s="74" t="str">
        <f aca="false">IF(ISBLANK($C225),"",AND($AL225,$BC225=""))</f>
        <v/>
      </c>
      <c r="CR225" s="74" t="str">
        <f aca="false">IF(ISBLANK($C225),"",AND($AL225,$BF225=""))</f>
        <v/>
      </c>
      <c r="CS225" s="74" t="str">
        <f aca="false">IF(ISBLANK($C225),"",AND($AL225,$BJ225=""))</f>
        <v/>
      </c>
      <c r="CT225" s="75"/>
      <c r="CU225" s="76"/>
      <c r="CV225" s="79" t="str">
        <f aca="false">IF(ISBLANK($C225),"",IF($BL225=Constants!$B$8,$CM225,""))</f>
        <v/>
      </c>
      <c r="CW225" s="76" t="str">
        <f aca="false">IF(ISBLANK($C225),"",IF($BL225&lt;&gt;Constants!$B$4,"",$BO225+$BP225))</f>
        <v/>
      </c>
      <c r="CX225" s="78" t="str">
        <f aca="false">IF(ISBLANK($C225),"",IF($BL225&lt;&gt;Constants!$B$4,"",$BQ225+$BR225+$BS225))</f>
        <v/>
      </c>
      <c r="CY225" s="78" t="str">
        <f aca="false">IF(ISBLANK($C225),"",IF($BL225&lt;&gt;Constants!$B$4,"",$BT225))</f>
        <v/>
      </c>
      <c r="CZ225" s="78" t="str">
        <f aca="false">IF(ISBLANK($C225),"",IF($BL225&lt;&gt;Constants!$B$4,"",$BU225+$BV225))</f>
        <v/>
      </c>
      <c r="DA225" s="78" t="str">
        <f aca="false">IF(ISBLANK($C225),"",IF($BL225&lt;&gt;Constants!$B$4,"",$BW225))</f>
        <v/>
      </c>
      <c r="DB225" s="78" t="str">
        <f aca="false">IF(ISBLANK($C225),"",IF($BL225&lt;&gt;Constants!$B$4,"",-$CD225))</f>
        <v/>
      </c>
      <c r="DC225" s="79" t="str">
        <f aca="false">IF(ISBLANK($C225),"",$CE225)</f>
        <v/>
      </c>
      <c r="DD225" s="80" t="str">
        <f aca="false">IF(ISBLANK($C225),"",$BM225)</f>
        <v/>
      </c>
      <c r="DE225" s="78" t="str">
        <f aca="false">IF(ISBLANK($C225),"",$CL225)</f>
        <v/>
      </c>
      <c r="DF225" s="78" t="str">
        <f aca="false">IF(ISBLANK($C225),"",$CK225)</f>
        <v/>
      </c>
      <c r="DG225" s="81" t="str">
        <f aca="false">IF(ISBLANK($C225),"",IF($DF225=Constants!$B$7,COUNTA($C$9:$C$508)+2,IF($DF225=Constants!$B$6,COUNTA($C$9:$C$508)+1,IF($DF225=Constants!$B$5,COUNTA($C$9:$C$508),$DF225))))</f>
        <v/>
      </c>
      <c r="DH225" s="7"/>
      <c r="DI225" s="82" t="n">
        <f aca="false">IF(OR(ISNUMBER($DF225),$DF225=Constants!$B$7,$DF225=Constants!$B$5,$DF225=Constants!$B$6),1,0)</f>
        <v>0</v>
      </c>
      <c r="DJ225" s="82" t="n">
        <v>217</v>
      </c>
      <c r="DK225" s="82" t="str">
        <f aca="false">IF(ISBLANK($C225),"",IF(ISNUMBER($DG225),$DG225+ROW($B225)/1000,""))</f>
        <v/>
      </c>
      <c r="DL225" s="82" t="str">
        <f aca="false">IF(ISNUMBER($DK225),RANK($DK225,$DK$9:$DK$508,1),"")</f>
        <v/>
      </c>
      <c r="DM225" s="82" t="str">
        <f aca="false">IF(ISBLANK($C225),"",$B225)</f>
        <v/>
      </c>
      <c r="DN225" s="82" t="str">
        <f aca="false">IF(ISBLANK($C225),"",$C225)</f>
        <v/>
      </c>
      <c r="DO225" s="82" t="str">
        <f aca="false">IF(ISBLANK($C225),"",$D225)</f>
        <v/>
      </c>
      <c r="DP225" s="83" t="str">
        <f aca="false">$DD225</f>
        <v/>
      </c>
      <c r="DQ225" s="84" t="str">
        <f aca="false">$DC225</f>
        <v/>
      </c>
      <c r="DR225" s="82" t="str">
        <f aca="false">IF(ISBLANK($C225),"",$DF225)</f>
        <v/>
      </c>
      <c r="DS225" s="85" t="str">
        <f aca="false">IF($DJ225&gt;$DI$8,"",VLOOKUP($DJ225,$DL$9:$DR$508,7,FALSE()))</f>
        <v/>
      </c>
      <c r="DT225" s="86" t="str">
        <f aca="false">IF($DJ225&gt;$DI$8,"",VLOOKUP($DJ225,$DL$9:$DR$508,2,FALSE()))</f>
        <v/>
      </c>
      <c r="DU225" s="86" t="str">
        <f aca="false">IF($DJ225&gt;$DI$8,"",VLOOKUP($DJ225,$DL$9:$DR$508,3,FALSE()))</f>
        <v/>
      </c>
      <c r="DV225" s="86" t="str">
        <f aca="false">IF($DJ225&gt;$DI$8,"",VLOOKUP($DJ225,$DL$9:$DR$508,4,FALSE()))</f>
        <v/>
      </c>
      <c r="DW225" s="86" t="str">
        <f aca="false">IF($DJ225&gt;$DI$8,"",VLOOKUP($DJ225,$DL$9:$DR$508,5,FALSE()))</f>
        <v/>
      </c>
      <c r="DX225" s="87" t="str">
        <f aca="false">IF($DJ225&gt;$DI$8,"",VLOOKUP($DJ225,$DL$9:$DR$508,6,FALSE()))</f>
        <v/>
      </c>
      <c r="DY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88"/>
      <c r="N226" s="88"/>
      <c r="O226" s="134"/>
      <c r="P226" s="134"/>
      <c r="Q226" s="88"/>
      <c r="R226" s="88"/>
      <c r="S226" s="88"/>
      <c r="T226" s="88"/>
      <c r="U226" s="134"/>
      <c r="V226" s="88"/>
      <c r="W226" s="70"/>
      <c r="X226" s="88"/>
      <c r="Y226" s="88"/>
      <c r="Z226" s="70"/>
      <c r="AA226" s="70"/>
      <c r="AB226" s="88"/>
      <c r="AC226" s="88"/>
      <c r="AD226" s="88"/>
      <c r="AE226" s="71"/>
      <c r="AF226" s="88"/>
      <c r="AG226" s="73"/>
      <c r="AH226" s="74"/>
      <c r="AI226" s="74"/>
      <c r="AJ226" s="74" t="str">
        <f aca="false">IF(ISBLANK($C226),"",IF($E226=Constants!$B$2,TRUE(),IF($E226=Constants!$B$3,FALSE(),TRUE())))</f>
        <v/>
      </c>
      <c r="AK226" s="74" t="str">
        <f aca="false">IF(ISBLANK($C226),"",IF($F226=Constants!$B$2,TRUE(),IF($F226=Constants!$B$3,FALSE(),FALSE())))</f>
        <v/>
      </c>
      <c r="AL226" s="74" t="str">
        <f aca="false">IF(ISBLANK($C226),"",IF($G226=Constants!$B$2,TRUE(),IF($G226=Constants!$B$3,FALSE(),TRUE())))</f>
        <v/>
      </c>
      <c r="AM226" s="74" t="str">
        <f aca="false">IF(ISBLANK($C226),"",IF($H226=Constants!$B$2,TRUE(),IF($H226=Constants!$B$3,FALSE(),TRUE())))</f>
        <v/>
      </c>
      <c r="AN226" s="74" t="str">
        <f aca="false">IF(ISBLANK($C226),"",IF(ISNUMBER($I226),IF($I226&gt;=0,$I226,""),""))</f>
        <v/>
      </c>
      <c r="AO226" s="74" t="str">
        <f aca="false">IF(ISBLANK($C226),"",IF(ISNUMBER($J226),IF($J226&gt;=0,$J226,""),""))</f>
        <v/>
      </c>
      <c r="AP226" s="74" t="str">
        <f aca="false">IF(ISBLANK($C226),"",IF(ISNUMBER($K226),IF($K226&gt;=0,$K226,""),""))</f>
        <v/>
      </c>
      <c r="AQ226" s="74" t="str">
        <f aca="false">IF(ISBLANK($C226),"",IF($L226=Constants!$B$2,TRUE(),IF($L226=Constants!$B$3,FALSE(),TRUE())))</f>
        <v/>
      </c>
      <c r="AR226" s="74" t="str">
        <f aca="false">IF(ISBLANK($C226),"",IF($M226=Constants!$B$2,TRUE(),IF($M226=Constants!$B$3,FALSE(),TRUE())))</f>
        <v/>
      </c>
      <c r="AS226" s="74" t="str">
        <f aca="false">IF(ISBLANK($C226),"",IF($N226=Constants!$B$2,TRUE(),IF($N226=Constants!$B$3,FALSE(),FALSE())))</f>
        <v/>
      </c>
      <c r="AT226" s="74" t="str">
        <f aca="false">IF(ISBLANK($C226),"",IF($O226=Constants!$B$2,TRUE(),IF($O226=Constants!$B$3,FALSE(),TRUE())))</f>
        <v/>
      </c>
      <c r="AU226" s="74" t="str">
        <f aca="false">IF(ISBLANK($C226),"",IF($P226=Constants!$B$2,TRUE(),IF($P226=Constants!$B$3,FALSE(),TRUE())))</f>
        <v/>
      </c>
      <c r="AV226" s="74" t="str">
        <f aca="false">IF(ISBLANK($C226),"",IF($Q226=Constants!$B$2,TRUE(),IF($Q226=Constants!$B$3,FALSE(),FALSE())))</f>
        <v/>
      </c>
      <c r="AW226" s="74" t="str">
        <f aca="false">IF(ISBLANK($C226),"",IF($R226=Constants!$B$2,TRUE(),IF($R226=Constants!$B$3,FALSE(),FALSE())))</f>
        <v/>
      </c>
      <c r="AX226" s="74" t="str">
        <f aca="false">IF(ISBLANK($C226),"",IF($S226=Constants!$B$2,TRUE(),IF($S226=Constants!$B$3,FALSE(),FALSE())))</f>
        <v/>
      </c>
      <c r="AY226" s="74" t="str">
        <f aca="false">IF(ISBLANK($C226),"",IF($T226=Constants!$B$2,TRUE(),IF($T226=Constants!$B$3,FALSE(),FALSE())))</f>
        <v/>
      </c>
      <c r="AZ226" s="74" t="str">
        <f aca="false">IF(ISBLANK($C226),"",IF($U226=Constants!$B$2,TRUE(),IF($U226=Constants!$B$3,FALSE(),FALSE())))</f>
        <v/>
      </c>
      <c r="BA226" s="74" t="str">
        <f aca="false">IF(ISBLANK($C226),"",IF(OR($V226&amp;""="1",$V226&amp;""="2",$V226&amp;""="3",$V226&amp;""="4"),VALUE($V226&amp;""),IF($V226=Constants!$B$12,Constants!$B$12,"")))</f>
        <v/>
      </c>
      <c r="BB226" s="74" t="str">
        <f aca="false">IF(ISBLANK($C226),"",IF(ISBLANK($W226),0,IF(ISNUMBER($W226),IF(AND($W226&gt;=0,$W226&lt;=Constants!$B$21,$W226=INT($W226)),$W226,""),"")))</f>
        <v/>
      </c>
      <c r="BC226" s="74" t="str">
        <f aca="false">IF(ISBLANK($C226),"",IF(ISBLANK($X226),0,IF(ISNUMBER($X226),IF($X226&gt;=0,$X226,""),"")))</f>
        <v/>
      </c>
      <c r="BD226" s="74" t="str">
        <f aca="false">IF(ISBLANK($C226),"",IF($Y226=Constants!$B$2,TRUE(),IF($Y226=Constants!$B$3,FALSE(),TRUE())))</f>
        <v/>
      </c>
      <c r="BE226" s="74" t="str">
        <f aca="false">IF(ISBLANK($C226),"",IF($Z226=Constants!$B$2,TRUE(),IF($Z226=Constants!$B$3,FALSE(),FALSE())))</f>
        <v/>
      </c>
      <c r="BF226" s="74" t="str">
        <f aca="false">IF(ISBLANK($C226),"",IF(ISBLANK($AA226),0,IF(ISNUMBER($AA226),IF(AND($AA226&gt;=0,$AA226&lt;=Constants!$B$35,$AA226=INT($AA226)),$AA226,""),"")))</f>
        <v/>
      </c>
      <c r="BG226" s="74" t="str">
        <f aca="false">IF(ISBLANK($C226),"",IF($AB226=Constants!$B$2,TRUE(),IF($AB226=Constants!$B$3,FALSE(),TRUE())))</f>
        <v/>
      </c>
      <c r="BH226" s="74" t="str">
        <f aca="false">IF(ISBLANK($C226),"",IF($AC226=Constants!$B$2,TRUE(),IF($AC226=Constants!$B$3,FALSE(),TRUE())))</f>
        <v/>
      </c>
      <c r="BI226" s="74" t="str">
        <f aca="false">IF(ISBLANK($C226),"",IF($AD226=Constants!$B$2,TRUE(),IF($AD226=Constants!$B$3,FALSE(),TRUE())))</f>
        <v/>
      </c>
      <c r="BJ226" s="74" t="str">
        <f aca="false">IF(ISBLANK($C226),"",IF(ISNUMBER($AE226),IF($AE226&gt;=0,$AE226,""),""))</f>
        <v/>
      </c>
      <c r="BK226" s="74" t="str">
        <f aca="false">IF(ISBLANK($C226),"",IF($AF226=Constants!$B$2,TRUE(),IF($AF226=Constants!$B$3,FALSE(),FALSE())))</f>
        <v/>
      </c>
      <c r="BL226" s="73" t="str">
        <f aca="false">IF(ISBLANK($C226),"",IF($BK226,Constants!$B$7,IF(COUNTA($E226:$AE226)=0,Constants!$B$6,IF(OR(COUNTA($G226:$AE226)=0,NOT($AM226),$AS226),Constants!$B$5,IF(OR($CM226&lt;&gt;"",$CN226,$CO226,$CP226,$CQ226,$CR226,$CS226),Constants!$B$8,Constants!$B$4)))))</f>
        <v/>
      </c>
      <c r="BM226" s="74" t="str">
        <f aca="false">IF(ISBLANK($C226),"",IF($BL226&lt;&gt;Constants!$B$4,$BL226,IF(OR(NOT($AJ226),NOT($AL226),NOT($AT226)),Constants!$B$11,IF(OR(NOT($AR226),NOT($AU226),NOT($BI226),MAX($AN226,$AO226,$AP226)&gt;Constants!$B$30),Constants!$B$10,Constants!$B$9))))</f>
        <v/>
      </c>
      <c r="BN226" s="74" t="str">
        <f aca="false">IF($BL226&lt;&gt;Constants!$B$4,"",IF(NOT($AL226),0,MIN(Constants!$B$35,$BF226)))</f>
        <v/>
      </c>
      <c r="BO226" s="74" t="str">
        <f aca="false">IF($BL226&lt;&gt;Constants!$B$4,"",IF(NOT($AL226),0,IF($AW226,Constants!$B$18,IF($AV226,Constants!$B$17,0))))</f>
        <v/>
      </c>
      <c r="BP226" s="74" t="str">
        <f aca="false">IF($BL226&lt;&gt;Constants!$B$4,"",IF(NOT($AL226),0,Constants!$B$19*($AK226+$AX226+$AY226+$AZ226)))</f>
        <v/>
      </c>
      <c r="BQ226" s="74" t="str">
        <f aca="false">IF($BL226&lt;&gt;Constants!$B$4,"",IF(OR(NOT($AL226),NOT(ISNUMBER($BA226))),0,CHOOSE($BA226,Constants!$B$13,Constants!$B$14,Constants!$B$15,Constants!$B$16)))</f>
        <v/>
      </c>
      <c r="BR226" s="74" t="str">
        <f aca="false">IF($BL226&lt;&gt;Constants!$B$4,"",IF(NOT($AL226),0,Constants!$B$20*$BB226))</f>
        <v/>
      </c>
      <c r="BS226" s="74" t="str">
        <f aca="false">IF($BL226&lt;&gt;Constants!$B$4,"",IF(AND($AL226,$BD226,$BE226),Constants!$B$22,0))</f>
        <v/>
      </c>
      <c r="BT226" s="74" t="str">
        <f aca="false">IF($BL226&lt;&gt;Constants!$B$4,"",IF(OR(NOT($AL226),NOT($BD226)),0,IF($BJ226&gt;=2*$AH$9,0,Constants!$B$23*INT(ROUND(MIN($BJ226,$AH$9),6)))))</f>
        <v/>
      </c>
      <c r="BU226" s="74" t="str">
        <f aca="false">IF($BL226&lt;&gt;Constants!$B$4,"",IF(NOT($AL226),0,Constants!$B$24*INT(ROUND(MIN($BC226,$AH$9),6))))</f>
        <v/>
      </c>
      <c r="BV226" s="74" t="str">
        <f aca="false">IF($BL226&lt;&gt;Constants!$B$4,"",IF(AND($AL226,$BN226=0),Constants!$B$25,0))</f>
        <v/>
      </c>
      <c r="BW226" s="74" t="str">
        <f aca="false">IF($BL226&lt;&gt;Constants!$B$4,"",MIN(Constants!$B$29,MAX(0,Constants!$B$27*Constants!$B$28*INT(ROUND((Constants!$B$26-$AN226)/Constants!$B$28,6))))+MIN(Constants!$B$29,MAX(0,Constants!$B$27*Constants!$B$28*INT(ROUND((Constants!$B$26-$AO226)/Constants!$B$28,6))))+MIN(Constants!$B$29,MAX(0,Constants!$B$27*Constants!$B$28*INT(ROUND((Constants!$B$26-$AP226)/Constants!$B$28,6)))))</f>
        <v/>
      </c>
      <c r="BX226" s="74" t="str">
        <f aca="false">IF($BL226&lt;&gt;Constants!$B$4,"",IF(NOT($AL226),0,Constants!$B$31*INT(ROUND(MAX(0,MIN($BJ226,2*$AH$9)-$AH$9),6))))</f>
        <v/>
      </c>
      <c r="BY226" s="74" t="str">
        <f aca="false">IF($BL226&lt;&gt;Constants!$B$4,"",Constants!$B$32*(($AN226&gt;Constants!$B$26)+($AO226&gt;Constants!$B$26)+($AP226&gt;Constants!$B$26)))</f>
        <v/>
      </c>
      <c r="BZ226" s="74" t="str">
        <f aca="false">IF($BL226&lt;&gt;Constants!$B$4,"",IF(OR(NOT($AL226),$AQ226),0,Constants!$B$33))</f>
        <v/>
      </c>
      <c r="CA226" s="74" t="str">
        <f aca="false">IF($BL226&lt;&gt;Constants!$B$4,"",Constants!$B$34*$BN226)</f>
        <v/>
      </c>
      <c r="CB226" s="74" t="str">
        <f aca="false">IF($BL226&lt;&gt;Constants!$B$4,"",IF(OR(NOT($AL226),$BH226),0,Constants!$B$36))</f>
        <v/>
      </c>
      <c r="CC226" s="74" t="str">
        <f aca="false">IF($BL226&lt;&gt;Constants!$B$4,"",IF(OR(NOT($AL226),$BG226),0,Constants!$B$37))</f>
        <v/>
      </c>
      <c r="CD226" s="74" t="str">
        <f aca="false">IF($BL226&lt;&gt;Constants!$B$4,"",SUM($BX226:$CC226))</f>
        <v/>
      </c>
      <c r="CE226" s="74" t="str">
        <f aca="false">IF(ISBLANK($C226),"",IF($BL226&lt;&gt;Constants!$B$4,$BL226,SUM($BO226:$BW226)-$CD226))</f>
        <v/>
      </c>
      <c r="CF226" s="74" t="str">
        <f aca="false">IF(ISBLANK($C226),"",IF($BL226&lt;&gt;Constants!$B$4,$BL226,RANK($CE226,$CE$9:$CE$508)))</f>
        <v/>
      </c>
      <c r="CG226" s="74" t="str">
        <f aca="false">IF(ISBLANK($C226),"",IF($BL226&lt;&gt;Constants!$B$4,$BL226,COUNTIFS($BM$9:$BM$508,"&lt;"&amp;$BM226)+COUNTIFS($BM$9:$BM$508,$BM226,$CF$9:$CF$508,"&lt;"&amp;$CF226)+1))</f>
        <v/>
      </c>
      <c r="CH226" s="74" t="str">
        <f aca="false">IF(ISBLANK($C226),"",IF($BL226&lt;&gt;Constants!$B$4,$BL226,RANK($CD226,$CD$9:$CD$508,1)))</f>
        <v/>
      </c>
      <c r="CI226" s="74" t="str">
        <f aca="false">IF($BL226&lt;&gt;Constants!$B$4,"",$AN226+$AO226+$AP226)</f>
        <v/>
      </c>
      <c r="CJ226" s="74" t="str">
        <f aca="false">IF(ISBLANK($C226),"",IF($BL226&lt;&gt;Constants!$B$4,$BL226,RANK($CI226,$CI$9:$CI$508,1)))</f>
        <v/>
      </c>
      <c r="CK226" s="74" t="str">
        <f aca="false">IF(ISBLANK($C226),"",IF($BL226&lt;&gt;Constants!$B$4,$BL226,COUNTIFS($BM$9:$BM$508,"&lt;"&amp;$BM226)+COUNTIFS($BM$9:$BM$508,$BM226,$CF$9:$CF$508,"&lt;"&amp;$CF226)+COUNTIFS($BM$9:$BM$508,$BM226,$CF$9:$CF$508,$CF226,$CH$9:$CH$508,"&lt;"&amp;$CH226)+COUNTIFS($BM$9:$BM$508,$BM226,$CF$9:$CF$508,$CF226,$CH$9:$CH$508,$CH226,$CJ$9:$CJ$508,"&lt;"&amp;$CJ226)+1))</f>
        <v/>
      </c>
      <c r="CL226" s="74" t="str">
        <f aca="false">IF(ISBLANK($C226),"",IF($BL226&lt;&gt;Constants!$B$4,$BL226,$CG226-$CK226))</f>
        <v/>
      </c>
      <c r="CM226" s="74" t="str">
        <f aca="false">IF(ISBLANK($C226),"",IF(NOT($AL226),"",IF(ISBLANK($D$7),$CM$5,IF(NOT(ISNUMBER($D$7)),$CM$6,""))))</f>
        <v/>
      </c>
      <c r="CN226" s="74" t="str">
        <f aca="false">IF(ISBLANK($C226),"",OR($AN226="",$AO226="",$AP226=""))</f>
        <v/>
      </c>
      <c r="CO226" s="74" t="str">
        <f aca="false">IF(ISBLANK($C226),"",AND($AL226,$BA226=""))</f>
        <v/>
      </c>
      <c r="CP226" s="74" t="str">
        <f aca="false">IF(ISBLANK($C226),"",AND($AL226,$BB226=""))</f>
        <v/>
      </c>
      <c r="CQ226" s="74" t="str">
        <f aca="false">IF(ISBLANK($C226),"",AND($AL226,$BC226=""))</f>
        <v/>
      </c>
      <c r="CR226" s="74" t="str">
        <f aca="false">IF(ISBLANK($C226),"",AND($AL226,$BF226=""))</f>
        <v/>
      </c>
      <c r="CS226" s="74" t="str">
        <f aca="false">IF(ISBLANK($C226),"",AND($AL226,$BJ226=""))</f>
        <v/>
      </c>
      <c r="CT226" s="75"/>
      <c r="CU226" s="76"/>
      <c r="CV226" s="79" t="str">
        <f aca="false">IF(ISBLANK($C226),"",IF($BL226=Constants!$B$8,$CM226,""))</f>
        <v/>
      </c>
      <c r="CW226" s="76" t="str">
        <f aca="false">IF(ISBLANK($C226),"",IF($BL226&lt;&gt;Constants!$B$4,"",$BO226+$BP226))</f>
        <v/>
      </c>
      <c r="CX226" s="78" t="str">
        <f aca="false">IF(ISBLANK($C226),"",IF($BL226&lt;&gt;Constants!$B$4,"",$BQ226+$BR226+$BS226))</f>
        <v/>
      </c>
      <c r="CY226" s="78" t="str">
        <f aca="false">IF(ISBLANK($C226),"",IF($BL226&lt;&gt;Constants!$B$4,"",$BT226))</f>
        <v/>
      </c>
      <c r="CZ226" s="78" t="str">
        <f aca="false">IF(ISBLANK($C226),"",IF($BL226&lt;&gt;Constants!$B$4,"",$BU226+$BV226))</f>
        <v/>
      </c>
      <c r="DA226" s="78" t="str">
        <f aca="false">IF(ISBLANK($C226),"",IF($BL226&lt;&gt;Constants!$B$4,"",$BW226))</f>
        <v/>
      </c>
      <c r="DB226" s="78" t="str">
        <f aca="false">IF(ISBLANK($C226),"",IF($BL226&lt;&gt;Constants!$B$4,"",-$CD226))</f>
        <v/>
      </c>
      <c r="DC226" s="79" t="str">
        <f aca="false">IF(ISBLANK($C226),"",$CE226)</f>
        <v/>
      </c>
      <c r="DD226" s="80" t="str">
        <f aca="false">IF(ISBLANK($C226),"",$BM226)</f>
        <v/>
      </c>
      <c r="DE226" s="78" t="str">
        <f aca="false">IF(ISBLANK($C226),"",$CL226)</f>
        <v/>
      </c>
      <c r="DF226" s="78" t="str">
        <f aca="false">IF(ISBLANK($C226),"",$CK226)</f>
        <v/>
      </c>
      <c r="DG226" s="81" t="str">
        <f aca="false">IF(ISBLANK($C226),"",IF($DF226=Constants!$B$7,COUNTA($C$9:$C$508)+2,IF($DF226=Constants!$B$6,COUNTA($C$9:$C$508)+1,IF($DF226=Constants!$B$5,COUNTA($C$9:$C$508),$DF226))))</f>
        <v/>
      </c>
      <c r="DH226" s="7"/>
      <c r="DI226" s="82" t="n">
        <f aca="false">IF(OR(ISNUMBER($DF226),$DF226=Constants!$B$7,$DF226=Constants!$B$5,$DF226=Constants!$B$6),1,0)</f>
        <v>0</v>
      </c>
      <c r="DJ226" s="82" t="n">
        <v>218</v>
      </c>
      <c r="DK226" s="82" t="str">
        <f aca="false">IF(ISBLANK($C226),"",IF(ISNUMBER($DG226),$DG226+ROW($B226)/1000,""))</f>
        <v/>
      </c>
      <c r="DL226" s="82" t="str">
        <f aca="false">IF(ISNUMBER($DK226),RANK($DK226,$DK$9:$DK$508,1),"")</f>
        <v/>
      </c>
      <c r="DM226" s="82" t="str">
        <f aca="false">IF(ISBLANK($C226),"",$B226)</f>
        <v/>
      </c>
      <c r="DN226" s="82" t="str">
        <f aca="false">IF(ISBLANK($C226),"",$C226)</f>
        <v/>
      </c>
      <c r="DO226" s="82" t="str">
        <f aca="false">IF(ISBLANK($C226),"",$D226)</f>
        <v/>
      </c>
      <c r="DP226" s="83" t="str">
        <f aca="false">$DD226</f>
        <v/>
      </c>
      <c r="DQ226" s="84" t="str">
        <f aca="false">$DC226</f>
        <v/>
      </c>
      <c r="DR226" s="82" t="str">
        <f aca="false">IF(ISBLANK($C226),"",$DF226)</f>
        <v/>
      </c>
      <c r="DS226" s="85" t="str">
        <f aca="false">IF($DJ226&gt;$DI$8,"",VLOOKUP($DJ226,$DL$9:$DR$508,7,FALSE()))</f>
        <v/>
      </c>
      <c r="DT226" s="86" t="str">
        <f aca="false">IF($DJ226&gt;$DI$8,"",VLOOKUP($DJ226,$DL$9:$DR$508,2,FALSE()))</f>
        <v/>
      </c>
      <c r="DU226" s="86" t="str">
        <f aca="false">IF($DJ226&gt;$DI$8,"",VLOOKUP($DJ226,$DL$9:$DR$508,3,FALSE()))</f>
        <v/>
      </c>
      <c r="DV226" s="86" t="str">
        <f aca="false">IF($DJ226&gt;$DI$8,"",VLOOKUP($DJ226,$DL$9:$DR$508,4,FALSE()))</f>
        <v/>
      </c>
      <c r="DW226" s="86" t="str">
        <f aca="false">IF($DJ226&gt;$DI$8,"",VLOOKUP($DJ226,$DL$9:$DR$508,5,FALSE()))</f>
        <v/>
      </c>
      <c r="DX226" s="87" t="str">
        <f aca="false">IF($DJ226&gt;$DI$8,"",VLOOKUP($DJ226,$DL$9:$DR$508,6,FALSE()))</f>
        <v/>
      </c>
      <c r="DY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88"/>
      <c r="N227" s="88"/>
      <c r="O227" s="134"/>
      <c r="P227" s="134"/>
      <c r="Q227" s="88"/>
      <c r="R227" s="88"/>
      <c r="S227" s="88"/>
      <c r="T227" s="88"/>
      <c r="U227" s="134"/>
      <c r="V227" s="88"/>
      <c r="W227" s="70"/>
      <c r="X227" s="88"/>
      <c r="Y227" s="88"/>
      <c r="Z227" s="70"/>
      <c r="AA227" s="70"/>
      <c r="AB227" s="88"/>
      <c r="AC227" s="88"/>
      <c r="AD227" s="88"/>
      <c r="AE227" s="71"/>
      <c r="AF227" s="88"/>
      <c r="AG227" s="73"/>
      <c r="AH227" s="74"/>
      <c r="AI227" s="74"/>
      <c r="AJ227" s="74" t="str">
        <f aca="false">IF(ISBLANK($C227),"",IF($E227=Constants!$B$2,TRUE(),IF($E227=Constants!$B$3,FALSE(),TRUE())))</f>
        <v/>
      </c>
      <c r="AK227" s="74" t="str">
        <f aca="false">IF(ISBLANK($C227),"",IF($F227=Constants!$B$2,TRUE(),IF($F227=Constants!$B$3,FALSE(),FALSE())))</f>
        <v/>
      </c>
      <c r="AL227" s="74" t="str">
        <f aca="false">IF(ISBLANK($C227),"",IF($G227=Constants!$B$2,TRUE(),IF($G227=Constants!$B$3,FALSE(),TRUE())))</f>
        <v/>
      </c>
      <c r="AM227" s="74" t="str">
        <f aca="false">IF(ISBLANK($C227),"",IF($H227=Constants!$B$2,TRUE(),IF($H227=Constants!$B$3,FALSE(),TRUE())))</f>
        <v/>
      </c>
      <c r="AN227" s="74" t="str">
        <f aca="false">IF(ISBLANK($C227),"",IF(ISNUMBER($I227),IF($I227&gt;=0,$I227,""),""))</f>
        <v/>
      </c>
      <c r="AO227" s="74" t="str">
        <f aca="false">IF(ISBLANK($C227),"",IF(ISNUMBER($J227),IF($J227&gt;=0,$J227,""),""))</f>
        <v/>
      </c>
      <c r="AP227" s="74" t="str">
        <f aca="false">IF(ISBLANK($C227),"",IF(ISNUMBER($K227),IF($K227&gt;=0,$K227,""),""))</f>
        <v/>
      </c>
      <c r="AQ227" s="74" t="str">
        <f aca="false">IF(ISBLANK($C227),"",IF($L227=Constants!$B$2,TRUE(),IF($L227=Constants!$B$3,FALSE(),TRUE())))</f>
        <v/>
      </c>
      <c r="AR227" s="74" t="str">
        <f aca="false">IF(ISBLANK($C227),"",IF($M227=Constants!$B$2,TRUE(),IF($M227=Constants!$B$3,FALSE(),TRUE())))</f>
        <v/>
      </c>
      <c r="AS227" s="74" t="str">
        <f aca="false">IF(ISBLANK($C227),"",IF($N227=Constants!$B$2,TRUE(),IF($N227=Constants!$B$3,FALSE(),FALSE())))</f>
        <v/>
      </c>
      <c r="AT227" s="74" t="str">
        <f aca="false">IF(ISBLANK($C227),"",IF($O227=Constants!$B$2,TRUE(),IF($O227=Constants!$B$3,FALSE(),TRUE())))</f>
        <v/>
      </c>
      <c r="AU227" s="74" t="str">
        <f aca="false">IF(ISBLANK($C227),"",IF($P227=Constants!$B$2,TRUE(),IF($P227=Constants!$B$3,FALSE(),TRUE())))</f>
        <v/>
      </c>
      <c r="AV227" s="74" t="str">
        <f aca="false">IF(ISBLANK($C227),"",IF($Q227=Constants!$B$2,TRUE(),IF($Q227=Constants!$B$3,FALSE(),FALSE())))</f>
        <v/>
      </c>
      <c r="AW227" s="74" t="str">
        <f aca="false">IF(ISBLANK($C227),"",IF($R227=Constants!$B$2,TRUE(),IF($R227=Constants!$B$3,FALSE(),FALSE())))</f>
        <v/>
      </c>
      <c r="AX227" s="74" t="str">
        <f aca="false">IF(ISBLANK($C227),"",IF($S227=Constants!$B$2,TRUE(),IF($S227=Constants!$B$3,FALSE(),FALSE())))</f>
        <v/>
      </c>
      <c r="AY227" s="74" t="str">
        <f aca="false">IF(ISBLANK($C227),"",IF($T227=Constants!$B$2,TRUE(),IF($T227=Constants!$B$3,FALSE(),FALSE())))</f>
        <v/>
      </c>
      <c r="AZ227" s="74" t="str">
        <f aca="false">IF(ISBLANK($C227),"",IF($U227=Constants!$B$2,TRUE(),IF($U227=Constants!$B$3,FALSE(),FALSE())))</f>
        <v/>
      </c>
      <c r="BA227" s="74" t="str">
        <f aca="false">IF(ISBLANK($C227),"",IF(OR($V227&amp;""="1",$V227&amp;""="2",$V227&amp;""="3",$V227&amp;""="4"),VALUE($V227&amp;""),IF($V227=Constants!$B$12,Constants!$B$12,"")))</f>
        <v/>
      </c>
      <c r="BB227" s="74" t="str">
        <f aca="false">IF(ISBLANK($C227),"",IF(ISBLANK($W227),0,IF(ISNUMBER($W227),IF(AND($W227&gt;=0,$W227&lt;=Constants!$B$21,$W227=INT($W227)),$W227,""),"")))</f>
        <v/>
      </c>
      <c r="BC227" s="74" t="str">
        <f aca="false">IF(ISBLANK($C227),"",IF(ISBLANK($X227),0,IF(ISNUMBER($X227),IF($X227&gt;=0,$X227,""),"")))</f>
        <v/>
      </c>
      <c r="BD227" s="74" t="str">
        <f aca="false">IF(ISBLANK($C227),"",IF($Y227=Constants!$B$2,TRUE(),IF($Y227=Constants!$B$3,FALSE(),TRUE())))</f>
        <v/>
      </c>
      <c r="BE227" s="74" t="str">
        <f aca="false">IF(ISBLANK($C227),"",IF($Z227=Constants!$B$2,TRUE(),IF($Z227=Constants!$B$3,FALSE(),FALSE())))</f>
        <v/>
      </c>
      <c r="BF227" s="74" t="str">
        <f aca="false">IF(ISBLANK($C227),"",IF(ISBLANK($AA227),0,IF(ISNUMBER($AA227),IF(AND($AA227&gt;=0,$AA227&lt;=Constants!$B$35,$AA227=INT($AA227)),$AA227,""),"")))</f>
        <v/>
      </c>
      <c r="BG227" s="74" t="str">
        <f aca="false">IF(ISBLANK($C227),"",IF($AB227=Constants!$B$2,TRUE(),IF($AB227=Constants!$B$3,FALSE(),TRUE())))</f>
        <v/>
      </c>
      <c r="BH227" s="74" t="str">
        <f aca="false">IF(ISBLANK($C227),"",IF($AC227=Constants!$B$2,TRUE(),IF($AC227=Constants!$B$3,FALSE(),TRUE())))</f>
        <v/>
      </c>
      <c r="BI227" s="74" t="str">
        <f aca="false">IF(ISBLANK($C227),"",IF($AD227=Constants!$B$2,TRUE(),IF($AD227=Constants!$B$3,FALSE(),TRUE())))</f>
        <v/>
      </c>
      <c r="BJ227" s="74" t="str">
        <f aca="false">IF(ISBLANK($C227),"",IF(ISNUMBER($AE227),IF($AE227&gt;=0,$AE227,""),""))</f>
        <v/>
      </c>
      <c r="BK227" s="74" t="str">
        <f aca="false">IF(ISBLANK($C227),"",IF($AF227=Constants!$B$2,TRUE(),IF($AF227=Constants!$B$3,FALSE(),FALSE())))</f>
        <v/>
      </c>
      <c r="BL227" s="73" t="str">
        <f aca="false">IF(ISBLANK($C227),"",IF($BK227,Constants!$B$7,IF(COUNTA($E227:$AE227)=0,Constants!$B$6,IF(OR(COUNTA($G227:$AE227)=0,NOT($AM227),$AS227),Constants!$B$5,IF(OR($CM227&lt;&gt;"",$CN227,$CO227,$CP227,$CQ227,$CR227,$CS227),Constants!$B$8,Constants!$B$4)))))</f>
        <v/>
      </c>
      <c r="BM227" s="74" t="str">
        <f aca="false">IF(ISBLANK($C227),"",IF($BL227&lt;&gt;Constants!$B$4,$BL227,IF(OR(NOT($AJ227),NOT($AL227),NOT($AT227)),Constants!$B$11,IF(OR(NOT($AR227),NOT($AU227),NOT($BI227),MAX($AN227,$AO227,$AP227)&gt;Constants!$B$30),Constants!$B$10,Constants!$B$9))))</f>
        <v/>
      </c>
      <c r="BN227" s="74" t="str">
        <f aca="false">IF($BL227&lt;&gt;Constants!$B$4,"",IF(NOT($AL227),0,MIN(Constants!$B$35,$BF227)))</f>
        <v/>
      </c>
      <c r="BO227" s="74" t="str">
        <f aca="false">IF($BL227&lt;&gt;Constants!$B$4,"",IF(NOT($AL227),0,IF($AW227,Constants!$B$18,IF($AV227,Constants!$B$17,0))))</f>
        <v/>
      </c>
      <c r="BP227" s="74" t="str">
        <f aca="false">IF($BL227&lt;&gt;Constants!$B$4,"",IF(NOT($AL227),0,Constants!$B$19*($AK227+$AX227+$AY227+$AZ227)))</f>
        <v/>
      </c>
      <c r="BQ227" s="74" t="str">
        <f aca="false">IF($BL227&lt;&gt;Constants!$B$4,"",IF(OR(NOT($AL227),NOT(ISNUMBER($BA227))),0,CHOOSE($BA227,Constants!$B$13,Constants!$B$14,Constants!$B$15,Constants!$B$16)))</f>
        <v/>
      </c>
      <c r="BR227" s="74" t="str">
        <f aca="false">IF($BL227&lt;&gt;Constants!$B$4,"",IF(NOT($AL227),0,Constants!$B$20*$BB227))</f>
        <v/>
      </c>
      <c r="BS227" s="74" t="str">
        <f aca="false">IF($BL227&lt;&gt;Constants!$B$4,"",IF(AND($AL227,$BD227,$BE227),Constants!$B$22,0))</f>
        <v/>
      </c>
      <c r="BT227" s="74" t="str">
        <f aca="false">IF($BL227&lt;&gt;Constants!$B$4,"",IF(OR(NOT($AL227),NOT($BD227)),0,IF($BJ227&gt;=2*$AH$9,0,Constants!$B$23*INT(ROUND(MIN($BJ227,$AH$9),6)))))</f>
        <v/>
      </c>
      <c r="BU227" s="74" t="str">
        <f aca="false">IF($BL227&lt;&gt;Constants!$B$4,"",IF(NOT($AL227),0,Constants!$B$24*INT(ROUND(MIN($BC227,$AH$9),6))))</f>
        <v/>
      </c>
      <c r="BV227" s="74" t="str">
        <f aca="false">IF($BL227&lt;&gt;Constants!$B$4,"",IF(AND($AL227,$BN227=0),Constants!$B$25,0))</f>
        <v/>
      </c>
      <c r="BW227" s="74" t="str">
        <f aca="false">IF($BL227&lt;&gt;Constants!$B$4,"",MIN(Constants!$B$29,MAX(0,Constants!$B$27*Constants!$B$28*INT(ROUND((Constants!$B$26-$AN227)/Constants!$B$28,6))))+MIN(Constants!$B$29,MAX(0,Constants!$B$27*Constants!$B$28*INT(ROUND((Constants!$B$26-$AO227)/Constants!$B$28,6))))+MIN(Constants!$B$29,MAX(0,Constants!$B$27*Constants!$B$28*INT(ROUND((Constants!$B$26-$AP227)/Constants!$B$28,6)))))</f>
        <v/>
      </c>
      <c r="BX227" s="74" t="str">
        <f aca="false">IF($BL227&lt;&gt;Constants!$B$4,"",IF(NOT($AL227),0,Constants!$B$31*INT(ROUND(MAX(0,MIN($BJ227,2*$AH$9)-$AH$9),6))))</f>
        <v/>
      </c>
      <c r="BY227" s="74" t="str">
        <f aca="false">IF($BL227&lt;&gt;Constants!$B$4,"",Constants!$B$32*(($AN227&gt;Constants!$B$26)+($AO227&gt;Constants!$B$26)+($AP227&gt;Constants!$B$26)))</f>
        <v/>
      </c>
      <c r="BZ227" s="74" t="str">
        <f aca="false">IF($BL227&lt;&gt;Constants!$B$4,"",IF(OR(NOT($AL227),$AQ227),0,Constants!$B$33))</f>
        <v/>
      </c>
      <c r="CA227" s="74" t="str">
        <f aca="false">IF($BL227&lt;&gt;Constants!$B$4,"",Constants!$B$34*$BN227)</f>
        <v/>
      </c>
      <c r="CB227" s="74" t="str">
        <f aca="false">IF($BL227&lt;&gt;Constants!$B$4,"",IF(OR(NOT($AL227),$BH227),0,Constants!$B$36))</f>
        <v/>
      </c>
      <c r="CC227" s="74" t="str">
        <f aca="false">IF($BL227&lt;&gt;Constants!$B$4,"",IF(OR(NOT($AL227),$BG227),0,Constants!$B$37))</f>
        <v/>
      </c>
      <c r="CD227" s="74" t="str">
        <f aca="false">IF($BL227&lt;&gt;Constants!$B$4,"",SUM($BX227:$CC227))</f>
        <v/>
      </c>
      <c r="CE227" s="74" t="str">
        <f aca="false">IF(ISBLANK($C227),"",IF($BL227&lt;&gt;Constants!$B$4,$BL227,SUM($BO227:$BW227)-$CD227))</f>
        <v/>
      </c>
      <c r="CF227" s="74" t="str">
        <f aca="false">IF(ISBLANK($C227),"",IF($BL227&lt;&gt;Constants!$B$4,$BL227,RANK($CE227,$CE$9:$CE$508)))</f>
        <v/>
      </c>
      <c r="CG227" s="74" t="str">
        <f aca="false">IF(ISBLANK($C227),"",IF($BL227&lt;&gt;Constants!$B$4,$BL227,COUNTIFS($BM$9:$BM$508,"&lt;"&amp;$BM227)+COUNTIFS($BM$9:$BM$508,$BM227,$CF$9:$CF$508,"&lt;"&amp;$CF227)+1))</f>
        <v/>
      </c>
      <c r="CH227" s="74" t="str">
        <f aca="false">IF(ISBLANK($C227),"",IF($BL227&lt;&gt;Constants!$B$4,$BL227,RANK($CD227,$CD$9:$CD$508,1)))</f>
        <v/>
      </c>
      <c r="CI227" s="74" t="str">
        <f aca="false">IF($BL227&lt;&gt;Constants!$B$4,"",$AN227+$AO227+$AP227)</f>
        <v/>
      </c>
      <c r="CJ227" s="74" t="str">
        <f aca="false">IF(ISBLANK($C227),"",IF($BL227&lt;&gt;Constants!$B$4,$BL227,RANK($CI227,$CI$9:$CI$508,1)))</f>
        <v/>
      </c>
      <c r="CK227" s="74" t="str">
        <f aca="false">IF(ISBLANK($C227),"",IF($BL227&lt;&gt;Constants!$B$4,$BL227,COUNTIFS($BM$9:$BM$508,"&lt;"&amp;$BM227)+COUNTIFS($BM$9:$BM$508,$BM227,$CF$9:$CF$508,"&lt;"&amp;$CF227)+COUNTIFS($BM$9:$BM$508,$BM227,$CF$9:$CF$508,$CF227,$CH$9:$CH$508,"&lt;"&amp;$CH227)+COUNTIFS($BM$9:$BM$508,$BM227,$CF$9:$CF$508,$CF227,$CH$9:$CH$508,$CH227,$CJ$9:$CJ$508,"&lt;"&amp;$CJ227)+1))</f>
        <v/>
      </c>
      <c r="CL227" s="74" t="str">
        <f aca="false">IF(ISBLANK($C227),"",IF($BL227&lt;&gt;Constants!$B$4,$BL227,$CG227-$CK227))</f>
        <v/>
      </c>
      <c r="CM227" s="74" t="str">
        <f aca="false">IF(ISBLANK($C227),"",IF(NOT($AL227),"",IF(ISBLANK($D$7),$CM$5,IF(NOT(ISNUMBER($D$7)),$CM$6,""))))</f>
        <v/>
      </c>
      <c r="CN227" s="74" t="str">
        <f aca="false">IF(ISBLANK($C227),"",OR($AN227="",$AO227="",$AP227=""))</f>
        <v/>
      </c>
      <c r="CO227" s="74" t="str">
        <f aca="false">IF(ISBLANK($C227),"",AND($AL227,$BA227=""))</f>
        <v/>
      </c>
      <c r="CP227" s="74" t="str">
        <f aca="false">IF(ISBLANK($C227),"",AND($AL227,$BB227=""))</f>
        <v/>
      </c>
      <c r="CQ227" s="74" t="str">
        <f aca="false">IF(ISBLANK($C227),"",AND($AL227,$BC227=""))</f>
        <v/>
      </c>
      <c r="CR227" s="74" t="str">
        <f aca="false">IF(ISBLANK($C227),"",AND($AL227,$BF227=""))</f>
        <v/>
      </c>
      <c r="CS227" s="74" t="str">
        <f aca="false">IF(ISBLANK($C227),"",AND($AL227,$BJ227=""))</f>
        <v/>
      </c>
      <c r="CT227" s="75"/>
      <c r="CU227" s="76"/>
      <c r="CV227" s="79" t="str">
        <f aca="false">IF(ISBLANK($C227),"",IF($BL227=Constants!$B$8,$CM227,""))</f>
        <v/>
      </c>
      <c r="CW227" s="76" t="str">
        <f aca="false">IF(ISBLANK($C227),"",IF($BL227&lt;&gt;Constants!$B$4,"",$BO227+$BP227))</f>
        <v/>
      </c>
      <c r="CX227" s="78" t="str">
        <f aca="false">IF(ISBLANK($C227),"",IF($BL227&lt;&gt;Constants!$B$4,"",$BQ227+$BR227+$BS227))</f>
        <v/>
      </c>
      <c r="CY227" s="78" t="str">
        <f aca="false">IF(ISBLANK($C227),"",IF($BL227&lt;&gt;Constants!$B$4,"",$BT227))</f>
        <v/>
      </c>
      <c r="CZ227" s="78" t="str">
        <f aca="false">IF(ISBLANK($C227),"",IF($BL227&lt;&gt;Constants!$B$4,"",$BU227+$BV227))</f>
        <v/>
      </c>
      <c r="DA227" s="78" t="str">
        <f aca="false">IF(ISBLANK($C227),"",IF($BL227&lt;&gt;Constants!$B$4,"",$BW227))</f>
        <v/>
      </c>
      <c r="DB227" s="78" t="str">
        <f aca="false">IF(ISBLANK($C227),"",IF($BL227&lt;&gt;Constants!$B$4,"",-$CD227))</f>
        <v/>
      </c>
      <c r="DC227" s="79" t="str">
        <f aca="false">IF(ISBLANK($C227),"",$CE227)</f>
        <v/>
      </c>
      <c r="DD227" s="80" t="str">
        <f aca="false">IF(ISBLANK($C227),"",$BM227)</f>
        <v/>
      </c>
      <c r="DE227" s="78" t="str">
        <f aca="false">IF(ISBLANK($C227),"",$CL227)</f>
        <v/>
      </c>
      <c r="DF227" s="78" t="str">
        <f aca="false">IF(ISBLANK($C227),"",$CK227)</f>
        <v/>
      </c>
      <c r="DG227" s="81" t="str">
        <f aca="false">IF(ISBLANK($C227),"",IF($DF227=Constants!$B$7,COUNTA($C$9:$C$508)+2,IF($DF227=Constants!$B$6,COUNTA($C$9:$C$508)+1,IF($DF227=Constants!$B$5,COUNTA($C$9:$C$508),$DF227))))</f>
        <v/>
      </c>
      <c r="DH227" s="7"/>
      <c r="DI227" s="82" t="n">
        <f aca="false">IF(OR(ISNUMBER($DF227),$DF227=Constants!$B$7,$DF227=Constants!$B$5,$DF227=Constants!$B$6),1,0)</f>
        <v>0</v>
      </c>
      <c r="DJ227" s="82" t="n">
        <v>219</v>
      </c>
      <c r="DK227" s="82" t="str">
        <f aca="false">IF(ISBLANK($C227),"",IF(ISNUMBER($DG227),$DG227+ROW($B227)/1000,""))</f>
        <v/>
      </c>
      <c r="DL227" s="82" t="str">
        <f aca="false">IF(ISNUMBER($DK227),RANK($DK227,$DK$9:$DK$508,1),"")</f>
        <v/>
      </c>
      <c r="DM227" s="82" t="str">
        <f aca="false">IF(ISBLANK($C227),"",$B227)</f>
        <v/>
      </c>
      <c r="DN227" s="82" t="str">
        <f aca="false">IF(ISBLANK($C227),"",$C227)</f>
        <v/>
      </c>
      <c r="DO227" s="82" t="str">
        <f aca="false">IF(ISBLANK($C227),"",$D227)</f>
        <v/>
      </c>
      <c r="DP227" s="83" t="str">
        <f aca="false">$DD227</f>
        <v/>
      </c>
      <c r="DQ227" s="84" t="str">
        <f aca="false">$DC227</f>
        <v/>
      </c>
      <c r="DR227" s="82" t="str">
        <f aca="false">IF(ISBLANK($C227),"",$DF227)</f>
        <v/>
      </c>
      <c r="DS227" s="85" t="str">
        <f aca="false">IF($DJ227&gt;$DI$8,"",VLOOKUP($DJ227,$DL$9:$DR$508,7,FALSE()))</f>
        <v/>
      </c>
      <c r="DT227" s="86" t="str">
        <f aca="false">IF($DJ227&gt;$DI$8,"",VLOOKUP($DJ227,$DL$9:$DR$508,2,FALSE()))</f>
        <v/>
      </c>
      <c r="DU227" s="86" t="str">
        <f aca="false">IF($DJ227&gt;$DI$8,"",VLOOKUP($DJ227,$DL$9:$DR$508,3,FALSE()))</f>
        <v/>
      </c>
      <c r="DV227" s="86" t="str">
        <f aca="false">IF($DJ227&gt;$DI$8,"",VLOOKUP($DJ227,$DL$9:$DR$508,4,FALSE()))</f>
        <v/>
      </c>
      <c r="DW227" s="86" t="str">
        <f aca="false">IF($DJ227&gt;$DI$8,"",VLOOKUP($DJ227,$DL$9:$DR$508,5,FALSE()))</f>
        <v/>
      </c>
      <c r="DX227" s="87" t="str">
        <f aca="false">IF($DJ227&gt;$DI$8,"",VLOOKUP($DJ227,$DL$9:$DR$508,6,FALSE()))</f>
        <v/>
      </c>
      <c r="DY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130"/>
      <c r="N228" s="130"/>
      <c r="O228" s="135"/>
      <c r="P228" s="135"/>
      <c r="Q228" s="130"/>
      <c r="R228" s="130"/>
      <c r="S228" s="130"/>
      <c r="T228" s="130"/>
      <c r="U228" s="135"/>
      <c r="V228" s="130"/>
      <c r="W228" s="96"/>
      <c r="X228" s="130"/>
      <c r="Y228" s="130"/>
      <c r="Z228" s="96"/>
      <c r="AA228" s="96"/>
      <c r="AB228" s="130"/>
      <c r="AC228" s="130"/>
      <c r="AD228" s="130"/>
      <c r="AE228" s="97"/>
      <c r="AF228" s="130"/>
      <c r="AG228" s="99"/>
      <c r="AH228" s="100"/>
      <c r="AI228" s="100"/>
      <c r="AJ228" s="100" t="str">
        <f aca="false">IF(ISBLANK($C228),"",IF($E228=Constants!$B$2,TRUE(),IF($E228=Constants!$B$3,FALSE(),TRUE())))</f>
        <v/>
      </c>
      <c r="AK228" s="100" t="str">
        <f aca="false">IF(ISBLANK($C228),"",IF($F228=Constants!$B$2,TRUE(),IF($F228=Constants!$B$3,FALSE(),FALSE())))</f>
        <v/>
      </c>
      <c r="AL228" s="100" t="str">
        <f aca="false">IF(ISBLANK($C228),"",IF($G228=Constants!$B$2,TRUE(),IF($G228=Constants!$B$3,FALSE(),TRUE())))</f>
        <v/>
      </c>
      <c r="AM228" s="100" t="str">
        <f aca="false">IF(ISBLANK($C228),"",IF($H228=Constants!$B$2,TRUE(),IF($H228=Constants!$B$3,FALSE(),TRUE())))</f>
        <v/>
      </c>
      <c r="AN228" s="100" t="str">
        <f aca="false">IF(ISBLANK($C228),"",IF(ISNUMBER($I228),IF($I228&gt;=0,$I228,""),""))</f>
        <v/>
      </c>
      <c r="AO228" s="100" t="str">
        <f aca="false">IF(ISBLANK($C228),"",IF(ISNUMBER($J228),IF($J228&gt;=0,$J228,""),""))</f>
        <v/>
      </c>
      <c r="AP228" s="100" t="str">
        <f aca="false">IF(ISBLANK($C228),"",IF(ISNUMBER($K228),IF($K228&gt;=0,$K228,""),""))</f>
        <v/>
      </c>
      <c r="AQ228" s="100" t="str">
        <f aca="false">IF(ISBLANK($C228),"",IF($L228=Constants!$B$2,TRUE(),IF($L228=Constants!$B$3,FALSE(),TRUE())))</f>
        <v/>
      </c>
      <c r="AR228" s="100" t="str">
        <f aca="false">IF(ISBLANK($C228),"",IF($M228=Constants!$B$2,TRUE(),IF($M228=Constants!$B$3,FALSE(),TRUE())))</f>
        <v/>
      </c>
      <c r="AS228" s="100" t="str">
        <f aca="false">IF(ISBLANK($C228),"",IF($N228=Constants!$B$2,TRUE(),IF($N228=Constants!$B$3,FALSE(),FALSE())))</f>
        <v/>
      </c>
      <c r="AT228" s="100" t="str">
        <f aca="false">IF(ISBLANK($C228),"",IF($O228=Constants!$B$2,TRUE(),IF($O228=Constants!$B$3,FALSE(),TRUE())))</f>
        <v/>
      </c>
      <c r="AU228" s="100" t="str">
        <f aca="false">IF(ISBLANK($C228),"",IF($P228=Constants!$B$2,TRUE(),IF($P228=Constants!$B$3,FALSE(),TRUE())))</f>
        <v/>
      </c>
      <c r="AV228" s="100" t="str">
        <f aca="false">IF(ISBLANK($C228),"",IF($Q228=Constants!$B$2,TRUE(),IF($Q228=Constants!$B$3,FALSE(),FALSE())))</f>
        <v/>
      </c>
      <c r="AW228" s="100" t="str">
        <f aca="false">IF(ISBLANK($C228),"",IF($R228=Constants!$B$2,TRUE(),IF($R228=Constants!$B$3,FALSE(),FALSE())))</f>
        <v/>
      </c>
      <c r="AX228" s="100" t="str">
        <f aca="false">IF(ISBLANK($C228),"",IF($S228=Constants!$B$2,TRUE(),IF($S228=Constants!$B$3,FALSE(),FALSE())))</f>
        <v/>
      </c>
      <c r="AY228" s="100" t="str">
        <f aca="false">IF(ISBLANK($C228),"",IF($T228=Constants!$B$2,TRUE(),IF($T228=Constants!$B$3,FALSE(),FALSE())))</f>
        <v/>
      </c>
      <c r="AZ228" s="100" t="str">
        <f aca="false">IF(ISBLANK($C228),"",IF($U228=Constants!$B$2,TRUE(),IF($U228=Constants!$B$3,FALSE(),FALSE())))</f>
        <v/>
      </c>
      <c r="BA228" s="100" t="str">
        <f aca="false">IF(ISBLANK($C228),"",IF(OR($V228&amp;""="1",$V228&amp;""="2",$V228&amp;""="3",$V228&amp;""="4"),VALUE($V228&amp;""),IF($V228=Constants!$B$12,Constants!$B$12,"")))</f>
        <v/>
      </c>
      <c r="BB228" s="100" t="str">
        <f aca="false">IF(ISBLANK($C228),"",IF(ISBLANK($W228),0,IF(ISNUMBER($W228),IF(AND($W228&gt;=0,$W228&lt;=Constants!$B$21,$W228=INT($W228)),$W228,""),"")))</f>
        <v/>
      </c>
      <c r="BC228" s="100" t="str">
        <f aca="false">IF(ISBLANK($C228),"",IF(ISBLANK($X228),0,IF(ISNUMBER($X228),IF($X228&gt;=0,$X228,""),"")))</f>
        <v/>
      </c>
      <c r="BD228" s="100" t="str">
        <f aca="false">IF(ISBLANK($C228),"",IF($Y228=Constants!$B$2,TRUE(),IF($Y228=Constants!$B$3,FALSE(),TRUE())))</f>
        <v/>
      </c>
      <c r="BE228" s="100" t="str">
        <f aca="false">IF(ISBLANK($C228),"",IF($Z228=Constants!$B$2,TRUE(),IF($Z228=Constants!$B$3,FALSE(),FALSE())))</f>
        <v/>
      </c>
      <c r="BF228" s="100" t="str">
        <f aca="false">IF(ISBLANK($C228),"",IF(ISBLANK($AA228),0,IF(ISNUMBER($AA228),IF(AND($AA228&gt;=0,$AA228&lt;=Constants!$B$35,$AA228=INT($AA228)),$AA228,""),"")))</f>
        <v/>
      </c>
      <c r="BG228" s="100" t="str">
        <f aca="false">IF(ISBLANK($C228),"",IF($AB228=Constants!$B$2,TRUE(),IF($AB228=Constants!$B$3,FALSE(),TRUE())))</f>
        <v/>
      </c>
      <c r="BH228" s="100" t="str">
        <f aca="false">IF(ISBLANK($C228),"",IF($AC228=Constants!$B$2,TRUE(),IF($AC228=Constants!$B$3,FALSE(),TRUE())))</f>
        <v/>
      </c>
      <c r="BI228" s="100" t="str">
        <f aca="false">IF(ISBLANK($C228),"",IF($AD228=Constants!$B$2,TRUE(),IF($AD228=Constants!$B$3,FALSE(),TRUE())))</f>
        <v/>
      </c>
      <c r="BJ228" s="100" t="str">
        <f aca="false">IF(ISBLANK($C228),"",IF(ISNUMBER($AE228),IF($AE228&gt;=0,$AE228,""),""))</f>
        <v/>
      </c>
      <c r="BK228" s="100" t="str">
        <f aca="false">IF(ISBLANK($C228),"",IF($AF228=Constants!$B$2,TRUE(),IF($AF228=Constants!$B$3,FALSE(),FALSE())))</f>
        <v/>
      </c>
      <c r="BL228" s="99" t="str">
        <f aca="false">IF(ISBLANK($C228),"",IF($BK228,Constants!$B$7,IF(COUNTA($E228:$AE228)=0,Constants!$B$6,IF(OR(COUNTA($G228:$AE228)=0,NOT($AM228),$AS228),Constants!$B$5,IF(OR($CM228&lt;&gt;"",$CN228,$CO228,$CP228,$CQ228,$CR228,$CS228),Constants!$B$8,Constants!$B$4)))))</f>
        <v/>
      </c>
      <c r="BM228" s="100" t="str">
        <f aca="false">IF(ISBLANK($C228),"",IF($BL228&lt;&gt;Constants!$B$4,$BL228,IF(OR(NOT($AJ228),NOT($AL228),NOT($AT228)),Constants!$B$11,IF(OR(NOT($AR228),NOT($AU228),NOT($BI228),MAX($AN228,$AO228,$AP228)&gt;Constants!$B$30),Constants!$B$10,Constants!$B$9))))</f>
        <v/>
      </c>
      <c r="BN228" s="100" t="str">
        <f aca="false">IF($BL228&lt;&gt;Constants!$B$4,"",IF(NOT($AL228),0,MIN(Constants!$B$35,$BF228)))</f>
        <v/>
      </c>
      <c r="BO228" s="100" t="str">
        <f aca="false">IF($BL228&lt;&gt;Constants!$B$4,"",IF(NOT($AL228),0,IF($AW228,Constants!$B$18,IF($AV228,Constants!$B$17,0))))</f>
        <v/>
      </c>
      <c r="BP228" s="100" t="str">
        <f aca="false">IF($BL228&lt;&gt;Constants!$B$4,"",IF(NOT($AL228),0,Constants!$B$19*($AK228+$AX228+$AY228+$AZ228)))</f>
        <v/>
      </c>
      <c r="BQ228" s="100" t="str">
        <f aca="false">IF($BL228&lt;&gt;Constants!$B$4,"",IF(OR(NOT($AL228),NOT(ISNUMBER($BA228))),0,CHOOSE($BA228,Constants!$B$13,Constants!$B$14,Constants!$B$15,Constants!$B$16)))</f>
        <v/>
      </c>
      <c r="BR228" s="100" t="str">
        <f aca="false">IF($BL228&lt;&gt;Constants!$B$4,"",IF(NOT($AL228),0,Constants!$B$20*$BB228))</f>
        <v/>
      </c>
      <c r="BS228" s="100" t="str">
        <f aca="false">IF($BL228&lt;&gt;Constants!$B$4,"",IF(AND($AL228,$BD228,$BE228),Constants!$B$22,0))</f>
        <v/>
      </c>
      <c r="BT228" s="100" t="str">
        <f aca="false">IF($BL228&lt;&gt;Constants!$B$4,"",IF(OR(NOT($AL228),NOT($BD228)),0,IF($BJ228&gt;=2*$AH$9,0,Constants!$B$23*INT(ROUND(MIN($BJ228,$AH$9),6)))))</f>
        <v/>
      </c>
      <c r="BU228" s="100" t="str">
        <f aca="false">IF($BL228&lt;&gt;Constants!$B$4,"",IF(NOT($AL228),0,Constants!$B$24*INT(ROUND(MIN($BC228,$AH$9),6))))</f>
        <v/>
      </c>
      <c r="BV228" s="100" t="str">
        <f aca="false">IF($BL228&lt;&gt;Constants!$B$4,"",IF(AND($AL228,$BN228=0),Constants!$B$25,0))</f>
        <v/>
      </c>
      <c r="BW228" s="100" t="str">
        <f aca="false">IF($BL228&lt;&gt;Constants!$B$4,"",MIN(Constants!$B$29,MAX(0,Constants!$B$27*Constants!$B$28*INT(ROUND((Constants!$B$26-$AN228)/Constants!$B$28,6))))+MIN(Constants!$B$29,MAX(0,Constants!$B$27*Constants!$B$28*INT(ROUND((Constants!$B$26-$AO228)/Constants!$B$28,6))))+MIN(Constants!$B$29,MAX(0,Constants!$B$27*Constants!$B$28*INT(ROUND((Constants!$B$26-$AP228)/Constants!$B$28,6)))))</f>
        <v/>
      </c>
      <c r="BX228" s="100" t="str">
        <f aca="false">IF($BL228&lt;&gt;Constants!$B$4,"",IF(NOT($AL228),0,Constants!$B$31*INT(ROUND(MAX(0,MIN($BJ228,2*$AH$9)-$AH$9),6))))</f>
        <v/>
      </c>
      <c r="BY228" s="100" t="str">
        <f aca="false">IF($BL228&lt;&gt;Constants!$B$4,"",Constants!$B$32*(($AN228&gt;Constants!$B$26)+($AO228&gt;Constants!$B$26)+($AP228&gt;Constants!$B$26)))</f>
        <v/>
      </c>
      <c r="BZ228" s="100" t="str">
        <f aca="false">IF($BL228&lt;&gt;Constants!$B$4,"",IF(OR(NOT($AL228),$AQ228),0,Constants!$B$33))</f>
        <v/>
      </c>
      <c r="CA228" s="100" t="str">
        <f aca="false">IF($BL228&lt;&gt;Constants!$B$4,"",Constants!$B$34*$BN228)</f>
        <v/>
      </c>
      <c r="CB228" s="100" t="str">
        <f aca="false">IF($BL228&lt;&gt;Constants!$B$4,"",IF(OR(NOT($AL228),$BH228),0,Constants!$B$36))</f>
        <v/>
      </c>
      <c r="CC228" s="100" t="str">
        <f aca="false">IF($BL228&lt;&gt;Constants!$B$4,"",IF(OR(NOT($AL228),$BG228),0,Constants!$B$37))</f>
        <v/>
      </c>
      <c r="CD228" s="100" t="str">
        <f aca="false">IF($BL228&lt;&gt;Constants!$B$4,"",SUM($BX228:$CC228))</f>
        <v/>
      </c>
      <c r="CE228" s="100" t="str">
        <f aca="false">IF(ISBLANK($C228),"",IF($BL228&lt;&gt;Constants!$B$4,$BL228,SUM($BO228:$BW228)-$CD228))</f>
        <v/>
      </c>
      <c r="CF228" s="100" t="str">
        <f aca="false">IF(ISBLANK($C228),"",IF($BL228&lt;&gt;Constants!$B$4,$BL228,RANK($CE228,$CE$9:$CE$508)))</f>
        <v/>
      </c>
      <c r="CG228" s="100" t="str">
        <f aca="false">IF(ISBLANK($C228),"",IF($BL228&lt;&gt;Constants!$B$4,$BL228,COUNTIFS($BM$9:$BM$508,"&lt;"&amp;$BM228)+COUNTIFS($BM$9:$BM$508,$BM228,$CF$9:$CF$508,"&lt;"&amp;$CF228)+1))</f>
        <v/>
      </c>
      <c r="CH228" s="100" t="str">
        <f aca="false">IF(ISBLANK($C228),"",IF($BL228&lt;&gt;Constants!$B$4,$BL228,RANK($CD228,$CD$9:$CD$508,1)))</f>
        <v/>
      </c>
      <c r="CI228" s="100" t="str">
        <f aca="false">IF($BL228&lt;&gt;Constants!$B$4,"",$AN228+$AO228+$AP228)</f>
        <v/>
      </c>
      <c r="CJ228" s="100" t="str">
        <f aca="false">IF(ISBLANK($C228),"",IF($BL228&lt;&gt;Constants!$B$4,$BL228,RANK($CI228,$CI$9:$CI$508,1)))</f>
        <v/>
      </c>
      <c r="CK228" s="100" t="str">
        <f aca="false">IF(ISBLANK($C228),"",IF($BL228&lt;&gt;Constants!$B$4,$BL228,COUNTIFS($BM$9:$BM$508,"&lt;"&amp;$BM228)+COUNTIFS($BM$9:$BM$508,$BM228,$CF$9:$CF$508,"&lt;"&amp;$CF228)+COUNTIFS($BM$9:$BM$508,$BM228,$CF$9:$CF$508,$CF228,$CH$9:$CH$508,"&lt;"&amp;$CH228)+COUNTIFS($BM$9:$BM$508,$BM228,$CF$9:$CF$508,$CF228,$CH$9:$CH$508,$CH228,$CJ$9:$CJ$508,"&lt;"&amp;$CJ228)+1))</f>
        <v/>
      </c>
      <c r="CL228" s="100" t="str">
        <f aca="false">IF(ISBLANK($C228),"",IF($BL228&lt;&gt;Constants!$B$4,$BL228,$CG228-$CK228))</f>
        <v/>
      </c>
      <c r="CM228" s="100" t="str">
        <f aca="false">IF(ISBLANK($C228),"",IF(NOT($AL228),"",IF(ISBLANK($D$7),$CM$5,IF(NOT(ISNUMBER($D$7)),$CM$6,""))))</f>
        <v/>
      </c>
      <c r="CN228" s="100" t="str">
        <f aca="false">IF(ISBLANK($C228),"",OR($AN228="",$AO228="",$AP228=""))</f>
        <v/>
      </c>
      <c r="CO228" s="100" t="str">
        <f aca="false">IF(ISBLANK($C228),"",AND($AL228,$BA228=""))</f>
        <v/>
      </c>
      <c r="CP228" s="100" t="str">
        <f aca="false">IF(ISBLANK($C228),"",AND($AL228,$BB228=""))</f>
        <v/>
      </c>
      <c r="CQ228" s="100" t="str">
        <f aca="false">IF(ISBLANK($C228),"",AND($AL228,$BC228=""))</f>
        <v/>
      </c>
      <c r="CR228" s="100" t="str">
        <f aca="false">IF(ISBLANK($C228),"",AND($AL228,$BF228=""))</f>
        <v/>
      </c>
      <c r="CS228" s="100" t="str">
        <f aca="false">IF(ISBLANK($C228),"",AND($AL228,$BJ228=""))</f>
        <v/>
      </c>
      <c r="CT228" s="101"/>
      <c r="CU228" s="102"/>
      <c r="CV228" s="103" t="str">
        <f aca="false">IF(ISBLANK($C228),"",IF($BL228=Constants!$B$8,$CM228,""))</f>
        <v/>
      </c>
      <c r="CW228" s="102" t="str">
        <f aca="false">IF(ISBLANK($C228),"",IF($BL228&lt;&gt;Constants!$B$4,"",$BO228+$BP228))</f>
        <v/>
      </c>
      <c r="CX228" s="104" t="str">
        <f aca="false">IF(ISBLANK($C228),"",IF($BL228&lt;&gt;Constants!$B$4,"",$BQ228+$BR228+$BS228))</f>
        <v/>
      </c>
      <c r="CY228" s="104" t="str">
        <f aca="false">IF(ISBLANK($C228),"",IF($BL228&lt;&gt;Constants!$B$4,"",$BT228))</f>
        <v/>
      </c>
      <c r="CZ228" s="104" t="str">
        <f aca="false">IF(ISBLANK($C228),"",IF($BL228&lt;&gt;Constants!$B$4,"",$BU228+$BV228))</f>
        <v/>
      </c>
      <c r="DA228" s="104" t="str">
        <f aca="false">IF(ISBLANK($C228),"",IF($BL228&lt;&gt;Constants!$B$4,"",$BW228))</f>
        <v/>
      </c>
      <c r="DB228" s="104" t="str">
        <f aca="false">IF(ISBLANK($C228),"",IF($BL228&lt;&gt;Constants!$B$4,"",-$CD228))</f>
        <v/>
      </c>
      <c r="DC228" s="103" t="str">
        <f aca="false">IF(ISBLANK($C228),"",$CE228)</f>
        <v/>
      </c>
      <c r="DD228" s="105" t="str">
        <f aca="false">IF(ISBLANK($C228),"",$BM228)</f>
        <v/>
      </c>
      <c r="DE228" s="104" t="str">
        <f aca="false">IF(ISBLANK($C228),"",$CL228)</f>
        <v/>
      </c>
      <c r="DF228" s="104" t="str">
        <f aca="false">IF(ISBLANK($C228),"",$CK228)</f>
        <v/>
      </c>
      <c r="DG228" s="106" t="str">
        <f aca="false">IF(ISBLANK($C228),"",IF($DF228=Constants!$B$7,COUNTA($C$9:$C$508)+2,IF($DF228=Constants!$B$6,COUNTA($C$9:$C$508)+1,IF($DF228=Constants!$B$5,COUNTA($C$9:$C$508),$DF228))))</f>
        <v/>
      </c>
      <c r="DH228" s="7"/>
      <c r="DI228" s="107" t="n">
        <f aca="false">IF(OR(ISNUMBER($DF228),$DF228=Constants!$B$7,$DF228=Constants!$B$5,$DF228=Constants!$B$6),1,0)</f>
        <v>0</v>
      </c>
      <c r="DJ228" s="107" t="n">
        <v>220</v>
      </c>
      <c r="DK228" s="107" t="str">
        <f aca="false">IF(ISBLANK($C228),"",IF(ISNUMBER($DG228),$DG228+ROW($B228)/1000,""))</f>
        <v/>
      </c>
      <c r="DL228" s="107" t="str">
        <f aca="false">IF(ISNUMBER($DK228),RANK($DK228,$DK$9:$DK$508,1),"")</f>
        <v/>
      </c>
      <c r="DM228" s="107" t="str">
        <f aca="false">IF(ISBLANK($C228),"",$B228)</f>
        <v/>
      </c>
      <c r="DN228" s="107" t="str">
        <f aca="false">IF(ISBLANK($C228),"",$C228)</f>
        <v/>
      </c>
      <c r="DO228" s="107" t="str">
        <f aca="false">IF(ISBLANK($C228),"",$D228)</f>
        <v/>
      </c>
      <c r="DP228" s="108" t="str">
        <f aca="false">$DD228</f>
        <v/>
      </c>
      <c r="DQ228" s="109" t="str">
        <f aca="false">$DC228</f>
        <v/>
      </c>
      <c r="DR228" s="107" t="str">
        <f aca="false">IF(ISBLANK($C228),"",$DF228)</f>
        <v/>
      </c>
      <c r="DS228" s="110" t="str">
        <f aca="false">IF($DJ228&gt;$DI$8,"",VLOOKUP($DJ228,$DL$9:$DR$508,7,FALSE()))</f>
        <v/>
      </c>
      <c r="DT228" s="111" t="str">
        <f aca="false">IF($DJ228&gt;$DI$8,"",VLOOKUP($DJ228,$DL$9:$DR$508,2,FALSE()))</f>
        <v/>
      </c>
      <c r="DU228" s="111" t="str">
        <f aca="false">IF($DJ228&gt;$DI$8,"",VLOOKUP($DJ228,$DL$9:$DR$508,3,FALSE()))</f>
        <v/>
      </c>
      <c r="DV228" s="111" t="str">
        <f aca="false">IF($DJ228&gt;$DI$8,"",VLOOKUP($DJ228,$DL$9:$DR$508,4,FALSE()))</f>
        <v/>
      </c>
      <c r="DW228" s="111" t="str">
        <f aca="false">IF($DJ228&gt;$DI$8,"",VLOOKUP($DJ228,$DL$9:$DR$508,5,FALSE()))</f>
        <v/>
      </c>
      <c r="DX228" s="112" t="str">
        <f aca="false">IF($DJ228&gt;$DI$8,"",VLOOKUP($DJ228,$DL$9:$DR$508,6,FALSE()))</f>
        <v/>
      </c>
      <c r="DY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130"/>
      <c r="N229" s="130"/>
      <c r="O229" s="135"/>
      <c r="P229" s="135"/>
      <c r="Q229" s="130"/>
      <c r="R229" s="130"/>
      <c r="S229" s="130"/>
      <c r="T229" s="130"/>
      <c r="U229" s="135"/>
      <c r="V229" s="130"/>
      <c r="W229" s="96"/>
      <c r="X229" s="130"/>
      <c r="Y229" s="130"/>
      <c r="Z229" s="96"/>
      <c r="AA229" s="96"/>
      <c r="AB229" s="130"/>
      <c r="AC229" s="130"/>
      <c r="AD229" s="130"/>
      <c r="AE229" s="97"/>
      <c r="AF229" s="130"/>
      <c r="AG229" s="99"/>
      <c r="AH229" s="100"/>
      <c r="AI229" s="100"/>
      <c r="AJ229" s="100" t="str">
        <f aca="false">IF(ISBLANK($C229),"",IF($E229=Constants!$B$2,TRUE(),IF($E229=Constants!$B$3,FALSE(),TRUE())))</f>
        <v/>
      </c>
      <c r="AK229" s="100" t="str">
        <f aca="false">IF(ISBLANK($C229),"",IF($F229=Constants!$B$2,TRUE(),IF($F229=Constants!$B$3,FALSE(),FALSE())))</f>
        <v/>
      </c>
      <c r="AL229" s="100" t="str">
        <f aca="false">IF(ISBLANK($C229),"",IF($G229=Constants!$B$2,TRUE(),IF($G229=Constants!$B$3,FALSE(),TRUE())))</f>
        <v/>
      </c>
      <c r="AM229" s="100" t="str">
        <f aca="false">IF(ISBLANK($C229),"",IF($H229=Constants!$B$2,TRUE(),IF($H229=Constants!$B$3,FALSE(),TRUE())))</f>
        <v/>
      </c>
      <c r="AN229" s="100" t="str">
        <f aca="false">IF(ISBLANK($C229),"",IF(ISNUMBER($I229),IF($I229&gt;=0,$I229,""),""))</f>
        <v/>
      </c>
      <c r="AO229" s="100" t="str">
        <f aca="false">IF(ISBLANK($C229),"",IF(ISNUMBER($J229),IF($J229&gt;=0,$J229,""),""))</f>
        <v/>
      </c>
      <c r="AP229" s="100" t="str">
        <f aca="false">IF(ISBLANK($C229),"",IF(ISNUMBER($K229),IF($K229&gt;=0,$K229,""),""))</f>
        <v/>
      </c>
      <c r="AQ229" s="100" t="str">
        <f aca="false">IF(ISBLANK($C229),"",IF($L229=Constants!$B$2,TRUE(),IF($L229=Constants!$B$3,FALSE(),TRUE())))</f>
        <v/>
      </c>
      <c r="AR229" s="100" t="str">
        <f aca="false">IF(ISBLANK($C229),"",IF($M229=Constants!$B$2,TRUE(),IF($M229=Constants!$B$3,FALSE(),TRUE())))</f>
        <v/>
      </c>
      <c r="AS229" s="100" t="str">
        <f aca="false">IF(ISBLANK($C229),"",IF($N229=Constants!$B$2,TRUE(),IF($N229=Constants!$B$3,FALSE(),FALSE())))</f>
        <v/>
      </c>
      <c r="AT229" s="100" t="str">
        <f aca="false">IF(ISBLANK($C229),"",IF($O229=Constants!$B$2,TRUE(),IF($O229=Constants!$B$3,FALSE(),TRUE())))</f>
        <v/>
      </c>
      <c r="AU229" s="100" t="str">
        <f aca="false">IF(ISBLANK($C229),"",IF($P229=Constants!$B$2,TRUE(),IF($P229=Constants!$B$3,FALSE(),TRUE())))</f>
        <v/>
      </c>
      <c r="AV229" s="100" t="str">
        <f aca="false">IF(ISBLANK($C229),"",IF($Q229=Constants!$B$2,TRUE(),IF($Q229=Constants!$B$3,FALSE(),FALSE())))</f>
        <v/>
      </c>
      <c r="AW229" s="100" t="str">
        <f aca="false">IF(ISBLANK($C229),"",IF($R229=Constants!$B$2,TRUE(),IF($R229=Constants!$B$3,FALSE(),FALSE())))</f>
        <v/>
      </c>
      <c r="AX229" s="100" t="str">
        <f aca="false">IF(ISBLANK($C229),"",IF($S229=Constants!$B$2,TRUE(),IF($S229=Constants!$B$3,FALSE(),FALSE())))</f>
        <v/>
      </c>
      <c r="AY229" s="100" t="str">
        <f aca="false">IF(ISBLANK($C229),"",IF($T229=Constants!$B$2,TRUE(),IF($T229=Constants!$B$3,FALSE(),FALSE())))</f>
        <v/>
      </c>
      <c r="AZ229" s="100" t="str">
        <f aca="false">IF(ISBLANK($C229),"",IF($U229=Constants!$B$2,TRUE(),IF($U229=Constants!$B$3,FALSE(),FALSE())))</f>
        <v/>
      </c>
      <c r="BA229" s="100" t="str">
        <f aca="false">IF(ISBLANK($C229),"",IF(OR($V229&amp;""="1",$V229&amp;""="2",$V229&amp;""="3",$V229&amp;""="4"),VALUE($V229&amp;""),IF($V229=Constants!$B$12,Constants!$B$12,"")))</f>
        <v/>
      </c>
      <c r="BB229" s="100" t="str">
        <f aca="false">IF(ISBLANK($C229),"",IF(ISBLANK($W229),0,IF(ISNUMBER($W229),IF(AND($W229&gt;=0,$W229&lt;=Constants!$B$21,$W229=INT($W229)),$W229,""),"")))</f>
        <v/>
      </c>
      <c r="BC229" s="100" t="str">
        <f aca="false">IF(ISBLANK($C229),"",IF(ISBLANK($X229),0,IF(ISNUMBER($X229),IF($X229&gt;=0,$X229,""),"")))</f>
        <v/>
      </c>
      <c r="BD229" s="100" t="str">
        <f aca="false">IF(ISBLANK($C229),"",IF($Y229=Constants!$B$2,TRUE(),IF($Y229=Constants!$B$3,FALSE(),TRUE())))</f>
        <v/>
      </c>
      <c r="BE229" s="100" t="str">
        <f aca="false">IF(ISBLANK($C229),"",IF($Z229=Constants!$B$2,TRUE(),IF($Z229=Constants!$B$3,FALSE(),FALSE())))</f>
        <v/>
      </c>
      <c r="BF229" s="100" t="str">
        <f aca="false">IF(ISBLANK($C229),"",IF(ISBLANK($AA229),0,IF(ISNUMBER($AA229),IF(AND($AA229&gt;=0,$AA229&lt;=Constants!$B$35,$AA229=INT($AA229)),$AA229,""),"")))</f>
        <v/>
      </c>
      <c r="BG229" s="100" t="str">
        <f aca="false">IF(ISBLANK($C229),"",IF($AB229=Constants!$B$2,TRUE(),IF($AB229=Constants!$B$3,FALSE(),TRUE())))</f>
        <v/>
      </c>
      <c r="BH229" s="100" t="str">
        <f aca="false">IF(ISBLANK($C229),"",IF($AC229=Constants!$B$2,TRUE(),IF($AC229=Constants!$B$3,FALSE(),TRUE())))</f>
        <v/>
      </c>
      <c r="BI229" s="100" t="str">
        <f aca="false">IF(ISBLANK($C229),"",IF($AD229=Constants!$B$2,TRUE(),IF($AD229=Constants!$B$3,FALSE(),TRUE())))</f>
        <v/>
      </c>
      <c r="BJ229" s="100" t="str">
        <f aca="false">IF(ISBLANK($C229),"",IF(ISNUMBER($AE229),IF($AE229&gt;=0,$AE229,""),""))</f>
        <v/>
      </c>
      <c r="BK229" s="100" t="str">
        <f aca="false">IF(ISBLANK($C229),"",IF($AF229=Constants!$B$2,TRUE(),IF($AF229=Constants!$B$3,FALSE(),FALSE())))</f>
        <v/>
      </c>
      <c r="BL229" s="99" t="str">
        <f aca="false">IF(ISBLANK($C229),"",IF($BK229,Constants!$B$7,IF(COUNTA($E229:$AE229)=0,Constants!$B$6,IF(OR(COUNTA($G229:$AE229)=0,NOT($AM229),$AS229),Constants!$B$5,IF(OR($CM229&lt;&gt;"",$CN229,$CO229,$CP229,$CQ229,$CR229,$CS229),Constants!$B$8,Constants!$B$4)))))</f>
        <v/>
      </c>
      <c r="BM229" s="100" t="str">
        <f aca="false">IF(ISBLANK($C229),"",IF($BL229&lt;&gt;Constants!$B$4,$BL229,IF(OR(NOT($AJ229),NOT($AL229),NOT($AT229)),Constants!$B$11,IF(OR(NOT($AR229),NOT($AU229),NOT($BI229),MAX($AN229,$AO229,$AP229)&gt;Constants!$B$30),Constants!$B$10,Constants!$B$9))))</f>
        <v/>
      </c>
      <c r="BN229" s="100" t="str">
        <f aca="false">IF($BL229&lt;&gt;Constants!$B$4,"",IF(NOT($AL229),0,MIN(Constants!$B$35,$BF229)))</f>
        <v/>
      </c>
      <c r="BO229" s="100" t="str">
        <f aca="false">IF($BL229&lt;&gt;Constants!$B$4,"",IF(NOT($AL229),0,IF($AW229,Constants!$B$18,IF($AV229,Constants!$B$17,0))))</f>
        <v/>
      </c>
      <c r="BP229" s="100" t="str">
        <f aca="false">IF($BL229&lt;&gt;Constants!$B$4,"",IF(NOT($AL229),0,Constants!$B$19*($AK229+$AX229+$AY229+$AZ229)))</f>
        <v/>
      </c>
      <c r="BQ229" s="100" t="str">
        <f aca="false">IF($BL229&lt;&gt;Constants!$B$4,"",IF(OR(NOT($AL229),NOT(ISNUMBER($BA229))),0,CHOOSE($BA229,Constants!$B$13,Constants!$B$14,Constants!$B$15,Constants!$B$16)))</f>
        <v/>
      </c>
      <c r="BR229" s="100" t="str">
        <f aca="false">IF($BL229&lt;&gt;Constants!$B$4,"",IF(NOT($AL229),0,Constants!$B$20*$BB229))</f>
        <v/>
      </c>
      <c r="BS229" s="100" t="str">
        <f aca="false">IF($BL229&lt;&gt;Constants!$B$4,"",IF(AND($AL229,$BD229,$BE229),Constants!$B$22,0))</f>
        <v/>
      </c>
      <c r="BT229" s="100" t="str">
        <f aca="false">IF($BL229&lt;&gt;Constants!$B$4,"",IF(OR(NOT($AL229),NOT($BD229)),0,IF($BJ229&gt;=2*$AH$9,0,Constants!$B$23*INT(ROUND(MIN($BJ229,$AH$9),6)))))</f>
        <v/>
      </c>
      <c r="BU229" s="100" t="str">
        <f aca="false">IF($BL229&lt;&gt;Constants!$B$4,"",IF(NOT($AL229),0,Constants!$B$24*INT(ROUND(MIN($BC229,$AH$9),6))))</f>
        <v/>
      </c>
      <c r="BV229" s="100" t="str">
        <f aca="false">IF($BL229&lt;&gt;Constants!$B$4,"",IF(AND($AL229,$BN229=0),Constants!$B$25,0))</f>
        <v/>
      </c>
      <c r="BW229" s="100" t="str">
        <f aca="false">IF($BL229&lt;&gt;Constants!$B$4,"",MIN(Constants!$B$29,MAX(0,Constants!$B$27*Constants!$B$28*INT(ROUND((Constants!$B$26-$AN229)/Constants!$B$28,6))))+MIN(Constants!$B$29,MAX(0,Constants!$B$27*Constants!$B$28*INT(ROUND((Constants!$B$26-$AO229)/Constants!$B$28,6))))+MIN(Constants!$B$29,MAX(0,Constants!$B$27*Constants!$B$28*INT(ROUND((Constants!$B$26-$AP229)/Constants!$B$28,6)))))</f>
        <v/>
      </c>
      <c r="BX229" s="100" t="str">
        <f aca="false">IF($BL229&lt;&gt;Constants!$B$4,"",IF(NOT($AL229),0,Constants!$B$31*INT(ROUND(MAX(0,MIN($BJ229,2*$AH$9)-$AH$9),6))))</f>
        <v/>
      </c>
      <c r="BY229" s="100" t="str">
        <f aca="false">IF($BL229&lt;&gt;Constants!$B$4,"",Constants!$B$32*(($AN229&gt;Constants!$B$26)+($AO229&gt;Constants!$B$26)+($AP229&gt;Constants!$B$26)))</f>
        <v/>
      </c>
      <c r="BZ229" s="100" t="str">
        <f aca="false">IF($BL229&lt;&gt;Constants!$B$4,"",IF(OR(NOT($AL229),$AQ229),0,Constants!$B$33))</f>
        <v/>
      </c>
      <c r="CA229" s="100" t="str">
        <f aca="false">IF($BL229&lt;&gt;Constants!$B$4,"",Constants!$B$34*$BN229)</f>
        <v/>
      </c>
      <c r="CB229" s="100" t="str">
        <f aca="false">IF($BL229&lt;&gt;Constants!$B$4,"",IF(OR(NOT($AL229),$BH229),0,Constants!$B$36))</f>
        <v/>
      </c>
      <c r="CC229" s="100" t="str">
        <f aca="false">IF($BL229&lt;&gt;Constants!$B$4,"",IF(OR(NOT($AL229),$BG229),0,Constants!$B$37))</f>
        <v/>
      </c>
      <c r="CD229" s="100" t="str">
        <f aca="false">IF($BL229&lt;&gt;Constants!$B$4,"",SUM($BX229:$CC229))</f>
        <v/>
      </c>
      <c r="CE229" s="100" t="str">
        <f aca="false">IF(ISBLANK($C229),"",IF($BL229&lt;&gt;Constants!$B$4,$BL229,SUM($BO229:$BW229)-$CD229))</f>
        <v/>
      </c>
      <c r="CF229" s="100" t="str">
        <f aca="false">IF(ISBLANK($C229),"",IF($BL229&lt;&gt;Constants!$B$4,$BL229,RANK($CE229,$CE$9:$CE$508)))</f>
        <v/>
      </c>
      <c r="CG229" s="100" t="str">
        <f aca="false">IF(ISBLANK($C229),"",IF($BL229&lt;&gt;Constants!$B$4,$BL229,COUNTIFS($BM$9:$BM$508,"&lt;"&amp;$BM229)+COUNTIFS($BM$9:$BM$508,$BM229,$CF$9:$CF$508,"&lt;"&amp;$CF229)+1))</f>
        <v/>
      </c>
      <c r="CH229" s="100" t="str">
        <f aca="false">IF(ISBLANK($C229),"",IF($BL229&lt;&gt;Constants!$B$4,$BL229,RANK($CD229,$CD$9:$CD$508,1)))</f>
        <v/>
      </c>
      <c r="CI229" s="100" t="str">
        <f aca="false">IF($BL229&lt;&gt;Constants!$B$4,"",$AN229+$AO229+$AP229)</f>
        <v/>
      </c>
      <c r="CJ229" s="100" t="str">
        <f aca="false">IF(ISBLANK($C229),"",IF($BL229&lt;&gt;Constants!$B$4,$BL229,RANK($CI229,$CI$9:$CI$508,1)))</f>
        <v/>
      </c>
      <c r="CK229" s="100" t="str">
        <f aca="false">IF(ISBLANK($C229),"",IF($BL229&lt;&gt;Constants!$B$4,$BL229,COUNTIFS($BM$9:$BM$508,"&lt;"&amp;$BM229)+COUNTIFS($BM$9:$BM$508,$BM229,$CF$9:$CF$508,"&lt;"&amp;$CF229)+COUNTIFS($BM$9:$BM$508,$BM229,$CF$9:$CF$508,$CF229,$CH$9:$CH$508,"&lt;"&amp;$CH229)+COUNTIFS($BM$9:$BM$508,$BM229,$CF$9:$CF$508,$CF229,$CH$9:$CH$508,$CH229,$CJ$9:$CJ$508,"&lt;"&amp;$CJ229)+1))</f>
        <v/>
      </c>
      <c r="CL229" s="100" t="str">
        <f aca="false">IF(ISBLANK($C229),"",IF($BL229&lt;&gt;Constants!$B$4,$BL229,$CG229-$CK229))</f>
        <v/>
      </c>
      <c r="CM229" s="100" t="str">
        <f aca="false">IF(ISBLANK($C229),"",IF(NOT($AL229),"",IF(ISBLANK($D$7),$CM$5,IF(NOT(ISNUMBER($D$7)),$CM$6,""))))</f>
        <v/>
      </c>
      <c r="CN229" s="100" t="str">
        <f aca="false">IF(ISBLANK($C229),"",OR($AN229="",$AO229="",$AP229=""))</f>
        <v/>
      </c>
      <c r="CO229" s="100" t="str">
        <f aca="false">IF(ISBLANK($C229),"",AND($AL229,$BA229=""))</f>
        <v/>
      </c>
      <c r="CP229" s="100" t="str">
        <f aca="false">IF(ISBLANK($C229),"",AND($AL229,$BB229=""))</f>
        <v/>
      </c>
      <c r="CQ229" s="100" t="str">
        <f aca="false">IF(ISBLANK($C229),"",AND($AL229,$BC229=""))</f>
        <v/>
      </c>
      <c r="CR229" s="100" t="str">
        <f aca="false">IF(ISBLANK($C229),"",AND($AL229,$BF229=""))</f>
        <v/>
      </c>
      <c r="CS229" s="100" t="str">
        <f aca="false">IF(ISBLANK($C229),"",AND($AL229,$BJ229=""))</f>
        <v/>
      </c>
      <c r="CT229" s="101"/>
      <c r="CU229" s="102"/>
      <c r="CV229" s="103" t="str">
        <f aca="false">IF(ISBLANK($C229),"",IF($BL229=Constants!$B$8,$CM229,""))</f>
        <v/>
      </c>
      <c r="CW229" s="102" t="str">
        <f aca="false">IF(ISBLANK($C229),"",IF($BL229&lt;&gt;Constants!$B$4,"",$BO229+$BP229))</f>
        <v/>
      </c>
      <c r="CX229" s="104" t="str">
        <f aca="false">IF(ISBLANK($C229),"",IF($BL229&lt;&gt;Constants!$B$4,"",$BQ229+$BR229+$BS229))</f>
        <v/>
      </c>
      <c r="CY229" s="104" t="str">
        <f aca="false">IF(ISBLANK($C229),"",IF($BL229&lt;&gt;Constants!$B$4,"",$BT229))</f>
        <v/>
      </c>
      <c r="CZ229" s="104" t="str">
        <f aca="false">IF(ISBLANK($C229),"",IF($BL229&lt;&gt;Constants!$B$4,"",$BU229+$BV229))</f>
        <v/>
      </c>
      <c r="DA229" s="104" t="str">
        <f aca="false">IF(ISBLANK($C229),"",IF($BL229&lt;&gt;Constants!$B$4,"",$BW229))</f>
        <v/>
      </c>
      <c r="DB229" s="104" t="str">
        <f aca="false">IF(ISBLANK($C229),"",IF($BL229&lt;&gt;Constants!$B$4,"",-$CD229))</f>
        <v/>
      </c>
      <c r="DC229" s="103" t="str">
        <f aca="false">IF(ISBLANK($C229),"",$CE229)</f>
        <v/>
      </c>
      <c r="DD229" s="105" t="str">
        <f aca="false">IF(ISBLANK($C229),"",$BM229)</f>
        <v/>
      </c>
      <c r="DE229" s="104" t="str">
        <f aca="false">IF(ISBLANK($C229),"",$CL229)</f>
        <v/>
      </c>
      <c r="DF229" s="104" t="str">
        <f aca="false">IF(ISBLANK($C229),"",$CK229)</f>
        <v/>
      </c>
      <c r="DG229" s="106" t="str">
        <f aca="false">IF(ISBLANK($C229),"",IF($DF229=Constants!$B$7,COUNTA($C$9:$C$508)+2,IF($DF229=Constants!$B$6,COUNTA($C$9:$C$508)+1,IF($DF229=Constants!$B$5,COUNTA($C$9:$C$508),$DF229))))</f>
        <v/>
      </c>
      <c r="DH229" s="7"/>
      <c r="DI229" s="107" t="n">
        <f aca="false">IF(OR(ISNUMBER($DF229),$DF229=Constants!$B$7,$DF229=Constants!$B$5,$DF229=Constants!$B$6),1,0)</f>
        <v>0</v>
      </c>
      <c r="DJ229" s="107" t="n">
        <v>221</v>
      </c>
      <c r="DK229" s="107" t="str">
        <f aca="false">IF(ISBLANK($C229),"",IF(ISNUMBER($DG229),$DG229+ROW($B229)/1000,""))</f>
        <v/>
      </c>
      <c r="DL229" s="107" t="str">
        <f aca="false">IF(ISNUMBER($DK229),RANK($DK229,$DK$9:$DK$508,1),"")</f>
        <v/>
      </c>
      <c r="DM229" s="107" t="str">
        <f aca="false">IF(ISBLANK($C229),"",$B229)</f>
        <v/>
      </c>
      <c r="DN229" s="107" t="str">
        <f aca="false">IF(ISBLANK($C229),"",$C229)</f>
        <v/>
      </c>
      <c r="DO229" s="107" t="str">
        <f aca="false">IF(ISBLANK($C229),"",$D229)</f>
        <v/>
      </c>
      <c r="DP229" s="108" t="str">
        <f aca="false">$DD229</f>
        <v/>
      </c>
      <c r="DQ229" s="109" t="str">
        <f aca="false">$DC229</f>
        <v/>
      </c>
      <c r="DR229" s="107" t="str">
        <f aca="false">IF(ISBLANK($C229),"",$DF229)</f>
        <v/>
      </c>
      <c r="DS229" s="110" t="str">
        <f aca="false">IF($DJ229&gt;$DI$8,"",VLOOKUP($DJ229,$DL$9:$DR$508,7,FALSE()))</f>
        <v/>
      </c>
      <c r="DT229" s="111" t="str">
        <f aca="false">IF($DJ229&gt;$DI$8,"",VLOOKUP($DJ229,$DL$9:$DR$508,2,FALSE()))</f>
        <v/>
      </c>
      <c r="DU229" s="111" t="str">
        <f aca="false">IF($DJ229&gt;$DI$8,"",VLOOKUP($DJ229,$DL$9:$DR$508,3,FALSE()))</f>
        <v/>
      </c>
      <c r="DV229" s="111" t="str">
        <f aca="false">IF($DJ229&gt;$DI$8,"",VLOOKUP($DJ229,$DL$9:$DR$508,4,FALSE()))</f>
        <v/>
      </c>
      <c r="DW229" s="111" t="str">
        <f aca="false">IF($DJ229&gt;$DI$8,"",VLOOKUP($DJ229,$DL$9:$DR$508,5,FALSE()))</f>
        <v/>
      </c>
      <c r="DX229" s="112" t="str">
        <f aca="false">IF($DJ229&gt;$DI$8,"",VLOOKUP($DJ229,$DL$9:$DR$508,6,FALSE()))</f>
        <v/>
      </c>
      <c r="DY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130"/>
      <c r="N230" s="130"/>
      <c r="O230" s="135"/>
      <c r="P230" s="135"/>
      <c r="Q230" s="130"/>
      <c r="R230" s="130"/>
      <c r="S230" s="130"/>
      <c r="T230" s="130"/>
      <c r="U230" s="135"/>
      <c r="V230" s="130"/>
      <c r="W230" s="96"/>
      <c r="X230" s="130"/>
      <c r="Y230" s="130"/>
      <c r="Z230" s="96"/>
      <c r="AA230" s="96"/>
      <c r="AB230" s="130"/>
      <c r="AC230" s="130"/>
      <c r="AD230" s="130"/>
      <c r="AE230" s="97"/>
      <c r="AF230" s="130"/>
      <c r="AG230" s="99"/>
      <c r="AH230" s="100"/>
      <c r="AI230" s="100"/>
      <c r="AJ230" s="100" t="str">
        <f aca="false">IF(ISBLANK($C230),"",IF($E230=Constants!$B$2,TRUE(),IF($E230=Constants!$B$3,FALSE(),TRUE())))</f>
        <v/>
      </c>
      <c r="AK230" s="100" t="str">
        <f aca="false">IF(ISBLANK($C230),"",IF($F230=Constants!$B$2,TRUE(),IF($F230=Constants!$B$3,FALSE(),FALSE())))</f>
        <v/>
      </c>
      <c r="AL230" s="100" t="str">
        <f aca="false">IF(ISBLANK($C230),"",IF($G230=Constants!$B$2,TRUE(),IF($G230=Constants!$B$3,FALSE(),TRUE())))</f>
        <v/>
      </c>
      <c r="AM230" s="100" t="str">
        <f aca="false">IF(ISBLANK($C230),"",IF($H230=Constants!$B$2,TRUE(),IF($H230=Constants!$B$3,FALSE(),TRUE())))</f>
        <v/>
      </c>
      <c r="AN230" s="100" t="str">
        <f aca="false">IF(ISBLANK($C230),"",IF(ISNUMBER($I230),IF($I230&gt;=0,$I230,""),""))</f>
        <v/>
      </c>
      <c r="AO230" s="100" t="str">
        <f aca="false">IF(ISBLANK($C230),"",IF(ISNUMBER($J230),IF($J230&gt;=0,$J230,""),""))</f>
        <v/>
      </c>
      <c r="AP230" s="100" t="str">
        <f aca="false">IF(ISBLANK($C230),"",IF(ISNUMBER($K230),IF($K230&gt;=0,$K230,""),""))</f>
        <v/>
      </c>
      <c r="AQ230" s="100" t="str">
        <f aca="false">IF(ISBLANK($C230),"",IF($L230=Constants!$B$2,TRUE(),IF($L230=Constants!$B$3,FALSE(),TRUE())))</f>
        <v/>
      </c>
      <c r="AR230" s="100" t="str">
        <f aca="false">IF(ISBLANK($C230),"",IF($M230=Constants!$B$2,TRUE(),IF($M230=Constants!$B$3,FALSE(),TRUE())))</f>
        <v/>
      </c>
      <c r="AS230" s="100" t="str">
        <f aca="false">IF(ISBLANK($C230),"",IF($N230=Constants!$B$2,TRUE(),IF($N230=Constants!$B$3,FALSE(),FALSE())))</f>
        <v/>
      </c>
      <c r="AT230" s="100" t="str">
        <f aca="false">IF(ISBLANK($C230),"",IF($O230=Constants!$B$2,TRUE(),IF($O230=Constants!$B$3,FALSE(),TRUE())))</f>
        <v/>
      </c>
      <c r="AU230" s="100" t="str">
        <f aca="false">IF(ISBLANK($C230),"",IF($P230=Constants!$B$2,TRUE(),IF($P230=Constants!$B$3,FALSE(),TRUE())))</f>
        <v/>
      </c>
      <c r="AV230" s="100" t="str">
        <f aca="false">IF(ISBLANK($C230),"",IF($Q230=Constants!$B$2,TRUE(),IF($Q230=Constants!$B$3,FALSE(),FALSE())))</f>
        <v/>
      </c>
      <c r="AW230" s="100" t="str">
        <f aca="false">IF(ISBLANK($C230),"",IF($R230=Constants!$B$2,TRUE(),IF($R230=Constants!$B$3,FALSE(),FALSE())))</f>
        <v/>
      </c>
      <c r="AX230" s="100" t="str">
        <f aca="false">IF(ISBLANK($C230),"",IF($S230=Constants!$B$2,TRUE(),IF($S230=Constants!$B$3,FALSE(),FALSE())))</f>
        <v/>
      </c>
      <c r="AY230" s="100" t="str">
        <f aca="false">IF(ISBLANK($C230),"",IF($T230=Constants!$B$2,TRUE(),IF($T230=Constants!$B$3,FALSE(),FALSE())))</f>
        <v/>
      </c>
      <c r="AZ230" s="100" t="str">
        <f aca="false">IF(ISBLANK($C230),"",IF($U230=Constants!$B$2,TRUE(),IF($U230=Constants!$B$3,FALSE(),FALSE())))</f>
        <v/>
      </c>
      <c r="BA230" s="100" t="str">
        <f aca="false">IF(ISBLANK($C230),"",IF(OR($V230&amp;""="1",$V230&amp;""="2",$V230&amp;""="3",$V230&amp;""="4"),VALUE($V230&amp;""),IF($V230=Constants!$B$12,Constants!$B$12,"")))</f>
        <v/>
      </c>
      <c r="BB230" s="100" t="str">
        <f aca="false">IF(ISBLANK($C230),"",IF(ISBLANK($W230),0,IF(ISNUMBER($W230),IF(AND($W230&gt;=0,$W230&lt;=Constants!$B$21,$W230=INT($W230)),$W230,""),"")))</f>
        <v/>
      </c>
      <c r="BC230" s="100" t="str">
        <f aca="false">IF(ISBLANK($C230),"",IF(ISBLANK($X230),0,IF(ISNUMBER($X230),IF($X230&gt;=0,$X230,""),"")))</f>
        <v/>
      </c>
      <c r="BD230" s="100" t="str">
        <f aca="false">IF(ISBLANK($C230),"",IF($Y230=Constants!$B$2,TRUE(),IF($Y230=Constants!$B$3,FALSE(),TRUE())))</f>
        <v/>
      </c>
      <c r="BE230" s="100" t="str">
        <f aca="false">IF(ISBLANK($C230),"",IF($Z230=Constants!$B$2,TRUE(),IF($Z230=Constants!$B$3,FALSE(),FALSE())))</f>
        <v/>
      </c>
      <c r="BF230" s="100" t="str">
        <f aca="false">IF(ISBLANK($C230),"",IF(ISBLANK($AA230),0,IF(ISNUMBER($AA230),IF(AND($AA230&gt;=0,$AA230&lt;=Constants!$B$35,$AA230=INT($AA230)),$AA230,""),"")))</f>
        <v/>
      </c>
      <c r="BG230" s="100" t="str">
        <f aca="false">IF(ISBLANK($C230),"",IF($AB230=Constants!$B$2,TRUE(),IF($AB230=Constants!$B$3,FALSE(),TRUE())))</f>
        <v/>
      </c>
      <c r="BH230" s="100" t="str">
        <f aca="false">IF(ISBLANK($C230),"",IF($AC230=Constants!$B$2,TRUE(),IF($AC230=Constants!$B$3,FALSE(),TRUE())))</f>
        <v/>
      </c>
      <c r="BI230" s="100" t="str">
        <f aca="false">IF(ISBLANK($C230),"",IF($AD230=Constants!$B$2,TRUE(),IF($AD230=Constants!$B$3,FALSE(),TRUE())))</f>
        <v/>
      </c>
      <c r="BJ230" s="100" t="str">
        <f aca="false">IF(ISBLANK($C230),"",IF(ISNUMBER($AE230),IF($AE230&gt;=0,$AE230,""),""))</f>
        <v/>
      </c>
      <c r="BK230" s="100" t="str">
        <f aca="false">IF(ISBLANK($C230),"",IF($AF230=Constants!$B$2,TRUE(),IF($AF230=Constants!$B$3,FALSE(),FALSE())))</f>
        <v/>
      </c>
      <c r="BL230" s="99" t="str">
        <f aca="false">IF(ISBLANK($C230),"",IF($BK230,Constants!$B$7,IF(COUNTA($E230:$AE230)=0,Constants!$B$6,IF(OR(COUNTA($G230:$AE230)=0,NOT($AM230),$AS230),Constants!$B$5,IF(OR($CM230&lt;&gt;"",$CN230,$CO230,$CP230,$CQ230,$CR230,$CS230),Constants!$B$8,Constants!$B$4)))))</f>
        <v/>
      </c>
      <c r="BM230" s="100" t="str">
        <f aca="false">IF(ISBLANK($C230),"",IF($BL230&lt;&gt;Constants!$B$4,$BL230,IF(OR(NOT($AJ230),NOT($AL230),NOT($AT230)),Constants!$B$11,IF(OR(NOT($AR230),NOT($AU230),NOT($BI230),MAX($AN230,$AO230,$AP230)&gt;Constants!$B$30),Constants!$B$10,Constants!$B$9))))</f>
        <v/>
      </c>
      <c r="BN230" s="100" t="str">
        <f aca="false">IF($BL230&lt;&gt;Constants!$B$4,"",IF(NOT($AL230),0,MIN(Constants!$B$35,$BF230)))</f>
        <v/>
      </c>
      <c r="BO230" s="100" t="str">
        <f aca="false">IF($BL230&lt;&gt;Constants!$B$4,"",IF(NOT($AL230),0,IF($AW230,Constants!$B$18,IF($AV230,Constants!$B$17,0))))</f>
        <v/>
      </c>
      <c r="BP230" s="100" t="str">
        <f aca="false">IF($BL230&lt;&gt;Constants!$B$4,"",IF(NOT($AL230),0,Constants!$B$19*($AK230+$AX230+$AY230+$AZ230)))</f>
        <v/>
      </c>
      <c r="BQ230" s="100" t="str">
        <f aca="false">IF($BL230&lt;&gt;Constants!$B$4,"",IF(OR(NOT($AL230),NOT(ISNUMBER($BA230))),0,CHOOSE($BA230,Constants!$B$13,Constants!$B$14,Constants!$B$15,Constants!$B$16)))</f>
        <v/>
      </c>
      <c r="BR230" s="100" t="str">
        <f aca="false">IF($BL230&lt;&gt;Constants!$B$4,"",IF(NOT($AL230),0,Constants!$B$20*$BB230))</f>
        <v/>
      </c>
      <c r="BS230" s="100" t="str">
        <f aca="false">IF($BL230&lt;&gt;Constants!$B$4,"",IF(AND($AL230,$BD230,$BE230),Constants!$B$22,0))</f>
        <v/>
      </c>
      <c r="BT230" s="100" t="str">
        <f aca="false">IF($BL230&lt;&gt;Constants!$B$4,"",IF(OR(NOT($AL230),NOT($BD230)),0,IF($BJ230&gt;=2*$AH$9,0,Constants!$B$23*INT(ROUND(MIN($BJ230,$AH$9),6)))))</f>
        <v/>
      </c>
      <c r="BU230" s="100" t="str">
        <f aca="false">IF($BL230&lt;&gt;Constants!$B$4,"",IF(NOT($AL230),0,Constants!$B$24*INT(ROUND(MIN($BC230,$AH$9),6))))</f>
        <v/>
      </c>
      <c r="BV230" s="100" t="str">
        <f aca="false">IF($BL230&lt;&gt;Constants!$B$4,"",IF(AND($AL230,$BN230=0),Constants!$B$25,0))</f>
        <v/>
      </c>
      <c r="BW230" s="100" t="str">
        <f aca="false">IF($BL230&lt;&gt;Constants!$B$4,"",MIN(Constants!$B$29,MAX(0,Constants!$B$27*Constants!$B$28*INT(ROUND((Constants!$B$26-$AN230)/Constants!$B$28,6))))+MIN(Constants!$B$29,MAX(0,Constants!$B$27*Constants!$B$28*INT(ROUND((Constants!$B$26-$AO230)/Constants!$B$28,6))))+MIN(Constants!$B$29,MAX(0,Constants!$B$27*Constants!$B$28*INT(ROUND((Constants!$B$26-$AP230)/Constants!$B$28,6)))))</f>
        <v/>
      </c>
      <c r="BX230" s="100" t="str">
        <f aca="false">IF($BL230&lt;&gt;Constants!$B$4,"",IF(NOT($AL230),0,Constants!$B$31*INT(ROUND(MAX(0,MIN($BJ230,2*$AH$9)-$AH$9),6))))</f>
        <v/>
      </c>
      <c r="BY230" s="100" t="str">
        <f aca="false">IF($BL230&lt;&gt;Constants!$B$4,"",Constants!$B$32*(($AN230&gt;Constants!$B$26)+($AO230&gt;Constants!$B$26)+($AP230&gt;Constants!$B$26)))</f>
        <v/>
      </c>
      <c r="BZ230" s="100" t="str">
        <f aca="false">IF($BL230&lt;&gt;Constants!$B$4,"",IF(OR(NOT($AL230),$AQ230),0,Constants!$B$33))</f>
        <v/>
      </c>
      <c r="CA230" s="100" t="str">
        <f aca="false">IF($BL230&lt;&gt;Constants!$B$4,"",Constants!$B$34*$BN230)</f>
        <v/>
      </c>
      <c r="CB230" s="100" t="str">
        <f aca="false">IF($BL230&lt;&gt;Constants!$B$4,"",IF(OR(NOT($AL230),$BH230),0,Constants!$B$36))</f>
        <v/>
      </c>
      <c r="CC230" s="100" t="str">
        <f aca="false">IF($BL230&lt;&gt;Constants!$B$4,"",IF(OR(NOT($AL230),$BG230),0,Constants!$B$37))</f>
        <v/>
      </c>
      <c r="CD230" s="100" t="str">
        <f aca="false">IF($BL230&lt;&gt;Constants!$B$4,"",SUM($BX230:$CC230))</f>
        <v/>
      </c>
      <c r="CE230" s="100" t="str">
        <f aca="false">IF(ISBLANK($C230),"",IF($BL230&lt;&gt;Constants!$B$4,$BL230,SUM($BO230:$BW230)-$CD230))</f>
        <v/>
      </c>
      <c r="CF230" s="100" t="str">
        <f aca="false">IF(ISBLANK($C230),"",IF($BL230&lt;&gt;Constants!$B$4,$BL230,RANK($CE230,$CE$9:$CE$508)))</f>
        <v/>
      </c>
      <c r="CG230" s="100" t="str">
        <f aca="false">IF(ISBLANK($C230),"",IF($BL230&lt;&gt;Constants!$B$4,$BL230,COUNTIFS($BM$9:$BM$508,"&lt;"&amp;$BM230)+COUNTIFS($BM$9:$BM$508,$BM230,$CF$9:$CF$508,"&lt;"&amp;$CF230)+1))</f>
        <v/>
      </c>
      <c r="CH230" s="100" t="str">
        <f aca="false">IF(ISBLANK($C230),"",IF($BL230&lt;&gt;Constants!$B$4,$BL230,RANK($CD230,$CD$9:$CD$508,1)))</f>
        <v/>
      </c>
      <c r="CI230" s="100" t="str">
        <f aca="false">IF($BL230&lt;&gt;Constants!$B$4,"",$AN230+$AO230+$AP230)</f>
        <v/>
      </c>
      <c r="CJ230" s="100" t="str">
        <f aca="false">IF(ISBLANK($C230),"",IF($BL230&lt;&gt;Constants!$B$4,$BL230,RANK($CI230,$CI$9:$CI$508,1)))</f>
        <v/>
      </c>
      <c r="CK230" s="100" t="str">
        <f aca="false">IF(ISBLANK($C230),"",IF($BL230&lt;&gt;Constants!$B$4,$BL230,COUNTIFS($BM$9:$BM$508,"&lt;"&amp;$BM230)+COUNTIFS($BM$9:$BM$508,$BM230,$CF$9:$CF$508,"&lt;"&amp;$CF230)+COUNTIFS($BM$9:$BM$508,$BM230,$CF$9:$CF$508,$CF230,$CH$9:$CH$508,"&lt;"&amp;$CH230)+COUNTIFS($BM$9:$BM$508,$BM230,$CF$9:$CF$508,$CF230,$CH$9:$CH$508,$CH230,$CJ$9:$CJ$508,"&lt;"&amp;$CJ230)+1))</f>
        <v/>
      </c>
      <c r="CL230" s="100" t="str">
        <f aca="false">IF(ISBLANK($C230),"",IF($BL230&lt;&gt;Constants!$B$4,$BL230,$CG230-$CK230))</f>
        <v/>
      </c>
      <c r="CM230" s="100" t="str">
        <f aca="false">IF(ISBLANK($C230),"",IF(NOT($AL230),"",IF(ISBLANK($D$7),$CM$5,IF(NOT(ISNUMBER($D$7)),$CM$6,""))))</f>
        <v/>
      </c>
      <c r="CN230" s="100" t="str">
        <f aca="false">IF(ISBLANK($C230),"",OR($AN230="",$AO230="",$AP230=""))</f>
        <v/>
      </c>
      <c r="CO230" s="100" t="str">
        <f aca="false">IF(ISBLANK($C230),"",AND($AL230,$BA230=""))</f>
        <v/>
      </c>
      <c r="CP230" s="100" t="str">
        <f aca="false">IF(ISBLANK($C230),"",AND($AL230,$BB230=""))</f>
        <v/>
      </c>
      <c r="CQ230" s="100" t="str">
        <f aca="false">IF(ISBLANK($C230),"",AND($AL230,$BC230=""))</f>
        <v/>
      </c>
      <c r="CR230" s="100" t="str">
        <f aca="false">IF(ISBLANK($C230),"",AND($AL230,$BF230=""))</f>
        <v/>
      </c>
      <c r="CS230" s="100" t="str">
        <f aca="false">IF(ISBLANK($C230),"",AND($AL230,$BJ230=""))</f>
        <v/>
      </c>
      <c r="CT230" s="101"/>
      <c r="CU230" s="102"/>
      <c r="CV230" s="103" t="str">
        <f aca="false">IF(ISBLANK($C230),"",IF($BL230=Constants!$B$8,$CM230,""))</f>
        <v/>
      </c>
      <c r="CW230" s="102" t="str">
        <f aca="false">IF(ISBLANK($C230),"",IF($BL230&lt;&gt;Constants!$B$4,"",$BO230+$BP230))</f>
        <v/>
      </c>
      <c r="CX230" s="104" t="str">
        <f aca="false">IF(ISBLANK($C230),"",IF($BL230&lt;&gt;Constants!$B$4,"",$BQ230+$BR230+$BS230))</f>
        <v/>
      </c>
      <c r="CY230" s="104" t="str">
        <f aca="false">IF(ISBLANK($C230),"",IF($BL230&lt;&gt;Constants!$B$4,"",$BT230))</f>
        <v/>
      </c>
      <c r="CZ230" s="104" t="str">
        <f aca="false">IF(ISBLANK($C230),"",IF($BL230&lt;&gt;Constants!$B$4,"",$BU230+$BV230))</f>
        <v/>
      </c>
      <c r="DA230" s="104" t="str">
        <f aca="false">IF(ISBLANK($C230),"",IF($BL230&lt;&gt;Constants!$B$4,"",$BW230))</f>
        <v/>
      </c>
      <c r="DB230" s="104" t="str">
        <f aca="false">IF(ISBLANK($C230),"",IF($BL230&lt;&gt;Constants!$B$4,"",-$CD230))</f>
        <v/>
      </c>
      <c r="DC230" s="103" t="str">
        <f aca="false">IF(ISBLANK($C230),"",$CE230)</f>
        <v/>
      </c>
      <c r="DD230" s="105" t="str">
        <f aca="false">IF(ISBLANK($C230),"",$BM230)</f>
        <v/>
      </c>
      <c r="DE230" s="104" t="str">
        <f aca="false">IF(ISBLANK($C230),"",$CL230)</f>
        <v/>
      </c>
      <c r="DF230" s="104" t="str">
        <f aca="false">IF(ISBLANK($C230),"",$CK230)</f>
        <v/>
      </c>
      <c r="DG230" s="106" t="str">
        <f aca="false">IF(ISBLANK($C230),"",IF($DF230=Constants!$B$7,COUNTA($C$9:$C$508)+2,IF($DF230=Constants!$B$6,COUNTA($C$9:$C$508)+1,IF($DF230=Constants!$B$5,COUNTA($C$9:$C$508),$DF230))))</f>
        <v/>
      </c>
      <c r="DH230" s="7"/>
      <c r="DI230" s="107" t="n">
        <f aca="false">IF(OR(ISNUMBER($DF230),$DF230=Constants!$B$7,$DF230=Constants!$B$5,$DF230=Constants!$B$6),1,0)</f>
        <v>0</v>
      </c>
      <c r="DJ230" s="107" t="n">
        <v>222</v>
      </c>
      <c r="DK230" s="107" t="str">
        <f aca="false">IF(ISBLANK($C230),"",IF(ISNUMBER($DG230),$DG230+ROW($B230)/1000,""))</f>
        <v/>
      </c>
      <c r="DL230" s="107" t="str">
        <f aca="false">IF(ISNUMBER($DK230),RANK($DK230,$DK$9:$DK$508,1),"")</f>
        <v/>
      </c>
      <c r="DM230" s="107" t="str">
        <f aca="false">IF(ISBLANK($C230),"",$B230)</f>
        <v/>
      </c>
      <c r="DN230" s="107" t="str">
        <f aca="false">IF(ISBLANK($C230),"",$C230)</f>
        <v/>
      </c>
      <c r="DO230" s="107" t="str">
        <f aca="false">IF(ISBLANK($C230),"",$D230)</f>
        <v/>
      </c>
      <c r="DP230" s="108" t="str">
        <f aca="false">$DD230</f>
        <v/>
      </c>
      <c r="DQ230" s="109" t="str">
        <f aca="false">$DC230</f>
        <v/>
      </c>
      <c r="DR230" s="107" t="str">
        <f aca="false">IF(ISBLANK($C230),"",$DF230)</f>
        <v/>
      </c>
      <c r="DS230" s="110" t="str">
        <f aca="false">IF($DJ230&gt;$DI$8,"",VLOOKUP($DJ230,$DL$9:$DR$508,7,FALSE()))</f>
        <v/>
      </c>
      <c r="DT230" s="111" t="str">
        <f aca="false">IF($DJ230&gt;$DI$8,"",VLOOKUP($DJ230,$DL$9:$DR$508,2,FALSE()))</f>
        <v/>
      </c>
      <c r="DU230" s="111" t="str">
        <f aca="false">IF($DJ230&gt;$DI$8,"",VLOOKUP($DJ230,$DL$9:$DR$508,3,FALSE()))</f>
        <v/>
      </c>
      <c r="DV230" s="111" t="str">
        <f aca="false">IF($DJ230&gt;$DI$8,"",VLOOKUP($DJ230,$DL$9:$DR$508,4,FALSE()))</f>
        <v/>
      </c>
      <c r="DW230" s="111" t="str">
        <f aca="false">IF($DJ230&gt;$DI$8,"",VLOOKUP($DJ230,$DL$9:$DR$508,5,FALSE()))</f>
        <v/>
      </c>
      <c r="DX230" s="112" t="str">
        <f aca="false">IF($DJ230&gt;$DI$8,"",VLOOKUP($DJ230,$DL$9:$DR$508,6,FALSE()))</f>
        <v/>
      </c>
      <c r="DY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88"/>
      <c r="N231" s="88"/>
      <c r="O231" s="134"/>
      <c r="P231" s="134"/>
      <c r="Q231" s="88"/>
      <c r="R231" s="88"/>
      <c r="S231" s="88"/>
      <c r="T231" s="88"/>
      <c r="U231" s="134"/>
      <c r="V231" s="88"/>
      <c r="W231" s="70"/>
      <c r="X231" s="88"/>
      <c r="Y231" s="88"/>
      <c r="Z231" s="70"/>
      <c r="AA231" s="70"/>
      <c r="AB231" s="88"/>
      <c r="AC231" s="88"/>
      <c r="AD231" s="88"/>
      <c r="AE231" s="71"/>
      <c r="AF231" s="88"/>
      <c r="AG231" s="73"/>
      <c r="AH231" s="74"/>
      <c r="AI231" s="74"/>
      <c r="AJ231" s="74" t="str">
        <f aca="false">IF(ISBLANK($C231),"",IF($E231=Constants!$B$2,TRUE(),IF($E231=Constants!$B$3,FALSE(),TRUE())))</f>
        <v/>
      </c>
      <c r="AK231" s="74" t="str">
        <f aca="false">IF(ISBLANK($C231),"",IF($F231=Constants!$B$2,TRUE(),IF($F231=Constants!$B$3,FALSE(),FALSE())))</f>
        <v/>
      </c>
      <c r="AL231" s="74" t="str">
        <f aca="false">IF(ISBLANK($C231),"",IF($G231=Constants!$B$2,TRUE(),IF($G231=Constants!$B$3,FALSE(),TRUE())))</f>
        <v/>
      </c>
      <c r="AM231" s="74" t="str">
        <f aca="false">IF(ISBLANK($C231),"",IF($H231=Constants!$B$2,TRUE(),IF($H231=Constants!$B$3,FALSE(),TRUE())))</f>
        <v/>
      </c>
      <c r="AN231" s="74" t="str">
        <f aca="false">IF(ISBLANK($C231),"",IF(ISNUMBER($I231),IF($I231&gt;=0,$I231,""),""))</f>
        <v/>
      </c>
      <c r="AO231" s="74" t="str">
        <f aca="false">IF(ISBLANK($C231),"",IF(ISNUMBER($J231),IF($J231&gt;=0,$J231,""),""))</f>
        <v/>
      </c>
      <c r="AP231" s="74" t="str">
        <f aca="false">IF(ISBLANK($C231),"",IF(ISNUMBER($K231),IF($K231&gt;=0,$K231,""),""))</f>
        <v/>
      </c>
      <c r="AQ231" s="74" t="str">
        <f aca="false">IF(ISBLANK($C231),"",IF($L231=Constants!$B$2,TRUE(),IF($L231=Constants!$B$3,FALSE(),TRUE())))</f>
        <v/>
      </c>
      <c r="AR231" s="74" t="str">
        <f aca="false">IF(ISBLANK($C231),"",IF($M231=Constants!$B$2,TRUE(),IF($M231=Constants!$B$3,FALSE(),TRUE())))</f>
        <v/>
      </c>
      <c r="AS231" s="74" t="str">
        <f aca="false">IF(ISBLANK($C231),"",IF($N231=Constants!$B$2,TRUE(),IF($N231=Constants!$B$3,FALSE(),FALSE())))</f>
        <v/>
      </c>
      <c r="AT231" s="74" t="str">
        <f aca="false">IF(ISBLANK($C231),"",IF($O231=Constants!$B$2,TRUE(),IF($O231=Constants!$B$3,FALSE(),TRUE())))</f>
        <v/>
      </c>
      <c r="AU231" s="74" t="str">
        <f aca="false">IF(ISBLANK($C231),"",IF($P231=Constants!$B$2,TRUE(),IF($P231=Constants!$B$3,FALSE(),TRUE())))</f>
        <v/>
      </c>
      <c r="AV231" s="74" t="str">
        <f aca="false">IF(ISBLANK($C231),"",IF($Q231=Constants!$B$2,TRUE(),IF($Q231=Constants!$B$3,FALSE(),FALSE())))</f>
        <v/>
      </c>
      <c r="AW231" s="74" t="str">
        <f aca="false">IF(ISBLANK($C231),"",IF($R231=Constants!$B$2,TRUE(),IF($R231=Constants!$B$3,FALSE(),FALSE())))</f>
        <v/>
      </c>
      <c r="AX231" s="74" t="str">
        <f aca="false">IF(ISBLANK($C231),"",IF($S231=Constants!$B$2,TRUE(),IF($S231=Constants!$B$3,FALSE(),FALSE())))</f>
        <v/>
      </c>
      <c r="AY231" s="74" t="str">
        <f aca="false">IF(ISBLANK($C231),"",IF($T231=Constants!$B$2,TRUE(),IF($T231=Constants!$B$3,FALSE(),FALSE())))</f>
        <v/>
      </c>
      <c r="AZ231" s="74" t="str">
        <f aca="false">IF(ISBLANK($C231),"",IF($U231=Constants!$B$2,TRUE(),IF($U231=Constants!$B$3,FALSE(),FALSE())))</f>
        <v/>
      </c>
      <c r="BA231" s="74" t="str">
        <f aca="false">IF(ISBLANK($C231),"",IF(OR($V231&amp;""="1",$V231&amp;""="2",$V231&amp;""="3",$V231&amp;""="4"),VALUE($V231&amp;""),IF($V231=Constants!$B$12,Constants!$B$12,"")))</f>
        <v/>
      </c>
      <c r="BB231" s="74" t="str">
        <f aca="false">IF(ISBLANK($C231),"",IF(ISBLANK($W231),0,IF(ISNUMBER($W231),IF(AND($W231&gt;=0,$W231&lt;=Constants!$B$21,$W231=INT($W231)),$W231,""),"")))</f>
        <v/>
      </c>
      <c r="BC231" s="74" t="str">
        <f aca="false">IF(ISBLANK($C231),"",IF(ISBLANK($X231),0,IF(ISNUMBER($X231),IF($X231&gt;=0,$X231,""),"")))</f>
        <v/>
      </c>
      <c r="BD231" s="74" t="str">
        <f aca="false">IF(ISBLANK($C231),"",IF($Y231=Constants!$B$2,TRUE(),IF($Y231=Constants!$B$3,FALSE(),TRUE())))</f>
        <v/>
      </c>
      <c r="BE231" s="74" t="str">
        <f aca="false">IF(ISBLANK($C231),"",IF($Z231=Constants!$B$2,TRUE(),IF($Z231=Constants!$B$3,FALSE(),FALSE())))</f>
        <v/>
      </c>
      <c r="BF231" s="74" t="str">
        <f aca="false">IF(ISBLANK($C231),"",IF(ISBLANK($AA231),0,IF(ISNUMBER($AA231),IF(AND($AA231&gt;=0,$AA231&lt;=Constants!$B$35,$AA231=INT($AA231)),$AA231,""),"")))</f>
        <v/>
      </c>
      <c r="BG231" s="74" t="str">
        <f aca="false">IF(ISBLANK($C231),"",IF($AB231=Constants!$B$2,TRUE(),IF($AB231=Constants!$B$3,FALSE(),TRUE())))</f>
        <v/>
      </c>
      <c r="BH231" s="74" t="str">
        <f aca="false">IF(ISBLANK($C231),"",IF($AC231=Constants!$B$2,TRUE(),IF($AC231=Constants!$B$3,FALSE(),TRUE())))</f>
        <v/>
      </c>
      <c r="BI231" s="74" t="str">
        <f aca="false">IF(ISBLANK($C231),"",IF($AD231=Constants!$B$2,TRUE(),IF($AD231=Constants!$B$3,FALSE(),TRUE())))</f>
        <v/>
      </c>
      <c r="BJ231" s="74" t="str">
        <f aca="false">IF(ISBLANK($C231),"",IF(ISNUMBER($AE231),IF($AE231&gt;=0,$AE231,""),""))</f>
        <v/>
      </c>
      <c r="BK231" s="74" t="str">
        <f aca="false">IF(ISBLANK($C231),"",IF($AF231=Constants!$B$2,TRUE(),IF($AF231=Constants!$B$3,FALSE(),FALSE())))</f>
        <v/>
      </c>
      <c r="BL231" s="73" t="str">
        <f aca="false">IF(ISBLANK($C231),"",IF($BK231,Constants!$B$7,IF(COUNTA($E231:$AE231)=0,Constants!$B$6,IF(OR(COUNTA($G231:$AE231)=0,NOT($AM231),$AS231),Constants!$B$5,IF(OR($CM231&lt;&gt;"",$CN231,$CO231,$CP231,$CQ231,$CR231,$CS231),Constants!$B$8,Constants!$B$4)))))</f>
        <v/>
      </c>
      <c r="BM231" s="74" t="str">
        <f aca="false">IF(ISBLANK($C231),"",IF($BL231&lt;&gt;Constants!$B$4,$BL231,IF(OR(NOT($AJ231),NOT($AL231),NOT($AT231)),Constants!$B$11,IF(OR(NOT($AR231),NOT($AU231),NOT($BI231),MAX($AN231,$AO231,$AP231)&gt;Constants!$B$30),Constants!$B$10,Constants!$B$9))))</f>
        <v/>
      </c>
      <c r="BN231" s="74" t="str">
        <f aca="false">IF($BL231&lt;&gt;Constants!$B$4,"",IF(NOT($AL231),0,MIN(Constants!$B$35,$BF231)))</f>
        <v/>
      </c>
      <c r="BO231" s="74" t="str">
        <f aca="false">IF($BL231&lt;&gt;Constants!$B$4,"",IF(NOT($AL231),0,IF($AW231,Constants!$B$18,IF($AV231,Constants!$B$17,0))))</f>
        <v/>
      </c>
      <c r="BP231" s="74" t="str">
        <f aca="false">IF($BL231&lt;&gt;Constants!$B$4,"",IF(NOT($AL231),0,Constants!$B$19*($AK231+$AX231+$AY231+$AZ231)))</f>
        <v/>
      </c>
      <c r="BQ231" s="74" t="str">
        <f aca="false">IF($BL231&lt;&gt;Constants!$B$4,"",IF(OR(NOT($AL231),NOT(ISNUMBER($BA231))),0,CHOOSE($BA231,Constants!$B$13,Constants!$B$14,Constants!$B$15,Constants!$B$16)))</f>
        <v/>
      </c>
      <c r="BR231" s="74" t="str">
        <f aca="false">IF($BL231&lt;&gt;Constants!$B$4,"",IF(NOT($AL231),0,Constants!$B$20*$BB231))</f>
        <v/>
      </c>
      <c r="BS231" s="74" t="str">
        <f aca="false">IF($BL231&lt;&gt;Constants!$B$4,"",IF(AND($AL231,$BD231,$BE231),Constants!$B$22,0))</f>
        <v/>
      </c>
      <c r="BT231" s="74" t="str">
        <f aca="false">IF($BL231&lt;&gt;Constants!$B$4,"",IF(OR(NOT($AL231),NOT($BD231)),0,IF($BJ231&gt;=2*$AH$9,0,Constants!$B$23*INT(ROUND(MIN($BJ231,$AH$9),6)))))</f>
        <v/>
      </c>
      <c r="BU231" s="74" t="str">
        <f aca="false">IF($BL231&lt;&gt;Constants!$B$4,"",IF(NOT($AL231),0,Constants!$B$24*INT(ROUND(MIN($BC231,$AH$9),6))))</f>
        <v/>
      </c>
      <c r="BV231" s="74" t="str">
        <f aca="false">IF($BL231&lt;&gt;Constants!$B$4,"",IF(AND($AL231,$BN231=0),Constants!$B$25,0))</f>
        <v/>
      </c>
      <c r="BW231" s="74" t="str">
        <f aca="false">IF($BL231&lt;&gt;Constants!$B$4,"",MIN(Constants!$B$29,MAX(0,Constants!$B$27*Constants!$B$28*INT(ROUND((Constants!$B$26-$AN231)/Constants!$B$28,6))))+MIN(Constants!$B$29,MAX(0,Constants!$B$27*Constants!$B$28*INT(ROUND((Constants!$B$26-$AO231)/Constants!$B$28,6))))+MIN(Constants!$B$29,MAX(0,Constants!$B$27*Constants!$B$28*INT(ROUND((Constants!$B$26-$AP231)/Constants!$B$28,6)))))</f>
        <v/>
      </c>
      <c r="BX231" s="74" t="str">
        <f aca="false">IF($BL231&lt;&gt;Constants!$B$4,"",IF(NOT($AL231),0,Constants!$B$31*INT(ROUND(MAX(0,MIN($BJ231,2*$AH$9)-$AH$9),6))))</f>
        <v/>
      </c>
      <c r="BY231" s="74" t="str">
        <f aca="false">IF($BL231&lt;&gt;Constants!$B$4,"",Constants!$B$32*(($AN231&gt;Constants!$B$26)+($AO231&gt;Constants!$B$26)+($AP231&gt;Constants!$B$26)))</f>
        <v/>
      </c>
      <c r="BZ231" s="74" t="str">
        <f aca="false">IF($BL231&lt;&gt;Constants!$B$4,"",IF(OR(NOT($AL231),$AQ231),0,Constants!$B$33))</f>
        <v/>
      </c>
      <c r="CA231" s="74" t="str">
        <f aca="false">IF($BL231&lt;&gt;Constants!$B$4,"",Constants!$B$34*$BN231)</f>
        <v/>
      </c>
      <c r="CB231" s="74" t="str">
        <f aca="false">IF($BL231&lt;&gt;Constants!$B$4,"",IF(OR(NOT($AL231),$BH231),0,Constants!$B$36))</f>
        <v/>
      </c>
      <c r="CC231" s="74" t="str">
        <f aca="false">IF($BL231&lt;&gt;Constants!$B$4,"",IF(OR(NOT($AL231),$BG231),0,Constants!$B$37))</f>
        <v/>
      </c>
      <c r="CD231" s="74" t="str">
        <f aca="false">IF($BL231&lt;&gt;Constants!$B$4,"",SUM($BX231:$CC231))</f>
        <v/>
      </c>
      <c r="CE231" s="74" t="str">
        <f aca="false">IF(ISBLANK($C231),"",IF($BL231&lt;&gt;Constants!$B$4,$BL231,SUM($BO231:$BW231)-$CD231))</f>
        <v/>
      </c>
      <c r="CF231" s="74" t="str">
        <f aca="false">IF(ISBLANK($C231),"",IF($BL231&lt;&gt;Constants!$B$4,$BL231,RANK($CE231,$CE$9:$CE$508)))</f>
        <v/>
      </c>
      <c r="CG231" s="74" t="str">
        <f aca="false">IF(ISBLANK($C231),"",IF($BL231&lt;&gt;Constants!$B$4,$BL231,COUNTIFS($BM$9:$BM$508,"&lt;"&amp;$BM231)+COUNTIFS($BM$9:$BM$508,$BM231,$CF$9:$CF$508,"&lt;"&amp;$CF231)+1))</f>
        <v/>
      </c>
      <c r="CH231" s="74" t="str">
        <f aca="false">IF(ISBLANK($C231),"",IF($BL231&lt;&gt;Constants!$B$4,$BL231,RANK($CD231,$CD$9:$CD$508,1)))</f>
        <v/>
      </c>
      <c r="CI231" s="74" t="str">
        <f aca="false">IF($BL231&lt;&gt;Constants!$B$4,"",$AN231+$AO231+$AP231)</f>
        <v/>
      </c>
      <c r="CJ231" s="74" t="str">
        <f aca="false">IF(ISBLANK($C231),"",IF($BL231&lt;&gt;Constants!$B$4,$BL231,RANK($CI231,$CI$9:$CI$508,1)))</f>
        <v/>
      </c>
      <c r="CK231" s="74" t="str">
        <f aca="false">IF(ISBLANK($C231),"",IF($BL231&lt;&gt;Constants!$B$4,$BL231,COUNTIFS($BM$9:$BM$508,"&lt;"&amp;$BM231)+COUNTIFS($BM$9:$BM$508,$BM231,$CF$9:$CF$508,"&lt;"&amp;$CF231)+COUNTIFS($BM$9:$BM$508,$BM231,$CF$9:$CF$508,$CF231,$CH$9:$CH$508,"&lt;"&amp;$CH231)+COUNTIFS($BM$9:$BM$508,$BM231,$CF$9:$CF$508,$CF231,$CH$9:$CH$508,$CH231,$CJ$9:$CJ$508,"&lt;"&amp;$CJ231)+1))</f>
        <v/>
      </c>
      <c r="CL231" s="74" t="str">
        <f aca="false">IF(ISBLANK($C231),"",IF($BL231&lt;&gt;Constants!$B$4,$BL231,$CG231-$CK231))</f>
        <v/>
      </c>
      <c r="CM231" s="74" t="str">
        <f aca="false">IF(ISBLANK($C231),"",IF(NOT($AL231),"",IF(ISBLANK($D$7),$CM$5,IF(NOT(ISNUMBER($D$7)),$CM$6,""))))</f>
        <v/>
      </c>
      <c r="CN231" s="74" t="str">
        <f aca="false">IF(ISBLANK($C231),"",OR($AN231="",$AO231="",$AP231=""))</f>
        <v/>
      </c>
      <c r="CO231" s="74" t="str">
        <f aca="false">IF(ISBLANK($C231),"",AND($AL231,$BA231=""))</f>
        <v/>
      </c>
      <c r="CP231" s="74" t="str">
        <f aca="false">IF(ISBLANK($C231),"",AND($AL231,$BB231=""))</f>
        <v/>
      </c>
      <c r="CQ231" s="74" t="str">
        <f aca="false">IF(ISBLANK($C231),"",AND($AL231,$BC231=""))</f>
        <v/>
      </c>
      <c r="CR231" s="74" t="str">
        <f aca="false">IF(ISBLANK($C231),"",AND($AL231,$BF231=""))</f>
        <v/>
      </c>
      <c r="CS231" s="74" t="str">
        <f aca="false">IF(ISBLANK($C231),"",AND($AL231,$BJ231=""))</f>
        <v/>
      </c>
      <c r="CT231" s="75"/>
      <c r="CU231" s="76"/>
      <c r="CV231" s="79" t="str">
        <f aca="false">IF(ISBLANK($C231),"",IF($BL231=Constants!$B$8,$CM231,""))</f>
        <v/>
      </c>
      <c r="CW231" s="76" t="str">
        <f aca="false">IF(ISBLANK($C231),"",IF($BL231&lt;&gt;Constants!$B$4,"",$BO231+$BP231))</f>
        <v/>
      </c>
      <c r="CX231" s="78" t="str">
        <f aca="false">IF(ISBLANK($C231),"",IF($BL231&lt;&gt;Constants!$B$4,"",$BQ231+$BR231+$BS231))</f>
        <v/>
      </c>
      <c r="CY231" s="78" t="str">
        <f aca="false">IF(ISBLANK($C231),"",IF($BL231&lt;&gt;Constants!$B$4,"",$BT231))</f>
        <v/>
      </c>
      <c r="CZ231" s="78" t="str">
        <f aca="false">IF(ISBLANK($C231),"",IF($BL231&lt;&gt;Constants!$B$4,"",$BU231+$BV231))</f>
        <v/>
      </c>
      <c r="DA231" s="78" t="str">
        <f aca="false">IF(ISBLANK($C231),"",IF($BL231&lt;&gt;Constants!$B$4,"",$BW231))</f>
        <v/>
      </c>
      <c r="DB231" s="78" t="str">
        <f aca="false">IF(ISBLANK($C231),"",IF($BL231&lt;&gt;Constants!$B$4,"",-$CD231))</f>
        <v/>
      </c>
      <c r="DC231" s="79" t="str">
        <f aca="false">IF(ISBLANK($C231),"",$CE231)</f>
        <v/>
      </c>
      <c r="DD231" s="80" t="str">
        <f aca="false">IF(ISBLANK($C231),"",$BM231)</f>
        <v/>
      </c>
      <c r="DE231" s="78" t="str">
        <f aca="false">IF(ISBLANK($C231),"",$CL231)</f>
        <v/>
      </c>
      <c r="DF231" s="78" t="str">
        <f aca="false">IF(ISBLANK($C231),"",$CK231)</f>
        <v/>
      </c>
      <c r="DG231" s="81" t="str">
        <f aca="false">IF(ISBLANK($C231),"",IF($DF231=Constants!$B$7,COUNTA($C$9:$C$508)+2,IF($DF231=Constants!$B$6,COUNTA($C$9:$C$508)+1,IF($DF231=Constants!$B$5,COUNTA($C$9:$C$508),$DF231))))</f>
        <v/>
      </c>
      <c r="DH231" s="7"/>
      <c r="DI231" s="82" t="n">
        <f aca="false">IF(OR(ISNUMBER($DF231),$DF231=Constants!$B$7,$DF231=Constants!$B$5,$DF231=Constants!$B$6),1,0)</f>
        <v>0</v>
      </c>
      <c r="DJ231" s="82" t="n">
        <v>223</v>
      </c>
      <c r="DK231" s="82" t="str">
        <f aca="false">IF(ISBLANK($C231),"",IF(ISNUMBER($DG231),$DG231+ROW($B231)/1000,""))</f>
        <v/>
      </c>
      <c r="DL231" s="82" t="str">
        <f aca="false">IF(ISNUMBER($DK231),RANK($DK231,$DK$9:$DK$508,1),"")</f>
        <v/>
      </c>
      <c r="DM231" s="82" t="str">
        <f aca="false">IF(ISBLANK($C231),"",$B231)</f>
        <v/>
      </c>
      <c r="DN231" s="82" t="str">
        <f aca="false">IF(ISBLANK($C231),"",$C231)</f>
        <v/>
      </c>
      <c r="DO231" s="82" t="str">
        <f aca="false">IF(ISBLANK($C231),"",$D231)</f>
        <v/>
      </c>
      <c r="DP231" s="83" t="str">
        <f aca="false">$DD231</f>
        <v/>
      </c>
      <c r="DQ231" s="84" t="str">
        <f aca="false">$DC231</f>
        <v/>
      </c>
      <c r="DR231" s="82" t="str">
        <f aca="false">IF(ISBLANK($C231),"",$DF231)</f>
        <v/>
      </c>
      <c r="DS231" s="85" t="str">
        <f aca="false">IF($DJ231&gt;$DI$8,"",VLOOKUP($DJ231,$DL$9:$DR$508,7,FALSE()))</f>
        <v/>
      </c>
      <c r="DT231" s="86" t="str">
        <f aca="false">IF($DJ231&gt;$DI$8,"",VLOOKUP($DJ231,$DL$9:$DR$508,2,FALSE()))</f>
        <v/>
      </c>
      <c r="DU231" s="86" t="str">
        <f aca="false">IF($DJ231&gt;$DI$8,"",VLOOKUP($DJ231,$DL$9:$DR$508,3,FALSE()))</f>
        <v/>
      </c>
      <c r="DV231" s="86" t="str">
        <f aca="false">IF($DJ231&gt;$DI$8,"",VLOOKUP($DJ231,$DL$9:$DR$508,4,FALSE()))</f>
        <v/>
      </c>
      <c r="DW231" s="86" t="str">
        <f aca="false">IF($DJ231&gt;$DI$8,"",VLOOKUP($DJ231,$DL$9:$DR$508,5,FALSE()))</f>
        <v/>
      </c>
      <c r="DX231" s="87" t="str">
        <f aca="false">IF($DJ231&gt;$DI$8,"",VLOOKUP($DJ231,$DL$9:$DR$508,6,FALSE()))</f>
        <v/>
      </c>
      <c r="DY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88"/>
      <c r="N232" s="88"/>
      <c r="O232" s="134"/>
      <c r="P232" s="134"/>
      <c r="Q232" s="88"/>
      <c r="R232" s="88"/>
      <c r="S232" s="88"/>
      <c r="T232" s="88"/>
      <c r="U232" s="134"/>
      <c r="V232" s="88"/>
      <c r="W232" s="70"/>
      <c r="X232" s="88"/>
      <c r="Y232" s="88"/>
      <c r="Z232" s="70"/>
      <c r="AA232" s="70"/>
      <c r="AB232" s="88"/>
      <c r="AC232" s="88"/>
      <c r="AD232" s="88"/>
      <c r="AE232" s="71"/>
      <c r="AF232" s="88"/>
      <c r="AG232" s="73"/>
      <c r="AH232" s="74"/>
      <c r="AI232" s="74"/>
      <c r="AJ232" s="74" t="str">
        <f aca="false">IF(ISBLANK($C232),"",IF($E232=Constants!$B$2,TRUE(),IF($E232=Constants!$B$3,FALSE(),TRUE())))</f>
        <v/>
      </c>
      <c r="AK232" s="74" t="str">
        <f aca="false">IF(ISBLANK($C232),"",IF($F232=Constants!$B$2,TRUE(),IF($F232=Constants!$B$3,FALSE(),FALSE())))</f>
        <v/>
      </c>
      <c r="AL232" s="74" t="str">
        <f aca="false">IF(ISBLANK($C232),"",IF($G232=Constants!$B$2,TRUE(),IF($G232=Constants!$B$3,FALSE(),TRUE())))</f>
        <v/>
      </c>
      <c r="AM232" s="74" t="str">
        <f aca="false">IF(ISBLANK($C232),"",IF($H232=Constants!$B$2,TRUE(),IF($H232=Constants!$B$3,FALSE(),TRUE())))</f>
        <v/>
      </c>
      <c r="AN232" s="74" t="str">
        <f aca="false">IF(ISBLANK($C232),"",IF(ISNUMBER($I232),IF($I232&gt;=0,$I232,""),""))</f>
        <v/>
      </c>
      <c r="AO232" s="74" t="str">
        <f aca="false">IF(ISBLANK($C232),"",IF(ISNUMBER($J232),IF($J232&gt;=0,$J232,""),""))</f>
        <v/>
      </c>
      <c r="AP232" s="74" t="str">
        <f aca="false">IF(ISBLANK($C232),"",IF(ISNUMBER($K232),IF($K232&gt;=0,$K232,""),""))</f>
        <v/>
      </c>
      <c r="AQ232" s="74" t="str">
        <f aca="false">IF(ISBLANK($C232),"",IF($L232=Constants!$B$2,TRUE(),IF($L232=Constants!$B$3,FALSE(),TRUE())))</f>
        <v/>
      </c>
      <c r="AR232" s="74" t="str">
        <f aca="false">IF(ISBLANK($C232),"",IF($M232=Constants!$B$2,TRUE(),IF($M232=Constants!$B$3,FALSE(),TRUE())))</f>
        <v/>
      </c>
      <c r="AS232" s="74" t="str">
        <f aca="false">IF(ISBLANK($C232),"",IF($N232=Constants!$B$2,TRUE(),IF($N232=Constants!$B$3,FALSE(),FALSE())))</f>
        <v/>
      </c>
      <c r="AT232" s="74" t="str">
        <f aca="false">IF(ISBLANK($C232),"",IF($O232=Constants!$B$2,TRUE(),IF($O232=Constants!$B$3,FALSE(),TRUE())))</f>
        <v/>
      </c>
      <c r="AU232" s="74" t="str">
        <f aca="false">IF(ISBLANK($C232),"",IF($P232=Constants!$B$2,TRUE(),IF($P232=Constants!$B$3,FALSE(),TRUE())))</f>
        <v/>
      </c>
      <c r="AV232" s="74" t="str">
        <f aca="false">IF(ISBLANK($C232),"",IF($Q232=Constants!$B$2,TRUE(),IF($Q232=Constants!$B$3,FALSE(),FALSE())))</f>
        <v/>
      </c>
      <c r="AW232" s="74" t="str">
        <f aca="false">IF(ISBLANK($C232),"",IF($R232=Constants!$B$2,TRUE(),IF($R232=Constants!$B$3,FALSE(),FALSE())))</f>
        <v/>
      </c>
      <c r="AX232" s="74" t="str">
        <f aca="false">IF(ISBLANK($C232),"",IF($S232=Constants!$B$2,TRUE(),IF($S232=Constants!$B$3,FALSE(),FALSE())))</f>
        <v/>
      </c>
      <c r="AY232" s="74" t="str">
        <f aca="false">IF(ISBLANK($C232),"",IF($T232=Constants!$B$2,TRUE(),IF($T232=Constants!$B$3,FALSE(),FALSE())))</f>
        <v/>
      </c>
      <c r="AZ232" s="74" t="str">
        <f aca="false">IF(ISBLANK($C232),"",IF($U232=Constants!$B$2,TRUE(),IF($U232=Constants!$B$3,FALSE(),FALSE())))</f>
        <v/>
      </c>
      <c r="BA232" s="74" t="str">
        <f aca="false">IF(ISBLANK($C232),"",IF(OR($V232&amp;""="1",$V232&amp;""="2",$V232&amp;""="3",$V232&amp;""="4"),VALUE($V232&amp;""),IF($V232=Constants!$B$12,Constants!$B$12,"")))</f>
        <v/>
      </c>
      <c r="BB232" s="74" t="str">
        <f aca="false">IF(ISBLANK($C232),"",IF(ISBLANK($W232),0,IF(ISNUMBER($W232),IF(AND($W232&gt;=0,$W232&lt;=Constants!$B$21,$W232=INT($W232)),$W232,""),"")))</f>
        <v/>
      </c>
      <c r="BC232" s="74" t="str">
        <f aca="false">IF(ISBLANK($C232),"",IF(ISBLANK($X232),0,IF(ISNUMBER($X232),IF($X232&gt;=0,$X232,""),"")))</f>
        <v/>
      </c>
      <c r="BD232" s="74" t="str">
        <f aca="false">IF(ISBLANK($C232),"",IF($Y232=Constants!$B$2,TRUE(),IF($Y232=Constants!$B$3,FALSE(),TRUE())))</f>
        <v/>
      </c>
      <c r="BE232" s="74" t="str">
        <f aca="false">IF(ISBLANK($C232),"",IF($Z232=Constants!$B$2,TRUE(),IF($Z232=Constants!$B$3,FALSE(),FALSE())))</f>
        <v/>
      </c>
      <c r="BF232" s="74" t="str">
        <f aca="false">IF(ISBLANK($C232),"",IF(ISBLANK($AA232),0,IF(ISNUMBER($AA232),IF(AND($AA232&gt;=0,$AA232&lt;=Constants!$B$35,$AA232=INT($AA232)),$AA232,""),"")))</f>
        <v/>
      </c>
      <c r="BG232" s="74" t="str">
        <f aca="false">IF(ISBLANK($C232),"",IF($AB232=Constants!$B$2,TRUE(),IF($AB232=Constants!$B$3,FALSE(),TRUE())))</f>
        <v/>
      </c>
      <c r="BH232" s="74" t="str">
        <f aca="false">IF(ISBLANK($C232),"",IF($AC232=Constants!$B$2,TRUE(),IF($AC232=Constants!$B$3,FALSE(),TRUE())))</f>
        <v/>
      </c>
      <c r="BI232" s="74" t="str">
        <f aca="false">IF(ISBLANK($C232),"",IF($AD232=Constants!$B$2,TRUE(),IF($AD232=Constants!$B$3,FALSE(),TRUE())))</f>
        <v/>
      </c>
      <c r="BJ232" s="74" t="str">
        <f aca="false">IF(ISBLANK($C232),"",IF(ISNUMBER($AE232),IF($AE232&gt;=0,$AE232,""),""))</f>
        <v/>
      </c>
      <c r="BK232" s="74" t="str">
        <f aca="false">IF(ISBLANK($C232),"",IF($AF232=Constants!$B$2,TRUE(),IF($AF232=Constants!$B$3,FALSE(),FALSE())))</f>
        <v/>
      </c>
      <c r="BL232" s="73" t="str">
        <f aca="false">IF(ISBLANK($C232),"",IF($BK232,Constants!$B$7,IF(COUNTA($E232:$AE232)=0,Constants!$B$6,IF(OR(COUNTA($G232:$AE232)=0,NOT($AM232),$AS232),Constants!$B$5,IF(OR($CM232&lt;&gt;"",$CN232,$CO232,$CP232,$CQ232,$CR232,$CS232),Constants!$B$8,Constants!$B$4)))))</f>
        <v/>
      </c>
      <c r="BM232" s="74" t="str">
        <f aca="false">IF(ISBLANK($C232),"",IF($BL232&lt;&gt;Constants!$B$4,$BL232,IF(OR(NOT($AJ232),NOT($AL232),NOT($AT232)),Constants!$B$11,IF(OR(NOT($AR232),NOT($AU232),NOT($BI232),MAX($AN232,$AO232,$AP232)&gt;Constants!$B$30),Constants!$B$10,Constants!$B$9))))</f>
        <v/>
      </c>
      <c r="BN232" s="74" t="str">
        <f aca="false">IF($BL232&lt;&gt;Constants!$B$4,"",IF(NOT($AL232),0,MIN(Constants!$B$35,$BF232)))</f>
        <v/>
      </c>
      <c r="BO232" s="74" t="str">
        <f aca="false">IF($BL232&lt;&gt;Constants!$B$4,"",IF(NOT($AL232),0,IF($AW232,Constants!$B$18,IF($AV232,Constants!$B$17,0))))</f>
        <v/>
      </c>
      <c r="BP232" s="74" t="str">
        <f aca="false">IF($BL232&lt;&gt;Constants!$B$4,"",IF(NOT($AL232),0,Constants!$B$19*($AK232+$AX232+$AY232+$AZ232)))</f>
        <v/>
      </c>
      <c r="BQ232" s="74" t="str">
        <f aca="false">IF($BL232&lt;&gt;Constants!$B$4,"",IF(OR(NOT($AL232),NOT(ISNUMBER($BA232))),0,CHOOSE($BA232,Constants!$B$13,Constants!$B$14,Constants!$B$15,Constants!$B$16)))</f>
        <v/>
      </c>
      <c r="BR232" s="74" t="str">
        <f aca="false">IF($BL232&lt;&gt;Constants!$B$4,"",IF(NOT($AL232),0,Constants!$B$20*$BB232))</f>
        <v/>
      </c>
      <c r="BS232" s="74" t="str">
        <f aca="false">IF($BL232&lt;&gt;Constants!$B$4,"",IF(AND($AL232,$BD232,$BE232),Constants!$B$22,0))</f>
        <v/>
      </c>
      <c r="BT232" s="74" t="str">
        <f aca="false">IF($BL232&lt;&gt;Constants!$B$4,"",IF(OR(NOT($AL232),NOT($BD232)),0,IF($BJ232&gt;=2*$AH$9,0,Constants!$B$23*INT(ROUND(MIN($BJ232,$AH$9),6)))))</f>
        <v/>
      </c>
      <c r="BU232" s="74" t="str">
        <f aca="false">IF($BL232&lt;&gt;Constants!$B$4,"",IF(NOT($AL232),0,Constants!$B$24*INT(ROUND(MIN($BC232,$AH$9),6))))</f>
        <v/>
      </c>
      <c r="BV232" s="74" t="str">
        <f aca="false">IF($BL232&lt;&gt;Constants!$B$4,"",IF(AND($AL232,$BN232=0),Constants!$B$25,0))</f>
        <v/>
      </c>
      <c r="BW232" s="74" t="str">
        <f aca="false">IF($BL232&lt;&gt;Constants!$B$4,"",MIN(Constants!$B$29,MAX(0,Constants!$B$27*Constants!$B$28*INT(ROUND((Constants!$B$26-$AN232)/Constants!$B$28,6))))+MIN(Constants!$B$29,MAX(0,Constants!$B$27*Constants!$B$28*INT(ROUND((Constants!$B$26-$AO232)/Constants!$B$28,6))))+MIN(Constants!$B$29,MAX(0,Constants!$B$27*Constants!$B$28*INT(ROUND((Constants!$B$26-$AP232)/Constants!$B$28,6)))))</f>
        <v/>
      </c>
      <c r="BX232" s="74" t="str">
        <f aca="false">IF($BL232&lt;&gt;Constants!$B$4,"",IF(NOT($AL232),0,Constants!$B$31*INT(ROUND(MAX(0,MIN($BJ232,2*$AH$9)-$AH$9),6))))</f>
        <v/>
      </c>
      <c r="BY232" s="74" t="str">
        <f aca="false">IF($BL232&lt;&gt;Constants!$B$4,"",Constants!$B$32*(($AN232&gt;Constants!$B$26)+($AO232&gt;Constants!$B$26)+($AP232&gt;Constants!$B$26)))</f>
        <v/>
      </c>
      <c r="BZ232" s="74" t="str">
        <f aca="false">IF($BL232&lt;&gt;Constants!$B$4,"",IF(OR(NOT($AL232),$AQ232),0,Constants!$B$33))</f>
        <v/>
      </c>
      <c r="CA232" s="74" t="str">
        <f aca="false">IF($BL232&lt;&gt;Constants!$B$4,"",Constants!$B$34*$BN232)</f>
        <v/>
      </c>
      <c r="CB232" s="74" t="str">
        <f aca="false">IF($BL232&lt;&gt;Constants!$B$4,"",IF(OR(NOT($AL232),$BH232),0,Constants!$B$36))</f>
        <v/>
      </c>
      <c r="CC232" s="74" t="str">
        <f aca="false">IF($BL232&lt;&gt;Constants!$B$4,"",IF(OR(NOT($AL232),$BG232),0,Constants!$B$37))</f>
        <v/>
      </c>
      <c r="CD232" s="74" t="str">
        <f aca="false">IF($BL232&lt;&gt;Constants!$B$4,"",SUM($BX232:$CC232))</f>
        <v/>
      </c>
      <c r="CE232" s="74" t="str">
        <f aca="false">IF(ISBLANK($C232),"",IF($BL232&lt;&gt;Constants!$B$4,$BL232,SUM($BO232:$BW232)-$CD232))</f>
        <v/>
      </c>
      <c r="CF232" s="74" t="str">
        <f aca="false">IF(ISBLANK($C232),"",IF($BL232&lt;&gt;Constants!$B$4,$BL232,RANK($CE232,$CE$9:$CE$508)))</f>
        <v/>
      </c>
      <c r="CG232" s="74" t="str">
        <f aca="false">IF(ISBLANK($C232),"",IF($BL232&lt;&gt;Constants!$B$4,$BL232,COUNTIFS($BM$9:$BM$508,"&lt;"&amp;$BM232)+COUNTIFS($BM$9:$BM$508,$BM232,$CF$9:$CF$508,"&lt;"&amp;$CF232)+1))</f>
        <v/>
      </c>
      <c r="CH232" s="74" t="str">
        <f aca="false">IF(ISBLANK($C232),"",IF($BL232&lt;&gt;Constants!$B$4,$BL232,RANK($CD232,$CD$9:$CD$508,1)))</f>
        <v/>
      </c>
      <c r="CI232" s="74" t="str">
        <f aca="false">IF($BL232&lt;&gt;Constants!$B$4,"",$AN232+$AO232+$AP232)</f>
        <v/>
      </c>
      <c r="CJ232" s="74" t="str">
        <f aca="false">IF(ISBLANK($C232),"",IF($BL232&lt;&gt;Constants!$B$4,$BL232,RANK($CI232,$CI$9:$CI$508,1)))</f>
        <v/>
      </c>
      <c r="CK232" s="74" t="str">
        <f aca="false">IF(ISBLANK($C232),"",IF($BL232&lt;&gt;Constants!$B$4,$BL232,COUNTIFS($BM$9:$BM$508,"&lt;"&amp;$BM232)+COUNTIFS($BM$9:$BM$508,$BM232,$CF$9:$CF$508,"&lt;"&amp;$CF232)+COUNTIFS($BM$9:$BM$508,$BM232,$CF$9:$CF$508,$CF232,$CH$9:$CH$508,"&lt;"&amp;$CH232)+COUNTIFS($BM$9:$BM$508,$BM232,$CF$9:$CF$508,$CF232,$CH$9:$CH$508,$CH232,$CJ$9:$CJ$508,"&lt;"&amp;$CJ232)+1))</f>
        <v/>
      </c>
      <c r="CL232" s="74" t="str">
        <f aca="false">IF(ISBLANK($C232),"",IF($BL232&lt;&gt;Constants!$B$4,$BL232,$CG232-$CK232))</f>
        <v/>
      </c>
      <c r="CM232" s="74" t="str">
        <f aca="false">IF(ISBLANK($C232),"",IF(NOT($AL232),"",IF(ISBLANK($D$7),$CM$5,IF(NOT(ISNUMBER($D$7)),$CM$6,""))))</f>
        <v/>
      </c>
      <c r="CN232" s="74" t="str">
        <f aca="false">IF(ISBLANK($C232),"",OR($AN232="",$AO232="",$AP232=""))</f>
        <v/>
      </c>
      <c r="CO232" s="74" t="str">
        <f aca="false">IF(ISBLANK($C232),"",AND($AL232,$BA232=""))</f>
        <v/>
      </c>
      <c r="CP232" s="74" t="str">
        <f aca="false">IF(ISBLANK($C232),"",AND($AL232,$BB232=""))</f>
        <v/>
      </c>
      <c r="CQ232" s="74" t="str">
        <f aca="false">IF(ISBLANK($C232),"",AND($AL232,$BC232=""))</f>
        <v/>
      </c>
      <c r="CR232" s="74" t="str">
        <f aca="false">IF(ISBLANK($C232),"",AND($AL232,$BF232=""))</f>
        <v/>
      </c>
      <c r="CS232" s="74" t="str">
        <f aca="false">IF(ISBLANK($C232),"",AND($AL232,$BJ232=""))</f>
        <v/>
      </c>
      <c r="CT232" s="75"/>
      <c r="CU232" s="76"/>
      <c r="CV232" s="79" t="str">
        <f aca="false">IF(ISBLANK($C232),"",IF($BL232=Constants!$B$8,$CM232,""))</f>
        <v/>
      </c>
      <c r="CW232" s="76" t="str">
        <f aca="false">IF(ISBLANK($C232),"",IF($BL232&lt;&gt;Constants!$B$4,"",$BO232+$BP232))</f>
        <v/>
      </c>
      <c r="CX232" s="78" t="str">
        <f aca="false">IF(ISBLANK($C232),"",IF($BL232&lt;&gt;Constants!$B$4,"",$BQ232+$BR232+$BS232))</f>
        <v/>
      </c>
      <c r="CY232" s="78" t="str">
        <f aca="false">IF(ISBLANK($C232),"",IF($BL232&lt;&gt;Constants!$B$4,"",$BT232))</f>
        <v/>
      </c>
      <c r="CZ232" s="78" t="str">
        <f aca="false">IF(ISBLANK($C232),"",IF($BL232&lt;&gt;Constants!$B$4,"",$BU232+$BV232))</f>
        <v/>
      </c>
      <c r="DA232" s="78" t="str">
        <f aca="false">IF(ISBLANK($C232),"",IF($BL232&lt;&gt;Constants!$B$4,"",$BW232))</f>
        <v/>
      </c>
      <c r="DB232" s="78" t="str">
        <f aca="false">IF(ISBLANK($C232),"",IF($BL232&lt;&gt;Constants!$B$4,"",-$CD232))</f>
        <v/>
      </c>
      <c r="DC232" s="79" t="str">
        <f aca="false">IF(ISBLANK($C232),"",$CE232)</f>
        <v/>
      </c>
      <c r="DD232" s="80" t="str">
        <f aca="false">IF(ISBLANK($C232),"",$BM232)</f>
        <v/>
      </c>
      <c r="DE232" s="78" t="str">
        <f aca="false">IF(ISBLANK($C232),"",$CL232)</f>
        <v/>
      </c>
      <c r="DF232" s="78" t="str">
        <f aca="false">IF(ISBLANK($C232),"",$CK232)</f>
        <v/>
      </c>
      <c r="DG232" s="81" t="str">
        <f aca="false">IF(ISBLANK($C232),"",IF($DF232=Constants!$B$7,COUNTA($C$9:$C$508)+2,IF($DF232=Constants!$B$6,COUNTA($C$9:$C$508)+1,IF($DF232=Constants!$B$5,COUNTA($C$9:$C$508),$DF232))))</f>
        <v/>
      </c>
      <c r="DH232" s="7"/>
      <c r="DI232" s="82" t="n">
        <f aca="false">IF(OR(ISNUMBER($DF232),$DF232=Constants!$B$7,$DF232=Constants!$B$5,$DF232=Constants!$B$6),1,0)</f>
        <v>0</v>
      </c>
      <c r="DJ232" s="82" t="n">
        <v>224</v>
      </c>
      <c r="DK232" s="82" t="str">
        <f aca="false">IF(ISBLANK($C232),"",IF(ISNUMBER($DG232),$DG232+ROW($B232)/1000,""))</f>
        <v/>
      </c>
      <c r="DL232" s="82" t="str">
        <f aca="false">IF(ISNUMBER($DK232),RANK($DK232,$DK$9:$DK$508,1),"")</f>
        <v/>
      </c>
      <c r="DM232" s="82" t="str">
        <f aca="false">IF(ISBLANK($C232),"",$B232)</f>
        <v/>
      </c>
      <c r="DN232" s="82" t="str">
        <f aca="false">IF(ISBLANK($C232),"",$C232)</f>
        <v/>
      </c>
      <c r="DO232" s="82" t="str">
        <f aca="false">IF(ISBLANK($C232),"",$D232)</f>
        <v/>
      </c>
      <c r="DP232" s="83" t="str">
        <f aca="false">$DD232</f>
        <v/>
      </c>
      <c r="DQ232" s="84" t="str">
        <f aca="false">$DC232</f>
        <v/>
      </c>
      <c r="DR232" s="82" t="str">
        <f aca="false">IF(ISBLANK($C232),"",$DF232)</f>
        <v/>
      </c>
      <c r="DS232" s="85" t="str">
        <f aca="false">IF($DJ232&gt;$DI$8,"",VLOOKUP($DJ232,$DL$9:$DR$508,7,FALSE()))</f>
        <v/>
      </c>
      <c r="DT232" s="86" t="str">
        <f aca="false">IF($DJ232&gt;$DI$8,"",VLOOKUP($DJ232,$DL$9:$DR$508,2,FALSE()))</f>
        <v/>
      </c>
      <c r="DU232" s="86" t="str">
        <f aca="false">IF($DJ232&gt;$DI$8,"",VLOOKUP($DJ232,$DL$9:$DR$508,3,FALSE()))</f>
        <v/>
      </c>
      <c r="DV232" s="86" t="str">
        <f aca="false">IF($DJ232&gt;$DI$8,"",VLOOKUP($DJ232,$DL$9:$DR$508,4,FALSE()))</f>
        <v/>
      </c>
      <c r="DW232" s="86" t="str">
        <f aca="false">IF($DJ232&gt;$DI$8,"",VLOOKUP($DJ232,$DL$9:$DR$508,5,FALSE()))</f>
        <v/>
      </c>
      <c r="DX232" s="87" t="str">
        <f aca="false">IF($DJ232&gt;$DI$8,"",VLOOKUP($DJ232,$DL$9:$DR$508,6,FALSE()))</f>
        <v/>
      </c>
      <c r="DY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88"/>
      <c r="N233" s="88"/>
      <c r="O233" s="134"/>
      <c r="P233" s="134"/>
      <c r="Q233" s="88"/>
      <c r="R233" s="88"/>
      <c r="S233" s="88"/>
      <c r="T233" s="88"/>
      <c r="U233" s="134"/>
      <c r="V233" s="88"/>
      <c r="W233" s="70"/>
      <c r="X233" s="88"/>
      <c r="Y233" s="88"/>
      <c r="Z233" s="70"/>
      <c r="AA233" s="70"/>
      <c r="AB233" s="88"/>
      <c r="AC233" s="88"/>
      <c r="AD233" s="88"/>
      <c r="AE233" s="71"/>
      <c r="AF233" s="88"/>
      <c r="AG233" s="73"/>
      <c r="AH233" s="74"/>
      <c r="AI233" s="74"/>
      <c r="AJ233" s="74" t="str">
        <f aca="false">IF(ISBLANK($C233),"",IF($E233=Constants!$B$2,TRUE(),IF($E233=Constants!$B$3,FALSE(),TRUE())))</f>
        <v/>
      </c>
      <c r="AK233" s="74" t="str">
        <f aca="false">IF(ISBLANK($C233),"",IF($F233=Constants!$B$2,TRUE(),IF($F233=Constants!$B$3,FALSE(),FALSE())))</f>
        <v/>
      </c>
      <c r="AL233" s="74" t="str">
        <f aca="false">IF(ISBLANK($C233),"",IF($G233=Constants!$B$2,TRUE(),IF($G233=Constants!$B$3,FALSE(),TRUE())))</f>
        <v/>
      </c>
      <c r="AM233" s="74" t="str">
        <f aca="false">IF(ISBLANK($C233),"",IF($H233=Constants!$B$2,TRUE(),IF($H233=Constants!$B$3,FALSE(),TRUE())))</f>
        <v/>
      </c>
      <c r="AN233" s="74" t="str">
        <f aca="false">IF(ISBLANK($C233),"",IF(ISNUMBER($I233),IF($I233&gt;=0,$I233,""),""))</f>
        <v/>
      </c>
      <c r="AO233" s="74" t="str">
        <f aca="false">IF(ISBLANK($C233),"",IF(ISNUMBER($J233),IF($J233&gt;=0,$J233,""),""))</f>
        <v/>
      </c>
      <c r="AP233" s="74" t="str">
        <f aca="false">IF(ISBLANK($C233),"",IF(ISNUMBER($K233),IF($K233&gt;=0,$K233,""),""))</f>
        <v/>
      </c>
      <c r="AQ233" s="74" t="str">
        <f aca="false">IF(ISBLANK($C233),"",IF($L233=Constants!$B$2,TRUE(),IF($L233=Constants!$B$3,FALSE(),TRUE())))</f>
        <v/>
      </c>
      <c r="AR233" s="74" t="str">
        <f aca="false">IF(ISBLANK($C233),"",IF($M233=Constants!$B$2,TRUE(),IF($M233=Constants!$B$3,FALSE(),TRUE())))</f>
        <v/>
      </c>
      <c r="AS233" s="74" t="str">
        <f aca="false">IF(ISBLANK($C233),"",IF($N233=Constants!$B$2,TRUE(),IF($N233=Constants!$B$3,FALSE(),FALSE())))</f>
        <v/>
      </c>
      <c r="AT233" s="74" t="str">
        <f aca="false">IF(ISBLANK($C233),"",IF($O233=Constants!$B$2,TRUE(),IF($O233=Constants!$B$3,FALSE(),TRUE())))</f>
        <v/>
      </c>
      <c r="AU233" s="74" t="str">
        <f aca="false">IF(ISBLANK($C233),"",IF($P233=Constants!$B$2,TRUE(),IF($P233=Constants!$B$3,FALSE(),TRUE())))</f>
        <v/>
      </c>
      <c r="AV233" s="74" t="str">
        <f aca="false">IF(ISBLANK($C233),"",IF($Q233=Constants!$B$2,TRUE(),IF($Q233=Constants!$B$3,FALSE(),FALSE())))</f>
        <v/>
      </c>
      <c r="AW233" s="74" t="str">
        <f aca="false">IF(ISBLANK($C233),"",IF($R233=Constants!$B$2,TRUE(),IF($R233=Constants!$B$3,FALSE(),FALSE())))</f>
        <v/>
      </c>
      <c r="AX233" s="74" t="str">
        <f aca="false">IF(ISBLANK($C233),"",IF($S233=Constants!$B$2,TRUE(),IF($S233=Constants!$B$3,FALSE(),FALSE())))</f>
        <v/>
      </c>
      <c r="AY233" s="74" t="str">
        <f aca="false">IF(ISBLANK($C233),"",IF($T233=Constants!$B$2,TRUE(),IF($T233=Constants!$B$3,FALSE(),FALSE())))</f>
        <v/>
      </c>
      <c r="AZ233" s="74" t="str">
        <f aca="false">IF(ISBLANK($C233),"",IF($U233=Constants!$B$2,TRUE(),IF($U233=Constants!$B$3,FALSE(),FALSE())))</f>
        <v/>
      </c>
      <c r="BA233" s="74" t="str">
        <f aca="false">IF(ISBLANK($C233),"",IF(OR($V233&amp;""="1",$V233&amp;""="2",$V233&amp;""="3",$V233&amp;""="4"),VALUE($V233&amp;""),IF($V233=Constants!$B$12,Constants!$B$12,"")))</f>
        <v/>
      </c>
      <c r="BB233" s="74" t="str">
        <f aca="false">IF(ISBLANK($C233),"",IF(ISBLANK($W233),0,IF(ISNUMBER($W233),IF(AND($W233&gt;=0,$W233&lt;=Constants!$B$21,$W233=INT($W233)),$W233,""),"")))</f>
        <v/>
      </c>
      <c r="BC233" s="74" t="str">
        <f aca="false">IF(ISBLANK($C233),"",IF(ISBLANK($X233),0,IF(ISNUMBER($X233),IF($X233&gt;=0,$X233,""),"")))</f>
        <v/>
      </c>
      <c r="BD233" s="74" t="str">
        <f aca="false">IF(ISBLANK($C233),"",IF($Y233=Constants!$B$2,TRUE(),IF($Y233=Constants!$B$3,FALSE(),TRUE())))</f>
        <v/>
      </c>
      <c r="BE233" s="74" t="str">
        <f aca="false">IF(ISBLANK($C233),"",IF($Z233=Constants!$B$2,TRUE(),IF($Z233=Constants!$B$3,FALSE(),FALSE())))</f>
        <v/>
      </c>
      <c r="BF233" s="74" t="str">
        <f aca="false">IF(ISBLANK($C233),"",IF(ISBLANK($AA233),0,IF(ISNUMBER($AA233),IF(AND($AA233&gt;=0,$AA233&lt;=Constants!$B$35,$AA233=INT($AA233)),$AA233,""),"")))</f>
        <v/>
      </c>
      <c r="BG233" s="74" t="str">
        <f aca="false">IF(ISBLANK($C233),"",IF($AB233=Constants!$B$2,TRUE(),IF($AB233=Constants!$B$3,FALSE(),TRUE())))</f>
        <v/>
      </c>
      <c r="BH233" s="74" t="str">
        <f aca="false">IF(ISBLANK($C233),"",IF($AC233=Constants!$B$2,TRUE(),IF($AC233=Constants!$B$3,FALSE(),TRUE())))</f>
        <v/>
      </c>
      <c r="BI233" s="74" t="str">
        <f aca="false">IF(ISBLANK($C233),"",IF($AD233=Constants!$B$2,TRUE(),IF($AD233=Constants!$B$3,FALSE(),TRUE())))</f>
        <v/>
      </c>
      <c r="BJ233" s="74" t="str">
        <f aca="false">IF(ISBLANK($C233),"",IF(ISNUMBER($AE233),IF($AE233&gt;=0,$AE233,""),""))</f>
        <v/>
      </c>
      <c r="BK233" s="74" t="str">
        <f aca="false">IF(ISBLANK($C233),"",IF($AF233=Constants!$B$2,TRUE(),IF($AF233=Constants!$B$3,FALSE(),FALSE())))</f>
        <v/>
      </c>
      <c r="BL233" s="73" t="str">
        <f aca="false">IF(ISBLANK($C233),"",IF($BK233,Constants!$B$7,IF(COUNTA($E233:$AE233)=0,Constants!$B$6,IF(OR(COUNTA($G233:$AE233)=0,NOT($AM233),$AS233),Constants!$B$5,IF(OR($CM233&lt;&gt;"",$CN233,$CO233,$CP233,$CQ233,$CR233,$CS233),Constants!$B$8,Constants!$B$4)))))</f>
        <v/>
      </c>
      <c r="BM233" s="74" t="str">
        <f aca="false">IF(ISBLANK($C233),"",IF($BL233&lt;&gt;Constants!$B$4,$BL233,IF(OR(NOT($AJ233),NOT($AL233),NOT($AT233)),Constants!$B$11,IF(OR(NOT($AR233),NOT($AU233),NOT($BI233),MAX($AN233,$AO233,$AP233)&gt;Constants!$B$30),Constants!$B$10,Constants!$B$9))))</f>
        <v/>
      </c>
      <c r="BN233" s="74" t="str">
        <f aca="false">IF($BL233&lt;&gt;Constants!$B$4,"",IF(NOT($AL233),0,MIN(Constants!$B$35,$BF233)))</f>
        <v/>
      </c>
      <c r="BO233" s="74" t="str">
        <f aca="false">IF($BL233&lt;&gt;Constants!$B$4,"",IF(NOT($AL233),0,IF($AW233,Constants!$B$18,IF($AV233,Constants!$B$17,0))))</f>
        <v/>
      </c>
      <c r="BP233" s="74" t="str">
        <f aca="false">IF($BL233&lt;&gt;Constants!$B$4,"",IF(NOT($AL233),0,Constants!$B$19*($AK233+$AX233+$AY233+$AZ233)))</f>
        <v/>
      </c>
      <c r="BQ233" s="74" t="str">
        <f aca="false">IF($BL233&lt;&gt;Constants!$B$4,"",IF(OR(NOT($AL233),NOT(ISNUMBER($BA233))),0,CHOOSE($BA233,Constants!$B$13,Constants!$B$14,Constants!$B$15,Constants!$B$16)))</f>
        <v/>
      </c>
      <c r="BR233" s="74" t="str">
        <f aca="false">IF($BL233&lt;&gt;Constants!$B$4,"",IF(NOT($AL233),0,Constants!$B$20*$BB233))</f>
        <v/>
      </c>
      <c r="BS233" s="74" t="str">
        <f aca="false">IF($BL233&lt;&gt;Constants!$B$4,"",IF(AND($AL233,$BD233,$BE233),Constants!$B$22,0))</f>
        <v/>
      </c>
      <c r="BT233" s="74" t="str">
        <f aca="false">IF($BL233&lt;&gt;Constants!$B$4,"",IF(OR(NOT($AL233),NOT($BD233)),0,IF($BJ233&gt;=2*$AH$9,0,Constants!$B$23*INT(ROUND(MIN($BJ233,$AH$9),6)))))</f>
        <v/>
      </c>
      <c r="BU233" s="74" t="str">
        <f aca="false">IF($BL233&lt;&gt;Constants!$B$4,"",IF(NOT($AL233),0,Constants!$B$24*INT(ROUND(MIN($BC233,$AH$9),6))))</f>
        <v/>
      </c>
      <c r="BV233" s="74" t="str">
        <f aca="false">IF($BL233&lt;&gt;Constants!$B$4,"",IF(AND($AL233,$BN233=0),Constants!$B$25,0))</f>
        <v/>
      </c>
      <c r="BW233" s="74" t="str">
        <f aca="false">IF($BL233&lt;&gt;Constants!$B$4,"",MIN(Constants!$B$29,MAX(0,Constants!$B$27*Constants!$B$28*INT(ROUND((Constants!$B$26-$AN233)/Constants!$B$28,6))))+MIN(Constants!$B$29,MAX(0,Constants!$B$27*Constants!$B$28*INT(ROUND((Constants!$B$26-$AO233)/Constants!$B$28,6))))+MIN(Constants!$B$29,MAX(0,Constants!$B$27*Constants!$B$28*INT(ROUND((Constants!$B$26-$AP233)/Constants!$B$28,6)))))</f>
        <v/>
      </c>
      <c r="BX233" s="74" t="str">
        <f aca="false">IF($BL233&lt;&gt;Constants!$B$4,"",IF(NOT($AL233),0,Constants!$B$31*INT(ROUND(MAX(0,MIN($BJ233,2*$AH$9)-$AH$9),6))))</f>
        <v/>
      </c>
      <c r="BY233" s="74" t="str">
        <f aca="false">IF($BL233&lt;&gt;Constants!$B$4,"",Constants!$B$32*(($AN233&gt;Constants!$B$26)+($AO233&gt;Constants!$B$26)+($AP233&gt;Constants!$B$26)))</f>
        <v/>
      </c>
      <c r="BZ233" s="74" t="str">
        <f aca="false">IF($BL233&lt;&gt;Constants!$B$4,"",IF(OR(NOT($AL233),$AQ233),0,Constants!$B$33))</f>
        <v/>
      </c>
      <c r="CA233" s="74" t="str">
        <f aca="false">IF($BL233&lt;&gt;Constants!$B$4,"",Constants!$B$34*$BN233)</f>
        <v/>
      </c>
      <c r="CB233" s="74" t="str">
        <f aca="false">IF($BL233&lt;&gt;Constants!$B$4,"",IF(OR(NOT($AL233),$BH233),0,Constants!$B$36))</f>
        <v/>
      </c>
      <c r="CC233" s="74" t="str">
        <f aca="false">IF($BL233&lt;&gt;Constants!$B$4,"",IF(OR(NOT($AL233),$BG233),0,Constants!$B$37))</f>
        <v/>
      </c>
      <c r="CD233" s="74" t="str">
        <f aca="false">IF($BL233&lt;&gt;Constants!$B$4,"",SUM($BX233:$CC233))</f>
        <v/>
      </c>
      <c r="CE233" s="74" t="str">
        <f aca="false">IF(ISBLANK($C233),"",IF($BL233&lt;&gt;Constants!$B$4,$BL233,SUM($BO233:$BW233)-$CD233))</f>
        <v/>
      </c>
      <c r="CF233" s="74" t="str">
        <f aca="false">IF(ISBLANK($C233),"",IF($BL233&lt;&gt;Constants!$B$4,$BL233,RANK($CE233,$CE$9:$CE$508)))</f>
        <v/>
      </c>
      <c r="CG233" s="74" t="str">
        <f aca="false">IF(ISBLANK($C233),"",IF($BL233&lt;&gt;Constants!$B$4,$BL233,COUNTIFS($BM$9:$BM$508,"&lt;"&amp;$BM233)+COUNTIFS($BM$9:$BM$508,$BM233,$CF$9:$CF$508,"&lt;"&amp;$CF233)+1))</f>
        <v/>
      </c>
      <c r="CH233" s="74" t="str">
        <f aca="false">IF(ISBLANK($C233),"",IF($BL233&lt;&gt;Constants!$B$4,$BL233,RANK($CD233,$CD$9:$CD$508,1)))</f>
        <v/>
      </c>
      <c r="CI233" s="74" t="str">
        <f aca="false">IF($BL233&lt;&gt;Constants!$B$4,"",$AN233+$AO233+$AP233)</f>
        <v/>
      </c>
      <c r="CJ233" s="74" t="str">
        <f aca="false">IF(ISBLANK($C233),"",IF($BL233&lt;&gt;Constants!$B$4,$BL233,RANK($CI233,$CI$9:$CI$508,1)))</f>
        <v/>
      </c>
      <c r="CK233" s="74" t="str">
        <f aca="false">IF(ISBLANK($C233),"",IF($BL233&lt;&gt;Constants!$B$4,$BL233,COUNTIFS($BM$9:$BM$508,"&lt;"&amp;$BM233)+COUNTIFS($BM$9:$BM$508,$BM233,$CF$9:$CF$508,"&lt;"&amp;$CF233)+COUNTIFS($BM$9:$BM$508,$BM233,$CF$9:$CF$508,$CF233,$CH$9:$CH$508,"&lt;"&amp;$CH233)+COUNTIFS($BM$9:$BM$508,$BM233,$CF$9:$CF$508,$CF233,$CH$9:$CH$508,$CH233,$CJ$9:$CJ$508,"&lt;"&amp;$CJ233)+1))</f>
        <v/>
      </c>
      <c r="CL233" s="74" t="str">
        <f aca="false">IF(ISBLANK($C233),"",IF($BL233&lt;&gt;Constants!$B$4,$BL233,$CG233-$CK233))</f>
        <v/>
      </c>
      <c r="CM233" s="74" t="str">
        <f aca="false">IF(ISBLANK($C233),"",IF(NOT($AL233),"",IF(ISBLANK($D$7),$CM$5,IF(NOT(ISNUMBER($D$7)),$CM$6,""))))</f>
        <v/>
      </c>
      <c r="CN233" s="74" t="str">
        <f aca="false">IF(ISBLANK($C233),"",OR($AN233="",$AO233="",$AP233=""))</f>
        <v/>
      </c>
      <c r="CO233" s="74" t="str">
        <f aca="false">IF(ISBLANK($C233),"",AND($AL233,$BA233=""))</f>
        <v/>
      </c>
      <c r="CP233" s="74" t="str">
        <f aca="false">IF(ISBLANK($C233),"",AND($AL233,$BB233=""))</f>
        <v/>
      </c>
      <c r="CQ233" s="74" t="str">
        <f aca="false">IF(ISBLANK($C233),"",AND($AL233,$BC233=""))</f>
        <v/>
      </c>
      <c r="CR233" s="74" t="str">
        <f aca="false">IF(ISBLANK($C233),"",AND($AL233,$BF233=""))</f>
        <v/>
      </c>
      <c r="CS233" s="74" t="str">
        <f aca="false">IF(ISBLANK($C233),"",AND($AL233,$BJ233=""))</f>
        <v/>
      </c>
      <c r="CT233" s="75"/>
      <c r="CU233" s="76"/>
      <c r="CV233" s="79" t="str">
        <f aca="false">IF(ISBLANK($C233),"",IF($BL233=Constants!$B$8,$CM233,""))</f>
        <v/>
      </c>
      <c r="CW233" s="76" t="str">
        <f aca="false">IF(ISBLANK($C233),"",IF($BL233&lt;&gt;Constants!$B$4,"",$BO233+$BP233))</f>
        <v/>
      </c>
      <c r="CX233" s="78" t="str">
        <f aca="false">IF(ISBLANK($C233),"",IF($BL233&lt;&gt;Constants!$B$4,"",$BQ233+$BR233+$BS233))</f>
        <v/>
      </c>
      <c r="CY233" s="78" t="str">
        <f aca="false">IF(ISBLANK($C233),"",IF($BL233&lt;&gt;Constants!$B$4,"",$BT233))</f>
        <v/>
      </c>
      <c r="CZ233" s="78" t="str">
        <f aca="false">IF(ISBLANK($C233),"",IF($BL233&lt;&gt;Constants!$B$4,"",$BU233+$BV233))</f>
        <v/>
      </c>
      <c r="DA233" s="78" t="str">
        <f aca="false">IF(ISBLANK($C233),"",IF($BL233&lt;&gt;Constants!$B$4,"",$BW233))</f>
        <v/>
      </c>
      <c r="DB233" s="78" t="str">
        <f aca="false">IF(ISBLANK($C233),"",IF($BL233&lt;&gt;Constants!$B$4,"",-$CD233))</f>
        <v/>
      </c>
      <c r="DC233" s="79" t="str">
        <f aca="false">IF(ISBLANK($C233),"",$CE233)</f>
        <v/>
      </c>
      <c r="DD233" s="80" t="str">
        <f aca="false">IF(ISBLANK($C233),"",$BM233)</f>
        <v/>
      </c>
      <c r="DE233" s="78" t="str">
        <f aca="false">IF(ISBLANK($C233),"",$CL233)</f>
        <v/>
      </c>
      <c r="DF233" s="78" t="str">
        <f aca="false">IF(ISBLANK($C233),"",$CK233)</f>
        <v/>
      </c>
      <c r="DG233" s="81" t="str">
        <f aca="false">IF(ISBLANK($C233),"",IF($DF233=Constants!$B$7,COUNTA($C$9:$C$508)+2,IF($DF233=Constants!$B$6,COUNTA($C$9:$C$508)+1,IF($DF233=Constants!$B$5,COUNTA($C$9:$C$508),$DF233))))</f>
        <v/>
      </c>
      <c r="DH233" s="7"/>
      <c r="DI233" s="82" t="n">
        <f aca="false">IF(OR(ISNUMBER($DF233),$DF233=Constants!$B$7,$DF233=Constants!$B$5,$DF233=Constants!$B$6),1,0)</f>
        <v>0</v>
      </c>
      <c r="DJ233" s="82" t="n">
        <v>225</v>
      </c>
      <c r="DK233" s="82" t="str">
        <f aca="false">IF(ISBLANK($C233),"",IF(ISNUMBER($DG233),$DG233+ROW($B233)/1000,""))</f>
        <v/>
      </c>
      <c r="DL233" s="82" t="str">
        <f aca="false">IF(ISNUMBER($DK233),RANK($DK233,$DK$9:$DK$508,1),"")</f>
        <v/>
      </c>
      <c r="DM233" s="82" t="str">
        <f aca="false">IF(ISBLANK($C233),"",$B233)</f>
        <v/>
      </c>
      <c r="DN233" s="82" t="str">
        <f aca="false">IF(ISBLANK($C233),"",$C233)</f>
        <v/>
      </c>
      <c r="DO233" s="82" t="str">
        <f aca="false">IF(ISBLANK($C233),"",$D233)</f>
        <v/>
      </c>
      <c r="DP233" s="83" t="str">
        <f aca="false">$DD233</f>
        <v/>
      </c>
      <c r="DQ233" s="84" t="str">
        <f aca="false">$DC233</f>
        <v/>
      </c>
      <c r="DR233" s="82" t="str">
        <f aca="false">IF(ISBLANK($C233),"",$DF233)</f>
        <v/>
      </c>
      <c r="DS233" s="85" t="str">
        <f aca="false">IF($DJ233&gt;$DI$8,"",VLOOKUP($DJ233,$DL$9:$DR$508,7,FALSE()))</f>
        <v/>
      </c>
      <c r="DT233" s="86" t="str">
        <f aca="false">IF($DJ233&gt;$DI$8,"",VLOOKUP($DJ233,$DL$9:$DR$508,2,FALSE()))</f>
        <v/>
      </c>
      <c r="DU233" s="86" t="str">
        <f aca="false">IF($DJ233&gt;$DI$8,"",VLOOKUP($DJ233,$DL$9:$DR$508,3,FALSE()))</f>
        <v/>
      </c>
      <c r="DV233" s="86" t="str">
        <f aca="false">IF($DJ233&gt;$DI$8,"",VLOOKUP($DJ233,$DL$9:$DR$508,4,FALSE()))</f>
        <v/>
      </c>
      <c r="DW233" s="86" t="str">
        <f aca="false">IF($DJ233&gt;$DI$8,"",VLOOKUP($DJ233,$DL$9:$DR$508,5,FALSE()))</f>
        <v/>
      </c>
      <c r="DX233" s="87" t="str">
        <f aca="false">IF($DJ233&gt;$DI$8,"",VLOOKUP($DJ233,$DL$9:$DR$508,6,FALSE()))</f>
        <v/>
      </c>
      <c r="DY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130"/>
      <c r="N234" s="130"/>
      <c r="O234" s="135"/>
      <c r="P234" s="135"/>
      <c r="Q234" s="130"/>
      <c r="R234" s="130"/>
      <c r="S234" s="130"/>
      <c r="T234" s="130"/>
      <c r="U234" s="135"/>
      <c r="V234" s="130"/>
      <c r="W234" s="96"/>
      <c r="X234" s="130"/>
      <c r="Y234" s="130"/>
      <c r="Z234" s="96"/>
      <c r="AA234" s="96"/>
      <c r="AB234" s="130"/>
      <c r="AC234" s="130"/>
      <c r="AD234" s="130"/>
      <c r="AE234" s="97"/>
      <c r="AF234" s="130"/>
      <c r="AG234" s="99"/>
      <c r="AH234" s="100"/>
      <c r="AI234" s="100"/>
      <c r="AJ234" s="100" t="str">
        <f aca="false">IF(ISBLANK($C234),"",IF($E234=Constants!$B$2,TRUE(),IF($E234=Constants!$B$3,FALSE(),TRUE())))</f>
        <v/>
      </c>
      <c r="AK234" s="100" t="str">
        <f aca="false">IF(ISBLANK($C234),"",IF($F234=Constants!$B$2,TRUE(),IF($F234=Constants!$B$3,FALSE(),FALSE())))</f>
        <v/>
      </c>
      <c r="AL234" s="100" t="str">
        <f aca="false">IF(ISBLANK($C234),"",IF($G234=Constants!$B$2,TRUE(),IF($G234=Constants!$B$3,FALSE(),TRUE())))</f>
        <v/>
      </c>
      <c r="AM234" s="100" t="str">
        <f aca="false">IF(ISBLANK($C234),"",IF($H234=Constants!$B$2,TRUE(),IF($H234=Constants!$B$3,FALSE(),TRUE())))</f>
        <v/>
      </c>
      <c r="AN234" s="100" t="str">
        <f aca="false">IF(ISBLANK($C234),"",IF(ISNUMBER($I234),IF($I234&gt;=0,$I234,""),""))</f>
        <v/>
      </c>
      <c r="AO234" s="100" t="str">
        <f aca="false">IF(ISBLANK($C234),"",IF(ISNUMBER($J234),IF($J234&gt;=0,$J234,""),""))</f>
        <v/>
      </c>
      <c r="AP234" s="100" t="str">
        <f aca="false">IF(ISBLANK($C234),"",IF(ISNUMBER($K234),IF($K234&gt;=0,$K234,""),""))</f>
        <v/>
      </c>
      <c r="AQ234" s="100" t="str">
        <f aca="false">IF(ISBLANK($C234),"",IF($L234=Constants!$B$2,TRUE(),IF($L234=Constants!$B$3,FALSE(),TRUE())))</f>
        <v/>
      </c>
      <c r="AR234" s="100" t="str">
        <f aca="false">IF(ISBLANK($C234),"",IF($M234=Constants!$B$2,TRUE(),IF($M234=Constants!$B$3,FALSE(),TRUE())))</f>
        <v/>
      </c>
      <c r="AS234" s="100" t="str">
        <f aca="false">IF(ISBLANK($C234),"",IF($N234=Constants!$B$2,TRUE(),IF($N234=Constants!$B$3,FALSE(),FALSE())))</f>
        <v/>
      </c>
      <c r="AT234" s="100" t="str">
        <f aca="false">IF(ISBLANK($C234),"",IF($O234=Constants!$B$2,TRUE(),IF($O234=Constants!$B$3,FALSE(),TRUE())))</f>
        <v/>
      </c>
      <c r="AU234" s="100" t="str">
        <f aca="false">IF(ISBLANK($C234),"",IF($P234=Constants!$B$2,TRUE(),IF($P234=Constants!$B$3,FALSE(),TRUE())))</f>
        <v/>
      </c>
      <c r="AV234" s="100" t="str">
        <f aca="false">IF(ISBLANK($C234),"",IF($Q234=Constants!$B$2,TRUE(),IF($Q234=Constants!$B$3,FALSE(),FALSE())))</f>
        <v/>
      </c>
      <c r="AW234" s="100" t="str">
        <f aca="false">IF(ISBLANK($C234),"",IF($R234=Constants!$B$2,TRUE(),IF($R234=Constants!$B$3,FALSE(),FALSE())))</f>
        <v/>
      </c>
      <c r="AX234" s="100" t="str">
        <f aca="false">IF(ISBLANK($C234),"",IF($S234=Constants!$B$2,TRUE(),IF($S234=Constants!$B$3,FALSE(),FALSE())))</f>
        <v/>
      </c>
      <c r="AY234" s="100" t="str">
        <f aca="false">IF(ISBLANK($C234),"",IF($T234=Constants!$B$2,TRUE(),IF($T234=Constants!$B$3,FALSE(),FALSE())))</f>
        <v/>
      </c>
      <c r="AZ234" s="100" t="str">
        <f aca="false">IF(ISBLANK($C234),"",IF($U234=Constants!$B$2,TRUE(),IF($U234=Constants!$B$3,FALSE(),FALSE())))</f>
        <v/>
      </c>
      <c r="BA234" s="100" t="str">
        <f aca="false">IF(ISBLANK($C234),"",IF(OR($V234&amp;""="1",$V234&amp;""="2",$V234&amp;""="3",$V234&amp;""="4"),VALUE($V234&amp;""),IF($V234=Constants!$B$12,Constants!$B$12,"")))</f>
        <v/>
      </c>
      <c r="BB234" s="100" t="str">
        <f aca="false">IF(ISBLANK($C234),"",IF(ISBLANK($W234),0,IF(ISNUMBER($W234),IF(AND($W234&gt;=0,$W234&lt;=Constants!$B$21,$W234=INT($W234)),$W234,""),"")))</f>
        <v/>
      </c>
      <c r="BC234" s="100" t="str">
        <f aca="false">IF(ISBLANK($C234),"",IF(ISBLANK($X234),0,IF(ISNUMBER($X234),IF($X234&gt;=0,$X234,""),"")))</f>
        <v/>
      </c>
      <c r="BD234" s="100" t="str">
        <f aca="false">IF(ISBLANK($C234),"",IF($Y234=Constants!$B$2,TRUE(),IF($Y234=Constants!$B$3,FALSE(),TRUE())))</f>
        <v/>
      </c>
      <c r="BE234" s="100" t="str">
        <f aca="false">IF(ISBLANK($C234),"",IF($Z234=Constants!$B$2,TRUE(),IF($Z234=Constants!$B$3,FALSE(),FALSE())))</f>
        <v/>
      </c>
      <c r="BF234" s="100" t="str">
        <f aca="false">IF(ISBLANK($C234),"",IF(ISBLANK($AA234),0,IF(ISNUMBER($AA234),IF(AND($AA234&gt;=0,$AA234&lt;=Constants!$B$35,$AA234=INT($AA234)),$AA234,""),"")))</f>
        <v/>
      </c>
      <c r="BG234" s="100" t="str">
        <f aca="false">IF(ISBLANK($C234),"",IF($AB234=Constants!$B$2,TRUE(),IF($AB234=Constants!$B$3,FALSE(),TRUE())))</f>
        <v/>
      </c>
      <c r="BH234" s="100" t="str">
        <f aca="false">IF(ISBLANK($C234),"",IF($AC234=Constants!$B$2,TRUE(),IF($AC234=Constants!$B$3,FALSE(),TRUE())))</f>
        <v/>
      </c>
      <c r="BI234" s="100" t="str">
        <f aca="false">IF(ISBLANK($C234),"",IF($AD234=Constants!$B$2,TRUE(),IF($AD234=Constants!$B$3,FALSE(),TRUE())))</f>
        <v/>
      </c>
      <c r="BJ234" s="100" t="str">
        <f aca="false">IF(ISBLANK($C234),"",IF(ISNUMBER($AE234),IF($AE234&gt;=0,$AE234,""),""))</f>
        <v/>
      </c>
      <c r="BK234" s="100" t="str">
        <f aca="false">IF(ISBLANK($C234),"",IF($AF234=Constants!$B$2,TRUE(),IF($AF234=Constants!$B$3,FALSE(),FALSE())))</f>
        <v/>
      </c>
      <c r="BL234" s="99" t="str">
        <f aca="false">IF(ISBLANK($C234),"",IF($BK234,Constants!$B$7,IF(COUNTA($E234:$AE234)=0,Constants!$B$6,IF(OR(COUNTA($G234:$AE234)=0,NOT($AM234),$AS234),Constants!$B$5,IF(OR($CM234&lt;&gt;"",$CN234,$CO234,$CP234,$CQ234,$CR234,$CS234),Constants!$B$8,Constants!$B$4)))))</f>
        <v/>
      </c>
      <c r="BM234" s="100" t="str">
        <f aca="false">IF(ISBLANK($C234),"",IF($BL234&lt;&gt;Constants!$B$4,$BL234,IF(OR(NOT($AJ234),NOT($AL234),NOT($AT234)),Constants!$B$11,IF(OR(NOT($AR234),NOT($AU234),NOT($BI234),MAX($AN234,$AO234,$AP234)&gt;Constants!$B$30),Constants!$B$10,Constants!$B$9))))</f>
        <v/>
      </c>
      <c r="BN234" s="100" t="str">
        <f aca="false">IF($BL234&lt;&gt;Constants!$B$4,"",IF(NOT($AL234),0,MIN(Constants!$B$35,$BF234)))</f>
        <v/>
      </c>
      <c r="BO234" s="100" t="str">
        <f aca="false">IF($BL234&lt;&gt;Constants!$B$4,"",IF(NOT($AL234),0,IF($AW234,Constants!$B$18,IF($AV234,Constants!$B$17,0))))</f>
        <v/>
      </c>
      <c r="BP234" s="100" t="str">
        <f aca="false">IF($BL234&lt;&gt;Constants!$B$4,"",IF(NOT($AL234),0,Constants!$B$19*($AK234+$AX234+$AY234+$AZ234)))</f>
        <v/>
      </c>
      <c r="BQ234" s="100" t="str">
        <f aca="false">IF($BL234&lt;&gt;Constants!$B$4,"",IF(OR(NOT($AL234),NOT(ISNUMBER($BA234))),0,CHOOSE($BA234,Constants!$B$13,Constants!$B$14,Constants!$B$15,Constants!$B$16)))</f>
        <v/>
      </c>
      <c r="BR234" s="100" t="str">
        <f aca="false">IF($BL234&lt;&gt;Constants!$B$4,"",IF(NOT($AL234),0,Constants!$B$20*$BB234))</f>
        <v/>
      </c>
      <c r="BS234" s="100" t="str">
        <f aca="false">IF($BL234&lt;&gt;Constants!$B$4,"",IF(AND($AL234,$BD234,$BE234),Constants!$B$22,0))</f>
        <v/>
      </c>
      <c r="BT234" s="100" t="str">
        <f aca="false">IF($BL234&lt;&gt;Constants!$B$4,"",IF(OR(NOT($AL234),NOT($BD234)),0,IF($BJ234&gt;=2*$AH$9,0,Constants!$B$23*INT(ROUND(MIN($BJ234,$AH$9),6)))))</f>
        <v/>
      </c>
      <c r="BU234" s="100" t="str">
        <f aca="false">IF($BL234&lt;&gt;Constants!$B$4,"",IF(NOT($AL234),0,Constants!$B$24*INT(ROUND(MIN($BC234,$AH$9),6))))</f>
        <v/>
      </c>
      <c r="BV234" s="100" t="str">
        <f aca="false">IF($BL234&lt;&gt;Constants!$B$4,"",IF(AND($AL234,$BN234=0),Constants!$B$25,0))</f>
        <v/>
      </c>
      <c r="BW234" s="100" t="str">
        <f aca="false">IF($BL234&lt;&gt;Constants!$B$4,"",MIN(Constants!$B$29,MAX(0,Constants!$B$27*Constants!$B$28*INT(ROUND((Constants!$B$26-$AN234)/Constants!$B$28,6))))+MIN(Constants!$B$29,MAX(0,Constants!$B$27*Constants!$B$28*INT(ROUND((Constants!$B$26-$AO234)/Constants!$B$28,6))))+MIN(Constants!$B$29,MAX(0,Constants!$B$27*Constants!$B$28*INT(ROUND((Constants!$B$26-$AP234)/Constants!$B$28,6)))))</f>
        <v/>
      </c>
      <c r="BX234" s="100" t="str">
        <f aca="false">IF($BL234&lt;&gt;Constants!$B$4,"",IF(NOT($AL234),0,Constants!$B$31*INT(ROUND(MAX(0,MIN($BJ234,2*$AH$9)-$AH$9),6))))</f>
        <v/>
      </c>
      <c r="BY234" s="100" t="str">
        <f aca="false">IF($BL234&lt;&gt;Constants!$B$4,"",Constants!$B$32*(($AN234&gt;Constants!$B$26)+($AO234&gt;Constants!$B$26)+($AP234&gt;Constants!$B$26)))</f>
        <v/>
      </c>
      <c r="BZ234" s="100" t="str">
        <f aca="false">IF($BL234&lt;&gt;Constants!$B$4,"",IF(OR(NOT($AL234),$AQ234),0,Constants!$B$33))</f>
        <v/>
      </c>
      <c r="CA234" s="100" t="str">
        <f aca="false">IF($BL234&lt;&gt;Constants!$B$4,"",Constants!$B$34*$BN234)</f>
        <v/>
      </c>
      <c r="CB234" s="100" t="str">
        <f aca="false">IF($BL234&lt;&gt;Constants!$B$4,"",IF(OR(NOT($AL234),$BH234),0,Constants!$B$36))</f>
        <v/>
      </c>
      <c r="CC234" s="100" t="str">
        <f aca="false">IF($BL234&lt;&gt;Constants!$B$4,"",IF(OR(NOT($AL234),$BG234),0,Constants!$B$37))</f>
        <v/>
      </c>
      <c r="CD234" s="100" t="str">
        <f aca="false">IF($BL234&lt;&gt;Constants!$B$4,"",SUM($BX234:$CC234))</f>
        <v/>
      </c>
      <c r="CE234" s="100" t="str">
        <f aca="false">IF(ISBLANK($C234),"",IF($BL234&lt;&gt;Constants!$B$4,$BL234,SUM($BO234:$BW234)-$CD234))</f>
        <v/>
      </c>
      <c r="CF234" s="100" t="str">
        <f aca="false">IF(ISBLANK($C234),"",IF($BL234&lt;&gt;Constants!$B$4,$BL234,RANK($CE234,$CE$9:$CE$508)))</f>
        <v/>
      </c>
      <c r="CG234" s="100" t="str">
        <f aca="false">IF(ISBLANK($C234),"",IF($BL234&lt;&gt;Constants!$B$4,$BL234,COUNTIFS($BM$9:$BM$508,"&lt;"&amp;$BM234)+COUNTIFS($BM$9:$BM$508,$BM234,$CF$9:$CF$508,"&lt;"&amp;$CF234)+1))</f>
        <v/>
      </c>
      <c r="CH234" s="100" t="str">
        <f aca="false">IF(ISBLANK($C234),"",IF($BL234&lt;&gt;Constants!$B$4,$BL234,RANK($CD234,$CD$9:$CD$508,1)))</f>
        <v/>
      </c>
      <c r="CI234" s="100" t="str">
        <f aca="false">IF($BL234&lt;&gt;Constants!$B$4,"",$AN234+$AO234+$AP234)</f>
        <v/>
      </c>
      <c r="CJ234" s="100" t="str">
        <f aca="false">IF(ISBLANK($C234),"",IF($BL234&lt;&gt;Constants!$B$4,$BL234,RANK($CI234,$CI$9:$CI$508,1)))</f>
        <v/>
      </c>
      <c r="CK234" s="100" t="str">
        <f aca="false">IF(ISBLANK($C234),"",IF($BL234&lt;&gt;Constants!$B$4,$BL234,COUNTIFS($BM$9:$BM$508,"&lt;"&amp;$BM234)+COUNTIFS($BM$9:$BM$508,$BM234,$CF$9:$CF$508,"&lt;"&amp;$CF234)+COUNTIFS($BM$9:$BM$508,$BM234,$CF$9:$CF$508,$CF234,$CH$9:$CH$508,"&lt;"&amp;$CH234)+COUNTIFS($BM$9:$BM$508,$BM234,$CF$9:$CF$508,$CF234,$CH$9:$CH$508,$CH234,$CJ$9:$CJ$508,"&lt;"&amp;$CJ234)+1))</f>
        <v/>
      </c>
      <c r="CL234" s="100" t="str">
        <f aca="false">IF(ISBLANK($C234),"",IF($BL234&lt;&gt;Constants!$B$4,$BL234,$CG234-$CK234))</f>
        <v/>
      </c>
      <c r="CM234" s="100" t="str">
        <f aca="false">IF(ISBLANK($C234),"",IF(NOT($AL234),"",IF(ISBLANK($D$7),$CM$5,IF(NOT(ISNUMBER($D$7)),$CM$6,""))))</f>
        <v/>
      </c>
      <c r="CN234" s="100" t="str">
        <f aca="false">IF(ISBLANK($C234),"",OR($AN234="",$AO234="",$AP234=""))</f>
        <v/>
      </c>
      <c r="CO234" s="100" t="str">
        <f aca="false">IF(ISBLANK($C234),"",AND($AL234,$BA234=""))</f>
        <v/>
      </c>
      <c r="CP234" s="100" t="str">
        <f aca="false">IF(ISBLANK($C234),"",AND($AL234,$BB234=""))</f>
        <v/>
      </c>
      <c r="CQ234" s="100" t="str">
        <f aca="false">IF(ISBLANK($C234),"",AND($AL234,$BC234=""))</f>
        <v/>
      </c>
      <c r="CR234" s="100" t="str">
        <f aca="false">IF(ISBLANK($C234),"",AND($AL234,$BF234=""))</f>
        <v/>
      </c>
      <c r="CS234" s="100" t="str">
        <f aca="false">IF(ISBLANK($C234),"",AND($AL234,$BJ234=""))</f>
        <v/>
      </c>
      <c r="CT234" s="101"/>
      <c r="CU234" s="102"/>
      <c r="CV234" s="103" t="str">
        <f aca="false">IF(ISBLANK($C234),"",IF($BL234=Constants!$B$8,$CM234,""))</f>
        <v/>
      </c>
      <c r="CW234" s="102" t="str">
        <f aca="false">IF(ISBLANK($C234),"",IF($BL234&lt;&gt;Constants!$B$4,"",$BO234+$BP234))</f>
        <v/>
      </c>
      <c r="CX234" s="104" t="str">
        <f aca="false">IF(ISBLANK($C234),"",IF($BL234&lt;&gt;Constants!$B$4,"",$BQ234+$BR234+$BS234))</f>
        <v/>
      </c>
      <c r="CY234" s="104" t="str">
        <f aca="false">IF(ISBLANK($C234),"",IF($BL234&lt;&gt;Constants!$B$4,"",$BT234))</f>
        <v/>
      </c>
      <c r="CZ234" s="104" t="str">
        <f aca="false">IF(ISBLANK($C234),"",IF($BL234&lt;&gt;Constants!$B$4,"",$BU234+$BV234))</f>
        <v/>
      </c>
      <c r="DA234" s="104" t="str">
        <f aca="false">IF(ISBLANK($C234),"",IF($BL234&lt;&gt;Constants!$B$4,"",$BW234))</f>
        <v/>
      </c>
      <c r="DB234" s="104" t="str">
        <f aca="false">IF(ISBLANK($C234),"",IF($BL234&lt;&gt;Constants!$B$4,"",-$CD234))</f>
        <v/>
      </c>
      <c r="DC234" s="103" t="str">
        <f aca="false">IF(ISBLANK($C234),"",$CE234)</f>
        <v/>
      </c>
      <c r="DD234" s="105" t="str">
        <f aca="false">IF(ISBLANK($C234),"",$BM234)</f>
        <v/>
      </c>
      <c r="DE234" s="104" t="str">
        <f aca="false">IF(ISBLANK($C234),"",$CL234)</f>
        <v/>
      </c>
      <c r="DF234" s="104" t="str">
        <f aca="false">IF(ISBLANK($C234),"",$CK234)</f>
        <v/>
      </c>
      <c r="DG234" s="106" t="str">
        <f aca="false">IF(ISBLANK($C234),"",IF($DF234=Constants!$B$7,COUNTA($C$9:$C$508)+2,IF($DF234=Constants!$B$6,COUNTA($C$9:$C$508)+1,IF($DF234=Constants!$B$5,COUNTA($C$9:$C$508),$DF234))))</f>
        <v/>
      </c>
      <c r="DH234" s="7"/>
      <c r="DI234" s="107" t="n">
        <f aca="false">IF(OR(ISNUMBER($DF234),$DF234=Constants!$B$7,$DF234=Constants!$B$5,$DF234=Constants!$B$6),1,0)</f>
        <v>0</v>
      </c>
      <c r="DJ234" s="107" t="n">
        <v>226</v>
      </c>
      <c r="DK234" s="107" t="str">
        <f aca="false">IF(ISBLANK($C234),"",IF(ISNUMBER($DG234),$DG234+ROW($B234)/1000,""))</f>
        <v/>
      </c>
      <c r="DL234" s="107" t="str">
        <f aca="false">IF(ISNUMBER($DK234),RANK($DK234,$DK$9:$DK$508,1),"")</f>
        <v/>
      </c>
      <c r="DM234" s="107" t="str">
        <f aca="false">IF(ISBLANK($C234),"",$B234)</f>
        <v/>
      </c>
      <c r="DN234" s="107" t="str">
        <f aca="false">IF(ISBLANK($C234),"",$C234)</f>
        <v/>
      </c>
      <c r="DO234" s="107" t="str">
        <f aca="false">IF(ISBLANK($C234),"",$D234)</f>
        <v/>
      </c>
      <c r="DP234" s="108" t="str">
        <f aca="false">$DD234</f>
        <v/>
      </c>
      <c r="DQ234" s="109" t="str">
        <f aca="false">$DC234</f>
        <v/>
      </c>
      <c r="DR234" s="107" t="str">
        <f aca="false">IF(ISBLANK($C234),"",$DF234)</f>
        <v/>
      </c>
      <c r="DS234" s="110" t="str">
        <f aca="false">IF($DJ234&gt;$DI$8,"",VLOOKUP($DJ234,$DL$9:$DR$508,7,FALSE()))</f>
        <v/>
      </c>
      <c r="DT234" s="111" t="str">
        <f aca="false">IF($DJ234&gt;$DI$8,"",VLOOKUP($DJ234,$DL$9:$DR$508,2,FALSE()))</f>
        <v/>
      </c>
      <c r="DU234" s="111" t="str">
        <f aca="false">IF($DJ234&gt;$DI$8,"",VLOOKUP($DJ234,$DL$9:$DR$508,3,FALSE()))</f>
        <v/>
      </c>
      <c r="DV234" s="111" t="str">
        <f aca="false">IF($DJ234&gt;$DI$8,"",VLOOKUP($DJ234,$DL$9:$DR$508,4,FALSE()))</f>
        <v/>
      </c>
      <c r="DW234" s="111" t="str">
        <f aca="false">IF($DJ234&gt;$DI$8,"",VLOOKUP($DJ234,$DL$9:$DR$508,5,FALSE()))</f>
        <v/>
      </c>
      <c r="DX234" s="112" t="str">
        <f aca="false">IF($DJ234&gt;$DI$8,"",VLOOKUP($DJ234,$DL$9:$DR$508,6,FALSE()))</f>
        <v/>
      </c>
      <c r="DY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130"/>
      <c r="N235" s="130"/>
      <c r="O235" s="135"/>
      <c r="P235" s="135"/>
      <c r="Q235" s="130"/>
      <c r="R235" s="130"/>
      <c r="S235" s="130"/>
      <c r="T235" s="130"/>
      <c r="U235" s="135"/>
      <c r="V235" s="130"/>
      <c r="W235" s="96"/>
      <c r="X235" s="130"/>
      <c r="Y235" s="130"/>
      <c r="Z235" s="96"/>
      <c r="AA235" s="96"/>
      <c r="AB235" s="130"/>
      <c r="AC235" s="130"/>
      <c r="AD235" s="130"/>
      <c r="AE235" s="97"/>
      <c r="AF235" s="130"/>
      <c r="AG235" s="99"/>
      <c r="AH235" s="100"/>
      <c r="AI235" s="100"/>
      <c r="AJ235" s="100" t="str">
        <f aca="false">IF(ISBLANK($C235),"",IF($E235=Constants!$B$2,TRUE(),IF($E235=Constants!$B$3,FALSE(),TRUE())))</f>
        <v/>
      </c>
      <c r="AK235" s="100" t="str">
        <f aca="false">IF(ISBLANK($C235),"",IF($F235=Constants!$B$2,TRUE(),IF($F235=Constants!$B$3,FALSE(),FALSE())))</f>
        <v/>
      </c>
      <c r="AL235" s="100" t="str">
        <f aca="false">IF(ISBLANK($C235),"",IF($G235=Constants!$B$2,TRUE(),IF($G235=Constants!$B$3,FALSE(),TRUE())))</f>
        <v/>
      </c>
      <c r="AM235" s="100" t="str">
        <f aca="false">IF(ISBLANK($C235),"",IF($H235=Constants!$B$2,TRUE(),IF($H235=Constants!$B$3,FALSE(),TRUE())))</f>
        <v/>
      </c>
      <c r="AN235" s="100" t="str">
        <f aca="false">IF(ISBLANK($C235),"",IF(ISNUMBER($I235),IF($I235&gt;=0,$I235,""),""))</f>
        <v/>
      </c>
      <c r="AO235" s="100" t="str">
        <f aca="false">IF(ISBLANK($C235),"",IF(ISNUMBER($J235),IF($J235&gt;=0,$J235,""),""))</f>
        <v/>
      </c>
      <c r="AP235" s="100" t="str">
        <f aca="false">IF(ISBLANK($C235),"",IF(ISNUMBER($K235),IF($K235&gt;=0,$K235,""),""))</f>
        <v/>
      </c>
      <c r="AQ235" s="100" t="str">
        <f aca="false">IF(ISBLANK($C235),"",IF($L235=Constants!$B$2,TRUE(),IF($L235=Constants!$B$3,FALSE(),TRUE())))</f>
        <v/>
      </c>
      <c r="AR235" s="100" t="str">
        <f aca="false">IF(ISBLANK($C235),"",IF($M235=Constants!$B$2,TRUE(),IF($M235=Constants!$B$3,FALSE(),TRUE())))</f>
        <v/>
      </c>
      <c r="AS235" s="100" t="str">
        <f aca="false">IF(ISBLANK($C235),"",IF($N235=Constants!$B$2,TRUE(),IF($N235=Constants!$B$3,FALSE(),FALSE())))</f>
        <v/>
      </c>
      <c r="AT235" s="100" t="str">
        <f aca="false">IF(ISBLANK($C235),"",IF($O235=Constants!$B$2,TRUE(),IF($O235=Constants!$B$3,FALSE(),TRUE())))</f>
        <v/>
      </c>
      <c r="AU235" s="100" t="str">
        <f aca="false">IF(ISBLANK($C235),"",IF($P235=Constants!$B$2,TRUE(),IF($P235=Constants!$B$3,FALSE(),TRUE())))</f>
        <v/>
      </c>
      <c r="AV235" s="100" t="str">
        <f aca="false">IF(ISBLANK($C235),"",IF($Q235=Constants!$B$2,TRUE(),IF($Q235=Constants!$B$3,FALSE(),FALSE())))</f>
        <v/>
      </c>
      <c r="AW235" s="100" t="str">
        <f aca="false">IF(ISBLANK($C235),"",IF($R235=Constants!$B$2,TRUE(),IF($R235=Constants!$B$3,FALSE(),FALSE())))</f>
        <v/>
      </c>
      <c r="AX235" s="100" t="str">
        <f aca="false">IF(ISBLANK($C235),"",IF($S235=Constants!$B$2,TRUE(),IF($S235=Constants!$B$3,FALSE(),FALSE())))</f>
        <v/>
      </c>
      <c r="AY235" s="100" t="str">
        <f aca="false">IF(ISBLANK($C235),"",IF($T235=Constants!$B$2,TRUE(),IF($T235=Constants!$B$3,FALSE(),FALSE())))</f>
        <v/>
      </c>
      <c r="AZ235" s="100" t="str">
        <f aca="false">IF(ISBLANK($C235),"",IF($U235=Constants!$B$2,TRUE(),IF($U235=Constants!$B$3,FALSE(),FALSE())))</f>
        <v/>
      </c>
      <c r="BA235" s="100" t="str">
        <f aca="false">IF(ISBLANK($C235),"",IF(OR($V235&amp;""="1",$V235&amp;""="2",$V235&amp;""="3",$V235&amp;""="4"),VALUE($V235&amp;""),IF($V235=Constants!$B$12,Constants!$B$12,"")))</f>
        <v/>
      </c>
      <c r="BB235" s="100" t="str">
        <f aca="false">IF(ISBLANK($C235),"",IF(ISBLANK($W235),0,IF(ISNUMBER($W235),IF(AND($W235&gt;=0,$W235&lt;=Constants!$B$21,$W235=INT($W235)),$W235,""),"")))</f>
        <v/>
      </c>
      <c r="BC235" s="100" t="str">
        <f aca="false">IF(ISBLANK($C235),"",IF(ISBLANK($X235),0,IF(ISNUMBER($X235),IF($X235&gt;=0,$X235,""),"")))</f>
        <v/>
      </c>
      <c r="BD235" s="100" t="str">
        <f aca="false">IF(ISBLANK($C235),"",IF($Y235=Constants!$B$2,TRUE(),IF($Y235=Constants!$B$3,FALSE(),TRUE())))</f>
        <v/>
      </c>
      <c r="BE235" s="100" t="str">
        <f aca="false">IF(ISBLANK($C235),"",IF($Z235=Constants!$B$2,TRUE(),IF($Z235=Constants!$B$3,FALSE(),FALSE())))</f>
        <v/>
      </c>
      <c r="BF235" s="100" t="str">
        <f aca="false">IF(ISBLANK($C235),"",IF(ISBLANK($AA235),0,IF(ISNUMBER($AA235),IF(AND($AA235&gt;=0,$AA235&lt;=Constants!$B$35,$AA235=INT($AA235)),$AA235,""),"")))</f>
        <v/>
      </c>
      <c r="BG235" s="100" t="str">
        <f aca="false">IF(ISBLANK($C235),"",IF($AB235=Constants!$B$2,TRUE(),IF($AB235=Constants!$B$3,FALSE(),TRUE())))</f>
        <v/>
      </c>
      <c r="BH235" s="100" t="str">
        <f aca="false">IF(ISBLANK($C235),"",IF($AC235=Constants!$B$2,TRUE(),IF($AC235=Constants!$B$3,FALSE(),TRUE())))</f>
        <v/>
      </c>
      <c r="BI235" s="100" t="str">
        <f aca="false">IF(ISBLANK($C235),"",IF($AD235=Constants!$B$2,TRUE(),IF($AD235=Constants!$B$3,FALSE(),TRUE())))</f>
        <v/>
      </c>
      <c r="BJ235" s="100" t="str">
        <f aca="false">IF(ISBLANK($C235),"",IF(ISNUMBER($AE235),IF($AE235&gt;=0,$AE235,""),""))</f>
        <v/>
      </c>
      <c r="BK235" s="100" t="str">
        <f aca="false">IF(ISBLANK($C235),"",IF($AF235=Constants!$B$2,TRUE(),IF($AF235=Constants!$B$3,FALSE(),FALSE())))</f>
        <v/>
      </c>
      <c r="BL235" s="99" t="str">
        <f aca="false">IF(ISBLANK($C235),"",IF($BK235,Constants!$B$7,IF(COUNTA($E235:$AE235)=0,Constants!$B$6,IF(OR(COUNTA($G235:$AE235)=0,NOT($AM235),$AS235),Constants!$B$5,IF(OR($CM235&lt;&gt;"",$CN235,$CO235,$CP235,$CQ235,$CR235,$CS235),Constants!$B$8,Constants!$B$4)))))</f>
        <v/>
      </c>
      <c r="BM235" s="100" t="str">
        <f aca="false">IF(ISBLANK($C235),"",IF($BL235&lt;&gt;Constants!$B$4,$BL235,IF(OR(NOT($AJ235),NOT($AL235),NOT($AT235)),Constants!$B$11,IF(OR(NOT($AR235),NOT($AU235),NOT($BI235),MAX($AN235,$AO235,$AP235)&gt;Constants!$B$30),Constants!$B$10,Constants!$B$9))))</f>
        <v/>
      </c>
      <c r="BN235" s="100" t="str">
        <f aca="false">IF($BL235&lt;&gt;Constants!$B$4,"",IF(NOT($AL235),0,MIN(Constants!$B$35,$BF235)))</f>
        <v/>
      </c>
      <c r="BO235" s="100" t="str">
        <f aca="false">IF($BL235&lt;&gt;Constants!$B$4,"",IF(NOT($AL235),0,IF($AW235,Constants!$B$18,IF($AV235,Constants!$B$17,0))))</f>
        <v/>
      </c>
      <c r="BP235" s="100" t="str">
        <f aca="false">IF($BL235&lt;&gt;Constants!$B$4,"",IF(NOT($AL235),0,Constants!$B$19*($AK235+$AX235+$AY235+$AZ235)))</f>
        <v/>
      </c>
      <c r="BQ235" s="100" t="str">
        <f aca="false">IF($BL235&lt;&gt;Constants!$B$4,"",IF(OR(NOT($AL235),NOT(ISNUMBER($BA235))),0,CHOOSE($BA235,Constants!$B$13,Constants!$B$14,Constants!$B$15,Constants!$B$16)))</f>
        <v/>
      </c>
      <c r="BR235" s="100" t="str">
        <f aca="false">IF($BL235&lt;&gt;Constants!$B$4,"",IF(NOT($AL235),0,Constants!$B$20*$BB235))</f>
        <v/>
      </c>
      <c r="BS235" s="100" t="str">
        <f aca="false">IF($BL235&lt;&gt;Constants!$B$4,"",IF(AND($AL235,$BD235,$BE235),Constants!$B$22,0))</f>
        <v/>
      </c>
      <c r="BT235" s="100" t="str">
        <f aca="false">IF($BL235&lt;&gt;Constants!$B$4,"",IF(OR(NOT($AL235),NOT($BD235)),0,IF($BJ235&gt;=2*$AH$9,0,Constants!$B$23*INT(ROUND(MIN($BJ235,$AH$9),6)))))</f>
        <v/>
      </c>
      <c r="BU235" s="100" t="str">
        <f aca="false">IF($BL235&lt;&gt;Constants!$B$4,"",IF(NOT($AL235),0,Constants!$B$24*INT(ROUND(MIN($BC235,$AH$9),6))))</f>
        <v/>
      </c>
      <c r="BV235" s="100" t="str">
        <f aca="false">IF($BL235&lt;&gt;Constants!$B$4,"",IF(AND($AL235,$BN235=0),Constants!$B$25,0))</f>
        <v/>
      </c>
      <c r="BW235" s="100" t="str">
        <f aca="false">IF($BL235&lt;&gt;Constants!$B$4,"",MIN(Constants!$B$29,MAX(0,Constants!$B$27*Constants!$B$28*INT(ROUND((Constants!$B$26-$AN235)/Constants!$B$28,6))))+MIN(Constants!$B$29,MAX(0,Constants!$B$27*Constants!$B$28*INT(ROUND((Constants!$B$26-$AO235)/Constants!$B$28,6))))+MIN(Constants!$B$29,MAX(0,Constants!$B$27*Constants!$B$28*INT(ROUND((Constants!$B$26-$AP235)/Constants!$B$28,6)))))</f>
        <v/>
      </c>
      <c r="BX235" s="100" t="str">
        <f aca="false">IF($BL235&lt;&gt;Constants!$B$4,"",IF(NOT($AL235),0,Constants!$B$31*INT(ROUND(MAX(0,MIN($BJ235,2*$AH$9)-$AH$9),6))))</f>
        <v/>
      </c>
      <c r="BY235" s="100" t="str">
        <f aca="false">IF($BL235&lt;&gt;Constants!$B$4,"",Constants!$B$32*(($AN235&gt;Constants!$B$26)+($AO235&gt;Constants!$B$26)+($AP235&gt;Constants!$B$26)))</f>
        <v/>
      </c>
      <c r="BZ235" s="100" t="str">
        <f aca="false">IF($BL235&lt;&gt;Constants!$B$4,"",IF(OR(NOT($AL235),$AQ235),0,Constants!$B$33))</f>
        <v/>
      </c>
      <c r="CA235" s="100" t="str">
        <f aca="false">IF($BL235&lt;&gt;Constants!$B$4,"",Constants!$B$34*$BN235)</f>
        <v/>
      </c>
      <c r="CB235" s="100" t="str">
        <f aca="false">IF($BL235&lt;&gt;Constants!$B$4,"",IF(OR(NOT($AL235),$BH235),0,Constants!$B$36))</f>
        <v/>
      </c>
      <c r="CC235" s="100" t="str">
        <f aca="false">IF($BL235&lt;&gt;Constants!$B$4,"",IF(OR(NOT($AL235),$BG235),0,Constants!$B$37))</f>
        <v/>
      </c>
      <c r="CD235" s="100" t="str">
        <f aca="false">IF($BL235&lt;&gt;Constants!$B$4,"",SUM($BX235:$CC235))</f>
        <v/>
      </c>
      <c r="CE235" s="100" t="str">
        <f aca="false">IF(ISBLANK($C235),"",IF($BL235&lt;&gt;Constants!$B$4,$BL235,SUM($BO235:$BW235)-$CD235))</f>
        <v/>
      </c>
      <c r="CF235" s="100" t="str">
        <f aca="false">IF(ISBLANK($C235),"",IF($BL235&lt;&gt;Constants!$B$4,$BL235,RANK($CE235,$CE$9:$CE$508)))</f>
        <v/>
      </c>
      <c r="CG235" s="100" t="str">
        <f aca="false">IF(ISBLANK($C235),"",IF($BL235&lt;&gt;Constants!$B$4,$BL235,COUNTIFS($BM$9:$BM$508,"&lt;"&amp;$BM235)+COUNTIFS($BM$9:$BM$508,$BM235,$CF$9:$CF$508,"&lt;"&amp;$CF235)+1))</f>
        <v/>
      </c>
      <c r="CH235" s="100" t="str">
        <f aca="false">IF(ISBLANK($C235),"",IF($BL235&lt;&gt;Constants!$B$4,$BL235,RANK($CD235,$CD$9:$CD$508,1)))</f>
        <v/>
      </c>
      <c r="CI235" s="100" t="str">
        <f aca="false">IF($BL235&lt;&gt;Constants!$B$4,"",$AN235+$AO235+$AP235)</f>
        <v/>
      </c>
      <c r="CJ235" s="100" t="str">
        <f aca="false">IF(ISBLANK($C235),"",IF($BL235&lt;&gt;Constants!$B$4,$BL235,RANK($CI235,$CI$9:$CI$508,1)))</f>
        <v/>
      </c>
      <c r="CK235" s="100" t="str">
        <f aca="false">IF(ISBLANK($C235),"",IF($BL235&lt;&gt;Constants!$B$4,$BL235,COUNTIFS($BM$9:$BM$508,"&lt;"&amp;$BM235)+COUNTIFS($BM$9:$BM$508,$BM235,$CF$9:$CF$508,"&lt;"&amp;$CF235)+COUNTIFS($BM$9:$BM$508,$BM235,$CF$9:$CF$508,$CF235,$CH$9:$CH$508,"&lt;"&amp;$CH235)+COUNTIFS($BM$9:$BM$508,$BM235,$CF$9:$CF$508,$CF235,$CH$9:$CH$508,$CH235,$CJ$9:$CJ$508,"&lt;"&amp;$CJ235)+1))</f>
        <v/>
      </c>
      <c r="CL235" s="100" t="str">
        <f aca="false">IF(ISBLANK($C235),"",IF($BL235&lt;&gt;Constants!$B$4,$BL235,$CG235-$CK235))</f>
        <v/>
      </c>
      <c r="CM235" s="100" t="str">
        <f aca="false">IF(ISBLANK($C235),"",IF(NOT($AL235),"",IF(ISBLANK($D$7),$CM$5,IF(NOT(ISNUMBER($D$7)),$CM$6,""))))</f>
        <v/>
      </c>
      <c r="CN235" s="100" t="str">
        <f aca="false">IF(ISBLANK($C235),"",OR($AN235="",$AO235="",$AP235=""))</f>
        <v/>
      </c>
      <c r="CO235" s="100" t="str">
        <f aca="false">IF(ISBLANK($C235),"",AND($AL235,$BA235=""))</f>
        <v/>
      </c>
      <c r="CP235" s="100" t="str">
        <f aca="false">IF(ISBLANK($C235),"",AND($AL235,$BB235=""))</f>
        <v/>
      </c>
      <c r="CQ235" s="100" t="str">
        <f aca="false">IF(ISBLANK($C235),"",AND($AL235,$BC235=""))</f>
        <v/>
      </c>
      <c r="CR235" s="100" t="str">
        <f aca="false">IF(ISBLANK($C235),"",AND($AL235,$BF235=""))</f>
        <v/>
      </c>
      <c r="CS235" s="100" t="str">
        <f aca="false">IF(ISBLANK($C235),"",AND($AL235,$BJ235=""))</f>
        <v/>
      </c>
      <c r="CT235" s="101"/>
      <c r="CU235" s="102"/>
      <c r="CV235" s="103" t="str">
        <f aca="false">IF(ISBLANK($C235),"",IF($BL235=Constants!$B$8,$CM235,""))</f>
        <v/>
      </c>
      <c r="CW235" s="102" t="str">
        <f aca="false">IF(ISBLANK($C235),"",IF($BL235&lt;&gt;Constants!$B$4,"",$BO235+$BP235))</f>
        <v/>
      </c>
      <c r="CX235" s="104" t="str">
        <f aca="false">IF(ISBLANK($C235),"",IF($BL235&lt;&gt;Constants!$B$4,"",$BQ235+$BR235+$BS235))</f>
        <v/>
      </c>
      <c r="CY235" s="104" t="str">
        <f aca="false">IF(ISBLANK($C235),"",IF($BL235&lt;&gt;Constants!$B$4,"",$BT235))</f>
        <v/>
      </c>
      <c r="CZ235" s="104" t="str">
        <f aca="false">IF(ISBLANK($C235),"",IF($BL235&lt;&gt;Constants!$B$4,"",$BU235+$BV235))</f>
        <v/>
      </c>
      <c r="DA235" s="104" t="str">
        <f aca="false">IF(ISBLANK($C235),"",IF($BL235&lt;&gt;Constants!$B$4,"",$BW235))</f>
        <v/>
      </c>
      <c r="DB235" s="104" t="str">
        <f aca="false">IF(ISBLANK($C235),"",IF($BL235&lt;&gt;Constants!$B$4,"",-$CD235))</f>
        <v/>
      </c>
      <c r="DC235" s="103" t="str">
        <f aca="false">IF(ISBLANK($C235),"",$CE235)</f>
        <v/>
      </c>
      <c r="DD235" s="105" t="str">
        <f aca="false">IF(ISBLANK($C235),"",$BM235)</f>
        <v/>
      </c>
      <c r="DE235" s="104" t="str">
        <f aca="false">IF(ISBLANK($C235),"",$CL235)</f>
        <v/>
      </c>
      <c r="DF235" s="104" t="str">
        <f aca="false">IF(ISBLANK($C235),"",$CK235)</f>
        <v/>
      </c>
      <c r="DG235" s="106" t="str">
        <f aca="false">IF(ISBLANK($C235),"",IF($DF235=Constants!$B$7,COUNTA($C$9:$C$508)+2,IF($DF235=Constants!$B$6,COUNTA($C$9:$C$508)+1,IF($DF235=Constants!$B$5,COUNTA($C$9:$C$508),$DF235))))</f>
        <v/>
      </c>
      <c r="DH235" s="7"/>
      <c r="DI235" s="107" t="n">
        <f aca="false">IF(OR(ISNUMBER($DF235),$DF235=Constants!$B$7,$DF235=Constants!$B$5,$DF235=Constants!$B$6),1,0)</f>
        <v>0</v>
      </c>
      <c r="DJ235" s="107" t="n">
        <v>227</v>
      </c>
      <c r="DK235" s="107" t="str">
        <f aca="false">IF(ISBLANK($C235),"",IF(ISNUMBER($DG235),$DG235+ROW($B235)/1000,""))</f>
        <v/>
      </c>
      <c r="DL235" s="107" t="str">
        <f aca="false">IF(ISNUMBER($DK235),RANK($DK235,$DK$9:$DK$508,1),"")</f>
        <v/>
      </c>
      <c r="DM235" s="107" t="str">
        <f aca="false">IF(ISBLANK($C235),"",$B235)</f>
        <v/>
      </c>
      <c r="DN235" s="107" t="str">
        <f aca="false">IF(ISBLANK($C235),"",$C235)</f>
        <v/>
      </c>
      <c r="DO235" s="107" t="str">
        <f aca="false">IF(ISBLANK($C235),"",$D235)</f>
        <v/>
      </c>
      <c r="DP235" s="108" t="str">
        <f aca="false">$DD235</f>
        <v/>
      </c>
      <c r="DQ235" s="109" t="str">
        <f aca="false">$DC235</f>
        <v/>
      </c>
      <c r="DR235" s="107" t="str">
        <f aca="false">IF(ISBLANK($C235),"",$DF235)</f>
        <v/>
      </c>
      <c r="DS235" s="110" t="str">
        <f aca="false">IF($DJ235&gt;$DI$8,"",VLOOKUP($DJ235,$DL$9:$DR$508,7,FALSE()))</f>
        <v/>
      </c>
      <c r="DT235" s="111" t="str">
        <f aca="false">IF($DJ235&gt;$DI$8,"",VLOOKUP($DJ235,$DL$9:$DR$508,2,FALSE()))</f>
        <v/>
      </c>
      <c r="DU235" s="111" t="str">
        <f aca="false">IF($DJ235&gt;$DI$8,"",VLOOKUP($DJ235,$DL$9:$DR$508,3,FALSE()))</f>
        <v/>
      </c>
      <c r="DV235" s="111" t="str">
        <f aca="false">IF($DJ235&gt;$DI$8,"",VLOOKUP($DJ235,$DL$9:$DR$508,4,FALSE()))</f>
        <v/>
      </c>
      <c r="DW235" s="111" t="str">
        <f aca="false">IF($DJ235&gt;$DI$8,"",VLOOKUP($DJ235,$DL$9:$DR$508,5,FALSE()))</f>
        <v/>
      </c>
      <c r="DX235" s="112" t="str">
        <f aca="false">IF($DJ235&gt;$DI$8,"",VLOOKUP($DJ235,$DL$9:$DR$508,6,FALSE()))</f>
        <v/>
      </c>
      <c r="DY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130"/>
      <c r="N236" s="130"/>
      <c r="O236" s="135"/>
      <c r="P236" s="135"/>
      <c r="Q236" s="130"/>
      <c r="R236" s="130"/>
      <c r="S236" s="130"/>
      <c r="T236" s="130"/>
      <c r="U236" s="135"/>
      <c r="V236" s="130"/>
      <c r="W236" s="96"/>
      <c r="X236" s="130"/>
      <c r="Y236" s="130"/>
      <c r="Z236" s="96"/>
      <c r="AA236" s="96"/>
      <c r="AB236" s="130"/>
      <c r="AC236" s="130"/>
      <c r="AD236" s="130"/>
      <c r="AE236" s="97"/>
      <c r="AF236" s="130"/>
      <c r="AG236" s="99"/>
      <c r="AH236" s="100"/>
      <c r="AI236" s="100"/>
      <c r="AJ236" s="100" t="str">
        <f aca="false">IF(ISBLANK($C236),"",IF($E236=Constants!$B$2,TRUE(),IF($E236=Constants!$B$3,FALSE(),TRUE())))</f>
        <v/>
      </c>
      <c r="AK236" s="100" t="str">
        <f aca="false">IF(ISBLANK($C236),"",IF($F236=Constants!$B$2,TRUE(),IF($F236=Constants!$B$3,FALSE(),FALSE())))</f>
        <v/>
      </c>
      <c r="AL236" s="100" t="str">
        <f aca="false">IF(ISBLANK($C236),"",IF($G236=Constants!$B$2,TRUE(),IF($G236=Constants!$B$3,FALSE(),TRUE())))</f>
        <v/>
      </c>
      <c r="AM236" s="100" t="str">
        <f aca="false">IF(ISBLANK($C236),"",IF($H236=Constants!$B$2,TRUE(),IF($H236=Constants!$B$3,FALSE(),TRUE())))</f>
        <v/>
      </c>
      <c r="AN236" s="100" t="str">
        <f aca="false">IF(ISBLANK($C236),"",IF(ISNUMBER($I236),IF($I236&gt;=0,$I236,""),""))</f>
        <v/>
      </c>
      <c r="AO236" s="100" t="str">
        <f aca="false">IF(ISBLANK($C236),"",IF(ISNUMBER($J236),IF($J236&gt;=0,$J236,""),""))</f>
        <v/>
      </c>
      <c r="AP236" s="100" t="str">
        <f aca="false">IF(ISBLANK($C236),"",IF(ISNUMBER($K236),IF($K236&gt;=0,$K236,""),""))</f>
        <v/>
      </c>
      <c r="AQ236" s="100" t="str">
        <f aca="false">IF(ISBLANK($C236),"",IF($L236=Constants!$B$2,TRUE(),IF($L236=Constants!$B$3,FALSE(),TRUE())))</f>
        <v/>
      </c>
      <c r="AR236" s="100" t="str">
        <f aca="false">IF(ISBLANK($C236),"",IF($M236=Constants!$B$2,TRUE(),IF($M236=Constants!$B$3,FALSE(),TRUE())))</f>
        <v/>
      </c>
      <c r="AS236" s="100" t="str">
        <f aca="false">IF(ISBLANK($C236),"",IF($N236=Constants!$B$2,TRUE(),IF($N236=Constants!$B$3,FALSE(),FALSE())))</f>
        <v/>
      </c>
      <c r="AT236" s="100" t="str">
        <f aca="false">IF(ISBLANK($C236),"",IF($O236=Constants!$B$2,TRUE(),IF($O236=Constants!$B$3,FALSE(),TRUE())))</f>
        <v/>
      </c>
      <c r="AU236" s="100" t="str">
        <f aca="false">IF(ISBLANK($C236),"",IF($P236=Constants!$B$2,TRUE(),IF($P236=Constants!$B$3,FALSE(),TRUE())))</f>
        <v/>
      </c>
      <c r="AV236" s="100" t="str">
        <f aca="false">IF(ISBLANK($C236),"",IF($Q236=Constants!$B$2,TRUE(),IF($Q236=Constants!$B$3,FALSE(),FALSE())))</f>
        <v/>
      </c>
      <c r="AW236" s="100" t="str">
        <f aca="false">IF(ISBLANK($C236),"",IF($R236=Constants!$B$2,TRUE(),IF($R236=Constants!$B$3,FALSE(),FALSE())))</f>
        <v/>
      </c>
      <c r="AX236" s="100" t="str">
        <f aca="false">IF(ISBLANK($C236),"",IF($S236=Constants!$B$2,TRUE(),IF($S236=Constants!$B$3,FALSE(),FALSE())))</f>
        <v/>
      </c>
      <c r="AY236" s="100" t="str">
        <f aca="false">IF(ISBLANK($C236),"",IF($T236=Constants!$B$2,TRUE(),IF($T236=Constants!$B$3,FALSE(),FALSE())))</f>
        <v/>
      </c>
      <c r="AZ236" s="100" t="str">
        <f aca="false">IF(ISBLANK($C236),"",IF($U236=Constants!$B$2,TRUE(),IF($U236=Constants!$B$3,FALSE(),FALSE())))</f>
        <v/>
      </c>
      <c r="BA236" s="100" t="str">
        <f aca="false">IF(ISBLANK($C236),"",IF(OR($V236&amp;""="1",$V236&amp;""="2",$V236&amp;""="3",$V236&amp;""="4"),VALUE($V236&amp;""),IF($V236=Constants!$B$12,Constants!$B$12,"")))</f>
        <v/>
      </c>
      <c r="BB236" s="100" t="str">
        <f aca="false">IF(ISBLANK($C236),"",IF(ISBLANK($W236),0,IF(ISNUMBER($W236),IF(AND($W236&gt;=0,$W236&lt;=Constants!$B$21,$W236=INT($W236)),$W236,""),"")))</f>
        <v/>
      </c>
      <c r="BC236" s="100" t="str">
        <f aca="false">IF(ISBLANK($C236),"",IF(ISBLANK($X236),0,IF(ISNUMBER($X236),IF($X236&gt;=0,$X236,""),"")))</f>
        <v/>
      </c>
      <c r="BD236" s="100" t="str">
        <f aca="false">IF(ISBLANK($C236),"",IF($Y236=Constants!$B$2,TRUE(),IF($Y236=Constants!$B$3,FALSE(),TRUE())))</f>
        <v/>
      </c>
      <c r="BE236" s="100" t="str">
        <f aca="false">IF(ISBLANK($C236),"",IF($Z236=Constants!$B$2,TRUE(),IF($Z236=Constants!$B$3,FALSE(),FALSE())))</f>
        <v/>
      </c>
      <c r="BF236" s="100" t="str">
        <f aca="false">IF(ISBLANK($C236),"",IF(ISBLANK($AA236),0,IF(ISNUMBER($AA236),IF(AND($AA236&gt;=0,$AA236&lt;=Constants!$B$35,$AA236=INT($AA236)),$AA236,""),"")))</f>
        <v/>
      </c>
      <c r="BG236" s="100" t="str">
        <f aca="false">IF(ISBLANK($C236),"",IF($AB236=Constants!$B$2,TRUE(),IF($AB236=Constants!$B$3,FALSE(),TRUE())))</f>
        <v/>
      </c>
      <c r="BH236" s="100" t="str">
        <f aca="false">IF(ISBLANK($C236),"",IF($AC236=Constants!$B$2,TRUE(),IF($AC236=Constants!$B$3,FALSE(),TRUE())))</f>
        <v/>
      </c>
      <c r="BI236" s="100" t="str">
        <f aca="false">IF(ISBLANK($C236),"",IF($AD236=Constants!$B$2,TRUE(),IF($AD236=Constants!$B$3,FALSE(),TRUE())))</f>
        <v/>
      </c>
      <c r="BJ236" s="100" t="str">
        <f aca="false">IF(ISBLANK($C236),"",IF(ISNUMBER($AE236),IF($AE236&gt;=0,$AE236,""),""))</f>
        <v/>
      </c>
      <c r="BK236" s="100" t="str">
        <f aca="false">IF(ISBLANK($C236),"",IF($AF236=Constants!$B$2,TRUE(),IF($AF236=Constants!$B$3,FALSE(),FALSE())))</f>
        <v/>
      </c>
      <c r="BL236" s="99" t="str">
        <f aca="false">IF(ISBLANK($C236),"",IF($BK236,Constants!$B$7,IF(COUNTA($E236:$AE236)=0,Constants!$B$6,IF(OR(COUNTA($G236:$AE236)=0,NOT($AM236),$AS236),Constants!$B$5,IF(OR($CM236&lt;&gt;"",$CN236,$CO236,$CP236,$CQ236,$CR236,$CS236),Constants!$B$8,Constants!$B$4)))))</f>
        <v/>
      </c>
      <c r="BM236" s="100" t="str">
        <f aca="false">IF(ISBLANK($C236),"",IF($BL236&lt;&gt;Constants!$B$4,$BL236,IF(OR(NOT($AJ236),NOT($AL236),NOT($AT236)),Constants!$B$11,IF(OR(NOT($AR236),NOT($AU236),NOT($BI236),MAX($AN236,$AO236,$AP236)&gt;Constants!$B$30),Constants!$B$10,Constants!$B$9))))</f>
        <v/>
      </c>
      <c r="BN236" s="100" t="str">
        <f aca="false">IF($BL236&lt;&gt;Constants!$B$4,"",IF(NOT($AL236),0,MIN(Constants!$B$35,$BF236)))</f>
        <v/>
      </c>
      <c r="BO236" s="100" t="str">
        <f aca="false">IF($BL236&lt;&gt;Constants!$B$4,"",IF(NOT($AL236),0,IF($AW236,Constants!$B$18,IF($AV236,Constants!$B$17,0))))</f>
        <v/>
      </c>
      <c r="BP236" s="100" t="str">
        <f aca="false">IF($BL236&lt;&gt;Constants!$B$4,"",IF(NOT($AL236),0,Constants!$B$19*($AK236+$AX236+$AY236+$AZ236)))</f>
        <v/>
      </c>
      <c r="BQ236" s="100" t="str">
        <f aca="false">IF($BL236&lt;&gt;Constants!$B$4,"",IF(OR(NOT($AL236),NOT(ISNUMBER($BA236))),0,CHOOSE($BA236,Constants!$B$13,Constants!$B$14,Constants!$B$15,Constants!$B$16)))</f>
        <v/>
      </c>
      <c r="BR236" s="100" t="str">
        <f aca="false">IF($BL236&lt;&gt;Constants!$B$4,"",IF(NOT($AL236),0,Constants!$B$20*$BB236))</f>
        <v/>
      </c>
      <c r="BS236" s="100" t="str">
        <f aca="false">IF($BL236&lt;&gt;Constants!$B$4,"",IF(AND($AL236,$BD236,$BE236),Constants!$B$22,0))</f>
        <v/>
      </c>
      <c r="BT236" s="100" t="str">
        <f aca="false">IF($BL236&lt;&gt;Constants!$B$4,"",IF(OR(NOT($AL236),NOT($BD236)),0,IF($BJ236&gt;=2*$AH$9,0,Constants!$B$23*INT(ROUND(MIN($BJ236,$AH$9),6)))))</f>
        <v/>
      </c>
      <c r="BU236" s="100" t="str">
        <f aca="false">IF($BL236&lt;&gt;Constants!$B$4,"",IF(NOT($AL236),0,Constants!$B$24*INT(ROUND(MIN($BC236,$AH$9),6))))</f>
        <v/>
      </c>
      <c r="BV236" s="100" t="str">
        <f aca="false">IF($BL236&lt;&gt;Constants!$B$4,"",IF(AND($AL236,$BN236=0),Constants!$B$25,0))</f>
        <v/>
      </c>
      <c r="BW236" s="100" t="str">
        <f aca="false">IF($BL236&lt;&gt;Constants!$B$4,"",MIN(Constants!$B$29,MAX(0,Constants!$B$27*Constants!$B$28*INT(ROUND((Constants!$B$26-$AN236)/Constants!$B$28,6))))+MIN(Constants!$B$29,MAX(0,Constants!$B$27*Constants!$B$28*INT(ROUND((Constants!$B$26-$AO236)/Constants!$B$28,6))))+MIN(Constants!$B$29,MAX(0,Constants!$B$27*Constants!$B$28*INT(ROUND((Constants!$B$26-$AP236)/Constants!$B$28,6)))))</f>
        <v/>
      </c>
      <c r="BX236" s="100" t="str">
        <f aca="false">IF($BL236&lt;&gt;Constants!$B$4,"",IF(NOT($AL236),0,Constants!$B$31*INT(ROUND(MAX(0,MIN($BJ236,2*$AH$9)-$AH$9),6))))</f>
        <v/>
      </c>
      <c r="BY236" s="100" t="str">
        <f aca="false">IF($BL236&lt;&gt;Constants!$B$4,"",Constants!$B$32*(($AN236&gt;Constants!$B$26)+($AO236&gt;Constants!$B$26)+($AP236&gt;Constants!$B$26)))</f>
        <v/>
      </c>
      <c r="BZ236" s="100" t="str">
        <f aca="false">IF($BL236&lt;&gt;Constants!$B$4,"",IF(OR(NOT($AL236),$AQ236),0,Constants!$B$33))</f>
        <v/>
      </c>
      <c r="CA236" s="100" t="str">
        <f aca="false">IF($BL236&lt;&gt;Constants!$B$4,"",Constants!$B$34*$BN236)</f>
        <v/>
      </c>
      <c r="CB236" s="100" t="str">
        <f aca="false">IF($BL236&lt;&gt;Constants!$B$4,"",IF(OR(NOT($AL236),$BH236),0,Constants!$B$36))</f>
        <v/>
      </c>
      <c r="CC236" s="100" t="str">
        <f aca="false">IF($BL236&lt;&gt;Constants!$B$4,"",IF(OR(NOT($AL236),$BG236),0,Constants!$B$37))</f>
        <v/>
      </c>
      <c r="CD236" s="100" t="str">
        <f aca="false">IF($BL236&lt;&gt;Constants!$B$4,"",SUM($BX236:$CC236))</f>
        <v/>
      </c>
      <c r="CE236" s="100" t="str">
        <f aca="false">IF(ISBLANK($C236),"",IF($BL236&lt;&gt;Constants!$B$4,$BL236,SUM($BO236:$BW236)-$CD236))</f>
        <v/>
      </c>
      <c r="CF236" s="100" t="str">
        <f aca="false">IF(ISBLANK($C236),"",IF($BL236&lt;&gt;Constants!$B$4,$BL236,RANK($CE236,$CE$9:$CE$508)))</f>
        <v/>
      </c>
      <c r="CG236" s="100" t="str">
        <f aca="false">IF(ISBLANK($C236),"",IF($BL236&lt;&gt;Constants!$B$4,$BL236,COUNTIFS($BM$9:$BM$508,"&lt;"&amp;$BM236)+COUNTIFS($BM$9:$BM$508,$BM236,$CF$9:$CF$508,"&lt;"&amp;$CF236)+1))</f>
        <v/>
      </c>
      <c r="CH236" s="100" t="str">
        <f aca="false">IF(ISBLANK($C236),"",IF($BL236&lt;&gt;Constants!$B$4,$BL236,RANK($CD236,$CD$9:$CD$508,1)))</f>
        <v/>
      </c>
      <c r="CI236" s="100" t="str">
        <f aca="false">IF($BL236&lt;&gt;Constants!$B$4,"",$AN236+$AO236+$AP236)</f>
        <v/>
      </c>
      <c r="CJ236" s="100" t="str">
        <f aca="false">IF(ISBLANK($C236),"",IF($BL236&lt;&gt;Constants!$B$4,$BL236,RANK($CI236,$CI$9:$CI$508,1)))</f>
        <v/>
      </c>
      <c r="CK236" s="100" t="str">
        <f aca="false">IF(ISBLANK($C236),"",IF($BL236&lt;&gt;Constants!$B$4,$BL236,COUNTIFS($BM$9:$BM$508,"&lt;"&amp;$BM236)+COUNTIFS($BM$9:$BM$508,$BM236,$CF$9:$CF$508,"&lt;"&amp;$CF236)+COUNTIFS($BM$9:$BM$508,$BM236,$CF$9:$CF$508,$CF236,$CH$9:$CH$508,"&lt;"&amp;$CH236)+COUNTIFS($BM$9:$BM$508,$BM236,$CF$9:$CF$508,$CF236,$CH$9:$CH$508,$CH236,$CJ$9:$CJ$508,"&lt;"&amp;$CJ236)+1))</f>
        <v/>
      </c>
      <c r="CL236" s="100" t="str">
        <f aca="false">IF(ISBLANK($C236),"",IF($BL236&lt;&gt;Constants!$B$4,$BL236,$CG236-$CK236))</f>
        <v/>
      </c>
      <c r="CM236" s="100" t="str">
        <f aca="false">IF(ISBLANK($C236),"",IF(NOT($AL236),"",IF(ISBLANK($D$7),$CM$5,IF(NOT(ISNUMBER($D$7)),$CM$6,""))))</f>
        <v/>
      </c>
      <c r="CN236" s="100" t="str">
        <f aca="false">IF(ISBLANK($C236),"",OR($AN236="",$AO236="",$AP236=""))</f>
        <v/>
      </c>
      <c r="CO236" s="100" t="str">
        <f aca="false">IF(ISBLANK($C236),"",AND($AL236,$BA236=""))</f>
        <v/>
      </c>
      <c r="CP236" s="100" t="str">
        <f aca="false">IF(ISBLANK($C236),"",AND($AL236,$BB236=""))</f>
        <v/>
      </c>
      <c r="CQ236" s="100" t="str">
        <f aca="false">IF(ISBLANK($C236),"",AND($AL236,$BC236=""))</f>
        <v/>
      </c>
      <c r="CR236" s="100" t="str">
        <f aca="false">IF(ISBLANK($C236),"",AND($AL236,$BF236=""))</f>
        <v/>
      </c>
      <c r="CS236" s="100" t="str">
        <f aca="false">IF(ISBLANK($C236),"",AND($AL236,$BJ236=""))</f>
        <v/>
      </c>
      <c r="CT236" s="101"/>
      <c r="CU236" s="102"/>
      <c r="CV236" s="103" t="str">
        <f aca="false">IF(ISBLANK($C236),"",IF($BL236=Constants!$B$8,$CM236,""))</f>
        <v/>
      </c>
      <c r="CW236" s="102" t="str">
        <f aca="false">IF(ISBLANK($C236),"",IF($BL236&lt;&gt;Constants!$B$4,"",$BO236+$BP236))</f>
        <v/>
      </c>
      <c r="CX236" s="104" t="str">
        <f aca="false">IF(ISBLANK($C236),"",IF($BL236&lt;&gt;Constants!$B$4,"",$BQ236+$BR236+$BS236))</f>
        <v/>
      </c>
      <c r="CY236" s="104" t="str">
        <f aca="false">IF(ISBLANK($C236),"",IF($BL236&lt;&gt;Constants!$B$4,"",$BT236))</f>
        <v/>
      </c>
      <c r="CZ236" s="104" t="str">
        <f aca="false">IF(ISBLANK($C236),"",IF($BL236&lt;&gt;Constants!$B$4,"",$BU236+$BV236))</f>
        <v/>
      </c>
      <c r="DA236" s="104" t="str">
        <f aca="false">IF(ISBLANK($C236),"",IF($BL236&lt;&gt;Constants!$B$4,"",$BW236))</f>
        <v/>
      </c>
      <c r="DB236" s="104" t="str">
        <f aca="false">IF(ISBLANK($C236),"",IF($BL236&lt;&gt;Constants!$B$4,"",-$CD236))</f>
        <v/>
      </c>
      <c r="DC236" s="103" t="str">
        <f aca="false">IF(ISBLANK($C236),"",$CE236)</f>
        <v/>
      </c>
      <c r="DD236" s="105" t="str">
        <f aca="false">IF(ISBLANK($C236),"",$BM236)</f>
        <v/>
      </c>
      <c r="DE236" s="104" t="str">
        <f aca="false">IF(ISBLANK($C236),"",$CL236)</f>
        <v/>
      </c>
      <c r="DF236" s="104" t="str">
        <f aca="false">IF(ISBLANK($C236),"",$CK236)</f>
        <v/>
      </c>
      <c r="DG236" s="106" t="str">
        <f aca="false">IF(ISBLANK($C236),"",IF($DF236=Constants!$B$7,COUNTA($C$9:$C$508)+2,IF($DF236=Constants!$B$6,COUNTA($C$9:$C$508)+1,IF($DF236=Constants!$B$5,COUNTA($C$9:$C$508),$DF236))))</f>
        <v/>
      </c>
      <c r="DH236" s="7"/>
      <c r="DI236" s="107" t="n">
        <f aca="false">IF(OR(ISNUMBER($DF236),$DF236=Constants!$B$7,$DF236=Constants!$B$5,$DF236=Constants!$B$6),1,0)</f>
        <v>0</v>
      </c>
      <c r="DJ236" s="107" t="n">
        <v>228</v>
      </c>
      <c r="DK236" s="107" t="str">
        <f aca="false">IF(ISBLANK($C236),"",IF(ISNUMBER($DG236),$DG236+ROW($B236)/1000,""))</f>
        <v/>
      </c>
      <c r="DL236" s="107" t="str">
        <f aca="false">IF(ISNUMBER($DK236),RANK($DK236,$DK$9:$DK$508,1),"")</f>
        <v/>
      </c>
      <c r="DM236" s="107" t="str">
        <f aca="false">IF(ISBLANK($C236),"",$B236)</f>
        <v/>
      </c>
      <c r="DN236" s="107" t="str">
        <f aca="false">IF(ISBLANK($C236),"",$C236)</f>
        <v/>
      </c>
      <c r="DO236" s="107" t="str">
        <f aca="false">IF(ISBLANK($C236),"",$D236)</f>
        <v/>
      </c>
      <c r="DP236" s="108" t="str">
        <f aca="false">$DD236</f>
        <v/>
      </c>
      <c r="DQ236" s="109" t="str">
        <f aca="false">$DC236</f>
        <v/>
      </c>
      <c r="DR236" s="107" t="str">
        <f aca="false">IF(ISBLANK($C236),"",$DF236)</f>
        <v/>
      </c>
      <c r="DS236" s="110" t="str">
        <f aca="false">IF($DJ236&gt;$DI$8,"",VLOOKUP($DJ236,$DL$9:$DR$508,7,FALSE()))</f>
        <v/>
      </c>
      <c r="DT236" s="111" t="str">
        <f aca="false">IF($DJ236&gt;$DI$8,"",VLOOKUP($DJ236,$DL$9:$DR$508,2,FALSE()))</f>
        <v/>
      </c>
      <c r="DU236" s="111" t="str">
        <f aca="false">IF($DJ236&gt;$DI$8,"",VLOOKUP($DJ236,$DL$9:$DR$508,3,FALSE()))</f>
        <v/>
      </c>
      <c r="DV236" s="111" t="str">
        <f aca="false">IF($DJ236&gt;$DI$8,"",VLOOKUP($DJ236,$DL$9:$DR$508,4,FALSE()))</f>
        <v/>
      </c>
      <c r="DW236" s="111" t="str">
        <f aca="false">IF($DJ236&gt;$DI$8,"",VLOOKUP($DJ236,$DL$9:$DR$508,5,FALSE()))</f>
        <v/>
      </c>
      <c r="DX236" s="112" t="str">
        <f aca="false">IF($DJ236&gt;$DI$8,"",VLOOKUP($DJ236,$DL$9:$DR$508,6,FALSE()))</f>
        <v/>
      </c>
      <c r="DY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88"/>
      <c r="N237" s="88"/>
      <c r="O237" s="134"/>
      <c r="P237" s="134"/>
      <c r="Q237" s="88"/>
      <c r="R237" s="88"/>
      <c r="S237" s="88"/>
      <c r="T237" s="88"/>
      <c r="U237" s="134"/>
      <c r="V237" s="88"/>
      <c r="W237" s="70"/>
      <c r="X237" s="88"/>
      <c r="Y237" s="88"/>
      <c r="Z237" s="70"/>
      <c r="AA237" s="70"/>
      <c r="AB237" s="88"/>
      <c r="AC237" s="88"/>
      <c r="AD237" s="88"/>
      <c r="AE237" s="71"/>
      <c r="AF237" s="88"/>
      <c r="AG237" s="73"/>
      <c r="AH237" s="74"/>
      <c r="AI237" s="74"/>
      <c r="AJ237" s="74" t="str">
        <f aca="false">IF(ISBLANK($C237),"",IF($E237=Constants!$B$2,TRUE(),IF($E237=Constants!$B$3,FALSE(),TRUE())))</f>
        <v/>
      </c>
      <c r="AK237" s="74" t="str">
        <f aca="false">IF(ISBLANK($C237),"",IF($F237=Constants!$B$2,TRUE(),IF($F237=Constants!$B$3,FALSE(),FALSE())))</f>
        <v/>
      </c>
      <c r="AL237" s="74" t="str">
        <f aca="false">IF(ISBLANK($C237),"",IF($G237=Constants!$B$2,TRUE(),IF($G237=Constants!$B$3,FALSE(),TRUE())))</f>
        <v/>
      </c>
      <c r="AM237" s="74" t="str">
        <f aca="false">IF(ISBLANK($C237),"",IF($H237=Constants!$B$2,TRUE(),IF($H237=Constants!$B$3,FALSE(),TRUE())))</f>
        <v/>
      </c>
      <c r="AN237" s="74" t="str">
        <f aca="false">IF(ISBLANK($C237),"",IF(ISNUMBER($I237),IF($I237&gt;=0,$I237,""),""))</f>
        <v/>
      </c>
      <c r="AO237" s="74" t="str">
        <f aca="false">IF(ISBLANK($C237),"",IF(ISNUMBER($J237),IF($J237&gt;=0,$J237,""),""))</f>
        <v/>
      </c>
      <c r="AP237" s="74" t="str">
        <f aca="false">IF(ISBLANK($C237),"",IF(ISNUMBER($K237),IF($K237&gt;=0,$K237,""),""))</f>
        <v/>
      </c>
      <c r="AQ237" s="74" t="str">
        <f aca="false">IF(ISBLANK($C237),"",IF($L237=Constants!$B$2,TRUE(),IF($L237=Constants!$B$3,FALSE(),TRUE())))</f>
        <v/>
      </c>
      <c r="AR237" s="74" t="str">
        <f aca="false">IF(ISBLANK($C237),"",IF($M237=Constants!$B$2,TRUE(),IF($M237=Constants!$B$3,FALSE(),TRUE())))</f>
        <v/>
      </c>
      <c r="AS237" s="74" t="str">
        <f aca="false">IF(ISBLANK($C237),"",IF($N237=Constants!$B$2,TRUE(),IF($N237=Constants!$B$3,FALSE(),FALSE())))</f>
        <v/>
      </c>
      <c r="AT237" s="74" t="str">
        <f aca="false">IF(ISBLANK($C237),"",IF($O237=Constants!$B$2,TRUE(),IF($O237=Constants!$B$3,FALSE(),TRUE())))</f>
        <v/>
      </c>
      <c r="AU237" s="74" t="str">
        <f aca="false">IF(ISBLANK($C237),"",IF($P237=Constants!$B$2,TRUE(),IF($P237=Constants!$B$3,FALSE(),TRUE())))</f>
        <v/>
      </c>
      <c r="AV237" s="74" t="str">
        <f aca="false">IF(ISBLANK($C237),"",IF($Q237=Constants!$B$2,TRUE(),IF($Q237=Constants!$B$3,FALSE(),FALSE())))</f>
        <v/>
      </c>
      <c r="AW237" s="74" t="str">
        <f aca="false">IF(ISBLANK($C237),"",IF($R237=Constants!$B$2,TRUE(),IF($R237=Constants!$B$3,FALSE(),FALSE())))</f>
        <v/>
      </c>
      <c r="AX237" s="74" t="str">
        <f aca="false">IF(ISBLANK($C237),"",IF($S237=Constants!$B$2,TRUE(),IF($S237=Constants!$B$3,FALSE(),FALSE())))</f>
        <v/>
      </c>
      <c r="AY237" s="74" t="str">
        <f aca="false">IF(ISBLANK($C237),"",IF($T237=Constants!$B$2,TRUE(),IF($T237=Constants!$B$3,FALSE(),FALSE())))</f>
        <v/>
      </c>
      <c r="AZ237" s="74" t="str">
        <f aca="false">IF(ISBLANK($C237),"",IF($U237=Constants!$B$2,TRUE(),IF($U237=Constants!$B$3,FALSE(),FALSE())))</f>
        <v/>
      </c>
      <c r="BA237" s="74" t="str">
        <f aca="false">IF(ISBLANK($C237),"",IF(OR($V237&amp;""="1",$V237&amp;""="2",$V237&amp;""="3",$V237&amp;""="4"),VALUE($V237&amp;""),IF($V237=Constants!$B$12,Constants!$B$12,"")))</f>
        <v/>
      </c>
      <c r="BB237" s="74" t="str">
        <f aca="false">IF(ISBLANK($C237),"",IF(ISBLANK($W237),0,IF(ISNUMBER($W237),IF(AND($W237&gt;=0,$W237&lt;=Constants!$B$21,$W237=INT($W237)),$W237,""),"")))</f>
        <v/>
      </c>
      <c r="BC237" s="74" t="str">
        <f aca="false">IF(ISBLANK($C237),"",IF(ISBLANK($X237),0,IF(ISNUMBER($X237),IF($X237&gt;=0,$X237,""),"")))</f>
        <v/>
      </c>
      <c r="BD237" s="74" t="str">
        <f aca="false">IF(ISBLANK($C237),"",IF($Y237=Constants!$B$2,TRUE(),IF($Y237=Constants!$B$3,FALSE(),TRUE())))</f>
        <v/>
      </c>
      <c r="BE237" s="74" t="str">
        <f aca="false">IF(ISBLANK($C237),"",IF($Z237=Constants!$B$2,TRUE(),IF($Z237=Constants!$B$3,FALSE(),FALSE())))</f>
        <v/>
      </c>
      <c r="BF237" s="74" t="str">
        <f aca="false">IF(ISBLANK($C237),"",IF(ISBLANK($AA237),0,IF(ISNUMBER($AA237),IF(AND($AA237&gt;=0,$AA237&lt;=Constants!$B$35,$AA237=INT($AA237)),$AA237,""),"")))</f>
        <v/>
      </c>
      <c r="BG237" s="74" t="str">
        <f aca="false">IF(ISBLANK($C237),"",IF($AB237=Constants!$B$2,TRUE(),IF($AB237=Constants!$B$3,FALSE(),TRUE())))</f>
        <v/>
      </c>
      <c r="BH237" s="74" t="str">
        <f aca="false">IF(ISBLANK($C237),"",IF($AC237=Constants!$B$2,TRUE(),IF($AC237=Constants!$B$3,FALSE(),TRUE())))</f>
        <v/>
      </c>
      <c r="BI237" s="74" t="str">
        <f aca="false">IF(ISBLANK($C237),"",IF($AD237=Constants!$B$2,TRUE(),IF($AD237=Constants!$B$3,FALSE(),TRUE())))</f>
        <v/>
      </c>
      <c r="BJ237" s="74" t="str">
        <f aca="false">IF(ISBLANK($C237),"",IF(ISNUMBER($AE237),IF($AE237&gt;=0,$AE237,""),""))</f>
        <v/>
      </c>
      <c r="BK237" s="74" t="str">
        <f aca="false">IF(ISBLANK($C237),"",IF($AF237=Constants!$B$2,TRUE(),IF($AF237=Constants!$B$3,FALSE(),FALSE())))</f>
        <v/>
      </c>
      <c r="BL237" s="73" t="str">
        <f aca="false">IF(ISBLANK($C237),"",IF($BK237,Constants!$B$7,IF(COUNTA($E237:$AE237)=0,Constants!$B$6,IF(OR(COUNTA($G237:$AE237)=0,NOT($AM237),$AS237),Constants!$B$5,IF(OR($CM237&lt;&gt;"",$CN237,$CO237,$CP237,$CQ237,$CR237,$CS237),Constants!$B$8,Constants!$B$4)))))</f>
        <v/>
      </c>
      <c r="BM237" s="74" t="str">
        <f aca="false">IF(ISBLANK($C237),"",IF($BL237&lt;&gt;Constants!$B$4,$BL237,IF(OR(NOT($AJ237),NOT($AL237),NOT($AT237)),Constants!$B$11,IF(OR(NOT($AR237),NOT($AU237),NOT($BI237),MAX($AN237,$AO237,$AP237)&gt;Constants!$B$30),Constants!$B$10,Constants!$B$9))))</f>
        <v/>
      </c>
      <c r="BN237" s="74" t="str">
        <f aca="false">IF($BL237&lt;&gt;Constants!$B$4,"",IF(NOT($AL237),0,MIN(Constants!$B$35,$BF237)))</f>
        <v/>
      </c>
      <c r="BO237" s="74" t="str">
        <f aca="false">IF($BL237&lt;&gt;Constants!$B$4,"",IF(NOT($AL237),0,IF($AW237,Constants!$B$18,IF($AV237,Constants!$B$17,0))))</f>
        <v/>
      </c>
      <c r="BP237" s="74" t="str">
        <f aca="false">IF($BL237&lt;&gt;Constants!$B$4,"",IF(NOT($AL237),0,Constants!$B$19*($AK237+$AX237+$AY237+$AZ237)))</f>
        <v/>
      </c>
      <c r="BQ237" s="74" t="str">
        <f aca="false">IF($BL237&lt;&gt;Constants!$B$4,"",IF(OR(NOT($AL237),NOT(ISNUMBER($BA237))),0,CHOOSE($BA237,Constants!$B$13,Constants!$B$14,Constants!$B$15,Constants!$B$16)))</f>
        <v/>
      </c>
      <c r="BR237" s="74" t="str">
        <f aca="false">IF($BL237&lt;&gt;Constants!$B$4,"",IF(NOT($AL237),0,Constants!$B$20*$BB237))</f>
        <v/>
      </c>
      <c r="BS237" s="74" t="str">
        <f aca="false">IF($BL237&lt;&gt;Constants!$B$4,"",IF(AND($AL237,$BD237,$BE237),Constants!$B$22,0))</f>
        <v/>
      </c>
      <c r="BT237" s="74" t="str">
        <f aca="false">IF($BL237&lt;&gt;Constants!$B$4,"",IF(OR(NOT($AL237),NOT($BD237)),0,IF($BJ237&gt;=2*$AH$9,0,Constants!$B$23*INT(ROUND(MIN($BJ237,$AH$9),6)))))</f>
        <v/>
      </c>
      <c r="BU237" s="74" t="str">
        <f aca="false">IF($BL237&lt;&gt;Constants!$B$4,"",IF(NOT($AL237),0,Constants!$B$24*INT(ROUND(MIN($BC237,$AH$9),6))))</f>
        <v/>
      </c>
      <c r="BV237" s="74" t="str">
        <f aca="false">IF($BL237&lt;&gt;Constants!$B$4,"",IF(AND($AL237,$BN237=0),Constants!$B$25,0))</f>
        <v/>
      </c>
      <c r="BW237" s="74" t="str">
        <f aca="false">IF($BL237&lt;&gt;Constants!$B$4,"",MIN(Constants!$B$29,MAX(0,Constants!$B$27*Constants!$B$28*INT(ROUND((Constants!$B$26-$AN237)/Constants!$B$28,6))))+MIN(Constants!$B$29,MAX(0,Constants!$B$27*Constants!$B$28*INT(ROUND((Constants!$B$26-$AO237)/Constants!$B$28,6))))+MIN(Constants!$B$29,MAX(0,Constants!$B$27*Constants!$B$28*INT(ROUND((Constants!$B$26-$AP237)/Constants!$B$28,6)))))</f>
        <v/>
      </c>
      <c r="BX237" s="74" t="str">
        <f aca="false">IF($BL237&lt;&gt;Constants!$B$4,"",IF(NOT($AL237),0,Constants!$B$31*INT(ROUND(MAX(0,MIN($BJ237,2*$AH$9)-$AH$9),6))))</f>
        <v/>
      </c>
      <c r="BY237" s="74" t="str">
        <f aca="false">IF($BL237&lt;&gt;Constants!$B$4,"",Constants!$B$32*(($AN237&gt;Constants!$B$26)+($AO237&gt;Constants!$B$26)+($AP237&gt;Constants!$B$26)))</f>
        <v/>
      </c>
      <c r="BZ237" s="74" t="str">
        <f aca="false">IF($BL237&lt;&gt;Constants!$B$4,"",IF(OR(NOT($AL237),$AQ237),0,Constants!$B$33))</f>
        <v/>
      </c>
      <c r="CA237" s="74" t="str">
        <f aca="false">IF($BL237&lt;&gt;Constants!$B$4,"",Constants!$B$34*$BN237)</f>
        <v/>
      </c>
      <c r="CB237" s="74" t="str">
        <f aca="false">IF($BL237&lt;&gt;Constants!$B$4,"",IF(OR(NOT($AL237),$BH237),0,Constants!$B$36))</f>
        <v/>
      </c>
      <c r="CC237" s="74" t="str">
        <f aca="false">IF($BL237&lt;&gt;Constants!$B$4,"",IF(OR(NOT($AL237),$BG237),0,Constants!$B$37))</f>
        <v/>
      </c>
      <c r="CD237" s="74" t="str">
        <f aca="false">IF($BL237&lt;&gt;Constants!$B$4,"",SUM($BX237:$CC237))</f>
        <v/>
      </c>
      <c r="CE237" s="74" t="str">
        <f aca="false">IF(ISBLANK($C237),"",IF($BL237&lt;&gt;Constants!$B$4,$BL237,SUM($BO237:$BW237)-$CD237))</f>
        <v/>
      </c>
      <c r="CF237" s="74" t="str">
        <f aca="false">IF(ISBLANK($C237),"",IF($BL237&lt;&gt;Constants!$B$4,$BL237,RANK($CE237,$CE$9:$CE$508)))</f>
        <v/>
      </c>
      <c r="CG237" s="74" t="str">
        <f aca="false">IF(ISBLANK($C237),"",IF($BL237&lt;&gt;Constants!$B$4,$BL237,COUNTIFS($BM$9:$BM$508,"&lt;"&amp;$BM237)+COUNTIFS($BM$9:$BM$508,$BM237,$CF$9:$CF$508,"&lt;"&amp;$CF237)+1))</f>
        <v/>
      </c>
      <c r="CH237" s="74" t="str">
        <f aca="false">IF(ISBLANK($C237),"",IF($BL237&lt;&gt;Constants!$B$4,$BL237,RANK($CD237,$CD$9:$CD$508,1)))</f>
        <v/>
      </c>
      <c r="CI237" s="74" t="str">
        <f aca="false">IF($BL237&lt;&gt;Constants!$B$4,"",$AN237+$AO237+$AP237)</f>
        <v/>
      </c>
      <c r="CJ237" s="74" t="str">
        <f aca="false">IF(ISBLANK($C237),"",IF($BL237&lt;&gt;Constants!$B$4,$BL237,RANK($CI237,$CI$9:$CI$508,1)))</f>
        <v/>
      </c>
      <c r="CK237" s="74" t="str">
        <f aca="false">IF(ISBLANK($C237),"",IF($BL237&lt;&gt;Constants!$B$4,$BL237,COUNTIFS($BM$9:$BM$508,"&lt;"&amp;$BM237)+COUNTIFS($BM$9:$BM$508,$BM237,$CF$9:$CF$508,"&lt;"&amp;$CF237)+COUNTIFS($BM$9:$BM$508,$BM237,$CF$9:$CF$508,$CF237,$CH$9:$CH$508,"&lt;"&amp;$CH237)+COUNTIFS($BM$9:$BM$508,$BM237,$CF$9:$CF$508,$CF237,$CH$9:$CH$508,$CH237,$CJ$9:$CJ$508,"&lt;"&amp;$CJ237)+1))</f>
        <v/>
      </c>
      <c r="CL237" s="74" t="str">
        <f aca="false">IF(ISBLANK($C237),"",IF($BL237&lt;&gt;Constants!$B$4,$BL237,$CG237-$CK237))</f>
        <v/>
      </c>
      <c r="CM237" s="74" t="str">
        <f aca="false">IF(ISBLANK($C237),"",IF(NOT($AL237),"",IF(ISBLANK($D$7),$CM$5,IF(NOT(ISNUMBER($D$7)),$CM$6,""))))</f>
        <v/>
      </c>
      <c r="CN237" s="74" t="str">
        <f aca="false">IF(ISBLANK($C237),"",OR($AN237="",$AO237="",$AP237=""))</f>
        <v/>
      </c>
      <c r="CO237" s="74" t="str">
        <f aca="false">IF(ISBLANK($C237),"",AND($AL237,$BA237=""))</f>
        <v/>
      </c>
      <c r="CP237" s="74" t="str">
        <f aca="false">IF(ISBLANK($C237),"",AND($AL237,$BB237=""))</f>
        <v/>
      </c>
      <c r="CQ237" s="74" t="str">
        <f aca="false">IF(ISBLANK($C237),"",AND($AL237,$BC237=""))</f>
        <v/>
      </c>
      <c r="CR237" s="74" t="str">
        <f aca="false">IF(ISBLANK($C237),"",AND($AL237,$BF237=""))</f>
        <v/>
      </c>
      <c r="CS237" s="74" t="str">
        <f aca="false">IF(ISBLANK($C237),"",AND($AL237,$BJ237=""))</f>
        <v/>
      </c>
      <c r="CT237" s="75"/>
      <c r="CU237" s="76"/>
      <c r="CV237" s="79" t="str">
        <f aca="false">IF(ISBLANK($C237),"",IF($BL237=Constants!$B$8,$CM237,""))</f>
        <v/>
      </c>
      <c r="CW237" s="76" t="str">
        <f aca="false">IF(ISBLANK($C237),"",IF($BL237&lt;&gt;Constants!$B$4,"",$BO237+$BP237))</f>
        <v/>
      </c>
      <c r="CX237" s="78" t="str">
        <f aca="false">IF(ISBLANK($C237),"",IF($BL237&lt;&gt;Constants!$B$4,"",$BQ237+$BR237+$BS237))</f>
        <v/>
      </c>
      <c r="CY237" s="78" t="str">
        <f aca="false">IF(ISBLANK($C237),"",IF($BL237&lt;&gt;Constants!$B$4,"",$BT237))</f>
        <v/>
      </c>
      <c r="CZ237" s="78" t="str">
        <f aca="false">IF(ISBLANK($C237),"",IF($BL237&lt;&gt;Constants!$B$4,"",$BU237+$BV237))</f>
        <v/>
      </c>
      <c r="DA237" s="78" t="str">
        <f aca="false">IF(ISBLANK($C237),"",IF($BL237&lt;&gt;Constants!$B$4,"",$BW237))</f>
        <v/>
      </c>
      <c r="DB237" s="78" t="str">
        <f aca="false">IF(ISBLANK($C237),"",IF($BL237&lt;&gt;Constants!$B$4,"",-$CD237))</f>
        <v/>
      </c>
      <c r="DC237" s="79" t="str">
        <f aca="false">IF(ISBLANK($C237),"",$CE237)</f>
        <v/>
      </c>
      <c r="DD237" s="80" t="str">
        <f aca="false">IF(ISBLANK($C237),"",$BM237)</f>
        <v/>
      </c>
      <c r="DE237" s="78" t="str">
        <f aca="false">IF(ISBLANK($C237),"",$CL237)</f>
        <v/>
      </c>
      <c r="DF237" s="78" t="str">
        <f aca="false">IF(ISBLANK($C237),"",$CK237)</f>
        <v/>
      </c>
      <c r="DG237" s="81" t="str">
        <f aca="false">IF(ISBLANK($C237),"",IF($DF237=Constants!$B$7,COUNTA($C$9:$C$508)+2,IF($DF237=Constants!$B$6,COUNTA($C$9:$C$508)+1,IF($DF237=Constants!$B$5,COUNTA($C$9:$C$508),$DF237))))</f>
        <v/>
      </c>
      <c r="DH237" s="7"/>
      <c r="DI237" s="82" t="n">
        <f aca="false">IF(OR(ISNUMBER($DF237),$DF237=Constants!$B$7,$DF237=Constants!$B$5,$DF237=Constants!$B$6),1,0)</f>
        <v>0</v>
      </c>
      <c r="DJ237" s="82" t="n">
        <v>229</v>
      </c>
      <c r="DK237" s="82" t="str">
        <f aca="false">IF(ISBLANK($C237),"",IF(ISNUMBER($DG237),$DG237+ROW($B237)/1000,""))</f>
        <v/>
      </c>
      <c r="DL237" s="82" t="str">
        <f aca="false">IF(ISNUMBER($DK237),RANK($DK237,$DK$9:$DK$508,1),"")</f>
        <v/>
      </c>
      <c r="DM237" s="82" t="str">
        <f aca="false">IF(ISBLANK($C237),"",$B237)</f>
        <v/>
      </c>
      <c r="DN237" s="82" t="str">
        <f aca="false">IF(ISBLANK($C237),"",$C237)</f>
        <v/>
      </c>
      <c r="DO237" s="82" t="str">
        <f aca="false">IF(ISBLANK($C237),"",$D237)</f>
        <v/>
      </c>
      <c r="DP237" s="83" t="str">
        <f aca="false">$DD237</f>
        <v/>
      </c>
      <c r="DQ237" s="84" t="str">
        <f aca="false">$DC237</f>
        <v/>
      </c>
      <c r="DR237" s="82" t="str">
        <f aca="false">IF(ISBLANK($C237),"",$DF237)</f>
        <v/>
      </c>
      <c r="DS237" s="85" t="str">
        <f aca="false">IF($DJ237&gt;$DI$8,"",VLOOKUP($DJ237,$DL$9:$DR$508,7,FALSE()))</f>
        <v/>
      </c>
      <c r="DT237" s="86" t="str">
        <f aca="false">IF($DJ237&gt;$DI$8,"",VLOOKUP($DJ237,$DL$9:$DR$508,2,FALSE()))</f>
        <v/>
      </c>
      <c r="DU237" s="86" t="str">
        <f aca="false">IF($DJ237&gt;$DI$8,"",VLOOKUP($DJ237,$DL$9:$DR$508,3,FALSE()))</f>
        <v/>
      </c>
      <c r="DV237" s="86" t="str">
        <f aca="false">IF($DJ237&gt;$DI$8,"",VLOOKUP($DJ237,$DL$9:$DR$508,4,FALSE()))</f>
        <v/>
      </c>
      <c r="DW237" s="86" t="str">
        <f aca="false">IF($DJ237&gt;$DI$8,"",VLOOKUP($DJ237,$DL$9:$DR$508,5,FALSE()))</f>
        <v/>
      </c>
      <c r="DX237" s="87" t="str">
        <f aca="false">IF($DJ237&gt;$DI$8,"",VLOOKUP($DJ237,$DL$9:$DR$508,6,FALSE()))</f>
        <v/>
      </c>
      <c r="DY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88"/>
      <c r="N238" s="88"/>
      <c r="O238" s="134"/>
      <c r="P238" s="134"/>
      <c r="Q238" s="88"/>
      <c r="R238" s="88"/>
      <c r="S238" s="88"/>
      <c r="T238" s="88"/>
      <c r="U238" s="134"/>
      <c r="V238" s="88"/>
      <c r="W238" s="70"/>
      <c r="X238" s="88"/>
      <c r="Y238" s="88"/>
      <c r="Z238" s="70"/>
      <c r="AA238" s="70"/>
      <c r="AB238" s="88"/>
      <c r="AC238" s="88"/>
      <c r="AD238" s="88"/>
      <c r="AE238" s="71"/>
      <c r="AF238" s="88"/>
      <c r="AG238" s="73"/>
      <c r="AH238" s="74"/>
      <c r="AI238" s="74"/>
      <c r="AJ238" s="74" t="str">
        <f aca="false">IF(ISBLANK($C238),"",IF($E238=Constants!$B$2,TRUE(),IF($E238=Constants!$B$3,FALSE(),TRUE())))</f>
        <v/>
      </c>
      <c r="AK238" s="74" t="str">
        <f aca="false">IF(ISBLANK($C238),"",IF($F238=Constants!$B$2,TRUE(),IF($F238=Constants!$B$3,FALSE(),FALSE())))</f>
        <v/>
      </c>
      <c r="AL238" s="74" t="str">
        <f aca="false">IF(ISBLANK($C238),"",IF($G238=Constants!$B$2,TRUE(),IF($G238=Constants!$B$3,FALSE(),TRUE())))</f>
        <v/>
      </c>
      <c r="AM238" s="74" t="str">
        <f aca="false">IF(ISBLANK($C238),"",IF($H238=Constants!$B$2,TRUE(),IF($H238=Constants!$B$3,FALSE(),TRUE())))</f>
        <v/>
      </c>
      <c r="AN238" s="74" t="str">
        <f aca="false">IF(ISBLANK($C238),"",IF(ISNUMBER($I238),IF($I238&gt;=0,$I238,""),""))</f>
        <v/>
      </c>
      <c r="AO238" s="74" t="str">
        <f aca="false">IF(ISBLANK($C238),"",IF(ISNUMBER($J238),IF($J238&gt;=0,$J238,""),""))</f>
        <v/>
      </c>
      <c r="AP238" s="74" t="str">
        <f aca="false">IF(ISBLANK($C238),"",IF(ISNUMBER($K238),IF($K238&gt;=0,$K238,""),""))</f>
        <v/>
      </c>
      <c r="AQ238" s="74" t="str">
        <f aca="false">IF(ISBLANK($C238),"",IF($L238=Constants!$B$2,TRUE(),IF($L238=Constants!$B$3,FALSE(),TRUE())))</f>
        <v/>
      </c>
      <c r="AR238" s="74" t="str">
        <f aca="false">IF(ISBLANK($C238),"",IF($M238=Constants!$B$2,TRUE(),IF($M238=Constants!$B$3,FALSE(),TRUE())))</f>
        <v/>
      </c>
      <c r="AS238" s="74" t="str">
        <f aca="false">IF(ISBLANK($C238),"",IF($N238=Constants!$B$2,TRUE(),IF($N238=Constants!$B$3,FALSE(),FALSE())))</f>
        <v/>
      </c>
      <c r="AT238" s="74" t="str">
        <f aca="false">IF(ISBLANK($C238),"",IF($O238=Constants!$B$2,TRUE(),IF($O238=Constants!$B$3,FALSE(),TRUE())))</f>
        <v/>
      </c>
      <c r="AU238" s="74" t="str">
        <f aca="false">IF(ISBLANK($C238),"",IF($P238=Constants!$B$2,TRUE(),IF($P238=Constants!$B$3,FALSE(),TRUE())))</f>
        <v/>
      </c>
      <c r="AV238" s="74" t="str">
        <f aca="false">IF(ISBLANK($C238),"",IF($Q238=Constants!$B$2,TRUE(),IF($Q238=Constants!$B$3,FALSE(),FALSE())))</f>
        <v/>
      </c>
      <c r="AW238" s="74" t="str">
        <f aca="false">IF(ISBLANK($C238),"",IF($R238=Constants!$B$2,TRUE(),IF($R238=Constants!$B$3,FALSE(),FALSE())))</f>
        <v/>
      </c>
      <c r="AX238" s="74" t="str">
        <f aca="false">IF(ISBLANK($C238),"",IF($S238=Constants!$B$2,TRUE(),IF($S238=Constants!$B$3,FALSE(),FALSE())))</f>
        <v/>
      </c>
      <c r="AY238" s="74" t="str">
        <f aca="false">IF(ISBLANK($C238),"",IF($T238=Constants!$B$2,TRUE(),IF($T238=Constants!$B$3,FALSE(),FALSE())))</f>
        <v/>
      </c>
      <c r="AZ238" s="74" t="str">
        <f aca="false">IF(ISBLANK($C238),"",IF($U238=Constants!$B$2,TRUE(),IF($U238=Constants!$B$3,FALSE(),FALSE())))</f>
        <v/>
      </c>
      <c r="BA238" s="74" t="str">
        <f aca="false">IF(ISBLANK($C238),"",IF(OR($V238&amp;""="1",$V238&amp;""="2",$V238&amp;""="3",$V238&amp;""="4"),VALUE($V238&amp;""),IF($V238=Constants!$B$12,Constants!$B$12,"")))</f>
        <v/>
      </c>
      <c r="BB238" s="74" t="str">
        <f aca="false">IF(ISBLANK($C238),"",IF(ISBLANK($W238),0,IF(ISNUMBER($W238),IF(AND($W238&gt;=0,$W238&lt;=Constants!$B$21,$W238=INT($W238)),$W238,""),"")))</f>
        <v/>
      </c>
      <c r="BC238" s="74" t="str">
        <f aca="false">IF(ISBLANK($C238),"",IF(ISBLANK($X238),0,IF(ISNUMBER($X238),IF($X238&gt;=0,$X238,""),"")))</f>
        <v/>
      </c>
      <c r="BD238" s="74" t="str">
        <f aca="false">IF(ISBLANK($C238),"",IF($Y238=Constants!$B$2,TRUE(),IF($Y238=Constants!$B$3,FALSE(),TRUE())))</f>
        <v/>
      </c>
      <c r="BE238" s="74" t="str">
        <f aca="false">IF(ISBLANK($C238),"",IF($Z238=Constants!$B$2,TRUE(),IF($Z238=Constants!$B$3,FALSE(),FALSE())))</f>
        <v/>
      </c>
      <c r="BF238" s="74" t="str">
        <f aca="false">IF(ISBLANK($C238),"",IF(ISBLANK($AA238),0,IF(ISNUMBER($AA238),IF(AND($AA238&gt;=0,$AA238&lt;=Constants!$B$35,$AA238=INT($AA238)),$AA238,""),"")))</f>
        <v/>
      </c>
      <c r="BG238" s="74" t="str">
        <f aca="false">IF(ISBLANK($C238),"",IF($AB238=Constants!$B$2,TRUE(),IF($AB238=Constants!$B$3,FALSE(),TRUE())))</f>
        <v/>
      </c>
      <c r="BH238" s="74" t="str">
        <f aca="false">IF(ISBLANK($C238),"",IF($AC238=Constants!$B$2,TRUE(),IF($AC238=Constants!$B$3,FALSE(),TRUE())))</f>
        <v/>
      </c>
      <c r="BI238" s="74" t="str">
        <f aca="false">IF(ISBLANK($C238),"",IF($AD238=Constants!$B$2,TRUE(),IF($AD238=Constants!$B$3,FALSE(),TRUE())))</f>
        <v/>
      </c>
      <c r="BJ238" s="74" t="str">
        <f aca="false">IF(ISBLANK($C238),"",IF(ISNUMBER($AE238),IF($AE238&gt;=0,$AE238,""),""))</f>
        <v/>
      </c>
      <c r="BK238" s="74" t="str">
        <f aca="false">IF(ISBLANK($C238),"",IF($AF238=Constants!$B$2,TRUE(),IF($AF238=Constants!$B$3,FALSE(),FALSE())))</f>
        <v/>
      </c>
      <c r="BL238" s="73" t="str">
        <f aca="false">IF(ISBLANK($C238),"",IF($BK238,Constants!$B$7,IF(COUNTA($E238:$AE238)=0,Constants!$B$6,IF(OR(COUNTA($G238:$AE238)=0,NOT($AM238),$AS238),Constants!$B$5,IF(OR($CM238&lt;&gt;"",$CN238,$CO238,$CP238,$CQ238,$CR238,$CS238),Constants!$B$8,Constants!$B$4)))))</f>
        <v/>
      </c>
      <c r="BM238" s="74" t="str">
        <f aca="false">IF(ISBLANK($C238),"",IF($BL238&lt;&gt;Constants!$B$4,$BL238,IF(OR(NOT($AJ238),NOT($AL238),NOT($AT238)),Constants!$B$11,IF(OR(NOT($AR238),NOT($AU238),NOT($BI238),MAX($AN238,$AO238,$AP238)&gt;Constants!$B$30),Constants!$B$10,Constants!$B$9))))</f>
        <v/>
      </c>
      <c r="BN238" s="74" t="str">
        <f aca="false">IF($BL238&lt;&gt;Constants!$B$4,"",IF(NOT($AL238),0,MIN(Constants!$B$35,$BF238)))</f>
        <v/>
      </c>
      <c r="BO238" s="74" t="str">
        <f aca="false">IF($BL238&lt;&gt;Constants!$B$4,"",IF(NOT($AL238),0,IF($AW238,Constants!$B$18,IF($AV238,Constants!$B$17,0))))</f>
        <v/>
      </c>
      <c r="BP238" s="74" t="str">
        <f aca="false">IF($BL238&lt;&gt;Constants!$B$4,"",IF(NOT($AL238),0,Constants!$B$19*($AK238+$AX238+$AY238+$AZ238)))</f>
        <v/>
      </c>
      <c r="BQ238" s="74" t="str">
        <f aca="false">IF($BL238&lt;&gt;Constants!$B$4,"",IF(OR(NOT($AL238),NOT(ISNUMBER($BA238))),0,CHOOSE($BA238,Constants!$B$13,Constants!$B$14,Constants!$B$15,Constants!$B$16)))</f>
        <v/>
      </c>
      <c r="BR238" s="74" t="str">
        <f aca="false">IF($BL238&lt;&gt;Constants!$B$4,"",IF(NOT($AL238),0,Constants!$B$20*$BB238))</f>
        <v/>
      </c>
      <c r="BS238" s="74" t="str">
        <f aca="false">IF($BL238&lt;&gt;Constants!$B$4,"",IF(AND($AL238,$BD238,$BE238),Constants!$B$22,0))</f>
        <v/>
      </c>
      <c r="BT238" s="74" t="str">
        <f aca="false">IF($BL238&lt;&gt;Constants!$B$4,"",IF(OR(NOT($AL238),NOT($BD238)),0,IF($BJ238&gt;=2*$AH$9,0,Constants!$B$23*INT(ROUND(MIN($BJ238,$AH$9),6)))))</f>
        <v/>
      </c>
      <c r="BU238" s="74" t="str">
        <f aca="false">IF($BL238&lt;&gt;Constants!$B$4,"",IF(NOT($AL238),0,Constants!$B$24*INT(ROUND(MIN($BC238,$AH$9),6))))</f>
        <v/>
      </c>
      <c r="BV238" s="74" t="str">
        <f aca="false">IF($BL238&lt;&gt;Constants!$B$4,"",IF(AND($AL238,$BN238=0),Constants!$B$25,0))</f>
        <v/>
      </c>
      <c r="BW238" s="74" t="str">
        <f aca="false">IF($BL238&lt;&gt;Constants!$B$4,"",MIN(Constants!$B$29,MAX(0,Constants!$B$27*Constants!$B$28*INT(ROUND((Constants!$B$26-$AN238)/Constants!$B$28,6))))+MIN(Constants!$B$29,MAX(0,Constants!$B$27*Constants!$B$28*INT(ROUND((Constants!$B$26-$AO238)/Constants!$B$28,6))))+MIN(Constants!$B$29,MAX(0,Constants!$B$27*Constants!$B$28*INT(ROUND((Constants!$B$26-$AP238)/Constants!$B$28,6)))))</f>
        <v/>
      </c>
      <c r="BX238" s="74" t="str">
        <f aca="false">IF($BL238&lt;&gt;Constants!$B$4,"",IF(NOT($AL238),0,Constants!$B$31*INT(ROUND(MAX(0,MIN($BJ238,2*$AH$9)-$AH$9),6))))</f>
        <v/>
      </c>
      <c r="BY238" s="74" t="str">
        <f aca="false">IF($BL238&lt;&gt;Constants!$B$4,"",Constants!$B$32*(($AN238&gt;Constants!$B$26)+($AO238&gt;Constants!$B$26)+($AP238&gt;Constants!$B$26)))</f>
        <v/>
      </c>
      <c r="BZ238" s="74" t="str">
        <f aca="false">IF($BL238&lt;&gt;Constants!$B$4,"",IF(OR(NOT($AL238),$AQ238),0,Constants!$B$33))</f>
        <v/>
      </c>
      <c r="CA238" s="74" t="str">
        <f aca="false">IF($BL238&lt;&gt;Constants!$B$4,"",Constants!$B$34*$BN238)</f>
        <v/>
      </c>
      <c r="CB238" s="74" t="str">
        <f aca="false">IF($BL238&lt;&gt;Constants!$B$4,"",IF(OR(NOT($AL238),$BH238),0,Constants!$B$36))</f>
        <v/>
      </c>
      <c r="CC238" s="74" t="str">
        <f aca="false">IF($BL238&lt;&gt;Constants!$B$4,"",IF(OR(NOT($AL238),$BG238),0,Constants!$B$37))</f>
        <v/>
      </c>
      <c r="CD238" s="74" t="str">
        <f aca="false">IF($BL238&lt;&gt;Constants!$B$4,"",SUM($BX238:$CC238))</f>
        <v/>
      </c>
      <c r="CE238" s="74" t="str">
        <f aca="false">IF(ISBLANK($C238),"",IF($BL238&lt;&gt;Constants!$B$4,$BL238,SUM($BO238:$BW238)-$CD238))</f>
        <v/>
      </c>
      <c r="CF238" s="74" t="str">
        <f aca="false">IF(ISBLANK($C238),"",IF($BL238&lt;&gt;Constants!$B$4,$BL238,RANK($CE238,$CE$9:$CE$508)))</f>
        <v/>
      </c>
      <c r="CG238" s="74" t="str">
        <f aca="false">IF(ISBLANK($C238),"",IF($BL238&lt;&gt;Constants!$B$4,$BL238,COUNTIFS($BM$9:$BM$508,"&lt;"&amp;$BM238)+COUNTIFS($BM$9:$BM$508,$BM238,$CF$9:$CF$508,"&lt;"&amp;$CF238)+1))</f>
        <v/>
      </c>
      <c r="CH238" s="74" t="str">
        <f aca="false">IF(ISBLANK($C238),"",IF($BL238&lt;&gt;Constants!$B$4,$BL238,RANK($CD238,$CD$9:$CD$508,1)))</f>
        <v/>
      </c>
      <c r="CI238" s="74" t="str">
        <f aca="false">IF($BL238&lt;&gt;Constants!$B$4,"",$AN238+$AO238+$AP238)</f>
        <v/>
      </c>
      <c r="CJ238" s="74" t="str">
        <f aca="false">IF(ISBLANK($C238),"",IF($BL238&lt;&gt;Constants!$B$4,$BL238,RANK($CI238,$CI$9:$CI$508,1)))</f>
        <v/>
      </c>
      <c r="CK238" s="74" t="str">
        <f aca="false">IF(ISBLANK($C238),"",IF($BL238&lt;&gt;Constants!$B$4,$BL238,COUNTIFS($BM$9:$BM$508,"&lt;"&amp;$BM238)+COUNTIFS($BM$9:$BM$508,$BM238,$CF$9:$CF$508,"&lt;"&amp;$CF238)+COUNTIFS($BM$9:$BM$508,$BM238,$CF$9:$CF$508,$CF238,$CH$9:$CH$508,"&lt;"&amp;$CH238)+COUNTIFS($BM$9:$BM$508,$BM238,$CF$9:$CF$508,$CF238,$CH$9:$CH$508,$CH238,$CJ$9:$CJ$508,"&lt;"&amp;$CJ238)+1))</f>
        <v/>
      </c>
      <c r="CL238" s="74" t="str">
        <f aca="false">IF(ISBLANK($C238),"",IF($BL238&lt;&gt;Constants!$B$4,$BL238,$CG238-$CK238))</f>
        <v/>
      </c>
      <c r="CM238" s="74" t="str">
        <f aca="false">IF(ISBLANK($C238),"",IF(NOT($AL238),"",IF(ISBLANK($D$7),$CM$5,IF(NOT(ISNUMBER($D$7)),$CM$6,""))))</f>
        <v/>
      </c>
      <c r="CN238" s="74" t="str">
        <f aca="false">IF(ISBLANK($C238),"",OR($AN238="",$AO238="",$AP238=""))</f>
        <v/>
      </c>
      <c r="CO238" s="74" t="str">
        <f aca="false">IF(ISBLANK($C238),"",AND($AL238,$BA238=""))</f>
        <v/>
      </c>
      <c r="CP238" s="74" t="str">
        <f aca="false">IF(ISBLANK($C238),"",AND($AL238,$BB238=""))</f>
        <v/>
      </c>
      <c r="CQ238" s="74" t="str">
        <f aca="false">IF(ISBLANK($C238),"",AND($AL238,$BC238=""))</f>
        <v/>
      </c>
      <c r="CR238" s="74" t="str">
        <f aca="false">IF(ISBLANK($C238),"",AND($AL238,$BF238=""))</f>
        <v/>
      </c>
      <c r="CS238" s="74" t="str">
        <f aca="false">IF(ISBLANK($C238),"",AND($AL238,$BJ238=""))</f>
        <v/>
      </c>
      <c r="CT238" s="75"/>
      <c r="CU238" s="76"/>
      <c r="CV238" s="79" t="str">
        <f aca="false">IF(ISBLANK($C238),"",IF($BL238=Constants!$B$8,$CM238,""))</f>
        <v/>
      </c>
      <c r="CW238" s="76" t="str">
        <f aca="false">IF(ISBLANK($C238),"",IF($BL238&lt;&gt;Constants!$B$4,"",$BO238+$BP238))</f>
        <v/>
      </c>
      <c r="CX238" s="78" t="str">
        <f aca="false">IF(ISBLANK($C238),"",IF($BL238&lt;&gt;Constants!$B$4,"",$BQ238+$BR238+$BS238))</f>
        <v/>
      </c>
      <c r="CY238" s="78" t="str">
        <f aca="false">IF(ISBLANK($C238),"",IF($BL238&lt;&gt;Constants!$B$4,"",$BT238))</f>
        <v/>
      </c>
      <c r="CZ238" s="78" t="str">
        <f aca="false">IF(ISBLANK($C238),"",IF($BL238&lt;&gt;Constants!$B$4,"",$BU238+$BV238))</f>
        <v/>
      </c>
      <c r="DA238" s="78" t="str">
        <f aca="false">IF(ISBLANK($C238),"",IF($BL238&lt;&gt;Constants!$B$4,"",$BW238))</f>
        <v/>
      </c>
      <c r="DB238" s="78" t="str">
        <f aca="false">IF(ISBLANK($C238),"",IF($BL238&lt;&gt;Constants!$B$4,"",-$CD238))</f>
        <v/>
      </c>
      <c r="DC238" s="79" t="str">
        <f aca="false">IF(ISBLANK($C238),"",$CE238)</f>
        <v/>
      </c>
      <c r="DD238" s="80" t="str">
        <f aca="false">IF(ISBLANK($C238),"",$BM238)</f>
        <v/>
      </c>
      <c r="DE238" s="78" t="str">
        <f aca="false">IF(ISBLANK($C238),"",$CL238)</f>
        <v/>
      </c>
      <c r="DF238" s="78" t="str">
        <f aca="false">IF(ISBLANK($C238),"",$CK238)</f>
        <v/>
      </c>
      <c r="DG238" s="81" t="str">
        <f aca="false">IF(ISBLANK($C238),"",IF($DF238=Constants!$B$7,COUNTA($C$9:$C$508)+2,IF($DF238=Constants!$B$6,COUNTA($C$9:$C$508)+1,IF($DF238=Constants!$B$5,COUNTA($C$9:$C$508),$DF238))))</f>
        <v/>
      </c>
      <c r="DH238" s="7"/>
      <c r="DI238" s="82" t="n">
        <f aca="false">IF(OR(ISNUMBER($DF238),$DF238=Constants!$B$7,$DF238=Constants!$B$5,$DF238=Constants!$B$6),1,0)</f>
        <v>0</v>
      </c>
      <c r="DJ238" s="82" t="n">
        <v>230</v>
      </c>
      <c r="DK238" s="82" t="str">
        <f aca="false">IF(ISBLANK($C238),"",IF(ISNUMBER($DG238),$DG238+ROW($B238)/1000,""))</f>
        <v/>
      </c>
      <c r="DL238" s="82" t="str">
        <f aca="false">IF(ISNUMBER($DK238),RANK($DK238,$DK$9:$DK$508,1),"")</f>
        <v/>
      </c>
      <c r="DM238" s="82" t="str">
        <f aca="false">IF(ISBLANK($C238),"",$B238)</f>
        <v/>
      </c>
      <c r="DN238" s="82" t="str">
        <f aca="false">IF(ISBLANK($C238),"",$C238)</f>
        <v/>
      </c>
      <c r="DO238" s="82" t="str">
        <f aca="false">IF(ISBLANK($C238),"",$D238)</f>
        <v/>
      </c>
      <c r="DP238" s="83" t="str">
        <f aca="false">$DD238</f>
        <v/>
      </c>
      <c r="DQ238" s="84" t="str">
        <f aca="false">$DC238</f>
        <v/>
      </c>
      <c r="DR238" s="82" t="str">
        <f aca="false">IF(ISBLANK($C238),"",$DF238)</f>
        <v/>
      </c>
      <c r="DS238" s="85" t="str">
        <f aca="false">IF($DJ238&gt;$DI$8,"",VLOOKUP($DJ238,$DL$9:$DR$508,7,FALSE()))</f>
        <v/>
      </c>
      <c r="DT238" s="86" t="str">
        <f aca="false">IF($DJ238&gt;$DI$8,"",VLOOKUP($DJ238,$DL$9:$DR$508,2,FALSE()))</f>
        <v/>
      </c>
      <c r="DU238" s="86" t="str">
        <f aca="false">IF($DJ238&gt;$DI$8,"",VLOOKUP($DJ238,$DL$9:$DR$508,3,FALSE()))</f>
        <v/>
      </c>
      <c r="DV238" s="86" t="str">
        <f aca="false">IF($DJ238&gt;$DI$8,"",VLOOKUP($DJ238,$DL$9:$DR$508,4,FALSE()))</f>
        <v/>
      </c>
      <c r="DW238" s="86" t="str">
        <f aca="false">IF($DJ238&gt;$DI$8,"",VLOOKUP($DJ238,$DL$9:$DR$508,5,FALSE()))</f>
        <v/>
      </c>
      <c r="DX238" s="87" t="str">
        <f aca="false">IF($DJ238&gt;$DI$8,"",VLOOKUP($DJ238,$DL$9:$DR$508,6,FALSE()))</f>
        <v/>
      </c>
      <c r="DY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88"/>
      <c r="N239" s="88"/>
      <c r="O239" s="134"/>
      <c r="P239" s="134"/>
      <c r="Q239" s="88"/>
      <c r="R239" s="88"/>
      <c r="S239" s="88"/>
      <c r="T239" s="88"/>
      <c r="U239" s="134"/>
      <c r="V239" s="88"/>
      <c r="W239" s="70"/>
      <c r="X239" s="88"/>
      <c r="Y239" s="88"/>
      <c r="Z239" s="70"/>
      <c r="AA239" s="70"/>
      <c r="AB239" s="88"/>
      <c r="AC239" s="88"/>
      <c r="AD239" s="88"/>
      <c r="AE239" s="71"/>
      <c r="AF239" s="88"/>
      <c r="AG239" s="73"/>
      <c r="AH239" s="74"/>
      <c r="AI239" s="74"/>
      <c r="AJ239" s="74" t="str">
        <f aca="false">IF(ISBLANK($C239),"",IF($E239=Constants!$B$2,TRUE(),IF($E239=Constants!$B$3,FALSE(),TRUE())))</f>
        <v/>
      </c>
      <c r="AK239" s="74" t="str">
        <f aca="false">IF(ISBLANK($C239),"",IF($F239=Constants!$B$2,TRUE(),IF($F239=Constants!$B$3,FALSE(),FALSE())))</f>
        <v/>
      </c>
      <c r="AL239" s="74" t="str">
        <f aca="false">IF(ISBLANK($C239),"",IF($G239=Constants!$B$2,TRUE(),IF($G239=Constants!$B$3,FALSE(),TRUE())))</f>
        <v/>
      </c>
      <c r="AM239" s="74" t="str">
        <f aca="false">IF(ISBLANK($C239),"",IF($H239=Constants!$B$2,TRUE(),IF($H239=Constants!$B$3,FALSE(),TRUE())))</f>
        <v/>
      </c>
      <c r="AN239" s="74" t="str">
        <f aca="false">IF(ISBLANK($C239),"",IF(ISNUMBER($I239),IF($I239&gt;=0,$I239,""),""))</f>
        <v/>
      </c>
      <c r="AO239" s="74" t="str">
        <f aca="false">IF(ISBLANK($C239),"",IF(ISNUMBER($J239),IF($J239&gt;=0,$J239,""),""))</f>
        <v/>
      </c>
      <c r="AP239" s="74" t="str">
        <f aca="false">IF(ISBLANK($C239),"",IF(ISNUMBER($K239),IF($K239&gt;=0,$K239,""),""))</f>
        <v/>
      </c>
      <c r="AQ239" s="74" t="str">
        <f aca="false">IF(ISBLANK($C239),"",IF($L239=Constants!$B$2,TRUE(),IF($L239=Constants!$B$3,FALSE(),TRUE())))</f>
        <v/>
      </c>
      <c r="AR239" s="74" t="str">
        <f aca="false">IF(ISBLANK($C239),"",IF($M239=Constants!$B$2,TRUE(),IF($M239=Constants!$B$3,FALSE(),TRUE())))</f>
        <v/>
      </c>
      <c r="AS239" s="74" t="str">
        <f aca="false">IF(ISBLANK($C239),"",IF($N239=Constants!$B$2,TRUE(),IF($N239=Constants!$B$3,FALSE(),FALSE())))</f>
        <v/>
      </c>
      <c r="AT239" s="74" t="str">
        <f aca="false">IF(ISBLANK($C239),"",IF($O239=Constants!$B$2,TRUE(),IF($O239=Constants!$B$3,FALSE(),TRUE())))</f>
        <v/>
      </c>
      <c r="AU239" s="74" t="str">
        <f aca="false">IF(ISBLANK($C239),"",IF($P239=Constants!$B$2,TRUE(),IF($P239=Constants!$B$3,FALSE(),TRUE())))</f>
        <v/>
      </c>
      <c r="AV239" s="74" t="str">
        <f aca="false">IF(ISBLANK($C239),"",IF($Q239=Constants!$B$2,TRUE(),IF($Q239=Constants!$B$3,FALSE(),FALSE())))</f>
        <v/>
      </c>
      <c r="AW239" s="74" t="str">
        <f aca="false">IF(ISBLANK($C239),"",IF($R239=Constants!$B$2,TRUE(),IF($R239=Constants!$B$3,FALSE(),FALSE())))</f>
        <v/>
      </c>
      <c r="AX239" s="74" t="str">
        <f aca="false">IF(ISBLANK($C239),"",IF($S239=Constants!$B$2,TRUE(),IF($S239=Constants!$B$3,FALSE(),FALSE())))</f>
        <v/>
      </c>
      <c r="AY239" s="74" t="str">
        <f aca="false">IF(ISBLANK($C239),"",IF($T239=Constants!$B$2,TRUE(),IF($T239=Constants!$B$3,FALSE(),FALSE())))</f>
        <v/>
      </c>
      <c r="AZ239" s="74" t="str">
        <f aca="false">IF(ISBLANK($C239),"",IF($U239=Constants!$B$2,TRUE(),IF($U239=Constants!$B$3,FALSE(),FALSE())))</f>
        <v/>
      </c>
      <c r="BA239" s="74" t="str">
        <f aca="false">IF(ISBLANK($C239),"",IF(OR($V239&amp;""="1",$V239&amp;""="2",$V239&amp;""="3",$V239&amp;""="4"),VALUE($V239&amp;""),IF($V239=Constants!$B$12,Constants!$B$12,"")))</f>
        <v/>
      </c>
      <c r="BB239" s="74" t="str">
        <f aca="false">IF(ISBLANK($C239),"",IF(ISBLANK($W239),0,IF(ISNUMBER($W239),IF(AND($W239&gt;=0,$W239&lt;=Constants!$B$21,$W239=INT($W239)),$W239,""),"")))</f>
        <v/>
      </c>
      <c r="BC239" s="74" t="str">
        <f aca="false">IF(ISBLANK($C239),"",IF(ISBLANK($X239),0,IF(ISNUMBER($X239),IF($X239&gt;=0,$X239,""),"")))</f>
        <v/>
      </c>
      <c r="BD239" s="74" t="str">
        <f aca="false">IF(ISBLANK($C239),"",IF($Y239=Constants!$B$2,TRUE(),IF($Y239=Constants!$B$3,FALSE(),TRUE())))</f>
        <v/>
      </c>
      <c r="BE239" s="74" t="str">
        <f aca="false">IF(ISBLANK($C239),"",IF($Z239=Constants!$B$2,TRUE(),IF($Z239=Constants!$B$3,FALSE(),FALSE())))</f>
        <v/>
      </c>
      <c r="BF239" s="74" t="str">
        <f aca="false">IF(ISBLANK($C239),"",IF(ISBLANK($AA239),0,IF(ISNUMBER($AA239),IF(AND($AA239&gt;=0,$AA239&lt;=Constants!$B$35,$AA239=INT($AA239)),$AA239,""),"")))</f>
        <v/>
      </c>
      <c r="BG239" s="74" t="str">
        <f aca="false">IF(ISBLANK($C239),"",IF($AB239=Constants!$B$2,TRUE(),IF($AB239=Constants!$B$3,FALSE(),TRUE())))</f>
        <v/>
      </c>
      <c r="BH239" s="74" t="str">
        <f aca="false">IF(ISBLANK($C239),"",IF($AC239=Constants!$B$2,TRUE(),IF($AC239=Constants!$B$3,FALSE(),TRUE())))</f>
        <v/>
      </c>
      <c r="BI239" s="74" t="str">
        <f aca="false">IF(ISBLANK($C239),"",IF($AD239=Constants!$B$2,TRUE(),IF($AD239=Constants!$B$3,FALSE(),TRUE())))</f>
        <v/>
      </c>
      <c r="BJ239" s="74" t="str">
        <f aca="false">IF(ISBLANK($C239),"",IF(ISNUMBER($AE239),IF($AE239&gt;=0,$AE239,""),""))</f>
        <v/>
      </c>
      <c r="BK239" s="74" t="str">
        <f aca="false">IF(ISBLANK($C239),"",IF($AF239=Constants!$B$2,TRUE(),IF($AF239=Constants!$B$3,FALSE(),FALSE())))</f>
        <v/>
      </c>
      <c r="BL239" s="73" t="str">
        <f aca="false">IF(ISBLANK($C239),"",IF($BK239,Constants!$B$7,IF(COUNTA($E239:$AE239)=0,Constants!$B$6,IF(OR(COUNTA($G239:$AE239)=0,NOT($AM239),$AS239),Constants!$B$5,IF(OR($CM239&lt;&gt;"",$CN239,$CO239,$CP239,$CQ239,$CR239,$CS239),Constants!$B$8,Constants!$B$4)))))</f>
        <v/>
      </c>
      <c r="BM239" s="74" t="str">
        <f aca="false">IF(ISBLANK($C239),"",IF($BL239&lt;&gt;Constants!$B$4,$BL239,IF(OR(NOT($AJ239),NOT($AL239),NOT($AT239)),Constants!$B$11,IF(OR(NOT($AR239),NOT($AU239),NOT($BI239),MAX($AN239,$AO239,$AP239)&gt;Constants!$B$30),Constants!$B$10,Constants!$B$9))))</f>
        <v/>
      </c>
      <c r="BN239" s="74" t="str">
        <f aca="false">IF($BL239&lt;&gt;Constants!$B$4,"",IF(NOT($AL239),0,MIN(Constants!$B$35,$BF239)))</f>
        <v/>
      </c>
      <c r="BO239" s="74" t="str">
        <f aca="false">IF($BL239&lt;&gt;Constants!$B$4,"",IF(NOT($AL239),0,IF($AW239,Constants!$B$18,IF($AV239,Constants!$B$17,0))))</f>
        <v/>
      </c>
      <c r="BP239" s="74" t="str">
        <f aca="false">IF($BL239&lt;&gt;Constants!$B$4,"",IF(NOT($AL239),0,Constants!$B$19*($AK239+$AX239+$AY239+$AZ239)))</f>
        <v/>
      </c>
      <c r="BQ239" s="74" t="str">
        <f aca="false">IF($BL239&lt;&gt;Constants!$B$4,"",IF(OR(NOT($AL239),NOT(ISNUMBER($BA239))),0,CHOOSE($BA239,Constants!$B$13,Constants!$B$14,Constants!$B$15,Constants!$B$16)))</f>
        <v/>
      </c>
      <c r="BR239" s="74" t="str">
        <f aca="false">IF($BL239&lt;&gt;Constants!$B$4,"",IF(NOT($AL239),0,Constants!$B$20*$BB239))</f>
        <v/>
      </c>
      <c r="BS239" s="74" t="str">
        <f aca="false">IF($BL239&lt;&gt;Constants!$B$4,"",IF(AND($AL239,$BD239,$BE239),Constants!$B$22,0))</f>
        <v/>
      </c>
      <c r="BT239" s="74" t="str">
        <f aca="false">IF($BL239&lt;&gt;Constants!$B$4,"",IF(OR(NOT($AL239),NOT($BD239)),0,IF($BJ239&gt;=2*$AH$9,0,Constants!$B$23*INT(ROUND(MIN($BJ239,$AH$9),6)))))</f>
        <v/>
      </c>
      <c r="BU239" s="74" t="str">
        <f aca="false">IF($BL239&lt;&gt;Constants!$B$4,"",IF(NOT($AL239),0,Constants!$B$24*INT(ROUND(MIN($BC239,$AH$9),6))))</f>
        <v/>
      </c>
      <c r="BV239" s="74" t="str">
        <f aca="false">IF($BL239&lt;&gt;Constants!$B$4,"",IF(AND($AL239,$BN239=0),Constants!$B$25,0))</f>
        <v/>
      </c>
      <c r="BW239" s="74" t="str">
        <f aca="false">IF($BL239&lt;&gt;Constants!$B$4,"",MIN(Constants!$B$29,MAX(0,Constants!$B$27*Constants!$B$28*INT(ROUND((Constants!$B$26-$AN239)/Constants!$B$28,6))))+MIN(Constants!$B$29,MAX(0,Constants!$B$27*Constants!$B$28*INT(ROUND((Constants!$B$26-$AO239)/Constants!$B$28,6))))+MIN(Constants!$B$29,MAX(0,Constants!$B$27*Constants!$B$28*INT(ROUND((Constants!$B$26-$AP239)/Constants!$B$28,6)))))</f>
        <v/>
      </c>
      <c r="BX239" s="74" t="str">
        <f aca="false">IF($BL239&lt;&gt;Constants!$B$4,"",IF(NOT($AL239),0,Constants!$B$31*INT(ROUND(MAX(0,MIN($BJ239,2*$AH$9)-$AH$9),6))))</f>
        <v/>
      </c>
      <c r="BY239" s="74" t="str">
        <f aca="false">IF($BL239&lt;&gt;Constants!$B$4,"",Constants!$B$32*(($AN239&gt;Constants!$B$26)+($AO239&gt;Constants!$B$26)+($AP239&gt;Constants!$B$26)))</f>
        <v/>
      </c>
      <c r="BZ239" s="74" t="str">
        <f aca="false">IF($BL239&lt;&gt;Constants!$B$4,"",IF(OR(NOT($AL239),$AQ239),0,Constants!$B$33))</f>
        <v/>
      </c>
      <c r="CA239" s="74" t="str">
        <f aca="false">IF($BL239&lt;&gt;Constants!$B$4,"",Constants!$B$34*$BN239)</f>
        <v/>
      </c>
      <c r="CB239" s="74" t="str">
        <f aca="false">IF($BL239&lt;&gt;Constants!$B$4,"",IF(OR(NOT($AL239),$BH239),0,Constants!$B$36))</f>
        <v/>
      </c>
      <c r="CC239" s="74" t="str">
        <f aca="false">IF($BL239&lt;&gt;Constants!$B$4,"",IF(OR(NOT($AL239),$BG239),0,Constants!$B$37))</f>
        <v/>
      </c>
      <c r="CD239" s="74" t="str">
        <f aca="false">IF($BL239&lt;&gt;Constants!$B$4,"",SUM($BX239:$CC239))</f>
        <v/>
      </c>
      <c r="CE239" s="74" t="str">
        <f aca="false">IF(ISBLANK($C239),"",IF($BL239&lt;&gt;Constants!$B$4,$BL239,SUM($BO239:$BW239)-$CD239))</f>
        <v/>
      </c>
      <c r="CF239" s="74" t="str">
        <f aca="false">IF(ISBLANK($C239),"",IF($BL239&lt;&gt;Constants!$B$4,$BL239,RANK($CE239,$CE$9:$CE$508)))</f>
        <v/>
      </c>
      <c r="CG239" s="74" t="str">
        <f aca="false">IF(ISBLANK($C239),"",IF($BL239&lt;&gt;Constants!$B$4,$BL239,COUNTIFS($BM$9:$BM$508,"&lt;"&amp;$BM239)+COUNTIFS($BM$9:$BM$508,$BM239,$CF$9:$CF$508,"&lt;"&amp;$CF239)+1))</f>
        <v/>
      </c>
      <c r="CH239" s="74" t="str">
        <f aca="false">IF(ISBLANK($C239),"",IF($BL239&lt;&gt;Constants!$B$4,$BL239,RANK($CD239,$CD$9:$CD$508,1)))</f>
        <v/>
      </c>
      <c r="CI239" s="74" t="str">
        <f aca="false">IF($BL239&lt;&gt;Constants!$B$4,"",$AN239+$AO239+$AP239)</f>
        <v/>
      </c>
      <c r="CJ239" s="74" t="str">
        <f aca="false">IF(ISBLANK($C239),"",IF($BL239&lt;&gt;Constants!$B$4,$BL239,RANK($CI239,$CI$9:$CI$508,1)))</f>
        <v/>
      </c>
      <c r="CK239" s="74" t="str">
        <f aca="false">IF(ISBLANK($C239),"",IF($BL239&lt;&gt;Constants!$B$4,$BL239,COUNTIFS($BM$9:$BM$508,"&lt;"&amp;$BM239)+COUNTIFS($BM$9:$BM$508,$BM239,$CF$9:$CF$508,"&lt;"&amp;$CF239)+COUNTIFS($BM$9:$BM$508,$BM239,$CF$9:$CF$508,$CF239,$CH$9:$CH$508,"&lt;"&amp;$CH239)+COUNTIFS($BM$9:$BM$508,$BM239,$CF$9:$CF$508,$CF239,$CH$9:$CH$508,$CH239,$CJ$9:$CJ$508,"&lt;"&amp;$CJ239)+1))</f>
        <v/>
      </c>
      <c r="CL239" s="74" t="str">
        <f aca="false">IF(ISBLANK($C239),"",IF($BL239&lt;&gt;Constants!$B$4,$BL239,$CG239-$CK239))</f>
        <v/>
      </c>
      <c r="CM239" s="74" t="str">
        <f aca="false">IF(ISBLANK($C239),"",IF(NOT($AL239),"",IF(ISBLANK($D$7),$CM$5,IF(NOT(ISNUMBER($D$7)),$CM$6,""))))</f>
        <v/>
      </c>
      <c r="CN239" s="74" t="str">
        <f aca="false">IF(ISBLANK($C239),"",OR($AN239="",$AO239="",$AP239=""))</f>
        <v/>
      </c>
      <c r="CO239" s="74" t="str">
        <f aca="false">IF(ISBLANK($C239),"",AND($AL239,$BA239=""))</f>
        <v/>
      </c>
      <c r="CP239" s="74" t="str">
        <f aca="false">IF(ISBLANK($C239),"",AND($AL239,$BB239=""))</f>
        <v/>
      </c>
      <c r="CQ239" s="74" t="str">
        <f aca="false">IF(ISBLANK($C239),"",AND($AL239,$BC239=""))</f>
        <v/>
      </c>
      <c r="CR239" s="74" t="str">
        <f aca="false">IF(ISBLANK($C239),"",AND($AL239,$BF239=""))</f>
        <v/>
      </c>
      <c r="CS239" s="74" t="str">
        <f aca="false">IF(ISBLANK($C239),"",AND($AL239,$BJ239=""))</f>
        <v/>
      </c>
      <c r="CT239" s="75"/>
      <c r="CU239" s="76"/>
      <c r="CV239" s="79" t="str">
        <f aca="false">IF(ISBLANK($C239),"",IF($BL239=Constants!$B$8,$CM239,""))</f>
        <v/>
      </c>
      <c r="CW239" s="76" t="str">
        <f aca="false">IF(ISBLANK($C239),"",IF($BL239&lt;&gt;Constants!$B$4,"",$BO239+$BP239))</f>
        <v/>
      </c>
      <c r="CX239" s="78" t="str">
        <f aca="false">IF(ISBLANK($C239),"",IF($BL239&lt;&gt;Constants!$B$4,"",$BQ239+$BR239+$BS239))</f>
        <v/>
      </c>
      <c r="CY239" s="78" t="str">
        <f aca="false">IF(ISBLANK($C239),"",IF($BL239&lt;&gt;Constants!$B$4,"",$BT239))</f>
        <v/>
      </c>
      <c r="CZ239" s="78" t="str">
        <f aca="false">IF(ISBLANK($C239),"",IF($BL239&lt;&gt;Constants!$B$4,"",$BU239+$BV239))</f>
        <v/>
      </c>
      <c r="DA239" s="78" t="str">
        <f aca="false">IF(ISBLANK($C239),"",IF($BL239&lt;&gt;Constants!$B$4,"",$BW239))</f>
        <v/>
      </c>
      <c r="DB239" s="78" t="str">
        <f aca="false">IF(ISBLANK($C239),"",IF($BL239&lt;&gt;Constants!$B$4,"",-$CD239))</f>
        <v/>
      </c>
      <c r="DC239" s="79" t="str">
        <f aca="false">IF(ISBLANK($C239),"",$CE239)</f>
        <v/>
      </c>
      <c r="DD239" s="80" t="str">
        <f aca="false">IF(ISBLANK($C239),"",$BM239)</f>
        <v/>
      </c>
      <c r="DE239" s="78" t="str">
        <f aca="false">IF(ISBLANK($C239),"",$CL239)</f>
        <v/>
      </c>
      <c r="DF239" s="78" t="str">
        <f aca="false">IF(ISBLANK($C239),"",$CK239)</f>
        <v/>
      </c>
      <c r="DG239" s="81" t="str">
        <f aca="false">IF(ISBLANK($C239),"",IF($DF239=Constants!$B$7,COUNTA($C$9:$C$508)+2,IF($DF239=Constants!$B$6,COUNTA($C$9:$C$508)+1,IF($DF239=Constants!$B$5,COUNTA($C$9:$C$508),$DF239))))</f>
        <v/>
      </c>
      <c r="DH239" s="7"/>
      <c r="DI239" s="82" t="n">
        <f aca="false">IF(OR(ISNUMBER($DF239),$DF239=Constants!$B$7,$DF239=Constants!$B$5,$DF239=Constants!$B$6),1,0)</f>
        <v>0</v>
      </c>
      <c r="DJ239" s="82" t="n">
        <v>231</v>
      </c>
      <c r="DK239" s="82" t="str">
        <f aca="false">IF(ISBLANK($C239),"",IF(ISNUMBER($DG239),$DG239+ROW($B239)/1000,""))</f>
        <v/>
      </c>
      <c r="DL239" s="82" t="str">
        <f aca="false">IF(ISNUMBER($DK239),RANK($DK239,$DK$9:$DK$508,1),"")</f>
        <v/>
      </c>
      <c r="DM239" s="82" t="str">
        <f aca="false">IF(ISBLANK($C239),"",$B239)</f>
        <v/>
      </c>
      <c r="DN239" s="82" t="str">
        <f aca="false">IF(ISBLANK($C239),"",$C239)</f>
        <v/>
      </c>
      <c r="DO239" s="82" t="str">
        <f aca="false">IF(ISBLANK($C239),"",$D239)</f>
        <v/>
      </c>
      <c r="DP239" s="83" t="str">
        <f aca="false">$DD239</f>
        <v/>
      </c>
      <c r="DQ239" s="84" t="str">
        <f aca="false">$DC239</f>
        <v/>
      </c>
      <c r="DR239" s="82" t="str">
        <f aca="false">IF(ISBLANK($C239),"",$DF239)</f>
        <v/>
      </c>
      <c r="DS239" s="85" t="str">
        <f aca="false">IF($DJ239&gt;$DI$8,"",VLOOKUP($DJ239,$DL$9:$DR$508,7,FALSE()))</f>
        <v/>
      </c>
      <c r="DT239" s="86" t="str">
        <f aca="false">IF($DJ239&gt;$DI$8,"",VLOOKUP($DJ239,$DL$9:$DR$508,2,FALSE()))</f>
        <v/>
      </c>
      <c r="DU239" s="86" t="str">
        <f aca="false">IF($DJ239&gt;$DI$8,"",VLOOKUP($DJ239,$DL$9:$DR$508,3,FALSE()))</f>
        <v/>
      </c>
      <c r="DV239" s="86" t="str">
        <f aca="false">IF($DJ239&gt;$DI$8,"",VLOOKUP($DJ239,$DL$9:$DR$508,4,FALSE()))</f>
        <v/>
      </c>
      <c r="DW239" s="86" t="str">
        <f aca="false">IF($DJ239&gt;$DI$8,"",VLOOKUP($DJ239,$DL$9:$DR$508,5,FALSE()))</f>
        <v/>
      </c>
      <c r="DX239" s="87" t="str">
        <f aca="false">IF($DJ239&gt;$DI$8,"",VLOOKUP($DJ239,$DL$9:$DR$508,6,FALSE()))</f>
        <v/>
      </c>
      <c r="DY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130"/>
      <c r="N240" s="130"/>
      <c r="O240" s="135"/>
      <c r="P240" s="135"/>
      <c r="Q240" s="130"/>
      <c r="R240" s="130"/>
      <c r="S240" s="130"/>
      <c r="T240" s="130"/>
      <c r="U240" s="135"/>
      <c r="V240" s="130"/>
      <c r="W240" s="96"/>
      <c r="X240" s="130"/>
      <c r="Y240" s="130"/>
      <c r="Z240" s="96"/>
      <c r="AA240" s="96"/>
      <c r="AB240" s="130"/>
      <c r="AC240" s="130"/>
      <c r="AD240" s="130"/>
      <c r="AE240" s="97"/>
      <c r="AF240" s="130"/>
      <c r="AG240" s="99"/>
      <c r="AH240" s="100"/>
      <c r="AI240" s="100"/>
      <c r="AJ240" s="100" t="str">
        <f aca="false">IF(ISBLANK($C240),"",IF($E240=Constants!$B$2,TRUE(),IF($E240=Constants!$B$3,FALSE(),TRUE())))</f>
        <v/>
      </c>
      <c r="AK240" s="100" t="str">
        <f aca="false">IF(ISBLANK($C240),"",IF($F240=Constants!$B$2,TRUE(),IF($F240=Constants!$B$3,FALSE(),FALSE())))</f>
        <v/>
      </c>
      <c r="AL240" s="100" t="str">
        <f aca="false">IF(ISBLANK($C240),"",IF($G240=Constants!$B$2,TRUE(),IF($G240=Constants!$B$3,FALSE(),TRUE())))</f>
        <v/>
      </c>
      <c r="AM240" s="100" t="str">
        <f aca="false">IF(ISBLANK($C240),"",IF($H240=Constants!$B$2,TRUE(),IF($H240=Constants!$B$3,FALSE(),TRUE())))</f>
        <v/>
      </c>
      <c r="AN240" s="100" t="str">
        <f aca="false">IF(ISBLANK($C240),"",IF(ISNUMBER($I240),IF($I240&gt;=0,$I240,""),""))</f>
        <v/>
      </c>
      <c r="AO240" s="100" t="str">
        <f aca="false">IF(ISBLANK($C240),"",IF(ISNUMBER($J240),IF($J240&gt;=0,$J240,""),""))</f>
        <v/>
      </c>
      <c r="AP240" s="100" t="str">
        <f aca="false">IF(ISBLANK($C240),"",IF(ISNUMBER($K240),IF($K240&gt;=0,$K240,""),""))</f>
        <v/>
      </c>
      <c r="AQ240" s="100" t="str">
        <f aca="false">IF(ISBLANK($C240),"",IF($L240=Constants!$B$2,TRUE(),IF($L240=Constants!$B$3,FALSE(),TRUE())))</f>
        <v/>
      </c>
      <c r="AR240" s="100" t="str">
        <f aca="false">IF(ISBLANK($C240),"",IF($M240=Constants!$B$2,TRUE(),IF($M240=Constants!$B$3,FALSE(),TRUE())))</f>
        <v/>
      </c>
      <c r="AS240" s="100" t="str">
        <f aca="false">IF(ISBLANK($C240),"",IF($N240=Constants!$B$2,TRUE(),IF($N240=Constants!$B$3,FALSE(),FALSE())))</f>
        <v/>
      </c>
      <c r="AT240" s="100" t="str">
        <f aca="false">IF(ISBLANK($C240),"",IF($O240=Constants!$B$2,TRUE(),IF($O240=Constants!$B$3,FALSE(),TRUE())))</f>
        <v/>
      </c>
      <c r="AU240" s="100" t="str">
        <f aca="false">IF(ISBLANK($C240),"",IF($P240=Constants!$B$2,TRUE(),IF($P240=Constants!$B$3,FALSE(),TRUE())))</f>
        <v/>
      </c>
      <c r="AV240" s="100" t="str">
        <f aca="false">IF(ISBLANK($C240),"",IF($Q240=Constants!$B$2,TRUE(),IF($Q240=Constants!$B$3,FALSE(),FALSE())))</f>
        <v/>
      </c>
      <c r="AW240" s="100" t="str">
        <f aca="false">IF(ISBLANK($C240),"",IF($R240=Constants!$B$2,TRUE(),IF($R240=Constants!$B$3,FALSE(),FALSE())))</f>
        <v/>
      </c>
      <c r="AX240" s="100" t="str">
        <f aca="false">IF(ISBLANK($C240),"",IF($S240=Constants!$B$2,TRUE(),IF($S240=Constants!$B$3,FALSE(),FALSE())))</f>
        <v/>
      </c>
      <c r="AY240" s="100" t="str">
        <f aca="false">IF(ISBLANK($C240),"",IF($T240=Constants!$B$2,TRUE(),IF($T240=Constants!$B$3,FALSE(),FALSE())))</f>
        <v/>
      </c>
      <c r="AZ240" s="100" t="str">
        <f aca="false">IF(ISBLANK($C240),"",IF($U240=Constants!$B$2,TRUE(),IF($U240=Constants!$B$3,FALSE(),FALSE())))</f>
        <v/>
      </c>
      <c r="BA240" s="100" t="str">
        <f aca="false">IF(ISBLANK($C240),"",IF(OR($V240&amp;""="1",$V240&amp;""="2",$V240&amp;""="3",$V240&amp;""="4"),VALUE($V240&amp;""),IF($V240=Constants!$B$12,Constants!$B$12,"")))</f>
        <v/>
      </c>
      <c r="BB240" s="100" t="str">
        <f aca="false">IF(ISBLANK($C240),"",IF(ISBLANK($W240),0,IF(ISNUMBER($W240),IF(AND($W240&gt;=0,$W240&lt;=Constants!$B$21,$W240=INT($W240)),$W240,""),"")))</f>
        <v/>
      </c>
      <c r="BC240" s="100" t="str">
        <f aca="false">IF(ISBLANK($C240),"",IF(ISBLANK($X240),0,IF(ISNUMBER($X240),IF($X240&gt;=0,$X240,""),"")))</f>
        <v/>
      </c>
      <c r="BD240" s="100" t="str">
        <f aca="false">IF(ISBLANK($C240),"",IF($Y240=Constants!$B$2,TRUE(),IF($Y240=Constants!$B$3,FALSE(),TRUE())))</f>
        <v/>
      </c>
      <c r="BE240" s="100" t="str">
        <f aca="false">IF(ISBLANK($C240),"",IF($Z240=Constants!$B$2,TRUE(),IF($Z240=Constants!$B$3,FALSE(),FALSE())))</f>
        <v/>
      </c>
      <c r="BF240" s="100" t="str">
        <f aca="false">IF(ISBLANK($C240),"",IF(ISBLANK($AA240),0,IF(ISNUMBER($AA240),IF(AND($AA240&gt;=0,$AA240&lt;=Constants!$B$35,$AA240=INT($AA240)),$AA240,""),"")))</f>
        <v/>
      </c>
      <c r="BG240" s="100" t="str">
        <f aca="false">IF(ISBLANK($C240),"",IF($AB240=Constants!$B$2,TRUE(),IF($AB240=Constants!$B$3,FALSE(),TRUE())))</f>
        <v/>
      </c>
      <c r="BH240" s="100" t="str">
        <f aca="false">IF(ISBLANK($C240),"",IF($AC240=Constants!$B$2,TRUE(),IF($AC240=Constants!$B$3,FALSE(),TRUE())))</f>
        <v/>
      </c>
      <c r="BI240" s="100" t="str">
        <f aca="false">IF(ISBLANK($C240),"",IF($AD240=Constants!$B$2,TRUE(),IF($AD240=Constants!$B$3,FALSE(),TRUE())))</f>
        <v/>
      </c>
      <c r="BJ240" s="100" t="str">
        <f aca="false">IF(ISBLANK($C240),"",IF(ISNUMBER($AE240),IF($AE240&gt;=0,$AE240,""),""))</f>
        <v/>
      </c>
      <c r="BK240" s="100" t="str">
        <f aca="false">IF(ISBLANK($C240),"",IF($AF240=Constants!$B$2,TRUE(),IF($AF240=Constants!$B$3,FALSE(),FALSE())))</f>
        <v/>
      </c>
      <c r="BL240" s="99" t="str">
        <f aca="false">IF(ISBLANK($C240),"",IF($BK240,Constants!$B$7,IF(COUNTA($E240:$AE240)=0,Constants!$B$6,IF(OR(COUNTA($G240:$AE240)=0,NOT($AM240),$AS240),Constants!$B$5,IF(OR($CM240&lt;&gt;"",$CN240,$CO240,$CP240,$CQ240,$CR240,$CS240),Constants!$B$8,Constants!$B$4)))))</f>
        <v/>
      </c>
      <c r="BM240" s="100" t="str">
        <f aca="false">IF(ISBLANK($C240),"",IF($BL240&lt;&gt;Constants!$B$4,$BL240,IF(OR(NOT($AJ240),NOT($AL240),NOT($AT240)),Constants!$B$11,IF(OR(NOT($AR240),NOT($AU240),NOT($BI240),MAX($AN240,$AO240,$AP240)&gt;Constants!$B$30),Constants!$B$10,Constants!$B$9))))</f>
        <v/>
      </c>
      <c r="BN240" s="100" t="str">
        <f aca="false">IF($BL240&lt;&gt;Constants!$B$4,"",IF(NOT($AL240),0,MIN(Constants!$B$35,$BF240)))</f>
        <v/>
      </c>
      <c r="BO240" s="100" t="str">
        <f aca="false">IF($BL240&lt;&gt;Constants!$B$4,"",IF(NOT($AL240),0,IF($AW240,Constants!$B$18,IF($AV240,Constants!$B$17,0))))</f>
        <v/>
      </c>
      <c r="BP240" s="100" t="str">
        <f aca="false">IF($BL240&lt;&gt;Constants!$B$4,"",IF(NOT($AL240),0,Constants!$B$19*($AK240+$AX240+$AY240+$AZ240)))</f>
        <v/>
      </c>
      <c r="BQ240" s="100" t="str">
        <f aca="false">IF($BL240&lt;&gt;Constants!$B$4,"",IF(OR(NOT($AL240),NOT(ISNUMBER($BA240))),0,CHOOSE($BA240,Constants!$B$13,Constants!$B$14,Constants!$B$15,Constants!$B$16)))</f>
        <v/>
      </c>
      <c r="BR240" s="100" t="str">
        <f aca="false">IF($BL240&lt;&gt;Constants!$B$4,"",IF(NOT($AL240),0,Constants!$B$20*$BB240))</f>
        <v/>
      </c>
      <c r="BS240" s="100" t="str">
        <f aca="false">IF($BL240&lt;&gt;Constants!$B$4,"",IF(AND($AL240,$BD240,$BE240),Constants!$B$22,0))</f>
        <v/>
      </c>
      <c r="BT240" s="100" t="str">
        <f aca="false">IF($BL240&lt;&gt;Constants!$B$4,"",IF(OR(NOT($AL240),NOT($BD240)),0,IF($BJ240&gt;=2*$AH$9,0,Constants!$B$23*INT(ROUND(MIN($BJ240,$AH$9),6)))))</f>
        <v/>
      </c>
      <c r="BU240" s="100" t="str">
        <f aca="false">IF($BL240&lt;&gt;Constants!$B$4,"",IF(NOT($AL240),0,Constants!$B$24*INT(ROUND(MIN($BC240,$AH$9),6))))</f>
        <v/>
      </c>
      <c r="BV240" s="100" t="str">
        <f aca="false">IF($BL240&lt;&gt;Constants!$B$4,"",IF(AND($AL240,$BN240=0),Constants!$B$25,0))</f>
        <v/>
      </c>
      <c r="BW240" s="100" t="str">
        <f aca="false">IF($BL240&lt;&gt;Constants!$B$4,"",MIN(Constants!$B$29,MAX(0,Constants!$B$27*Constants!$B$28*INT(ROUND((Constants!$B$26-$AN240)/Constants!$B$28,6))))+MIN(Constants!$B$29,MAX(0,Constants!$B$27*Constants!$B$28*INT(ROUND((Constants!$B$26-$AO240)/Constants!$B$28,6))))+MIN(Constants!$B$29,MAX(0,Constants!$B$27*Constants!$B$28*INT(ROUND((Constants!$B$26-$AP240)/Constants!$B$28,6)))))</f>
        <v/>
      </c>
      <c r="BX240" s="100" t="str">
        <f aca="false">IF($BL240&lt;&gt;Constants!$B$4,"",IF(NOT($AL240),0,Constants!$B$31*INT(ROUND(MAX(0,MIN($BJ240,2*$AH$9)-$AH$9),6))))</f>
        <v/>
      </c>
      <c r="BY240" s="100" t="str">
        <f aca="false">IF($BL240&lt;&gt;Constants!$B$4,"",Constants!$B$32*(($AN240&gt;Constants!$B$26)+($AO240&gt;Constants!$B$26)+($AP240&gt;Constants!$B$26)))</f>
        <v/>
      </c>
      <c r="BZ240" s="100" t="str">
        <f aca="false">IF($BL240&lt;&gt;Constants!$B$4,"",IF(OR(NOT($AL240),$AQ240),0,Constants!$B$33))</f>
        <v/>
      </c>
      <c r="CA240" s="100" t="str">
        <f aca="false">IF($BL240&lt;&gt;Constants!$B$4,"",Constants!$B$34*$BN240)</f>
        <v/>
      </c>
      <c r="CB240" s="100" t="str">
        <f aca="false">IF($BL240&lt;&gt;Constants!$B$4,"",IF(OR(NOT($AL240),$BH240),0,Constants!$B$36))</f>
        <v/>
      </c>
      <c r="CC240" s="100" t="str">
        <f aca="false">IF($BL240&lt;&gt;Constants!$B$4,"",IF(OR(NOT($AL240),$BG240),0,Constants!$B$37))</f>
        <v/>
      </c>
      <c r="CD240" s="100" t="str">
        <f aca="false">IF($BL240&lt;&gt;Constants!$B$4,"",SUM($BX240:$CC240))</f>
        <v/>
      </c>
      <c r="CE240" s="100" t="str">
        <f aca="false">IF(ISBLANK($C240),"",IF($BL240&lt;&gt;Constants!$B$4,$BL240,SUM($BO240:$BW240)-$CD240))</f>
        <v/>
      </c>
      <c r="CF240" s="100" t="str">
        <f aca="false">IF(ISBLANK($C240),"",IF($BL240&lt;&gt;Constants!$B$4,$BL240,RANK($CE240,$CE$9:$CE$508)))</f>
        <v/>
      </c>
      <c r="CG240" s="100" t="str">
        <f aca="false">IF(ISBLANK($C240),"",IF($BL240&lt;&gt;Constants!$B$4,$BL240,COUNTIFS($BM$9:$BM$508,"&lt;"&amp;$BM240)+COUNTIFS($BM$9:$BM$508,$BM240,$CF$9:$CF$508,"&lt;"&amp;$CF240)+1))</f>
        <v/>
      </c>
      <c r="CH240" s="100" t="str">
        <f aca="false">IF(ISBLANK($C240),"",IF($BL240&lt;&gt;Constants!$B$4,$BL240,RANK($CD240,$CD$9:$CD$508,1)))</f>
        <v/>
      </c>
      <c r="CI240" s="100" t="str">
        <f aca="false">IF($BL240&lt;&gt;Constants!$B$4,"",$AN240+$AO240+$AP240)</f>
        <v/>
      </c>
      <c r="CJ240" s="100" t="str">
        <f aca="false">IF(ISBLANK($C240),"",IF($BL240&lt;&gt;Constants!$B$4,$BL240,RANK($CI240,$CI$9:$CI$508,1)))</f>
        <v/>
      </c>
      <c r="CK240" s="100" t="str">
        <f aca="false">IF(ISBLANK($C240),"",IF($BL240&lt;&gt;Constants!$B$4,$BL240,COUNTIFS($BM$9:$BM$508,"&lt;"&amp;$BM240)+COUNTIFS($BM$9:$BM$508,$BM240,$CF$9:$CF$508,"&lt;"&amp;$CF240)+COUNTIFS($BM$9:$BM$508,$BM240,$CF$9:$CF$508,$CF240,$CH$9:$CH$508,"&lt;"&amp;$CH240)+COUNTIFS($BM$9:$BM$508,$BM240,$CF$9:$CF$508,$CF240,$CH$9:$CH$508,$CH240,$CJ$9:$CJ$508,"&lt;"&amp;$CJ240)+1))</f>
        <v/>
      </c>
      <c r="CL240" s="100" t="str">
        <f aca="false">IF(ISBLANK($C240),"",IF($BL240&lt;&gt;Constants!$B$4,$BL240,$CG240-$CK240))</f>
        <v/>
      </c>
      <c r="CM240" s="100" t="str">
        <f aca="false">IF(ISBLANK($C240),"",IF(NOT($AL240),"",IF(ISBLANK($D$7),$CM$5,IF(NOT(ISNUMBER($D$7)),$CM$6,""))))</f>
        <v/>
      </c>
      <c r="CN240" s="100" t="str">
        <f aca="false">IF(ISBLANK($C240),"",OR($AN240="",$AO240="",$AP240=""))</f>
        <v/>
      </c>
      <c r="CO240" s="100" t="str">
        <f aca="false">IF(ISBLANK($C240),"",AND($AL240,$BA240=""))</f>
        <v/>
      </c>
      <c r="CP240" s="100" t="str">
        <f aca="false">IF(ISBLANK($C240),"",AND($AL240,$BB240=""))</f>
        <v/>
      </c>
      <c r="CQ240" s="100" t="str">
        <f aca="false">IF(ISBLANK($C240),"",AND($AL240,$BC240=""))</f>
        <v/>
      </c>
      <c r="CR240" s="100" t="str">
        <f aca="false">IF(ISBLANK($C240),"",AND($AL240,$BF240=""))</f>
        <v/>
      </c>
      <c r="CS240" s="100" t="str">
        <f aca="false">IF(ISBLANK($C240),"",AND($AL240,$BJ240=""))</f>
        <v/>
      </c>
      <c r="CT240" s="101"/>
      <c r="CU240" s="102"/>
      <c r="CV240" s="103" t="str">
        <f aca="false">IF(ISBLANK($C240),"",IF($BL240=Constants!$B$8,$CM240,""))</f>
        <v/>
      </c>
      <c r="CW240" s="102" t="str">
        <f aca="false">IF(ISBLANK($C240),"",IF($BL240&lt;&gt;Constants!$B$4,"",$BO240+$BP240))</f>
        <v/>
      </c>
      <c r="CX240" s="104" t="str">
        <f aca="false">IF(ISBLANK($C240),"",IF($BL240&lt;&gt;Constants!$B$4,"",$BQ240+$BR240+$BS240))</f>
        <v/>
      </c>
      <c r="CY240" s="104" t="str">
        <f aca="false">IF(ISBLANK($C240),"",IF($BL240&lt;&gt;Constants!$B$4,"",$BT240))</f>
        <v/>
      </c>
      <c r="CZ240" s="104" t="str">
        <f aca="false">IF(ISBLANK($C240),"",IF($BL240&lt;&gt;Constants!$B$4,"",$BU240+$BV240))</f>
        <v/>
      </c>
      <c r="DA240" s="104" t="str">
        <f aca="false">IF(ISBLANK($C240),"",IF($BL240&lt;&gt;Constants!$B$4,"",$BW240))</f>
        <v/>
      </c>
      <c r="DB240" s="104" t="str">
        <f aca="false">IF(ISBLANK($C240),"",IF($BL240&lt;&gt;Constants!$B$4,"",-$CD240))</f>
        <v/>
      </c>
      <c r="DC240" s="103" t="str">
        <f aca="false">IF(ISBLANK($C240),"",$CE240)</f>
        <v/>
      </c>
      <c r="DD240" s="105" t="str">
        <f aca="false">IF(ISBLANK($C240),"",$BM240)</f>
        <v/>
      </c>
      <c r="DE240" s="104" t="str">
        <f aca="false">IF(ISBLANK($C240),"",$CL240)</f>
        <v/>
      </c>
      <c r="DF240" s="104" t="str">
        <f aca="false">IF(ISBLANK($C240),"",$CK240)</f>
        <v/>
      </c>
      <c r="DG240" s="106" t="str">
        <f aca="false">IF(ISBLANK($C240),"",IF($DF240=Constants!$B$7,COUNTA($C$9:$C$508)+2,IF($DF240=Constants!$B$6,COUNTA($C$9:$C$508)+1,IF($DF240=Constants!$B$5,COUNTA($C$9:$C$508),$DF240))))</f>
        <v/>
      </c>
      <c r="DH240" s="7"/>
      <c r="DI240" s="107" t="n">
        <f aca="false">IF(OR(ISNUMBER($DF240),$DF240=Constants!$B$7,$DF240=Constants!$B$5,$DF240=Constants!$B$6),1,0)</f>
        <v>0</v>
      </c>
      <c r="DJ240" s="107" t="n">
        <v>232</v>
      </c>
      <c r="DK240" s="107" t="str">
        <f aca="false">IF(ISBLANK($C240),"",IF(ISNUMBER($DG240),$DG240+ROW($B240)/1000,""))</f>
        <v/>
      </c>
      <c r="DL240" s="107" t="str">
        <f aca="false">IF(ISNUMBER($DK240),RANK($DK240,$DK$9:$DK$508,1),"")</f>
        <v/>
      </c>
      <c r="DM240" s="107" t="str">
        <f aca="false">IF(ISBLANK($C240),"",$B240)</f>
        <v/>
      </c>
      <c r="DN240" s="107" t="str">
        <f aca="false">IF(ISBLANK($C240),"",$C240)</f>
        <v/>
      </c>
      <c r="DO240" s="107" t="str">
        <f aca="false">IF(ISBLANK($C240),"",$D240)</f>
        <v/>
      </c>
      <c r="DP240" s="108" t="str">
        <f aca="false">$DD240</f>
        <v/>
      </c>
      <c r="DQ240" s="109" t="str">
        <f aca="false">$DC240</f>
        <v/>
      </c>
      <c r="DR240" s="107" t="str">
        <f aca="false">IF(ISBLANK($C240),"",$DF240)</f>
        <v/>
      </c>
      <c r="DS240" s="110" t="str">
        <f aca="false">IF($DJ240&gt;$DI$8,"",VLOOKUP($DJ240,$DL$9:$DR$508,7,FALSE()))</f>
        <v/>
      </c>
      <c r="DT240" s="111" t="str">
        <f aca="false">IF($DJ240&gt;$DI$8,"",VLOOKUP($DJ240,$DL$9:$DR$508,2,FALSE()))</f>
        <v/>
      </c>
      <c r="DU240" s="111" t="str">
        <f aca="false">IF($DJ240&gt;$DI$8,"",VLOOKUP($DJ240,$DL$9:$DR$508,3,FALSE()))</f>
        <v/>
      </c>
      <c r="DV240" s="111" t="str">
        <f aca="false">IF($DJ240&gt;$DI$8,"",VLOOKUP($DJ240,$DL$9:$DR$508,4,FALSE()))</f>
        <v/>
      </c>
      <c r="DW240" s="111" t="str">
        <f aca="false">IF($DJ240&gt;$DI$8,"",VLOOKUP($DJ240,$DL$9:$DR$508,5,FALSE()))</f>
        <v/>
      </c>
      <c r="DX240" s="112" t="str">
        <f aca="false">IF($DJ240&gt;$DI$8,"",VLOOKUP($DJ240,$DL$9:$DR$508,6,FALSE()))</f>
        <v/>
      </c>
      <c r="DY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130"/>
      <c r="N241" s="130"/>
      <c r="O241" s="135"/>
      <c r="P241" s="135"/>
      <c r="Q241" s="130"/>
      <c r="R241" s="130"/>
      <c r="S241" s="130"/>
      <c r="T241" s="130"/>
      <c r="U241" s="135"/>
      <c r="V241" s="130"/>
      <c r="W241" s="96"/>
      <c r="X241" s="130"/>
      <c r="Y241" s="130"/>
      <c r="Z241" s="96"/>
      <c r="AA241" s="96"/>
      <c r="AB241" s="130"/>
      <c r="AC241" s="130"/>
      <c r="AD241" s="130"/>
      <c r="AE241" s="97"/>
      <c r="AF241" s="130"/>
      <c r="AG241" s="99"/>
      <c r="AH241" s="100"/>
      <c r="AI241" s="100"/>
      <c r="AJ241" s="100" t="str">
        <f aca="false">IF(ISBLANK($C241),"",IF($E241=Constants!$B$2,TRUE(),IF($E241=Constants!$B$3,FALSE(),TRUE())))</f>
        <v/>
      </c>
      <c r="AK241" s="100" t="str">
        <f aca="false">IF(ISBLANK($C241),"",IF($F241=Constants!$B$2,TRUE(),IF($F241=Constants!$B$3,FALSE(),FALSE())))</f>
        <v/>
      </c>
      <c r="AL241" s="100" t="str">
        <f aca="false">IF(ISBLANK($C241),"",IF($G241=Constants!$B$2,TRUE(),IF($G241=Constants!$B$3,FALSE(),TRUE())))</f>
        <v/>
      </c>
      <c r="AM241" s="100" t="str">
        <f aca="false">IF(ISBLANK($C241),"",IF($H241=Constants!$B$2,TRUE(),IF($H241=Constants!$B$3,FALSE(),TRUE())))</f>
        <v/>
      </c>
      <c r="AN241" s="100" t="str">
        <f aca="false">IF(ISBLANK($C241),"",IF(ISNUMBER($I241),IF($I241&gt;=0,$I241,""),""))</f>
        <v/>
      </c>
      <c r="AO241" s="100" t="str">
        <f aca="false">IF(ISBLANK($C241),"",IF(ISNUMBER($J241),IF($J241&gt;=0,$J241,""),""))</f>
        <v/>
      </c>
      <c r="AP241" s="100" t="str">
        <f aca="false">IF(ISBLANK($C241),"",IF(ISNUMBER($K241),IF($K241&gt;=0,$K241,""),""))</f>
        <v/>
      </c>
      <c r="AQ241" s="100" t="str">
        <f aca="false">IF(ISBLANK($C241),"",IF($L241=Constants!$B$2,TRUE(),IF($L241=Constants!$B$3,FALSE(),TRUE())))</f>
        <v/>
      </c>
      <c r="AR241" s="100" t="str">
        <f aca="false">IF(ISBLANK($C241),"",IF($M241=Constants!$B$2,TRUE(),IF($M241=Constants!$B$3,FALSE(),TRUE())))</f>
        <v/>
      </c>
      <c r="AS241" s="100" t="str">
        <f aca="false">IF(ISBLANK($C241),"",IF($N241=Constants!$B$2,TRUE(),IF($N241=Constants!$B$3,FALSE(),FALSE())))</f>
        <v/>
      </c>
      <c r="AT241" s="100" t="str">
        <f aca="false">IF(ISBLANK($C241),"",IF($O241=Constants!$B$2,TRUE(),IF($O241=Constants!$B$3,FALSE(),TRUE())))</f>
        <v/>
      </c>
      <c r="AU241" s="100" t="str">
        <f aca="false">IF(ISBLANK($C241),"",IF($P241=Constants!$B$2,TRUE(),IF($P241=Constants!$B$3,FALSE(),TRUE())))</f>
        <v/>
      </c>
      <c r="AV241" s="100" t="str">
        <f aca="false">IF(ISBLANK($C241),"",IF($Q241=Constants!$B$2,TRUE(),IF($Q241=Constants!$B$3,FALSE(),FALSE())))</f>
        <v/>
      </c>
      <c r="AW241" s="100" t="str">
        <f aca="false">IF(ISBLANK($C241),"",IF($R241=Constants!$B$2,TRUE(),IF($R241=Constants!$B$3,FALSE(),FALSE())))</f>
        <v/>
      </c>
      <c r="AX241" s="100" t="str">
        <f aca="false">IF(ISBLANK($C241),"",IF($S241=Constants!$B$2,TRUE(),IF($S241=Constants!$B$3,FALSE(),FALSE())))</f>
        <v/>
      </c>
      <c r="AY241" s="100" t="str">
        <f aca="false">IF(ISBLANK($C241),"",IF($T241=Constants!$B$2,TRUE(),IF($T241=Constants!$B$3,FALSE(),FALSE())))</f>
        <v/>
      </c>
      <c r="AZ241" s="100" t="str">
        <f aca="false">IF(ISBLANK($C241),"",IF($U241=Constants!$B$2,TRUE(),IF($U241=Constants!$B$3,FALSE(),FALSE())))</f>
        <v/>
      </c>
      <c r="BA241" s="100" t="str">
        <f aca="false">IF(ISBLANK($C241),"",IF(OR($V241&amp;""="1",$V241&amp;""="2",$V241&amp;""="3",$V241&amp;""="4"),VALUE($V241&amp;""),IF($V241=Constants!$B$12,Constants!$B$12,"")))</f>
        <v/>
      </c>
      <c r="BB241" s="100" t="str">
        <f aca="false">IF(ISBLANK($C241),"",IF(ISBLANK($W241),0,IF(ISNUMBER($W241),IF(AND($W241&gt;=0,$W241&lt;=Constants!$B$21,$W241=INT($W241)),$W241,""),"")))</f>
        <v/>
      </c>
      <c r="BC241" s="100" t="str">
        <f aca="false">IF(ISBLANK($C241),"",IF(ISBLANK($X241),0,IF(ISNUMBER($X241),IF($X241&gt;=0,$X241,""),"")))</f>
        <v/>
      </c>
      <c r="BD241" s="100" t="str">
        <f aca="false">IF(ISBLANK($C241),"",IF($Y241=Constants!$B$2,TRUE(),IF($Y241=Constants!$B$3,FALSE(),TRUE())))</f>
        <v/>
      </c>
      <c r="BE241" s="100" t="str">
        <f aca="false">IF(ISBLANK($C241),"",IF($Z241=Constants!$B$2,TRUE(),IF($Z241=Constants!$B$3,FALSE(),FALSE())))</f>
        <v/>
      </c>
      <c r="BF241" s="100" t="str">
        <f aca="false">IF(ISBLANK($C241),"",IF(ISBLANK($AA241),0,IF(ISNUMBER($AA241),IF(AND($AA241&gt;=0,$AA241&lt;=Constants!$B$35,$AA241=INT($AA241)),$AA241,""),"")))</f>
        <v/>
      </c>
      <c r="BG241" s="100" t="str">
        <f aca="false">IF(ISBLANK($C241),"",IF($AB241=Constants!$B$2,TRUE(),IF($AB241=Constants!$B$3,FALSE(),TRUE())))</f>
        <v/>
      </c>
      <c r="BH241" s="100" t="str">
        <f aca="false">IF(ISBLANK($C241),"",IF($AC241=Constants!$B$2,TRUE(),IF($AC241=Constants!$B$3,FALSE(),TRUE())))</f>
        <v/>
      </c>
      <c r="BI241" s="100" t="str">
        <f aca="false">IF(ISBLANK($C241),"",IF($AD241=Constants!$B$2,TRUE(),IF($AD241=Constants!$B$3,FALSE(),TRUE())))</f>
        <v/>
      </c>
      <c r="BJ241" s="100" t="str">
        <f aca="false">IF(ISBLANK($C241),"",IF(ISNUMBER($AE241),IF($AE241&gt;=0,$AE241,""),""))</f>
        <v/>
      </c>
      <c r="BK241" s="100" t="str">
        <f aca="false">IF(ISBLANK($C241),"",IF($AF241=Constants!$B$2,TRUE(),IF($AF241=Constants!$B$3,FALSE(),FALSE())))</f>
        <v/>
      </c>
      <c r="BL241" s="99" t="str">
        <f aca="false">IF(ISBLANK($C241),"",IF($BK241,Constants!$B$7,IF(COUNTA($E241:$AE241)=0,Constants!$B$6,IF(OR(COUNTA($G241:$AE241)=0,NOT($AM241),$AS241),Constants!$B$5,IF(OR($CM241&lt;&gt;"",$CN241,$CO241,$CP241,$CQ241,$CR241,$CS241),Constants!$B$8,Constants!$B$4)))))</f>
        <v/>
      </c>
      <c r="BM241" s="100" t="str">
        <f aca="false">IF(ISBLANK($C241),"",IF($BL241&lt;&gt;Constants!$B$4,$BL241,IF(OR(NOT($AJ241),NOT($AL241),NOT($AT241)),Constants!$B$11,IF(OR(NOT($AR241),NOT($AU241),NOT($BI241),MAX($AN241,$AO241,$AP241)&gt;Constants!$B$30),Constants!$B$10,Constants!$B$9))))</f>
        <v/>
      </c>
      <c r="BN241" s="100" t="str">
        <f aca="false">IF($BL241&lt;&gt;Constants!$B$4,"",IF(NOT($AL241),0,MIN(Constants!$B$35,$BF241)))</f>
        <v/>
      </c>
      <c r="BO241" s="100" t="str">
        <f aca="false">IF($BL241&lt;&gt;Constants!$B$4,"",IF(NOT($AL241),0,IF($AW241,Constants!$B$18,IF($AV241,Constants!$B$17,0))))</f>
        <v/>
      </c>
      <c r="BP241" s="100" t="str">
        <f aca="false">IF($BL241&lt;&gt;Constants!$B$4,"",IF(NOT($AL241),0,Constants!$B$19*($AK241+$AX241+$AY241+$AZ241)))</f>
        <v/>
      </c>
      <c r="BQ241" s="100" t="str">
        <f aca="false">IF($BL241&lt;&gt;Constants!$B$4,"",IF(OR(NOT($AL241),NOT(ISNUMBER($BA241))),0,CHOOSE($BA241,Constants!$B$13,Constants!$B$14,Constants!$B$15,Constants!$B$16)))</f>
        <v/>
      </c>
      <c r="BR241" s="100" t="str">
        <f aca="false">IF($BL241&lt;&gt;Constants!$B$4,"",IF(NOT($AL241),0,Constants!$B$20*$BB241))</f>
        <v/>
      </c>
      <c r="BS241" s="100" t="str">
        <f aca="false">IF($BL241&lt;&gt;Constants!$B$4,"",IF(AND($AL241,$BD241,$BE241),Constants!$B$22,0))</f>
        <v/>
      </c>
      <c r="BT241" s="100" t="str">
        <f aca="false">IF($BL241&lt;&gt;Constants!$B$4,"",IF(OR(NOT($AL241),NOT($BD241)),0,IF($BJ241&gt;=2*$AH$9,0,Constants!$B$23*INT(ROUND(MIN($BJ241,$AH$9),6)))))</f>
        <v/>
      </c>
      <c r="BU241" s="100" t="str">
        <f aca="false">IF($BL241&lt;&gt;Constants!$B$4,"",IF(NOT($AL241),0,Constants!$B$24*INT(ROUND(MIN($BC241,$AH$9),6))))</f>
        <v/>
      </c>
      <c r="BV241" s="100" t="str">
        <f aca="false">IF($BL241&lt;&gt;Constants!$B$4,"",IF(AND($AL241,$BN241=0),Constants!$B$25,0))</f>
        <v/>
      </c>
      <c r="BW241" s="100" t="str">
        <f aca="false">IF($BL241&lt;&gt;Constants!$B$4,"",MIN(Constants!$B$29,MAX(0,Constants!$B$27*Constants!$B$28*INT(ROUND((Constants!$B$26-$AN241)/Constants!$B$28,6))))+MIN(Constants!$B$29,MAX(0,Constants!$B$27*Constants!$B$28*INT(ROUND((Constants!$B$26-$AO241)/Constants!$B$28,6))))+MIN(Constants!$B$29,MAX(0,Constants!$B$27*Constants!$B$28*INT(ROUND((Constants!$B$26-$AP241)/Constants!$B$28,6)))))</f>
        <v/>
      </c>
      <c r="BX241" s="100" t="str">
        <f aca="false">IF($BL241&lt;&gt;Constants!$B$4,"",IF(NOT($AL241),0,Constants!$B$31*INT(ROUND(MAX(0,MIN($BJ241,2*$AH$9)-$AH$9),6))))</f>
        <v/>
      </c>
      <c r="BY241" s="100" t="str">
        <f aca="false">IF($BL241&lt;&gt;Constants!$B$4,"",Constants!$B$32*(($AN241&gt;Constants!$B$26)+($AO241&gt;Constants!$B$26)+($AP241&gt;Constants!$B$26)))</f>
        <v/>
      </c>
      <c r="BZ241" s="100" t="str">
        <f aca="false">IF($BL241&lt;&gt;Constants!$B$4,"",IF(OR(NOT($AL241),$AQ241),0,Constants!$B$33))</f>
        <v/>
      </c>
      <c r="CA241" s="100" t="str">
        <f aca="false">IF($BL241&lt;&gt;Constants!$B$4,"",Constants!$B$34*$BN241)</f>
        <v/>
      </c>
      <c r="CB241" s="100" t="str">
        <f aca="false">IF($BL241&lt;&gt;Constants!$B$4,"",IF(OR(NOT($AL241),$BH241),0,Constants!$B$36))</f>
        <v/>
      </c>
      <c r="CC241" s="100" t="str">
        <f aca="false">IF($BL241&lt;&gt;Constants!$B$4,"",IF(OR(NOT($AL241),$BG241),0,Constants!$B$37))</f>
        <v/>
      </c>
      <c r="CD241" s="100" t="str">
        <f aca="false">IF($BL241&lt;&gt;Constants!$B$4,"",SUM($BX241:$CC241))</f>
        <v/>
      </c>
      <c r="CE241" s="100" t="str">
        <f aca="false">IF(ISBLANK($C241),"",IF($BL241&lt;&gt;Constants!$B$4,$BL241,SUM($BO241:$BW241)-$CD241))</f>
        <v/>
      </c>
      <c r="CF241" s="100" t="str">
        <f aca="false">IF(ISBLANK($C241),"",IF($BL241&lt;&gt;Constants!$B$4,$BL241,RANK($CE241,$CE$9:$CE$508)))</f>
        <v/>
      </c>
      <c r="CG241" s="100" t="str">
        <f aca="false">IF(ISBLANK($C241),"",IF($BL241&lt;&gt;Constants!$B$4,$BL241,COUNTIFS($BM$9:$BM$508,"&lt;"&amp;$BM241)+COUNTIFS($BM$9:$BM$508,$BM241,$CF$9:$CF$508,"&lt;"&amp;$CF241)+1))</f>
        <v/>
      </c>
      <c r="CH241" s="100" t="str">
        <f aca="false">IF(ISBLANK($C241),"",IF($BL241&lt;&gt;Constants!$B$4,$BL241,RANK($CD241,$CD$9:$CD$508,1)))</f>
        <v/>
      </c>
      <c r="CI241" s="100" t="str">
        <f aca="false">IF($BL241&lt;&gt;Constants!$B$4,"",$AN241+$AO241+$AP241)</f>
        <v/>
      </c>
      <c r="CJ241" s="100" t="str">
        <f aca="false">IF(ISBLANK($C241),"",IF($BL241&lt;&gt;Constants!$B$4,$BL241,RANK($CI241,$CI$9:$CI$508,1)))</f>
        <v/>
      </c>
      <c r="CK241" s="100" t="str">
        <f aca="false">IF(ISBLANK($C241),"",IF($BL241&lt;&gt;Constants!$B$4,$BL241,COUNTIFS($BM$9:$BM$508,"&lt;"&amp;$BM241)+COUNTIFS($BM$9:$BM$508,$BM241,$CF$9:$CF$508,"&lt;"&amp;$CF241)+COUNTIFS($BM$9:$BM$508,$BM241,$CF$9:$CF$508,$CF241,$CH$9:$CH$508,"&lt;"&amp;$CH241)+COUNTIFS($BM$9:$BM$508,$BM241,$CF$9:$CF$508,$CF241,$CH$9:$CH$508,$CH241,$CJ$9:$CJ$508,"&lt;"&amp;$CJ241)+1))</f>
        <v/>
      </c>
      <c r="CL241" s="100" t="str">
        <f aca="false">IF(ISBLANK($C241),"",IF($BL241&lt;&gt;Constants!$B$4,$BL241,$CG241-$CK241))</f>
        <v/>
      </c>
      <c r="CM241" s="100" t="str">
        <f aca="false">IF(ISBLANK($C241),"",IF(NOT($AL241),"",IF(ISBLANK($D$7),$CM$5,IF(NOT(ISNUMBER($D$7)),$CM$6,""))))</f>
        <v/>
      </c>
      <c r="CN241" s="100" t="str">
        <f aca="false">IF(ISBLANK($C241),"",OR($AN241="",$AO241="",$AP241=""))</f>
        <v/>
      </c>
      <c r="CO241" s="100" t="str">
        <f aca="false">IF(ISBLANK($C241),"",AND($AL241,$BA241=""))</f>
        <v/>
      </c>
      <c r="CP241" s="100" t="str">
        <f aca="false">IF(ISBLANK($C241),"",AND($AL241,$BB241=""))</f>
        <v/>
      </c>
      <c r="CQ241" s="100" t="str">
        <f aca="false">IF(ISBLANK($C241),"",AND($AL241,$BC241=""))</f>
        <v/>
      </c>
      <c r="CR241" s="100" t="str">
        <f aca="false">IF(ISBLANK($C241),"",AND($AL241,$BF241=""))</f>
        <v/>
      </c>
      <c r="CS241" s="100" t="str">
        <f aca="false">IF(ISBLANK($C241),"",AND($AL241,$BJ241=""))</f>
        <v/>
      </c>
      <c r="CT241" s="101"/>
      <c r="CU241" s="102"/>
      <c r="CV241" s="103" t="str">
        <f aca="false">IF(ISBLANK($C241),"",IF($BL241=Constants!$B$8,$CM241,""))</f>
        <v/>
      </c>
      <c r="CW241" s="102" t="str">
        <f aca="false">IF(ISBLANK($C241),"",IF($BL241&lt;&gt;Constants!$B$4,"",$BO241+$BP241))</f>
        <v/>
      </c>
      <c r="CX241" s="104" t="str">
        <f aca="false">IF(ISBLANK($C241),"",IF($BL241&lt;&gt;Constants!$B$4,"",$BQ241+$BR241+$BS241))</f>
        <v/>
      </c>
      <c r="CY241" s="104" t="str">
        <f aca="false">IF(ISBLANK($C241),"",IF($BL241&lt;&gt;Constants!$B$4,"",$BT241))</f>
        <v/>
      </c>
      <c r="CZ241" s="104" t="str">
        <f aca="false">IF(ISBLANK($C241),"",IF($BL241&lt;&gt;Constants!$B$4,"",$BU241+$BV241))</f>
        <v/>
      </c>
      <c r="DA241" s="104" t="str">
        <f aca="false">IF(ISBLANK($C241),"",IF($BL241&lt;&gt;Constants!$B$4,"",$BW241))</f>
        <v/>
      </c>
      <c r="DB241" s="104" t="str">
        <f aca="false">IF(ISBLANK($C241),"",IF($BL241&lt;&gt;Constants!$B$4,"",-$CD241))</f>
        <v/>
      </c>
      <c r="DC241" s="103" t="str">
        <f aca="false">IF(ISBLANK($C241),"",$CE241)</f>
        <v/>
      </c>
      <c r="DD241" s="105" t="str">
        <f aca="false">IF(ISBLANK($C241),"",$BM241)</f>
        <v/>
      </c>
      <c r="DE241" s="104" t="str">
        <f aca="false">IF(ISBLANK($C241),"",$CL241)</f>
        <v/>
      </c>
      <c r="DF241" s="104" t="str">
        <f aca="false">IF(ISBLANK($C241),"",$CK241)</f>
        <v/>
      </c>
      <c r="DG241" s="106" t="str">
        <f aca="false">IF(ISBLANK($C241),"",IF($DF241=Constants!$B$7,COUNTA($C$9:$C$508)+2,IF($DF241=Constants!$B$6,COUNTA($C$9:$C$508)+1,IF($DF241=Constants!$B$5,COUNTA($C$9:$C$508),$DF241))))</f>
        <v/>
      </c>
      <c r="DH241" s="7"/>
      <c r="DI241" s="107" t="n">
        <f aca="false">IF(OR(ISNUMBER($DF241),$DF241=Constants!$B$7,$DF241=Constants!$B$5,$DF241=Constants!$B$6),1,0)</f>
        <v>0</v>
      </c>
      <c r="DJ241" s="107" t="n">
        <v>233</v>
      </c>
      <c r="DK241" s="107" t="str">
        <f aca="false">IF(ISBLANK($C241),"",IF(ISNUMBER($DG241),$DG241+ROW($B241)/1000,""))</f>
        <v/>
      </c>
      <c r="DL241" s="107" t="str">
        <f aca="false">IF(ISNUMBER($DK241),RANK($DK241,$DK$9:$DK$508,1),"")</f>
        <v/>
      </c>
      <c r="DM241" s="107" t="str">
        <f aca="false">IF(ISBLANK($C241),"",$B241)</f>
        <v/>
      </c>
      <c r="DN241" s="107" t="str">
        <f aca="false">IF(ISBLANK($C241),"",$C241)</f>
        <v/>
      </c>
      <c r="DO241" s="107" t="str">
        <f aca="false">IF(ISBLANK($C241),"",$D241)</f>
        <v/>
      </c>
      <c r="DP241" s="108" t="str">
        <f aca="false">$DD241</f>
        <v/>
      </c>
      <c r="DQ241" s="109" t="str">
        <f aca="false">$DC241</f>
        <v/>
      </c>
      <c r="DR241" s="107" t="str">
        <f aca="false">IF(ISBLANK($C241),"",$DF241)</f>
        <v/>
      </c>
      <c r="DS241" s="110" t="str">
        <f aca="false">IF($DJ241&gt;$DI$8,"",VLOOKUP($DJ241,$DL$9:$DR$508,7,FALSE()))</f>
        <v/>
      </c>
      <c r="DT241" s="111" t="str">
        <f aca="false">IF($DJ241&gt;$DI$8,"",VLOOKUP($DJ241,$DL$9:$DR$508,2,FALSE()))</f>
        <v/>
      </c>
      <c r="DU241" s="111" t="str">
        <f aca="false">IF($DJ241&gt;$DI$8,"",VLOOKUP($DJ241,$DL$9:$DR$508,3,FALSE()))</f>
        <v/>
      </c>
      <c r="DV241" s="111" t="str">
        <f aca="false">IF($DJ241&gt;$DI$8,"",VLOOKUP($DJ241,$DL$9:$DR$508,4,FALSE()))</f>
        <v/>
      </c>
      <c r="DW241" s="111" t="str">
        <f aca="false">IF($DJ241&gt;$DI$8,"",VLOOKUP($DJ241,$DL$9:$DR$508,5,FALSE()))</f>
        <v/>
      </c>
      <c r="DX241" s="112" t="str">
        <f aca="false">IF($DJ241&gt;$DI$8,"",VLOOKUP($DJ241,$DL$9:$DR$508,6,FALSE()))</f>
        <v/>
      </c>
      <c r="DY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130"/>
      <c r="N242" s="130"/>
      <c r="O242" s="135"/>
      <c r="P242" s="135"/>
      <c r="Q242" s="130"/>
      <c r="R242" s="130"/>
      <c r="S242" s="130"/>
      <c r="T242" s="130"/>
      <c r="U242" s="135"/>
      <c r="V242" s="130"/>
      <c r="W242" s="96"/>
      <c r="X242" s="130"/>
      <c r="Y242" s="130"/>
      <c r="Z242" s="96"/>
      <c r="AA242" s="96"/>
      <c r="AB242" s="130"/>
      <c r="AC242" s="130"/>
      <c r="AD242" s="130"/>
      <c r="AE242" s="97"/>
      <c r="AF242" s="130"/>
      <c r="AG242" s="99"/>
      <c r="AH242" s="100"/>
      <c r="AI242" s="100"/>
      <c r="AJ242" s="100" t="str">
        <f aca="false">IF(ISBLANK($C242),"",IF($E242=Constants!$B$2,TRUE(),IF($E242=Constants!$B$3,FALSE(),TRUE())))</f>
        <v/>
      </c>
      <c r="AK242" s="100" t="str">
        <f aca="false">IF(ISBLANK($C242),"",IF($F242=Constants!$B$2,TRUE(),IF($F242=Constants!$B$3,FALSE(),FALSE())))</f>
        <v/>
      </c>
      <c r="AL242" s="100" t="str">
        <f aca="false">IF(ISBLANK($C242),"",IF($G242=Constants!$B$2,TRUE(),IF($G242=Constants!$B$3,FALSE(),TRUE())))</f>
        <v/>
      </c>
      <c r="AM242" s="100" t="str">
        <f aca="false">IF(ISBLANK($C242),"",IF($H242=Constants!$B$2,TRUE(),IF($H242=Constants!$B$3,FALSE(),TRUE())))</f>
        <v/>
      </c>
      <c r="AN242" s="100" t="str">
        <f aca="false">IF(ISBLANK($C242),"",IF(ISNUMBER($I242),IF($I242&gt;=0,$I242,""),""))</f>
        <v/>
      </c>
      <c r="AO242" s="100" t="str">
        <f aca="false">IF(ISBLANK($C242),"",IF(ISNUMBER($J242),IF($J242&gt;=0,$J242,""),""))</f>
        <v/>
      </c>
      <c r="AP242" s="100" t="str">
        <f aca="false">IF(ISBLANK($C242),"",IF(ISNUMBER($K242),IF($K242&gt;=0,$K242,""),""))</f>
        <v/>
      </c>
      <c r="AQ242" s="100" t="str">
        <f aca="false">IF(ISBLANK($C242),"",IF($L242=Constants!$B$2,TRUE(),IF($L242=Constants!$B$3,FALSE(),TRUE())))</f>
        <v/>
      </c>
      <c r="AR242" s="100" t="str">
        <f aca="false">IF(ISBLANK($C242),"",IF($M242=Constants!$B$2,TRUE(),IF($M242=Constants!$B$3,FALSE(),TRUE())))</f>
        <v/>
      </c>
      <c r="AS242" s="100" t="str">
        <f aca="false">IF(ISBLANK($C242),"",IF($N242=Constants!$B$2,TRUE(),IF($N242=Constants!$B$3,FALSE(),FALSE())))</f>
        <v/>
      </c>
      <c r="AT242" s="100" t="str">
        <f aca="false">IF(ISBLANK($C242),"",IF($O242=Constants!$B$2,TRUE(),IF($O242=Constants!$B$3,FALSE(),TRUE())))</f>
        <v/>
      </c>
      <c r="AU242" s="100" t="str">
        <f aca="false">IF(ISBLANK($C242),"",IF($P242=Constants!$B$2,TRUE(),IF($P242=Constants!$B$3,FALSE(),TRUE())))</f>
        <v/>
      </c>
      <c r="AV242" s="100" t="str">
        <f aca="false">IF(ISBLANK($C242),"",IF($Q242=Constants!$B$2,TRUE(),IF($Q242=Constants!$B$3,FALSE(),FALSE())))</f>
        <v/>
      </c>
      <c r="AW242" s="100" t="str">
        <f aca="false">IF(ISBLANK($C242),"",IF($R242=Constants!$B$2,TRUE(),IF($R242=Constants!$B$3,FALSE(),FALSE())))</f>
        <v/>
      </c>
      <c r="AX242" s="100" t="str">
        <f aca="false">IF(ISBLANK($C242),"",IF($S242=Constants!$B$2,TRUE(),IF($S242=Constants!$B$3,FALSE(),FALSE())))</f>
        <v/>
      </c>
      <c r="AY242" s="100" t="str">
        <f aca="false">IF(ISBLANK($C242),"",IF($T242=Constants!$B$2,TRUE(),IF($T242=Constants!$B$3,FALSE(),FALSE())))</f>
        <v/>
      </c>
      <c r="AZ242" s="100" t="str">
        <f aca="false">IF(ISBLANK($C242),"",IF($U242=Constants!$B$2,TRUE(),IF($U242=Constants!$B$3,FALSE(),FALSE())))</f>
        <v/>
      </c>
      <c r="BA242" s="100" t="str">
        <f aca="false">IF(ISBLANK($C242),"",IF(OR($V242&amp;""="1",$V242&amp;""="2",$V242&amp;""="3",$V242&amp;""="4"),VALUE($V242&amp;""),IF($V242=Constants!$B$12,Constants!$B$12,"")))</f>
        <v/>
      </c>
      <c r="BB242" s="100" t="str">
        <f aca="false">IF(ISBLANK($C242),"",IF(ISBLANK($W242),0,IF(ISNUMBER($W242),IF(AND($W242&gt;=0,$W242&lt;=Constants!$B$21,$W242=INT($W242)),$W242,""),"")))</f>
        <v/>
      </c>
      <c r="BC242" s="100" t="str">
        <f aca="false">IF(ISBLANK($C242),"",IF(ISBLANK($X242),0,IF(ISNUMBER($X242),IF($X242&gt;=0,$X242,""),"")))</f>
        <v/>
      </c>
      <c r="BD242" s="100" t="str">
        <f aca="false">IF(ISBLANK($C242),"",IF($Y242=Constants!$B$2,TRUE(),IF($Y242=Constants!$B$3,FALSE(),TRUE())))</f>
        <v/>
      </c>
      <c r="BE242" s="100" t="str">
        <f aca="false">IF(ISBLANK($C242),"",IF($Z242=Constants!$B$2,TRUE(),IF($Z242=Constants!$B$3,FALSE(),FALSE())))</f>
        <v/>
      </c>
      <c r="BF242" s="100" t="str">
        <f aca="false">IF(ISBLANK($C242),"",IF(ISBLANK($AA242),0,IF(ISNUMBER($AA242),IF(AND($AA242&gt;=0,$AA242&lt;=Constants!$B$35,$AA242=INT($AA242)),$AA242,""),"")))</f>
        <v/>
      </c>
      <c r="BG242" s="100" t="str">
        <f aca="false">IF(ISBLANK($C242),"",IF($AB242=Constants!$B$2,TRUE(),IF($AB242=Constants!$B$3,FALSE(),TRUE())))</f>
        <v/>
      </c>
      <c r="BH242" s="100" t="str">
        <f aca="false">IF(ISBLANK($C242),"",IF($AC242=Constants!$B$2,TRUE(),IF($AC242=Constants!$B$3,FALSE(),TRUE())))</f>
        <v/>
      </c>
      <c r="BI242" s="100" t="str">
        <f aca="false">IF(ISBLANK($C242),"",IF($AD242=Constants!$B$2,TRUE(),IF($AD242=Constants!$B$3,FALSE(),TRUE())))</f>
        <v/>
      </c>
      <c r="BJ242" s="100" t="str">
        <f aca="false">IF(ISBLANK($C242),"",IF(ISNUMBER($AE242),IF($AE242&gt;=0,$AE242,""),""))</f>
        <v/>
      </c>
      <c r="BK242" s="100" t="str">
        <f aca="false">IF(ISBLANK($C242),"",IF($AF242=Constants!$B$2,TRUE(),IF($AF242=Constants!$B$3,FALSE(),FALSE())))</f>
        <v/>
      </c>
      <c r="BL242" s="99" t="str">
        <f aca="false">IF(ISBLANK($C242),"",IF($BK242,Constants!$B$7,IF(COUNTA($E242:$AE242)=0,Constants!$B$6,IF(OR(COUNTA($G242:$AE242)=0,NOT($AM242),$AS242),Constants!$B$5,IF(OR($CM242&lt;&gt;"",$CN242,$CO242,$CP242,$CQ242,$CR242,$CS242),Constants!$B$8,Constants!$B$4)))))</f>
        <v/>
      </c>
      <c r="BM242" s="100" t="str">
        <f aca="false">IF(ISBLANK($C242),"",IF($BL242&lt;&gt;Constants!$B$4,$BL242,IF(OR(NOT($AJ242),NOT($AL242),NOT($AT242)),Constants!$B$11,IF(OR(NOT($AR242),NOT($AU242),NOT($BI242),MAX($AN242,$AO242,$AP242)&gt;Constants!$B$30),Constants!$B$10,Constants!$B$9))))</f>
        <v/>
      </c>
      <c r="BN242" s="100" t="str">
        <f aca="false">IF($BL242&lt;&gt;Constants!$B$4,"",IF(NOT($AL242),0,MIN(Constants!$B$35,$BF242)))</f>
        <v/>
      </c>
      <c r="BO242" s="100" t="str">
        <f aca="false">IF($BL242&lt;&gt;Constants!$B$4,"",IF(NOT($AL242),0,IF($AW242,Constants!$B$18,IF($AV242,Constants!$B$17,0))))</f>
        <v/>
      </c>
      <c r="BP242" s="100" t="str">
        <f aca="false">IF($BL242&lt;&gt;Constants!$B$4,"",IF(NOT($AL242),0,Constants!$B$19*($AK242+$AX242+$AY242+$AZ242)))</f>
        <v/>
      </c>
      <c r="BQ242" s="100" t="str">
        <f aca="false">IF($BL242&lt;&gt;Constants!$B$4,"",IF(OR(NOT($AL242),NOT(ISNUMBER($BA242))),0,CHOOSE($BA242,Constants!$B$13,Constants!$B$14,Constants!$B$15,Constants!$B$16)))</f>
        <v/>
      </c>
      <c r="BR242" s="100" t="str">
        <f aca="false">IF($BL242&lt;&gt;Constants!$B$4,"",IF(NOT($AL242),0,Constants!$B$20*$BB242))</f>
        <v/>
      </c>
      <c r="BS242" s="100" t="str">
        <f aca="false">IF($BL242&lt;&gt;Constants!$B$4,"",IF(AND($AL242,$BD242,$BE242),Constants!$B$22,0))</f>
        <v/>
      </c>
      <c r="BT242" s="100" t="str">
        <f aca="false">IF($BL242&lt;&gt;Constants!$B$4,"",IF(OR(NOT($AL242),NOT($BD242)),0,IF($BJ242&gt;=2*$AH$9,0,Constants!$B$23*INT(ROUND(MIN($BJ242,$AH$9),6)))))</f>
        <v/>
      </c>
      <c r="BU242" s="100" t="str">
        <f aca="false">IF($BL242&lt;&gt;Constants!$B$4,"",IF(NOT($AL242),0,Constants!$B$24*INT(ROUND(MIN($BC242,$AH$9),6))))</f>
        <v/>
      </c>
      <c r="BV242" s="100" t="str">
        <f aca="false">IF($BL242&lt;&gt;Constants!$B$4,"",IF(AND($AL242,$BN242=0),Constants!$B$25,0))</f>
        <v/>
      </c>
      <c r="BW242" s="100" t="str">
        <f aca="false">IF($BL242&lt;&gt;Constants!$B$4,"",MIN(Constants!$B$29,MAX(0,Constants!$B$27*Constants!$B$28*INT(ROUND((Constants!$B$26-$AN242)/Constants!$B$28,6))))+MIN(Constants!$B$29,MAX(0,Constants!$B$27*Constants!$B$28*INT(ROUND((Constants!$B$26-$AO242)/Constants!$B$28,6))))+MIN(Constants!$B$29,MAX(0,Constants!$B$27*Constants!$B$28*INT(ROUND((Constants!$B$26-$AP242)/Constants!$B$28,6)))))</f>
        <v/>
      </c>
      <c r="BX242" s="100" t="str">
        <f aca="false">IF($BL242&lt;&gt;Constants!$B$4,"",IF(NOT($AL242),0,Constants!$B$31*INT(ROUND(MAX(0,MIN($BJ242,2*$AH$9)-$AH$9),6))))</f>
        <v/>
      </c>
      <c r="BY242" s="100" t="str">
        <f aca="false">IF($BL242&lt;&gt;Constants!$B$4,"",Constants!$B$32*(($AN242&gt;Constants!$B$26)+($AO242&gt;Constants!$B$26)+($AP242&gt;Constants!$B$26)))</f>
        <v/>
      </c>
      <c r="BZ242" s="100" t="str">
        <f aca="false">IF($BL242&lt;&gt;Constants!$B$4,"",IF(OR(NOT($AL242),$AQ242),0,Constants!$B$33))</f>
        <v/>
      </c>
      <c r="CA242" s="100" t="str">
        <f aca="false">IF($BL242&lt;&gt;Constants!$B$4,"",Constants!$B$34*$BN242)</f>
        <v/>
      </c>
      <c r="CB242" s="100" t="str">
        <f aca="false">IF($BL242&lt;&gt;Constants!$B$4,"",IF(OR(NOT($AL242),$BH242),0,Constants!$B$36))</f>
        <v/>
      </c>
      <c r="CC242" s="100" t="str">
        <f aca="false">IF($BL242&lt;&gt;Constants!$B$4,"",IF(OR(NOT($AL242),$BG242),0,Constants!$B$37))</f>
        <v/>
      </c>
      <c r="CD242" s="100" t="str">
        <f aca="false">IF($BL242&lt;&gt;Constants!$B$4,"",SUM($BX242:$CC242))</f>
        <v/>
      </c>
      <c r="CE242" s="100" t="str">
        <f aca="false">IF(ISBLANK($C242),"",IF($BL242&lt;&gt;Constants!$B$4,$BL242,SUM($BO242:$BW242)-$CD242))</f>
        <v/>
      </c>
      <c r="CF242" s="100" t="str">
        <f aca="false">IF(ISBLANK($C242),"",IF($BL242&lt;&gt;Constants!$B$4,$BL242,RANK($CE242,$CE$9:$CE$508)))</f>
        <v/>
      </c>
      <c r="CG242" s="100" t="str">
        <f aca="false">IF(ISBLANK($C242),"",IF($BL242&lt;&gt;Constants!$B$4,$BL242,COUNTIFS($BM$9:$BM$508,"&lt;"&amp;$BM242)+COUNTIFS($BM$9:$BM$508,$BM242,$CF$9:$CF$508,"&lt;"&amp;$CF242)+1))</f>
        <v/>
      </c>
      <c r="CH242" s="100" t="str">
        <f aca="false">IF(ISBLANK($C242),"",IF($BL242&lt;&gt;Constants!$B$4,$BL242,RANK($CD242,$CD$9:$CD$508,1)))</f>
        <v/>
      </c>
      <c r="CI242" s="100" t="str">
        <f aca="false">IF($BL242&lt;&gt;Constants!$B$4,"",$AN242+$AO242+$AP242)</f>
        <v/>
      </c>
      <c r="CJ242" s="100" t="str">
        <f aca="false">IF(ISBLANK($C242),"",IF($BL242&lt;&gt;Constants!$B$4,$BL242,RANK($CI242,$CI$9:$CI$508,1)))</f>
        <v/>
      </c>
      <c r="CK242" s="100" t="str">
        <f aca="false">IF(ISBLANK($C242),"",IF($BL242&lt;&gt;Constants!$B$4,$BL242,COUNTIFS($BM$9:$BM$508,"&lt;"&amp;$BM242)+COUNTIFS($BM$9:$BM$508,$BM242,$CF$9:$CF$508,"&lt;"&amp;$CF242)+COUNTIFS($BM$9:$BM$508,$BM242,$CF$9:$CF$508,$CF242,$CH$9:$CH$508,"&lt;"&amp;$CH242)+COUNTIFS($BM$9:$BM$508,$BM242,$CF$9:$CF$508,$CF242,$CH$9:$CH$508,$CH242,$CJ$9:$CJ$508,"&lt;"&amp;$CJ242)+1))</f>
        <v/>
      </c>
      <c r="CL242" s="100" t="str">
        <f aca="false">IF(ISBLANK($C242),"",IF($BL242&lt;&gt;Constants!$B$4,$BL242,$CG242-$CK242))</f>
        <v/>
      </c>
      <c r="CM242" s="100" t="str">
        <f aca="false">IF(ISBLANK($C242),"",IF(NOT($AL242),"",IF(ISBLANK($D$7),$CM$5,IF(NOT(ISNUMBER($D$7)),$CM$6,""))))</f>
        <v/>
      </c>
      <c r="CN242" s="100" t="str">
        <f aca="false">IF(ISBLANK($C242),"",OR($AN242="",$AO242="",$AP242=""))</f>
        <v/>
      </c>
      <c r="CO242" s="100" t="str">
        <f aca="false">IF(ISBLANK($C242),"",AND($AL242,$BA242=""))</f>
        <v/>
      </c>
      <c r="CP242" s="100" t="str">
        <f aca="false">IF(ISBLANK($C242),"",AND($AL242,$BB242=""))</f>
        <v/>
      </c>
      <c r="CQ242" s="100" t="str">
        <f aca="false">IF(ISBLANK($C242),"",AND($AL242,$BC242=""))</f>
        <v/>
      </c>
      <c r="CR242" s="100" t="str">
        <f aca="false">IF(ISBLANK($C242),"",AND($AL242,$BF242=""))</f>
        <v/>
      </c>
      <c r="CS242" s="100" t="str">
        <f aca="false">IF(ISBLANK($C242),"",AND($AL242,$BJ242=""))</f>
        <v/>
      </c>
      <c r="CT242" s="101"/>
      <c r="CU242" s="102"/>
      <c r="CV242" s="103" t="str">
        <f aca="false">IF(ISBLANK($C242),"",IF($BL242=Constants!$B$8,$CM242,""))</f>
        <v/>
      </c>
      <c r="CW242" s="102" t="str">
        <f aca="false">IF(ISBLANK($C242),"",IF($BL242&lt;&gt;Constants!$B$4,"",$BO242+$BP242))</f>
        <v/>
      </c>
      <c r="CX242" s="104" t="str">
        <f aca="false">IF(ISBLANK($C242),"",IF($BL242&lt;&gt;Constants!$B$4,"",$BQ242+$BR242+$BS242))</f>
        <v/>
      </c>
      <c r="CY242" s="104" t="str">
        <f aca="false">IF(ISBLANK($C242),"",IF($BL242&lt;&gt;Constants!$B$4,"",$BT242))</f>
        <v/>
      </c>
      <c r="CZ242" s="104" t="str">
        <f aca="false">IF(ISBLANK($C242),"",IF($BL242&lt;&gt;Constants!$B$4,"",$BU242+$BV242))</f>
        <v/>
      </c>
      <c r="DA242" s="104" t="str">
        <f aca="false">IF(ISBLANK($C242),"",IF($BL242&lt;&gt;Constants!$B$4,"",$BW242))</f>
        <v/>
      </c>
      <c r="DB242" s="104" t="str">
        <f aca="false">IF(ISBLANK($C242),"",IF($BL242&lt;&gt;Constants!$B$4,"",-$CD242))</f>
        <v/>
      </c>
      <c r="DC242" s="103" t="str">
        <f aca="false">IF(ISBLANK($C242),"",$CE242)</f>
        <v/>
      </c>
      <c r="DD242" s="105" t="str">
        <f aca="false">IF(ISBLANK($C242),"",$BM242)</f>
        <v/>
      </c>
      <c r="DE242" s="104" t="str">
        <f aca="false">IF(ISBLANK($C242),"",$CL242)</f>
        <v/>
      </c>
      <c r="DF242" s="104" t="str">
        <f aca="false">IF(ISBLANK($C242),"",$CK242)</f>
        <v/>
      </c>
      <c r="DG242" s="106" t="str">
        <f aca="false">IF(ISBLANK($C242),"",IF($DF242=Constants!$B$7,COUNTA($C$9:$C$508)+2,IF($DF242=Constants!$B$6,COUNTA($C$9:$C$508)+1,IF($DF242=Constants!$B$5,COUNTA($C$9:$C$508),$DF242))))</f>
        <v/>
      </c>
      <c r="DH242" s="7"/>
      <c r="DI242" s="107" t="n">
        <f aca="false">IF(OR(ISNUMBER($DF242),$DF242=Constants!$B$7,$DF242=Constants!$B$5,$DF242=Constants!$B$6),1,0)</f>
        <v>0</v>
      </c>
      <c r="DJ242" s="107" t="n">
        <v>234</v>
      </c>
      <c r="DK242" s="107" t="str">
        <f aca="false">IF(ISBLANK($C242),"",IF(ISNUMBER($DG242),$DG242+ROW($B242)/1000,""))</f>
        <v/>
      </c>
      <c r="DL242" s="107" t="str">
        <f aca="false">IF(ISNUMBER($DK242),RANK($DK242,$DK$9:$DK$508,1),"")</f>
        <v/>
      </c>
      <c r="DM242" s="107" t="str">
        <f aca="false">IF(ISBLANK($C242),"",$B242)</f>
        <v/>
      </c>
      <c r="DN242" s="107" t="str">
        <f aca="false">IF(ISBLANK($C242),"",$C242)</f>
        <v/>
      </c>
      <c r="DO242" s="107" t="str">
        <f aca="false">IF(ISBLANK($C242),"",$D242)</f>
        <v/>
      </c>
      <c r="DP242" s="108" t="str">
        <f aca="false">$DD242</f>
        <v/>
      </c>
      <c r="DQ242" s="109" t="str">
        <f aca="false">$DC242</f>
        <v/>
      </c>
      <c r="DR242" s="107" t="str">
        <f aca="false">IF(ISBLANK($C242),"",$DF242)</f>
        <v/>
      </c>
      <c r="DS242" s="110" t="str">
        <f aca="false">IF($DJ242&gt;$DI$8,"",VLOOKUP($DJ242,$DL$9:$DR$508,7,FALSE()))</f>
        <v/>
      </c>
      <c r="DT242" s="111" t="str">
        <f aca="false">IF($DJ242&gt;$DI$8,"",VLOOKUP($DJ242,$DL$9:$DR$508,2,FALSE()))</f>
        <v/>
      </c>
      <c r="DU242" s="111" t="str">
        <f aca="false">IF($DJ242&gt;$DI$8,"",VLOOKUP($DJ242,$DL$9:$DR$508,3,FALSE()))</f>
        <v/>
      </c>
      <c r="DV242" s="111" t="str">
        <f aca="false">IF($DJ242&gt;$DI$8,"",VLOOKUP($DJ242,$DL$9:$DR$508,4,FALSE()))</f>
        <v/>
      </c>
      <c r="DW242" s="111" t="str">
        <f aca="false">IF($DJ242&gt;$DI$8,"",VLOOKUP($DJ242,$DL$9:$DR$508,5,FALSE()))</f>
        <v/>
      </c>
      <c r="DX242" s="112" t="str">
        <f aca="false">IF($DJ242&gt;$DI$8,"",VLOOKUP($DJ242,$DL$9:$DR$508,6,FALSE()))</f>
        <v/>
      </c>
      <c r="DY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88"/>
      <c r="N243" s="88"/>
      <c r="O243" s="134"/>
      <c r="P243" s="134"/>
      <c r="Q243" s="88"/>
      <c r="R243" s="88"/>
      <c r="S243" s="88"/>
      <c r="T243" s="88"/>
      <c r="U243" s="134"/>
      <c r="V243" s="88"/>
      <c r="W243" s="70"/>
      <c r="X243" s="88"/>
      <c r="Y243" s="88"/>
      <c r="Z243" s="70"/>
      <c r="AA243" s="70"/>
      <c r="AB243" s="88"/>
      <c r="AC243" s="88"/>
      <c r="AD243" s="88"/>
      <c r="AE243" s="71"/>
      <c r="AF243" s="88"/>
      <c r="AG243" s="73"/>
      <c r="AH243" s="74"/>
      <c r="AI243" s="74"/>
      <c r="AJ243" s="74" t="str">
        <f aca="false">IF(ISBLANK($C243),"",IF($E243=Constants!$B$2,TRUE(),IF($E243=Constants!$B$3,FALSE(),TRUE())))</f>
        <v/>
      </c>
      <c r="AK243" s="74" t="str">
        <f aca="false">IF(ISBLANK($C243),"",IF($F243=Constants!$B$2,TRUE(),IF($F243=Constants!$B$3,FALSE(),FALSE())))</f>
        <v/>
      </c>
      <c r="AL243" s="74" t="str">
        <f aca="false">IF(ISBLANK($C243),"",IF($G243=Constants!$B$2,TRUE(),IF($G243=Constants!$B$3,FALSE(),TRUE())))</f>
        <v/>
      </c>
      <c r="AM243" s="74" t="str">
        <f aca="false">IF(ISBLANK($C243),"",IF($H243=Constants!$B$2,TRUE(),IF($H243=Constants!$B$3,FALSE(),TRUE())))</f>
        <v/>
      </c>
      <c r="AN243" s="74" t="str">
        <f aca="false">IF(ISBLANK($C243),"",IF(ISNUMBER($I243),IF($I243&gt;=0,$I243,""),""))</f>
        <v/>
      </c>
      <c r="AO243" s="74" t="str">
        <f aca="false">IF(ISBLANK($C243),"",IF(ISNUMBER($J243),IF($J243&gt;=0,$J243,""),""))</f>
        <v/>
      </c>
      <c r="AP243" s="74" t="str">
        <f aca="false">IF(ISBLANK($C243),"",IF(ISNUMBER($K243),IF($K243&gt;=0,$K243,""),""))</f>
        <v/>
      </c>
      <c r="AQ243" s="74" t="str">
        <f aca="false">IF(ISBLANK($C243),"",IF($L243=Constants!$B$2,TRUE(),IF($L243=Constants!$B$3,FALSE(),TRUE())))</f>
        <v/>
      </c>
      <c r="AR243" s="74" t="str">
        <f aca="false">IF(ISBLANK($C243),"",IF($M243=Constants!$B$2,TRUE(),IF($M243=Constants!$B$3,FALSE(),TRUE())))</f>
        <v/>
      </c>
      <c r="AS243" s="74" t="str">
        <f aca="false">IF(ISBLANK($C243),"",IF($N243=Constants!$B$2,TRUE(),IF($N243=Constants!$B$3,FALSE(),FALSE())))</f>
        <v/>
      </c>
      <c r="AT243" s="74" t="str">
        <f aca="false">IF(ISBLANK($C243),"",IF($O243=Constants!$B$2,TRUE(),IF($O243=Constants!$B$3,FALSE(),TRUE())))</f>
        <v/>
      </c>
      <c r="AU243" s="74" t="str">
        <f aca="false">IF(ISBLANK($C243),"",IF($P243=Constants!$B$2,TRUE(),IF($P243=Constants!$B$3,FALSE(),TRUE())))</f>
        <v/>
      </c>
      <c r="AV243" s="74" t="str">
        <f aca="false">IF(ISBLANK($C243),"",IF($Q243=Constants!$B$2,TRUE(),IF($Q243=Constants!$B$3,FALSE(),FALSE())))</f>
        <v/>
      </c>
      <c r="AW243" s="74" t="str">
        <f aca="false">IF(ISBLANK($C243),"",IF($R243=Constants!$B$2,TRUE(),IF($R243=Constants!$B$3,FALSE(),FALSE())))</f>
        <v/>
      </c>
      <c r="AX243" s="74" t="str">
        <f aca="false">IF(ISBLANK($C243),"",IF($S243=Constants!$B$2,TRUE(),IF($S243=Constants!$B$3,FALSE(),FALSE())))</f>
        <v/>
      </c>
      <c r="AY243" s="74" t="str">
        <f aca="false">IF(ISBLANK($C243),"",IF($T243=Constants!$B$2,TRUE(),IF($T243=Constants!$B$3,FALSE(),FALSE())))</f>
        <v/>
      </c>
      <c r="AZ243" s="74" t="str">
        <f aca="false">IF(ISBLANK($C243),"",IF($U243=Constants!$B$2,TRUE(),IF($U243=Constants!$B$3,FALSE(),FALSE())))</f>
        <v/>
      </c>
      <c r="BA243" s="74" t="str">
        <f aca="false">IF(ISBLANK($C243),"",IF(OR($V243&amp;""="1",$V243&amp;""="2",$V243&amp;""="3",$V243&amp;""="4"),VALUE($V243&amp;""),IF($V243=Constants!$B$12,Constants!$B$12,"")))</f>
        <v/>
      </c>
      <c r="BB243" s="74" t="str">
        <f aca="false">IF(ISBLANK($C243),"",IF(ISBLANK($W243),0,IF(ISNUMBER($W243),IF(AND($W243&gt;=0,$W243&lt;=Constants!$B$21,$W243=INT($W243)),$W243,""),"")))</f>
        <v/>
      </c>
      <c r="BC243" s="74" t="str">
        <f aca="false">IF(ISBLANK($C243),"",IF(ISBLANK($X243),0,IF(ISNUMBER($X243),IF($X243&gt;=0,$X243,""),"")))</f>
        <v/>
      </c>
      <c r="BD243" s="74" t="str">
        <f aca="false">IF(ISBLANK($C243),"",IF($Y243=Constants!$B$2,TRUE(),IF($Y243=Constants!$B$3,FALSE(),TRUE())))</f>
        <v/>
      </c>
      <c r="BE243" s="74" t="str">
        <f aca="false">IF(ISBLANK($C243),"",IF($Z243=Constants!$B$2,TRUE(),IF($Z243=Constants!$B$3,FALSE(),FALSE())))</f>
        <v/>
      </c>
      <c r="BF243" s="74" t="str">
        <f aca="false">IF(ISBLANK($C243),"",IF(ISBLANK($AA243),0,IF(ISNUMBER($AA243),IF(AND($AA243&gt;=0,$AA243&lt;=Constants!$B$35,$AA243=INT($AA243)),$AA243,""),"")))</f>
        <v/>
      </c>
      <c r="BG243" s="74" t="str">
        <f aca="false">IF(ISBLANK($C243),"",IF($AB243=Constants!$B$2,TRUE(),IF($AB243=Constants!$B$3,FALSE(),TRUE())))</f>
        <v/>
      </c>
      <c r="BH243" s="74" t="str">
        <f aca="false">IF(ISBLANK($C243),"",IF($AC243=Constants!$B$2,TRUE(),IF($AC243=Constants!$B$3,FALSE(),TRUE())))</f>
        <v/>
      </c>
      <c r="BI243" s="74" t="str">
        <f aca="false">IF(ISBLANK($C243),"",IF($AD243=Constants!$B$2,TRUE(),IF($AD243=Constants!$B$3,FALSE(),TRUE())))</f>
        <v/>
      </c>
      <c r="BJ243" s="74" t="str">
        <f aca="false">IF(ISBLANK($C243),"",IF(ISNUMBER($AE243),IF($AE243&gt;=0,$AE243,""),""))</f>
        <v/>
      </c>
      <c r="BK243" s="74" t="str">
        <f aca="false">IF(ISBLANK($C243),"",IF($AF243=Constants!$B$2,TRUE(),IF($AF243=Constants!$B$3,FALSE(),FALSE())))</f>
        <v/>
      </c>
      <c r="BL243" s="73" t="str">
        <f aca="false">IF(ISBLANK($C243),"",IF($BK243,Constants!$B$7,IF(COUNTA($E243:$AE243)=0,Constants!$B$6,IF(OR(COUNTA($G243:$AE243)=0,NOT($AM243),$AS243),Constants!$B$5,IF(OR($CM243&lt;&gt;"",$CN243,$CO243,$CP243,$CQ243,$CR243,$CS243),Constants!$B$8,Constants!$B$4)))))</f>
        <v/>
      </c>
      <c r="BM243" s="74" t="str">
        <f aca="false">IF(ISBLANK($C243),"",IF($BL243&lt;&gt;Constants!$B$4,$BL243,IF(OR(NOT($AJ243),NOT($AL243),NOT($AT243)),Constants!$B$11,IF(OR(NOT($AR243),NOT($AU243),NOT($BI243),MAX($AN243,$AO243,$AP243)&gt;Constants!$B$30),Constants!$B$10,Constants!$B$9))))</f>
        <v/>
      </c>
      <c r="BN243" s="74" t="str">
        <f aca="false">IF($BL243&lt;&gt;Constants!$B$4,"",IF(NOT($AL243),0,MIN(Constants!$B$35,$BF243)))</f>
        <v/>
      </c>
      <c r="BO243" s="74" t="str">
        <f aca="false">IF($BL243&lt;&gt;Constants!$B$4,"",IF(NOT($AL243),0,IF($AW243,Constants!$B$18,IF($AV243,Constants!$B$17,0))))</f>
        <v/>
      </c>
      <c r="BP243" s="74" t="str">
        <f aca="false">IF($BL243&lt;&gt;Constants!$B$4,"",IF(NOT($AL243),0,Constants!$B$19*($AK243+$AX243+$AY243+$AZ243)))</f>
        <v/>
      </c>
      <c r="BQ243" s="74" t="str">
        <f aca="false">IF($BL243&lt;&gt;Constants!$B$4,"",IF(OR(NOT($AL243),NOT(ISNUMBER($BA243))),0,CHOOSE($BA243,Constants!$B$13,Constants!$B$14,Constants!$B$15,Constants!$B$16)))</f>
        <v/>
      </c>
      <c r="BR243" s="74" t="str">
        <f aca="false">IF($BL243&lt;&gt;Constants!$B$4,"",IF(NOT($AL243),0,Constants!$B$20*$BB243))</f>
        <v/>
      </c>
      <c r="BS243" s="74" t="str">
        <f aca="false">IF($BL243&lt;&gt;Constants!$B$4,"",IF(AND($AL243,$BD243,$BE243),Constants!$B$22,0))</f>
        <v/>
      </c>
      <c r="BT243" s="74" t="str">
        <f aca="false">IF($BL243&lt;&gt;Constants!$B$4,"",IF(OR(NOT($AL243),NOT($BD243)),0,IF($BJ243&gt;=2*$AH$9,0,Constants!$B$23*INT(ROUND(MIN($BJ243,$AH$9),6)))))</f>
        <v/>
      </c>
      <c r="BU243" s="74" t="str">
        <f aca="false">IF($BL243&lt;&gt;Constants!$B$4,"",IF(NOT($AL243),0,Constants!$B$24*INT(ROUND(MIN($BC243,$AH$9),6))))</f>
        <v/>
      </c>
      <c r="BV243" s="74" t="str">
        <f aca="false">IF($BL243&lt;&gt;Constants!$B$4,"",IF(AND($AL243,$BN243=0),Constants!$B$25,0))</f>
        <v/>
      </c>
      <c r="BW243" s="74" t="str">
        <f aca="false">IF($BL243&lt;&gt;Constants!$B$4,"",MIN(Constants!$B$29,MAX(0,Constants!$B$27*Constants!$B$28*INT(ROUND((Constants!$B$26-$AN243)/Constants!$B$28,6))))+MIN(Constants!$B$29,MAX(0,Constants!$B$27*Constants!$B$28*INT(ROUND((Constants!$B$26-$AO243)/Constants!$B$28,6))))+MIN(Constants!$B$29,MAX(0,Constants!$B$27*Constants!$B$28*INT(ROUND((Constants!$B$26-$AP243)/Constants!$B$28,6)))))</f>
        <v/>
      </c>
      <c r="BX243" s="74" t="str">
        <f aca="false">IF($BL243&lt;&gt;Constants!$B$4,"",IF(NOT($AL243),0,Constants!$B$31*INT(ROUND(MAX(0,MIN($BJ243,2*$AH$9)-$AH$9),6))))</f>
        <v/>
      </c>
      <c r="BY243" s="74" t="str">
        <f aca="false">IF($BL243&lt;&gt;Constants!$B$4,"",Constants!$B$32*(($AN243&gt;Constants!$B$26)+($AO243&gt;Constants!$B$26)+($AP243&gt;Constants!$B$26)))</f>
        <v/>
      </c>
      <c r="BZ243" s="74" t="str">
        <f aca="false">IF($BL243&lt;&gt;Constants!$B$4,"",IF(OR(NOT($AL243),$AQ243),0,Constants!$B$33))</f>
        <v/>
      </c>
      <c r="CA243" s="74" t="str">
        <f aca="false">IF($BL243&lt;&gt;Constants!$B$4,"",Constants!$B$34*$BN243)</f>
        <v/>
      </c>
      <c r="CB243" s="74" t="str">
        <f aca="false">IF($BL243&lt;&gt;Constants!$B$4,"",IF(OR(NOT($AL243),$BH243),0,Constants!$B$36))</f>
        <v/>
      </c>
      <c r="CC243" s="74" t="str">
        <f aca="false">IF($BL243&lt;&gt;Constants!$B$4,"",IF(OR(NOT($AL243),$BG243),0,Constants!$B$37))</f>
        <v/>
      </c>
      <c r="CD243" s="74" t="str">
        <f aca="false">IF($BL243&lt;&gt;Constants!$B$4,"",SUM($BX243:$CC243))</f>
        <v/>
      </c>
      <c r="CE243" s="74" t="str">
        <f aca="false">IF(ISBLANK($C243),"",IF($BL243&lt;&gt;Constants!$B$4,$BL243,SUM($BO243:$BW243)-$CD243))</f>
        <v/>
      </c>
      <c r="CF243" s="74" t="str">
        <f aca="false">IF(ISBLANK($C243),"",IF($BL243&lt;&gt;Constants!$B$4,$BL243,RANK($CE243,$CE$9:$CE$508)))</f>
        <v/>
      </c>
      <c r="CG243" s="74" t="str">
        <f aca="false">IF(ISBLANK($C243),"",IF($BL243&lt;&gt;Constants!$B$4,$BL243,COUNTIFS($BM$9:$BM$508,"&lt;"&amp;$BM243)+COUNTIFS($BM$9:$BM$508,$BM243,$CF$9:$CF$508,"&lt;"&amp;$CF243)+1))</f>
        <v/>
      </c>
      <c r="CH243" s="74" t="str">
        <f aca="false">IF(ISBLANK($C243),"",IF($BL243&lt;&gt;Constants!$B$4,$BL243,RANK($CD243,$CD$9:$CD$508,1)))</f>
        <v/>
      </c>
      <c r="CI243" s="74" t="str">
        <f aca="false">IF($BL243&lt;&gt;Constants!$B$4,"",$AN243+$AO243+$AP243)</f>
        <v/>
      </c>
      <c r="CJ243" s="74" t="str">
        <f aca="false">IF(ISBLANK($C243),"",IF($BL243&lt;&gt;Constants!$B$4,$BL243,RANK($CI243,$CI$9:$CI$508,1)))</f>
        <v/>
      </c>
      <c r="CK243" s="74" t="str">
        <f aca="false">IF(ISBLANK($C243),"",IF($BL243&lt;&gt;Constants!$B$4,$BL243,COUNTIFS($BM$9:$BM$508,"&lt;"&amp;$BM243)+COUNTIFS($BM$9:$BM$508,$BM243,$CF$9:$CF$508,"&lt;"&amp;$CF243)+COUNTIFS($BM$9:$BM$508,$BM243,$CF$9:$CF$508,$CF243,$CH$9:$CH$508,"&lt;"&amp;$CH243)+COUNTIFS($BM$9:$BM$508,$BM243,$CF$9:$CF$508,$CF243,$CH$9:$CH$508,$CH243,$CJ$9:$CJ$508,"&lt;"&amp;$CJ243)+1))</f>
        <v/>
      </c>
      <c r="CL243" s="74" t="str">
        <f aca="false">IF(ISBLANK($C243),"",IF($BL243&lt;&gt;Constants!$B$4,$BL243,$CG243-$CK243))</f>
        <v/>
      </c>
      <c r="CM243" s="74" t="str">
        <f aca="false">IF(ISBLANK($C243),"",IF(NOT($AL243),"",IF(ISBLANK($D$7),$CM$5,IF(NOT(ISNUMBER($D$7)),$CM$6,""))))</f>
        <v/>
      </c>
      <c r="CN243" s="74" t="str">
        <f aca="false">IF(ISBLANK($C243),"",OR($AN243="",$AO243="",$AP243=""))</f>
        <v/>
      </c>
      <c r="CO243" s="74" t="str">
        <f aca="false">IF(ISBLANK($C243),"",AND($AL243,$BA243=""))</f>
        <v/>
      </c>
      <c r="CP243" s="74" t="str">
        <f aca="false">IF(ISBLANK($C243),"",AND($AL243,$BB243=""))</f>
        <v/>
      </c>
      <c r="CQ243" s="74" t="str">
        <f aca="false">IF(ISBLANK($C243),"",AND($AL243,$BC243=""))</f>
        <v/>
      </c>
      <c r="CR243" s="74" t="str">
        <f aca="false">IF(ISBLANK($C243),"",AND($AL243,$BF243=""))</f>
        <v/>
      </c>
      <c r="CS243" s="74" t="str">
        <f aca="false">IF(ISBLANK($C243),"",AND($AL243,$BJ243=""))</f>
        <v/>
      </c>
      <c r="CT243" s="75"/>
      <c r="CU243" s="76"/>
      <c r="CV243" s="79" t="str">
        <f aca="false">IF(ISBLANK($C243),"",IF($BL243=Constants!$B$8,$CM243,""))</f>
        <v/>
      </c>
      <c r="CW243" s="76" t="str">
        <f aca="false">IF(ISBLANK($C243),"",IF($BL243&lt;&gt;Constants!$B$4,"",$BO243+$BP243))</f>
        <v/>
      </c>
      <c r="CX243" s="78" t="str">
        <f aca="false">IF(ISBLANK($C243),"",IF($BL243&lt;&gt;Constants!$B$4,"",$BQ243+$BR243+$BS243))</f>
        <v/>
      </c>
      <c r="CY243" s="78" t="str">
        <f aca="false">IF(ISBLANK($C243),"",IF($BL243&lt;&gt;Constants!$B$4,"",$BT243))</f>
        <v/>
      </c>
      <c r="CZ243" s="78" t="str">
        <f aca="false">IF(ISBLANK($C243),"",IF($BL243&lt;&gt;Constants!$B$4,"",$BU243+$BV243))</f>
        <v/>
      </c>
      <c r="DA243" s="78" t="str">
        <f aca="false">IF(ISBLANK($C243),"",IF($BL243&lt;&gt;Constants!$B$4,"",$BW243))</f>
        <v/>
      </c>
      <c r="DB243" s="78" t="str">
        <f aca="false">IF(ISBLANK($C243),"",IF($BL243&lt;&gt;Constants!$B$4,"",-$CD243))</f>
        <v/>
      </c>
      <c r="DC243" s="79" t="str">
        <f aca="false">IF(ISBLANK($C243),"",$CE243)</f>
        <v/>
      </c>
      <c r="DD243" s="80" t="str">
        <f aca="false">IF(ISBLANK($C243),"",$BM243)</f>
        <v/>
      </c>
      <c r="DE243" s="78" t="str">
        <f aca="false">IF(ISBLANK($C243),"",$CL243)</f>
        <v/>
      </c>
      <c r="DF243" s="78" t="str">
        <f aca="false">IF(ISBLANK($C243),"",$CK243)</f>
        <v/>
      </c>
      <c r="DG243" s="81" t="str">
        <f aca="false">IF(ISBLANK($C243),"",IF($DF243=Constants!$B$7,COUNTA($C$9:$C$508)+2,IF($DF243=Constants!$B$6,COUNTA($C$9:$C$508)+1,IF($DF243=Constants!$B$5,COUNTA($C$9:$C$508),$DF243))))</f>
        <v/>
      </c>
      <c r="DH243" s="7"/>
      <c r="DI243" s="82" t="n">
        <f aca="false">IF(OR(ISNUMBER($DF243),$DF243=Constants!$B$7,$DF243=Constants!$B$5,$DF243=Constants!$B$6),1,0)</f>
        <v>0</v>
      </c>
      <c r="DJ243" s="82" t="n">
        <v>235</v>
      </c>
      <c r="DK243" s="82" t="str">
        <f aca="false">IF(ISBLANK($C243),"",IF(ISNUMBER($DG243),$DG243+ROW($B243)/1000,""))</f>
        <v/>
      </c>
      <c r="DL243" s="82" t="str">
        <f aca="false">IF(ISNUMBER($DK243),RANK($DK243,$DK$9:$DK$508,1),"")</f>
        <v/>
      </c>
      <c r="DM243" s="82" t="str">
        <f aca="false">IF(ISBLANK($C243),"",$B243)</f>
        <v/>
      </c>
      <c r="DN243" s="82" t="str">
        <f aca="false">IF(ISBLANK($C243),"",$C243)</f>
        <v/>
      </c>
      <c r="DO243" s="82" t="str">
        <f aca="false">IF(ISBLANK($C243),"",$D243)</f>
        <v/>
      </c>
      <c r="DP243" s="83" t="str">
        <f aca="false">$DD243</f>
        <v/>
      </c>
      <c r="DQ243" s="84" t="str">
        <f aca="false">$DC243</f>
        <v/>
      </c>
      <c r="DR243" s="82" t="str">
        <f aca="false">IF(ISBLANK($C243),"",$DF243)</f>
        <v/>
      </c>
      <c r="DS243" s="85" t="str">
        <f aca="false">IF($DJ243&gt;$DI$8,"",VLOOKUP($DJ243,$DL$9:$DR$508,7,FALSE()))</f>
        <v/>
      </c>
      <c r="DT243" s="86" t="str">
        <f aca="false">IF($DJ243&gt;$DI$8,"",VLOOKUP($DJ243,$DL$9:$DR$508,2,FALSE()))</f>
        <v/>
      </c>
      <c r="DU243" s="86" t="str">
        <f aca="false">IF($DJ243&gt;$DI$8,"",VLOOKUP($DJ243,$DL$9:$DR$508,3,FALSE()))</f>
        <v/>
      </c>
      <c r="DV243" s="86" t="str">
        <f aca="false">IF($DJ243&gt;$DI$8,"",VLOOKUP($DJ243,$DL$9:$DR$508,4,FALSE()))</f>
        <v/>
      </c>
      <c r="DW243" s="86" t="str">
        <f aca="false">IF($DJ243&gt;$DI$8,"",VLOOKUP($DJ243,$DL$9:$DR$508,5,FALSE()))</f>
        <v/>
      </c>
      <c r="DX243" s="87" t="str">
        <f aca="false">IF($DJ243&gt;$DI$8,"",VLOOKUP($DJ243,$DL$9:$DR$508,6,FALSE()))</f>
        <v/>
      </c>
      <c r="DY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88"/>
      <c r="N244" s="88"/>
      <c r="O244" s="134"/>
      <c r="P244" s="134"/>
      <c r="Q244" s="88"/>
      <c r="R244" s="88"/>
      <c r="S244" s="88"/>
      <c r="T244" s="88"/>
      <c r="U244" s="134"/>
      <c r="V244" s="88"/>
      <c r="W244" s="70"/>
      <c r="X244" s="88"/>
      <c r="Y244" s="88"/>
      <c r="Z244" s="70"/>
      <c r="AA244" s="70"/>
      <c r="AB244" s="88"/>
      <c r="AC244" s="88"/>
      <c r="AD244" s="88"/>
      <c r="AE244" s="71"/>
      <c r="AF244" s="88"/>
      <c r="AG244" s="73"/>
      <c r="AH244" s="74"/>
      <c r="AI244" s="74"/>
      <c r="AJ244" s="74" t="str">
        <f aca="false">IF(ISBLANK($C244),"",IF($E244=Constants!$B$2,TRUE(),IF($E244=Constants!$B$3,FALSE(),TRUE())))</f>
        <v/>
      </c>
      <c r="AK244" s="74" t="str">
        <f aca="false">IF(ISBLANK($C244),"",IF($F244=Constants!$B$2,TRUE(),IF($F244=Constants!$B$3,FALSE(),FALSE())))</f>
        <v/>
      </c>
      <c r="AL244" s="74" t="str">
        <f aca="false">IF(ISBLANK($C244),"",IF($G244=Constants!$B$2,TRUE(),IF($G244=Constants!$B$3,FALSE(),TRUE())))</f>
        <v/>
      </c>
      <c r="AM244" s="74" t="str">
        <f aca="false">IF(ISBLANK($C244),"",IF($H244=Constants!$B$2,TRUE(),IF($H244=Constants!$B$3,FALSE(),TRUE())))</f>
        <v/>
      </c>
      <c r="AN244" s="74" t="str">
        <f aca="false">IF(ISBLANK($C244),"",IF(ISNUMBER($I244),IF($I244&gt;=0,$I244,""),""))</f>
        <v/>
      </c>
      <c r="AO244" s="74" t="str">
        <f aca="false">IF(ISBLANK($C244),"",IF(ISNUMBER($J244),IF($J244&gt;=0,$J244,""),""))</f>
        <v/>
      </c>
      <c r="AP244" s="74" t="str">
        <f aca="false">IF(ISBLANK($C244),"",IF(ISNUMBER($K244),IF($K244&gt;=0,$K244,""),""))</f>
        <v/>
      </c>
      <c r="AQ244" s="74" t="str">
        <f aca="false">IF(ISBLANK($C244),"",IF($L244=Constants!$B$2,TRUE(),IF($L244=Constants!$B$3,FALSE(),TRUE())))</f>
        <v/>
      </c>
      <c r="AR244" s="74" t="str">
        <f aca="false">IF(ISBLANK($C244),"",IF($M244=Constants!$B$2,TRUE(),IF($M244=Constants!$B$3,FALSE(),TRUE())))</f>
        <v/>
      </c>
      <c r="AS244" s="74" t="str">
        <f aca="false">IF(ISBLANK($C244),"",IF($N244=Constants!$B$2,TRUE(),IF($N244=Constants!$B$3,FALSE(),FALSE())))</f>
        <v/>
      </c>
      <c r="AT244" s="74" t="str">
        <f aca="false">IF(ISBLANK($C244),"",IF($O244=Constants!$B$2,TRUE(),IF($O244=Constants!$B$3,FALSE(),TRUE())))</f>
        <v/>
      </c>
      <c r="AU244" s="74" t="str">
        <f aca="false">IF(ISBLANK($C244),"",IF($P244=Constants!$B$2,TRUE(),IF($P244=Constants!$B$3,FALSE(),TRUE())))</f>
        <v/>
      </c>
      <c r="AV244" s="74" t="str">
        <f aca="false">IF(ISBLANK($C244),"",IF($Q244=Constants!$B$2,TRUE(),IF($Q244=Constants!$B$3,FALSE(),FALSE())))</f>
        <v/>
      </c>
      <c r="AW244" s="74" t="str">
        <f aca="false">IF(ISBLANK($C244),"",IF($R244=Constants!$B$2,TRUE(),IF($R244=Constants!$B$3,FALSE(),FALSE())))</f>
        <v/>
      </c>
      <c r="AX244" s="74" t="str">
        <f aca="false">IF(ISBLANK($C244),"",IF($S244=Constants!$B$2,TRUE(),IF($S244=Constants!$B$3,FALSE(),FALSE())))</f>
        <v/>
      </c>
      <c r="AY244" s="74" t="str">
        <f aca="false">IF(ISBLANK($C244),"",IF($T244=Constants!$B$2,TRUE(),IF($T244=Constants!$B$3,FALSE(),FALSE())))</f>
        <v/>
      </c>
      <c r="AZ244" s="74" t="str">
        <f aca="false">IF(ISBLANK($C244),"",IF($U244=Constants!$B$2,TRUE(),IF($U244=Constants!$B$3,FALSE(),FALSE())))</f>
        <v/>
      </c>
      <c r="BA244" s="74" t="str">
        <f aca="false">IF(ISBLANK($C244),"",IF(OR($V244&amp;""="1",$V244&amp;""="2",$V244&amp;""="3",$V244&amp;""="4"),VALUE($V244&amp;""),IF($V244=Constants!$B$12,Constants!$B$12,"")))</f>
        <v/>
      </c>
      <c r="BB244" s="74" t="str">
        <f aca="false">IF(ISBLANK($C244),"",IF(ISBLANK($W244),0,IF(ISNUMBER($W244),IF(AND($W244&gt;=0,$W244&lt;=Constants!$B$21,$W244=INT($W244)),$W244,""),"")))</f>
        <v/>
      </c>
      <c r="BC244" s="74" t="str">
        <f aca="false">IF(ISBLANK($C244),"",IF(ISBLANK($X244),0,IF(ISNUMBER($X244),IF($X244&gt;=0,$X244,""),"")))</f>
        <v/>
      </c>
      <c r="BD244" s="74" t="str">
        <f aca="false">IF(ISBLANK($C244),"",IF($Y244=Constants!$B$2,TRUE(),IF($Y244=Constants!$B$3,FALSE(),TRUE())))</f>
        <v/>
      </c>
      <c r="BE244" s="74" t="str">
        <f aca="false">IF(ISBLANK($C244),"",IF($Z244=Constants!$B$2,TRUE(),IF($Z244=Constants!$B$3,FALSE(),FALSE())))</f>
        <v/>
      </c>
      <c r="BF244" s="74" t="str">
        <f aca="false">IF(ISBLANK($C244),"",IF(ISBLANK($AA244),0,IF(ISNUMBER($AA244),IF(AND($AA244&gt;=0,$AA244&lt;=Constants!$B$35,$AA244=INT($AA244)),$AA244,""),"")))</f>
        <v/>
      </c>
      <c r="BG244" s="74" t="str">
        <f aca="false">IF(ISBLANK($C244),"",IF($AB244=Constants!$B$2,TRUE(),IF($AB244=Constants!$B$3,FALSE(),TRUE())))</f>
        <v/>
      </c>
      <c r="BH244" s="74" t="str">
        <f aca="false">IF(ISBLANK($C244),"",IF($AC244=Constants!$B$2,TRUE(),IF($AC244=Constants!$B$3,FALSE(),TRUE())))</f>
        <v/>
      </c>
      <c r="BI244" s="74" t="str">
        <f aca="false">IF(ISBLANK($C244),"",IF($AD244=Constants!$B$2,TRUE(),IF($AD244=Constants!$B$3,FALSE(),TRUE())))</f>
        <v/>
      </c>
      <c r="BJ244" s="74" t="str">
        <f aca="false">IF(ISBLANK($C244),"",IF(ISNUMBER($AE244),IF($AE244&gt;=0,$AE244,""),""))</f>
        <v/>
      </c>
      <c r="BK244" s="74" t="str">
        <f aca="false">IF(ISBLANK($C244),"",IF($AF244=Constants!$B$2,TRUE(),IF($AF244=Constants!$B$3,FALSE(),FALSE())))</f>
        <v/>
      </c>
      <c r="BL244" s="73" t="str">
        <f aca="false">IF(ISBLANK($C244),"",IF($BK244,Constants!$B$7,IF(COUNTA($E244:$AE244)=0,Constants!$B$6,IF(OR(COUNTA($G244:$AE244)=0,NOT($AM244),$AS244),Constants!$B$5,IF(OR($CM244&lt;&gt;"",$CN244,$CO244,$CP244,$CQ244,$CR244,$CS244),Constants!$B$8,Constants!$B$4)))))</f>
        <v/>
      </c>
      <c r="BM244" s="74" t="str">
        <f aca="false">IF(ISBLANK($C244),"",IF($BL244&lt;&gt;Constants!$B$4,$BL244,IF(OR(NOT($AJ244),NOT($AL244),NOT($AT244)),Constants!$B$11,IF(OR(NOT($AR244),NOT($AU244),NOT($BI244),MAX($AN244,$AO244,$AP244)&gt;Constants!$B$30),Constants!$B$10,Constants!$B$9))))</f>
        <v/>
      </c>
      <c r="BN244" s="74" t="str">
        <f aca="false">IF($BL244&lt;&gt;Constants!$B$4,"",IF(NOT($AL244),0,MIN(Constants!$B$35,$BF244)))</f>
        <v/>
      </c>
      <c r="BO244" s="74" t="str">
        <f aca="false">IF($BL244&lt;&gt;Constants!$B$4,"",IF(NOT($AL244),0,IF($AW244,Constants!$B$18,IF($AV244,Constants!$B$17,0))))</f>
        <v/>
      </c>
      <c r="BP244" s="74" t="str">
        <f aca="false">IF($BL244&lt;&gt;Constants!$B$4,"",IF(NOT($AL244),0,Constants!$B$19*($AK244+$AX244+$AY244+$AZ244)))</f>
        <v/>
      </c>
      <c r="BQ244" s="74" t="str">
        <f aca="false">IF($BL244&lt;&gt;Constants!$B$4,"",IF(OR(NOT($AL244),NOT(ISNUMBER($BA244))),0,CHOOSE($BA244,Constants!$B$13,Constants!$B$14,Constants!$B$15,Constants!$B$16)))</f>
        <v/>
      </c>
      <c r="BR244" s="74" t="str">
        <f aca="false">IF($BL244&lt;&gt;Constants!$B$4,"",IF(NOT($AL244),0,Constants!$B$20*$BB244))</f>
        <v/>
      </c>
      <c r="BS244" s="74" t="str">
        <f aca="false">IF($BL244&lt;&gt;Constants!$B$4,"",IF(AND($AL244,$BD244,$BE244),Constants!$B$22,0))</f>
        <v/>
      </c>
      <c r="BT244" s="74" t="str">
        <f aca="false">IF($BL244&lt;&gt;Constants!$B$4,"",IF(OR(NOT($AL244),NOT($BD244)),0,IF($BJ244&gt;=2*$AH$9,0,Constants!$B$23*INT(ROUND(MIN($BJ244,$AH$9),6)))))</f>
        <v/>
      </c>
      <c r="BU244" s="74" t="str">
        <f aca="false">IF($BL244&lt;&gt;Constants!$B$4,"",IF(NOT($AL244),0,Constants!$B$24*INT(ROUND(MIN($BC244,$AH$9),6))))</f>
        <v/>
      </c>
      <c r="BV244" s="74" t="str">
        <f aca="false">IF($BL244&lt;&gt;Constants!$B$4,"",IF(AND($AL244,$BN244=0),Constants!$B$25,0))</f>
        <v/>
      </c>
      <c r="BW244" s="74" t="str">
        <f aca="false">IF($BL244&lt;&gt;Constants!$B$4,"",MIN(Constants!$B$29,MAX(0,Constants!$B$27*Constants!$B$28*INT(ROUND((Constants!$B$26-$AN244)/Constants!$B$28,6))))+MIN(Constants!$B$29,MAX(0,Constants!$B$27*Constants!$B$28*INT(ROUND((Constants!$B$26-$AO244)/Constants!$B$28,6))))+MIN(Constants!$B$29,MAX(0,Constants!$B$27*Constants!$B$28*INT(ROUND((Constants!$B$26-$AP244)/Constants!$B$28,6)))))</f>
        <v/>
      </c>
      <c r="BX244" s="74" t="str">
        <f aca="false">IF($BL244&lt;&gt;Constants!$B$4,"",IF(NOT($AL244),0,Constants!$B$31*INT(ROUND(MAX(0,MIN($BJ244,2*$AH$9)-$AH$9),6))))</f>
        <v/>
      </c>
      <c r="BY244" s="74" t="str">
        <f aca="false">IF($BL244&lt;&gt;Constants!$B$4,"",Constants!$B$32*(($AN244&gt;Constants!$B$26)+($AO244&gt;Constants!$B$26)+($AP244&gt;Constants!$B$26)))</f>
        <v/>
      </c>
      <c r="BZ244" s="74" t="str">
        <f aca="false">IF($BL244&lt;&gt;Constants!$B$4,"",IF(OR(NOT($AL244),$AQ244),0,Constants!$B$33))</f>
        <v/>
      </c>
      <c r="CA244" s="74" t="str">
        <f aca="false">IF($BL244&lt;&gt;Constants!$B$4,"",Constants!$B$34*$BN244)</f>
        <v/>
      </c>
      <c r="CB244" s="74" t="str">
        <f aca="false">IF($BL244&lt;&gt;Constants!$B$4,"",IF(OR(NOT($AL244),$BH244),0,Constants!$B$36))</f>
        <v/>
      </c>
      <c r="CC244" s="74" t="str">
        <f aca="false">IF($BL244&lt;&gt;Constants!$B$4,"",IF(OR(NOT($AL244),$BG244),0,Constants!$B$37))</f>
        <v/>
      </c>
      <c r="CD244" s="74" t="str">
        <f aca="false">IF($BL244&lt;&gt;Constants!$B$4,"",SUM($BX244:$CC244))</f>
        <v/>
      </c>
      <c r="CE244" s="74" t="str">
        <f aca="false">IF(ISBLANK($C244),"",IF($BL244&lt;&gt;Constants!$B$4,$BL244,SUM($BO244:$BW244)-$CD244))</f>
        <v/>
      </c>
      <c r="CF244" s="74" t="str">
        <f aca="false">IF(ISBLANK($C244),"",IF($BL244&lt;&gt;Constants!$B$4,$BL244,RANK($CE244,$CE$9:$CE$508)))</f>
        <v/>
      </c>
      <c r="CG244" s="74" t="str">
        <f aca="false">IF(ISBLANK($C244),"",IF($BL244&lt;&gt;Constants!$B$4,$BL244,COUNTIFS($BM$9:$BM$508,"&lt;"&amp;$BM244)+COUNTIFS($BM$9:$BM$508,$BM244,$CF$9:$CF$508,"&lt;"&amp;$CF244)+1))</f>
        <v/>
      </c>
      <c r="CH244" s="74" t="str">
        <f aca="false">IF(ISBLANK($C244),"",IF($BL244&lt;&gt;Constants!$B$4,$BL244,RANK($CD244,$CD$9:$CD$508,1)))</f>
        <v/>
      </c>
      <c r="CI244" s="74" t="str">
        <f aca="false">IF($BL244&lt;&gt;Constants!$B$4,"",$AN244+$AO244+$AP244)</f>
        <v/>
      </c>
      <c r="CJ244" s="74" t="str">
        <f aca="false">IF(ISBLANK($C244),"",IF($BL244&lt;&gt;Constants!$B$4,$BL244,RANK($CI244,$CI$9:$CI$508,1)))</f>
        <v/>
      </c>
      <c r="CK244" s="74" t="str">
        <f aca="false">IF(ISBLANK($C244),"",IF($BL244&lt;&gt;Constants!$B$4,$BL244,COUNTIFS($BM$9:$BM$508,"&lt;"&amp;$BM244)+COUNTIFS($BM$9:$BM$508,$BM244,$CF$9:$CF$508,"&lt;"&amp;$CF244)+COUNTIFS($BM$9:$BM$508,$BM244,$CF$9:$CF$508,$CF244,$CH$9:$CH$508,"&lt;"&amp;$CH244)+COUNTIFS($BM$9:$BM$508,$BM244,$CF$9:$CF$508,$CF244,$CH$9:$CH$508,$CH244,$CJ$9:$CJ$508,"&lt;"&amp;$CJ244)+1))</f>
        <v/>
      </c>
      <c r="CL244" s="74" t="str">
        <f aca="false">IF(ISBLANK($C244),"",IF($BL244&lt;&gt;Constants!$B$4,$BL244,$CG244-$CK244))</f>
        <v/>
      </c>
      <c r="CM244" s="74" t="str">
        <f aca="false">IF(ISBLANK($C244),"",IF(NOT($AL244),"",IF(ISBLANK($D$7),$CM$5,IF(NOT(ISNUMBER($D$7)),$CM$6,""))))</f>
        <v/>
      </c>
      <c r="CN244" s="74" t="str">
        <f aca="false">IF(ISBLANK($C244),"",OR($AN244="",$AO244="",$AP244=""))</f>
        <v/>
      </c>
      <c r="CO244" s="74" t="str">
        <f aca="false">IF(ISBLANK($C244),"",AND($AL244,$BA244=""))</f>
        <v/>
      </c>
      <c r="CP244" s="74" t="str">
        <f aca="false">IF(ISBLANK($C244),"",AND($AL244,$BB244=""))</f>
        <v/>
      </c>
      <c r="CQ244" s="74" t="str">
        <f aca="false">IF(ISBLANK($C244),"",AND($AL244,$BC244=""))</f>
        <v/>
      </c>
      <c r="CR244" s="74" t="str">
        <f aca="false">IF(ISBLANK($C244),"",AND($AL244,$BF244=""))</f>
        <v/>
      </c>
      <c r="CS244" s="74" t="str">
        <f aca="false">IF(ISBLANK($C244),"",AND($AL244,$BJ244=""))</f>
        <v/>
      </c>
      <c r="CT244" s="75"/>
      <c r="CU244" s="76"/>
      <c r="CV244" s="79" t="str">
        <f aca="false">IF(ISBLANK($C244),"",IF($BL244=Constants!$B$8,$CM244,""))</f>
        <v/>
      </c>
      <c r="CW244" s="76" t="str">
        <f aca="false">IF(ISBLANK($C244),"",IF($BL244&lt;&gt;Constants!$B$4,"",$BO244+$BP244))</f>
        <v/>
      </c>
      <c r="CX244" s="78" t="str">
        <f aca="false">IF(ISBLANK($C244),"",IF($BL244&lt;&gt;Constants!$B$4,"",$BQ244+$BR244+$BS244))</f>
        <v/>
      </c>
      <c r="CY244" s="78" t="str">
        <f aca="false">IF(ISBLANK($C244),"",IF($BL244&lt;&gt;Constants!$B$4,"",$BT244))</f>
        <v/>
      </c>
      <c r="CZ244" s="78" t="str">
        <f aca="false">IF(ISBLANK($C244),"",IF($BL244&lt;&gt;Constants!$B$4,"",$BU244+$BV244))</f>
        <v/>
      </c>
      <c r="DA244" s="78" t="str">
        <f aca="false">IF(ISBLANK($C244),"",IF($BL244&lt;&gt;Constants!$B$4,"",$BW244))</f>
        <v/>
      </c>
      <c r="DB244" s="78" t="str">
        <f aca="false">IF(ISBLANK($C244),"",IF($BL244&lt;&gt;Constants!$B$4,"",-$CD244))</f>
        <v/>
      </c>
      <c r="DC244" s="79" t="str">
        <f aca="false">IF(ISBLANK($C244),"",$CE244)</f>
        <v/>
      </c>
      <c r="DD244" s="80" t="str">
        <f aca="false">IF(ISBLANK($C244),"",$BM244)</f>
        <v/>
      </c>
      <c r="DE244" s="78" t="str">
        <f aca="false">IF(ISBLANK($C244),"",$CL244)</f>
        <v/>
      </c>
      <c r="DF244" s="78" t="str">
        <f aca="false">IF(ISBLANK($C244),"",$CK244)</f>
        <v/>
      </c>
      <c r="DG244" s="81" t="str">
        <f aca="false">IF(ISBLANK($C244),"",IF($DF244=Constants!$B$7,COUNTA($C$9:$C$508)+2,IF($DF244=Constants!$B$6,COUNTA($C$9:$C$508)+1,IF($DF244=Constants!$B$5,COUNTA($C$9:$C$508),$DF244))))</f>
        <v/>
      </c>
      <c r="DH244" s="7"/>
      <c r="DI244" s="82" t="n">
        <f aca="false">IF(OR(ISNUMBER($DF244),$DF244=Constants!$B$7,$DF244=Constants!$B$5,$DF244=Constants!$B$6),1,0)</f>
        <v>0</v>
      </c>
      <c r="DJ244" s="82" t="n">
        <v>236</v>
      </c>
      <c r="DK244" s="82" t="str">
        <f aca="false">IF(ISBLANK($C244),"",IF(ISNUMBER($DG244),$DG244+ROW($B244)/1000,""))</f>
        <v/>
      </c>
      <c r="DL244" s="82" t="str">
        <f aca="false">IF(ISNUMBER($DK244),RANK($DK244,$DK$9:$DK$508,1),"")</f>
        <v/>
      </c>
      <c r="DM244" s="82" t="str">
        <f aca="false">IF(ISBLANK($C244),"",$B244)</f>
        <v/>
      </c>
      <c r="DN244" s="82" t="str">
        <f aca="false">IF(ISBLANK($C244),"",$C244)</f>
        <v/>
      </c>
      <c r="DO244" s="82" t="str">
        <f aca="false">IF(ISBLANK($C244),"",$D244)</f>
        <v/>
      </c>
      <c r="DP244" s="83" t="str">
        <f aca="false">$DD244</f>
        <v/>
      </c>
      <c r="DQ244" s="84" t="str">
        <f aca="false">$DC244</f>
        <v/>
      </c>
      <c r="DR244" s="82" t="str">
        <f aca="false">IF(ISBLANK($C244),"",$DF244)</f>
        <v/>
      </c>
      <c r="DS244" s="85" t="str">
        <f aca="false">IF($DJ244&gt;$DI$8,"",VLOOKUP($DJ244,$DL$9:$DR$508,7,FALSE()))</f>
        <v/>
      </c>
      <c r="DT244" s="86" t="str">
        <f aca="false">IF($DJ244&gt;$DI$8,"",VLOOKUP($DJ244,$DL$9:$DR$508,2,FALSE()))</f>
        <v/>
      </c>
      <c r="DU244" s="86" t="str">
        <f aca="false">IF($DJ244&gt;$DI$8,"",VLOOKUP($DJ244,$DL$9:$DR$508,3,FALSE()))</f>
        <v/>
      </c>
      <c r="DV244" s="86" t="str">
        <f aca="false">IF($DJ244&gt;$DI$8,"",VLOOKUP($DJ244,$DL$9:$DR$508,4,FALSE()))</f>
        <v/>
      </c>
      <c r="DW244" s="86" t="str">
        <f aca="false">IF($DJ244&gt;$DI$8,"",VLOOKUP($DJ244,$DL$9:$DR$508,5,FALSE()))</f>
        <v/>
      </c>
      <c r="DX244" s="87" t="str">
        <f aca="false">IF($DJ244&gt;$DI$8,"",VLOOKUP($DJ244,$DL$9:$DR$508,6,FALSE()))</f>
        <v/>
      </c>
      <c r="DY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88"/>
      <c r="N245" s="88"/>
      <c r="O245" s="134"/>
      <c r="P245" s="134"/>
      <c r="Q245" s="88"/>
      <c r="R245" s="88"/>
      <c r="S245" s="88"/>
      <c r="T245" s="88"/>
      <c r="U245" s="134"/>
      <c r="V245" s="88"/>
      <c r="W245" s="70"/>
      <c r="X245" s="88"/>
      <c r="Y245" s="88"/>
      <c r="Z245" s="70"/>
      <c r="AA245" s="70"/>
      <c r="AB245" s="88"/>
      <c r="AC245" s="88"/>
      <c r="AD245" s="88"/>
      <c r="AE245" s="71"/>
      <c r="AF245" s="88"/>
      <c r="AG245" s="73"/>
      <c r="AH245" s="74"/>
      <c r="AI245" s="74"/>
      <c r="AJ245" s="74" t="str">
        <f aca="false">IF(ISBLANK($C245),"",IF($E245=Constants!$B$2,TRUE(),IF($E245=Constants!$B$3,FALSE(),TRUE())))</f>
        <v/>
      </c>
      <c r="AK245" s="74" t="str">
        <f aca="false">IF(ISBLANK($C245),"",IF($F245=Constants!$B$2,TRUE(),IF($F245=Constants!$B$3,FALSE(),FALSE())))</f>
        <v/>
      </c>
      <c r="AL245" s="74" t="str">
        <f aca="false">IF(ISBLANK($C245),"",IF($G245=Constants!$B$2,TRUE(),IF($G245=Constants!$B$3,FALSE(),TRUE())))</f>
        <v/>
      </c>
      <c r="AM245" s="74" t="str">
        <f aca="false">IF(ISBLANK($C245),"",IF($H245=Constants!$B$2,TRUE(),IF($H245=Constants!$B$3,FALSE(),TRUE())))</f>
        <v/>
      </c>
      <c r="AN245" s="74" t="str">
        <f aca="false">IF(ISBLANK($C245),"",IF(ISNUMBER($I245),IF($I245&gt;=0,$I245,""),""))</f>
        <v/>
      </c>
      <c r="AO245" s="74" t="str">
        <f aca="false">IF(ISBLANK($C245),"",IF(ISNUMBER($J245),IF($J245&gt;=0,$J245,""),""))</f>
        <v/>
      </c>
      <c r="AP245" s="74" t="str">
        <f aca="false">IF(ISBLANK($C245),"",IF(ISNUMBER($K245),IF($K245&gt;=0,$K245,""),""))</f>
        <v/>
      </c>
      <c r="AQ245" s="74" t="str">
        <f aca="false">IF(ISBLANK($C245),"",IF($L245=Constants!$B$2,TRUE(),IF($L245=Constants!$B$3,FALSE(),TRUE())))</f>
        <v/>
      </c>
      <c r="AR245" s="74" t="str">
        <f aca="false">IF(ISBLANK($C245),"",IF($M245=Constants!$B$2,TRUE(),IF($M245=Constants!$B$3,FALSE(),TRUE())))</f>
        <v/>
      </c>
      <c r="AS245" s="74" t="str">
        <f aca="false">IF(ISBLANK($C245),"",IF($N245=Constants!$B$2,TRUE(),IF($N245=Constants!$B$3,FALSE(),FALSE())))</f>
        <v/>
      </c>
      <c r="AT245" s="74" t="str">
        <f aca="false">IF(ISBLANK($C245),"",IF($O245=Constants!$B$2,TRUE(),IF($O245=Constants!$B$3,FALSE(),TRUE())))</f>
        <v/>
      </c>
      <c r="AU245" s="74" t="str">
        <f aca="false">IF(ISBLANK($C245),"",IF($P245=Constants!$B$2,TRUE(),IF($P245=Constants!$B$3,FALSE(),TRUE())))</f>
        <v/>
      </c>
      <c r="AV245" s="74" t="str">
        <f aca="false">IF(ISBLANK($C245),"",IF($Q245=Constants!$B$2,TRUE(),IF($Q245=Constants!$B$3,FALSE(),FALSE())))</f>
        <v/>
      </c>
      <c r="AW245" s="74" t="str">
        <f aca="false">IF(ISBLANK($C245),"",IF($R245=Constants!$B$2,TRUE(),IF($R245=Constants!$B$3,FALSE(),FALSE())))</f>
        <v/>
      </c>
      <c r="AX245" s="74" t="str">
        <f aca="false">IF(ISBLANK($C245),"",IF($S245=Constants!$B$2,TRUE(),IF($S245=Constants!$B$3,FALSE(),FALSE())))</f>
        <v/>
      </c>
      <c r="AY245" s="74" t="str">
        <f aca="false">IF(ISBLANK($C245),"",IF($T245=Constants!$B$2,TRUE(),IF($T245=Constants!$B$3,FALSE(),FALSE())))</f>
        <v/>
      </c>
      <c r="AZ245" s="74" t="str">
        <f aca="false">IF(ISBLANK($C245),"",IF($U245=Constants!$B$2,TRUE(),IF($U245=Constants!$B$3,FALSE(),FALSE())))</f>
        <v/>
      </c>
      <c r="BA245" s="74" t="str">
        <f aca="false">IF(ISBLANK($C245),"",IF(OR($V245&amp;""="1",$V245&amp;""="2",$V245&amp;""="3",$V245&amp;""="4"),VALUE($V245&amp;""),IF($V245=Constants!$B$12,Constants!$B$12,"")))</f>
        <v/>
      </c>
      <c r="BB245" s="74" t="str">
        <f aca="false">IF(ISBLANK($C245),"",IF(ISBLANK($W245),0,IF(ISNUMBER($W245),IF(AND($W245&gt;=0,$W245&lt;=Constants!$B$21,$W245=INT($W245)),$W245,""),"")))</f>
        <v/>
      </c>
      <c r="BC245" s="74" t="str">
        <f aca="false">IF(ISBLANK($C245),"",IF(ISBLANK($X245),0,IF(ISNUMBER($X245),IF($X245&gt;=0,$X245,""),"")))</f>
        <v/>
      </c>
      <c r="BD245" s="74" t="str">
        <f aca="false">IF(ISBLANK($C245),"",IF($Y245=Constants!$B$2,TRUE(),IF($Y245=Constants!$B$3,FALSE(),TRUE())))</f>
        <v/>
      </c>
      <c r="BE245" s="74" t="str">
        <f aca="false">IF(ISBLANK($C245),"",IF($Z245=Constants!$B$2,TRUE(),IF($Z245=Constants!$B$3,FALSE(),FALSE())))</f>
        <v/>
      </c>
      <c r="BF245" s="74" t="str">
        <f aca="false">IF(ISBLANK($C245),"",IF(ISBLANK($AA245),0,IF(ISNUMBER($AA245),IF(AND($AA245&gt;=0,$AA245&lt;=Constants!$B$35,$AA245=INT($AA245)),$AA245,""),"")))</f>
        <v/>
      </c>
      <c r="BG245" s="74" t="str">
        <f aca="false">IF(ISBLANK($C245),"",IF($AB245=Constants!$B$2,TRUE(),IF($AB245=Constants!$B$3,FALSE(),TRUE())))</f>
        <v/>
      </c>
      <c r="BH245" s="74" t="str">
        <f aca="false">IF(ISBLANK($C245),"",IF($AC245=Constants!$B$2,TRUE(),IF($AC245=Constants!$B$3,FALSE(),TRUE())))</f>
        <v/>
      </c>
      <c r="BI245" s="74" t="str">
        <f aca="false">IF(ISBLANK($C245),"",IF($AD245=Constants!$B$2,TRUE(),IF($AD245=Constants!$B$3,FALSE(),TRUE())))</f>
        <v/>
      </c>
      <c r="BJ245" s="74" t="str">
        <f aca="false">IF(ISBLANK($C245),"",IF(ISNUMBER($AE245),IF($AE245&gt;=0,$AE245,""),""))</f>
        <v/>
      </c>
      <c r="BK245" s="74" t="str">
        <f aca="false">IF(ISBLANK($C245),"",IF($AF245=Constants!$B$2,TRUE(),IF($AF245=Constants!$B$3,FALSE(),FALSE())))</f>
        <v/>
      </c>
      <c r="BL245" s="73" t="str">
        <f aca="false">IF(ISBLANK($C245),"",IF($BK245,Constants!$B$7,IF(COUNTA($E245:$AE245)=0,Constants!$B$6,IF(OR(COUNTA($G245:$AE245)=0,NOT($AM245),$AS245),Constants!$B$5,IF(OR($CM245&lt;&gt;"",$CN245,$CO245,$CP245,$CQ245,$CR245,$CS245),Constants!$B$8,Constants!$B$4)))))</f>
        <v/>
      </c>
      <c r="BM245" s="74" t="str">
        <f aca="false">IF(ISBLANK($C245),"",IF($BL245&lt;&gt;Constants!$B$4,$BL245,IF(OR(NOT($AJ245),NOT($AL245),NOT($AT245)),Constants!$B$11,IF(OR(NOT($AR245),NOT($AU245),NOT($BI245),MAX($AN245,$AO245,$AP245)&gt;Constants!$B$30),Constants!$B$10,Constants!$B$9))))</f>
        <v/>
      </c>
      <c r="BN245" s="74" t="str">
        <f aca="false">IF($BL245&lt;&gt;Constants!$B$4,"",IF(NOT($AL245),0,MIN(Constants!$B$35,$BF245)))</f>
        <v/>
      </c>
      <c r="BO245" s="74" t="str">
        <f aca="false">IF($BL245&lt;&gt;Constants!$B$4,"",IF(NOT($AL245),0,IF($AW245,Constants!$B$18,IF($AV245,Constants!$B$17,0))))</f>
        <v/>
      </c>
      <c r="BP245" s="74" t="str">
        <f aca="false">IF($BL245&lt;&gt;Constants!$B$4,"",IF(NOT($AL245),0,Constants!$B$19*($AK245+$AX245+$AY245+$AZ245)))</f>
        <v/>
      </c>
      <c r="BQ245" s="74" t="str">
        <f aca="false">IF($BL245&lt;&gt;Constants!$B$4,"",IF(OR(NOT($AL245),NOT(ISNUMBER($BA245))),0,CHOOSE($BA245,Constants!$B$13,Constants!$B$14,Constants!$B$15,Constants!$B$16)))</f>
        <v/>
      </c>
      <c r="BR245" s="74" t="str">
        <f aca="false">IF($BL245&lt;&gt;Constants!$B$4,"",IF(NOT($AL245),0,Constants!$B$20*$BB245))</f>
        <v/>
      </c>
      <c r="BS245" s="74" t="str">
        <f aca="false">IF($BL245&lt;&gt;Constants!$B$4,"",IF(AND($AL245,$BD245,$BE245),Constants!$B$22,0))</f>
        <v/>
      </c>
      <c r="BT245" s="74" t="str">
        <f aca="false">IF($BL245&lt;&gt;Constants!$B$4,"",IF(OR(NOT($AL245),NOT($BD245)),0,IF($BJ245&gt;=2*$AH$9,0,Constants!$B$23*INT(ROUND(MIN($BJ245,$AH$9),6)))))</f>
        <v/>
      </c>
      <c r="BU245" s="74" t="str">
        <f aca="false">IF($BL245&lt;&gt;Constants!$B$4,"",IF(NOT($AL245),0,Constants!$B$24*INT(ROUND(MIN($BC245,$AH$9),6))))</f>
        <v/>
      </c>
      <c r="BV245" s="74" t="str">
        <f aca="false">IF($BL245&lt;&gt;Constants!$B$4,"",IF(AND($AL245,$BN245=0),Constants!$B$25,0))</f>
        <v/>
      </c>
      <c r="BW245" s="74" t="str">
        <f aca="false">IF($BL245&lt;&gt;Constants!$B$4,"",MIN(Constants!$B$29,MAX(0,Constants!$B$27*Constants!$B$28*INT(ROUND((Constants!$B$26-$AN245)/Constants!$B$28,6))))+MIN(Constants!$B$29,MAX(0,Constants!$B$27*Constants!$B$28*INT(ROUND((Constants!$B$26-$AO245)/Constants!$B$28,6))))+MIN(Constants!$B$29,MAX(0,Constants!$B$27*Constants!$B$28*INT(ROUND((Constants!$B$26-$AP245)/Constants!$B$28,6)))))</f>
        <v/>
      </c>
      <c r="BX245" s="74" t="str">
        <f aca="false">IF($BL245&lt;&gt;Constants!$B$4,"",IF(NOT($AL245),0,Constants!$B$31*INT(ROUND(MAX(0,MIN($BJ245,2*$AH$9)-$AH$9),6))))</f>
        <v/>
      </c>
      <c r="BY245" s="74" t="str">
        <f aca="false">IF($BL245&lt;&gt;Constants!$B$4,"",Constants!$B$32*(($AN245&gt;Constants!$B$26)+($AO245&gt;Constants!$B$26)+($AP245&gt;Constants!$B$26)))</f>
        <v/>
      </c>
      <c r="BZ245" s="74" t="str">
        <f aca="false">IF($BL245&lt;&gt;Constants!$B$4,"",IF(OR(NOT($AL245),$AQ245),0,Constants!$B$33))</f>
        <v/>
      </c>
      <c r="CA245" s="74" t="str">
        <f aca="false">IF($BL245&lt;&gt;Constants!$B$4,"",Constants!$B$34*$BN245)</f>
        <v/>
      </c>
      <c r="CB245" s="74" t="str">
        <f aca="false">IF($BL245&lt;&gt;Constants!$B$4,"",IF(OR(NOT($AL245),$BH245),0,Constants!$B$36))</f>
        <v/>
      </c>
      <c r="CC245" s="74" t="str">
        <f aca="false">IF($BL245&lt;&gt;Constants!$B$4,"",IF(OR(NOT($AL245),$BG245),0,Constants!$B$37))</f>
        <v/>
      </c>
      <c r="CD245" s="74" t="str">
        <f aca="false">IF($BL245&lt;&gt;Constants!$B$4,"",SUM($BX245:$CC245))</f>
        <v/>
      </c>
      <c r="CE245" s="74" t="str">
        <f aca="false">IF(ISBLANK($C245),"",IF($BL245&lt;&gt;Constants!$B$4,$BL245,SUM($BO245:$BW245)-$CD245))</f>
        <v/>
      </c>
      <c r="CF245" s="74" t="str">
        <f aca="false">IF(ISBLANK($C245),"",IF($BL245&lt;&gt;Constants!$B$4,$BL245,RANK($CE245,$CE$9:$CE$508)))</f>
        <v/>
      </c>
      <c r="CG245" s="74" t="str">
        <f aca="false">IF(ISBLANK($C245),"",IF($BL245&lt;&gt;Constants!$B$4,$BL245,COUNTIFS($BM$9:$BM$508,"&lt;"&amp;$BM245)+COUNTIFS($BM$9:$BM$508,$BM245,$CF$9:$CF$508,"&lt;"&amp;$CF245)+1))</f>
        <v/>
      </c>
      <c r="CH245" s="74" t="str">
        <f aca="false">IF(ISBLANK($C245),"",IF($BL245&lt;&gt;Constants!$B$4,$BL245,RANK($CD245,$CD$9:$CD$508,1)))</f>
        <v/>
      </c>
      <c r="CI245" s="74" t="str">
        <f aca="false">IF($BL245&lt;&gt;Constants!$B$4,"",$AN245+$AO245+$AP245)</f>
        <v/>
      </c>
      <c r="CJ245" s="74" t="str">
        <f aca="false">IF(ISBLANK($C245),"",IF($BL245&lt;&gt;Constants!$B$4,$BL245,RANK($CI245,$CI$9:$CI$508,1)))</f>
        <v/>
      </c>
      <c r="CK245" s="74" t="str">
        <f aca="false">IF(ISBLANK($C245),"",IF($BL245&lt;&gt;Constants!$B$4,$BL245,COUNTIFS($BM$9:$BM$508,"&lt;"&amp;$BM245)+COUNTIFS($BM$9:$BM$508,$BM245,$CF$9:$CF$508,"&lt;"&amp;$CF245)+COUNTIFS($BM$9:$BM$508,$BM245,$CF$9:$CF$508,$CF245,$CH$9:$CH$508,"&lt;"&amp;$CH245)+COUNTIFS($BM$9:$BM$508,$BM245,$CF$9:$CF$508,$CF245,$CH$9:$CH$508,$CH245,$CJ$9:$CJ$508,"&lt;"&amp;$CJ245)+1))</f>
        <v/>
      </c>
      <c r="CL245" s="74" t="str">
        <f aca="false">IF(ISBLANK($C245),"",IF($BL245&lt;&gt;Constants!$B$4,$BL245,$CG245-$CK245))</f>
        <v/>
      </c>
      <c r="CM245" s="74" t="str">
        <f aca="false">IF(ISBLANK($C245),"",IF(NOT($AL245),"",IF(ISBLANK($D$7),$CM$5,IF(NOT(ISNUMBER($D$7)),$CM$6,""))))</f>
        <v/>
      </c>
      <c r="CN245" s="74" t="str">
        <f aca="false">IF(ISBLANK($C245),"",OR($AN245="",$AO245="",$AP245=""))</f>
        <v/>
      </c>
      <c r="CO245" s="74" t="str">
        <f aca="false">IF(ISBLANK($C245),"",AND($AL245,$BA245=""))</f>
        <v/>
      </c>
      <c r="CP245" s="74" t="str">
        <f aca="false">IF(ISBLANK($C245),"",AND($AL245,$BB245=""))</f>
        <v/>
      </c>
      <c r="CQ245" s="74" t="str">
        <f aca="false">IF(ISBLANK($C245),"",AND($AL245,$BC245=""))</f>
        <v/>
      </c>
      <c r="CR245" s="74" t="str">
        <f aca="false">IF(ISBLANK($C245),"",AND($AL245,$BF245=""))</f>
        <v/>
      </c>
      <c r="CS245" s="74" t="str">
        <f aca="false">IF(ISBLANK($C245),"",AND($AL245,$BJ245=""))</f>
        <v/>
      </c>
      <c r="CT245" s="75"/>
      <c r="CU245" s="76"/>
      <c r="CV245" s="79" t="str">
        <f aca="false">IF(ISBLANK($C245),"",IF($BL245=Constants!$B$8,$CM245,""))</f>
        <v/>
      </c>
      <c r="CW245" s="76" t="str">
        <f aca="false">IF(ISBLANK($C245),"",IF($BL245&lt;&gt;Constants!$B$4,"",$BO245+$BP245))</f>
        <v/>
      </c>
      <c r="CX245" s="78" t="str">
        <f aca="false">IF(ISBLANK($C245),"",IF($BL245&lt;&gt;Constants!$B$4,"",$BQ245+$BR245+$BS245))</f>
        <v/>
      </c>
      <c r="CY245" s="78" t="str">
        <f aca="false">IF(ISBLANK($C245),"",IF($BL245&lt;&gt;Constants!$B$4,"",$BT245))</f>
        <v/>
      </c>
      <c r="CZ245" s="78" t="str">
        <f aca="false">IF(ISBLANK($C245),"",IF($BL245&lt;&gt;Constants!$B$4,"",$BU245+$BV245))</f>
        <v/>
      </c>
      <c r="DA245" s="78" t="str">
        <f aca="false">IF(ISBLANK($C245),"",IF($BL245&lt;&gt;Constants!$B$4,"",$BW245))</f>
        <v/>
      </c>
      <c r="DB245" s="78" t="str">
        <f aca="false">IF(ISBLANK($C245),"",IF($BL245&lt;&gt;Constants!$B$4,"",-$CD245))</f>
        <v/>
      </c>
      <c r="DC245" s="79" t="str">
        <f aca="false">IF(ISBLANK($C245),"",$CE245)</f>
        <v/>
      </c>
      <c r="DD245" s="80" t="str">
        <f aca="false">IF(ISBLANK($C245),"",$BM245)</f>
        <v/>
      </c>
      <c r="DE245" s="78" t="str">
        <f aca="false">IF(ISBLANK($C245),"",$CL245)</f>
        <v/>
      </c>
      <c r="DF245" s="78" t="str">
        <f aca="false">IF(ISBLANK($C245),"",$CK245)</f>
        <v/>
      </c>
      <c r="DG245" s="81" t="str">
        <f aca="false">IF(ISBLANK($C245),"",IF($DF245=Constants!$B$7,COUNTA($C$9:$C$508)+2,IF($DF245=Constants!$B$6,COUNTA($C$9:$C$508)+1,IF($DF245=Constants!$B$5,COUNTA($C$9:$C$508),$DF245))))</f>
        <v/>
      </c>
      <c r="DH245" s="7"/>
      <c r="DI245" s="82" t="n">
        <f aca="false">IF(OR(ISNUMBER($DF245),$DF245=Constants!$B$7,$DF245=Constants!$B$5,$DF245=Constants!$B$6),1,0)</f>
        <v>0</v>
      </c>
      <c r="DJ245" s="82" t="n">
        <v>237</v>
      </c>
      <c r="DK245" s="82" t="str">
        <f aca="false">IF(ISBLANK($C245),"",IF(ISNUMBER($DG245),$DG245+ROW($B245)/1000,""))</f>
        <v/>
      </c>
      <c r="DL245" s="82" t="str">
        <f aca="false">IF(ISNUMBER($DK245),RANK($DK245,$DK$9:$DK$508,1),"")</f>
        <v/>
      </c>
      <c r="DM245" s="82" t="str">
        <f aca="false">IF(ISBLANK($C245),"",$B245)</f>
        <v/>
      </c>
      <c r="DN245" s="82" t="str">
        <f aca="false">IF(ISBLANK($C245),"",$C245)</f>
        <v/>
      </c>
      <c r="DO245" s="82" t="str">
        <f aca="false">IF(ISBLANK($C245),"",$D245)</f>
        <v/>
      </c>
      <c r="DP245" s="83" t="str">
        <f aca="false">$DD245</f>
        <v/>
      </c>
      <c r="DQ245" s="84" t="str">
        <f aca="false">$DC245</f>
        <v/>
      </c>
      <c r="DR245" s="82" t="str">
        <f aca="false">IF(ISBLANK($C245),"",$DF245)</f>
        <v/>
      </c>
      <c r="DS245" s="85" t="str">
        <f aca="false">IF($DJ245&gt;$DI$8,"",VLOOKUP($DJ245,$DL$9:$DR$508,7,FALSE()))</f>
        <v/>
      </c>
      <c r="DT245" s="86" t="str">
        <f aca="false">IF($DJ245&gt;$DI$8,"",VLOOKUP($DJ245,$DL$9:$DR$508,2,FALSE()))</f>
        <v/>
      </c>
      <c r="DU245" s="86" t="str">
        <f aca="false">IF($DJ245&gt;$DI$8,"",VLOOKUP($DJ245,$DL$9:$DR$508,3,FALSE()))</f>
        <v/>
      </c>
      <c r="DV245" s="86" t="str">
        <f aca="false">IF($DJ245&gt;$DI$8,"",VLOOKUP($DJ245,$DL$9:$DR$508,4,FALSE()))</f>
        <v/>
      </c>
      <c r="DW245" s="86" t="str">
        <f aca="false">IF($DJ245&gt;$DI$8,"",VLOOKUP($DJ245,$DL$9:$DR$508,5,FALSE()))</f>
        <v/>
      </c>
      <c r="DX245" s="87" t="str">
        <f aca="false">IF($DJ245&gt;$DI$8,"",VLOOKUP($DJ245,$DL$9:$DR$508,6,FALSE()))</f>
        <v/>
      </c>
      <c r="DY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130"/>
      <c r="N246" s="130"/>
      <c r="O246" s="135"/>
      <c r="P246" s="135"/>
      <c r="Q246" s="130"/>
      <c r="R246" s="130"/>
      <c r="S246" s="130"/>
      <c r="T246" s="130"/>
      <c r="U246" s="135"/>
      <c r="V246" s="130"/>
      <c r="W246" s="96"/>
      <c r="X246" s="130"/>
      <c r="Y246" s="130"/>
      <c r="Z246" s="96"/>
      <c r="AA246" s="96"/>
      <c r="AB246" s="130"/>
      <c r="AC246" s="130"/>
      <c r="AD246" s="130"/>
      <c r="AE246" s="97"/>
      <c r="AF246" s="130"/>
      <c r="AG246" s="99"/>
      <c r="AH246" s="100"/>
      <c r="AI246" s="100"/>
      <c r="AJ246" s="100" t="str">
        <f aca="false">IF(ISBLANK($C246),"",IF($E246=Constants!$B$2,TRUE(),IF($E246=Constants!$B$3,FALSE(),TRUE())))</f>
        <v/>
      </c>
      <c r="AK246" s="100" t="str">
        <f aca="false">IF(ISBLANK($C246),"",IF($F246=Constants!$B$2,TRUE(),IF($F246=Constants!$B$3,FALSE(),FALSE())))</f>
        <v/>
      </c>
      <c r="AL246" s="100" t="str">
        <f aca="false">IF(ISBLANK($C246),"",IF($G246=Constants!$B$2,TRUE(),IF($G246=Constants!$B$3,FALSE(),TRUE())))</f>
        <v/>
      </c>
      <c r="AM246" s="100" t="str">
        <f aca="false">IF(ISBLANK($C246),"",IF($H246=Constants!$B$2,TRUE(),IF($H246=Constants!$B$3,FALSE(),TRUE())))</f>
        <v/>
      </c>
      <c r="AN246" s="100" t="str">
        <f aca="false">IF(ISBLANK($C246),"",IF(ISNUMBER($I246),IF($I246&gt;=0,$I246,""),""))</f>
        <v/>
      </c>
      <c r="AO246" s="100" t="str">
        <f aca="false">IF(ISBLANK($C246),"",IF(ISNUMBER($J246),IF($J246&gt;=0,$J246,""),""))</f>
        <v/>
      </c>
      <c r="AP246" s="100" t="str">
        <f aca="false">IF(ISBLANK($C246),"",IF(ISNUMBER($K246),IF($K246&gt;=0,$K246,""),""))</f>
        <v/>
      </c>
      <c r="AQ246" s="100" t="str">
        <f aca="false">IF(ISBLANK($C246),"",IF($L246=Constants!$B$2,TRUE(),IF($L246=Constants!$B$3,FALSE(),TRUE())))</f>
        <v/>
      </c>
      <c r="AR246" s="100" t="str">
        <f aca="false">IF(ISBLANK($C246),"",IF($M246=Constants!$B$2,TRUE(),IF($M246=Constants!$B$3,FALSE(),TRUE())))</f>
        <v/>
      </c>
      <c r="AS246" s="100" t="str">
        <f aca="false">IF(ISBLANK($C246),"",IF($N246=Constants!$B$2,TRUE(),IF($N246=Constants!$B$3,FALSE(),FALSE())))</f>
        <v/>
      </c>
      <c r="AT246" s="100" t="str">
        <f aca="false">IF(ISBLANK($C246),"",IF($O246=Constants!$B$2,TRUE(),IF($O246=Constants!$B$3,FALSE(),TRUE())))</f>
        <v/>
      </c>
      <c r="AU246" s="100" t="str">
        <f aca="false">IF(ISBLANK($C246),"",IF($P246=Constants!$B$2,TRUE(),IF($P246=Constants!$B$3,FALSE(),TRUE())))</f>
        <v/>
      </c>
      <c r="AV246" s="100" t="str">
        <f aca="false">IF(ISBLANK($C246),"",IF($Q246=Constants!$B$2,TRUE(),IF($Q246=Constants!$B$3,FALSE(),FALSE())))</f>
        <v/>
      </c>
      <c r="AW246" s="100" t="str">
        <f aca="false">IF(ISBLANK($C246),"",IF($R246=Constants!$B$2,TRUE(),IF($R246=Constants!$B$3,FALSE(),FALSE())))</f>
        <v/>
      </c>
      <c r="AX246" s="100" t="str">
        <f aca="false">IF(ISBLANK($C246),"",IF($S246=Constants!$B$2,TRUE(),IF($S246=Constants!$B$3,FALSE(),FALSE())))</f>
        <v/>
      </c>
      <c r="AY246" s="100" t="str">
        <f aca="false">IF(ISBLANK($C246),"",IF($T246=Constants!$B$2,TRUE(),IF($T246=Constants!$B$3,FALSE(),FALSE())))</f>
        <v/>
      </c>
      <c r="AZ246" s="100" t="str">
        <f aca="false">IF(ISBLANK($C246),"",IF($U246=Constants!$B$2,TRUE(),IF($U246=Constants!$B$3,FALSE(),FALSE())))</f>
        <v/>
      </c>
      <c r="BA246" s="100" t="str">
        <f aca="false">IF(ISBLANK($C246),"",IF(OR($V246&amp;""="1",$V246&amp;""="2",$V246&amp;""="3",$V246&amp;""="4"),VALUE($V246&amp;""),IF($V246=Constants!$B$12,Constants!$B$12,"")))</f>
        <v/>
      </c>
      <c r="BB246" s="100" t="str">
        <f aca="false">IF(ISBLANK($C246),"",IF(ISBLANK($W246),0,IF(ISNUMBER($W246),IF(AND($W246&gt;=0,$W246&lt;=Constants!$B$21,$W246=INT($W246)),$W246,""),"")))</f>
        <v/>
      </c>
      <c r="BC246" s="100" t="str">
        <f aca="false">IF(ISBLANK($C246),"",IF(ISBLANK($X246),0,IF(ISNUMBER($X246),IF($X246&gt;=0,$X246,""),"")))</f>
        <v/>
      </c>
      <c r="BD246" s="100" t="str">
        <f aca="false">IF(ISBLANK($C246),"",IF($Y246=Constants!$B$2,TRUE(),IF($Y246=Constants!$B$3,FALSE(),TRUE())))</f>
        <v/>
      </c>
      <c r="BE246" s="100" t="str">
        <f aca="false">IF(ISBLANK($C246),"",IF($Z246=Constants!$B$2,TRUE(),IF($Z246=Constants!$B$3,FALSE(),FALSE())))</f>
        <v/>
      </c>
      <c r="BF246" s="100" t="str">
        <f aca="false">IF(ISBLANK($C246),"",IF(ISBLANK($AA246),0,IF(ISNUMBER($AA246),IF(AND($AA246&gt;=0,$AA246&lt;=Constants!$B$35,$AA246=INT($AA246)),$AA246,""),"")))</f>
        <v/>
      </c>
      <c r="BG246" s="100" t="str">
        <f aca="false">IF(ISBLANK($C246),"",IF($AB246=Constants!$B$2,TRUE(),IF($AB246=Constants!$B$3,FALSE(),TRUE())))</f>
        <v/>
      </c>
      <c r="BH246" s="100" t="str">
        <f aca="false">IF(ISBLANK($C246),"",IF($AC246=Constants!$B$2,TRUE(),IF($AC246=Constants!$B$3,FALSE(),TRUE())))</f>
        <v/>
      </c>
      <c r="BI246" s="100" t="str">
        <f aca="false">IF(ISBLANK($C246),"",IF($AD246=Constants!$B$2,TRUE(),IF($AD246=Constants!$B$3,FALSE(),TRUE())))</f>
        <v/>
      </c>
      <c r="BJ246" s="100" t="str">
        <f aca="false">IF(ISBLANK($C246),"",IF(ISNUMBER($AE246),IF($AE246&gt;=0,$AE246,""),""))</f>
        <v/>
      </c>
      <c r="BK246" s="100" t="str">
        <f aca="false">IF(ISBLANK($C246),"",IF($AF246=Constants!$B$2,TRUE(),IF($AF246=Constants!$B$3,FALSE(),FALSE())))</f>
        <v/>
      </c>
      <c r="BL246" s="99" t="str">
        <f aca="false">IF(ISBLANK($C246),"",IF($BK246,Constants!$B$7,IF(COUNTA($E246:$AE246)=0,Constants!$B$6,IF(OR(COUNTA($G246:$AE246)=0,NOT($AM246),$AS246),Constants!$B$5,IF(OR($CM246&lt;&gt;"",$CN246,$CO246,$CP246,$CQ246,$CR246,$CS246),Constants!$B$8,Constants!$B$4)))))</f>
        <v/>
      </c>
      <c r="BM246" s="100" t="str">
        <f aca="false">IF(ISBLANK($C246),"",IF($BL246&lt;&gt;Constants!$B$4,$BL246,IF(OR(NOT($AJ246),NOT($AL246),NOT($AT246)),Constants!$B$11,IF(OR(NOT($AR246),NOT($AU246),NOT($BI246),MAX($AN246,$AO246,$AP246)&gt;Constants!$B$30),Constants!$B$10,Constants!$B$9))))</f>
        <v/>
      </c>
      <c r="BN246" s="100" t="str">
        <f aca="false">IF($BL246&lt;&gt;Constants!$B$4,"",IF(NOT($AL246),0,MIN(Constants!$B$35,$BF246)))</f>
        <v/>
      </c>
      <c r="BO246" s="100" t="str">
        <f aca="false">IF($BL246&lt;&gt;Constants!$B$4,"",IF(NOT($AL246),0,IF($AW246,Constants!$B$18,IF($AV246,Constants!$B$17,0))))</f>
        <v/>
      </c>
      <c r="BP246" s="100" t="str">
        <f aca="false">IF($BL246&lt;&gt;Constants!$B$4,"",IF(NOT($AL246),0,Constants!$B$19*($AK246+$AX246+$AY246+$AZ246)))</f>
        <v/>
      </c>
      <c r="BQ246" s="100" t="str">
        <f aca="false">IF($BL246&lt;&gt;Constants!$B$4,"",IF(OR(NOT($AL246),NOT(ISNUMBER($BA246))),0,CHOOSE($BA246,Constants!$B$13,Constants!$B$14,Constants!$B$15,Constants!$B$16)))</f>
        <v/>
      </c>
      <c r="BR246" s="100" t="str">
        <f aca="false">IF($BL246&lt;&gt;Constants!$B$4,"",IF(NOT($AL246),0,Constants!$B$20*$BB246))</f>
        <v/>
      </c>
      <c r="BS246" s="100" t="str">
        <f aca="false">IF($BL246&lt;&gt;Constants!$B$4,"",IF(AND($AL246,$BD246,$BE246),Constants!$B$22,0))</f>
        <v/>
      </c>
      <c r="BT246" s="100" t="str">
        <f aca="false">IF($BL246&lt;&gt;Constants!$B$4,"",IF(OR(NOT($AL246),NOT($BD246)),0,IF($BJ246&gt;=2*$AH$9,0,Constants!$B$23*INT(ROUND(MIN($BJ246,$AH$9),6)))))</f>
        <v/>
      </c>
      <c r="BU246" s="100" t="str">
        <f aca="false">IF($BL246&lt;&gt;Constants!$B$4,"",IF(NOT($AL246),0,Constants!$B$24*INT(ROUND(MIN($BC246,$AH$9),6))))</f>
        <v/>
      </c>
      <c r="BV246" s="100" t="str">
        <f aca="false">IF($BL246&lt;&gt;Constants!$B$4,"",IF(AND($AL246,$BN246=0),Constants!$B$25,0))</f>
        <v/>
      </c>
      <c r="BW246" s="100" t="str">
        <f aca="false">IF($BL246&lt;&gt;Constants!$B$4,"",MIN(Constants!$B$29,MAX(0,Constants!$B$27*Constants!$B$28*INT(ROUND((Constants!$B$26-$AN246)/Constants!$B$28,6))))+MIN(Constants!$B$29,MAX(0,Constants!$B$27*Constants!$B$28*INT(ROUND((Constants!$B$26-$AO246)/Constants!$B$28,6))))+MIN(Constants!$B$29,MAX(0,Constants!$B$27*Constants!$B$28*INT(ROUND((Constants!$B$26-$AP246)/Constants!$B$28,6)))))</f>
        <v/>
      </c>
      <c r="BX246" s="100" t="str">
        <f aca="false">IF($BL246&lt;&gt;Constants!$B$4,"",IF(NOT($AL246),0,Constants!$B$31*INT(ROUND(MAX(0,MIN($BJ246,2*$AH$9)-$AH$9),6))))</f>
        <v/>
      </c>
      <c r="BY246" s="100" t="str">
        <f aca="false">IF($BL246&lt;&gt;Constants!$B$4,"",Constants!$B$32*(($AN246&gt;Constants!$B$26)+($AO246&gt;Constants!$B$26)+($AP246&gt;Constants!$B$26)))</f>
        <v/>
      </c>
      <c r="BZ246" s="100" t="str">
        <f aca="false">IF($BL246&lt;&gt;Constants!$B$4,"",IF(OR(NOT($AL246),$AQ246),0,Constants!$B$33))</f>
        <v/>
      </c>
      <c r="CA246" s="100" t="str">
        <f aca="false">IF($BL246&lt;&gt;Constants!$B$4,"",Constants!$B$34*$BN246)</f>
        <v/>
      </c>
      <c r="CB246" s="100" t="str">
        <f aca="false">IF($BL246&lt;&gt;Constants!$B$4,"",IF(OR(NOT($AL246),$BH246),0,Constants!$B$36))</f>
        <v/>
      </c>
      <c r="CC246" s="100" t="str">
        <f aca="false">IF($BL246&lt;&gt;Constants!$B$4,"",IF(OR(NOT($AL246),$BG246),0,Constants!$B$37))</f>
        <v/>
      </c>
      <c r="CD246" s="100" t="str">
        <f aca="false">IF($BL246&lt;&gt;Constants!$B$4,"",SUM($BX246:$CC246))</f>
        <v/>
      </c>
      <c r="CE246" s="100" t="str">
        <f aca="false">IF(ISBLANK($C246),"",IF($BL246&lt;&gt;Constants!$B$4,$BL246,SUM($BO246:$BW246)-$CD246))</f>
        <v/>
      </c>
      <c r="CF246" s="100" t="str">
        <f aca="false">IF(ISBLANK($C246),"",IF($BL246&lt;&gt;Constants!$B$4,$BL246,RANK($CE246,$CE$9:$CE$508)))</f>
        <v/>
      </c>
      <c r="CG246" s="100" t="str">
        <f aca="false">IF(ISBLANK($C246),"",IF($BL246&lt;&gt;Constants!$B$4,$BL246,COUNTIFS($BM$9:$BM$508,"&lt;"&amp;$BM246)+COUNTIFS($BM$9:$BM$508,$BM246,$CF$9:$CF$508,"&lt;"&amp;$CF246)+1))</f>
        <v/>
      </c>
      <c r="CH246" s="100" t="str">
        <f aca="false">IF(ISBLANK($C246),"",IF($BL246&lt;&gt;Constants!$B$4,$BL246,RANK($CD246,$CD$9:$CD$508,1)))</f>
        <v/>
      </c>
      <c r="CI246" s="100" t="str">
        <f aca="false">IF($BL246&lt;&gt;Constants!$B$4,"",$AN246+$AO246+$AP246)</f>
        <v/>
      </c>
      <c r="CJ246" s="100" t="str">
        <f aca="false">IF(ISBLANK($C246),"",IF($BL246&lt;&gt;Constants!$B$4,$BL246,RANK($CI246,$CI$9:$CI$508,1)))</f>
        <v/>
      </c>
      <c r="CK246" s="100" t="str">
        <f aca="false">IF(ISBLANK($C246),"",IF($BL246&lt;&gt;Constants!$B$4,$BL246,COUNTIFS($BM$9:$BM$508,"&lt;"&amp;$BM246)+COUNTIFS($BM$9:$BM$508,$BM246,$CF$9:$CF$508,"&lt;"&amp;$CF246)+COUNTIFS($BM$9:$BM$508,$BM246,$CF$9:$CF$508,$CF246,$CH$9:$CH$508,"&lt;"&amp;$CH246)+COUNTIFS($BM$9:$BM$508,$BM246,$CF$9:$CF$508,$CF246,$CH$9:$CH$508,$CH246,$CJ$9:$CJ$508,"&lt;"&amp;$CJ246)+1))</f>
        <v/>
      </c>
      <c r="CL246" s="100" t="str">
        <f aca="false">IF(ISBLANK($C246),"",IF($BL246&lt;&gt;Constants!$B$4,$BL246,$CG246-$CK246))</f>
        <v/>
      </c>
      <c r="CM246" s="100" t="str">
        <f aca="false">IF(ISBLANK($C246),"",IF(NOT($AL246),"",IF(ISBLANK($D$7),$CM$5,IF(NOT(ISNUMBER($D$7)),$CM$6,""))))</f>
        <v/>
      </c>
      <c r="CN246" s="100" t="str">
        <f aca="false">IF(ISBLANK($C246),"",OR($AN246="",$AO246="",$AP246=""))</f>
        <v/>
      </c>
      <c r="CO246" s="100" t="str">
        <f aca="false">IF(ISBLANK($C246),"",AND($AL246,$BA246=""))</f>
        <v/>
      </c>
      <c r="CP246" s="100" t="str">
        <f aca="false">IF(ISBLANK($C246),"",AND($AL246,$BB246=""))</f>
        <v/>
      </c>
      <c r="CQ246" s="100" t="str">
        <f aca="false">IF(ISBLANK($C246),"",AND($AL246,$BC246=""))</f>
        <v/>
      </c>
      <c r="CR246" s="100" t="str">
        <f aca="false">IF(ISBLANK($C246),"",AND($AL246,$BF246=""))</f>
        <v/>
      </c>
      <c r="CS246" s="100" t="str">
        <f aca="false">IF(ISBLANK($C246),"",AND($AL246,$BJ246=""))</f>
        <v/>
      </c>
      <c r="CT246" s="101"/>
      <c r="CU246" s="102"/>
      <c r="CV246" s="103" t="str">
        <f aca="false">IF(ISBLANK($C246),"",IF($BL246=Constants!$B$8,$CM246,""))</f>
        <v/>
      </c>
      <c r="CW246" s="102" t="str">
        <f aca="false">IF(ISBLANK($C246),"",IF($BL246&lt;&gt;Constants!$B$4,"",$BO246+$BP246))</f>
        <v/>
      </c>
      <c r="CX246" s="104" t="str">
        <f aca="false">IF(ISBLANK($C246),"",IF($BL246&lt;&gt;Constants!$B$4,"",$BQ246+$BR246+$BS246))</f>
        <v/>
      </c>
      <c r="CY246" s="104" t="str">
        <f aca="false">IF(ISBLANK($C246),"",IF($BL246&lt;&gt;Constants!$B$4,"",$BT246))</f>
        <v/>
      </c>
      <c r="CZ246" s="104" t="str">
        <f aca="false">IF(ISBLANK($C246),"",IF($BL246&lt;&gt;Constants!$B$4,"",$BU246+$BV246))</f>
        <v/>
      </c>
      <c r="DA246" s="104" t="str">
        <f aca="false">IF(ISBLANK($C246),"",IF($BL246&lt;&gt;Constants!$B$4,"",$BW246))</f>
        <v/>
      </c>
      <c r="DB246" s="104" t="str">
        <f aca="false">IF(ISBLANK($C246),"",IF($BL246&lt;&gt;Constants!$B$4,"",-$CD246))</f>
        <v/>
      </c>
      <c r="DC246" s="103" t="str">
        <f aca="false">IF(ISBLANK($C246),"",$CE246)</f>
        <v/>
      </c>
      <c r="DD246" s="105" t="str">
        <f aca="false">IF(ISBLANK($C246),"",$BM246)</f>
        <v/>
      </c>
      <c r="DE246" s="104" t="str">
        <f aca="false">IF(ISBLANK($C246),"",$CL246)</f>
        <v/>
      </c>
      <c r="DF246" s="104" t="str">
        <f aca="false">IF(ISBLANK($C246),"",$CK246)</f>
        <v/>
      </c>
      <c r="DG246" s="106" t="str">
        <f aca="false">IF(ISBLANK($C246),"",IF($DF246=Constants!$B$7,COUNTA($C$9:$C$508)+2,IF($DF246=Constants!$B$6,COUNTA($C$9:$C$508)+1,IF($DF246=Constants!$B$5,COUNTA($C$9:$C$508),$DF246))))</f>
        <v/>
      </c>
      <c r="DH246" s="7"/>
      <c r="DI246" s="107" t="n">
        <f aca="false">IF(OR(ISNUMBER($DF246),$DF246=Constants!$B$7,$DF246=Constants!$B$5,$DF246=Constants!$B$6),1,0)</f>
        <v>0</v>
      </c>
      <c r="DJ246" s="107" t="n">
        <v>238</v>
      </c>
      <c r="DK246" s="107" t="str">
        <f aca="false">IF(ISBLANK($C246),"",IF(ISNUMBER($DG246),$DG246+ROW($B246)/1000,""))</f>
        <v/>
      </c>
      <c r="DL246" s="107" t="str">
        <f aca="false">IF(ISNUMBER($DK246),RANK($DK246,$DK$9:$DK$508,1),"")</f>
        <v/>
      </c>
      <c r="DM246" s="107" t="str">
        <f aca="false">IF(ISBLANK($C246),"",$B246)</f>
        <v/>
      </c>
      <c r="DN246" s="107" t="str">
        <f aca="false">IF(ISBLANK($C246),"",$C246)</f>
        <v/>
      </c>
      <c r="DO246" s="107" t="str">
        <f aca="false">IF(ISBLANK($C246),"",$D246)</f>
        <v/>
      </c>
      <c r="DP246" s="108" t="str">
        <f aca="false">$DD246</f>
        <v/>
      </c>
      <c r="DQ246" s="109" t="str">
        <f aca="false">$DC246</f>
        <v/>
      </c>
      <c r="DR246" s="107" t="str">
        <f aca="false">IF(ISBLANK($C246),"",$DF246)</f>
        <v/>
      </c>
      <c r="DS246" s="110" t="str">
        <f aca="false">IF($DJ246&gt;$DI$8,"",VLOOKUP($DJ246,$DL$9:$DR$508,7,FALSE()))</f>
        <v/>
      </c>
      <c r="DT246" s="111" t="str">
        <f aca="false">IF($DJ246&gt;$DI$8,"",VLOOKUP($DJ246,$DL$9:$DR$508,2,FALSE()))</f>
        <v/>
      </c>
      <c r="DU246" s="111" t="str">
        <f aca="false">IF($DJ246&gt;$DI$8,"",VLOOKUP($DJ246,$DL$9:$DR$508,3,FALSE()))</f>
        <v/>
      </c>
      <c r="DV246" s="111" t="str">
        <f aca="false">IF($DJ246&gt;$DI$8,"",VLOOKUP($DJ246,$DL$9:$DR$508,4,FALSE()))</f>
        <v/>
      </c>
      <c r="DW246" s="111" t="str">
        <f aca="false">IF($DJ246&gt;$DI$8,"",VLOOKUP($DJ246,$DL$9:$DR$508,5,FALSE()))</f>
        <v/>
      </c>
      <c r="DX246" s="112" t="str">
        <f aca="false">IF($DJ246&gt;$DI$8,"",VLOOKUP($DJ246,$DL$9:$DR$508,6,FALSE()))</f>
        <v/>
      </c>
      <c r="DY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130"/>
      <c r="N247" s="130"/>
      <c r="O247" s="135"/>
      <c r="P247" s="135"/>
      <c r="Q247" s="130"/>
      <c r="R247" s="130"/>
      <c r="S247" s="130"/>
      <c r="T247" s="130"/>
      <c r="U247" s="135"/>
      <c r="V247" s="130"/>
      <c r="W247" s="96"/>
      <c r="X247" s="130"/>
      <c r="Y247" s="130"/>
      <c r="Z247" s="96"/>
      <c r="AA247" s="96"/>
      <c r="AB247" s="130"/>
      <c r="AC247" s="130"/>
      <c r="AD247" s="130"/>
      <c r="AE247" s="97"/>
      <c r="AF247" s="130"/>
      <c r="AG247" s="99"/>
      <c r="AH247" s="100"/>
      <c r="AI247" s="100"/>
      <c r="AJ247" s="100" t="str">
        <f aca="false">IF(ISBLANK($C247),"",IF($E247=Constants!$B$2,TRUE(),IF($E247=Constants!$B$3,FALSE(),TRUE())))</f>
        <v/>
      </c>
      <c r="AK247" s="100" t="str">
        <f aca="false">IF(ISBLANK($C247),"",IF($F247=Constants!$B$2,TRUE(),IF($F247=Constants!$B$3,FALSE(),FALSE())))</f>
        <v/>
      </c>
      <c r="AL247" s="100" t="str">
        <f aca="false">IF(ISBLANK($C247),"",IF($G247=Constants!$B$2,TRUE(),IF($G247=Constants!$B$3,FALSE(),TRUE())))</f>
        <v/>
      </c>
      <c r="AM247" s="100" t="str">
        <f aca="false">IF(ISBLANK($C247),"",IF($H247=Constants!$B$2,TRUE(),IF($H247=Constants!$B$3,FALSE(),TRUE())))</f>
        <v/>
      </c>
      <c r="AN247" s="100" t="str">
        <f aca="false">IF(ISBLANK($C247),"",IF(ISNUMBER($I247),IF($I247&gt;=0,$I247,""),""))</f>
        <v/>
      </c>
      <c r="AO247" s="100" t="str">
        <f aca="false">IF(ISBLANK($C247),"",IF(ISNUMBER($J247),IF($J247&gt;=0,$J247,""),""))</f>
        <v/>
      </c>
      <c r="AP247" s="100" t="str">
        <f aca="false">IF(ISBLANK($C247),"",IF(ISNUMBER($K247),IF($K247&gt;=0,$K247,""),""))</f>
        <v/>
      </c>
      <c r="AQ247" s="100" t="str">
        <f aca="false">IF(ISBLANK($C247),"",IF($L247=Constants!$B$2,TRUE(),IF($L247=Constants!$B$3,FALSE(),TRUE())))</f>
        <v/>
      </c>
      <c r="AR247" s="100" t="str">
        <f aca="false">IF(ISBLANK($C247),"",IF($M247=Constants!$B$2,TRUE(),IF($M247=Constants!$B$3,FALSE(),TRUE())))</f>
        <v/>
      </c>
      <c r="AS247" s="100" t="str">
        <f aca="false">IF(ISBLANK($C247),"",IF($N247=Constants!$B$2,TRUE(),IF($N247=Constants!$B$3,FALSE(),FALSE())))</f>
        <v/>
      </c>
      <c r="AT247" s="100" t="str">
        <f aca="false">IF(ISBLANK($C247),"",IF($O247=Constants!$B$2,TRUE(),IF($O247=Constants!$B$3,FALSE(),TRUE())))</f>
        <v/>
      </c>
      <c r="AU247" s="100" t="str">
        <f aca="false">IF(ISBLANK($C247),"",IF($P247=Constants!$B$2,TRUE(),IF($P247=Constants!$B$3,FALSE(),TRUE())))</f>
        <v/>
      </c>
      <c r="AV247" s="100" t="str">
        <f aca="false">IF(ISBLANK($C247),"",IF($Q247=Constants!$B$2,TRUE(),IF($Q247=Constants!$B$3,FALSE(),FALSE())))</f>
        <v/>
      </c>
      <c r="AW247" s="100" t="str">
        <f aca="false">IF(ISBLANK($C247),"",IF($R247=Constants!$B$2,TRUE(),IF($R247=Constants!$B$3,FALSE(),FALSE())))</f>
        <v/>
      </c>
      <c r="AX247" s="100" t="str">
        <f aca="false">IF(ISBLANK($C247),"",IF($S247=Constants!$B$2,TRUE(),IF($S247=Constants!$B$3,FALSE(),FALSE())))</f>
        <v/>
      </c>
      <c r="AY247" s="100" t="str">
        <f aca="false">IF(ISBLANK($C247),"",IF($T247=Constants!$B$2,TRUE(),IF($T247=Constants!$B$3,FALSE(),FALSE())))</f>
        <v/>
      </c>
      <c r="AZ247" s="100" t="str">
        <f aca="false">IF(ISBLANK($C247),"",IF($U247=Constants!$B$2,TRUE(),IF($U247=Constants!$B$3,FALSE(),FALSE())))</f>
        <v/>
      </c>
      <c r="BA247" s="100" t="str">
        <f aca="false">IF(ISBLANK($C247),"",IF(OR($V247&amp;""="1",$V247&amp;""="2",$V247&amp;""="3",$V247&amp;""="4"),VALUE($V247&amp;""),IF($V247=Constants!$B$12,Constants!$B$12,"")))</f>
        <v/>
      </c>
      <c r="BB247" s="100" t="str">
        <f aca="false">IF(ISBLANK($C247),"",IF(ISBLANK($W247),0,IF(ISNUMBER($W247),IF(AND($W247&gt;=0,$W247&lt;=Constants!$B$21,$W247=INT($W247)),$W247,""),"")))</f>
        <v/>
      </c>
      <c r="BC247" s="100" t="str">
        <f aca="false">IF(ISBLANK($C247),"",IF(ISBLANK($X247),0,IF(ISNUMBER($X247),IF($X247&gt;=0,$X247,""),"")))</f>
        <v/>
      </c>
      <c r="BD247" s="100" t="str">
        <f aca="false">IF(ISBLANK($C247),"",IF($Y247=Constants!$B$2,TRUE(),IF($Y247=Constants!$B$3,FALSE(),TRUE())))</f>
        <v/>
      </c>
      <c r="BE247" s="100" t="str">
        <f aca="false">IF(ISBLANK($C247),"",IF($Z247=Constants!$B$2,TRUE(),IF($Z247=Constants!$B$3,FALSE(),FALSE())))</f>
        <v/>
      </c>
      <c r="BF247" s="100" t="str">
        <f aca="false">IF(ISBLANK($C247),"",IF(ISBLANK($AA247),0,IF(ISNUMBER($AA247),IF(AND($AA247&gt;=0,$AA247&lt;=Constants!$B$35,$AA247=INT($AA247)),$AA247,""),"")))</f>
        <v/>
      </c>
      <c r="BG247" s="100" t="str">
        <f aca="false">IF(ISBLANK($C247),"",IF($AB247=Constants!$B$2,TRUE(),IF($AB247=Constants!$B$3,FALSE(),TRUE())))</f>
        <v/>
      </c>
      <c r="BH247" s="100" t="str">
        <f aca="false">IF(ISBLANK($C247),"",IF($AC247=Constants!$B$2,TRUE(),IF($AC247=Constants!$B$3,FALSE(),TRUE())))</f>
        <v/>
      </c>
      <c r="BI247" s="100" t="str">
        <f aca="false">IF(ISBLANK($C247),"",IF($AD247=Constants!$B$2,TRUE(),IF($AD247=Constants!$B$3,FALSE(),TRUE())))</f>
        <v/>
      </c>
      <c r="BJ247" s="100" t="str">
        <f aca="false">IF(ISBLANK($C247),"",IF(ISNUMBER($AE247),IF($AE247&gt;=0,$AE247,""),""))</f>
        <v/>
      </c>
      <c r="BK247" s="100" t="str">
        <f aca="false">IF(ISBLANK($C247),"",IF($AF247=Constants!$B$2,TRUE(),IF($AF247=Constants!$B$3,FALSE(),FALSE())))</f>
        <v/>
      </c>
      <c r="BL247" s="99" t="str">
        <f aca="false">IF(ISBLANK($C247),"",IF($BK247,Constants!$B$7,IF(COUNTA($E247:$AE247)=0,Constants!$B$6,IF(OR(COUNTA($G247:$AE247)=0,NOT($AM247),$AS247),Constants!$B$5,IF(OR($CM247&lt;&gt;"",$CN247,$CO247,$CP247,$CQ247,$CR247,$CS247),Constants!$B$8,Constants!$B$4)))))</f>
        <v/>
      </c>
      <c r="BM247" s="100" t="str">
        <f aca="false">IF(ISBLANK($C247),"",IF($BL247&lt;&gt;Constants!$B$4,$BL247,IF(OR(NOT($AJ247),NOT($AL247),NOT($AT247)),Constants!$B$11,IF(OR(NOT($AR247),NOT($AU247),NOT($BI247),MAX($AN247,$AO247,$AP247)&gt;Constants!$B$30),Constants!$B$10,Constants!$B$9))))</f>
        <v/>
      </c>
      <c r="BN247" s="100" t="str">
        <f aca="false">IF($BL247&lt;&gt;Constants!$B$4,"",IF(NOT($AL247),0,MIN(Constants!$B$35,$BF247)))</f>
        <v/>
      </c>
      <c r="BO247" s="100" t="str">
        <f aca="false">IF($BL247&lt;&gt;Constants!$B$4,"",IF(NOT($AL247),0,IF($AW247,Constants!$B$18,IF($AV247,Constants!$B$17,0))))</f>
        <v/>
      </c>
      <c r="BP247" s="100" t="str">
        <f aca="false">IF($BL247&lt;&gt;Constants!$B$4,"",IF(NOT($AL247),0,Constants!$B$19*($AK247+$AX247+$AY247+$AZ247)))</f>
        <v/>
      </c>
      <c r="BQ247" s="100" t="str">
        <f aca="false">IF($BL247&lt;&gt;Constants!$B$4,"",IF(OR(NOT($AL247),NOT(ISNUMBER($BA247))),0,CHOOSE($BA247,Constants!$B$13,Constants!$B$14,Constants!$B$15,Constants!$B$16)))</f>
        <v/>
      </c>
      <c r="BR247" s="100" t="str">
        <f aca="false">IF($BL247&lt;&gt;Constants!$B$4,"",IF(NOT($AL247),0,Constants!$B$20*$BB247))</f>
        <v/>
      </c>
      <c r="BS247" s="100" t="str">
        <f aca="false">IF($BL247&lt;&gt;Constants!$B$4,"",IF(AND($AL247,$BD247,$BE247),Constants!$B$22,0))</f>
        <v/>
      </c>
      <c r="BT247" s="100" t="str">
        <f aca="false">IF($BL247&lt;&gt;Constants!$B$4,"",IF(OR(NOT($AL247),NOT($BD247)),0,IF($BJ247&gt;=2*$AH$9,0,Constants!$B$23*INT(ROUND(MIN($BJ247,$AH$9),6)))))</f>
        <v/>
      </c>
      <c r="BU247" s="100" t="str">
        <f aca="false">IF($BL247&lt;&gt;Constants!$B$4,"",IF(NOT($AL247),0,Constants!$B$24*INT(ROUND(MIN($BC247,$AH$9),6))))</f>
        <v/>
      </c>
      <c r="BV247" s="100" t="str">
        <f aca="false">IF($BL247&lt;&gt;Constants!$B$4,"",IF(AND($AL247,$BN247=0),Constants!$B$25,0))</f>
        <v/>
      </c>
      <c r="BW247" s="100" t="str">
        <f aca="false">IF($BL247&lt;&gt;Constants!$B$4,"",MIN(Constants!$B$29,MAX(0,Constants!$B$27*Constants!$B$28*INT(ROUND((Constants!$B$26-$AN247)/Constants!$B$28,6))))+MIN(Constants!$B$29,MAX(0,Constants!$B$27*Constants!$B$28*INT(ROUND((Constants!$B$26-$AO247)/Constants!$B$28,6))))+MIN(Constants!$B$29,MAX(0,Constants!$B$27*Constants!$B$28*INT(ROUND((Constants!$B$26-$AP247)/Constants!$B$28,6)))))</f>
        <v/>
      </c>
      <c r="BX247" s="100" t="str">
        <f aca="false">IF($BL247&lt;&gt;Constants!$B$4,"",IF(NOT($AL247),0,Constants!$B$31*INT(ROUND(MAX(0,MIN($BJ247,2*$AH$9)-$AH$9),6))))</f>
        <v/>
      </c>
      <c r="BY247" s="100" t="str">
        <f aca="false">IF($BL247&lt;&gt;Constants!$B$4,"",Constants!$B$32*(($AN247&gt;Constants!$B$26)+($AO247&gt;Constants!$B$26)+($AP247&gt;Constants!$B$26)))</f>
        <v/>
      </c>
      <c r="BZ247" s="100" t="str">
        <f aca="false">IF($BL247&lt;&gt;Constants!$B$4,"",IF(OR(NOT($AL247),$AQ247),0,Constants!$B$33))</f>
        <v/>
      </c>
      <c r="CA247" s="100" t="str">
        <f aca="false">IF($BL247&lt;&gt;Constants!$B$4,"",Constants!$B$34*$BN247)</f>
        <v/>
      </c>
      <c r="CB247" s="100" t="str">
        <f aca="false">IF($BL247&lt;&gt;Constants!$B$4,"",IF(OR(NOT($AL247),$BH247),0,Constants!$B$36))</f>
        <v/>
      </c>
      <c r="CC247" s="100" t="str">
        <f aca="false">IF($BL247&lt;&gt;Constants!$B$4,"",IF(OR(NOT($AL247),$BG247),0,Constants!$B$37))</f>
        <v/>
      </c>
      <c r="CD247" s="100" t="str">
        <f aca="false">IF($BL247&lt;&gt;Constants!$B$4,"",SUM($BX247:$CC247))</f>
        <v/>
      </c>
      <c r="CE247" s="100" t="str">
        <f aca="false">IF(ISBLANK($C247),"",IF($BL247&lt;&gt;Constants!$B$4,$BL247,SUM($BO247:$BW247)-$CD247))</f>
        <v/>
      </c>
      <c r="CF247" s="100" t="str">
        <f aca="false">IF(ISBLANK($C247),"",IF($BL247&lt;&gt;Constants!$B$4,$BL247,RANK($CE247,$CE$9:$CE$508)))</f>
        <v/>
      </c>
      <c r="CG247" s="100" t="str">
        <f aca="false">IF(ISBLANK($C247),"",IF($BL247&lt;&gt;Constants!$B$4,$BL247,COUNTIFS($BM$9:$BM$508,"&lt;"&amp;$BM247)+COUNTIFS($BM$9:$BM$508,$BM247,$CF$9:$CF$508,"&lt;"&amp;$CF247)+1))</f>
        <v/>
      </c>
      <c r="CH247" s="100" t="str">
        <f aca="false">IF(ISBLANK($C247),"",IF($BL247&lt;&gt;Constants!$B$4,$BL247,RANK($CD247,$CD$9:$CD$508,1)))</f>
        <v/>
      </c>
      <c r="CI247" s="100" t="str">
        <f aca="false">IF($BL247&lt;&gt;Constants!$B$4,"",$AN247+$AO247+$AP247)</f>
        <v/>
      </c>
      <c r="CJ247" s="100" t="str">
        <f aca="false">IF(ISBLANK($C247),"",IF($BL247&lt;&gt;Constants!$B$4,$BL247,RANK($CI247,$CI$9:$CI$508,1)))</f>
        <v/>
      </c>
      <c r="CK247" s="100" t="str">
        <f aca="false">IF(ISBLANK($C247),"",IF($BL247&lt;&gt;Constants!$B$4,$BL247,COUNTIFS($BM$9:$BM$508,"&lt;"&amp;$BM247)+COUNTIFS($BM$9:$BM$508,$BM247,$CF$9:$CF$508,"&lt;"&amp;$CF247)+COUNTIFS($BM$9:$BM$508,$BM247,$CF$9:$CF$508,$CF247,$CH$9:$CH$508,"&lt;"&amp;$CH247)+COUNTIFS($BM$9:$BM$508,$BM247,$CF$9:$CF$508,$CF247,$CH$9:$CH$508,$CH247,$CJ$9:$CJ$508,"&lt;"&amp;$CJ247)+1))</f>
        <v/>
      </c>
      <c r="CL247" s="100" t="str">
        <f aca="false">IF(ISBLANK($C247),"",IF($BL247&lt;&gt;Constants!$B$4,$BL247,$CG247-$CK247))</f>
        <v/>
      </c>
      <c r="CM247" s="100" t="str">
        <f aca="false">IF(ISBLANK($C247),"",IF(NOT($AL247),"",IF(ISBLANK($D$7),$CM$5,IF(NOT(ISNUMBER($D$7)),$CM$6,""))))</f>
        <v/>
      </c>
      <c r="CN247" s="100" t="str">
        <f aca="false">IF(ISBLANK($C247),"",OR($AN247="",$AO247="",$AP247=""))</f>
        <v/>
      </c>
      <c r="CO247" s="100" t="str">
        <f aca="false">IF(ISBLANK($C247),"",AND($AL247,$BA247=""))</f>
        <v/>
      </c>
      <c r="CP247" s="100" t="str">
        <f aca="false">IF(ISBLANK($C247),"",AND($AL247,$BB247=""))</f>
        <v/>
      </c>
      <c r="CQ247" s="100" t="str">
        <f aca="false">IF(ISBLANK($C247),"",AND($AL247,$BC247=""))</f>
        <v/>
      </c>
      <c r="CR247" s="100" t="str">
        <f aca="false">IF(ISBLANK($C247),"",AND($AL247,$BF247=""))</f>
        <v/>
      </c>
      <c r="CS247" s="100" t="str">
        <f aca="false">IF(ISBLANK($C247),"",AND($AL247,$BJ247=""))</f>
        <v/>
      </c>
      <c r="CT247" s="101"/>
      <c r="CU247" s="102"/>
      <c r="CV247" s="103" t="str">
        <f aca="false">IF(ISBLANK($C247),"",IF($BL247=Constants!$B$8,$CM247,""))</f>
        <v/>
      </c>
      <c r="CW247" s="102" t="str">
        <f aca="false">IF(ISBLANK($C247),"",IF($BL247&lt;&gt;Constants!$B$4,"",$BO247+$BP247))</f>
        <v/>
      </c>
      <c r="CX247" s="104" t="str">
        <f aca="false">IF(ISBLANK($C247),"",IF($BL247&lt;&gt;Constants!$B$4,"",$BQ247+$BR247+$BS247))</f>
        <v/>
      </c>
      <c r="CY247" s="104" t="str">
        <f aca="false">IF(ISBLANK($C247),"",IF($BL247&lt;&gt;Constants!$B$4,"",$BT247))</f>
        <v/>
      </c>
      <c r="CZ247" s="104" t="str">
        <f aca="false">IF(ISBLANK($C247),"",IF($BL247&lt;&gt;Constants!$B$4,"",$BU247+$BV247))</f>
        <v/>
      </c>
      <c r="DA247" s="104" t="str">
        <f aca="false">IF(ISBLANK($C247),"",IF($BL247&lt;&gt;Constants!$B$4,"",$BW247))</f>
        <v/>
      </c>
      <c r="DB247" s="104" t="str">
        <f aca="false">IF(ISBLANK($C247),"",IF($BL247&lt;&gt;Constants!$B$4,"",-$CD247))</f>
        <v/>
      </c>
      <c r="DC247" s="103" t="str">
        <f aca="false">IF(ISBLANK($C247),"",$CE247)</f>
        <v/>
      </c>
      <c r="DD247" s="105" t="str">
        <f aca="false">IF(ISBLANK($C247),"",$BM247)</f>
        <v/>
      </c>
      <c r="DE247" s="104" t="str">
        <f aca="false">IF(ISBLANK($C247),"",$CL247)</f>
        <v/>
      </c>
      <c r="DF247" s="104" t="str">
        <f aca="false">IF(ISBLANK($C247),"",$CK247)</f>
        <v/>
      </c>
      <c r="DG247" s="106" t="str">
        <f aca="false">IF(ISBLANK($C247),"",IF($DF247=Constants!$B$7,COUNTA($C$9:$C$508)+2,IF($DF247=Constants!$B$6,COUNTA($C$9:$C$508)+1,IF($DF247=Constants!$B$5,COUNTA($C$9:$C$508),$DF247))))</f>
        <v/>
      </c>
      <c r="DH247" s="7"/>
      <c r="DI247" s="107" t="n">
        <f aca="false">IF(OR(ISNUMBER($DF247),$DF247=Constants!$B$7,$DF247=Constants!$B$5,$DF247=Constants!$B$6),1,0)</f>
        <v>0</v>
      </c>
      <c r="DJ247" s="107" t="n">
        <v>239</v>
      </c>
      <c r="DK247" s="107" t="str">
        <f aca="false">IF(ISBLANK($C247),"",IF(ISNUMBER($DG247),$DG247+ROW($B247)/1000,""))</f>
        <v/>
      </c>
      <c r="DL247" s="107" t="str">
        <f aca="false">IF(ISNUMBER($DK247),RANK($DK247,$DK$9:$DK$508,1),"")</f>
        <v/>
      </c>
      <c r="DM247" s="107" t="str">
        <f aca="false">IF(ISBLANK($C247),"",$B247)</f>
        <v/>
      </c>
      <c r="DN247" s="107" t="str">
        <f aca="false">IF(ISBLANK($C247),"",$C247)</f>
        <v/>
      </c>
      <c r="DO247" s="107" t="str">
        <f aca="false">IF(ISBLANK($C247),"",$D247)</f>
        <v/>
      </c>
      <c r="DP247" s="108" t="str">
        <f aca="false">$DD247</f>
        <v/>
      </c>
      <c r="DQ247" s="109" t="str">
        <f aca="false">$DC247</f>
        <v/>
      </c>
      <c r="DR247" s="107" t="str">
        <f aca="false">IF(ISBLANK($C247),"",$DF247)</f>
        <v/>
      </c>
      <c r="DS247" s="110" t="str">
        <f aca="false">IF($DJ247&gt;$DI$8,"",VLOOKUP($DJ247,$DL$9:$DR$508,7,FALSE()))</f>
        <v/>
      </c>
      <c r="DT247" s="111" t="str">
        <f aca="false">IF($DJ247&gt;$DI$8,"",VLOOKUP($DJ247,$DL$9:$DR$508,2,FALSE()))</f>
        <v/>
      </c>
      <c r="DU247" s="111" t="str">
        <f aca="false">IF($DJ247&gt;$DI$8,"",VLOOKUP($DJ247,$DL$9:$DR$508,3,FALSE()))</f>
        <v/>
      </c>
      <c r="DV247" s="111" t="str">
        <f aca="false">IF($DJ247&gt;$DI$8,"",VLOOKUP($DJ247,$DL$9:$DR$508,4,FALSE()))</f>
        <v/>
      </c>
      <c r="DW247" s="111" t="str">
        <f aca="false">IF($DJ247&gt;$DI$8,"",VLOOKUP($DJ247,$DL$9:$DR$508,5,FALSE()))</f>
        <v/>
      </c>
      <c r="DX247" s="112" t="str">
        <f aca="false">IF($DJ247&gt;$DI$8,"",VLOOKUP($DJ247,$DL$9:$DR$508,6,FALSE()))</f>
        <v/>
      </c>
      <c r="DY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130"/>
      <c r="N248" s="130"/>
      <c r="O248" s="135"/>
      <c r="P248" s="135"/>
      <c r="Q248" s="130"/>
      <c r="R248" s="130"/>
      <c r="S248" s="130"/>
      <c r="T248" s="130"/>
      <c r="U248" s="135"/>
      <c r="V248" s="130"/>
      <c r="W248" s="96"/>
      <c r="X248" s="130"/>
      <c r="Y248" s="130"/>
      <c r="Z248" s="96"/>
      <c r="AA248" s="96"/>
      <c r="AB248" s="130"/>
      <c r="AC248" s="130"/>
      <c r="AD248" s="130"/>
      <c r="AE248" s="97"/>
      <c r="AF248" s="130"/>
      <c r="AG248" s="99"/>
      <c r="AH248" s="100"/>
      <c r="AI248" s="100"/>
      <c r="AJ248" s="100" t="str">
        <f aca="false">IF(ISBLANK($C248),"",IF($E248=Constants!$B$2,TRUE(),IF($E248=Constants!$B$3,FALSE(),TRUE())))</f>
        <v/>
      </c>
      <c r="AK248" s="100" t="str">
        <f aca="false">IF(ISBLANK($C248),"",IF($F248=Constants!$B$2,TRUE(),IF($F248=Constants!$B$3,FALSE(),FALSE())))</f>
        <v/>
      </c>
      <c r="AL248" s="100" t="str">
        <f aca="false">IF(ISBLANK($C248),"",IF($G248=Constants!$B$2,TRUE(),IF($G248=Constants!$B$3,FALSE(),TRUE())))</f>
        <v/>
      </c>
      <c r="AM248" s="100" t="str">
        <f aca="false">IF(ISBLANK($C248),"",IF($H248=Constants!$B$2,TRUE(),IF($H248=Constants!$B$3,FALSE(),TRUE())))</f>
        <v/>
      </c>
      <c r="AN248" s="100" t="str">
        <f aca="false">IF(ISBLANK($C248),"",IF(ISNUMBER($I248),IF($I248&gt;=0,$I248,""),""))</f>
        <v/>
      </c>
      <c r="AO248" s="100" t="str">
        <f aca="false">IF(ISBLANK($C248),"",IF(ISNUMBER($J248),IF($J248&gt;=0,$J248,""),""))</f>
        <v/>
      </c>
      <c r="AP248" s="100" t="str">
        <f aca="false">IF(ISBLANK($C248),"",IF(ISNUMBER($K248),IF($K248&gt;=0,$K248,""),""))</f>
        <v/>
      </c>
      <c r="AQ248" s="100" t="str">
        <f aca="false">IF(ISBLANK($C248),"",IF($L248=Constants!$B$2,TRUE(),IF($L248=Constants!$B$3,FALSE(),TRUE())))</f>
        <v/>
      </c>
      <c r="AR248" s="100" t="str">
        <f aca="false">IF(ISBLANK($C248),"",IF($M248=Constants!$B$2,TRUE(),IF($M248=Constants!$B$3,FALSE(),TRUE())))</f>
        <v/>
      </c>
      <c r="AS248" s="100" t="str">
        <f aca="false">IF(ISBLANK($C248),"",IF($N248=Constants!$B$2,TRUE(),IF($N248=Constants!$B$3,FALSE(),FALSE())))</f>
        <v/>
      </c>
      <c r="AT248" s="100" t="str">
        <f aca="false">IF(ISBLANK($C248),"",IF($O248=Constants!$B$2,TRUE(),IF($O248=Constants!$B$3,FALSE(),TRUE())))</f>
        <v/>
      </c>
      <c r="AU248" s="100" t="str">
        <f aca="false">IF(ISBLANK($C248),"",IF($P248=Constants!$B$2,TRUE(),IF($P248=Constants!$B$3,FALSE(),TRUE())))</f>
        <v/>
      </c>
      <c r="AV248" s="100" t="str">
        <f aca="false">IF(ISBLANK($C248),"",IF($Q248=Constants!$B$2,TRUE(),IF($Q248=Constants!$B$3,FALSE(),FALSE())))</f>
        <v/>
      </c>
      <c r="AW248" s="100" t="str">
        <f aca="false">IF(ISBLANK($C248),"",IF($R248=Constants!$B$2,TRUE(),IF($R248=Constants!$B$3,FALSE(),FALSE())))</f>
        <v/>
      </c>
      <c r="AX248" s="100" t="str">
        <f aca="false">IF(ISBLANK($C248),"",IF($S248=Constants!$B$2,TRUE(),IF($S248=Constants!$B$3,FALSE(),FALSE())))</f>
        <v/>
      </c>
      <c r="AY248" s="100" t="str">
        <f aca="false">IF(ISBLANK($C248),"",IF($T248=Constants!$B$2,TRUE(),IF($T248=Constants!$B$3,FALSE(),FALSE())))</f>
        <v/>
      </c>
      <c r="AZ248" s="100" t="str">
        <f aca="false">IF(ISBLANK($C248),"",IF($U248=Constants!$B$2,TRUE(),IF($U248=Constants!$B$3,FALSE(),FALSE())))</f>
        <v/>
      </c>
      <c r="BA248" s="100" t="str">
        <f aca="false">IF(ISBLANK($C248),"",IF(OR($V248&amp;""="1",$V248&amp;""="2",$V248&amp;""="3",$V248&amp;""="4"),VALUE($V248&amp;""),IF($V248=Constants!$B$12,Constants!$B$12,"")))</f>
        <v/>
      </c>
      <c r="BB248" s="100" t="str">
        <f aca="false">IF(ISBLANK($C248),"",IF(ISBLANK($W248),0,IF(ISNUMBER($W248),IF(AND($W248&gt;=0,$W248&lt;=Constants!$B$21,$W248=INT($W248)),$W248,""),"")))</f>
        <v/>
      </c>
      <c r="BC248" s="100" t="str">
        <f aca="false">IF(ISBLANK($C248),"",IF(ISBLANK($X248),0,IF(ISNUMBER($X248),IF($X248&gt;=0,$X248,""),"")))</f>
        <v/>
      </c>
      <c r="BD248" s="100" t="str">
        <f aca="false">IF(ISBLANK($C248),"",IF($Y248=Constants!$B$2,TRUE(),IF($Y248=Constants!$B$3,FALSE(),TRUE())))</f>
        <v/>
      </c>
      <c r="BE248" s="100" t="str">
        <f aca="false">IF(ISBLANK($C248),"",IF($Z248=Constants!$B$2,TRUE(),IF($Z248=Constants!$B$3,FALSE(),FALSE())))</f>
        <v/>
      </c>
      <c r="BF248" s="100" t="str">
        <f aca="false">IF(ISBLANK($C248),"",IF(ISBLANK($AA248),0,IF(ISNUMBER($AA248),IF(AND($AA248&gt;=0,$AA248&lt;=Constants!$B$35,$AA248=INT($AA248)),$AA248,""),"")))</f>
        <v/>
      </c>
      <c r="BG248" s="100" t="str">
        <f aca="false">IF(ISBLANK($C248),"",IF($AB248=Constants!$B$2,TRUE(),IF($AB248=Constants!$B$3,FALSE(),TRUE())))</f>
        <v/>
      </c>
      <c r="BH248" s="100" t="str">
        <f aca="false">IF(ISBLANK($C248),"",IF($AC248=Constants!$B$2,TRUE(),IF($AC248=Constants!$B$3,FALSE(),TRUE())))</f>
        <v/>
      </c>
      <c r="BI248" s="100" t="str">
        <f aca="false">IF(ISBLANK($C248),"",IF($AD248=Constants!$B$2,TRUE(),IF($AD248=Constants!$B$3,FALSE(),TRUE())))</f>
        <v/>
      </c>
      <c r="BJ248" s="100" t="str">
        <f aca="false">IF(ISBLANK($C248),"",IF(ISNUMBER($AE248),IF($AE248&gt;=0,$AE248,""),""))</f>
        <v/>
      </c>
      <c r="BK248" s="100" t="str">
        <f aca="false">IF(ISBLANK($C248),"",IF($AF248=Constants!$B$2,TRUE(),IF($AF248=Constants!$B$3,FALSE(),FALSE())))</f>
        <v/>
      </c>
      <c r="BL248" s="99" t="str">
        <f aca="false">IF(ISBLANK($C248),"",IF($BK248,Constants!$B$7,IF(COUNTA($E248:$AE248)=0,Constants!$B$6,IF(OR(COUNTA($G248:$AE248)=0,NOT($AM248),$AS248),Constants!$B$5,IF(OR($CM248&lt;&gt;"",$CN248,$CO248,$CP248,$CQ248,$CR248,$CS248),Constants!$B$8,Constants!$B$4)))))</f>
        <v/>
      </c>
      <c r="BM248" s="100" t="str">
        <f aca="false">IF(ISBLANK($C248),"",IF($BL248&lt;&gt;Constants!$B$4,$BL248,IF(OR(NOT($AJ248),NOT($AL248),NOT($AT248)),Constants!$B$11,IF(OR(NOT($AR248),NOT($AU248),NOT($BI248),MAX($AN248,$AO248,$AP248)&gt;Constants!$B$30),Constants!$B$10,Constants!$B$9))))</f>
        <v/>
      </c>
      <c r="BN248" s="100" t="str">
        <f aca="false">IF($BL248&lt;&gt;Constants!$B$4,"",IF(NOT($AL248),0,MIN(Constants!$B$35,$BF248)))</f>
        <v/>
      </c>
      <c r="BO248" s="100" t="str">
        <f aca="false">IF($BL248&lt;&gt;Constants!$B$4,"",IF(NOT($AL248),0,IF($AW248,Constants!$B$18,IF($AV248,Constants!$B$17,0))))</f>
        <v/>
      </c>
      <c r="BP248" s="100" t="str">
        <f aca="false">IF($BL248&lt;&gt;Constants!$B$4,"",IF(NOT($AL248),0,Constants!$B$19*($AK248+$AX248+$AY248+$AZ248)))</f>
        <v/>
      </c>
      <c r="BQ248" s="100" t="str">
        <f aca="false">IF($BL248&lt;&gt;Constants!$B$4,"",IF(OR(NOT($AL248),NOT(ISNUMBER($BA248))),0,CHOOSE($BA248,Constants!$B$13,Constants!$B$14,Constants!$B$15,Constants!$B$16)))</f>
        <v/>
      </c>
      <c r="BR248" s="100" t="str">
        <f aca="false">IF($BL248&lt;&gt;Constants!$B$4,"",IF(NOT($AL248),0,Constants!$B$20*$BB248))</f>
        <v/>
      </c>
      <c r="BS248" s="100" t="str">
        <f aca="false">IF($BL248&lt;&gt;Constants!$B$4,"",IF(AND($AL248,$BD248,$BE248),Constants!$B$22,0))</f>
        <v/>
      </c>
      <c r="BT248" s="100" t="str">
        <f aca="false">IF($BL248&lt;&gt;Constants!$B$4,"",IF(OR(NOT($AL248),NOT($BD248)),0,IF($BJ248&gt;=2*$AH$9,0,Constants!$B$23*INT(ROUND(MIN($BJ248,$AH$9),6)))))</f>
        <v/>
      </c>
      <c r="BU248" s="100" t="str">
        <f aca="false">IF($BL248&lt;&gt;Constants!$B$4,"",IF(NOT($AL248),0,Constants!$B$24*INT(ROUND(MIN($BC248,$AH$9),6))))</f>
        <v/>
      </c>
      <c r="BV248" s="100" t="str">
        <f aca="false">IF($BL248&lt;&gt;Constants!$B$4,"",IF(AND($AL248,$BN248=0),Constants!$B$25,0))</f>
        <v/>
      </c>
      <c r="BW248" s="100" t="str">
        <f aca="false">IF($BL248&lt;&gt;Constants!$B$4,"",MIN(Constants!$B$29,MAX(0,Constants!$B$27*Constants!$B$28*INT(ROUND((Constants!$B$26-$AN248)/Constants!$B$28,6))))+MIN(Constants!$B$29,MAX(0,Constants!$B$27*Constants!$B$28*INT(ROUND((Constants!$B$26-$AO248)/Constants!$B$28,6))))+MIN(Constants!$B$29,MAX(0,Constants!$B$27*Constants!$B$28*INT(ROUND((Constants!$B$26-$AP248)/Constants!$B$28,6)))))</f>
        <v/>
      </c>
      <c r="BX248" s="100" t="str">
        <f aca="false">IF($BL248&lt;&gt;Constants!$B$4,"",IF(NOT($AL248),0,Constants!$B$31*INT(ROUND(MAX(0,MIN($BJ248,2*$AH$9)-$AH$9),6))))</f>
        <v/>
      </c>
      <c r="BY248" s="100" t="str">
        <f aca="false">IF($BL248&lt;&gt;Constants!$B$4,"",Constants!$B$32*(($AN248&gt;Constants!$B$26)+($AO248&gt;Constants!$B$26)+($AP248&gt;Constants!$B$26)))</f>
        <v/>
      </c>
      <c r="BZ248" s="100" t="str">
        <f aca="false">IF($BL248&lt;&gt;Constants!$B$4,"",IF(OR(NOT($AL248),$AQ248),0,Constants!$B$33))</f>
        <v/>
      </c>
      <c r="CA248" s="100" t="str">
        <f aca="false">IF($BL248&lt;&gt;Constants!$B$4,"",Constants!$B$34*$BN248)</f>
        <v/>
      </c>
      <c r="CB248" s="100" t="str">
        <f aca="false">IF($BL248&lt;&gt;Constants!$B$4,"",IF(OR(NOT($AL248),$BH248),0,Constants!$B$36))</f>
        <v/>
      </c>
      <c r="CC248" s="100" t="str">
        <f aca="false">IF($BL248&lt;&gt;Constants!$B$4,"",IF(OR(NOT($AL248),$BG248),0,Constants!$B$37))</f>
        <v/>
      </c>
      <c r="CD248" s="100" t="str">
        <f aca="false">IF($BL248&lt;&gt;Constants!$B$4,"",SUM($BX248:$CC248))</f>
        <v/>
      </c>
      <c r="CE248" s="100" t="str">
        <f aca="false">IF(ISBLANK($C248),"",IF($BL248&lt;&gt;Constants!$B$4,$BL248,SUM($BO248:$BW248)-$CD248))</f>
        <v/>
      </c>
      <c r="CF248" s="100" t="str">
        <f aca="false">IF(ISBLANK($C248),"",IF($BL248&lt;&gt;Constants!$B$4,$BL248,RANK($CE248,$CE$9:$CE$508)))</f>
        <v/>
      </c>
      <c r="CG248" s="100" t="str">
        <f aca="false">IF(ISBLANK($C248),"",IF($BL248&lt;&gt;Constants!$B$4,$BL248,COUNTIFS($BM$9:$BM$508,"&lt;"&amp;$BM248)+COUNTIFS($BM$9:$BM$508,$BM248,$CF$9:$CF$508,"&lt;"&amp;$CF248)+1))</f>
        <v/>
      </c>
      <c r="CH248" s="100" t="str">
        <f aca="false">IF(ISBLANK($C248),"",IF($BL248&lt;&gt;Constants!$B$4,$BL248,RANK($CD248,$CD$9:$CD$508,1)))</f>
        <v/>
      </c>
      <c r="CI248" s="100" t="str">
        <f aca="false">IF($BL248&lt;&gt;Constants!$B$4,"",$AN248+$AO248+$AP248)</f>
        <v/>
      </c>
      <c r="CJ248" s="100" t="str">
        <f aca="false">IF(ISBLANK($C248),"",IF($BL248&lt;&gt;Constants!$B$4,$BL248,RANK($CI248,$CI$9:$CI$508,1)))</f>
        <v/>
      </c>
      <c r="CK248" s="100" t="str">
        <f aca="false">IF(ISBLANK($C248),"",IF($BL248&lt;&gt;Constants!$B$4,$BL248,COUNTIFS($BM$9:$BM$508,"&lt;"&amp;$BM248)+COUNTIFS($BM$9:$BM$508,$BM248,$CF$9:$CF$508,"&lt;"&amp;$CF248)+COUNTIFS($BM$9:$BM$508,$BM248,$CF$9:$CF$508,$CF248,$CH$9:$CH$508,"&lt;"&amp;$CH248)+COUNTIFS($BM$9:$BM$508,$BM248,$CF$9:$CF$508,$CF248,$CH$9:$CH$508,$CH248,$CJ$9:$CJ$508,"&lt;"&amp;$CJ248)+1))</f>
        <v/>
      </c>
      <c r="CL248" s="100" t="str">
        <f aca="false">IF(ISBLANK($C248),"",IF($BL248&lt;&gt;Constants!$B$4,$BL248,$CG248-$CK248))</f>
        <v/>
      </c>
      <c r="CM248" s="100" t="str">
        <f aca="false">IF(ISBLANK($C248),"",IF(NOT($AL248),"",IF(ISBLANK($D$7),$CM$5,IF(NOT(ISNUMBER($D$7)),$CM$6,""))))</f>
        <v/>
      </c>
      <c r="CN248" s="100" t="str">
        <f aca="false">IF(ISBLANK($C248),"",OR($AN248="",$AO248="",$AP248=""))</f>
        <v/>
      </c>
      <c r="CO248" s="100" t="str">
        <f aca="false">IF(ISBLANK($C248),"",AND($AL248,$BA248=""))</f>
        <v/>
      </c>
      <c r="CP248" s="100" t="str">
        <f aca="false">IF(ISBLANK($C248),"",AND($AL248,$BB248=""))</f>
        <v/>
      </c>
      <c r="CQ248" s="100" t="str">
        <f aca="false">IF(ISBLANK($C248),"",AND($AL248,$BC248=""))</f>
        <v/>
      </c>
      <c r="CR248" s="100" t="str">
        <f aca="false">IF(ISBLANK($C248),"",AND($AL248,$BF248=""))</f>
        <v/>
      </c>
      <c r="CS248" s="100" t="str">
        <f aca="false">IF(ISBLANK($C248),"",AND($AL248,$BJ248=""))</f>
        <v/>
      </c>
      <c r="CT248" s="101"/>
      <c r="CU248" s="102"/>
      <c r="CV248" s="103" t="str">
        <f aca="false">IF(ISBLANK($C248),"",IF($BL248=Constants!$B$8,$CM248,""))</f>
        <v/>
      </c>
      <c r="CW248" s="102" t="str">
        <f aca="false">IF(ISBLANK($C248),"",IF($BL248&lt;&gt;Constants!$B$4,"",$BO248+$BP248))</f>
        <v/>
      </c>
      <c r="CX248" s="104" t="str">
        <f aca="false">IF(ISBLANK($C248),"",IF($BL248&lt;&gt;Constants!$B$4,"",$BQ248+$BR248+$BS248))</f>
        <v/>
      </c>
      <c r="CY248" s="104" t="str">
        <f aca="false">IF(ISBLANK($C248),"",IF($BL248&lt;&gt;Constants!$B$4,"",$BT248))</f>
        <v/>
      </c>
      <c r="CZ248" s="104" t="str">
        <f aca="false">IF(ISBLANK($C248),"",IF($BL248&lt;&gt;Constants!$B$4,"",$BU248+$BV248))</f>
        <v/>
      </c>
      <c r="DA248" s="104" t="str">
        <f aca="false">IF(ISBLANK($C248),"",IF($BL248&lt;&gt;Constants!$B$4,"",$BW248))</f>
        <v/>
      </c>
      <c r="DB248" s="104" t="str">
        <f aca="false">IF(ISBLANK($C248),"",IF($BL248&lt;&gt;Constants!$B$4,"",-$CD248))</f>
        <v/>
      </c>
      <c r="DC248" s="103" t="str">
        <f aca="false">IF(ISBLANK($C248),"",$CE248)</f>
        <v/>
      </c>
      <c r="DD248" s="105" t="str">
        <f aca="false">IF(ISBLANK($C248),"",$BM248)</f>
        <v/>
      </c>
      <c r="DE248" s="104" t="str">
        <f aca="false">IF(ISBLANK($C248),"",$CL248)</f>
        <v/>
      </c>
      <c r="DF248" s="104" t="str">
        <f aca="false">IF(ISBLANK($C248),"",$CK248)</f>
        <v/>
      </c>
      <c r="DG248" s="106" t="str">
        <f aca="false">IF(ISBLANK($C248),"",IF($DF248=Constants!$B$7,COUNTA($C$9:$C$508)+2,IF($DF248=Constants!$B$6,COUNTA($C$9:$C$508)+1,IF($DF248=Constants!$B$5,COUNTA($C$9:$C$508),$DF248))))</f>
        <v/>
      </c>
      <c r="DH248" s="7"/>
      <c r="DI248" s="107" t="n">
        <f aca="false">IF(OR(ISNUMBER($DF248),$DF248=Constants!$B$7,$DF248=Constants!$B$5,$DF248=Constants!$B$6),1,0)</f>
        <v>0</v>
      </c>
      <c r="DJ248" s="107" t="n">
        <v>240</v>
      </c>
      <c r="DK248" s="107" t="str">
        <f aca="false">IF(ISBLANK($C248),"",IF(ISNUMBER($DG248),$DG248+ROW($B248)/1000,""))</f>
        <v/>
      </c>
      <c r="DL248" s="107" t="str">
        <f aca="false">IF(ISNUMBER($DK248),RANK($DK248,$DK$9:$DK$508,1),"")</f>
        <v/>
      </c>
      <c r="DM248" s="107" t="str">
        <f aca="false">IF(ISBLANK($C248),"",$B248)</f>
        <v/>
      </c>
      <c r="DN248" s="107" t="str">
        <f aca="false">IF(ISBLANK($C248),"",$C248)</f>
        <v/>
      </c>
      <c r="DO248" s="107" t="str">
        <f aca="false">IF(ISBLANK($C248),"",$D248)</f>
        <v/>
      </c>
      <c r="DP248" s="108" t="str">
        <f aca="false">$DD248</f>
        <v/>
      </c>
      <c r="DQ248" s="109" t="str">
        <f aca="false">$DC248</f>
        <v/>
      </c>
      <c r="DR248" s="107" t="str">
        <f aca="false">IF(ISBLANK($C248),"",$DF248)</f>
        <v/>
      </c>
      <c r="DS248" s="110" t="str">
        <f aca="false">IF($DJ248&gt;$DI$8,"",VLOOKUP($DJ248,$DL$9:$DR$508,7,FALSE()))</f>
        <v/>
      </c>
      <c r="DT248" s="111" t="str">
        <f aca="false">IF($DJ248&gt;$DI$8,"",VLOOKUP($DJ248,$DL$9:$DR$508,2,FALSE()))</f>
        <v/>
      </c>
      <c r="DU248" s="111" t="str">
        <f aca="false">IF($DJ248&gt;$DI$8,"",VLOOKUP($DJ248,$DL$9:$DR$508,3,FALSE()))</f>
        <v/>
      </c>
      <c r="DV248" s="111" t="str">
        <f aca="false">IF($DJ248&gt;$DI$8,"",VLOOKUP($DJ248,$DL$9:$DR$508,4,FALSE()))</f>
        <v/>
      </c>
      <c r="DW248" s="111" t="str">
        <f aca="false">IF($DJ248&gt;$DI$8,"",VLOOKUP($DJ248,$DL$9:$DR$508,5,FALSE()))</f>
        <v/>
      </c>
      <c r="DX248" s="112" t="str">
        <f aca="false">IF($DJ248&gt;$DI$8,"",VLOOKUP($DJ248,$DL$9:$DR$508,6,FALSE()))</f>
        <v/>
      </c>
      <c r="DY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88"/>
      <c r="N249" s="88"/>
      <c r="O249" s="134"/>
      <c r="P249" s="134"/>
      <c r="Q249" s="88"/>
      <c r="R249" s="88"/>
      <c r="S249" s="88"/>
      <c r="T249" s="88"/>
      <c r="U249" s="134"/>
      <c r="V249" s="88"/>
      <c r="W249" s="70"/>
      <c r="X249" s="88"/>
      <c r="Y249" s="88"/>
      <c r="Z249" s="70"/>
      <c r="AA249" s="70"/>
      <c r="AB249" s="88"/>
      <c r="AC249" s="88"/>
      <c r="AD249" s="88"/>
      <c r="AE249" s="71"/>
      <c r="AF249" s="88"/>
      <c r="AG249" s="73"/>
      <c r="AH249" s="74"/>
      <c r="AI249" s="74"/>
      <c r="AJ249" s="74" t="str">
        <f aca="false">IF(ISBLANK($C249),"",IF($E249=Constants!$B$2,TRUE(),IF($E249=Constants!$B$3,FALSE(),TRUE())))</f>
        <v/>
      </c>
      <c r="AK249" s="74" t="str">
        <f aca="false">IF(ISBLANK($C249),"",IF($F249=Constants!$B$2,TRUE(),IF($F249=Constants!$B$3,FALSE(),FALSE())))</f>
        <v/>
      </c>
      <c r="AL249" s="74" t="str">
        <f aca="false">IF(ISBLANK($C249),"",IF($G249=Constants!$B$2,TRUE(),IF($G249=Constants!$B$3,FALSE(),TRUE())))</f>
        <v/>
      </c>
      <c r="AM249" s="74" t="str">
        <f aca="false">IF(ISBLANK($C249),"",IF($H249=Constants!$B$2,TRUE(),IF($H249=Constants!$B$3,FALSE(),TRUE())))</f>
        <v/>
      </c>
      <c r="AN249" s="74" t="str">
        <f aca="false">IF(ISBLANK($C249),"",IF(ISNUMBER($I249),IF($I249&gt;=0,$I249,""),""))</f>
        <v/>
      </c>
      <c r="AO249" s="74" t="str">
        <f aca="false">IF(ISBLANK($C249),"",IF(ISNUMBER($J249),IF($J249&gt;=0,$J249,""),""))</f>
        <v/>
      </c>
      <c r="AP249" s="74" t="str">
        <f aca="false">IF(ISBLANK($C249),"",IF(ISNUMBER($K249),IF($K249&gt;=0,$K249,""),""))</f>
        <v/>
      </c>
      <c r="AQ249" s="74" t="str">
        <f aca="false">IF(ISBLANK($C249),"",IF($L249=Constants!$B$2,TRUE(),IF($L249=Constants!$B$3,FALSE(),TRUE())))</f>
        <v/>
      </c>
      <c r="AR249" s="74" t="str">
        <f aca="false">IF(ISBLANK($C249),"",IF($M249=Constants!$B$2,TRUE(),IF($M249=Constants!$B$3,FALSE(),TRUE())))</f>
        <v/>
      </c>
      <c r="AS249" s="74" t="str">
        <f aca="false">IF(ISBLANK($C249),"",IF($N249=Constants!$B$2,TRUE(),IF($N249=Constants!$B$3,FALSE(),FALSE())))</f>
        <v/>
      </c>
      <c r="AT249" s="74" t="str">
        <f aca="false">IF(ISBLANK($C249),"",IF($O249=Constants!$B$2,TRUE(),IF($O249=Constants!$B$3,FALSE(),TRUE())))</f>
        <v/>
      </c>
      <c r="AU249" s="74" t="str">
        <f aca="false">IF(ISBLANK($C249),"",IF($P249=Constants!$B$2,TRUE(),IF($P249=Constants!$B$3,FALSE(),TRUE())))</f>
        <v/>
      </c>
      <c r="AV249" s="74" t="str">
        <f aca="false">IF(ISBLANK($C249),"",IF($Q249=Constants!$B$2,TRUE(),IF($Q249=Constants!$B$3,FALSE(),FALSE())))</f>
        <v/>
      </c>
      <c r="AW249" s="74" t="str">
        <f aca="false">IF(ISBLANK($C249),"",IF($R249=Constants!$B$2,TRUE(),IF($R249=Constants!$B$3,FALSE(),FALSE())))</f>
        <v/>
      </c>
      <c r="AX249" s="74" t="str">
        <f aca="false">IF(ISBLANK($C249),"",IF($S249=Constants!$B$2,TRUE(),IF($S249=Constants!$B$3,FALSE(),FALSE())))</f>
        <v/>
      </c>
      <c r="AY249" s="74" t="str">
        <f aca="false">IF(ISBLANK($C249),"",IF($T249=Constants!$B$2,TRUE(),IF($T249=Constants!$B$3,FALSE(),FALSE())))</f>
        <v/>
      </c>
      <c r="AZ249" s="74" t="str">
        <f aca="false">IF(ISBLANK($C249),"",IF($U249=Constants!$B$2,TRUE(),IF($U249=Constants!$B$3,FALSE(),FALSE())))</f>
        <v/>
      </c>
      <c r="BA249" s="74" t="str">
        <f aca="false">IF(ISBLANK($C249),"",IF(OR($V249&amp;""="1",$V249&amp;""="2",$V249&amp;""="3",$V249&amp;""="4"),VALUE($V249&amp;""),IF($V249=Constants!$B$12,Constants!$B$12,"")))</f>
        <v/>
      </c>
      <c r="BB249" s="74" t="str">
        <f aca="false">IF(ISBLANK($C249),"",IF(ISBLANK($W249),0,IF(ISNUMBER($W249),IF(AND($W249&gt;=0,$W249&lt;=Constants!$B$21,$W249=INT($W249)),$W249,""),"")))</f>
        <v/>
      </c>
      <c r="BC249" s="74" t="str">
        <f aca="false">IF(ISBLANK($C249),"",IF(ISBLANK($X249),0,IF(ISNUMBER($X249),IF($X249&gt;=0,$X249,""),"")))</f>
        <v/>
      </c>
      <c r="BD249" s="74" t="str">
        <f aca="false">IF(ISBLANK($C249),"",IF($Y249=Constants!$B$2,TRUE(),IF($Y249=Constants!$B$3,FALSE(),TRUE())))</f>
        <v/>
      </c>
      <c r="BE249" s="74" t="str">
        <f aca="false">IF(ISBLANK($C249),"",IF($Z249=Constants!$B$2,TRUE(),IF($Z249=Constants!$B$3,FALSE(),FALSE())))</f>
        <v/>
      </c>
      <c r="BF249" s="74" t="str">
        <f aca="false">IF(ISBLANK($C249),"",IF(ISBLANK($AA249),0,IF(ISNUMBER($AA249),IF(AND($AA249&gt;=0,$AA249&lt;=Constants!$B$35,$AA249=INT($AA249)),$AA249,""),"")))</f>
        <v/>
      </c>
      <c r="BG249" s="74" t="str">
        <f aca="false">IF(ISBLANK($C249),"",IF($AB249=Constants!$B$2,TRUE(),IF($AB249=Constants!$B$3,FALSE(),TRUE())))</f>
        <v/>
      </c>
      <c r="BH249" s="74" t="str">
        <f aca="false">IF(ISBLANK($C249),"",IF($AC249=Constants!$B$2,TRUE(),IF($AC249=Constants!$B$3,FALSE(),TRUE())))</f>
        <v/>
      </c>
      <c r="BI249" s="74" t="str">
        <f aca="false">IF(ISBLANK($C249),"",IF($AD249=Constants!$B$2,TRUE(),IF($AD249=Constants!$B$3,FALSE(),TRUE())))</f>
        <v/>
      </c>
      <c r="BJ249" s="74" t="str">
        <f aca="false">IF(ISBLANK($C249),"",IF(ISNUMBER($AE249),IF($AE249&gt;=0,$AE249,""),""))</f>
        <v/>
      </c>
      <c r="BK249" s="74" t="str">
        <f aca="false">IF(ISBLANK($C249),"",IF($AF249=Constants!$B$2,TRUE(),IF($AF249=Constants!$B$3,FALSE(),FALSE())))</f>
        <v/>
      </c>
      <c r="BL249" s="73" t="str">
        <f aca="false">IF(ISBLANK($C249),"",IF($BK249,Constants!$B$7,IF(COUNTA($E249:$AE249)=0,Constants!$B$6,IF(OR(COUNTA($G249:$AE249)=0,NOT($AM249),$AS249),Constants!$B$5,IF(OR($CM249&lt;&gt;"",$CN249,$CO249,$CP249,$CQ249,$CR249,$CS249),Constants!$B$8,Constants!$B$4)))))</f>
        <v/>
      </c>
      <c r="BM249" s="74" t="str">
        <f aca="false">IF(ISBLANK($C249),"",IF($BL249&lt;&gt;Constants!$B$4,$BL249,IF(OR(NOT($AJ249),NOT($AL249),NOT($AT249)),Constants!$B$11,IF(OR(NOT($AR249),NOT($AU249),NOT($BI249),MAX($AN249,$AO249,$AP249)&gt;Constants!$B$30),Constants!$B$10,Constants!$B$9))))</f>
        <v/>
      </c>
      <c r="BN249" s="74" t="str">
        <f aca="false">IF($BL249&lt;&gt;Constants!$B$4,"",IF(NOT($AL249),0,MIN(Constants!$B$35,$BF249)))</f>
        <v/>
      </c>
      <c r="BO249" s="74" t="str">
        <f aca="false">IF($BL249&lt;&gt;Constants!$B$4,"",IF(NOT($AL249),0,IF($AW249,Constants!$B$18,IF($AV249,Constants!$B$17,0))))</f>
        <v/>
      </c>
      <c r="BP249" s="74" t="str">
        <f aca="false">IF($BL249&lt;&gt;Constants!$B$4,"",IF(NOT($AL249),0,Constants!$B$19*($AK249+$AX249+$AY249+$AZ249)))</f>
        <v/>
      </c>
      <c r="BQ249" s="74" t="str">
        <f aca="false">IF($BL249&lt;&gt;Constants!$B$4,"",IF(OR(NOT($AL249),NOT(ISNUMBER($BA249))),0,CHOOSE($BA249,Constants!$B$13,Constants!$B$14,Constants!$B$15,Constants!$B$16)))</f>
        <v/>
      </c>
      <c r="BR249" s="74" t="str">
        <f aca="false">IF($BL249&lt;&gt;Constants!$B$4,"",IF(NOT($AL249),0,Constants!$B$20*$BB249))</f>
        <v/>
      </c>
      <c r="BS249" s="74" t="str">
        <f aca="false">IF($BL249&lt;&gt;Constants!$B$4,"",IF(AND($AL249,$BD249,$BE249),Constants!$B$22,0))</f>
        <v/>
      </c>
      <c r="BT249" s="74" t="str">
        <f aca="false">IF($BL249&lt;&gt;Constants!$B$4,"",IF(OR(NOT($AL249),NOT($BD249)),0,IF($BJ249&gt;=2*$AH$9,0,Constants!$B$23*INT(ROUND(MIN($BJ249,$AH$9),6)))))</f>
        <v/>
      </c>
      <c r="BU249" s="74" t="str">
        <f aca="false">IF($BL249&lt;&gt;Constants!$B$4,"",IF(NOT($AL249),0,Constants!$B$24*INT(ROUND(MIN($BC249,$AH$9),6))))</f>
        <v/>
      </c>
      <c r="BV249" s="74" t="str">
        <f aca="false">IF($BL249&lt;&gt;Constants!$B$4,"",IF(AND($AL249,$BN249=0),Constants!$B$25,0))</f>
        <v/>
      </c>
      <c r="BW249" s="74" t="str">
        <f aca="false">IF($BL249&lt;&gt;Constants!$B$4,"",MIN(Constants!$B$29,MAX(0,Constants!$B$27*Constants!$B$28*INT(ROUND((Constants!$B$26-$AN249)/Constants!$B$28,6))))+MIN(Constants!$B$29,MAX(0,Constants!$B$27*Constants!$B$28*INT(ROUND((Constants!$B$26-$AO249)/Constants!$B$28,6))))+MIN(Constants!$B$29,MAX(0,Constants!$B$27*Constants!$B$28*INT(ROUND((Constants!$B$26-$AP249)/Constants!$B$28,6)))))</f>
        <v/>
      </c>
      <c r="BX249" s="74" t="str">
        <f aca="false">IF($BL249&lt;&gt;Constants!$B$4,"",IF(NOT($AL249),0,Constants!$B$31*INT(ROUND(MAX(0,MIN($BJ249,2*$AH$9)-$AH$9),6))))</f>
        <v/>
      </c>
      <c r="BY249" s="74" t="str">
        <f aca="false">IF($BL249&lt;&gt;Constants!$B$4,"",Constants!$B$32*(($AN249&gt;Constants!$B$26)+($AO249&gt;Constants!$B$26)+($AP249&gt;Constants!$B$26)))</f>
        <v/>
      </c>
      <c r="BZ249" s="74" t="str">
        <f aca="false">IF($BL249&lt;&gt;Constants!$B$4,"",IF(OR(NOT($AL249),$AQ249),0,Constants!$B$33))</f>
        <v/>
      </c>
      <c r="CA249" s="74" t="str">
        <f aca="false">IF($BL249&lt;&gt;Constants!$B$4,"",Constants!$B$34*$BN249)</f>
        <v/>
      </c>
      <c r="CB249" s="74" t="str">
        <f aca="false">IF($BL249&lt;&gt;Constants!$B$4,"",IF(OR(NOT($AL249),$BH249),0,Constants!$B$36))</f>
        <v/>
      </c>
      <c r="CC249" s="74" t="str">
        <f aca="false">IF($BL249&lt;&gt;Constants!$B$4,"",IF(OR(NOT($AL249),$BG249),0,Constants!$B$37))</f>
        <v/>
      </c>
      <c r="CD249" s="74" t="str">
        <f aca="false">IF($BL249&lt;&gt;Constants!$B$4,"",SUM($BX249:$CC249))</f>
        <v/>
      </c>
      <c r="CE249" s="74" t="str">
        <f aca="false">IF(ISBLANK($C249),"",IF($BL249&lt;&gt;Constants!$B$4,$BL249,SUM($BO249:$BW249)-$CD249))</f>
        <v/>
      </c>
      <c r="CF249" s="74" t="str">
        <f aca="false">IF(ISBLANK($C249),"",IF($BL249&lt;&gt;Constants!$B$4,$BL249,RANK($CE249,$CE$9:$CE$508)))</f>
        <v/>
      </c>
      <c r="CG249" s="74" t="str">
        <f aca="false">IF(ISBLANK($C249),"",IF($BL249&lt;&gt;Constants!$B$4,$BL249,COUNTIFS($BM$9:$BM$508,"&lt;"&amp;$BM249)+COUNTIFS($BM$9:$BM$508,$BM249,$CF$9:$CF$508,"&lt;"&amp;$CF249)+1))</f>
        <v/>
      </c>
      <c r="CH249" s="74" t="str">
        <f aca="false">IF(ISBLANK($C249),"",IF($BL249&lt;&gt;Constants!$B$4,$BL249,RANK($CD249,$CD$9:$CD$508,1)))</f>
        <v/>
      </c>
      <c r="CI249" s="74" t="str">
        <f aca="false">IF($BL249&lt;&gt;Constants!$B$4,"",$AN249+$AO249+$AP249)</f>
        <v/>
      </c>
      <c r="CJ249" s="74" t="str">
        <f aca="false">IF(ISBLANK($C249),"",IF($BL249&lt;&gt;Constants!$B$4,$BL249,RANK($CI249,$CI$9:$CI$508,1)))</f>
        <v/>
      </c>
      <c r="CK249" s="74" t="str">
        <f aca="false">IF(ISBLANK($C249),"",IF($BL249&lt;&gt;Constants!$B$4,$BL249,COUNTIFS($BM$9:$BM$508,"&lt;"&amp;$BM249)+COUNTIFS($BM$9:$BM$508,$BM249,$CF$9:$CF$508,"&lt;"&amp;$CF249)+COUNTIFS($BM$9:$BM$508,$BM249,$CF$9:$CF$508,$CF249,$CH$9:$CH$508,"&lt;"&amp;$CH249)+COUNTIFS($BM$9:$BM$508,$BM249,$CF$9:$CF$508,$CF249,$CH$9:$CH$508,$CH249,$CJ$9:$CJ$508,"&lt;"&amp;$CJ249)+1))</f>
        <v/>
      </c>
      <c r="CL249" s="74" t="str">
        <f aca="false">IF(ISBLANK($C249),"",IF($BL249&lt;&gt;Constants!$B$4,$BL249,$CG249-$CK249))</f>
        <v/>
      </c>
      <c r="CM249" s="74" t="str">
        <f aca="false">IF(ISBLANK($C249),"",IF(NOT($AL249),"",IF(ISBLANK($D$7),$CM$5,IF(NOT(ISNUMBER($D$7)),$CM$6,""))))</f>
        <v/>
      </c>
      <c r="CN249" s="74" t="str">
        <f aca="false">IF(ISBLANK($C249),"",OR($AN249="",$AO249="",$AP249=""))</f>
        <v/>
      </c>
      <c r="CO249" s="74" t="str">
        <f aca="false">IF(ISBLANK($C249),"",AND($AL249,$BA249=""))</f>
        <v/>
      </c>
      <c r="CP249" s="74" t="str">
        <f aca="false">IF(ISBLANK($C249),"",AND($AL249,$BB249=""))</f>
        <v/>
      </c>
      <c r="CQ249" s="74" t="str">
        <f aca="false">IF(ISBLANK($C249),"",AND($AL249,$BC249=""))</f>
        <v/>
      </c>
      <c r="CR249" s="74" t="str">
        <f aca="false">IF(ISBLANK($C249),"",AND($AL249,$BF249=""))</f>
        <v/>
      </c>
      <c r="CS249" s="74" t="str">
        <f aca="false">IF(ISBLANK($C249),"",AND($AL249,$BJ249=""))</f>
        <v/>
      </c>
      <c r="CT249" s="75"/>
      <c r="CU249" s="76"/>
      <c r="CV249" s="79" t="str">
        <f aca="false">IF(ISBLANK($C249),"",IF($BL249=Constants!$B$8,$CM249,""))</f>
        <v/>
      </c>
      <c r="CW249" s="76" t="str">
        <f aca="false">IF(ISBLANK($C249),"",IF($BL249&lt;&gt;Constants!$B$4,"",$BO249+$BP249))</f>
        <v/>
      </c>
      <c r="CX249" s="78" t="str">
        <f aca="false">IF(ISBLANK($C249),"",IF($BL249&lt;&gt;Constants!$B$4,"",$BQ249+$BR249+$BS249))</f>
        <v/>
      </c>
      <c r="CY249" s="78" t="str">
        <f aca="false">IF(ISBLANK($C249),"",IF($BL249&lt;&gt;Constants!$B$4,"",$BT249))</f>
        <v/>
      </c>
      <c r="CZ249" s="78" t="str">
        <f aca="false">IF(ISBLANK($C249),"",IF($BL249&lt;&gt;Constants!$B$4,"",$BU249+$BV249))</f>
        <v/>
      </c>
      <c r="DA249" s="78" t="str">
        <f aca="false">IF(ISBLANK($C249),"",IF($BL249&lt;&gt;Constants!$B$4,"",$BW249))</f>
        <v/>
      </c>
      <c r="DB249" s="78" t="str">
        <f aca="false">IF(ISBLANK($C249),"",IF($BL249&lt;&gt;Constants!$B$4,"",-$CD249))</f>
        <v/>
      </c>
      <c r="DC249" s="79" t="str">
        <f aca="false">IF(ISBLANK($C249),"",$CE249)</f>
        <v/>
      </c>
      <c r="DD249" s="80" t="str">
        <f aca="false">IF(ISBLANK($C249),"",$BM249)</f>
        <v/>
      </c>
      <c r="DE249" s="78" t="str">
        <f aca="false">IF(ISBLANK($C249),"",$CL249)</f>
        <v/>
      </c>
      <c r="DF249" s="78" t="str">
        <f aca="false">IF(ISBLANK($C249),"",$CK249)</f>
        <v/>
      </c>
      <c r="DG249" s="81" t="str">
        <f aca="false">IF(ISBLANK($C249),"",IF($DF249=Constants!$B$7,COUNTA($C$9:$C$508)+2,IF($DF249=Constants!$B$6,COUNTA($C$9:$C$508)+1,IF($DF249=Constants!$B$5,COUNTA($C$9:$C$508),$DF249))))</f>
        <v/>
      </c>
      <c r="DH249" s="7"/>
      <c r="DI249" s="82" t="n">
        <f aca="false">IF(OR(ISNUMBER($DF249),$DF249=Constants!$B$7,$DF249=Constants!$B$5,$DF249=Constants!$B$6),1,0)</f>
        <v>0</v>
      </c>
      <c r="DJ249" s="82" t="n">
        <v>241</v>
      </c>
      <c r="DK249" s="82" t="str">
        <f aca="false">IF(ISBLANK($C249),"",IF(ISNUMBER($DG249),$DG249+ROW($B249)/1000,""))</f>
        <v/>
      </c>
      <c r="DL249" s="82" t="str">
        <f aca="false">IF(ISNUMBER($DK249),RANK($DK249,$DK$9:$DK$508,1),"")</f>
        <v/>
      </c>
      <c r="DM249" s="82" t="str">
        <f aca="false">IF(ISBLANK($C249),"",$B249)</f>
        <v/>
      </c>
      <c r="DN249" s="82" t="str">
        <f aca="false">IF(ISBLANK($C249),"",$C249)</f>
        <v/>
      </c>
      <c r="DO249" s="82" t="str">
        <f aca="false">IF(ISBLANK($C249),"",$D249)</f>
        <v/>
      </c>
      <c r="DP249" s="83" t="str">
        <f aca="false">$DD249</f>
        <v/>
      </c>
      <c r="DQ249" s="84" t="str">
        <f aca="false">$DC249</f>
        <v/>
      </c>
      <c r="DR249" s="82" t="str">
        <f aca="false">IF(ISBLANK($C249),"",$DF249)</f>
        <v/>
      </c>
      <c r="DS249" s="85" t="str">
        <f aca="false">IF($DJ249&gt;$DI$8,"",VLOOKUP($DJ249,$DL$9:$DR$508,7,FALSE()))</f>
        <v/>
      </c>
      <c r="DT249" s="86" t="str">
        <f aca="false">IF($DJ249&gt;$DI$8,"",VLOOKUP($DJ249,$DL$9:$DR$508,2,FALSE()))</f>
        <v/>
      </c>
      <c r="DU249" s="86" t="str">
        <f aca="false">IF($DJ249&gt;$DI$8,"",VLOOKUP($DJ249,$DL$9:$DR$508,3,FALSE()))</f>
        <v/>
      </c>
      <c r="DV249" s="86" t="str">
        <f aca="false">IF($DJ249&gt;$DI$8,"",VLOOKUP($DJ249,$DL$9:$DR$508,4,FALSE()))</f>
        <v/>
      </c>
      <c r="DW249" s="86" t="str">
        <f aca="false">IF($DJ249&gt;$DI$8,"",VLOOKUP($DJ249,$DL$9:$DR$508,5,FALSE()))</f>
        <v/>
      </c>
      <c r="DX249" s="87" t="str">
        <f aca="false">IF($DJ249&gt;$DI$8,"",VLOOKUP($DJ249,$DL$9:$DR$508,6,FALSE()))</f>
        <v/>
      </c>
      <c r="DY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88"/>
      <c r="N250" s="88"/>
      <c r="O250" s="134"/>
      <c r="P250" s="134"/>
      <c r="Q250" s="88"/>
      <c r="R250" s="88"/>
      <c r="S250" s="88"/>
      <c r="T250" s="88"/>
      <c r="U250" s="134"/>
      <c r="V250" s="88"/>
      <c r="W250" s="70"/>
      <c r="X250" s="88"/>
      <c r="Y250" s="88"/>
      <c r="Z250" s="70"/>
      <c r="AA250" s="70"/>
      <c r="AB250" s="88"/>
      <c r="AC250" s="88"/>
      <c r="AD250" s="88"/>
      <c r="AE250" s="71"/>
      <c r="AF250" s="88"/>
      <c r="AG250" s="73"/>
      <c r="AH250" s="74"/>
      <c r="AI250" s="74"/>
      <c r="AJ250" s="74" t="str">
        <f aca="false">IF(ISBLANK($C250),"",IF($E250=Constants!$B$2,TRUE(),IF($E250=Constants!$B$3,FALSE(),TRUE())))</f>
        <v/>
      </c>
      <c r="AK250" s="74" t="str">
        <f aca="false">IF(ISBLANK($C250),"",IF($F250=Constants!$B$2,TRUE(),IF($F250=Constants!$B$3,FALSE(),FALSE())))</f>
        <v/>
      </c>
      <c r="AL250" s="74" t="str">
        <f aca="false">IF(ISBLANK($C250),"",IF($G250=Constants!$B$2,TRUE(),IF($G250=Constants!$B$3,FALSE(),TRUE())))</f>
        <v/>
      </c>
      <c r="AM250" s="74" t="str">
        <f aca="false">IF(ISBLANK($C250),"",IF($H250=Constants!$B$2,TRUE(),IF($H250=Constants!$B$3,FALSE(),TRUE())))</f>
        <v/>
      </c>
      <c r="AN250" s="74" t="str">
        <f aca="false">IF(ISBLANK($C250),"",IF(ISNUMBER($I250),IF($I250&gt;=0,$I250,""),""))</f>
        <v/>
      </c>
      <c r="AO250" s="74" t="str">
        <f aca="false">IF(ISBLANK($C250),"",IF(ISNUMBER($J250),IF($J250&gt;=0,$J250,""),""))</f>
        <v/>
      </c>
      <c r="AP250" s="74" t="str">
        <f aca="false">IF(ISBLANK($C250),"",IF(ISNUMBER($K250),IF($K250&gt;=0,$K250,""),""))</f>
        <v/>
      </c>
      <c r="AQ250" s="74" t="str">
        <f aca="false">IF(ISBLANK($C250),"",IF($L250=Constants!$B$2,TRUE(),IF($L250=Constants!$B$3,FALSE(),TRUE())))</f>
        <v/>
      </c>
      <c r="AR250" s="74" t="str">
        <f aca="false">IF(ISBLANK($C250),"",IF($M250=Constants!$B$2,TRUE(),IF($M250=Constants!$B$3,FALSE(),TRUE())))</f>
        <v/>
      </c>
      <c r="AS250" s="74" t="str">
        <f aca="false">IF(ISBLANK($C250),"",IF($N250=Constants!$B$2,TRUE(),IF($N250=Constants!$B$3,FALSE(),FALSE())))</f>
        <v/>
      </c>
      <c r="AT250" s="74" t="str">
        <f aca="false">IF(ISBLANK($C250),"",IF($O250=Constants!$B$2,TRUE(),IF($O250=Constants!$B$3,FALSE(),TRUE())))</f>
        <v/>
      </c>
      <c r="AU250" s="74" t="str">
        <f aca="false">IF(ISBLANK($C250),"",IF($P250=Constants!$B$2,TRUE(),IF($P250=Constants!$B$3,FALSE(),TRUE())))</f>
        <v/>
      </c>
      <c r="AV250" s="74" t="str">
        <f aca="false">IF(ISBLANK($C250),"",IF($Q250=Constants!$B$2,TRUE(),IF($Q250=Constants!$B$3,FALSE(),FALSE())))</f>
        <v/>
      </c>
      <c r="AW250" s="74" t="str">
        <f aca="false">IF(ISBLANK($C250),"",IF($R250=Constants!$B$2,TRUE(),IF($R250=Constants!$B$3,FALSE(),FALSE())))</f>
        <v/>
      </c>
      <c r="AX250" s="74" t="str">
        <f aca="false">IF(ISBLANK($C250),"",IF($S250=Constants!$B$2,TRUE(),IF($S250=Constants!$B$3,FALSE(),FALSE())))</f>
        <v/>
      </c>
      <c r="AY250" s="74" t="str">
        <f aca="false">IF(ISBLANK($C250),"",IF($T250=Constants!$B$2,TRUE(),IF($T250=Constants!$B$3,FALSE(),FALSE())))</f>
        <v/>
      </c>
      <c r="AZ250" s="74" t="str">
        <f aca="false">IF(ISBLANK($C250),"",IF($U250=Constants!$B$2,TRUE(),IF($U250=Constants!$B$3,FALSE(),FALSE())))</f>
        <v/>
      </c>
      <c r="BA250" s="74" t="str">
        <f aca="false">IF(ISBLANK($C250),"",IF(OR($V250&amp;""="1",$V250&amp;""="2",$V250&amp;""="3",$V250&amp;""="4"),VALUE($V250&amp;""),IF($V250=Constants!$B$12,Constants!$B$12,"")))</f>
        <v/>
      </c>
      <c r="BB250" s="74" t="str">
        <f aca="false">IF(ISBLANK($C250),"",IF(ISBLANK($W250),0,IF(ISNUMBER($W250),IF(AND($W250&gt;=0,$W250&lt;=Constants!$B$21,$W250=INT($W250)),$W250,""),"")))</f>
        <v/>
      </c>
      <c r="BC250" s="74" t="str">
        <f aca="false">IF(ISBLANK($C250),"",IF(ISBLANK($X250),0,IF(ISNUMBER($X250),IF($X250&gt;=0,$X250,""),"")))</f>
        <v/>
      </c>
      <c r="BD250" s="74" t="str">
        <f aca="false">IF(ISBLANK($C250),"",IF($Y250=Constants!$B$2,TRUE(),IF($Y250=Constants!$B$3,FALSE(),TRUE())))</f>
        <v/>
      </c>
      <c r="BE250" s="74" t="str">
        <f aca="false">IF(ISBLANK($C250),"",IF($Z250=Constants!$B$2,TRUE(),IF($Z250=Constants!$B$3,FALSE(),FALSE())))</f>
        <v/>
      </c>
      <c r="BF250" s="74" t="str">
        <f aca="false">IF(ISBLANK($C250),"",IF(ISBLANK($AA250),0,IF(ISNUMBER($AA250),IF(AND($AA250&gt;=0,$AA250&lt;=Constants!$B$35,$AA250=INT($AA250)),$AA250,""),"")))</f>
        <v/>
      </c>
      <c r="BG250" s="74" t="str">
        <f aca="false">IF(ISBLANK($C250),"",IF($AB250=Constants!$B$2,TRUE(),IF($AB250=Constants!$B$3,FALSE(),TRUE())))</f>
        <v/>
      </c>
      <c r="BH250" s="74" t="str">
        <f aca="false">IF(ISBLANK($C250),"",IF($AC250=Constants!$B$2,TRUE(),IF($AC250=Constants!$B$3,FALSE(),TRUE())))</f>
        <v/>
      </c>
      <c r="BI250" s="74" t="str">
        <f aca="false">IF(ISBLANK($C250),"",IF($AD250=Constants!$B$2,TRUE(),IF($AD250=Constants!$B$3,FALSE(),TRUE())))</f>
        <v/>
      </c>
      <c r="BJ250" s="74" t="str">
        <f aca="false">IF(ISBLANK($C250),"",IF(ISNUMBER($AE250),IF($AE250&gt;=0,$AE250,""),""))</f>
        <v/>
      </c>
      <c r="BK250" s="74" t="str">
        <f aca="false">IF(ISBLANK($C250),"",IF($AF250=Constants!$B$2,TRUE(),IF($AF250=Constants!$B$3,FALSE(),FALSE())))</f>
        <v/>
      </c>
      <c r="BL250" s="73" t="str">
        <f aca="false">IF(ISBLANK($C250),"",IF($BK250,Constants!$B$7,IF(COUNTA($E250:$AE250)=0,Constants!$B$6,IF(OR(COUNTA($G250:$AE250)=0,NOT($AM250),$AS250),Constants!$B$5,IF(OR($CM250&lt;&gt;"",$CN250,$CO250,$CP250,$CQ250,$CR250,$CS250),Constants!$B$8,Constants!$B$4)))))</f>
        <v/>
      </c>
      <c r="BM250" s="74" t="str">
        <f aca="false">IF(ISBLANK($C250),"",IF($BL250&lt;&gt;Constants!$B$4,$BL250,IF(OR(NOT($AJ250),NOT($AL250),NOT($AT250)),Constants!$B$11,IF(OR(NOT($AR250),NOT($AU250),NOT($BI250),MAX($AN250,$AO250,$AP250)&gt;Constants!$B$30),Constants!$B$10,Constants!$B$9))))</f>
        <v/>
      </c>
      <c r="BN250" s="74" t="str">
        <f aca="false">IF($BL250&lt;&gt;Constants!$B$4,"",IF(NOT($AL250),0,MIN(Constants!$B$35,$BF250)))</f>
        <v/>
      </c>
      <c r="BO250" s="74" t="str">
        <f aca="false">IF($BL250&lt;&gt;Constants!$B$4,"",IF(NOT($AL250),0,IF($AW250,Constants!$B$18,IF($AV250,Constants!$B$17,0))))</f>
        <v/>
      </c>
      <c r="BP250" s="74" t="str">
        <f aca="false">IF($BL250&lt;&gt;Constants!$B$4,"",IF(NOT($AL250),0,Constants!$B$19*($AK250+$AX250+$AY250+$AZ250)))</f>
        <v/>
      </c>
      <c r="BQ250" s="74" t="str">
        <f aca="false">IF($BL250&lt;&gt;Constants!$B$4,"",IF(OR(NOT($AL250),NOT(ISNUMBER($BA250))),0,CHOOSE($BA250,Constants!$B$13,Constants!$B$14,Constants!$B$15,Constants!$B$16)))</f>
        <v/>
      </c>
      <c r="BR250" s="74" t="str">
        <f aca="false">IF($BL250&lt;&gt;Constants!$B$4,"",IF(NOT($AL250),0,Constants!$B$20*$BB250))</f>
        <v/>
      </c>
      <c r="BS250" s="74" t="str">
        <f aca="false">IF($BL250&lt;&gt;Constants!$B$4,"",IF(AND($AL250,$BD250,$BE250),Constants!$B$22,0))</f>
        <v/>
      </c>
      <c r="BT250" s="74" t="str">
        <f aca="false">IF($BL250&lt;&gt;Constants!$B$4,"",IF(OR(NOT($AL250),NOT($BD250)),0,IF($BJ250&gt;=2*$AH$9,0,Constants!$B$23*INT(ROUND(MIN($BJ250,$AH$9),6)))))</f>
        <v/>
      </c>
      <c r="BU250" s="74" t="str">
        <f aca="false">IF($BL250&lt;&gt;Constants!$B$4,"",IF(NOT($AL250),0,Constants!$B$24*INT(ROUND(MIN($BC250,$AH$9),6))))</f>
        <v/>
      </c>
      <c r="BV250" s="74" t="str">
        <f aca="false">IF($BL250&lt;&gt;Constants!$B$4,"",IF(AND($AL250,$BN250=0),Constants!$B$25,0))</f>
        <v/>
      </c>
      <c r="BW250" s="74" t="str">
        <f aca="false">IF($BL250&lt;&gt;Constants!$B$4,"",MIN(Constants!$B$29,MAX(0,Constants!$B$27*Constants!$B$28*INT(ROUND((Constants!$B$26-$AN250)/Constants!$B$28,6))))+MIN(Constants!$B$29,MAX(0,Constants!$B$27*Constants!$B$28*INT(ROUND((Constants!$B$26-$AO250)/Constants!$B$28,6))))+MIN(Constants!$B$29,MAX(0,Constants!$B$27*Constants!$B$28*INT(ROUND((Constants!$B$26-$AP250)/Constants!$B$28,6)))))</f>
        <v/>
      </c>
      <c r="BX250" s="74" t="str">
        <f aca="false">IF($BL250&lt;&gt;Constants!$B$4,"",IF(NOT($AL250),0,Constants!$B$31*INT(ROUND(MAX(0,MIN($BJ250,2*$AH$9)-$AH$9),6))))</f>
        <v/>
      </c>
      <c r="BY250" s="74" t="str">
        <f aca="false">IF($BL250&lt;&gt;Constants!$B$4,"",Constants!$B$32*(($AN250&gt;Constants!$B$26)+($AO250&gt;Constants!$B$26)+($AP250&gt;Constants!$B$26)))</f>
        <v/>
      </c>
      <c r="BZ250" s="74" t="str">
        <f aca="false">IF($BL250&lt;&gt;Constants!$B$4,"",IF(OR(NOT($AL250),$AQ250),0,Constants!$B$33))</f>
        <v/>
      </c>
      <c r="CA250" s="74" t="str">
        <f aca="false">IF($BL250&lt;&gt;Constants!$B$4,"",Constants!$B$34*$BN250)</f>
        <v/>
      </c>
      <c r="CB250" s="74" t="str">
        <f aca="false">IF($BL250&lt;&gt;Constants!$B$4,"",IF(OR(NOT($AL250),$BH250),0,Constants!$B$36))</f>
        <v/>
      </c>
      <c r="CC250" s="74" t="str">
        <f aca="false">IF($BL250&lt;&gt;Constants!$B$4,"",IF(OR(NOT($AL250),$BG250),0,Constants!$B$37))</f>
        <v/>
      </c>
      <c r="CD250" s="74" t="str">
        <f aca="false">IF($BL250&lt;&gt;Constants!$B$4,"",SUM($BX250:$CC250))</f>
        <v/>
      </c>
      <c r="CE250" s="74" t="str">
        <f aca="false">IF(ISBLANK($C250),"",IF($BL250&lt;&gt;Constants!$B$4,$BL250,SUM($BO250:$BW250)-$CD250))</f>
        <v/>
      </c>
      <c r="CF250" s="74" t="str">
        <f aca="false">IF(ISBLANK($C250),"",IF($BL250&lt;&gt;Constants!$B$4,$BL250,RANK($CE250,$CE$9:$CE$508)))</f>
        <v/>
      </c>
      <c r="CG250" s="74" t="str">
        <f aca="false">IF(ISBLANK($C250),"",IF($BL250&lt;&gt;Constants!$B$4,$BL250,COUNTIFS($BM$9:$BM$508,"&lt;"&amp;$BM250)+COUNTIFS($BM$9:$BM$508,$BM250,$CF$9:$CF$508,"&lt;"&amp;$CF250)+1))</f>
        <v/>
      </c>
      <c r="CH250" s="74" t="str">
        <f aca="false">IF(ISBLANK($C250),"",IF($BL250&lt;&gt;Constants!$B$4,$BL250,RANK($CD250,$CD$9:$CD$508,1)))</f>
        <v/>
      </c>
      <c r="CI250" s="74" t="str">
        <f aca="false">IF($BL250&lt;&gt;Constants!$B$4,"",$AN250+$AO250+$AP250)</f>
        <v/>
      </c>
      <c r="CJ250" s="74" t="str">
        <f aca="false">IF(ISBLANK($C250),"",IF($BL250&lt;&gt;Constants!$B$4,$BL250,RANK($CI250,$CI$9:$CI$508,1)))</f>
        <v/>
      </c>
      <c r="CK250" s="74" t="str">
        <f aca="false">IF(ISBLANK($C250),"",IF($BL250&lt;&gt;Constants!$B$4,$BL250,COUNTIFS($BM$9:$BM$508,"&lt;"&amp;$BM250)+COUNTIFS($BM$9:$BM$508,$BM250,$CF$9:$CF$508,"&lt;"&amp;$CF250)+COUNTIFS($BM$9:$BM$508,$BM250,$CF$9:$CF$508,$CF250,$CH$9:$CH$508,"&lt;"&amp;$CH250)+COUNTIFS($BM$9:$BM$508,$BM250,$CF$9:$CF$508,$CF250,$CH$9:$CH$508,$CH250,$CJ$9:$CJ$508,"&lt;"&amp;$CJ250)+1))</f>
        <v/>
      </c>
      <c r="CL250" s="74" t="str">
        <f aca="false">IF(ISBLANK($C250),"",IF($BL250&lt;&gt;Constants!$B$4,$BL250,$CG250-$CK250))</f>
        <v/>
      </c>
      <c r="CM250" s="74" t="str">
        <f aca="false">IF(ISBLANK($C250),"",IF(NOT($AL250),"",IF(ISBLANK($D$7),$CM$5,IF(NOT(ISNUMBER($D$7)),$CM$6,""))))</f>
        <v/>
      </c>
      <c r="CN250" s="74" t="str">
        <f aca="false">IF(ISBLANK($C250),"",OR($AN250="",$AO250="",$AP250=""))</f>
        <v/>
      </c>
      <c r="CO250" s="74" t="str">
        <f aca="false">IF(ISBLANK($C250),"",AND($AL250,$BA250=""))</f>
        <v/>
      </c>
      <c r="CP250" s="74" t="str">
        <f aca="false">IF(ISBLANK($C250),"",AND($AL250,$BB250=""))</f>
        <v/>
      </c>
      <c r="CQ250" s="74" t="str">
        <f aca="false">IF(ISBLANK($C250),"",AND($AL250,$BC250=""))</f>
        <v/>
      </c>
      <c r="CR250" s="74" t="str">
        <f aca="false">IF(ISBLANK($C250),"",AND($AL250,$BF250=""))</f>
        <v/>
      </c>
      <c r="CS250" s="74" t="str">
        <f aca="false">IF(ISBLANK($C250),"",AND($AL250,$BJ250=""))</f>
        <v/>
      </c>
      <c r="CT250" s="75"/>
      <c r="CU250" s="76"/>
      <c r="CV250" s="79" t="str">
        <f aca="false">IF(ISBLANK($C250),"",IF($BL250=Constants!$B$8,$CM250,""))</f>
        <v/>
      </c>
      <c r="CW250" s="76" t="str">
        <f aca="false">IF(ISBLANK($C250),"",IF($BL250&lt;&gt;Constants!$B$4,"",$BO250+$BP250))</f>
        <v/>
      </c>
      <c r="CX250" s="78" t="str">
        <f aca="false">IF(ISBLANK($C250),"",IF($BL250&lt;&gt;Constants!$B$4,"",$BQ250+$BR250+$BS250))</f>
        <v/>
      </c>
      <c r="CY250" s="78" t="str">
        <f aca="false">IF(ISBLANK($C250),"",IF($BL250&lt;&gt;Constants!$B$4,"",$BT250))</f>
        <v/>
      </c>
      <c r="CZ250" s="78" t="str">
        <f aca="false">IF(ISBLANK($C250),"",IF($BL250&lt;&gt;Constants!$B$4,"",$BU250+$BV250))</f>
        <v/>
      </c>
      <c r="DA250" s="78" t="str">
        <f aca="false">IF(ISBLANK($C250),"",IF($BL250&lt;&gt;Constants!$B$4,"",$BW250))</f>
        <v/>
      </c>
      <c r="DB250" s="78" t="str">
        <f aca="false">IF(ISBLANK($C250),"",IF($BL250&lt;&gt;Constants!$B$4,"",-$CD250))</f>
        <v/>
      </c>
      <c r="DC250" s="79" t="str">
        <f aca="false">IF(ISBLANK($C250),"",$CE250)</f>
        <v/>
      </c>
      <c r="DD250" s="80" t="str">
        <f aca="false">IF(ISBLANK($C250),"",$BM250)</f>
        <v/>
      </c>
      <c r="DE250" s="78" t="str">
        <f aca="false">IF(ISBLANK($C250),"",$CL250)</f>
        <v/>
      </c>
      <c r="DF250" s="78" t="str">
        <f aca="false">IF(ISBLANK($C250),"",$CK250)</f>
        <v/>
      </c>
      <c r="DG250" s="81" t="str">
        <f aca="false">IF(ISBLANK($C250),"",IF($DF250=Constants!$B$7,COUNTA($C$9:$C$508)+2,IF($DF250=Constants!$B$6,COUNTA($C$9:$C$508)+1,IF($DF250=Constants!$B$5,COUNTA($C$9:$C$508),$DF250))))</f>
        <v/>
      </c>
      <c r="DH250" s="7"/>
      <c r="DI250" s="82" t="n">
        <f aca="false">IF(OR(ISNUMBER($DF250),$DF250=Constants!$B$7,$DF250=Constants!$B$5,$DF250=Constants!$B$6),1,0)</f>
        <v>0</v>
      </c>
      <c r="DJ250" s="82" t="n">
        <v>242</v>
      </c>
      <c r="DK250" s="82" t="str">
        <f aca="false">IF(ISBLANK($C250),"",IF(ISNUMBER($DG250),$DG250+ROW($B250)/1000,""))</f>
        <v/>
      </c>
      <c r="DL250" s="82" t="str">
        <f aca="false">IF(ISNUMBER($DK250),RANK($DK250,$DK$9:$DK$508,1),"")</f>
        <v/>
      </c>
      <c r="DM250" s="82" t="str">
        <f aca="false">IF(ISBLANK($C250),"",$B250)</f>
        <v/>
      </c>
      <c r="DN250" s="82" t="str">
        <f aca="false">IF(ISBLANK($C250),"",$C250)</f>
        <v/>
      </c>
      <c r="DO250" s="82" t="str">
        <f aca="false">IF(ISBLANK($C250),"",$D250)</f>
        <v/>
      </c>
      <c r="DP250" s="83" t="str">
        <f aca="false">$DD250</f>
        <v/>
      </c>
      <c r="DQ250" s="84" t="str">
        <f aca="false">$DC250</f>
        <v/>
      </c>
      <c r="DR250" s="82" t="str">
        <f aca="false">IF(ISBLANK($C250),"",$DF250)</f>
        <v/>
      </c>
      <c r="DS250" s="85" t="str">
        <f aca="false">IF($DJ250&gt;$DI$8,"",VLOOKUP($DJ250,$DL$9:$DR$508,7,FALSE()))</f>
        <v/>
      </c>
      <c r="DT250" s="86" t="str">
        <f aca="false">IF($DJ250&gt;$DI$8,"",VLOOKUP($DJ250,$DL$9:$DR$508,2,FALSE()))</f>
        <v/>
      </c>
      <c r="DU250" s="86" t="str">
        <f aca="false">IF($DJ250&gt;$DI$8,"",VLOOKUP($DJ250,$DL$9:$DR$508,3,FALSE()))</f>
        <v/>
      </c>
      <c r="DV250" s="86" t="str">
        <f aca="false">IF($DJ250&gt;$DI$8,"",VLOOKUP($DJ250,$DL$9:$DR$508,4,FALSE()))</f>
        <v/>
      </c>
      <c r="DW250" s="86" t="str">
        <f aca="false">IF($DJ250&gt;$DI$8,"",VLOOKUP($DJ250,$DL$9:$DR$508,5,FALSE()))</f>
        <v/>
      </c>
      <c r="DX250" s="87" t="str">
        <f aca="false">IF($DJ250&gt;$DI$8,"",VLOOKUP($DJ250,$DL$9:$DR$508,6,FALSE()))</f>
        <v/>
      </c>
      <c r="DY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88"/>
      <c r="N251" s="88"/>
      <c r="O251" s="134"/>
      <c r="P251" s="134"/>
      <c r="Q251" s="88"/>
      <c r="R251" s="88"/>
      <c r="S251" s="88"/>
      <c r="T251" s="88"/>
      <c r="U251" s="134"/>
      <c r="V251" s="88"/>
      <c r="W251" s="70"/>
      <c r="X251" s="88"/>
      <c r="Y251" s="88"/>
      <c r="Z251" s="70"/>
      <c r="AA251" s="70"/>
      <c r="AB251" s="88"/>
      <c r="AC251" s="88"/>
      <c r="AD251" s="88"/>
      <c r="AE251" s="71"/>
      <c r="AF251" s="88"/>
      <c r="AG251" s="73"/>
      <c r="AH251" s="74"/>
      <c r="AI251" s="74"/>
      <c r="AJ251" s="74" t="str">
        <f aca="false">IF(ISBLANK($C251),"",IF($E251=Constants!$B$2,TRUE(),IF($E251=Constants!$B$3,FALSE(),TRUE())))</f>
        <v/>
      </c>
      <c r="AK251" s="74" t="str">
        <f aca="false">IF(ISBLANK($C251),"",IF($F251=Constants!$B$2,TRUE(),IF($F251=Constants!$B$3,FALSE(),FALSE())))</f>
        <v/>
      </c>
      <c r="AL251" s="74" t="str">
        <f aca="false">IF(ISBLANK($C251),"",IF($G251=Constants!$B$2,TRUE(),IF($G251=Constants!$B$3,FALSE(),TRUE())))</f>
        <v/>
      </c>
      <c r="AM251" s="74" t="str">
        <f aca="false">IF(ISBLANK($C251),"",IF($H251=Constants!$B$2,TRUE(),IF($H251=Constants!$B$3,FALSE(),TRUE())))</f>
        <v/>
      </c>
      <c r="AN251" s="74" t="str">
        <f aca="false">IF(ISBLANK($C251),"",IF(ISNUMBER($I251),IF($I251&gt;=0,$I251,""),""))</f>
        <v/>
      </c>
      <c r="AO251" s="74" t="str">
        <f aca="false">IF(ISBLANK($C251),"",IF(ISNUMBER($J251),IF($J251&gt;=0,$J251,""),""))</f>
        <v/>
      </c>
      <c r="AP251" s="74" t="str">
        <f aca="false">IF(ISBLANK($C251),"",IF(ISNUMBER($K251),IF($K251&gt;=0,$K251,""),""))</f>
        <v/>
      </c>
      <c r="AQ251" s="74" t="str">
        <f aca="false">IF(ISBLANK($C251),"",IF($L251=Constants!$B$2,TRUE(),IF($L251=Constants!$B$3,FALSE(),TRUE())))</f>
        <v/>
      </c>
      <c r="AR251" s="74" t="str">
        <f aca="false">IF(ISBLANK($C251),"",IF($M251=Constants!$B$2,TRUE(),IF($M251=Constants!$B$3,FALSE(),TRUE())))</f>
        <v/>
      </c>
      <c r="AS251" s="74" t="str">
        <f aca="false">IF(ISBLANK($C251),"",IF($N251=Constants!$B$2,TRUE(),IF($N251=Constants!$B$3,FALSE(),FALSE())))</f>
        <v/>
      </c>
      <c r="AT251" s="74" t="str">
        <f aca="false">IF(ISBLANK($C251),"",IF($O251=Constants!$B$2,TRUE(),IF($O251=Constants!$B$3,FALSE(),TRUE())))</f>
        <v/>
      </c>
      <c r="AU251" s="74" t="str">
        <f aca="false">IF(ISBLANK($C251),"",IF($P251=Constants!$B$2,TRUE(),IF($P251=Constants!$B$3,FALSE(),TRUE())))</f>
        <v/>
      </c>
      <c r="AV251" s="74" t="str">
        <f aca="false">IF(ISBLANK($C251),"",IF($Q251=Constants!$B$2,TRUE(),IF($Q251=Constants!$B$3,FALSE(),FALSE())))</f>
        <v/>
      </c>
      <c r="AW251" s="74" t="str">
        <f aca="false">IF(ISBLANK($C251),"",IF($R251=Constants!$B$2,TRUE(),IF($R251=Constants!$B$3,FALSE(),FALSE())))</f>
        <v/>
      </c>
      <c r="AX251" s="74" t="str">
        <f aca="false">IF(ISBLANK($C251),"",IF($S251=Constants!$B$2,TRUE(),IF($S251=Constants!$B$3,FALSE(),FALSE())))</f>
        <v/>
      </c>
      <c r="AY251" s="74" t="str">
        <f aca="false">IF(ISBLANK($C251),"",IF($T251=Constants!$B$2,TRUE(),IF($T251=Constants!$B$3,FALSE(),FALSE())))</f>
        <v/>
      </c>
      <c r="AZ251" s="74" t="str">
        <f aca="false">IF(ISBLANK($C251),"",IF($U251=Constants!$B$2,TRUE(),IF($U251=Constants!$B$3,FALSE(),FALSE())))</f>
        <v/>
      </c>
      <c r="BA251" s="74" t="str">
        <f aca="false">IF(ISBLANK($C251),"",IF(OR($V251&amp;""="1",$V251&amp;""="2",$V251&amp;""="3",$V251&amp;""="4"),VALUE($V251&amp;""),IF($V251=Constants!$B$12,Constants!$B$12,"")))</f>
        <v/>
      </c>
      <c r="BB251" s="74" t="str">
        <f aca="false">IF(ISBLANK($C251),"",IF(ISBLANK($W251),0,IF(ISNUMBER($W251),IF(AND($W251&gt;=0,$W251&lt;=Constants!$B$21,$W251=INT($W251)),$W251,""),"")))</f>
        <v/>
      </c>
      <c r="BC251" s="74" t="str">
        <f aca="false">IF(ISBLANK($C251),"",IF(ISBLANK($X251),0,IF(ISNUMBER($X251),IF($X251&gt;=0,$X251,""),"")))</f>
        <v/>
      </c>
      <c r="BD251" s="74" t="str">
        <f aca="false">IF(ISBLANK($C251),"",IF($Y251=Constants!$B$2,TRUE(),IF($Y251=Constants!$B$3,FALSE(),TRUE())))</f>
        <v/>
      </c>
      <c r="BE251" s="74" t="str">
        <f aca="false">IF(ISBLANK($C251),"",IF($Z251=Constants!$B$2,TRUE(),IF($Z251=Constants!$B$3,FALSE(),FALSE())))</f>
        <v/>
      </c>
      <c r="BF251" s="74" t="str">
        <f aca="false">IF(ISBLANK($C251),"",IF(ISBLANK($AA251),0,IF(ISNUMBER($AA251),IF(AND($AA251&gt;=0,$AA251&lt;=Constants!$B$35,$AA251=INT($AA251)),$AA251,""),"")))</f>
        <v/>
      </c>
      <c r="BG251" s="74" t="str">
        <f aca="false">IF(ISBLANK($C251),"",IF($AB251=Constants!$B$2,TRUE(),IF($AB251=Constants!$B$3,FALSE(),TRUE())))</f>
        <v/>
      </c>
      <c r="BH251" s="74" t="str">
        <f aca="false">IF(ISBLANK($C251),"",IF($AC251=Constants!$B$2,TRUE(),IF($AC251=Constants!$B$3,FALSE(),TRUE())))</f>
        <v/>
      </c>
      <c r="BI251" s="74" t="str">
        <f aca="false">IF(ISBLANK($C251),"",IF($AD251=Constants!$B$2,TRUE(),IF($AD251=Constants!$B$3,FALSE(),TRUE())))</f>
        <v/>
      </c>
      <c r="BJ251" s="74" t="str">
        <f aca="false">IF(ISBLANK($C251),"",IF(ISNUMBER($AE251),IF($AE251&gt;=0,$AE251,""),""))</f>
        <v/>
      </c>
      <c r="BK251" s="74" t="str">
        <f aca="false">IF(ISBLANK($C251),"",IF($AF251=Constants!$B$2,TRUE(),IF($AF251=Constants!$B$3,FALSE(),FALSE())))</f>
        <v/>
      </c>
      <c r="BL251" s="73" t="str">
        <f aca="false">IF(ISBLANK($C251),"",IF($BK251,Constants!$B$7,IF(COUNTA($E251:$AE251)=0,Constants!$B$6,IF(OR(COUNTA($G251:$AE251)=0,NOT($AM251),$AS251),Constants!$B$5,IF(OR($CM251&lt;&gt;"",$CN251,$CO251,$CP251,$CQ251,$CR251,$CS251),Constants!$B$8,Constants!$B$4)))))</f>
        <v/>
      </c>
      <c r="BM251" s="74" t="str">
        <f aca="false">IF(ISBLANK($C251),"",IF($BL251&lt;&gt;Constants!$B$4,$BL251,IF(OR(NOT($AJ251),NOT($AL251),NOT($AT251)),Constants!$B$11,IF(OR(NOT($AR251),NOT($AU251),NOT($BI251),MAX($AN251,$AO251,$AP251)&gt;Constants!$B$30),Constants!$B$10,Constants!$B$9))))</f>
        <v/>
      </c>
      <c r="BN251" s="74" t="str">
        <f aca="false">IF($BL251&lt;&gt;Constants!$B$4,"",IF(NOT($AL251),0,MIN(Constants!$B$35,$BF251)))</f>
        <v/>
      </c>
      <c r="BO251" s="74" t="str">
        <f aca="false">IF($BL251&lt;&gt;Constants!$B$4,"",IF(NOT($AL251),0,IF($AW251,Constants!$B$18,IF($AV251,Constants!$B$17,0))))</f>
        <v/>
      </c>
      <c r="BP251" s="74" t="str">
        <f aca="false">IF($BL251&lt;&gt;Constants!$B$4,"",IF(NOT($AL251),0,Constants!$B$19*($AK251+$AX251+$AY251+$AZ251)))</f>
        <v/>
      </c>
      <c r="BQ251" s="74" t="str">
        <f aca="false">IF($BL251&lt;&gt;Constants!$B$4,"",IF(OR(NOT($AL251),NOT(ISNUMBER($BA251))),0,CHOOSE($BA251,Constants!$B$13,Constants!$B$14,Constants!$B$15,Constants!$B$16)))</f>
        <v/>
      </c>
      <c r="BR251" s="74" t="str">
        <f aca="false">IF($BL251&lt;&gt;Constants!$B$4,"",IF(NOT($AL251),0,Constants!$B$20*$BB251))</f>
        <v/>
      </c>
      <c r="BS251" s="74" t="str">
        <f aca="false">IF($BL251&lt;&gt;Constants!$B$4,"",IF(AND($AL251,$BD251,$BE251),Constants!$B$22,0))</f>
        <v/>
      </c>
      <c r="BT251" s="74" t="str">
        <f aca="false">IF($BL251&lt;&gt;Constants!$B$4,"",IF(OR(NOT($AL251),NOT($BD251)),0,IF($BJ251&gt;=2*$AH$9,0,Constants!$B$23*INT(ROUND(MIN($BJ251,$AH$9),6)))))</f>
        <v/>
      </c>
      <c r="BU251" s="74" t="str">
        <f aca="false">IF($BL251&lt;&gt;Constants!$B$4,"",IF(NOT($AL251),0,Constants!$B$24*INT(ROUND(MIN($BC251,$AH$9),6))))</f>
        <v/>
      </c>
      <c r="BV251" s="74" t="str">
        <f aca="false">IF($BL251&lt;&gt;Constants!$B$4,"",IF(AND($AL251,$BN251=0),Constants!$B$25,0))</f>
        <v/>
      </c>
      <c r="BW251" s="74" t="str">
        <f aca="false">IF($BL251&lt;&gt;Constants!$B$4,"",MIN(Constants!$B$29,MAX(0,Constants!$B$27*Constants!$B$28*INT(ROUND((Constants!$B$26-$AN251)/Constants!$B$28,6))))+MIN(Constants!$B$29,MAX(0,Constants!$B$27*Constants!$B$28*INT(ROUND((Constants!$B$26-$AO251)/Constants!$B$28,6))))+MIN(Constants!$B$29,MAX(0,Constants!$B$27*Constants!$B$28*INT(ROUND((Constants!$B$26-$AP251)/Constants!$B$28,6)))))</f>
        <v/>
      </c>
      <c r="BX251" s="74" t="str">
        <f aca="false">IF($BL251&lt;&gt;Constants!$B$4,"",IF(NOT($AL251),0,Constants!$B$31*INT(ROUND(MAX(0,MIN($BJ251,2*$AH$9)-$AH$9),6))))</f>
        <v/>
      </c>
      <c r="BY251" s="74" t="str">
        <f aca="false">IF($BL251&lt;&gt;Constants!$B$4,"",Constants!$B$32*(($AN251&gt;Constants!$B$26)+($AO251&gt;Constants!$B$26)+($AP251&gt;Constants!$B$26)))</f>
        <v/>
      </c>
      <c r="BZ251" s="74" t="str">
        <f aca="false">IF($BL251&lt;&gt;Constants!$B$4,"",IF(OR(NOT($AL251),$AQ251),0,Constants!$B$33))</f>
        <v/>
      </c>
      <c r="CA251" s="74" t="str">
        <f aca="false">IF($BL251&lt;&gt;Constants!$B$4,"",Constants!$B$34*$BN251)</f>
        <v/>
      </c>
      <c r="CB251" s="74" t="str">
        <f aca="false">IF($BL251&lt;&gt;Constants!$B$4,"",IF(OR(NOT($AL251),$BH251),0,Constants!$B$36))</f>
        <v/>
      </c>
      <c r="CC251" s="74" t="str">
        <f aca="false">IF($BL251&lt;&gt;Constants!$B$4,"",IF(OR(NOT($AL251),$BG251),0,Constants!$B$37))</f>
        <v/>
      </c>
      <c r="CD251" s="74" t="str">
        <f aca="false">IF($BL251&lt;&gt;Constants!$B$4,"",SUM($BX251:$CC251))</f>
        <v/>
      </c>
      <c r="CE251" s="74" t="str">
        <f aca="false">IF(ISBLANK($C251),"",IF($BL251&lt;&gt;Constants!$B$4,$BL251,SUM($BO251:$BW251)-$CD251))</f>
        <v/>
      </c>
      <c r="CF251" s="74" t="str">
        <f aca="false">IF(ISBLANK($C251),"",IF($BL251&lt;&gt;Constants!$B$4,$BL251,RANK($CE251,$CE$9:$CE$508)))</f>
        <v/>
      </c>
      <c r="CG251" s="74" t="str">
        <f aca="false">IF(ISBLANK($C251),"",IF($BL251&lt;&gt;Constants!$B$4,$BL251,COUNTIFS($BM$9:$BM$508,"&lt;"&amp;$BM251)+COUNTIFS($BM$9:$BM$508,$BM251,$CF$9:$CF$508,"&lt;"&amp;$CF251)+1))</f>
        <v/>
      </c>
      <c r="CH251" s="74" t="str">
        <f aca="false">IF(ISBLANK($C251),"",IF($BL251&lt;&gt;Constants!$B$4,$BL251,RANK($CD251,$CD$9:$CD$508,1)))</f>
        <v/>
      </c>
      <c r="CI251" s="74" t="str">
        <f aca="false">IF($BL251&lt;&gt;Constants!$B$4,"",$AN251+$AO251+$AP251)</f>
        <v/>
      </c>
      <c r="CJ251" s="74" t="str">
        <f aca="false">IF(ISBLANK($C251),"",IF($BL251&lt;&gt;Constants!$B$4,$BL251,RANK($CI251,$CI$9:$CI$508,1)))</f>
        <v/>
      </c>
      <c r="CK251" s="74" t="str">
        <f aca="false">IF(ISBLANK($C251),"",IF($BL251&lt;&gt;Constants!$B$4,$BL251,COUNTIFS($BM$9:$BM$508,"&lt;"&amp;$BM251)+COUNTIFS($BM$9:$BM$508,$BM251,$CF$9:$CF$508,"&lt;"&amp;$CF251)+COUNTIFS($BM$9:$BM$508,$BM251,$CF$9:$CF$508,$CF251,$CH$9:$CH$508,"&lt;"&amp;$CH251)+COUNTIFS($BM$9:$BM$508,$BM251,$CF$9:$CF$508,$CF251,$CH$9:$CH$508,$CH251,$CJ$9:$CJ$508,"&lt;"&amp;$CJ251)+1))</f>
        <v/>
      </c>
      <c r="CL251" s="74" t="str">
        <f aca="false">IF(ISBLANK($C251),"",IF($BL251&lt;&gt;Constants!$B$4,$BL251,$CG251-$CK251))</f>
        <v/>
      </c>
      <c r="CM251" s="74" t="str">
        <f aca="false">IF(ISBLANK($C251),"",IF(NOT($AL251),"",IF(ISBLANK($D$7),$CM$5,IF(NOT(ISNUMBER($D$7)),$CM$6,""))))</f>
        <v/>
      </c>
      <c r="CN251" s="74" t="str">
        <f aca="false">IF(ISBLANK($C251),"",OR($AN251="",$AO251="",$AP251=""))</f>
        <v/>
      </c>
      <c r="CO251" s="74" t="str">
        <f aca="false">IF(ISBLANK($C251),"",AND($AL251,$BA251=""))</f>
        <v/>
      </c>
      <c r="CP251" s="74" t="str">
        <f aca="false">IF(ISBLANK($C251),"",AND($AL251,$BB251=""))</f>
        <v/>
      </c>
      <c r="CQ251" s="74" t="str">
        <f aca="false">IF(ISBLANK($C251),"",AND($AL251,$BC251=""))</f>
        <v/>
      </c>
      <c r="CR251" s="74" t="str">
        <f aca="false">IF(ISBLANK($C251),"",AND($AL251,$BF251=""))</f>
        <v/>
      </c>
      <c r="CS251" s="74" t="str">
        <f aca="false">IF(ISBLANK($C251),"",AND($AL251,$BJ251=""))</f>
        <v/>
      </c>
      <c r="CT251" s="75"/>
      <c r="CU251" s="76"/>
      <c r="CV251" s="79" t="str">
        <f aca="false">IF(ISBLANK($C251),"",IF($BL251=Constants!$B$8,$CM251,""))</f>
        <v/>
      </c>
      <c r="CW251" s="76" t="str">
        <f aca="false">IF(ISBLANK($C251),"",IF($BL251&lt;&gt;Constants!$B$4,"",$BO251+$BP251))</f>
        <v/>
      </c>
      <c r="CX251" s="78" t="str">
        <f aca="false">IF(ISBLANK($C251),"",IF($BL251&lt;&gt;Constants!$B$4,"",$BQ251+$BR251+$BS251))</f>
        <v/>
      </c>
      <c r="CY251" s="78" t="str">
        <f aca="false">IF(ISBLANK($C251),"",IF($BL251&lt;&gt;Constants!$B$4,"",$BT251))</f>
        <v/>
      </c>
      <c r="CZ251" s="78" t="str">
        <f aca="false">IF(ISBLANK($C251),"",IF($BL251&lt;&gt;Constants!$B$4,"",$BU251+$BV251))</f>
        <v/>
      </c>
      <c r="DA251" s="78" t="str">
        <f aca="false">IF(ISBLANK($C251),"",IF($BL251&lt;&gt;Constants!$B$4,"",$BW251))</f>
        <v/>
      </c>
      <c r="DB251" s="78" t="str">
        <f aca="false">IF(ISBLANK($C251),"",IF($BL251&lt;&gt;Constants!$B$4,"",-$CD251))</f>
        <v/>
      </c>
      <c r="DC251" s="79" t="str">
        <f aca="false">IF(ISBLANK($C251),"",$CE251)</f>
        <v/>
      </c>
      <c r="DD251" s="80" t="str">
        <f aca="false">IF(ISBLANK($C251),"",$BM251)</f>
        <v/>
      </c>
      <c r="DE251" s="78" t="str">
        <f aca="false">IF(ISBLANK($C251),"",$CL251)</f>
        <v/>
      </c>
      <c r="DF251" s="78" t="str">
        <f aca="false">IF(ISBLANK($C251),"",$CK251)</f>
        <v/>
      </c>
      <c r="DG251" s="81" t="str">
        <f aca="false">IF(ISBLANK($C251),"",IF($DF251=Constants!$B$7,COUNTA($C$9:$C$508)+2,IF($DF251=Constants!$B$6,COUNTA($C$9:$C$508)+1,IF($DF251=Constants!$B$5,COUNTA($C$9:$C$508),$DF251))))</f>
        <v/>
      </c>
      <c r="DH251" s="7"/>
      <c r="DI251" s="82" t="n">
        <f aca="false">IF(OR(ISNUMBER($DF251),$DF251=Constants!$B$7,$DF251=Constants!$B$5,$DF251=Constants!$B$6),1,0)</f>
        <v>0</v>
      </c>
      <c r="DJ251" s="82" t="n">
        <v>243</v>
      </c>
      <c r="DK251" s="82" t="str">
        <f aca="false">IF(ISBLANK($C251),"",IF(ISNUMBER($DG251),$DG251+ROW($B251)/1000,""))</f>
        <v/>
      </c>
      <c r="DL251" s="82" t="str">
        <f aca="false">IF(ISNUMBER($DK251),RANK($DK251,$DK$9:$DK$508,1),"")</f>
        <v/>
      </c>
      <c r="DM251" s="82" t="str">
        <f aca="false">IF(ISBLANK($C251),"",$B251)</f>
        <v/>
      </c>
      <c r="DN251" s="82" t="str">
        <f aca="false">IF(ISBLANK($C251),"",$C251)</f>
        <v/>
      </c>
      <c r="DO251" s="82" t="str">
        <f aca="false">IF(ISBLANK($C251),"",$D251)</f>
        <v/>
      </c>
      <c r="DP251" s="83" t="str">
        <f aca="false">$DD251</f>
        <v/>
      </c>
      <c r="DQ251" s="84" t="str">
        <f aca="false">$DC251</f>
        <v/>
      </c>
      <c r="DR251" s="82" t="str">
        <f aca="false">IF(ISBLANK($C251),"",$DF251)</f>
        <v/>
      </c>
      <c r="DS251" s="85" t="str">
        <f aca="false">IF($DJ251&gt;$DI$8,"",VLOOKUP($DJ251,$DL$9:$DR$508,7,FALSE()))</f>
        <v/>
      </c>
      <c r="DT251" s="86" t="str">
        <f aca="false">IF($DJ251&gt;$DI$8,"",VLOOKUP($DJ251,$DL$9:$DR$508,2,FALSE()))</f>
        <v/>
      </c>
      <c r="DU251" s="86" t="str">
        <f aca="false">IF($DJ251&gt;$DI$8,"",VLOOKUP($DJ251,$DL$9:$DR$508,3,FALSE()))</f>
        <v/>
      </c>
      <c r="DV251" s="86" t="str">
        <f aca="false">IF($DJ251&gt;$DI$8,"",VLOOKUP($DJ251,$DL$9:$DR$508,4,FALSE()))</f>
        <v/>
      </c>
      <c r="DW251" s="86" t="str">
        <f aca="false">IF($DJ251&gt;$DI$8,"",VLOOKUP($DJ251,$DL$9:$DR$508,5,FALSE()))</f>
        <v/>
      </c>
      <c r="DX251" s="87" t="str">
        <f aca="false">IF($DJ251&gt;$DI$8,"",VLOOKUP($DJ251,$DL$9:$DR$508,6,FALSE()))</f>
        <v/>
      </c>
      <c r="DY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130"/>
      <c r="N252" s="130"/>
      <c r="O252" s="135"/>
      <c r="P252" s="135"/>
      <c r="Q252" s="130"/>
      <c r="R252" s="130"/>
      <c r="S252" s="130"/>
      <c r="T252" s="130"/>
      <c r="U252" s="135"/>
      <c r="V252" s="130"/>
      <c r="W252" s="96"/>
      <c r="X252" s="130"/>
      <c r="Y252" s="130"/>
      <c r="Z252" s="96"/>
      <c r="AA252" s="96"/>
      <c r="AB252" s="130"/>
      <c r="AC252" s="130"/>
      <c r="AD252" s="130"/>
      <c r="AE252" s="97"/>
      <c r="AF252" s="130"/>
      <c r="AG252" s="99"/>
      <c r="AH252" s="100"/>
      <c r="AI252" s="100"/>
      <c r="AJ252" s="100" t="str">
        <f aca="false">IF(ISBLANK($C252),"",IF($E252=Constants!$B$2,TRUE(),IF($E252=Constants!$B$3,FALSE(),TRUE())))</f>
        <v/>
      </c>
      <c r="AK252" s="100" t="str">
        <f aca="false">IF(ISBLANK($C252),"",IF($F252=Constants!$B$2,TRUE(),IF($F252=Constants!$B$3,FALSE(),FALSE())))</f>
        <v/>
      </c>
      <c r="AL252" s="100" t="str">
        <f aca="false">IF(ISBLANK($C252),"",IF($G252=Constants!$B$2,TRUE(),IF($G252=Constants!$B$3,FALSE(),TRUE())))</f>
        <v/>
      </c>
      <c r="AM252" s="100" t="str">
        <f aca="false">IF(ISBLANK($C252),"",IF($H252=Constants!$B$2,TRUE(),IF($H252=Constants!$B$3,FALSE(),TRUE())))</f>
        <v/>
      </c>
      <c r="AN252" s="100" t="str">
        <f aca="false">IF(ISBLANK($C252),"",IF(ISNUMBER($I252),IF($I252&gt;=0,$I252,""),""))</f>
        <v/>
      </c>
      <c r="AO252" s="100" t="str">
        <f aca="false">IF(ISBLANK($C252),"",IF(ISNUMBER($J252),IF($J252&gt;=0,$J252,""),""))</f>
        <v/>
      </c>
      <c r="AP252" s="100" t="str">
        <f aca="false">IF(ISBLANK($C252),"",IF(ISNUMBER($K252),IF($K252&gt;=0,$K252,""),""))</f>
        <v/>
      </c>
      <c r="AQ252" s="100" t="str">
        <f aca="false">IF(ISBLANK($C252),"",IF($L252=Constants!$B$2,TRUE(),IF($L252=Constants!$B$3,FALSE(),TRUE())))</f>
        <v/>
      </c>
      <c r="AR252" s="100" t="str">
        <f aca="false">IF(ISBLANK($C252),"",IF($M252=Constants!$B$2,TRUE(),IF($M252=Constants!$B$3,FALSE(),TRUE())))</f>
        <v/>
      </c>
      <c r="AS252" s="100" t="str">
        <f aca="false">IF(ISBLANK($C252),"",IF($N252=Constants!$B$2,TRUE(),IF($N252=Constants!$B$3,FALSE(),FALSE())))</f>
        <v/>
      </c>
      <c r="AT252" s="100" t="str">
        <f aca="false">IF(ISBLANK($C252),"",IF($O252=Constants!$B$2,TRUE(),IF($O252=Constants!$B$3,FALSE(),TRUE())))</f>
        <v/>
      </c>
      <c r="AU252" s="100" t="str">
        <f aca="false">IF(ISBLANK($C252),"",IF($P252=Constants!$B$2,TRUE(),IF($P252=Constants!$B$3,FALSE(),TRUE())))</f>
        <v/>
      </c>
      <c r="AV252" s="100" t="str">
        <f aca="false">IF(ISBLANK($C252),"",IF($Q252=Constants!$B$2,TRUE(),IF($Q252=Constants!$B$3,FALSE(),FALSE())))</f>
        <v/>
      </c>
      <c r="AW252" s="100" t="str">
        <f aca="false">IF(ISBLANK($C252),"",IF($R252=Constants!$B$2,TRUE(),IF($R252=Constants!$B$3,FALSE(),FALSE())))</f>
        <v/>
      </c>
      <c r="AX252" s="100" t="str">
        <f aca="false">IF(ISBLANK($C252),"",IF($S252=Constants!$B$2,TRUE(),IF($S252=Constants!$B$3,FALSE(),FALSE())))</f>
        <v/>
      </c>
      <c r="AY252" s="100" t="str">
        <f aca="false">IF(ISBLANK($C252),"",IF($T252=Constants!$B$2,TRUE(),IF($T252=Constants!$B$3,FALSE(),FALSE())))</f>
        <v/>
      </c>
      <c r="AZ252" s="100" t="str">
        <f aca="false">IF(ISBLANK($C252),"",IF($U252=Constants!$B$2,TRUE(),IF($U252=Constants!$B$3,FALSE(),FALSE())))</f>
        <v/>
      </c>
      <c r="BA252" s="100" t="str">
        <f aca="false">IF(ISBLANK($C252),"",IF(OR($V252&amp;""="1",$V252&amp;""="2",$V252&amp;""="3",$V252&amp;""="4"),VALUE($V252&amp;""),IF($V252=Constants!$B$12,Constants!$B$12,"")))</f>
        <v/>
      </c>
      <c r="BB252" s="100" t="str">
        <f aca="false">IF(ISBLANK($C252),"",IF(ISBLANK($W252),0,IF(ISNUMBER($W252),IF(AND($W252&gt;=0,$W252&lt;=Constants!$B$21,$W252=INT($W252)),$W252,""),"")))</f>
        <v/>
      </c>
      <c r="BC252" s="100" t="str">
        <f aca="false">IF(ISBLANK($C252),"",IF(ISBLANK($X252),0,IF(ISNUMBER($X252),IF($X252&gt;=0,$X252,""),"")))</f>
        <v/>
      </c>
      <c r="BD252" s="100" t="str">
        <f aca="false">IF(ISBLANK($C252),"",IF($Y252=Constants!$B$2,TRUE(),IF($Y252=Constants!$B$3,FALSE(),TRUE())))</f>
        <v/>
      </c>
      <c r="BE252" s="100" t="str">
        <f aca="false">IF(ISBLANK($C252),"",IF($Z252=Constants!$B$2,TRUE(),IF($Z252=Constants!$B$3,FALSE(),FALSE())))</f>
        <v/>
      </c>
      <c r="BF252" s="100" t="str">
        <f aca="false">IF(ISBLANK($C252),"",IF(ISBLANK($AA252),0,IF(ISNUMBER($AA252),IF(AND($AA252&gt;=0,$AA252&lt;=Constants!$B$35,$AA252=INT($AA252)),$AA252,""),"")))</f>
        <v/>
      </c>
      <c r="BG252" s="100" t="str">
        <f aca="false">IF(ISBLANK($C252),"",IF($AB252=Constants!$B$2,TRUE(),IF($AB252=Constants!$B$3,FALSE(),TRUE())))</f>
        <v/>
      </c>
      <c r="BH252" s="100" t="str">
        <f aca="false">IF(ISBLANK($C252),"",IF($AC252=Constants!$B$2,TRUE(),IF($AC252=Constants!$B$3,FALSE(),TRUE())))</f>
        <v/>
      </c>
      <c r="BI252" s="100" t="str">
        <f aca="false">IF(ISBLANK($C252),"",IF($AD252=Constants!$B$2,TRUE(),IF($AD252=Constants!$B$3,FALSE(),TRUE())))</f>
        <v/>
      </c>
      <c r="BJ252" s="100" t="str">
        <f aca="false">IF(ISBLANK($C252),"",IF(ISNUMBER($AE252),IF($AE252&gt;=0,$AE252,""),""))</f>
        <v/>
      </c>
      <c r="BK252" s="100" t="str">
        <f aca="false">IF(ISBLANK($C252),"",IF($AF252=Constants!$B$2,TRUE(),IF($AF252=Constants!$B$3,FALSE(),FALSE())))</f>
        <v/>
      </c>
      <c r="BL252" s="99" t="str">
        <f aca="false">IF(ISBLANK($C252),"",IF($BK252,Constants!$B$7,IF(COUNTA($E252:$AE252)=0,Constants!$B$6,IF(OR(COUNTA($G252:$AE252)=0,NOT($AM252),$AS252),Constants!$B$5,IF(OR($CM252&lt;&gt;"",$CN252,$CO252,$CP252,$CQ252,$CR252,$CS252),Constants!$B$8,Constants!$B$4)))))</f>
        <v/>
      </c>
      <c r="BM252" s="100" t="str">
        <f aca="false">IF(ISBLANK($C252),"",IF($BL252&lt;&gt;Constants!$B$4,$BL252,IF(OR(NOT($AJ252),NOT($AL252),NOT($AT252)),Constants!$B$11,IF(OR(NOT($AR252),NOT($AU252),NOT($BI252),MAX($AN252,$AO252,$AP252)&gt;Constants!$B$30),Constants!$B$10,Constants!$B$9))))</f>
        <v/>
      </c>
      <c r="BN252" s="100" t="str">
        <f aca="false">IF($BL252&lt;&gt;Constants!$B$4,"",IF(NOT($AL252),0,MIN(Constants!$B$35,$BF252)))</f>
        <v/>
      </c>
      <c r="BO252" s="100" t="str">
        <f aca="false">IF($BL252&lt;&gt;Constants!$B$4,"",IF(NOT($AL252),0,IF($AW252,Constants!$B$18,IF($AV252,Constants!$B$17,0))))</f>
        <v/>
      </c>
      <c r="BP252" s="100" t="str">
        <f aca="false">IF($BL252&lt;&gt;Constants!$B$4,"",IF(NOT($AL252),0,Constants!$B$19*($AK252+$AX252+$AY252+$AZ252)))</f>
        <v/>
      </c>
      <c r="BQ252" s="100" t="str">
        <f aca="false">IF($BL252&lt;&gt;Constants!$B$4,"",IF(OR(NOT($AL252),NOT(ISNUMBER($BA252))),0,CHOOSE($BA252,Constants!$B$13,Constants!$B$14,Constants!$B$15,Constants!$B$16)))</f>
        <v/>
      </c>
      <c r="BR252" s="100" t="str">
        <f aca="false">IF($BL252&lt;&gt;Constants!$B$4,"",IF(NOT($AL252),0,Constants!$B$20*$BB252))</f>
        <v/>
      </c>
      <c r="BS252" s="100" t="str">
        <f aca="false">IF($BL252&lt;&gt;Constants!$B$4,"",IF(AND($AL252,$BD252,$BE252),Constants!$B$22,0))</f>
        <v/>
      </c>
      <c r="BT252" s="100" t="str">
        <f aca="false">IF($BL252&lt;&gt;Constants!$B$4,"",IF(OR(NOT($AL252),NOT($BD252)),0,IF($BJ252&gt;=2*$AH$9,0,Constants!$B$23*INT(ROUND(MIN($BJ252,$AH$9),6)))))</f>
        <v/>
      </c>
      <c r="BU252" s="100" t="str">
        <f aca="false">IF($BL252&lt;&gt;Constants!$B$4,"",IF(NOT($AL252),0,Constants!$B$24*INT(ROUND(MIN($BC252,$AH$9),6))))</f>
        <v/>
      </c>
      <c r="BV252" s="100" t="str">
        <f aca="false">IF($BL252&lt;&gt;Constants!$B$4,"",IF(AND($AL252,$BN252=0),Constants!$B$25,0))</f>
        <v/>
      </c>
      <c r="BW252" s="100" t="str">
        <f aca="false">IF($BL252&lt;&gt;Constants!$B$4,"",MIN(Constants!$B$29,MAX(0,Constants!$B$27*Constants!$B$28*INT(ROUND((Constants!$B$26-$AN252)/Constants!$B$28,6))))+MIN(Constants!$B$29,MAX(0,Constants!$B$27*Constants!$B$28*INT(ROUND((Constants!$B$26-$AO252)/Constants!$B$28,6))))+MIN(Constants!$B$29,MAX(0,Constants!$B$27*Constants!$B$28*INT(ROUND((Constants!$B$26-$AP252)/Constants!$B$28,6)))))</f>
        <v/>
      </c>
      <c r="BX252" s="100" t="str">
        <f aca="false">IF($BL252&lt;&gt;Constants!$B$4,"",IF(NOT($AL252),0,Constants!$B$31*INT(ROUND(MAX(0,MIN($BJ252,2*$AH$9)-$AH$9),6))))</f>
        <v/>
      </c>
      <c r="BY252" s="100" t="str">
        <f aca="false">IF($BL252&lt;&gt;Constants!$B$4,"",Constants!$B$32*(($AN252&gt;Constants!$B$26)+($AO252&gt;Constants!$B$26)+($AP252&gt;Constants!$B$26)))</f>
        <v/>
      </c>
      <c r="BZ252" s="100" t="str">
        <f aca="false">IF($BL252&lt;&gt;Constants!$B$4,"",IF(OR(NOT($AL252),$AQ252),0,Constants!$B$33))</f>
        <v/>
      </c>
      <c r="CA252" s="100" t="str">
        <f aca="false">IF($BL252&lt;&gt;Constants!$B$4,"",Constants!$B$34*$BN252)</f>
        <v/>
      </c>
      <c r="CB252" s="100" t="str">
        <f aca="false">IF($BL252&lt;&gt;Constants!$B$4,"",IF(OR(NOT($AL252),$BH252),0,Constants!$B$36))</f>
        <v/>
      </c>
      <c r="CC252" s="100" t="str">
        <f aca="false">IF($BL252&lt;&gt;Constants!$B$4,"",IF(OR(NOT($AL252),$BG252),0,Constants!$B$37))</f>
        <v/>
      </c>
      <c r="CD252" s="100" t="str">
        <f aca="false">IF($BL252&lt;&gt;Constants!$B$4,"",SUM($BX252:$CC252))</f>
        <v/>
      </c>
      <c r="CE252" s="100" t="str">
        <f aca="false">IF(ISBLANK($C252),"",IF($BL252&lt;&gt;Constants!$B$4,$BL252,SUM($BO252:$BW252)-$CD252))</f>
        <v/>
      </c>
      <c r="CF252" s="100" t="str">
        <f aca="false">IF(ISBLANK($C252),"",IF($BL252&lt;&gt;Constants!$B$4,$BL252,RANK($CE252,$CE$9:$CE$508)))</f>
        <v/>
      </c>
      <c r="CG252" s="100" t="str">
        <f aca="false">IF(ISBLANK($C252),"",IF($BL252&lt;&gt;Constants!$B$4,$BL252,COUNTIFS($BM$9:$BM$508,"&lt;"&amp;$BM252)+COUNTIFS($BM$9:$BM$508,$BM252,$CF$9:$CF$508,"&lt;"&amp;$CF252)+1))</f>
        <v/>
      </c>
      <c r="CH252" s="100" t="str">
        <f aca="false">IF(ISBLANK($C252),"",IF($BL252&lt;&gt;Constants!$B$4,$BL252,RANK($CD252,$CD$9:$CD$508,1)))</f>
        <v/>
      </c>
      <c r="CI252" s="100" t="str">
        <f aca="false">IF($BL252&lt;&gt;Constants!$B$4,"",$AN252+$AO252+$AP252)</f>
        <v/>
      </c>
      <c r="CJ252" s="100" t="str">
        <f aca="false">IF(ISBLANK($C252),"",IF($BL252&lt;&gt;Constants!$B$4,$BL252,RANK($CI252,$CI$9:$CI$508,1)))</f>
        <v/>
      </c>
      <c r="CK252" s="100" t="str">
        <f aca="false">IF(ISBLANK($C252),"",IF($BL252&lt;&gt;Constants!$B$4,$BL252,COUNTIFS($BM$9:$BM$508,"&lt;"&amp;$BM252)+COUNTIFS($BM$9:$BM$508,$BM252,$CF$9:$CF$508,"&lt;"&amp;$CF252)+COUNTIFS($BM$9:$BM$508,$BM252,$CF$9:$CF$508,$CF252,$CH$9:$CH$508,"&lt;"&amp;$CH252)+COUNTIFS($BM$9:$BM$508,$BM252,$CF$9:$CF$508,$CF252,$CH$9:$CH$508,$CH252,$CJ$9:$CJ$508,"&lt;"&amp;$CJ252)+1))</f>
        <v/>
      </c>
      <c r="CL252" s="100" t="str">
        <f aca="false">IF(ISBLANK($C252),"",IF($BL252&lt;&gt;Constants!$B$4,$BL252,$CG252-$CK252))</f>
        <v/>
      </c>
      <c r="CM252" s="100" t="str">
        <f aca="false">IF(ISBLANK($C252),"",IF(NOT($AL252),"",IF(ISBLANK($D$7),$CM$5,IF(NOT(ISNUMBER($D$7)),$CM$6,""))))</f>
        <v/>
      </c>
      <c r="CN252" s="100" t="str">
        <f aca="false">IF(ISBLANK($C252),"",OR($AN252="",$AO252="",$AP252=""))</f>
        <v/>
      </c>
      <c r="CO252" s="100" t="str">
        <f aca="false">IF(ISBLANK($C252),"",AND($AL252,$BA252=""))</f>
        <v/>
      </c>
      <c r="CP252" s="100" t="str">
        <f aca="false">IF(ISBLANK($C252),"",AND($AL252,$BB252=""))</f>
        <v/>
      </c>
      <c r="CQ252" s="100" t="str">
        <f aca="false">IF(ISBLANK($C252),"",AND($AL252,$BC252=""))</f>
        <v/>
      </c>
      <c r="CR252" s="100" t="str">
        <f aca="false">IF(ISBLANK($C252),"",AND($AL252,$BF252=""))</f>
        <v/>
      </c>
      <c r="CS252" s="100" t="str">
        <f aca="false">IF(ISBLANK($C252),"",AND($AL252,$BJ252=""))</f>
        <v/>
      </c>
      <c r="CT252" s="101"/>
      <c r="CU252" s="102"/>
      <c r="CV252" s="103" t="str">
        <f aca="false">IF(ISBLANK($C252),"",IF($BL252=Constants!$B$8,$CM252,""))</f>
        <v/>
      </c>
      <c r="CW252" s="102" t="str">
        <f aca="false">IF(ISBLANK($C252),"",IF($BL252&lt;&gt;Constants!$B$4,"",$BO252+$BP252))</f>
        <v/>
      </c>
      <c r="CX252" s="104" t="str">
        <f aca="false">IF(ISBLANK($C252),"",IF($BL252&lt;&gt;Constants!$B$4,"",$BQ252+$BR252+$BS252))</f>
        <v/>
      </c>
      <c r="CY252" s="104" t="str">
        <f aca="false">IF(ISBLANK($C252),"",IF($BL252&lt;&gt;Constants!$B$4,"",$BT252))</f>
        <v/>
      </c>
      <c r="CZ252" s="104" t="str">
        <f aca="false">IF(ISBLANK($C252),"",IF($BL252&lt;&gt;Constants!$B$4,"",$BU252+$BV252))</f>
        <v/>
      </c>
      <c r="DA252" s="104" t="str">
        <f aca="false">IF(ISBLANK($C252),"",IF($BL252&lt;&gt;Constants!$B$4,"",$BW252))</f>
        <v/>
      </c>
      <c r="DB252" s="104" t="str">
        <f aca="false">IF(ISBLANK($C252),"",IF($BL252&lt;&gt;Constants!$B$4,"",-$CD252))</f>
        <v/>
      </c>
      <c r="DC252" s="103" t="str">
        <f aca="false">IF(ISBLANK($C252),"",$CE252)</f>
        <v/>
      </c>
      <c r="DD252" s="105" t="str">
        <f aca="false">IF(ISBLANK($C252),"",$BM252)</f>
        <v/>
      </c>
      <c r="DE252" s="104" t="str">
        <f aca="false">IF(ISBLANK($C252),"",$CL252)</f>
        <v/>
      </c>
      <c r="DF252" s="104" t="str">
        <f aca="false">IF(ISBLANK($C252),"",$CK252)</f>
        <v/>
      </c>
      <c r="DG252" s="106" t="str">
        <f aca="false">IF(ISBLANK($C252),"",IF($DF252=Constants!$B$7,COUNTA($C$9:$C$508)+2,IF($DF252=Constants!$B$6,COUNTA($C$9:$C$508)+1,IF($DF252=Constants!$B$5,COUNTA($C$9:$C$508),$DF252))))</f>
        <v/>
      </c>
      <c r="DH252" s="7"/>
      <c r="DI252" s="107" t="n">
        <f aca="false">IF(OR(ISNUMBER($DF252),$DF252=Constants!$B$7,$DF252=Constants!$B$5,$DF252=Constants!$B$6),1,0)</f>
        <v>0</v>
      </c>
      <c r="DJ252" s="107" t="n">
        <v>244</v>
      </c>
      <c r="DK252" s="107" t="str">
        <f aca="false">IF(ISBLANK($C252),"",IF(ISNUMBER($DG252),$DG252+ROW($B252)/1000,""))</f>
        <v/>
      </c>
      <c r="DL252" s="107" t="str">
        <f aca="false">IF(ISNUMBER($DK252),RANK($DK252,$DK$9:$DK$508,1),"")</f>
        <v/>
      </c>
      <c r="DM252" s="107" t="str">
        <f aca="false">IF(ISBLANK($C252),"",$B252)</f>
        <v/>
      </c>
      <c r="DN252" s="107" t="str">
        <f aca="false">IF(ISBLANK($C252),"",$C252)</f>
        <v/>
      </c>
      <c r="DO252" s="107" t="str">
        <f aca="false">IF(ISBLANK($C252),"",$D252)</f>
        <v/>
      </c>
      <c r="DP252" s="108" t="str">
        <f aca="false">$DD252</f>
        <v/>
      </c>
      <c r="DQ252" s="109" t="str">
        <f aca="false">$DC252</f>
        <v/>
      </c>
      <c r="DR252" s="107" t="str">
        <f aca="false">IF(ISBLANK($C252),"",$DF252)</f>
        <v/>
      </c>
      <c r="DS252" s="110" t="str">
        <f aca="false">IF($DJ252&gt;$DI$8,"",VLOOKUP($DJ252,$DL$9:$DR$508,7,FALSE()))</f>
        <v/>
      </c>
      <c r="DT252" s="111" t="str">
        <f aca="false">IF($DJ252&gt;$DI$8,"",VLOOKUP($DJ252,$DL$9:$DR$508,2,FALSE()))</f>
        <v/>
      </c>
      <c r="DU252" s="111" t="str">
        <f aca="false">IF($DJ252&gt;$DI$8,"",VLOOKUP($DJ252,$DL$9:$DR$508,3,FALSE()))</f>
        <v/>
      </c>
      <c r="DV252" s="111" t="str">
        <f aca="false">IF($DJ252&gt;$DI$8,"",VLOOKUP($DJ252,$DL$9:$DR$508,4,FALSE()))</f>
        <v/>
      </c>
      <c r="DW252" s="111" t="str">
        <f aca="false">IF($DJ252&gt;$DI$8,"",VLOOKUP($DJ252,$DL$9:$DR$508,5,FALSE()))</f>
        <v/>
      </c>
      <c r="DX252" s="112" t="str">
        <f aca="false">IF($DJ252&gt;$DI$8,"",VLOOKUP($DJ252,$DL$9:$DR$508,6,FALSE()))</f>
        <v/>
      </c>
      <c r="DY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130"/>
      <c r="N253" s="130"/>
      <c r="O253" s="135"/>
      <c r="P253" s="135"/>
      <c r="Q253" s="130"/>
      <c r="R253" s="130"/>
      <c r="S253" s="130"/>
      <c r="T253" s="130"/>
      <c r="U253" s="135"/>
      <c r="V253" s="130"/>
      <c r="W253" s="96"/>
      <c r="X253" s="130"/>
      <c r="Y253" s="130"/>
      <c r="Z253" s="96"/>
      <c r="AA253" s="96"/>
      <c r="AB253" s="130"/>
      <c r="AC253" s="130"/>
      <c r="AD253" s="130"/>
      <c r="AE253" s="97"/>
      <c r="AF253" s="130"/>
      <c r="AG253" s="99"/>
      <c r="AH253" s="100"/>
      <c r="AI253" s="100"/>
      <c r="AJ253" s="100" t="str">
        <f aca="false">IF(ISBLANK($C253),"",IF($E253=Constants!$B$2,TRUE(),IF($E253=Constants!$B$3,FALSE(),TRUE())))</f>
        <v/>
      </c>
      <c r="AK253" s="100" t="str">
        <f aca="false">IF(ISBLANK($C253),"",IF($F253=Constants!$B$2,TRUE(),IF($F253=Constants!$B$3,FALSE(),FALSE())))</f>
        <v/>
      </c>
      <c r="AL253" s="100" t="str">
        <f aca="false">IF(ISBLANK($C253),"",IF($G253=Constants!$B$2,TRUE(),IF($G253=Constants!$B$3,FALSE(),TRUE())))</f>
        <v/>
      </c>
      <c r="AM253" s="100" t="str">
        <f aca="false">IF(ISBLANK($C253),"",IF($H253=Constants!$B$2,TRUE(),IF($H253=Constants!$B$3,FALSE(),TRUE())))</f>
        <v/>
      </c>
      <c r="AN253" s="100" t="str">
        <f aca="false">IF(ISBLANK($C253),"",IF(ISNUMBER($I253),IF($I253&gt;=0,$I253,""),""))</f>
        <v/>
      </c>
      <c r="AO253" s="100" t="str">
        <f aca="false">IF(ISBLANK($C253),"",IF(ISNUMBER($J253),IF($J253&gt;=0,$J253,""),""))</f>
        <v/>
      </c>
      <c r="AP253" s="100" t="str">
        <f aca="false">IF(ISBLANK($C253),"",IF(ISNUMBER($K253),IF($K253&gt;=0,$K253,""),""))</f>
        <v/>
      </c>
      <c r="AQ253" s="100" t="str">
        <f aca="false">IF(ISBLANK($C253),"",IF($L253=Constants!$B$2,TRUE(),IF($L253=Constants!$B$3,FALSE(),TRUE())))</f>
        <v/>
      </c>
      <c r="AR253" s="100" t="str">
        <f aca="false">IF(ISBLANK($C253),"",IF($M253=Constants!$B$2,TRUE(),IF($M253=Constants!$B$3,FALSE(),TRUE())))</f>
        <v/>
      </c>
      <c r="AS253" s="100" t="str">
        <f aca="false">IF(ISBLANK($C253),"",IF($N253=Constants!$B$2,TRUE(),IF($N253=Constants!$B$3,FALSE(),FALSE())))</f>
        <v/>
      </c>
      <c r="AT253" s="100" t="str">
        <f aca="false">IF(ISBLANK($C253),"",IF($O253=Constants!$B$2,TRUE(),IF($O253=Constants!$B$3,FALSE(),TRUE())))</f>
        <v/>
      </c>
      <c r="AU253" s="100" t="str">
        <f aca="false">IF(ISBLANK($C253),"",IF($P253=Constants!$B$2,TRUE(),IF($P253=Constants!$B$3,FALSE(),TRUE())))</f>
        <v/>
      </c>
      <c r="AV253" s="100" t="str">
        <f aca="false">IF(ISBLANK($C253),"",IF($Q253=Constants!$B$2,TRUE(),IF($Q253=Constants!$B$3,FALSE(),FALSE())))</f>
        <v/>
      </c>
      <c r="AW253" s="100" t="str">
        <f aca="false">IF(ISBLANK($C253),"",IF($R253=Constants!$B$2,TRUE(),IF($R253=Constants!$B$3,FALSE(),FALSE())))</f>
        <v/>
      </c>
      <c r="AX253" s="100" t="str">
        <f aca="false">IF(ISBLANK($C253),"",IF($S253=Constants!$B$2,TRUE(),IF($S253=Constants!$B$3,FALSE(),FALSE())))</f>
        <v/>
      </c>
      <c r="AY253" s="100" t="str">
        <f aca="false">IF(ISBLANK($C253),"",IF($T253=Constants!$B$2,TRUE(),IF($T253=Constants!$B$3,FALSE(),FALSE())))</f>
        <v/>
      </c>
      <c r="AZ253" s="100" t="str">
        <f aca="false">IF(ISBLANK($C253),"",IF($U253=Constants!$B$2,TRUE(),IF($U253=Constants!$B$3,FALSE(),FALSE())))</f>
        <v/>
      </c>
      <c r="BA253" s="100" t="str">
        <f aca="false">IF(ISBLANK($C253),"",IF(OR($V253&amp;""="1",$V253&amp;""="2",$V253&amp;""="3",$V253&amp;""="4"),VALUE($V253&amp;""),IF($V253=Constants!$B$12,Constants!$B$12,"")))</f>
        <v/>
      </c>
      <c r="BB253" s="100" t="str">
        <f aca="false">IF(ISBLANK($C253),"",IF(ISBLANK($W253),0,IF(ISNUMBER($W253),IF(AND($W253&gt;=0,$W253&lt;=Constants!$B$21,$W253=INT($W253)),$W253,""),"")))</f>
        <v/>
      </c>
      <c r="BC253" s="100" t="str">
        <f aca="false">IF(ISBLANK($C253),"",IF(ISBLANK($X253),0,IF(ISNUMBER($X253),IF($X253&gt;=0,$X253,""),"")))</f>
        <v/>
      </c>
      <c r="BD253" s="100" t="str">
        <f aca="false">IF(ISBLANK($C253),"",IF($Y253=Constants!$B$2,TRUE(),IF($Y253=Constants!$B$3,FALSE(),TRUE())))</f>
        <v/>
      </c>
      <c r="BE253" s="100" t="str">
        <f aca="false">IF(ISBLANK($C253),"",IF($Z253=Constants!$B$2,TRUE(),IF($Z253=Constants!$B$3,FALSE(),FALSE())))</f>
        <v/>
      </c>
      <c r="BF253" s="100" t="str">
        <f aca="false">IF(ISBLANK($C253),"",IF(ISBLANK($AA253),0,IF(ISNUMBER($AA253),IF(AND($AA253&gt;=0,$AA253&lt;=Constants!$B$35,$AA253=INT($AA253)),$AA253,""),"")))</f>
        <v/>
      </c>
      <c r="BG253" s="100" t="str">
        <f aca="false">IF(ISBLANK($C253),"",IF($AB253=Constants!$B$2,TRUE(),IF($AB253=Constants!$B$3,FALSE(),TRUE())))</f>
        <v/>
      </c>
      <c r="BH253" s="100" t="str">
        <f aca="false">IF(ISBLANK($C253),"",IF($AC253=Constants!$B$2,TRUE(),IF($AC253=Constants!$B$3,FALSE(),TRUE())))</f>
        <v/>
      </c>
      <c r="BI253" s="100" t="str">
        <f aca="false">IF(ISBLANK($C253),"",IF($AD253=Constants!$B$2,TRUE(),IF($AD253=Constants!$B$3,FALSE(),TRUE())))</f>
        <v/>
      </c>
      <c r="BJ253" s="100" t="str">
        <f aca="false">IF(ISBLANK($C253),"",IF(ISNUMBER($AE253),IF($AE253&gt;=0,$AE253,""),""))</f>
        <v/>
      </c>
      <c r="BK253" s="100" t="str">
        <f aca="false">IF(ISBLANK($C253),"",IF($AF253=Constants!$B$2,TRUE(),IF($AF253=Constants!$B$3,FALSE(),FALSE())))</f>
        <v/>
      </c>
      <c r="BL253" s="99" t="str">
        <f aca="false">IF(ISBLANK($C253),"",IF($BK253,Constants!$B$7,IF(COUNTA($E253:$AE253)=0,Constants!$B$6,IF(OR(COUNTA($G253:$AE253)=0,NOT($AM253),$AS253),Constants!$B$5,IF(OR($CM253&lt;&gt;"",$CN253,$CO253,$CP253,$CQ253,$CR253,$CS253),Constants!$B$8,Constants!$B$4)))))</f>
        <v/>
      </c>
      <c r="BM253" s="100" t="str">
        <f aca="false">IF(ISBLANK($C253),"",IF($BL253&lt;&gt;Constants!$B$4,$BL253,IF(OR(NOT($AJ253),NOT($AL253),NOT($AT253)),Constants!$B$11,IF(OR(NOT($AR253),NOT($AU253),NOT($BI253),MAX($AN253,$AO253,$AP253)&gt;Constants!$B$30),Constants!$B$10,Constants!$B$9))))</f>
        <v/>
      </c>
      <c r="BN253" s="100" t="str">
        <f aca="false">IF($BL253&lt;&gt;Constants!$B$4,"",IF(NOT($AL253),0,MIN(Constants!$B$35,$BF253)))</f>
        <v/>
      </c>
      <c r="BO253" s="100" t="str">
        <f aca="false">IF($BL253&lt;&gt;Constants!$B$4,"",IF(NOT($AL253),0,IF($AW253,Constants!$B$18,IF($AV253,Constants!$B$17,0))))</f>
        <v/>
      </c>
      <c r="BP253" s="100" t="str">
        <f aca="false">IF($BL253&lt;&gt;Constants!$B$4,"",IF(NOT($AL253),0,Constants!$B$19*($AK253+$AX253+$AY253+$AZ253)))</f>
        <v/>
      </c>
      <c r="BQ253" s="100" t="str">
        <f aca="false">IF($BL253&lt;&gt;Constants!$B$4,"",IF(OR(NOT($AL253),NOT(ISNUMBER($BA253))),0,CHOOSE($BA253,Constants!$B$13,Constants!$B$14,Constants!$B$15,Constants!$B$16)))</f>
        <v/>
      </c>
      <c r="BR253" s="100" t="str">
        <f aca="false">IF($BL253&lt;&gt;Constants!$B$4,"",IF(NOT($AL253),0,Constants!$B$20*$BB253))</f>
        <v/>
      </c>
      <c r="BS253" s="100" t="str">
        <f aca="false">IF($BL253&lt;&gt;Constants!$B$4,"",IF(AND($AL253,$BD253,$BE253),Constants!$B$22,0))</f>
        <v/>
      </c>
      <c r="BT253" s="100" t="str">
        <f aca="false">IF($BL253&lt;&gt;Constants!$B$4,"",IF(OR(NOT($AL253),NOT($BD253)),0,IF($BJ253&gt;=2*$AH$9,0,Constants!$B$23*INT(ROUND(MIN($BJ253,$AH$9),6)))))</f>
        <v/>
      </c>
      <c r="BU253" s="100" t="str">
        <f aca="false">IF($BL253&lt;&gt;Constants!$B$4,"",IF(NOT($AL253),0,Constants!$B$24*INT(ROUND(MIN($BC253,$AH$9),6))))</f>
        <v/>
      </c>
      <c r="BV253" s="100" t="str">
        <f aca="false">IF($BL253&lt;&gt;Constants!$B$4,"",IF(AND($AL253,$BN253=0),Constants!$B$25,0))</f>
        <v/>
      </c>
      <c r="BW253" s="100" t="str">
        <f aca="false">IF($BL253&lt;&gt;Constants!$B$4,"",MIN(Constants!$B$29,MAX(0,Constants!$B$27*Constants!$B$28*INT(ROUND((Constants!$B$26-$AN253)/Constants!$B$28,6))))+MIN(Constants!$B$29,MAX(0,Constants!$B$27*Constants!$B$28*INT(ROUND((Constants!$B$26-$AO253)/Constants!$B$28,6))))+MIN(Constants!$B$29,MAX(0,Constants!$B$27*Constants!$B$28*INT(ROUND((Constants!$B$26-$AP253)/Constants!$B$28,6)))))</f>
        <v/>
      </c>
      <c r="BX253" s="100" t="str">
        <f aca="false">IF($BL253&lt;&gt;Constants!$B$4,"",IF(NOT($AL253),0,Constants!$B$31*INT(ROUND(MAX(0,MIN($BJ253,2*$AH$9)-$AH$9),6))))</f>
        <v/>
      </c>
      <c r="BY253" s="100" t="str">
        <f aca="false">IF($BL253&lt;&gt;Constants!$B$4,"",Constants!$B$32*(($AN253&gt;Constants!$B$26)+($AO253&gt;Constants!$B$26)+($AP253&gt;Constants!$B$26)))</f>
        <v/>
      </c>
      <c r="BZ253" s="100" t="str">
        <f aca="false">IF($BL253&lt;&gt;Constants!$B$4,"",IF(OR(NOT($AL253),$AQ253),0,Constants!$B$33))</f>
        <v/>
      </c>
      <c r="CA253" s="100" t="str">
        <f aca="false">IF($BL253&lt;&gt;Constants!$B$4,"",Constants!$B$34*$BN253)</f>
        <v/>
      </c>
      <c r="CB253" s="100" t="str">
        <f aca="false">IF($BL253&lt;&gt;Constants!$B$4,"",IF(OR(NOT($AL253),$BH253),0,Constants!$B$36))</f>
        <v/>
      </c>
      <c r="CC253" s="100" t="str">
        <f aca="false">IF($BL253&lt;&gt;Constants!$B$4,"",IF(OR(NOT($AL253),$BG253),0,Constants!$B$37))</f>
        <v/>
      </c>
      <c r="CD253" s="100" t="str">
        <f aca="false">IF($BL253&lt;&gt;Constants!$B$4,"",SUM($BX253:$CC253))</f>
        <v/>
      </c>
      <c r="CE253" s="100" t="str">
        <f aca="false">IF(ISBLANK($C253),"",IF($BL253&lt;&gt;Constants!$B$4,$BL253,SUM($BO253:$BW253)-$CD253))</f>
        <v/>
      </c>
      <c r="CF253" s="100" t="str">
        <f aca="false">IF(ISBLANK($C253),"",IF($BL253&lt;&gt;Constants!$B$4,$BL253,RANK($CE253,$CE$9:$CE$508)))</f>
        <v/>
      </c>
      <c r="CG253" s="100" t="str">
        <f aca="false">IF(ISBLANK($C253),"",IF($BL253&lt;&gt;Constants!$B$4,$BL253,COUNTIFS($BM$9:$BM$508,"&lt;"&amp;$BM253)+COUNTIFS($BM$9:$BM$508,$BM253,$CF$9:$CF$508,"&lt;"&amp;$CF253)+1))</f>
        <v/>
      </c>
      <c r="CH253" s="100" t="str">
        <f aca="false">IF(ISBLANK($C253),"",IF($BL253&lt;&gt;Constants!$B$4,$BL253,RANK($CD253,$CD$9:$CD$508,1)))</f>
        <v/>
      </c>
      <c r="CI253" s="100" t="str">
        <f aca="false">IF($BL253&lt;&gt;Constants!$B$4,"",$AN253+$AO253+$AP253)</f>
        <v/>
      </c>
      <c r="CJ253" s="100" t="str">
        <f aca="false">IF(ISBLANK($C253),"",IF($BL253&lt;&gt;Constants!$B$4,$BL253,RANK($CI253,$CI$9:$CI$508,1)))</f>
        <v/>
      </c>
      <c r="CK253" s="100" t="str">
        <f aca="false">IF(ISBLANK($C253),"",IF($BL253&lt;&gt;Constants!$B$4,$BL253,COUNTIFS($BM$9:$BM$508,"&lt;"&amp;$BM253)+COUNTIFS($BM$9:$BM$508,$BM253,$CF$9:$CF$508,"&lt;"&amp;$CF253)+COUNTIFS($BM$9:$BM$508,$BM253,$CF$9:$CF$508,$CF253,$CH$9:$CH$508,"&lt;"&amp;$CH253)+COUNTIFS($BM$9:$BM$508,$BM253,$CF$9:$CF$508,$CF253,$CH$9:$CH$508,$CH253,$CJ$9:$CJ$508,"&lt;"&amp;$CJ253)+1))</f>
        <v/>
      </c>
      <c r="CL253" s="100" t="str">
        <f aca="false">IF(ISBLANK($C253),"",IF($BL253&lt;&gt;Constants!$B$4,$BL253,$CG253-$CK253))</f>
        <v/>
      </c>
      <c r="CM253" s="100" t="str">
        <f aca="false">IF(ISBLANK($C253),"",IF(NOT($AL253),"",IF(ISBLANK($D$7),$CM$5,IF(NOT(ISNUMBER($D$7)),$CM$6,""))))</f>
        <v/>
      </c>
      <c r="CN253" s="100" t="str">
        <f aca="false">IF(ISBLANK($C253),"",OR($AN253="",$AO253="",$AP253=""))</f>
        <v/>
      </c>
      <c r="CO253" s="100" t="str">
        <f aca="false">IF(ISBLANK($C253),"",AND($AL253,$BA253=""))</f>
        <v/>
      </c>
      <c r="CP253" s="100" t="str">
        <f aca="false">IF(ISBLANK($C253),"",AND($AL253,$BB253=""))</f>
        <v/>
      </c>
      <c r="CQ253" s="100" t="str">
        <f aca="false">IF(ISBLANK($C253),"",AND($AL253,$BC253=""))</f>
        <v/>
      </c>
      <c r="CR253" s="100" t="str">
        <f aca="false">IF(ISBLANK($C253),"",AND($AL253,$BF253=""))</f>
        <v/>
      </c>
      <c r="CS253" s="100" t="str">
        <f aca="false">IF(ISBLANK($C253),"",AND($AL253,$BJ253=""))</f>
        <v/>
      </c>
      <c r="CT253" s="101"/>
      <c r="CU253" s="102"/>
      <c r="CV253" s="103" t="str">
        <f aca="false">IF(ISBLANK($C253),"",IF($BL253=Constants!$B$8,$CM253,""))</f>
        <v/>
      </c>
      <c r="CW253" s="102" t="str">
        <f aca="false">IF(ISBLANK($C253),"",IF($BL253&lt;&gt;Constants!$B$4,"",$BO253+$BP253))</f>
        <v/>
      </c>
      <c r="CX253" s="104" t="str">
        <f aca="false">IF(ISBLANK($C253),"",IF($BL253&lt;&gt;Constants!$B$4,"",$BQ253+$BR253+$BS253))</f>
        <v/>
      </c>
      <c r="CY253" s="104" t="str">
        <f aca="false">IF(ISBLANK($C253),"",IF($BL253&lt;&gt;Constants!$B$4,"",$BT253))</f>
        <v/>
      </c>
      <c r="CZ253" s="104" t="str">
        <f aca="false">IF(ISBLANK($C253),"",IF($BL253&lt;&gt;Constants!$B$4,"",$BU253+$BV253))</f>
        <v/>
      </c>
      <c r="DA253" s="104" t="str">
        <f aca="false">IF(ISBLANK($C253),"",IF($BL253&lt;&gt;Constants!$B$4,"",$BW253))</f>
        <v/>
      </c>
      <c r="DB253" s="104" t="str">
        <f aca="false">IF(ISBLANK($C253),"",IF($BL253&lt;&gt;Constants!$B$4,"",-$CD253))</f>
        <v/>
      </c>
      <c r="DC253" s="103" t="str">
        <f aca="false">IF(ISBLANK($C253),"",$CE253)</f>
        <v/>
      </c>
      <c r="DD253" s="105" t="str">
        <f aca="false">IF(ISBLANK($C253),"",$BM253)</f>
        <v/>
      </c>
      <c r="DE253" s="104" t="str">
        <f aca="false">IF(ISBLANK($C253),"",$CL253)</f>
        <v/>
      </c>
      <c r="DF253" s="104" t="str">
        <f aca="false">IF(ISBLANK($C253),"",$CK253)</f>
        <v/>
      </c>
      <c r="DG253" s="106" t="str">
        <f aca="false">IF(ISBLANK($C253),"",IF($DF253=Constants!$B$7,COUNTA($C$9:$C$508)+2,IF($DF253=Constants!$B$6,COUNTA($C$9:$C$508)+1,IF($DF253=Constants!$B$5,COUNTA($C$9:$C$508),$DF253))))</f>
        <v/>
      </c>
      <c r="DH253" s="7"/>
      <c r="DI253" s="107" t="n">
        <f aca="false">IF(OR(ISNUMBER($DF253),$DF253=Constants!$B$7,$DF253=Constants!$B$5,$DF253=Constants!$B$6),1,0)</f>
        <v>0</v>
      </c>
      <c r="DJ253" s="107" t="n">
        <v>245</v>
      </c>
      <c r="DK253" s="107" t="str">
        <f aca="false">IF(ISBLANK($C253),"",IF(ISNUMBER($DG253),$DG253+ROW($B253)/1000,""))</f>
        <v/>
      </c>
      <c r="DL253" s="107" t="str">
        <f aca="false">IF(ISNUMBER($DK253),RANK($DK253,$DK$9:$DK$508,1),"")</f>
        <v/>
      </c>
      <c r="DM253" s="107" t="str">
        <f aca="false">IF(ISBLANK($C253),"",$B253)</f>
        <v/>
      </c>
      <c r="DN253" s="107" t="str">
        <f aca="false">IF(ISBLANK($C253),"",$C253)</f>
        <v/>
      </c>
      <c r="DO253" s="107" t="str">
        <f aca="false">IF(ISBLANK($C253),"",$D253)</f>
        <v/>
      </c>
      <c r="DP253" s="108" t="str">
        <f aca="false">$DD253</f>
        <v/>
      </c>
      <c r="DQ253" s="109" t="str">
        <f aca="false">$DC253</f>
        <v/>
      </c>
      <c r="DR253" s="107" t="str">
        <f aca="false">IF(ISBLANK($C253),"",$DF253)</f>
        <v/>
      </c>
      <c r="DS253" s="110" t="str">
        <f aca="false">IF($DJ253&gt;$DI$8,"",VLOOKUP($DJ253,$DL$9:$DR$508,7,FALSE()))</f>
        <v/>
      </c>
      <c r="DT253" s="111" t="str">
        <f aca="false">IF($DJ253&gt;$DI$8,"",VLOOKUP($DJ253,$DL$9:$DR$508,2,FALSE()))</f>
        <v/>
      </c>
      <c r="DU253" s="111" t="str">
        <f aca="false">IF($DJ253&gt;$DI$8,"",VLOOKUP($DJ253,$DL$9:$DR$508,3,FALSE()))</f>
        <v/>
      </c>
      <c r="DV253" s="111" t="str">
        <f aca="false">IF($DJ253&gt;$DI$8,"",VLOOKUP($DJ253,$DL$9:$DR$508,4,FALSE()))</f>
        <v/>
      </c>
      <c r="DW253" s="111" t="str">
        <f aca="false">IF($DJ253&gt;$DI$8,"",VLOOKUP($DJ253,$DL$9:$DR$508,5,FALSE()))</f>
        <v/>
      </c>
      <c r="DX253" s="112" t="str">
        <f aca="false">IF($DJ253&gt;$DI$8,"",VLOOKUP($DJ253,$DL$9:$DR$508,6,FALSE()))</f>
        <v/>
      </c>
      <c r="DY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130"/>
      <c r="N254" s="130"/>
      <c r="O254" s="135"/>
      <c r="P254" s="135"/>
      <c r="Q254" s="130"/>
      <c r="R254" s="130"/>
      <c r="S254" s="130"/>
      <c r="T254" s="130"/>
      <c r="U254" s="135"/>
      <c r="V254" s="130"/>
      <c r="W254" s="96"/>
      <c r="X254" s="130"/>
      <c r="Y254" s="130"/>
      <c r="Z254" s="96"/>
      <c r="AA254" s="96"/>
      <c r="AB254" s="130"/>
      <c r="AC254" s="130"/>
      <c r="AD254" s="130"/>
      <c r="AE254" s="97"/>
      <c r="AF254" s="130"/>
      <c r="AG254" s="99"/>
      <c r="AH254" s="100"/>
      <c r="AI254" s="100"/>
      <c r="AJ254" s="100" t="str">
        <f aca="false">IF(ISBLANK($C254),"",IF($E254=Constants!$B$2,TRUE(),IF($E254=Constants!$B$3,FALSE(),TRUE())))</f>
        <v/>
      </c>
      <c r="AK254" s="100" t="str">
        <f aca="false">IF(ISBLANK($C254),"",IF($F254=Constants!$B$2,TRUE(),IF($F254=Constants!$B$3,FALSE(),FALSE())))</f>
        <v/>
      </c>
      <c r="AL254" s="100" t="str">
        <f aca="false">IF(ISBLANK($C254),"",IF($G254=Constants!$B$2,TRUE(),IF($G254=Constants!$B$3,FALSE(),TRUE())))</f>
        <v/>
      </c>
      <c r="AM254" s="100" t="str">
        <f aca="false">IF(ISBLANK($C254),"",IF($H254=Constants!$B$2,TRUE(),IF($H254=Constants!$B$3,FALSE(),TRUE())))</f>
        <v/>
      </c>
      <c r="AN254" s="100" t="str">
        <f aca="false">IF(ISBLANK($C254),"",IF(ISNUMBER($I254),IF($I254&gt;=0,$I254,""),""))</f>
        <v/>
      </c>
      <c r="AO254" s="100" t="str">
        <f aca="false">IF(ISBLANK($C254),"",IF(ISNUMBER($J254),IF($J254&gt;=0,$J254,""),""))</f>
        <v/>
      </c>
      <c r="AP254" s="100" t="str">
        <f aca="false">IF(ISBLANK($C254),"",IF(ISNUMBER($K254),IF($K254&gt;=0,$K254,""),""))</f>
        <v/>
      </c>
      <c r="AQ254" s="100" t="str">
        <f aca="false">IF(ISBLANK($C254),"",IF($L254=Constants!$B$2,TRUE(),IF($L254=Constants!$B$3,FALSE(),TRUE())))</f>
        <v/>
      </c>
      <c r="AR254" s="100" t="str">
        <f aca="false">IF(ISBLANK($C254),"",IF($M254=Constants!$B$2,TRUE(),IF($M254=Constants!$B$3,FALSE(),TRUE())))</f>
        <v/>
      </c>
      <c r="AS254" s="100" t="str">
        <f aca="false">IF(ISBLANK($C254),"",IF($N254=Constants!$B$2,TRUE(),IF($N254=Constants!$B$3,FALSE(),FALSE())))</f>
        <v/>
      </c>
      <c r="AT254" s="100" t="str">
        <f aca="false">IF(ISBLANK($C254),"",IF($O254=Constants!$B$2,TRUE(),IF($O254=Constants!$B$3,FALSE(),TRUE())))</f>
        <v/>
      </c>
      <c r="AU254" s="100" t="str">
        <f aca="false">IF(ISBLANK($C254),"",IF($P254=Constants!$B$2,TRUE(),IF($P254=Constants!$B$3,FALSE(),TRUE())))</f>
        <v/>
      </c>
      <c r="AV254" s="100" t="str">
        <f aca="false">IF(ISBLANK($C254),"",IF($Q254=Constants!$B$2,TRUE(),IF($Q254=Constants!$B$3,FALSE(),FALSE())))</f>
        <v/>
      </c>
      <c r="AW254" s="100" t="str">
        <f aca="false">IF(ISBLANK($C254),"",IF($R254=Constants!$B$2,TRUE(),IF($R254=Constants!$B$3,FALSE(),FALSE())))</f>
        <v/>
      </c>
      <c r="AX254" s="100" t="str">
        <f aca="false">IF(ISBLANK($C254),"",IF($S254=Constants!$B$2,TRUE(),IF($S254=Constants!$B$3,FALSE(),FALSE())))</f>
        <v/>
      </c>
      <c r="AY254" s="100" t="str">
        <f aca="false">IF(ISBLANK($C254),"",IF($T254=Constants!$B$2,TRUE(),IF($T254=Constants!$B$3,FALSE(),FALSE())))</f>
        <v/>
      </c>
      <c r="AZ254" s="100" t="str">
        <f aca="false">IF(ISBLANK($C254),"",IF($U254=Constants!$B$2,TRUE(),IF($U254=Constants!$B$3,FALSE(),FALSE())))</f>
        <v/>
      </c>
      <c r="BA254" s="100" t="str">
        <f aca="false">IF(ISBLANK($C254),"",IF(OR($V254&amp;""="1",$V254&amp;""="2",$V254&amp;""="3",$V254&amp;""="4"),VALUE($V254&amp;""),IF($V254=Constants!$B$12,Constants!$B$12,"")))</f>
        <v/>
      </c>
      <c r="BB254" s="100" t="str">
        <f aca="false">IF(ISBLANK($C254),"",IF(ISBLANK($W254),0,IF(ISNUMBER($W254),IF(AND($W254&gt;=0,$W254&lt;=Constants!$B$21,$W254=INT($W254)),$W254,""),"")))</f>
        <v/>
      </c>
      <c r="BC254" s="100" t="str">
        <f aca="false">IF(ISBLANK($C254),"",IF(ISBLANK($X254),0,IF(ISNUMBER($X254),IF($X254&gt;=0,$X254,""),"")))</f>
        <v/>
      </c>
      <c r="BD254" s="100" t="str">
        <f aca="false">IF(ISBLANK($C254),"",IF($Y254=Constants!$B$2,TRUE(),IF($Y254=Constants!$B$3,FALSE(),TRUE())))</f>
        <v/>
      </c>
      <c r="BE254" s="100" t="str">
        <f aca="false">IF(ISBLANK($C254),"",IF($Z254=Constants!$B$2,TRUE(),IF($Z254=Constants!$B$3,FALSE(),FALSE())))</f>
        <v/>
      </c>
      <c r="BF254" s="100" t="str">
        <f aca="false">IF(ISBLANK($C254),"",IF(ISBLANK($AA254),0,IF(ISNUMBER($AA254),IF(AND($AA254&gt;=0,$AA254&lt;=Constants!$B$35,$AA254=INT($AA254)),$AA254,""),"")))</f>
        <v/>
      </c>
      <c r="BG254" s="100" t="str">
        <f aca="false">IF(ISBLANK($C254),"",IF($AB254=Constants!$B$2,TRUE(),IF($AB254=Constants!$B$3,FALSE(),TRUE())))</f>
        <v/>
      </c>
      <c r="BH254" s="100" t="str">
        <f aca="false">IF(ISBLANK($C254),"",IF($AC254=Constants!$B$2,TRUE(),IF($AC254=Constants!$B$3,FALSE(),TRUE())))</f>
        <v/>
      </c>
      <c r="BI254" s="100" t="str">
        <f aca="false">IF(ISBLANK($C254),"",IF($AD254=Constants!$B$2,TRUE(),IF($AD254=Constants!$B$3,FALSE(),TRUE())))</f>
        <v/>
      </c>
      <c r="BJ254" s="100" t="str">
        <f aca="false">IF(ISBLANK($C254),"",IF(ISNUMBER($AE254),IF($AE254&gt;=0,$AE254,""),""))</f>
        <v/>
      </c>
      <c r="BK254" s="100" t="str">
        <f aca="false">IF(ISBLANK($C254),"",IF($AF254=Constants!$B$2,TRUE(),IF($AF254=Constants!$B$3,FALSE(),FALSE())))</f>
        <v/>
      </c>
      <c r="BL254" s="99" t="str">
        <f aca="false">IF(ISBLANK($C254),"",IF($BK254,Constants!$B$7,IF(COUNTA($E254:$AE254)=0,Constants!$B$6,IF(OR(COUNTA($G254:$AE254)=0,NOT($AM254),$AS254),Constants!$B$5,IF(OR($CM254&lt;&gt;"",$CN254,$CO254,$CP254,$CQ254,$CR254,$CS254),Constants!$B$8,Constants!$B$4)))))</f>
        <v/>
      </c>
      <c r="BM254" s="100" t="str">
        <f aca="false">IF(ISBLANK($C254),"",IF($BL254&lt;&gt;Constants!$B$4,$BL254,IF(OR(NOT($AJ254),NOT($AL254),NOT($AT254)),Constants!$B$11,IF(OR(NOT($AR254),NOT($AU254),NOT($BI254),MAX($AN254,$AO254,$AP254)&gt;Constants!$B$30),Constants!$B$10,Constants!$B$9))))</f>
        <v/>
      </c>
      <c r="BN254" s="100" t="str">
        <f aca="false">IF($BL254&lt;&gt;Constants!$B$4,"",IF(NOT($AL254),0,MIN(Constants!$B$35,$BF254)))</f>
        <v/>
      </c>
      <c r="BO254" s="100" t="str">
        <f aca="false">IF($BL254&lt;&gt;Constants!$B$4,"",IF(NOT($AL254),0,IF($AW254,Constants!$B$18,IF($AV254,Constants!$B$17,0))))</f>
        <v/>
      </c>
      <c r="BP254" s="100" t="str">
        <f aca="false">IF($BL254&lt;&gt;Constants!$B$4,"",IF(NOT($AL254),0,Constants!$B$19*($AK254+$AX254+$AY254+$AZ254)))</f>
        <v/>
      </c>
      <c r="BQ254" s="100" t="str">
        <f aca="false">IF($BL254&lt;&gt;Constants!$B$4,"",IF(OR(NOT($AL254),NOT(ISNUMBER($BA254))),0,CHOOSE($BA254,Constants!$B$13,Constants!$B$14,Constants!$B$15,Constants!$B$16)))</f>
        <v/>
      </c>
      <c r="BR254" s="100" t="str">
        <f aca="false">IF($BL254&lt;&gt;Constants!$B$4,"",IF(NOT($AL254),0,Constants!$B$20*$BB254))</f>
        <v/>
      </c>
      <c r="BS254" s="100" t="str">
        <f aca="false">IF($BL254&lt;&gt;Constants!$B$4,"",IF(AND($AL254,$BD254,$BE254),Constants!$B$22,0))</f>
        <v/>
      </c>
      <c r="BT254" s="100" t="str">
        <f aca="false">IF($BL254&lt;&gt;Constants!$B$4,"",IF(OR(NOT($AL254),NOT($BD254)),0,IF($BJ254&gt;=2*$AH$9,0,Constants!$B$23*INT(ROUND(MIN($BJ254,$AH$9),6)))))</f>
        <v/>
      </c>
      <c r="BU254" s="100" t="str">
        <f aca="false">IF($BL254&lt;&gt;Constants!$B$4,"",IF(NOT($AL254),0,Constants!$B$24*INT(ROUND(MIN($BC254,$AH$9),6))))</f>
        <v/>
      </c>
      <c r="BV254" s="100" t="str">
        <f aca="false">IF($BL254&lt;&gt;Constants!$B$4,"",IF(AND($AL254,$BN254=0),Constants!$B$25,0))</f>
        <v/>
      </c>
      <c r="BW254" s="100" t="str">
        <f aca="false">IF($BL254&lt;&gt;Constants!$B$4,"",MIN(Constants!$B$29,MAX(0,Constants!$B$27*Constants!$B$28*INT(ROUND((Constants!$B$26-$AN254)/Constants!$B$28,6))))+MIN(Constants!$B$29,MAX(0,Constants!$B$27*Constants!$B$28*INT(ROUND((Constants!$B$26-$AO254)/Constants!$B$28,6))))+MIN(Constants!$B$29,MAX(0,Constants!$B$27*Constants!$B$28*INT(ROUND((Constants!$B$26-$AP254)/Constants!$B$28,6)))))</f>
        <v/>
      </c>
      <c r="BX254" s="100" t="str">
        <f aca="false">IF($BL254&lt;&gt;Constants!$B$4,"",IF(NOT($AL254),0,Constants!$B$31*INT(ROUND(MAX(0,MIN($BJ254,2*$AH$9)-$AH$9),6))))</f>
        <v/>
      </c>
      <c r="BY254" s="100" t="str">
        <f aca="false">IF($BL254&lt;&gt;Constants!$B$4,"",Constants!$B$32*(($AN254&gt;Constants!$B$26)+($AO254&gt;Constants!$B$26)+($AP254&gt;Constants!$B$26)))</f>
        <v/>
      </c>
      <c r="BZ254" s="100" t="str">
        <f aca="false">IF($BL254&lt;&gt;Constants!$B$4,"",IF(OR(NOT($AL254),$AQ254),0,Constants!$B$33))</f>
        <v/>
      </c>
      <c r="CA254" s="100" t="str">
        <f aca="false">IF($BL254&lt;&gt;Constants!$B$4,"",Constants!$B$34*$BN254)</f>
        <v/>
      </c>
      <c r="CB254" s="100" t="str">
        <f aca="false">IF($BL254&lt;&gt;Constants!$B$4,"",IF(OR(NOT($AL254),$BH254),0,Constants!$B$36))</f>
        <v/>
      </c>
      <c r="CC254" s="100" t="str">
        <f aca="false">IF($BL254&lt;&gt;Constants!$B$4,"",IF(OR(NOT($AL254),$BG254),0,Constants!$B$37))</f>
        <v/>
      </c>
      <c r="CD254" s="100" t="str">
        <f aca="false">IF($BL254&lt;&gt;Constants!$B$4,"",SUM($BX254:$CC254))</f>
        <v/>
      </c>
      <c r="CE254" s="100" t="str">
        <f aca="false">IF(ISBLANK($C254),"",IF($BL254&lt;&gt;Constants!$B$4,$BL254,SUM($BO254:$BW254)-$CD254))</f>
        <v/>
      </c>
      <c r="CF254" s="100" t="str">
        <f aca="false">IF(ISBLANK($C254),"",IF($BL254&lt;&gt;Constants!$B$4,$BL254,RANK($CE254,$CE$9:$CE$508)))</f>
        <v/>
      </c>
      <c r="CG254" s="100" t="str">
        <f aca="false">IF(ISBLANK($C254),"",IF($BL254&lt;&gt;Constants!$B$4,$BL254,COUNTIFS($BM$9:$BM$508,"&lt;"&amp;$BM254)+COUNTIFS($BM$9:$BM$508,$BM254,$CF$9:$CF$508,"&lt;"&amp;$CF254)+1))</f>
        <v/>
      </c>
      <c r="CH254" s="100" t="str">
        <f aca="false">IF(ISBLANK($C254),"",IF($BL254&lt;&gt;Constants!$B$4,$BL254,RANK($CD254,$CD$9:$CD$508,1)))</f>
        <v/>
      </c>
      <c r="CI254" s="100" t="str">
        <f aca="false">IF($BL254&lt;&gt;Constants!$B$4,"",$AN254+$AO254+$AP254)</f>
        <v/>
      </c>
      <c r="CJ254" s="100" t="str">
        <f aca="false">IF(ISBLANK($C254),"",IF($BL254&lt;&gt;Constants!$B$4,$BL254,RANK($CI254,$CI$9:$CI$508,1)))</f>
        <v/>
      </c>
      <c r="CK254" s="100" t="str">
        <f aca="false">IF(ISBLANK($C254),"",IF($BL254&lt;&gt;Constants!$B$4,$BL254,COUNTIFS($BM$9:$BM$508,"&lt;"&amp;$BM254)+COUNTIFS($BM$9:$BM$508,$BM254,$CF$9:$CF$508,"&lt;"&amp;$CF254)+COUNTIFS($BM$9:$BM$508,$BM254,$CF$9:$CF$508,$CF254,$CH$9:$CH$508,"&lt;"&amp;$CH254)+COUNTIFS($BM$9:$BM$508,$BM254,$CF$9:$CF$508,$CF254,$CH$9:$CH$508,$CH254,$CJ$9:$CJ$508,"&lt;"&amp;$CJ254)+1))</f>
        <v/>
      </c>
      <c r="CL254" s="100" t="str">
        <f aca="false">IF(ISBLANK($C254),"",IF($BL254&lt;&gt;Constants!$B$4,$BL254,$CG254-$CK254))</f>
        <v/>
      </c>
      <c r="CM254" s="100" t="str">
        <f aca="false">IF(ISBLANK($C254),"",IF(NOT($AL254),"",IF(ISBLANK($D$7),$CM$5,IF(NOT(ISNUMBER($D$7)),$CM$6,""))))</f>
        <v/>
      </c>
      <c r="CN254" s="100" t="str">
        <f aca="false">IF(ISBLANK($C254),"",OR($AN254="",$AO254="",$AP254=""))</f>
        <v/>
      </c>
      <c r="CO254" s="100" t="str">
        <f aca="false">IF(ISBLANK($C254),"",AND($AL254,$BA254=""))</f>
        <v/>
      </c>
      <c r="CP254" s="100" t="str">
        <f aca="false">IF(ISBLANK($C254),"",AND($AL254,$BB254=""))</f>
        <v/>
      </c>
      <c r="CQ254" s="100" t="str">
        <f aca="false">IF(ISBLANK($C254),"",AND($AL254,$BC254=""))</f>
        <v/>
      </c>
      <c r="CR254" s="100" t="str">
        <f aca="false">IF(ISBLANK($C254),"",AND($AL254,$BF254=""))</f>
        <v/>
      </c>
      <c r="CS254" s="100" t="str">
        <f aca="false">IF(ISBLANK($C254),"",AND($AL254,$BJ254=""))</f>
        <v/>
      </c>
      <c r="CT254" s="101"/>
      <c r="CU254" s="102"/>
      <c r="CV254" s="103" t="str">
        <f aca="false">IF(ISBLANK($C254),"",IF($BL254=Constants!$B$8,$CM254,""))</f>
        <v/>
      </c>
      <c r="CW254" s="102" t="str">
        <f aca="false">IF(ISBLANK($C254),"",IF($BL254&lt;&gt;Constants!$B$4,"",$BO254+$BP254))</f>
        <v/>
      </c>
      <c r="CX254" s="104" t="str">
        <f aca="false">IF(ISBLANK($C254),"",IF($BL254&lt;&gt;Constants!$B$4,"",$BQ254+$BR254+$BS254))</f>
        <v/>
      </c>
      <c r="CY254" s="104" t="str">
        <f aca="false">IF(ISBLANK($C254),"",IF($BL254&lt;&gt;Constants!$B$4,"",$BT254))</f>
        <v/>
      </c>
      <c r="CZ254" s="104" t="str">
        <f aca="false">IF(ISBLANK($C254),"",IF($BL254&lt;&gt;Constants!$B$4,"",$BU254+$BV254))</f>
        <v/>
      </c>
      <c r="DA254" s="104" t="str">
        <f aca="false">IF(ISBLANK($C254),"",IF($BL254&lt;&gt;Constants!$B$4,"",$BW254))</f>
        <v/>
      </c>
      <c r="DB254" s="104" t="str">
        <f aca="false">IF(ISBLANK($C254),"",IF($BL254&lt;&gt;Constants!$B$4,"",-$CD254))</f>
        <v/>
      </c>
      <c r="DC254" s="103" t="str">
        <f aca="false">IF(ISBLANK($C254),"",$CE254)</f>
        <v/>
      </c>
      <c r="DD254" s="105" t="str">
        <f aca="false">IF(ISBLANK($C254),"",$BM254)</f>
        <v/>
      </c>
      <c r="DE254" s="104" t="str">
        <f aca="false">IF(ISBLANK($C254),"",$CL254)</f>
        <v/>
      </c>
      <c r="DF254" s="104" t="str">
        <f aca="false">IF(ISBLANK($C254),"",$CK254)</f>
        <v/>
      </c>
      <c r="DG254" s="106" t="str">
        <f aca="false">IF(ISBLANK($C254),"",IF($DF254=Constants!$B$7,COUNTA($C$9:$C$508)+2,IF($DF254=Constants!$B$6,COUNTA($C$9:$C$508)+1,IF($DF254=Constants!$B$5,COUNTA($C$9:$C$508),$DF254))))</f>
        <v/>
      </c>
      <c r="DH254" s="7"/>
      <c r="DI254" s="107" t="n">
        <f aca="false">IF(OR(ISNUMBER($DF254),$DF254=Constants!$B$7,$DF254=Constants!$B$5,$DF254=Constants!$B$6),1,0)</f>
        <v>0</v>
      </c>
      <c r="DJ254" s="107" t="n">
        <v>246</v>
      </c>
      <c r="DK254" s="107" t="str">
        <f aca="false">IF(ISBLANK($C254),"",IF(ISNUMBER($DG254),$DG254+ROW($B254)/1000,""))</f>
        <v/>
      </c>
      <c r="DL254" s="107" t="str">
        <f aca="false">IF(ISNUMBER($DK254),RANK($DK254,$DK$9:$DK$508,1),"")</f>
        <v/>
      </c>
      <c r="DM254" s="107" t="str">
        <f aca="false">IF(ISBLANK($C254),"",$B254)</f>
        <v/>
      </c>
      <c r="DN254" s="107" t="str">
        <f aca="false">IF(ISBLANK($C254),"",$C254)</f>
        <v/>
      </c>
      <c r="DO254" s="107" t="str">
        <f aca="false">IF(ISBLANK($C254),"",$D254)</f>
        <v/>
      </c>
      <c r="DP254" s="108" t="str">
        <f aca="false">$DD254</f>
        <v/>
      </c>
      <c r="DQ254" s="109" t="str">
        <f aca="false">$DC254</f>
        <v/>
      </c>
      <c r="DR254" s="107" t="str">
        <f aca="false">IF(ISBLANK($C254),"",$DF254)</f>
        <v/>
      </c>
      <c r="DS254" s="110" t="str">
        <f aca="false">IF($DJ254&gt;$DI$8,"",VLOOKUP($DJ254,$DL$9:$DR$508,7,FALSE()))</f>
        <v/>
      </c>
      <c r="DT254" s="111" t="str">
        <f aca="false">IF($DJ254&gt;$DI$8,"",VLOOKUP($DJ254,$DL$9:$DR$508,2,FALSE()))</f>
        <v/>
      </c>
      <c r="DU254" s="111" t="str">
        <f aca="false">IF($DJ254&gt;$DI$8,"",VLOOKUP($DJ254,$DL$9:$DR$508,3,FALSE()))</f>
        <v/>
      </c>
      <c r="DV254" s="111" t="str">
        <f aca="false">IF($DJ254&gt;$DI$8,"",VLOOKUP($DJ254,$DL$9:$DR$508,4,FALSE()))</f>
        <v/>
      </c>
      <c r="DW254" s="111" t="str">
        <f aca="false">IF($DJ254&gt;$DI$8,"",VLOOKUP($DJ254,$DL$9:$DR$508,5,FALSE()))</f>
        <v/>
      </c>
      <c r="DX254" s="112" t="str">
        <f aca="false">IF($DJ254&gt;$DI$8,"",VLOOKUP($DJ254,$DL$9:$DR$508,6,FALSE()))</f>
        <v/>
      </c>
      <c r="DY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88"/>
      <c r="N255" s="88"/>
      <c r="O255" s="134"/>
      <c r="P255" s="134"/>
      <c r="Q255" s="88"/>
      <c r="R255" s="88"/>
      <c r="S255" s="88"/>
      <c r="T255" s="88"/>
      <c r="U255" s="134"/>
      <c r="V255" s="88"/>
      <c r="W255" s="70"/>
      <c r="X255" s="88"/>
      <c r="Y255" s="88"/>
      <c r="Z255" s="70"/>
      <c r="AA255" s="70"/>
      <c r="AB255" s="88"/>
      <c r="AC255" s="88"/>
      <c r="AD255" s="88"/>
      <c r="AE255" s="71"/>
      <c r="AF255" s="88"/>
      <c r="AG255" s="73"/>
      <c r="AH255" s="74"/>
      <c r="AI255" s="74"/>
      <c r="AJ255" s="74" t="str">
        <f aca="false">IF(ISBLANK($C255),"",IF($E255=Constants!$B$2,TRUE(),IF($E255=Constants!$B$3,FALSE(),TRUE())))</f>
        <v/>
      </c>
      <c r="AK255" s="74" t="str">
        <f aca="false">IF(ISBLANK($C255),"",IF($F255=Constants!$B$2,TRUE(),IF($F255=Constants!$B$3,FALSE(),FALSE())))</f>
        <v/>
      </c>
      <c r="AL255" s="74" t="str">
        <f aca="false">IF(ISBLANK($C255),"",IF($G255=Constants!$B$2,TRUE(),IF($G255=Constants!$B$3,FALSE(),TRUE())))</f>
        <v/>
      </c>
      <c r="AM255" s="74" t="str">
        <f aca="false">IF(ISBLANK($C255),"",IF($H255=Constants!$B$2,TRUE(),IF($H255=Constants!$B$3,FALSE(),TRUE())))</f>
        <v/>
      </c>
      <c r="AN255" s="74" t="str">
        <f aca="false">IF(ISBLANK($C255),"",IF(ISNUMBER($I255),IF($I255&gt;=0,$I255,""),""))</f>
        <v/>
      </c>
      <c r="AO255" s="74" t="str">
        <f aca="false">IF(ISBLANK($C255),"",IF(ISNUMBER($J255),IF($J255&gt;=0,$J255,""),""))</f>
        <v/>
      </c>
      <c r="AP255" s="74" t="str">
        <f aca="false">IF(ISBLANK($C255),"",IF(ISNUMBER($K255),IF($K255&gt;=0,$K255,""),""))</f>
        <v/>
      </c>
      <c r="AQ255" s="74" t="str">
        <f aca="false">IF(ISBLANK($C255),"",IF($L255=Constants!$B$2,TRUE(),IF($L255=Constants!$B$3,FALSE(),TRUE())))</f>
        <v/>
      </c>
      <c r="AR255" s="74" t="str">
        <f aca="false">IF(ISBLANK($C255),"",IF($M255=Constants!$B$2,TRUE(),IF($M255=Constants!$B$3,FALSE(),TRUE())))</f>
        <v/>
      </c>
      <c r="AS255" s="74" t="str">
        <f aca="false">IF(ISBLANK($C255),"",IF($N255=Constants!$B$2,TRUE(),IF($N255=Constants!$B$3,FALSE(),FALSE())))</f>
        <v/>
      </c>
      <c r="AT255" s="74" t="str">
        <f aca="false">IF(ISBLANK($C255),"",IF($O255=Constants!$B$2,TRUE(),IF($O255=Constants!$B$3,FALSE(),TRUE())))</f>
        <v/>
      </c>
      <c r="AU255" s="74" t="str">
        <f aca="false">IF(ISBLANK($C255),"",IF($P255=Constants!$B$2,TRUE(),IF($P255=Constants!$B$3,FALSE(),TRUE())))</f>
        <v/>
      </c>
      <c r="AV255" s="74" t="str">
        <f aca="false">IF(ISBLANK($C255),"",IF($Q255=Constants!$B$2,TRUE(),IF($Q255=Constants!$B$3,FALSE(),FALSE())))</f>
        <v/>
      </c>
      <c r="AW255" s="74" t="str">
        <f aca="false">IF(ISBLANK($C255),"",IF($R255=Constants!$B$2,TRUE(),IF($R255=Constants!$B$3,FALSE(),FALSE())))</f>
        <v/>
      </c>
      <c r="AX255" s="74" t="str">
        <f aca="false">IF(ISBLANK($C255),"",IF($S255=Constants!$B$2,TRUE(),IF($S255=Constants!$B$3,FALSE(),FALSE())))</f>
        <v/>
      </c>
      <c r="AY255" s="74" t="str">
        <f aca="false">IF(ISBLANK($C255),"",IF($T255=Constants!$B$2,TRUE(),IF($T255=Constants!$B$3,FALSE(),FALSE())))</f>
        <v/>
      </c>
      <c r="AZ255" s="74" t="str">
        <f aca="false">IF(ISBLANK($C255),"",IF($U255=Constants!$B$2,TRUE(),IF($U255=Constants!$B$3,FALSE(),FALSE())))</f>
        <v/>
      </c>
      <c r="BA255" s="74" t="str">
        <f aca="false">IF(ISBLANK($C255),"",IF(OR($V255&amp;""="1",$V255&amp;""="2",$V255&amp;""="3",$V255&amp;""="4"),VALUE($V255&amp;""),IF($V255=Constants!$B$12,Constants!$B$12,"")))</f>
        <v/>
      </c>
      <c r="BB255" s="74" t="str">
        <f aca="false">IF(ISBLANK($C255),"",IF(ISBLANK($W255),0,IF(ISNUMBER($W255),IF(AND($W255&gt;=0,$W255&lt;=Constants!$B$21,$W255=INT($W255)),$W255,""),"")))</f>
        <v/>
      </c>
      <c r="BC255" s="74" t="str">
        <f aca="false">IF(ISBLANK($C255),"",IF(ISBLANK($X255),0,IF(ISNUMBER($X255),IF($X255&gt;=0,$X255,""),"")))</f>
        <v/>
      </c>
      <c r="BD255" s="74" t="str">
        <f aca="false">IF(ISBLANK($C255),"",IF($Y255=Constants!$B$2,TRUE(),IF($Y255=Constants!$B$3,FALSE(),TRUE())))</f>
        <v/>
      </c>
      <c r="BE255" s="74" t="str">
        <f aca="false">IF(ISBLANK($C255),"",IF($Z255=Constants!$B$2,TRUE(),IF($Z255=Constants!$B$3,FALSE(),FALSE())))</f>
        <v/>
      </c>
      <c r="BF255" s="74" t="str">
        <f aca="false">IF(ISBLANK($C255),"",IF(ISBLANK($AA255),0,IF(ISNUMBER($AA255),IF(AND($AA255&gt;=0,$AA255&lt;=Constants!$B$35,$AA255=INT($AA255)),$AA255,""),"")))</f>
        <v/>
      </c>
      <c r="BG255" s="74" t="str">
        <f aca="false">IF(ISBLANK($C255),"",IF($AB255=Constants!$B$2,TRUE(),IF($AB255=Constants!$B$3,FALSE(),TRUE())))</f>
        <v/>
      </c>
      <c r="BH255" s="74" t="str">
        <f aca="false">IF(ISBLANK($C255),"",IF($AC255=Constants!$B$2,TRUE(),IF($AC255=Constants!$B$3,FALSE(),TRUE())))</f>
        <v/>
      </c>
      <c r="BI255" s="74" t="str">
        <f aca="false">IF(ISBLANK($C255),"",IF($AD255=Constants!$B$2,TRUE(),IF($AD255=Constants!$B$3,FALSE(),TRUE())))</f>
        <v/>
      </c>
      <c r="BJ255" s="74" t="str">
        <f aca="false">IF(ISBLANK($C255),"",IF(ISNUMBER($AE255),IF($AE255&gt;=0,$AE255,""),""))</f>
        <v/>
      </c>
      <c r="BK255" s="74" t="str">
        <f aca="false">IF(ISBLANK($C255),"",IF($AF255=Constants!$B$2,TRUE(),IF($AF255=Constants!$B$3,FALSE(),FALSE())))</f>
        <v/>
      </c>
      <c r="BL255" s="73" t="str">
        <f aca="false">IF(ISBLANK($C255),"",IF($BK255,Constants!$B$7,IF(COUNTA($E255:$AE255)=0,Constants!$B$6,IF(OR(COUNTA($G255:$AE255)=0,NOT($AM255),$AS255),Constants!$B$5,IF(OR($CM255&lt;&gt;"",$CN255,$CO255,$CP255,$CQ255,$CR255,$CS255),Constants!$B$8,Constants!$B$4)))))</f>
        <v/>
      </c>
      <c r="BM255" s="74" t="str">
        <f aca="false">IF(ISBLANK($C255),"",IF($BL255&lt;&gt;Constants!$B$4,$BL255,IF(OR(NOT($AJ255),NOT($AL255),NOT($AT255)),Constants!$B$11,IF(OR(NOT($AR255),NOT($AU255),NOT($BI255),MAX($AN255,$AO255,$AP255)&gt;Constants!$B$30),Constants!$B$10,Constants!$B$9))))</f>
        <v/>
      </c>
      <c r="BN255" s="74" t="str">
        <f aca="false">IF($BL255&lt;&gt;Constants!$B$4,"",IF(NOT($AL255),0,MIN(Constants!$B$35,$BF255)))</f>
        <v/>
      </c>
      <c r="BO255" s="74" t="str">
        <f aca="false">IF($BL255&lt;&gt;Constants!$B$4,"",IF(NOT($AL255),0,IF($AW255,Constants!$B$18,IF($AV255,Constants!$B$17,0))))</f>
        <v/>
      </c>
      <c r="BP255" s="74" t="str">
        <f aca="false">IF($BL255&lt;&gt;Constants!$B$4,"",IF(NOT($AL255),0,Constants!$B$19*($AK255+$AX255+$AY255+$AZ255)))</f>
        <v/>
      </c>
      <c r="BQ255" s="74" t="str">
        <f aca="false">IF($BL255&lt;&gt;Constants!$B$4,"",IF(OR(NOT($AL255),NOT(ISNUMBER($BA255))),0,CHOOSE($BA255,Constants!$B$13,Constants!$B$14,Constants!$B$15,Constants!$B$16)))</f>
        <v/>
      </c>
      <c r="BR255" s="74" t="str">
        <f aca="false">IF($BL255&lt;&gt;Constants!$B$4,"",IF(NOT($AL255),0,Constants!$B$20*$BB255))</f>
        <v/>
      </c>
      <c r="BS255" s="74" t="str">
        <f aca="false">IF($BL255&lt;&gt;Constants!$B$4,"",IF(AND($AL255,$BD255,$BE255),Constants!$B$22,0))</f>
        <v/>
      </c>
      <c r="BT255" s="74" t="str">
        <f aca="false">IF($BL255&lt;&gt;Constants!$B$4,"",IF(OR(NOT($AL255),NOT($BD255)),0,IF($BJ255&gt;=2*$AH$9,0,Constants!$B$23*INT(ROUND(MIN($BJ255,$AH$9),6)))))</f>
        <v/>
      </c>
      <c r="BU255" s="74" t="str">
        <f aca="false">IF($BL255&lt;&gt;Constants!$B$4,"",IF(NOT($AL255),0,Constants!$B$24*INT(ROUND(MIN($BC255,$AH$9),6))))</f>
        <v/>
      </c>
      <c r="BV255" s="74" t="str">
        <f aca="false">IF($BL255&lt;&gt;Constants!$B$4,"",IF(AND($AL255,$BN255=0),Constants!$B$25,0))</f>
        <v/>
      </c>
      <c r="BW255" s="74" t="str">
        <f aca="false">IF($BL255&lt;&gt;Constants!$B$4,"",MIN(Constants!$B$29,MAX(0,Constants!$B$27*Constants!$B$28*INT(ROUND((Constants!$B$26-$AN255)/Constants!$B$28,6))))+MIN(Constants!$B$29,MAX(0,Constants!$B$27*Constants!$B$28*INT(ROUND((Constants!$B$26-$AO255)/Constants!$B$28,6))))+MIN(Constants!$B$29,MAX(0,Constants!$B$27*Constants!$B$28*INT(ROUND((Constants!$B$26-$AP255)/Constants!$B$28,6)))))</f>
        <v/>
      </c>
      <c r="BX255" s="74" t="str">
        <f aca="false">IF($BL255&lt;&gt;Constants!$B$4,"",IF(NOT($AL255),0,Constants!$B$31*INT(ROUND(MAX(0,MIN($BJ255,2*$AH$9)-$AH$9),6))))</f>
        <v/>
      </c>
      <c r="BY255" s="74" t="str">
        <f aca="false">IF($BL255&lt;&gt;Constants!$B$4,"",Constants!$B$32*(($AN255&gt;Constants!$B$26)+($AO255&gt;Constants!$B$26)+($AP255&gt;Constants!$B$26)))</f>
        <v/>
      </c>
      <c r="BZ255" s="74" t="str">
        <f aca="false">IF($BL255&lt;&gt;Constants!$B$4,"",IF(OR(NOT($AL255),$AQ255),0,Constants!$B$33))</f>
        <v/>
      </c>
      <c r="CA255" s="74" t="str">
        <f aca="false">IF($BL255&lt;&gt;Constants!$B$4,"",Constants!$B$34*$BN255)</f>
        <v/>
      </c>
      <c r="CB255" s="74" t="str">
        <f aca="false">IF($BL255&lt;&gt;Constants!$B$4,"",IF(OR(NOT($AL255),$BH255),0,Constants!$B$36))</f>
        <v/>
      </c>
      <c r="CC255" s="74" t="str">
        <f aca="false">IF($BL255&lt;&gt;Constants!$B$4,"",IF(OR(NOT($AL255),$BG255),0,Constants!$B$37))</f>
        <v/>
      </c>
      <c r="CD255" s="74" t="str">
        <f aca="false">IF($BL255&lt;&gt;Constants!$B$4,"",SUM($BX255:$CC255))</f>
        <v/>
      </c>
      <c r="CE255" s="74" t="str">
        <f aca="false">IF(ISBLANK($C255),"",IF($BL255&lt;&gt;Constants!$B$4,$BL255,SUM($BO255:$BW255)-$CD255))</f>
        <v/>
      </c>
      <c r="CF255" s="74" t="str">
        <f aca="false">IF(ISBLANK($C255),"",IF($BL255&lt;&gt;Constants!$B$4,$BL255,RANK($CE255,$CE$9:$CE$508)))</f>
        <v/>
      </c>
      <c r="CG255" s="74" t="str">
        <f aca="false">IF(ISBLANK($C255),"",IF($BL255&lt;&gt;Constants!$B$4,$BL255,COUNTIFS($BM$9:$BM$508,"&lt;"&amp;$BM255)+COUNTIFS($BM$9:$BM$508,$BM255,$CF$9:$CF$508,"&lt;"&amp;$CF255)+1))</f>
        <v/>
      </c>
      <c r="CH255" s="74" t="str">
        <f aca="false">IF(ISBLANK($C255),"",IF($BL255&lt;&gt;Constants!$B$4,$BL255,RANK($CD255,$CD$9:$CD$508,1)))</f>
        <v/>
      </c>
      <c r="CI255" s="74" t="str">
        <f aca="false">IF($BL255&lt;&gt;Constants!$B$4,"",$AN255+$AO255+$AP255)</f>
        <v/>
      </c>
      <c r="CJ255" s="74" t="str">
        <f aca="false">IF(ISBLANK($C255),"",IF($BL255&lt;&gt;Constants!$B$4,$BL255,RANK($CI255,$CI$9:$CI$508,1)))</f>
        <v/>
      </c>
      <c r="CK255" s="74" t="str">
        <f aca="false">IF(ISBLANK($C255),"",IF($BL255&lt;&gt;Constants!$B$4,$BL255,COUNTIFS($BM$9:$BM$508,"&lt;"&amp;$BM255)+COUNTIFS($BM$9:$BM$508,$BM255,$CF$9:$CF$508,"&lt;"&amp;$CF255)+COUNTIFS($BM$9:$BM$508,$BM255,$CF$9:$CF$508,$CF255,$CH$9:$CH$508,"&lt;"&amp;$CH255)+COUNTIFS($BM$9:$BM$508,$BM255,$CF$9:$CF$508,$CF255,$CH$9:$CH$508,$CH255,$CJ$9:$CJ$508,"&lt;"&amp;$CJ255)+1))</f>
        <v/>
      </c>
      <c r="CL255" s="74" t="str">
        <f aca="false">IF(ISBLANK($C255),"",IF($BL255&lt;&gt;Constants!$B$4,$BL255,$CG255-$CK255))</f>
        <v/>
      </c>
      <c r="CM255" s="74" t="str">
        <f aca="false">IF(ISBLANK($C255),"",IF(NOT($AL255),"",IF(ISBLANK($D$7),$CM$5,IF(NOT(ISNUMBER($D$7)),$CM$6,""))))</f>
        <v/>
      </c>
      <c r="CN255" s="74" t="str">
        <f aca="false">IF(ISBLANK($C255),"",OR($AN255="",$AO255="",$AP255=""))</f>
        <v/>
      </c>
      <c r="CO255" s="74" t="str">
        <f aca="false">IF(ISBLANK($C255),"",AND($AL255,$BA255=""))</f>
        <v/>
      </c>
      <c r="CP255" s="74" t="str">
        <f aca="false">IF(ISBLANK($C255),"",AND($AL255,$BB255=""))</f>
        <v/>
      </c>
      <c r="CQ255" s="74" t="str">
        <f aca="false">IF(ISBLANK($C255),"",AND($AL255,$BC255=""))</f>
        <v/>
      </c>
      <c r="CR255" s="74" t="str">
        <f aca="false">IF(ISBLANK($C255),"",AND($AL255,$BF255=""))</f>
        <v/>
      </c>
      <c r="CS255" s="74" t="str">
        <f aca="false">IF(ISBLANK($C255),"",AND($AL255,$BJ255=""))</f>
        <v/>
      </c>
      <c r="CT255" s="75"/>
      <c r="CU255" s="76"/>
      <c r="CV255" s="79" t="str">
        <f aca="false">IF(ISBLANK($C255),"",IF($BL255=Constants!$B$8,$CM255,""))</f>
        <v/>
      </c>
      <c r="CW255" s="76" t="str">
        <f aca="false">IF(ISBLANK($C255),"",IF($BL255&lt;&gt;Constants!$B$4,"",$BO255+$BP255))</f>
        <v/>
      </c>
      <c r="CX255" s="78" t="str">
        <f aca="false">IF(ISBLANK($C255),"",IF($BL255&lt;&gt;Constants!$B$4,"",$BQ255+$BR255+$BS255))</f>
        <v/>
      </c>
      <c r="CY255" s="78" t="str">
        <f aca="false">IF(ISBLANK($C255),"",IF($BL255&lt;&gt;Constants!$B$4,"",$BT255))</f>
        <v/>
      </c>
      <c r="CZ255" s="78" t="str">
        <f aca="false">IF(ISBLANK($C255),"",IF($BL255&lt;&gt;Constants!$B$4,"",$BU255+$BV255))</f>
        <v/>
      </c>
      <c r="DA255" s="78" t="str">
        <f aca="false">IF(ISBLANK($C255),"",IF($BL255&lt;&gt;Constants!$B$4,"",$BW255))</f>
        <v/>
      </c>
      <c r="DB255" s="78" t="str">
        <f aca="false">IF(ISBLANK($C255),"",IF($BL255&lt;&gt;Constants!$B$4,"",-$CD255))</f>
        <v/>
      </c>
      <c r="DC255" s="79" t="str">
        <f aca="false">IF(ISBLANK($C255),"",$CE255)</f>
        <v/>
      </c>
      <c r="DD255" s="80" t="str">
        <f aca="false">IF(ISBLANK($C255),"",$BM255)</f>
        <v/>
      </c>
      <c r="DE255" s="78" t="str">
        <f aca="false">IF(ISBLANK($C255),"",$CL255)</f>
        <v/>
      </c>
      <c r="DF255" s="78" t="str">
        <f aca="false">IF(ISBLANK($C255),"",$CK255)</f>
        <v/>
      </c>
      <c r="DG255" s="81" t="str">
        <f aca="false">IF(ISBLANK($C255),"",IF($DF255=Constants!$B$7,COUNTA($C$9:$C$508)+2,IF($DF255=Constants!$B$6,COUNTA($C$9:$C$508)+1,IF($DF255=Constants!$B$5,COUNTA($C$9:$C$508),$DF255))))</f>
        <v/>
      </c>
      <c r="DH255" s="7"/>
      <c r="DI255" s="82" t="n">
        <f aca="false">IF(OR(ISNUMBER($DF255),$DF255=Constants!$B$7,$DF255=Constants!$B$5,$DF255=Constants!$B$6),1,0)</f>
        <v>0</v>
      </c>
      <c r="DJ255" s="82" t="n">
        <v>247</v>
      </c>
      <c r="DK255" s="82" t="str">
        <f aca="false">IF(ISBLANK($C255),"",IF(ISNUMBER($DG255),$DG255+ROW($B255)/1000,""))</f>
        <v/>
      </c>
      <c r="DL255" s="82" t="str">
        <f aca="false">IF(ISNUMBER($DK255),RANK($DK255,$DK$9:$DK$508,1),"")</f>
        <v/>
      </c>
      <c r="DM255" s="82" t="str">
        <f aca="false">IF(ISBLANK($C255),"",$B255)</f>
        <v/>
      </c>
      <c r="DN255" s="82" t="str">
        <f aca="false">IF(ISBLANK($C255),"",$C255)</f>
        <v/>
      </c>
      <c r="DO255" s="82" t="str">
        <f aca="false">IF(ISBLANK($C255),"",$D255)</f>
        <v/>
      </c>
      <c r="DP255" s="83" t="str">
        <f aca="false">$DD255</f>
        <v/>
      </c>
      <c r="DQ255" s="84" t="str">
        <f aca="false">$DC255</f>
        <v/>
      </c>
      <c r="DR255" s="82" t="str">
        <f aca="false">IF(ISBLANK($C255),"",$DF255)</f>
        <v/>
      </c>
      <c r="DS255" s="85" t="str">
        <f aca="false">IF($DJ255&gt;$DI$8,"",VLOOKUP($DJ255,$DL$9:$DR$508,7,FALSE()))</f>
        <v/>
      </c>
      <c r="DT255" s="86" t="str">
        <f aca="false">IF($DJ255&gt;$DI$8,"",VLOOKUP($DJ255,$DL$9:$DR$508,2,FALSE()))</f>
        <v/>
      </c>
      <c r="DU255" s="86" t="str">
        <f aca="false">IF($DJ255&gt;$DI$8,"",VLOOKUP($DJ255,$DL$9:$DR$508,3,FALSE()))</f>
        <v/>
      </c>
      <c r="DV255" s="86" t="str">
        <f aca="false">IF($DJ255&gt;$DI$8,"",VLOOKUP($DJ255,$DL$9:$DR$508,4,FALSE()))</f>
        <v/>
      </c>
      <c r="DW255" s="86" t="str">
        <f aca="false">IF($DJ255&gt;$DI$8,"",VLOOKUP($DJ255,$DL$9:$DR$508,5,FALSE()))</f>
        <v/>
      </c>
      <c r="DX255" s="87" t="str">
        <f aca="false">IF($DJ255&gt;$DI$8,"",VLOOKUP($DJ255,$DL$9:$DR$508,6,FALSE()))</f>
        <v/>
      </c>
      <c r="DY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88"/>
      <c r="N256" s="88"/>
      <c r="O256" s="134"/>
      <c r="P256" s="134"/>
      <c r="Q256" s="88"/>
      <c r="R256" s="88"/>
      <c r="S256" s="88"/>
      <c r="T256" s="88"/>
      <c r="U256" s="134"/>
      <c r="V256" s="88"/>
      <c r="W256" s="70"/>
      <c r="X256" s="88"/>
      <c r="Y256" s="88"/>
      <c r="Z256" s="70"/>
      <c r="AA256" s="70"/>
      <c r="AB256" s="88"/>
      <c r="AC256" s="88"/>
      <c r="AD256" s="88"/>
      <c r="AE256" s="71"/>
      <c r="AF256" s="88"/>
      <c r="AG256" s="73"/>
      <c r="AH256" s="74"/>
      <c r="AI256" s="74"/>
      <c r="AJ256" s="74" t="str">
        <f aca="false">IF(ISBLANK($C256),"",IF($E256=Constants!$B$2,TRUE(),IF($E256=Constants!$B$3,FALSE(),TRUE())))</f>
        <v/>
      </c>
      <c r="AK256" s="74" t="str">
        <f aca="false">IF(ISBLANK($C256),"",IF($F256=Constants!$B$2,TRUE(),IF($F256=Constants!$B$3,FALSE(),FALSE())))</f>
        <v/>
      </c>
      <c r="AL256" s="74" t="str">
        <f aca="false">IF(ISBLANK($C256),"",IF($G256=Constants!$B$2,TRUE(),IF($G256=Constants!$B$3,FALSE(),TRUE())))</f>
        <v/>
      </c>
      <c r="AM256" s="74" t="str">
        <f aca="false">IF(ISBLANK($C256),"",IF($H256=Constants!$B$2,TRUE(),IF($H256=Constants!$B$3,FALSE(),TRUE())))</f>
        <v/>
      </c>
      <c r="AN256" s="74" t="str">
        <f aca="false">IF(ISBLANK($C256),"",IF(ISNUMBER($I256),IF($I256&gt;=0,$I256,""),""))</f>
        <v/>
      </c>
      <c r="AO256" s="74" t="str">
        <f aca="false">IF(ISBLANK($C256),"",IF(ISNUMBER($J256),IF($J256&gt;=0,$J256,""),""))</f>
        <v/>
      </c>
      <c r="AP256" s="74" t="str">
        <f aca="false">IF(ISBLANK($C256),"",IF(ISNUMBER($K256),IF($K256&gt;=0,$K256,""),""))</f>
        <v/>
      </c>
      <c r="AQ256" s="74" t="str">
        <f aca="false">IF(ISBLANK($C256),"",IF($L256=Constants!$B$2,TRUE(),IF($L256=Constants!$B$3,FALSE(),TRUE())))</f>
        <v/>
      </c>
      <c r="AR256" s="74" t="str">
        <f aca="false">IF(ISBLANK($C256),"",IF($M256=Constants!$B$2,TRUE(),IF($M256=Constants!$B$3,FALSE(),TRUE())))</f>
        <v/>
      </c>
      <c r="AS256" s="74" t="str">
        <f aca="false">IF(ISBLANK($C256),"",IF($N256=Constants!$B$2,TRUE(),IF($N256=Constants!$B$3,FALSE(),FALSE())))</f>
        <v/>
      </c>
      <c r="AT256" s="74" t="str">
        <f aca="false">IF(ISBLANK($C256),"",IF($O256=Constants!$B$2,TRUE(),IF($O256=Constants!$B$3,FALSE(),TRUE())))</f>
        <v/>
      </c>
      <c r="AU256" s="74" t="str">
        <f aca="false">IF(ISBLANK($C256),"",IF($P256=Constants!$B$2,TRUE(),IF($P256=Constants!$B$3,FALSE(),TRUE())))</f>
        <v/>
      </c>
      <c r="AV256" s="74" t="str">
        <f aca="false">IF(ISBLANK($C256),"",IF($Q256=Constants!$B$2,TRUE(),IF($Q256=Constants!$B$3,FALSE(),FALSE())))</f>
        <v/>
      </c>
      <c r="AW256" s="74" t="str">
        <f aca="false">IF(ISBLANK($C256),"",IF($R256=Constants!$B$2,TRUE(),IF($R256=Constants!$B$3,FALSE(),FALSE())))</f>
        <v/>
      </c>
      <c r="AX256" s="74" t="str">
        <f aca="false">IF(ISBLANK($C256),"",IF($S256=Constants!$B$2,TRUE(),IF($S256=Constants!$B$3,FALSE(),FALSE())))</f>
        <v/>
      </c>
      <c r="AY256" s="74" t="str">
        <f aca="false">IF(ISBLANK($C256),"",IF($T256=Constants!$B$2,TRUE(),IF($T256=Constants!$B$3,FALSE(),FALSE())))</f>
        <v/>
      </c>
      <c r="AZ256" s="74" t="str">
        <f aca="false">IF(ISBLANK($C256),"",IF($U256=Constants!$B$2,TRUE(),IF($U256=Constants!$B$3,FALSE(),FALSE())))</f>
        <v/>
      </c>
      <c r="BA256" s="74" t="str">
        <f aca="false">IF(ISBLANK($C256),"",IF(OR($V256&amp;""="1",$V256&amp;""="2",$V256&amp;""="3",$V256&amp;""="4"),VALUE($V256&amp;""),IF($V256=Constants!$B$12,Constants!$B$12,"")))</f>
        <v/>
      </c>
      <c r="BB256" s="74" t="str">
        <f aca="false">IF(ISBLANK($C256),"",IF(ISBLANK($W256),0,IF(ISNUMBER($W256),IF(AND($W256&gt;=0,$W256&lt;=Constants!$B$21,$W256=INT($W256)),$W256,""),"")))</f>
        <v/>
      </c>
      <c r="BC256" s="74" t="str">
        <f aca="false">IF(ISBLANK($C256),"",IF(ISBLANK($X256),0,IF(ISNUMBER($X256),IF($X256&gt;=0,$X256,""),"")))</f>
        <v/>
      </c>
      <c r="BD256" s="74" t="str">
        <f aca="false">IF(ISBLANK($C256),"",IF($Y256=Constants!$B$2,TRUE(),IF($Y256=Constants!$B$3,FALSE(),TRUE())))</f>
        <v/>
      </c>
      <c r="BE256" s="74" t="str">
        <f aca="false">IF(ISBLANK($C256),"",IF($Z256=Constants!$B$2,TRUE(),IF($Z256=Constants!$B$3,FALSE(),FALSE())))</f>
        <v/>
      </c>
      <c r="BF256" s="74" t="str">
        <f aca="false">IF(ISBLANK($C256),"",IF(ISBLANK($AA256),0,IF(ISNUMBER($AA256),IF(AND($AA256&gt;=0,$AA256&lt;=Constants!$B$35,$AA256=INT($AA256)),$AA256,""),"")))</f>
        <v/>
      </c>
      <c r="BG256" s="74" t="str">
        <f aca="false">IF(ISBLANK($C256),"",IF($AB256=Constants!$B$2,TRUE(),IF($AB256=Constants!$B$3,FALSE(),TRUE())))</f>
        <v/>
      </c>
      <c r="BH256" s="74" t="str">
        <f aca="false">IF(ISBLANK($C256),"",IF($AC256=Constants!$B$2,TRUE(),IF($AC256=Constants!$B$3,FALSE(),TRUE())))</f>
        <v/>
      </c>
      <c r="BI256" s="74" t="str">
        <f aca="false">IF(ISBLANK($C256),"",IF($AD256=Constants!$B$2,TRUE(),IF($AD256=Constants!$B$3,FALSE(),TRUE())))</f>
        <v/>
      </c>
      <c r="BJ256" s="74" t="str">
        <f aca="false">IF(ISBLANK($C256),"",IF(ISNUMBER($AE256),IF($AE256&gt;=0,$AE256,""),""))</f>
        <v/>
      </c>
      <c r="BK256" s="74" t="str">
        <f aca="false">IF(ISBLANK($C256),"",IF($AF256=Constants!$B$2,TRUE(),IF($AF256=Constants!$B$3,FALSE(),FALSE())))</f>
        <v/>
      </c>
      <c r="BL256" s="73" t="str">
        <f aca="false">IF(ISBLANK($C256),"",IF($BK256,Constants!$B$7,IF(COUNTA($E256:$AE256)=0,Constants!$B$6,IF(OR(COUNTA($G256:$AE256)=0,NOT($AM256),$AS256),Constants!$B$5,IF(OR($CM256&lt;&gt;"",$CN256,$CO256,$CP256,$CQ256,$CR256,$CS256),Constants!$B$8,Constants!$B$4)))))</f>
        <v/>
      </c>
      <c r="BM256" s="74" t="str">
        <f aca="false">IF(ISBLANK($C256),"",IF($BL256&lt;&gt;Constants!$B$4,$BL256,IF(OR(NOT($AJ256),NOT($AL256),NOT($AT256)),Constants!$B$11,IF(OR(NOT($AR256),NOT($AU256),NOT($BI256),MAX($AN256,$AO256,$AP256)&gt;Constants!$B$30),Constants!$B$10,Constants!$B$9))))</f>
        <v/>
      </c>
      <c r="BN256" s="74" t="str">
        <f aca="false">IF($BL256&lt;&gt;Constants!$B$4,"",IF(NOT($AL256),0,MIN(Constants!$B$35,$BF256)))</f>
        <v/>
      </c>
      <c r="BO256" s="74" t="str">
        <f aca="false">IF($BL256&lt;&gt;Constants!$B$4,"",IF(NOT($AL256),0,IF($AW256,Constants!$B$18,IF($AV256,Constants!$B$17,0))))</f>
        <v/>
      </c>
      <c r="BP256" s="74" t="str">
        <f aca="false">IF($BL256&lt;&gt;Constants!$B$4,"",IF(NOT($AL256),0,Constants!$B$19*($AK256+$AX256+$AY256+$AZ256)))</f>
        <v/>
      </c>
      <c r="BQ256" s="74" t="str">
        <f aca="false">IF($BL256&lt;&gt;Constants!$B$4,"",IF(OR(NOT($AL256),NOT(ISNUMBER($BA256))),0,CHOOSE($BA256,Constants!$B$13,Constants!$B$14,Constants!$B$15,Constants!$B$16)))</f>
        <v/>
      </c>
      <c r="BR256" s="74" t="str">
        <f aca="false">IF($BL256&lt;&gt;Constants!$B$4,"",IF(NOT($AL256),0,Constants!$B$20*$BB256))</f>
        <v/>
      </c>
      <c r="BS256" s="74" t="str">
        <f aca="false">IF($BL256&lt;&gt;Constants!$B$4,"",IF(AND($AL256,$BD256,$BE256),Constants!$B$22,0))</f>
        <v/>
      </c>
      <c r="BT256" s="74" t="str">
        <f aca="false">IF($BL256&lt;&gt;Constants!$B$4,"",IF(OR(NOT($AL256),NOT($BD256)),0,IF($BJ256&gt;=2*$AH$9,0,Constants!$B$23*INT(ROUND(MIN($BJ256,$AH$9),6)))))</f>
        <v/>
      </c>
      <c r="BU256" s="74" t="str">
        <f aca="false">IF($BL256&lt;&gt;Constants!$B$4,"",IF(NOT($AL256),0,Constants!$B$24*INT(ROUND(MIN($BC256,$AH$9),6))))</f>
        <v/>
      </c>
      <c r="BV256" s="74" t="str">
        <f aca="false">IF($BL256&lt;&gt;Constants!$B$4,"",IF(AND($AL256,$BN256=0),Constants!$B$25,0))</f>
        <v/>
      </c>
      <c r="BW256" s="74" t="str">
        <f aca="false">IF($BL256&lt;&gt;Constants!$B$4,"",MIN(Constants!$B$29,MAX(0,Constants!$B$27*Constants!$B$28*INT(ROUND((Constants!$B$26-$AN256)/Constants!$B$28,6))))+MIN(Constants!$B$29,MAX(0,Constants!$B$27*Constants!$B$28*INT(ROUND((Constants!$B$26-$AO256)/Constants!$B$28,6))))+MIN(Constants!$B$29,MAX(0,Constants!$B$27*Constants!$B$28*INT(ROUND((Constants!$B$26-$AP256)/Constants!$B$28,6)))))</f>
        <v/>
      </c>
      <c r="BX256" s="74" t="str">
        <f aca="false">IF($BL256&lt;&gt;Constants!$B$4,"",IF(NOT($AL256),0,Constants!$B$31*INT(ROUND(MAX(0,MIN($BJ256,2*$AH$9)-$AH$9),6))))</f>
        <v/>
      </c>
      <c r="BY256" s="74" t="str">
        <f aca="false">IF($BL256&lt;&gt;Constants!$B$4,"",Constants!$B$32*(($AN256&gt;Constants!$B$26)+($AO256&gt;Constants!$B$26)+($AP256&gt;Constants!$B$26)))</f>
        <v/>
      </c>
      <c r="BZ256" s="74" t="str">
        <f aca="false">IF($BL256&lt;&gt;Constants!$B$4,"",IF(OR(NOT($AL256),$AQ256),0,Constants!$B$33))</f>
        <v/>
      </c>
      <c r="CA256" s="74" t="str">
        <f aca="false">IF($BL256&lt;&gt;Constants!$B$4,"",Constants!$B$34*$BN256)</f>
        <v/>
      </c>
      <c r="CB256" s="74" t="str">
        <f aca="false">IF($BL256&lt;&gt;Constants!$B$4,"",IF(OR(NOT($AL256),$BH256),0,Constants!$B$36))</f>
        <v/>
      </c>
      <c r="CC256" s="74" t="str">
        <f aca="false">IF($BL256&lt;&gt;Constants!$B$4,"",IF(OR(NOT($AL256),$BG256),0,Constants!$B$37))</f>
        <v/>
      </c>
      <c r="CD256" s="74" t="str">
        <f aca="false">IF($BL256&lt;&gt;Constants!$B$4,"",SUM($BX256:$CC256))</f>
        <v/>
      </c>
      <c r="CE256" s="74" t="str">
        <f aca="false">IF(ISBLANK($C256),"",IF($BL256&lt;&gt;Constants!$B$4,$BL256,SUM($BO256:$BW256)-$CD256))</f>
        <v/>
      </c>
      <c r="CF256" s="74" t="str">
        <f aca="false">IF(ISBLANK($C256),"",IF($BL256&lt;&gt;Constants!$B$4,$BL256,RANK($CE256,$CE$9:$CE$508)))</f>
        <v/>
      </c>
      <c r="CG256" s="74" t="str">
        <f aca="false">IF(ISBLANK($C256),"",IF($BL256&lt;&gt;Constants!$B$4,$BL256,COUNTIFS($BM$9:$BM$508,"&lt;"&amp;$BM256)+COUNTIFS($BM$9:$BM$508,$BM256,$CF$9:$CF$508,"&lt;"&amp;$CF256)+1))</f>
        <v/>
      </c>
      <c r="CH256" s="74" t="str">
        <f aca="false">IF(ISBLANK($C256),"",IF($BL256&lt;&gt;Constants!$B$4,$BL256,RANK($CD256,$CD$9:$CD$508,1)))</f>
        <v/>
      </c>
      <c r="CI256" s="74" t="str">
        <f aca="false">IF($BL256&lt;&gt;Constants!$B$4,"",$AN256+$AO256+$AP256)</f>
        <v/>
      </c>
      <c r="CJ256" s="74" t="str">
        <f aca="false">IF(ISBLANK($C256),"",IF($BL256&lt;&gt;Constants!$B$4,$BL256,RANK($CI256,$CI$9:$CI$508,1)))</f>
        <v/>
      </c>
      <c r="CK256" s="74" t="str">
        <f aca="false">IF(ISBLANK($C256),"",IF($BL256&lt;&gt;Constants!$B$4,$BL256,COUNTIFS($BM$9:$BM$508,"&lt;"&amp;$BM256)+COUNTIFS($BM$9:$BM$508,$BM256,$CF$9:$CF$508,"&lt;"&amp;$CF256)+COUNTIFS($BM$9:$BM$508,$BM256,$CF$9:$CF$508,$CF256,$CH$9:$CH$508,"&lt;"&amp;$CH256)+COUNTIFS($BM$9:$BM$508,$BM256,$CF$9:$CF$508,$CF256,$CH$9:$CH$508,$CH256,$CJ$9:$CJ$508,"&lt;"&amp;$CJ256)+1))</f>
        <v/>
      </c>
      <c r="CL256" s="74" t="str">
        <f aca="false">IF(ISBLANK($C256),"",IF($BL256&lt;&gt;Constants!$B$4,$BL256,$CG256-$CK256))</f>
        <v/>
      </c>
      <c r="CM256" s="74" t="str">
        <f aca="false">IF(ISBLANK($C256),"",IF(NOT($AL256),"",IF(ISBLANK($D$7),$CM$5,IF(NOT(ISNUMBER($D$7)),$CM$6,""))))</f>
        <v/>
      </c>
      <c r="CN256" s="74" t="str">
        <f aca="false">IF(ISBLANK($C256),"",OR($AN256="",$AO256="",$AP256=""))</f>
        <v/>
      </c>
      <c r="CO256" s="74" t="str">
        <f aca="false">IF(ISBLANK($C256),"",AND($AL256,$BA256=""))</f>
        <v/>
      </c>
      <c r="CP256" s="74" t="str">
        <f aca="false">IF(ISBLANK($C256),"",AND($AL256,$BB256=""))</f>
        <v/>
      </c>
      <c r="CQ256" s="74" t="str">
        <f aca="false">IF(ISBLANK($C256),"",AND($AL256,$BC256=""))</f>
        <v/>
      </c>
      <c r="CR256" s="74" t="str">
        <f aca="false">IF(ISBLANK($C256),"",AND($AL256,$BF256=""))</f>
        <v/>
      </c>
      <c r="CS256" s="74" t="str">
        <f aca="false">IF(ISBLANK($C256),"",AND($AL256,$BJ256=""))</f>
        <v/>
      </c>
      <c r="CT256" s="75"/>
      <c r="CU256" s="76"/>
      <c r="CV256" s="79" t="str">
        <f aca="false">IF(ISBLANK($C256),"",IF($BL256=Constants!$B$8,$CM256,""))</f>
        <v/>
      </c>
      <c r="CW256" s="76" t="str">
        <f aca="false">IF(ISBLANK($C256),"",IF($BL256&lt;&gt;Constants!$B$4,"",$BO256+$BP256))</f>
        <v/>
      </c>
      <c r="CX256" s="78" t="str">
        <f aca="false">IF(ISBLANK($C256),"",IF($BL256&lt;&gt;Constants!$B$4,"",$BQ256+$BR256+$BS256))</f>
        <v/>
      </c>
      <c r="CY256" s="78" t="str">
        <f aca="false">IF(ISBLANK($C256),"",IF($BL256&lt;&gt;Constants!$B$4,"",$BT256))</f>
        <v/>
      </c>
      <c r="CZ256" s="78" t="str">
        <f aca="false">IF(ISBLANK($C256),"",IF($BL256&lt;&gt;Constants!$B$4,"",$BU256+$BV256))</f>
        <v/>
      </c>
      <c r="DA256" s="78" t="str">
        <f aca="false">IF(ISBLANK($C256),"",IF($BL256&lt;&gt;Constants!$B$4,"",$BW256))</f>
        <v/>
      </c>
      <c r="DB256" s="78" t="str">
        <f aca="false">IF(ISBLANK($C256),"",IF($BL256&lt;&gt;Constants!$B$4,"",-$CD256))</f>
        <v/>
      </c>
      <c r="DC256" s="79" t="str">
        <f aca="false">IF(ISBLANK($C256),"",$CE256)</f>
        <v/>
      </c>
      <c r="DD256" s="80" t="str">
        <f aca="false">IF(ISBLANK($C256),"",$BM256)</f>
        <v/>
      </c>
      <c r="DE256" s="78" t="str">
        <f aca="false">IF(ISBLANK($C256),"",$CL256)</f>
        <v/>
      </c>
      <c r="DF256" s="78" t="str">
        <f aca="false">IF(ISBLANK($C256),"",$CK256)</f>
        <v/>
      </c>
      <c r="DG256" s="81" t="str">
        <f aca="false">IF(ISBLANK($C256),"",IF($DF256=Constants!$B$7,COUNTA($C$9:$C$508)+2,IF($DF256=Constants!$B$6,COUNTA($C$9:$C$508)+1,IF($DF256=Constants!$B$5,COUNTA($C$9:$C$508),$DF256))))</f>
        <v/>
      </c>
      <c r="DH256" s="7"/>
      <c r="DI256" s="82" t="n">
        <f aca="false">IF(OR(ISNUMBER($DF256),$DF256=Constants!$B$7,$DF256=Constants!$B$5,$DF256=Constants!$B$6),1,0)</f>
        <v>0</v>
      </c>
      <c r="DJ256" s="82" t="n">
        <v>248</v>
      </c>
      <c r="DK256" s="82" t="str">
        <f aca="false">IF(ISBLANK($C256),"",IF(ISNUMBER($DG256),$DG256+ROW($B256)/1000,""))</f>
        <v/>
      </c>
      <c r="DL256" s="82" t="str">
        <f aca="false">IF(ISNUMBER($DK256),RANK($DK256,$DK$9:$DK$508,1),"")</f>
        <v/>
      </c>
      <c r="DM256" s="82" t="str">
        <f aca="false">IF(ISBLANK($C256),"",$B256)</f>
        <v/>
      </c>
      <c r="DN256" s="82" t="str">
        <f aca="false">IF(ISBLANK($C256),"",$C256)</f>
        <v/>
      </c>
      <c r="DO256" s="82" t="str">
        <f aca="false">IF(ISBLANK($C256),"",$D256)</f>
        <v/>
      </c>
      <c r="DP256" s="83" t="str">
        <f aca="false">$DD256</f>
        <v/>
      </c>
      <c r="DQ256" s="84" t="str">
        <f aca="false">$DC256</f>
        <v/>
      </c>
      <c r="DR256" s="82" t="str">
        <f aca="false">IF(ISBLANK($C256),"",$DF256)</f>
        <v/>
      </c>
      <c r="DS256" s="85" t="str">
        <f aca="false">IF($DJ256&gt;$DI$8,"",VLOOKUP($DJ256,$DL$9:$DR$508,7,FALSE()))</f>
        <v/>
      </c>
      <c r="DT256" s="86" t="str">
        <f aca="false">IF($DJ256&gt;$DI$8,"",VLOOKUP($DJ256,$DL$9:$DR$508,2,FALSE()))</f>
        <v/>
      </c>
      <c r="DU256" s="86" t="str">
        <f aca="false">IF($DJ256&gt;$DI$8,"",VLOOKUP($DJ256,$DL$9:$DR$508,3,FALSE()))</f>
        <v/>
      </c>
      <c r="DV256" s="86" t="str">
        <f aca="false">IF($DJ256&gt;$DI$8,"",VLOOKUP($DJ256,$DL$9:$DR$508,4,FALSE()))</f>
        <v/>
      </c>
      <c r="DW256" s="86" t="str">
        <f aca="false">IF($DJ256&gt;$DI$8,"",VLOOKUP($DJ256,$DL$9:$DR$508,5,FALSE()))</f>
        <v/>
      </c>
      <c r="DX256" s="87" t="str">
        <f aca="false">IF($DJ256&gt;$DI$8,"",VLOOKUP($DJ256,$DL$9:$DR$508,6,FALSE()))</f>
        <v/>
      </c>
      <c r="DY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88"/>
      <c r="N257" s="88"/>
      <c r="O257" s="134"/>
      <c r="P257" s="134"/>
      <c r="Q257" s="88"/>
      <c r="R257" s="88"/>
      <c r="S257" s="88"/>
      <c r="T257" s="88"/>
      <c r="U257" s="134"/>
      <c r="V257" s="88"/>
      <c r="W257" s="70"/>
      <c r="X257" s="88"/>
      <c r="Y257" s="88"/>
      <c r="Z257" s="70"/>
      <c r="AA257" s="70"/>
      <c r="AB257" s="88"/>
      <c r="AC257" s="88"/>
      <c r="AD257" s="88"/>
      <c r="AE257" s="71"/>
      <c r="AF257" s="88"/>
      <c r="AG257" s="73"/>
      <c r="AH257" s="74"/>
      <c r="AI257" s="74"/>
      <c r="AJ257" s="74" t="str">
        <f aca="false">IF(ISBLANK($C257),"",IF($E257=Constants!$B$2,TRUE(),IF($E257=Constants!$B$3,FALSE(),TRUE())))</f>
        <v/>
      </c>
      <c r="AK257" s="74" t="str">
        <f aca="false">IF(ISBLANK($C257),"",IF($F257=Constants!$B$2,TRUE(),IF($F257=Constants!$B$3,FALSE(),FALSE())))</f>
        <v/>
      </c>
      <c r="AL257" s="74" t="str">
        <f aca="false">IF(ISBLANK($C257),"",IF($G257=Constants!$B$2,TRUE(),IF($G257=Constants!$B$3,FALSE(),TRUE())))</f>
        <v/>
      </c>
      <c r="AM257" s="74" t="str">
        <f aca="false">IF(ISBLANK($C257),"",IF($H257=Constants!$B$2,TRUE(),IF($H257=Constants!$B$3,FALSE(),TRUE())))</f>
        <v/>
      </c>
      <c r="AN257" s="74" t="str">
        <f aca="false">IF(ISBLANK($C257),"",IF(ISNUMBER($I257),IF($I257&gt;=0,$I257,""),""))</f>
        <v/>
      </c>
      <c r="AO257" s="74" t="str">
        <f aca="false">IF(ISBLANK($C257),"",IF(ISNUMBER($J257),IF($J257&gt;=0,$J257,""),""))</f>
        <v/>
      </c>
      <c r="AP257" s="74" t="str">
        <f aca="false">IF(ISBLANK($C257),"",IF(ISNUMBER($K257),IF($K257&gt;=0,$K257,""),""))</f>
        <v/>
      </c>
      <c r="AQ257" s="74" t="str">
        <f aca="false">IF(ISBLANK($C257),"",IF($L257=Constants!$B$2,TRUE(),IF($L257=Constants!$B$3,FALSE(),TRUE())))</f>
        <v/>
      </c>
      <c r="AR257" s="74" t="str">
        <f aca="false">IF(ISBLANK($C257),"",IF($M257=Constants!$B$2,TRUE(),IF($M257=Constants!$B$3,FALSE(),TRUE())))</f>
        <v/>
      </c>
      <c r="AS257" s="74" t="str">
        <f aca="false">IF(ISBLANK($C257),"",IF($N257=Constants!$B$2,TRUE(),IF($N257=Constants!$B$3,FALSE(),FALSE())))</f>
        <v/>
      </c>
      <c r="AT257" s="74" t="str">
        <f aca="false">IF(ISBLANK($C257),"",IF($O257=Constants!$B$2,TRUE(),IF($O257=Constants!$B$3,FALSE(),TRUE())))</f>
        <v/>
      </c>
      <c r="AU257" s="74" t="str">
        <f aca="false">IF(ISBLANK($C257),"",IF($P257=Constants!$B$2,TRUE(),IF($P257=Constants!$B$3,FALSE(),TRUE())))</f>
        <v/>
      </c>
      <c r="AV257" s="74" t="str">
        <f aca="false">IF(ISBLANK($C257),"",IF($Q257=Constants!$B$2,TRUE(),IF($Q257=Constants!$B$3,FALSE(),FALSE())))</f>
        <v/>
      </c>
      <c r="AW257" s="74" t="str">
        <f aca="false">IF(ISBLANK($C257),"",IF($R257=Constants!$B$2,TRUE(),IF($R257=Constants!$B$3,FALSE(),FALSE())))</f>
        <v/>
      </c>
      <c r="AX257" s="74" t="str">
        <f aca="false">IF(ISBLANK($C257),"",IF($S257=Constants!$B$2,TRUE(),IF($S257=Constants!$B$3,FALSE(),FALSE())))</f>
        <v/>
      </c>
      <c r="AY257" s="74" t="str">
        <f aca="false">IF(ISBLANK($C257),"",IF($T257=Constants!$B$2,TRUE(),IF($T257=Constants!$B$3,FALSE(),FALSE())))</f>
        <v/>
      </c>
      <c r="AZ257" s="74" t="str">
        <f aca="false">IF(ISBLANK($C257),"",IF($U257=Constants!$B$2,TRUE(),IF($U257=Constants!$B$3,FALSE(),FALSE())))</f>
        <v/>
      </c>
      <c r="BA257" s="74" t="str">
        <f aca="false">IF(ISBLANK($C257),"",IF(OR($V257&amp;""="1",$V257&amp;""="2",$V257&amp;""="3",$V257&amp;""="4"),VALUE($V257&amp;""),IF($V257=Constants!$B$12,Constants!$B$12,"")))</f>
        <v/>
      </c>
      <c r="BB257" s="74" t="str">
        <f aca="false">IF(ISBLANK($C257),"",IF(ISBLANK($W257),0,IF(ISNUMBER($W257),IF(AND($W257&gt;=0,$W257&lt;=Constants!$B$21,$W257=INT($W257)),$W257,""),"")))</f>
        <v/>
      </c>
      <c r="BC257" s="74" t="str">
        <f aca="false">IF(ISBLANK($C257),"",IF(ISBLANK($X257),0,IF(ISNUMBER($X257),IF($X257&gt;=0,$X257,""),"")))</f>
        <v/>
      </c>
      <c r="BD257" s="74" t="str">
        <f aca="false">IF(ISBLANK($C257),"",IF($Y257=Constants!$B$2,TRUE(),IF($Y257=Constants!$B$3,FALSE(),TRUE())))</f>
        <v/>
      </c>
      <c r="BE257" s="74" t="str">
        <f aca="false">IF(ISBLANK($C257),"",IF($Z257=Constants!$B$2,TRUE(),IF($Z257=Constants!$B$3,FALSE(),FALSE())))</f>
        <v/>
      </c>
      <c r="BF257" s="74" t="str">
        <f aca="false">IF(ISBLANK($C257),"",IF(ISBLANK($AA257),0,IF(ISNUMBER($AA257),IF(AND($AA257&gt;=0,$AA257&lt;=Constants!$B$35,$AA257=INT($AA257)),$AA257,""),"")))</f>
        <v/>
      </c>
      <c r="BG257" s="74" t="str">
        <f aca="false">IF(ISBLANK($C257),"",IF($AB257=Constants!$B$2,TRUE(),IF($AB257=Constants!$B$3,FALSE(),TRUE())))</f>
        <v/>
      </c>
      <c r="BH257" s="74" t="str">
        <f aca="false">IF(ISBLANK($C257),"",IF($AC257=Constants!$B$2,TRUE(),IF($AC257=Constants!$B$3,FALSE(),TRUE())))</f>
        <v/>
      </c>
      <c r="BI257" s="74" t="str">
        <f aca="false">IF(ISBLANK($C257),"",IF($AD257=Constants!$B$2,TRUE(),IF($AD257=Constants!$B$3,FALSE(),TRUE())))</f>
        <v/>
      </c>
      <c r="BJ257" s="74" t="str">
        <f aca="false">IF(ISBLANK($C257),"",IF(ISNUMBER($AE257),IF($AE257&gt;=0,$AE257,""),""))</f>
        <v/>
      </c>
      <c r="BK257" s="74" t="str">
        <f aca="false">IF(ISBLANK($C257),"",IF($AF257=Constants!$B$2,TRUE(),IF($AF257=Constants!$B$3,FALSE(),FALSE())))</f>
        <v/>
      </c>
      <c r="BL257" s="73" t="str">
        <f aca="false">IF(ISBLANK($C257),"",IF($BK257,Constants!$B$7,IF(COUNTA($E257:$AE257)=0,Constants!$B$6,IF(OR(COUNTA($G257:$AE257)=0,NOT($AM257),$AS257),Constants!$B$5,IF(OR($CM257&lt;&gt;"",$CN257,$CO257,$CP257,$CQ257,$CR257,$CS257),Constants!$B$8,Constants!$B$4)))))</f>
        <v/>
      </c>
      <c r="BM257" s="74" t="str">
        <f aca="false">IF(ISBLANK($C257),"",IF($BL257&lt;&gt;Constants!$B$4,$BL257,IF(OR(NOT($AJ257),NOT($AL257),NOT($AT257)),Constants!$B$11,IF(OR(NOT($AR257),NOT($AU257),NOT($BI257),MAX($AN257,$AO257,$AP257)&gt;Constants!$B$30),Constants!$B$10,Constants!$B$9))))</f>
        <v/>
      </c>
      <c r="BN257" s="74" t="str">
        <f aca="false">IF($BL257&lt;&gt;Constants!$B$4,"",IF(NOT($AL257),0,MIN(Constants!$B$35,$BF257)))</f>
        <v/>
      </c>
      <c r="BO257" s="74" t="str">
        <f aca="false">IF($BL257&lt;&gt;Constants!$B$4,"",IF(NOT($AL257),0,IF($AW257,Constants!$B$18,IF($AV257,Constants!$B$17,0))))</f>
        <v/>
      </c>
      <c r="BP257" s="74" t="str">
        <f aca="false">IF($BL257&lt;&gt;Constants!$B$4,"",IF(NOT($AL257),0,Constants!$B$19*($AK257+$AX257+$AY257+$AZ257)))</f>
        <v/>
      </c>
      <c r="BQ257" s="74" t="str">
        <f aca="false">IF($BL257&lt;&gt;Constants!$B$4,"",IF(OR(NOT($AL257),NOT(ISNUMBER($BA257))),0,CHOOSE($BA257,Constants!$B$13,Constants!$B$14,Constants!$B$15,Constants!$B$16)))</f>
        <v/>
      </c>
      <c r="BR257" s="74" t="str">
        <f aca="false">IF($BL257&lt;&gt;Constants!$B$4,"",IF(NOT($AL257),0,Constants!$B$20*$BB257))</f>
        <v/>
      </c>
      <c r="BS257" s="74" t="str">
        <f aca="false">IF($BL257&lt;&gt;Constants!$B$4,"",IF(AND($AL257,$BD257,$BE257),Constants!$B$22,0))</f>
        <v/>
      </c>
      <c r="BT257" s="74" t="str">
        <f aca="false">IF($BL257&lt;&gt;Constants!$B$4,"",IF(OR(NOT($AL257),NOT($BD257)),0,IF($BJ257&gt;=2*$AH$9,0,Constants!$B$23*INT(ROUND(MIN($BJ257,$AH$9),6)))))</f>
        <v/>
      </c>
      <c r="BU257" s="74" t="str">
        <f aca="false">IF($BL257&lt;&gt;Constants!$B$4,"",IF(NOT($AL257),0,Constants!$B$24*INT(ROUND(MIN($BC257,$AH$9),6))))</f>
        <v/>
      </c>
      <c r="BV257" s="74" t="str">
        <f aca="false">IF($BL257&lt;&gt;Constants!$B$4,"",IF(AND($AL257,$BN257=0),Constants!$B$25,0))</f>
        <v/>
      </c>
      <c r="BW257" s="74" t="str">
        <f aca="false">IF($BL257&lt;&gt;Constants!$B$4,"",MIN(Constants!$B$29,MAX(0,Constants!$B$27*Constants!$B$28*INT(ROUND((Constants!$B$26-$AN257)/Constants!$B$28,6))))+MIN(Constants!$B$29,MAX(0,Constants!$B$27*Constants!$B$28*INT(ROUND((Constants!$B$26-$AO257)/Constants!$B$28,6))))+MIN(Constants!$B$29,MAX(0,Constants!$B$27*Constants!$B$28*INT(ROUND((Constants!$B$26-$AP257)/Constants!$B$28,6)))))</f>
        <v/>
      </c>
      <c r="BX257" s="74" t="str">
        <f aca="false">IF($BL257&lt;&gt;Constants!$B$4,"",IF(NOT($AL257),0,Constants!$B$31*INT(ROUND(MAX(0,MIN($BJ257,2*$AH$9)-$AH$9),6))))</f>
        <v/>
      </c>
      <c r="BY257" s="74" t="str">
        <f aca="false">IF($BL257&lt;&gt;Constants!$B$4,"",Constants!$B$32*(($AN257&gt;Constants!$B$26)+($AO257&gt;Constants!$B$26)+($AP257&gt;Constants!$B$26)))</f>
        <v/>
      </c>
      <c r="BZ257" s="74" t="str">
        <f aca="false">IF($BL257&lt;&gt;Constants!$B$4,"",IF(OR(NOT($AL257),$AQ257),0,Constants!$B$33))</f>
        <v/>
      </c>
      <c r="CA257" s="74" t="str">
        <f aca="false">IF($BL257&lt;&gt;Constants!$B$4,"",Constants!$B$34*$BN257)</f>
        <v/>
      </c>
      <c r="CB257" s="74" t="str">
        <f aca="false">IF($BL257&lt;&gt;Constants!$B$4,"",IF(OR(NOT($AL257),$BH257),0,Constants!$B$36))</f>
        <v/>
      </c>
      <c r="CC257" s="74" t="str">
        <f aca="false">IF($BL257&lt;&gt;Constants!$B$4,"",IF(OR(NOT($AL257),$BG257),0,Constants!$B$37))</f>
        <v/>
      </c>
      <c r="CD257" s="74" t="str">
        <f aca="false">IF($BL257&lt;&gt;Constants!$B$4,"",SUM($BX257:$CC257))</f>
        <v/>
      </c>
      <c r="CE257" s="74" t="str">
        <f aca="false">IF(ISBLANK($C257),"",IF($BL257&lt;&gt;Constants!$B$4,$BL257,SUM($BO257:$BW257)-$CD257))</f>
        <v/>
      </c>
      <c r="CF257" s="74" t="str">
        <f aca="false">IF(ISBLANK($C257),"",IF($BL257&lt;&gt;Constants!$B$4,$BL257,RANK($CE257,$CE$9:$CE$508)))</f>
        <v/>
      </c>
      <c r="CG257" s="74" t="str">
        <f aca="false">IF(ISBLANK($C257),"",IF($BL257&lt;&gt;Constants!$B$4,$BL257,COUNTIFS($BM$9:$BM$508,"&lt;"&amp;$BM257)+COUNTIFS($BM$9:$BM$508,$BM257,$CF$9:$CF$508,"&lt;"&amp;$CF257)+1))</f>
        <v/>
      </c>
      <c r="CH257" s="74" t="str">
        <f aca="false">IF(ISBLANK($C257),"",IF($BL257&lt;&gt;Constants!$B$4,$BL257,RANK($CD257,$CD$9:$CD$508,1)))</f>
        <v/>
      </c>
      <c r="CI257" s="74" t="str">
        <f aca="false">IF($BL257&lt;&gt;Constants!$B$4,"",$AN257+$AO257+$AP257)</f>
        <v/>
      </c>
      <c r="CJ257" s="74" t="str">
        <f aca="false">IF(ISBLANK($C257),"",IF($BL257&lt;&gt;Constants!$B$4,$BL257,RANK($CI257,$CI$9:$CI$508,1)))</f>
        <v/>
      </c>
      <c r="CK257" s="74" t="str">
        <f aca="false">IF(ISBLANK($C257),"",IF($BL257&lt;&gt;Constants!$B$4,$BL257,COUNTIFS($BM$9:$BM$508,"&lt;"&amp;$BM257)+COUNTIFS($BM$9:$BM$508,$BM257,$CF$9:$CF$508,"&lt;"&amp;$CF257)+COUNTIFS($BM$9:$BM$508,$BM257,$CF$9:$CF$508,$CF257,$CH$9:$CH$508,"&lt;"&amp;$CH257)+COUNTIFS($BM$9:$BM$508,$BM257,$CF$9:$CF$508,$CF257,$CH$9:$CH$508,$CH257,$CJ$9:$CJ$508,"&lt;"&amp;$CJ257)+1))</f>
        <v/>
      </c>
      <c r="CL257" s="74" t="str">
        <f aca="false">IF(ISBLANK($C257),"",IF($BL257&lt;&gt;Constants!$B$4,$BL257,$CG257-$CK257))</f>
        <v/>
      </c>
      <c r="CM257" s="74" t="str">
        <f aca="false">IF(ISBLANK($C257),"",IF(NOT($AL257),"",IF(ISBLANK($D$7),$CM$5,IF(NOT(ISNUMBER($D$7)),$CM$6,""))))</f>
        <v/>
      </c>
      <c r="CN257" s="74" t="str">
        <f aca="false">IF(ISBLANK($C257),"",OR($AN257="",$AO257="",$AP257=""))</f>
        <v/>
      </c>
      <c r="CO257" s="74" t="str">
        <f aca="false">IF(ISBLANK($C257),"",AND($AL257,$BA257=""))</f>
        <v/>
      </c>
      <c r="CP257" s="74" t="str">
        <f aca="false">IF(ISBLANK($C257),"",AND($AL257,$BB257=""))</f>
        <v/>
      </c>
      <c r="CQ257" s="74" t="str">
        <f aca="false">IF(ISBLANK($C257),"",AND($AL257,$BC257=""))</f>
        <v/>
      </c>
      <c r="CR257" s="74" t="str">
        <f aca="false">IF(ISBLANK($C257),"",AND($AL257,$BF257=""))</f>
        <v/>
      </c>
      <c r="CS257" s="74" t="str">
        <f aca="false">IF(ISBLANK($C257),"",AND($AL257,$BJ257=""))</f>
        <v/>
      </c>
      <c r="CT257" s="75"/>
      <c r="CU257" s="76"/>
      <c r="CV257" s="79" t="str">
        <f aca="false">IF(ISBLANK($C257),"",IF($BL257=Constants!$B$8,$CM257,""))</f>
        <v/>
      </c>
      <c r="CW257" s="76" t="str">
        <f aca="false">IF(ISBLANK($C257),"",IF($BL257&lt;&gt;Constants!$B$4,"",$BO257+$BP257))</f>
        <v/>
      </c>
      <c r="CX257" s="78" t="str">
        <f aca="false">IF(ISBLANK($C257),"",IF($BL257&lt;&gt;Constants!$B$4,"",$BQ257+$BR257+$BS257))</f>
        <v/>
      </c>
      <c r="CY257" s="78" t="str">
        <f aca="false">IF(ISBLANK($C257),"",IF($BL257&lt;&gt;Constants!$B$4,"",$BT257))</f>
        <v/>
      </c>
      <c r="CZ257" s="78" t="str">
        <f aca="false">IF(ISBLANK($C257),"",IF($BL257&lt;&gt;Constants!$B$4,"",$BU257+$BV257))</f>
        <v/>
      </c>
      <c r="DA257" s="78" t="str">
        <f aca="false">IF(ISBLANK($C257),"",IF($BL257&lt;&gt;Constants!$B$4,"",$BW257))</f>
        <v/>
      </c>
      <c r="DB257" s="78" t="str">
        <f aca="false">IF(ISBLANK($C257),"",IF($BL257&lt;&gt;Constants!$B$4,"",-$CD257))</f>
        <v/>
      </c>
      <c r="DC257" s="79" t="str">
        <f aca="false">IF(ISBLANK($C257),"",$CE257)</f>
        <v/>
      </c>
      <c r="DD257" s="80" t="str">
        <f aca="false">IF(ISBLANK($C257),"",$BM257)</f>
        <v/>
      </c>
      <c r="DE257" s="78" t="str">
        <f aca="false">IF(ISBLANK($C257),"",$CL257)</f>
        <v/>
      </c>
      <c r="DF257" s="78" t="str">
        <f aca="false">IF(ISBLANK($C257),"",$CK257)</f>
        <v/>
      </c>
      <c r="DG257" s="81" t="str">
        <f aca="false">IF(ISBLANK($C257),"",IF($DF257=Constants!$B$7,COUNTA($C$9:$C$508)+2,IF($DF257=Constants!$B$6,COUNTA($C$9:$C$508)+1,IF($DF257=Constants!$B$5,COUNTA($C$9:$C$508),$DF257))))</f>
        <v/>
      </c>
      <c r="DH257" s="7"/>
      <c r="DI257" s="82" t="n">
        <f aca="false">IF(OR(ISNUMBER($DF257),$DF257=Constants!$B$7,$DF257=Constants!$B$5,$DF257=Constants!$B$6),1,0)</f>
        <v>0</v>
      </c>
      <c r="DJ257" s="82" t="n">
        <v>249</v>
      </c>
      <c r="DK257" s="82" t="str">
        <f aca="false">IF(ISBLANK($C257),"",IF(ISNUMBER($DG257),$DG257+ROW($B257)/1000,""))</f>
        <v/>
      </c>
      <c r="DL257" s="82" t="str">
        <f aca="false">IF(ISNUMBER($DK257),RANK($DK257,$DK$9:$DK$508,1),"")</f>
        <v/>
      </c>
      <c r="DM257" s="82" t="str">
        <f aca="false">IF(ISBLANK($C257),"",$B257)</f>
        <v/>
      </c>
      <c r="DN257" s="82" t="str">
        <f aca="false">IF(ISBLANK($C257),"",$C257)</f>
        <v/>
      </c>
      <c r="DO257" s="82" t="str">
        <f aca="false">IF(ISBLANK($C257),"",$D257)</f>
        <v/>
      </c>
      <c r="DP257" s="83" t="str">
        <f aca="false">$DD257</f>
        <v/>
      </c>
      <c r="DQ257" s="84" t="str">
        <f aca="false">$DC257</f>
        <v/>
      </c>
      <c r="DR257" s="82" t="str">
        <f aca="false">IF(ISBLANK($C257),"",$DF257)</f>
        <v/>
      </c>
      <c r="DS257" s="85" t="str">
        <f aca="false">IF($DJ257&gt;$DI$8,"",VLOOKUP($DJ257,$DL$9:$DR$508,7,FALSE()))</f>
        <v/>
      </c>
      <c r="DT257" s="86" t="str">
        <f aca="false">IF($DJ257&gt;$DI$8,"",VLOOKUP($DJ257,$DL$9:$DR$508,2,FALSE()))</f>
        <v/>
      </c>
      <c r="DU257" s="86" t="str">
        <f aca="false">IF($DJ257&gt;$DI$8,"",VLOOKUP($DJ257,$DL$9:$DR$508,3,FALSE()))</f>
        <v/>
      </c>
      <c r="DV257" s="86" t="str">
        <f aca="false">IF($DJ257&gt;$DI$8,"",VLOOKUP($DJ257,$DL$9:$DR$508,4,FALSE()))</f>
        <v/>
      </c>
      <c r="DW257" s="86" t="str">
        <f aca="false">IF($DJ257&gt;$DI$8,"",VLOOKUP($DJ257,$DL$9:$DR$508,5,FALSE()))</f>
        <v/>
      </c>
      <c r="DX257" s="87" t="str">
        <f aca="false">IF($DJ257&gt;$DI$8,"",VLOOKUP($DJ257,$DL$9:$DR$508,6,FALSE()))</f>
        <v/>
      </c>
      <c r="DY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130"/>
      <c r="N258" s="130"/>
      <c r="O258" s="135"/>
      <c r="P258" s="135"/>
      <c r="Q258" s="130"/>
      <c r="R258" s="130"/>
      <c r="S258" s="130"/>
      <c r="T258" s="130"/>
      <c r="U258" s="135"/>
      <c r="V258" s="130"/>
      <c r="W258" s="96"/>
      <c r="X258" s="130"/>
      <c r="Y258" s="130"/>
      <c r="Z258" s="96"/>
      <c r="AA258" s="96"/>
      <c r="AB258" s="130"/>
      <c r="AC258" s="130"/>
      <c r="AD258" s="130"/>
      <c r="AE258" s="97"/>
      <c r="AF258" s="130"/>
      <c r="AG258" s="99"/>
      <c r="AH258" s="100"/>
      <c r="AI258" s="100"/>
      <c r="AJ258" s="100" t="str">
        <f aca="false">IF(ISBLANK($C258),"",IF($E258=Constants!$B$2,TRUE(),IF($E258=Constants!$B$3,FALSE(),TRUE())))</f>
        <v/>
      </c>
      <c r="AK258" s="100" t="str">
        <f aca="false">IF(ISBLANK($C258),"",IF($F258=Constants!$B$2,TRUE(),IF($F258=Constants!$B$3,FALSE(),FALSE())))</f>
        <v/>
      </c>
      <c r="AL258" s="100" t="str">
        <f aca="false">IF(ISBLANK($C258),"",IF($G258=Constants!$B$2,TRUE(),IF($G258=Constants!$B$3,FALSE(),TRUE())))</f>
        <v/>
      </c>
      <c r="AM258" s="100" t="str">
        <f aca="false">IF(ISBLANK($C258),"",IF($H258=Constants!$B$2,TRUE(),IF($H258=Constants!$B$3,FALSE(),TRUE())))</f>
        <v/>
      </c>
      <c r="AN258" s="100" t="str">
        <f aca="false">IF(ISBLANK($C258),"",IF(ISNUMBER($I258),IF($I258&gt;=0,$I258,""),""))</f>
        <v/>
      </c>
      <c r="AO258" s="100" t="str">
        <f aca="false">IF(ISBLANK($C258),"",IF(ISNUMBER($J258),IF($J258&gt;=0,$J258,""),""))</f>
        <v/>
      </c>
      <c r="AP258" s="100" t="str">
        <f aca="false">IF(ISBLANK($C258),"",IF(ISNUMBER($K258),IF($K258&gt;=0,$K258,""),""))</f>
        <v/>
      </c>
      <c r="AQ258" s="100" t="str">
        <f aca="false">IF(ISBLANK($C258),"",IF($L258=Constants!$B$2,TRUE(),IF($L258=Constants!$B$3,FALSE(),TRUE())))</f>
        <v/>
      </c>
      <c r="AR258" s="100" t="str">
        <f aca="false">IF(ISBLANK($C258),"",IF($M258=Constants!$B$2,TRUE(),IF($M258=Constants!$B$3,FALSE(),TRUE())))</f>
        <v/>
      </c>
      <c r="AS258" s="100" t="str">
        <f aca="false">IF(ISBLANK($C258),"",IF($N258=Constants!$B$2,TRUE(),IF($N258=Constants!$B$3,FALSE(),FALSE())))</f>
        <v/>
      </c>
      <c r="AT258" s="100" t="str">
        <f aca="false">IF(ISBLANK($C258),"",IF($O258=Constants!$B$2,TRUE(),IF($O258=Constants!$B$3,FALSE(),TRUE())))</f>
        <v/>
      </c>
      <c r="AU258" s="100" t="str">
        <f aca="false">IF(ISBLANK($C258),"",IF($P258=Constants!$B$2,TRUE(),IF($P258=Constants!$B$3,FALSE(),TRUE())))</f>
        <v/>
      </c>
      <c r="AV258" s="100" t="str">
        <f aca="false">IF(ISBLANK($C258),"",IF($Q258=Constants!$B$2,TRUE(),IF($Q258=Constants!$B$3,FALSE(),FALSE())))</f>
        <v/>
      </c>
      <c r="AW258" s="100" t="str">
        <f aca="false">IF(ISBLANK($C258),"",IF($R258=Constants!$B$2,TRUE(),IF($R258=Constants!$B$3,FALSE(),FALSE())))</f>
        <v/>
      </c>
      <c r="AX258" s="100" t="str">
        <f aca="false">IF(ISBLANK($C258),"",IF($S258=Constants!$B$2,TRUE(),IF($S258=Constants!$B$3,FALSE(),FALSE())))</f>
        <v/>
      </c>
      <c r="AY258" s="100" t="str">
        <f aca="false">IF(ISBLANK($C258),"",IF($T258=Constants!$B$2,TRUE(),IF($T258=Constants!$B$3,FALSE(),FALSE())))</f>
        <v/>
      </c>
      <c r="AZ258" s="100" t="str">
        <f aca="false">IF(ISBLANK($C258),"",IF($U258=Constants!$B$2,TRUE(),IF($U258=Constants!$B$3,FALSE(),FALSE())))</f>
        <v/>
      </c>
      <c r="BA258" s="100" t="str">
        <f aca="false">IF(ISBLANK($C258),"",IF(OR($V258&amp;""="1",$V258&amp;""="2",$V258&amp;""="3",$V258&amp;""="4"),VALUE($V258&amp;""),IF($V258=Constants!$B$12,Constants!$B$12,"")))</f>
        <v/>
      </c>
      <c r="BB258" s="100" t="str">
        <f aca="false">IF(ISBLANK($C258),"",IF(ISBLANK($W258),0,IF(ISNUMBER($W258),IF(AND($W258&gt;=0,$W258&lt;=Constants!$B$21,$W258=INT($W258)),$W258,""),"")))</f>
        <v/>
      </c>
      <c r="BC258" s="100" t="str">
        <f aca="false">IF(ISBLANK($C258),"",IF(ISBLANK($X258),0,IF(ISNUMBER($X258),IF($X258&gt;=0,$X258,""),"")))</f>
        <v/>
      </c>
      <c r="BD258" s="100" t="str">
        <f aca="false">IF(ISBLANK($C258),"",IF($Y258=Constants!$B$2,TRUE(),IF($Y258=Constants!$B$3,FALSE(),TRUE())))</f>
        <v/>
      </c>
      <c r="BE258" s="100" t="str">
        <f aca="false">IF(ISBLANK($C258),"",IF($Z258=Constants!$B$2,TRUE(),IF($Z258=Constants!$B$3,FALSE(),FALSE())))</f>
        <v/>
      </c>
      <c r="BF258" s="100" t="str">
        <f aca="false">IF(ISBLANK($C258),"",IF(ISBLANK($AA258),0,IF(ISNUMBER($AA258),IF(AND($AA258&gt;=0,$AA258&lt;=Constants!$B$35,$AA258=INT($AA258)),$AA258,""),"")))</f>
        <v/>
      </c>
      <c r="BG258" s="100" t="str">
        <f aca="false">IF(ISBLANK($C258),"",IF($AB258=Constants!$B$2,TRUE(),IF($AB258=Constants!$B$3,FALSE(),TRUE())))</f>
        <v/>
      </c>
      <c r="BH258" s="100" t="str">
        <f aca="false">IF(ISBLANK($C258),"",IF($AC258=Constants!$B$2,TRUE(),IF($AC258=Constants!$B$3,FALSE(),TRUE())))</f>
        <v/>
      </c>
      <c r="BI258" s="100" t="str">
        <f aca="false">IF(ISBLANK($C258),"",IF($AD258=Constants!$B$2,TRUE(),IF($AD258=Constants!$B$3,FALSE(),TRUE())))</f>
        <v/>
      </c>
      <c r="BJ258" s="100" t="str">
        <f aca="false">IF(ISBLANK($C258),"",IF(ISNUMBER($AE258),IF($AE258&gt;=0,$AE258,""),""))</f>
        <v/>
      </c>
      <c r="BK258" s="100" t="str">
        <f aca="false">IF(ISBLANK($C258),"",IF($AF258=Constants!$B$2,TRUE(),IF($AF258=Constants!$B$3,FALSE(),FALSE())))</f>
        <v/>
      </c>
      <c r="BL258" s="99" t="str">
        <f aca="false">IF(ISBLANK($C258),"",IF($BK258,Constants!$B$7,IF(COUNTA($E258:$AE258)=0,Constants!$B$6,IF(OR(COUNTA($G258:$AE258)=0,NOT($AM258),$AS258),Constants!$B$5,IF(OR($CM258&lt;&gt;"",$CN258,$CO258,$CP258,$CQ258,$CR258,$CS258),Constants!$B$8,Constants!$B$4)))))</f>
        <v/>
      </c>
      <c r="BM258" s="100" t="str">
        <f aca="false">IF(ISBLANK($C258),"",IF($BL258&lt;&gt;Constants!$B$4,$BL258,IF(OR(NOT($AJ258),NOT($AL258),NOT($AT258)),Constants!$B$11,IF(OR(NOT($AR258),NOT($AU258),NOT($BI258),MAX($AN258,$AO258,$AP258)&gt;Constants!$B$30),Constants!$B$10,Constants!$B$9))))</f>
        <v/>
      </c>
      <c r="BN258" s="100" t="str">
        <f aca="false">IF($BL258&lt;&gt;Constants!$B$4,"",IF(NOT($AL258),0,MIN(Constants!$B$35,$BF258)))</f>
        <v/>
      </c>
      <c r="BO258" s="100" t="str">
        <f aca="false">IF($BL258&lt;&gt;Constants!$B$4,"",IF(NOT($AL258),0,IF($AW258,Constants!$B$18,IF($AV258,Constants!$B$17,0))))</f>
        <v/>
      </c>
      <c r="BP258" s="100" t="str">
        <f aca="false">IF($BL258&lt;&gt;Constants!$B$4,"",IF(NOT($AL258),0,Constants!$B$19*($AK258+$AX258+$AY258+$AZ258)))</f>
        <v/>
      </c>
      <c r="BQ258" s="100" t="str">
        <f aca="false">IF($BL258&lt;&gt;Constants!$B$4,"",IF(OR(NOT($AL258),NOT(ISNUMBER($BA258))),0,CHOOSE($BA258,Constants!$B$13,Constants!$B$14,Constants!$B$15,Constants!$B$16)))</f>
        <v/>
      </c>
      <c r="BR258" s="100" t="str">
        <f aca="false">IF($BL258&lt;&gt;Constants!$B$4,"",IF(NOT($AL258),0,Constants!$B$20*$BB258))</f>
        <v/>
      </c>
      <c r="BS258" s="100" t="str">
        <f aca="false">IF($BL258&lt;&gt;Constants!$B$4,"",IF(AND($AL258,$BD258,$BE258),Constants!$B$22,0))</f>
        <v/>
      </c>
      <c r="BT258" s="100" t="str">
        <f aca="false">IF($BL258&lt;&gt;Constants!$B$4,"",IF(OR(NOT($AL258),NOT($BD258)),0,IF($BJ258&gt;=2*$AH$9,0,Constants!$B$23*INT(ROUND(MIN($BJ258,$AH$9),6)))))</f>
        <v/>
      </c>
      <c r="BU258" s="100" t="str">
        <f aca="false">IF($BL258&lt;&gt;Constants!$B$4,"",IF(NOT($AL258),0,Constants!$B$24*INT(ROUND(MIN($BC258,$AH$9),6))))</f>
        <v/>
      </c>
      <c r="BV258" s="100" t="str">
        <f aca="false">IF($BL258&lt;&gt;Constants!$B$4,"",IF(AND($AL258,$BN258=0),Constants!$B$25,0))</f>
        <v/>
      </c>
      <c r="BW258" s="100" t="str">
        <f aca="false">IF($BL258&lt;&gt;Constants!$B$4,"",MIN(Constants!$B$29,MAX(0,Constants!$B$27*Constants!$B$28*INT(ROUND((Constants!$B$26-$AN258)/Constants!$B$28,6))))+MIN(Constants!$B$29,MAX(0,Constants!$B$27*Constants!$B$28*INT(ROUND((Constants!$B$26-$AO258)/Constants!$B$28,6))))+MIN(Constants!$B$29,MAX(0,Constants!$B$27*Constants!$B$28*INT(ROUND((Constants!$B$26-$AP258)/Constants!$B$28,6)))))</f>
        <v/>
      </c>
      <c r="BX258" s="100" t="str">
        <f aca="false">IF($BL258&lt;&gt;Constants!$B$4,"",IF(NOT($AL258),0,Constants!$B$31*INT(ROUND(MAX(0,MIN($BJ258,2*$AH$9)-$AH$9),6))))</f>
        <v/>
      </c>
      <c r="BY258" s="100" t="str">
        <f aca="false">IF($BL258&lt;&gt;Constants!$B$4,"",Constants!$B$32*(($AN258&gt;Constants!$B$26)+($AO258&gt;Constants!$B$26)+($AP258&gt;Constants!$B$26)))</f>
        <v/>
      </c>
      <c r="BZ258" s="100" t="str">
        <f aca="false">IF($BL258&lt;&gt;Constants!$B$4,"",IF(OR(NOT($AL258),$AQ258),0,Constants!$B$33))</f>
        <v/>
      </c>
      <c r="CA258" s="100" t="str">
        <f aca="false">IF($BL258&lt;&gt;Constants!$B$4,"",Constants!$B$34*$BN258)</f>
        <v/>
      </c>
      <c r="CB258" s="100" t="str">
        <f aca="false">IF($BL258&lt;&gt;Constants!$B$4,"",IF(OR(NOT($AL258),$BH258),0,Constants!$B$36))</f>
        <v/>
      </c>
      <c r="CC258" s="100" t="str">
        <f aca="false">IF($BL258&lt;&gt;Constants!$B$4,"",IF(OR(NOT($AL258),$BG258),0,Constants!$B$37))</f>
        <v/>
      </c>
      <c r="CD258" s="100" t="str">
        <f aca="false">IF($BL258&lt;&gt;Constants!$B$4,"",SUM($BX258:$CC258))</f>
        <v/>
      </c>
      <c r="CE258" s="100" t="str">
        <f aca="false">IF(ISBLANK($C258),"",IF($BL258&lt;&gt;Constants!$B$4,$BL258,SUM($BO258:$BW258)-$CD258))</f>
        <v/>
      </c>
      <c r="CF258" s="100" t="str">
        <f aca="false">IF(ISBLANK($C258),"",IF($BL258&lt;&gt;Constants!$B$4,$BL258,RANK($CE258,$CE$9:$CE$508)))</f>
        <v/>
      </c>
      <c r="CG258" s="100" t="str">
        <f aca="false">IF(ISBLANK($C258),"",IF($BL258&lt;&gt;Constants!$B$4,$BL258,COUNTIFS($BM$9:$BM$508,"&lt;"&amp;$BM258)+COUNTIFS($BM$9:$BM$508,$BM258,$CF$9:$CF$508,"&lt;"&amp;$CF258)+1))</f>
        <v/>
      </c>
      <c r="CH258" s="100" t="str">
        <f aca="false">IF(ISBLANK($C258),"",IF($BL258&lt;&gt;Constants!$B$4,$BL258,RANK($CD258,$CD$9:$CD$508,1)))</f>
        <v/>
      </c>
      <c r="CI258" s="100" t="str">
        <f aca="false">IF($BL258&lt;&gt;Constants!$B$4,"",$AN258+$AO258+$AP258)</f>
        <v/>
      </c>
      <c r="CJ258" s="100" t="str">
        <f aca="false">IF(ISBLANK($C258),"",IF($BL258&lt;&gt;Constants!$B$4,$BL258,RANK($CI258,$CI$9:$CI$508,1)))</f>
        <v/>
      </c>
      <c r="CK258" s="100" t="str">
        <f aca="false">IF(ISBLANK($C258),"",IF($BL258&lt;&gt;Constants!$B$4,$BL258,COUNTIFS($BM$9:$BM$508,"&lt;"&amp;$BM258)+COUNTIFS($BM$9:$BM$508,$BM258,$CF$9:$CF$508,"&lt;"&amp;$CF258)+COUNTIFS($BM$9:$BM$508,$BM258,$CF$9:$CF$508,$CF258,$CH$9:$CH$508,"&lt;"&amp;$CH258)+COUNTIFS($BM$9:$BM$508,$BM258,$CF$9:$CF$508,$CF258,$CH$9:$CH$508,$CH258,$CJ$9:$CJ$508,"&lt;"&amp;$CJ258)+1))</f>
        <v/>
      </c>
      <c r="CL258" s="100" t="str">
        <f aca="false">IF(ISBLANK($C258),"",IF($BL258&lt;&gt;Constants!$B$4,$BL258,$CG258-$CK258))</f>
        <v/>
      </c>
      <c r="CM258" s="100" t="str">
        <f aca="false">IF(ISBLANK($C258),"",IF(NOT($AL258),"",IF(ISBLANK($D$7),$CM$5,IF(NOT(ISNUMBER($D$7)),$CM$6,""))))</f>
        <v/>
      </c>
      <c r="CN258" s="100" t="str">
        <f aca="false">IF(ISBLANK($C258),"",OR($AN258="",$AO258="",$AP258=""))</f>
        <v/>
      </c>
      <c r="CO258" s="100" t="str">
        <f aca="false">IF(ISBLANK($C258),"",AND($AL258,$BA258=""))</f>
        <v/>
      </c>
      <c r="CP258" s="100" t="str">
        <f aca="false">IF(ISBLANK($C258),"",AND($AL258,$BB258=""))</f>
        <v/>
      </c>
      <c r="CQ258" s="100" t="str">
        <f aca="false">IF(ISBLANK($C258),"",AND($AL258,$BC258=""))</f>
        <v/>
      </c>
      <c r="CR258" s="100" t="str">
        <f aca="false">IF(ISBLANK($C258),"",AND($AL258,$BF258=""))</f>
        <v/>
      </c>
      <c r="CS258" s="100" t="str">
        <f aca="false">IF(ISBLANK($C258),"",AND($AL258,$BJ258=""))</f>
        <v/>
      </c>
      <c r="CT258" s="101"/>
      <c r="CU258" s="102"/>
      <c r="CV258" s="103" t="str">
        <f aca="false">IF(ISBLANK($C258),"",IF($BL258=Constants!$B$8,$CM258,""))</f>
        <v/>
      </c>
      <c r="CW258" s="102" t="str">
        <f aca="false">IF(ISBLANK($C258),"",IF($BL258&lt;&gt;Constants!$B$4,"",$BO258+$BP258))</f>
        <v/>
      </c>
      <c r="CX258" s="104" t="str">
        <f aca="false">IF(ISBLANK($C258),"",IF($BL258&lt;&gt;Constants!$B$4,"",$BQ258+$BR258+$BS258))</f>
        <v/>
      </c>
      <c r="CY258" s="104" t="str">
        <f aca="false">IF(ISBLANK($C258),"",IF($BL258&lt;&gt;Constants!$B$4,"",$BT258))</f>
        <v/>
      </c>
      <c r="CZ258" s="104" t="str">
        <f aca="false">IF(ISBLANK($C258),"",IF($BL258&lt;&gt;Constants!$B$4,"",$BU258+$BV258))</f>
        <v/>
      </c>
      <c r="DA258" s="104" t="str">
        <f aca="false">IF(ISBLANK($C258),"",IF($BL258&lt;&gt;Constants!$B$4,"",$BW258))</f>
        <v/>
      </c>
      <c r="DB258" s="104" t="str">
        <f aca="false">IF(ISBLANK($C258),"",IF($BL258&lt;&gt;Constants!$B$4,"",-$CD258))</f>
        <v/>
      </c>
      <c r="DC258" s="103" t="str">
        <f aca="false">IF(ISBLANK($C258),"",$CE258)</f>
        <v/>
      </c>
      <c r="DD258" s="105" t="str">
        <f aca="false">IF(ISBLANK($C258),"",$BM258)</f>
        <v/>
      </c>
      <c r="DE258" s="104" t="str">
        <f aca="false">IF(ISBLANK($C258),"",$CL258)</f>
        <v/>
      </c>
      <c r="DF258" s="104" t="str">
        <f aca="false">IF(ISBLANK($C258),"",$CK258)</f>
        <v/>
      </c>
      <c r="DG258" s="106" t="str">
        <f aca="false">IF(ISBLANK($C258),"",IF($DF258=Constants!$B$7,COUNTA($C$9:$C$508)+2,IF($DF258=Constants!$B$6,COUNTA($C$9:$C$508)+1,IF($DF258=Constants!$B$5,COUNTA($C$9:$C$508),$DF258))))</f>
        <v/>
      </c>
      <c r="DH258" s="7"/>
      <c r="DI258" s="107" t="n">
        <f aca="false">IF(OR(ISNUMBER($DF258),$DF258=Constants!$B$7,$DF258=Constants!$B$5,$DF258=Constants!$B$6),1,0)</f>
        <v>0</v>
      </c>
      <c r="DJ258" s="107" t="n">
        <v>250</v>
      </c>
      <c r="DK258" s="107" t="str">
        <f aca="false">IF(ISBLANK($C258),"",IF(ISNUMBER($DG258),$DG258+ROW($B258)/1000,""))</f>
        <v/>
      </c>
      <c r="DL258" s="107" t="str">
        <f aca="false">IF(ISNUMBER($DK258),RANK($DK258,$DK$9:$DK$508,1),"")</f>
        <v/>
      </c>
      <c r="DM258" s="107" t="str">
        <f aca="false">IF(ISBLANK($C258),"",$B258)</f>
        <v/>
      </c>
      <c r="DN258" s="107" t="str">
        <f aca="false">IF(ISBLANK($C258),"",$C258)</f>
        <v/>
      </c>
      <c r="DO258" s="107" t="str">
        <f aca="false">IF(ISBLANK($C258),"",$D258)</f>
        <v/>
      </c>
      <c r="DP258" s="108" t="str">
        <f aca="false">$DD258</f>
        <v/>
      </c>
      <c r="DQ258" s="109" t="str">
        <f aca="false">$DC258</f>
        <v/>
      </c>
      <c r="DR258" s="107" t="str">
        <f aca="false">IF(ISBLANK($C258),"",$DF258)</f>
        <v/>
      </c>
      <c r="DS258" s="110" t="str">
        <f aca="false">IF($DJ258&gt;$DI$8,"",VLOOKUP($DJ258,$DL$9:$DR$508,7,FALSE()))</f>
        <v/>
      </c>
      <c r="DT258" s="111" t="str">
        <f aca="false">IF($DJ258&gt;$DI$8,"",VLOOKUP($DJ258,$DL$9:$DR$508,2,FALSE()))</f>
        <v/>
      </c>
      <c r="DU258" s="111" t="str">
        <f aca="false">IF($DJ258&gt;$DI$8,"",VLOOKUP($DJ258,$DL$9:$DR$508,3,FALSE()))</f>
        <v/>
      </c>
      <c r="DV258" s="111" t="str">
        <f aca="false">IF($DJ258&gt;$DI$8,"",VLOOKUP($DJ258,$DL$9:$DR$508,4,FALSE()))</f>
        <v/>
      </c>
      <c r="DW258" s="111" t="str">
        <f aca="false">IF($DJ258&gt;$DI$8,"",VLOOKUP($DJ258,$DL$9:$DR$508,5,FALSE()))</f>
        <v/>
      </c>
      <c r="DX258" s="112" t="str">
        <f aca="false">IF($DJ258&gt;$DI$8,"",VLOOKUP($DJ258,$DL$9:$DR$508,6,FALSE()))</f>
        <v/>
      </c>
      <c r="DY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130"/>
      <c r="N259" s="130"/>
      <c r="O259" s="135"/>
      <c r="P259" s="135"/>
      <c r="Q259" s="130"/>
      <c r="R259" s="130"/>
      <c r="S259" s="130"/>
      <c r="T259" s="130"/>
      <c r="U259" s="135"/>
      <c r="V259" s="130"/>
      <c r="W259" s="96"/>
      <c r="X259" s="130"/>
      <c r="Y259" s="130"/>
      <c r="Z259" s="96"/>
      <c r="AA259" s="96"/>
      <c r="AB259" s="130"/>
      <c r="AC259" s="130"/>
      <c r="AD259" s="130"/>
      <c r="AE259" s="97"/>
      <c r="AF259" s="130"/>
      <c r="AG259" s="99"/>
      <c r="AH259" s="100"/>
      <c r="AI259" s="100"/>
      <c r="AJ259" s="100" t="str">
        <f aca="false">IF(ISBLANK($C259),"",IF($E259=Constants!$B$2,TRUE(),IF($E259=Constants!$B$3,FALSE(),TRUE())))</f>
        <v/>
      </c>
      <c r="AK259" s="100" t="str">
        <f aca="false">IF(ISBLANK($C259),"",IF($F259=Constants!$B$2,TRUE(),IF($F259=Constants!$B$3,FALSE(),FALSE())))</f>
        <v/>
      </c>
      <c r="AL259" s="100" t="str">
        <f aca="false">IF(ISBLANK($C259),"",IF($G259=Constants!$B$2,TRUE(),IF($G259=Constants!$B$3,FALSE(),TRUE())))</f>
        <v/>
      </c>
      <c r="AM259" s="100" t="str">
        <f aca="false">IF(ISBLANK($C259),"",IF($H259=Constants!$B$2,TRUE(),IF($H259=Constants!$B$3,FALSE(),TRUE())))</f>
        <v/>
      </c>
      <c r="AN259" s="100" t="str">
        <f aca="false">IF(ISBLANK($C259),"",IF(ISNUMBER($I259),IF($I259&gt;=0,$I259,""),""))</f>
        <v/>
      </c>
      <c r="AO259" s="100" t="str">
        <f aca="false">IF(ISBLANK($C259),"",IF(ISNUMBER($J259),IF($J259&gt;=0,$J259,""),""))</f>
        <v/>
      </c>
      <c r="AP259" s="100" t="str">
        <f aca="false">IF(ISBLANK($C259),"",IF(ISNUMBER($K259),IF($K259&gt;=0,$K259,""),""))</f>
        <v/>
      </c>
      <c r="AQ259" s="100" t="str">
        <f aca="false">IF(ISBLANK($C259),"",IF($L259=Constants!$B$2,TRUE(),IF($L259=Constants!$B$3,FALSE(),TRUE())))</f>
        <v/>
      </c>
      <c r="AR259" s="100" t="str">
        <f aca="false">IF(ISBLANK($C259),"",IF($M259=Constants!$B$2,TRUE(),IF($M259=Constants!$B$3,FALSE(),TRUE())))</f>
        <v/>
      </c>
      <c r="AS259" s="100" t="str">
        <f aca="false">IF(ISBLANK($C259),"",IF($N259=Constants!$B$2,TRUE(),IF($N259=Constants!$B$3,FALSE(),FALSE())))</f>
        <v/>
      </c>
      <c r="AT259" s="100" t="str">
        <f aca="false">IF(ISBLANK($C259),"",IF($O259=Constants!$B$2,TRUE(),IF($O259=Constants!$B$3,FALSE(),TRUE())))</f>
        <v/>
      </c>
      <c r="AU259" s="100" t="str">
        <f aca="false">IF(ISBLANK($C259),"",IF($P259=Constants!$B$2,TRUE(),IF($P259=Constants!$B$3,FALSE(),TRUE())))</f>
        <v/>
      </c>
      <c r="AV259" s="100" t="str">
        <f aca="false">IF(ISBLANK($C259),"",IF($Q259=Constants!$B$2,TRUE(),IF($Q259=Constants!$B$3,FALSE(),FALSE())))</f>
        <v/>
      </c>
      <c r="AW259" s="100" t="str">
        <f aca="false">IF(ISBLANK($C259),"",IF($R259=Constants!$B$2,TRUE(),IF($R259=Constants!$B$3,FALSE(),FALSE())))</f>
        <v/>
      </c>
      <c r="AX259" s="100" t="str">
        <f aca="false">IF(ISBLANK($C259),"",IF($S259=Constants!$B$2,TRUE(),IF($S259=Constants!$B$3,FALSE(),FALSE())))</f>
        <v/>
      </c>
      <c r="AY259" s="100" t="str">
        <f aca="false">IF(ISBLANK($C259),"",IF($T259=Constants!$B$2,TRUE(),IF($T259=Constants!$B$3,FALSE(),FALSE())))</f>
        <v/>
      </c>
      <c r="AZ259" s="100" t="str">
        <f aca="false">IF(ISBLANK($C259),"",IF($U259=Constants!$B$2,TRUE(),IF($U259=Constants!$B$3,FALSE(),FALSE())))</f>
        <v/>
      </c>
      <c r="BA259" s="100" t="str">
        <f aca="false">IF(ISBLANK($C259),"",IF(OR($V259&amp;""="1",$V259&amp;""="2",$V259&amp;""="3",$V259&amp;""="4"),VALUE($V259&amp;""),IF($V259=Constants!$B$12,Constants!$B$12,"")))</f>
        <v/>
      </c>
      <c r="BB259" s="100" t="str">
        <f aca="false">IF(ISBLANK($C259),"",IF(ISBLANK($W259),0,IF(ISNUMBER($W259),IF(AND($W259&gt;=0,$W259&lt;=Constants!$B$21,$W259=INT($W259)),$W259,""),"")))</f>
        <v/>
      </c>
      <c r="BC259" s="100" t="str">
        <f aca="false">IF(ISBLANK($C259),"",IF(ISBLANK($X259),0,IF(ISNUMBER($X259),IF($X259&gt;=0,$X259,""),"")))</f>
        <v/>
      </c>
      <c r="BD259" s="100" t="str">
        <f aca="false">IF(ISBLANK($C259),"",IF($Y259=Constants!$B$2,TRUE(),IF($Y259=Constants!$B$3,FALSE(),TRUE())))</f>
        <v/>
      </c>
      <c r="BE259" s="100" t="str">
        <f aca="false">IF(ISBLANK($C259),"",IF($Z259=Constants!$B$2,TRUE(),IF($Z259=Constants!$B$3,FALSE(),FALSE())))</f>
        <v/>
      </c>
      <c r="BF259" s="100" t="str">
        <f aca="false">IF(ISBLANK($C259),"",IF(ISBLANK($AA259),0,IF(ISNUMBER($AA259),IF(AND($AA259&gt;=0,$AA259&lt;=Constants!$B$35,$AA259=INT($AA259)),$AA259,""),"")))</f>
        <v/>
      </c>
      <c r="BG259" s="100" t="str">
        <f aca="false">IF(ISBLANK($C259),"",IF($AB259=Constants!$B$2,TRUE(),IF($AB259=Constants!$B$3,FALSE(),TRUE())))</f>
        <v/>
      </c>
      <c r="BH259" s="100" t="str">
        <f aca="false">IF(ISBLANK($C259),"",IF($AC259=Constants!$B$2,TRUE(),IF($AC259=Constants!$B$3,FALSE(),TRUE())))</f>
        <v/>
      </c>
      <c r="BI259" s="100" t="str">
        <f aca="false">IF(ISBLANK($C259),"",IF($AD259=Constants!$B$2,TRUE(),IF($AD259=Constants!$B$3,FALSE(),TRUE())))</f>
        <v/>
      </c>
      <c r="BJ259" s="100" t="str">
        <f aca="false">IF(ISBLANK($C259),"",IF(ISNUMBER($AE259),IF($AE259&gt;=0,$AE259,""),""))</f>
        <v/>
      </c>
      <c r="BK259" s="100" t="str">
        <f aca="false">IF(ISBLANK($C259),"",IF($AF259=Constants!$B$2,TRUE(),IF($AF259=Constants!$B$3,FALSE(),FALSE())))</f>
        <v/>
      </c>
      <c r="BL259" s="99" t="str">
        <f aca="false">IF(ISBLANK($C259),"",IF($BK259,Constants!$B$7,IF(COUNTA($E259:$AE259)=0,Constants!$B$6,IF(OR(COUNTA($G259:$AE259)=0,NOT($AM259),$AS259),Constants!$B$5,IF(OR($CM259&lt;&gt;"",$CN259,$CO259,$CP259,$CQ259,$CR259,$CS259),Constants!$B$8,Constants!$B$4)))))</f>
        <v/>
      </c>
      <c r="BM259" s="100" t="str">
        <f aca="false">IF(ISBLANK($C259),"",IF($BL259&lt;&gt;Constants!$B$4,$BL259,IF(OR(NOT($AJ259),NOT($AL259),NOT($AT259)),Constants!$B$11,IF(OR(NOT($AR259),NOT($AU259),NOT($BI259),MAX($AN259,$AO259,$AP259)&gt;Constants!$B$30),Constants!$B$10,Constants!$B$9))))</f>
        <v/>
      </c>
      <c r="BN259" s="100" t="str">
        <f aca="false">IF($BL259&lt;&gt;Constants!$B$4,"",IF(NOT($AL259),0,MIN(Constants!$B$35,$BF259)))</f>
        <v/>
      </c>
      <c r="BO259" s="100" t="str">
        <f aca="false">IF($BL259&lt;&gt;Constants!$B$4,"",IF(NOT($AL259),0,IF($AW259,Constants!$B$18,IF($AV259,Constants!$B$17,0))))</f>
        <v/>
      </c>
      <c r="BP259" s="100" t="str">
        <f aca="false">IF($BL259&lt;&gt;Constants!$B$4,"",IF(NOT($AL259),0,Constants!$B$19*($AK259+$AX259+$AY259+$AZ259)))</f>
        <v/>
      </c>
      <c r="BQ259" s="100" t="str">
        <f aca="false">IF($BL259&lt;&gt;Constants!$B$4,"",IF(OR(NOT($AL259),NOT(ISNUMBER($BA259))),0,CHOOSE($BA259,Constants!$B$13,Constants!$B$14,Constants!$B$15,Constants!$B$16)))</f>
        <v/>
      </c>
      <c r="BR259" s="100" t="str">
        <f aca="false">IF($BL259&lt;&gt;Constants!$B$4,"",IF(NOT($AL259),0,Constants!$B$20*$BB259))</f>
        <v/>
      </c>
      <c r="BS259" s="100" t="str">
        <f aca="false">IF($BL259&lt;&gt;Constants!$B$4,"",IF(AND($AL259,$BD259,$BE259),Constants!$B$22,0))</f>
        <v/>
      </c>
      <c r="BT259" s="100" t="str">
        <f aca="false">IF($BL259&lt;&gt;Constants!$B$4,"",IF(OR(NOT($AL259),NOT($BD259)),0,IF($BJ259&gt;=2*$AH$9,0,Constants!$B$23*INT(ROUND(MIN($BJ259,$AH$9),6)))))</f>
        <v/>
      </c>
      <c r="BU259" s="100" t="str">
        <f aca="false">IF($BL259&lt;&gt;Constants!$B$4,"",IF(NOT($AL259),0,Constants!$B$24*INT(ROUND(MIN($BC259,$AH$9),6))))</f>
        <v/>
      </c>
      <c r="BV259" s="100" t="str">
        <f aca="false">IF($BL259&lt;&gt;Constants!$B$4,"",IF(AND($AL259,$BN259=0),Constants!$B$25,0))</f>
        <v/>
      </c>
      <c r="BW259" s="100" t="str">
        <f aca="false">IF($BL259&lt;&gt;Constants!$B$4,"",MIN(Constants!$B$29,MAX(0,Constants!$B$27*Constants!$B$28*INT(ROUND((Constants!$B$26-$AN259)/Constants!$B$28,6))))+MIN(Constants!$B$29,MAX(0,Constants!$B$27*Constants!$B$28*INT(ROUND((Constants!$B$26-$AO259)/Constants!$B$28,6))))+MIN(Constants!$B$29,MAX(0,Constants!$B$27*Constants!$B$28*INT(ROUND((Constants!$B$26-$AP259)/Constants!$B$28,6)))))</f>
        <v/>
      </c>
      <c r="BX259" s="100" t="str">
        <f aca="false">IF($BL259&lt;&gt;Constants!$B$4,"",IF(NOT($AL259),0,Constants!$B$31*INT(ROUND(MAX(0,MIN($BJ259,2*$AH$9)-$AH$9),6))))</f>
        <v/>
      </c>
      <c r="BY259" s="100" t="str">
        <f aca="false">IF($BL259&lt;&gt;Constants!$B$4,"",Constants!$B$32*(($AN259&gt;Constants!$B$26)+($AO259&gt;Constants!$B$26)+($AP259&gt;Constants!$B$26)))</f>
        <v/>
      </c>
      <c r="BZ259" s="100" t="str">
        <f aca="false">IF($BL259&lt;&gt;Constants!$B$4,"",IF(OR(NOT($AL259),$AQ259),0,Constants!$B$33))</f>
        <v/>
      </c>
      <c r="CA259" s="100" t="str">
        <f aca="false">IF($BL259&lt;&gt;Constants!$B$4,"",Constants!$B$34*$BN259)</f>
        <v/>
      </c>
      <c r="CB259" s="100" t="str">
        <f aca="false">IF($BL259&lt;&gt;Constants!$B$4,"",IF(OR(NOT($AL259),$BH259),0,Constants!$B$36))</f>
        <v/>
      </c>
      <c r="CC259" s="100" t="str">
        <f aca="false">IF($BL259&lt;&gt;Constants!$B$4,"",IF(OR(NOT($AL259),$BG259),0,Constants!$B$37))</f>
        <v/>
      </c>
      <c r="CD259" s="100" t="str">
        <f aca="false">IF($BL259&lt;&gt;Constants!$B$4,"",SUM($BX259:$CC259))</f>
        <v/>
      </c>
      <c r="CE259" s="100" t="str">
        <f aca="false">IF(ISBLANK($C259),"",IF($BL259&lt;&gt;Constants!$B$4,$BL259,SUM($BO259:$BW259)-$CD259))</f>
        <v/>
      </c>
      <c r="CF259" s="100" t="str">
        <f aca="false">IF(ISBLANK($C259),"",IF($BL259&lt;&gt;Constants!$B$4,$BL259,RANK($CE259,$CE$9:$CE$508)))</f>
        <v/>
      </c>
      <c r="CG259" s="100" t="str">
        <f aca="false">IF(ISBLANK($C259),"",IF($BL259&lt;&gt;Constants!$B$4,$BL259,COUNTIFS($BM$9:$BM$508,"&lt;"&amp;$BM259)+COUNTIFS($BM$9:$BM$508,$BM259,$CF$9:$CF$508,"&lt;"&amp;$CF259)+1))</f>
        <v/>
      </c>
      <c r="CH259" s="100" t="str">
        <f aca="false">IF(ISBLANK($C259),"",IF($BL259&lt;&gt;Constants!$B$4,$BL259,RANK($CD259,$CD$9:$CD$508,1)))</f>
        <v/>
      </c>
      <c r="CI259" s="100" t="str">
        <f aca="false">IF($BL259&lt;&gt;Constants!$B$4,"",$AN259+$AO259+$AP259)</f>
        <v/>
      </c>
      <c r="CJ259" s="100" t="str">
        <f aca="false">IF(ISBLANK($C259),"",IF($BL259&lt;&gt;Constants!$B$4,$BL259,RANK($CI259,$CI$9:$CI$508,1)))</f>
        <v/>
      </c>
      <c r="CK259" s="100" t="str">
        <f aca="false">IF(ISBLANK($C259),"",IF($BL259&lt;&gt;Constants!$B$4,$BL259,COUNTIFS($BM$9:$BM$508,"&lt;"&amp;$BM259)+COUNTIFS($BM$9:$BM$508,$BM259,$CF$9:$CF$508,"&lt;"&amp;$CF259)+COUNTIFS($BM$9:$BM$508,$BM259,$CF$9:$CF$508,$CF259,$CH$9:$CH$508,"&lt;"&amp;$CH259)+COUNTIFS($BM$9:$BM$508,$BM259,$CF$9:$CF$508,$CF259,$CH$9:$CH$508,$CH259,$CJ$9:$CJ$508,"&lt;"&amp;$CJ259)+1))</f>
        <v/>
      </c>
      <c r="CL259" s="100" t="str">
        <f aca="false">IF(ISBLANK($C259),"",IF($BL259&lt;&gt;Constants!$B$4,$BL259,$CG259-$CK259))</f>
        <v/>
      </c>
      <c r="CM259" s="100" t="str">
        <f aca="false">IF(ISBLANK($C259),"",IF(NOT($AL259),"",IF(ISBLANK($D$7),$CM$5,IF(NOT(ISNUMBER($D$7)),$CM$6,""))))</f>
        <v/>
      </c>
      <c r="CN259" s="100" t="str">
        <f aca="false">IF(ISBLANK($C259),"",OR($AN259="",$AO259="",$AP259=""))</f>
        <v/>
      </c>
      <c r="CO259" s="100" t="str">
        <f aca="false">IF(ISBLANK($C259),"",AND($AL259,$BA259=""))</f>
        <v/>
      </c>
      <c r="CP259" s="100" t="str">
        <f aca="false">IF(ISBLANK($C259),"",AND($AL259,$BB259=""))</f>
        <v/>
      </c>
      <c r="CQ259" s="100" t="str">
        <f aca="false">IF(ISBLANK($C259),"",AND($AL259,$BC259=""))</f>
        <v/>
      </c>
      <c r="CR259" s="100" t="str">
        <f aca="false">IF(ISBLANK($C259),"",AND($AL259,$BF259=""))</f>
        <v/>
      </c>
      <c r="CS259" s="100" t="str">
        <f aca="false">IF(ISBLANK($C259),"",AND($AL259,$BJ259=""))</f>
        <v/>
      </c>
      <c r="CT259" s="101"/>
      <c r="CU259" s="102"/>
      <c r="CV259" s="103" t="str">
        <f aca="false">IF(ISBLANK($C259),"",IF($BL259=Constants!$B$8,$CM259,""))</f>
        <v/>
      </c>
      <c r="CW259" s="102" t="str">
        <f aca="false">IF(ISBLANK($C259),"",IF($BL259&lt;&gt;Constants!$B$4,"",$BO259+$BP259))</f>
        <v/>
      </c>
      <c r="CX259" s="104" t="str">
        <f aca="false">IF(ISBLANK($C259),"",IF($BL259&lt;&gt;Constants!$B$4,"",$BQ259+$BR259+$BS259))</f>
        <v/>
      </c>
      <c r="CY259" s="104" t="str">
        <f aca="false">IF(ISBLANK($C259),"",IF($BL259&lt;&gt;Constants!$B$4,"",$BT259))</f>
        <v/>
      </c>
      <c r="CZ259" s="104" t="str">
        <f aca="false">IF(ISBLANK($C259),"",IF($BL259&lt;&gt;Constants!$B$4,"",$BU259+$BV259))</f>
        <v/>
      </c>
      <c r="DA259" s="104" t="str">
        <f aca="false">IF(ISBLANK($C259),"",IF($BL259&lt;&gt;Constants!$B$4,"",$BW259))</f>
        <v/>
      </c>
      <c r="DB259" s="104" t="str">
        <f aca="false">IF(ISBLANK($C259),"",IF($BL259&lt;&gt;Constants!$B$4,"",-$CD259))</f>
        <v/>
      </c>
      <c r="DC259" s="103" t="str">
        <f aca="false">IF(ISBLANK($C259),"",$CE259)</f>
        <v/>
      </c>
      <c r="DD259" s="105" t="str">
        <f aca="false">IF(ISBLANK($C259),"",$BM259)</f>
        <v/>
      </c>
      <c r="DE259" s="104" t="str">
        <f aca="false">IF(ISBLANK($C259),"",$CL259)</f>
        <v/>
      </c>
      <c r="DF259" s="104" t="str">
        <f aca="false">IF(ISBLANK($C259),"",$CK259)</f>
        <v/>
      </c>
      <c r="DG259" s="106" t="str">
        <f aca="false">IF(ISBLANK($C259),"",IF($DF259=Constants!$B$7,COUNTA($C$9:$C$508)+2,IF($DF259=Constants!$B$6,COUNTA($C$9:$C$508)+1,IF($DF259=Constants!$B$5,COUNTA($C$9:$C$508),$DF259))))</f>
        <v/>
      </c>
      <c r="DH259" s="7"/>
      <c r="DI259" s="107" t="n">
        <f aca="false">IF(OR(ISNUMBER($DF259),$DF259=Constants!$B$7,$DF259=Constants!$B$5,$DF259=Constants!$B$6),1,0)</f>
        <v>0</v>
      </c>
      <c r="DJ259" s="107" t="n">
        <v>251</v>
      </c>
      <c r="DK259" s="107" t="str">
        <f aca="false">IF(ISBLANK($C259),"",IF(ISNUMBER($DG259),$DG259+ROW($B259)/1000,""))</f>
        <v/>
      </c>
      <c r="DL259" s="107" t="str">
        <f aca="false">IF(ISNUMBER($DK259),RANK($DK259,$DK$9:$DK$508,1),"")</f>
        <v/>
      </c>
      <c r="DM259" s="107" t="str">
        <f aca="false">IF(ISBLANK($C259),"",$B259)</f>
        <v/>
      </c>
      <c r="DN259" s="107" t="str">
        <f aca="false">IF(ISBLANK($C259),"",$C259)</f>
        <v/>
      </c>
      <c r="DO259" s="107" t="str">
        <f aca="false">IF(ISBLANK($C259),"",$D259)</f>
        <v/>
      </c>
      <c r="DP259" s="108" t="str">
        <f aca="false">$DD259</f>
        <v/>
      </c>
      <c r="DQ259" s="109" t="str">
        <f aca="false">$DC259</f>
        <v/>
      </c>
      <c r="DR259" s="107" t="str">
        <f aca="false">IF(ISBLANK($C259),"",$DF259)</f>
        <v/>
      </c>
      <c r="DS259" s="110" t="str">
        <f aca="false">IF($DJ259&gt;$DI$8,"",VLOOKUP($DJ259,$DL$9:$DR$508,7,FALSE()))</f>
        <v/>
      </c>
      <c r="DT259" s="111" t="str">
        <f aca="false">IF($DJ259&gt;$DI$8,"",VLOOKUP($DJ259,$DL$9:$DR$508,2,FALSE()))</f>
        <v/>
      </c>
      <c r="DU259" s="111" t="str">
        <f aca="false">IF($DJ259&gt;$DI$8,"",VLOOKUP($DJ259,$DL$9:$DR$508,3,FALSE()))</f>
        <v/>
      </c>
      <c r="DV259" s="111" t="str">
        <f aca="false">IF($DJ259&gt;$DI$8,"",VLOOKUP($DJ259,$DL$9:$DR$508,4,FALSE()))</f>
        <v/>
      </c>
      <c r="DW259" s="111" t="str">
        <f aca="false">IF($DJ259&gt;$DI$8,"",VLOOKUP($DJ259,$DL$9:$DR$508,5,FALSE()))</f>
        <v/>
      </c>
      <c r="DX259" s="112" t="str">
        <f aca="false">IF($DJ259&gt;$DI$8,"",VLOOKUP($DJ259,$DL$9:$DR$508,6,FALSE()))</f>
        <v/>
      </c>
      <c r="DY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130"/>
      <c r="N260" s="130"/>
      <c r="O260" s="135"/>
      <c r="P260" s="135"/>
      <c r="Q260" s="130"/>
      <c r="R260" s="130"/>
      <c r="S260" s="130"/>
      <c r="T260" s="130"/>
      <c r="U260" s="135"/>
      <c r="V260" s="130"/>
      <c r="W260" s="96"/>
      <c r="X260" s="130"/>
      <c r="Y260" s="130"/>
      <c r="Z260" s="96"/>
      <c r="AA260" s="96"/>
      <c r="AB260" s="130"/>
      <c r="AC260" s="130"/>
      <c r="AD260" s="130"/>
      <c r="AE260" s="97"/>
      <c r="AF260" s="130"/>
      <c r="AG260" s="99"/>
      <c r="AH260" s="100"/>
      <c r="AI260" s="100"/>
      <c r="AJ260" s="100" t="str">
        <f aca="false">IF(ISBLANK($C260),"",IF($E260=Constants!$B$2,TRUE(),IF($E260=Constants!$B$3,FALSE(),TRUE())))</f>
        <v/>
      </c>
      <c r="AK260" s="100" t="str">
        <f aca="false">IF(ISBLANK($C260),"",IF($F260=Constants!$B$2,TRUE(),IF($F260=Constants!$B$3,FALSE(),FALSE())))</f>
        <v/>
      </c>
      <c r="AL260" s="100" t="str">
        <f aca="false">IF(ISBLANK($C260),"",IF($G260=Constants!$B$2,TRUE(),IF($G260=Constants!$B$3,FALSE(),TRUE())))</f>
        <v/>
      </c>
      <c r="AM260" s="100" t="str">
        <f aca="false">IF(ISBLANK($C260),"",IF($H260=Constants!$B$2,TRUE(),IF($H260=Constants!$B$3,FALSE(),TRUE())))</f>
        <v/>
      </c>
      <c r="AN260" s="100" t="str">
        <f aca="false">IF(ISBLANK($C260),"",IF(ISNUMBER($I260),IF($I260&gt;=0,$I260,""),""))</f>
        <v/>
      </c>
      <c r="AO260" s="100" t="str">
        <f aca="false">IF(ISBLANK($C260),"",IF(ISNUMBER($J260),IF($J260&gt;=0,$J260,""),""))</f>
        <v/>
      </c>
      <c r="AP260" s="100" t="str">
        <f aca="false">IF(ISBLANK($C260),"",IF(ISNUMBER($K260),IF($K260&gt;=0,$K260,""),""))</f>
        <v/>
      </c>
      <c r="AQ260" s="100" t="str">
        <f aca="false">IF(ISBLANK($C260),"",IF($L260=Constants!$B$2,TRUE(),IF($L260=Constants!$B$3,FALSE(),TRUE())))</f>
        <v/>
      </c>
      <c r="AR260" s="100" t="str">
        <f aca="false">IF(ISBLANK($C260),"",IF($M260=Constants!$B$2,TRUE(),IF($M260=Constants!$B$3,FALSE(),TRUE())))</f>
        <v/>
      </c>
      <c r="AS260" s="100" t="str">
        <f aca="false">IF(ISBLANK($C260),"",IF($N260=Constants!$B$2,TRUE(),IF($N260=Constants!$B$3,FALSE(),FALSE())))</f>
        <v/>
      </c>
      <c r="AT260" s="100" t="str">
        <f aca="false">IF(ISBLANK($C260),"",IF($O260=Constants!$B$2,TRUE(),IF($O260=Constants!$B$3,FALSE(),TRUE())))</f>
        <v/>
      </c>
      <c r="AU260" s="100" t="str">
        <f aca="false">IF(ISBLANK($C260),"",IF($P260=Constants!$B$2,TRUE(),IF($P260=Constants!$B$3,FALSE(),TRUE())))</f>
        <v/>
      </c>
      <c r="AV260" s="100" t="str">
        <f aca="false">IF(ISBLANK($C260),"",IF($Q260=Constants!$B$2,TRUE(),IF($Q260=Constants!$B$3,FALSE(),FALSE())))</f>
        <v/>
      </c>
      <c r="AW260" s="100" t="str">
        <f aca="false">IF(ISBLANK($C260),"",IF($R260=Constants!$B$2,TRUE(),IF($R260=Constants!$B$3,FALSE(),FALSE())))</f>
        <v/>
      </c>
      <c r="AX260" s="100" t="str">
        <f aca="false">IF(ISBLANK($C260),"",IF($S260=Constants!$B$2,TRUE(),IF($S260=Constants!$B$3,FALSE(),FALSE())))</f>
        <v/>
      </c>
      <c r="AY260" s="100" t="str">
        <f aca="false">IF(ISBLANK($C260),"",IF($T260=Constants!$B$2,TRUE(),IF($T260=Constants!$B$3,FALSE(),FALSE())))</f>
        <v/>
      </c>
      <c r="AZ260" s="100" t="str">
        <f aca="false">IF(ISBLANK($C260),"",IF($U260=Constants!$B$2,TRUE(),IF($U260=Constants!$B$3,FALSE(),FALSE())))</f>
        <v/>
      </c>
      <c r="BA260" s="100" t="str">
        <f aca="false">IF(ISBLANK($C260),"",IF(OR($V260&amp;""="1",$V260&amp;""="2",$V260&amp;""="3",$V260&amp;""="4"),VALUE($V260&amp;""),IF($V260=Constants!$B$12,Constants!$B$12,"")))</f>
        <v/>
      </c>
      <c r="BB260" s="100" t="str">
        <f aca="false">IF(ISBLANK($C260),"",IF(ISBLANK($W260),0,IF(ISNUMBER($W260),IF(AND($W260&gt;=0,$W260&lt;=Constants!$B$21,$W260=INT($W260)),$W260,""),"")))</f>
        <v/>
      </c>
      <c r="BC260" s="100" t="str">
        <f aca="false">IF(ISBLANK($C260),"",IF(ISBLANK($X260),0,IF(ISNUMBER($X260),IF($X260&gt;=0,$X260,""),"")))</f>
        <v/>
      </c>
      <c r="BD260" s="100" t="str">
        <f aca="false">IF(ISBLANK($C260),"",IF($Y260=Constants!$B$2,TRUE(),IF($Y260=Constants!$B$3,FALSE(),TRUE())))</f>
        <v/>
      </c>
      <c r="BE260" s="100" t="str">
        <f aca="false">IF(ISBLANK($C260),"",IF($Z260=Constants!$B$2,TRUE(),IF($Z260=Constants!$B$3,FALSE(),FALSE())))</f>
        <v/>
      </c>
      <c r="BF260" s="100" t="str">
        <f aca="false">IF(ISBLANK($C260),"",IF(ISBLANK($AA260),0,IF(ISNUMBER($AA260),IF(AND($AA260&gt;=0,$AA260&lt;=Constants!$B$35,$AA260=INT($AA260)),$AA260,""),"")))</f>
        <v/>
      </c>
      <c r="BG260" s="100" t="str">
        <f aca="false">IF(ISBLANK($C260),"",IF($AB260=Constants!$B$2,TRUE(),IF($AB260=Constants!$B$3,FALSE(),TRUE())))</f>
        <v/>
      </c>
      <c r="BH260" s="100" t="str">
        <f aca="false">IF(ISBLANK($C260),"",IF($AC260=Constants!$B$2,TRUE(),IF($AC260=Constants!$B$3,FALSE(),TRUE())))</f>
        <v/>
      </c>
      <c r="BI260" s="100" t="str">
        <f aca="false">IF(ISBLANK($C260),"",IF($AD260=Constants!$B$2,TRUE(),IF($AD260=Constants!$B$3,FALSE(),TRUE())))</f>
        <v/>
      </c>
      <c r="BJ260" s="100" t="str">
        <f aca="false">IF(ISBLANK($C260),"",IF(ISNUMBER($AE260),IF($AE260&gt;=0,$AE260,""),""))</f>
        <v/>
      </c>
      <c r="BK260" s="100" t="str">
        <f aca="false">IF(ISBLANK($C260),"",IF($AF260=Constants!$B$2,TRUE(),IF($AF260=Constants!$B$3,FALSE(),FALSE())))</f>
        <v/>
      </c>
      <c r="BL260" s="99" t="str">
        <f aca="false">IF(ISBLANK($C260),"",IF($BK260,Constants!$B$7,IF(COUNTA($E260:$AE260)=0,Constants!$B$6,IF(OR(COUNTA($G260:$AE260)=0,NOT($AM260),$AS260),Constants!$B$5,IF(OR($CM260&lt;&gt;"",$CN260,$CO260,$CP260,$CQ260,$CR260,$CS260),Constants!$B$8,Constants!$B$4)))))</f>
        <v/>
      </c>
      <c r="BM260" s="100" t="str">
        <f aca="false">IF(ISBLANK($C260),"",IF($BL260&lt;&gt;Constants!$B$4,$BL260,IF(OR(NOT($AJ260),NOT($AL260),NOT($AT260)),Constants!$B$11,IF(OR(NOT($AR260),NOT($AU260),NOT($BI260),MAX($AN260,$AO260,$AP260)&gt;Constants!$B$30),Constants!$B$10,Constants!$B$9))))</f>
        <v/>
      </c>
      <c r="BN260" s="100" t="str">
        <f aca="false">IF($BL260&lt;&gt;Constants!$B$4,"",IF(NOT($AL260),0,MIN(Constants!$B$35,$BF260)))</f>
        <v/>
      </c>
      <c r="BO260" s="100" t="str">
        <f aca="false">IF($BL260&lt;&gt;Constants!$B$4,"",IF(NOT($AL260),0,IF($AW260,Constants!$B$18,IF($AV260,Constants!$B$17,0))))</f>
        <v/>
      </c>
      <c r="BP260" s="100" t="str">
        <f aca="false">IF($BL260&lt;&gt;Constants!$B$4,"",IF(NOT($AL260),0,Constants!$B$19*($AK260+$AX260+$AY260+$AZ260)))</f>
        <v/>
      </c>
      <c r="BQ260" s="100" t="str">
        <f aca="false">IF($BL260&lt;&gt;Constants!$B$4,"",IF(OR(NOT($AL260),NOT(ISNUMBER($BA260))),0,CHOOSE($BA260,Constants!$B$13,Constants!$B$14,Constants!$B$15,Constants!$B$16)))</f>
        <v/>
      </c>
      <c r="BR260" s="100" t="str">
        <f aca="false">IF($BL260&lt;&gt;Constants!$B$4,"",IF(NOT($AL260),0,Constants!$B$20*$BB260))</f>
        <v/>
      </c>
      <c r="BS260" s="100" t="str">
        <f aca="false">IF($BL260&lt;&gt;Constants!$B$4,"",IF(AND($AL260,$BD260,$BE260),Constants!$B$22,0))</f>
        <v/>
      </c>
      <c r="BT260" s="100" t="str">
        <f aca="false">IF($BL260&lt;&gt;Constants!$B$4,"",IF(OR(NOT($AL260),NOT($BD260)),0,IF($BJ260&gt;=2*$AH$9,0,Constants!$B$23*INT(ROUND(MIN($BJ260,$AH$9),6)))))</f>
        <v/>
      </c>
      <c r="BU260" s="100" t="str">
        <f aca="false">IF($BL260&lt;&gt;Constants!$B$4,"",IF(NOT($AL260),0,Constants!$B$24*INT(ROUND(MIN($BC260,$AH$9),6))))</f>
        <v/>
      </c>
      <c r="BV260" s="100" t="str">
        <f aca="false">IF($BL260&lt;&gt;Constants!$B$4,"",IF(AND($AL260,$BN260=0),Constants!$B$25,0))</f>
        <v/>
      </c>
      <c r="BW260" s="100" t="str">
        <f aca="false">IF($BL260&lt;&gt;Constants!$B$4,"",MIN(Constants!$B$29,MAX(0,Constants!$B$27*Constants!$B$28*INT(ROUND((Constants!$B$26-$AN260)/Constants!$B$28,6))))+MIN(Constants!$B$29,MAX(0,Constants!$B$27*Constants!$B$28*INT(ROUND((Constants!$B$26-$AO260)/Constants!$B$28,6))))+MIN(Constants!$B$29,MAX(0,Constants!$B$27*Constants!$B$28*INT(ROUND((Constants!$B$26-$AP260)/Constants!$B$28,6)))))</f>
        <v/>
      </c>
      <c r="BX260" s="100" t="str">
        <f aca="false">IF($BL260&lt;&gt;Constants!$B$4,"",IF(NOT($AL260),0,Constants!$B$31*INT(ROUND(MAX(0,MIN($BJ260,2*$AH$9)-$AH$9),6))))</f>
        <v/>
      </c>
      <c r="BY260" s="100" t="str">
        <f aca="false">IF($BL260&lt;&gt;Constants!$B$4,"",Constants!$B$32*(($AN260&gt;Constants!$B$26)+($AO260&gt;Constants!$B$26)+($AP260&gt;Constants!$B$26)))</f>
        <v/>
      </c>
      <c r="BZ260" s="100" t="str">
        <f aca="false">IF($BL260&lt;&gt;Constants!$B$4,"",IF(OR(NOT($AL260),$AQ260),0,Constants!$B$33))</f>
        <v/>
      </c>
      <c r="CA260" s="100" t="str">
        <f aca="false">IF($BL260&lt;&gt;Constants!$B$4,"",Constants!$B$34*$BN260)</f>
        <v/>
      </c>
      <c r="CB260" s="100" t="str">
        <f aca="false">IF($BL260&lt;&gt;Constants!$B$4,"",IF(OR(NOT($AL260),$BH260),0,Constants!$B$36))</f>
        <v/>
      </c>
      <c r="CC260" s="100" t="str">
        <f aca="false">IF($BL260&lt;&gt;Constants!$B$4,"",IF(OR(NOT($AL260),$BG260),0,Constants!$B$37))</f>
        <v/>
      </c>
      <c r="CD260" s="100" t="str">
        <f aca="false">IF($BL260&lt;&gt;Constants!$B$4,"",SUM($BX260:$CC260))</f>
        <v/>
      </c>
      <c r="CE260" s="100" t="str">
        <f aca="false">IF(ISBLANK($C260),"",IF($BL260&lt;&gt;Constants!$B$4,$BL260,SUM($BO260:$BW260)-$CD260))</f>
        <v/>
      </c>
      <c r="CF260" s="100" t="str">
        <f aca="false">IF(ISBLANK($C260),"",IF($BL260&lt;&gt;Constants!$B$4,$BL260,RANK($CE260,$CE$9:$CE$508)))</f>
        <v/>
      </c>
      <c r="CG260" s="100" t="str">
        <f aca="false">IF(ISBLANK($C260),"",IF($BL260&lt;&gt;Constants!$B$4,$BL260,COUNTIFS($BM$9:$BM$508,"&lt;"&amp;$BM260)+COUNTIFS($BM$9:$BM$508,$BM260,$CF$9:$CF$508,"&lt;"&amp;$CF260)+1))</f>
        <v/>
      </c>
      <c r="CH260" s="100" t="str">
        <f aca="false">IF(ISBLANK($C260),"",IF($BL260&lt;&gt;Constants!$B$4,$BL260,RANK($CD260,$CD$9:$CD$508,1)))</f>
        <v/>
      </c>
      <c r="CI260" s="100" t="str">
        <f aca="false">IF($BL260&lt;&gt;Constants!$B$4,"",$AN260+$AO260+$AP260)</f>
        <v/>
      </c>
      <c r="CJ260" s="100" t="str">
        <f aca="false">IF(ISBLANK($C260),"",IF($BL260&lt;&gt;Constants!$B$4,$BL260,RANK($CI260,$CI$9:$CI$508,1)))</f>
        <v/>
      </c>
      <c r="CK260" s="100" t="str">
        <f aca="false">IF(ISBLANK($C260),"",IF($BL260&lt;&gt;Constants!$B$4,$BL260,COUNTIFS($BM$9:$BM$508,"&lt;"&amp;$BM260)+COUNTIFS($BM$9:$BM$508,$BM260,$CF$9:$CF$508,"&lt;"&amp;$CF260)+COUNTIFS($BM$9:$BM$508,$BM260,$CF$9:$CF$508,$CF260,$CH$9:$CH$508,"&lt;"&amp;$CH260)+COUNTIFS($BM$9:$BM$508,$BM260,$CF$9:$CF$508,$CF260,$CH$9:$CH$508,$CH260,$CJ$9:$CJ$508,"&lt;"&amp;$CJ260)+1))</f>
        <v/>
      </c>
      <c r="CL260" s="100" t="str">
        <f aca="false">IF(ISBLANK($C260),"",IF($BL260&lt;&gt;Constants!$B$4,$BL260,$CG260-$CK260))</f>
        <v/>
      </c>
      <c r="CM260" s="100" t="str">
        <f aca="false">IF(ISBLANK($C260),"",IF(NOT($AL260),"",IF(ISBLANK($D$7),$CM$5,IF(NOT(ISNUMBER($D$7)),$CM$6,""))))</f>
        <v/>
      </c>
      <c r="CN260" s="100" t="str">
        <f aca="false">IF(ISBLANK($C260),"",OR($AN260="",$AO260="",$AP260=""))</f>
        <v/>
      </c>
      <c r="CO260" s="100" t="str">
        <f aca="false">IF(ISBLANK($C260),"",AND($AL260,$BA260=""))</f>
        <v/>
      </c>
      <c r="CP260" s="100" t="str">
        <f aca="false">IF(ISBLANK($C260),"",AND($AL260,$BB260=""))</f>
        <v/>
      </c>
      <c r="CQ260" s="100" t="str">
        <f aca="false">IF(ISBLANK($C260),"",AND($AL260,$BC260=""))</f>
        <v/>
      </c>
      <c r="CR260" s="100" t="str">
        <f aca="false">IF(ISBLANK($C260),"",AND($AL260,$BF260=""))</f>
        <v/>
      </c>
      <c r="CS260" s="100" t="str">
        <f aca="false">IF(ISBLANK($C260),"",AND($AL260,$BJ260=""))</f>
        <v/>
      </c>
      <c r="CT260" s="101"/>
      <c r="CU260" s="102"/>
      <c r="CV260" s="103" t="str">
        <f aca="false">IF(ISBLANK($C260),"",IF($BL260=Constants!$B$8,$CM260,""))</f>
        <v/>
      </c>
      <c r="CW260" s="102" t="str">
        <f aca="false">IF(ISBLANK($C260),"",IF($BL260&lt;&gt;Constants!$B$4,"",$BO260+$BP260))</f>
        <v/>
      </c>
      <c r="CX260" s="104" t="str">
        <f aca="false">IF(ISBLANK($C260),"",IF($BL260&lt;&gt;Constants!$B$4,"",$BQ260+$BR260+$BS260))</f>
        <v/>
      </c>
      <c r="CY260" s="104" t="str">
        <f aca="false">IF(ISBLANK($C260),"",IF($BL260&lt;&gt;Constants!$B$4,"",$BT260))</f>
        <v/>
      </c>
      <c r="CZ260" s="104" t="str">
        <f aca="false">IF(ISBLANK($C260),"",IF($BL260&lt;&gt;Constants!$B$4,"",$BU260+$BV260))</f>
        <v/>
      </c>
      <c r="DA260" s="104" t="str">
        <f aca="false">IF(ISBLANK($C260),"",IF($BL260&lt;&gt;Constants!$B$4,"",$BW260))</f>
        <v/>
      </c>
      <c r="DB260" s="104" t="str">
        <f aca="false">IF(ISBLANK($C260),"",IF($BL260&lt;&gt;Constants!$B$4,"",-$CD260))</f>
        <v/>
      </c>
      <c r="DC260" s="103" t="str">
        <f aca="false">IF(ISBLANK($C260),"",$CE260)</f>
        <v/>
      </c>
      <c r="DD260" s="105" t="str">
        <f aca="false">IF(ISBLANK($C260),"",$BM260)</f>
        <v/>
      </c>
      <c r="DE260" s="104" t="str">
        <f aca="false">IF(ISBLANK($C260),"",$CL260)</f>
        <v/>
      </c>
      <c r="DF260" s="104" t="str">
        <f aca="false">IF(ISBLANK($C260),"",$CK260)</f>
        <v/>
      </c>
      <c r="DG260" s="106" t="str">
        <f aca="false">IF(ISBLANK($C260),"",IF($DF260=Constants!$B$7,COUNTA($C$9:$C$508)+2,IF($DF260=Constants!$B$6,COUNTA($C$9:$C$508)+1,IF($DF260=Constants!$B$5,COUNTA($C$9:$C$508),$DF260))))</f>
        <v/>
      </c>
      <c r="DH260" s="7"/>
      <c r="DI260" s="107" t="n">
        <f aca="false">IF(OR(ISNUMBER($DF260),$DF260=Constants!$B$7,$DF260=Constants!$B$5,$DF260=Constants!$B$6),1,0)</f>
        <v>0</v>
      </c>
      <c r="DJ260" s="107" t="n">
        <v>252</v>
      </c>
      <c r="DK260" s="107" t="str">
        <f aca="false">IF(ISBLANK($C260),"",IF(ISNUMBER($DG260),$DG260+ROW($B260)/1000,""))</f>
        <v/>
      </c>
      <c r="DL260" s="107" t="str">
        <f aca="false">IF(ISNUMBER($DK260),RANK($DK260,$DK$9:$DK$508,1),"")</f>
        <v/>
      </c>
      <c r="DM260" s="107" t="str">
        <f aca="false">IF(ISBLANK($C260),"",$B260)</f>
        <v/>
      </c>
      <c r="DN260" s="107" t="str">
        <f aca="false">IF(ISBLANK($C260),"",$C260)</f>
        <v/>
      </c>
      <c r="DO260" s="107" t="str">
        <f aca="false">IF(ISBLANK($C260),"",$D260)</f>
        <v/>
      </c>
      <c r="DP260" s="108" t="str">
        <f aca="false">$DD260</f>
        <v/>
      </c>
      <c r="DQ260" s="109" t="str">
        <f aca="false">$DC260</f>
        <v/>
      </c>
      <c r="DR260" s="107" t="str">
        <f aca="false">IF(ISBLANK($C260),"",$DF260)</f>
        <v/>
      </c>
      <c r="DS260" s="110" t="str">
        <f aca="false">IF($DJ260&gt;$DI$8,"",VLOOKUP($DJ260,$DL$9:$DR$508,7,FALSE()))</f>
        <v/>
      </c>
      <c r="DT260" s="111" t="str">
        <f aca="false">IF($DJ260&gt;$DI$8,"",VLOOKUP($DJ260,$DL$9:$DR$508,2,FALSE()))</f>
        <v/>
      </c>
      <c r="DU260" s="111" t="str">
        <f aca="false">IF($DJ260&gt;$DI$8,"",VLOOKUP($DJ260,$DL$9:$DR$508,3,FALSE()))</f>
        <v/>
      </c>
      <c r="DV260" s="111" t="str">
        <f aca="false">IF($DJ260&gt;$DI$8,"",VLOOKUP($DJ260,$DL$9:$DR$508,4,FALSE()))</f>
        <v/>
      </c>
      <c r="DW260" s="111" t="str">
        <f aca="false">IF($DJ260&gt;$DI$8,"",VLOOKUP($DJ260,$DL$9:$DR$508,5,FALSE()))</f>
        <v/>
      </c>
      <c r="DX260" s="112" t="str">
        <f aca="false">IF($DJ260&gt;$DI$8,"",VLOOKUP($DJ260,$DL$9:$DR$508,6,FALSE()))</f>
        <v/>
      </c>
      <c r="DY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88"/>
      <c r="N261" s="88"/>
      <c r="O261" s="134"/>
      <c r="P261" s="134"/>
      <c r="Q261" s="88"/>
      <c r="R261" s="88"/>
      <c r="S261" s="88"/>
      <c r="T261" s="88"/>
      <c r="U261" s="134"/>
      <c r="V261" s="88"/>
      <c r="W261" s="70"/>
      <c r="X261" s="88"/>
      <c r="Y261" s="88"/>
      <c r="Z261" s="70"/>
      <c r="AA261" s="70"/>
      <c r="AB261" s="88"/>
      <c r="AC261" s="88"/>
      <c r="AD261" s="88"/>
      <c r="AE261" s="71"/>
      <c r="AF261" s="88"/>
      <c r="AG261" s="73"/>
      <c r="AH261" s="74"/>
      <c r="AI261" s="74"/>
      <c r="AJ261" s="74" t="str">
        <f aca="false">IF(ISBLANK($C261),"",IF($E261=Constants!$B$2,TRUE(),IF($E261=Constants!$B$3,FALSE(),TRUE())))</f>
        <v/>
      </c>
      <c r="AK261" s="74" t="str">
        <f aca="false">IF(ISBLANK($C261),"",IF($F261=Constants!$B$2,TRUE(),IF($F261=Constants!$B$3,FALSE(),FALSE())))</f>
        <v/>
      </c>
      <c r="AL261" s="74" t="str">
        <f aca="false">IF(ISBLANK($C261),"",IF($G261=Constants!$B$2,TRUE(),IF($G261=Constants!$B$3,FALSE(),TRUE())))</f>
        <v/>
      </c>
      <c r="AM261" s="74" t="str">
        <f aca="false">IF(ISBLANK($C261),"",IF($H261=Constants!$B$2,TRUE(),IF($H261=Constants!$B$3,FALSE(),TRUE())))</f>
        <v/>
      </c>
      <c r="AN261" s="74" t="str">
        <f aca="false">IF(ISBLANK($C261),"",IF(ISNUMBER($I261),IF($I261&gt;=0,$I261,""),""))</f>
        <v/>
      </c>
      <c r="AO261" s="74" t="str">
        <f aca="false">IF(ISBLANK($C261),"",IF(ISNUMBER($J261),IF($J261&gt;=0,$J261,""),""))</f>
        <v/>
      </c>
      <c r="AP261" s="74" t="str">
        <f aca="false">IF(ISBLANK($C261),"",IF(ISNUMBER($K261),IF($K261&gt;=0,$K261,""),""))</f>
        <v/>
      </c>
      <c r="AQ261" s="74" t="str">
        <f aca="false">IF(ISBLANK($C261),"",IF($L261=Constants!$B$2,TRUE(),IF($L261=Constants!$B$3,FALSE(),TRUE())))</f>
        <v/>
      </c>
      <c r="AR261" s="74" t="str">
        <f aca="false">IF(ISBLANK($C261),"",IF($M261=Constants!$B$2,TRUE(),IF($M261=Constants!$B$3,FALSE(),TRUE())))</f>
        <v/>
      </c>
      <c r="AS261" s="74" t="str">
        <f aca="false">IF(ISBLANK($C261),"",IF($N261=Constants!$B$2,TRUE(),IF($N261=Constants!$B$3,FALSE(),FALSE())))</f>
        <v/>
      </c>
      <c r="AT261" s="74" t="str">
        <f aca="false">IF(ISBLANK($C261),"",IF($O261=Constants!$B$2,TRUE(),IF($O261=Constants!$B$3,FALSE(),TRUE())))</f>
        <v/>
      </c>
      <c r="AU261" s="74" t="str">
        <f aca="false">IF(ISBLANK($C261),"",IF($P261=Constants!$B$2,TRUE(),IF($P261=Constants!$B$3,FALSE(),TRUE())))</f>
        <v/>
      </c>
      <c r="AV261" s="74" t="str">
        <f aca="false">IF(ISBLANK($C261),"",IF($Q261=Constants!$B$2,TRUE(),IF($Q261=Constants!$B$3,FALSE(),FALSE())))</f>
        <v/>
      </c>
      <c r="AW261" s="74" t="str">
        <f aca="false">IF(ISBLANK($C261),"",IF($R261=Constants!$B$2,TRUE(),IF($R261=Constants!$B$3,FALSE(),FALSE())))</f>
        <v/>
      </c>
      <c r="AX261" s="74" t="str">
        <f aca="false">IF(ISBLANK($C261),"",IF($S261=Constants!$B$2,TRUE(),IF($S261=Constants!$B$3,FALSE(),FALSE())))</f>
        <v/>
      </c>
      <c r="AY261" s="74" t="str">
        <f aca="false">IF(ISBLANK($C261),"",IF($T261=Constants!$B$2,TRUE(),IF($T261=Constants!$B$3,FALSE(),FALSE())))</f>
        <v/>
      </c>
      <c r="AZ261" s="74" t="str">
        <f aca="false">IF(ISBLANK($C261),"",IF($U261=Constants!$B$2,TRUE(),IF($U261=Constants!$B$3,FALSE(),FALSE())))</f>
        <v/>
      </c>
      <c r="BA261" s="74" t="str">
        <f aca="false">IF(ISBLANK($C261),"",IF(OR($V261&amp;""="1",$V261&amp;""="2",$V261&amp;""="3",$V261&amp;""="4"),VALUE($V261&amp;""),IF($V261=Constants!$B$12,Constants!$B$12,"")))</f>
        <v/>
      </c>
      <c r="BB261" s="74" t="str">
        <f aca="false">IF(ISBLANK($C261),"",IF(ISBLANK($W261),0,IF(ISNUMBER($W261),IF(AND($W261&gt;=0,$W261&lt;=Constants!$B$21,$W261=INT($W261)),$W261,""),"")))</f>
        <v/>
      </c>
      <c r="BC261" s="74" t="str">
        <f aca="false">IF(ISBLANK($C261),"",IF(ISBLANK($X261),0,IF(ISNUMBER($X261),IF($X261&gt;=0,$X261,""),"")))</f>
        <v/>
      </c>
      <c r="BD261" s="74" t="str">
        <f aca="false">IF(ISBLANK($C261),"",IF($Y261=Constants!$B$2,TRUE(),IF($Y261=Constants!$B$3,FALSE(),TRUE())))</f>
        <v/>
      </c>
      <c r="BE261" s="74" t="str">
        <f aca="false">IF(ISBLANK($C261),"",IF($Z261=Constants!$B$2,TRUE(),IF($Z261=Constants!$B$3,FALSE(),FALSE())))</f>
        <v/>
      </c>
      <c r="BF261" s="74" t="str">
        <f aca="false">IF(ISBLANK($C261),"",IF(ISBLANK($AA261),0,IF(ISNUMBER($AA261),IF(AND($AA261&gt;=0,$AA261&lt;=Constants!$B$35,$AA261=INT($AA261)),$AA261,""),"")))</f>
        <v/>
      </c>
      <c r="BG261" s="74" t="str">
        <f aca="false">IF(ISBLANK($C261),"",IF($AB261=Constants!$B$2,TRUE(),IF($AB261=Constants!$B$3,FALSE(),TRUE())))</f>
        <v/>
      </c>
      <c r="BH261" s="74" t="str">
        <f aca="false">IF(ISBLANK($C261),"",IF($AC261=Constants!$B$2,TRUE(),IF($AC261=Constants!$B$3,FALSE(),TRUE())))</f>
        <v/>
      </c>
      <c r="BI261" s="74" t="str">
        <f aca="false">IF(ISBLANK($C261),"",IF($AD261=Constants!$B$2,TRUE(),IF($AD261=Constants!$B$3,FALSE(),TRUE())))</f>
        <v/>
      </c>
      <c r="BJ261" s="74" t="str">
        <f aca="false">IF(ISBLANK($C261),"",IF(ISNUMBER($AE261),IF($AE261&gt;=0,$AE261,""),""))</f>
        <v/>
      </c>
      <c r="BK261" s="74" t="str">
        <f aca="false">IF(ISBLANK($C261),"",IF($AF261=Constants!$B$2,TRUE(),IF($AF261=Constants!$B$3,FALSE(),FALSE())))</f>
        <v/>
      </c>
      <c r="BL261" s="73" t="str">
        <f aca="false">IF(ISBLANK($C261),"",IF($BK261,Constants!$B$7,IF(COUNTA($E261:$AE261)=0,Constants!$B$6,IF(OR(COUNTA($G261:$AE261)=0,NOT($AM261),$AS261),Constants!$B$5,IF(OR($CM261&lt;&gt;"",$CN261,$CO261,$CP261,$CQ261,$CR261,$CS261),Constants!$B$8,Constants!$B$4)))))</f>
        <v/>
      </c>
      <c r="BM261" s="74" t="str">
        <f aca="false">IF(ISBLANK($C261),"",IF($BL261&lt;&gt;Constants!$B$4,$BL261,IF(OR(NOT($AJ261),NOT($AL261),NOT($AT261)),Constants!$B$11,IF(OR(NOT($AR261),NOT($AU261),NOT($BI261),MAX($AN261,$AO261,$AP261)&gt;Constants!$B$30),Constants!$B$10,Constants!$B$9))))</f>
        <v/>
      </c>
      <c r="BN261" s="74" t="str">
        <f aca="false">IF($BL261&lt;&gt;Constants!$B$4,"",IF(NOT($AL261),0,MIN(Constants!$B$35,$BF261)))</f>
        <v/>
      </c>
      <c r="BO261" s="74" t="str">
        <f aca="false">IF($BL261&lt;&gt;Constants!$B$4,"",IF(NOT($AL261),0,IF($AW261,Constants!$B$18,IF($AV261,Constants!$B$17,0))))</f>
        <v/>
      </c>
      <c r="BP261" s="74" t="str">
        <f aca="false">IF($BL261&lt;&gt;Constants!$B$4,"",IF(NOT($AL261),0,Constants!$B$19*($AK261+$AX261+$AY261+$AZ261)))</f>
        <v/>
      </c>
      <c r="BQ261" s="74" t="str">
        <f aca="false">IF($BL261&lt;&gt;Constants!$B$4,"",IF(OR(NOT($AL261),NOT(ISNUMBER($BA261))),0,CHOOSE($BA261,Constants!$B$13,Constants!$B$14,Constants!$B$15,Constants!$B$16)))</f>
        <v/>
      </c>
      <c r="BR261" s="74" t="str">
        <f aca="false">IF($BL261&lt;&gt;Constants!$B$4,"",IF(NOT($AL261),0,Constants!$B$20*$BB261))</f>
        <v/>
      </c>
      <c r="BS261" s="74" t="str">
        <f aca="false">IF($BL261&lt;&gt;Constants!$B$4,"",IF(AND($AL261,$BD261,$BE261),Constants!$B$22,0))</f>
        <v/>
      </c>
      <c r="BT261" s="74" t="str">
        <f aca="false">IF($BL261&lt;&gt;Constants!$B$4,"",IF(OR(NOT($AL261),NOT($BD261)),0,IF($BJ261&gt;=2*$AH$9,0,Constants!$B$23*INT(ROUND(MIN($BJ261,$AH$9),6)))))</f>
        <v/>
      </c>
      <c r="BU261" s="74" t="str">
        <f aca="false">IF($BL261&lt;&gt;Constants!$B$4,"",IF(NOT($AL261),0,Constants!$B$24*INT(ROUND(MIN($BC261,$AH$9),6))))</f>
        <v/>
      </c>
      <c r="BV261" s="74" t="str">
        <f aca="false">IF($BL261&lt;&gt;Constants!$B$4,"",IF(AND($AL261,$BN261=0),Constants!$B$25,0))</f>
        <v/>
      </c>
      <c r="BW261" s="74" t="str">
        <f aca="false">IF($BL261&lt;&gt;Constants!$B$4,"",MIN(Constants!$B$29,MAX(0,Constants!$B$27*Constants!$B$28*INT(ROUND((Constants!$B$26-$AN261)/Constants!$B$28,6))))+MIN(Constants!$B$29,MAX(0,Constants!$B$27*Constants!$B$28*INT(ROUND((Constants!$B$26-$AO261)/Constants!$B$28,6))))+MIN(Constants!$B$29,MAX(0,Constants!$B$27*Constants!$B$28*INT(ROUND((Constants!$B$26-$AP261)/Constants!$B$28,6)))))</f>
        <v/>
      </c>
      <c r="BX261" s="74" t="str">
        <f aca="false">IF($BL261&lt;&gt;Constants!$B$4,"",IF(NOT($AL261),0,Constants!$B$31*INT(ROUND(MAX(0,MIN($BJ261,2*$AH$9)-$AH$9),6))))</f>
        <v/>
      </c>
      <c r="BY261" s="74" t="str">
        <f aca="false">IF($BL261&lt;&gt;Constants!$B$4,"",Constants!$B$32*(($AN261&gt;Constants!$B$26)+($AO261&gt;Constants!$B$26)+($AP261&gt;Constants!$B$26)))</f>
        <v/>
      </c>
      <c r="BZ261" s="74" t="str">
        <f aca="false">IF($BL261&lt;&gt;Constants!$B$4,"",IF(OR(NOT($AL261),$AQ261),0,Constants!$B$33))</f>
        <v/>
      </c>
      <c r="CA261" s="74" t="str">
        <f aca="false">IF($BL261&lt;&gt;Constants!$B$4,"",Constants!$B$34*$BN261)</f>
        <v/>
      </c>
      <c r="CB261" s="74" t="str">
        <f aca="false">IF($BL261&lt;&gt;Constants!$B$4,"",IF(OR(NOT($AL261),$BH261),0,Constants!$B$36))</f>
        <v/>
      </c>
      <c r="CC261" s="74" t="str">
        <f aca="false">IF($BL261&lt;&gt;Constants!$B$4,"",IF(OR(NOT($AL261),$BG261),0,Constants!$B$37))</f>
        <v/>
      </c>
      <c r="CD261" s="74" t="str">
        <f aca="false">IF($BL261&lt;&gt;Constants!$B$4,"",SUM($BX261:$CC261))</f>
        <v/>
      </c>
      <c r="CE261" s="74" t="str">
        <f aca="false">IF(ISBLANK($C261),"",IF($BL261&lt;&gt;Constants!$B$4,$BL261,SUM($BO261:$BW261)-$CD261))</f>
        <v/>
      </c>
      <c r="CF261" s="74" t="str">
        <f aca="false">IF(ISBLANK($C261),"",IF($BL261&lt;&gt;Constants!$B$4,$BL261,RANK($CE261,$CE$9:$CE$508)))</f>
        <v/>
      </c>
      <c r="CG261" s="74" t="str">
        <f aca="false">IF(ISBLANK($C261),"",IF($BL261&lt;&gt;Constants!$B$4,$BL261,COUNTIFS($BM$9:$BM$508,"&lt;"&amp;$BM261)+COUNTIFS($BM$9:$BM$508,$BM261,$CF$9:$CF$508,"&lt;"&amp;$CF261)+1))</f>
        <v/>
      </c>
      <c r="CH261" s="74" t="str">
        <f aca="false">IF(ISBLANK($C261),"",IF($BL261&lt;&gt;Constants!$B$4,$BL261,RANK($CD261,$CD$9:$CD$508,1)))</f>
        <v/>
      </c>
      <c r="CI261" s="74" t="str">
        <f aca="false">IF($BL261&lt;&gt;Constants!$B$4,"",$AN261+$AO261+$AP261)</f>
        <v/>
      </c>
      <c r="CJ261" s="74" t="str">
        <f aca="false">IF(ISBLANK($C261),"",IF($BL261&lt;&gt;Constants!$B$4,$BL261,RANK($CI261,$CI$9:$CI$508,1)))</f>
        <v/>
      </c>
      <c r="CK261" s="74" t="str">
        <f aca="false">IF(ISBLANK($C261),"",IF($BL261&lt;&gt;Constants!$B$4,$BL261,COUNTIFS($BM$9:$BM$508,"&lt;"&amp;$BM261)+COUNTIFS($BM$9:$BM$508,$BM261,$CF$9:$CF$508,"&lt;"&amp;$CF261)+COUNTIFS($BM$9:$BM$508,$BM261,$CF$9:$CF$508,$CF261,$CH$9:$CH$508,"&lt;"&amp;$CH261)+COUNTIFS($BM$9:$BM$508,$BM261,$CF$9:$CF$508,$CF261,$CH$9:$CH$508,$CH261,$CJ$9:$CJ$508,"&lt;"&amp;$CJ261)+1))</f>
        <v/>
      </c>
      <c r="CL261" s="74" t="str">
        <f aca="false">IF(ISBLANK($C261),"",IF($BL261&lt;&gt;Constants!$B$4,$BL261,$CG261-$CK261))</f>
        <v/>
      </c>
      <c r="CM261" s="74" t="str">
        <f aca="false">IF(ISBLANK($C261),"",IF(NOT($AL261),"",IF(ISBLANK($D$7),$CM$5,IF(NOT(ISNUMBER($D$7)),$CM$6,""))))</f>
        <v/>
      </c>
      <c r="CN261" s="74" t="str">
        <f aca="false">IF(ISBLANK($C261),"",OR($AN261="",$AO261="",$AP261=""))</f>
        <v/>
      </c>
      <c r="CO261" s="74" t="str">
        <f aca="false">IF(ISBLANK($C261),"",AND($AL261,$BA261=""))</f>
        <v/>
      </c>
      <c r="CP261" s="74" t="str">
        <f aca="false">IF(ISBLANK($C261),"",AND($AL261,$BB261=""))</f>
        <v/>
      </c>
      <c r="CQ261" s="74" t="str">
        <f aca="false">IF(ISBLANK($C261),"",AND($AL261,$BC261=""))</f>
        <v/>
      </c>
      <c r="CR261" s="74" t="str">
        <f aca="false">IF(ISBLANK($C261),"",AND($AL261,$BF261=""))</f>
        <v/>
      </c>
      <c r="CS261" s="74" t="str">
        <f aca="false">IF(ISBLANK($C261),"",AND($AL261,$BJ261=""))</f>
        <v/>
      </c>
      <c r="CT261" s="75"/>
      <c r="CU261" s="76"/>
      <c r="CV261" s="79" t="str">
        <f aca="false">IF(ISBLANK($C261),"",IF($BL261=Constants!$B$8,$CM261,""))</f>
        <v/>
      </c>
      <c r="CW261" s="76" t="str">
        <f aca="false">IF(ISBLANK($C261),"",IF($BL261&lt;&gt;Constants!$B$4,"",$BO261+$BP261))</f>
        <v/>
      </c>
      <c r="CX261" s="78" t="str">
        <f aca="false">IF(ISBLANK($C261),"",IF($BL261&lt;&gt;Constants!$B$4,"",$BQ261+$BR261+$BS261))</f>
        <v/>
      </c>
      <c r="CY261" s="78" t="str">
        <f aca="false">IF(ISBLANK($C261),"",IF($BL261&lt;&gt;Constants!$B$4,"",$BT261))</f>
        <v/>
      </c>
      <c r="CZ261" s="78" t="str">
        <f aca="false">IF(ISBLANK($C261),"",IF($BL261&lt;&gt;Constants!$B$4,"",$BU261+$BV261))</f>
        <v/>
      </c>
      <c r="DA261" s="78" t="str">
        <f aca="false">IF(ISBLANK($C261),"",IF($BL261&lt;&gt;Constants!$B$4,"",$BW261))</f>
        <v/>
      </c>
      <c r="DB261" s="78" t="str">
        <f aca="false">IF(ISBLANK($C261),"",IF($BL261&lt;&gt;Constants!$B$4,"",-$CD261))</f>
        <v/>
      </c>
      <c r="DC261" s="79" t="str">
        <f aca="false">IF(ISBLANK($C261),"",$CE261)</f>
        <v/>
      </c>
      <c r="DD261" s="80" t="str">
        <f aca="false">IF(ISBLANK($C261),"",$BM261)</f>
        <v/>
      </c>
      <c r="DE261" s="78" t="str">
        <f aca="false">IF(ISBLANK($C261),"",$CL261)</f>
        <v/>
      </c>
      <c r="DF261" s="78" t="str">
        <f aca="false">IF(ISBLANK($C261),"",$CK261)</f>
        <v/>
      </c>
      <c r="DG261" s="81" t="str">
        <f aca="false">IF(ISBLANK($C261),"",IF($DF261=Constants!$B$7,COUNTA($C$9:$C$508)+2,IF($DF261=Constants!$B$6,COUNTA($C$9:$C$508)+1,IF($DF261=Constants!$B$5,COUNTA($C$9:$C$508),$DF261))))</f>
        <v/>
      </c>
      <c r="DH261" s="7"/>
      <c r="DI261" s="82" t="n">
        <f aca="false">IF(OR(ISNUMBER($DF261),$DF261=Constants!$B$7,$DF261=Constants!$B$5,$DF261=Constants!$B$6),1,0)</f>
        <v>0</v>
      </c>
      <c r="DJ261" s="82" t="n">
        <v>253</v>
      </c>
      <c r="DK261" s="82" t="str">
        <f aca="false">IF(ISBLANK($C261),"",IF(ISNUMBER($DG261),$DG261+ROW($B261)/1000,""))</f>
        <v/>
      </c>
      <c r="DL261" s="82" t="str">
        <f aca="false">IF(ISNUMBER($DK261),RANK($DK261,$DK$9:$DK$508,1),"")</f>
        <v/>
      </c>
      <c r="DM261" s="82" t="str">
        <f aca="false">IF(ISBLANK($C261),"",$B261)</f>
        <v/>
      </c>
      <c r="DN261" s="82" t="str">
        <f aca="false">IF(ISBLANK($C261),"",$C261)</f>
        <v/>
      </c>
      <c r="DO261" s="82" t="str">
        <f aca="false">IF(ISBLANK($C261),"",$D261)</f>
        <v/>
      </c>
      <c r="DP261" s="83" t="str">
        <f aca="false">$DD261</f>
        <v/>
      </c>
      <c r="DQ261" s="84" t="str">
        <f aca="false">$DC261</f>
        <v/>
      </c>
      <c r="DR261" s="82" t="str">
        <f aca="false">IF(ISBLANK($C261),"",$DF261)</f>
        <v/>
      </c>
      <c r="DS261" s="85" t="str">
        <f aca="false">IF($DJ261&gt;$DI$8,"",VLOOKUP($DJ261,$DL$9:$DR$508,7,FALSE()))</f>
        <v/>
      </c>
      <c r="DT261" s="86" t="str">
        <f aca="false">IF($DJ261&gt;$DI$8,"",VLOOKUP($DJ261,$DL$9:$DR$508,2,FALSE()))</f>
        <v/>
      </c>
      <c r="DU261" s="86" t="str">
        <f aca="false">IF($DJ261&gt;$DI$8,"",VLOOKUP($DJ261,$DL$9:$DR$508,3,FALSE()))</f>
        <v/>
      </c>
      <c r="DV261" s="86" t="str">
        <f aca="false">IF($DJ261&gt;$DI$8,"",VLOOKUP($DJ261,$DL$9:$DR$508,4,FALSE()))</f>
        <v/>
      </c>
      <c r="DW261" s="86" t="str">
        <f aca="false">IF($DJ261&gt;$DI$8,"",VLOOKUP($DJ261,$DL$9:$DR$508,5,FALSE()))</f>
        <v/>
      </c>
      <c r="DX261" s="87" t="str">
        <f aca="false">IF($DJ261&gt;$DI$8,"",VLOOKUP($DJ261,$DL$9:$DR$508,6,FALSE()))</f>
        <v/>
      </c>
      <c r="DY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88"/>
      <c r="N262" s="88"/>
      <c r="O262" s="134"/>
      <c r="P262" s="134"/>
      <c r="Q262" s="88"/>
      <c r="R262" s="88"/>
      <c r="S262" s="88"/>
      <c r="T262" s="88"/>
      <c r="U262" s="134"/>
      <c r="V262" s="88"/>
      <c r="W262" s="70"/>
      <c r="X262" s="88"/>
      <c r="Y262" s="88"/>
      <c r="Z262" s="70"/>
      <c r="AA262" s="70"/>
      <c r="AB262" s="88"/>
      <c r="AC262" s="88"/>
      <c r="AD262" s="88"/>
      <c r="AE262" s="71"/>
      <c r="AF262" s="88"/>
      <c r="AG262" s="73"/>
      <c r="AH262" s="74"/>
      <c r="AI262" s="74"/>
      <c r="AJ262" s="74" t="str">
        <f aca="false">IF(ISBLANK($C262),"",IF($E262=Constants!$B$2,TRUE(),IF($E262=Constants!$B$3,FALSE(),TRUE())))</f>
        <v/>
      </c>
      <c r="AK262" s="74" t="str">
        <f aca="false">IF(ISBLANK($C262),"",IF($F262=Constants!$B$2,TRUE(),IF($F262=Constants!$B$3,FALSE(),FALSE())))</f>
        <v/>
      </c>
      <c r="AL262" s="74" t="str">
        <f aca="false">IF(ISBLANK($C262),"",IF($G262=Constants!$B$2,TRUE(),IF($G262=Constants!$B$3,FALSE(),TRUE())))</f>
        <v/>
      </c>
      <c r="AM262" s="74" t="str">
        <f aca="false">IF(ISBLANK($C262),"",IF($H262=Constants!$B$2,TRUE(),IF($H262=Constants!$B$3,FALSE(),TRUE())))</f>
        <v/>
      </c>
      <c r="AN262" s="74" t="str">
        <f aca="false">IF(ISBLANK($C262),"",IF(ISNUMBER($I262),IF($I262&gt;=0,$I262,""),""))</f>
        <v/>
      </c>
      <c r="AO262" s="74" t="str">
        <f aca="false">IF(ISBLANK($C262),"",IF(ISNUMBER($J262),IF($J262&gt;=0,$J262,""),""))</f>
        <v/>
      </c>
      <c r="AP262" s="74" t="str">
        <f aca="false">IF(ISBLANK($C262),"",IF(ISNUMBER($K262),IF($K262&gt;=0,$K262,""),""))</f>
        <v/>
      </c>
      <c r="AQ262" s="74" t="str">
        <f aca="false">IF(ISBLANK($C262),"",IF($L262=Constants!$B$2,TRUE(),IF($L262=Constants!$B$3,FALSE(),TRUE())))</f>
        <v/>
      </c>
      <c r="AR262" s="74" t="str">
        <f aca="false">IF(ISBLANK($C262),"",IF($M262=Constants!$B$2,TRUE(),IF($M262=Constants!$B$3,FALSE(),TRUE())))</f>
        <v/>
      </c>
      <c r="AS262" s="74" t="str">
        <f aca="false">IF(ISBLANK($C262),"",IF($N262=Constants!$B$2,TRUE(),IF($N262=Constants!$B$3,FALSE(),FALSE())))</f>
        <v/>
      </c>
      <c r="AT262" s="74" t="str">
        <f aca="false">IF(ISBLANK($C262),"",IF($O262=Constants!$B$2,TRUE(),IF($O262=Constants!$B$3,FALSE(),TRUE())))</f>
        <v/>
      </c>
      <c r="AU262" s="74" t="str">
        <f aca="false">IF(ISBLANK($C262),"",IF($P262=Constants!$B$2,TRUE(),IF($P262=Constants!$B$3,FALSE(),TRUE())))</f>
        <v/>
      </c>
      <c r="AV262" s="74" t="str">
        <f aca="false">IF(ISBLANK($C262),"",IF($Q262=Constants!$B$2,TRUE(),IF($Q262=Constants!$B$3,FALSE(),FALSE())))</f>
        <v/>
      </c>
      <c r="AW262" s="74" t="str">
        <f aca="false">IF(ISBLANK($C262),"",IF($R262=Constants!$B$2,TRUE(),IF($R262=Constants!$B$3,FALSE(),FALSE())))</f>
        <v/>
      </c>
      <c r="AX262" s="74" t="str">
        <f aca="false">IF(ISBLANK($C262),"",IF($S262=Constants!$B$2,TRUE(),IF($S262=Constants!$B$3,FALSE(),FALSE())))</f>
        <v/>
      </c>
      <c r="AY262" s="74" t="str">
        <f aca="false">IF(ISBLANK($C262),"",IF($T262=Constants!$B$2,TRUE(),IF($T262=Constants!$B$3,FALSE(),FALSE())))</f>
        <v/>
      </c>
      <c r="AZ262" s="74" t="str">
        <f aca="false">IF(ISBLANK($C262),"",IF($U262=Constants!$B$2,TRUE(),IF($U262=Constants!$B$3,FALSE(),FALSE())))</f>
        <v/>
      </c>
      <c r="BA262" s="74" t="str">
        <f aca="false">IF(ISBLANK($C262),"",IF(OR($V262&amp;""="1",$V262&amp;""="2",$V262&amp;""="3",$V262&amp;""="4"),VALUE($V262&amp;""),IF($V262=Constants!$B$12,Constants!$B$12,"")))</f>
        <v/>
      </c>
      <c r="BB262" s="74" t="str">
        <f aca="false">IF(ISBLANK($C262),"",IF(ISBLANK($W262),0,IF(ISNUMBER($W262),IF(AND($W262&gt;=0,$W262&lt;=Constants!$B$21,$W262=INT($W262)),$W262,""),"")))</f>
        <v/>
      </c>
      <c r="BC262" s="74" t="str">
        <f aca="false">IF(ISBLANK($C262),"",IF(ISBLANK($X262),0,IF(ISNUMBER($X262),IF($X262&gt;=0,$X262,""),"")))</f>
        <v/>
      </c>
      <c r="BD262" s="74" t="str">
        <f aca="false">IF(ISBLANK($C262),"",IF($Y262=Constants!$B$2,TRUE(),IF($Y262=Constants!$B$3,FALSE(),TRUE())))</f>
        <v/>
      </c>
      <c r="BE262" s="74" t="str">
        <f aca="false">IF(ISBLANK($C262),"",IF($Z262=Constants!$B$2,TRUE(),IF($Z262=Constants!$B$3,FALSE(),FALSE())))</f>
        <v/>
      </c>
      <c r="BF262" s="74" t="str">
        <f aca="false">IF(ISBLANK($C262),"",IF(ISBLANK($AA262),0,IF(ISNUMBER($AA262),IF(AND($AA262&gt;=0,$AA262&lt;=Constants!$B$35,$AA262=INT($AA262)),$AA262,""),"")))</f>
        <v/>
      </c>
      <c r="BG262" s="74" t="str">
        <f aca="false">IF(ISBLANK($C262),"",IF($AB262=Constants!$B$2,TRUE(),IF($AB262=Constants!$B$3,FALSE(),TRUE())))</f>
        <v/>
      </c>
      <c r="BH262" s="74" t="str">
        <f aca="false">IF(ISBLANK($C262),"",IF($AC262=Constants!$B$2,TRUE(),IF($AC262=Constants!$B$3,FALSE(),TRUE())))</f>
        <v/>
      </c>
      <c r="BI262" s="74" t="str">
        <f aca="false">IF(ISBLANK($C262),"",IF($AD262=Constants!$B$2,TRUE(),IF($AD262=Constants!$B$3,FALSE(),TRUE())))</f>
        <v/>
      </c>
      <c r="BJ262" s="74" t="str">
        <f aca="false">IF(ISBLANK($C262),"",IF(ISNUMBER($AE262),IF($AE262&gt;=0,$AE262,""),""))</f>
        <v/>
      </c>
      <c r="BK262" s="74" t="str">
        <f aca="false">IF(ISBLANK($C262),"",IF($AF262=Constants!$B$2,TRUE(),IF($AF262=Constants!$B$3,FALSE(),FALSE())))</f>
        <v/>
      </c>
      <c r="BL262" s="73" t="str">
        <f aca="false">IF(ISBLANK($C262),"",IF($BK262,Constants!$B$7,IF(COUNTA($E262:$AE262)=0,Constants!$B$6,IF(OR(COUNTA($G262:$AE262)=0,NOT($AM262),$AS262),Constants!$B$5,IF(OR($CM262&lt;&gt;"",$CN262,$CO262,$CP262,$CQ262,$CR262,$CS262),Constants!$B$8,Constants!$B$4)))))</f>
        <v/>
      </c>
      <c r="BM262" s="74" t="str">
        <f aca="false">IF(ISBLANK($C262),"",IF($BL262&lt;&gt;Constants!$B$4,$BL262,IF(OR(NOT($AJ262),NOT($AL262),NOT($AT262)),Constants!$B$11,IF(OR(NOT($AR262),NOT($AU262),NOT($BI262),MAX($AN262,$AO262,$AP262)&gt;Constants!$B$30),Constants!$B$10,Constants!$B$9))))</f>
        <v/>
      </c>
      <c r="BN262" s="74" t="str">
        <f aca="false">IF($BL262&lt;&gt;Constants!$B$4,"",IF(NOT($AL262),0,MIN(Constants!$B$35,$BF262)))</f>
        <v/>
      </c>
      <c r="BO262" s="74" t="str">
        <f aca="false">IF($BL262&lt;&gt;Constants!$B$4,"",IF(NOT($AL262),0,IF($AW262,Constants!$B$18,IF($AV262,Constants!$B$17,0))))</f>
        <v/>
      </c>
      <c r="BP262" s="74" t="str">
        <f aca="false">IF($BL262&lt;&gt;Constants!$B$4,"",IF(NOT($AL262),0,Constants!$B$19*($AK262+$AX262+$AY262+$AZ262)))</f>
        <v/>
      </c>
      <c r="BQ262" s="74" t="str">
        <f aca="false">IF($BL262&lt;&gt;Constants!$B$4,"",IF(OR(NOT($AL262),NOT(ISNUMBER($BA262))),0,CHOOSE($BA262,Constants!$B$13,Constants!$B$14,Constants!$B$15,Constants!$B$16)))</f>
        <v/>
      </c>
      <c r="BR262" s="74" t="str">
        <f aca="false">IF($BL262&lt;&gt;Constants!$B$4,"",IF(NOT($AL262),0,Constants!$B$20*$BB262))</f>
        <v/>
      </c>
      <c r="BS262" s="74" t="str">
        <f aca="false">IF($BL262&lt;&gt;Constants!$B$4,"",IF(AND($AL262,$BD262,$BE262),Constants!$B$22,0))</f>
        <v/>
      </c>
      <c r="BT262" s="74" t="str">
        <f aca="false">IF($BL262&lt;&gt;Constants!$B$4,"",IF(OR(NOT($AL262),NOT($BD262)),0,IF($BJ262&gt;=2*$AH$9,0,Constants!$B$23*INT(ROUND(MIN($BJ262,$AH$9),6)))))</f>
        <v/>
      </c>
      <c r="BU262" s="74" t="str">
        <f aca="false">IF($BL262&lt;&gt;Constants!$B$4,"",IF(NOT($AL262),0,Constants!$B$24*INT(ROUND(MIN($BC262,$AH$9),6))))</f>
        <v/>
      </c>
      <c r="BV262" s="74" t="str">
        <f aca="false">IF($BL262&lt;&gt;Constants!$B$4,"",IF(AND($AL262,$BN262=0),Constants!$B$25,0))</f>
        <v/>
      </c>
      <c r="BW262" s="74" t="str">
        <f aca="false">IF($BL262&lt;&gt;Constants!$B$4,"",MIN(Constants!$B$29,MAX(0,Constants!$B$27*Constants!$B$28*INT(ROUND((Constants!$B$26-$AN262)/Constants!$B$28,6))))+MIN(Constants!$B$29,MAX(0,Constants!$B$27*Constants!$B$28*INT(ROUND((Constants!$B$26-$AO262)/Constants!$B$28,6))))+MIN(Constants!$B$29,MAX(0,Constants!$B$27*Constants!$B$28*INT(ROUND((Constants!$B$26-$AP262)/Constants!$B$28,6)))))</f>
        <v/>
      </c>
      <c r="BX262" s="74" t="str">
        <f aca="false">IF($BL262&lt;&gt;Constants!$B$4,"",IF(NOT($AL262),0,Constants!$B$31*INT(ROUND(MAX(0,MIN($BJ262,2*$AH$9)-$AH$9),6))))</f>
        <v/>
      </c>
      <c r="BY262" s="74" t="str">
        <f aca="false">IF($BL262&lt;&gt;Constants!$B$4,"",Constants!$B$32*(($AN262&gt;Constants!$B$26)+($AO262&gt;Constants!$B$26)+($AP262&gt;Constants!$B$26)))</f>
        <v/>
      </c>
      <c r="BZ262" s="74" t="str">
        <f aca="false">IF($BL262&lt;&gt;Constants!$B$4,"",IF(OR(NOT($AL262),$AQ262),0,Constants!$B$33))</f>
        <v/>
      </c>
      <c r="CA262" s="74" t="str">
        <f aca="false">IF($BL262&lt;&gt;Constants!$B$4,"",Constants!$B$34*$BN262)</f>
        <v/>
      </c>
      <c r="CB262" s="74" t="str">
        <f aca="false">IF($BL262&lt;&gt;Constants!$B$4,"",IF(OR(NOT($AL262),$BH262),0,Constants!$B$36))</f>
        <v/>
      </c>
      <c r="CC262" s="74" t="str">
        <f aca="false">IF($BL262&lt;&gt;Constants!$B$4,"",IF(OR(NOT($AL262),$BG262),0,Constants!$B$37))</f>
        <v/>
      </c>
      <c r="CD262" s="74" t="str">
        <f aca="false">IF($BL262&lt;&gt;Constants!$B$4,"",SUM($BX262:$CC262))</f>
        <v/>
      </c>
      <c r="CE262" s="74" t="str">
        <f aca="false">IF(ISBLANK($C262),"",IF($BL262&lt;&gt;Constants!$B$4,$BL262,SUM($BO262:$BW262)-$CD262))</f>
        <v/>
      </c>
      <c r="CF262" s="74" t="str">
        <f aca="false">IF(ISBLANK($C262),"",IF($BL262&lt;&gt;Constants!$B$4,$BL262,RANK($CE262,$CE$9:$CE$508)))</f>
        <v/>
      </c>
      <c r="CG262" s="74" t="str">
        <f aca="false">IF(ISBLANK($C262),"",IF($BL262&lt;&gt;Constants!$B$4,$BL262,COUNTIFS($BM$9:$BM$508,"&lt;"&amp;$BM262)+COUNTIFS($BM$9:$BM$508,$BM262,$CF$9:$CF$508,"&lt;"&amp;$CF262)+1))</f>
        <v/>
      </c>
      <c r="CH262" s="74" t="str">
        <f aca="false">IF(ISBLANK($C262),"",IF($BL262&lt;&gt;Constants!$B$4,$BL262,RANK($CD262,$CD$9:$CD$508,1)))</f>
        <v/>
      </c>
      <c r="CI262" s="74" t="str">
        <f aca="false">IF($BL262&lt;&gt;Constants!$B$4,"",$AN262+$AO262+$AP262)</f>
        <v/>
      </c>
      <c r="CJ262" s="74" t="str">
        <f aca="false">IF(ISBLANK($C262),"",IF($BL262&lt;&gt;Constants!$B$4,$BL262,RANK($CI262,$CI$9:$CI$508,1)))</f>
        <v/>
      </c>
      <c r="CK262" s="74" t="str">
        <f aca="false">IF(ISBLANK($C262),"",IF($BL262&lt;&gt;Constants!$B$4,$BL262,COUNTIFS($BM$9:$BM$508,"&lt;"&amp;$BM262)+COUNTIFS($BM$9:$BM$508,$BM262,$CF$9:$CF$508,"&lt;"&amp;$CF262)+COUNTIFS($BM$9:$BM$508,$BM262,$CF$9:$CF$508,$CF262,$CH$9:$CH$508,"&lt;"&amp;$CH262)+COUNTIFS($BM$9:$BM$508,$BM262,$CF$9:$CF$508,$CF262,$CH$9:$CH$508,$CH262,$CJ$9:$CJ$508,"&lt;"&amp;$CJ262)+1))</f>
        <v/>
      </c>
      <c r="CL262" s="74" t="str">
        <f aca="false">IF(ISBLANK($C262),"",IF($BL262&lt;&gt;Constants!$B$4,$BL262,$CG262-$CK262))</f>
        <v/>
      </c>
      <c r="CM262" s="74" t="str">
        <f aca="false">IF(ISBLANK($C262),"",IF(NOT($AL262),"",IF(ISBLANK($D$7),$CM$5,IF(NOT(ISNUMBER($D$7)),$CM$6,""))))</f>
        <v/>
      </c>
      <c r="CN262" s="74" t="str">
        <f aca="false">IF(ISBLANK($C262),"",OR($AN262="",$AO262="",$AP262=""))</f>
        <v/>
      </c>
      <c r="CO262" s="74" t="str">
        <f aca="false">IF(ISBLANK($C262),"",AND($AL262,$BA262=""))</f>
        <v/>
      </c>
      <c r="CP262" s="74" t="str">
        <f aca="false">IF(ISBLANK($C262),"",AND($AL262,$BB262=""))</f>
        <v/>
      </c>
      <c r="CQ262" s="74" t="str">
        <f aca="false">IF(ISBLANK($C262),"",AND($AL262,$BC262=""))</f>
        <v/>
      </c>
      <c r="CR262" s="74" t="str">
        <f aca="false">IF(ISBLANK($C262),"",AND($AL262,$BF262=""))</f>
        <v/>
      </c>
      <c r="CS262" s="74" t="str">
        <f aca="false">IF(ISBLANK($C262),"",AND($AL262,$BJ262=""))</f>
        <v/>
      </c>
      <c r="CT262" s="75"/>
      <c r="CU262" s="76"/>
      <c r="CV262" s="79" t="str">
        <f aca="false">IF(ISBLANK($C262),"",IF($BL262=Constants!$B$8,$CM262,""))</f>
        <v/>
      </c>
      <c r="CW262" s="76" t="str">
        <f aca="false">IF(ISBLANK($C262),"",IF($BL262&lt;&gt;Constants!$B$4,"",$BO262+$BP262))</f>
        <v/>
      </c>
      <c r="CX262" s="78" t="str">
        <f aca="false">IF(ISBLANK($C262),"",IF($BL262&lt;&gt;Constants!$B$4,"",$BQ262+$BR262+$BS262))</f>
        <v/>
      </c>
      <c r="CY262" s="78" t="str">
        <f aca="false">IF(ISBLANK($C262),"",IF($BL262&lt;&gt;Constants!$B$4,"",$BT262))</f>
        <v/>
      </c>
      <c r="CZ262" s="78" t="str">
        <f aca="false">IF(ISBLANK($C262),"",IF($BL262&lt;&gt;Constants!$B$4,"",$BU262+$BV262))</f>
        <v/>
      </c>
      <c r="DA262" s="78" t="str">
        <f aca="false">IF(ISBLANK($C262),"",IF($BL262&lt;&gt;Constants!$B$4,"",$BW262))</f>
        <v/>
      </c>
      <c r="DB262" s="78" t="str">
        <f aca="false">IF(ISBLANK($C262),"",IF($BL262&lt;&gt;Constants!$B$4,"",-$CD262))</f>
        <v/>
      </c>
      <c r="DC262" s="79" t="str">
        <f aca="false">IF(ISBLANK($C262),"",$CE262)</f>
        <v/>
      </c>
      <c r="DD262" s="80" t="str">
        <f aca="false">IF(ISBLANK($C262),"",$BM262)</f>
        <v/>
      </c>
      <c r="DE262" s="78" t="str">
        <f aca="false">IF(ISBLANK($C262),"",$CL262)</f>
        <v/>
      </c>
      <c r="DF262" s="78" t="str">
        <f aca="false">IF(ISBLANK($C262),"",$CK262)</f>
        <v/>
      </c>
      <c r="DG262" s="81" t="str">
        <f aca="false">IF(ISBLANK($C262),"",IF($DF262=Constants!$B$7,COUNTA($C$9:$C$508)+2,IF($DF262=Constants!$B$6,COUNTA($C$9:$C$508)+1,IF($DF262=Constants!$B$5,COUNTA($C$9:$C$508),$DF262))))</f>
        <v/>
      </c>
      <c r="DH262" s="7"/>
      <c r="DI262" s="82" t="n">
        <f aca="false">IF(OR(ISNUMBER($DF262),$DF262=Constants!$B$7,$DF262=Constants!$B$5,$DF262=Constants!$B$6),1,0)</f>
        <v>0</v>
      </c>
      <c r="DJ262" s="82" t="n">
        <v>254</v>
      </c>
      <c r="DK262" s="82" t="str">
        <f aca="false">IF(ISBLANK($C262),"",IF(ISNUMBER($DG262),$DG262+ROW($B262)/1000,""))</f>
        <v/>
      </c>
      <c r="DL262" s="82" t="str">
        <f aca="false">IF(ISNUMBER($DK262),RANK($DK262,$DK$9:$DK$508,1),"")</f>
        <v/>
      </c>
      <c r="DM262" s="82" t="str">
        <f aca="false">IF(ISBLANK($C262),"",$B262)</f>
        <v/>
      </c>
      <c r="DN262" s="82" t="str">
        <f aca="false">IF(ISBLANK($C262),"",$C262)</f>
        <v/>
      </c>
      <c r="DO262" s="82" t="str">
        <f aca="false">IF(ISBLANK($C262),"",$D262)</f>
        <v/>
      </c>
      <c r="DP262" s="83" t="str">
        <f aca="false">$DD262</f>
        <v/>
      </c>
      <c r="DQ262" s="84" t="str">
        <f aca="false">$DC262</f>
        <v/>
      </c>
      <c r="DR262" s="82" t="str">
        <f aca="false">IF(ISBLANK($C262),"",$DF262)</f>
        <v/>
      </c>
      <c r="DS262" s="85" t="str">
        <f aca="false">IF($DJ262&gt;$DI$8,"",VLOOKUP($DJ262,$DL$9:$DR$508,7,FALSE()))</f>
        <v/>
      </c>
      <c r="DT262" s="86" t="str">
        <f aca="false">IF($DJ262&gt;$DI$8,"",VLOOKUP($DJ262,$DL$9:$DR$508,2,FALSE()))</f>
        <v/>
      </c>
      <c r="DU262" s="86" t="str">
        <f aca="false">IF($DJ262&gt;$DI$8,"",VLOOKUP($DJ262,$DL$9:$DR$508,3,FALSE()))</f>
        <v/>
      </c>
      <c r="DV262" s="86" t="str">
        <f aca="false">IF($DJ262&gt;$DI$8,"",VLOOKUP($DJ262,$DL$9:$DR$508,4,FALSE()))</f>
        <v/>
      </c>
      <c r="DW262" s="86" t="str">
        <f aca="false">IF($DJ262&gt;$DI$8,"",VLOOKUP($DJ262,$DL$9:$DR$508,5,FALSE()))</f>
        <v/>
      </c>
      <c r="DX262" s="87" t="str">
        <f aca="false">IF($DJ262&gt;$DI$8,"",VLOOKUP($DJ262,$DL$9:$DR$508,6,FALSE()))</f>
        <v/>
      </c>
      <c r="DY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88"/>
      <c r="N263" s="88"/>
      <c r="O263" s="134"/>
      <c r="P263" s="134"/>
      <c r="Q263" s="88"/>
      <c r="R263" s="88"/>
      <c r="S263" s="88"/>
      <c r="T263" s="88"/>
      <c r="U263" s="134"/>
      <c r="V263" s="88"/>
      <c r="W263" s="70"/>
      <c r="X263" s="88"/>
      <c r="Y263" s="88"/>
      <c r="Z263" s="70"/>
      <c r="AA263" s="70"/>
      <c r="AB263" s="88"/>
      <c r="AC263" s="88"/>
      <c r="AD263" s="88"/>
      <c r="AE263" s="71"/>
      <c r="AF263" s="88"/>
      <c r="AG263" s="73"/>
      <c r="AH263" s="74"/>
      <c r="AI263" s="74"/>
      <c r="AJ263" s="74" t="str">
        <f aca="false">IF(ISBLANK($C263),"",IF($E263=Constants!$B$2,TRUE(),IF($E263=Constants!$B$3,FALSE(),TRUE())))</f>
        <v/>
      </c>
      <c r="AK263" s="74" t="str">
        <f aca="false">IF(ISBLANK($C263),"",IF($F263=Constants!$B$2,TRUE(),IF($F263=Constants!$B$3,FALSE(),FALSE())))</f>
        <v/>
      </c>
      <c r="AL263" s="74" t="str">
        <f aca="false">IF(ISBLANK($C263),"",IF($G263=Constants!$B$2,TRUE(),IF($G263=Constants!$B$3,FALSE(),TRUE())))</f>
        <v/>
      </c>
      <c r="AM263" s="74" t="str">
        <f aca="false">IF(ISBLANK($C263),"",IF($H263=Constants!$B$2,TRUE(),IF($H263=Constants!$B$3,FALSE(),TRUE())))</f>
        <v/>
      </c>
      <c r="AN263" s="74" t="str">
        <f aca="false">IF(ISBLANK($C263),"",IF(ISNUMBER($I263),IF($I263&gt;=0,$I263,""),""))</f>
        <v/>
      </c>
      <c r="AO263" s="74" t="str">
        <f aca="false">IF(ISBLANK($C263),"",IF(ISNUMBER($J263),IF($J263&gt;=0,$J263,""),""))</f>
        <v/>
      </c>
      <c r="AP263" s="74" t="str">
        <f aca="false">IF(ISBLANK($C263),"",IF(ISNUMBER($K263),IF($K263&gt;=0,$K263,""),""))</f>
        <v/>
      </c>
      <c r="AQ263" s="74" t="str">
        <f aca="false">IF(ISBLANK($C263),"",IF($L263=Constants!$B$2,TRUE(),IF($L263=Constants!$B$3,FALSE(),TRUE())))</f>
        <v/>
      </c>
      <c r="AR263" s="74" t="str">
        <f aca="false">IF(ISBLANK($C263),"",IF($M263=Constants!$B$2,TRUE(),IF($M263=Constants!$B$3,FALSE(),TRUE())))</f>
        <v/>
      </c>
      <c r="AS263" s="74" t="str">
        <f aca="false">IF(ISBLANK($C263),"",IF($N263=Constants!$B$2,TRUE(),IF($N263=Constants!$B$3,FALSE(),FALSE())))</f>
        <v/>
      </c>
      <c r="AT263" s="74" t="str">
        <f aca="false">IF(ISBLANK($C263),"",IF($O263=Constants!$B$2,TRUE(),IF($O263=Constants!$B$3,FALSE(),TRUE())))</f>
        <v/>
      </c>
      <c r="AU263" s="74" t="str">
        <f aca="false">IF(ISBLANK($C263),"",IF($P263=Constants!$B$2,TRUE(),IF($P263=Constants!$B$3,FALSE(),TRUE())))</f>
        <v/>
      </c>
      <c r="AV263" s="74" t="str">
        <f aca="false">IF(ISBLANK($C263),"",IF($Q263=Constants!$B$2,TRUE(),IF($Q263=Constants!$B$3,FALSE(),FALSE())))</f>
        <v/>
      </c>
      <c r="AW263" s="74" t="str">
        <f aca="false">IF(ISBLANK($C263),"",IF($R263=Constants!$B$2,TRUE(),IF($R263=Constants!$B$3,FALSE(),FALSE())))</f>
        <v/>
      </c>
      <c r="AX263" s="74" t="str">
        <f aca="false">IF(ISBLANK($C263),"",IF($S263=Constants!$B$2,TRUE(),IF($S263=Constants!$B$3,FALSE(),FALSE())))</f>
        <v/>
      </c>
      <c r="AY263" s="74" t="str">
        <f aca="false">IF(ISBLANK($C263),"",IF($T263=Constants!$B$2,TRUE(),IF($T263=Constants!$B$3,FALSE(),FALSE())))</f>
        <v/>
      </c>
      <c r="AZ263" s="74" t="str">
        <f aca="false">IF(ISBLANK($C263),"",IF($U263=Constants!$B$2,TRUE(),IF($U263=Constants!$B$3,FALSE(),FALSE())))</f>
        <v/>
      </c>
      <c r="BA263" s="74" t="str">
        <f aca="false">IF(ISBLANK($C263),"",IF(OR($V263&amp;""="1",$V263&amp;""="2",$V263&amp;""="3",$V263&amp;""="4"),VALUE($V263&amp;""),IF($V263=Constants!$B$12,Constants!$B$12,"")))</f>
        <v/>
      </c>
      <c r="BB263" s="74" t="str">
        <f aca="false">IF(ISBLANK($C263),"",IF(ISBLANK($W263),0,IF(ISNUMBER($W263),IF(AND($W263&gt;=0,$W263&lt;=Constants!$B$21,$W263=INT($W263)),$W263,""),"")))</f>
        <v/>
      </c>
      <c r="BC263" s="74" t="str">
        <f aca="false">IF(ISBLANK($C263),"",IF(ISBLANK($X263),0,IF(ISNUMBER($X263),IF($X263&gt;=0,$X263,""),"")))</f>
        <v/>
      </c>
      <c r="BD263" s="74" t="str">
        <f aca="false">IF(ISBLANK($C263),"",IF($Y263=Constants!$B$2,TRUE(),IF($Y263=Constants!$B$3,FALSE(),TRUE())))</f>
        <v/>
      </c>
      <c r="BE263" s="74" t="str">
        <f aca="false">IF(ISBLANK($C263),"",IF($Z263=Constants!$B$2,TRUE(),IF($Z263=Constants!$B$3,FALSE(),FALSE())))</f>
        <v/>
      </c>
      <c r="BF263" s="74" t="str">
        <f aca="false">IF(ISBLANK($C263),"",IF(ISBLANK($AA263),0,IF(ISNUMBER($AA263),IF(AND($AA263&gt;=0,$AA263&lt;=Constants!$B$35,$AA263=INT($AA263)),$AA263,""),"")))</f>
        <v/>
      </c>
      <c r="BG263" s="74" t="str">
        <f aca="false">IF(ISBLANK($C263),"",IF($AB263=Constants!$B$2,TRUE(),IF($AB263=Constants!$B$3,FALSE(),TRUE())))</f>
        <v/>
      </c>
      <c r="BH263" s="74" t="str">
        <f aca="false">IF(ISBLANK($C263),"",IF($AC263=Constants!$B$2,TRUE(),IF($AC263=Constants!$B$3,FALSE(),TRUE())))</f>
        <v/>
      </c>
      <c r="BI263" s="74" t="str">
        <f aca="false">IF(ISBLANK($C263),"",IF($AD263=Constants!$B$2,TRUE(),IF($AD263=Constants!$B$3,FALSE(),TRUE())))</f>
        <v/>
      </c>
      <c r="BJ263" s="74" t="str">
        <f aca="false">IF(ISBLANK($C263),"",IF(ISNUMBER($AE263),IF($AE263&gt;=0,$AE263,""),""))</f>
        <v/>
      </c>
      <c r="BK263" s="74" t="str">
        <f aca="false">IF(ISBLANK($C263),"",IF($AF263=Constants!$B$2,TRUE(),IF($AF263=Constants!$B$3,FALSE(),FALSE())))</f>
        <v/>
      </c>
      <c r="BL263" s="73" t="str">
        <f aca="false">IF(ISBLANK($C263),"",IF($BK263,Constants!$B$7,IF(COUNTA($E263:$AE263)=0,Constants!$B$6,IF(OR(COUNTA($G263:$AE263)=0,NOT($AM263),$AS263),Constants!$B$5,IF(OR($CM263&lt;&gt;"",$CN263,$CO263,$CP263,$CQ263,$CR263,$CS263),Constants!$B$8,Constants!$B$4)))))</f>
        <v/>
      </c>
      <c r="BM263" s="74" t="str">
        <f aca="false">IF(ISBLANK($C263),"",IF($BL263&lt;&gt;Constants!$B$4,$BL263,IF(OR(NOT($AJ263),NOT($AL263),NOT($AT263)),Constants!$B$11,IF(OR(NOT($AR263),NOT($AU263),NOT($BI263),MAX($AN263,$AO263,$AP263)&gt;Constants!$B$30),Constants!$B$10,Constants!$B$9))))</f>
        <v/>
      </c>
      <c r="BN263" s="74" t="str">
        <f aca="false">IF($BL263&lt;&gt;Constants!$B$4,"",IF(NOT($AL263),0,MIN(Constants!$B$35,$BF263)))</f>
        <v/>
      </c>
      <c r="BO263" s="74" t="str">
        <f aca="false">IF($BL263&lt;&gt;Constants!$B$4,"",IF(NOT($AL263),0,IF($AW263,Constants!$B$18,IF($AV263,Constants!$B$17,0))))</f>
        <v/>
      </c>
      <c r="BP263" s="74" t="str">
        <f aca="false">IF($BL263&lt;&gt;Constants!$B$4,"",IF(NOT($AL263),0,Constants!$B$19*($AK263+$AX263+$AY263+$AZ263)))</f>
        <v/>
      </c>
      <c r="BQ263" s="74" t="str">
        <f aca="false">IF($BL263&lt;&gt;Constants!$B$4,"",IF(OR(NOT($AL263),NOT(ISNUMBER($BA263))),0,CHOOSE($BA263,Constants!$B$13,Constants!$B$14,Constants!$B$15,Constants!$B$16)))</f>
        <v/>
      </c>
      <c r="BR263" s="74" t="str">
        <f aca="false">IF($BL263&lt;&gt;Constants!$B$4,"",IF(NOT($AL263),0,Constants!$B$20*$BB263))</f>
        <v/>
      </c>
      <c r="BS263" s="74" t="str">
        <f aca="false">IF($BL263&lt;&gt;Constants!$B$4,"",IF(AND($AL263,$BD263,$BE263),Constants!$B$22,0))</f>
        <v/>
      </c>
      <c r="BT263" s="74" t="str">
        <f aca="false">IF($BL263&lt;&gt;Constants!$B$4,"",IF(OR(NOT($AL263),NOT($BD263)),0,IF($BJ263&gt;=2*$AH$9,0,Constants!$B$23*INT(ROUND(MIN($BJ263,$AH$9),6)))))</f>
        <v/>
      </c>
      <c r="BU263" s="74" t="str">
        <f aca="false">IF($BL263&lt;&gt;Constants!$B$4,"",IF(NOT($AL263),0,Constants!$B$24*INT(ROUND(MIN($BC263,$AH$9),6))))</f>
        <v/>
      </c>
      <c r="BV263" s="74" t="str">
        <f aca="false">IF($BL263&lt;&gt;Constants!$B$4,"",IF(AND($AL263,$BN263=0),Constants!$B$25,0))</f>
        <v/>
      </c>
      <c r="BW263" s="74" t="str">
        <f aca="false">IF($BL263&lt;&gt;Constants!$B$4,"",MIN(Constants!$B$29,MAX(0,Constants!$B$27*Constants!$B$28*INT(ROUND((Constants!$B$26-$AN263)/Constants!$B$28,6))))+MIN(Constants!$B$29,MAX(0,Constants!$B$27*Constants!$B$28*INT(ROUND((Constants!$B$26-$AO263)/Constants!$B$28,6))))+MIN(Constants!$B$29,MAX(0,Constants!$B$27*Constants!$B$28*INT(ROUND((Constants!$B$26-$AP263)/Constants!$B$28,6)))))</f>
        <v/>
      </c>
      <c r="BX263" s="74" t="str">
        <f aca="false">IF($BL263&lt;&gt;Constants!$B$4,"",IF(NOT($AL263),0,Constants!$B$31*INT(ROUND(MAX(0,MIN($BJ263,2*$AH$9)-$AH$9),6))))</f>
        <v/>
      </c>
      <c r="BY263" s="74" t="str">
        <f aca="false">IF($BL263&lt;&gt;Constants!$B$4,"",Constants!$B$32*(($AN263&gt;Constants!$B$26)+($AO263&gt;Constants!$B$26)+($AP263&gt;Constants!$B$26)))</f>
        <v/>
      </c>
      <c r="BZ263" s="74" t="str">
        <f aca="false">IF($BL263&lt;&gt;Constants!$B$4,"",IF(OR(NOT($AL263),$AQ263),0,Constants!$B$33))</f>
        <v/>
      </c>
      <c r="CA263" s="74" t="str">
        <f aca="false">IF($BL263&lt;&gt;Constants!$B$4,"",Constants!$B$34*$BN263)</f>
        <v/>
      </c>
      <c r="CB263" s="74" t="str">
        <f aca="false">IF($BL263&lt;&gt;Constants!$B$4,"",IF(OR(NOT($AL263),$BH263),0,Constants!$B$36))</f>
        <v/>
      </c>
      <c r="CC263" s="74" t="str">
        <f aca="false">IF($BL263&lt;&gt;Constants!$B$4,"",IF(OR(NOT($AL263),$BG263),0,Constants!$B$37))</f>
        <v/>
      </c>
      <c r="CD263" s="74" t="str">
        <f aca="false">IF($BL263&lt;&gt;Constants!$B$4,"",SUM($BX263:$CC263))</f>
        <v/>
      </c>
      <c r="CE263" s="74" t="str">
        <f aca="false">IF(ISBLANK($C263),"",IF($BL263&lt;&gt;Constants!$B$4,$BL263,SUM($BO263:$BW263)-$CD263))</f>
        <v/>
      </c>
      <c r="CF263" s="74" t="str">
        <f aca="false">IF(ISBLANK($C263),"",IF($BL263&lt;&gt;Constants!$B$4,$BL263,RANK($CE263,$CE$9:$CE$508)))</f>
        <v/>
      </c>
      <c r="CG263" s="74" t="str">
        <f aca="false">IF(ISBLANK($C263),"",IF($BL263&lt;&gt;Constants!$B$4,$BL263,COUNTIFS($BM$9:$BM$508,"&lt;"&amp;$BM263)+COUNTIFS($BM$9:$BM$508,$BM263,$CF$9:$CF$508,"&lt;"&amp;$CF263)+1))</f>
        <v/>
      </c>
      <c r="CH263" s="74" t="str">
        <f aca="false">IF(ISBLANK($C263),"",IF($BL263&lt;&gt;Constants!$B$4,$BL263,RANK($CD263,$CD$9:$CD$508,1)))</f>
        <v/>
      </c>
      <c r="CI263" s="74" t="str">
        <f aca="false">IF($BL263&lt;&gt;Constants!$B$4,"",$AN263+$AO263+$AP263)</f>
        <v/>
      </c>
      <c r="CJ263" s="74" t="str">
        <f aca="false">IF(ISBLANK($C263),"",IF($BL263&lt;&gt;Constants!$B$4,$BL263,RANK($CI263,$CI$9:$CI$508,1)))</f>
        <v/>
      </c>
      <c r="CK263" s="74" t="str">
        <f aca="false">IF(ISBLANK($C263),"",IF($BL263&lt;&gt;Constants!$B$4,$BL263,COUNTIFS($BM$9:$BM$508,"&lt;"&amp;$BM263)+COUNTIFS($BM$9:$BM$508,$BM263,$CF$9:$CF$508,"&lt;"&amp;$CF263)+COUNTIFS($BM$9:$BM$508,$BM263,$CF$9:$CF$508,$CF263,$CH$9:$CH$508,"&lt;"&amp;$CH263)+COUNTIFS($BM$9:$BM$508,$BM263,$CF$9:$CF$508,$CF263,$CH$9:$CH$508,$CH263,$CJ$9:$CJ$508,"&lt;"&amp;$CJ263)+1))</f>
        <v/>
      </c>
      <c r="CL263" s="74" t="str">
        <f aca="false">IF(ISBLANK($C263),"",IF($BL263&lt;&gt;Constants!$B$4,$BL263,$CG263-$CK263))</f>
        <v/>
      </c>
      <c r="CM263" s="74" t="str">
        <f aca="false">IF(ISBLANK($C263),"",IF(NOT($AL263),"",IF(ISBLANK($D$7),$CM$5,IF(NOT(ISNUMBER($D$7)),$CM$6,""))))</f>
        <v/>
      </c>
      <c r="CN263" s="74" t="str">
        <f aca="false">IF(ISBLANK($C263),"",OR($AN263="",$AO263="",$AP263=""))</f>
        <v/>
      </c>
      <c r="CO263" s="74" t="str">
        <f aca="false">IF(ISBLANK($C263),"",AND($AL263,$BA263=""))</f>
        <v/>
      </c>
      <c r="CP263" s="74" t="str">
        <f aca="false">IF(ISBLANK($C263),"",AND($AL263,$BB263=""))</f>
        <v/>
      </c>
      <c r="CQ263" s="74" t="str">
        <f aca="false">IF(ISBLANK($C263),"",AND($AL263,$BC263=""))</f>
        <v/>
      </c>
      <c r="CR263" s="74" t="str">
        <f aca="false">IF(ISBLANK($C263),"",AND($AL263,$BF263=""))</f>
        <v/>
      </c>
      <c r="CS263" s="74" t="str">
        <f aca="false">IF(ISBLANK($C263),"",AND($AL263,$BJ263=""))</f>
        <v/>
      </c>
      <c r="CT263" s="75"/>
      <c r="CU263" s="76"/>
      <c r="CV263" s="79" t="str">
        <f aca="false">IF(ISBLANK($C263),"",IF($BL263=Constants!$B$8,$CM263,""))</f>
        <v/>
      </c>
      <c r="CW263" s="76" t="str">
        <f aca="false">IF(ISBLANK($C263),"",IF($BL263&lt;&gt;Constants!$B$4,"",$BO263+$BP263))</f>
        <v/>
      </c>
      <c r="CX263" s="78" t="str">
        <f aca="false">IF(ISBLANK($C263),"",IF($BL263&lt;&gt;Constants!$B$4,"",$BQ263+$BR263+$BS263))</f>
        <v/>
      </c>
      <c r="CY263" s="78" t="str">
        <f aca="false">IF(ISBLANK($C263),"",IF($BL263&lt;&gt;Constants!$B$4,"",$BT263))</f>
        <v/>
      </c>
      <c r="CZ263" s="78" t="str">
        <f aca="false">IF(ISBLANK($C263),"",IF($BL263&lt;&gt;Constants!$B$4,"",$BU263+$BV263))</f>
        <v/>
      </c>
      <c r="DA263" s="78" t="str">
        <f aca="false">IF(ISBLANK($C263),"",IF($BL263&lt;&gt;Constants!$B$4,"",$BW263))</f>
        <v/>
      </c>
      <c r="DB263" s="78" t="str">
        <f aca="false">IF(ISBLANK($C263),"",IF($BL263&lt;&gt;Constants!$B$4,"",-$CD263))</f>
        <v/>
      </c>
      <c r="DC263" s="79" t="str">
        <f aca="false">IF(ISBLANK($C263),"",$CE263)</f>
        <v/>
      </c>
      <c r="DD263" s="80" t="str">
        <f aca="false">IF(ISBLANK($C263),"",$BM263)</f>
        <v/>
      </c>
      <c r="DE263" s="78" t="str">
        <f aca="false">IF(ISBLANK($C263),"",$CL263)</f>
        <v/>
      </c>
      <c r="DF263" s="78" t="str">
        <f aca="false">IF(ISBLANK($C263),"",$CK263)</f>
        <v/>
      </c>
      <c r="DG263" s="81" t="str">
        <f aca="false">IF(ISBLANK($C263),"",IF($DF263=Constants!$B$7,COUNTA($C$9:$C$508)+2,IF($DF263=Constants!$B$6,COUNTA($C$9:$C$508)+1,IF($DF263=Constants!$B$5,COUNTA($C$9:$C$508),$DF263))))</f>
        <v/>
      </c>
      <c r="DH263" s="7"/>
      <c r="DI263" s="82" t="n">
        <f aca="false">IF(OR(ISNUMBER($DF263),$DF263=Constants!$B$7,$DF263=Constants!$B$5,$DF263=Constants!$B$6),1,0)</f>
        <v>0</v>
      </c>
      <c r="DJ263" s="82" t="n">
        <v>255</v>
      </c>
      <c r="DK263" s="82" t="str">
        <f aca="false">IF(ISBLANK($C263),"",IF(ISNUMBER($DG263),$DG263+ROW($B263)/1000,""))</f>
        <v/>
      </c>
      <c r="DL263" s="82" t="str">
        <f aca="false">IF(ISNUMBER($DK263),RANK($DK263,$DK$9:$DK$508,1),"")</f>
        <v/>
      </c>
      <c r="DM263" s="82" t="str">
        <f aca="false">IF(ISBLANK($C263),"",$B263)</f>
        <v/>
      </c>
      <c r="DN263" s="82" t="str">
        <f aca="false">IF(ISBLANK($C263),"",$C263)</f>
        <v/>
      </c>
      <c r="DO263" s="82" t="str">
        <f aca="false">IF(ISBLANK($C263),"",$D263)</f>
        <v/>
      </c>
      <c r="DP263" s="83" t="str">
        <f aca="false">$DD263</f>
        <v/>
      </c>
      <c r="DQ263" s="84" t="str">
        <f aca="false">$DC263</f>
        <v/>
      </c>
      <c r="DR263" s="82" t="str">
        <f aca="false">IF(ISBLANK($C263),"",$DF263)</f>
        <v/>
      </c>
      <c r="DS263" s="85" t="str">
        <f aca="false">IF($DJ263&gt;$DI$8,"",VLOOKUP($DJ263,$DL$9:$DR$508,7,FALSE()))</f>
        <v/>
      </c>
      <c r="DT263" s="86" t="str">
        <f aca="false">IF($DJ263&gt;$DI$8,"",VLOOKUP($DJ263,$DL$9:$DR$508,2,FALSE()))</f>
        <v/>
      </c>
      <c r="DU263" s="86" t="str">
        <f aca="false">IF($DJ263&gt;$DI$8,"",VLOOKUP($DJ263,$DL$9:$DR$508,3,FALSE()))</f>
        <v/>
      </c>
      <c r="DV263" s="86" t="str">
        <f aca="false">IF($DJ263&gt;$DI$8,"",VLOOKUP($DJ263,$DL$9:$DR$508,4,FALSE()))</f>
        <v/>
      </c>
      <c r="DW263" s="86" t="str">
        <f aca="false">IF($DJ263&gt;$DI$8,"",VLOOKUP($DJ263,$DL$9:$DR$508,5,FALSE()))</f>
        <v/>
      </c>
      <c r="DX263" s="87" t="str">
        <f aca="false">IF($DJ263&gt;$DI$8,"",VLOOKUP($DJ263,$DL$9:$DR$508,6,FALSE()))</f>
        <v/>
      </c>
      <c r="DY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130"/>
      <c r="N264" s="130"/>
      <c r="O264" s="135"/>
      <c r="P264" s="135"/>
      <c r="Q264" s="130"/>
      <c r="R264" s="130"/>
      <c r="S264" s="130"/>
      <c r="T264" s="130"/>
      <c r="U264" s="135"/>
      <c r="V264" s="130"/>
      <c r="W264" s="96"/>
      <c r="X264" s="130"/>
      <c r="Y264" s="130"/>
      <c r="Z264" s="96"/>
      <c r="AA264" s="96"/>
      <c r="AB264" s="130"/>
      <c r="AC264" s="130"/>
      <c r="AD264" s="130"/>
      <c r="AE264" s="97"/>
      <c r="AF264" s="130"/>
      <c r="AG264" s="99"/>
      <c r="AH264" s="100"/>
      <c r="AI264" s="100"/>
      <c r="AJ264" s="100" t="str">
        <f aca="false">IF(ISBLANK($C264),"",IF($E264=Constants!$B$2,TRUE(),IF($E264=Constants!$B$3,FALSE(),TRUE())))</f>
        <v/>
      </c>
      <c r="AK264" s="100" t="str">
        <f aca="false">IF(ISBLANK($C264),"",IF($F264=Constants!$B$2,TRUE(),IF($F264=Constants!$B$3,FALSE(),FALSE())))</f>
        <v/>
      </c>
      <c r="AL264" s="100" t="str">
        <f aca="false">IF(ISBLANK($C264),"",IF($G264=Constants!$B$2,TRUE(),IF($G264=Constants!$B$3,FALSE(),TRUE())))</f>
        <v/>
      </c>
      <c r="AM264" s="100" t="str">
        <f aca="false">IF(ISBLANK($C264),"",IF($H264=Constants!$B$2,TRUE(),IF($H264=Constants!$B$3,FALSE(),TRUE())))</f>
        <v/>
      </c>
      <c r="AN264" s="100" t="str">
        <f aca="false">IF(ISBLANK($C264),"",IF(ISNUMBER($I264),IF($I264&gt;=0,$I264,""),""))</f>
        <v/>
      </c>
      <c r="AO264" s="100" t="str">
        <f aca="false">IF(ISBLANK($C264),"",IF(ISNUMBER($J264),IF($J264&gt;=0,$J264,""),""))</f>
        <v/>
      </c>
      <c r="AP264" s="100" t="str">
        <f aca="false">IF(ISBLANK($C264),"",IF(ISNUMBER($K264),IF($K264&gt;=0,$K264,""),""))</f>
        <v/>
      </c>
      <c r="AQ264" s="100" t="str">
        <f aca="false">IF(ISBLANK($C264),"",IF($L264=Constants!$B$2,TRUE(),IF($L264=Constants!$B$3,FALSE(),TRUE())))</f>
        <v/>
      </c>
      <c r="AR264" s="100" t="str">
        <f aca="false">IF(ISBLANK($C264),"",IF($M264=Constants!$B$2,TRUE(),IF($M264=Constants!$B$3,FALSE(),TRUE())))</f>
        <v/>
      </c>
      <c r="AS264" s="100" t="str">
        <f aca="false">IF(ISBLANK($C264),"",IF($N264=Constants!$B$2,TRUE(),IF($N264=Constants!$B$3,FALSE(),FALSE())))</f>
        <v/>
      </c>
      <c r="AT264" s="100" t="str">
        <f aca="false">IF(ISBLANK($C264),"",IF($O264=Constants!$B$2,TRUE(),IF($O264=Constants!$B$3,FALSE(),TRUE())))</f>
        <v/>
      </c>
      <c r="AU264" s="100" t="str">
        <f aca="false">IF(ISBLANK($C264),"",IF($P264=Constants!$B$2,TRUE(),IF($P264=Constants!$B$3,FALSE(),TRUE())))</f>
        <v/>
      </c>
      <c r="AV264" s="100" t="str">
        <f aca="false">IF(ISBLANK($C264),"",IF($Q264=Constants!$B$2,TRUE(),IF($Q264=Constants!$B$3,FALSE(),FALSE())))</f>
        <v/>
      </c>
      <c r="AW264" s="100" t="str">
        <f aca="false">IF(ISBLANK($C264),"",IF($R264=Constants!$B$2,TRUE(),IF($R264=Constants!$B$3,FALSE(),FALSE())))</f>
        <v/>
      </c>
      <c r="AX264" s="100" t="str">
        <f aca="false">IF(ISBLANK($C264),"",IF($S264=Constants!$B$2,TRUE(),IF($S264=Constants!$B$3,FALSE(),FALSE())))</f>
        <v/>
      </c>
      <c r="AY264" s="100" t="str">
        <f aca="false">IF(ISBLANK($C264),"",IF($T264=Constants!$B$2,TRUE(),IF($T264=Constants!$B$3,FALSE(),FALSE())))</f>
        <v/>
      </c>
      <c r="AZ264" s="100" t="str">
        <f aca="false">IF(ISBLANK($C264),"",IF($U264=Constants!$B$2,TRUE(),IF($U264=Constants!$B$3,FALSE(),FALSE())))</f>
        <v/>
      </c>
      <c r="BA264" s="100" t="str">
        <f aca="false">IF(ISBLANK($C264),"",IF(OR($V264&amp;""="1",$V264&amp;""="2",$V264&amp;""="3",$V264&amp;""="4"),VALUE($V264&amp;""),IF($V264=Constants!$B$12,Constants!$B$12,"")))</f>
        <v/>
      </c>
      <c r="BB264" s="100" t="str">
        <f aca="false">IF(ISBLANK($C264),"",IF(ISBLANK($W264),0,IF(ISNUMBER($W264),IF(AND($W264&gt;=0,$W264&lt;=Constants!$B$21,$W264=INT($W264)),$W264,""),"")))</f>
        <v/>
      </c>
      <c r="BC264" s="100" t="str">
        <f aca="false">IF(ISBLANK($C264),"",IF(ISBLANK($X264),0,IF(ISNUMBER($X264),IF($X264&gt;=0,$X264,""),"")))</f>
        <v/>
      </c>
      <c r="BD264" s="100" t="str">
        <f aca="false">IF(ISBLANK($C264),"",IF($Y264=Constants!$B$2,TRUE(),IF($Y264=Constants!$B$3,FALSE(),TRUE())))</f>
        <v/>
      </c>
      <c r="BE264" s="100" t="str">
        <f aca="false">IF(ISBLANK($C264),"",IF($Z264=Constants!$B$2,TRUE(),IF($Z264=Constants!$B$3,FALSE(),FALSE())))</f>
        <v/>
      </c>
      <c r="BF264" s="100" t="str">
        <f aca="false">IF(ISBLANK($C264),"",IF(ISBLANK($AA264),0,IF(ISNUMBER($AA264),IF(AND($AA264&gt;=0,$AA264&lt;=Constants!$B$35,$AA264=INT($AA264)),$AA264,""),"")))</f>
        <v/>
      </c>
      <c r="BG264" s="100" t="str">
        <f aca="false">IF(ISBLANK($C264),"",IF($AB264=Constants!$B$2,TRUE(),IF($AB264=Constants!$B$3,FALSE(),TRUE())))</f>
        <v/>
      </c>
      <c r="BH264" s="100" t="str">
        <f aca="false">IF(ISBLANK($C264),"",IF($AC264=Constants!$B$2,TRUE(),IF($AC264=Constants!$B$3,FALSE(),TRUE())))</f>
        <v/>
      </c>
      <c r="BI264" s="100" t="str">
        <f aca="false">IF(ISBLANK($C264),"",IF($AD264=Constants!$B$2,TRUE(),IF($AD264=Constants!$B$3,FALSE(),TRUE())))</f>
        <v/>
      </c>
      <c r="BJ264" s="100" t="str">
        <f aca="false">IF(ISBLANK($C264),"",IF(ISNUMBER($AE264),IF($AE264&gt;=0,$AE264,""),""))</f>
        <v/>
      </c>
      <c r="BK264" s="100" t="str">
        <f aca="false">IF(ISBLANK($C264),"",IF($AF264=Constants!$B$2,TRUE(),IF($AF264=Constants!$B$3,FALSE(),FALSE())))</f>
        <v/>
      </c>
      <c r="BL264" s="99" t="str">
        <f aca="false">IF(ISBLANK($C264),"",IF($BK264,Constants!$B$7,IF(COUNTA($E264:$AE264)=0,Constants!$B$6,IF(OR(COUNTA($G264:$AE264)=0,NOT($AM264),$AS264),Constants!$B$5,IF(OR($CM264&lt;&gt;"",$CN264,$CO264,$CP264,$CQ264,$CR264,$CS264),Constants!$B$8,Constants!$B$4)))))</f>
        <v/>
      </c>
      <c r="BM264" s="100" t="str">
        <f aca="false">IF(ISBLANK($C264),"",IF($BL264&lt;&gt;Constants!$B$4,$BL264,IF(OR(NOT($AJ264),NOT($AL264),NOT($AT264)),Constants!$B$11,IF(OR(NOT($AR264),NOT($AU264),NOT($BI264),MAX($AN264,$AO264,$AP264)&gt;Constants!$B$30),Constants!$B$10,Constants!$B$9))))</f>
        <v/>
      </c>
      <c r="BN264" s="100" t="str">
        <f aca="false">IF($BL264&lt;&gt;Constants!$B$4,"",IF(NOT($AL264),0,MIN(Constants!$B$35,$BF264)))</f>
        <v/>
      </c>
      <c r="BO264" s="100" t="str">
        <f aca="false">IF($BL264&lt;&gt;Constants!$B$4,"",IF(NOT($AL264),0,IF($AW264,Constants!$B$18,IF($AV264,Constants!$B$17,0))))</f>
        <v/>
      </c>
      <c r="BP264" s="100" t="str">
        <f aca="false">IF($BL264&lt;&gt;Constants!$B$4,"",IF(NOT($AL264),0,Constants!$B$19*($AK264+$AX264+$AY264+$AZ264)))</f>
        <v/>
      </c>
      <c r="BQ264" s="100" t="str">
        <f aca="false">IF($BL264&lt;&gt;Constants!$B$4,"",IF(OR(NOT($AL264),NOT(ISNUMBER($BA264))),0,CHOOSE($BA264,Constants!$B$13,Constants!$B$14,Constants!$B$15,Constants!$B$16)))</f>
        <v/>
      </c>
      <c r="BR264" s="100" t="str">
        <f aca="false">IF($BL264&lt;&gt;Constants!$B$4,"",IF(NOT($AL264),0,Constants!$B$20*$BB264))</f>
        <v/>
      </c>
      <c r="BS264" s="100" t="str">
        <f aca="false">IF($BL264&lt;&gt;Constants!$B$4,"",IF(AND($AL264,$BD264,$BE264),Constants!$B$22,0))</f>
        <v/>
      </c>
      <c r="BT264" s="100" t="str">
        <f aca="false">IF($BL264&lt;&gt;Constants!$B$4,"",IF(OR(NOT($AL264),NOT($BD264)),0,IF($BJ264&gt;=2*$AH$9,0,Constants!$B$23*INT(ROUND(MIN($BJ264,$AH$9),6)))))</f>
        <v/>
      </c>
      <c r="BU264" s="100" t="str">
        <f aca="false">IF($BL264&lt;&gt;Constants!$B$4,"",IF(NOT($AL264),0,Constants!$B$24*INT(ROUND(MIN($BC264,$AH$9),6))))</f>
        <v/>
      </c>
      <c r="BV264" s="100" t="str">
        <f aca="false">IF($BL264&lt;&gt;Constants!$B$4,"",IF(AND($AL264,$BN264=0),Constants!$B$25,0))</f>
        <v/>
      </c>
      <c r="BW264" s="100" t="str">
        <f aca="false">IF($BL264&lt;&gt;Constants!$B$4,"",MIN(Constants!$B$29,MAX(0,Constants!$B$27*Constants!$B$28*INT(ROUND((Constants!$B$26-$AN264)/Constants!$B$28,6))))+MIN(Constants!$B$29,MAX(0,Constants!$B$27*Constants!$B$28*INT(ROUND((Constants!$B$26-$AO264)/Constants!$B$28,6))))+MIN(Constants!$B$29,MAX(0,Constants!$B$27*Constants!$B$28*INT(ROUND((Constants!$B$26-$AP264)/Constants!$B$28,6)))))</f>
        <v/>
      </c>
      <c r="BX264" s="100" t="str">
        <f aca="false">IF($BL264&lt;&gt;Constants!$B$4,"",IF(NOT($AL264),0,Constants!$B$31*INT(ROUND(MAX(0,MIN($BJ264,2*$AH$9)-$AH$9),6))))</f>
        <v/>
      </c>
      <c r="BY264" s="100" t="str">
        <f aca="false">IF($BL264&lt;&gt;Constants!$B$4,"",Constants!$B$32*(($AN264&gt;Constants!$B$26)+($AO264&gt;Constants!$B$26)+($AP264&gt;Constants!$B$26)))</f>
        <v/>
      </c>
      <c r="BZ264" s="100" t="str">
        <f aca="false">IF($BL264&lt;&gt;Constants!$B$4,"",IF(OR(NOT($AL264),$AQ264),0,Constants!$B$33))</f>
        <v/>
      </c>
      <c r="CA264" s="100" t="str">
        <f aca="false">IF($BL264&lt;&gt;Constants!$B$4,"",Constants!$B$34*$BN264)</f>
        <v/>
      </c>
      <c r="CB264" s="100" t="str">
        <f aca="false">IF($BL264&lt;&gt;Constants!$B$4,"",IF(OR(NOT($AL264),$BH264),0,Constants!$B$36))</f>
        <v/>
      </c>
      <c r="CC264" s="100" t="str">
        <f aca="false">IF($BL264&lt;&gt;Constants!$B$4,"",IF(OR(NOT($AL264),$BG264),0,Constants!$B$37))</f>
        <v/>
      </c>
      <c r="CD264" s="100" t="str">
        <f aca="false">IF($BL264&lt;&gt;Constants!$B$4,"",SUM($BX264:$CC264))</f>
        <v/>
      </c>
      <c r="CE264" s="100" t="str">
        <f aca="false">IF(ISBLANK($C264),"",IF($BL264&lt;&gt;Constants!$B$4,$BL264,SUM($BO264:$BW264)-$CD264))</f>
        <v/>
      </c>
      <c r="CF264" s="100" t="str">
        <f aca="false">IF(ISBLANK($C264),"",IF($BL264&lt;&gt;Constants!$B$4,$BL264,RANK($CE264,$CE$9:$CE$508)))</f>
        <v/>
      </c>
      <c r="CG264" s="100" t="str">
        <f aca="false">IF(ISBLANK($C264),"",IF($BL264&lt;&gt;Constants!$B$4,$BL264,COUNTIFS($BM$9:$BM$508,"&lt;"&amp;$BM264)+COUNTIFS($BM$9:$BM$508,$BM264,$CF$9:$CF$508,"&lt;"&amp;$CF264)+1))</f>
        <v/>
      </c>
      <c r="CH264" s="100" t="str">
        <f aca="false">IF(ISBLANK($C264),"",IF($BL264&lt;&gt;Constants!$B$4,$BL264,RANK($CD264,$CD$9:$CD$508,1)))</f>
        <v/>
      </c>
      <c r="CI264" s="100" t="str">
        <f aca="false">IF($BL264&lt;&gt;Constants!$B$4,"",$AN264+$AO264+$AP264)</f>
        <v/>
      </c>
      <c r="CJ264" s="100" t="str">
        <f aca="false">IF(ISBLANK($C264),"",IF($BL264&lt;&gt;Constants!$B$4,$BL264,RANK($CI264,$CI$9:$CI$508,1)))</f>
        <v/>
      </c>
      <c r="CK264" s="100" t="str">
        <f aca="false">IF(ISBLANK($C264),"",IF($BL264&lt;&gt;Constants!$B$4,$BL264,COUNTIFS($BM$9:$BM$508,"&lt;"&amp;$BM264)+COUNTIFS($BM$9:$BM$508,$BM264,$CF$9:$CF$508,"&lt;"&amp;$CF264)+COUNTIFS($BM$9:$BM$508,$BM264,$CF$9:$CF$508,$CF264,$CH$9:$CH$508,"&lt;"&amp;$CH264)+COUNTIFS($BM$9:$BM$508,$BM264,$CF$9:$CF$508,$CF264,$CH$9:$CH$508,$CH264,$CJ$9:$CJ$508,"&lt;"&amp;$CJ264)+1))</f>
        <v/>
      </c>
      <c r="CL264" s="100" t="str">
        <f aca="false">IF(ISBLANK($C264),"",IF($BL264&lt;&gt;Constants!$B$4,$BL264,$CG264-$CK264))</f>
        <v/>
      </c>
      <c r="CM264" s="100" t="str">
        <f aca="false">IF(ISBLANK($C264),"",IF(NOT($AL264),"",IF(ISBLANK($D$7),$CM$5,IF(NOT(ISNUMBER($D$7)),$CM$6,""))))</f>
        <v/>
      </c>
      <c r="CN264" s="100" t="str">
        <f aca="false">IF(ISBLANK($C264),"",OR($AN264="",$AO264="",$AP264=""))</f>
        <v/>
      </c>
      <c r="CO264" s="100" t="str">
        <f aca="false">IF(ISBLANK($C264),"",AND($AL264,$BA264=""))</f>
        <v/>
      </c>
      <c r="CP264" s="100" t="str">
        <f aca="false">IF(ISBLANK($C264),"",AND($AL264,$BB264=""))</f>
        <v/>
      </c>
      <c r="CQ264" s="100" t="str">
        <f aca="false">IF(ISBLANK($C264),"",AND($AL264,$BC264=""))</f>
        <v/>
      </c>
      <c r="CR264" s="100" t="str">
        <f aca="false">IF(ISBLANK($C264),"",AND($AL264,$BF264=""))</f>
        <v/>
      </c>
      <c r="CS264" s="100" t="str">
        <f aca="false">IF(ISBLANK($C264),"",AND($AL264,$BJ264=""))</f>
        <v/>
      </c>
      <c r="CT264" s="101"/>
      <c r="CU264" s="102"/>
      <c r="CV264" s="103" t="str">
        <f aca="false">IF(ISBLANK($C264),"",IF($BL264=Constants!$B$8,$CM264,""))</f>
        <v/>
      </c>
      <c r="CW264" s="102" t="str">
        <f aca="false">IF(ISBLANK($C264),"",IF($BL264&lt;&gt;Constants!$B$4,"",$BO264+$BP264))</f>
        <v/>
      </c>
      <c r="CX264" s="104" t="str">
        <f aca="false">IF(ISBLANK($C264),"",IF($BL264&lt;&gt;Constants!$B$4,"",$BQ264+$BR264+$BS264))</f>
        <v/>
      </c>
      <c r="CY264" s="104" t="str">
        <f aca="false">IF(ISBLANK($C264),"",IF($BL264&lt;&gt;Constants!$B$4,"",$BT264))</f>
        <v/>
      </c>
      <c r="CZ264" s="104" t="str">
        <f aca="false">IF(ISBLANK($C264),"",IF($BL264&lt;&gt;Constants!$B$4,"",$BU264+$BV264))</f>
        <v/>
      </c>
      <c r="DA264" s="104" t="str">
        <f aca="false">IF(ISBLANK($C264),"",IF($BL264&lt;&gt;Constants!$B$4,"",$BW264))</f>
        <v/>
      </c>
      <c r="DB264" s="104" t="str">
        <f aca="false">IF(ISBLANK($C264),"",IF($BL264&lt;&gt;Constants!$B$4,"",-$CD264))</f>
        <v/>
      </c>
      <c r="DC264" s="103" t="str">
        <f aca="false">IF(ISBLANK($C264),"",$CE264)</f>
        <v/>
      </c>
      <c r="DD264" s="105" t="str">
        <f aca="false">IF(ISBLANK($C264),"",$BM264)</f>
        <v/>
      </c>
      <c r="DE264" s="104" t="str">
        <f aca="false">IF(ISBLANK($C264),"",$CL264)</f>
        <v/>
      </c>
      <c r="DF264" s="104" t="str">
        <f aca="false">IF(ISBLANK($C264),"",$CK264)</f>
        <v/>
      </c>
      <c r="DG264" s="106" t="str">
        <f aca="false">IF(ISBLANK($C264),"",IF($DF264=Constants!$B$7,COUNTA($C$9:$C$508)+2,IF($DF264=Constants!$B$6,COUNTA($C$9:$C$508)+1,IF($DF264=Constants!$B$5,COUNTA($C$9:$C$508),$DF264))))</f>
        <v/>
      </c>
      <c r="DH264" s="7"/>
      <c r="DI264" s="107" t="n">
        <f aca="false">IF(OR(ISNUMBER($DF264),$DF264=Constants!$B$7,$DF264=Constants!$B$5,$DF264=Constants!$B$6),1,0)</f>
        <v>0</v>
      </c>
      <c r="DJ264" s="107" t="n">
        <v>256</v>
      </c>
      <c r="DK264" s="107" t="str">
        <f aca="false">IF(ISBLANK($C264),"",IF(ISNUMBER($DG264),$DG264+ROW($B264)/1000,""))</f>
        <v/>
      </c>
      <c r="DL264" s="107" t="str">
        <f aca="false">IF(ISNUMBER($DK264),RANK($DK264,$DK$9:$DK$508,1),"")</f>
        <v/>
      </c>
      <c r="DM264" s="107" t="str">
        <f aca="false">IF(ISBLANK($C264),"",$B264)</f>
        <v/>
      </c>
      <c r="DN264" s="107" t="str">
        <f aca="false">IF(ISBLANK($C264),"",$C264)</f>
        <v/>
      </c>
      <c r="DO264" s="107" t="str">
        <f aca="false">IF(ISBLANK($C264),"",$D264)</f>
        <v/>
      </c>
      <c r="DP264" s="108" t="str">
        <f aca="false">$DD264</f>
        <v/>
      </c>
      <c r="DQ264" s="109" t="str">
        <f aca="false">$DC264</f>
        <v/>
      </c>
      <c r="DR264" s="107" t="str">
        <f aca="false">IF(ISBLANK($C264),"",$DF264)</f>
        <v/>
      </c>
      <c r="DS264" s="110" t="str">
        <f aca="false">IF($DJ264&gt;$DI$8,"",VLOOKUP($DJ264,$DL$9:$DR$508,7,FALSE()))</f>
        <v/>
      </c>
      <c r="DT264" s="111" t="str">
        <f aca="false">IF($DJ264&gt;$DI$8,"",VLOOKUP($DJ264,$DL$9:$DR$508,2,FALSE()))</f>
        <v/>
      </c>
      <c r="DU264" s="111" t="str">
        <f aca="false">IF($DJ264&gt;$DI$8,"",VLOOKUP($DJ264,$DL$9:$DR$508,3,FALSE()))</f>
        <v/>
      </c>
      <c r="DV264" s="111" t="str">
        <f aca="false">IF($DJ264&gt;$DI$8,"",VLOOKUP($DJ264,$DL$9:$DR$508,4,FALSE()))</f>
        <v/>
      </c>
      <c r="DW264" s="111" t="str">
        <f aca="false">IF($DJ264&gt;$DI$8,"",VLOOKUP($DJ264,$DL$9:$DR$508,5,FALSE()))</f>
        <v/>
      </c>
      <c r="DX264" s="112" t="str">
        <f aca="false">IF($DJ264&gt;$DI$8,"",VLOOKUP($DJ264,$DL$9:$DR$508,6,FALSE()))</f>
        <v/>
      </c>
      <c r="DY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130"/>
      <c r="N265" s="130"/>
      <c r="O265" s="135"/>
      <c r="P265" s="135"/>
      <c r="Q265" s="130"/>
      <c r="R265" s="130"/>
      <c r="S265" s="130"/>
      <c r="T265" s="130"/>
      <c r="U265" s="135"/>
      <c r="V265" s="130"/>
      <c r="W265" s="96"/>
      <c r="X265" s="130"/>
      <c r="Y265" s="130"/>
      <c r="Z265" s="96"/>
      <c r="AA265" s="96"/>
      <c r="AB265" s="130"/>
      <c r="AC265" s="130"/>
      <c r="AD265" s="130"/>
      <c r="AE265" s="97"/>
      <c r="AF265" s="130"/>
      <c r="AG265" s="99"/>
      <c r="AH265" s="100"/>
      <c r="AI265" s="100"/>
      <c r="AJ265" s="100" t="str">
        <f aca="false">IF(ISBLANK($C265),"",IF($E265=Constants!$B$2,TRUE(),IF($E265=Constants!$B$3,FALSE(),TRUE())))</f>
        <v/>
      </c>
      <c r="AK265" s="100" t="str">
        <f aca="false">IF(ISBLANK($C265),"",IF($F265=Constants!$B$2,TRUE(),IF($F265=Constants!$B$3,FALSE(),FALSE())))</f>
        <v/>
      </c>
      <c r="AL265" s="100" t="str">
        <f aca="false">IF(ISBLANK($C265),"",IF($G265=Constants!$B$2,TRUE(),IF($G265=Constants!$B$3,FALSE(),TRUE())))</f>
        <v/>
      </c>
      <c r="AM265" s="100" t="str">
        <f aca="false">IF(ISBLANK($C265),"",IF($H265=Constants!$B$2,TRUE(),IF($H265=Constants!$B$3,FALSE(),TRUE())))</f>
        <v/>
      </c>
      <c r="AN265" s="100" t="str">
        <f aca="false">IF(ISBLANK($C265),"",IF(ISNUMBER($I265),IF($I265&gt;=0,$I265,""),""))</f>
        <v/>
      </c>
      <c r="AO265" s="100" t="str">
        <f aca="false">IF(ISBLANK($C265),"",IF(ISNUMBER($J265),IF($J265&gt;=0,$J265,""),""))</f>
        <v/>
      </c>
      <c r="AP265" s="100" t="str">
        <f aca="false">IF(ISBLANK($C265),"",IF(ISNUMBER($K265),IF($K265&gt;=0,$K265,""),""))</f>
        <v/>
      </c>
      <c r="AQ265" s="100" t="str">
        <f aca="false">IF(ISBLANK($C265),"",IF($L265=Constants!$B$2,TRUE(),IF($L265=Constants!$B$3,FALSE(),TRUE())))</f>
        <v/>
      </c>
      <c r="AR265" s="100" t="str">
        <f aca="false">IF(ISBLANK($C265),"",IF($M265=Constants!$B$2,TRUE(),IF($M265=Constants!$B$3,FALSE(),TRUE())))</f>
        <v/>
      </c>
      <c r="AS265" s="100" t="str">
        <f aca="false">IF(ISBLANK($C265),"",IF($N265=Constants!$B$2,TRUE(),IF($N265=Constants!$B$3,FALSE(),FALSE())))</f>
        <v/>
      </c>
      <c r="AT265" s="100" t="str">
        <f aca="false">IF(ISBLANK($C265),"",IF($O265=Constants!$B$2,TRUE(),IF($O265=Constants!$B$3,FALSE(),TRUE())))</f>
        <v/>
      </c>
      <c r="AU265" s="100" t="str">
        <f aca="false">IF(ISBLANK($C265),"",IF($P265=Constants!$B$2,TRUE(),IF($P265=Constants!$B$3,FALSE(),TRUE())))</f>
        <v/>
      </c>
      <c r="AV265" s="100" t="str">
        <f aca="false">IF(ISBLANK($C265),"",IF($Q265=Constants!$B$2,TRUE(),IF($Q265=Constants!$B$3,FALSE(),FALSE())))</f>
        <v/>
      </c>
      <c r="AW265" s="100" t="str">
        <f aca="false">IF(ISBLANK($C265),"",IF($R265=Constants!$B$2,TRUE(),IF($R265=Constants!$B$3,FALSE(),FALSE())))</f>
        <v/>
      </c>
      <c r="AX265" s="100" t="str">
        <f aca="false">IF(ISBLANK($C265),"",IF($S265=Constants!$B$2,TRUE(),IF($S265=Constants!$B$3,FALSE(),FALSE())))</f>
        <v/>
      </c>
      <c r="AY265" s="100" t="str">
        <f aca="false">IF(ISBLANK($C265),"",IF($T265=Constants!$B$2,TRUE(),IF($T265=Constants!$B$3,FALSE(),FALSE())))</f>
        <v/>
      </c>
      <c r="AZ265" s="100" t="str">
        <f aca="false">IF(ISBLANK($C265),"",IF($U265=Constants!$B$2,TRUE(),IF($U265=Constants!$B$3,FALSE(),FALSE())))</f>
        <v/>
      </c>
      <c r="BA265" s="100" t="str">
        <f aca="false">IF(ISBLANK($C265),"",IF(OR($V265&amp;""="1",$V265&amp;""="2",$V265&amp;""="3",$V265&amp;""="4"),VALUE($V265&amp;""),IF($V265=Constants!$B$12,Constants!$B$12,"")))</f>
        <v/>
      </c>
      <c r="BB265" s="100" t="str">
        <f aca="false">IF(ISBLANK($C265),"",IF(ISBLANK($W265),0,IF(ISNUMBER($W265),IF(AND($W265&gt;=0,$W265&lt;=Constants!$B$21,$W265=INT($W265)),$W265,""),"")))</f>
        <v/>
      </c>
      <c r="BC265" s="100" t="str">
        <f aca="false">IF(ISBLANK($C265),"",IF(ISBLANK($X265),0,IF(ISNUMBER($X265),IF($X265&gt;=0,$X265,""),"")))</f>
        <v/>
      </c>
      <c r="BD265" s="100" t="str">
        <f aca="false">IF(ISBLANK($C265),"",IF($Y265=Constants!$B$2,TRUE(),IF($Y265=Constants!$B$3,FALSE(),TRUE())))</f>
        <v/>
      </c>
      <c r="BE265" s="100" t="str">
        <f aca="false">IF(ISBLANK($C265),"",IF($Z265=Constants!$B$2,TRUE(),IF($Z265=Constants!$B$3,FALSE(),FALSE())))</f>
        <v/>
      </c>
      <c r="BF265" s="100" t="str">
        <f aca="false">IF(ISBLANK($C265),"",IF(ISBLANK($AA265),0,IF(ISNUMBER($AA265),IF(AND($AA265&gt;=0,$AA265&lt;=Constants!$B$35,$AA265=INT($AA265)),$AA265,""),"")))</f>
        <v/>
      </c>
      <c r="BG265" s="100" t="str">
        <f aca="false">IF(ISBLANK($C265),"",IF($AB265=Constants!$B$2,TRUE(),IF($AB265=Constants!$B$3,FALSE(),TRUE())))</f>
        <v/>
      </c>
      <c r="BH265" s="100" t="str">
        <f aca="false">IF(ISBLANK($C265),"",IF($AC265=Constants!$B$2,TRUE(),IF($AC265=Constants!$B$3,FALSE(),TRUE())))</f>
        <v/>
      </c>
      <c r="BI265" s="100" t="str">
        <f aca="false">IF(ISBLANK($C265),"",IF($AD265=Constants!$B$2,TRUE(),IF($AD265=Constants!$B$3,FALSE(),TRUE())))</f>
        <v/>
      </c>
      <c r="BJ265" s="100" t="str">
        <f aca="false">IF(ISBLANK($C265),"",IF(ISNUMBER($AE265),IF($AE265&gt;=0,$AE265,""),""))</f>
        <v/>
      </c>
      <c r="BK265" s="100" t="str">
        <f aca="false">IF(ISBLANK($C265),"",IF($AF265=Constants!$B$2,TRUE(),IF($AF265=Constants!$B$3,FALSE(),FALSE())))</f>
        <v/>
      </c>
      <c r="BL265" s="99" t="str">
        <f aca="false">IF(ISBLANK($C265),"",IF($BK265,Constants!$B$7,IF(COUNTA($E265:$AE265)=0,Constants!$B$6,IF(OR(COUNTA($G265:$AE265)=0,NOT($AM265),$AS265),Constants!$B$5,IF(OR($CM265&lt;&gt;"",$CN265,$CO265,$CP265,$CQ265,$CR265,$CS265),Constants!$B$8,Constants!$B$4)))))</f>
        <v/>
      </c>
      <c r="BM265" s="100" t="str">
        <f aca="false">IF(ISBLANK($C265),"",IF($BL265&lt;&gt;Constants!$B$4,$BL265,IF(OR(NOT($AJ265),NOT($AL265),NOT($AT265)),Constants!$B$11,IF(OR(NOT($AR265),NOT($AU265),NOT($BI265),MAX($AN265,$AO265,$AP265)&gt;Constants!$B$30),Constants!$B$10,Constants!$B$9))))</f>
        <v/>
      </c>
      <c r="BN265" s="100" t="str">
        <f aca="false">IF($BL265&lt;&gt;Constants!$B$4,"",IF(NOT($AL265),0,MIN(Constants!$B$35,$BF265)))</f>
        <v/>
      </c>
      <c r="BO265" s="100" t="str">
        <f aca="false">IF($BL265&lt;&gt;Constants!$B$4,"",IF(NOT($AL265),0,IF($AW265,Constants!$B$18,IF($AV265,Constants!$B$17,0))))</f>
        <v/>
      </c>
      <c r="BP265" s="100" t="str">
        <f aca="false">IF($BL265&lt;&gt;Constants!$B$4,"",IF(NOT($AL265),0,Constants!$B$19*($AK265+$AX265+$AY265+$AZ265)))</f>
        <v/>
      </c>
      <c r="BQ265" s="100" t="str">
        <f aca="false">IF($BL265&lt;&gt;Constants!$B$4,"",IF(OR(NOT($AL265),NOT(ISNUMBER($BA265))),0,CHOOSE($BA265,Constants!$B$13,Constants!$B$14,Constants!$B$15,Constants!$B$16)))</f>
        <v/>
      </c>
      <c r="BR265" s="100" t="str">
        <f aca="false">IF($BL265&lt;&gt;Constants!$B$4,"",IF(NOT($AL265),0,Constants!$B$20*$BB265))</f>
        <v/>
      </c>
      <c r="BS265" s="100" t="str">
        <f aca="false">IF($BL265&lt;&gt;Constants!$B$4,"",IF(AND($AL265,$BD265,$BE265),Constants!$B$22,0))</f>
        <v/>
      </c>
      <c r="BT265" s="100" t="str">
        <f aca="false">IF($BL265&lt;&gt;Constants!$B$4,"",IF(OR(NOT($AL265),NOT($BD265)),0,IF($BJ265&gt;=2*$AH$9,0,Constants!$B$23*INT(ROUND(MIN($BJ265,$AH$9),6)))))</f>
        <v/>
      </c>
      <c r="BU265" s="100" t="str">
        <f aca="false">IF($BL265&lt;&gt;Constants!$B$4,"",IF(NOT($AL265),0,Constants!$B$24*INT(ROUND(MIN($BC265,$AH$9),6))))</f>
        <v/>
      </c>
      <c r="BV265" s="100" t="str">
        <f aca="false">IF($BL265&lt;&gt;Constants!$B$4,"",IF(AND($AL265,$BN265=0),Constants!$B$25,0))</f>
        <v/>
      </c>
      <c r="BW265" s="100" t="str">
        <f aca="false">IF($BL265&lt;&gt;Constants!$B$4,"",MIN(Constants!$B$29,MAX(0,Constants!$B$27*Constants!$B$28*INT(ROUND((Constants!$B$26-$AN265)/Constants!$B$28,6))))+MIN(Constants!$B$29,MAX(0,Constants!$B$27*Constants!$B$28*INT(ROUND((Constants!$B$26-$AO265)/Constants!$B$28,6))))+MIN(Constants!$B$29,MAX(0,Constants!$B$27*Constants!$B$28*INT(ROUND((Constants!$B$26-$AP265)/Constants!$B$28,6)))))</f>
        <v/>
      </c>
      <c r="BX265" s="100" t="str">
        <f aca="false">IF($BL265&lt;&gt;Constants!$B$4,"",IF(NOT($AL265),0,Constants!$B$31*INT(ROUND(MAX(0,MIN($BJ265,2*$AH$9)-$AH$9),6))))</f>
        <v/>
      </c>
      <c r="BY265" s="100" t="str">
        <f aca="false">IF($BL265&lt;&gt;Constants!$B$4,"",Constants!$B$32*(($AN265&gt;Constants!$B$26)+($AO265&gt;Constants!$B$26)+($AP265&gt;Constants!$B$26)))</f>
        <v/>
      </c>
      <c r="BZ265" s="100" t="str">
        <f aca="false">IF($BL265&lt;&gt;Constants!$B$4,"",IF(OR(NOT($AL265),$AQ265),0,Constants!$B$33))</f>
        <v/>
      </c>
      <c r="CA265" s="100" t="str">
        <f aca="false">IF($BL265&lt;&gt;Constants!$B$4,"",Constants!$B$34*$BN265)</f>
        <v/>
      </c>
      <c r="CB265" s="100" t="str">
        <f aca="false">IF($BL265&lt;&gt;Constants!$B$4,"",IF(OR(NOT($AL265),$BH265),0,Constants!$B$36))</f>
        <v/>
      </c>
      <c r="CC265" s="100" t="str">
        <f aca="false">IF($BL265&lt;&gt;Constants!$B$4,"",IF(OR(NOT($AL265),$BG265),0,Constants!$B$37))</f>
        <v/>
      </c>
      <c r="CD265" s="100" t="str">
        <f aca="false">IF($BL265&lt;&gt;Constants!$B$4,"",SUM($BX265:$CC265))</f>
        <v/>
      </c>
      <c r="CE265" s="100" t="str">
        <f aca="false">IF(ISBLANK($C265),"",IF($BL265&lt;&gt;Constants!$B$4,$BL265,SUM($BO265:$BW265)-$CD265))</f>
        <v/>
      </c>
      <c r="CF265" s="100" t="str">
        <f aca="false">IF(ISBLANK($C265),"",IF($BL265&lt;&gt;Constants!$B$4,$BL265,RANK($CE265,$CE$9:$CE$508)))</f>
        <v/>
      </c>
      <c r="CG265" s="100" t="str">
        <f aca="false">IF(ISBLANK($C265),"",IF($BL265&lt;&gt;Constants!$B$4,$BL265,COUNTIFS($BM$9:$BM$508,"&lt;"&amp;$BM265)+COUNTIFS($BM$9:$BM$508,$BM265,$CF$9:$CF$508,"&lt;"&amp;$CF265)+1))</f>
        <v/>
      </c>
      <c r="CH265" s="100" t="str">
        <f aca="false">IF(ISBLANK($C265),"",IF($BL265&lt;&gt;Constants!$B$4,$BL265,RANK($CD265,$CD$9:$CD$508,1)))</f>
        <v/>
      </c>
      <c r="CI265" s="100" t="str">
        <f aca="false">IF($BL265&lt;&gt;Constants!$B$4,"",$AN265+$AO265+$AP265)</f>
        <v/>
      </c>
      <c r="CJ265" s="100" t="str">
        <f aca="false">IF(ISBLANK($C265),"",IF($BL265&lt;&gt;Constants!$B$4,$BL265,RANK($CI265,$CI$9:$CI$508,1)))</f>
        <v/>
      </c>
      <c r="CK265" s="100" t="str">
        <f aca="false">IF(ISBLANK($C265),"",IF($BL265&lt;&gt;Constants!$B$4,$BL265,COUNTIFS($BM$9:$BM$508,"&lt;"&amp;$BM265)+COUNTIFS($BM$9:$BM$508,$BM265,$CF$9:$CF$508,"&lt;"&amp;$CF265)+COUNTIFS($BM$9:$BM$508,$BM265,$CF$9:$CF$508,$CF265,$CH$9:$CH$508,"&lt;"&amp;$CH265)+COUNTIFS($BM$9:$BM$508,$BM265,$CF$9:$CF$508,$CF265,$CH$9:$CH$508,$CH265,$CJ$9:$CJ$508,"&lt;"&amp;$CJ265)+1))</f>
        <v/>
      </c>
      <c r="CL265" s="100" t="str">
        <f aca="false">IF(ISBLANK($C265),"",IF($BL265&lt;&gt;Constants!$B$4,$BL265,$CG265-$CK265))</f>
        <v/>
      </c>
      <c r="CM265" s="100" t="str">
        <f aca="false">IF(ISBLANK($C265),"",IF(NOT($AL265),"",IF(ISBLANK($D$7),$CM$5,IF(NOT(ISNUMBER($D$7)),$CM$6,""))))</f>
        <v/>
      </c>
      <c r="CN265" s="100" t="str">
        <f aca="false">IF(ISBLANK($C265),"",OR($AN265="",$AO265="",$AP265=""))</f>
        <v/>
      </c>
      <c r="CO265" s="100" t="str">
        <f aca="false">IF(ISBLANK($C265),"",AND($AL265,$BA265=""))</f>
        <v/>
      </c>
      <c r="CP265" s="100" t="str">
        <f aca="false">IF(ISBLANK($C265),"",AND($AL265,$BB265=""))</f>
        <v/>
      </c>
      <c r="CQ265" s="100" t="str">
        <f aca="false">IF(ISBLANK($C265),"",AND($AL265,$BC265=""))</f>
        <v/>
      </c>
      <c r="CR265" s="100" t="str">
        <f aca="false">IF(ISBLANK($C265),"",AND($AL265,$BF265=""))</f>
        <v/>
      </c>
      <c r="CS265" s="100" t="str">
        <f aca="false">IF(ISBLANK($C265),"",AND($AL265,$BJ265=""))</f>
        <v/>
      </c>
      <c r="CT265" s="101"/>
      <c r="CU265" s="102"/>
      <c r="CV265" s="103" t="str">
        <f aca="false">IF(ISBLANK($C265),"",IF($BL265=Constants!$B$8,$CM265,""))</f>
        <v/>
      </c>
      <c r="CW265" s="102" t="str">
        <f aca="false">IF(ISBLANK($C265),"",IF($BL265&lt;&gt;Constants!$B$4,"",$BO265+$BP265))</f>
        <v/>
      </c>
      <c r="CX265" s="104" t="str">
        <f aca="false">IF(ISBLANK($C265),"",IF($BL265&lt;&gt;Constants!$B$4,"",$BQ265+$BR265+$BS265))</f>
        <v/>
      </c>
      <c r="CY265" s="104" t="str">
        <f aca="false">IF(ISBLANK($C265),"",IF($BL265&lt;&gt;Constants!$B$4,"",$BT265))</f>
        <v/>
      </c>
      <c r="CZ265" s="104" t="str">
        <f aca="false">IF(ISBLANK($C265),"",IF($BL265&lt;&gt;Constants!$B$4,"",$BU265+$BV265))</f>
        <v/>
      </c>
      <c r="DA265" s="104" t="str">
        <f aca="false">IF(ISBLANK($C265),"",IF($BL265&lt;&gt;Constants!$B$4,"",$BW265))</f>
        <v/>
      </c>
      <c r="DB265" s="104" t="str">
        <f aca="false">IF(ISBLANK($C265),"",IF($BL265&lt;&gt;Constants!$B$4,"",-$CD265))</f>
        <v/>
      </c>
      <c r="DC265" s="103" t="str">
        <f aca="false">IF(ISBLANK($C265),"",$CE265)</f>
        <v/>
      </c>
      <c r="DD265" s="105" t="str">
        <f aca="false">IF(ISBLANK($C265),"",$BM265)</f>
        <v/>
      </c>
      <c r="DE265" s="104" t="str">
        <f aca="false">IF(ISBLANK($C265),"",$CL265)</f>
        <v/>
      </c>
      <c r="DF265" s="104" t="str">
        <f aca="false">IF(ISBLANK($C265),"",$CK265)</f>
        <v/>
      </c>
      <c r="DG265" s="106" t="str">
        <f aca="false">IF(ISBLANK($C265),"",IF($DF265=Constants!$B$7,COUNTA($C$9:$C$508)+2,IF($DF265=Constants!$B$6,COUNTA($C$9:$C$508)+1,IF($DF265=Constants!$B$5,COUNTA($C$9:$C$508),$DF265))))</f>
        <v/>
      </c>
      <c r="DH265" s="7"/>
      <c r="DI265" s="107" t="n">
        <f aca="false">IF(OR(ISNUMBER($DF265),$DF265=Constants!$B$7,$DF265=Constants!$B$5,$DF265=Constants!$B$6),1,0)</f>
        <v>0</v>
      </c>
      <c r="DJ265" s="107" t="n">
        <v>257</v>
      </c>
      <c r="DK265" s="107" t="str">
        <f aca="false">IF(ISBLANK($C265),"",IF(ISNUMBER($DG265),$DG265+ROW($B265)/1000,""))</f>
        <v/>
      </c>
      <c r="DL265" s="107" t="str">
        <f aca="false">IF(ISNUMBER($DK265),RANK($DK265,$DK$9:$DK$508,1),"")</f>
        <v/>
      </c>
      <c r="DM265" s="107" t="str">
        <f aca="false">IF(ISBLANK($C265),"",$B265)</f>
        <v/>
      </c>
      <c r="DN265" s="107" t="str">
        <f aca="false">IF(ISBLANK($C265),"",$C265)</f>
        <v/>
      </c>
      <c r="DO265" s="107" t="str">
        <f aca="false">IF(ISBLANK($C265),"",$D265)</f>
        <v/>
      </c>
      <c r="DP265" s="108" t="str">
        <f aca="false">$DD265</f>
        <v/>
      </c>
      <c r="DQ265" s="109" t="str">
        <f aca="false">$DC265</f>
        <v/>
      </c>
      <c r="DR265" s="107" t="str">
        <f aca="false">IF(ISBLANK($C265),"",$DF265)</f>
        <v/>
      </c>
      <c r="DS265" s="110" t="str">
        <f aca="false">IF($DJ265&gt;$DI$8,"",VLOOKUP($DJ265,$DL$9:$DR$508,7,FALSE()))</f>
        <v/>
      </c>
      <c r="DT265" s="111" t="str">
        <f aca="false">IF($DJ265&gt;$DI$8,"",VLOOKUP($DJ265,$DL$9:$DR$508,2,FALSE()))</f>
        <v/>
      </c>
      <c r="DU265" s="111" t="str">
        <f aca="false">IF($DJ265&gt;$DI$8,"",VLOOKUP($DJ265,$DL$9:$DR$508,3,FALSE()))</f>
        <v/>
      </c>
      <c r="DV265" s="111" t="str">
        <f aca="false">IF($DJ265&gt;$DI$8,"",VLOOKUP($DJ265,$DL$9:$DR$508,4,FALSE()))</f>
        <v/>
      </c>
      <c r="DW265" s="111" t="str">
        <f aca="false">IF($DJ265&gt;$DI$8,"",VLOOKUP($DJ265,$DL$9:$DR$508,5,FALSE()))</f>
        <v/>
      </c>
      <c r="DX265" s="112" t="str">
        <f aca="false">IF($DJ265&gt;$DI$8,"",VLOOKUP($DJ265,$DL$9:$DR$508,6,FALSE()))</f>
        <v/>
      </c>
      <c r="DY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130"/>
      <c r="N266" s="130"/>
      <c r="O266" s="135"/>
      <c r="P266" s="135"/>
      <c r="Q266" s="130"/>
      <c r="R266" s="130"/>
      <c r="S266" s="130"/>
      <c r="T266" s="130"/>
      <c r="U266" s="135"/>
      <c r="V266" s="130"/>
      <c r="W266" s="96"/>
      <c r="X266" s="130"/>
      <c r="Y266" s="130"/>
      <c r="Z266" s="96"/>
      <c r="AA266" s="96"/>
      <c r="AB266" s="130"/>
      <c r="AC266" s="130"/>
      <c r="AD266" s="130"/>
      <c r="AE266" s="97"/>
      <c r="AF266" s="130"/>
      <c r="AG266" s="99"/>
      <c r="AH266" s="100"/>
      <c r="AI266" s="100"/>
      <c r="AJ266" s="100" t="str">
        <f aca="false">IF(ISBLANK($C266),"",IF($E266=Constants!$B$2,TRUE(),IF($E266=Constants!$B$3,FALSE(),TRUE())))</f>
        <v/>
      </c>
      <c r="AK266" s="100" t="str">
        <f aca="false">IF(ISBLANK($C266),"",IF($F266=Constants!$B$2,TRUE(),IF($F266=Constants!$B$3,FALSE(),FALSE())))</f>
        <v/>
      </c>
      <c r="AL266" s="100" t="str">
        <f aca="false">IF(ISBLANK($C266),"",IF($G266=Constants!$B$2,TRUE(),IF($G266=Constants!$B$3,FALSE(),TRUE())))</f>
        <v/>
      </c>
      <c r="AM266" s="100" t="str">
        <f aca="false">IF(ISBLANK($C266),"",IF($H266=Constants!$B$2,TRUE(),IF($H266=Constants!$B$3,FALSE(),TRUE())))</f>
        <v/>
      </c>
      <c r="AN266" s="100" t="str">
        <f aca="false">IF(ISBLANK($C266),"",IF(ISNUMBER($I266),IF($I266&gt;=0,$I266,""),""))</f>
        <v/>
      </c>
      <c r="AO266" s="100" t="str">
        <f aca="false">IF(ISBLANK($C266),"",IF(ISNUMBER($J266),IF($J266&gt;=0,$J266,""),""))</f>
        <v/>
      </c>
      <c r="AP266" s="100" t="str">
        <f aca="false">IF(ISBLANK($C266),"",IF(ISNUMBER($K266),IF($K266&gt;=0,$K266,""),""))</f>
        <v/>
      </c>
      <c r="AQ266" s="100" t="str">
        <f aca="false">IF(ISBLANK($C266),"",IF($L266=Constants!$B$2,TRUE(),IF($L266=Constants!$B$3,FALSE(),TRUE())))</f>
        <v/>
      </c>
      <c r="AR266" s="100" t="str">
        <f aca="false">IF(ISBLANK($C266),"",IF($M266=Constants!$B$2,TRUE(),IF($M266=Constants!$B$3,FALSE(),TRUE())))</f>
        <v/>
      </c>
      <c r="AS266" s="100" t="str">
        <f aca="false">IF(ISBLANK($C266),"",IF($N266=Constants!$B$2,TRUE(),IF($N266=Constants!$B$3,FALSE(),FALSE())))</f>
        <v/>
      </c>
      <c r="AT266" s="100" t="str">
        <f aca="false">IF(ISBLANK($C266),"",IF($O266=Constants!$B$2,TRUE(),IF($O266=Constants!$B$3,FALSE(),TRUE())))</f>
        <v/>
      </c>
      <c r="AU266" s="100" t="str">
        <f aca="false">IF(ISBLANK($C266),"",IF($P266=Constants!$B$2,TRUE(),IF($P266=Constants!$B$3,FALSE(),TRUE())))</f>
        <v/>
      </c>
      <c r="AV266" s="100" t="str">
        <f aca="false">IF(ISBLANK($C266),"",IF($Q266=Constants!$B$2,TRUE(),IF($Q266=Constants!$B$3,FALSE(),FALSE())))</f>
        <v/>
      </c>
      <c r="AW266" s="100" t="str">
        <f aca="false">IF(ISBLANK($C266),"",IF($R266=Constants!$B$2,TRUE(),IF($R266=Constants!$B$3,FALSE(),FALSE())))</f>
        <v/>
      </c>
      <c r="AX266" s="100" t="str">
        <f aca="false">IF(ISBLANK($C266),"",IF($S266=Constants!$B$2,TRUE(),IF($S266=Constants!$B$3,FALSE(),FALSE())))</f>
        <v/>
      </c>
      <c r="AY266" s="100" t="str">
        <f aca="false">IF(ISBLANK($C266),"",IF($T266=Constants!$B$2,TRUE(),IF($T266=Constants!$B$3,FALSE(),FALSE())))</f>
        <v/>
      </c>
      <c r="AZ266" s="100" t="str">
        <f aca="false">IF(ISBLANK($C266),"",IF($U266=Constants!$B$2,TRUE(),IF($U266=Constants!$B$3,FALSE(),FALSE())))</f>
        <v/>
      </c>
      <c r="BA266" s="100" t="str">
        <f aca="false">IF(ISBLANK($C266),"",IF(OR($V266&amp;""="1",$V266&amp;""="2",$V266&amp;""="3",$V266&amp;""="4"),VALUE($V266&amp;""),IF($V266=Constants!$B$12,Constants!$B$12,"")))</f>
        <v/>
      </c>
      <c r="BB266" s="100" t="str">
        <f aca="false">IF(ISBLANK($C266),"",IF(ISBLANK($W266),0,IF(ISNUMBER($W266),IF(AND($W266&gt;=0,$W266&lt;=Constants!$B$21,$W266=INT($W266)),$W266,""),"")))</f>
        <v/>
      </c>
      <c r="BC266" s="100" t="str">
        <f aca="false">IF(ISBLANK($C266),"",IF(ISBLANK($X266),0,IF(ISNUMBER($X266),IF($X266&gt;=0,$X266,""),"")))</f>
        <v/>
      </c>
      <c r="BD266" s="100" t="str">
        <f aca="false">IF(ISBLANK($C266),"",IF($Y266=Constants!$B$2,TRUE(),IF($Y266=Constants!$B$3,FALSE(),TRUE())))</f>
        <v/>
      </c>
      <c r="BE266" s="100" t="str">
        <f aca="false">IF(ISBLANK($C266),"",IF($Z266=Constants!$B$2,TRUE(),IF($Z266=Constants!$B$3,FALSE(),FALSE())))</f>
        <v/>
      </c>
      <c r="BF266" s="100" t="str">
        <f aca="false">IF(ISBLANK($C266),"",IF(ISBLANK($AA266),0,IF(ISNUMBER($AA266),IF(AND($AA266&gt;=0,$AA266&lt;=Constants!$B$35,$AA266=INT($AA266)),$AA266,""),"")))</f>
        <v/>
      </c>
      <c r="BG266" s="100" t="str">
        <f aca="false">IF(ISBLANK($C266),"",IF($AB266=Constants!$B$2,TRUE(),IF($AB266=Constants!$B$3,FALSE(),TRUE())))</f>
        <v/>
      </c>
      <c r="BH266" s="100" t="str">
        <f aca="false">IF(ISBLANK($C266),"",IF($AC266=Constants!$B$2,TRUE(),IF($AC266=Constants!$B$3,FALSE(),TRUE())))</f>
        <v/>
      </c>
      <c r="BI266" s="100" t="str">
        <f aca="false">IF(ISBLANK($C266),"",IF($AD266=Constants!$B$2,TRUE(),IF($AD266=Constants!$B$3,FALSE(),TRUE())))</f>
        <v/>
      </c>
      <c r="BJ266" s="100" t="str">
        <f aca="false">IF(ISBLANK($C266),"",IF(ISNUMBER($AE266),IF($AE266&gt;=0,$AE266,""),""))</f>
        <v/>
      </c>
      <c r="BK266" s="100" t="str">
        <f aca="false">IF(ISBLANK($C266),"",IF($AF266=Constants!$B$2,TRUE(),IF($AF266=Constants!$B$3,FALSE(),FALSE())))</f>
        <v/>
      </c>
      <c r="BL266" s="99" t="str">
        <f aca="false">IF(ISBLANK($C266),"",IF($BK266,Constants!$B$7,IF(COUNTA($E266:$AE266)=0,Constants!$B$6,IF(OR(COUNTA($G266:$AE266)=0,NOT($AM266),$AS266),Constants!$B$5,IF(OR($CM266&lt;&gt;"",$CN266,$CO266,$CP266,$CQ266,$CR266,$CS266),Constants!$B$8,Constants!$B$4)))))</f>
        <v/>
      </c>
      <c r="BM266" s="100" t="str">
        <f aca="false">IF(ISBLANK($C266),"",IF($BL266&lt;&gt;Constants!$B$4,$BL266,IF(OR(NOT($AJ266),NOT($AL266),NOT($AT266)),Constants!$B$11,IF(OR(NOT($AR266),NOT($AU266),NOT($BI266),MAX($AN266,$AO266,$AP266)&gt;Constants!$B$30),Constants!$B$10,Constants!$B$9))))</f>
        <v/>
      </c>
      <c r="BN266" s="100" t="str">
        <f aca="false">IF($BL266&lt;&gt;Constants!$B$4,"",IF(NOT($AL266),0,MIN(Constants!$B$35,$BF266)))</f>
        <v/>
      </c>
      <c r="BO266" s="100" t="str">
        <f aca="false">IF($BL266&lt;&gt;Constants!$B$4,"",IF(NOT($AL266),0,IF($AW266,Constants!$B$18,IF($AV266,Constants!$B$17,0))))</f>
        <v/>
      </c>
      <c r="BP266" s="100" t="str">
        <f aca="false">IF($BL266&lt;&gt;Constants!$B$4,"",IF(NOT($AL266),0,Constants!$B$19*($AK266+$AX266+$AY266+$AZ266)))</f>
        <v/>
      </c>
      <c r="BQ266" s="100" t="str">
        <f aca="false">IF($BL266&lt;&gt;Constants!$B$4,"",IF(OR(NOT($AL266),NOT(ISNUMBER($BA266))),0,CHOOSE($BA266,Constants!$B$13,Constants!$B$14,Constants!$B$15,Constants!$B$16)))</f>
        <v/>
      </c>
      <c r="BR266" s="100" t="str">
        <f aca="false">IF($BL266&lt;&gt;Constants!$B$4,"",IF(NOT($AL266),0,Constants!$B$20*$BB266))</f>
        <v/>
      </c>
      <c r="BS266" s="100" t="str">
        <f aca="false">IF($BL266&lt;&gt;Constants!$B$4,"",IF(AND($AL266,$BD266,$BE266),Constants!$B$22,0))</f>
        <v/>
      </c>
      <c r="BT266" s="100" t="str">
        <f aca="false">IF($BL266&lt;&gt;Constants!$B$4,"",IF(OR(NOT($AL266),NOT($BD266)),0,IF($BJ266&gt;=2*$AH$9,0,Constants!$B$23*INT(ROUND(MIN($BJ266,$AH$9),6)))))</f>
        <v/>
      </c>
      <c r="BU266" s="100" t="str">
        <f aca="false">IF($BL266&lt;&gt;Constants!$B$4,"",IF(NOT($AL266),0,Constants!$B$24*INT(ROUND(MIN($BC266,$AH$9),6))))</f>
        <v/>
      </c>
      <c r="BV266" s="100" t="str">
        <f aca="false">IF($BL266&lt;&gt;Constants!$B$4,"",IF(AND($AL266,$BN266=0),Constants!$B$25,0))</f>
        <v/>
      </c>
      <c r="BW266" s="100" t="str">
        <f aca="false">IF($BL266&lt;&gt;Constants!$B$4,"",MIN(Constants!$B$29,MAX(0,Constants!$B$27*Constants!$B$28*INT(ROUND((Constants!$B$26-$AN266)/Constants!$B$28,6))))+MIN(Constants!$B$29,MAX(0,Constants!$B$27*Constants!$B$28*INT(ROUND((Constants!$B$26-$AO266)/Constants!$B$28,6))))+MIN(Constants!$B$29,MAX(0,Constants!$B$27*Constants!$B$28*INT(ROUND((Constants!$B$26-$AP266)/Constants!$B$28,6)))))</f>
        <v/>
      </c>
      <c r="BX266" s="100" t="str">
        <f aca="false">IF($BL266&lt;&gt;Constants!$B$4,"",IF(NOT($AL266),0,Constants!$B$31*INT(ROUND(MAX(0,MIN($BJ266,2*$AH$9)-$AH$9),6))))</f>
        <v/>
      </c>
      <c r="BY266" s="100" t="str">
        <f aca="false">IF($BL266&lt;&gt;Constants!$B$4,"",Constants!$B$32*(($AN266&gt;Constants!$B$26)+($AO266&gt;Constants!$B$26)+($AP266&gt;Constants!$B$26)))</f>
        <v/>
      </c>
      <c r="BZ266" s="100" t="str">
        <f aca="false">IF($BL266&lt;&gt;Constants!$B$4,"",IF(OR(NOT($AL266),$AQ266),0,Constants!$B$33))</f>
        <v/>
      </c>
      <c r="CA266" s="100" t="str">
        <f aca="false">IF($BL266&lt;&gt;Constants!$B$4,"",Constants!$B$34*$BN266)</f>
        <v/>
      </c>
      <c r="CB266" s="100" t="str">
        <f aca="false">IF($BL266&lt;&gt;Constants!$B$4,"",IF(OR(NOT($AL266),$BH266),0,Constants!$B$36))</f>
        <v/>
      </c>
      <c r="CC266" s="100" t="str">
        <f aca="false">IF($BL266&lt;&gt;Constants!$B$4,"",IF(OR(NOT($AL266),$BG266),0,Constants!$B$37))</f>
        <v/>
      </c>
      <c r="CD266" s="100" t="str">
        <f aca="false">IF($BL266&lt;&gt;Constants!$B$4,"",SUM($BX266:$CC266))</f>
        <v/>
      </c>
      <c r="CE266" s="100" t="str">
        <f aca="false">IF(ISBLANK($C266),"",IF($BL266&lt;&gt;Constants!$B$4,$BL266,SUM($BO266:$BW266)-$CD266))</f>
        <v/>
      </c>
      <c r="CF266" s="100" t="str">
        <f aca="false">IF(ISBLANK($C266),"",IF($BL266&lt;&gt;Constants!$B$4,$BL266,RANK($CE266,$CE$9:$CE$508)))</f>
        <v/>
      </c>
      <c r="CG266" s="100" t="str">
        <f aca="false">IF(ISBLANK($C266),"",IF($BL266&lt;&gt;Constants!$B$4,$BL266,COUNTIFS($BM$9:$BM$508,"&lt;"&amp;$BM266)+COUNTIFS($BM$9:$BM$508,$BM266,$CF$9:$CF$508,"&lt;"&amp;$CF266)+1))</f>
        <v/>
      </c>
      <c r="CH266" s="100" t="str">
        <f aca="false">IF(ISBLANK($C266),"",IF($BL266&lt;&gt;Constants!$B$4,$BL266,RANK($CD266,$CD$9:$CD$508,1)))</f>
        <v/>
      </c>
      <c r="CI266" s="100" t="str">
        <f aca="false">IF($BL266&lt;&gt;Constants!$B$4,"",$AN266+$AO266+$AP266)</f>
        <v/>
      </c>
      <c r="CJ266" s="100" t="str">
        <f aca="false">IF(ISBLANK($C266),"",IF($BL266&lt;&gt;Constants!$B$4,$BL266,RANK($CI266,$CI$9:$CI$508,1)))</f>
        <v/>
      </c>
      <c r="CK266" s="100" t="str">
        <f aca="false">IF(ISBLANK($C266),"",IF($BL266&lt;&gt;Constants!$B$4,$BL266,COUNTIFS($BM$9:$BM$508,"&lt;"&amp;$BM266)+COUNTIFS($BM$9:$BM$508,$BM266,$CF$9:$CF$508,"&lt;"&amp;$CF266)+COUNTIFS($BM$9:$BM$508,$BM266,$CF$9:$CF$508,$CF266,$CH$9:$CH$508,"&lt;"&amp;$CH266)+COUNTIFS($BM$9:$BM$508,$BM266,$CF$9:$CF$508,$CF266,$CH$9:$CH$508,$CH266,$CJ$9:$CJ$508,"&lt;"&amp;$CJ266)+1))</f>
        <v/>
      </c>
      <c r="CL266" s="100" t="str">
        <f aca="false">IF(ISBLANK($C266),"",IF($BL266&lt;&gt;Constants!$B$4,$BL266,$CG266-$CK266))</f>
        <v/>
      </c>
      <c r="CM266" s="100" t="str">
        <f aca="false">IF(ISBLANK($C266),"",IF(NOT($AL266),"",IF(ISBLANK($D$7),$CM$5,IF(NOT(ISNUMBER($D$7)),$CM$6,""))))</f>
        <v/>
      </c>
      <c r="CN266" s="100" t="str">
        <f aca="false">IF(ISBLANK($C266),"",OR($AN266="",$AO266="",$AP266=""))</f>
        <v/>
      </c>
      <c r="CO266" s="100" t="str">
        <f aca="false">IF(ISBLANK($C266),"",AND($AL266,$BA266=""))</f>
        <v/>
      </c>
      <c r="CP266" s="100" t="str">
        <f aca="false">IF(ISBLANK($C266),"",AND($AL266,$BB266=""))</f>
        <v/>
      </c>
      <c r="CQ266" s="100" t="str">
        <f aca="false">IF(ISBLANK($C266),"",AND($AL266,$BC266=""))</f>
        <v/>
      </c>
      <c r="CR266" s="100" t="str">
        <f aca="false">IF(ISBLANK($C266),"",AND($AL266,$BF266=""))</f>
        <v/>
      </c>
      <c r="CS266" s="100" t="str">
        <f aca="false">IF(ISBLANK($C266),"",AND($AL266,$BJ266=""))</f>
        <v/>
      </c>
      <c r="CT266" s="101"/>
      <c r="CU266" s="102"/>
      <c r="CV266" s="103" t="str">
        <f aca="false">IF(ISBLANK($C266),"",IF($BL266=Constants!$B$8,$CM266,""))</f>
        <v/>
      </c>
      <c r="CW266" s="102" t="str">
        <f aca="false">IF(ISBLANK($C266),"",IF($BL266&lt;&gt;Constants!$B$4,"",$BO266+$BP266))</f>
        <v/>
      </c>
      <c r="CX266" s="104" t="str">
        <f aca="false">IF(ISBLANK($C266),"",IF($BL266&lt;&gt;Constants!$B$4,"",$BQ266+$BR266+$BS266))</f>
        <v/>
      </c>
      <c r="CY266" s="104" t="str">
        <f aca="false">IF(ISBLANK($C266),"",IF($BL266&lt;&gt;Constants!$B$4,"",$BT266))</f>
        <v/>
      </c>
      <c r="CZ266" s="104" t="str">
        <f aca="false">IF(ISBLANK($C266),"",IF($BL266&lt;&gt;Constants!$B$4,"",$BU266+$BV266))</f>
        <v/>
      </c>
      <c r="DA266" s="104" t="str">
        <f aca="false">IF(ISBLANK($C266),"",IF($BL266&lt;&gt;Constants!$B$4,"",$BW266))</f>
        <v/>
      </c>
      <c r="DB266" s="104" t="str">
        <f aca="false">IF(ISBLANK($C266),"",IF($BL266&lt;&gt;Constants!$B$4,"",-$CD266))</f>
        <v/>
      </c>
      <c r="DC266" s="103" t="str">
        <f aca="false">IF(ISBLANK($C266),"",$CE266)</f>
        <v/>
      </c>
      <c r="DD266" s="105" t="str">
        <f aca="false">IF(ISBLANK($C266),"",$BM266)</f>
        <v/>
      </c>
      <c r="DE266" s="104" t="str">
        <f aca="false">IF(ISBLANK($C266),"",$CL266)</f>
        <v/>
      </c>
      <c r="DF266" s="104" t="str">
        <f aca="false">IF(ISBLANK($C266),"",$CK266)</f>
        <v/>
      </c>
      <c r="DG266" s="106" t="str">
        <f aca="false">IF(ISBLANK($C266),"",IF($DF266=Constants!$B$7,COUNTA($C$9:$C$508)+2,IF($DF266=Constants!$B$6,COUNTA($C$9:$C$508)+1,IF($DF266=Constants!$B$5,COUNTA($C$9:$C$508),$DF266))))</f>
        <v/>
      </c>
      <c r="DH266" s="7"/>
      <c r="DI266" s="107" t="n">
        <f aca="false">IF(OR(ISNUMBER($DF266),$DF266=Constants!$B$7,$DF266=Constants!$B$5,$DF266=Constants!$B$6),1,0)</f>
        <v>0</v>
      </c>
      <c r="DJ266" s="107" t="n">
        <v>258</v>
      </c>
      <c r="DK266" s="107" t="str">
        <f aca="false">IF(ISBLANK($C266),"",IF(ISNUMBER($DG266),$DG266+ROW($B266)/1000,""))</f>
        <v/>
      </c>
      <c r="DL266" s="107" t="str">
        <f aca="false">IF(ISNUMBER($DK266),RANK($DK266,$DK$9:$DK$508,1),"")</f>
        <v/>
      </c>
      <c r="DM266" s="107" t="str">
        <f aca="false">IF(ISBLANK($C266),"",$B266)</f>
        <v/>
      </c>
      <c r="DN266" s="107" t="str">
        <f aca="false">IF(ISBLANK($C266),"",$C266)</f>
        <v/>
      </c>
      <c r="DO266" s="107" t="str">
        <f aca="false">IF(ISBLANK($C266),"",$D266)</f>
        <v/>
      </c>
      <c r="DP266" s="108" t="str">
        <f aca="false">$DD266</f>
        <v/>
      </c>
      <c r="DQ266" s="109" t="str">
        <f aca="false">$DC266</f>
        <v/>
      </c>
      <c r="DR266" s="107" t="str">
        <f aca="false">IF(ISBLANK($C266),"",$DF266)</f>
        <v/>
      </c>
      <c r="DS266" s="110" t="str">
        <f aca="false">IF($DJ266&gt;$DI$8,"",VLOOKUP($DJ266,$DL$9:$DR$508,7,FALSE()))</f>
        <v/>
      </c>
      <c r="DT266" s="111" t="str">
        <f aca="false">IF($DJ266&gt;$DI$8,"",VLOOKUP($DJ266,$DL$9:$DR$508,2,FALSE()))</f>
        <v/>
      </c>
      <c r="DU266" s="111" t="str">
        <f aca="false">IF($DJ266&gt;$DI$8,"",VLOOKUP($DJ266,$DL$9:$DR$508,3,FALSE()))</f>
        <v/>
      </c>
      <c r="DV266" s="111" t="str">
        <f aca="false">IF($DJ266&gt;$DI$8,"",VLOOKUP($DJ266,$DL$9:$DR$508,4,FALSE()))</f>
        <v/>
      </c>
      <c r="DW266" s="111" t="str">
        <f aca="false">IF($DJ266&gt;$DI$8,"",VLOOKUP($DJ266,$DL$9:$DR$508,5,FALSE()))</f>
        <v/>
      </c>
      <c r="DX266" s="112" t="str">
        <f aca="false">IF($DJ266&gt;$DI$8,"",VLOOKUP($DJ266,$DL$9:$DR$508,6,FALSE()))</f>
        <v/>
      </c>
      <c r="DY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88"/>
      <c r="N267" s="88"/>
      <c r="O267" s="134"/>
      <c r="P267" s="134"/>
      <c r="Q267" s="88"/>
      <c r="R267" s="88"/>
      <c r="S267" s="88"/>
      <c r="T267" s="88"/>
      <c r="U267" s="134"/>
      <c r="V267" s="88"/>
      <c r="W267" s="70"/>
      <c r="X267" s="88"/>
      <c r="Y267" s="88"/>
      <c r="Z267" s="70"/>
      <c r="AA267" s="70"/>
      <c r="AB267" s="88"/>
      <c r="AC267" s="88"/>
      <c r="AD267" s="88"/>
      <c r="AE267" s="71"/>
      <c r="AF267" s="88"/>
      <c r="AG267" s="73"/>
      <c r="AH267" s="74"/>
      <c r="AI267" s="74"/>
      <c r="AJ267" s="74" t="str">
        <f aca="false">IF(ISBLANK($C267),"",IF($E267=Constants!$B$2,TRUE(),IF($E267=Constants!$B$3,FALSE(),TRUE())))</f>
        <v/>
      </c>
      <c r="AK267" s="74" t="str">
        <f aca="false">IF(ISBLANK($C267),"",IF($F267=Constants!$B$2,TRUE(),IF($F267=Constants!$B$3,FALSE(),FALSE())))</f>
        <v/>
      </c>
      <c r="AL267" s="74" t="str">
        <f aca="false">IF(ISBLANK($C267),"",IF($G267=Constants!$B$2,TRUE(),IF($G267=Constants!$B$3,FALSE(),TRUE())))</f>
        <v/>
      </c>
      <c r="AM267" s="74" t="str">
        <f aca="false">IF(ISBLANK($C267),"",IF($H267=Constants!$B$2,TRUE(),IF($H267=Constants!$B$3,FALSE(),TRUE())))</f>
        <v/>
      </c>
      <c r="AN267" s="74" t="str">
        <f aca="false">IF(ISBLANK($C267),"",IF(ISNUMBER($I267),IF($I267&gt;=0,$I267,""),""))</f>
        <v/>
      </c>
      <c r="AO267" s="74" t="str">
        <f aca="false">IF(ISBLANK($C267),"",IF(ISNUMBER($J267),IF($J267&gt;=0,$J267,""),""))</f>
        <v/>
      </c>
      <c r="AP267" s="74" t="str">
        <f aca="false">IF(ISBLANK($C267),"",IF(ISNUMBER($K267),IF($K267&gt;=0,$K267,""),""))</f>
        <v/>
      </c>
      <c r="AQ267" s="74" t="str">
        <f aca="false">IF(ISBLANK($C267),"",IF($L267=Constants!$B$2,TRUE(),IF($L267=Constants!$B$3,FALSE(),TRUE())))</f>
        <v/>
      </c>
      <c r="AR267" s="74" t="str">
        <f aca="false">IF(ISBLANK($C267),"",IF($M267=Constants!$B$2,TRUE(),IF($M267=Constants!$B$3,FALSE(),TRUE())))</f>
        <v/>
      </c>
      <c r="AS267" s="74" t="str">
        <f aca="false">IF(ISBLANK($C267),"",IF($N267=Constants!$B$2,TRUE(),IF($N267=Constants!$B$3,FALSE(),FALSE())))</f>
        <v/>
      </c>
      <c r="AT267" s="74" t="str">
        <f aca="false">IF(ISBLANK($C267),"",IF($O267=Constants!$B$2,TRUE(),IF($O267=Constants!$B$3,FALSE(),TRUE())))</f>
        <v/>
      </c>
      <c r="AU267" s="74" t="str">
        <f aca="false">IF(ISBLANK($C267),"",IF($P267=Constants!$B$2,TRUE(),IF($P267=Constants!$B$3,FALSE(),TRUE())))</f>
        <v/>
      </c>
      <c r="AV267" s="74" t="str">
        <f aca="false">IF(ISBLANK($C267),"",IF($Q267=Constants!$B$2,TRUE(),IF($Q267=Constants!$B$3,FALSE(),FALSE())))</f>
        <v/>
      </c>
      <c r="AW267" s="74" t="str">
        <f aca="false">IF(ISBLANK($C267),"",IF($R267=Constants!$B$2,TRUE(),IF($R267=Constants!$B$3,FALSE(),FALSE())))</f>
        <v/>
      </c>
      <c r="AX267" s="74" t="str">
        <f aca="false">IF(ISBLANK($C267),"",IF($S267=Constants!$B$2,TRUE(),IF($S267=Constants!$B$3,FALSE(),FALSE())))</f>
        <v/>
      </c>
      <c r="AY267" s="74" t="str">
        <f aca="false">IF(ISBLANK($C267),"",IF($T267=Constants!$B$2,TRUE(),IF($T267=Constants!$B$3,FALSE(),FALSE())))</f>
        <v/>
      </c>
      <c r="AZ267" s="74" t="str">
        <f aca="false">IF(ISBLANK($C267),"",IF($U267=Constants!$B$2,TRUE(),IF($U267=Constants!$B$3,FALSE(),FALSE())))</f>
        <v/>
      </c>
      <c r="BA267" s="74" t="str">
        <f aca="false">IF(ISBLANK($C267),"",IF(OR($V267&amp;""="1",$V267&amp;""="2",$V267&amp;""="3",$V267&amp;""="4"),VALUE($V267&amp;""),IF($V267=Constants!$B$12,Constants!$B$12,"")))</f>
        <v/>
      </c>
      <c r="BB267" s="74" t="str">
        <f aca="false">IF(ISBLANK($C267),"",IF(ISBLANK($W267),0,IF(ISNUMBER($W267),IF(AND($W267&gt;=0,$W267&lt;=Constants!$B$21,$W267=INT($W267)),$W267,""),"")))</f>
        <v/>
      </c>
      <c r="BC267" s="74" t="str">
        <f aca="false">IF(ISBLANK($C267),"",IF(ISBLANK($X267),0,IF(ISNUMBER($X267),IF($X267&gt;=0,$X267,""),"")))</f>
        <v/>
      </c>
      <c r="BD267" s="74" t="str">
        <f aca="false">IF(ISBLANK($C267),"",IF($Y267=Constants!$B$2,TRUE(),IF($Y267=Constants!$B$3,FALSE(),TRUE())))</f>
        <v/>
      </c>
      <c r="BE267" s="74" t="str">
        <f aca="false">IF(ISBLANK($C267),"",IF($Z267=Constants!$B$2,TRUE(),IF($Z267=Constants!$B$3,FALSE(),FALSE())))</f>
        <v/>
      </c>
      <c r="BF267" s="74" t="str">
        <f aca="false">IF(ISBLANK($C267),"",IF(ISBLANK($AA267),0,IF(ISNUMBER($AA267),IF(AND($AA267&gt;=0,$AA267&lt;=Constants!$B$35,$AA267=INT($AA267)),$AA267,""),"")))</f>
        <v/>
      </c>
      <c r="BG267" s="74" t="str">
        <f aca="false">IF(ISBLANK($C267),"",IF($AB267=Constants!$B$2,TRUE(),IF($AB267=Constants!$B$3,FALSE(),TRUE())))</f>
        <v/>
      </c>
      <c r="BH267" s="74" t="str">
        <f aca="false">IF(ISBLANK($C267),"",IF($AC267=Constants!$B$2,TRUE(),IF($AC267=Constants!$B$3,FALSE(),TRUE())))</f>
        <v/>
      </c>
      <c r="BI267" s="74" t="str">
        <f aca="false">IF(ISBLANK($C267),"",IF($AD267=Constants!$B$2,TRUE(),IF($AD267=Constants!$B$3,FALSE(),TRUE())))</f>
        <v/>
      </c>
      <c r="BJ267" s="74" t="str">
        <f aca="false">IF(ISBLANK($C267),"",IF(ISNUMBER($AE267),IF($AE267&gt;=0,$AE267,""),""))</f>
        <v/>
      </c>
      <c r="BK267" s="74" t="str">
        <f aca="false">IF(ISBLANK($C267),"",IF($AF267=Constants!$B$2,TRUE(),IF($AF267=Constants!$B$3,FALSE(),FALSE())))</f>
        <v/>
      </c>
      <c r="BL267" s="73" t="str">
        <f aca="false">IF(ISBLANK($C267),"",IF($BK267,Constants!$B$7,IF(COUNTA($E267:$AE267)=0,Constants!$B$6,IF(OR(COUNTA($G267:$AE267)=0,NOT($AM267),$AS267),Constants!$B$5,IF(OR($CM267&lt;&gt;"",$CN267,$CO267,$CP267,$CQ267,$CR267,$CS267),Constants!$B$8,Constants!$B$4)))))</f>
        <v/>
      </c>
      <c r="BM267" s="74" t="str">
        <f aca="false">IF(ISBLANK($C267),"",IF($BL267&lt;&gt;Constants!$B$4,$BL267,IF(OR(NOT($AJ267),NOT($AL267),NOT($AT267)),Constants!$B$11,IF(OR(NOT($AR267),NOT($AU267),NOT($BI267),MAX($AN267,$AO267,$AP267)&gt;Constants!$B$30),Constants!$B$10,Constants!$B$9))))</f>
        <v/>
      </c>
      <c r="BN267" s="74" t="str">
        <f aca="false">IF($BL267&lt;&gt;Constants!$B$4,"",IF(NOT($AL267),0,MIN(Constants!$B$35,$BF267)))</f>
        <v/>
      </c>
      <c r="BO267" s="74" t="str">
        <f aca="false">IF($BL267&lt;&gt;Constants!$B$4,"",IF(NOT($AL267),0,IF($AW267,Constants!$B$18,IF($AV267,Constants!$B$17,0))))</f>
        <v/>
      </c>
      <c r="BP267" s="74" t="str">
        <f aca="false">IF($BL267&lt;&gt;Constants!$B$4,"",IF(NOT($AL267),0,Constants!$B$19*($AK267+$AX267+$AY267+$AZ267)))</f>
        <v/>
      </c>
      <c r="BQ267" s="74" t="str">
        <f aca="false">IF($BL267&lt;&gt;Constants!$B$4,"",IF(OR(NOT($AL267),NOT(ISNUMBER($BA267))),0,CHOOSE($BA267,Constants!$B$13,Constants!$B$14,Constants!$B$15,Constants!$B$16)))</f>
        <v/>
      </c>
      <c r="BR267" s="74" t="str">
        <f aca="false">IF($BL267&lt;&gt;Constants!$B$4,"",IF(NOT($AL267),0,Constants!$B$20*$BB267))</f>
        <v/>
      </c>
      <c r="BS267" s="74" t="str">
        <f aca="false">IF($BL267&lt;&gt;Constants!$B$4,"",IF(AND($AL267,$BD267,$BE267),Constants!$B$22,0))</f>
        <v/>
      </c>
      <c r="BT267" s="74" t="str">
        <f aca="false">IF($BL267&lt;&gt;Constants!$B$4,"",IF(OR(NOT($AL267),NOT($BD267)),0,IF($BJ267&gt;=2*$AH$9,0,Constants!$B$23*INT(ROUND(MIN($BJ267,$AH$9),6)))))</f>
        <v/>
      </c>
      <c r="BU267" s="74" t="str">
        <f aca="false">IF($BL267&lt;&gt;Constants!$B$4,"",IF(NOT($AL267),0,Constants!$B$24*INT(ROUND(MIN($BC267,$AH$9),6))))</f>
        <v/>
      </c>
      <c r="BV267" s="74" t="str">
        <f aca="false">IF($BL267&lt;&gt;Constants!$B$4,"",IF(AND($AL267,$BN267=0),Constants!$B$25,0))</f>
        <v/>
      </c>
      <c r="BW267" s="74" t="str">
        <f aca="false">IF($BL267&lt;&gt;Constants!$B$4,"",MIN(Constants!$B$29,MAX(0,Constants!$B$27*Constants!$B$28*INT(ROUND((Constants!$B$26-$AN267)/Constants!$B$28,6))))+MIN(Constants!$B$29,MAX(0,Constants!$B$27*Constants!$B$28*INT(ROUND((Constants!$B$26-$AO267)/Constants!$B$28,6))))+MIN(Constants!$B$29,MAX(0,Constants!$B$27*Constants!$B$28*INT(ROUND((Constants!$B$26-$AP267)/Constants!$B$28,6)))))</f>
        <v/>
      </c>
      <c r="BX267" s="74" t="str">
        <f aca="false">IF($BL267&lt;&gt;Constants!$B$4,"",IF(NOT($AL267),0,Constants!$B$31*INT(ROUND(MAX(0,MIN($BJ267,2*$AH$9)-$AH$9),6))))</f>
        <v/>
      </c>
      <c r="BY267" s="74" t="str">
        <f aca="false">IF($BL267&lt;&gt;Constants!$B$4,"",Constants!$B$32*(($AN267&gt;Constants!$B$26)+($AO267&gt;Constants!$B$26)+($AP267&gt;Constants!$B$26)))</f>
        <v/>
      </c>
      <c r="BZ267" s="74" t="str">
        <f aca="false">IF($BL267&lt;&gt;Constants!$B$4,"",IF(OR(NOT($AL267),$AQ267),0,Constants!$B$33))</f>
        <v/>
      </c>
      <c r="CA267" s="74" t="str">
        <f aca="false">IF($BL267&lt;&gt;Constants!$B$4,"",Constants!$B$34*$BN267)</f>
        <v/>
      </c>
      <c r="CB267" s="74" t="str">
        <f aca="false">IF($BL267&lt;&gt;Constants!$B$4,"",IF(OR(NOT($AL267),$BH267),0,Constants!$B$36))</f>
        <v/>
      </c>
      <c r="CC267" s="74" t="str">
        <f aca="false">IF($BL267&lt;&gt;Constants!$B$4,"",IF(OR(NOT($AL267),$BG267),0,Constants!$B$37))</f>
        <v/>
      </c>
      <c r="CD267" s="74" t="str">
        <f aca="false">IF($BL267&lt;&gt;Constants!$B$4,"",SUM($BX267:$CC267))</f>
        <v/>
      </c>
      <c r="CE267" s="74" t="str">
        <f aca="false">IF(ISBLANK($C267),"",IF($BL267&lt;&gt;Constants!$B$4,$BL267,SUM($BO267:$BW267)-$CD267))</f>
        <v/>
      </c>
      <c r="CF267" s="74" t="str">
        <f aca="false">IF(ISBLANK($C267),"",IF($BL267&lt;&gt;Constants!$B$4,$BL267,RANK($CE267,$CE$9:$CE$508)))</f>
        <v/>
      </c>
      <c r="CG267" s="74" t="str">
        <f aca="false">IF(ISBLANK($C267),"",IF($BL267&lt;&gt;Constants!$B$4,$BL267,COUNTIFS($BM$9:$BM$508,"&lt;"&amp;$BM267)+COUNTIFS($BM$9:$BM$508,$BM267,$CF$9:$CF$508,"&lt;"&amp;$CF267)+1))</f>
        <v/>
      </c>
      <c r="CH267" s="74" t="str">
        <f aca="false">IF(ISBLANK($C267),"",IF($BL267&lt;&gt;Constants!$B$4,$BL267,RANK($CD267,$CD$9:$CD$508,1)))</f>
        <v/>
      </c>
      <c r="CI267" s="74" t="str">
        <f aca="false">IF($BL267&lt;&gt;Constants!$B$4,"",$AN267+$AO267+$AP267)</f>
        <v/>
      </c>
      <c r="CJ267" s="74" t="str">
        <f aca="false">IF(ISBLANK($C267),"",IF($BL267&lt;&gt;Constants!$B$4,$BL267,RANK($CI267,$CI$9:$CI$508,1)))</f>
        <v/>
      </c>
      <c r="CK267" s="74" t="str">
        <f aca="false">IF(ISBLANK($C267),"",IF($BL267&lt;&gt;Constants!$B$4,$BL267,COUNTIFS($BM$9:$BM$508,"&lt;"&amp;$BM267)+COUNTIFS($BM$9:$BM$508,$BM267,$CF$9:$CF$508,"&lt;"&amp;$CF267)+COUNTIFS($BM$9:$BM$508,$BM267,$CF$9:$CF$508,$CF267,$CH$9:$CH$508,"&lt;"&amp;$CH267)+COUNTIFS($BM$9:$BM$508,$BM267,$CF$9:$CF$508,$CF267,$CH$9:$CH$508,$CH267,$CJ$9:$CJ$508,"&lt;"&amp;$CJ267)+1))</f>
        <v/>
      </c>
      <c r="CL267" s="74" t="str">
        <f aca="false">IF(ISBLANK($C267),"",IF($BL267&lt;&gt;Constants!$B$4,$BL267,$CG267-$CK267))</f>
        <v/>
      </c>
      <c r="CM267" s="74" t="str">
        <f aca="false">IF(ISBLANK($C267),"",IF(NOT($AL267),"",IF(ISBLANK($D$7),$CM$5,IF(NOT(ISNUMBER($D$7)),$CM$6,""))))</f>
        <v/>
      </c>
      <c r="CN267" s="74" t="str">
        <f aca="false">IF(ISBLANK($C267),"",OR($AN267="",$AO267="",$AP267=""))</f>
        <v/>
      </c>
      <c r="CO267" s="74" t="str">
        <f aca="false">IF(ISBLANK($C267),"",AND($AL267,$BA267=""))</f>
        <v/>
      </c>
      <c r="CP267" s="74" t="str">
        <f aca="false">IF(ISBLANK($C267),"",AND($AL267,$BB267=""))</f>
        <v/>
      </c>
      <c r="CQ267" s="74" t="str">
        <f aca="false">IF(ISBLANK($C267),"",AND($AL267,$BC267=""))</f>
        <v/>
      </c>
      <c r="CR267" s="74" t="str">
        <f aca="false">IF(ISBLANK($C267),"",AND($AL267,$BF267=""))</f>
        <v/>
      </c>
      <c r="CS267" s="74" t="str">
        <f aca="false">IF(ISBLANK($C267),"",AND($AL267,$BJ267=""))</f>
        <v/>
      </c>
      <c r="CT267" s="75"/>
      <c r="CU267" s="76"/>
      <c r="CV267" s="79" t="str">
        <f aca="false">IF(ISBLANK($C267),"",IF($BL267=Constants!$B$8,$CM267,""))</f>
        <v/>
      </c>
      <c r="CW267" s="76" t="str">
        <f aca="false">IF(ISBLANK($C267),"",IF($BL267&lt;&gt;Constants!$B$4,"",$BO267+$BP267))</f>
        <v/>
      </c>
      <c r="CX267" s="78" t="str">
        <f aca="false">IF(ISBLANK($C267),"",IF($BL267&lt;&gt;Constants!$B$4,"",$BQ267+$BR267+$BS267))</f>
        <v/>
      </c>
      <c r="CY267" s="78" t="str">
        <f aca="false">IF(ISBLANK($C267),"",IF($BL267&lt;&gt;Constants!$B$4,"",$BT267))</f>
        <v/>
      </c>
      <c r="CZ267" s="78" t="str">
        <f aca="false">IF(ISBLANK($C267),"",IF($BL267&lt;&gt;Constants!$B$4,"",$BU267+$BV267))</f>
        <v/>
      </c>
      <c r="DA267" s="78" t="str">
        <f aca="false">IF(ISBLANK($C267),"",IF($BL267&lt;&gt;Constants!$B$4,"",$BW267))</f>
        <v/>
      </c>
      <c r="DB267" s="78" t="str">
        <f aca="false">IF(ISBLANK($C267),"",IF($BL267&lt;&gt;Constants!$B$4,"",-$CD267))</f>
        <v/>
      </c>
      <c r="DC267" s="79" t="str">
        <f aca="false">IF(ISBLANK($C267),"",$CE267)</f>
        <v/>
      </c>
      <c r="DD267" s="80" t="str">
        <f aca="false">IF(ISBLANK($C267),"",$BM267)</f>
        <v/>
      </c>
      <c r="DE267" s="78" t="str">
        <f aca="false">IF(ISBLANK($C267),"",$CL267)</f>
        <v/>
      </c>
      <c r="DF267" s="78" t="str">
        <f aca="false">IF(ISBLANK($C267),"",$CK267)</f>
        <v/>
      </c>
      <c r="DG267" s="81" t="str">
        <f aca="false">IF(ISBLANK($C267),"",IF($DF267=Constants!$B$7,COUNTA($C$9:$C$508)+2,IF($DF267=Constants!$B$6,COUNTA($C$9:$C$508)+1,IF($DF267=Constants!$B$5,COUNTA($C$9:$C$508),$DF267))))</f>
        <v/>
      </c>
      <c r="DH267" s="7"/>
      <c r="DI267" s="82" t="n">
        <f aca="false">IF(OR(ISNUMBER($DF267),$DF267=Constants!$B$7,$DF267=Constants!$B$5,$DF267=Constants!$B$6),1,0)</f>
        <v>0</v>
      </c>
      <c r="DJ267" s="82" t="n">
        <v>259</v>
      </c>
      <c r="DK267" s="82" t="str">
        <f aca="false">IF(ISBLANK($C267),"",IF(ISNUMBER($DG267),$DG267+ROW($B267)/1000,""))</f>
        <v/>
      </c>
      <c r="DL267" s="82" t="str">
        <f aca="false">IF(ISNUMBER($DK267),RANK($DK267,$DK$9:$DK$508,1),"")</f>
        <v/>
      </c>
      <c r="DM267" s="82" t="str">
        <f aca="false">IF(ISBLANK($C267),"",$B267)</f>
        <v/>
      </c>
      <c r="DN267" s="82" t="str">
        <f aca="false">IF(ISBLANK($C267),"",$C267)</f>
        <v/>
      </c>
      <c r="DO267" s="82" t="str">
        <f aca="false">IF(ISBLANK($C267),"",$D267)</f>
        <v/>
      </c>
      <c r="DP267" s="83" t="str">
        <f aca="false">$DD267</f>
        <v/>
      </c>
      <c r="DQ267" s="84" t="str">
        <f aca="false">$DC267</f>
        <v/>
      </c>
      <c r="DR267" s="82" t="str">
        <f aca="false">IF(ISBLANK($C267),"",$DF267)</f>
        <v/>
      </c>
      <c r="DS267" s="85" t="str">
        <f aca="false">IF($DJ267&gt;$DI$8,"",VLOOKUP($DJ267,$DL$9:$DR$508,7,FALSE()))</f>
        <v/>
      </c>
      <c r="DT267" s="86" t="str">
        <f aca="false">IF($DJ267&gt;$DI$8,"",VLOOKUP($DJ267,$DL$9:$DR$508,2,FALSE()))</f>
        <v/>
      </c>
      <c r="DU267" s="86" t="str">
        <f aca="false">IF($DJ267&gt;$DI$8,"",VLOOKUP($DJ267,$DL$9:$DR$508,3,FALSE()))</f>
        <v/>
      </c>
      <c r="DV267" s="86" t="str">
        <f aca="false">IF($DJ267&gt;$DI$8,"",VLOOKUP($DJ267,$DL$9:$DR$508,4,FALSE()))</f>
        <v/>
      </c>
      <c r="DW267" s="86" t="str">
        <f aca="false">IF($DJ267&gt;$DI$8,"",VLOOKUP($DJ267,$DL$9:$DR$508,5,FALSE()))</f>
        <v/>
      </c>
      <c r="DX267" s="87" t="str">
        <f aca="false">IF($DJ267&gt;$DI$8,"",VLOOKUP($DJ267,$DL$9:$DR$508,6,FALSE()))</f>
        <v/>
      </c>
      <c r="DY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88"/>
      <c r="N268" s="88"/>
      <c r="O268" s="134"/>
      <c r="P268" s="134"/>
      <c r="Q268" s="88"/>
      <c r="R268" s="88"/>
      <c r="S268" s="88"/>
      <c r="T268" s="88"/>
      <c r="U268" s="134"/>
      <c r="V268" s="88"/>
      <c r="W268" s="70"/>
      <c r="X268" s="88"/>
      <c r="Y268" s="88"/>
      <c r="Z268" s="70"/>
      <c r="AA268" s="70"/>
      <c r="AB268" s="88"/>
      <c r="AC268" s="88"/>
      <c r="AD268" s="88"/>
      <c r="AE268" s="71"/>
      <c r="AF268" s="88"/>
      <c r="AG268" s="73"/>
      <c r="AH268" s="74"/>
      <c r="AI268" s="74"/>
      <c r="AJ268" s="74" t="str">
        <f aca="false">IF(ISBLANK($C268),"",IF($E268=Constants!$B$2,TRUE(),IF($E268=Constants!$B$3,FALSE(),TRUE())))</f>
        <v/>
      </c>
      <c r="AK268" s="74" t="str">
        <f aca="false">IF(ISBLANK($C268),"",IF($F268=Constants!$B$2,TRUE(),IF($F268=Constants!$B$3,FALSE(),FALSE())))</f>
        <v/>
      </c>
      <c r="AL268" s="74" t="str">
        <f aca="false">IF(ISBLANK($C268),"",IF($G268=Constants!$B$2,TRUE(),IF($G268=Constants!$B$3,FALSE(),TRUE())))</f>
        <v/>
      </c>
      <c r="AM268" s="74" t="str">
        <f aca="false">IF(ISBLANK($C268),"",IF($H268=Constants!$B$2,TRUE(),IF($H268=Constants!$B$3,FALSE(),TRUE())))</f>
        <v/>
      </c>
      <c r="AN268" s="74" t="str">
        <f aca="false">IF(ISBLANK($C268),"",IF(ISNUMBER($I268),IF($I268&gt;=0,$I268,""),""))</f>
        <v/>
      </c>
      <c r="AO268" s="74" t="str">
        <f aca="false">IF(ISBLANK($C268),"",IF(ISNUMBER($J268),IF($J268&gt;=0,$J268,""),""))</f>
        <v/>
      </c>
      <c r="AP268" s="74" t="str">
        <f aca="false">IF(ISBLANK($C268),"",IF(ISNUMBER($K268),IF($K268&gt;=0,$K268,""),""))</f>
        <v/>
      </c>
      <c r="AQ268" s="74" t="str">
        <f aca="false">IF(ISBLANK($C268),"",IF($L268=Constants!$B$2,TRUE(),IF($L268=Constants!$B$3,FALSE(),TRUE())))</f>
        <v/>
      </c>
      <c r="AR268" s="74" t="str">
        <f aca="false">IF(ISBLANK($C268),"",IF($M268=Constants!$B$2,TRUE(),IF($M268=Constants!$B$3,FALSE(),TRUE())))</f>
        <v/>
      </c>
      <c r="AS268" s="74" t="str">
        <f aca="false">IF(ISBLANK($C268),"",IF($N268=Constants!$B$2,TRUE(),IF($N268=Constants!$B$3,FALSE(),FALSE())))</f>
        <v/>
      </c>
      <c r="AT268" s="74" t="str">
        <f aca="false">IF(ISBLANK($C268),"",IF($O268=Constants!$B$2,TRUE(),IF($O268=Constants!$B$3,FALSE(),TRUE())))</f>
        <v/>
      </c>
      <c r="AU268" s="74" t="str">
        <f aca="false">IF(ISBLANK($C268),"",IF($P268=Constants!$B$2,TRUE(),IF($P268=Constants!$B$3,FALSE(),TRUE())))</f>
        <v/>
      </c>
      <c r="AV268" s="74" t="str">
        <f aca="false">IF(ISBLANK($C268),"",IF($Q268=Constants!$B$2,TRUE(),IF($Q268=Constants!$B$3,FALSE(),FALSE())))</f>
        <v/>
      </c>
      <c r="AW268" s="74" t="str">
        <f aca="false">IF(ISBLANK($C268),"",IF($R268=Constants!$B$2,TRUE(),IF($R268=Constants!$B$3,FALSE(),FALSE())))</f>
        <v/>
      </c>
      <c r="AX268" s="74" t="str">
        <f aca="false">IF(ISBLANK($C268),"",IF($S268=Constants!$B$2,TRUE(),IF($S268=Constants!$B$3,FALSE(),FALSE())))</f>
        <v/>
      </c>
      <c r="AY268" s="74" t="str">
        <f aca="false">IF(ISBLANK($C268),"",IF($T268=Constants!$B$2,TRUE(),IF($T268=Constants!$B$3,FALSE(),FALSE())))</f>
        <v/>
      </c>
      <c r="AZ268" s="74" t="str">
        <f aca="false">IF(ISBLANK($C268),"",IF($U268=Constants!$B$2,TRUE(),IF($U268=Constants!$B$3,FALSE(),FALSE())))</f>
        <v/>
      </c>
      <c r="BA268" s="74" t="str">
        <f aca="false">IF(ISBLANK($C268),"",IF(OR($V268&amp;""="1",$V268&amp;""="2",$V268&amp;""="3",$V268&amp;""="4"),VALUE($V268&amp;""),IF($V268=Constants!$B$12,Constants!$B$12,"")))</f>
        <v/>
      </c>
      <c r="BB268" s="74" t="str">
        <f aca="false">IF(ISBLANK($C268),"",IF(ISBLANK($W268),0,IF(ISNUMBER($W268),IF(AND($W268&gt;=0,$W268&lt;=Constants!$B$21,$W268=INT($W268)),$W268,""),"")))</f>
        <v/>
      </c>
      <c r="BC268" s="74" t="str">
        <f aca="false">IF(ISBLANK($C268),"",IF(ISBLANK($X268),0,IF(ISNUMBER($X268),IF($X268&gt;=0,$X268,""),"")))</f>
        <v/>
      </c>
      <c r="BD268" s="74" t="str">
        <f aca="false">IF(ISBLANK($C268),"",IF($Y268=Constants!$B$2,TRUE(),IF($Y268=Constants!$B$3,FALSE(),TRUE())))</f>
        <v/>
      </c>
      <c r="BE268" s="74" t="str">
        <f aca="false">IF(ISBLANK($C268),"",IF($Z268=Constants!$B$2,TRUE(),IF($Z268=Constants!$B$3,FALSE(),FALSE())))</f>
        <v/>
      </c>
      <c r="BF268" s="74" t="str">
        <f aca="false">IF(ISBLANK($C268),"",IF(ISBLANK($AA268),0,IF(ISNUMBER($AA268),IF(AND($AA268&gt;=0,$AA268&lt;=Constants!$B$35,$AA268=INT($AA268)),$AA268,""),"")))</f>
        <v/>
      </c>
      <c r="BG268" s="74" t="str">
        <f aca="false">IF(ISBLANK($C268),"",IF($AB268=Constants!$B$2,TRUE(),IF($AB268=Constants!$B$3,FALSE(),TRUE())))</f>
        <v/>
      </c>
      <c r="BH268" s="74" t="str">
        <f aca="false">IF(ISBLANK($C268),"",IF($AC268=Constants!$B$2,TRUE(),IF($AC268=Constants!$B$3,FALSE(),TRUE())))</f>
        <v/>
      </c>
      <c r="BI268" s="74" t="str">
        <f aca="false">IF(ISBLANK($C268),"",IF($AD268=Constants!$B$2,TRUE(),IF($AD268=Constants!$B$3,FALSE(),TRUE())))</f>
        <v/>
      </c>
      <c r="BJ268" s="74" t="str">
        <f aca="false">IF(ISBLANK($C268),"",IF(ISNUMBER($AE268),IF($AE268&gt;=0,$AE268,""),""))</f>
        <v/>
      </c>
      <c r="BK268" s="74" t="str">
        <f aca="false">IF(ISBLANK($C268),"",IF($AF268=Constants!$B$2,TRUE(),IF($AF268=Constants!$B$3,FALSE(),FALSE())))</f>
        <v/>
      </c>
      <c r="BL268" s="73" t="str">
        <f aca="false">IF(ISBLANK($C268),"",IF($BK268,Constants!$B$7,IF(COUNTA($E268:$AE268)=0,Constants!$B$6,IF(OR(COUNTA($G268:$AE268)=0,NOT($AM268),$AS268),Constants!$B$5,IF(OR($CM268&lt;&gt;"",$CN268,$CO268,$CP268,$CQ268,$CR268,$CS268),Constants!$B$8,Constants!$B$4)))))</f>
        <v/>
      </c>
      <c r="BM268" s="74" t="str">
        <f aca="false">IF(ISBLANK($C268),"",IF($BL268&lt;&gt;Constants!$B$4,$BL268,IF(OR(NOT($AJ268),NOT($AL268),NOT($AT268)),Constants!$B$11,IF(OR(NOT($AR268),NOT($AU268),NOT($BI268),MAX($AN268,$AO268,$AP268)&gt;Constants!$B$30),Constants!$B$10,Constants!$B$9))))</f>
        <v/>
      </c>
      <c r="BN268" s="74" t="str">
        <f aca="false">IF($BL268&lt;&gt;Constants!$B$4,"",IF(NOT($AL268),0,MIN(Constants!$B$35,$BF268)))</f>
        <v/>
      </c>
      <c r="BO268" s="74" t="str">
        <f aca="false">IF($BL268&lt;&gt;Constants!$B$4,"",IF(NOT($AL268),0,IF($AW268,Constants!$B$18,IF($AV268,Constants!$B$17,0))))</f>
        <v/>
      </c>
      <c r="BP268" s="74" t="str">
        <f aca="false">IF($BL268&lt;&gt;Constants!$B$4,"",IF(NOT($AL268),0,Constants!$B$19*($AK268+$AX268+$AY268+$AZ268)))</f>
        <v/>
      </c>
      <c r="BQ268" s="74" t="str">
        <f aca="false">IF($BL268&lt;&gt;Constants!$B$4,"",IF(OR(NOT($AL268),NOT(ISNUMBER($BA268))),0,CHOOSE($BA268,Constants!$B$13,Constants!$B$14,Constants!$B$15,Constants!$B$16)))</f>
        <v/>
      </c>
      <c r="BR268" s="74" t="str">
        <f aca="false">IF($BL268&lt;&gt;Constants!$B$4,"",IF(NOT($AL268),0,Constants!$B$20*$BB268))</f>
        <v/>
      </c>
      <c r="BS268" s="74" t="str">
        <f aca="false">IF($BL268&lt;&gt;Constants!$B$4,"",IF(AND($AL268,$BD268,$BE268),Constants!$B$22,0))</f>
        <v/>
      </c>
      <c r="BT268" s="74" t="str">
        <f aca="false">IF($BL268&lt;&gt;Constants!$B$4,"",IF(OR(NOT($AL268),NOT($BD268)),0,IF($BJ268&gt;=2*$AH$9,0,Constants!$B$23*INT(ROUND(MIN($BJ268,$AH$9),6)))))</f>
        <v/>
      </c>
      <c r="BU268" s="74" t="str">
        <f aca="false">IF($BL268&lt;&gt;Constants!$B$4,"",IF(NOT($AL268),0,Constants!$B$24*INT(ROUND(MIN($BC268,$AH$9),6))))</f>
        <v/>
      </c>
      <c r="BV268" s="74" t="str">
        <f aca="false">IF($BL268&lt;&gt;Constants!$B$4,"",IF(AND($AL268,$BN268=0),Constants!$B$25,0))</f>
        <v/>
      </c>
      <c r="BW268" s="74" t="str">
        <f aca="false">IF($BL268&lt;&gt;Constants!$B$4,"",MIN(Constants!$B$29,MAX(0,Constants!$B$27*Constants!$B$28*INT(ROUND((Constants!$B$26-$AN268)/Constants!$B$28,6))))+MIN(Constants!$B$29,MAX(0,Constants!$B$27*Constants!$B$28*INT(ROUND((Constants!$B$26-$AO268)/Constants!$B$28,6))))+MIN(Constants!$B$29,MAX(0,Constants!$B$27*Constants!$B$28*INT(ROUND((Constants!$B$26-$AP268)/Constants!$B$28,6)))))</f>
        <v/>
      </c>
      <c r="BX268" s="74" t="str">
        <f aca="false">IF($BL268&lt;&gt;Constants!$B$4,"",IF(NOT($AL268),0,Constants!$B$31*INT(ROUND(MAX(0,MIN($BJ268,2*$AH$9)-$AH$9),6))))</f>
        <v/>
      </c>
      <c r="BY268" s="74" t="str">
        <f aca="false">IF($BL268&lt;&gt;Constants!$B$4,"",Constants!$B$32*(($AN268&gt;Constants!$B$26)+($AO268&gt;Constants!$B$26)+($AP268&gt;Constants!$B$26)))</f>
        <v/>
      </c>
      <c r="BZ268" s="74" t="str">
        <f aca="false">IF($BL268&lt;&gt;Constants!$B$4,"",IF(OR(NOT($AL268),$AQ268),0,Constants!$B$33))</f>
        <v/>
      </c>
      <c r="CA268" s="74" t="str">
        <f aca="false">IF($BL268&lt;&gt;Constants!$B$4,"",Constants!$B$34*$BN268)</f>
        <v/>
      </c>
      <c r="CB268" s="74" t="str">
        <f aca="false">IF($BL268&lt;&gt;Constants!$B$4,"",IF(OR(NOT($AL268),$BH268),0,Constants!$B$36))</f>
        <v/>
      </c>
      <c r="CC268" s="74" t="str">
        <f aca="false">IF($BL268&lt;&gt;Constants!$B$4,"",IF(OR(NOT($AL268),$BG268),0,Constants!$B$37))</f>
        <v/>
      </c>
      <c r="CD268" s="74" t="str">
        <f aca="false">IF($BL268&lt;&gt;Constants!$B$4,"",SUM($BX268:$CC268))</f>
        <v/>
      </c>
      <c r="CE268" s="74" t="str">
        <f aca="false">IF(ISBLANK($C268),"",IF($BL268&lt;&gt;Constants!$B$4,$BL268,SUM($BO268:$BW268)-$CD268))</f>
        <v/>
      </c>
      <c r="CF268" s="74" t="str">
        <f aca="false">IF(ISBLANK($C268),"",IF($BL268&lt;&gt;Constants!$B$4,$BL268,RANK($CE268,$CE$9:$CE$508)))</f>
        <v/>
      </c>
      <c r="CG268" s="74" t="str">
        <f aca="false">IF(ISBLANK($C268),"",IF($BL268&lt;&gt;Constants!$B$4,$BL268,COUNTIFS($BM$9:$BM$508,"&lt;"&amp;$BM268)+COUNTIFS($BM$9:$BM$508,$BM268,$CF$9:$CF$508,"&lt;"&amp;$CF268)+1))</f>
        <v/>
      </c>
      <c r="CH268" s="74" t="str">
        <f aca="false">IF(ISBLANK($C268),"",IF($BL268&lt;&gt;Constants!$B$4,$BL268,RANK($CD268,$CD$9:$CD$508,1)))</f>
        <v/>
      </c>
      <c r="CI268" s="74" t="str">
        <f aca="false">IF($BL268&lt;&gt;Constants!$B$4,"",$AN268+$AO268+$AP268)</f>
        <v/>
      </c>
      <c r="CJ268" s="74" t="str">
        <f aca="false">IF(ISBLANK($C268),"",IF($BL268&lt;&gt;Constants!$B$4,$BL268,RANK($CI268,$CI$9:$CI$508,1)))</f>
        <v/>
      </c>
      <c r="CK268" s="74" t="str">
        <f aca="false">IF(ISBLANK($C268),"",IF($BL268&lt;&gt;Constants!$B$4,$BL268,COUNTIFS($BM$9:$BM$508,"&lt;"&amp;$BM268)+COUNTIFS($BM$9:$BM$508,$BM268,$CF$9:$CF$508,"&lt;"&amp;$CF268)+COUNTIFS($BM$9:$BM$508,$BM268,$CF$9:$CF$508,$CF268,$CH$9:$CH$508,"&lt;"&amp;$CH268)+COUNTIFS($BM$9:$BM$508,$BM268,$CF$9:$CF$508,$CF268,$CH$9:$CH$508,$CH268,$CJ$9:$CJ$508,"&lt;"&amp;$CJ268)+1))</f>
        <v/>
      </c>
      <c r="CL268" s="74" t="str">
        <f aca="false">IF(ISBLANK($C268),"",IF($BL268&lt;&gt;Constants!$B$4,$BL268,$CG268-$CK268))</f>
        <v/>
      </c>
      <c r="CM268" s="74" t="str">
        <f aca="false">IF(ISBLANK($C268),"",IF(NOT($AL268),"",IF(ISBLANK($D$7),$CM$5,IF(NOT(ISNUMBER($D$7)),$CM$6,""))))</f>
        <v/>
      </c>
      <c r="CN268" s="74" t="str">
        <f aca="false">IF(ISBLANK($C268),"",OR($AN268="",$AO268="",$AP268=""))</f>
        <v/>
      </c>
      <c r="CO268" s="74" t="str">
        <f aca="false">IF(ISBLANK($C268),"",AND($AL268,$BA268=""))</f>
        <v/>
      </c>
      <c r="CP268" s="74" t="str">
        <f aca="false">IF(ISBLANK($C268),"",AND($AL268,$BB268=""))</f>
        <v/>
      </c>
      <c r="CQ268" s="74" t="str">
        <f aca="false">IF(ISBLANK($C268),"",AND($AL268,$BC268=""))</f>
        <v/>
      </c>
      <c r="CR268" s="74" t="str">
        <f aca="false">IF(ISBLANK($C268),"",AND($AL268,$BF268=""))</f>
        <v/>
      </c>
      <c r="CS268" s="74" t="str">
        <f aca="false">IF(ISBLANK($C268),"",AND($AL268,$BJ268=""))</f>
        <v/>
      </c>
      <c r="CT268" s="75"/>
      <c r="CU268" s="76"/>
      <c r="CV268" s="79" t="str">
        <f aca="false">IF(ISBLANK($C268),"",IF($BL268=Constants!$B$8,$CM268,""))</f>
        <v/>
      </c>
      <c r="CW268" s="76" t="str">
        <f aca="false">IF(ISBLANK($C268),"",IF($BL268&lt;&gt;Constants!$B$4,"",$BO268+$BP268))</f>
        <v/>
      </c>
      <c r="CX268" s="78" t="str">
        <f aca="false">IF(ISBLANK($C268),"",IF($BL268&lt;&gt;Constants!$B$4,"",$BQ268+$BR268+$BS268))</f>
        <v/>
      </c>
      <c r="CY268" s="78" t="str">
        <f aca="false">IF(ISBLANK($C268),"",IF($BL268&lt;&gt;Constants!$B$4,"",$BT268))</f>
        <v/>
      </c>
      <c r="CZ268" s="78" t="str">
        <f aca="false">IF(ISBLANK($C268),"",IF($BL268&lt;&gt;Constants!$B$4,"",$BU268+$BV268))</f>
        <v/>
      </c>
      <c r="DA268" s="78" t="str">
        <f aca="false">IF(ISBLANK($C268),"",IF($BL268&lt;&gt;Constants!$B$4,"",$BW268))</f>
        <v/>
      </c>
      <c r="DB268" s="78" t="str">
        <f aca="false">IF(ISBLANK($C268),"",IF($BL268&lt;&gt;Constants!$B$4,"",-$CD268))</f>
        <v/>
      </c>
      <c r="DC268" s="79" t="str">
        <f aca="false">IF(ISBLANK($C268),"",$CE268)</f>
        <v/>
      </c>
      <c r="DD268" s="80" t="str">
        <f aca="false">IF(ISBLANK($C268),"",$BM268)</f>
        <v/>
      </c>
      <c r="DE268" s="78" t="str">
        <f aca="false">IF(ISBLANK($C268),"",$CL268)</f>
        <v/>
      </c>
      <c r="DF268" s="78" t="str">
        <f aca="false">IF(ISBLANK($C268),"",$CK268)</f>
        <v/>
      </c>
      <c r="DG268" s="81" t="str">
        <f aca="false">IF(ISBLANK($C268),"",IF($DF268=Constants!$B$7,COUNTA($C$9:$C$508)+2,IF($DF268=Constants!$B$6,COUNTA($C$9:$C$508)+1,IF($DF268=Constants!$B$5,COUNTA($C$9:$C$508),$DF268))))</f>
        <v/>
      </c>
      <c r="DH268" s="7"/>
      <c r="DI268" s="82" t="n">
        <f aca="false">IF(OR(ISNUMBER($DF268),$DF268=Constants!$B$7,$DF268=Constants!$B$5,$DF268=Constants!$B$6),1,0)</f>
        <v>0</v>
      </c>
      <c r="DJ268" s="82" t="n">
        <v>260</v>
      </c>
      <c r="DK268" s="82" t="str">
        <f aca="false">IF(ISBLANK($C268),"",IF(ISNUMBER($DG268),$DG268+ROW($B268)/1000,""))</f>
        <v/>
      </c>
      <c r="DL268" s="82" t="str">
        <f aca="false">IF(ISNUMBER($DK268),RANK($DK268,$DK$9:$DK$508,1),"")</f>
        <v/>
      </c>
      <c r="DM268" s="82" t="str">
        <f aca="false">IF(ISBLANK($C268),"",$B268)</f>
        <v/>
      </c>
      <c r="DN268" s="82" t="str">
        <f aca="false">IF(ISBLANK($C268),"",$C268)</f>
        <v/>
      </c>
      <c r="DO268" s="82" t="str">
        <f aca="false">IF(ISBLANK($C268),"",$D268)</f>
        <v/>
      </c>
      <c r="DP268" s="83" t="str">
        <f aca="false">$DD268</f>
        <v/>
      </c>
      <c r="DQ268" s="84" t="str">
        <f aca="false">$DC268</f>
        <v/>
      </c>
      <c r="DR268" s="82" t="str">
        <f aca="false">IF(ISBLANK($C268),"",$DF268)</f>
        <v/>
      </c>
      <c r="DS268" s="85" t="str">
        <f aca="false">IF($DJ268&gt;$DI$8,"",VLOOKUP($DJ268,$DL$9:$DR$508,7,FALSE()))</f>
        <v/>
      </c>
      <c r="DT268" s="86" t="str">
        <f aca="false">IF($DJ268&gt;$DI$8,"",VLOOKUP($DJ268,$DL$9:$DR$508,2,FALSE()))</f>
        <v/>
      </c>
      <c r="DU268" s="86" t="str">
        <f aca="false">IF($DJ268&gt;$DI$8,"",VLOOKUP($DJ268,$DL$9:$DR$508,3,FALSE()))</f>
        <v/>
      </c>
      <c r="DV268" s="86" t="str">
        <f aca="false">IF($DJ268&gt;$DI$8,"",VLOOKUP($DJ268,$DL$9:$DR$508,4,FALSE()))</f>
        <v/>
      </c>
      <c r="DW268" s="86" t="str">
        <f aca="false">IF($DJ268&gt;$DI$8,"",VLOOKUP($DJ268,$DL$9:$DR$508,5,FALSE()))</f>
        <v/>
      </c>
      <c r="DX268" s="87" t="str">
        <f aca="false">IF($DJ268&gt;$DI$8,"",VLOOKUP($DJ268,$DL$9:$DR$508,6,FALSE()))</f>
        <v/>
      </c>
      <c r="DY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88"/>
      <c r="N269" s="88"/>
      <c r="O269" s="134"/>
      <c r="P269" s="134"/>
      <c r="Q269" s="88"/>
      <c r="R269" s="88"/>
      <c r="S269" s="88"/>
      <c r="T269" s="88"/>
      <c r="U269" s="134"/>
      <c r="V269" s="88"/>
      <c r="W269" s="70"/>
      <c r="X269" s="88"/>
      <c r="Y269" s="88"/>
      <c r="Z269" s="70"/>
      <c r="AA269" s="70"/>
      <c r="AB269" s="88"/>
      <c r="AC269" s="88"/>
      <c r="AD269" s="88"/>
      <c r="AE269" s="71"/>
      <c r="AF269" s="88"/>
      <c r="AG269" s="73"/>
      <c r="AH269" s="74"/>
      <c r="AI269" s="74"/>
      <c r="AJ269" s="74" t="str">
        <f aca="false">IF(ISBLANK($C269),"",IF($E269=Constants!$B$2,TRUE(),IF($E269=Constants!$B$3,FALSE(),TRUE())))</f>
        <v/>
      </c>
      <c r="AK269" s="74" t="str">
        <f aca="false">IF(ISBLANK($C269),"",IF($F269=Constants!$B$2,TRUE(),IF($F269=Constants!$B$3,FALSE(),FALSE())))</f>
        <v/>
      </c>
      <c r="AL269" s="74" t="str">
        <f aca="false">IF(ISBLANK($C269),"",IF($G269=Constants!$B$2,TRUE(),IF($G269=Constants!$B$3,FALSE(),TRUE())))</f>
        <v/>
      </c>
      <c r="AM269" s="74" t="str">
        <f aca="false">IF(ISBLANK($C269),"",IF($H269=Constants!$B$2,TRUE(),IF($H269=Constants!$B$3,FALSE(),TRUE())))</f>
        <v/>
      </c>
      <c r="AN269" s="74" t="str">
        <f aca="false">IF(ISBLANK($C269),"",IF(ISNUMBER($I269),IF($I269&gt;=0,$I269,""),""))</f>
        <v/>
      </c>
      <c r="AO269" s="74" t="str">
        <f aca="false">IF(ISBLANK($C269),"",IF(ISNUMBER($J269),IF($J269&gt;=0,$J269,""),""))</f>
        <v/>
      </c>
      <c r="AP269" s="74" t="str">
        <f aca="false">IF(ISBLANK($C269),"",IF(ISNUMBER($K269),IF($K269&gt;=0,$K269,""),""))</f>
        <v/>
      </c>
      <c r="AQ269" s="74" t="str">
        <f aca="false">IF(ISBLANK($C269),"",IF($L269=Constants!$B$2,TRUE(),IF($L269=Constants!$B$3,FALSE(),TRUE())))</f>
        <v/>
      </c>
      <c r="AR269" s="74" t="str">
        <f aca="false">IF(ISBLANK($C269),"",IF($M269=Constants!$B$2,TRUE(),IF($M269=Constants!$B$3,FALSE(),TRUE())))</f>
        <v/>
      </c>
      <c r="AS269" s="74" t="str">
        <f aca="false">IF(ISBLANK($C269),"",IF($N269=Constants!$B$2,TRUE(),IF($N269=Constants!$B$3,FALSE(),FALSE())))</f>
        <v/>
      </c>
      <c r="AT269" s="74" t="str">
        <f aca="false">IF(ISBLANK($C269),"",IF($O269=Constants!$B$2,TRUE(),IF($O269=Constants!$B$3,FALSE(),TRUE())))</f>
        <v/>
      </c>
      <c r="AU269" s="74" t="str">
        <f aca="false">IF(ISBLANK($C269),"",IF($P269=Constants!$B$2,TRUE(),IF($P269=Constants!$B$3,FALSE(),TRUE())))</f>
        <v/>
      </c>
      <c r="AV269" s="74" t="str">
        <f aca="false">IF(ISBLANK($C269),"",IF($Q269=Constants!$B$2,TRUE(),IF($Q269=Constants!$B$3,FALSE(),FALSE())))</f>
        <v/>
      </c>
      <c r="AW269" s="74" t="str">
        <f aca="false">IF(ISBLANK($C269),"",IF($R269=Constants!$B$2,TRUE(),IF($R269=Constants!$B$3,FALSE(),FALSE())))</f>
        <v/>
      </c>
      <c r="AX269" s="74" t="str">
        <f aca="false">IF(ISBLANK($C269),"",IF($S269=Constants!$B$2,TRUE(),IF($S269=Constants!$B$3,FALSE(),FALSE())))</f>
        <v/>
      </c>
      <c r="AY269" s="74" t="str">
        <f aca="false">IF(ISBLANK($C269),"",IF($T269=Constants!$B$2,TRUE(),IF($T269=Constants!$B$3,FALSE(),FALSE())))</f>
        <v/>
      </c>
      <c r="AZ269" s="74" t="str">
        <f aca="false">IF(ISBLANK($C269),"",IF($U269=Constants!$B$2,TRUE(),IF($U269=Constants!$B$3,FALSE(),FALSE())))</f>
        <v/>
      </c>
      <c r="BA269" s="74" t="str">
        <f aca="false">IF(ISBLANK($C269),"",IF(OR($V269&amp;""="1",$V269&amp;""="2",$V269&amp;""="3",$V269&amp;""="4"),VALUE($V269&amp;""),IF($V269=Constants!$B$12,Constants!$B$12,"")))</f>
        <v/>
      </c>
      <c r="BB269" s="74" t="str">
        <f aca="false">IF(ISBLANK($C269),"",IF(ISBLANK($W269),0,IF(ISNUMBER($W269),IF(AND($W269&gt;=0,$W269&lt;=Constants!$B$21,$W269=INT($W269)),$W269,""),"")))</f>
        <v/>
      </c>
      <c r="BC269" s="74" t="str">
        <f aca="false">IF(ISBLANK($C269),"",IF(ISBLANK($X269),0,IF(ISNUMBER($X269),IF($X269&gt;=0,$X269,""),"")))</f>
        <v/>
      </c>
      <c r="BD269" s="74" t="str">
        <f aca="false">IF(ISBLANK($C269),"",IF($Y269=Constants!$B$2,TRUE(),IF($Y269=Constants!$B$3,FALSE(),TRUE())))</f>
        <v/>
      </c>
      <c r="BE269" s="74" t="str">
        <f aca="false">IF(ISBLANK($C269),"",IF($Z269=Constants!$B$2,TRUE(),IF($Z269=Constants!$B$3,FALSE(),FALSE())))</f>
        <v/>
      </c>
      <c r="BF269" s="74" t="str">
        <f aca="false">IF(ISBLANK($C269),"",IF(ISBLANK($AA269),0,IF(ISNUMBER($AA269),IF(AND($AA269&gt;=0,$AA269&lt;=Constants!$B$35,$AA269=INT($AA269)),$AA269,""),"")))</f>
        <v/>
      </c>
      <c r="BG269" s="74" t="str">
        <f aca="false">IF(ISBLANK($C269),"",IF($AB269=Constants!$B$2,TRUE(),IF($AB269=Constants!$B$3,FALSE(),TRUE())))</f>
        <v/>
      </c>
      <c r="BH269" s="74" t="str">
        <f aca="false">IF(ISBLANK($C269),"",IF($AC269=Constants!$B$2,TRUE(),IF($AC269=Constants!$B$3,FALSE(),TRUE())))</f>
        <v/>
      </c>
      <c r="BI269" s="74" t="str">
        <f aca="false">IF(ISBLANK($C269),"",IF($AD269=Constants!$B$2,TRUE(),IF($AD269=Constants!$B$3,FALSE(),TRUE())))</f>
        <v/>
      </c>
      <c r="BJ269" s="74" t="str">
        <f aca="false">IF(ISBLANK($C269),"",IF(ISNUMBER($AE269),IF($AE269&gt;=0,$AE269,""),""))</f>
        <v/>
      </c>
      <c r="BK269" s="74" t="str">
        <f aca="false">IF(ISBLANK($C269),"",IF($AF269=Constants!$B$2,TRUE(),IF($AF269=Constants!$B$3,FALSE(),FALSE())))</f>
        <v/>
      </c>
      <c r="BL269" s="73" t="str">
        <f aca="false">IF(ISBLANK($C269),"",IF($BK269,Constants!$B$7,IF(COUNTA($E269:$AE269)=0,Constants!$B$6,IF(OR(COUNTA($G269:$AE269)=0,NOT($AM269),$AS269),Constants!$B$5,IF(OR($CM269&lt;&gt;"",$CN269,$CO269,$CP269,$CQ269,$CR269,$CS269),Constants!$B$8,Constants!$B$4)))))</f>
        <v/>
      </c>
      <c r="BM269" s="74" t="str">
        <f aca="false">IF(ISBLANK($C269),"",IF($BL269&lt;&gt;Constants!$B$4,$BL269,IF(OR(NOT($AJ269),NOT($AL269),NOT($AT269)),Constants!$B$11,IF(OR(NOT($AR269),NOT($AU269),NOT($BI269),MAX($AN269,$AO269,$AP269)&gt;Constants!$B$30),Constants!$B$10,Constants!$B$9))))</f>
        <v/>
      </c>
      <c r="BN269" s="74" t="str">
        <f aca="false">IF($BL269&lt;&gt;Constants!$B$4,"",IF(NOT($AL269),0,MIN(Constants!$B$35,$BF269)))</f>
        <v/>
      </c>
      <c r="BO269" s="74" t="str">
        <f aca="false">IF($BL269&lt;&gt;Constants!$B$4,"",IF(NOT($AL269),0,IF($AW269,Constants!$B$18,IF($AV269,Constants!$B$17,0))))</f>
        <v/>
      </c>
      <c r="BP269" s="74" t="str">
        <f aca="false">IF($BL269&lt;&gt;Constants!$B$4,"",IF(NOT($AL269),0,Constants!$B$19*($AK269+$AX269+$AY269+$AZ269)))</f>
        <v/>
      </c>
      <c r="BQ269" s="74" t="str">
        <f aca="false">IF($BL269&lt;&gt;Constants!$B$4,"",IF(OR(NOT($AL269),NOT(ISNUMBER($BA269))),0,CHOOSE($BA269,Constants!$B$13,Constants!$B$14,Constants!$B$15,Constants!$B$16)))</f>
        <v/>
      </c>
      <c r="BR269" s="74" t="str">
        <f aca="false">IF($BL269&lt;&gt;Constants!$B$4,"",IF(NOT($AL269),0,Constants!$B$20*$BB269))</f>
        <v/>
      </c>
      <c r="BS269" s="74" t="str">
        <f aca="false">IF($BL269&lt;&gt;Constants!$B$4,"",IF(AND($AL269,$BD269,$BE269),Constants!$B$22,0))</f>
        <v/>
      </c>
      <c r="BT269" s="74" t="str">
        <f aca="false">IF($BL269&lt;&gt;Constants!$B$4,"",IF(OR(NOT($AL269),NOT($BD269)),0,IF($BJ269&gt;=2*$AH$9,0,Constants!$B$23*INT(ROUND(MIN($BJ269,$AH$9),6)))))</f>
        <v/>
      </c>
      <c r="BU269" s="74" t="str">
        <f aca="false">IF($BL269&lt;&gt;Constants!$B$4,"",IF(NOT($AL269),0,Constants!$B$24*INT(ROUND(MIN($BC269,$AH$9),6))))</f>
        <v/>
      </c>
      <c r="BV269" s="74" t="str">
        <f aca="false">IF($BL269&lt;&gt;Constants!$B$4,"",IF(AND($AL269,$BN269=0),Constants!$B$25,0))</f>
        <v/>
      </c>
      <c r="BW269" s="74" t="str">
        <f aca="false">IF($BL269&lt;&gt;Constants!$B$4,"",MIN(Constants!$B$29,MAX(0,Constants!$B$27*Constants!$B$28*INT(ROUND((Constants!$B$26-$AN269)/Constants!$B$28,6))))+MIN(Constants!$B$29,MAX(0,Constants!$B$27*Constants!$B$28*INT(ROUND((Constants!$B$26-$AO269)/Constants!$B$28,6))))+MIN(Constants!$B$29,MAX(0,Constants!$B$27*Constants!$B$28*INT(ROUND((Constants!$B$26-$AP269)/Constants!$B$28,6)))))</f>
        <v/>
      </c>
      <c r="BX269" s="74" t="str">
        <f aca="false">IF($BL269&lt;&gt;Constants!$B$4,"",IF(NOT($AL269),0,Constants!$B$31*INT(ROUND(MAX(0,MIN($BJ269,2*$AH$9)-$AH$9),6))))</f>
        <v/>
      </c>
      <c r="BY269" s="74" t="str">
        <f aca="false">IF($BL269&lt;&gt;Constants!$B$4,"",Constants!$B$32*(($AN269&gt;Constants!$B$26)+($AO269&gt;Constants!$B$26)+($AP269&gt;Constants!$B$26)))</f>
        <v/>
      </c>
      <c r="BZ269" s="74" t="str">
        <f aca="false">IF($BL269&lt;&gt;Constants!$B$4,"",IF(OR(NOT($AL269),$AQ269),0,Constants!$B$33))</f>
        <v/>
      </c>
      <c r="CA269" s="74" t="str">
        <f aca="false">IF($BL269&lt;&gt;Constants!$B$4,"",Constants!$B$34*$BN269)</f>
        <v/>
      </c>
      <c r="CB269" s="74" t="str">
        <f aca="false">IF($BL269&lt;&gt;Constants!$B$4,"",IF(OR(NOT($AL269),$BH269),0,Constants!$B$36))</f>
        <v/>
      </c>
      <c r="CC269" s="74" t="str">
        <f aca="false">IF($BL269&lt;&gt;Constants!$B$4,"",IF(OR(NOT($AL269),$BG269),0,Constants!$B$37))</f>
        <v/>
      </c>
      <c r="CD269" s="74" t="str">
        <f aca="false">IF($BL269&lt;&gt;Constants!$B$4,"",SUM($BX269:$CC269))</f>
        <v/>
      </c>
      <c r="CE269" s="74" t="str">
        <f aca="false">IF(ISBLANK($C269),"",IF($BL269&lt;&gt;Constants!$B$4,$BL269,SUM($BO269:$BW269)-$CD269))</f>
        <v/>
      </c>
      <c r="CF269" s="74" t="str">
        <f aca="false">IF(ISBLANK($C269),"",IF($BL269&lt;&gt;Constants!$B$4,$BL269,RANK($CE269,$CE$9:$CE$508)))</f>
        <v/>
      </c>
      <c r="CG269" s="74" t="str">
        <f aca="false">IF(ISBLANK($C269),"",IF($BL269&lt;&gt;Constants!$B$4,$BL269,COUNTIFS($BM$9:$BM$508,"&lt;"&amp;$BM269)+COUNTIFS($BM$9:$BM$508,$BM269,$CF$9:$CF$508,"&lt;"&amp;$CF269)+1))</f>
        <v/>
      </c>
      <c r="CH269" s="74" t="str">
        <f aca="false">IF(ISBLANK($C269),"",IF($BL269&lt;&gt;Constants!$B$4,$BL269,RANK($CD269,$CD$9:$CD$508,1)))</f>
        <v/>
      </c>
      <c r="CI269" s="74" t="str">
        <f aca="false">IF($BL269&lt;&gt;Constants!$B$4,"",$AN269+$AO269+$AP269)</f>
        <v/>
      </c>
      <c r="CJ269" s="74" t="str">
        <f aca="false">IF(ISBLANK($C269),"",IF($BL269&lt;&gt;Constants!$B$4,$BL269,RANK($CI269,$CI$9:$CI$508,1)))</f>
        <v/>
      </c>
      <c r="CK269" s="74" t="str">
        <f aca="false">IF(ISBLANK($C269),"",IF($BL269&lt;&gt;Constants!$B$4,$BL269,COUNTIFS($BM$9:$BM$508,"&lt;"&amp;$BM269)+COUNTIFS($BM$9:$BM$508,$BM269,$CF$9:$CF$508,"&lt;"&amp;$CF269)+COUNTIFS($BM$9:$BM$508,$BM269,$CF$9:$CF$508,$CF269,$CH$9:$CH$508,"&lt;"&amp;$CH269)+COUNTIFS($BM$9:$BM$508,$BM269,$CF$9:$CF$508,$CF269,$CH$9:$CH$508,$CH269,$CJ$9:$CJ$508,"&lt;"&amp;$CJ269)+1))</f>
        <v/>
      </c>
      <c r="CL269" s="74" t="str">
        <f aca="false">IF(ISBLANK($C269),"",IF($BL269&lt;&gt;Constants!$B$4,$BL269,$CG269-$CK269))</f>
        <v/>
      </c>
      <c r="CM269" s="74" t="str">
        <f aca="false">IF(ISBLANK($C269),"",IF(NOT($AL269),"",IF(ISBLANK($D$7),$CM$5,IF(NOT(ISNUMBER($D$7)),$CM$6,""))))</f>
        <v/>
      </c>
      <c r="CN269" s="74" t="str">
        <f aca="false">IF(ISBLANK($C269),"",OR($AN269="",$AO269="",$AP269=""))</f>
        <v/>
      </c>
      <c r="CO269" s="74" t="str">
        <f aca="false">IF(ISBLANK($C269),"",AND($AL269,$BA269=""))</f>
        <v/>
      </c>
      <c r="CP269" s="74" t="str">
        <f aca="false">IF(ISBLANK($C269),"",AND($AL269,$BB269=""))</f>
        <v/>
      </c>
      <c r="CQ269" s="74" t="str">
        <f aca="false">IF(ISBLANK($C269),"",AND($AL269,$BC269=""))</f>
        <v/>
      </c>
      <c r="CR269" s="74" t="str">
        <f aca="false">IF(ISBLANK($C269),"",AND($AL269,$BF269=""))</f>
        <v/>
      </c>
      <c r="CS269" s="74" t="str">
        <f aca="false">IF(ISBLANK($C269),"",AND($AL269,$BJ269=""))</f>
        <v/>
      </c>
      <c r="CT269" s="75"/>
      <c r="CU269" s="76"/>
      <c r="CV269" s="79" t="str">
        <f aca="false">IF(ISBLANK($C269),"",IF($BL269=Constants!$B$8,$CM269,""))</f>
        <v/>
      </c>
      <c r="CW269" s="76" t="str">
        <f aca="false">IF(ISBLANK($C269),"",IF($BL269&lt;&gt;Constants!$B$4,"",$BO269+$BP269))</f>
        <v/>
      </c>
      <c r="CX269" s="78" t="str">
        <f aca="false">IF(ISBLANK($C269),"",IF($BL269&lt;&gt;Constants!$B$4,"",$BQ269+$BR269+$BS269))</f>
        <v/>
      </c>
      <c r="CY269" s="78" t="str">
        <f aca="false">IF(ISBLANK($C269),"",IF($BL269&lt;&gt;Constants!$B$4,"",$BT269))</f>
        <v/>
      </c>
      <c r="CZ269" s="78" t="str">
        <f aca="false">IF(ISBLANK($C269),"",IF($BL269&lt;&gt;Constants!$B$4,"",$BU269+$BV269))</f>
        <v/>
      </c>
      <c r="DA269" s="78" t="str">
        <f aca="false">IF(ISBLANK($C269),"",IF($BL269&lt;&gt;Constants!$B$4,"",$BW269))</f>
        <v/>
      </c>
      <c r="DB269" s="78" t="str">
        <f aca="false">IF(ISBLANK($C269),"",IF($BL269&lt;&gt;Constants!$B$4,"",-$CD269))</f>
        <v/>
      </c>
      <c r="DC269" s="79" t="str">
        <f aca="false">IF(ISBLANK($C269),"",$CE269)</f>
        <v/>
      </c>
      <c r="DD269" s="80" t="str">
        <f aca="false">IF(ISBLANK($C269),"",$BM269)</f>
        <v/>
      </c>
      <c r="DE269" s="78" t="str">
        <f aca="false">IF(ISBLANK($C269),"",$CL269)</f>
        <v/>
      </c>
      <c r="DF269" s="78" t="str">
        <f aca="false">IF(ISBLANK($C269),"",$CK269)</f>
        <v/>
      </c>
      <c r="DG269" s="81" t="str">
        <f aca="false">IF(ISBLANK($C269),"",IF($DF269=Constants!$B$7,COUNTA($C$9:$C$508)+2,IF($DF269=Constants!$B$6,COUNTA($C$9:$C$508)+1,IF($DF269=Constants!$B$5,COUNTA($C$9:$C$508),$DF269))))</f>
        <v/>
      </c>
      <c r="DH269" s="7"/>
      <c r="DI269" s="82" t="n">
        <f aca="false">IF(OR(ISNUMBER($DF269),$DF269=Constants!$B$7,$DF269=Constants!$B$5,$DF269=Constants!$B$6),1,0)</f>
        <v>0</v>
      </c>
      <c r="DJ269" s="82" t="n">
        <v>261</v>
      </c>
      <c r="DK269" s="82" t="str">
        <f aca="false">IF(ISBLANK($C269),"",IF(ISNUMBER($DG269),$DG269+ROW($B269)/1000,""))</f>
        <v/>
      </c>
      <c r="DL269" s="82" t="str">
        <f aca="false">IF(ISNUMBER($DK269),RANK($DK269,$DK$9:$DK$508,1),"")</f>
        <v/>
      </c>
      <c r="DM269" s="82" t="str">
        <f aca="false">IF(ISBLANK($C269),"",$B269)</f>
        <v/>
      </c>
      <c r="DN269" s="82" t="str">
        <f aca="false">IF(ISBLANK($C269),"",$C269)</f>
        <v/>
      </c>
      <c r="DO269" s="82" t="str">
        <f aca="false">IF(ISBLANK($C269),"",$D269)</f>
        <v/>
      </c>
      <c r="DP269" s="83" t="str">
        <f aca="false">$DD269</f>
        <v/>
      </c>
      <c r="DQ269" s="84" t="str">
        <f aca="false">$DC269</f>
        <v/>
      </c>
      <c r="DR269" s="82" t="str">
        <f aca="false">IF(ISBLANK($C269),"",$DF269)</f>
        <v/>
      </c>
      <c r="DS269" s="85" t="str">
        <f aca="false">IF($DJ269&gt;$DI$8,"",VLOOKUP($DJ269,$DL$9:$DR$508,7,FALSE()))</f>
        <v/>
      </c>
      <c r="DT269" s="86" t="str">
        <f aca="false">IF($DJ269&gt;$DI$8,"",VLOOKUP($DJ269,$DL$9:$DR$508,2,FALSE()))</f>
        <v/>
      </c>
      <c r="DU269" s="86" t="str">
        <f aca="false">IF($DJ269&gt;$DI$8,"",VLOOKUP($DJ269,$DL$9:$DR$508,3,FALSE()))</f>
        <v/>
      </c>
      <c r="DV269" s="86" t="str">
        <f aca="false">IF($DJ269&gt;$DI$8,"",VLOOKUP($DJ269,$DL$9:$DR$508,4,FALSE()))</f>
        <v/>
      </c>
      <c r="DW269" s="86" t="str">
        <f aca="false">IF($DJ269&gt;$DI$8,"",VLOOKUP($DJ269,$DL$9:$DR$508,5,FALSE()))</f>
        <v/>
      </c>
      <c r="DX269" s="87" t="str">
        <f aca="false">IF($DJ269&gt;$DI$8,"",VLOOKUP($DJ269,$DL$9:$DR$508,6,FALSE()))</f>
        <v/>
      </c>
      <c r="DY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130"/>
      <c r="N270" s="130"/>
      <c r="O270" s="135"/>
      <c r="P270" s="135"/>
      <c r="Q270" s="130"/>
      <c r="R270" s="130"/>
      <c r="S270" s="130"/>
      <c r="T270" s="130"/>
      <c r="U270" s="135"/>
      <c r="V270" s="130"/>
      <c r="W270" s="96"/>
      <c r="X270" s="130"/>
      <c r="Y270" s="130"/>
      <c r="Z270" s="96"/>
      <c r="AA270" s="96"/>
      <c r="AB270" s="130"/>
      <c r="AC270" s="130"/>
      <c r="AD270" s="130"/>
      <c r="AE270" s="97"/>
      <c r="AF270" s="130"/>
      <c r="AG270" s="99"/>
      <c r="AH270" s="100"/>
      <c r="AI270" s="100"/>
      <c r="AJ270" s="100" t="str">
        <f aca="false">IF(ISBLANK($C270),"",IF($E270=Constants!$B$2,TRUE(),IF($E270=Constants!$B$3,FALSE(),TRUE())))</f>
        <v/>
      </c>
      <c r="AK270" s="100" t="str">
        <f aca="false">IF(ISBLANK($C270),"",IF($F270=Constants!$B$2,TRUE(),IF($F270=Constants!$B$3,FALSE(),FALSE())))</f>
        <v/>
      </c>
      <c r="AL270" s="100" t="str">
        <f aca="false">IF(ISBLANK($C270),"",IF($G270=Constants!$B$2,TRUE(),IF($G270=Constants!$B$3,FALSE(),TRUE())))</f>
        <v/>
      </c>
      <c r="AM270" s="100" t="str">
        <f aca="false">IF(ISBLANK($C270),"",IF($H270=Constants!$B$2,TRUE(),IF($H270=Constants!$B$3,FALSE(),TRUE())))</f>
        <v/>
      </c>
      <c r="AN270" s="100" t="str">
        <f aca="false">IF(ISBLANK($C270),"",IF(ISNUMBER($I270),IF($I270&gt;=0,$I270,""),""))</f>
        <v/>
      </c>
      <c r="AO270" s="100" t="str">
        <f aca="false">IF(ISBLANK($C270),"",IF(ISNUMBER($J270),IF($J270&gt;=0,$J270,""),""))</f>
        <v/>
      </c>
      <c r="AP270" s="100" t="str">
        <f aca="false">IF(ISBLANK($C270),"",IF(ISNUMBER($K270),IF($K270&gt;=0,$K270,""),""))</f>
        <v/>
      </c>
      <c r="AQ270" s="100" t="str">
        <f aca="false">IF(ISBLANK($C270),"",IF($L270=Constants!$B$2,TRUE(),IF($L270=Constants!$B$3,FALSE(),TRUE())))</f>
        <v/>
      </c>
      <c r="AR270" s="100" t="str">
        <f aca="false">IF(ISBLANK($C270),"",IF($M270=Constants!$B$2,TRUE(),IF($M270=Constants!$B$3,FALSE(),TRUE())))</f>
        <v/>
      </c>
      <c r="AS270" s="100" t="str">
        <f aca="false">IF(ISBLANK($C270),"",IF($N270=Constants!$B$2,TRUE(),IF($N270=Constants!$B$3,FALSE(),FALSE())))</f>
        <v/>
      </c>
      <c r="AT270" s="100" t="str">
        <f aca="false">IF(ISBLANK($C270),"",IF($O270=Constants!$B$2,TRUE(),IF($O270=Constants!$B$3,FALSE(),TRUE())))</f>
        <v/>
      </c>
      <c r="AU270" s="100" t="str">
        <f aca="false">IF(ISBLANK($C270),"",IF($P270=Constants!$B$2,TRUE(),IF($P270=Constants!$B$3,FALSE(),TRUE())))</f>
        <v/>
      </c>
      <c r="AV270" s="100" t="str">
        <f aca="false">IF(ISBLANK($C270),"",IF($Q270=Constants!$B$2,TRUE(),IF($Q270=Constants!$B$3,FALSE(),FALSE())))</f>
        <v/>
      </c>
      <c r="AW270" s="100" t="str">
        <f aca="false">IF(ISBLANK($C270),"",IF($R270=Constants!$B$2,TRUE(),IF($R270=Constants!$B$3,FALSE(),FALSE())))</f>
        <v/>
      </c>
      <c r="AX270" s="100" t="str">
        <f aca="false">IF(ISBLANK($C270),"",IF($S270=Constants!$B$2,TRUE(),IF($S270=Constants!$B$3,FALSE(),FALSE())))</f>
        <v/>
      </c>
      <c r="AY270" s="100" t="str">
        <f aca="false">IF(ISBLANK($C270),"",IF($T270=Constants!$B$2,TRUE(),IF($T270=Constants!$B$3,FALSE(),FALSE())))</f>
        <v/>
      </c>
      <c r="AZ270" s="100" t="str">
        <f aca="false">IF(ISBLANK($C270),"",IF($U270=Constants!$B$2,TRUE(),IF($U270=Constants!$B$3,FALSE(),FALSE())))</f>
        <v/>
      </c>
      <c r="BA270" s="100" t="str">
        <f aca="false">IF(ISBLANK($C270),"",IF(OR($V270&amp;""="1",$V270&amp;""="2",$V270&amp;""="3",$V270&amp;""="4"),VALUE($V270&amp;""),IF($V270=Constants!$B$12,Constants!$B$12,"")))</f>
        <v/>
      </c>
      <c r="BB270" s="100" t="str">
        <f aca="false">IF(ISBLANK($C270),"",IF(ISBLANK($W270),0,IF(ISNUMBER($W270),IF(AND($W270&gt;=0,$W270&lt;=Constants!$B$21,$W270=INT($W270)),$W270,""),"")))</f>
        <v/>
      </c>
      <c r="BC270" s="100" t="str">
        <f aca="false">IF(ISBLANK($C270),"",IF(ISBLANK($X270),0,IF(ISNUMBER($X270),IF($X270&gt;=0,$X270,""),"")))</f>
        <v/>
      </c>
      <c r="BD270" s="100" t="str">
        <f aca="false">IF(ISBLANK($C270),"",IF($Y270=Constants!$B$2,TRUE(),IF($Y270=Constants!$B$3,FALSE(),TRUE())))</f>
        <v/>
      </c>
      <c r="BE270" s="100" t="str">
        <f aca="false">IF(ISBLANK($C270),"",IF($Z270=Constants!$B$2,TRUE(),IF($Z270=Constants!$B$3,FALSE(),FALSE())))</f>
        <v/>
      </c>
      <c r="BF270" s="100" t="str">
        <f aca="false">IF(ISBLANK($C270),"",IF(ISBLANK($AA270),0,IF(ISNUMBER($AA270),IF(AND($AA270&gt;=0,$AA270&lt;=Constants!$B$35,$AA270=INT($AA270)),$AA270,""),"")))</f>
        <v/>
      </c>
      <c r="BG270" s="100" t="str">
        <f aca="false">IF(ISBLANK($C270),"",IF($AB270=Constants!$B$2,TRUE(),IF($AB270=Constants!$B$3,FALSE(),TRUE())))</f>
        <v/>
      </c>
      <c r="BH270" s="100" t="str">
        <f aca="false">IF(ISBLANK($C270),"",IF($AC270=Constants!$B$2,TRUE(),IF($AC270=Constants!$B$3,FALSE(),TRUE())))</f>
        <v/>
      </c>
      <c r="BI270" s="100" t="str">
        <f aca="false">IF(ISBLANK($C270),"",IF($AD270=Constants!$B$2,TRUE(),IF($AD270=Constants!$B$3,FALSE(),TRUE())))</f>
        <v/>
      </c>
      <c r="BJ270" s="100" t="str">
        <f aca="false">IF(ISBLANK($C270),"",IF(ISNUMBER($AE270),IF($AE270&gt;=0,$AE270,""),""))</f>
        <v/>
      </c>
      <c r="BK270" s="100" t="str">
        <f aca="false">IF(ISBLANK($C270),"",IF($AF270=Constants!$B$2,TRUE(),IF($AF270=Constants!$B$3,FALSE(),FALSE())))</f>
        <v/>
      </c>
      <c r="BL270" s="99" t="str">
        <f aca="false">IF(ISBLANK($C270),"",IF($BK270,Constants!$B$7,IF(COUNTA($E270:$AE270)=0,Constants!$B$6,IF(OR(COUNTA($G270:$AE270)=0,NOT($AM270),$AS270),Constants!$B$5,IF(OR($CM270&lt;&gt;"",$CN270,$CO270,$CP270,$CQ270,$CR270,$CS270),Constants!$B$8,Constants!$B$4)))))</f>
        <v/>
      </c>
      <c r="BM270" s="100" t="str">
        <f aca="false">IF(ISBLANK($C270),"",IF($BL270&lt;&gt;Constants!$B$4,$BL270,IF(OR(NOT($AJ270),NOT($AL270),NOT($AT270)),Constants!$B$11,IF(OR(NOT($AR270),NOT($AU270),NOT($BI270),MAX($AN270,$AO270,$AP270)&gt;Constants!$B$30),Constants!$B$10,Constants!$B$9))))</f>
        <v/>
      </c>
      <c r="BN270" s="100" t="str">
        <f aca="false">IF($BL270&lt;&gt;Constants!$B$4,"",IF(NOT($AL270),0,MIN(Constants!$B$35,$BF270)))</f>
        <v/>
      </c>
      <c r="BO270" s="100" t="str">
        <f aca="false">IF($BL270&lt;&gt;Constants!$B$4,"",IF(NOT($AL270),0,IF($AW270,Constants!$B$18,IF($AV270,Constants!$B$17,0))))</f>
        <v/>
      </c>
      <c r="BP270" s="100" t="str">
        <f aca="false">IF($BL270&lt;&gt;Constants!$B$4,"",IF(NOT($AL270),0,Constants!$B$19*($AK270+$AX270+$AY270+$AZ270)))</f>
        <v/>
      </c>
      <c r="BQ270" s="100" t="str">
        <f aca="false">IF($BL270&lt;&gt;Constants!$B$4,"",IF(OR(NOT($AL270),NOT(ISNUMBER($BA270))),0,CHOOSE($BA270,Constants!$B$13,Constants!$B$14,Constants!$B$15,Constants!$B$16)))</f>
        <v/>
      </c>
      <c r="BR270" s="100" t="str">
        <f aca="false">IF($BL270&lt;&gt;Constants!$B$4,"",IF(NOT($AL270),0,Constants!$B$20*$BB270))</f>
        <v/>
      </c>
      <c r="BS270" s="100" t="str">
        <f aca="false">IF($BL270&lt;&gt;Constants!$B$4,"",IF(AND($AL270,$BD270,$BE270),Constants!$B$22,0))</f>
        <v/>
      </c>
      <c r="BT270" s="100" t="str">
        <f aca="false">IF($BL270&lt;&gt;Constants!$B$4,"",IF(OR(NOT($AL270),NOT($BD270)),0,IF($BJ270&gt;=2*$AH$9,0,Constants!$B$23*INT(ROUND(MIN($BJ270,$AH$9),6)))))</f>
        <v/>
      </c>
      <c r="BU270" s="100" t="str">
        <f aca="false">IF($BL270&lt;&gt;Constants!$B$4,"",IF(NOT($AL270),0,Constants!$B$24*INT(ROUND(MIN($BC270,$AH$9),6))))</f>
        <v/>
      </c>
      <c r="BV270" s="100" t="str">
        <f aca="false">IF($BL270&lt;&gt;Constants!$B$4,"",IF(AND($AL270,$BN270=0),Constants!$B$25,0))</f>
        <v/>
      </c>
      <c r="BW270" s="100" t="str">
        <f aca="false">IF($BL270&lt;&gt;Constants!$B$4,"",MIN(Constants!$B$29,MAX(0,Constants!$B$27*Constants!$B$28*INT(ROUND((Constants!$B$26-$AN270)/Constants!$B$28,6))))+MIN(Constants!$B$29,MAX(0,Constants!$B$27*Constants!$B$28*INT(ROUND((Constants!$B$26-$AO270)/Constants!$B$28,6))))+MIN(Constants!$B$29,MAX(0,Constants!$B$27*Constants!$B$28*INT(ROUND((Constants!$B$26-$AP270)/Constants!$B$28,6)))))</f>
        <v/>
      </c>
      <c r="BX270" s="100" t="str">
        <f aca="false">IF($BL270&lt;&gt;Constants!$B$4,"",IF(NOT($AL270),0,Constants!$B$31*INT(ROUND(MAX(0,MIN($BJ270,2*$AH$9)-$AH$9),6))))</f>
        <v/>
      </c>
      <c r="BY270" s="100" t="str">
        <f aca="false">IF($BL270&lt;&gt;Constants!$B$4,"",Constants!$B$32*(($AN270&gt;Constants!$B$26)+($AO270&gt;Constants!$B$26)+($AP270&gt;Constants!$B$26)))</f>
        <v/>
      </c>
      <c r="BZ270" s="100" t="str">
        <f aca="false">IF($BL270&lt;&gt;Constants!$B$4,"",IF(OR(NOT($AL270),$AQ270),0,Constants!$B$33))</f>
        <v/>
      </c>
      <c r="CA270" s="100" t="str">
        <f aca="false">IF($BL270&lt;&gt;Constants!$B$4,"",Constants!$B$34*$BN270)</f>
        <v/>
      </c>
      <c r="CB270" s="100" t="str">
        <f aca="false">IF($BL270&lt;&gt;Constants!$B$4,"",IF(OR(NOT($AL270),$BH270),0,Constants!$B$36))</f>
        <v/>
      </c>
      <c r="CC270" s="100" t="str">
        <f aca="false">IF($BL270&lt;&gt;Constants!$B$4,"",IF(OR(NOT($AL270),$BG270),0,Constants!$B$37))</f>
        <v/>
      </c>
      <c r="CD270" s="100" t="str">
        <f aca="false">IF($BL270&lt;&gt;Constants!$B$4,"",SUM($BX270:$CC270))</f>
        <v/>
      </c>
      <c r="CE270" s="100" t="str">
        <f aca="false">IF(ISBLANK($C270),"",IF($BL270&lt;&gt;Constants!$B$4,$BL270,SUM($BO270:$BW270)-$CD270))</f>
        <v/>
      </c>
      <c r="CF270" s="100" t="str">
        <f aca="false">IF(ISBLANK($C270),"",IF($BL270&lt;&gt;Constants!$B$4,$BL270,RANK($CE270,$CE$9:$CE$508)))</f>
        <v/>
      </c>
      <c r="CG270" s="100" t="str">
        <f aca="false">IF(ISBLANK($C270),"",IF($BL270&lt;&gt;Constants!$B$4,$BL270,COUNTIFS($BM$9:$BM$508,"&lt;"&amp;$BM270)+COUNTIFS($BM$9:$BM$508,$BM270,$CF$9:$CF$508,"&lt;"&amp;$CF270)+1))</f>
        <v/>
      </c>
      <c r="CH270" s="100" t="str">
        <f aca="false">IF(ISBLANK($C270),"",IF($BL270&lt;&gt;Constants!$B$4,$BL270,RANK($CD270,$CD$9:$CD$508,1)))</f>
        <v/>
      </c>
      <c r="CI270" s="100" t="str">
        <f aca="false">IF($BL270&lt;&gt;Constants!$B$4,"",$AN270+$AO270+$AP270)</f>
        <v/>
      </c>
      <c r="CJ270" s="100" t="str">
        <f aca="false">IF(ISBLANK($C270),"",IF($BL270&lt;&gt;Constants!$B$4,$BL270,RANK($CI270,$CI$9:$CI$508,1)))</f>
        <v/>
      </c>
      <c r="CK270" s="100" t="str">
        <f aca="false">IF(ISBLANK($C270),"",IF($BL270&lt;&gt;Constants!$B$4,$BL270,COUNTIFS($BM$9:$BM$508,"&lt;"&amp;$BM270)+COUNTIFS($BM$9:$BM$508,$BM270,$CF$9:$CF$508,"&lt;"&amp;$CF270)+COUNTIFS($BM$9:$BM$508,$BM270,$CF$9:$CF$508,$CF270,$CH$9:$CH$508,"&lt;"&amp;$CH270)+COUNTIFS($BM$9:$BM$508,$BM270,$CF$9:$CF$508,$CF270,$CH$9:$CH$508,$CH270,$CJ$9:$CJ$508,"&lt;"&amp;$CJ270)+1))</f>
        <v/>
      </c>
      <c r="CL270" s="100" t="str">
        <f aca="false">IF(ISBLANK($C270),"",IF($BL270&lt;&gt;Constants!$B$4,$BL270,$CG270-$CK270))</f>
        <v/>
      </c>
      <c r="CM270" s="100" t="str">
        <f aca="false">IF(ISBLANK($C270),"",IF(NOT($AL270),"",IF(ISBLANK($D$7),$CM$5,IF(NOT(ISNUMBER($D$7)),$CM$6,""))))</f>
        <v/>
      </c>
      <c r="CN270" s="100" t="str">
        <f aca="false">IF(ISBLANK($C270),"",OR($AN270="",$AO270="",$AP270=""))</f>
        <v/>
      </c>
      <c r="CO270" s="100" t="str">
        <f aca="false">IF(ISBLANK($C270),"",AND($AL270,$BA270=""))</f>
        <v/>
      </c>
      <c r="CP270" s="100" t="str">
        <f aca="false">IF(ISBLANK($C270),"",AND($AL270,$BB270=""))</f>
        <v/>
      </c>
      <c r="CQ270" s="100" t="str">
        <f aca="false">IF(ISBLANK($C270),"",AND($AL270,$BC270=""))</f>
        <v/>
      </c>
      <c r="CR270" s="100" t="str">
        <f aca="false">IF(ISBLANK($C270),"",AND($AL270,$BF270=""))</f>
        <v/>
      </c>
      <c r="CS270" s="100" t="str">
        <f aca="false">IF(ISBLANK($C270),"",AND($AL270,$BJ270=""))</f>
        <v/>
      </c>
      <c r="CT270" s="101"/>
      <c r="CU270" s="102"/>
      <c r="CV270" s="103" t="str">
        <f aca="false">IF(ISBLANK($C270),"",IF($BL270=Constants!$B$8,$CM270,""))</f>
        <v/>
      </c>
      <c r="CW270" s="102" t="str">
        <f aca="false">IF(ISBLANK($C270),"",IF($BL270&lt;&gt;Constants!$B$4,"",$BO270+$BP270))</f>
        <v/>
      </c>
      <c r="CX270" s="104" t="str">
        <f aca="false">IF(ISBLANK($C270),"",IF($BL270&lt;&gt;Constants!$B$4,"",$BQ270+$BR270+$BS270))</f>
        <v/>
      </c>
      <c r="CY270" s="104" t="str">
        <f aca="false">IF(ISBLANK($C270),"",IF($BL270&lt;&gt;Constants!$B$4,"",$BT270))</f>
        <v/>
      </c>
      <c r="CZ270" s="104" t="str">
        <f aca="false">IF(ISBLANK($C270),"",IF($BL270&lt;&gt;Constants!$B$4,"",$BU270+$BV270))</f>
        <v/>
      </c>
      <c r="DA270" s="104" t="str">
        <f aca="false">IF(ISBLANK($C270),"",IF($BL270&lt;&gt;Constants!$B$4,"",$BW270))</f>
        <v/>
      </c>
      <c r="DB270" s="104" t="str">
        <f aca="false">IF(ISBLANK($C270),"",IF($BL270&lt;&gt;Constants!$B$4,"",-$CD270))</f>
        <v/>
      </c>
      <c r="DC270" s="103" t="str">
        <f aca="false">IF(ISBLANK($C270),"",$CE270)</f>
        <v/>
      </c>
      <c r="DD270" s="105" t="str">
        <f aca="false">IF(ISBLANK($C270),"",$BM270)</f>
        <v/>
      </c>
      <c r="DE270" s="104" t="str">
        <f aca="false">IF(ISBLANK($C270),"",$CL270)</f>
        <v/>
      </c>
      <c r="DF270" s="104" t="str">
        <f aca="false">IF(ISBLANK($C270),"",$CK270)</f>
        <v/>
      </c>
      <c r="DG270" s="106" t="str">
        <f aca="false">IF(ISBLANK($C270),"",IF($DF270=Constants!$B$7,COUNTA($C$9:$C$508)+2,IF($DF270=Constants!$B$6,COUNTA($C$9:$C$508)+1,IF($DF270=Constants!$B$5,COUNTA($C$9:$C$508),$DF270))))</f>
        <v/>
      </c>
      <c r="DH270" s="7"/>
      <c r="DI270" s="107" t="n">
        <f aca="false">IF(OR(ISNUMBER($DF270),$DF270=Constants!$B$7,$DF270=Constants!$B$5,$DF270=Constants!$B$6),1,0)</f>
        <v>0</v>
      </c>
      <c r="DJ270" s="107" t="n">
        <v>262</v>
      </c>
      <c r="DK270" s="107" t="str">
        <f aca="false">IF(ISBLANK($C270),"",IF(ISNUMBER($DG270),$DG270+ROW($B270)/1000,""))</f>
        <v/>
      </c>
      <c r="DL270" s="107" t="str">
        <f aca="false">IF(ISNUMBER($DK270),RANK($DK270,$DK$9:$DK$508,1),"")</f>
        <v/>
      </c>
      <c r="DM270" s="107" t="str">
        <f aca="false">IF(ISBLANK($C270),"",$B270)</f>
        <v/>
      </c>
      <c r="DN270" s="107" t="str">
        <f aca="false">IF(ISBLANK($C270),"",$C270)</f>
        <v/>
      </c>
      <c r="DO270" s="107" t="str">
        <f aca="false">IF(ISBLANK($C270),"",$D270)</f>
        <v/>
      </c>
      <c r="DP270" s="108" t="str">
        <f aca="false">$DD270</f>
        <v/>
      </c>
      <c r="DQ270" s="109" t="str">
        <f aca="false">$DC270</f>
        <v/>
      </c>
      <c r="DR270" s="107" t="str">
        <f aca="false">IF(ISBLANK($C270),"",$DF270)</f>
        <v/>
      </c>
      <c r="DS270" s="110" t="str">
        <f aca="false">IF($DJ270&gt;$DI$8,"",VLOOKUP($DJ270,$DL$9:$DR$508,7,FALSE()))</f>
        <v/>
      </c>
      <c r="DT270" s="111" t="str">
        <f aca="false">IF($DJ270&gt;$DI$8,"",VLOOKUP($DJ270,$DL$9:$DR$508,2,FALSE()))</f>
        <v/>
      </c>
      <c r="DU270" s="111" t="str">
        <f aca="false">IF($DJ270&gt;$DI$8,"",VLOOKUP($DJ270,$DL$9:$DR$508,3,FALSE()))</f>
        <v/>
      </c>
      <c r="DV270" s="111" t="str">
        <f aca="false">IF($DJ270&gt;$DI$8,"",VLOOKUP($DJ270,$DL$9:$DR$508,4,FALSE()))</f>
        <v/>
      </c>
      <c r="DW270" s="111" t="str">
        <f aca="false">IF($DJ270&gt;$DI$8,"",VLOOKUP($DJ270,$DL$9:$DR$508,5,FALSE()))</f>
        <v/>
      </c>
      <c r="DX270" s="112" t="str">
        <f aca="false">IF($DJ270&gt;$DI$8,"",VLOOKUP($DJ270,$DL$9:$DR$508,6,FALSE()))</f>
        <v/>
      </c>
      <c r="DY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130"/>
      <c r="N271" s="130"/>
      <c r="O271" s="135"/>
      <c r="P271" s="135"/>
      <c r="Q271" s="130"/>
      <c r="R271" s="130"/>
      <c r="S271" s="130"/>
      <c r="T271" s="130"/>
      <c r="U271" s="135"/>
      <c r="V271" s="130"/>
      <c r="W271" s="96"/>
      <c r="X271" s="130"/>
      <c r="Y271" s="130"/>
      <c r="Z271" s="96"/>
      <c r="AA271" s="96"/>
      <c r="AB271" s="130"/>
      <c r="AC271" s="130"/>
      <c r="AD271" s="130"/>
      <c r="AE271" s="97"/>
      <c r="AF271" s="130"/>
      <c r="AG271" s="99"/>
      <c r="AH271" s="100"/>
      <c r="AI271" s="100"/>
      <c r="AJ271" s="100" t="str">
        <f aca="false">IF(ISBLANK($C271),"",IF($E271=Constants!$B$2,TRUE(),IF($E271=Constants!$B$3,FALSE(),TRUE())))</f>
        <v/>
      </c>
      <c r="AK271" s="100" t="str">
        <f aca="false">IF(ISBLANK($C271),"",IF($F271=Constants!$B$2,TRUE(),IF($F271=Constants!$B$3,FALSE(),FALSE())))</f>
        <v/>
      </c>
      <c r="AL271" s="100" t="str">
        <f aca="false">IF(ISBLANK($C271),"",IF($G271=Constants!$B$2,TRUE(),IF($G271=Constants!$B$3,FALSE(),TRUE())))</f>
        <v/>
      </c>
      <c r="AM271" s="100" t="str">
        <f aca="false">IF(ISBLANK($C271),"",IF($H271=Constants!$B$2,TRUE(),IF($H271=Constants!$B$3,FALSE(),TRUE())))</f>
        <v/>
      </c>
      <c r="AN271" s="100" t="str">
        <f aca="false">IF(ISBLANK($C271),"",IF(ISNUMBER($I271),IF($I271&gt;=0,$I271,""),""))</f>
        <v/>
      </c>
      <c r="AO271" s="100" t="str">
        <f aca="false">IF(ISBLANK($C271),"",IF(ISNUMBER($J271),IF($J271&gt;=0,$J271,""),""))</f>
        <v/>
      </c>
      <c r="AP271" s="100" t="str">
        <f aca="false">IF(ISBLANK($C271),"",IF(ISNUMBER($K271),IF($K271&gt;=0,$K271,""),""))</f>
        <v/>
      </c>
      <c r="AQ271" s="100" t="str">
        <f aca="false">IF(ISBLANK($C271),"",IF($L271=Constants!$B$2,TRUE(),IF($L271=Constants!$B$3,FALSE(),TRUE())))</f>
        <v/>
      </c>
      <c r="AR271" s="100" t="str">
        <f aca="false">IF(ISBLANK($C271),"",IF($M271=Constants!$B$2,TRUE(),IF($M271=Constants!$B$3,FALSE(),TRUE())))</f>
        <v/>
      </c>
      <c r="AS271" s="100" t="str">
        <f aca="false">IF(ISBLANK($C271),"",IF($N271=Constants!$B$2,TRUE(),IF($N271=Constants!$B$3,FALSE(),FALSE())))</f>
        <v/>
      </c>
      <c r="AT271" s="100" t="str">
        <f aca="false">IF(ISBLANK($C271),"",IF($O271=Constants!$B$2,TRUE(),IF($O271=Constants!$B$3,FALSE(),TRUE())))</f>
        <v/>
      </c>
      <c r="AU271" s="100" t="str">
        <f aca="false">IF(ISBLANK($C271),"",IF($P271=Constants!$B$2,TRUE(),IF($P271=Constants!$B$3,FALSE(),TRUE())))</f>
        <v/>
      </c>
      <c r="AV271" s="100" t="str">
        <f aca="false">IF(ISBLANK($C271),"",IF($Q271=Constants!$B$2,TRUE(),IF($Q271=Constants!$B$3,FALSE(),FALSE())))</f>
        <v/>
      </c>
      <c r="AW271" s="100" t="str">
        <f aca="false">IF(ISBLANK($C271),"",IF($R271=Constants!$B$2,TRUE(),IF($R271=Constants!$B$3,FALSE(),FALSE())))</f>
        <v/>
      </c>
      <c r="AX271" s="100" t="str">
        <f aca="false">IF(ISBLANK($C271),"",IF($S271=Constants!$B$2,TRUE(),IF($S271=Constants!$B$3,FALSE(),FALSE())))</f>
        <v/>
      </c>
      <c r="AY271" s="100" t="str">
        <f aca="false">IF(ISBLANK($C271),"",IF($T271=Constants!$B$2,TRUE(),IF($T271=Constants!$B$3,FALSE(),FALSE())))</f>
        <v/>
      </c>
      <c r="AZ271" s="100" t="str">
        <f aca="false">IF(ISBLANK($C271),"",IF($U271=Constants!$B$2,TRUE(),IF($U271=Constants!$B$3,FALSE(),FALSE())))</f>
        <v/>
      </c>
      <c r="BA271" s="100" t="str">
        <f aca="false">IF(ISBLANK($C271),"",IF(OR($V271&amp;""="1",$V271&amp;""="2",$V271&amp;""="3",$V271&amp;""="4"),VALUE($V271&amp;""),IF($V271=Constants!$B$12,Constants!$B$12,"")))</f>
        <v/>
      </c>
      <c r="BB271" s="100" t="str">
        <f aca="false">IF(ISBLANK($C271),"",IF(ISBLANK($W271),0,IF(ISNUMBER($W271),IF(AND($W271&gt;=0,$W271&lt;=Constants!$B$21,$W271=INT($W271)),$W271,""),"")))</f>
        <v/>
      </c>
      <c r="BC271" s="100" t="str">
        <f aca="false">IF(ISBLANK($C271),"",IF(ISBLANK($X271),0,IF(ISNUMBER($X271),IF($X271&gt;=0,$X271,""),"")))</f>
        <v/>
      </c>
      <c r="BD271" s="100" t="str">
        <f aca="false">IF(ISBLANK($C271),"",IF($Y271=Constants!$B$2,TRUE(),IF($Y271=Constants!$B$3,FALSE(),TRUE())))</f>
        <v/>
      </c>
      <c r="BE271" s="100" t="str">
        <f aca="false">IF(ISBLANK($C271),"",IF($Z271=Constants!$B$2,TRUE(),IF($Z271=Constants!$B$3,FALSE(),FALSE())))</f>
        <v/>
      </c>
      <c r="BF271" s="100" t="str">
        <f aca="false">IF(ISBLANK($C271),"",IF(ISBLANK($AA271),0,IF(ISNUMBER($AA271),IF(AND($AA271&gt;=0,$AA271&lt;=Constants!$B$35,$AA271=INT($AA271)),$AA271,""),"")))</f>
        <v/>
      </c>
      <c r="BG271" s="100" t="str">
        <f aca="false">IF(ISBLANK($C271),"",IF($AB271=Constants!$B$2,TRUE(),IF($AB271=Constants!$B$3,FALSE(),TRUE())))</f>
        <v/>
      </c>
      <c r="BH271" s="100" t="str">
        <f aca="false">IF(ISBLANK($C271),"",IF($AC271=Constants!$B$2,TRUE(),IF($AC271=Constants!$B$3,FALSE(),TRUE())))</f>
        <v/>
      </c>
      <c r="BI271" s="100" t="str">
        <f aca="false">IF(ISBLANK($C271),"",IF($AD271=Constants!$B$2,TRUE(),IF($AD271=Constants!$B$3,FALSE(),TRUE())))</f>
        <v/>
      </c>
      <c r="BJ271" s="100" t="str">
        <f aca="false">IF(ISBLANK($C271),"",IF(ISNUMBER($AE271),IF($AE271&gt;=0,$AE271,""),""))</f>
        <v/>
      </c>
      <c r="BK271" s="100" t="str">
        <f aca="false">IF(ISBLANK($C271),"",IF($AF271=Constants!$B$2,TRUE(),IF($AF271=Constants!$B$3,FALSE(),FALSE())))</f>
        <v/>
      </c>
      <c r="BL271" s="99" t="str">
        <f aca="false">IF(ISBLANK($C271),"",IF($BK271,Constants!$B$7,IF(COUNTA($E271:$AE271)=0,Constants!$B$6,IF(OR(COUNTA($G271:$AE271)=0,NOT($AM271),$AS271),Constants!$B$5,IF(OR($CM271&lt;&gt;"",$CN271,$CO271,$CP271,$CQ271,$CR271,$CS271),Constants!$B$8,Constants!$B$4)))))</f>
        <v/>
      </c>
      <c r="BM271" s="100" t="str">
        <f aca="false">IF(ISBLANK($C271),"",IF($BL271&lt;&gt;Constants!$B$4,$BL271,IF(OR(NOT($AJ271),NOT($AL271),NOT($AT271)),Constants!$B$11,IF(OR(NOT($AR271),NOT($AU271),NOT($BI271),MAX($AN271,$AO271,$AP271)&gt;Constants!$B$30),Constants!$B$10,Constants!$B$9))))</f>
        <v/>
      </c>
      <c r="BN271" s="100" t="str">
        <f aca="false">IF($BL271&lt;&gt;Constants!$B$4,"",IF(NOT($AL271),0,MIN(Constants!$B$35,$BF271)))</f>
        <v/>
      </c>
      <c r="BO271" s="100" t="str">
        <f aca="false">IF($BL271&lt;&gt;Constants!$B$4,"",IF(NOT($AL271),0,IF($AW271,Constants!$B$18,IF($AV271,Constants!$B$17,0))))</f>
        <v/>
      </c>
      <c r="BP271" s="100" t="str">
        <f aca="false">IF($BL271&lt;&gt;Constants!$B$4,"",IF(NOT($AL271),0,Constants!$B$19*($AK271+$AX271+$AY271+$AZ271)))</f>
        <v/>
      </c>
      <c r="BQ271" s="100" t="str">
        <f aca="false">IF($BL271&lt;&gt;Constants!$B$4,"",IF(OR(NOT($AL271),NOT(ISNUMBER($BA271))),0,CHOOSE($BA271,Constants!$B$13,Constants!$B$14,Constants!$B$15,Constants!$B$16)))</f>
        <v/>
      </c>
      <c r="BR271" s="100" t="str">
        <f aca="false">IF($BL271&lt;&gt;Constants!$B$4,"",IF(NOT($AL271),0,Constants!$B$20*$BB271))</f>
        <v/>
      </c>
      <c r="BS271" s="100" t="str">
        <f aca="false">IF($BL271&lt;&gt;Constants!$B$4,"",IF(AND($AL271,$BD271,$BE271),Constants!$B$22,0))</f>
        <v/>
      </c>
      <c r="BT271" s="100" t="str">
        <f aca="false">IF($BL271&lt;&gt;Constants!$B$4,"",IF(OR(NOT($AL271),NOT($BD271)),0,IF($BJ271&gt;=2*$AH$9,0,Constants!$B$23*INT(ROUND(MIN($BJ271,$AH$9),6)))))</f>
        <v/>
      </c>
      <c r="BU271" s="100" t="str">
        <f aca="false">IF($BL271&lt;&gt;Constants!$B$4,"",IF(NOT($AL271),0,Constants!$B$24*INT(ROUND(MIN($BC271,$AH$9),6))))</f>
        <v/>
      </c>
      <c r="BV271" s="100" t="str">
        <f aca="false">IF($BL271&lt;&gt;Constants!$B$4,"",IF(AND($AL271,$BN271=0),Constants!$B$25,0))</f>
        <v/>
      </c>
      <c r="BW271" s="100" t="str">
        <f aca="false">IF($BL271&lt;&gt;Constants!$B$4,"",MIN(Constants!$B$29,MAX(0,Constants!$B$27*Constants!$B$28*INT(ROUND((Constants!$B$26-$AN271)/Constants!$B$28,6))))+MIN(Constants!$B$29,MAX(0,Constants!$B$27*Constants!$B$28*INT(ROUND((Constants!$B$26-$AO271)/Constants!$B$28,6))))+MIN(Constants!$B$29,MAX(0,Constants!$B$27*Constants!$B$28*INT(ROUND((Constants!$B$26-$AP271)/Constants!$B$28,6)))))</f>
        <v/>
      </c>
      <c r="BX271" s="100" t="str">
        <f aca="false">IF($BL271&lt;&gt;Constants!$B$4,"",IF(NOT($AL271),0,Constants!$B$31*INT(ROUND(MAX(0,MIN($BJ271,2*$AH$9)-$AH$9),6))))</f>
        <v/>
      </c>
      <c r="BY271" s="100" t="str">
        <f aca="false">IF($BL271&lt;&gt;Constants!$B$4,"",Constants!$B$32*(($AN271&gt;Constants!$B$26)+($AO271&gt;Constants!$B$26)+($AP271&gt;Constants!$B$26)))</f>
        <v/>
      </c>
      <c r="BZ271" s="100" t="str">
        <f aca="false">IF($BL271&lt;&gt;Constants!$B$4,"",IF(OR(NOT($AL271),$AQ271),0,Constants!$B$33))</f>
        <v/>
      </c>
      <c r="CA271" s="100" t="str">
        <f aca="false">IF($BL271&lt;&gt;Constants!$B$4,"",Constants!$B$34*$BN271)</f>
        <v/>
      </c>
      <c r="CB271" s="100" t="str">
        <f aca="false">IF($BL271&lt;&gt;Constants!$B$4,"",IF(OR(NOT($AL271),$BH271),0,Constants!$B$36))</f>
        <v/>
      </c>
      <c r="CC271" s="100" t="str">
        <f aca="false">IF($BL271&lt;&gt;Constants!$B$4,"",IF(OR(NOT($AL271),$BG271),0,Constants!$B$37))</f>
        <v/>
      </c>
      <c r="CD271" s="100" t="str">
        <f aca="false">IF($BL271&lt;&gt;Constants!$B$4,"",SUM($BX271:$CC271))</f>
        <v/>
      </c>
      <c r="CE271" s="100" t="str">
        <f aca="false">IF(ISBLANK($C271),"",IF($BL271&lt;&gt;Constants!$B$4,$BL271,SUM($BO271:$BW271)-$CD271))</f>
        <v/>
      </c>
      <c r="CF271" s="100" t="str">
        <f aca="false">IF(ISBLANK($C271),"",IF($BL271&lt;&gt;Constants!$B$4,$BL271,RANK($CE271,$CE$9:$CE$508)))</f>
        <v/>
      </c>
      <c r="CG271" s="100" t="str">
        <f aca="false">IF(ISBLANK($C271),"",IF($BL271&lt;&gt;Constants!$B$4,$BL271,COUNTIFS($BM$9:$BM$508,"&lt;"&amp;$BM271)+COUNTIFS($BM$9:$BM$508,$BM271,$CF$9:$CF$508,"&lt;"&amp;$CF271)+1))</f>
        <v/>
      </c>
      <c r="CH271" s="100" t="str">
        <f aca="false">IF(ISBLANK($C271),"",IF($BL271&lt;&gt;Constants!$B$4,$BL271,RANK($CD271,$CD$9:$CD$508,1)))</f>
        <v/>
      </c>
      <c r="CI271" s="100" t="str">
        <f aca="false">IF($BL271&lt;&gt;Constants!$B$4,"",$AN271+$AO271+$AP271)</f>
        <v/>
      </c>
      <c r="CJ271" s="100" t="str">
        <f aca="false">IF(ISBLANK($C271),"",IF($BL271&lt;&gt;Constants!$B$4,$BL271,RANK($CI271,$CI$9:$CI$508,1)))</f>
        <v/>
      </c>
      <c r="CK271" s="100" t="str">
        <f aca="false">IF(ISBLANK($C271),"",IF($BL271&lt;&gt;Constants!$B$4,$BL271,COUNTIFS($BM$9:$BM$508,"&lt;"&amp;$BM271)+COUNTIFS($BM$9:$BM$508,$BM271,$CF$9:$CF$508,"&lt;"&amp;$CF271)+COUNTIFS($BM$9:$BM$508,$BM271,$CF$9:$CF$508,$CF271,$CH$9:$CH$508,"&lt;"&amp;$CH271)+COUNTIFS($BM$9:$BM$508,$BM271,$CF$9:$CF$508,$CF271,$CH$9:$CH$508,$CH271,$CJ$9:$CJ$508,"&lt;"&amp;$CJ271)+1))</f>
        <v/>
      </c>
      <c r="CL271" s="100" t="str">
        <f aca="false">IF(ISBLANK($C271),"",IF($BL271&lt;&gt;Constants!$B$4,$BL271,$CG271-$CK271))</f>
        <v/>
      </c>
      <c r="CM271" s="100" t="str">
        <f aca="false">IF(ISBLANK($C271),"",IF(NOT($AL271),"",IF(ISBLANK($D$7),$CM$5,IF(NOT(ISNUMBER($D$7)),$CM$6,""))))</f>
        <v/>
      </c>
      <c r="CN271" s="100" t="str">
        <f aca="false">IF(ISBLANK($C271),"",OR($AN271="",$AO271="",$AP271=""))</f>
        <v/>
      </c>
      <c r="CO271" s="100" t="str">
        <f aca="false">IF(ISBLANK($C271),"",AND($AL271,$BA271=""))</f>
        <v/>
      </c>
      <c r="CP271" s="100" t="str">
        <f aca="false">IF(ISBLANK($C271),"",AND($AL271,$BB271=""))</f>
        <v/>
      </c>
      <c r="CQ271" s="100" t="str">
        <f aca="false">IF(ISBLANK($C271),"",AND($AL271,$BC271=""))</f>
        <v/>
      </c>
      <c r="CR271" s="100" t="str">
        <f aca="false">IF(ISBLANK($C271),"",AND($AL271,$BF271=""))</f>
        <v/>
      </c>
      <c r="CS271" s="100" t="str">
        <f aca="false">IF(ISBLANK($C271),"",AND($AL271,$BJ271=""))</f>
        <v/>
      </c>
      <c r="CT271" s="101"/>
      <c r="CU271" s="102"/>
      <c r="CV271" s="103" t="str">
        <f aca="false">IF(ISBLANK($C271),"",IF($BL271=Constants!$B$8,$CM271,""))</f>
        <v/>
      </c>
      <c r="CW271" s="102" t="str">
        <f aca="false">IF(ISBLANK($C271),"",IF($BL271&lt;&gt;Constants!$B$4,"",$BO271+$BP271))</f>
        <v/>
      </c>
      <c r="CX271" s="104" t="str">
        <f aca="false">IF(ISBLANK($C271),"",IF($BL271&lt;&gt;Constants!$B$4,"",$BQ271+$BR271+$BS271))</f>
        <v/>
      </c>
      <c r="CY271" s="104" t="str">
        <f aca="false">IF(ISBLANK($C271),"",IF($BL271&lt;&gt;Constants!$B$4,"",$BT271))</f>
        <v/>
      </c>
      <c r="CZ271" s="104" t="str">
        <f aca="false">IF(ISBLANK($C271),"",IF($BL271&lt;&gt;Constants!$B$4,"",$BU271+$BV271))</f>
        <v/>
      </c>
      <c r="DA271" s="104" t="str">
        <f aca="false">IF(ISBLANK($C271),"",IF($BL271&lt;&gt;Constants!$B$4,"",$BW271))</f>
        <v/>
      </c>
      <c r="DB271" s="104" t="str">
        <f aca="false">IF(ISBLANK($C271),"",IF($BL271&lt;&gt;Constants!$B$4,"",-$CD271))</f>
        <v/>
      </c>
      <c r="DC271" s="103" t="str">
        <f aca="false">IF(ISBLANK($C271),"",$CE271)</f>
        <v/>
      </c>
      <c r="DD271" s="105" t="str">
        <f aca="false">IF(ISBLANK($C271),"",$BM271)</f>
        <v/>
      </c>
      <c r="DE271" s="104" t="str">
        <f aca="false">IF(ISBLANK($C271),"",$CL271)</f>
        <v/>
      </c>
      <c r="DF271" s="104" t="str">
        <f aca="false">IF(ISBLANK($C271),"",$CK271)</f>
        <v/>
      </c>
      <c r="DG271" s="106" t="str">
        <f aca="false">IF(ISBLANK($C271),"",IF($DF271=Constants!$B$7,COUNTA($C$9:$C$508)+2,IF($DF271=Constants!$B$6,COUNTA($C$9:$C$508)+1,IF($DF271=Constants!$B$5,COUNTA($C$9:$C$508),$DF271))))</f>
        <v/>
      </c>
      <c r="DH271" s="7"/>
      <c r="DI271" s="107" t="n">
        <f aca="false">IF(OR(ISNUMBER($DF271),$DF271=Constants!$B$7,$DF271=Constants!$B$5,$DF271=Constants!$B$6),1,0)</f>
        <v>0</v>
      </c>
      <c r="DJ271" s="107" t="n">
        <v>263</v>
      </c>
      <c r="DK271" s="107" t="str">
        <f aca="false">IF(ISBLANK($C271),"",IF(ISNUMBER($DG271),$DG271+ROW($B271)/1000,""))</f>
        <v/>
      </c>
      <c r="DL271" s="107" t="str">
        <f aca="false">IF(ISNUMBER($DK271),RANK($DK271,$DK$9:$DK$508,1),"")</f>
        <v/>
      </c>
      <c r="DM271" s="107" t="str">
        <f aca="false">IF(ISBLANK($C271),"",$B271)</f>
        <v/>
      </c>
      <c r="DN271" s="107" t="str">
        <f aca="false">IF(ISBLANK($C271),"",$C271)</f>
        <v/>
      </c>
      <c r="DO271" s="107" t="str">
        <f aca="false">IF(ISBLANK($C271),"",$D271)</f>
        <v/>
      </c>
      <c r="DP271" s="108" t="str">
        <f aca="false">$DD271</f>
        <v/>
      </c>
      <c r="DQ271" s="109" t="str">
        <f aca="false">$DC271</f>
        <v/>
      </c>
      <c r="DR271" s="107" t="str">
        <f aca="false">IF(ISBLANK($C271),"",$DF271)</f>
        <v/>
      </c>
      <c r="DS271" s="110" t="str">
        <f aca="false">IF($DJ271&gt;$DI$8,"",VLOOKUP($DJ271,$DL$9:$DR$508,7,FALSE()))</f>
        <v/>
      </c>
      <c r="DT271" s="111" t="str">
        <f aca="false">IF($DJ271&gt;$DI$8,"",VLOOKUP($DJ271,$DL$9:$DR$508,2,FALSE()))</f>
        <v/>
      </c>
      <c r="DU271" s="111" t="str">
        <f aca="false">IF($DJ271&gt;$DI$8,"",VLOOKUP($DJ271,$DL$9:$DR$508,3,FALSE()))</f>
        <v/>
      </c>
      <c r="DV271" s="111" t="str">
        <f aca="false">IF($DJ271&gt;$DI$8,"",VLOOKUP($DJ271,$DL$9:$DR$508,4,FALSE()))</f>
        <v/>
      </c>
      <c r="DW271" s="111" t="str">
        <f aca="false">IF($DJ271&gt;$DI$8,"",VLOOKUP($DJ271,$DL$9:$DR$508,5,FALSE()))</f>
        <v/>
      </c>
      <c r="DX271" s="112" t="str">
        <f aca="false">IF($DJ271&gt;$DI$8,"",VLOOKUP($DJ271,$DL$9:$DR$508,6,FALSE()))</f>
        <v/>
      </c>
      <c r="DY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130"/>
      <c r="N272" s="130"/>
      <c r="O272" s="135"/>
      <c r="P272" s="135"/>
      <c r="Q272" s="130"/>
      <c r="R272" s="130"/>
      <c r="S272" s="130"/>
      <c r="T272" s="130"/>
      <c r="U272" s="135"/>
      <c r="V272" s="130"/>
      <c r="W272" s="96"/>
      <c r="X272" s="130"/>
      <c r="Y272" s="130"/>
      <c r="Z272" s="96"/>
      <c r="AA272" s="96"/>
      <c r="AB272" s="130"/>
      <c r="AC272" s="130"/>
      <c r="AD272" s="130"/>
      <c r="AE272" s="97"/>
      <c r="AF272" s="130"/>
      <c r="AG272" s="99"/>
      <c r="AH272" s="100"/>
      <c r="AI272" s="100"/>
      <c r="AJ272" s="100" t="str">
        <f aca="false">IF(ISBLANK($C272),"",IF($E272=Constants!$B$2,TRUE(),IF($E272=Constants!$B$3,FALSE(),TRUE())))</f>
        <v/>
      </c>
      <c r="AK272" s="100" t="str">
        <f aca="false">IF(ISBLANK($C272),"",IF($F272=Constants!$B$2,TRUE(),IF($F272=Constants!$B$3,FALSE(),FALSE())))</f>
        <v/>
      </c>
      <c r="AL272" s="100" t="str">
        <f aca="false">IF(ISBLANK($C272),"",IF($G272=Constants!$B$2,TRUE(),IF($G272=Constants!$B$3,FALSE(),TRUE())))</f>
        <v/>
      </c>
      <c r="AM272" s="100" t="str">
        <f aca="false">IF(ISBLANK($C272),"",IF($H272=Constants!$B$2,TRUE(),IF($H272=Constants!$B$3,FALSE(),TRUE())))</f>
        <v/>
      </c>
      <c r="AN272" s="100" t="str">
        <f aca="false">IF(ISBLANK($C272),"",IF(ISNUMBER($I272),IF($I272&gt;=0,$I272,""),""))</f>
        <v/>
      </c>
      <c r="AO272" s="100" t="str">
        <f aca="false">IF(ISBLANK($C272),"",IF(ISNUMBER($J272),IF($J272&gt;=0,$J272,""),""))</f>
        <v/>
      </c>
      <c r="AP272" s="100" t="str">
        <f aca="false">IF(ISBLANK($C272),"",IF(ISNUMBER($K272),IF($K272&gt;=0,$K272,""),""))</f>
        <v/>
      </c>
      <c r="AQ272" s="100" t="str">
        <f aca="false">IF(ISBLANK($C272),"",IF($L272=Constants!$B$2,TRUE(),IF($L272=Constants!$B$3,FALSE(),TRUE())))</f>
        <v/>
      </c>
      <c r="AR272" s="100" t="str">
        <f aca="false">IF(ISBLANK($C272),"",IF($M272=Constants!$B$2,TRUE(),IF($M272=Constants!$B$3,FALSE(),TRUE())))</f>
        <v/>
      </c>
      <c r="AS272" s="100" t="str">
        <f aca="false">IF(ISBLANK($C272),"",IF($N272=Constants!$B$2,TRUE(),IF($N272=Constants!$B$3,FALSE(),FALSE())))</f>
        <v/>
      </c>
      <c r="AT272" s="100" t="str">
        <f aca="false">IF(ISBLANK($C272),"",IF($O272=Constants!$B$2,TRUE(),IF($O272=Constants!$B$3,FALSE(),TRUE())))</f>
        <v/>
      </c>
      <c r="AU272" s="100" t="str">
        <f aca="false">IF(ISBLANK($C272),"",IF($P272=Constants!$B$2,TRUE(),IF($P272=Constants!$B$3,FALSE(),TRUE())))</f>
        <v/>
      </c>
      <c r="AV272" s="100" t="str">
        <f aca="false">IF(ISBLANK($C272),"",IF($Q272=Constants!$B$2,TRUE(),IF($Q272=Constants!$B$3,FALSE(),FALSE())))</f>
        <v/>
      </c>
      <c r="AW272" s="100" t="str">
        <f aca="false">IF(ISBLANK($C272),"",IF($R272=Constants!$B$2,TRUE(),IF($R272=Constants!$B$3,FALSE(),FALSE())))</f>
        <v/>
      </c>
      <c r="AX272" s="100" t="str">
        <f aca="false">IF(ISBLANK($C272),"",IF($S272=Constants!$B$2,TRUE(),IF($S272=Constants!$B$3,FALSE(),FALSE())))</f>
        <v/>
      </c>
      <c r="AY272" s="100" t="str">
        <f aca="false">IF(ISBLANK($C272),"",IF($T272=Constants!$B$2,TRUE(),IF($T272=Constants!$B$3,FALSE(),FALSE())))</f>
        <v/>
      </c>
      <c r="AZ272" s="100" t="str">
        <f aca="false">IF(ISBLANK($C272),"",IF($U272=Constants!$B$2,TRUE(),IF($U272=Constants!$B$3,FALSE(),FALSE())))</f>
        <v/>
      </c>
      <c r="BA272" s="100" t="str">
        <f aca="false">IF(ISBLANK($C272),"",IF(OR($V272&amp;""="1",$V272&amp;""="2",$V272&amp;""="3",$V272&amp;""="4"),VALUE($V272&amp;""),IF($V272=Constants!$B$12,Constants!$B$12,"")))</f>
        <v/>
      </c>
      <c r="BB272" s="100" t="str">
        <f aca="false">IF(ISBLANK($C272),"",IF(ISBLANK($W272),0,IF(ISNUMBER($W272),IF(AND($W272&gt;=0,$W272&lt;=Constants!$B$21,$W272=INT($W272)),$W272,""),"")))</f>
        <v/>
      </c>
      <c r="BC272" s="100" t="str">
        <f aca="false">IF(ISBLANK($C272),"",IF(ISBLANK($X272),0,IF(ISNUMBER($X272),IF($X272&gt;=0,$X272,""),"")))</f>
        <v/>
      </c>
      <c r="BD272" s="100" t="str">
        <f aca="false">IF(ISBLANK($C272),"",IF($Y272=Constants!$B$2,TRUE(),IF($Y272=Constants!$B$3,FALSE(),TRUE())))</f>
        <v/>
      </c>
      <c r="BE272" s="100" t="str">
        <f aca="false">IF(ISBLANK($C272),"",IF($Z272=Constants!$B$2,TRUE(),IF($Z272=Constants!$B$3,FALSE(),FALSE())))</f>
        <v/>
      </c>
      <c r="BF272" s="100" t="str">
        <f aca="false">IF(ISBLANK($C272),"",IF(ISBLANK($AA272),0,IF(ISNUMBER($AA272),IF(AND($AA272&gt;=0,$AA272&lt;=Constants!$B$35,$AA272=INT($AA272)),$AA272,""),"")))</f>
        <v/>
      </c>
      <c r="BG272" s="100" t="str">
        <f aca="false">IF(ISBLANK($C272),"",IF($AB272=Constants!$B$2,TRUE(),IF($AB272=Constants!$B$3,FALSE(),TRUE())))</f>
        <v/>
      </c>
      <c r="BH272" s="100" t="str">
        <f aca="false">IF(ISBLANK($C272),"",IF($AC272=Constants!$B$2,TRUE(),IF($AC272=Constants!$B$3,FALSE(),TRUE())))</f>
        <v/>
      </c>
      <c r="BI272" s="100" t="str">
        <f aca="false">IF(ISBLANK($C272),"",IF($AD272=Constants!$B$2,TRUE(),IF($AD272=Constants!$B$3,FALSE(),TRUE())))</f>
        <v/>
      </c>
      <c r="BJ272" s="100" t="str">
        <f aca="false">IF(ISBLANK($C272),"",IF(ISNUMBER($AE272),IF($AE272&gt;=0,$AE272,""),""))</f>
        <v/>
      </c>
      <c r="BK272" s="100" t="str">
        <f aca="false">IF(ISBLANK($C272),"",IF($AF272=Constants!$B$2,TRUE(),IF($AF272=Constants!$B$3,FALSE(),FALSE())))</f>
        <v/>
      </c>
      <c r="BL272" s="99" t="str">
        <f aca="false">IF(ISBLANK($C272),"",IF($BK272,Constants!$B$7,IF(COUNTA($E272:$AE272)=0,Constants!$B$6,IF(OR(COUNTA($G272:$AE272)=0,NOT($AM272),$AS272),Constants!$B$5,IF(OR($CM272&lt;&gt;"",$CN272,$CO272,$CP272,$CQ272,$CR272,$CS272),Constants!$B$8,Constants!$B$4)))))</f>
        <v/>
      </c>
      <c r="BM272" s="100" t="str">
        <f aca="false">IF(ISBLANK($C272),"",IF($BL272&lt;&gt;Constants!$B$4,$BL272,IF(OR(NOT($AJ272),NOT($AL272),NOT($AT272)),Constants!$B$11,IF(OR(NOT($AR272),NOT($AU272),NOT($BI272),MAX($AN272,$AO272,$AP272)&gt;Constants!$B$30),Constants!$B$10,Constants!$B$9))))</f>
        <v/>
      </c>
      <c r="BN272" s="100" t="str">
        <f aca="false">IF($BL272&lt;&gt;Constants!$B$4,"",IF(NOT($AL272),0,MIN(Constants!$B$35,$BF272)))</f>
        <v/>
      </c>
      <c r="BO272" s="100" t="str">
        <f aca="false">IF($BL272&lt;&gt;Constants!$B$4,"",IF(NOT($AL272),0,IF($AW272,Constants!$B$18,IF($AV272,Constants!$B$17,0))))</f>
        <v/>
      </c>
      <c r="BP272" s="100" t="str">
        <f aca="false">IF($BL272&lt;&gt;Constants!$B$4,"",IF(NOT($AL272),0,Constants!$B$19*($AK272+$AX272+$AY272+$AZ272)))</f>
        <v/>
      </c>
      <c r="BQ272" s="100" t="str">
        <f aca="false">IF($BL272&lt;&gt;Constants!$B$4,"",IF(OR(NOT($AL272),NOT(ISNUMBER($BA272))),0,CHOOSE($BA272,Constants!$B$13,Constants!$B$14,Constants!$B$15,Constants!$B$16)))</f>
        <v/>
      </c>
      <c r="BR272" s="100" t="str">
        <f aca="false">IF($BL272&lt;&gt;Constants!$B$4,"",IF(NOT($AL272),0,Constants!$B$20*$BB272))</f>
        <v/>
      </c>
      <c r="BS272" s="100" t="str">
        <f aca="false">IF($BL272&lt;&gt;Constants!$B$4,"",IF(AND($AL272,$BD272,$BE272),Constants!$B$22,0))</f>
        <v/>
      </c>
      <c r="BT272" s="100" t="str">
        <f aca="false">IF($BL272&lt;&gt;Constants!$B$4,"",IF(OR(NOT($AL272),NOT($BD272)),0,IF($BJ272&gt;=2*$AH$9,0,Constants!$B$23*INT(ROUND(MIN($BJ272,$AH$9),6)))))</f>
        <v/>
      </c>
      <c r="BU272" s="100" t="str">
        <f aca="false">IF($BL272&lt;&gt;Constants!$B$4,"",IF(NOT($AL272),0,Constants!$B$24*INT(ROUND(MIN($BC272,$AH$9),6))))</f>
        <v/>
      </c>
      <c r="BV272" s="100" t="str">
        <f aca="false">IF($BL272&lt;&gt;Constants!$B$4,"",IF(AND($AL272,$BN272=0),Constants!$B$25,0))</f>
        <v/>
      </c>
      <c r="BW272" s="100" t="str">
        <f aca="false">IF($BL272&lt;&gt;Constants!$B$4,"",MIN(Constants!$B$29,MAX(0,Constants!$B$27*Constants!$B$28*INT(ROUND((Constants!$B$26-$AN272)/Constants!$B$28,6))))+MIN(Constants!$B$29,MAX(0,Constants!$B$27*Constants!$B$28*INT(ROUND((Constants!$B$26-$AO272)/Constants!$B$28,6))))+MIN(Constants!$B$29,MAX(0,Constants!$B$27*Constants!$B$28*INT(ROUND((Constants!$B$26-$AP272)/Constants!$B$28,6)))))</f>
        <v/>
      </c>
      <c r="BX272" s="100" t="str">
        <f aca="false">IF($BL272&lt;&gt;Constants!$B$4,"",IF(NOT($AL272),0,Constants!$B$31*INT(ROUND(MAX(0,MIN($BJ272,2*$AH$9)-$AH$9),6))))</f>
        <v/>
      </c>
      <c r="BY272" s="100" t="str">
        <f aca="false">IF($BL272&lt;&gt;Constants!$B$4,"",Constants!$B$32*(($AN272&gt;Constants!$B$26)+($AO272&gt;Constants!$B$26)+($AP272&gt;Constants!$B$26)))</f>
        <v/>
      </c>
      <c r="BZ272" s="100" t="str">
        <f aca="false">IF($BL272&lt;&gt;Constants!$B$4,"",IF(OR(NOT($AL272),$AQ272),0,Constants!$B$33))</f>
        <v/>
      </c>
      <c r="CA272" s="100" t="str">
        <f aca="false">IF($BL272&lt;&gt;Constants!$B$4,"",Constants!$B$34*$BN272)</f>
        <v/>
      </c>
      <c r="CB272" s="100" t="str">
        <f aca="false">IF($BL272&lt;&gt;Constants!$B$4,"",IF(OR(NOT($AL272),$BH272),0,Constants!$B$36))</f>
        <v/>
      </c>
      <c r="CC272" s="100" t="str">
        <f aca="false">IF($BL272&lt;&gt;Constants!$B$4,"",IF(OR(NOT($AL272),$BG272),0,Constants!$B$37))</f>
        <v/>
      </c>
      <c r="CD272" s="100" t="str">
        <f aca="false">IF($BL272&lt;&gt;Constants!$B$4,"",SUM($BX272:$CC272))</f>
        <v/>
      </c>
      <c r="CE272" s="100" t="str">
        <f aca="false">IF(ISBLANK($C272),"",IF($BL272&lt;&gt;Constants!$B$4,$BL272,SUM($BO272:$BW272)-$CD272))</f>
        <v/>
      </c>
      <c r="CF272" s="100" t="str">
        <f aca="false">IF(ISBLANK($C272),"",IF($BL272&lt;&gt;Constants!$B$4,$BL272,RANK($CE272,$CE$9:$CE$508)))</f>
        <v/>
      </c>
      <c r="CG272" s="100" t="str">
        <f aca="false">IF(ISBLANK($C272),"",IF($BL272&lt;&gt;Constants!$B$4,$BL272,COUNTIFS($BM$9:$BM$508,"&lt;"&amp;$BM272)+COUNTIFS($BM$9:$BM$508,$BM272,$CF$9:$CF$508,"&lt;"&amp;$CF272)+1))</f>
        <v/>
      </c>
      <c r="CH272" s="100" t="str">
        <f aca="false">IF(ISBLANK($C272),"",IF($BL272&lt;&gt;Constants!$B$4,$BL272,RANK($CD272,$CD$9:$CD$508,1)))</f>
        <v/>
      </c>
      <c r="CI272" s="100" t="str">
        <f aca="false">IF($BL272&lt;&gt;Constants!$B$4,"",$AN272+$AO272+$AP272)</f>
        <v/>
      </c>
      <c r="CJ272" s="100" t="str">
        <f aca="false">IF(ISBLANK($C272),"",IF($BL272&lt;&gt;Constants!$B$4,$BL272,RANK($CI272,$CI$9:$CI$508,1)))</f>
        <v/>
      </c>
      <c r="CK272" s="100" t="str">
        <f aca="false">IF(ISBLANK($C272),"",IF($BL272&lt;&gt;Constants!$B$4,$BL272,COUNTIFS($BM$9:$BM$508,"&lt;"&amp;$BM272)+COUNTIFS($BM$9:$BM$508,$BM272,$CF$9:$CF$508,"&lt;"&amp;$CF272)+COUNTIFS($BM$9:$BM$508,$BM272,$CF$9:$CF$508,$CF272,$CH$9:$CH$508,"&lt;"&amp;$CH272)+COUNTIFS($BM$9:$BM$508,$BM272,$CF$9:$CF$508,$CF272,$CH$9:$CH$508,$CH272,$CJ$9:$CJ$508,"&lt;"&amp;$CJ272)+1))</f>
        <v/>
      </c>
      <c r="CL272" s="100" t="str">
        <f aca="false">IF(ISBLANK($C272),"",IF($BL272&lt;&gt;Constants!$B$4,$BL272,$CG272-$CK272))</f>
        <v/>
      </c>
      <c r="CM272" s="100" t="str">
        <f aca="false">IF(ISBLANK($C272),"",IF(NOT($AL272),"",IF(ISBLANK($D$7),$CM$5,IF(NOT(ISNUMBER($D$7)),$CM$6,""))))</f>
        <v/>
      </c>
      <c r="CN272" s="100" t="str">
        <f aca="false">IF(ISBLANK($C272),"",OR($AN272="",$AO272="",$AP272=""))</f>
        <v/>
      </c>
      <c r="CO272" s="100" t="str">
        <f aca="false">IF(ISBLANK($C272),"",AND($AL272,$BA272=""))</f>
        <v/>
      </c>
      <c r="CP272" s="100" t="str">
        <f aca="false">IF(ISBLANK($C272),"",AND($AL272,$BB272=""))</f>
        <v/>
      </c>
      <c r="CQ272" s="100" t="str">
        <f aca="false">IF(ISBLANK($C272),"",AND($AL272,$BC272=""))</f>
        <v/>
      </c>
      <c r="CR272" s="100" t="str">
        <f aca="false">IF(ISBLANK($C272),"",AND($AL272,$BF272=""))</f>
        <v/>
      </c>
      <c r="CS272" s="100" t="str">
        <f aca="false">IF(ISBLANK($C272),"",AND($AL272,$BJ272=""))</f>
        <v/>
      </c>
      <c r="CT272" s="101"/>
      <c r="CU272" s="102"/>
      <c r="CV272" s="103" t="str">
        <f aca="false">IF(ISBLANK($C272),"",IF($BL272=Constants!$B$8,$CM272,""))</f>
        <v/>
      </c>
      <c r="CW272" s="102" t="str">
        <f aca="false">IF(ISBLANK($C272),"",IF($BL272&lt;&gt;Constants!$B$4,"",$BO272+$BP272))</f>
        <v/>
      </c>
      <c r="CX272" s="104" t="str">
        <f aca="false">IF(ISBLANK($C272),"",IF($BL272&lt;&gt;Constants!$B$4,"",$BQ272+$BR272+$BS272))</f>
        <v/>
      </c>
      <c r="CY272" s="104" t="str">
        <f aca="false">IF(ISBLANK($C272),"",IF($BL272&lt;&gt;Constants!$B$4,"",$BT272))</f>
        <v/>
      </c>
      <c r="CZ272" s="104" t="str">
        <f aca="false">IF(ISBLANK($C272),"",IF($BL272&lt;&gt;Constants!$B$4,"",$BU272+$BV272))</f>
        <v/>
      </c>
      <c r="DA272" s="104" t="str">
        <f aca="false">IF(ISBLANK($C272),"",IF($BL272&lt;&gt;Constants!$B$4,"",$BW272))</f>
        <v/>
      </c>
      <c r="DB272" s="104" t="str">
        <f aca="false">IF(ISBLANK($C272),"",IF($BL272&lt;&gt;Constants!$B$4,"",-$CD272))</f>
        <v/>
      </c>
      <c r="DC272" s="103" t="str">
        <f aca="false">IF(ISBLANK($C272),"",$CE272)</f>
        <v/>
      </c>
      <c r="DD272" s="105" t="str">
        <f aca="false">IF(ISBLANK($C272),"",$BM272)</f>
        <v/>
      </c>
      <c r="DE272" s="104" t="str">
        <f aca="false">IF(ISBLANK($C272),"",$CL272)</f>
        <v/>
      </c>
      <c r="DF272" s="104" t="str">
        <f aca="false">IF(ISBLANK($C272),"",$CK272)</f>
        <v/>
      </c>
      <c r="DG272" s="106" t="str">
        <f aca="false">IF(ISBLANK($C272),"",IF($DF272=Constants!$B$7,COUNTA($C$9:$C$508)+2,IF($DF272=Constants!$B$6,COUNTA($C$9:$C$508)+1,IF($DF272=Constants!$B$5,COUNTA($C$9:$C$508),$DF272))))</f>
        <v/>
      </c>
      <c r="DH272" s="7"/>
      <c r="DI272" s="107" t="n">
        <f aca="false">IF(OR(ISNUMBER($DF272),$DF272=Constants!$B$7,$DF272=Constants!$B$5,$DF272=Constants!$B$6),1,0)</f>
        <v>0</v>
      </c>
      <c r="DJ272" s="107" t="n">
        <v>264</v>
      </c>
      <c r="DK272" s="107" t="str">
        <f aca="false">IF(ISBLANK($C272),"",IF(ISNUMBER($DG272),$DG272+ROW($B272)/1000,""))</f>
        <v/>
      </c>
      <c r="DL272" s="107" t="str">
        <f aca="false">IF(ISNUMBER($DK272),RANK($DK272,$DK$9:$DK$508,1),"")</f>
        <v/>
      </c>
      <c r="DM272" s="107" t="str">
        <f aca="false">IF(ISBLANK($C272),"",$B272)</f>
        <v/>
      </c>
      <c r="DN272" s="107" t="str">
        <f aca="false">IF(ISBLANK($C272),"",$C272)</f>
        <v/>
      </c>
      <c r="DO272" s="107" t="str">
        <f aca="false">IF(ISBLANK($C272),"",$D272)</f>
        <v/>
      </c>
      <c r="DP272" s="108" t="str">
        <f aca="false">$DD272</f>
        <v/>
      </c>
      <c r="DQ272" s="109" t="str">
        <f aca="false">$DC272</f>
        <v/>
      </c>
      <c r="DR272" s="107" t="str">
        <f aca="false">IF(ISBLANK($C272),"",$DF272)</f>
        <v/>
      </c>
      <c r="DS272" s="110" t="str">
        <f aca="false">IF($DJ272&gt;$DI$8,"",VLOOKUP($DJ272,$DL$9:$DR$508,7,FALSE()))</f>
        <v/>
      </c>
      <c r="DT272" s="111" t="str">
        <f aca="false">IF($DJ272&gt;$DI$8,"",VLOOKUP($DJ272,$DL$9:$DR$508,2,FALSE()))</f>
        <v/>
      </c>
      <c r="DU272" s="111" t="str">
        <f aca="false">IF($DJ272&gt;$DI$8,"",VLOOKUP($DJ272,$DL$9:$DR$508,3,FALSE()))</f>
        <v/>
      </c>
      <c r="DV272" s="111" t="str">
        <f aca="false">IF($DJ272&gt;$DI$8,"",VLOOKUP($DJ272,$DL$9:$DR$508,4,FALSE()))</f>
        <v/>
      </c>
      <c r="DW272" s="111" t="str">
        <f aca="false">IF($DJ272&gt;$DI$8,"",VLOOKUP($DJ272,$DL$9:$DR$508,5,FALSE()))</f>
        <v/>
      </c>
      <c r="DX272" s="112" t="str">
        <f aca="false">IF($DJ272&gt;$DI$8,"",VLOOKUP($DJ272,$DL$9:$DR$508,6,FALSE()))</f>
        <v/>
      </c>
      <c r="DY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88"/>
      <c r="N273" s="88"/>
      <c r="O273" s="134"/>
      <c r="P273" s="134"/>
      <c r="Q273" s="88"/>
      <c r="R273" s="88"/>
      <c r="S273" s="88"/>
      <c r="T273" s="88"/>
      <c r="U273" s="134"/>
      <c r="V273" s="88"/>
      <c r="W273" s="70"/>
      <c r="X273" s="88"/>
      <c r="Y273" s="88"/>
      <c r="Z273" s="70"/>
      <c r="AA273" s="70"/>
      <c r="AB273" s="88"/>
      <c r="AC273" s="88"/>
      <c r="AD273" s="88"/>
      <c r="AE273" s="71"/>
      <c r="AF273" s="88"/>
      <c r="AG273" s="73"/>
      <c r="AH273" s="74"/>
      <c r="AI273" s="74"/>
      <c r="AJ273" s="74" t="str">
        <f aca="false">IF(ISBLANK($C273),"",IF($E273=Constants!$B$2,TRUE(),IF($E273=Constants!$B$3,FALSE(),TRUE())))</f>
        <v/>
      </c>
      <c r="AK273" s="74" t="str">
        <f aca="false">IF(ISBLANK($C273),"",IF($F273=Constants!$B$2,TRUE(),IF($F273=Constants!$B$3,FALSE(),FALSE())))</f>
        <v/>
      </c>
      <c r="AL273" s="74" t="str">
        <f aca="false">IF(ISBLANK($C273),"",IF($G273=Constants!$B$2,TRUE(),IF($G273=Constants!$B$3,FALSE(),TRUE())))</f>
        <v/>
      </c>
      <c r="AM273" s="74" t="str">
        <f aca="false">IF(ISBLANK($C273),"",IF($H273=Constants!$B$2,TRUE(),IF($H273=Constants!$B$3,FALSE(),TRUE())))</f>
        <v/>
      </c>
      <c r="AN273" s="74" t="str">
        <f aca="false">IF(ISBLANK($C273),"",IF(ISNUMBER($I273),IF($I273&gt;=0,$I273,""),""))</f>
        <v/>
      </c>
      <c r="AO273" s="74" t="str">
        <f aca="false">IF(ISBLANK($C273),"",IF(ISNUMBER($J273),IF($J273&gt;=0,$J273,""),""))</f>
        <v/>
      </c>
      <c r="AP273" s="74" t="str">
        <f aca="false">IF(ISBLANK($C273),"",IF(ISNUMBER($K273),IF($K273&gt;=0,$K273,""),""))</f>
        <v/>
      </c>
      <c r="AQ273" s="74" t="str">
        <f aca="false">IF(ISBLANK($C273),"",IF($L273=Constants!$B$2,TRUE(),IF($L273=Constants!$B$3,FALSE(),TRUE())))</f>
        <v/>
      </c>
      <c r="AR273" s="74" t="str">
        <f aca="false">IF(ISBLANK($C273),"",IF($M273=Constants!$B$2,TRUE(),IF($M273=Constants!$B$3,FALSE(),TRUE())))</f>
        <v/>
      </c>
      <c r="AS273" s="74" t="str">
        <f aca="false">IF(ISBLANK($C273),"",IF($N273=Constants!$B$2,TRUE(),IF($N273=Constants!$B$3,FALSE(),FALSE())))</f>
        <v/>
      </c>
      <c r="AT273" s="74" t="str">
        <f aca="false">IF(ISBLANK($C273),"",IF($O273=Constants!$B$2,TRUE(),IF($O273=Constants!$B$3,FALSE(),TRUE())))</f>
        <v/>
      </c>
      <c r="AU273" s="74" t="str">
        <f aca="false">IF(ISBLANK($C273),"",IF($P273=Constants!$B$2,TRUE(),IF($P273=Constants!$B$3,FALSE(),TRUE())))</f>
        <v/>
      </c>
      <c r="AV273" s="74" t="str">
        <f aca="false">IF(ISBLANK($C273),"",IF($Q273=Constants!$B$2,TRUE(),IF($Q273=Constants!$B$3,FALSE(),FALSE())))</f>
        <v/>
      </c>
      <c r="AW273" s="74" t="str">
        <f aca="false">IF(ISBLANK($C273),"",IF($R273=Constants!$B$2,TRUE(),IF($R273=Constants!$B$3,FALSE(),FALSE())))</f>
        <v/>
      </c>
      <c r="AX273" s="74" t="str">
        <f aca="false">IF(ISBLANK($C273),"",IF($S273=Constants!$B$2,TRUE(),IF($S273=Constants!$B$3,FALSE(),FALSE())))</f>
        <v/>
      </c>
      <c r="AY273" s="74" t="str">
        <f aca="false">IF(ISBLANK($C273),"",IF($T273=Constants!$B$2,TRUE(),IF($T273=Constants!$B$3,FALSE(),FALSE())))</f>
        <v/>
      </c>
      <c r="AZ273" s="74" t="str">
        <f aca="false">IF(ISBLANK($C273),"",IF($U273=Constants!$B$2,TRUE(),IF($U273=Constants!$B$3,FALSE(),FALSE())))</f>
        <v/>
      </c>
      <c r="BA273" s="74" t="str">
        <f aca="false">IF(ISBLANK($C273),"",IF(OR($V273&amp;""="1",$V273&amp;""="2",$V273&amp;""="3",$V273&amp;""="4"),VALUE($V273&amp;""),IF($V273=Constants!$B$12,Constants!$B$12,"")))</f>
        <v/>
      </c>
      <c r="BB273" s="74" t="str">
        <f aca="false">IF(ISBLANK($C273),"",IF(ISBLANK($W273),0,IF(ISNUMBER($W273),IF(AND($W273&gt;=0,$W273&lt;=Constants!$B$21,$W273=INT($W273)),$W273,""),"")))</f>
        <v/>
      </c>
      <c r="BC273" s="74" t="str">
        <f aca="false">IF(ISBLANK($C273),"",IF(ISBLANK($X273),0,IF(ISNUMBER($X273),IF($X273&gt;=0,$X273,""),"")))</f>
        <v/>
      </c>
      <c r="BD273" s="74" t="str">
        <f aca="false">IF(ISBLANK($C273),"",IF($Y273=Constants!$B$2,TRUE(),IF($Y273=Constants!$B$3,FALSE(),TRUE())))</f>
        <v/>
      </c>
      <c r="BE273" s="74" t="str">
        <f aca="false">IF(ISBLANK($C273),"",IF($Z273=Constants!$B$2,TRUE(),IF($Z273=Constants!$B$3,FALSE(),FALSE())))</f>
        <v/>
      </c>
      <c r="BF273" s="74" t="str">
        <f aca="false">IF(ISBLANK($C273),"",IF(ISBLANK($AA273),0,IF(ISNUMBER($AA273),IF(AND($AA273&gt;=0,$AA273&lt;=Constants!$B$35,$AA273=INT($AA273)),$AA273,""),"")))</f>
        <v/>
      </c>
      <c r="BG273" s="74" t="str">
        <f aca="false">IF(ISBLANK($C273),"",IF($AB273=Constants!$B$2,TRUE(),IF($AB273=Constants!$B$3,FALSE(),TRUE())))</f>
        <v/>
      </c>
      <c r="BH273" s="74" t="str">
        <f aca="false">IF(ISBLANK($C273),"",IF($AC273=Constants!$B$2,TRUE(),IF($AC273=Constants!$B$3,FALSE(),TRUE())))</f>
        <v/>
      </c>
      <c r="BI273" s="74" t="str">
        <f aca="false">IF(ISBLANK($C273),"",IF($AD273=Constants!$B$2,TRUE(),IF($AD273=Constants!$B$3,FALSE(),TRUE())))</f>
        <v/>
      </c>
      <c r="BJ273" s="74" t="str">
        <f aca="false">IF(ISBLANK($C273),"",IF(ISNUMBER($AE273),IF($AE273&gt;=0,$AE273,""),""))</f>
        <v/>
      </c>
      <c r="BK273" s="74" t="str">
        <f aca="false">IF(ISBLANK($C273),"",IF($AF273=Constants!$B$2,TRUE(),IF($AF273=Constants!$B$3,FALSE(),FALSE())))</f>
        <v/>
      </c>
      <c r="BL273" s="73" t="str">
        <f aca="false">IF(ISBLANK($C273),"",IF($BK273,Constants!$B$7,IF(COUNTA($E273:$AE273)=0,Constants!$B$6,IF(OR(COUNTA($G273:$AE273)=0,NOT($AM273),$AS273),Constants!$B$5,IF(OR($CM273&lt;&gt;"",$CN273,$CO273,$CP273,$CQ273,$CR273,$CS273),Constants!$B$8,Constants!$B$4)))))</f>
        <v/>
      </c>
      <c r="BM273" s="74" t="str">
        <f aca="false">IF(ISBLANK($C273),"",IF($BL273&lt;&gt;Constants!$B$4,$BL273,IF(OR(NOT($AJ273),NOT($AL273),NOT($AT273)),Constants!$B$11,IF(OR(NOT($AR273),NOT($AU273),NOT($BI273),MAX($AN273,$AO273,$AP273)&gt;Constants!$B$30),Constants!$B$10,Constants!$B$9))))</f>
        <v/>
      </c>
      <c r="BN273" s="74" t="str">
        <f aca="false">IF($BL273&lt;&gt;Constants!$B$4,"",IF(NOT($AL273),0,MIN(Constants!$B$35,$BF273)))</f>
        <v/>
      </c>
      <c r="BO273" s="74" t="str">
        <f aca="false">IF($BL273&lt;&gt;Constants!$B$4,"",IF(NOT($AL273),0,IF($AW273,Constants!$B$18,IF($AV273,Constants!$B$17,0))))</f>
        <v/>
      </c>
      <c r="BP273" s="74" t="str">
        <f aca="false">IF($BL273&lt;&gt;Constants!$B$4,"",IF(NOT($AL273),0,Constants!$B$19*($AK273+$AX273+$AY273+$AZ273)))</f>
        <v/>
      </c>
      <c r="BQ273" s="74" t="str">
        <f aca="false">IF($BL273&lt;&gt;Constants!$B$4,"",IF(OR(NOT($AL273),NOT(ISNUMBER($BA273))),0,CHOOSE($BA273,Constants!$B$13,Constants!$B$14,Constants!$B$15,Constants!$B$16)))</f>
        <v/>
      </c>
      <c r="BR273" s="74" t="str">
        <f aca="false">IF($BL273&lt;&gt;Constants!$B$4,"",IF(NOT($AL273),0,Constants!$B$20*$BB273))</f>
        <v/>
      </c>
      <c r="BS273" s="74" t="str">
        <f aca="false">IF($BL273&lt;&gt;Constants!$B$4,"",IF(AND($AL273,$BD273,$BE273),Constants!$B$22,0))</f>
        <v/>
      </c>
      <c r="BT273" s="74" t="str">
        <f aca="false">IF($BL273&lt;&gt;Constants!$B$4,"",IF(OR(NOT($AL273),NOT($BD273)),0,IF($BJ273&gt;=2*$AH$9,0,Constants!$B$23*INT(ROUND(MIN($BJ273,$AH$9),6)))))</f>
        <v/>
      </c>
      <c r="BU273" s="74" t="str">
        <f aca="false">IF($BL273&lt;&gt;Constants!$B$4,"",IF(NOT($AL273),0,Constants!$B$24*INT(ROUND(MIN($BC273,$AH$9),6))))</f>
        <v/>
      </c>
      <c r="BV273" s="74" t="str">
        <f aca="false">IF($BL273&lt;&gt;Constants!$B$4,"",IF(AND($AL273,$BN273=0),Constants!$B$25,0))</f>
        <v/>
      </c>
      <c r="BW273" s="74" t="str">
        <f aca="false">IF($BL273&lt;&gt;Constants!$B$4,"",MIN(Constants!$B$29,MAX(0,Constants!$B$27*Constants!$B$28*INT(ROUND((Constants!$B$26-$AN273)/Constants!$B$28,6))))+MIN(Constants!$B$29,MAX(0,Constants!$B$27*Constants!$B$28*INT(ROUND((Constants!$B$26-$AO273)/Constants!$B$28,6))))+MIN(Constants!$B$29,MAX(0,Constants!$B$27*Constants!$B$28*INT(ROUND((Constants!$B$26-$AP273)/Constants!$B$28,6)))))</f>
        <v/>
      </c>
      <c r="BX273" s="74" t="str">
        <f aca="false">IF($BL273&lt;&gt;Constants!$B$4,"",IF(NOT($AL273),0,Constants!$B$31*INT(ROUND(MAX(0,MIN($BJ273,2*$AH$9)-$AH$9),6))))</f>
        <v/>
      </c>
      <c r="BY273" s="74" t="str">
        <f aca="false">IF($BL273&lt;&gt;Constants!$B$4,"",Constants!$B$32*(($AN273&gt;Constants!$B$26)+($AO273&gt;Constants!$B$26)+($AP273&gt;Constants!$B$26)))</f>
        <v/>
      </c>
      <c r="BZ273" s="74" t="str">
        <f aca="false">IF($BL273&lt;&gt;Constants!$B$4,"",IF(OR(NOT($AL273),$AQ273),0,Constants!$B$33))</f>
        <v/>
      </c>
      <c r="CA273" s="74" t="str">
        <f aca="false">IF($BL273&lt;&gt;Constants!$B$4,"",Constants!$B$34*$BN273)</f>
        <v/>
      </c>
      <c r="CB273" s="74" t="str">
        <f aca="false">IF($BL273&lt;&gt;Constants!$B$4,"",IF(OR(NOT($AL273),$BH273),0,Constants!$B$36))</f>
        <v/>
      </c>
      <c r="CC273" s="74" t="str">
        <f aca="false">IF($BL273&lt;&gt;Constants!$B$4,"",IF(OR(NOT($AL273),$BG273),0,Constants!$B$37))</f>
        <v/>
      </c>
      <c r="CD273" s="74" t="str">
        <f aca="false">IF($BL273&lt;&gt;Constants!$B$4,"",SUM($BX273:$CC273))</f>
        <v/>
      </c>
      <c r="CE273" s="74" t="str">
        <f aca="false">IF(ISBLANK($C273),"",IF($BL273&lt;&gt;Constants!$B$4,$BL273,SUM($BO273:$BW273)-$CD273))</f>
        <v/>
      </c>
      <c r="CF273" s="74" t="str">
        <f aca="false">IF(ISBLANK($C273),"",IF($BL273&lt;&gt;Constants!$B$4,$BL273,RANK($CE273,$CE$9:$CE$508)))</f>
        <v/>
      </c>
      <c r="CG273" s="74" t="str">
        <f aca="false">IF(ISBLANK($C273),"",IF($BL273&lt;&gt;Constants!$B$4,$BL273,COUNTIFS($BM$9:$BM$508,"&lt;"&amp;$BM273)+COUNTIFS($BM$9:$BM$508,$BM273,$CF$9:$CF$508,"&lt;"&amp;$CF273)+1))</f>
        <v/>
      </c>
      <c r="CH273" s="74" t="str">
        <f aca="false">IF(ISBLANK($C273),"",IF($BL273&lt;&gt;Constants!$B$4,$BL273,RANK($CD273,$CD$9:$CD$508,1)))</f>
        <v/>
      </c>
      <c r="CI273" s="74" t="str">
        <f aca="false">IF($BL273&lt;&gt;Constants!$B$4,"",$AN273+$AO273+$AP273)</f>
        <v/>
      </c>
      <c r="CJ273" s="74" t="str">
        <f aca="false">IF(ISBLANK($C273),"",IF($BL273&lt;&gt;Constants!$B$4,$BL273,RANK($CI273,$CI$9:$CI$508,1)))</f>
        <v/>
      </c>
      <c r="CK273" s="74" t="str">
        <f aca="false">IF(ISBLANK($C273),"",IF($BL273&lt;&gt;Constants!$B$4,$BL273,COUNTIFS($BM$9:$BM$508,"&lt;"&amp;$BM273)+COUNTIFS($BM$9:$BM$508,$BM273,$CF$9:$CF$508,"&lt;"&amp;$CF273)+COUNTIFS($BM$9:$BM$508,$BM273,$CF$9:$CF$508,$CF273,$CH$9:$CH$508,"&lt;"&amp;$CH273)+COUNTIFS($BM$9:$BM$508,$BM273,$CF$9:$CF$508,$CF273,$CH$9:$CH$508,$CH273,$CJ$9:$CJ$508,"&lt;"&amp;$CJ273)+1))</f>
        <v/>
      </c>
      <c r="CL273" s="74" t="str">
        <f aca="false">IF(ISBLANK($C273),"",IF($BL273&lt;&gt;Constants!$B$4,$BL273,$CG273-$CK273))</f>
        <v/>
      </c>
      <c r="CM273" s="74" t="str">
        <f aca="false">IF(ISBLANK($C273),"",IF(NOT($AL273),"",IF(ISBLANK($D$7),$CM$5,IF(NOT(ISNUMBER($D$7)),$CM$6,""))))</f>
        <v/>
      </c>
      <c r="CN273" s="74" t="str">
        <f aca="false">IF(ISBLANK($C273),"",OR($AN273="",$AO273="",$AP273=""))</f>
        <v/>
      </c>
      <c r="CO273" s="74" t="str">
        <f aca="false">IF(ISBLANK($C273),"",AND($AL273,$BA273=""))</f>
        <v/>
      </c>
      <c r="CP273" s="74" t="str">
        <f aca="false">IF(ISBLANK($C273),"",AND($AL273,$BB273=""))</f>
        <v/>
      </c>
      <c r="CQ273" s="74" t="str">
        <f aca="false">IF(ISBLANK($C273),"",AND($AL273,$BC273=""))</f>
        <v/>
      </c>
      <c r="CR273" s="74" t="str">
        <f aca="false">IF(ISBLANK($C273),"",AND($AL273,$BF273=""))</f>
        <v/>
      </c>
      <c r="CS273" s="74" t="str">
        <f aca="false">IF(ISBLANK($C273),"",AND($AL273,$BJ273=""))</f>
        <v/>
      </c>
      <c r="CT273" s="75"/>
      <c r="CU273" s="76"/>
      <c r="CV273" s="79" t="str">
        <f aca="false">IF(ISBLANK($C273),"",IF($BL273=Constants!$B$8,$CM273,""))</f>
        <v/>
      </c>
      <c r="CW273" s="76" t="str">
        <f aca="false">IF(ISBLANK($C273),"",IF($BL273&lt;&gt;Constants!$B$4,"",$BO273+$BP273))</f>
        <v/>
      </c>
      <c r="CX273" s="78" t="str">
        <f aca="false">IF(ISBLANK($C273),"",IF($BL273&lt;&gt;Constants!$B$4,"",$BQ273+$BR273+$BS273))</f>
        <v/>
      </c>
      <c r="CY273" s="78" t="str">
        <f aca="false">IF(ISBLANK($C273),"",IF($BL273&lt;&gt;Constants!$B$4,"",$BT273))</f>
        <v/>
      </c>
      <c r="CZ273" s="78" t="str">
        <f aca="false">IF(ISBLANK($C273),"",IF($BL273&lt;&gt;Constants!$B$4,"",$BU273+$BV273))</f>
        <v/>
      </c>
      <c r="DA273" s="78" t="str">
        <f aca="false">IF(ISBLANK($C273),"",IF($BL273&lt;&gt;Constants!$B$4,"",$BW273))</f>
        <v/>
      </c>
      <c r="DB273" s="78" t="str">
        <f aca="false">IF(ISBLANK($C273),"",IF($BL273&lt;&gt;Constants!$B$4,"",-$CD273))</f>
        <v/>
      </c>
      <c r="DC273" s="79" t="str">
        <f aca="false">IF(ISBLANK($C273),"",$CE273)</f>
        <v/>
      </c>
      <c r="DD273" s="80" t="str">
        <f aca="false">IF(ISBLANK($C273),"",$BM273)</f>
        <v/>
      </c>
      <c r="DE273" s="78" t="str">
        <f aca="false">IF(ISBLANK($C273),"",$CL273)</f>
        <v/>
      </c>
      <c r="DF273" s="78" t="str">
        <f aca="false">IF(ISBLANK($C273),"",$CK273)</f>
        <v/>
      </c>
      <c r="DG273" s="81" t="str">
        <f aca="false">IF(ISBLANK($C273),"",IF($DF273=Constants!$B$7,COUNTA($C$9:$C$508)+2,IF($DF273=Constants!$B$6,COUNTA($C$9:$C$508)+1,IF($DF273=Constants!$B$5,COUNTA($C$9:$C$508),$DF273))))</f>
        <v/>
      </c>
      <c r="DH273" s="7"/>
      <c r="DI273" s="82" t="n">
        <f aca="false">IF(OR(ISNUMBER($DF273),$DF273=Constants!$B$7,$DF273=Constants!$B$5,$DF273=Constants!$B$6),1,0)</f>
        <v>0</v>
      </c>
      <c r="DJ273" s="82" t="n">
        <v>265</v>
      </c>
      <c r="DK273" s="82" t="str">
        <f aca="false">IF(ISBLANK($C273),"",IF(ISNUMBER($DG273),$DG273+ROW($B273)/1000,""))</f>
        <v/>
      </c>
      <c r="DL273" s="82" t="str">
        <f aca="false">IF(ISNUMBER($DK273),RANK($DK273,$DK$9:$DK$508,1),"")</f>
        <v/>
      </c>
      <c r="DM273" s="82" t="str">
        <f aca="false">IF(ISBLANK($C273),"",$B273)</f>
        <v/>
      </c>
      <c r="DN273" s="82" t="str">
        <f aca="false">IF(ISBLANK($C273),"",$C273)</f>
        <v/>
      </c>
      <c r="DO273" s="82" t="str">
        <f aca="false">IF(ISBLANK($C273),"",$D273)</f>
        <v/>
      </c>
      <c r="DP273" s="83" t="str">
        <f aca="false">$DD273</f>
        <v/>
      </c>
      <c r="DQ273" s="84" t="str">
        <f aca="false">$DC273</f>
        <v/>
      </c>
      <c r="DR273" s="82" t="str">
        <f aca="false">IF(ISBLANK($C273),"",$DF273)</f>
        <v/>
      </c>
      <c r="DS273" s="85" t="str">
        <f aca="false">IF($DJ273&gt;$DI$8,"",VLOOKUP($DJ273,$DL$9:$DR$508,7,FALSE()))</f>
        <v/>
      </c>
      <c r="DT273" s="86" t="str">
        <f aca="false">IF($DJ273&gt;$DI$8,"",VLOOKUP($DJ273,$DL$9:$DR$508,2,FALSE()))</f>
        <v/>
      </c>
      <c r="DU273" s="86" t="str">
        <f aca="false">IF($DJ273&gt;$DI$8,"",VLOOKUP($DJ273,$DL$9:$DR$508,3,FALSE()))</f>
        <v/>
      </c>
      <c r="DV273" s="86" t="str">
        <f aca="false">IF($DJ273&gt;$DI$8,"",VLOOKUP($DJ273,$DL$9:$DR$508,4,FALSE()))</f>
        <v/>
      </c>
      <c r="DW273" s="86" t="str">
        <f aca="false">IF($DJ273&gt;$DI$8,"",VLOOKUP($DJ273,$DL$9:$DR$508,5,FALSE()))</f>
        <v/>
      </c>
      <c r="DX273" s="87" t="str">
        <f aca="false">IF($DJ273&gt;$DI$8,"",VLOOKUP($DJ273,$DL$9:$DR$508,6,FALSE()))</f>
        <v/>
      </c>
      <c r="DY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88"/>
      <c r="N274" s="88"/>
      <c r="O274" s="134"/>
      <c r="P274" s="134"/>
      <c r="Q274" s="88"/>
      <c r="R274" s="88"/>
      <c r="S274" s="88"/>
      <c r="T274" s="88"/>
      <c r="U274" s="134"/>
      <c r="V274" s="88"/>
      <c r="W274" s="70"/>
      <c r="X274" s="88"/>
      <c r="Y274" s="88"/>
      <c r="Z274" s="70"/>
      <c r="AA274" s="70"/>
      <c r="AB274" s="88"/>
      <c r="AC274" s="88"/>
      <c r="AD274" s="88"/>
      <c r="AE274" s="71"/>
      <c r="AF274" s="88"/>
      <c r="AG274" s="73"/>
      <c r="AH274" s="74"/>
      <c r="AI274" s="74"/>
      <c r="AJ274" s="74" t="str">
        <f aca="false">IF(ISBLANK($C274),"",IF($E274=Constants!$B$2,TRUE(),IF($E274=Constants!$B$3,FALSE(),TRUE())))</f>
        <v/>
      </c>
      <c r="AK274" s="74" t="str">
        <f aca="false">IF(ISBLANK($C274),"",IF($F274=Constants!$B$2,TRUE(),IF($F274=Constants!$B$3,FALSE(),FALSE())))</f>
        <v/>
      </c>
      <c r="AL274" s="74" t="str">
        <f aca="false">IF(ISBLANK($C274),"",IF($G274=Constants!$B$2,TRUE(),IF($G274=Constants!$B$3,FALSE(),TRUE())))</f>
        <v/>
      </c>
      <c r="AM274" s="74" t="str">
        <f aca="false">IF(ISBLANK($C274),"",IF($H274=Constants!$B$2,TRUE(),IF($H274=Constants!$B$3,FALSE(),TRUE())))</f>
        <v/>
      </c>
      <c r="AN274" s="74" t="str">
        <f aca="false">IF(ISBLANK($C274),"",IF(ISNUMBER($I274),IF($I274&gt;=0,$I274,""),""))</f>
        <v/>
      </c>
      <c r="AO274" s="74" t="str">
        <f aca="false">IF(ISBLANK($C274),"",IF(ISNUMBER($J274),IF($J274&gt;=0,$J274,""),""))</f>
        <v/>
      </c>
      <c r="AP274" s="74" t="str">
        <f aca="false">IF(ISBLANK($C274),"",IF(ISNUMBER($K274),IF($K274&gt;=0,$K274,""),""))</f>
        <v/>
      </c>
      <c r="AQ274" s="74" t="str">
        <f aca="false">IF(ISBLANK($C274),"",IF($L274=Constants!$B$2,TRUE(),IF($L274=Constants!$B$3,FALSE(),TRUE())))</f>
        <v/>
      </c>
      <c r="AR274" s="74" t="str">
        <f aca="false">IF(ISBLANK($C274),"",IF($M274=Constants!$B$2,TRUE(),IF($M274=Constants!$B$3,FALSE(),TRUE())))</f>
        <v/>
      </c>
      <c r="AS274" s="74" t="str">
        <f aca="false">IF(ISBLANK($C274),"",IF($N274=Constants!$B$2,TRUE(),IF($N274=Constants!$B$3,FALSE(),FALSE())))</f>
        <v/>
      </c>
      <c r="AT274" s="74" t="str">
        <f aca="false">IF(ISBLANK($C274),"",IF($O274=Constants!$B$2,TRUE(),IF($O274=Constants!$B$3,FALSE(),TRUE())))</f>
        <v/>
      </c>
      <c r="AU274" s="74" t="str">
        <f aca="false">IF(ISBLANK($C274),"",IF($P274=Constants!$B$2,TRUE(),IF($P274=Constants!$B$3,FALSE(),TRUE())))</f>
        <v/>
      </c>
      <c r="AV274" s="74" t="str">
        <f aca="false">IF(ISBLANK($C274),"",IF($Q274=Constants!$B$2,TRUE(),IF($Q274=Constants!$B$3,FALSE(),FALSE())))</f>
        <v/>
      </c>
      <c r="AW274" s="74" t="str">
        <f aca="false">IF(ISBLANK($C274),"",IF($R274=Constants!$B$2,TRUE(),IF($R274=Constants!$B$3,FALSE(),FALSE())))</f>
        <v/>
      </c>
      <c r="AX274" s="74" t="str">
        <f aca="false">IF(ISBLANK($C274),"",IF($S274=Constants!$B$2,TRUE(),IF($S274=Constants!$B$3,FALSE(),FALSE())))</f>
        <v/>
      </c>
      <c r="AY274" s="74" t="str">
        <f aca="false">IF(ISBLANK($C274),"",IF($T274=Constants!$B$2,TRUE(),IF($T274=Constants!$B$3,FALSE(),FALSE())))</f>
        <v/>
      </c>
      <c r="AZ274" s="74" t="str">
        <f aca="false">IF(ISBLANK($C274),"",IF($U274=Constants!$B$2,TRUE(),IF($U274=Constants!$B$3,FALSE(),FALSE())))</f>
        <v/>
      </c>
      <c r="BA274" s="74" t="str">
        <f aca="false">IF(ISBLANK($C274),"",IF(OR($V274&amp;""="1",$V274&amp;""="2",$V274&amp;""="3",$V274&amp;""="4"),VALUE($V274&amp;""),IF($V274=Constants!$B$12,Constants!$B$12,"")))</f>
        <v/>
      </c>
      <c r="BB274" s="74" t="str">
        <f aca="false">IF(ISBLANK($C274),"",IF(ISBLANK($W274),0,IF(ISNUMBER($W274),IF(AND($W274&gt;=0,$W274&lt;=Constants!$B$21,$W274=INT($W274)),$W274,""),"")))</f>
        <v/>
      </c>
      <c r="BC274" s="74" t="str">
        <f aca="false">IF(ISBLANK($C274),"",IF(ISBLANK($X274),0,IF(ISNUMBER($X274),IF($X274&gt;=0,$X274,""),"")))</f>
        <v/>
      </c>
      <c r="BD274" s="74" t="str">
        <f aca="false">IF(ISBLANK($C274),"",IF($Y274=Constants!$B$2,TRUE(),IF($Y274=Constants!$B$3,FALSE(),TRUE())))</f>
        <v/>
      </c>
      <c r="BE274" s="74" t="str">
        <f aca="false">IF(ISBLANK($C274),"",IF($Z274=Constants!$B$2,TRUE(),IF($Z274=Constants!$B$3,FALSE(),FALSE())))</f>
        <v/>
      </c>
      <c r="BF274" s="74" t="str">
        <f aca="false">IF(ISBLANK($C274),"",IF(ISBLANK($AA274),0,IF(ISNUMBER($AA274),IF(AND($AA274&gt;=0,$AA274&lt;=Constants!$B$35,$AA274=INT($AA274)),$AA274,""),"")))</f>
        <v/>
      </c>
      <c r="BG274" s="74" t="str">
        <f aca="false">IF(ISBLANK($C274),"",IF($AB274=Constants!$B$2,TRUE(),IF($AB274=Constants!$B$3,FALSE(),TRUE())))</f>
        <v/>
      </c>
      <c r="BH274" s="74" t="str">
        <f aca="false">IF(ISBLANK($C274),"",IF($AC274=Constants!$B$2,TRUE(),IF($AC274=Constants!$B$3,FALSE(),TRUE())))</f>
        <v/>
      </c>
      <c r="BI274" s="74" t="str">
        <f aca="false">IF(ISBLANK($C274),"",IF($AD274=Constants!$B$2,TRUE(),IF($AD274=Constants!$B$3,FALSE(),TRUE())))</f>
        <v/>
      </c>
      <c r="BJ274" s="74" t="str">
        <f aca="false">IF(ISBLANK($C274),"",IF(ISNUMBER($AE274),IF($AE274&gt;=0,$AE274,""),""))</f>
        <v/>
      </c>
      <c r="BK274" s="74" t="str">
        <f aca="false">IF(ISBLANK($C274),"",IF($AF274=Constants!$B$2,TRUE(),IF($AF274=Constants!$B$3,FALSE(),FALSE())))</f>
        <v/>
      </c>
      <c r="BL274" s="73" t="str">
        <f aca="false">IF(ISBLANK($C274),"",IF($BK274,Constants!$B$7,IF(COUNTA($E274:$AE274)=0,Constants!$B$6,IF(OR(COUNTA($G274:$AE274)=0,NOT($AM274),$AS274),Constants!$B$5,IF(OR($CM274&lt;&gt;"",$CN274,$CO274,$CP274,$CQ274,$CR274,$CS274),Constants!$B$8,Constants!$B$4)))))</f>
        <v/>
      </c>
      <c r="BM274" s="74" t="str">
        <f aca="false">IF(ISBLANK($C274),"",IF($BL274&lt;&gt;Constants!$B$4,$BL274,IF(OR(NOT($AJ274),NOT($AL274),NOT($AT274)),Constants!$B$11,IF(OR(NOT($AR274),NOT($AU274),NOT($BI274),MAX($AN274,$AO274,$AP274)&gt;Constants!$B$30),Constants!$B$10,Constants!$B$9))))</f>
        <v/>
      </c>
      <c r="BN274" s="74" t="str">
        <f aca="false">IF($BL274&lt;&gt;Constants!$B$4,"",IF(NOT($AL274),0,MIN(Constants!$B$35,$BF274)))</f>
        <v/>
      </c>
      <c r="BO274" s="74" t="str">
        <f aca="false">IF($BL274&lt;&gt;Constants!$B$4,"",IF(NOT($AL274),0,IF($AW274,Constants!$B$18,IF($AV274,Constants!$B$17,0))))</f>
        <v/>
      </c>
      <c r="BP274" s="74" t="str">
        <f aca="false">IF($BL274&lt;&gt;Constants!$B$4,"",IF(NOT($AL274),0,Constants!$B$19*($AK274+$AX274+$AY274+$AZ274)))</f>
        <v/>
      </c>
      <c r="BQ274" s="74" t="str">
        <f aca="false">IF($BL274&lt;&gt;Constants!$B$4,"",IF(OR(NOT($AL274),NOT(ISNUMBER($BA274))),0,CHOOSE($BA274,Constants!$B$13,Constants!$B$14,Constants!$B$15,Constants!$B$16)))</f>
        <v/>
      </c>
      <c r="BR274" s="74" t="str">
        <f aca="false">IF($BL274&lt;&gt;Constants!$B$4,"",IF(NOT($AL274),0,Constants!$B$20*$BB274))</f>
        <v/>
      </c>
      <c r="BS274" s="74" t="str">
        <f aca="false">IF($BL274&lt;&gt;Constants!$B$4,"",IF(AND($AL274,$BD274,$BE274),Constants!$B$22,0))</f>
        <v/>
      </c>
      <c r="BT274" s="74" t="str">
        <f aca="false">IF($BL274&lt;&gt;Constants!$B$4,"",IF(OR(NOT($AL274),NOT($BD274)),0,IF($BJ274&gt;=2*$AH$9,0,Constants!$B$23*INT(ROUND(MIN($BJ274,$AH$9),6)))))</f>
        <v/>
      </c>
      <c r="BU274" s="74" t="str">
        <f aca="false">IF($BL274&lt;&gt;Constants!$B$4,"",IF(NOT($AL274),0,Constants!$B$24*INT(ROUND(MIN($BC274,$AH$9),6))))</f>
        <v/>
      </c>
      <c r="BV274" s="74" t="str">
        <f aca="false">IF($BL274&lt;&gt;Constants!$B$4,"",IF(AND($AL274,$BN274=0),Constants!$B$25,0))</f>
        <v/>
      </c>
      <c r="BW274" s="74" t="str">
        <f aca="false">IF($BL274&lt;&gt;Constants!$B$4,"",MIN(Constants!$B$29,MAX(0,Constants!$B$27*Constants!$B$28*INT(ROUND((Constants!$B$26-$AN274)/Constants!$B$28,6))))+MIN(Constants!$B$29,MAX(0,Constants!$B$27*Constants!$B$28*INT(ROUND((Constants!$B$26-$AO274)/Constants!$B$28,6))))+MIN(Constants!$B$29,MAX(0,Constants!$B$27*Constants!$B$28*INT(ROUND((Constants!$B$26-$AP274)/Constants!$B$28,6)))))</f>
        <v/>
      </c>
      <c r="BX274" s="74" t="str">
        <f aca="false">IF($BL274&lt;&gt;Constants!$B$4,"",IF(NOT($AL274),0,Constants!$B$31*INT(ROUND(MAX(0,MIN($BJ274,2*$AH$9)-$AH$9),6))))</f>
        <v/>
      </c>
      <c r="BY274" s="74" t="str">
        <f aca="false">IF($BL274&lt;&gt;Constants!$B$4,"",Constants!$B$32*(($AN274&gt;Constants!$B$26)+($AO274&gt;Constants!$B$26)+($AP274&gt;Constants!$B$26)))</f>
        <v/>
      </c>
      <c r="BZ274" s="74" t="str">
        <f aca="false">IF($BL274&lt;&gt;Constants!$B$4,"",IF(OR(NOT($AL274),$AQ274),0,Constants!$B$33))</f>
        <v/>
      </c>
      <c r="CA274" s="74" t="str">
        <f aca="false">IF($BL274&lt;&gt;Constants!$B$4,"",Constants!$B$34*$BN274)</f>
        <v/>
      </c>
      <c r="CB274" s="74" t="str">
        <f aca="false">IF($BL274&lt;&gt;Constants!$B$4,"",IF(OR(NOT($AL274),$BH274),0,Constants!$B$36))</f>
        <v/>
      </c>
      <c r="CC274" s="74" t="str">
        <f aca="false">IF($BL274&lt;&gt;Constants!$B$4,"",IF(OR(NOT($AL274),$BG274),0,Constants!$B$37))</f>
        <v/>
      </c>
      <c r="CD274" s="74" t="str">
        <f aca="false">IF($BL274&lt;&gt;Constants!$B$4,"",SUM($BX274:$CC274))</f>
        <v/>
      </c>
      <c r="CE274" s="74" t="str">
        <f aca="false">IF(ISBLANK($C274),"",IF($BL274&lt;&gt;Constants!$B$4,$BL274,SUM($BO274:$BW274)-$CD274))</f>
        <v/>
      </c>
      <c r="CF274" s="74" t="str">
        <f aca="false">IF(ISBLANK($C274),"",IF($BL274&lt;&gt;Constants!$B$4,$BL274,RANK($CE274,$CE$9:$CE$508)))</f>
        <v/>
      </c>
      <c r="CG274" s="74" t="str">
        <f aca="false">IF(ISBLANK($C274),"",IF($BL274&lt;&gt;Constants!$B$4,$BL274,COUNTIFS($BM$9:$BM$508,"&lt;"&amp;$BM274)+COUNTIFS($BM$9:$BM$508,$BM274,$CF$9:$CF$508,"&lt;"&amp;$CF274)+1))</f>
        <v/>
      </c>
      <c r="CH274" s="74" t="str">
        <f aca="false">IF(ISBLANK($C274),"",IF($BL274&lt;&gt;Constants!$B$4,$BL274,RANK($CD274,$CD$9:$CD$508,1)))</f>
        <v/>
      </c>
      <c r="CI274" s="74" t="str">
        <f aca="false">IF($BL274&lt;&gt;Constants!$B$4,"",$AN274+$AO274+$AP274)</f>
        <v/>
      </c>
      <c r="CJ274" s="74" t="str">
        <f aca="false">IF(ISBLANK($C274),"",IF($BL274&lt;&gt;Constants!$B$4,$BL274,RANK($CI274,$CI$9:$CI$508,1)))</f>
        <v/>
      </c>
      <c r="CK274" s="74" t="str">
        <f aca="false">IF(ISBLANK($C274),"",IF($BL274&lt;&gt;Constants!$B$4,$BL274,COUNTIFS($BM$9:$BM$508,"&lt;"&amp;$BM274)+COUNTIFS($BM$9:$BM$508,$BM274,$CF$9:$CF$508,"&lt;"&amp;$CF274)+COUNTIFS($BM$9:$BM$508,$BM274,$CF$9:$CF$508,$CF274,$CH$9:$CH$508,"&lt;"&amp;$CH274)+COUNTIFS($BM$9:$BM$508,$BM274,$CF$9:$CF$508,$CF274,$CH$9:$CH$508,$CH274,$CJ$9:$CJ$508,"&lt;"&amp;$CJ274)+1))</f>
        <v/>
      </c>
      <c r="CL274" s="74" t="str">
        <f aca="false">IF(ISBLANK($C274),"",IF($BL274&lt;&gt;Constants!$B$4,$BL274,$CG274-$CK274))</f>
        <v/>
      </c>
      <c r="CM274" s="74" t="str">
        <f aca="false">IF(ISBLANK($C274),"",IF(NOT($AL274),"",IF(ISBLANK($D$7),$CM$5,IF(NOT(ISNUMBER($D$7)),$CM$6,""))))</f>
        <v/>
      </c>
      <c r="CN274" s="74" t="str">
        <f aca="false">IF(ISBLANK($C274),"",OR($AN274="",$AO274="",$AP274=""))</f>
        <v/>
      </c>
      <c r="CO274" s="74" t="str">
        <f aca="false">IF(ISBLANK($C274),"",AND($AL274,$BA274=""))</f>
        <v/>
      </c>
      <c r="CP274" s="74" t="str">
        <f aca="false">IF(ISBLANK($C274),"",AND($AL274,$BB274=""))</f>
        <v/>
      </c>
      <c r="CQ274" s="74" t="str">
        <f aca="false">IF(ISBLANK($C274),"",AND($AL274,$BC274=""))</f>
        <v/>
      </c>
      <c r="CR274" s="74" t="str">
        <f aca="false">IF(ISBLANK($C274),"",AND($AL274,$BF274=""))</f>
        <v/>
      </c>
      <c r="CS274" s="74" t="str">
        <f aca="false">IF(ISBLANK($C274),"",AND($AL274,$BJ274=""))</f>
        <v/>
      </c>
      <c r="CT274" s="75"/>
      <c r="CU274" s="76"/>
      <c r="CV274" s="79" t="str">
        <f aca="false">IF(ISBLANK($C274),"",IF($BL274=Constants!$B$8,$CM274,""))</f>
        <v/>
      </c>
      <c r="CW274" s="76" t="str">
        <f aca="false">IF(ISBLANK($C274),"",IF($BL274&lt;&gt;Constants!$B$4,"",$BO274+$BP274))</f>
        <v/>
      </c>
      <c r="CX274" s="78" t="str">
        <f aca="false">IF(ISBLANK($C274),"",IF($BL274&lt;&gt;Constants!$B$4,"",$BQ274+$BR274+$BS274))</f>
        <v/>
      </c>
      <c r="CY274" s="78" t="str">
        <f aca="false">IF(ISBLANK($C274),"",IF($BL274&lt;&gt;Constants!$B$4,"",$BT274))</f>
        <v/>
      </c>
      <c r="CZ274" s="78" t="str">
        <f aca="false">IF(ISBLANK($C274),"",IF($BL274&lt;&gt;Constants!$B$4,"",$BU274+$BV274))</f>
        <v/>
      </c>
      <c r="DA274" s="78" t="str">
        <f aca="false">IF(ISBLANK($C274),"",IF($BL274&lt;&gt;Constants!$B$4,"",$BW274))</f>
        <v/>
      </c>
      <c r="DB274" s="78" t="str">
        <f aca="false">IF(ISBLANK($C274),"",IF($BL274&lt;&gt;Constants!$B$4,"",-$CD274))</f>
        <v/>
      </c>
      <c r="DC274" s="79" t="str">
        <f aca="false">IF(ISBLANK($C274),"",$CE274)</f>
        <v/>
      </c>
      <c r="DD274" s="80" t="str">
        <f aca="false">IF(ISBLANK($C274),"",$BM274)</f>
        <v/>
      </c>
      <c r="DE274" s="78" t="str">
        <f aca="false">IF(ISBLANK($C274),"",$CL274)</f>
        <v/>
      </c>
      <c r="DF274" s="78" t="str">
        <f aca="false">IF(ISBLANK($C274),"",$CK274)</f>
        <v/>
      </c>
      <c r="DG274" s="81" t="str">
        <f aca="false">IF(ISBLANK($C274),"",IF($DF274=Constants!$B$7,COUNTA($C$9:$C$508)+2,IF($DF274=Constants!$B$6,COUNTA($C$9:$C$508)+1,IF($DF274=Constants!$B$5,COUNTA($C$9:$C$508),$DF274))))</f>
        <v/>
      </c>
      <c r="DH274" s="7"/>
      <c r="DI274" s="82" t="n">
        <f aca="false">IF(OR(ISNUMBER($DF274),$DF274=Constants!$B$7,$DF274=Constants!$B$5,$DF274=Constants!$B$6),1,0)</f>
        <v>0</v>
      </c>
      <c r="DJ274" s="82" t="n">
        <v>266</v>
      </c>
      <c r="DK274" s="82" t="str">
        <f aca="false">IF(ISBLANK($C274),"",IF(ISNUMBER($DG274),$DG274+ROW($B274)/1000,""))</f>
        <v/>
      </c>
      <c r="DL274" s="82" t="str">
        <f aca="false">IF(ISNUMBER($DK274),RANK($DK274,$DK$9:$DK$508,1),"")</f>
        <v/>
      </c>
      <c r="DM274" s="82" t="str">
        <f aca="false">IF(ISBLANK($C274),"",$B274)</f>
        <v/>
      </c>
      <c r="DN274" s="82" t="str">
        <f aca="false">IF(ISBLANK($C274),"",$C274)</f>
        <v/>
      </c>
      <c r="DO274" s="82" t="str">
        <f aca="false">IF(ISBLANK($C274),"",$D274)</f>
        <v/>
      </c>
      <c r="DP274" s="83" t="str">
        <f aca="false">$DD274</f>
        <v/>
      </c>
      <c r="DQ274" s="84" t="str">
        <f aca="false">$DC274</f>
        <v/>
      </c>
      <c r="DR274" s="82" t="str">
        <f aca="false">IF(ISBLANK($C274),"",$DF274)</f>
        <v/>
      </c>
      <c r="DS274" s="85" t="str">
        <f aca="false">IF($DJ274&gt;$DI$8,"",VLOOKUP($DJ274,$DL$9:$DR$508,7,FALSE()))</f>
        <v/>
      </c>
      <c r="DT274" s="86" t="str">
        <f aca="false">IF($DJ274&gt;$DI$8,"",VLOOKUP($DJ274,$DL$9:$DR$508,2,FALSE()))</f>
        <v/>
      </c>
      <c r="DU274" s="86" t="str">
        <f aca="false">IF($DJ274&gt;$DI$8,"",VLOOKUP($DJ274,$DL$9:$DR$508,3,FALSE()))</f>
        <v/>
      </c>
      <c r="DV274" s="86" t="str">
        <f aca="false">IF($DJ274&gt;$DI$8,"",VLOOKUP($DJ274,$DL$9:$DR$508,4,FALSE()))</f>
        <v/>
      </c>
      <c r="DW274" s="86" t="str">
        <f aca="false">IF($DJ274&gt;$DI$8,"",VLOOKUP($DJ274,$DL$9:$DR$508,5,FALSE()))</f>
        <v/>
      </c>
      <c r="DX274" s="87" t="str">
        <f aca="false">IF($DJ274&gt;$DI$8,"",VLOOKUP($DJ274,$DL$9:$DR$508,6,FALSE()))</f>
        <v/>
      </c>
      <c r="DY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88"/>
      <c r="N275" s="88"/>
      <c r="O275" s="134"/>
      <c r="P275" s="134"/>
      <c r="Q275" s="88"/>
      <c r="R275" s="88"/>
      <c r="S275" s="88"/>
      <c r="T275" s="88"/>
      <c r="U275" s="134"/>
      <c r="V275" s="88"/>
      <c r="W275" s="70"/>
      <c r="X275" s="88"/>
      <c r="Y275" s="88"/>
      <c r="Z275" s="70"/>
      <c r="AA275" s="70"/>
      <c r="AB275" s="88"/>
      <c r="AC275" s="88"/>
      <c r="AD275" s="88"/>
      <c r="AE275" s="71"/>
      <c r="AF275" s="88"/>
      <c r="AG275" s="73"/>
      <c r="AH275" s="74"/>
      <c r="AI275" s="74"/>
      <c r="AJ275" s="74" t="str">
        <f aca="false">IF(ISBLANK($C275),"",IF($E275=Constants!$B$2,TRUE(),IF($E275=Constants!$B$3,FALSE(),TRUE())))</f>
        <v/>
      </c>
      <c r="AK275" s="74" t="str">
        <f aca="false">IF(ISBLANK($C275),"",IF($F275=Constants!$B$2,TRUE(),IF($F275=Constants!$B$3,FALSE(),FALSE())))</f>
        <v/>
      </c>
      <c r="AL275" s="74" t="str">
        <f aca="false">IF(ISBLANK($C275),"",IF($G275=Constants!$B$2,TRUE(),IF($G275=Constants!$B$3,FALSE(),TRUE())))</f>
        <v/>
      </c>
      <c r="AM275" s="74" t="str">
        <f aca="false">IF(ISBLANK($C275),"",IF($H275=Constants!$B$2,TRUE(),IF($H275=Constants!$B$3,FALSE(),TRUE())))</f>
        <v/>
      </c>
      <c r="AN275" s="74" t="str">
        <f aca="false">IF(ISBLANK($C275),"",IF(ISNUMBER($I275),IF($I275&gt;=0,$I275,""),""))</f>
        <v/>
      </c>
      <c r="AO275" s="74" t="str">
        <f aca="false">IF(ISBLANK($C275),"",IF(ISNUMBER($J275),IF($J275&gt;=0,$J275,""),""))</f>
        <v/>
      </c>
      <c r="AP275" s="74" t="str">
        <f aca="false">IF(ISBLANK($C275),"",IF(ISNUMBER($K275),IF($K275&gt;=0,$K275,""),""))</f>
        <v/>
      </c>
      <c r="AQ275" s="74" t="str">
        <f aca="false">IF(ISBLANK($C275),"",IF($L275=Constants!$B$2,TRUE(),IF($L275=Constants!$B$3,FALSE(),TRUE())))</f>
        <v/>
      </c>
      <c r="AR275" s="74" t="str">
        <f aca="false">IF(ISBLANK($C275),"",IF($M275=Constants!$B$2,TRUE(),IF($M275=Constants!$B$3,FALSE(),TRUE())))</f>
        <v/>
      </c>
      <c r="AS275" s="74" t="str">
        <f aca="false">IF(ISBLANK($C275),"",IF($N275=Constants!$B$2,TRUE(),IF($N275=Constants!$B$3,FALSE(),FALSE())))</f>
        <v/>
      </c>
      <c r="AT275" s="74" t="str">
        <f aca="false">IF(ISBLANK($C275),"",IF($O275=Constants!$B$2,TRUE(),IF($O275=Constants!$B$3,FALSE(),TRUE())))</f>
        <v/>
      </c>
      <c r="AU275" s="74" t="str">
        <f aca="false">IF(ISBLANK($C275),"",IF($P275=Constants!$B$2,TRUE(),IF($P275=Constants!$B$3,FALSE(),TRUE())))</f>
        <v/>
      </c>
      <c r="AV275" s="74" t="str">
        <f aca="false">IF(ISBLANK($C275),"",IF($Q275=Constants!$B$2,TRUE(),IF($Q275=Constants!$B$3,FALSE(),FALSE())))</f>
        <v/>
      </c>
      <c r="AW275" s="74" t="str">
        <f aca="false">IF(ISBLANK($C275),"",IF($R275=Constants!$B$2,TRUE(),IF($R275=Constants!$B$3,FALSE(),FALSE())))</f>
        <v/>
      </c>
      <c r="AX275" s="74" t="str">
        <f aca="false">IF(ISBLANK($C275),"",IF($S275=Constants!$B$2,TRUE(),IF($S275=Constants!$B$3,FALSE(),FALSE())))</f>
        <v/>
      </c>
      <c r="AY275" s="74" t="str">
        <f aca="false">IF(ISBLANK($C275),"",IF($T275=Constants!$B$2,TRUE(),IF($T275=Constants!$B$3,FALSE(),FALSE())))</f>
        <v/>
      </c>
      <c r="AZ275" s="74" t="str">
        <f aca="false">IF(ISBLANK($C275),"",IF($U275=Constants!$B$2,TRUE(),IF($U275=Constants!$B$3,FALSE(),FALSE())))</f>
        <v/>
      </c>
      <c r="BA275" s="74" t="str">
        <f aca="false">IF(ISBLANK($C275),"",IF(OR($V275&amp;""="1",$V275&amp;""="2",$V275&amp;""="3",$V275&amp;""="4"),VALUE($V275&amp;""),IF($V275=Constants!$B$12,Constants!$B$12,"")))</f>
        <v/>
      </c>
      <c r="BB275" s="74" t="str">
        <f aca="false">IF(ISBLANK($C275),"",IF(ISBLANK($W275),0,IF(ISNUMBER($W275),IF(AND($W275&gt;=0,$W275&lt;=Constants!$B$21,$W275=INT($W275)),$W275,""),"")))</f>
        <v/>
      </c>
      <c r="BC275" s="74" t="str">
        <f aca="false">IF(ISBLANK($C275),"",IF(ISBLANK($X275),0,IF(ISNUMBER($X275),IF($X275&gt;=0,$X275,""),"")))</f>
        <v/>
      </c>
      <c r="BD275" s="74" t="str">
        <f aca="false">IF(ISBLANK($C275),"",IF($Y275=Constants!$B$2,TRUE(),IF($Y275=Constants!$B$3,FALSE(),TRUE())))</f>
        <v/>
      </c>
      <c r="BE275" s="74" t="str">
        <f aca="false">IF(ISBLANK($C275),"",IF($Z275=Constants!$B$2,TRUE(),IF($Z275=Constants!$B$3,FALSE(),FALSE())))</f>
        <v/>
      </c>
      <c r="BF275" s="74" t="str">
        <f aca="false">IF(ISBLANK($C275),"",IF(ISBLANK($AA275),0,IF(ISNUMBER($AA275),IF(AND($AA275&gt;=0,$AA275&lt;=Constants!$B$35,$AA275=INT($AA275)),$AA275,""),"")))</f>
        <v/>
      </c>
      <c r="BG275" s="74" t="str">
        <f aca="false">IF(ISBLANK($C275),"",IF($AB275=Constants!$B$2,TRUE(),IF($AB275=Constants!$B$3,FALSE(),TRUE())))</f>
        <v/>
      </c>
      <c r="BH275" s="74" t="str">
        <f aca="false">IF(ISBLANK($C275),"",IF($AC275=Constants!$B$2,TRUE(),IF($AC275=Constants!$B$3,FALSE(),TRUE())))</f>
        <v/>
      </c>
      <c r="BI275" s="74" t="str">
        <f aca="false">IF(ISBLANK($C275),"",IF($AD275=Constants!$B$2,TRUE(),IF($AD275=Constants!$B$3,FALSE(),TRUE())))</f>
        <v/>
      </c>
      <c r="BJ275" s="74" t="str">
        <f aca="false">IF(ISBLANK($C275),"",IF(ISNUMBER($AE275),IF($AE275&gt;=0,$AE275,""),""))</f>
        <v/>
      </c>
      <c r="BK275" s="74" t="str">
        <f aca="false">IF(ISBLANK($C275),"",IF($AF275=Constants!$B$2,TRUE(),IF($AF275=Constants!$B$3,FALSE(),FALSE())))</f>
        <v/>
      </c>
      <c r="BL275" s="73" t="str">
        <f aca="false">IF(ISBLANK($C275),"",IF($BK275,Constants!$B$7,IF(COUNTA($E275:$AE275)=0,Constants!$B$6,IF(OR(COUNTA($G275:$AE275)=0,NOT($AM275),$AS275),Constants!$B$5,IF(OR($CM275&lt;&gt;"",$CN275,$CO275,$CP275,$CQ275,$CR275,$CS275),Constants!$B$8,Constants!$B$4)))))</f>
        <v/>
      </c>
      <c r="BM275" s="74" t="str">
        <f aca="false">IF(ISBLANK($C275),"",IF($BL275&lt;&gt;Constants!$B$4,$BL275,IF(OR(NOT($AJ275),NOT($AL275),NOT($AT275)),Constants!$B$11,IF(OR(NOT($AR275),NOT($AU275),NOT($BI275),MAX($AN275,$AO275,$AP275)&gt;Constants!$B$30),Constants!$B$10,Constants!$B$9))))</f>
        <v/>
      </c>
      <c r="BN275" s="74" t="str">
        <f aca="false">IF($BL275&lt;&gt;Constants!$B$4,"",IF(NOT($AL275),0,MIN(Constants!$B$35,$BF275)))</f>
        <v/>
      </c>
      <c r="BO275" s="74" t="str">
        <f aca="false">IF($BL275&lt;&gt;Constants!$B$4,"",IF(NOT($AL275),0,IF($AW275,Constants!$B$18,IF($AV275,Constants!$B$17,0))))</f>
        <v/>
      </c>
      <c r="BP275" s="74" t="str">
        <f aca="false">IF($BL275&lt;&gt;Constants!$B$4,"",IF(NOT($AL275),0,Constants!$B$19*($AK275+$AX275+$AY275+$AZ275)))</f>
        <v/>
      </c>
      <c r="BQ275" s="74" t="str">
        <f aca="false">IF($BL275&lt;&gt;Constants!$B$4,"",IF(OR(NOT($AL275),NOT(ISNUMBER($BA275))),0,CHOOSE($BA275,Constants!$B$13,Constants!$B$14,Constants!$B$15,Constants!$B$16)))</f>
        <v/>
      </c>
      <c r="BR275" s="74" t="str">
        <f aca="false">IF($BL275&lt;&gt;Constants!$B$4,"",IF(NOT($AL275),0,Constants!$B$20*$BB275))</f>
        <v/>
      </c>
      <c r="BS275" s="74" t="str">
        <f aca="false">IF($BL275&lt;&gt;Constants!$B$4,"",IF(AND($AL275,$BD275,$BE275),Constants!$B$22,0))</f>
        <v/>
      </c>
      <c r="BT275" s="74" t="str">
        <f aca="false">IF($BL275&lt;&gt;Constants!$B$4,"",IF(OR(NOT($AL275),NOT($BD275)),0,IF($BJ275&gt;=2*$AH$9,0,Constants!$B$23*INT(ROUND(MIN($BJ275,$AH$9),6)))))</f>
        <v/>
      </c>
      <c r="BU275" s="74" t="str">
        <f aca="false">IF($BL275&lt;&gt;Constants!$B$4,"",IF(NOT($AL275),0,Constants!$B$24*INT(ROUND(MIN($BC275,$AH$9),6))))</f>
        <v/>
      </c>
      <c r="BV275" s="74" t="str">
        <f aca="false">IF($BL275&lt;&gt;Constants!$B$4,"",IF(AND($AL275,$BN275=0),Constants!$B$25,0))</f>
        <v/>
      </c>
      <c r="BW275" s="74" t="str">
        <f aca="false">IF($BL275&lt;&gt;Constants!$B$4,"",MIN(Constants!$B$29,MAX(0,Constants!$B$27*Constants!$B$28*INT(ROUND((Constants!$B$26-$AN275)/Constants!$B$28,6))))+MIN(Constants!$B$29,MAX(0,Constants!$B$27*Constants!$B$28*INT(ROUND((Constants!$B$26-$AO275)/Constants!$B$28,6))))+MIN(Constants!$B$29,MAX(0,Constants!$B$27*Constants!$B$28*INT(ROUND((Constants!$B$26-$AP275)/Constants!$B$28,6)))))</f>
        <v/>
      </c>
      <c r="BX275" s="74" t="str">
        <f aca="false">IF($BL275&lt;&gt;Constants!$B$4,"",IF(NOT($AL275),0,Constants!$B$31*INT(ROUND(MAX(0,MIN($BJ275,2*$AH$9)-$AH$9),6))))</f>
        <v/>
      </c>
      <c r="BY275" s="74" t="str">
        <f aca="false">IF($BL275&lt;&gt;Constants!$B$4,"",Constants!$B$32*(($AN275&gt;Constants!$B$26)+($AO275&gt;Constants!$B$26)+($AP275&gt;Constants!$B$26)))</f>
        <v/>
      </c>
      <c r="BZ275" s="74" t="str">
        <f aca="false">IF($BL275&lt;&gt;Constants!$B$4,"",IF(OR(NOT($AL275),$AQ275),0,Constants!$B$33))</f>
        <v/>
      </c>
      <c r="CA275" s="74" t="str">
        <f aca="false">IF($BL275&lt;&gt;Constants!$B$4,"",Constants!$B$34*$BN275)</f>
        <v/>
      </c>
      <c r="CB275" s="74" t="str">
        <f aca="false">IF($BL275&lt;&gt;Constants!$B$4,"",IF(OR(NOT($AL275),$BH275),0,Constants!$B$36))</f>
        <v/>
      </c>
      <c r="CC275" s="74" t="str">
        <f aca="false">IF($BL275&lt;&gt;Constants!$B$4,"",IF(OR(NOT($AL275),$BG275),0,Constants!$B$37))</f>
        <v/>
      </c>
      <c r="CD275" s="74" t="str">
        <f aca="false">IF($BL275&lt;&gt;Constants!$B$4,"",SUM($BX275:$CC275))</f>
        <v/>
      </c>
      <c r="CE275" s="74" t="str">
        <f aca="false">IF(ISBLANK($C275),"",IF($BL275&lt;&gt;Constants!$B$4,$BL275,SUM($BO275:$BW275)-$CD275))</f>
        <v/>
      </c>
      <c r="CF275" s="74" t="str">
        <f aca="false">IF(ISBLANK($C275),"",IF($BL275&lt;&gt;Constants!$B$4,$BL275,RANK($CE275,$CE$9:$CE$508)))</f>
        <v/>
      </c>
      <c r="CG275" s="74" t="str">
        <f aca="false">IF(ISBLANK($C275),"",IF($BL275&lt;&gt;Constants!$B$4,$BL275,COUNTIFS($BM$9:$BM$508,"&lt;"&amp;$BM275)+COUNTIFS($BM$9:$BM$508,$BM275,$CF$9:$CF$508,"&lt;"&amp;$CF275)+1))</f>
        <v/>
      </c>
      <c r="CH275" s="74" t="str">
        <f aca="false">IF(ISBLANK($C275),"",IF($BL275&lt;&gt;Constants!$B$4,$BL275,RANK($CD275,$CD$9:$CD$508,1)))</f>
        <v/>
      </c>
      <c r="CI275" s="74" t="str">
        <f aca="false">IF($BL275&lt;&gt;Constants!$B$4,"",$AN275+$AO275+$AP275)</f>
        <v/>
      </c>
      <c r="CJ275" s="74" t="str">
        <f aca="false">IF(ISBLANK($C275),"",IF($BL275&lt;&gt;Constants!$B$4,$BL275,RANK($CI275,$CI$9:$CI$508,1)))</f>
        <v/>
      </c>
      <c r="CK275" s="74" t="str">
        <f aca="false">IF(ISBLANK($C275),"",IF($BL275&lt;&gt;Constants!$B$4,$BL275,COUNTIFS($BM$9:$BM$508,"&lt;"&amp;$BM275)+COUNTIFS($BM$9:$BM$508,$BM275,$CF$9:$CF$508,"&lt;"&amp;$CF275)+COUNTIFS($BM$9:$BM$508,$BM275,$CF$9:$CF$508,$CF275,$CH$9:$CH$508,"&lt;"&amp;$CH275)+COUNTIFS($BM$9:$BM$508,$BM275,$CF$9:$CF$508,$CF275,$CH$9:$CH$508,$CH275,$CJ$9:$CJ$508,"&lt;"&amp;$CJ275)+1))</f>
        <v/>
      </c>
      <c r="CL275" s="74" t="str">
        <f aca="false">IF(ISBLANK($C275),"",IF($BL275&lt;&gt;Constants!$B$4,$BL275,$CG275-$CK275))</f>
        <v/>
      </c>
      <c r="CM275" s="74" t="str">
        <f aca="false">IF(ISBLANK($C275),"",IF(NOT($AL275),"",IF(ISBLANK($D$7),$CM$5,IF(NOT(ISNUMBER($D$7)),$CM$6,""))))</f>
        <v/>
      </c>
      <c r="CN275" s="74" t="str">
        <f aca="false">IF(ISBLANK($C275),"",OR($AN275="",$AO275="",$AP275=""))</f>
        <v/>
      </c>
      <c r="CO275" s="74" t="str">
        <f aca="false">IF(ISBLANK($C275),"",AND($AL275,$BA275=""))</f>
        <v/>
      </c>
      <c r="CP275" s="74" t="str">
        <f aca="false">IF(ISBLANK($C275),"",AND($AL275,$BB275=""))</f>
        <v/>
      </c>
      <c r="CQ275" s="74" t="str">
        <f aca="false">IF(ISBLANK($C275),"",AND($AL275,$BC275=""))</f>
        <v/>
      </c>
      <c r="CR275" s="74" t="str">
        <f aca="false">IF(ISBLANK($C275),"",AND($AL275,$BF275=""))</f>
        <v/>
      </c>
      <c r="CS275" s="74" t="str">
        <f aca="false">IF(ISBLANK($C275),"",AND($AL275,$BJ275=""))</f>
        <v/>
      </c>
      <c r="CT275" s="75"/>
      <c r="CU275" s="76"/>
      <c r="CV275" s="79" t="str">
        <f aca="false">IF(ISBLANK($C275),"",IF($BL275=Constants!$B$8,$CM275,""))</f>
        <v/>
      </c>
      <c r="CW275" s="76" t="str">
        <f aca="false">IF(ISBLANK($C275),"",IF($BL275&lt;&gt;Constants!$B$4,"",$BO275+$BP275))</f>
        <v/>
      </c>
      <c r="CX275" s="78" t="str">
        <f aca="false">IF(ISBLANK($C275),"",IF($BL275&lt;&gt;Constants!$B$4,"",$BQ275+$BR275+$BS275))</f>
        <v/>
      </c>
      <c r="CY275" s="78" t="str">
        <f aca="false">IF(ISBLANK($C275),"",IF($BL275&lt;&gt;Constants!$B$4,"",$BT275))</f>
        <v/>
      </c>
      <c r="CZ275" s="78" t="str">
        <f aca="false">IF(ISBLANK($C275),"",IF($BL275&lt;&gt;Constants!$B$4,"",$BU275+$BV275))</f>
        <v/>
      </c>
      <c r="DA275" s="78" t="str">
        <f aca="false">IF(ISBLANK($C275),"",IF($BL275&lt;&gt;Constants!$B$4,"",$BW275))</f>
        <v/>
      </c>
      <c r="DB275" s="78" t="str">
        <f aca="false">IF(ISBLANK($C275),"",IF($BL275&lt;&gt;Constants!$B$4,"",-$CD275))</f>
        <v/>
      </c>
      <c r="DC275" s="79" t="str">
        <f aca="false">IF(ISBLANK($C275),"",$CE275)</f>
        <v/>
      </c>
      <c r="DD275" s="80" t="str">
        <f aca="false">IF(ISBLANK($C275),"",$BM275)</f>
        <v/>
      </c>
      <c r="DE275" s="78" t="str">
        <f aca="false">IF(ISBLANK($C275),"",$CL275)</f>
        <v/>
      </c>
      <c r="DF275" s="78" t="str">
        <f aca="false">IF(ISBLANK($C275),"",$CK275)</f>
        <v/>
      </c>
      <c r="DG275" s="81" t="str">
        <f aca="false">IF(ISBLANK($C275),"",IF($DF275=Constants!$B$7,COUNTA($C$9:$C$508)+2,IF($DF275=Constants!$B$6,COUNTA($C$9:$C$508)+1,IF($DF275=Constants!$B$5,COUNTA($C$9:$C$508),$DF275))))</f>
        <v/>
      </c>
      <c r="DH275" s="7"/>
      <c r="DI275" s="82" t="n">
        <f aca="false">IF(OR(ISNUMBER($DF275),$DF275=Constants!$B$7,$DF275=Constants!$B$5,$DF275=Constants!$B$6),1,0)</f>
        <v>0</v>
      </c>
      <c r="DJ275" s="82" t="n">
        <v>267</v>
      </c>
      <c r="DK275" s="82" t="str">
        <f aca="false">IF(ISBLANK($C275),"",IF(ISNUMBER($DG275),$DG275+ROW($B275)/1000,""))</f>
        <v/>
      </c>
      <c r="DL275" s="82" t="str">
        <f aca="false">IF(ISNUMBER($DK275),RANK($DK275,$DK$9:$DK$508,1),"")</f>
        <v/>
      </c>
      <c r="DM275" s="82" t="str">
        <f aca="false">IF(ISBLANK($C275),"",$B275)</f>
        <v/>
      </c>
      <c r="DN275" s="82" t="str">
        <f aca="false">IF(ISBLANK($C275),"",$C275)</f>
        <v/>
      </c>
      <c r="DO275" s="82" t="str">
        <f aca="false">IF(ISBLANK($C275),"",$D275)</f>
        <v/>
      </c>
      <c r="DP275" s="83" t="str">
        <f aca="false">$DD275</f>
        <v/>
      </c>
      <c r="DQ275" s="84" t="str">
        <f aca="false">$DC275</f>
        <v/>
      </c>
      <c r="DR275" s="82" t="str">
        <f aca="false">IF(ISBLANK($C275),"",$DF275)</f>
        <v/>
      </c>
      <c r="DS275" s="85" t="str">
        <f aca="false">IF($DJ275&gt;$DI$8,"",VLOOKUP($DJ275,$DL$9:$DR$508,7,FALSE()))</f>
        <v/>
      </c>
      <c r="DT275" s="86" t="str">
        <f aca="false">IF($DJ275&gt;$DI$8,"",VLOOKUP($DJ275,$DL$9:$DR$508,2,FALSE()))</f>
        <v/>
      </c>
      <c r="DU275" s="86" t="str">
        <f aca="false">IF($DJ275&gt;$DI$8,"",VLOOKUP($DJ275,$DL$9:$DR$508,3,FALSE()))</f>
        <v/>
      </c>
      <c r="DV275" s="86" t="str">
        <f aca="false">IF($DJ275&gt;$DI$8,"",VLOOKUP($DJ275,$DL$9:$DR$508,4,FALSE()))</f>
        <v/>
      </c>
      <c r="DW275" s="86" t="str">
        <f aca="false">IF($DJ275&gt;$DI$8,"",VLOOKUP($DJ275,$DL$9:$DR$508,5,FALSE()))</f>
        <v/>
      </c>
      <c r="DX275" s="87" t="str">
        <f aca="false">IF($DJ275&gt;$DI$8,"",VLOOKUP($DJ275,$DL$9:$DR$508,6,FALSE()))</f>
        <v/>
      </c>
      <c r="DY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130"/>
      <c r="N276" s="130"/>
      <c r="O276" s="135"/>
      <c r="P276" s="135"/>
      <c r="Q276" s="130"/>
      <c r="R276" s="130"/>
      <c r="S276" s="130"/>
      <c r="T276" s="130"/>
      <c r="U276" s="135"/>
      <c r="V276" s="130"/>
      <c r="W276" s="96"/>
      <c r="X276" s="130"/>
      <c r="Y276" s="130"/>
      <c r="Z276" s="96"/>
      <c r="AA276" s="96"/>
      <c r="AB276" s="130"/>
      <c r="AC276" s="130"/>
      <c r="AD276" s="130"/>
      <c r="AE276" s="97"/>
      <c r="AF276" s="130"/>
      <c r="AG276" s="99"/>
      <c r="AH276" s="100"/>
      <c r="AI276" s="100"/>
      <c r="AJ276" s="100" t="str">
        <f aca="false">IF(ISBLANK($C276),"",IF($E276=Constants!$B$2,TRUE(),IF($E276=Constants!$B$3,FALSE(),TRUE())))</f>
        <v/>
      </c>
      <c r="AK276" s="100" t="str">
        <f aca="false">IF(ISBLANK($C276),"",IF($F276=Constants!$B$2,TRUE(),IF($F276=Constants!$B$3,FALSE(),FALSE())))</f>
        <v/>
      </c>
      <c r="AL276" s="100" t="str">
        <f aca="false">IF(ISBLANK($C276),"",IF($G276=Constants!$B$2,TRUE(),IF($G276=Constants!$B$3,FALSE(),TRUE())))</f>
        <v/>
      </c>
      <c r="AM276" s="100" t="str">
        <f aca="false">IF(ISBLANK($C276),"",IF($H276=Constants!$B$2,TRUE(),IF($H276=Constants!$B$3,FALSE(),TRUE())))</f>
        <v/>
      </c>
      <c r="AN276" s="100" t="str">
        <f aca="false">IF(ISBLANK($C276),"",IF(ISNUMBER($I276),IF($I276&gt;=0,$I276,""),""))</f>
        <v/>
      </c>
      <c r="AO276" s="100" t="str">
        <f aca="false">IF(ISBLANK($C276),"",IF(ISNUMBER($J276),IF($J276&gt;=0,$J276,""),""))</f>
        <v/>
      </c>
      <c r="AP276" s="100" t="str">
        <f aca="false">IF(ISBLANK($C276),"",IF(ISNUMBER($K276),IF($K276&gt;=0,$K276,""),""))</f>
        <v/>
      </c>
      <c r="AQ276" s="100" t="str">
        <f aca="false">IF(ISBLANK($C276),"",IF($L276=Constants!$B$2,TRUE(),IF($L276=Constants!$B$3,FALSE(),TRUE())))</f>
        <v/>
      </c>
      <c r="AR276" s="100" t="str">
        <f aca="false">IF(ISBLANK($C276),"",IF($M276=Constants!$B$2,TRUE(),IF($M276=Constants!$B$3,FALSE(),TRUE())))</f>
        <v/>
      </c>
      <c r="AS276" s="100" t="str">
        <f aca="false">IF(ISBLANK($C276),"",IF($N276=Constants!$B$2,TRUE(),IF($N276=Constants!$B$3,FALSE(),FALSE())))</f>
        <v/>
      </c>
      <c r="AT276" s="100" t="str">
        <f aca="false">IF(ISBLANK($C276),"",IF($O276=Constants!$B$2,TRUE(),IF($O276=Constants!$B$3,FALSE(),TRUE())))</f>
        <v/>
      </c>
      <c r="AU276" s="100" t="str">
        <f aca="false">IF(ISBLANK($C276),"",IF($P276=Constants!$B$2,TRUE(),IF($P276=Constants!$B$3,FALSE(),TRUE())))</f>
        <v/>
      </c>
      <c r="AV276" s="100" t="str">
        <f aca="false">IF(ISBLANK($C276),"",IF($Q276=Constants!$B$2,TRUE(),IF($Q276=Constants!$B$3,FALSE(),FALSE())))</f>
        <v/>
      </c>
      <c r="AW276" s="100" t="str">
        <f aca="false">IF(ISBLANK($C276),"",IF($R276=Constants!$B$2,TRUE(),IF($R276=Constants!$B$3,FALSE(),FALSE())))</f>
        <v/>
      </c>
      <c r="AX276" s="100" t="str">
        <f aca="false">IF(ISBLANK($C276),"",IF($S276=Constants!$B$2,TRUE(),IF($S276=Constants!$B$3,FALSE(),FALSE())))</f>
        <v/>
      </c>
      <c r="AY276" s="100" t="str">
        <f aca="false">IF(ISBLANK($C276),"",IF($T276=Constants!$B$2,TRUE(),IF($T276=Constants!$B$3,FALSE(),FALSE())))</f>
        <v/>
      </c>
      <c r="AZ276" s="100" t="str">
        <f aca="false">IF(ISBLANK($C276),"",IF($U276=Constants!$B$2,TRUE(),IF($U276=Constants!$B$3,FALSE(),FALSE())))</f>
        <v/>
      </c>
      <c r="BA276" s="100" t="str">
        <f aca="false">IF(ISBLANK($C276),"",IF(OR($V276&amp;""="1",$V276&amp;""="2",$V276&amp;""="3",$V276&amp;""="4"),VALUE($V276&amp;""),IF($V276=Constants!$B$12,Constants!$B$12,"")))</f>
        <v/>
      </c>
      <c r="BB276" s="100" t="str">
        <f aca="false">IF(ISBLANK($C276),"",IF(ISBLANK($W276),0,IF(ISNUMBER($W276),IF(AND($W276&gt;=0,$W276&lt;=Constants!$B$21,$W276=INT($W276)),$W276,""),"")))</f>
        <v/>
      </c>
      <c r="BC276" s="100" t="str">
        <f aca="false">IF(ISBLANK($C276),"",IF(ISBLANK($X276),0,IF(ISNUMBER($X276),IF($X276&gt;=0,$X276,""),"")))</f>
        <v/>
      </c>
      <c r="BD276" s="100" t="str">
        <f aca="false">IF(ISBLANK($C276),"",IF($Y276=Constants!$B$2,TRUE(),IF($Y276=Constants!$B$3,FALSE(),TRUE())))</f>
        <v/>
      </c>
      <c r="BE276" s="100" t="str">
        <f aca="false">IF(ISBLANK($C276),"",IF($Z276=Constants!$B$2,TRUE(),IF($Z276=Constants!$B$3,FALSE(),FALSE())))</f>
        <v/>
      </c>
      <c r="BF276" s="100" t="str">
        <f aca="false">IF(ISBLANK($C276),"",IF(ISBLANK($AA276),0,IF(ISNUMBER($AA276),IF(AND($AA276&gt;=0,$AA276&lt;=Constants!$B$35,$AA276=INT($AA276)),$AA276,""),"")))</f>
        <v/>
      </c>
      <c r="BG276" s="100" t="str">
        <f aca="false">IF(ISBLANK($C276),"",IF($AB276=Constants!$B$2,TRUE(),IF($AB276=Constants!$B$3,FALSE(),TRUE())))</f>
        <v/>
      </c>
      <c r="BH276" s="100" t="str">
        <f aca="false">IF(ISBLANK($C276),"",IF($AC276=Constants!$B$2,TRUE(),IF($AC276=Constants!$B$3,FALSE(),TRUE())))</f>
        <v/>
      </c>
      <c r="BI276" s="100" t="str">
        <f aca="false">IF(ISBLANK($C276),"",IF($AD276=Constants!$B$2,TRUE(),IF($AD276=Constants!$B$3,FALSE(),TRUE())))</f>
        <v/>
      </c>
      <c r="BJ276" s="100" t="str">
        <f aca="false">IF(ISBLANK($C276),"",IF(ISNUMBER($AE276),IF($AE276&gt;=0,$AE276,""),""))</f>
        <v/>
      </c>
      <c r="BK276" s="100" t="str">
        <f aca="false">IF(ISBLANK($C276),"",IF($AF276=Constants!$B$2,TRUE(),IF($AF276=Constants!$B$3,FALSE(),FALSE())))</f>
        <v/>
      </c>
      <c r="BL276" s="99" t="str">
        <f aca="false">IF(ISBLANK($C276),"",IF($BK276,Constants!$B$7,IF(COUNTA($E276:$AE276)=0,Constants!$B$6,IF(OR(COUNTA($G276:$AE276)=0,NOT($AM276),$AS276),Constants!$B$5,IF(OR($CM276&lt;&gt;"",$CN276,$CO276,$CP276,$CQ276,$CR276,$CS276),Constants!$B$8,Constants!$B$4)))))</f>
        <v/>
      </c>
      <c r="BM276" s="100" t="str">
        <f aca="false">IF(ISBLANK($C276),"",IF($BL276&lt;&gt;Constants!$B$4,$BL276,IF(OR(NOT($AJ276),NOT($AL276),NOT($AT276)),Constants!$B$11,IF(OR(NOT($AR276),NOT($AU276),NOT($BI276),MAX($AN276,$AO276,$AP276)&gt;Constants!$B$30),Constants!$B$10,Constants!$B$9))))</f>
        <v/>
      </c>
      <c r="BN276" s="100" t="str">
        <f aca="false">IF($BL276&lt;&gt;Constants!$B$4,"",IF(NOT($AL276),0,MIN(Constants!$B$35,$BF276)))</f>
        <v/>
      </c>
      <c r="BO276" s="100" t="str">
        <f aca="false">IF($BL276&lt;&gt;Constants!$B$4,"",IF(NOT($AL276),0,IF($AW276,Constants!$B$18,IF($AV276,Constants!$B$17,0))))</f>
        <v/>
      </c>
      <c r="BP276" s="100" t="str">
        <f aca="false">IF($BL276&lt;&gt;Constants!$B$4,"",IF(NOT($AL276),0,Constants!$B$19*($AK276+$AX276+$AY276+$AZ276)))</f>
        <v/>
      </c>
      <c r="BQ276" s="100" t="str">
        <f aca="false">IF($BL276&lt;&gt;Constants!$B$4,"",IF(OR(NOT($AL276),NOT(ISNUMBER($BA276))),0,CHOOSE($BA276,Constants!$B$13,Constants!$B$14,Constants!$B$15,Constants!$B$16)))</f>
        <v/>
      </c>
      <c r="BR276" s="100" t="str">
        <f aca="false">IF($BL276&lt;&gt;Constants!$B$4,"",IF(NOT($AL276),0,Constants!$B$20*$BB276))</f>
        <v/>
      </c>
      <c r="BS276" s="100" t="str">
        <f aca="false">IF($BL276&lt;&gt;Constants!$B$4,"",IF(AND($AL276,$BD276,$BE276),Constants!$B$22,0))</f>
        <v/>
      </c>
      <c r="BT276" s="100" t="str">
        <f aca="false">IF($BL276&lt;&gt;Constants!$B$4,"",IF(OR(NOT($AL276),NOT($BD276)),0,IF($BJ276&gt;=2*$AH$9,0,Constants!$B$23*INT(ROUND(MIN($BJ276,$AH$9),6)))))</f>
        <v/>
      </c>
      <c r="BU276" s="100" t="str">
        <f aca="false">IF($BL276&lt;&gt;Constants!$B$4,"",IF(NOT($AL276),0,Constants!$B$24*INT(ROUND(MIN($BC276,$AH$9),6))))</f>
        <v/>
      </c>
      <c r="BV276" s="100" t="str">
        <f aca="false">IF($BL276&lt;&gt;Constants!$B$4,"",IF(AND($AL276,$BN276=0),Constants!$B$25,0))</f>
        <v/>
      </c>
      <c r="BW276" s="100" t="str">
        <f aca="false">IF($BL276&lt;&gt;Constants!$B$4,"",MIN(Constants!$B$29,MAX(0,Constants!$B$27*Constants!$B$28*INT(ROUND((Constants!$B$26-$AN276)/Constants!$B$28,6))))+MIN(Constants!$B$29,MAX(0,Constants!$B$27*Constants!$B$28*INT(ROUND((Constants!$B$26-$AO276)/Constants!$B$28,6))))+MIN(Constants!$B$29,MAX(0,Constants!$B$27*Constants!$B$28*INT(ROUND((Constants!$B$26-$AP276)/Constants!$B$28,6)))))</f>
        <v/>
      </c>
      <c r="BX276" s="100" t="str">
        <f aca="false">IF($BL276&lt;&gt;Constants!$B$4,"",IF(NOT($AL276),0,Constants!$B$31*INT(ROUND(MAX(0,MIN($BJ276,2*$AH$9)-$AH$9),6))))</f>
        <v/>
      </c>
      <c r="BY276" s="100" t="str">
        <f aca="false">IF($BL276&lt;&gt;Constants!$B$4,"",Constants!$B$32*(($AN276&gt;Constants!$B$26)+($AO276&gt;Constants!$B$26)+($AP276&gt;Constants!$B$26)))</f>
        <v/>
      </c>
      <c r="BZ276" s="100" t="str">
        <f aca="false">IF($BL276&lt;&gt;Constants!$B$4,"",IF(OR(NOT($AL276),$AQ276),0,Constants!$B$33))</f>
        <v/>
      </c>
      <c r="CA276" s="100" t="str">
        <f aca="false">IF($BL276&lt;&gt;Constants!$B$4,"",Constants!$B$34*$BN276)</f>
        <v/>
      </c>
      <c r="CB276" s="100" t="str">
        <f aca="false">IF($BL276&lt;&gt;Constants!$B$4,"",IF(OR(NOT($AL276),$BH276),0,Constants!$B$36))</f>
        <v/>
      </c>
      <c r="CC276" s="100" t="str">
        <f aca="false">IF($BL276&lt;&gt;Constants!$B$4,"",IF(OR(NOT($AL276),$BG276),0,Constants!$B$37))</f>
        <v/>
      </c>
      <c r="CD276" s="100" t="str">
        <f aca="false">IF($BL276&lt;&gt;Constants!$B$4,"",SUM($BX276:$CC276))</f>
        <v/>
      </c>
      <c r="CE276" s="100" t="str">
        <f aca="false">IF(ISBLANK($C276),"",IF($BL276&lt;&gt;Constants!$B$4,$BL276,SUM($BO276:$BW276)-$CD276))</f>
        <v/>
      </c>
      <c r="CF276" s="100" t="str">
        <f aca="false">IF(ISBLANK($C276),"",IF($BL276&lt;&gt;Constants!$B$4,$BL276,RANK($CE276,$CE$9:$CE$508)))</f>
        <v/>
      </c>
      <c r="CG276" s="100" t="str">
        <f aca="false">IF(ISBLANK($C276),"",IF($BL276&lt;&gt;Constants!$B$4,$BL276,COUNTIFS($BM$9:$BM$508,"&lt;"&amp;$BM276)+COUNTIFS($BM$9:$BM$508,$BM276,$CF$9:$CF$508,"&lt;"&amp;$CF276)+1))</f>
        <v/>
      </c>
      <c r="CH276" s="100" t="str">
        <f aca="false">IF(ISBLANK($C276),"",IF($BL276&lt;&gt;Constants!$B$4,$BL276,RANK($CD276,$CD$9:$CD$508,1)))</f>
        <v/>
      </c>
      <c r="CI276" s="100" t="str">
        <f aca="false">IF($BL276&lt;&gt;Constants!$B$4,"",$AN276+$AO276+$AP276)</f>
        <v/>
      </c>
      <c r="CJ276" s="100" t="str">
        <f aca="false">IF(ISBLANK($C276),"",IF($BL276&lt;&gt;Constants!$B$4,$BL276,RANK($CI276,$CI$9:$CI$508,1)))</f>
        <v/>
      </c>
      <c r="CK276" s="100" t="str">
        <f aca="false">IF(ISBLANK($C276),"",IF($BL276&lt;&gt;Constants!$B$4,$BL276,COUNTIFS($BM$9:$BM$508,"&lt;"&amp;$BM276)+COUNTIFS($BM$9:$BM$508,$BM276,$CF$9:$CF$508,"&lt;"&amp;$CF276)+COUNTIFS($BM$9:$BM$508,$BM276,$CF$9:$CF$508,$CF276,$CH$9:$CH$508,"&lt;"&amp;$CH276)+COUNTIFS($BM$9:$BM$508,$BM276,$CF$9:$CF$508,$CF276,$CH$9:$CH$508,$CH276,$CJ$9:$CJ$508,"&lt;"&amp;$CJ276)+1))</f>
        <v/>
      </c>
      <c r="CL276" s="100" t="str">
        <f aca="false">IF(ISBLANK($C276),"",IF($BL276&lt;&gt;Constants!$B$4,$BL276,$CG276-$CK276))</f>
        <v/>
      </c>
      <c r="CM276" s="100" t="str">
        <f aca="false">IF(ISBLANK($C276),"",IF(NOT($AL276),"",IF(ISBLANK($D$7),$CM$5,IF(NOT(ISNUMBER($D$7)),$CM$6,""))))</f>
        <v/>
      </c>
      <c r="CN276" s="100" t="str">
        <f aca="false">IF(ISBLANK($C276),"",OR($AN276="",$AO276="",$AP276=""))</f>
        <v/>
      </c>
      <c r="CO276" s="100" t="str">
        <f aca="false">IF(ISBLANK($C276),"",AND($AL276,$BA276=""))</f>
        <v/>
      </c>
      <c r="CP276" s="100" t="str">
        <f aca="false">IF(ISBLANK($C276),"",AND($AL276,$BB276=""))</f>
        <v/>
      </c>
      <c r="CQ276" s="100" t="str">
        <f aca="false">IF(ISBLANK($C276),"",AND($AL276,$BC276=""))</f>
        <v/>
      </c>
      <c r="CR276" s="100" t="str">
        <f aca="false">IF(ISBLANK($C276),"",AND($AL276,$BF276=""))</f>
        <v/>
      </c>
      <c r="CS276" s="100" t="str">
        <f aca="false">IF(ISBLANK($C276),"",AND($AL276,$BJ276=""))</f>
        <v/>
      </c>
      <c r="CT276" s="101"/>
      <c r="CU276" s="102"/>
      <c r="CV276" s="103" t="str">
        <f aca="false">IF(ISBLANK($C276),"",IF($BL276=Constants!$B$8,$CM276,""))</f>
        <v/>
      </c>
      <c r="CW276" s="102" t="str">
        <f aca="false">IF(ISBLANK($C276),"",IF($BL276&lt;&gt;Constants!$B$4,"",$BO276+$BP276))</f>
        <v/>
      </c>
      <c r="CX276" s="104" t="str">
        <f aca="false">IF(ISBLANK($C276),"",IF($BL276&lt;&gt;Constants!$B$4,"",$BQ276+$BR276+$BS276))</f>
        <v/>
      </c>
      <c r="CY276" s="104" t="str">
        <f aca="false">IF(ISBLANK($C276),"",IF($BL276&lt;&gt;Constants!$B$4,"",$BT276))</f>
        <v/>
      </c>
      <c r="CZ276" s="104" t="str">
        <f aca="false">IF(ISBLANK($C276),"",IF($BL276&lt;&gt;Constants!$B$4,"",$BU276+$BV276))</f>
        <v/>
      </c>
      <c r="DA276" s="104" t="str">
        <f aca="false">IF(ISBLANK($C276),"",IF($BL276&lt;&gt;Constants!$B$4,"",$BW276))</f>
        <v/>
      </c>
      <c r="DB276" s="104" t="str">
        <f aca="false">IF(ISBLANK($C276),"",IF($BL276&lt;&gt;Constants!$B$4,"",-$CD276))</f>
        <v/>
      </c>
      <c r="DC276" s="103" t="str">
        <f aca="false">IF(ISBLANK($C276),"",$CE276)</f>
        <v/>
      </c>
      <c r="DD276" s="105" t="str">
        <f aca="false">IF(ISBLANK($C276),"",$BM276)</f>
        <v/>
      </c>
      <c r="DE276" s="104" t="str">
        <f aca="false">IF(ISBLANK($C276),"",$CL276)</f>
        <v/>
      </c>
      <c r="DF276" s="104" t="str">
        <f aca="false">IF(ISBLANK($C276),"",$CK276)</f>
        <v/>
      </c>
      <c r="DG276" s="106" t="str">
        <f aca="false">IF(ISBLANK($C276),"",IF($DF276=Constants!$B$7,COUNTA($C$9:$C$508)+2,IF($DF276=Constants!$B$6,COUNTA($C$9:$C$508)+1,IF($DF276=Constants!$B$5,COUNTA($C$9:$C$508),$DF276))))</f>
        <v/>
      </c>
      <c r="DH276" s="7"/>
      <c r="DI276" s="107" t="n">
        <f aca="false">IF(OR(ISNUMBER($DF276),$DF276=Constants!$B$7,$DF276=Constants!$B$5,$DF276=Constants!$B$6),1,0)</f>
        <v>0</v>
      </c>
      <c r="DJ276" s="107" t="n">
        <v>268</v>
      </c>
      <c r="DK276" s="107" t="str">
        <f aca="false">IF(ISBLANK($C276),"",IF(ISNUMBER($DG276),$DG276+ROW($B276)/1000,""))</f>
        <v/>
      </c>
      <c r="DL276" s="107" t="str">
        <f aca="false">IF(ISNUMBER($DK276),RANK($DK276,$DK$9:$DK$508,1),"")</f>
        <v/>
      </c>
      <c r="DM276" s="107" t="str">
        <f aca="false">IF(ISBLANK($C276),"",$B276)</f>
        <v/>
      </c>
      <c r="DN276" s="107" t="str">
        <f aca="false">IF(ISBLANK($C276),"",$C276)</f>
        <v/>
      </c>
      <c r="DO276" s="107" t="str">
        <f aca="false">IF(ISBLANK($C276),"",$D276)</f>
        <v/>
      </c>
      <c r="DP276" s="108" t="str">
        <f aca="false">$DD276</f>
        <v/>
      </c>
      <c r="DQ276" s="109" t="str">
        <f aca="false">$DC276</f>
        <v/>
      </c>
      <c r="DR276" s="107" t="str">
        <f aca="false">IF(ISBLANK($C276),"",$DF276)</f>
        <v/>
      </c>
      <c r="DS276" s="110" t="str">
        <f aca="false">IF($DJ276&gt;$DI$8,"",VLOOKUP($DJ276,$DL$9:$DR$508,7,FALSE()))</f>
        <v/>
      </c>
      <c r="DT276" s="111" t="str">
        <f aca="false">IF($DJ276&gt;$DI$8,"",VLOOKUP($DJ276,$DL$9:$DR$508,2,FALSE()))</f>
        <v/>
      </c>
      <c r="DU276" s="111" t="str">
        <f aca="false">IF($DJ276&gt;$DI$8,"",VLOOKUP($DJ276,$DL$9:$DR$508,3,FALSE()))</f>
        <v/>
      </c>
      <c r="DV276" s="111" t="str">
        <f aca="false">IF($DJ276&gt;$DI$8,"",VLOOKUP($DJ276,$DL$9:$DR$508,4,FALSE()))</f>
        <v/>
      </c>
      <c r="DW276" s="111" t="str">
        <f aca="false">IF($DJ276&gt;$DI$8,"",VLOOKUP($DJ276,$DL$9:$DR$508,5,FALSE()))</f>
        <v/>
      </c>
      <c r="DX276" s="112" t="str">
        <f aca="false">IF($DJ276&gt;$DI$8,"",VLOOKUP($DJ276,$DL$9:$DR$508,6,FALSE()))</f>
        <v/>
      </c>
      <c r="DY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130"/>
      <c r="N277" s="130"/>
      <c r="O277" s="135"/>
      <c r="P277" s="135"/>
      <c r="Q277" s="130"/>
      <c r="R277" s="130"/>
      <c r="S277" s="130"/>
      <c r="T277" s="130"/>
      <c r="U277" s="135"/>
      <c r="V277" s="130"/>
      <c r="W277" s="96"/>
      <c r="X277" s="130"/>
      <c r="Y277" s="130"/>
      <c r="Z277" s="96"/>
      <c r="AA277" s="96"/>
      <c r="AB277" s="130"/>
      <c r="AC277" s="130"/>
      <c r="AD277" s="130"/>
      <c r="AE277" s="97"/>
      <c r="AF277" s="130"/>
      <c r="AG277" s="99"/>
      <c r="AH277" s="100"/>
      <c r="AI277" s="100"/>
      <c r="AJ277" s="100" t="str">
        <f aca="false">IF(ISBLANK($C277),"",IF($E277=Constants!$B$2,TRUE(),IF($E277=Constants!$B$3,FALSE(),TRUE())))</f>
        <v/>
      </c>
      <c r="AK277" s="100" t="str">
        <f aca="false">IF(ISBLANK($C277),"",IF($F277=Constants!$B$2,TRUE(),IF($F277=Constants!$B$3,FALSE(),FALSE())))</f>
        <v/>
      </c>
      <c r="AL277" s="100" t="str">
        <f aca="false">IF(ISBLANK($C277),"",IF($G277=Constants!$B$2,TRUE(),IF($G277=Constants!$B$3,FALSE(),TRUE())))</f>
        <v/>
      </c>
      <c r="AM277" s="100" t="str">
        <f aca="false">IF(ISBLANK($C277),"",IF($H277=Constants!$B$2,TRUE(),IF($H277=Constants!$B$3,FALSE(),TRUE())))</f>
        <v/>
      </c>
      <c r="AN277" s="100" t="str">
        <f aca="false">IF(ISBLANK($C277),"",IF(ISNUMBER($I277),IF($I277&gt;=0,$I277,""),""))</f>
        <v/>
      </c>
      <c r="AO277" s="100" t="str">
        <f aca="false">IF(ISBLANK($C277),"",IF(ISNUMBER($J277),IF($J277&gt;=0,$J277,""),""))</f>
        <v/>
      </c>
      <c r="AP277" s="100" t="str">
        <f aca="false">IF(ISBLANK($C277),"",IF(ISNUMBER($K277),IF($K277&gt;=0,$K277,""),""))</f>
        <v/>
      </c>
      <c r="AQ277" s="100" t="str">
        <f aca="false">IF(ISBLANK($C277),"",IF($L277=Constants!$B$2,TRUE(),IF($L277=Constants!$B$3,FALSE(),TRUE())))</f>
        <v/>
      </c>
      <c r="AR277" s="100" t="str">
        <f aca="false">IF(ISBLANK($C277),"",IF($M277=Constants!$B$2,TRUE(),IF($M277=Constants!$B$3,FALSE(),TRUE())))</f>
        <v/>
      </c>
      <c r="AS277" s="100" t="str">
        <f aca="false">IF(ISBLANK($C277),"",IF($N277=Constants!$B$2,TRUE(),IF($N277=Constants!$B$3,FALSE(),FALSE())))</f>
        <v/>
      </c>
      <c r="AT277" s="100" t="str">
        <f aca="false">IF(ISBLANK($C277),"",IF($O277=Constants!$B$2,TRUE(),IF($O277=Constants!$B$3,FALSE(),TRUE())))</f>
        <v/>
      </c>
      <c r="AU277" s="100" t="str">
        <f aca="false">IF(ISBLANK($C277),"",IF($P277=Constants!$B$2,TRUE(),IF($P277=Constants!$B$3,FALSE(),TRUE())))</f>
        <v/>
      </c>
      <c r="AV277" s="100" t="str">
        <f aca="false">IF(ISBLANK($C277),"",IF($Q277=Constants!$B$2,TRUE(),IF($Q277=Constants!$B$3,FALSE(),FALSE())))</f>
        <v/>
      </c>
      <c r="AW277" s="100" t="str">
        <f aca="false">IF(ISBLANK($C277),"",IF($R277=Constants!$B$2,TRUE(),IF($R277=Constants!$B$3,FALSE(),FALSE())))</f>
        <v/>
      </c>
      <c r="AX277" s="100" t="str">
        <f aca="false">IF(ISBLANK($C277),"",IF($S277=Constants!$B$2,TRUE(),IF($S277=Constants!$B$3,FALSE(),FALSE())))</f>
        <v/>
      </c>
      <c r="AY277" s="100" t="str">
        <f aca="false">IF(ISBLANK($C277),"",IF($T277=Constants!$B$2,TRUE(),IF($T277=Constants!$B$3,FALSE(),FALSE())))</f>
        <v/>
      </c>
      <c r="AZ277" s="100" t="str">
        <f aca="false">IF(ISBLANK($C277),"",IF($U277=Constants!$B$2,TRUE(),IF($U277=Constants!$B$3,FALSE(),FALSE())))</f>
        <v/>
      </c>
      <c r="BA277" s="100" t="str">
        <f aca="false">IF(ISBLANK($C277),"",IF(OR($V277&amp;""="1",$V277&amp;""="2",$V277&amp;""="3",$V277&amp;""="4"),VALUE($V277&amp;""),IF($V277=Constants!$B$12,Constants!$B$12,"")))</f>
        <v/>
      </c>
      <c r="BB277" s="100" t="str">
        <f aca="false">IF(ISBLANK($C277),"",IF(ISBLANK($W277),0,IF(ISNUMBER($W277),IF(AND($W277&gt;=0,$W277&lt;=Constants!$B$21,$W277=INT($W277)),$W277,""),"")))</f>
        <v/>
      </c>
      <c r="BC277" s="100" t="str">
        <f aca="false">IF(ISBLANK($C277),"",IF(ISBLANK($X277),0,IF(ISNUMBER($X277),IF($X277&gt;=0,$X277,""),"")))</f>
        <v/>
      </c>
      <c r="BD277" s="100" t="str">
        <f aca="false">IF(ISBLANK($C277),"",IF($Y277=Constants!$B$2,TRUE(),IF($Y277=Constants!$B$3,FALSE(),TRUE())))</f>
        <v/>
      </c>
      <c r="BE277" s="100" t="str">
        <f aca="false">IF(ISBLANK($C277),"",IF($Z277=Constants!$B$2,TRUE(),IF($Z277=Constants!$B$3,FALSE(),FALSE())))</f>
        <v/>
      </c>
      <c r="BF277" s="100" t="str">
        <f aca="false">IF(ISBLANK($C277),"",IF(ISBLANK($AA277),0,IF(ISNUMBER($AA277),IF(AND($AA277&gt;=0,$AA277&lt;=Constants!$B$35,$AA277=INT($AA277)),$AA277,""),"")))</f>
        <v/>
      </c>
      <c r="BG277" s="100" t="str">
        <f aca="false">IF(ISBLANK($C277),"",IF($AB277=Constants!$B$2,TRUE(),IF($AB277=Constants!$B$3,FALSE(),TRUE())))</f>
        <v/>
      </c>
      <c r="BH277" s="100" t="str">
        <f aca="false">IF(ISBLANK($C277),"",IF($AC277=Constants!$B$2,TRUE(),IF($AC277=Constants!$B$3,FALSE(),TRUE())))</f>
        <v/>
      </c>
      <c r="BI277" s="100" t="str">
        <f aca="false">IF(ISBLANK($C277),"",IF($AD277=Constants!$B$2,TRUE(),IF($AD277=Constants!$B$3,FALSE(),TRUE())))</f>
        <v/>
      </c>
      <c r="BJ277" s="100" t="str">
        <f aca="false">IF(ISBLANK($C277),"",IF(ISNUMBER($AE277),IF($AE277&gt;=0,$AE277,""),""))</f>
        <v/>
      </c>
      <c r="BK277" s="100" t="str">
        <f aca="false">IF(ISBLANK($C277),"",IF($AF277=Constants!$B$2,TRUE(),IF($AF277=Constants!$B$3,FALSE(),FALSE())))</f>
        <v/>
      </c>
      <c r="BL277" s="99" t="str">
        <f aca="false">IF(ISBLANK($C277),"",IF($BK277,Constants!$B$7,IF(COUNTA($E277:$AE277)=0,Constants!$B$6,IF(OR(COUNTA($G277:$AE277)=0,NOT($AM277),$AS277),Constants!$B$5,IF(OR($CM277&lt;&gt;"",$CN277,$CO277,$CP277,$CQ277,$CR277,$CS277),Constants!$B$8,Constants!$B$4)))))</f>
        <v/>
      </c>
      <c r="BM277" s="100" t="str">
        <f aca="false">IF(ISBLANK($C277),"",IF($BL277&lt;&gt;Constants!$B$4,$BL277,IF(OR(NOT($AJ277),NOT($AL277),NOT($AT277)),Constants!$B$11,IF(OR(NOT($AR277),NOT($AU277),NOT($BI277),MAX($AN277,$AO277,$AP277)&gt;Constants!$B$30),Constants!$B$10,Constants!$B$9))))</f>
        <v/>
      </c>
      <c r="BN277" s="100" t="str">
        <f aca="false">IF($BL277&lt;&gt;Constants!$B$4,"",IF(NOT($AL277),0,MIN(Constants!$B$35,$BF277)))</f>
        <v/>
      </c>
      <c r="BO277" s="100" t="str">
        <f aca="false">IF($BL277&lt;&gt;Constants!$B$4,"",IF(NOT($AL277),0,IF($AW277,Constants!$B$18,IF($AV277,Constants!$B$17,0))))</f>
        <v/>
      </c>
      <c r="BP277" s="100" t="str">
        <f aca="false">IF($BL277&lt;&gt;Constants!$B$4,"",IF(NOT($AL277),0,Constants!$B$19*($AK277+$AX277+$AY277+$AZ277)))</f>
        <v/>
      </c>
      <c r="BQ277" s="100" t="str">
        <f aca="false">IF($BL277&lt;&gt;Constants!$B$4,"",IF(OR(NOT($AL277),NOT(ISNUMBER($BA277))),0,CHOOSE($BA277,Constants!$B$13,Constants!$B$14,Constants!$B$15,Constants!$B$16)))</f>
        <v/>
      </c>
      <c r="BR277" s="100" t="str">
        <f aca="false">IF($BL277&lt;&gt;Constants!$B$4,"",IF(NOT($AL277),0,Constants!$B$20*$BB277))</f>
        <v/>
      </c>
      <c r="BS277" s="100" t="str">
        <f aca="false">IF($BL277&lt;&gt;Constants!$B$4,"",IF(AND($AL277,$BD277,$BE277),Constants!$B$22,0))</f>
        <v/>
      </c>
      <c r="BT277" s="100" t="str">
        <f aca="false">IF($BL277&lt;&gt;Constants!$B$4,"",IF(OR(NOT($AL277),NOT($BD277)),0,IF($BJ277&gt;=2*$AH$9,0,Constants!$B$23*INT(ROUND(MIN($BJ277,$AH$9),6)))))</f>
        <v/>
      </c>
      <c r="BU277" s="100" t="str">
        <f aca="false">IF($BL277&lt;&gt;Constants!$B$4,"",IF(NOT($AL277),0,Constants!$B$24*INT(ROUND(MIN($BC277,$AH$9),6))))</f>
        <v/>
      </c>
      <c r="BV277" s="100" t="str">
        <f aca="false">IF($BL277&lt;&gt;Constants!$B$4,"",IF(AND($AL277,$BN277=0),Constants!$B$25,0))</f>
        <v/>
      </c>
      <c r="BW277" s="100" t="str">
        <f aca="false">IF($BL277&lt;&gt;Constants!$B$4,"",MIN(Constants!$B$29,MAX(0,Constants!$B$27*Constants!$B$28*INT(ROUND((Constants!$B$26-$AN277)/Constants!$B$28,6))))+MIN(Constants!$B$29,MAX(0,Constants!$B$27*Constants!$B$28*INT(ROUND((Constants!$B$26-$AO277)/Constants!$B$28,6))))+MIN(Constants!$B$29,MAX(0,Constants!$B$27*Constants!$B$28*INT(ROUND((Constants!$B$26-$AP277)/Constants!$B$28,6)))))</f>
        <v/>
      </c>
      <c r="BX277" s="100" t="str">
        <f aca="false">IF($BL277&lt;&gt;Constants!$B$4,"",IF(NOT($AL277),0,Constants!$B$31*INT(ROUND(MAX(0,MIN($BJ277,2*$AH$9)-$AH$9),6))))</f>
        <v/>
      </c>
      <c r="BY277" s="100" t="str">
        <f aca="false">IF($BL277&lt;&gt;Constants!$B$4,"",Constants!$B$32*(($AN277&gt;Constants!$B$26)+($AO277&gt;Constants!$B$26)+($AP277&gt;Constants!$B$26)))</f>
        <v/>
      </c>
      <c r="BZ277" s="100" t="str">
        <f aca="false">IF($BL277&lt;&gt;Constants!$B$4,"",IF(OR(NOT($AL277),$AQ277),0,Constants!$B$33))</f>
        <v/>
      </c>
      <c r="CA277" s="100" t="str">
        <f aca="false">IF($BL277&lt;&gt;Constants!$B$4,"",Constants!$B$34*$BN277)</f>
        <v/>
      </c>
      <c r="CB277" s="100" t="str">
        <f aca="false">IF($BL277&lt;&gt;Constants!$B$4,"",IF(OR(NOT($AL277),$BH277),0,Constants!$B$36))</f>
        <v/>
      </c>
      <c r="CC277" s="100" t="str">
        <f aca="false">IF($BL277&lt;&gt;Constants!$B$4,"",IF(OR(NOT($AL277),$BG277),0,Constants!$B$37))</f>
        <v/>
      </c>
      <c r="CD277" s="100" t="str">
        <f aca="false">IF($BL277&lt;&gt;Constants!$B$4,"",SUM($BX277:$CC277))</f>
        <v/>
      </c>
      <c r="CE277" s="100" t="str">
        <f aca="false">IF(ISBLANK($C277),"",IF($BL277&lt;&gt;Constants!$B$4,$BL277,SUM($BO277:$BW277)-$CD277))</f>
        <v/>
      </c>
      <c r="CF277" s="100" t="str">
        <f aca="false">IF(ISBLANK($C277),"",IF($BL277&lt;&gt;Constants!$B$4,$BL277,RANK($CE277,$CE$9:$CE$508)))</f>
        <v/>
      </c>
      <c r="CG277" s="100" t="str">
        <f aca="false">IF(ISBLANK($C277),"",IF($BL277&lt;&gt;Constants!$B$4,$BL277,COUNTIFS($BM$9:$BM$508,"&lt;"&amp;$BM277)+COUNTIFS($BM$9:$BM$508,$BM277,$CF$9:$CF$508,"&lt;"&amp;$CF277)+1))</f>
        <v/>
      </c>
      <c r="CH277" s="100" t="str">
        <f aca="false">IF(ISBLANK($C277),"",IF($BL277&lt;&gt;Constants!$B$4,$BL277,RANK($CD277,$CD$9:$CD$508,1)))</f>
        <v/>
      </c>
      <c r="CI277" s="100" t="str">
        <f aca="false">IF($BL277&lt;&gt;Constants!$B$4,"",$AN277+$AO277+$AP277)</f>
        <v/>
      </c>
      <c r="CJ277" s="100" t="str">
        <f aca="false">IF(ISBLANK($C277),"",IF($BL277&lt;&gt;Constants!$B$4,$BL277,RANK($CI277,$CI$9:$CI$508,1)))</f>
        <v/>
      </c>
      <c r="CK277" s="100" t="str">
        <f aca="false">IF(ISBLANK($C277),"",IF($BL277&lt;&gt;Constants!$B$4,$BL277,COUNTIFS($BM$9:$BM$508,"&lt;"&amp;$BM277)+COUNTIFS($BM$9:$BM$508,$BM277,$CF$9:$CF$508,"&lt;"&amp;$CF277)+COUNTIFS($BM$9:$BM$508,$BM277,$CF$9:$CF$508,$CF277,$CH$9:$CH$508,"&lt;"&amp;$CH277)+COUNTIFS($BM$9:$BM$508,$BM277,$CF$9:$CF$508,$CF277,$CH$9:$CH$508,$CH277,$CJ$9:$CJ$508,"&lt;"&amp;$CJ277)+1))</f>
        <v/>
      </c>
      <c r="CL277" s="100" t="str">
        <f aca="false">IF(ISBLANK($C277),"",IF($BL277&lt;&gt;Constants!$B$4,$BL277,$CG277-$CK277))</f>
        <v/>
      </c>
      <c r="CM277" s="100" t="str">
        <f aca="false">IF(ISBLANK($C277),"",IF(NOT($AL277),"",IF(ISBLANK($D$7),$CM$5,IF(NOT(ISNUMBER($D$7)),$CM$6,""))))</f>
        <v/>
      </c>
      <c r="CN277" s="100" t="str">
        <f aca="false">IF(ISBLANK($C277),"",OR($AN277="",$AO277="",$AP277=""))</f>
        <v/>
      </c>
      <c r="CO277" s="100" t="str">
        <f aca="false">IF(ISBLANK($C277),"",AND($AL277,$BA277=""))</f>
        <v/>
      </c>
      <c r="CP277" s="100" t="str">
        <f aca="false">IF(ISBLANK($C277),"",AND($AL277,$BB277=""))</f>
        <v/>
      </c>
      <c r="CQ277" s="100" t="str">
        <f aca="false">IF(ISBLANK($C277),"",AND($AL277,$BC277=""))</f>
        <v/>
      </c>
      <c r="CR277" s="100" t="str">
        <f aca="false">IF(ISBLANK($C277),"",AND($AL277,$BF277=""))</f>
        <v/>
      </c>
      <c r="CS277" s="100" t="str">
        <f aca="false">IF(ISBLANK($C277),"",AND($AL277,$BJ277=""))</f>
        <v/>
      </c>
      <c r="CT277" s="101"/>
      <c r="CU277" s="102"/>
      <c r="CV277" s="103" t="str">
        <f aca="false">IF(ISBLANK($C277),"",IF($BL277=Constants!$B$8,$CM277,""))</f>
        <v/>
      </c>
      <c r="CW277" s="102" t="str">
        <f aca="false">IF(ISBLANK($C277),"",IF($BL277&lt;&gt;Constants!$B$4,"",$BO277+$BP277))</f>
        <v/>
      </c>
      <c r="CX277" s="104" t="str">
        <f aca="false">IF(ISBLANK($C277),"",IF($BL277&lt;&gt;Constants!$B$4,"",$BQ277+$BR277+$BS277))</f>
        <v/>
      </c>
      <c r="CY277" s="104" t="str">
        <f aca="false">IF(ISBLANK($C277),"",IF($BL277&lt;&gt;Constants!$B$4,"",$BT277))</f>
        <v/>
      </c>
      <c r="CZ277" s="104" t="str">
        <f aca="false">IF(ISBLANK($C277),"",IF($BL277&lt;&gt;Constants!$B$4,"",$BU277+$BV277))</f>
        <v/>
      </c>
      <c r="DA277" s="104" t="str">
        <f aca="false">IF(ISBLANK($C277),"",IF($BL277&lt;&gt;Constants!$B$4,"",$BW277))</f>
        <v/>
      </c>
      <c r="DB277" s="104" t="str">
        <f aca="false">IF(ISBLANK($C277),"",IF($BL277&lt;&gt;Constants!$B$4,"",-$CD277))</f>
        <v/>
      </c>
      <c r="DC277" s="103" t="str">
        <f aca="false">IF(ISBLANK($C277),"",$CE277)</f>
        <v/>
      </c>
      <c r="DD277" s="105" t="str">
        <f aca="false">IF(ISBLANK($C277),"",$BM277)</f>
        <v/>
      </c>
      <c r="DE277" s="104" t="str">
        <f aca="false">IF(ISBLANK($C277),"",$CL277)</f>
        <v/>
      </c>
      <c r="DF277" s="104" t="str">
        <f aca="false">IF(ISBLANK($C277),"",$CK277)</f>
        <v/>
      </c>
      <c r="DG277" s="106" t="str">
        <f aca="false">IF(ISBLANK($C277),"",IF($DF277=Constants!$B$7,COUNTA($C$9:$C$508)+2,IF($DF277=Constants!$B$6,COUNTA($C$9:$C$508)+1,IF($DF277=Constants!$B$5,COUNTA($C$9:$C$508),$DF277))))</f>
        <v/>
      </c>
      <c r="DH277" s="7"/>
      <c r="DI277" s="107" t="n">
        <f aca="false">IF(OR(ISNUMBER($DF277),$DF277=Constants!$B$7,$DF277=Constants!$B$5,$DF277=Constants!$B$6),1,0)</f>
        <v>0</v>
      </c>
      <c r="DJ277" s="107" t="n">
        <v>269</v>
      </c>
      <c r="DK277" s="107" t="str">
        <f aca="false">IF(ISBLANK($C277),"",IF(ISNUMBER($DG277),$DG277+ROW($B277)/1000,""))</f>
        <v/>
      </c>
      <c r="DL277" s="107" t="str">
        <f aca="false">IF(ISNUMBER($DK277),RANK($DK277,$DK$9:$DK$508,1),"")</f>
        <v/>
      </c>
      <c r="DM277" s="107" t="str">
        <f aca="false">IF(ISBLANK($C277),"",$B277)</f>
        <v/>
      </c>
      <c r="DN277" s="107" t="str">
        <f aca="false">IF(ISBLANK($C277),"",$C277)</f>
        <v/>
      </c>
      <c r="DO277" s="107" t="str">
        <f aca="false">IF(ISBLANK($C277),"",$D277)</f>
        <v/>
      </c>
      <c r="DP277" s="108" t="str">
        <f aca="false">$DD277</f>
        <v/>
      </c>
      <c r="DQ277" s="109" t="str">
        <f aca="false">$DC277</f>
        <v/>
      </c>
      <c r="DR277" s="107" t="str">
        <f aca="false">IF(ISBLANK($C277),"",$DF277)</f>
        <v/>
      </c>
      <c r="DS277" s="110" t="str">
        <f aca="false">IF($DJ277&gt;$DI$8,"",VLOOKUP($DJ277,$DL$9:$DR$508,7,FALSE()))</f>
        <v/>
      </c>
      <c r="DT277" s="111" t="str">
        <f aca="false">IF($DJ277&gt;$DI$8,"",VLOOKUP($DJ277,$DL$9:$DR$508,2,FALSE()))</f>
        <v/>
      </c>
      <c r="DU277" s="111" t="str">
        <f aca="false">IF($DJ277&gt;$DI$8,"",VLOOKUP($DJ277,$DL$9:$DR$508,3,FALSE()))</f>
        <v/>
      </c>
      <c r="DV277" s="111" t="str">
        <f aca="false">IF($DJ277&gt;$DI$8,"",VLOOKUP($DJ277,$DL$9:$DR$508,4,FALSE()))</f>
        <v/>
      </c>
      <c r="DW277" s="111" t="str">
        <f aca="false">IF($DJ277&gt;$DI$8,"",VLOOKUP($DJ277,$DL$9:$DR$508,5,FALSE()))</f>
        <v/>
      </c>
      <c r="DX277" s="112" t="str">
        <f aca="false">IF($DJ277&gt;$DI$8,"",VLOOKUP($DJ277,$DL$9:$DR$508,6,FALSE()))</f>
        <v/>
      </c>
      <c r="DY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130"/>
      <c r="N278" s="130"/>
      <c r="O278" s="135"/>
      <c r="P278" s="135"/>
      <c r="Q278" s="130"/>
      <c r="R278" s="130"/>
      <c r="S278" s="130"/>
      <c r="T278" s="130"/>
      <c r="U278" s="135"/>
      <c r="V278" s="130"/>
      <c r="W278" s="96"/>
      <c r="X278" s="130"/>
      <c r="Y278" s="130"/>
      <c r="Z278" s="96"/>
      <c r="AA278" s="96"/>
      <c r="AB278" s="130"/>
      <c r="AC278" s="130"/>
      <c r="AD278" s="130"/>
      <c r="AE278" s="97"/>
      <c r="AF278" s="130"/>
      <c r="AG278" s="99"/>
      <c r="AH278" s="100"/>
      <c r="AI278" s="100"/>
      <c r="AJ278" s="100" t="str">
        <f aca="false">IF(ISBLANK($C278),"",IF($E278=Constants!$B$2,TRUE(),IF($E278=Constants!$B$3,FALSE(),TRUE())))</f>
        <v/>
      </c>
      <c r="AK278" s="100" t="str">
        <f aca="false">IF(ISBLANK($C278),"",IF($F278=Constants!$B$2,TRUE(),IF($F278=Constants!$B$3,FALSE(),FALSE())))</f>
        <v/>
      </c>
      <c r="AL278" s="100" t="str">
        <f aca="false">IF(ISBLANK($C278),"",IF($G278=Constants!$B$2,TRUE(),IF($G278=Constants!$B$3,FALSE(),TRUE())))</f>
        <v/>
      </c>
      <c r="AM278" s="100" t="str">
        <f aca="false">IF(ISBLANK($C278),"",IF($H278=Constants!$B$2,TRUE(),IF($H278=Constants!$B$3,FALSE(),TRUE())))</f>
        <v/>
      </c>
      <c r="AN278" s="100" t="str">
        <f aca="false">IF(ISBLANK($C278),"",IF(ISNUMBER($I278),IF($I278&gt;=0,$I278,""),""))</f>
        <v/>
      </c>
      <c r="AO278" s="100" t="str">
        <f aca="false">IF(ISBLANK($C278),"",IF(ISNUMBER($J278),IF($J278&gt;=0,$J278,""),""))</f>
        <v/>
      </c>
      <c r="AP278" s="100" t="str">
        <f aca="false">IF(ISBLANK($C278),"",IF(ISNUMBER($K278),IF($K278&gt;=0,$K278,""),""))</f>
        <v/>
      </c>
      <c r="AQ278" s="100" t="str">
        <f aca="false">IF(ISBLANK($C278),"",IF($L278=Constants!$B$2,TRUE(),IF($L278=Constants!$B$3,FALSE(),TRUE())))</f>
        <v/>
      </c>
      <c r="AR278" s="100" t="str">
        <f aca="false">IF(ISBLANK($C278),"",IF($M278=Constants!$B$2,TRUE(),IF($M278=Constants!$B$3,FALSE(),TRUE())))</f>
        <v/>
      </c>
      <c r="AS278" s="100" t="str">
        <f aca="false">IF(ISBLANK($C278),"",IF($N278=Constants!$B$2,TRUE(),IF($N278=Constants!$B$3,FALSE(),FALSE())))</f>
        <v/>
      </c>
      <c r="AT278" s="100" t="str">
        <f aca="false">IF(ISBLANK($C278),"",IF($O278=Constants!$B$2,TRUE(),IF($O278=Constants!$B$3,FALSE(),TRUE())))</f>
        <v/>
      </c>
      <c r="AU278" s="100" t="str">
        <f aca="false">IF(ISBLANK($C278),"",IF($P278=Constants!$B$2,TRUE(),IF($P278=Constants!$B$3,FALSE(),TRUE())))</f>
        <v/>
      </c>
      <c r="AV278" s="100" t="str">
        <f aca="false">IF(ISBLANK($C278),"",IF($Q278=Constants!$B$2,TRUE(),IF($Q278=Constants!$B$3,FALSE(),FALSE())))</f>
        <v/>
      </c>
      <c r="AW278" s="100" t="str">
        <f aca="false">IF(ISBLANK($C278),"",IF($R278=Constants!$B$2,TRUE(),IF($R278=Constants!$B$3,FALSE(),FALSE())))</f>
        <v/>
      </c>
      <c r="AX278" s="100" t="str">
        <f aca="false">IF(ISBLANK($C278),"",IF($S278=Constants!$B$2,TRUE(),IF($S278=Constants!$B$3,FALSE(),FALSE())))</f>
        <v/>
      </c>
      <c r="AY278" s="100" t="str">
        <f aca="false">IF(ISBLANK($C278),"",IF($T278=Constants!$B$2,TRUE(),IF($T278=Constants!$B$3,FALSE(),FALSE())))</f>
        <v/>
      </c>
      <c r="AZ278" s="100" t="str">
        <f aca="false">IF(ISBLANK($C278),"",IF($U278=Constants!$B$2,TRUE(),IF($U278=Constants!$B$3,FALSE(),FALSE())))</f>
        <v/>
      </c>
      <c r="BA278" s="100" t="str">
        <f aca="false">IF(ISBLANK($C278),"",IF(OR($V278&amp;""="1",$V278&amp;""="2",$V278&amp;""="3",$V278&amp;""="4"),VALUE($V278&amp;""),IF($V278=Constants!$B$12,Constants!$B$12,"")))</f>
        <v/>
      </c>
      <c r="BB278" s="100" t="str">
        <f aca="false">IF(ISBLANK($C278),"",IF(ISBLANK($W278),0,IF(ISNUMBER($W278),IF(AND($W278&gt;=0,$W278&lt;=Constants!$B$21,$W278=INT($W278)),$W278,""),"")))</f>
        <v/>
      </c>
      <c r="BC278" s="100" t="str">
        <f aca="false">IF(ISBLANK($C278),"",IF(ISBLANK($X278),0,IF(ISNUMBER($X278),IF($X278&gt;=0,$X278,""),"")))</f>
        <v/>
      </c>
      <c r="BD278" s="100" t="str">
        <f aca="false">IF(ISBLANK($C278),"",IF($Y278=Constants!$B$2,TRUE(),IF($Y278=Constants!$B$3,FALSE(),TRUE())))</f>
        <v/>
      </c>
      <c r="BE278" s="100" t="str">
        <f aca="false">IF(ISBLANK($C278),"",IF($Z278=Constants!$B$2,TRUE(),IF($Z278=Constants!$B$3,FALSE(),FALSE())))</f>
        <v/>
      </c>
      <c r="BF278" s="100" t="str">
        <f aca="false">IF(ISBLANK($C278),"",IF(ISBLANK($AA278),0,IF(ISNUMBER($AA278),IF(AND($AA278&gt;=0,$AA278&lt;=Constants!$B$35,$AA278=INT($AA278)),$AA278,""),"")))</f>
        <v/>
      </c>
      <c r="BG278" s="100" t="str">
        <f aca="false">IF(ISBLANK($C278),"",IF($AB278=Constants!$B$2,TRUE(),IF($AB278=Constants!$B$3,FALSE(),TRUE())))</f>
        <v/>
      </c>
      <c r="BH278" s="100" t="str">
        <f aca="false">IF(ISBLANK($C278),"",IF($AC278=Constants!$B$2,TRUE(),IF($AC278=Constants!$B$3,FALSE(),TRUE())))</f>
        <v/>
      </c>
      <c r="BI278" s="100" t="str">
        <f aca="false">IF(ISBLANK($C278),"",IF($AD278=Constants!$B$2,TRUE(),IF($AD278=Constants!$B$3,FALSE(),TRUE())))</f>
        <v/>
      </c>
      <c r="BJ278" s="100" t="str">
        <f aca="false">IF(ISBLANK($C278),"",IF(ISNUMBER($AE278),IF($AE278&gt;=0,$AE278,""),""))</f>
        <v/>
      </c>
      <c r="BK278" s="100" t="str">
        <f aca="false">IF(ISBLANK($C278),"",IF($AF278=Constants!$B$2,TRUE(),IF($AF278=Constants!$B$3,FALSE(),FALSE())))</f>
        <v/>
      </c>
      <c r="BL278" s="99" t="str">
        <f aca="false">IF(ISBLANK($C278),"",IF($BK278,Constants!$B$7,IF(COUNTA($E278:$AE278)=0,Constants!$B$6,IF(OR(COUNTA($G278:$AE278)=0,NOT($AM278),$AS278),Constants!$B$5,IF(OR($CM278&lt;&gt;"",$CN278,$CO278,$CP278,$CQ278,$CR278,$CS278),Constants!$B$8,Constants!$B$4)))))</f>
        <v/>
      </c>
      <c r="BM278" s="100" t="str">
        <f aca="false">IF(ISBLANK($C278),"",IF($BL278&lt;&gt;Constants!$B$4,$BL278,IF(OR(NOT($AJ278),NOT($AL278),NOT($AT278)),Constants!$B$11,IF(OR(NOT($AR278),NOT($AU278),NOT($BI278),MAX($AN278,$AO278,$AP278)&gt;Constants!$B$30),Constants!$B$10,Constants!$B$9))))</f>
        <v/>
      </c>
      <c r="BN278" s="100" t="str">
        <f aca="false">IF($BL278&lt;&gt;Constants!$B$4,"",IF(NOT($AL278),0,MIN(Constants!$B$35,$BF278)))</f>
        <v/>
      </c>
      <c r="BO278" s="100" t="str">
        <f aca="false">IF($BL278&lt;&gt;Constants!$B$4,"",IF(NOT($AL278),0,IF($AW278,Constants!$B$18,IF($AV278,Constants!$B$17,0))))</f>
        <v/>
      </c>
      <c r="BP278" s="100" t="str">
        <f aca="false">IF($BL278&lt;&gt;Constants!$B$4,"",IF(NOT($AL278),0,Constants!$B$19*($AK278+$AX278+$AY278+$AZ278)))</f>
        <v/>
      </c>
      <c r="BQ278" s="100" t="str">
        <f aca="false">IF($BL278&lt;&gt;Constants!$B$4,"",IF(OR(NOT($AL278),NOT(ISNUMBER($BA278))),0,CHOOSE($BA278,Constants!$B$13,Constants!$B$14,Constants!$B$15,Constants!$B$16)))</f>
        <v/>
      </c>
      <c r="BR278" s="100" t="str">
        <f aca="false">IF($BL278&lt;&gt;Constants!$B$4,"",IF(NOT($AL278),0,Constants!$B$20*$BB278))</f>
        <v/>
      </c>
      <c r="BS278" s="100" t="str">
        <f aca="false">IF($BL278&lt;&gt;Constants!$B$4,"",IF(AND($AL278,$BD278,$BE278),Constants!$B$22,0))</f>
        <v/>
      </c>
      <c r="BT278" s="100" t="str">
        <f aca="false">IF($BL278&lt;&gt;Constants!$B$4,"",IF(OR(NOT($AL278),NOT($BD278)),0,IF($BJ278&gt;=2*$AH$9,0,Constants!$B$23*INT(ROUND(MIN($BJ278,$AH$9),6)))))</f>
        <v/>
      </c>
      <c r="BU278" s="100" t="str">
        <f aca="false">IF($BL278&lt;&gt;Constants!$B$4,"",IF(NOT($AL278),0,Constants!$B$24*INT(ROUND(MIN($BC278,$AH$9),6))))</f>
        <v/>
      </c>
      <c r="BV278" s="100" t="str">
        <f aca="false">IF($BL278&lt;&gt;Constants!$B$4,"",IF(AND($AL278,$BN278=0),Constants!$B$25,0))</f>
        <v/>
      </c>
      <c r="BW278" s="100" t="str">
        <f aca="false">IF($BL278&lt;&gt;Constants!$B$4,"",MIN(Constants!$B$29,MAX(0,Constants!$B$27*Constants!$B$28*INT(ROUND((Constants!$B$26-$AN278)/Constants!$B$28,6))))+MIN(Constants!$B$29,MAX(0,Constants!$B$27*Constants!$B$28*INT(ROUND((Constants!$B$26-$AO278)/Constants!$B$28,6))))+MIN(Constants!$B$29,MAX(0,Constants!$B$27*Constants!$B$28*INT(ROUND((Constants!$B$26-$AP278)/Constants!$B$28,6)))))</f>
        <v/>
      </c>
      <c r="BX278" s="100" t="str">
        <f aca="false">IF($BL278&lt;&gt;Constants!$B$4,"",IF(NOT($AL278),0,Constants!$B$31*INT(ROUND(MAX(0,MIN($BJ278,2*$AH$9)-$AH$9),6))))</f>
        <v/>
      </c>
      <c r="BY278" s="100" t="str">
        <f aca="false">IF($BL278&lt;&gt;Constants!$B$4,"",Constants!$B$32*(($AN278&gt;Constants!$B$26)+($AO278&gt;Constants!$B$26)+($AP278&gt;Constants!$B$26)))</f>
        <v/>
      </c>
      <c r="BZ278" s="100" t="str">
        <f aca="false">IF($BL278&lt;&gt;Constants!$B$4,"",IF(OR(NOT($AL278),$AQ278),0,Constants!$B$33))</f>
        <v/>
      </c>
      <c r="CA278" s="100" t="str">
        <f aca="false">IF($BL278&lt;&gt;Constants!$B$4,"",Constants!$B$34*$BN278)</f>
        <v/>
      </c>
      <c r="CB278" s="100" t="str">
        <f aca="false">IF($BL278&lt;&gt;Constants!$B$4,"",IF(OR(NOT($AL278),$BH278),0,Constants!$B$36))</f>
        <v/>
      </c>
      <c r="CC278" s="100" t="str">
        <f aca="false">IF($BL278&lt;&gt;Constants!$B$4,"",IF(OR(NOT($AL278),$BG278),0,Constants!$B$37))</f>
        <v/>
      </c>
      <c r="CD278" s="100" t="str">
        <f aca="false">IF($BL278&lt;&gt;Constants!$B$4,"",SUM($BX278:$CC278))</f>
        <v/>
      </c>
      <c r="CE278" s="100" t="str">
        <f aca="false">IF(ISBLANK($C278),"",IF($BL278&lt;&gt;Constants!$B$4,$BL278,SUM($BO278:$BW278)-$CD278))</f>
        <v/>
      </c>
      <c r="CF278" s="100" t="str">
        <f aca="false">IF(ISBLANK($C278),"",IF($BL278&lt;&gt;Constants!$B$4,$BL278,RANK($CE278,$CE$9:$CE$508)))</f>
        <v/>
      </c>
      <c r="CG278" s="100" t="str">
        <f aca="false">IF(ISBLANK($C278),"",IF($BL278&lt;&gt;Constants!$B$4,$BL278,COUNTIFS($BM$9:$BM$508,"&lt;"&amp;$BM278)+COUNTIFS($BM$9:$BM$508,$BM278,$CF$9:$CF$508,"&lt;"&amp;$CF278)+1))</f>
        <v/>
      </c>
      <c r="CH278" s="100" t="str">
        <f aca="false">IF(ISBLANK($C278),"",IF($BL278&lt;&gt;Constants!$B$4,$BL278,RANK($CD278,$CD$9:$CD$508,1)))</f>
        <v/>
      </c>
      <c r="CI278" s="100" t="str">
        <f aca="false">IF($BL278&lt;&gt;Constants!$B$4,"",$AN278+$AO278+$AP278)</f>
        <v/>
      </c>
      <c r="CJ278" s="100" t="str">
        <f aca="false">IF(ISBLANK($C278),"",IF($BL278&lt;&gt;Constants!$B$4,$BL278,RANK($CI278,$CI$9:$CI$508,1)))</f>
        <v/>
      </c>
      <c r="CK278" s="100" t="str">
        <f aca="false">IF(ISBLANK($C278),"",IF($BL278&lt;&gt;Constants!$B$4,$BL278,COUNTIFS($BM$9:$BM$508,"&lt;"&amp;$BM278)+COUNTIFS($BM$9:$BM$508,$BM278,$CF$9:$CF$508,"&lt;"&amp;$CF278)+COUNTIFS($BM$9:$BM$508,$BM278,$CF$9:$CF$508,$CF278,$CH$9:$CH$508,"&lt;"&amp;$CH278)+COUNTIFS($BM$9:$BM$508,$BM278,$CF$9:$CF$508,$CF278,$CH$9:$CH$508,$CH278,$CJ$9:$CJ$508,"&lt;"&amp;$CJ278)+1))</f>
        <v/>
      </c>
      <c r="CL278" s="100" t="str">
        <f aca="false">IF(ISBLANK($C278),"",IF($BL278&lt;&gt;Constants!$B$4,$BL278,$CG278-$CK278))</f>
        <v/>
      </c>
      <c r="CM278" s="100" t="str">
        <f aca="false">IF(ISBLANK($C278),"",IF(NOT($AL278),"",IF(ISBLANK($D$7),$CM$5,IF(NOT(ISNUMBER($D$7)),$CM$6,""))))</f>
        <v/>
      </c>
      <c r="CN278" s="100" t="str">
        <f aca="false">IF(ISBLANK($C278),"",OR($AN278="",$AO278="",$AP278=""))</f>
        <v/>
      </c>
      <c r="CO278" s="100" t="str">
        <f aca="false">IF(ISBLANK($C278),"",AND($AL278,$BA278=""))</f>
        <v/>
      </c>
      <c r="CP278" s="100" t="str">
        <f aca="false">IF(ISBLANK($C278),"",AND($AL278,$BB278=""))</f>
        <v/>
      </c>
      <c r="CQ278" s="100" t="str">
        <f aca="false">IF(ISBLANK($C278),"",AND($AL278,$BC278=""))</f>
        <v/>
      </c>
      <c r="CR278" s="100" t="str">
        <f aca="false">IF(ISBLANK($C278),"",AND($AL278,$BF278=""))</f>
        <v/>
      </c>
      <c r="CS278" s="100" t="str">
        <f aca="false">IF(ISBLANK($C278),"",AND($AL278,$BJ278=""))</f>
        <v/>
      </c>
      <c r="CT278" s="101"/>
      <c r="CU278" s="102"/>
      <c r="CV278" s="103" t="str">
        <f aca="false">IF(ISBLANK($C278),"",IF($BL278=Constants!$B$8,$CM278,""))</f>
        <v/>
      </c>
      <c r="CW278" s="102" t="str">
        <f aca="false">IF(ISBLANK($C278),"",IF($BL278&lt;&gt;Constants!$B$4,"",$BO278+$BP278))</f>
        <v/>
      </c>
      <c r="CX278" s="104" t="str">
        <f aca="false">IF(ISBLANK($C278),"",IF($BL278&lt;&gt;Constants!$B$4,"",$BQ278+$BR278+$BS278))</f>
        <v/>
      </c>
      <c r="CY278" s="104" t="str">
        <f aca="false">IF(ISBLANK($C278),"",IF($BL278&lt;&gt;Constants!$B$4,"",$BT278))</f>
        <v/>
      </c>
      <c r="CZ278" s="104" t="str">
        <f aca="false">IF(ISBLANK($C278),"",IF($BL278&lt;&gt;Constants!$B$4,"",$BU278+$BV278))</f>
        <v/>
      </c>
      <c r="DA278" s="104" t="str">
        <f aca="false">IF(ISBLANK($C278),"",IF($BL278&lt;&gt;Constants!$B$4,"",$BW278))</f>
        <v/>
      </c>
      <c r="DB278" s="104" t="str">
        <f aca="false">IF(ISBLANK($C278),"",IF($BL278&lt;&gt;Constants!$B$4,"",-$CD278))</f>
        <v/>
      </c>
      <c r="DC278" s="103" t="str">
        <f aca="false">IF(ISBLANK($C278),"",$CE278)</f>
        <v/>
      </c>
      <c r="DD278" s="105" t="str">
        <f aca="false">IF(ISBLANK($C278),"",$BM278)</f>
        <v/>
      </c>
      <c r="DE278" s="104" t="str">
        <f aca="false">IF(ISBLANK($C278),"",$CL278)</f>
        <v/>
      </c>
      <c r="DF278" s="104" t="str">
        <f aca="false">IF(ISBLANK($C278),"",$CK278)</f>
        <v/>
      </c>
      <c r="DG278" s="106" t="str">
        <f aca="false">IF(ISBLANK($C278),"",IF($DF278=Constants!$B$7,COUNTA($C$9:$C$508)+2,IF($DF278=Constants!$B$6,COUNTA($C$9:$C$508)+1,IF($DF278=Constants!$B$5,COUNTA($C$9:$C$508),$DF278))))</f>
        <v/>
      </c>
      <c r="DH278" s="7"/>
      <c r="DI278" s="107" t="n">
        <f aca="false">IF(OR(ISNUMBER($DF278),$DF278=Constants!$B$7,$DF278=Constants!$B$5,$DF278=Constants!$B$6),1,0)</f>
        <v>0</v>
      </c>
      <c r="DJ278" s="107" t="n">
        <v>270</v>
      </c>
      <c r="DK278" s="107" t="str">
        <f aca="false">IF(ISBLANK($C278),"",IF(ISNUMBER($DG278),$DG278+ROW($B278)/1000,""))</f>
        <v/>
      </c>
      <c r="DL278" s="107" t="str">
        <f aca="false">IF(ISNUMBER($DK278),RANK($DK278,$DK$9:$DK$508,1),"")</f>
        <v/>
      </c>
      <c r="DM278" s="107" t="str">
        <f aca="false">IF(ISBLANK($C278),"",$B278)</f>
        <v/>
      </c>
      <c r="DN278" s="107" t="str">
        <f aca="false">IF(ISBLANK($C278),"",$C278)</f>
        <v/>
      </c>
      <c r="DO278" s="107" t="str">
        <f aca="false">IF(ISBLANK($C278),"",$D278)</f>
        <v/>
      </c>
      <c r="DP278" s="108" t="str">
        <f aca="false">$DD278</f>
        <v/>
      </c>
      <c r="DQ278" s="109" t="str">
        <f aca="false">$DC278</f>
        <v/>
      </c>
      <c r="DR278" s="107" t="str">
        <f aca="false">IF(ISBLANK($C278),"",$DF278)</f>
        <v/>
      </c>
      <c r="DS278" s="110" t="str">
        <f aca="false">IF($DJ278&gt;$DI$8,"",VLOOKUP($DJ278,$DL$9:$DR$508,7,FALSE()))</f>
        <v/>
      </c>
      <c r="DT278" s="111" t="str">
        <f aca="false">IF($DJ278&gt;$DI$8,"",VLOOKUP($DJ278,$DL$9:$DR$508,2,FALSE()))</f>
        <v/>
      </c>
      <c r="DU278" s="111" t="str">
        <f aca="false">IF($DJ278&gt;$DI$8,"",VLOOKUP($DJ278,$DL$9:$DR$508,3,FALSE()))</f>
        <v/>
      </c>
      <c r="DV278" s="111" t="str">
        <f aca="false">IF($DJ278&gt;$DI$8,"",VLOOKUP($DJ278,$DL$9:$DR$508,4,FALSE()))</f>
        <v/>
      </c>
      <c r="DW278" s="111" t="str">
        <f aca="false">IF($DJ278&gt;$DI$8,"",VLOOKUP($DJ278,$DL$9:$DR$508,5,FALSE()))</f>
        <v/>
      </c>
      <c r="DX278" s="112" t="str">
        <f aca="false">IF($DJ278&gt;$DI$8,"",VLOOKUP($DJ278,$DL$9:$DR$508,6,FALSE()))</f>
        <v/>
      </c>
      <c r="DY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88"/>
      <c r="N279" s="88"/>
      <c r="O279" s="134"/>
      <c r="P279" s="134"/>
      <c r="Q279" s="88"/>
      <c r="R279" s="88"/>
      <c r="S279" s="88"/>
      <c r="T279" s="88"/>
      <c r="U279" s="134"/>
      <c r="V279" s="88"/>
      <c r="W279" s="70"/>
      <c r="X279" s="88"/>
      <c r="Y279" s="88"/>
      <c r="Z279" s="70"/>
      <c r="AA279" s="70"/>
      <c r="AB279" s="88"/>
      <c r="AC279" s="88"/>
      <c r="AD279" s="88"/>
      <c r="AE279" s="71"/>
      <c r="AF279" s="88"/>
      <c r="AG279" s="73"/>
      <c r="AH279" s="74"/>
      <c r="AI279" s="74"/>
      <c r="AJ279" s="74" t="str">
        <f aca="false">IF(ISBLANK($C279),"",IF($E279=Constants!$B$2,TRUE(),IF($E279=Constants!$B$3,FALSE(),TRUE())))</f>
        <v/>
      </c>
      <c r="AK279" s="74" t="str">
        <f aca="false">IF(ISBLANK($C279),"",IF($F279=Constants!$B$2,TRUE(),IF($F279=Constants!$B$3,FALSE(),FALSE())))</f>
        <v/>
      </c>
      <c r="AL279" s="74" t="str">
        <f aca="false">IF(ISBLANK($C279),"",IF($G279=Constants!$B$2,TRUE(),IF($G279=Constants!$B$3,FALSE(),TRUE())))</f>
        <v/>
      </c>
      <c r="AM279" s="74" t="str">
        <f aca="false">IF(ISBLANK($C279),"",IF($H279=Constants!$B$2,TRUE(),IF($H279=Constants!$B$3,FALSE(),TRUE())))</f>
        <v/>
      </c>
      <c r="AN279" s="74" t="str">
        <f aca="false">IF(ISBLANK($C279),"",IF(ISNUMBER($I279),IF($I279&gt;=0,$I279,""),""))</f>
        <v/>
      </c>
      <c r="AO279" s="74" t="str">
        <f aca="false">IF(ISBLANK($C279),"",IF(ISNUMBER($J279),IF($J279&gt;=0,$J279,""),""))</f>
        <v/>
      </c>
      <c r="AP279" s="74" t="str">
        <f aca="false">IF(ISBLANK($C279),"",IF(ISNUMBER($K279),IF($K279&gt;=0,$K279,""),""))</f>
        <v/>
      </c>
      <c r="AQ279" s="74" t="str">
        <f aca="false">IF(ISBLANK($C279),"",IF($L279=Constants!$B$2,TRUE(),IF($L279=Constants!$B$3,FALSE(),TRUE())))</f>
        <v/>
      </c>
      <c r="AR279" s="74" t="str">
        <f aca="false">IF(ISBLANK($C279),"",IF($M279=Constants!$B$2,TRUE(),IF($M279=Constants!$B$3,FALSE(),TRUE())))</f>
        <v/>
      </c>
      <c r="AS279" s="74" t="str">
        <f aca="false">IF(ISBLANK($C279),"",IF($N279=Constants!$B$2,TRUE(),IF($N279=Constants!$B$3,FALSE(),FALSE())))</f>
        <v/>
      </c>
      <c r="AT279" s="74" t="str">
        <f aca="false">IF(ISBLANK($C279),"",IF($O279=Constants!$B$2,TRUE(),IF($O279=Constants!$B$3,FALSE(),TRUE())))</f>
        <v/>
      </c>
      <c r="AU279" s="74" t="str">
        <f aca="false">IF(ISBLANK($C279),"",IF($P279=Constants!$B$2,TRUE(),IF($P279=Constants!$B$3,FALSE(),TRUE())))</f>
        <v/>
      </c>
      <c r="AV279" s="74" t="str">
        <f aca="false">IF(ISBLANK($C279),"",IF($Q279=Constants!$B$2,TRUE(),IF($Q279=Constants!$B$3,FALSE(),FALSE())))</f>
        <v/>
      </c>
      <c r="AW279" s="74" t="str">
        <f aca="false">IF(ISBLANK($C279),"",IF($R279=Constants!$B$2,TRUE(),IF($R279=Constants!$B$3,FALSE(),FALSE())))</f>
        <v/>
      </c>
      <c r="AX279" s="74" t="str">
        <f aca="false">IF(ISBLANK($C279),"",IF($S279=Constants!$B$2,TRUE(),IF($S279=Constants!$B$3,FALSE(),FALSE())))</f>
        <v/>
      </c>
      <c r="AY279" s="74" t="str">
        <f aca="false">IF(ISBLANK($C279),"",IF($T279=Constants!$B$2,TRUE(),IF($T279=Constants!$B$3,FALSE(),FALSE())))</f>
        <v/>
      </c>
      <c r="AZ279" s="74" t="str">
        <f aca="false">IF(ISBLANK($C279),"",IF($U279=Constants!$B$2,TRUE(),IF($U279=Constants!$B$3,FALSE(),FALSE())))</f>
        <v/>
      </c>
      <c r="BA279" s="74" t="str">
        <f aca="false">IF(ISBLANK($C279),"",IF(OR($V279&amp;""="1",$V279&amp;""="2",$V279&amp;""="3",$V279&amp;""="4"),VALUE($V279&amp;""),IF($V279=Constants!$B$12,Constants!$B$12,"")))</f>
        <v/>
      </c>
      <c r="BB279" s="74" t="str">
        <f aca="false">IF(ISBLANK($C279),"",IF(ISBLANK($W279),0,IF(ISNUMBER($W279),IF(AND($W279&gt;=0,$W279&lt;=Constants!$B$21,$W279=INT($W279)),$W279,""),"")))</f>
        <v/>
      </c>
      <c r="BC279" s="74" t="str">
        <f aca="false">IF(ISBLANK($C279),"",IF(ISBLANK($X279),0,IF(ISNUMBER($X279),IF($X279&gt;=0,$X279,""),"")))</f>
        <v/>
      </c>
      <c r="BD279" s="74" t="str">
        <f aca="false">IF(ISBLANK($C279),"",IF($Y279=Constants!$B$2,TRUE(),IF($Y279=Constants!$B$3,FALSE(),TRUE())))</f>
        <v/>
      </c>
      <c r="BE279" s="74" t="str">
        <f aca="false">IF(ISBLANK($C279),"",IF($Z279=Constants!$B$2,TRUE(),IF($Z279=Constants!$B$3,FALSE(),FALSE())))</f>
        <v/>
      </c>
      <c r="BF279" s="74" t="str">
        <f aca="false">IF(ISBLANK($C279),"",IF(ISBLANK($AA279),0,IF(ISNUMBER($AA279),IF(AND($AA279&gt;=0,$AA279&lt;=Constants!$B$35,$AA279=INT($AA279)),$AA279,""),"")))</f>
        <v/>
      </c>
      <c r="BG279" s="74" t="str">
        <f aca="false">IF(ISBLANK($C279),"",IF($AB279=Constants!$B$2,TRUE(),IF($AB279=Constants!$B$3,FALSE(),TRUE())))</f>
        <v/>
      </c>
      <c r="BH279" s="74" t="str">
        <f aca="false">IF(ISBLANK($C279),"",IF($AC279=Constants!$B$2,TRUE(),IF($AC279=Constants!$B$3,FALSE(),TRUE())))</f>
        <v/>
      </c>
      <c r="BI279" s="74" t="str">
        <f aca="false">IF(ISBLANK($C279),"",IF($AD279=Constants!$B$2,TRUE(),IF($AD279=Constants!$B$3,FALSE(),TRUE())))</f>
        <v/>
      </c>
      <c r="BJ279" s="74" t="str">
        <f aca="false">IF(ISBLANK($C279),"",IF(ISNUMBER($AE279),IF($AE279&gt;=0,$AE279,""),""))</f>
        <v/>
      </c>
      <c r="BK279" s="74" t="str">
        <f aca="false">IF(ISBLANK($C279),"",IF($AF279=Constants!$B$2,TRUE(),IF($AF279=Constants!$B$3,FALSE(),FALSE())))</f>
        <v/>
      </c>
      <c r="BL279" s="73" t="str">
        <f aca="false">IF(ISBLANK($C279),"",IF($BK279,Constants!$B$7,IF(COUNTA($E279:$AE279)=0,Constants!$B$6,IF(OR(COUNTA($G279:$AE279)=0,NOT($AM279),$AS279),Constants!$B$5,IF(OR($CM279&lt;&gt;"",$CN279,$CO279,$CP279,$CQ279,$CR279,$CS279),Constants!$B$8,Constants!$B$4)))))</f>
        <v/>
      </c>
      <c r="BM279" s="74" t="str">
        <f aca="false">IF(ISBLANK($C279),"",IF($BL279&lt;&gt;Constants!$B$4,$BL279,IF(OR(NOT($AJ279),NOT($AL279),NOT($AT279)),Constants!$B$11,IF(OR(NOT($AR279),NOT($AU279),NOT($BI279),MAX($AN279,$AO279,$AP279)&gt;Constants!$B$30),Constants!$B$10,Constants!$B$9))))</f>
        <v/>
      </c>
      <c r="BN279" s="74" t="str">
        <f aca="false">IF($BL279&lt;&gt;Constants!$B$4,"",IF(NOT($AL279),0,MIN(Constants!$B$35,$BF279)))</f>
        <v/>
      </c>
      <c r="BO279" s="74" t="str">
        <f aca="false">IF($BL279&lt;&gt;Constants!$B$4,"",IF(NOT($AL279),0,IF($AW279,Constants!$B$18,IF($AV279,Constants!$B$17,0))))</f>
        <v/>
      </c>
      <c r="BP279" s="74" t="str">
        <f aca="false">IF($BL279&lt;&gt;Constants!$B$4,"",IF(NOT($AL279),0,Constants!$B$19*($AK279+$AX279+$AY279+$AZ279)))</f>
        <v/>
      </c>
      <c r="BQ279" s="74" t="str">
        <f aca="false">IF($BL279&lt;&gt;Constants!$B$4,"",IF(OR(NOT($AL279),NOT(ISNUMBER($BA279))),0,CHOOSE($BA279,Constants!$B$13,Constants!$B$14,Constants!$B$15,Constants!$B$16)))</f>
        <v/>
      </c>
      <c r="BR279" s="74" t="str">
        <f aca="false">IF($BL279&lt;&gt;Constants!$B$4,"",IF(NOT($AL279),0,Constants!$B$20*$BB279))</f>
        <v/>
      </c>
      <c r="BS279" s="74" t="str">
        <f aca="false">IF($BL279&lt;&gt;Constants!$B$4,"",IF(AND($AL279,$BD279,$BE279),Constants!$B$22,0))</f>
        <v/>
      </c>
      <c r="BT279" s="74" t="str">
        <f aca="false">IF($BL279&lt;&gt;Constants!$B$4,"",IF(OR(NOT($AL279),NOT($BD279)),0,IF($BJ279&gt;=2*$AH$9,0,Constants!$B$23*INT(ROUND(MIN($BJ279,$AH$9),6)))))</f>
        <v/>
      </c>
      <c r="BU279" s="74" t="str">
        <f aca="false">IF($BL279&lt;&gt;Constants!$B$4,"",IF(NOT($AL279),0,Constants!$B$24*INT(ROUND(MIN($BC279,$AH$9),6))))</f>
        <v/>
      </c>
      <c r="BV279" s="74" t="str">
        <f aca="false">IF($BL279&lt;&gt;Constants!$B$4,"",IF(AND($AL279,$BN279=0),Constants!$B$25,0))</f>
        <v/>
      </c>
      <c r="BW279" s="74" t="str">
        <f aca="false">IF($BL279&lt;&gt;Constants!$B$4,"",MIN(Constants!$B$29,MAX(0,Constants!$B$27*Constants!$B$28*INT(ROUND((Constants!$B$26-$AN279)/Constants!$B$28,6))))+MIN(Constants!$B$29,MAX(0,Constants!$B$27*Constants!$B$28*INT(ROUND((Constants!$B$26-$AO279)/Constants!$B$28,6))))+MIN(Constants!$B$29,MAX(0,Constants!$B$27*Constants!$B$28*INT(ROUND((Constants!$B$26-$AP279)/Constants!$B$28,6)))))</f>
        <v/>
      </c>
      <c r="BX279" s="74" t="str">
        <f aca="false">IF($BL279&lt;&gt;Constants!$B$4,"",IF(NOT($AL279),0,Constants!$B$31*INT(ROUND(MAX(0,MIN($BJ279,2*$AH$9)-$AH$9),6))))</f>
        <v/>
      </c>
      <c r="BY279" s="74" t="str">
        <f aca="false">IF($BL279&lt;&gt;Constants!$B$4,"",Constants!$B$32*(($AN279&gt;Constants!$B$26)+($AO279&gt;Constants!$B$26)+($AP279&gt;Constants!$B$26)))</f>
        <v/>
      </c>
      <c r="BZ279" s="74" t="str">
        <f aca="false">IF($BL279&lt;&gt;Constants!$B$4,"",IF(OR(NOT($AL279),$AQ279),0,Constants!$B$33))</f>
        <v/>
      </c>
      <c r="CA279" s="74" t="str">
        <f aca="false">IF($BL279&lt;&gt;Constants!$B$4,"",Constants!$B$34*$BN279)</f>
        <v/>
      </c>
      <c r="CB279" s="74" t="str">
        <f aca="false">IF($BL279&lt;&gt;Constants!$B$4,"",IF(OR(NOT($AL279),$BH279),0,Constants!$B$36))</f>
        <v/>
      </c>
      <c r="CC279" s="74" t="str">
        <f aca="false">IF($BL279&lt;&gt;Constants!$B$4,"",IF(OR(NOT($AL279),$BG279),0,Constants!$B$37))</f>
        <v/>
      </c>
      <c r="CD279" s="74" t="str">
        <f aca="false">IF($BL279&lt;&gt;Constants!$B$4,"",SUM($BX279:$CC279))</f>
        <v/>
      </c>
      <c r="CE279" s="74" t="str">
        <f aca="false">IF(ISBLANK($C279),"",IF($BL279&lt;&gt;Constants!$B$4,$BL279,SUM($BO279:$BW279)-$CD279))</f>
        <v/>
      </c>
      <c r="CF279" s="74" t="str">
        <f aca="false">IF(ISBLANK($C279),"",IF($BL279&lt;&gt;Constants!$B$4,$BL279,RANK($CE279,$CE$9:$CE$508)))</f>
        <v/>
      </c>
      <c r="CG279" s="74" t="str">
        <f aca="false">IF(ISBLANK($C279),"",IF($BL279&lt;&gt;Constants!$B$4,$BL279,COUNTIFS($BM$9:$BM$508,"&lt;"&amp;$BM279)+COUNTIFS($BM$9:$BM$508,$BM279,$CF$9:$CF$508,"&lt;"&amp;$CF279)+1))</f>
        <v/>
      </c>
      <c r="CH279" s="74" t="str">
        <f aca="false">IF(ISBLANK($C279),"",IF($BL279&lt;&gt;Constants!$B$4,$BL279,RANK($CD279,$CD$9:$CD$508,1)))</f>
        <v/>
      </c>
      <c r="CI279" s="74" t="str">
        <f aca="false">IF($BL279&lt;&gt;Constants!$B$4,"",$AN279+$AO279+$AP279)</f>
        <v/>
      </c>
      <c r="CJ279" s="74" t="str">
        <f aca="false">IF(ISBLANK($C279),"",IF($BL279&lt;&gt;Constants!$B$4,$BL279,RANK($CI279,$CI$9:$CI$508,1)))</f>
        <v/>
      </c>
      <c r="CK279" s="74" t="str">
        <f aca="false">IF(ISBLANK($C279),"",IF($BL279&lt;&gt;Constants!$B$4,$BL279,COUNTIFS($BM$9:$BM$508,"&lt;"&amp;$BM279)+COUNTIFS($BM$9:$BM$508,$BM279,$CF$9:$CF$508,"&lt;"&amp;$CF279)+COUNTIFS($BM$9:$BM$508,$BM279,$CF$9:$CF$508,$CF279,$CH$9:$CH$508,"&lt;"&amp;$CH279)+COUNTIFS($BM$9:$BM$508,$BM279,$CF$9:$CF$508,$CF279,$CH$9:$CH$508,$CH279,$CJ$9:$CJ$508,"&lt;"&amp;$CJ279)+1))</f>
        <v/>
      </c>
      <c r="CL279" s="74" t="str">
        <f aca="false">IF(ISBLANK($C279),"",IF($BL279&lt;&gt;Constants!$B$4,$BL279,$CG279-$CK279))</f>
        <v/>
      </c>
      <c r="CM279" s="74" t="str">
        <f aca="false">IF(ISBLANK($C279),"",IF(NOT($AL279),"",IF(ISBLANK($D$7),$CM$5,IF(NOT(ISNUMBER($D$7)),$CM$6,""))))</f>
        <v/>
      </c>
      <c r="CN279" s="74" t="str">
        <f aca="false">IF(ISBLANK($C279),"",OR($AN279="",$AO279="",$AP279=""))</f>
        <v/>
      </c>
      <c r="CO279" s="74" t="str">
        <f aca="false">IF(ISBLANK($C279),"",AND($AL279,$BA279=""))</f>
        <v/>
      </c>
      <c r="CP279" s="74" t="str">
        <f aca="false">IF(ISBLANK($C279),"",AND($AL279,$BB279=""))</f>
        <v/>
      </c>
      <c r="CQ279" s="74" t="str">
        <f aca="false">IF(ISBLANK($C279),"",AND($AL279,$BC279=""))</f>
        <v/>
      </c>
      <c r="CR279" s="74" t="str">
        <f aca="false">IF(ISBLANK($C279),"",AND($AL279,$BF279=""))</f>
        <v/>
      </c>
      <c r="CS279" s="74" t="str">
        <f aca="false">IF(ISBLANK($C279),"",AND($AL279,$BJ279=""))</f>
        <v/>
      </c>
      <c r="CT279" s="75"/>
      <c r="CU279" s="76"/>
      <c r="CV279" s="79" t="str">
        <f aca="false">IF(ISBLANK($C279),"",IF($BL279=Constants!$B$8,$CM279,""))</f>
        <v/>
      </c>
      <c r="CW279" s="76" t="str">
        <f aca="false">IF(ISBLANK($C279),"",IF($BL279&lt;&gt;Constants!$B$4,"",$BO279+$BP279))</f>
        <v/>
      </c>
      <c r="CX279" s="78" t="str">
        <f aca="false">IF(ISBLANK($C279),"",IF($BL279&lt;&gt;Constants!$B$4,"",$BQ279+$BR279+$BS279))</f>
        <v/>
      </c>
      <c r="CY279" s="78" t="str">
        <f aca="false">IF(ISBLANK($C279),"",IF($BL279&lt;&gt;Constants!$B$4,"",$BT279))</f>
        <v/>
      </c>
      <c r="CZ279" s="78" t="str">
        <f aca="false">IF(ISBLANK($C279),"",IF($BL279&lt;&gt;Constants!$B$4,"",$BU279+$BV279))</f>
        <v/>
      </c>
      <c r="DA279" s="78" t="str">
        <f aca="false">IF(ISBLANK($C279),"",IF($BL279&lt;&gt;Constants!$B$4,"",$BW279))</f>
        <v/>
      </c>
      <c r="DB279" s="78" t="str">
        <f aca="false">IF(ISBLANK($C279),"",IF($BL279&lt;&gt;Constants!$B$4,"",-$CD279))</f>
        <v/>
      </c>
      <c r="DC279" s="79" t="str">
        <f aca="false">IF(ISBLANK($C279),"",$CE279)</f>
        <v/>
      </c>
      <c r="DD279" s="80" t="str">
        <f aca="false">IF(ISBLANK($C279),"",$BM279)</f>
        <v/>
      </c>
      <c r="DE279" s="78" t="str">
        <f aca="false">IF(ISBLANK($C279),"",$CL279)</f>
        <v/>
      </c>
      <c r="DF279" s="78" t="str">
        <f aca="false">IF(ISBLANK($C279),"",$CK279)</f>
        <v/>
      </c>
      <c r="DG279" s="81" t="str">
        <f aca="false">IF(ISBLANK($C279),"",IF($DF279=Constants!$B$7,COUNTA($C$9:$C$508)+2,IF($DF279=Constants!$B$6,COUNTA($C$9:$C$508)+1,IF($DF279=Constants!$B$5,COUNTA($C$9:$C$508),$DF279))))</f>
        <v/>
      </c>
      <c r="DH279" s="7"/>
      <c r="DI279" s="82" t="n">
        <f aca="false">IF(OR(ISNUMBER($DF279),$DF279=Constants!$B$7,$DF279=Constants!$B$5,$DF279=Constants!$B$6),1,0)</f>
        <v>0</v>
      </c>
      <c r="DJ279" s="82" t="n">
        <v>271</v>
      </c>
      <c r="DK279" s="82" t="str">
        <f aca="false">IF(ISBLANK($C279),"",IF(ISNUMBER($DG279),$DG279+ROW($B279)/1000,""))</f>
        <v/>
      </c>
      <c r="DL279" s="82" t="str">
        <f aca="false">IF(ISNUMBER($DK279),RANK($DK279,$DK$9:$DK$508,1),"")</f>
        <v/>
      </c>
      <c r="DM279" s="82" t="str">
        <f aca="false">IF(ISBLANK($C279),"",$B279)</f>
        <v/>
      </c>
      <c r="DN279" s="82" t="str">
        <f aca="false">IF(ISBLANK($C279),"",$C279)</f>
        <v/>
      </c>
      <c r="DO279" s="82" t="str">
        <f aca="false">IF(ISBLANK($C279),"",$D279)</f>
        <v/>
      </c>
      <c r="DP279" s="83" t="str">
        <f aca="false">$DD279</f>
        <v/>
      </c>
      <c r="DQ279" s="84" t="str">
        <f aca="false">$DC279</f>
        <v/>
      </c>
      <c r="DR279" s="82" t="str">
        <f aca="false">IF(ISBLANK($C279),"",$DF279)</f>
        <v/>
      </c>
      <c r="DS279" s="85" t="str">
        <f aca="false">IF($DJ279&gt;$DI$8,"",VLOOKUP($DJ279,$DL$9:$DR$508,7,FALSE()))</f>
        <v/>
      </c>
      <c r="DT279" s="86" t="str">
        <f aca="false">IF($DJ279&gt;$DI$8,"",VLOOKUP($DJ279,$DL$9:$DR$508,2,FALSE()))</f>
        <v/>
      </c>
      <c r="DU279" s="86" t="str">
        <f aca="false">IF($DJ279&gt;$DI$8,"",VLOOKUP($DJ279,$DL$9:$DR$508,3,FALSE()))</f>
        <v/>
      </c>
      <c r="DV279" s="86" t="str">
        <f aca="false">IF($DJ279&gt;$DI$8,"",VLOOKUP($DJ279,$DL$9:$DR$508,4,FALSE()))</f>
        <v/>
      </c>
      <c r="DW279" s="86" t="str">
        <f aca="false">IF($DJ279&gt;$DI$8,"",VLOOKUP($DJ279,$DL$9:$DR$508,5,FALSE()))</f>
        <v/>
      </c>
      <c r="DX279" s="87" t="str">
        <f aca="false">IF($DJ279&gt;$DI$8,"",VLOOKUP($DJ279,$DL$9:$DR$508,6,FALSE()))</f>
        <v/>
      </c>
      <c r="DY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88"/>
      <c r="N280" s="88"/>
      <c r="O280" s="134"/>
      <c r="P280" s="134"/>
      <c r="Q280" s="88"/>
      <c r="R280" s="88"/>
      <c r="S280" s="88"/>
      <c r="T280" s="88"/>
      <c r="U280" s="134"/>
      <c r="V280" s="88"/>
      <c r="W280" s="70"/>
      <c r="X280" s="88"/>
      <c r="Y280" s="88"/>
      <c r="Z280" s="70"/>
      <c r="AA280" s="70"/>
      <c r="AB280" s="88"/>
      <c r="AC280" s="88"/>
      <c r="AD280" s="88"/>
      <c r="AE280" s="71"/>
      <c r="AF280" s="88"/>
      <c r="AG280" s="73"/>
      <c r="AH280" s="74"/>
      <c r="AI280" s="74"/>
      <c r="AJ280" s="74" t="str">
        <f aca="false">IF(ISBLANK($C280),"",IF($E280=Constants!$B$2,TRUE(),IF($E280=Constants!$B$3,FALSE(),TRUE())))</f>
        <v/>
      </c>
      <c r="AK280" s="74" t="str">
        <f aca="false">IF(ISBLANK($C280),"",IF($F280=Constants!$B$2,TRUE(),IF($F280=Constants!$B$3,FALSE(),FALSE())))</f>
        <v/>
      </c>
      <c r="AL280" s="74" t="str">
        <f aca="false">IF(ISBLANK($C280),"",IF($G280=Constants!$B$2,TRUE(),IF($G280=Constants!$B$3,FALSE(),TRUE())))</f>
        <v/>
      </c>
      <c r="AM280" s="74" t="str">
        <f aca="false">IF(ISBLANK($C280),"",IF($H280=Constants!$B$2,TRUE(),IF($H280=Constants!$B$3,FALSE(),TRUE())))</f>
        <v/>
      </c>
      <c r="AN280" s="74" t="str">
        <f aca="false">IF(ISBLANK($C280),"",IF(ISNUMBER($I280),IF($I280&gt;=0,$I280,""),""))</f>
        <v/>
      </c>
      <c r="AO280" s="74" t="str">
        <f aca="false">IF(ISBLANK($C280),"",IF(ISNUMBER($J280),IF($J280&gt;=0,$J280,""),""))</f>
        <v/>
      </c>
      <c r="AP280" s="74" t="str">
        <f aca="false">IF(ISBLANK($C280),"",IF(ISNUMBER($K280),IF($K280&gt;=0,$K280,""),""))</f>
        <v/>
      </c>
      <c r="AQ280" s="74" t="str">
        <f aca="false">IF(ISBLANK($C280),"",IF($L280=Constants!$B$2,TRUE(),IF($L280=Constants!$B$3,FALSE(),TRUE())))</f>
        <v/>
      </c>
      <c r="AR280" s="74" t="str">
        <f aca="false">IF(ISBLANK($C280),"",IF($M280=Constants!$B$2,TRUE(),IF($M280=Constants!$B$3,FALSE(),TRUE())))</f>
        <v/>
      </c>
      <c r="AS280" s="74" t="str">
        <f aca="false">IF(ISBLANK($C280),"",IF($N280=Constants!$B$2,TRUE(),IF($N280=Constants!$B$3,FALSE(),FALSE())))</f>
        <v/>
      </c>
      <c r="AT280" s="74" t="str">
        <f aca="false">IF(ISBLANK($C280),"",IF($O280=Constants!$B$2,TRUE(),IF($O280=Constants!$B$3,FALSE(),TRUE())))</f>
        <v/>
      </c>
      <c r="AU280" s="74" t="str">
        <f aca="false">IF(ISBLANK($C280),"",IF($P280=Constants!$B$2,TRUE(),IF($P280=Constants!$B$3,FALSE(),TRUE())))</f>
        <v/>
      </c>
      <c r="AV280" s="74" t="str">
        <f aca="false">IF(ISBLANK($C280),"",IF($Q280=Constants!$B$2,TRUE(),IF($Q280=Constants!$B$3,FALSE(),FALSE())))</f>
        <v/>
      </c>
      <c r="AW280" s="74" t="str">
        <f aca="false">IF(ISBLANK($C280),"",IF($R280=Constants!$B$2,TRUE(),IF($R280=Constants!$B$3,FALSE(),FALSE())))</f>
        <v/>
      </c>
      <c r="AX280" s="74" t="str">
        <f aca="false">IF(ISBLANK($C280),"",IF($S280=Constants!$B$2,TRUE(),IF($S280=Constants!$B$3,FALSE(),FALSE())))</f>
        <v/>
      </c>
      <c r="AY280" s="74" t="str">
        <f aca="false">IF(ISBLANK($C280),"",IF($T280=Constants!$B$2,TRUE(),IF($T280=Constants!$B$3,FALSE(),FALSE())))</f>
        <v/>
      </c>
      <c r="AZ280" s="74" t="str">
        <f aca="false">IF(ISBLANK($C280),"",IF($U280=Constants!$B$2,TRUE(),IF($U280=Constants!$B$3,FALSE(),FALSE())))</f>
        <v/>
      </c>
      <c r="BA280" s="74" t="str">
        <f aca="false">IF(ISBLANK($C280),"",IF(OR($V280&amp;""="1",$V280&amp;""="2",$V280&amp;""="3",$V280&amp;""="4"),VALUE($V280&amp;""),IF($V280=Constants!$B$12,Constants!$B$12,"")))</f>
        <v/>
      </c>
      <c r="BB280" s="74" t="str">
        <f aca="false">IF(ISBLANK($C280),"",IF(ISBLANK($W280),0,IF(ISNUMBER($W280),IF(AND($W280&gt;=0,$W280&lt;=Constants!$B$21,$W280=INT($W280)),$W280,""),"")))</f>
        <v/>
      </c>
      <c r="BC280" s="74" t="str">
        <f aca="false">IF(ISBLANK($C280),"",IF(ISBLANK($X280),0,IF(ISNUMBER($X280),IF($X280&gt;=0,$X280,""),"")))</f>
        <v/>
      </c>
      <c r="BD280" s="74" t="str">
        <f aca="false">IF(ISBLANK($C280),"",IF($Y280=Constants!$B$2,TRUE(),IF($Y280=Constants!$B$3,FALSE(),TRUE())))</f>
        <v/>
      </c>
      <c r="BE280" s="74" t="str">
        <f aca="false">IF(ISBLANK($C280),"",IF($Z280=Constants!$B$2,TRUE(),IF($Z280=Constants!$B$3,FALSE(),FALSE())))</f>
        <v/>
      </c>
      <c r="BF280" s="74" t="str">
        <f aca="false">IF(ISBLANK($C280),"",IF(ISBLANK($AA280),0,IF(ISNUMBER($AA280),IF(AND($AA280&gt;=0,$AA280&lt;=Constants!$B$35,$AA280=INT($AA280)),$AA280,""),"")))</f>
        <v/>
      </c>
      <c r="BG280" s="74" t="str">
        <f aca="false">IF(ISBLANK($C280),"",IF($AB280=Constants!$B$2,TRUE(),IF($AB280=Constants!$B$3,FALSE(),TRUE())))</f>
        <v/>
      </c>
      <c r="BH280" s="74" t="str">
        <f aca="false">IF(ISBLANK($C280),"",IF($AC280=Constants!$B$2,TRUE(),IF($AC280=Constants!$B$3,FALSE(),TRUE())))</f>
        <v/>
      </c>
      <c r="BI280" s="74" t="str">
        <f aca="false">IF(ISBLANK($C280),"",IF($AD280=Constants!$B$2,TRUE(),IF($AD280=Constants!$B$3,FALSE(),TRUE())))</f>
        <v/>
      </c>
      <c r="BJ280" s="74" t="str">
        <f aca="false">IF(ISBLANK($C280),"",IF(ISNUMBER($AE280),IF($AE280&gt;=0,$AE280,""),""))</f>
        <v/>
      </c>
      <c r="BK280" s="74" t="str">
        <f aca="false">IF(ISBLANK($C280),"",IF($AF280=Constants!$B$2,TRUE(),IF($AF280=Constants!$B$3,FALSE(),FALSE())))</f>
        <v/>
      </c>
      <c r="BL280" s="73" t="str">
        <f aca="false">IF(ISBLANK($C280),"",IF($BK280,Constants!$B$7,IF(COUNTA($E280:$AE280)=0,Constants!$B$6,IF(OR(COUNTA($G280:$AE280)=0,NOT($AM280),$AS280),Constants!$B$5,IF(OR($CM280&lt;&gt;"",$CN280,$CO280,$CP280,$CQ280,$CR280,$CS280),Constants!$B$8,Constants!$B$4)))))</f>
        <v/>
      </c>
      <c r="BM280" s="74" t="str">
        <f aca="false">IF(ISBLANK($C280),"",IF($BL280&lt;&gt;Constants!$B$4,$BL280,IF(OR(NOT($AJ280),NOT($AL280),NOT($AT280)),Constants!$B$11,IF(OR(NOT($AR280),NOT($AU280),NOT($BI280),MAX($AN280,$AO280,$AP280)&gt;Constants!$B$30),Constants!$B$10,Constants!$B$9))))</f>
        <v/>
      </c>
      <c r="BN280" s="74" t="str">
        <f aca="false">IF($BL280&lt;&gt;Constants!$B$4,"",IF(NOT($AL280),0,MIN(Constants!$B$35,$BF280)))</f>
        <v/>
      </c>
      <c r="BO280" s="74" t="str">
        <f aca="false">IF($BL280&lt;&gt;Constants!$B$4,"",IF(NOT($AL280),0,IF($AW280,Constants!$B$18,IF($AV280,Constants!$B$17,0))))</f>
        <v/>
      </c>
      <c r="BP280" s="74" t="str">
        <f aca="false">IF($BL280&lt;&gt;Constants!$B$4,"",IF(NOT($AL280),0,Constants!$B$19*($AK280+$AX280+$AY280+$AZ280)))</f>
        <v/>
      </c>
      <c r="BQ280" s="74" t="str">
        <f aca="false">IF($BL280&lt;&gt;Constants!$B$4,"",IF(OR(NOT($AL280),NOT(ISNUMBER($BA280))),0,CHOOSE($BA280,Constants!$B$13,Constants!$B$14,Constants!$B$15,Constants!$B$16)))</f>
        <v/>
      </c>
      <c r="BR280" s="74" t="str">
        <f aca="false">IF($BL280&lt;&gt;Constants!$B$4,"",IF(NOT($AL280),0,Constants!$B$20*$BB280))</f>
        <v/>
      </c>
      <c r="BS280" s="74" t="str">
        <f aca="false">IF($BL280&lt;&gt;Constants!$B$4,"",IF(AND($AL280,$BD280,$BE280),Constants!$B$22,0))</f>
        <v/>
      </c>
      <c r="BT280" s="74" t="str">
        <f aca="false">IF($BL280&lt;&gt;Constants!$B$4,"",IF(OR(NOT($AL280),NOT($BD280)),0,IF($BJ280&gt;=2*$AH$9,0,Constants!$B$23*INT(ROUND(MIN($BJ280,$AH$9),6)))))</f>
        <v/>
      </c>
      <c r="BU280" s="74" t="str">
        <f aca="false">IF($BL280&lt;&gt;Constants!$B$4,"",IF(NOT($AL280),0,Constants!$B$24*INT(ROUND(MIN($BC280,$AH$9),6))))</f>
        <v/>
      </c>
      <c r="BV280" s="74" t="str">
        <f aca="false">IF($BL280&lt;&gt;Constants!$B$4,"",IF(AND($AL280,$BN280=0),Constants!$B$25,0))</f>
        <v/>
      </c>
      <c r="BW280" s="74" t="str">
        <f aca="false">IF($BL280&lt;&gt;Constants!$B$4,"",MIN(Constants!$B$29,MAX(0,Constants!$B$27*Constants!$B$28*INT(ROUND((Constants!$B$26-$AN280)/Constants!$B$28,6))))+MIN(Constants!$B$29,MAX(0,Constants!$B$27*Constants!$B$28*INT(ROUND((Constants!$B$26-$AO280)/Constants!$B$28,6))))+MIN(Constants!$B$29,MAX(0,Constants!$B$27*Constants!$B$28*INT(ROUND((Constants!$B$26-$AP280)/Constants!$B$28,6)))))</f>
        <v/>
      </c>
      <c r="BX280" s="74" t="str">
        <f aca="false">IF($BL280&lt;&gt;Constants!$B$4,"",IF(NOT($AL280),0,Constants!$B$31*INT(ROUND(MAX(0,MIN($BJ280,2*$AH$9)-$AH$9),6))))</f>
        <v/>
      </c>
      <c r="BY280" s="74" t="str">
        <f aca="false">IF($BL280&lt;&gt;Constants!$B$4,"",Constants!$B$32*(($AN280&gt;Constants!$B$26)+($AO280&gt;Constants!$B$26)+($AP280&gt;Constants!$B$26)))</f>
        <v/>
      </c>
      <c r="BZ280" s="74" t="str">
        <f aca="false">IF($BL280&lt;&gt;Constants!$B$4,"",IF(OR(NOT($AL280),$AQ280),0,Constants!$B$33))</f>
        <v/>
      </c>
      <c r="CA280" s="74" t="str">
        <f aca="false">IF($BL280&lt;&gt;Constants!$B$4,"",Constants!$B$34*$BN280)</f>
        <v/>
      </c>
      <c r="CB280" s="74" t="str">
        <f aca="false">IF($BL280&lt;&gt;Constants!$B$4,"",IF(OR(NOT($AL280),$BH280),0,Constants!$B$36))</f>
        <v/>
      </c>
      <c r="CC280" s="74" t="str">
        <f aca="false">IF($BL280&lt;&gt;Constants!$B$4,"",IF(OR(NOT($AL280),$BG280),0,Constants!$B$37))</f>
        <v/>
      </c>
      <c r="CD280" s="74" t="str">
        <f aca="false">IF($BL280&lt;&gt;Constants!$B$4,"",SUM($BX280:$CC280))</f>
        <v/>
      </c>
      <c r="CE280" s="74" t="str">
        <f aca="false">IF(ISBLANK($C280),"",IF($BL280&lt;&gt;Constants!$B$4,$BL280,SUM($BO280:$BW280)-$CD280))</f>
        <v/>
      </c>
      <c r="CF280" s="74" t="str">
        <f aca="false">IF(ISBLANK($C280),"",IF($BL280&lt;&gt;Constants!$B$4,$BL280,RANK($CE280,$CE$9:$CE$508)))</f>
        <v/>
      </c>
      <c r="CG280" s="74" t="str">
        <f aca="false">IF(ISBLANK($C280),"",IF($BL280&lt;&gt;Constants!$B$4,$BL280,COUNTIFS($BM$9:$BM$508,"&lt;"&amp;$BM280)+COUNTIFS($BM$9:$BM$508,$BM280,$CF$9:$CF$508,"&lt;"&amp;$CF280)+1))</f>
        <v/>
      </c>
      <c r="CH280" s="74" t="str">
        <f aca="false">IF(ISBLANK($C280),"",IF($BL280&lt;&gt;Constants!$B$4,$BL280,RANK($CD280,$CD$9:$CD$508,1)))</f>
        <v/>
      </c>
      <c r="CI280" s="74" t="str">
        <f aca="false">IF($BL280&lt;&gt;Constants!$B$4,"",$AN280+$AO280+$AP280)</f>
        <v/>
      </c>
      <c r="CJ280" s="74" t="str">
        <f aca="false">IF(ISBLANK($C280),"",IF($BL280&lt;&gt;Constants!$B$4,$BL280,RANK($CI280,$CI$9:$CI$508,1)))</f>
        <v/>
      </c>
      <c r="CK280" s="74" t="str">
        <f aca="false">IF(ISBLANK($C280),"",IF($BL280&lt;&gt;Constants!$B$4,$BL280,COUNTIFS($BM$9:$BM$508,"&lt;"&amp;$BM280)+COUNTIFS($BM$9:$BM$508,$BM280,$CF$9:$CF$508,"&lt;"&amp;$CF280)+COUNTIFS($BM$9:$BM$508,$BM280,$CF$9:$CF$508,$CF280,$CH$9:$CH$508,"&lt;"&amp;$CH280)+COUNTIFS($BM$9:$BM$508,$BM280,$CF$9:$CF$508,$CF280,$CH$9:$CH$508,$CH280,$CJ$9:$CJ$508,"&lt;"&amp;$CJ280)+1))</f>
        <v/>
      </c>
      <c r="CL280" s="74" t="str">
        <f aca="false">IF(ISBLANK($C280),"",IF($BL280&lt;&gt;Constants!$B$4,$BL280,$CG280-$CK280))</f>
        <v/>
      </c>
      <c r="CM280" s="74" t="str">
        <f aca="false">IF(ISBLANK($C280),"",IF(NOT($AL280),"",IF(ISBLANK($D$7),$CM$5,IF(NOT(ISNUMBER($D$7)),$CM$6,""))))</f>
        <v/>
      </c>
      <c r="CN280" s="74" t="str">
        <f aca="false">IF(ISBLANK($C280),"",OR($AN280="",$AO280="",$AP280=""))</f>
        <v/>
      </c>
      <c r="CO280" s="74" t="str">
        <f aca="false">IF(ISBLANK($C280),"",AND($AL280,$BA280=""))</f>
        <v/>
      </c>
      <c r="CP280" s="74" t="str">
        <f aca="false">IF(ISBLANK($C280),"",AND($AL280,$BB280=""))</f>
        <v/>
      </c>
      <c r="CQ280" s="74" t="str">
        <f aca="false">IF(ISBLANK($C280),"",AND($AL280,$BC280=""))</f>
        <v/>
      </c>
      <c r="CR280" s="74" t="str">
        <f aca="false">IF(ISBLANK($C280),"",AND($AL280,$BF280=""))</f>
        <v/>
      </c>
      <c r="CS280" s="74" t="str">
        <f aca="false">IF(ISBLANK($C280),"",AND($AL280,$BJ280=""))</f>
        <v/>
      </c>
      <c r="CT280" s="75"/>
      <c r="CU280" s="76"/>
      <c r="CV280" s="79" t="str">
        <f aca="false">IF(ISBLANK($C280),"",IF($BL280=Constants!$B$8,$CM280,""))</f>
        <v/>
      </c>
      <c r="CW280" s="76" t="str">
        <f aca="false">IF(ISBLANK($C280),"",IF($BL280&lt;&gt;Constants!$B$4,"",$BO280+$BP280))</f>
        <v/>
      </c>
      <c r="CX280" s="78" t="str">
        <f aca="false">IF(ISBLANK($C280),"",IF($BL280&lt;&gt;Constants!$B$4,"",$BQ280+$BR280+$BS280))</f>
        <v/>
      </c>
      <c r="CY280" s="78" t="str">
        <f aca="false">IF(ISBLANK($C280),"",IF($BL280&lt;&gt;Constants!$B$4,"",$BT280))</f>
        <v/>
      </c>
      <c r="CZ280" s="78" t="str">
        <f aca="false">IF(ISBLANK($C280),"",IF($BL280&lt;&gt;Constants!$B$4,"",$BU280+$BV280))</f>
        <v/>
      </c>
      <c r="DA280" s="78" t="str">
        <f aca="false">IF(ISBLANK($C280),"",IF($BL280&lt;&gt;Constants!$B$4,"",$BW280))</f>
        <v/>
      </c>
      <c r="DB280" s="78" t="str">
        <f aca="false">IF(ISBLANK($C280),"",IF($BL280&lt;&gt;Constants!$B$4,"",-$CD280))</f>
        <v/>
      </c>
      <c r="DC280" s="79" t="str">
        <f aca="false">IF(ISBLANK($C280),"",$CE280)</f>
        <v/>
      </c>
      <c r="DD280" s="80" t="str">
        <f aca="false">IF(ISBLANK($C280),"",$BM280)</f>
        <v/>
      </c>
      <c r="DE280" s="78" t="str">
        <f aca="false">IF(ISBLANK($C280),"",$CL280)</f>
        <v/>
      </c>
      <c r="DF280" s="78" t="str">
        <f aca="false">IF(ISBLANK($C280),"",$CK280)</f>
        <v/>
      </c>
      <c r="DG280" s="81" t="str">
        <f aca="false">IF(ISBLANK($C280),"",IF($DF280=Constants!$B$7,COUNTA($C$9:$C$508)+2,IF($DF280=Constants!$B$6,COUNTA($C$9:$C$508)+1,IF($DF280=Constants!$B$5,COUNTA($C$9:$C$508),$DF280))))</f>
        <v/>
      </c>
      <c r="DH280" s="7"/>
      <c r="DI280" s="82" t="n">
        <f aca="false">IF(OR(ISNUMBER($DF280),$DF280=Constants!$B$7,$DF280=Constants!$B$5,$DF280=Constants!$B$6),1,0)</f>
        <v>0</v>
      </c>
      <c r="DJ280" s="82" t="n">
        <v>272</v>
      </c>
      <c r="DK280" s="82" t="str">
        <f aca="false">IF(ISBLANK($C280),"",IF(ISNUMBER($DG280),$DG280+ROW($B280)/1000,""))</f>
        <v/>
      </c>
      <c r="DL280" s="82" t="str">
        <f aca="false">IF(ISNUMBER($DK280),RANK($DK280,$DK$9:$DK$508,1),"")</f>
        <v/>
      </c>
      <c r="DM280" s="82" t="str">
        <f aca="false">IF(ISBLANK($C280),"",$B280)</f>
        <v/>
      </c>
      <c r="DN280" s="82" t="str">
        <f aca="false">IF(ISBLANK($C280),"",$C280)</f>
        <v/>
      </c>
      <c r="DO280" s="82" t="str">
        <f aca="false">IF(ISBLANK($C280),"",$D280)</f>
        <v/>
      </c>
      <c r="DP280" s="83" t="str">
        <f aca="false">$DD280</f>
        <v/>
      </c>
      <c r="DQ280" s="84" t="str">
        <f aca="false">$DC280</f>
        <v/>
      </c>
      <c r="DR280" s="82" t="str">
        <f aca="false">IF(ISBLANK($C280),"",$DF280)</f>
        <v/>
      </c>
      <c r="DS280" s="85" t="str">
        <f aca="false">IF($DJ280&gt;$DI$8,"",VLOOKUP($DJ280,$DL$9:$DR$508,7,FALSE()))</f>
        <v/>
      </c>
      <c r="DT280" s="86" t="str">
        <f aca="false">IF($DJ280&gt;$DI$8,"",VLOOKUP($DJ280,$DL$9:$DR$508,2,FALSE()))</f>
        <v/>
      </c>
      <c r="DU280" s="86" t="str">
        <f aca="false">IF($DJ280&gt;$DI$8,"",VLOOKUP($DJ280,$DL$9:$DR$508,3,FALSE()))</f>
        <v/>
      </c>
      <c r="DV280" s="86" t="str">
        <f aca="false">IF($DJ280&gt;$DI$8,"",VLOOKUP($DJ280,$DL$9:$DR$508,4,FALSE()))</f>
        <v/>
      </c>
      <c r="DW280" s="86" t="str">
        <f aca="false">IF($DJ280&gt;$DI$8,"",VLOOKUP($DJ280,$DL$9:$DR$508,5,FALSE()))</f>
        <v/>
      </c>
      <c r="DX280" s="87" t="str">
        <f aca="false">IF($DJ280&gt;$DI$8,"",VLOOKUP($DJ280,$DL$9:$DR$508,6,FALSE()))</f>
        <v/>
      </c>
      <c r="DY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88"/>
      <c r="N281" s="88"/>
      <c r="O281" s="134"/>
      <c r="P281" s="134"/>
      <c r="Q281" s="88"/>
      <c r="R281" s="88"/>
      <c r="S281" s="88"/>
      <c r="T281" s="88"/>
      <c r="U281" s="134"/>
      <c r="V281" s="88"/>
      <c r="W281" s="70"/>
      <c r="X281" s="88"/>
      <c r="Y281" s="88"/>
      <c r="Z281" s="70"/>
      <c r="AA281" s="70"/>
      <c r="AB281" s="88"/>
      <c r="AC281" s="88"/>
      <c r="AD281" s="88"/>
      <c r="AE281" s="71"/>
      <c r="AF281" s="88"/>
      <c r="AG281" s="73"/>
      <c r="AH281" s="74"/>
      <c r="AI281" s="74"/>
      <c r="AJ281" s="74" t="str">
        <f aca="false">IF(ISBLANK($C281),"",IF($E281=Constants!$B$2,TRUE(),IF($E281=Constants!$B$3,FALSE(),TRUE())))</f>
        <v/>
      </c>
      <c r="AK281" s="74" t="str">
        <f aca="false">IF(ISBLANK($C281),"",IF($F281=Constants!$B$2,TRUE(),IF($F281=Constants!$B$3,FALSE(),FALSE())))</f>
        <v/>
      </c>
      <c r="AL281" s="74" t="str">
        <f aca="false">IF(ISBLANK($C281),"",IF($G281=Constants!$B$2,TRUE(),IF($G281=Constants!$B$3,FALSE(),TRUE())))</f>
        <v/>
      </c>
      <c r="AM281" s="74" t="str">
        <f aca="false">IF(ISBLANK($C281),"",IF($H281=Constants!$B$2,TRUE(),IF($H281=Constants!$B$3,FALSE(),TRUE())))</f>
        <v/>
      </c>
      <c r="AN281" s="74" t="str">
        <f aca="false">IF(ISBLANK($C281),"",IF(ISNUMBER($I281),IF($I281&gt;=0,$I281,""),""))</f>
        <v/>
      </c>
      <c r="AO281" s="74" t="str">
        <f aca="false">IF(ISBLANK($C281),"",IF(ISNUMBER($J281),IF($J281&gt;=0,$J281,""),""))</f>
        <v/>
      </c>
      <c r="AP281" s="74" t="str">
        <f aca="false">IF(ISBLANK($C281),"",IF(ISNUMBER($K281),IF($K281&gt;=0,$K281,""),""))</f>
        <v/>
      </c>
      <c r="AQ281" s="74" t="str">
        <f aca="false">IF(ISBLANK($C281),"",IF($L281=Constants!$B$2,TRUE(),IF($L281=Constants!$B$3,FALSE(),TRUE())))</f>
        <v/>
      </c>
      <c r="AR281" s="74" t="str">
        <f aca="false">IF(ISBLANK($C281),"",IF($M281=Constants!$B$2,TRUE(),IF($M281=Constants!$B$3,FALSE(),TRUE())))</f>
        <v/>
      </c>
      <c r="AS281" s="74" t="str">
        <f aca="false">IF(ISBLANK($C281),"",IF($N281=Constants!$B$2,TRUE(),IF($N281=Constants!$B$3,FALSE(),FALSE())))</f>
        <v/>
      </c>
      <c r="AT281" s="74" t="str">
        <f aca="false">IF(ISBLANK($C281),"",IF($O281=Constants!$B$2,TRUE(),IF($O281=Constants!$B$3,FALSE(),TRUE())))</f>
        <v/>
      </c>
      <c r="AU281" s="74" t="str">
        <f aca="false">IF(ISBLANK($C281),"",IF($P281=Constants!$B$2,TRUE(),IF($P281=Constants!$B$3,FALSE(),TRUE())))</f>
        <v/>
      </c>
      <c r="AV281" s="74" t="str">
        <f aca="false">IF(ISBLANK($C281),"",IF($Q281=Constants!$B$2,TRUE(),IF($Q281=Constants!$B$3,FALSE(),FALSE())))</f>
        <v/>
      </c>
      <c r="AW281" s="74" t="str">
        <f aca="false">IF(ISBLANK($C281),"",IF($R281=Constants!$B$2,TRUE(),IF($R281=Constants!$B$3,FALSE(),FALSE())))</f>
        <v/>
      </c>
      <c r="AX281" s="74" t="str">
        <f aca="false">IF(ISBLANK($C281),"",IF($S281=Constants!$B$2,TRUE(),IF($S281=Constants!$B$3,FALSE(),FALSE())))</f>
        <v/>
      </c>
      <c r="AY281" s="74" t="str">
        <f aca="false">IF(ISBLANK($C281),"",IF($T281=Constants!$B$2,TRUE(),IF($T281=Constants!$B$3,FALSE(),FALSE())))</f>
        <v/>
      </c>
      <c r="AZ281" s="74" t="str">
        <f aca="false">IF(ISBLANK($C281),"",IF($U281=Constants!$B$2,TRUE(),IF($U281=Constants!$B$3,FALSE(),FALSE())))</f>
        <v/>
      </c>
      <c r="BA281" s="74" t="str">
        <f aca="false">IF(ISBLANK($C281),"",IF(OR($V281&amp;""="1",$V281&amp;""="2",$V281&amp;""="3",$V281&amp;""="4"),VALUE($V281&amp;""),IF($V281=Constants!$B$12,Constants!$B$12,"")))</f>
        <v/>
      </c>
      <c r="BB281" s="74" t="str">
        <f aca="false">IF(ISBLANK($C281),"",IF(ISBLANK($W281),0,IF(ISNUMBER($W281),IF(AND($W281&gt;=0,$W281&lt;=Constants!$B$21,$W281=INT($W281)),$W281,""),"")))</f>
        <v/>
      </c>
      <c r="BC281" s="74" t="str">
        <f aca="false">IF(ISBLANK($C281),"",IF(ISBLANK($X281),0,IF(ISNUMBER($X281),IF($X281&gt;=0,$X281,""),"")))</f>
        <v/>
      </c>
      <c r="BD281" s="74" t="str">
        <f aca="false">IF(ISBLANK($C281),"",IF($Y281=Constants!$B$2,TRUE(),IF($Y281=Constants!$B$3,FALSE(),TRUE())))</f>
        <v/>
      </c>
      <c r="BE281" s="74" t="str">
        <f aca="false">IF(ISBLANK($C281),"",IF($Z281=Constants!$B$2,TRUE(),IF($Z281=Constants!$B$3,FALSE(),FALSE())))</f>
        <v/>
      </c>
      <c r="BF281" s="74" t="str">
        <f aca="false">IF(ISBLANK($C281),"",IF(ISBLANK($AA281),0,IF(ISNUMBER($AA281),IF(AND($AA281&gt;=0,$AA281&lt;=Constants!$B$35,$AA281=INT($AA281)),$AA281,""),"")))</f>
        <v/>
      </c>
      <c r="BG281" s="74" t="str">
        <f aca="false">IF(ISBLANK($C281),"",IF($AB281=Constants!$B$2,TRUE(),IF($AB281=Constants!$B$3,FALSE(),TRUE())))</f>
        <v/>
      </c>
      <c r="BH281" s="74" t="str">
        <f aca="false">IF(ISBLANK($C281),"",IF($AC281=Constants!$B$2,TRUE(),IF($AC281=Constants!$B$3,FALSE(),TRUE())))</f>
        <v/>
      </c>
      <c r="BI281" s="74" t="str">
        <f aca="false">IF(ISBLANK($C281),"",IF($AD281=Constants!$B$2,TRUE(),IF($AD281=Constants!$B$3,FALSE(),TRUE())))</f>
        <v/>
      </c>
      <c r="BJ281" s="74" t="str">
        <f aca="false">IF(ISBLANK($C281),"",IF(ISNUMBER($AE281),IF($AE281&gt;=0,$AE281,""),""))</f>
        <v/>
      </c>
      <c r="BK281" s="74" t="str">
        <f aca="false">IF(ISBLANK($C281),"",IF($AF281=Constants!$B$2,TRUE(),IF($AF281=Constants!$B$3,FALSE(),FALSE())))</f>
        <v/>
      </c>
      <c r="BL281" s="73" t="str">
        <f aca="false">IF(ISBLANK($C281),"",IF($BK281,Constants!$B$7,IF(COUNTA($E281:$AE281)=0,Constants!$B$6,IF(OR(COUNTA($G281:$AE281)=0,NOT($AM281),$AS281),Constants!$B$5,IF(OR($CM281&lt;&gt;"",$CN281,$CO281,$CP281,$CQ281,$CR281,$CS281),Constants!$B$8,Constants!$B$4)))))</f>
        <v/>
      </c>
      <c r="BM281" s="74" t="str">
        <f aca="false">IF(ISBLANK($C281),"",IF($BL281&lt;&gt;Constants!$B$4,$BL281,IF(OR(NOT($AJ281),NOT($AL281),NOT($AT281)),Constants!$B$11,IF(OR(NOT($AR281),NOT($AU281),NOT($BI281),MAX($AN281,$AO281,$AP281)&gt;Constants!$B$30),Constants!$B$10,Constants!$B$9))))</f>
        <v/>
      </c>
      <c r="BN281" s="74" t="str">
        <f aca="false">IF($BL281&lt;&gt;Constants!$B$4,"",IF(NOT($AL281),0,MIN(Constants!$B$35,$BF281)))</f>
        <v/>
      </c>
      <c r="BO281" s="74" t="str">
        <f aca="false">IF($BL281&lt;&gt;Constants!$B$4,"",IF(NOT($AL281),0,IF($AW281,Constants!$B$18,IF($AV281,Constants!$B$17,0))))</f>
        <v/>
      </c>
      <c r="BP281" s="74" t="str">
        <f aca="false">IF($BL281&lt;&gt;Constants!$B$4,"",IF(NOT($AL281),0,Constants!$B$19*($AK281+$AX281+$AY281+$AZ281)))</f>
        <v/>
      </c>
      <c r="BQ281" s="74" t="str">
        <f aca="false">IF($BL281&lt;&gt;Constants!$B$4,"",IF(OR(NOT($AL281),NOT(ISNUMBER($BA281))),0,CHOOSE($BA281,Constants!$B$13,Constants!$B$14,Constants!$B$15,Constants!$B$16)))</f>
        <v/>
      </c>
      <c r="BR281" s="74" t="str">
        <f aca="false">IF($BL281&lt;&gt;Constants!$B$4,"",IF(NOT($AL281),0,Constants!$B$20*$BB281))</f>
        <v/>
      </c>
      <c r="BS281" s="74" t="str">
        <f aca="false">IF($BL281&lt;&gt;Constants!$B$4,"",IF(AND($AL281,$BD281,$BE281),Constants!$B$22,0))</f>
        <v/>
      </c>
      <c r="BT281" s="74" t="str">
        <f aca="false">IF($BL281&lt;&gt;Constants!$B$4,"",IF(OR(NOT($AL281),NOT($BD281)),0,IF($BJ281&gt;=2*$AH$9,0,Constants!$B$23*INT(ROUND(MIN($BJ281,$AH$9),6)))))</f>
        <v/>
      </c>
      <c r="BU281" s="74" t="str">
        <f aca="false">IF($BL281&lt;&gt;Constants!$B$4,"",IF(NOT($AL281),0,Constants!$B$24*INT(ROUND(MIN($BC281,$AH$9),6))))</f>
        <v/>
      </c>
      <c r="BV281" s="74" t="str">
        <f aca="false">IF($BL281&lt;&gt;Constants!$B$4,"",IF(AND($AL281,$BN281=0),Constants!$B$25,0))</f>
        <v/>
      </c>
      <c r="BW281" s="74" t="str">
        <f aca="false">IF($BL281&lt;&gt;Constants!$B$4,"",MIN(Constants!$B$29,MAX(0,Constants!$B$27*Constants!$B$28*INT(ROUND((Constants!$B$26-$AN281)/Constants!$B$28,6))))+MIN(Constants!$B$29,MAX(0,Constants!$B$27*Constants!$B$28*INT(ROUND((Constants!$B$26-$AO281)/Constants!$B$28,6))))+MIN(Constants!$B$29,MAX(0,Constants!$B$27*Constants!$B$28*INT(ROUND((Constants!$B$26-$AP281)/Constants!$B$28,6)))))</f>
        <v/>
      </c>
      <c r="BX281" s="74" t="str">
        <f aca="false">IF($BL281&lt;&gt;Constants!$B$4,"",IF(NOT($AL281),0,Constants!$B$31*INT(ROUND(MAX(0,MIN($BJ281,2*$AH$9)-$AH$9),6))))</f>
        <v/>
      </c>
      <c r="BY281" s="74" t="str">
        <f aca="false">IF($BL281&lt;&gt;Constants!$B$4,"",Constants!$B$32*(($AN281&gt;Constants!$B$26)+($AO281&gt;Constants!$B$26)+($AP281&gt;Constants!$B$26)))</f>
        <v/>
      </c>
      <c r="BZ281" s="74" t="str">
        <f aca="false">IF($BL281&lt;&gt;Constants!$B$4,"",IF(OR(NOT($AL281),$AQ281),0,Constants!$B$33))</f>
        <v/>
      </c>
      <c r="CA281" s="74" t="str">
        <f aca="false">IF($BL281&lt;&gt;Constants!$B$4,"",Constants!$B$34*$BN281)</f>
        <v/>
      </c>
      <c r="CB281" s="74" t="str">
        <f aca="false">IF($BL281&lt;&gt;Constants!$B$4,"",IF(OR(NOT($AL281),$BH281),0,Constants!$B$36))</f>
        <v/>
      </c>
      <c r="CC281" s="74" t="str">
        <f aca="false">IF($BL281&lt;&gt;Constants!$B$4,"",IF(OR(NOT($AL281),$BG281),0,Constants!$B$37))</f>
        <v/>
      </c>
      <c r="CD281" s="74" t="str">
        <f aca="false">IF($BL281&lt;&gt;Constants!$B$4,"",SUM($BX281:$CC281))</f>
        <v/>
      </c>
      <c r="CE281" s="74" t="str">
        <f aca="false">IF(ISBLANK($C281),"",IF($BL281&lt;&gt;Constants!$B$4,$BL281,SUM($BO281:$BW281)-$CD281))</f>
        <v/>
      </c>
      <c r="CF281" s="74" t="str">
        <f aca="false">IF(ISBLANK($C281),"",IF($BL281&lt;&gt;Constants!$B$4,$BL281,RANK($CE281,$CE$9:$CE$508)))</f>
        <v/>
      </c>
      <c r="CG281" s="74" t="str">
        <f aca="false">IF(ISBLANK($C281),"",IF($BL281&lt;&gt;Constants!$B$4,$BL281,COUNTIFS($BM$9:$BM$508,"&lt;"&amp;$BM281)+COUNTIFS($BM$9:$BM$508,$BM281,$CF$9:$CF$508,"&lt;"&amp;$CF281)+1))</f>
        <v/>
      </c>
      <c r="CH281" s="74" t="str">
        <f aca="false">IF(ISBLANK($C281),"",IF($BL281&lt;&gt;Constants!$B$4,$BL281,RANK($CD281,$CD$9:$CD$508,1)))</f>
        <v/>
      </c>
      <c r="CI281" s="74" t="str">
        <f aca="false">IF($BL281&lt;&gt;Constants!$B$4,"",$AN281+$AO281+$AP281)</f>
        <v/>
      </c>
      <c r="CJ281" s="74" t="str">
        <f aca="false">IF(ISBLANK($C281),"",IF($BL281&lt;&gt;Constants!$B$4,$BL281,RANK($CI281,$CI$9:$CI$508,1)))</f>
        <v/>
      </c>
      <c r="CK281" s="74" t="str">
        <f aca="false">IF(ISBLANK($C281),"",IF($BL281&lt;&gt;Constants!$B$4,$BL281,COUNTIFS($BM$9:$BM$508,"&lt;"&amp;$BM281)+COUNTIFS($BM$9:$BM$508,$BM281,$CF$9:$CF$508,"&lt;"&amp;$CF281)+COUNTIFS($BM$9:$BM$508,$BM281,$CF$9:$CF$508,$CF281,$CH$9:$CH$508,"&lt;"&amp;$CH281)+COUNTIFS($BM$9:$BM$508,$BM281,$CF$9:$CF$508,$CF281,$CH$9:$CH$508,$CH281,$CJ$9:$CJ$508,"&lt;"&amp;$CJ281)+1))</f>
        <v/>
      </c>
      <c r="CL281" s="74" t="str">
        <f aca="false">IF(ISBLANK($C281),"",IF($BL281&lt;&gt;Constants!$B$4,$BL281,$CG281-$CK281))</f>
        <v/>
      </c>
      <c r="CM281" s="74" t="str">
        <f aca="false">IF(ISBLANK($C281),"",IF(NOT($AL281),"",IF(ISBLANK($D$7),$CM$5,IF(NOT(ISNUMBER($D$7)),$CM$6,""))))</f>
        <v/>
      </c>
      <c r="CN281" s="74" t="str">
        <f aca="false">IF(ISBLANK($C281),"",OR($AN281="",$AO281="",$AP281=""))</f>
        <v/>
      </c>
      <c r="CO281" s="74" t="str">
        <f aca="false">IF(ISBLANK($C281),"",AND($AL281,$BA281=""))</f>
        <v/>
      </c>
      <c r="CP281" s="74" t="str">
        <f aca="false">IF(ISBLANK($C281),"",AND($AL281,$BB281=""))</f>
        <v/>
      </c>
      <c r="CQ281" s="74" t="str">
        <f aca="false">IF(ISBLANK($C281),"",AND($AL281,$BC281=""))</f>
        <v/>
      </c>
      <c r="CR281" s="74" t="str">
        <f aca="false">IF(ISBLANK($C281),"",AND($AL281,$BF281=""))</f>
        <v/>
      </c>
      <c r="CS281" s="74" t="str">
        <f aca="false">IF(ISBLANK($C281),"",AND($AL281,$BJ281=""))</f>
        <v/>
      </c>
      <c r="CT281" s="75"/>
      <c r="CU281" s="76"/>
      <c r="CV281" s="79" t="str">
        <f aca="false">IF(ISBLANK($C281),"",IF($BL281=Constants!$B$8,$CM281,""))</f>
        <v/>
      </c>
      <c r="CW281" s="76" t="str">
        <f aca="false">IF(ISBLANK($C281),"",IF($BL281&lt;&gt;Constants!$B$4,"",$BO281+$BP281))</f>
        <v/>
      </c>
      <c r="CX281" s="78" t="str">
        <f aca="false">IF(ISBLANK($C281),"",IF($BL281&lt;&gt;Constants!$B$4,"",$BQ281+$BR281+$BS281))</f>
        <v/>
      </c>
      <c r="CY281" s="78" t="str">
        <f aca="false">IF(ISBLANK($C281),"",IF($BL281&lt;&gt;Constants!$B$4,"",$BT281))</f>
        <v/>
      </c>
      <c r="CZ281" s="78" t="str">
        <f aca="false">IF(ISBLANK($C281),"",IF($BL281&lt;&gt;Constants!$B$4,"",$BU281+$BV281))</f>
        <v/>
      </c>
      <c r="DA281" s="78" t="str">
        <f aca="false">IF(ISBLANK($C281),"",IF($BL281&lt;&gt;Constants!$B$4,"",$BW281))</f>
        <v/>
      </c>
      <c r="DB281" s="78" t="str">
        <f aca="false">IF(ISBLANK($C281),"",IF($BL281&lt;&gt;Constants!$B$4,"",-$CD281))</f>
        <v/>
      </c>
      <c r="DC281" s="79" t="str">
        <f aca="false">IF(ISBLANK($C281),"",$CE281)</f>
        <v/>
      </c>
      <c r="DD281" s="80" t="str">
        <f aca="false">IF(ISBLANK($C281),"",$BM281)</f>
        <v/>
      </c>
      <c r="DE281" s="78" t="str">
        <f aca="false">IF(ISBLANK($C281),"",$CL281)</f>
        <v/>
      </c>
      <c r="DF281" s="78" t="str">
        <f aca="false">IF(ISBLANK($C281),"",$CK281)</f>
        <v/>
      </c>
      <c r="DG281" s="81" t="str">
        <f aca="false">IF(ISBLANK($C281),"",IF($DF281=Constants!$B$7,COUNTA($C$9:$C$508)+2,IF($DF281=Constants!$B$6,COUNTA($C$9:$C$508)+1,IF($DF281=Constants!$B$5,COUNTA($C$9:$C$508),$DF281))))</f>
        <v/>
      </c>
      <c r="DH281" s="7"/>
      <c r="DI281" s="82" t="n">
        <f aca="false">IF(OR(ISNUMBER($DF281),$DF281=Constants!$B$7,$DF281=Constants!$B$5,$DF281=Constants!$B$6),1,0)</f>
        <v>0</v>
      </c>
      <c r="DJ281" s="82" t="n">
        <v>273</v>
      </c>
      <c r="DK281" s="82" t="str">
        <f aca="false">IF(ISBLANK($C281),"",IF(ISNUMBER($DG281),$DG281+ROW($B281)/1000,""))</f>
        <v/>
      </c>
      <c r="DL281" s="82" t="str">
        <f aca="false">IF(ISNUMBER($DK281),RANK($DK281,$DK$9:$DK$508,1),"")</f>
        <v/>
      </c>
      <c r="DM281" s="82" t="str">
        <f aca="false">IF(ISBLANK($C281),"",$B281)</f>
        <v/>
      </c>
      <c r="DN281" s="82" t="str">
        <f aca="false">IF(ISBLANK($C281),"",$C281)</f>
        <v/>
      </c>
      <c r="DO281" s="82" t="str">
        <f aca="false">IF(ISBLANK($C281),"",$D281)</f>
        <v/>
      </c>
      <c r="DP281" s="83" t="str">
        <f aca="false">$DD281</f>
        <v/>
      </c>
      <c r="DQ281" s="84" t="str">
        <f aca="false">$DC281</f>
        <v/>
      </c>
      <c r="DR281" s="82" t="str">
        <f aca="false">IF(ISBLANK($C281),"",$DF281)</f>
        <v/>
      </c>
      <c r="DS281" s="85" t="str">
        <f aca="false">IF($DJ281&gt;$DI$8,"",VLOOKUP($DJ281,$DL$9:$DR$508,7,FALSE()))</f>
        <v/>
      </c>
      <c r="DT281" s="86" t="str">
        <f aca="false">IF($DJ281&gt;$DI$8,"",VLOOKUP($DJ281,$DL$9:$DR$508,2,FALSE()))</f>
        <v/>
      </c>
      <c r="DU281" s="86" t="str">
        <f aca="false">IF($DJ281&gt;$DI$8,"",VLOOKUP($DJ281,$DL$9:$DR$508,3,FALSE()))</f>
        <v/>
      </c>
      <c r="DV281" s="86" t="str">
        <f aca="false">IF($DJ281&gt;$DI$8,"",VLOOKUP($DJ281,$DL$9:$DR$508,4,FALSE()))</f>
        <v/>
      </c>
      <c r="DW281" s="86" t="str">
        <f aca="false">IF($DJ281&gt;$DI$8,"",VLOOKUP($DJ281,$DL$9:$DR$508,5,FALSE()))</f>
        <v/>
      </c>
      <c r="DX281" s="87" t="str">
        <f aca="false">IF($DJ281&gt;$DI$8,"",VLOOKUP($DJ281,$DL$9:$DR$508,6,FALSE()))</f>
        <v/>
      </c>
      <c r="DY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130"/>
      <c r="N282" s="130"/>
      <c r="O282" s="135"/>
      <c r="P282" s="135"/>
      <c r="Q282" s="130"/>
      <c r="R282" s="130"/>
      <c r="S282" s="130"/>
      <c r="T282" s="130"/>
      <c r="U282" s="135"/>
      <c r="V282" s="130"/>
      <c r="W282" s="96"/>
      <c r="X282" s="130"/>
      <c r="Y282" s="130"/>
      <c r="Z282" s="96"/>
      <c r="AA282" s="96"/>
      <c r="AB282" s="130"/>
      <c r="AC282" s="130"/>
      <c r="AD282" s="130"/>
      <c r="AE282" s="97"/>
      <c r="AF282" s="130"/>
      <c r="AG282" s="99"/>
      <c r="AH282" s="100"/>
      <c r="AI282" s="100"/>
      <c r="AJ282" s="100" t="str">
        <f aca="false">IF(ISBLANK($C282),"",IF($E282=Constants!$B$2,TRUE(),IF($E282=Constants!$B$3,FALSE(),TRUE())))</f>
        <v/>
      </c>
      <c r="AK282" s="100" t="str">
        <f aca="false">IF(ISBLANK($C282),"",IF($F282=Constants!$B$2,TRUE(),IF($F282=Constants!$B$3,FALSE(),FALSE())))</f>
        <v/>
      </c>
      <c r="AL282" s="100" t="str">
        <f aca="false">IF(ISBLANK($C282),"",IF($G282=Constants!$B$2,TRUE(),IF($G282=Constants!$B$3,FALSE(),TRUE())))</f>
        <v/>
      </c>
      <c r="AM282" s="100" t="str">
        <f aca="false">IF(ISBLANK($C282),"",IF($H282=Constants!$B$2,TRUE(),IF($H282=Constants!$B$3,FALSE(),TRUE())))</f>
        <v/>
      </c>
      <c r="AN282" s="100" t="str">
        <f aca="false">IF(ISBLANK($C282),"",IF(ISNUMBER($I282),IF($I282&gt;=0,$I282,""),""))</f>
        <v/>
      </c>
      <c r="AO282" s="100" t="str">
        <f aca="false">IF(ISBLANK($C282),"",IF(ISNUMBER($J282),IF($J282&gt;=0,$J282,""),""))</f>
        <v/>
      </c>
      <c r="AP282" s="100" t="str">
        <f aca="false">IF(ISBLANK($C282),"",IF(ISNUMBER($K282),IF($K282&gt;=0,$K282,""),""))</f>
        <v/>
      </c>
      <c r="AQ282" s="100" t="str">
        <f aca="false">IF(ISBLANK($C282),"",IF($L282=Constants!$B$2,TRUE(),IF($L282=Constants!$B$3,FALSE(),TRUE())))</f>
        <v/>
      </c>
      <c r="AR282" s="100" t="str">
        <f aca="false">IF(ISBLANK($C282),"",IF($M282=Constants!$B$2,TRUE(),IF($M282=Constants!$B$3,FALSE(),TRUE())))</f>
        <v/>
      </c>
      <c r="AS282" s="100" t="str">
        <f aca="false">IF(ISBLANK($C282),"",IF($N282=Constants!$B$2,TRUE(),IF($N282=Constants!$B$3,FALSE(),FALSE())))</f>
        <v/>
      </c>
      <c r="AT282" s="100" t="str">
        <f aca="false">IF(ISBLANK($C282),"",IF($O282=Constants!$B$2,TRUE(),IF($O282=Constants!$B$3,FALSE(),TRUE())))</f>
        <v/>
      </c>
      <c r="AU282" s="100" t="str">
        <f aca="false">IF(ISBLANK($C282),"",IF($P282=Constants!$B$2,TRUE(),IF($P282=Constants!$B$3,FALSE(),TRUE())))</f>
        <v/>
      </c>
      <c r="AV282" s="100" t="str">
        <f aca="false">IF(ISBLANK($C282),"",IF($Q282=Constants!$B$2,TRUE(),IF($Q282=Constants!$B$3,FALSE(),FALSE())))</f>
        <v/>
      </c>
      <c r="AW282" s="100" t="str">
        <f aca="false">IF(ISBLANK($C282),"",IF($R282=Constants!$B$2,TRUE(),IF($R282=Constants!$B$3,FALSE(),FALSE())))</f>
        <v/>
      </c>
      <c r="AX282" s="100" t="str">
        <f aca="false">IF(ISBLANK($C282),"",IF($S282=Constants!$B$2,TRUE(),IF($S282=Constants!$B$3,FALSE(),FALSE())))</f>
        <v/>
      </c>
      <c r="AY282" s="100" t="str">
        <f aca="false">IF(ISBLANK($C282),"",IF($T282=Constants!$B$2,TRUE(),IF($T282=Constants!$B$3,FALSE(),FALSE())))</f>
        <v/>
      </c>
      <c r="AZ282" s="100" t="str">
        <f aca="false">IF(ISBLANK($C282),"",IF($U282=Constants!$B$2,TRUE(),IF($U282=Constants!$B$3,FALSE(),FALSE())))</f>
        <v/>
      </c>
      <c r="BA282" s="100" t="str">
        <f aca="false">IF(ISBLANK($C282),"",IF(OR($V282&amp;""="1",$V282&amp;""="2",$V282&amp;""="3",$V282&amp;""="4"),VALUE($V282&amp;""),IF($V282=Constants!$B$12,Constants!$B$12,"")))</f>
        <v/>
      </c>
      <c r="BB282" s="100" t="str">
        <f aca="false">IF(ISBLANK($C282),"",IF(ISBLANK($W282),0,IF(ISNUMBER($W282),IF(AND($W282&gt;=0,$W282&lt;=Constants!$B$21,$W282=INT($W282)),$W282,""),"")))</f>
        <v/>
      </c>
      <c r="BC282" s="100" t="str">
        <f aca="false">IF(ISBLANK($C282),"",IF(ISBLANK($X282),0,IF(ISNUMBER($X282),IF($X282&gt;=0,$X282,""),"")))</f>
        <v/>
      </c>
      <c r="BD282" s="100" t="str">
        <f aca="false">IF(ISBLANK($C282),"",IF($Y282=Constants!$B$2,TRUE(),IF($Y282=Constants!$B$3,FALSE(),TRUE())))</f>
        <v/>
      </c>
      <c r="BE282" s="100" t="str">
        <f aca="false">IF(ISBLANK($C282),"",IF($Z282=Constants!$B$2,TRUE(),IF($Z282=Constants!$B$3,FALSE(),FALSE())))</f>
        <v/>
      </c>
      <c r="BF282" s="100" t="str">
        <f aca="false">IF(ISBLANK($C282),"",IF(ISBLANK($AA282),0,IF(ISNUMBER($AA282),IF(AND($AA282&gt;=0,$AA282&lt;=Constants!$B$35,$AA282=INT($AA282)),$AA282,""),"")))</f>
        <v/>
      </c>
      <c r="BG282" s="100" t="str">
        <f aca="false">IF(ISBLANK($C282),"",IF($AB282=Constants!$B$2,TRUE(),IF($AB282=Constants!$B$3,FALSE(),TRUE())))</f>
        <v/>
      </c>
      <c r="BH282" s="100" t="str">
        <f aca="false">IF(ISBLANK($C282),"",IF($AC282=Constants!$B$2,TRUE(),IF($AC282=Constants!$B$3,FALSE(),TRUE())))</f>
        <v/>
      </c>
      <c r="BI282" s="100" t="str">
        <f aca="false">IF(ISBLANK($C282),"",IF($AD282=Constants!$B$2,TRUE(),IF($AD282=Constants!$B$3,FALSE(),TRUE())))</f>
        <v/>
      </c>
      <c r="BJ282" s="100" t="str">
        <f aca="false">IF(ISBLANK($C282),"",IF(ISNUMBER($AE282),IF($AE282&gt;=0,$AE282,""),""))</f>
        <v/>
      </c>
      <c r="BK282" s="100" t="str">
        <f aca="false">IF(ISBLANK($C282),"",IF($AF282=Constants!$B$2,TRUE(),IF($AF282=Constants!$B$3,FALSE(),FALSE())))</f>
        <v/>
      </c>
      <c r="BL282" s="99" t="str">
        <f aca="false">IF(ISBLANK($C282),"",IF($BK282,Constants!$B$7,IF(COUNTA($E282:$AE282)=0,Constants!$B$6,IF(OR(COUNTA($G282:$AE282)=0,NOT($AM282),$AS282),Constants!$B$5,IF(OR($CM282&lt;&gt;"",$CN282,$CO282,$CP282,$CQ282,$CR282,$CS282),Constants!$B$8,Constants!$B$4)))))</f>
        <v/>
      </c>
      <c r="BM282" s="100" t="str">
        <f aca="false">IF(ISBLANK($C282),"",IF($BL282&lt;&gt;Constants!$B$4,$BL282,IF(OR(NOT($AJ282),NOT($AL282),NOT($AT282)),Constants!$B$11,IF(OR(NOT($AR282),NOT($AU282),NOT($BI282),MAX($AN282,$AO282,$AP282)&gt;Constants!$B$30),Constants!$B$10,Constants!$B$9))))</f>
        <v/>
      </c>
      <c r="BN282" s="100" t="str">
        <f aca="false">IF($BL282&lt;&gt;Constants!$B$4,"",IF(NOT($AL282),0,MIN(Constants!$B$35,$BF282)))</f>
        <v/>
      </c>
      <c r="BO282" s="100" t="str">
        <f aca="false">IF($BL282&lt;&gt;Constants!$B$4,"",IF(NOT($AL282),0,IF($AW282,Constants!$B$18,IF($AV282,Constants!$B$17,0))))</f>
        <v/>
      </c>
      <c r="BP282" s="100" t="str">
        <f aca="false">IF($BL282&lt;&gt;Constants!$B$4,"",IF(NOT($AL282),0,Constants!$B$19*($AK282+$AX282+$AY282+$AZ282)))</f>
        <v/>
      </c>
      <c r="BQ282" s="100" t="str">
        <f aca="false">IF($BL282&lt;&gt;Constants!$B$4,"",IF(OR(NOT($AL282),NOT(ISNUMBER($BA282))),0,CHOOSE($BA282,Constants!$B$13,Constants!$B$14,Constants!$B$15,Constants!$B$16)))</f>
        <v/>
      </c>
      <c r="BR282" s="100" t="str">
        <f aca="false">IF($BL282&lt;&gt;Constants!$B$4,"",IF(NOT($AL282),0,Constants!$B$20*$BB282))</f>
        <v/>
      </c>
      <c r="BS282" s="100" t="str">
        <f aca="false">IF($BL282&lt;&gt;Constants!$B$4,"",IF(AND($AL282,$BD282,$BE282),Constants!$B$22,0))</f>
        <v/>
      </c>
      <c r="BT282" s="100" t="str">
        <f aca="false">IF($BL282&lt;&gt;Constants!$B$4,"",IF(OR(NOT($AL282),NOT($BD282)),0,IF($BJ282&gt;=2*$AH$9,0,Constants!$B$23*INT(ROUND(MIN($BJ282,$AH$9),6)))))</f>
        <v/>
      </c>
      <c r="BU282" s="100" t="str">
        <f aca="false">IF($BL282&lt;&gt;Constants!$B$4,"",IF(NOT($AL282),0,Constants!$B$24*INT(ROUND(MIN($BC282,$AH$9),6))))</f>
        <v/>
      </c>
      <c r="BV282" s="100" t="str">
        <f aca="false">IF($BL282&lt;&gt;Constants!$B$4,"",IF(AND($AL282,$BN282=0),Constants!$B$25,0))</f>
        <v/>
      </c>
      <c r="BW282" s="100" t="str">
        <f aca="false">IF($BL282&lt;&gt;Constants!$B$4,"",MIN(Constants!$B$29,MAX(0,Constants!$B$27*Constants!$B$28*INT(ROUND((Constants!$B$26-$AN282)/Constants!$B$28,6))))+MIN(Constants!$B$29,MAX(0,Constants!$B$27*Constants!$B$28*INT(ROUND((Constants!$B$26-$AO282)/Constants!$B$28,6))))+MIN(Constants!$B$29,MAX(0,Constants!$B$27*Constants!$B$28*INT(ROUND((Constants!$B$26-$AP282)/Constants!$B$28,6)))))</f>
        <v/>
      </c>
      <c r="BX282" s="100" t="str">
        <f aca="false">IF($BL282&lt;&gt;Constants!$B$4,"",IF(NOT($AL282),0,Constants!$B$31*INT(ROUND(MAX(0,MIN($BJ282,2*$AH$9)-$AH$9),6))))</f>
        <v/>
      </c>
      <c r="BY282" s="100" t="str">
        <f aca="false">IF($BL282&lt;&gt;Constants!$B$4,"",Constants!$B$32*(($AN282&gt;Constants!$B$26)+($AO282&gt;Constants!$B$26)+($AP282&gt;Constants!$B$26)))</f>
        <v/>
      </c>
      <c r="BZ282" s="100" t="str">
        <f aca="false">IF($BL282&lt;&gt;Constants!$B$4,"",IF(OR(NOT($AL282),$AQ282),0,Constants!$B$33))</f>
        <v/>
      </c>
      <c r="CA282" s="100" t="str">
        <f aca="false">IF($BL282&lt;&gt;Constants!$B$4,"",Constants!$B$34*$BN282)</f>
        <v/>
      </c>
      <c r="CB282" s="100" t="str">
        <f aca="false">IF($BL282&lt;&gt;Constants!$B$4,"",IF(OR(NOT($AL282),$BH282),0,Constants!$B$36))</f>
        <v/>
      </c>
      <c r="CC282" s="100" t="str">
        <f aca="false">IF($BL282&lt;&gt;Constants!$B$4,"",IF(OR(NOT($AL282),$BG282),0,Constants!$B$37))</f>
        <v/>
      </c>
      <c r="CD282" s="100" t="str">
        <f aca="false">IF($BL282&lt;&gt;Constants!$B$4,"",SUM($BX282:$CC282))</f>
        <v/>
      </c>
      <c r="CE282" s="100" t="str">
        <f aca="false">IF(ISBLANK($C282),"",IF($BL282&lt;&gt;Constants!$B$4,$BL282,SUM($BO282:$BW282)-$CD282))</f>
        <v/>
      </c>
      <c r="CF282" s="100" t="str">
        <f aca="false">IF(ISBLANK($C282),"",IF($BL282&lt;&gt;Constants!$B$4,$BL282,RANK($CE282,$CE$9:$CE$508)))</f>
        <v/>
      </c>
      <c r="CG282" s="100" t="str">
        <f aca="false">IF(ISBLANK($C282),"",IF($BL282&lt;&gt;Constants!$B$4,$BL282,COUNTIFS($BM$9:$BM$508,"&lt;"&amp;$BM282)+COUNTIFS($BM$9:$BM$508,$BM282,$CF$9:$CF$508,"&lt;"&amp;$CF282)+1))</f>
        <v/>
      </c>
      <c r="CH282" s="100" t="str">
        <f aca="false">IF(ISBLANK($C282),"",IF($BL282&lt;&gt;Constants!$B$4,$BL282,RANK($CD282,$CD$9:$CD$508,1)))</f>
        <v/>
      </c>
      <c r="CI282" s="100" t="str">
        <f aca="false">IF($BL282&lt;&gt;Constants!$B$4,"",$AN282+$AO282+$AP282)</f>
        <v/>
      </c>
      <c r="CJ282" s="100" t="str">
        <f aca="false">IF(ISBLANK($C282),"",IF($BL282&lt;&gt;Constants!$B$4,$BL282,RANK($CI282,$CI$9:$CI$508,1)))</f>
        <v/>
      </c>
      <c r="CK282" s="100" t="str">
        <f aca="false">IF(ISBLANK($C282),"",IF($BL282&lt;&gt;Constants!$B$4,$BL282,COUNTIFS($BM$9:$BM$508,"&lt;"&amp;$BM282)+COUNTIFS($BM$9:$BM$508,$BM282,$CF$9:$CF$508,"&lt;"&amp;$CF282)+COUNTIFS($BM$9:$BM$508,$BM282,$CF$9:$CF$508,$CF282,$CH$9:$CH$508,"&lt;"&amp;$CH282)+COUNTIFS($BM$9:$BM$508,$BM282,$CF$9:$CF$508,$CF282,$CH$9:$CH$508,$CH282,$CJ$9:$CJ$508,"&lt;"&amp;$CJ282)+1))</f>
        <v/>
      </c>
      <c r="CL282" s="100" t="str">
        <f aca="false">IF(ISBLANK($C282),"",IF($BL282&lt;&gt;Constants!$B$4,$BL282,$CG282-$CK282))</f>
        <v/>
      </c>
      <c r="CM282" s="100" t="str">
        <f aca="false">IF(ISBLANK($C282),"",IF(NOT($AL282),"",IF(ISBLANK($D$7),$CM$5,IF(NOT(ISNUMBER($D$7)),$CM$6,""))))</f>
        <v/>
      </c>
      <c r="CN282" s="100" t="str">
        <f aca="false">IF(ISBLANK($C282),"",OR($AN282="",$AO282="",$AP282=""))</f>
        <v/>
      </c>
      <c r="CO282" s="100" t="str">
        <f aca="false">IF(ISBLANK($C282),"",AND($AL282,$BA282=""))</f>
        <v/>
      </c>
      <c r="CP282" s="100" t="str">
        <f aca="false">IF(ISBLANK($C282),"",AND($AL282,$BB282=""))</f>
        <v/>
      </c>
      <c r="CQ282" s="100" t="str">
        <f aca="false">IF(ISBLANK($C282),"",AND($AL282,$BC282=""))</f>
        <v/>
      </c>
      <c r="CR282" s="100" t="str">
        <f aca="false">IF(ISBLANK($C282),"",AND($AL282,$BF282=""))</f>
        <v/>
      </c>
      <c r="CS282" s="100" t="str">
        <f aca="false">IF(ISBLANK($C282),"",AND($AL282,$BJ282=""))</f>
        <v/>
      </c>
      <c r="CT282" s="101"/>
      <c r="CU282" s="102"/>
      <c r="CV282" s="103" t="str">
        <f aca="false">IF(ISBLANK($C282),"",IF($BL282=Constants!$B$8,$CM282,""))</f>
        <v/>
      </c>
      <c r="CW282" s="102" t="str">
        <f aca="false">IF(ISBLANK($C282),"",IF($BL282&lt;&gt;Constants!$B$4,"",$BO282+$BP282))</f>
        <v/>
      </c>
      <c r="CX282" s="104" t="str">
        <f aca="false">IF(ISBLANK($C282),"",IF($BL282&lt;&gt;Constants!$B$4,"",$BQ282+$BR282+$BS282))</f>
        <v/>
      </c>
      <c r="CY282" s="104" t="str">
        <f aca="false">IF(ISBLANK($C282),"",IF($BL282&lt;&gt;Constants!$B$4,"",$BT282))</f>
        <v/>
      </c>
      <c r="CZ282" s="104" t="str">
        <f aca="false">IF(ISBLANK($C282),"",IF($BL282&lt;&gt;Constants!$B$4,"",$BU282+$BV282))</f>
        <v/>
      </c>
      <c r="DA282" s="104" t="str">
        <f aca="false">IF(ISBLANK($C282),"",IF($BL282&lt;&gt;Constants!$B$4,"",$BW282))</f>
        <v/>
      </c>
      <c r="DB282" s="104" t="str">
        <f aca="false">IF(ISBLANK($C282),"",IF($BL282&lt;&gt;Constants!$B$4,"",-$CD282))</f>
        <v/>
      </c>
      <c r="DC282" s="103" t="str">
        <f aca="false">IF(ISBLANK($C282),"",$CE282)</f>
        <v/>
      </c>
      <c r="DD282" s="105" t="str">
        <f aca="false">IF(ISBLANK($C282),"",$BM282)</f>
        <v/>
      </c>
      <c r="DE282" s="104" t="str">
        <f aca="false">IF(ISBLANK($C282),"",$CL282)</f>
        <v/>
      </c>
      <c r="DF282" s="104" t="str">
        <f aca="false">IF(ISBLANK($C282),"",$CK282)</f>
        <v/>
      </c>
      <c r="DG282" s="106" t="str">
        <f aca="false">IF(ISBLANK($C282),"",IF($DF282=Constants!$B$7,COUNTA($C$9:$C$508)+2,IF($DF282=Constants!$B$6,COUNTA($C$9:$C$508)+1,IF($DF282=Constants!$B$5,COUNTA($C$9:$C$508),$DF282))))</f>
        <v/>
      </c>
      <c r="DH282" s="7"/>
      <c r="DI282" s="107" t="n">
        <f aca="false">IF(OR(ISNUMBER($DF282),$DF282=Constants!$B$7,$DF282=Constants!$B$5,$DF282=Constants!$B$6),1,0)</f>
        <v>0</v>
      </c>
      <c r="DJ282" s="107" t="n">
        <v>274</v>
      </c>
      <c r="DK282" s="107" t="str">
        <f aca="false">IF(ISBLANK($C282),"",IF(ISNUMBER($DG282),$DG282+ROW($B282)/1000,""))</f>
        <v/>
      </c>
      <c r="DL282" s="107" t="str">
        <f aca="false">IF(ISNUMBER($DK282),RANK($DK282,$DK$9:$DK$508,1),"")</f>
        <v/>
      </c>
      <c r="DM282" s="107" t="str">
        <f aca="false">IF(ISBLANK($C282),"",$B282)</f>
        <v/>
      </c>
      <c r="DN282" s="107" t="str">
        <f aca="false">IF(ISBLANK($C282),"",$C282)</f>
        <v/>
      </c>
      <c r="DO282" s="107" t="str">
        <f aca="false">IF(ISBLANK($C282),"",$D282)</f>
        <v/>
      </c>
      <c r="DP282" s="108" t="str">
        <f aca="false">$DD282</f>
        <v/>
      </c>
      <c r="DQ282" s="109" t="str">
        <f aca="false">$DC282</f>
        <v/>
      </c>
      <c r="DR282" s="107" t="str">
        <f aca="false">IF(ISBLANK($C282),"",$DF282)</f>
        <v/>
      </c>
      <c r="DS282" s="110" t="str">
        <f aca="false">IF($DJ282&gt;$DI$8,"",VLOOKUP($DJ282,$DL$9:$DR$508,7,FALSE()))</f>
        <v/>
      </c>
      <c r="DT282" s="111" t="str">
        <f aca="false">IF($DJ282&gt;$DI$8,"",VLOOKUP($DJ282,$DL$9:$DR$508,2,FALSE()))</f>
        <v/>
      </c>
      <c r="DU282" s="111" t="str">
        <f aca="false">IF($DJ282&gt;$DI$8,"",VLOOKUP($DJ282,$DL$9:$DR$508,3,FALSE()))</f>
        <v/>
      </c>
      <c r="DV282" s="111" t="str">
        <f aca="false">IF($DJ282&gt;$DI$8,"",VLOOKUP($DJ282,$DL$9:$DR$508,4,FALSE()))</f>
        <v/>
      </c>
      <c r="DW282" s="111" t="str">
        <f aca="false">IF($DJ282&gt;$DI$8,"",VLOOKUP($DJ282,$DL$9:$DR$508,5,FALSE()))</f>
        <v/>
      </c>
      <c r="DX282" s="112" t="str">
        <f aca="false">IF($DJ282&gt;$DI$8,"",VLOOKUP($DJ282,$DL$9:$DR$508,6,FALSE()))</f>
        <v/>
      </c>
      <c r="DY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130"/>
      <c r="N283" s="130"/>
      <c r="O283" s="135"/>
      <c r="P283" s="135"/>
      <c r="Q283" s="130"/>
      <c r="R283" s="130"/>
      <c r="S283" s="130"/>
      <c r="T283" s="130"/>
      <c r="U283" s="135"/>
      <c r="V283" s="130"/>
      <c r="W283" s="96"/>
      <c r="X283" s="130"/>
      <c r="Y283" s="130"/>
      <c r="Z283" s="96"/>
      <c r="AA283" s="96"/>
      <c r="AB283" s="130"/>
      <c r="AC283" s="130"/>
      <c r="AD283" s="130"/>
      <c r="AE283" s="97"/>
      <c r="AF283" s="130"/>
      <c r="AG283" s="99"/>
      <c r="AH283" s="100"/>
      <c r="AI283" s="100"/>
      <c r="AJ283" s="100" t="str">
        <f aca="false">IF(ISBLANK($C283),"",IF($E283=Constants!$B$2,TRUE(),IF($E283=Constants!$B$3,FALSE(),TRUE())))</f>
        <v/>
      </c>
      <c r="AK283" s="100" t="str">
        <f aca="false">IF(ISBLANK($C283),"",IF($F283=Constants!$B$2,TRUE(),IF($F283=Constants!$B$3,FALSE(),FALSE())))</f>
        <v/>
      </c>
      <c r="AL283" s="100" t="str">
        <f aca="false">IF(ISBLANK($C283),"",IF($G283=Constants!$B$2,TRUE(),IF($G283=Constants!$B$3,FALSE(),TRUE())))</f>
        <v/>
      </c>
      <c r="AM283" s="100" t="str">
        <f aca="false">IF(ISBLANK($C283),"",IF($H283=Constants!$B$2,TRUE(),IF($H283=Constants!$B$3,FALSE(),TRUE())))</f>
        <v/>
      </c>
      <c r="AN283" s="100" t="str">
        <f aca="false">IF(ISBLANK($C283),"",IF(ISNUMBER($I283),IF($I283&gt;=0,$I283,""),""))</f>
        <v/>
      </c>
      <c r="AO283" s="100" t="str">
        <f aca="false">IF(ISBLANK($C283),"",IF(ISNUMBER($J283),IF($J283&gt;=0,$J283,""),""))</f>
        <v/>
      </c>
      <c r="AP283" s="100" t="str">
        <f aca="false">IF(ISBLANK($C283),"",IF(ISNUMBER($K283),IF($K283&gt;=0,$K283,""),""))</f>
        <v/>
      </c>
      <c r="AQ283" s="100" t="str">
        <f aca="false">IF(ISBLANK($C283),"",IF($L283=Constants!$B$2,TRUE(),IF($L283=Constants!$B$3,FALSE(),TRUE())))</f>
        <v/>
      </c>
      <c r="AR283" s="100" t="str">
        <f aca="false">IF(ISBLANK($C283),"",IF($M283=Constants!$B$2,TRUE(),IF($M283=Constants!$B$3,FALSE(),TRUE())))</f>
        <v/>
      </c>
      <c r="AS283" s="100" t="str">
        <f aca="false">IF(ISBLANK($C283),"",IF($N283=Constants!$B$2,TRUE(),IF($N283=Constants!$B$3,FALSE(),FALSE())))</f>
        <v/>
      </c>
      <c r="AT283" s="100" t="str">
        <f aca="false">IF(ISBLANK($C283),"",IF($O283=Constants!$B$2,TRUE(),IF($O283=Constants!$B$3,FALSE(),TRUE())))</f>
        <v/>
      </c>
      <c r="AU283" s="100" t="str">
        <f aca="false">IF(ISBLANK($C283),"",IF($P283=Constants!$B$2,TRUE(),IF($P283=Constants!$B$3,FALSE(),TRUE())))</f>
        <v/>
      </c>
      <c r="AV283" s="100" t="str">
        <f aca="false">IF(ISBLANK($C283),"",IF($Q283=Constants!$B$2,TRUE(),IF($Q283=Constants!$B$3,FALSE(),FALSE())))</f>
        <v/>
      </c>
      <c r="AW283" s="100" t="str">
        <f aca="false">IF(ISBLANK($C283),"",IF($R283=Constants!$B$2,TRUE(),IF($R283=Constants!$B$3,FALSE(),FALSE())))</f>
        <v/>
      </c>
      <c r="AX283" s="100" t="str">
        <f aca="false">IF(ISBLANK($C283),"",IF($S283=Constants!$B$2,TRUE(),IF($S283=Constants!$B$3,FALSE(),FALSE())))</f>
        <v/>
      </c>
      <c r="AY283" s="100" t="str">
        <f aca="false">IF(ISBLANK($C283),"",IF($T283=Constants!$B$2,TRUE(),IF($T283=Constants!$B$3,FALSE(),FALSE())))</f>
        <v/>
      </c>
      <c r="AZ283" s="100" t="str">
        <f aca="false">IF(ISBLANK($C283),"",IF($U283=Constants!$B$2,TRUE(),IF($U283=Constants!$B$3,FALSE(),FALSE())))</f>
        <v/>
      </c>
      <c r="BA283" s="100" t="str">
        <f aca="false">IF(ISBLANK($C283),"",IF(OR($V283&amp;""="1",$V283&amp;""="2",$V283&amp;""="3",$V283&amp;""="4"),VALUE($V283&amp;""),IF($V283=Constants!$B$12,Constants!$B$12,"")))</f>
        <v/>
      </c>
      <c r="BB283" s="100" t="str">
        <f aca="false">IF(ISBLANK($C283),"",IF(ISBLANK($W283),0,IF(ISNUMBER($W283),IF(AND($W283&gt;=0,$W283&lt;=Constants!$B$21,$W283=INT($W283)),$W283,""),"")))</f>
        <v/>
      </c>
      <c r="BC283" s="100" t="str">
        <f aca="false">IF(ISBLANK($C283),"",IF(ISBLANK($X283),0,IF(ISNUMBER($X283),IF($X283&gt;=0,$X283,""),"")))</f>
        <v/>
      </c>
      <c r="BD283" s="100" t="str">
        <f aca="false">IF(ISBLANK($C283),"",IF($Y283=Constants!$B$2,TRUE(),IF($Y283=Constants!$B$3,FALSE(),TRUE())))</f>
        <v/>
      </c>
      <c r="BE283" s="100" t="str">
        <f aca="false">IF(ISBLANK($C283),"",IF($Z283=Constants!$B$2,TRUE(),IF($Z283=Constants!$B$3,FALSE(),FALSE())))</f>
        <v/>
      </c>
      <c r="BF283" s="100" t="str">
        <f aca="false">IF(ISBLANK($C283),"",IF(ISBLANK($AA283),0,IF(ISNUMBER($AA283),IF(AND($AA283&gt;=0,$AA283&lt;=Constants!$B$35,$AA283=INT($AA283)),$AA283,""),"")))</f>
        <v/>
      </c>
      <c r="BG283" s="100" t="str">
        <f aca="false">IF(ISBLANK($C283),"",IF($AB283=Constants!$B$2,TRUE(),IF($AB283=Constants!$B$3,FALSE(),TRUE())))</f>
        <v/>
      </c>
      <c r="BH283" s="100" t="str">
        <f aca="false">IF(ISBLANK($C283),"",IF($AC283=Constants!$B$2,TRUE(),IF($AC283=Constants!$B$3,FALSE(),TRUE())))</f>
        <v/>
      </c>
      <c r="BI283" s="100" t="str">
        <f aca="false">IF(ISBLANK($C283),"",IF($AD283=Constants!$B$2,TRUE(),IF($AD283=Constants!$B$3,FALSE(),TRUE())))</f>
        <v/>
      </c>
      <c r="BJ283" s="100" t="str">
        <f aca="false">IF(ISBLANK($C283),"",IF(ISNUMBER($AE283),IF($AE283&gt;=0,$AE283,""),""))</f>
        <v/>
      </c>
      <c r="BK283" s="100" t="str">
        <f aca="false">IF(ISBLANK($C283),"",IF($AF283=Constants!$B$2,TRUE(),IF($AF283=Constants!$B$3,FALSE(),FALSE())))</f>
        <v/>
      </c>
      <c r="BL283" s="99" t="str">
        <f aca="false">IF(ISBLANK($C283),"",IF($BK283,Constants!$B$7,IF(COUNTA($E283:$AE283)=0,Constants!$B$6,IF(OR(COUNTA($G283:$AE283)=0,NOT($AM283),$AS283),Constants!$B$5,IF(OR($CM283&lt;&gt;"",$CN283,$CO283,$CP283,$CQ283,$CR283,$CS283),Constants!$B$8,Constants!$B$4)))))</f>
        <v/>
      </c>
      <c r="BM283" s="100" t="str">
        <f aca="false">IF(ISBLANK($C283),"",IF($BL283&lt;&gt;Constants!$B$4,$BL283,IF(OR(NOT($AJ283),NOT($AL283),NOT($AT283)),Constants!$B$11,IF(OR(NOT($AR283),NOT($AU283),NOT($BI283),MAX($AN283,$AO283,$AP283)&gt;Constants!$B$30),Constants!$B$10,Constants!$B$9))))</f>
        <v/>
      </c>
      <c r="BN283" s="100" t="str">
        <f aca="false">IF($BL283&lt;&gt;Constants!$B$4,"",IF(NOT($AL283),0,MIN(Constants!$B$35,$BF283)))</f>
        <v/>
      </c>
      <c r="BO283" s="100" t="str">
        <f aca="false">IF($BL283&lt;&gt;Constants!$B$4,"",IF(NOT($AL283),0,IF($AW283,Constants!$B$18,IF($AV283,Constants!$B$17,0))))</f>
        <v/>
      </c>
      <c r="BP283" s="100" t="str">
        <f aca="false">IF($BL283&lt;&gt;Constants!$B$4,"",IF(NOT($AL283),0,Constants!$B$19*($AK283+$AX283+$AY283+$AZ283)))</f>
        <v/>
      </c>
      <c r="BQ283" s="100" t="str">
        <f aca="false">IF($BL283&lt;&gt;Constants!$B$4,"",IF(OR(NOT($AL283),NOT(ISNUMBER($BA283))),0,CHOOSE($BA283,Constants!$B$13,Constants!$B$14,Constants!$B$15,Constants!$B$16)))</f>
        <v/>
      </c>
      <c r="BR283" s="100" t="str">
        <f aca="false">IF($BL283&lt;&gt;Constants!$B$4,"",IF(NOT($AL283),0,Constants!$B$20*$BB283))</f>
        <v/>
      </c>
      <c r="BS283" s="100" t="str">
        <f aca="false">IF($BL283&lt;&gt;Constants!$B$4,"",IF(AND($AL283,$BD283,$BE283),Constants!$B$22,0))</f>
        <v/>
      </c>
      <c r="BT283" s="100" t="str">
        <f aca="false">IF($BL283&lt;&gt;Constants!$B$4,"",IF(OR(NOT($AL283),NOT($BD283)),0,IF($BJ283&gt;=2*$AH$9,0,Constants!$B$23*INT(ROUND(MIN($BJ283,$AH$9),6)))))</f>
        <v/>
      </c>
      <c r="BU283" s="100" t="str">
        <f aca="false">IF($BL283&lt;&gt;Constants!$B$4,"",IF(NOT($AL283),0,Constants!$B$24*INT(ROUND(MIN($BC283,$AH$9),6))))</f>
        <v/>
      </c>
      <c r="BV283" s="100" t="str">
        <f aca="false">IF($BL283&lt;&gt;Constants!$B$4,"",IF(AND($AL283,$BN283=0),Constants!$B$25,0))</f>
        <v/>
      </c>
      <c r="BW283" s="100" t="str">
        <f aca="false">IF($BL283&lt;&gt;Constants!$B$4,"",MIN(Constants!$B$29,MAX(0,Constants!$B$27*Constants!$B$28*INT(ROUND((Constants!$B$26-$AN283)/Constants!$B$28,6))))+MIN(Constants!$B$29,MAX(0,Constants!$B$27*Constants!$B$28*INT(ROUND((Constants!$B$26-$AO283)/Constants!$B$28,6))))+MIN(Constants!$B$29,MAX(0,Constants!$B$27*Constants!$B$28*INT(ROUND((Constants!$B$26-$AP283)/Constants!$B$28,6)))))</f>
        <v/>
      </c>
      <c r="BX283" s="100" t="str">
        <f aca="false">IF($BL283&lt;&gt;Constants!$B$4,"",IF(NOT($AL283),0,Constants!$B$31*INT(ROUND(MAX(0,MIN($BJ283,2*$AH$9)-$AH$9),6))))</f>
        <v/>
      </c>
      <c r="BY283" s="100" t="str">
        <f aca="false">IF($BL283&lt;&gt;Constants!$B$4,"",Constants!$B$32*(($AN283&gt;Constants!$B$26)+($AO283&gt;Constants!$B$26)+($AP283&gt;Constants!$B$26)))</f>
        <v/>
      </c>
      <c r="BZ283" s="100" t="str">
        <f aca="false">IF($BL283&lt;&gt;Constants!$B$4,"",IF(OR(NOT($AL283),$AQ283),0,Constants!$B$33))</f>
        <v/>
      </c>
      <c r="CA283" s="100" t="str">
        <f aca="false">IF($BL283&lt;&gt;Constants!$B$4,"",Constants!$B$34*$BN283)</f>
        <v/>
      </c>
      <c r="CB283" s="100" t="str">
        <f aca="false">IF($BL283&lt;&gt;Constants!$B$4,"",IF(OR(NOT($AL283),$BH283),0,Constants!$B$36))</f>
        <v/>
      </c>
      <c r="CC283" s="100" t="str">
        <f aca="false">IF($BL283&lt;&gt;Constants!$B$4,"",IF(OR(NOT($AL283),$BG283),0,Constants!$B$37))</f>
        <v/>
      </c>
      <c r="CD283" s="100" t="str">
        <f aca="false">IF($BL283&lt;&gt;Constants!$B$4,"",SUM($BX283:$CC283))</f>
        <v/>
      </c>
      <c r="CE283" s="100" t="str">
        <f aca="false">IF(ISBLANK($C283),"",IF($BL283&lt;&gt;Constants!$B$4,$BL283,SUM($BO283:$BW283)-$CD283))</f>
        <v/>
      </c>
      <c r="CF283" s="100" t="str">
        <f aca="false">IF(ISBLANK($C283),"",IF($BL283&lt;&gt;Constants!$B$4,$BL283,RANK($CE283,$CE$9:$CE$508)))</f>
        <v/>
      </c>
      <c r="CG283" s="100" t="str">
        <f aca="false">IF(ISBLANK($C283),"",IF($BL283&lt;&gt;Constants!$B$4,$BL283,COUNTIFS($BM$9:$BM$508,"&lt;"&amp;$BM283)+COUNTIFS($BM$9:$BM$508,$BM283,$CF$9:$CF$508,"&lt;"&amp;$CF283)+1))</f>
        <v/>
      </c>
      <c r="CH283" s="100" t="str">
        <f aca="false">IF(ISBLANK($C283),"",IF($BL283&lt;&gt;Constants!$B$4,$BL283,RANK($CD283,$CD$9:$CD$508,1)))</f>
        <v/>
      </c>
      <c r="CI283" s="100" t="str">
        <f aca="false">IF($BL283&lt;&gt;Constants!$B$4,"",$AN283+$AO283+$AP283)</f>
        <v/>
      </c>
      <c r="CJ283" s="100" t="str">
        <f aca="false">IF(ISBLANK($C283),"",IF($BL283&lt;&gt;Constants!$B$4,$BL283,RANK($CI283,$CI$9:$CI$508,1)))</f>
        <v/>
      </c>
      <c r="CK283" s="100" t="str">
        <f aca="false">IF(ISBLANK($C283),"",IF($BL283&lt;&gt;Constants!$B$4,$BL283,COUNTIFS($BM$9:$BM$508,"&lt;"&amp;$BM283)+COUNTIFS($BM$9:$BM$508,$BM283,$CF$9:$CF$508,"&lt;"&amp;$CF283)+COUNTIFS($BM$9:$BM$508,$BM283,$CF$9:$CF$508,$CF283,$CH$9:$CH$508,"&lt;"&amp;$CH283)+COUNTIFS($BM$9:$BM$508,$BM283,$CF$9:$CF$508,$CF283,$CH$9:$CH$508,$CH283,$CJ$9:$CJ$508,"&lt;"&amp;$CJ283)+1))</f>
        <v/>
      </c>
      <c r="CL283" s="100" t="str">
        <f aca="false">IF(ISBLANK($C283),"",IF($BL283&lt;&gt;Constants!$B$4,$BL283,$CG283-$CK283))</f>
        <v/>
      </c>
      <c r="CM283" s="100" t="str">
        <f aca="false">IF(ISBLANK($C283),"",IF(NOT($AL283),"",IF(ISBLANK($D$7),$CM$5,IF(NOT(ISNUMBER($D$7)),$CM$6,""))))</f>
        <v/>
      </c>
      <c r="CN283" s="100" t="str">
        <f aca="false">IF(ISBLANK($C283),"",OR($AN283="",$AO283="",$AP283=""))</f>
        <v/>
      </c>
      <c r="CO283" s="100" t="str">
        <f aca="false">IF(ISBLANK($C283),"",AND($AL283,$BA283=""))</f>
        <v/>
      </c>
      <c r="CP283" s="100" t="str">
        <f aca="false">IF(ISBLANK($C283),"",AND($AL283,$BB283=""))</f>
        <v/>
      </c>
      <c r="CQ283" s="100" t="str">
        <f aca="false">IF(ISBLANK($C283),"",AND($AL283,$BC283=""))</f>
        <v/>
      </c>
      <c r="CR283" s="100" t="str">
        <f aca="false">IF(ISBLANK($C283),"",AND($AL283,$BF283=""))</f>
        <v/>
      </c>
      <c r="CS283" s="100" t="str">
        <f aca="false">IF(ISBLANK($C283),"",AND($AL283,$BJ283=""))</f>
        <v/>
      </c>
      <c r="CT283" s="101"/>
      <c r="CU283" s="102"/>
      <c r="CV283" s="103" t="str">
        <f aca="false">IF(ISBLANK($C283),"",IF($BL283=Constants!$B$8,$CM283,""))</f>
        <v/>
      </c>
      <c r="CW283" s="102" t="str">
        <f aca="false">IF(ISBLANK($C283),"",IF($BL283&lt;&gt;Constants!$B$4,"",$BO283+$BP283))</f>
        <v/>
      </c>
      <c r="CX283" s="104" t="str">
        <f aca="false">IF(ISBLANK($C283),"",IF($BL283&lt;&gt;Constants!$B$4,"",$BQ283+$BR283+$BS283))</f>
        <v/>
      </c>
      <c r="CY283" s="104" t="str">
        <f aca="false">IF(ISBLANK($C283),"",IF($BL283&lt;&gt;Constants!$B$4,"",$BT283))</f>
        <v/>
      </c>
      <c r="CZ283" s="104" t="str">
        <f aca="false">IF(ISBLANK($C283),"",IF($BL283&lt;&gt;Constants!$B$4,"",$BU283+$BV283))</f>
        <v/>
      </c>
      <c r="DA283" s="104" t="str">
        <f aca="false">IF(ISBLANK($C283),"",IF($BL283&lt;&gt;Constants!$B$4,"",$BW283))</f>
        <v/>
      </c>
      <c r="DB283" s="104" t="str">
        <f aca="false">IF(ISBLANK($C283),"",IF($BL283&lt;&gt;Constants!$B$4,"",-$CD283))</f>
        <v/>
      </c>
      <c r="DC283" s="103" t="str">
        <f aca="false">IF(ISBLANK($C283),"",$CE283)</f>
        <v/>
      </c>
      <c r="DD283" s="105" t="str">
        <f aca="false">IF(ISBLANK($C283),"",$BM283)</f>
        <v/>
      </c>
      <c r="DE283" s="104" t="str">
        <f aca="false">IF(ISBLANK($C283),"",$CL283)</f>
        <v/>
      </c>
      <c r="DF283" s="104" t="str">
        <f aca="false">IF(ISBLANK($C283),"",$CK283)</f>
        <v/>
      </c>
      <c r="DG283" s="106" t="str">
        <f aca="false">IF(ISBLANK($C283),"",IF($DF283=Constants!$B$7,COUNTA($C$9:$C$508)+2,IF($DF283=Constants!$B$6,COUNTA($C$9:$C$508)+1,IF($DF283=Constants!$B$5,COUNTA($C$9:$C$508),$DF283))))</f>
        <v/>
      </c>
      <c r="DH283" s="7"/>
      <c r="DI283" s="107" t="n">
        <f aca="false">IF(OR(ISNUMBER($DF283),$DF283=Constants!$B$7,$DF283=Constants!$B$5,$DF283=Constants!$B$6),1,0)</f>
        <v>0</v>
      </c>
      <c r="DJ283" s="107" t="n">
        <v>275</v>
      </c>
      <c r="DK283" s="107" t="str">
        <f aca="false">IF(ISBLANK($C283),"",IF(ISNUMBER($DG283),$DG283+ROW($B283)/1000,""))</f>
        <v/>
      </c>
      <c r="DL283" s="107" t="str">
        <f aca="false">IF(ISNUMBER($DK283),RANK($DK283,$DK$9:$DK$508,1),"")</f>
        <v/>
      </c>
      <c r="DM283" s="107" t="str">
        <f aca="false">IF(ISBLANK($C283),"",$B283)</f>
        <v/>
      </c>
      <c r="DN283" s="107" t="str">
        <f aca="false">IF(ISBLANK($C283),"",$C283)</f>
        <v/>
      </c>
      <c r="DO283" s="107" t="str">
        <f aca="false">IF(ISBLANK($C283),"",$D283)</f>
        <v/>
      </c>
      <c r="DP283" s="108" t="str">
        <f aca="false">$DD283</f>
        <v/>
      </c>
      <c r="DQ283" s="109" t="str">
        <f aca="false">$DC283</f>
        <v/>
      </c>
      <c r="DR283" s="107" t="str">
        <f aca="false">IF(ISBLANK($C283),"",$DF283)</f>
        <v/>
      </c>
      <c r="DS283" s="110" t="str">
        <f aca="false">IF($DJ283&gt;$DI$8,"",VLOOKUP($DJ283,$DL$9:$DR$508,7,FALSE()))</f>
        <v/>
      </c>
      <c r="DT283" s="111" t="str">
        <f aca="false">IF($DJ283&gt;$DI$8,"",VLOOKUP($DJ283,$DL$9:$DR$508,2,FALSE()))</f>
        <v/>
      </c>
      <c r="DU283" s="111" t="str">
        <f aca="false">IF($DJ283&gt;$DI$8,"",VLOOKUP($DJ283,$DL$9:$DR$508,3,FALSE()))</f>
        <v/>
      </c>
      <c r="DV283" s="111" t="str">
        <f aca="false">IF($DJ283&gt;$DI$8,"",VLOOKUP($DJ283,$DL$9:$DR$508,4,FALSE()))</f>
        <v/>
      </c>
      <c r="DW283" s="111" t="str">
        <f aca="false">IF($DJ283&gt;$DI$8,"",VLOOKUP($DJ283,$DL$9:$DR$508,5,FALSE()))</f>
        <v/>
      </c>
      <c r="DX283" s="112" t="str">
        <f aca="false">IF($DJ283&gt;$DI$8,"",VLOOKUP($DJ283,$DL$9:$DR$508,6,FALSE()))</f>
        <v/>
      </c>
      <c r="DY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130"/>
      <c r="N284" s="130"/>
      <c r="O284" s="135"/>
      <c r="P284" s="135"/>
      <c r="Q284" s="130"/>
      <c r="R284" s="130"/>
      <c r="S284" s="130"/>
      <c r="T284" s="130"/>
      <c r="U284" s="135"/>
      <c r="V284" s="130"/>
      <c r="W284" s="96"/>
      <c r="X284" s="130"/>
      <c r="Y284" s="130"/>
      <c r="Z284" s="96"/>
      <c r="AA284" s="96"/>
      <c r="AB284" s="130"/>
      <c r="AC284" s="130"/>
      <c r="AD284" s="130"/>
      <c r="AE284" s="97"/>
      <c r="AF284" s="130"/>
      <c r="AG284" s="99"/>
      <c r="AH284" s="100"/>
      <c r="AI284" s="100"/>
      <c r="AJ284" s="100" t="str">
        <f aca="false">IF(ISBLANK($C284),"",IF($E284=Constants!$B$2,TRUE(),IF($E284=Constants!$B$3,FALSE(),TRUE())))</f>
        <v/>
      </c>
      <c r="AK284" s="100" t="str">
        <f aca="false">IF(ISBLANK($C284),"",IF($F284=Constants!$B$2,TRUE(),IF($F284=Constants!$B$3,FALSE(),FALSE())))</f>
        <v/>
      </c>
      <c r="AL284" s="100" t="str">
        <f aca="false">IF(ISBLANK($C284),"",IF($G284=Constants!$B$2,TRUE(),IF($G284=Constants!$B$3,FALSE(),TRUE())))</f>
        <v/>
      </c>
      <c r="AM284" s="100" t="str">
        <f aca="false">IF(ISBLANK($C284),"",IF($H284=Constants!$B$2,TRUE(),IF($H284=Constants!$B$3,FALSE(),TRUE())))</f>
        <v/>
      </c>
      <c r="AN284" s="100" t="str">
        <f aca="false">IF(ISBLANK($C284),"",IF(ISNUMBER($I284),IF($I284&gt;=0,$I284,""),""))</f>
        <v/>
      </c>
      <c r="AO284" s="100" t="str">
        <f aca="false">IF(ISBLANK($C284),"",IF(ISNUMBER($J284),IF($J284&gt;=0,$J284,""),""))</f>
        <v/>
      </c>
      <c r="AP284" s="100" t="str">
        <f aca="false">IF(ISBLANK($C284),"",IF(ISNUMBER($K284),IF($K284&gt;=0,$K284,""),""))</f>
        <v/>
      </c>
      <c r="AQ284" s="100" t="str">
        <f aca="false">IF(ISBLANK($C284),"",IF($L284=Constants!$B$2,TRUE(),IF($L284=Constants!$B$3,FALSE(),TRUE())))</f>
        <v/>
      </c>
      <c r="AR284" s="100" t="str">
        <f aca="false">IF(ISBLANK($C284),"",IF($M284=Constants!$B$2,TRUE(),IF($M284=Constants!$B$3,FALSE(),TRUE())))</f>
        <v/>
      </c>
      <c r="AS284" s="100" t="str">
        <f aca="false">IF(ISBLANK($C284),"",IF($N284=Constants!$B$2,TRUE(),IF($N284=Constants!$B$3,FALSE(),FALSE())))</f>
        <v/>
      </c>
      <c r="AT284" s="100" t="str">
        <f aca="false">IF(ISBLANK($C284),"",IF($O284=Constants!$B$2,TRUE(),IF($O284=Constants!$B$3,FALSE(),TRUE())))</f>
        <v/>
      </c>
      <c r="AU284" s="100" t="str">
        <f aca="false">IF(ISBLANK($C284),"",IF($P284=Constants!$B$2,TRUE(),IF($P284=Constants!$B$3,FALSE(),TRUE())))</f>
        <v/>
      </c>
      <c r="AV284" s="100" t="str">
        <f aca="false">IF(ISBLANK($C284),"",IF($Q284=Constants!$B$2,TRUE(),IF($Q284=Constants!$B$3,FALSE(),FALSE())))</f>
        <v/>
      </c>
      <c r="AW284" s="100" t="str">
        <f aca="false">IF(ISBLANK($C284),"",IF($R284=Constants!$B$2,TRUE(),IF($R284=Constants!$B$3,FALSE(),FALSE())))</f>
        <v/>
      </c>
      <c r="AX284" s="100" t="str">
        <f aca="false">IF(ISBLANK($C284),"",IF($S284=Constants!$B$2,TRUE(),IF($S284=Constants!$B$3,FALSE(),FALSE())))</f>
        <v/>
      </c>
      <c r="AY284" s="100" t="str">
        <f aca="false">IF(ISBLANK($C284),"",IF($T284=Constants!$B$2,TRUE(),IF($T284=Constants!$B$3,FALSE(),FALSE())))</f>
        <v/>
      </c>
      <c r="AZ284" s="100" t="str">
        <f aca="false">IF(ISBLANK($C284),"",IF($U284=Constants!$B$2,TRUE(),IF($U284=Constants!$B$3,FALSE(),FALSE())))</f>
        <v/>
      </c>
      <c r="BA284" s="100" t="str">
        <f aca="false">IF(ISBLANK($C284),"",IF(OR($V284&amp;""="1",$V284&amp;""="2",$V284&amp;""="3",$V284&amp;""="4"),VALUE($V284&amp;""),IF($V284=Constants!$B$12,Constants!$B$12,"")))</f>
        <v/>
      </c>
      <c r="BB284" s="100" t="str">
        <f aca="false">IF(ISBLANK($C284),"",IF(ISBLANK($W284),0,IF(ISNUMBER($W284),IF(AND($W284&gt;=0,$W284&lt;=Constants!$B$21,$W284=INT($W284)),$W284,""),"")))</f>
        <v/>
      </c>
      <c r="BC284" s="100" t="str">
        <f aca="false">IF(ISBLANK($C284),"",IF(ISBLANK($X284),0,IF(ISNUMBER($X284),IF($X284&gt;=0,$X284,""),"")))</f>
        <v/>
      </c>
      <c r="BD284" s="100" t="str">
        <f aca="false">IF(ISBLANK($C284),"",IF($Y284=Constants!$B$2,TRUE(),IF($Y284=Constants!$B$3,FALSE(),TRUE())))</f>
        <v/>
      </c>
      <c r="BE284" s="100" t="str">
        <f aca="false">IF(ISBLANK($C284),"",IF($Z284=Constants!$B$2,TRUE(),IF($Z284=Constants!$B$3,FALSE(),FALSE())))</f>
        <v/>
      </c>
      <c r="BF284" s="100" t="str">
        <f aca="false">IF(ISBLANK($C284),"",IF(ISBLANK($AA284),0,IF(ISNUMBER($AA284),IF(AND($AA284&gt;=0,$AA284&lt;=Constants!$B$35,$AA284=INT($AA284)),$AA284,""),"")))</f>
        <v/>
      </c>
      <c r="BG284" s="100" t="str">
        <f aca="false">IF(ISBLANK($C284),"",IF($AB284=Constants!$B$2,TRUE(),IF($AB284=Constants!$B$3,FALSE(),TRUE())))</f>
        <v/>
      </c>
      <c r="BH284" s="100" t="str">
        <f aca="false">IF(ISBLANK($C284),"",IF($AC284=Constants!$B$2,TRUE(),IF($AC284=Constants!$B$3,FALSE(),TRUE())))</f>
        <v/>
      </c>
      <c r="BI284" s="100" t="str">
        <f aca="false">IF(ISBLANK($C284),"",IF($AD284=Constants!$B$2,TRUE(),IF($AD284=Constants!$B$3,FALSE(),TRUE())))</f>
        <v/>
      </c>
      <c r="BJ284" s="100" t="str">
        <f aca="false">IF(ISBLANK($C284),"",IF(ISNUMBER($AE284),IF($AE284&gt;=0,$AE284,""),""))</f>
        <v/>
      </c>
      <c r="BK284" s="100" t="str">
        <f aca="false">IF(ISBLANK($C284),"",IF($AF284=Constants!$B$2,TRUE(),IF($AF284=Constants!$B$3,FALSE(),FALSE())))</f>
        <v/>
      </c>
      <c r="BL284" s="99" t="str">
        <f aca="false">IF(ISBLANK($C284),"",IF($BK284,Constants!$B$7,IF(COUNTA($E284:$AE284)=0,Constants!$B$6,IF(OR(COUNTA($G284:$AE284)=0,NOT($AM284),$AS284),Constants!$B$5,IF(OR($CM284&lt;&gt;"",$CN284,$CO284,$CP284,$CQ284,$CR284,$CS284),Constants!$B$8,Constants!$B$4)))))</f>
        <v/>
      </c>
      <c r="BM284" s="100" t="str">
        <f aca="false">IF(ISBLANK($C284),"",IF($BL284&lt;&gt;Constants!$B$4,$BL284,IF(OR(NOT($AJ284),NOT($AL284),NOT($AT284)),Constants!$B$11,IF(OR(NOT($AR284),NOT($AU284),NOT($BI284),MAX($AN284,$AO284,$AP284)&gt;Constants!$B$30),Constants!$B$10,Constants!$B$9))))</f>
        <v/>
      </c>
      <c r="BN284" s="100" t="str">
        <f aca="false">IF($BL284&lt;&gt;Constants!$B$4,"",IF(NOT($AL284),0,MIN(Constants!$B$35,$BF284)))</f>
        <v/>
      </c>
      <c r="BO284" s="100" t="str">
        <f aca="false">IF($BL284&lt;&gt;Constants!$B$4,"",IF(NOT($AL284),0,IF($AW284,Constants!$B$18,IF($AV284,Constants!$B$17,0))))</f>
        <v/>
      </c>
      <c r="BP284" s="100" t="str">
        <f aca="false">IF($BL284&lt;&gt;Constants!$B$4,"",IF(NOT($AL284),0,Constants!$B$19*($AK284+$AX284+$AY284+$AZ284)))</f>
        <v/>
      </c>
      <c r="BQ284" s="100" t="str">
        <f aca="false">IF($BL284&lt;&gt;Constants!$B$4,"",IF(OR(NOT($AL284),NOT(ISNUMBER($BA284))),0,CHOOSE($BA284,Constants!$B$13,Constants!$B$14,Constants!$B$15,Constants!$B$16)))</f>
        <v/>
      </c>
      <c r="BR284" s="100" t="str">
        <f aca="false">IF($BL284&lt;&gt;Constants!$B$4,"",IF(NOT($AL284),0,Constants!$B$20*$BB284))</f>
        <v/>
      </c>
      <c r="BS284" s="100" t="str">
        <f aca="false">IF($BL284&lt;&gt;Constants!$B$4,"",IF(AND($AL284,$BD284,$BE284),Constants!$B$22,0))</f>
        <v/>
      </c>
      <c r="BT284" s="100" t="str">
        <f aca="false">IF($BL284&lt;&gt;Constants!$B$4,"",IF(OR(NOT($AL284),NOT($BD284)),0,IF($BJ284&gt;=2*$AH$9,0,Constants!$B$23*INT(ROUND(MIN($BJ284,$AH$9),6)))))</f>
        <v/>
      </c>
      <c r="BU284" s="100" t="str">
        <f aca="false">IF($BL284&lt;&gt;Constants!$B$4,"",IF(NOT($AL284),0,Constants!$B$24*INT(ROUND(MIN($BC284,$AH$9),6))))</f>
        <v/>
      </c>
      <c r="BV284" s="100" t="str">
        <f aca="false">IF($BL284&lt;&gt;Constants!$B$4,"",IF(AND($AL284,$BN284=0),Constants!$B$25,0))</f>
        <v/>
      </c>
      <c r="BW284" s="100" t="str">
        <f aca="false">IF($BL284&lt;&gt;Constants!$B$4,"",MIN(Constants!$B$29,MAX(0,Constants!$B$27*Constants!$B$28*INT(ROUND((Constants!$B$26-$AN284)/Constants!$B$28,6))))+MIN(Constants!$B$29,MAX(0,Constants!$B$27*Constants!$B$28*INT(ROUND((Constants!$B$26-$AO284)/Constants!$B$28,6))))+MIN(Constants!$B$29,MAX(0,Constants!$B$27*Constants!$B$28*INT(ROUND((Constants!$B$26-$AP284)/Constants!$B$28,6)))))</f>
        <v/>
      </c>
      <c r="BX284" s="100" t="str">
        <f aca="false">IF($BL284&lt;&gt;Constants!$B$4,"",IF(NOT($AL284),0,Constants!$B$31*INT(ROUND(MAX(0,MIN($BJ284,2*$AH$9)-$AH$9),6))))</f>
        <v/>
      </c>
      <c r="BY284" s="100" t="str">
        <f aca="false">IF($BL284&lt;&gt;Constants!$B$4,"",Constants!$B$32*(($AN284&gt;Constants!$B$26)+($AO284&gt;Constants!$B$26)+($AP284&gt;Constants!$B$26)))</f>
        <v/>
      </c>
      <c r="BZ284" s="100" t="str">
        <f aca="false">IF($BL284&lt;&gt;Constants!$B$4,"",IF(OR(NOT($AL284),$AQ284),0,Constants!$B$33))</f>
        <v/>
      </c>
      <c r="CA284" s="100" t="str">
        <f aca="false">IF($BL284&lt;&gt;Constants!$B$4,"",Constants!$B$34*$BN284)</f>
        <v/>
      </c>
      <c r="CB284" s="100" t="str">
        <f aca="false">IF($BL284&lt;&gt;Constants!$B$4,"",IF(OR(NOT($AL284),$BH284),0,Constants!$B$36))</f>
        <v/>
      </c>
      <c r="CC284" s="100" t="str">
        <f aca="false">IF($BL284&lt;&gt;Constants!$B$4,"",IF(OR(NOT($AL284),$BG284),0,Constants!$B$37))</f>
        <v/>
      </c>
      <c r="CD284" s="100" t="str">
        <f aca="false">IF($BL284&lt;&gt;Constants!$B$4,"",SUM($BX284:$CC284))</f>
        <v/>
      </c>
      <c r="CE284" s="100" t="str">
        <f aca="false">IF(ISBLANK($C284),"",IF($BL284&lt;&gt;Constants!$B$4,$BL284,SUM($BO284:$BW284)-$CD284))</f>
        <v/>
      </c>
      <c r="CF284" s="100" t="str">
        <f aca="false">IF(ISBLANK($C284),"",IF($BL284&lt;&gt;Constants!$B$4,$BL284,RANK($CE284,$CE$9:$CE$508)))</f>
        <v/>
      </c>
      <c r="CG284" s="100" t="str">
        <f aca="false">IF(ISBLANK($C284),"",IF($BL284&lt;&gt;Constants!$B$4,$BL284,COUNTIFS($BM$9:$BM$508,"&lt;"&amp;$BM284)+COUNTIFS($BM$9:$BM$508,$BM284,$CF$9:$CF$508,"&lt;"&amp;$CF284)+1))</f>
        <v/>
      </c>
      <c r="CH284" s="100" t="str">
        <f aca="false">IF(ISBLANK($C284),"",IF($BL284&lt;&gt;Constants!$B$4,$BL284,RANK($CD284,$CD$9:$CD$508,1)))</f>
        <v/>
      </c>
      <c r="CI284" s="100" t="str">
        <f aca="false">IF($BL284&lt;&gt;Constants!$B$4,"",$AN284+$AO284+$AP284)</f>
        <v/>
      </c>
      <c r="CJ284" s="100" t="str">
        <f aca="false">IF(ISBLANK($C284),"",IF($BL284&lt;&gt;Constants!$B$4,$BL284,RANK($CI284,$CI$9:$CI$508,1)))</f>
        <v/>
      </c>
      <c r="CK284" s="100" t="str">
        <f aca="false">IF(ISBLANK($C284),"",IF($BL284&lt;&gt;Constants!$B$4,$BL284,COUNTIFS($BM$9:$BM$508,"&lt;"&amp;$BM284)+COUNTIFS($BM$9:$BM$508,$BM284,$CF$9:$CF$508,"&lt;"&amp;$CF284)+COUNTIFS($BM$9:$BM$508,$BM284,$CF$9:$CF$508,$CF284,$CH$9:$CH$508,"&lt;"&amp;$CH284)+COUNTIFS($BM$9:$BM$508,$BM284,$CF$9:$CF$508,$CF284,$CH$9:$CH$508,$CH284,$CJ$9:$CJ$508,"&lt;"&amp;$CJ284)+1))</f>
        <v/>
      </c>
      <c r="CL284" s="100" t="str">
        <f aca="false">IF(ISBLANK($C284),"",IF($BL284&lt;&gt;Constants!$B$4,$BL284,$CG284-$CK284))</f>
        <v/>
      </c>
      <c r="CM284" s="100" t="str">
        <f aca="false">IF(ISBLANK($C284),"",IF(NOT($AL284),"",IF(ISBLANK($D$7),$CM$5,IF(NOT(ISNUMBER($D$7)),$CM$6,""))))</f>
        <v/>
      </c>
      <c r="CN284" s="100" t="str">
        <f aca="false">IF(ISBLANK($C284),"",OR($AN284="",$AO284="",$AP284=""))</f>
        <v/>
      </c>
      <c r="CO284" s="100" t="str">
        <f aca="false">IF(ISBLANK($C284),"",AND($AL284,$BA284=""))</f>
        <v/>
      </c>
      <c r="CP284" s="100" t="str">
        <f aca="false">IF(ISBLANK($C284),"",AND($AL284,$BB284=""))</f>
        <v/>
      </c>
      <c r="CQ284" s="100" t="str">
        <f aca="false">IF(ISBLANK($C284),"",AND($AL284,$BC284=""))</f>
        <v/>
      </c>
      <c r="CR284" s="100" t="str">
        <f aca="false">IF(ISBLANK($C284),"",AND($AL284,$BF284=""))</f>
        <v/>
      </c>
      <c r="CS284" s="100" t="str">
        <f aca="false">IF(ISBLANK($C284),"",AND($AL284,$BJ284=""))</f>
        <v/>
      </c>
      <c r="CT284" s="101"/>
      <c r="CU284" s="102"/>
      <c r="CV284" s="103" t="str">
        <f aca="false">IF(ISBLANK($C284),"",IF($BL284=Constants!$B$8,$CM284,""))</f>
        <v/>
      </c>
      <c r="CW284" s="102" t="str">
        <f aca="false">IF(ISBLANK($C284),"",IF($BL284&lt;&gt;Constants!$B$4,"",$BO284+$BP284))</f>
        <v/>
      </c>
      <c r="CX284" s="104" t="str">
        <f aca="false">IF(ISBLANK($C284),"",IF($BL284&lt;&gt;Constants!$B$4,"",$BQ284+$BR284+$BS284))</f>
        <v/>
      </c>
      <c r="CY284" s="104" t="str">
        <f aca="false">IF(ISBLANK($C284),"",IF($BL284&lt;&gt;Constants!$B$4,"",$BT284))</f>
        <v/>
      </c>
      <c r="CZ284" s="104" t="str">
        <f aca="false">IF(ISBLANK($C284),"",IF($BL284&lt;&gt;Constants!$B$4,"",$BU284+$BV284))</f>
        <v/>
      </c>
      <c r="DA284" s="104" t="str">
        <f aca="false">IF(ISBLANK($C284),"",IF($BL284&lt;&gt;Constants!$B$4,"",$BW284))</f>
        <v/>
      </c>
      <c r="DB284" s="104" t="str">
        <f aca="false">IF(ISBLANK($C284),"",IF($BL284&lt;&gt;Constants!$B$4,"",-$CD284))</f>
        <v/>
      </c>
      <c r="DC284" s="103" t="str">
        <f aca="false">IF(ISBLANK($C284),"",$CE284)</f>
        <v/>
      </c>
      <c r="DD284" s="105" t="str">
        <f aca="false">IF(ISBLANK($C284),"",$BM284)</f>
        <v/>
      </c>
      <c r="DE284" s="104" t="str">
        <f aca="false">IF(ISBLANK($C284),"",$CL284)</f>
        <v/>
      </c>
      <c r="DF284" s="104" t="str">
        <f aca="false">IF(ISBLANK($C284),"",$CK284)</f>
        <v/>
      </c>
      <c r="DG284" s="106" t="str">
        <f aca="false">IF(ISBLANK($C284),"",IF($DF284=Constants!$B$7,COUNTA($C$9:$C$508)+2,IF($DF284=Constants!$B$6,COUNTA($C$9:$C$508)+1,IF($DF284=Constants!$B$5,COUNTA($C$9:$C$508),$DF284))))</f>
        <v/>
      </c>
      <c r="DH284" s="7"/>
      <c r="DI284" s="107" t="n">
        <f aca="false">IF(OR(ISNUMBER($DF284),$DF284=Constants!$B$7,$DF284=Constants!$B$5,$DF284=Constants!$B$6),1,0)</f>
        <v>0</v>
      </c>
      <c r="DJ284" s="107" t="n">
        <v>276</v>
      </c>
      <c r="DK284" s="107" t="str">
        <f aca="false">IF(ISBLANK($C284),"",IF(ISNUMBER($DG284),$DG284+ROW($B284)/1000,""))</f>
        <v/>
      </c>
      <c r="DL284" s="107" t="str">
        <f aca="false">IF(ISNUMBER($DK284),RANK($DK284,$DK$9:$DK$508,1),"")</f>
        <v/>
      </c>
      <c r="DM284" s="107" t="str">
        <f aca="false">IF(ISBLANK($C284),"",$B284)</f>
        <v/>
      </c>
      <c r="DN284" s="107" t="str">
        <f aca="false">IF(ISBLANK($C284),"",$C284)</f>
        <v/>
      </c>
      <c r="DO284" s="107" t="str">
        <f aca="false">IF(ISBLANK($C284),"",$D284)</f>
        <v/>
      </c>
      <c r="DP284" s="108" t="str">
        <f aca="false">$DD284</f>
        <v/>
      </c>
      <c r="DQ284" s="109" t="str">
        <f aca="false">$DC284</f>
        <v/>
      </c>
      <c r="DR284" s="107" t="str">
        <f aca="false">IF(ISBLANK($C284),"",$DF284)</f>
        <v/>
      </c>
      <c r="DS284" s="110" t="str">
        <f aca="false">IF($DJ284&gt;$DI$8,"",VLOOKUP($DJ284,$DL$9:$DR$508,7,FALSE()))</f>
        <v/>
      </c>
      <c r="DT284" s="111" t="str">
        <f aca="false">IF($DJ284&gt;$DI$8,"",VLOOKUP($DJ284,$DL$9:$DR$508,2,FALSE()))</f>
        <v/>
      </c>
      <c r="DU284" s="111" t="str">
        <f aca="false">IF($DJ284&gt;$DI$8,"",VLOOKUP($DJ284,$DL$9:$DR$508,3,FALSE()))</f>
        <v/>
      </c>
      <c r="DV284" s="111" t="str">
        <f aca="false">IF($DJ284&gt;$DI$8,"",VLOOKUP($DJ284,$DL$9:$DR$508,4,FALSE()))</f>
        <v/>
      </c>
      <c r="DW284" s="111" t="str">
        <f aca="false">IF($DJ284&gt;$DI$8,"",VLOOKUP($DJ284,$DL$9:$DR$508,5,FALSE()))</f>
        <v/>
      </c>
      <c r="DX284" s="112" t="str">
        <f aca="false">IF($DJ284&gt;$DI$8,"",VLOOKUP($DJ284,$DL$9:$DR$508,6,FALSE()))</f>
        <v/>
      </c>
      <c r="DY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88"/>
      <c r="N285" s="88"/>
      <c r="O285" s="134"/>
      <c r="P285" s="134"/>
      <c r="Q285" s="88"/>
      <c r="R285" s="88"/>
      <c r="S285" s="88"/>
      <c r="T285" s="88"/>
      <c r="U285" s="134"/>
      <c r="V285" s="88"/>
      <c r="W285" s="70"/>
      <c r="X285" s="88"/>
      <c r="Y285" s="88"/>
      <c r="Z285" s="70"/>
      <c r="AA285" s="70"/>
      <c r="AB285" s="88"/>
      <c r="AC285" s="88"/>
      <c r="AD285" s="88"/>
      <c r="AE285" s="71"/>
      <c r="AF285" s="88"/>
      <c r="AG285" s="73"/>
      <c r="AH285" s="74"/>
      <c r="AI285" s="74"/>
      <c r="AJ285" s="74" t="str">
        <f aca="false">IF(ISBLANK($C285),"",IF($E285=Constants!$B$2,TRUE(),IF($E285=Constants!$B$3,FALSE(),TRUE())))</f>
        <v/>
      </c>
      <c r="AK285" s="74" t="str">
        <f aca="false">IF(ISBLANK($C285),"",IF($F285=Constants!$B$2,TRUE(),IF($F285=Constants!$B$3,FALSE(),FALSE())))</f>
        <v/>
      </c>
      <c r="AL285" s="74" t="str">
        <f aca="false">IF(ISBLANK($C285),"",IF($G285=Constants!$B$2,TRUE(),IF($G285=Constants!$B$3,FALSE(),TRUE())))</f>
        <v/>
      </c>
      <c r="AM285" s="74" t="str">
        <f aca="false">IF(ISBLANK($C285),"",IF($H285=Constants!$B$2,TRUE(),IF($H285=Constants!$B$3,FALSE(),TRUE())))</f>
        <v/>
      </c>
      <c r="AN285" s="74" t="str">
        <f aca="false">IF(ISBLANK($C285),"",IF(ISNUMBER($I285),IF($I285&gt;=0,$I285,""),""))</f>
        <v/>
      </c>
      <c r="AO285" s="74" t="str">
        <f aca="false">IF(ISBLANK($C285),"",IF(ISNUMBER($J285),IF($J285&gt;=0,$J285,""),""))</f>
        <v/>
      </c>
      <c r="AP285" s="74" t="str">
        <f aca="false">IF(ISBLANK($C285),"",IF(ISNUMBER($K285),IF($K285&gt;=0,$K285,""),""))</f>
        <v/>
      </c>
      <c r="AQ285" s="74" t="str">
        <f aca="false">IF(ISBLANK($C285),"",IF($L285=Constants!$B$2,TRUE(),IF($L285=Constants!$B$3,FALSE(),TRUE())))</f>
        <v/>
      </c>
      <c r="AR285" s="74" t="str">
        <f aca="false">IF(ISBLANK($C285),"",IF($M285=Constants!$B$2,TRUE(),IF($M285=Constants!$B$3,FALSE(),TRUE())))</f>
        <v/>
      </c>
      <c r="AS285" s="74" t="str">
        <f aca="false">IF(ISBLANK($C285),"",IF($N285=Constants!$B$2,TRUE(),IF($N285=Constants!$B$3,FALSE(),FALSE())))</f>
        <v/>
      </c>
      <c r="AT285" s="74" t="str">
        <f aca="false">IF(ISBLANK($C285),"",IF($O285=Constants!$B$2,TRUE(),IF($O285=Constants!$B$3,FALSE(),TRUE())))</f>
        <v/>
      </c>
      <c r="AU285" s="74" t="str">
        <f aca="false">IF(ISBLANK($C285),"",IF($P285=Constants!$B$2,TRUE(),IF($P285=Constants!$B$3,FALSE(),TRUE())))</f>
        <v/>
      </c>
      <c r="AV285" s="74" t="str">
        <f aca="false">IF(ISBLANK($C285),"",IF($Q285=Constants!$B$2,TRUE(),IF($Q285=Constants!$B$3,FALSE(),FALSE())))</f>
        <v/>
      </c>
      <c r="AW285" s="74" t="str">
        <f aca="false">IF(ISBLANK($C285),"",IF($R285=Constants!$B$2,TRUE(),IF($R285=Constants!$B$3,FALSE(),FALSE())))</f>
        <v/>
      </c>
      <c r="AX285" s="74" t="str">
        <f aca="false">IF(ISBLANK($C285),"",IF($S285=Constants!$B$2,TRUE(),IF($S285=Constants!$B$3,FALSE(),FALSE())))</f>
        <v/>
      </c>
      <c r="AY285" s="74" t="str">
        <f aca="false">IF(ISBLANK($C285),"",IF($T285=Constants!$B$2,TRUE(),IF($T285=Constants!$B$3,FALSE(),FALSE())))</f>
        <v/>
      </c>
      <c r="AZ285" s="74" t="str">
        <f aca="false">IF(ISBLANK($C285),"",IF($U285=Constants!$B$2,TRUE(),IF($U285=Constants!$B$3,FALSE(),FALSE())))</f>
        <v/>
      </c>
      <c r="BA285" s="74" t="str">
        <f aca="false">IF(ISBLANK($C285),"",IF(OR($V285&amp;""="1",$V285&amp;""="2",$V285&amp;""="3",$V285&amp;""="4"),VALUE($V285&amp;""),IF($V285=Constants!$B$12,Constants!$B$12,"")))</f>
        <v/>
      </c>
      <c r="BB285" s="74" t="str">
        <f aca="false">IF(ISBLANK($C285),"",IF(ISBLANK($W285),0,IF(ISNUMBER($W285),IF(AND($W285&gt;=0,$W285&lt;=Constants!$B$21,$W285=INT($W285)),$W285,""),"")))</f>
        <v/>
      </c>
      <c r="BC285" s="74" t="str">
        <f aca="false">IF(ISBLANK($C285),"",IF(ISBLANK($X285),0,IF(ISNUMBER($X285),IF($X285&gt;=0,$X285,""),"")))</f>
        <v/>
      </c>
      <c r="BD285" s="74" t="str">
        <f aca="false">IF(ISBLANK($C285),"",IF($Y285=Constants!$B$2,TRUE(),IF($Y285=Constants!$B$3,FALSE(),TRUE())))</f>
        <v/>
      </c>
      <c r="BE285" s="74" t="str">
        <f aca="false">IF(ISBLANK($C285),"",IF($Z285=Constants!$B$2,TRUE(),IF($Z285=Constants!$B$3,FALSE(),FALSE())))</f>
        <v/>
      </c>
      <c r="BF285" s="74" t="str">
        <f aca="false">IF(ISBLANK($C285),"",IF(ISBLANK($AA285),0,IF(ISNUMBER($AA285),IF(AND($AA285&gt;=0,$AA285&lt;=Constants!$B$35,$AA285=INT($AA285)),$AA285,""),"")))</f>
        <v/>
      </c>
      <c r="BG285" s="74" t="str">
        <f aca="false">IF(ISBLANK($C285),"",IF($AB285=Constants!$B$2,TRUE(),IF($AB285=Constants!$B$3,FALSE(),TRUE())))</f>
        <v/>
      </c>
      <c r="BH285" s="74" t="str">
        <f aca="false">IF(ISBLANK($C285),"",IF($AC285=Constants!$B$2,TRUE(),IF($AC285=Constants!$B$3,FALSE(),TRUE())))</f>
        <v/>
      </c>
      <c r="BI285" s="74" t="str">
        <f aca="false">IF(ISBLANK($C285),"",IF($AD285=Constants!$B$2,TRUE(),IF($AD285=Constants!$B$3,FALSE(),TRUE())))</f>
        <v/>
      </c>
      <c r="BJ285" s="74" t="str">
        <f aca="false">IF(ISBLANK($C285),"",IF(ISNUMBER($AE285),IF($AE285&gt;=0,$AE285,""),""))</f>
        <v/>
      </c>
      <c r="BK285" s="74" t="str">
        <f aca="false">IF(ISBLANK($C285),"",IF($AF285=Constants!$B$2,TRUE(),IF($AF285=Constants!$B$3,FALSE(),FALSE())))</f>
        <v/>
      </c>
      <c r="BL285" s="73" t="str">
        <f aca="false">IF(ISBLANK($C285),"",IF($BK285,Constants!$B$7,IF(COUNTA($E285:$AE285)=0,Constants!$B$6,IF(OR(COUNTA($G285:$AE285)=0,NOT($AM285),$AS285),Constants!$B$5,IF(OR($CM285&lt;&gt;"",$CN285,$CO285,$CP285,$CQ285,$CR285,$CS285),Constants!$B$8,Constants!$B$4)))))</f>
        <v/>
      </c>
      <c r="BM285" s="74" t="str">
        <f aca="false">IF(ISBLANK($C285),"",IF($BL285&lt;&gt;Constants!$B$4,$BL285,IF(OR(NOT($AJ285),NOT($AL285),NOT($AT285)),Constants!$B$11,IF(OR(NOT($AR285),NOT($AU285),NOT($BI285),MAX($AN285,$AO285,$AP285)&gt;Constants!$B$30),Constants!$B$10,Constants!$B$9))))</f>
        <v/>
      </c>
      <c r="BN285" s="74" t="str">
        <f aca="false">IF($BL285&lt;&gt;Constants!$B$4,"",IF(NOT($AL285),0,MIN(Constants!$B$35,$BF285)))</f>
        <v/>
      </c>
      <c r="BO285" s="74" t="str">
        <f aca="false">IF($BL285&lt;&gt;Constants!$B$4,"",IF(NOT($AL285),0,IF($AW285,Constants!$B$18,IF($AV285,Constants!$B$17,0))))</f>
        <v/>
      </c>
      <c r="BP285" s="74" t="str">
        <f aca="false">IF($BL285&lt;&gt;Constants!$B$4,"",IF(NOT($AL285),0,Constants!$B$19*($AK285+$AX285+$AY285+$AZ285)))</f>
        <v/>
      </c>
      <c r="BQ285" s="74" t="str">
        <f aca="false">IF($BL285&lt;&gt;Constants!$B$4,"",IF(OR(NOT($AL285),NOT(ISNUMBER($BA285))),0,CHOOSE($BA285,Constants!$B$13,Constants!$B$14,Constants!$B$15,Constants!$B$16)))</f>
        <v/>
      </c>
      <c r="BR285" s="74" t="str">
        <f aca="false">IF($BL285&lt;&gt;Constants!$B$4,"",IF(NOT($AL285),0,Constants!$B$20*$BB285))</f>
        <v/>
      </c>
      <c r="BS285" s="74" t="str">
        <f aca="false">IF($BL285&lt;&gt;Constants!$B$4,"",IF(AND($AL285,$BD285,$BE285),Constants!$B$22,0))</f>
        <v/>
      </c>
      <c r="BT285" s="74" t="str">
        <f aca="false">IF($BL285&lt;&gt;Constants!$B$4,"",IF(OR(NOT($AL285),NOT($BD285)),0,IF($BJ285&gt;=2*$AH$9,0,Constants!$B$23*INT(ROUND(MIN($BJ285,$AH$9),6)))))</f>
        <v/>
      </c>
      <c r="BU285" s="74" t="str">
        <f aca="false">IF($BL285&lt;&gt;Constants!$B$4,"",IF(NOT($AL285),0,Constants!$B$24*INT(ROUND(MIN($BC285,$AH$9),6))))</f>
        <v/>
      </c>
      <c r="BV285" s="74" t="str">
        <f aca="false">IF($BL285&lt;&gt;Constants!$B$4,"",IF(AND($AL285,$BN285=0),Constants!$B$25,0))</f>
        <v/>
      </c>
      <c r="BW285" s="74" t="str">
        <f aca="false">IF($BL285&lt;&gt;Constants!$B$4,"",MIN(Constants!$B$29,MAX(0,Constants!$B$27*Constants!$B$28*INT(ROUND((Constants!$B$26-$AN285)/Constants!$B$28,6))))+MIN(Constants!$B$29,MAX(0,Constants!$B$27*Constants!$B$28*INT(ROUND((Constants!$B$26-$AO285)/Constants!$B$28,6))))+MIN(Constants!$B$29,MAX(0,Constants!$B$27*Constants!$B$28*INT(ROUND((Constants!$B$26-$AP285)/Constants!$B$28,6)))))</f>
        <v/>
      </c>
      <c r="BX285" s="74" t="str">
        <f aca="false">IF($BL285&lt;&gt;Constants!$B$4,"",IF(NOT($AL285),0,Constants!$B$31*INT(ROUND(MAX(0,MIN($BJ285,2*$AH$9)-$AH$9),6))))</f>
        <v/>
      </c>
      <c r="BY285" s="74" t="str">
        <f aca="false">IF($BL285&lt;&gt;Constants!$B$4,"",Constants!$B$32*(($AN285&gt;Constants!$B$26)+($AO285&gt;Constants!$B$26)+($AP285&gt;Constants!$B$26)))</f>
        <v/>
      </c>
      <c r="BZ285" s="74" t="str">
        <f aca="false">IF($BL285&lt;&gt;Constants!$B$4,"",IF(OR(NOT($AL285),$AQ285),0,Constants!$B$33))</f>
        <v/>
      </c>
      <c r="CA285" s="74" t="str">
        <f aca="false">IF($BL285&lt;&gt;Constants!$B$4,"",Constants!$B$34*$BN285)</f>
        <v/>
      </c>
      <c r="CB285" s="74" t="str">
        <f aca="false">IF($BL285&lt;&gt;Constants!$B$4,"",IF(OR(NOT($AL285),$BH285),0,Constants!$B$36))</f>
        <v/>
      </c>
      <c r="CC285" s="74" t="str">
        <f aca="false">IF($BL285&lt;&gt;Constants!$B$4,"",IF(OR(NOT($AL285),$BG285),0,Constants!$B$37))</f>
        <v/>
      </c>
      <c r="CD285" s="74" t="str">
        <f aca="false">IF($BL285&lt;&gt;Constants!$B$4,"",SUM($BX285:$CC285))</f>
        <v/>
      </c>
      <c r="CE285" s="74" t="str">
        <f aca="false">IF(ISBLANK($C285),"",IF($BL285&lt;&gt;Constants!$B$4,$BL285,SUM($BO285:$BW285)-$CD285))</f>
        <v/>
      </c>
      <c r="CF285" s="74" t="str">
        <f aca="false">IF(ISBLANK($C285),"",IF($BL285&lt;&gt;Constants!$B$4,$BL285,RANK($CE285,$CE$9:$CE$508)))</f>
        <v/>
      </c>
      <c r="CG285" s="74" t="str">
        <f aca="false">IF(ISBLANK($C285),"",IF($BL285&lt;&gt;Constants!$B$4,$BL285,COUNTIFS($BM$9:$BM$508,"&lt;"&amp;$BM285)+COUNTIFS($BM$9:$BM$508,$BM285,$CF$9:$CF$508,"&lt;"&amp;$CF285)+1))</f>
        <v/>
      </c>
      <c r="CH285" s="74" t="str">
        <f aca="false">IF(ISBLANK($C285),"",IF($BL285&lt;&gt;Constants!$B$4,$BL285,RANK($CD285,$CD$9:$CD$508,1)))</f>
        <v/>
      </c>
      <c r="CI285" s="74" t="str">
        <f aca="false">IF($BL285&lt;&gt;Constants!$B$4,"",$AN285+$AO285+$AP285)</f>
        <v/>
      </c>
      <c r="CJ285" s="74" t="str">
        <f aca="false">IF(ISBLANK($C285),"",IF($BL285&lt;&gt;Constants!$B$4,$BL285,RANK($CI285,$CI$9:$CI$508,1)))</f>
        <v/>
      </c>
      <c r="CK285" s="74" t="str">
        <f aca="false">IF(ISBLANK($C285),"",IF($BL285&lt;&gt;Constants!$B$4,$BL285,COUNTIFS($BM$9:$BM$508,"&lt;"&amp;$BM285)+COUNTIFS($BM$9:$BM$508,$BM285,$CF$9:$CF$508,"&lt;"&amp;$CF285)+COUNTIFS($BM$9:$BM$508,$BM285,$CF$9:$CF$508,$CF285,$CH$9:$CH$508,"&lt;"&amp;$CH285)+COUNTIFS($BM$9:$BM$508,$BM285,$CF$9:$CF$508,$CF285,$CH$9:$CH$508,$CH285,$CJ$9:$CJ$508,"&lt;"&amp;$CJ285)+1))</f>
        <v/>
      </c>
      <c r="CL285" s="74" t="str">
        <f aca="false">IF(ISBLANK($C285),"",IF($BL285&lt;&gt;Constants!$B$4,$BL285,$CG285-$CK285))</f>
        <v/>
      </c>
      <c r="CM285" s="74" t="str">
        <f aca="false">IF(ISBLANK($C285),"",IF(NOT($AL285),"",IF(ISBLANK($D$7),$CM$5,IF(NOT(ISNUMBER($D$7)),$CM$6,""))))</f>
        <v/>
      </c>
      <c r="CN285" s="74" t="str">
        <f aca="false">IF(ISBLANK($C285),"",OR($AN285="",$AO285="",$AP285=""))</f>
        <v/>
      </c>
      <c r="CO285" s="74" t="str">
        <f aca="false">IF(ISBLANK($C285),"",AND($AL285,$BA285=""))</f>
        <v/>
      </c>
      <c r="CP285" s="74" t="str">
        <f aca="false">IF(ISBLANK($C285),"",AND($AL285,$BB285=""))</f>
        <v/>
      </c>
      <c r="CQ285" s="74" t="str">
        <f aca="false">IF(ISBLANK($C285),"",AND($AL285,$BC285=""))</f>
        <v/>
      </c>
      <c r="CR285" s="74" t="str">
        <f aca="false">IF(ISBLANK($C285),"",AND($AL285,$BF285=""))</f>
        <v/>
      </c>
      <c r="CS285" s="74" t="str">
        <f aca="false">IF(ISBLANK($C285),"",AND($AL285,$BJ285=""))</f>
        <v/>
      </c>
      <c r="CT285" s="75"/>
      <c r="CU285" s="76"/>
      <c r="CV285" s="79" t="str">
        <f aca="false">IF(ISBLANK($C285),"",IF($BL285=Constants!$B$8,$CM285,""))</f>
        <v/>
      </c>
      <c r="CW285" s="76" t="str">
        <f aca="false">IF(ISBLANK($C285),"",IF($BL285&lt;&gt;Constants!$B$4,"",$BO285+$BP285))</f>
        <v/>
      </c>
      <c r="CX285" s="78" t="str">
        <f aca="false">IF(ISBLANK($C285),"",IF($BL285&lt;&gt;Constants!$B$4,"",$BQ285+$BR285+$BS285))</f>
        <v/>
      </c>
      <c r="CY285" s="78" t="str">
        <f aca="false">IF(ISBLANK($C285),"",IF($BL285&lt;&gt;Constants!$B$4,"",$BT285))</f>
        <v/>
      </c>
      <c r="CZ285" s="78" t="str">
        <f aca="false">IF(ISBLANK($C285),"",IF($BL285&lt;&gt;Constants!$B$4,"",$BU285+$BV285))</f>
        <v/>
      </c>
      <c r="DA285" s="78" t="str">
        <f aca="false">IF(ISBLANK($C285),"",IF($BL285&lt;&gt;Constants!$B$4,"",$BW285))</f>
        <v/>
      </c>
      <c r="DB285" s="78" t="str">
        <f aca="false">IF(ISBLANK($C285),"",IF($BL285&lt;&gt;Constants!$B$4,"",-$CD285))</f>
        <v/>
      </c>
      <c r="DC285" s="79" t="str">
        <f aca="false">IF(ISBLANK($C285),"",$CE285)</f>
        <v/>
      </c>
      <c r="DD285" s="80" t="str">
        <f aca="false">IF(ISBLANK($C285),"",$BM285)</f>
        <v/>
      </c>
      <c r="DE285" s="78" t="str">
        <f aca="false">IF(ISBLANK($C285),"",$CL285)</f>
        <v/>
      </c>
      <c r="DF285" s="78" t="str">
        <f aca="false">IF(ISBLANK($C285),"",$CK285)</f>
        <v/>
      </c>
      <c r="DG285" s="81" t="str">
        <f aca="false">IF(ISBLANK($C285),"",IF($DF285=Constants!$B$7,COUNTA($C$9:$C$508)+2,IF($DF285=Constants!$B$6,COUNTA($C$9:$C$508)+1,IF($DF285=Constants!$B$5,COUNTA($C$9:$C$508),$DF285))))</f>
        <v/>
      </c>
      <c r="DH285" s="7"/>
      <c r="DI285" s="82" t="n">
        <f aca="false">IF(OR(ISNUMBER($DF285),$DF285=Constants!$B$7,$DF285=Constants!$B$5,$DF285=Constants!$B$6),1,0)</f>
        <v>0</v>
      </c>
      <c r="DJ285" s="82" t="n">
        <v>277</v>
      </c>
      <c r="DK285" s="82" t="str">
        <f aca="false">IF(ISBLANK($C285),"",IF(ISNUMBER($DG285),$DG285+ROW($B285)/1000,""))</f>
        <v/>
      </c>
      <c r="DL285" s="82" t="str">
        <f aca="false">IF(ISNUMBER($DK285),RANK($DK285,$DK$9:$DK$508,1),"")</f>
        <v/>
      </c>
      <c r="DM285" s="82" t="str">
        <f aca="false">IF(ISBLANK($C285),"",$B285)</f>
        <v/>
      </c>
      <c r="DN285" s="82" t="str">
        <f aca="false">IF(ISBLANK($C285),"",$C285)</f>
        <v/>
      </c>
      <c r="DO285" s="82" t="str">
        <f aca="false">IF(ISBLANK($C285),"",$D285)</f>
        <v/>
      </c>
      <c r="DP285" s="83" t="str">
        <f aca="false">$DD285</f>
        <v/>
      </c>
      <c r="DQ285" s="84" t="str">
        <f aca="false">$DC285</f>
        <v/>
      </c>
      <c r="DR285" s="82" t="str">
        <f aca="false">IF(ISBLANK($C285),"",$DF285)</f>
        <v/>
      </c>
      <c r="DS285" s="85" t="str">
        <f aca="false">IF($DJ285&gt;$DI$8,"",VLOOKUP($DJ285,$DL$9:$DR$508,7,FALSE()))</f>
        <v/>
      </c>
      <c r="DT285" s="86" t="str">
        <f aca="false">IF($DJ285&gt;$DI$8,"",VLOOKUP($DJ285,$DL$9:$DR$508,2,FALSE()))</f>
        <v/>
      </c>
      <c r="DU285" s="86" t="str">
        <f aca="false">IF($DJ285&gt;$DI$8,"",VLOOKUP($DJ285,$DL$9:$DR$508,3,FALSE()))</f>
        <v/>
      </c>
      <c r="DV285" s="86" t="str">
        <f aca="false">IF($DJ285&gt;$DI$8,"",VLOOKUP($DJ285,$DL$9:$DR$508,4,FALSE()))</f>
        <v/>
      </c>
      <c r="DW285" s="86" t="str">
        <f aca="false">IF($DJ285&gt;$DI$8,"",VLOOKUP($DJ285,$DL$9:$DR$508,5,FALSE()))</f>
        <v/>
      </c>
      <c r="DX285" s="87" t="str">
        <f aca="false">IF($DJ285&gt;$DI$8,"",VLOOKUP($DJ285,$DL$9:$DR$508,6,FALSE()))</f>
        <v/>
      </c>
      <c r="DY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88"/>
      <c r="N286" s="88"/>
      <c r="O286" s="134"/>
      <c r="P286" s="134"/>
      <c r="Q286" s="88"/>
      <c r="R286" s="88"/>
      <c r="S286" s="88"/>
      <c r="T286" s="88"/>
      <c r="U286" s="134"/>
      <c r="V286" s="88"/>
      <c r="W286" s="70"/>
      <c r="X286" s="88"/>
      <c r="Y286" s="88"/>
      <c r="Z286" s="70"/>
      <c r="AA286" s="70"/>
      <c r="AB286" s="88"/>
      <c r="AC286" s="88"/>
      <c r="AD286" s="88"/>
      <c r="AE286" s="71"/>
      <c r="AF286" s="88"/>
      <c r="AG286" s="73"/>
      <c r="AH286" s="74"/>
      <c r="AI286" s="74"/>
      <c r="AJ286" s="74" t="str">
        <f aca="false">IF(ISBLANK($C286),"",IF($E286=Constants!$B$2,TRUE(),IF($E286=Constants!$B$3,FALSE(),TRUE())))</f>
        <v/>
      </c>
      <c r="AK286" s="74" t="str">
        <f aca="false">IF(ISBLANK($C286),"",IF($F286=Constants!$B$2,TRUE(),IF($F286=Constants!$B$3,FALSE(),FALSE())))</f>
        <v/>
      </c>
      <c r="AL286" s="74" t="str">
        <f aca="false">IF(ISBLANK($C286),"",IF($G286=Constants!$B$2,TRUE(),IF($G286=Constants!$B$3,FALSE(),TRUE())))</f>
        <v/>
      </c>
      <c r="AM286" s="74" t="str">
        <f aca="false">IF(ISBLANK($C286),"",IF($H286=Constants!$B$2,TRUE(),IF($H286=Constants!$B$3,FALSE(),TRUE())))</f>
        <v/>
      </c>
      <c r="AN286" s="74" t="str">
        <f aca="false">IF(ISBLANK($C286),"",IF(ISNUMBER($I286),IF($I286&gt;=0,$I286,""),""))</f>
        <v/>
      </c>
      <c r="AO286" s="74" t="str">
        <f aca="false">IF(ISBLANK($C286),"",IF(ISNUMBER($J286),IF($J286&gt;=0,$J286,""),""))</f>
        <v/>
      </c>
      <c r="AP286" s="74" t="str">
        <f aca="false">IF(ISBLANK($C286),"",IF(ISNUMBER($K286),IF($K286&gt;=0,$K286,""),""))</f>
        <v/>
      </c>
      <c r="AQ286" s="74" t="str">
        <f aca="false">IF(ISBLANK($C286),"",IF($L286=Constants!$B$2,TRUE(),IF($L286=Constants!$B$3,FALSE(),TRUE())))</f>
        <v/>
      </c>
      <c r="AR286" s="74" t="str">
        <f aca="false">IF(ISBLANK($C286),"",IF($M286=Constants!$B$2,TRUE(),IF($M286=Constants!$B$3,FALSE(),TRUE())))</f>
        <v/>
      </c>
      <c r="AS286" s="74" t="str">
        <f aca="false">IF(ISBLANK($C286),"",IF($N286=Constants!$B$2,TRUE(),IF($N286=Constants!$B$3,FALSE(),FALSE())))</f>
        <v/>
      </c>
      <c r="AT286" s="74" t="str">
        <f aca="false">IF(ISBLANK($C286),"",IF($O286=Constants!$B$2,TRUE(),IF($O286=Constants!$B$3,FALSE(),TRUE())))</f>
        <v/>
      </c>
      <c r="AU286" s="74" t="str">
        <f aca="false">IF(ISBLANK($C286),"",IF($P286=Constants!$B$2,TRUE(),IF($P286=Constants!$B$3,FALSE(),TRUE())))</f>
        <v/>
      </c>
      <c r="AV286" s="74" t="str">
        <f aca="false">IF(ISBLANK($C286),"",IF($Q286=Constants!$B$2,TRUE(),IF($Q286=Constants!$B$3,FALSE(),FALSE())))</f>
        <v/>
      </c>
      <c r="AW286" s="74" t="str">
        <f aca="false">IF(ISBLANK($C286),"",IF($R286=Constants!$B$2,TRUE(),IF($R286=Constants!$B$3,FALSE(),FALSE())))</f>
        <v/>
      </c>
      <c r="AX286" s="74" t="str">
        <f aca="false">IF(ISBLANK($C286),"",IF($S286=Constants!$B$2,TRUE(),IF($S286=Constants!$B$3,FALSE(),FALSE())))</f>
        <v/>
      </c>
      <c r="AY286" s="74" t="str">
        <f aca="false">IF(ISBLANK($C286),"",IF($T286=Constants!$B$2,TRUE(),IF($T286=Constants!$B$3,FALSE(),FALSE())))</f>
        <v/>
      </c>
      <c r="AZ286" s="74" t="str">
        <f aca="false">IF(ISBLANK($C286),"",IF($U286=Constants!$B$2,TRUE(),IF($U286=Constants!$B$3,FALSE(),FALSE())))</f>
        <v/>
      </c>
      <c r="BA286" s="74" t="str">
        <f aca="false">IF(ISBLANK($C286),"",IF(OR($V286&amp;""="1",$V286&amp;""="2",$V286&amp;""="3",$V286&amp;""="4"),VALUE($V286&amp;""),IF($V286=Constants!$B$12,Constants!$B$12,"")))</f>
        <v/>
      </c>
      <c r="BB286" s="74" t="str">
        <f aca="false">IF(ISBLANK($C286),"",IF(ISBLANK($W286),0,IF(ISNUMBER($W286),IF(AND($W286&gt;=0,$W286&lt;=Constants!$B$21,$W286=INT($W286)),$W286,""),"")))</f>
        <v/>
      </c>
      <c r="BC286" s="74" t="str">
        <f aca="false">IF(ISBLANK($C286),"",IF(ISBLANK($X286),0,IF(ISNUMBER($X286),IF($X286&gt;=0,$X286,""),"")))</f>
        <v/>
      </c>
      <c r="BD286" s="74" t="str">
        <f aca="false">IF(ISBLANK($C286),"",IF($Y286=Constants!$B$2,TRUE(),IF($Y286=Constants!$B$3,FALSE(),TRUE())))</f>
        <v/>
      </c>
      <c r="BE286" s="74" t="str">
        <f aca="false">IF(ISBLANK($C286),"",IF($Z286=Constants!$B$2,TRUE(),IF($Z286=Constants!$B$3,FALSE(),FALSE())))</f>
        <v/>
      </c>
      <c r="BF286" s="74" t="str">
        <f aca="false">IF(ISBLANK($C286),"",IF(ISBLANK($AA286),0,IF(ISNUMBER($AA286),IF(AND($AA286&gt;=0,$AA286&lt;=Constants!$B$35,$AA286=INT($AA286)),$AA286,""),"")))</f>
        <v/>
      </c>
      <c r="BG286" s="74" t="str">
        <f aca="false">IF(ISBLANK($C286),"",IF($AB286=Constants!$B$2,TRUE(),IF($AB286=Constants!$B$3,FALSE(),TRUE())))</f>
        <v/>
      </c>
      <c r="BH286" s="74" t="str">
        <f aca="false">IF(ISBLANK($C286),"",IF($AC286=Constants!$B$2,TRUE(),IF($AC286=Constants!$B$3,FALSE(),TRUE())))</f>
        <v/>
      </c>
      <c r="BI286" s="74" t="str">
        <f aca="false">IF(ISBLANK($C286),"",IF($AD286=Constants!$B$2,TRUE(),IF($AD286=Constants!$B$3,FALSE(),TRUE())))</f>
        <v/>
      </c>
      <c r="BJ286" s="74" t="str">
        <f aca="false">IF(ISBLANK($C286),"",IF(ISNUMBER($AE286),IF($AE286&gt;=0,$AE286,""),""))</f>
        <v/>
      </c>
      <c r="BK286" s="74" t="str">
        <f aca="false">IF(ISBLANK($C286),"",IF($AF286=Constants!$B$2,TRUE(),IF($AF286=Constants!$B$3,FALSE(),FALSE())))</f>
        <v/>
      </c>
      <c r="BL286" s="73" t="str">
        <f aca="false">IF(ISBLANK($C286),"",IF($BK286,Constants!$B$7,IF(COUNTA($E286:$AE286)=0,Constants!$B$6,IF(OR(COUNTA($G286:$AE286)=0,NOT($AM286),$AS286),Constants!$B$5,IF(OR($CM286&lt;&gt;"",$CN286,$CO286,$CP286,$CQ286,$CR286,$CS286),Constants!$B$8,Constants!$B$4)))))</f>
        <v/>
      </c>
      <c r="BM286" s="74" t="str">
        <f aca="false">IF(ISBLANK($C286),"",IF($BL286&lt;&gt;Constants!$B$4,$BL286,IF(OR(NOT($AJ286),NOT($AL286),NOT($AT286)),Constants!$B$11,IF(OR(NOT($AR286),NOT($AU286),NOT($BI286),MAX($AN286,$AO286,$AP286)&gt;Constants!$B$30),Constants!$B$10,Constants!$B$9))))</f>
        <v/>
      </c>
      <c r="BN286" s="74" t="str">
        <f aca="false">IF($BL286&lt;&gt;Constants!$B$4,"",IF(NOT($AL286),0,MIN(Constants!$B$35,$BF286)))</f>
        <v/>
      </c>
      <c r="BO286" s="74" t="str">
        <f aca="false">IF($BL286&lt;&gt;Constants!$B$4,"",IF(NOT($AL286),0,IF($AW286,Constants!$B$18,IF($AV286,Constants!$B$17,0))))</f>
        <v/>
      </c>
      <c r="BP286" s="74" t="str">
        <f aca="false">IF($BL286&lt;&gt;Constants!$B$4,"",IF(NOT($AL286),0,Constants!$B$19*($AK286+$AX286+$AY286+$AZ286)))</f>
        <v/>
      </c>
      <c r="BQ286" s="74" t="str">
        <f aca="false">IF($BL286&lt;&gt;Constants!$B$4,"",IF(OR(NOT($AL286),NOT(ISNUMBER($BA286))),0,CHOOSE($BA286,Constants!$B$13,Constants!$B$14,Constants!$B$15,Constants!$B$16)))</f>
        <v/>
      </c>
      <c r="BR286" s="74" t="str">
        <f aca="false">IF($BL286&lt;&gt;Constants!$B$4,"",IF(NOT($AL286),0,Constants!$B$20*$BB286))</f>
        <v/>
      </c>
      <c r="BS286" s="74" t="str">
        <f aca="false">IF($BL286&lt;&gt;Constants!$B$4,"",IF(AND($AL286,$BD286,$BE286),Constants!$B$22,0))</f>
        <v/>
      </c>
      <c r="BT286" s="74" t="str">
        <f aca="false">IF($BL286&lt;&gt;Constants!$B$4,"",IF(OR(NOT($AL286),NOT($BD286)),0,IF($BJ286&gt;=2*$AH$9,0,Constants!$B$23*INT(ROUND(MIN($BJ286,$AH$9),6)))))</f>
        <v/>
      </c>
      <c r="BU286" s="74" t="str">
        <f aca="false">IF($BL286&lt;&gt;Constants!$B$4,"",IF(NOT($AL286),0,Constants!$B$24*INT(ROUND(MIN($BC286,$AH$9),6))))</f>
        <v/>
      </c>
      <c r="BV286" s="74" t="str">
        <f aca="false">IF($BL286&lt;&gt;Constants!$B$4,"",IF(AND($AL286,$BN286=0),Constants!$B$25,0))</f>
        <v/>
      </c>
      <c r="BW286" s="74" t="str">
        <f aca="false">IF($BL286&lt;&gt;Constants!$B$4,"",MIN(Constants!$B$29,MAX(0,Constants!$B$27*Constants!$B$28*INT(ROUND((Constants!$B$26-$AN286)/Constants!$B$28,6))))+MIN(Constants!$B$29,MAX(0,Constants!$B$27*Constants!$B$28*INT(ROUND((Constants!$B$26-$AO286)/Constants!$B$28,6))))+MIN(Constants!$B$29,MAX(0,Constants!$B$27*Constants!$B$28*INT(ROUND((Constants!$B$26-$AP286)/Constants!$B$28,6)))))</f>
        <v/>
      </c>
      <c r="BX286" s="74" t="str">
        <f aca="false">IF($BL286&lt;&gt;Constants!$B$4,"",IF(NOT($AL286),0,Constants!$B$31*INT(ROUND(MAX(0,MIN($BJ286,2*$AH$9)-$AH$9),6))))</f>
        <v/>
      </c>
      <c r="BY286" s="74" t="str">
        <f aca="false">IF($BL286&lt;&gt;Constants!$B$4,"",Constants!$B$32*(($AN286&gt;Constants!$B$26)+($AO286&gt;Constants!$B$26)+($AP286&gt;Constants!$B$26)))</f>
        <v/>
      </c>
      <c r="BZ286" s="74" t="str">
        <f aca="false">IF($BL286&lt;&gt;Constants!$B$4,"",IF(OR(NOT($AL286),$AQ286),0,Constants!$B$33))</f>
        <v/>
      </c>
      <c r="CA286" s="74" t="str">
        <f aca="false">IF($BL286&lt;&gt;Constants!$B$4,"",Constants!$B$34*$BN286)</f>
        <v/>
      </c>
      <c r="CB286" s="74" t="str">
        <f aca="false">IF($BL286&lt;&gt;Constants!$B$4,"",IF(OR(NOT($AL286),$BH286),0,Constants!$B$36))</f>
        <v/>
      </c>
      <c r="CC286" s="74" t="str">
        <f aca="false">IF($BL286&lt;&gt;Constants!$B$4,"",IF(OR(NOT($AL286),$BG286),0,Constants!$B$37))</f>
        <v/>
      </c>
      <c r="CD286" s="74" t="str">
        <f aca="false">IF($BL286&lt;&gt;Constants!$B$4,"",SUM($BX286:$CC286))</f>
        <v/>
      </c>
      <c r="CE286" s="74" t="str">
        <f aca="false">IF(ISBLANK($C286),"",IF($BL286&lt;&gt;Constants!$B$4,$BL286,SUM($BO286:$BW286)-$CD286))</f>
        <v/>
      </c>
      <c r="CF286" s="74" t="str">
        <f aca="false">IF(ISBLANK($C286),"",IF($BL286&lt;&gt;Constants!$B$4,$BL286,RANK($CE286,$CE$9:$CE$508)))</f>
        <v/>
      </c>
      <c r="CG286" s="74" t="str">
        <f aca="false">IF(ISBLANK($C286),"",IF($BL286&lt;&gt;Constants!$B$4,$BL286,COUNTIFS($BM$9:$BM$508,"&lt;"&amp;$BM286)+COUNTIFS($BM$9:$BM$508,$BM286,$CF$9:$CF$508,"&lt;"&amp;$CF286)+1))</f>
        <v/>
      </c>
      <c r="CH286" s="74" t="str">
        <f aca="false">IF(ISBLANK($C286),"",IF($BL286&lt;&gt;Constants!$B$4,$BL286,RANK($CD286,$CD$9:$CD$508,1)))</f>
        <v/>
      </c>
      <c r="CI286" s="74" t="str">
        <f aca="false">IF($BL286&lt;&gt;Constants!$B$4,"",$AN286+$AO286+$AP286)</f>
        <v/>
      </c>
      <c r="CJ286" s="74" t="str">
        <f aca="false">IF(ISBLANK($C286),"",IF($BL286&lt;&gt;Constants!$B$4,$BL286,RANK($CI286,$CI$9:$CI$508,1)))</f>
        <v/>
      </c>
      <c r="CK286" s="74" t="str">
        <f aca="false">IF(ISBLANK($C286),"",IF($BL286&lt;&gt;Constants!$B$4,$BL286,COUNTIFS($BM$9:$BM$508,"&lt;"&amp;$BM286)+COUNTIFS($BM$9:$BM$508,$BM286,$CF$9:$CF$508,"&lt;"&amp;$CF286)+COUNTIFS($BM$9:$BM$508,$BM286,$CF$9:$CF$508,$CF286,$CH$9:$CH$508,"&lt;"&amp;$CH286)+COUNTIFS($BM$9:$BM$508,$BM286,$CF$9:$CF$508,$CF286,$CH$9:$CH$508,$CH286,$CJ$9:$CJ$508,"&lt;"&amp;$CJ286)+1))</f>
        <v/>
      </c>
      <c r="CL286" s="74" t="str">
        <f aca="false">IF(ISBLANK($C286),"",IF($BL286&lt;&gt;Constants!$B$4,$BL286,$CG286-$CK286))</f>
        <v/>
      </c>
      <c r="CM286" s="74" t="str">
        <f aca="false">IF(ISBLANK($C286),"",IF(NOT($AL286),"",IF(ISBLANK($D$7),$CM$5,IF(NOT(ISNUMBER($D$7)),$CM$6,""))))</f>
        <v/>
      </c>
      <c r="CN286" s="74" t="str">
        <f aca="false">IF(ISBLANK($C286),"",OR($AN286="",$AO286="",$AP286=""))</f>
        <v/>
      </c>
      <c r="CO286" s="74" t="str">
        <f aca="false">IF(ISBLANK($C286),"",AND($AL286,$BA286=""))</f>
        <v/>
      </c>
      <c r="CP286" s="74" t="str">
        <f aca="false">IF(ISBLANK($C286),"",AND($AL286,$BB286=""))</f>
        <v/>
      </c>
      <c r="CQ286" s="74" t="str">
        <f aca="false">IF(ISBLANK($C286),"",AND($AL286,$BC286=""))</f>
        <v/>
      </c>
      <c r="CR286" s="74" t="str">
        <f aca="false">IF(ISBLANK($C286),"",AND($AL286,$BF286=""))</f>
        <v/>
      </c>
      <c r="CS286" s="74" t="str">
        <f aca="false">IF(ISBLANK($C286),"",AND($AL286,$BJ286=""))</f>
        <v/>
      </c>
      <c r="CT286" s="75"/>
      <c r="CU286" s="76"/>
      <c r="CV286" s="79" t="str">
        <f aca="false">IF(ISBLANK($C286),"",IF($BL286=Constants!$B$8,$CM286,""))</f>
        <v/>
      </c>
      <c r="CW286" s="76" t="str">
        <f aca="false">IF(ISBLANK($C286),"",IF($BL286&lt;&gt;Constants!$B$4,"",$BO286+$BP286))</f>
        <v/>
      </c>
      <c r="CX286" s="78" t="str">
        <f aca="false">IF(ISBLANK($C286),"",IF($BL286&lt;&gt;Constants!$B$4,"",$BQ286+$BR286+$BS286))</f>
        <v/>
      </c>
      <c r="CY286" s="78" t="str">
        <f aca="false">IF(ISBLANK($C286),"",IF($BL286&lt;&gt;Constants!$B$4,"",$BT286))</f>
        <v/>
      </c>
      <c r="CZ286" s="78" t="str">
        <f aca="false">IF(ISBLANK($C286),"",IF($BL286&lt;&gt;Constants!$B$4,"",$BU286+$BV286))</f>
        <v/>
      </c>
      <c r="DA286" s="78" t="str">
        <f aca="false">IF(ISBLANK($C286),"",IF($BL286&lt;&gt;Constants!$B$4,"",$BW286))</f>
        <v/>
      </c>
      <c r="DB286" s="78" t="str">
        <f aca="false">IF(ISBLANK($C286),"",IF($BL286&lt;&gt;Constants!$B$4,"",-$CD286))</f>
        <v/>
      </c>
      <c r="DC286" s="79" t="str">
        <f aca="false">IF(ISBLANK($C286),"",$CE286)</f>
        <v/>
      </c>
      <c r="DD286" s="80" t="str">
        <f aca="false">IF(ISBLANK($C286),"",$BM286)</f>
        <v/>
      </c>
      <c r="DE286" s="78" t="str">
        <f aca="false">IF(ISBLANK($C286),"",$CL286)</f>
        <v/>
      </c>
      <c r="DF286" s="78" t="str">
        <f aca="false">IF(ISBLANK($C286),"",$CK286)</f>
        <v/>
      </c>
      <c r="DG286" s="81" t="str">
        <f aca="false">IF(ISBLANK($C286),"",IF($DF286=Constants!$B$7,COUNTA($C$9:$C$508)+2,IF($DF286=Constants!$B$6,COUNTA($C$9:$C$508)+1,IF($DF286=Constants!$B$5,COUNTA($C$9:$C$508),$DF286))))</f>
        <v/>
      </c>
      <c r="DH286" s="7"/>
      <c r="DI286" s="82" t="n">
        <f aca="false">IF(OR(ISNUMBER($DF286),$DF286=Constants!$B$7,$DF286=Constants!$B$5,$DF286=Constants!$B$6),1,0)</f>
        <v>0</v>
      </c>
      <c r="DJ286" s="82" t="n">
        <v>278</v>
      </c>
      <c r="DK286" s="82" t="str">
        <f aca="false">IF(ISBLANK($C286),"",IF(ISNUMBER($DG286),$DG286+ROW($B286)/1000,""))</f>
        <v/>
      </c>
      <c r="DL286" s="82" t="str">
        <f aca="false">IF(ISNUMBER($DK286),RANK($DK286,$DK$9:$DK$508,1),"")</f>
        <v/>
      </c>
      <c r="DM286" s="82" t="str">
        <f aca="false">IF(ISBLANK($C286),"",$B286)</f>
        <v/>
      </c>
      <c r="DN286" s="82" t="str">
        <f aca="false">IF(ISBLANK($C286),"",$C286)</f>
        <v/>
      </c>
      <c r="DO286" s="82" t="str">
        <f aca="false">IF(ISBLANK($C286),"",$D286)</f>
        <v/>
      </c>
      <c r="DP286" s="83" t="str">
        <f aca="false">$DD286</f>
        <v/>
      </c>
      <c r="DQ286" s="84" t="str">
        <f aca="false">$DC286</f>
        <v/>
      </c>
      <c r="DR286" s="82" t="str">
        <f aca="false">IF(ISBLANK($C286),"",$DF286)</f>
        <v/>
      </c>
      <c r="DS286" s="85" t="str">
        <f aca="false">IF($DJ286&gt;$DI$8,"",VLOOKUP($DJ286,$DL$9:$DR$508,7,FALSE()))</f>
        <v/>
      </c>
      <c r="DT286" s="86" t="str">
        <f aca="false">IF($DJ286&gt;$DI$8,"",VLOOKUP($DJ286,$DL$9:$DR$508,2,FALSE()))</f>
        <v/>
      </c>
      <c r="DU286" s="86" t="str">
        <f aca="false">IF($DJ286&gt;$DI$8,"",VLOOKUP($DJ286,$DL$9:$DR$508,3,FALSE()))</f>
        <v/>
      </c>
      <c r="DV286" s="86" t="str">
        <f aca="false">IF($DJ286&gt;$DI$8,"",VLOOKUP($DJ286,$DL$9:$DR$508,4,FALSE()))</f>
        <v/>
      </c>
      <c r="DW286" s="86" t="str">
        <f aca="false">IF($DJ286&gt;$DI$8,"",VLOOKUP($DJ286,$DL$9:$DR$508,5,FALSE()))</f>
        <v/>
      </c>
      <c r="DX286" s="87" t="str">
        <f aca="false">IF($DJ286&gt;$DI$8,"",VLOOKUP($DJ286,$DL$9:$DR$508,6,FALSE()))</f>
        <v/>
      </c>
      <c r="DY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88"/>
      <c r="N287" s="88"/>
      <c r="O287" s="134"/>
      <c r="P287" s="134"/>
      <c r="Q287" s="88"/>
      <c r="R287" s="88"/>
      <c r="S287" s="88"/>
      <c r="T287" s="88"/>
      <c r="U287" s="134"/>
      <c r="V287" s="88"/>
      <c r="W287" s="70"/>
      <c r="X287" s="88"/>
      <c r="Y287" s="88"/>
      <c r="Z287" s="70"/>
      <c r="AA287" s="70"/>
      <c r="AB287" s="88"/>
      <c r="AC287" s="88"/>
      <c r="AD287" s="88"/>
      <c r="AE287" s="71"/>
      <c r="AF287" s="88"/>
      <c r="AG287" s="73"/>
      <c r="AH287" s="74"/>
      <c r="AI287" s="74"/>
      <c r="AJ287" s="74" t="str">
        <f aca="false">IF(ISBLANK($C287),"",IF($E287=Constants!$B$2,TRUE(),IF($E287=Constants!$B$3,FALSE(),TRUE())))</f>
        <v/>
      </c>
      <c r="AK287" s="74" t="str">
        <f aca="false">IF(ISBLANK($C287),"",IF($F287=Constants!$B$2,TRUE(),IF($F287=Constants!$B$3,FALSE(),FALSE())))</f>
        <v/>
      </c>
      <c r="AL287" s="74" t="str">
        <f aca="false">IF(ISBLANK($C287),"",IF($G287=Constants!$B$2,TRUE(),IF($G287=Constants!$B$3,FALSE(),TRUE())))</f>
        <v/>
      </c>
      <c r="AM287" s="74" t="str">
        <f aca="false">IF(ISBLANK($C287),"",IF($H287=Constants!$B$2,TRUE(),IF($H287=Constants!$B$3,FALSE(),TRUE())))</f>
        <v/>
      </c>
      <c r="AN287" s="74" t="str">
        <f aca="false">IF(ISBLANK($C287),"",IF(ISNUMBER($I287),IF($I287&gt;=0,$I287,""),""))</f>
        <v/>
      </c>
      <c r="AO287" s="74" t="str">
        <f aca="false">IF(ISBLANK($C287),"",IF(ISNUMBER($J287),IF($J287&gt;=0,$J287,""),""))</f>
        <v/>
      </c>
      <c r="AP287" s="74" t="str">
        <f aca="false">IF(ISBLANK($C287),"",IF(ISNUMBER($K287),IF($K287&gt;=0,$K287,""),""))</f>
        <v/>
      </c>
      <c r="AQ287" s="74" t="str">
        <f aca="false">IF(ISBLANK($C287),"",IF($L287=Constants!$B$2,TRUE(),IF($L287=Constants!$B$3,FALSE(),TRUE())))</f>
        <v/>
      </c>
      <c r="AR287" s="74" t="str">
        <f aca="false">IF(ISBLANK($C287),"",IF($M287=Constants!$B$2,TRUE(),IF($M287=Constants!$B$3,FALSE(),TRUE())))</f>
        <v/>
      </c>
      <c r="AS287" s="74" t="str">
        <f aca="false">IF(ISBLANK($C287),"",IF($N287=Constants!$B$2,TRUE(),IF($N287=Constants!$B$3,FALSE(),FALSE())))</f>
        <v/>
      </c>
      <c r="AT287" s="74" t="str">
        <f aca="false">IF(ISBLANK($C287),"",IF($O287=Constants!$B$2,TRUE(),IF($O287=Constants!$B$3,FALSE(),TRUE())))</f>
        <v/>
      </c>
      <c r="AU287" s="74" t="str">
        <f aca="false">IF(ISBLANK($C287),"",IF($P287=Constants!$B$2,TRUE(),IF($P287=Constants!$B$3,FALSE(),TRUE())))</f>
        <v/>
      </c>
      <c r="AV287" s="74" t="str">
        <f aca="false">IF(ISBLANK($C287),"",IF($Q287=Constants!$B$2,TRUE(),IF($Q287=Constants!$B$3,FALSE(),FALSE())))</f>
        <v/>
      </c>
      <c r="AW287" s="74" t="str">
        <f aca="false">IF(ISBLANK($C287),"",IF($R287=Constants!$B$2,TRUE(),IF($R287=Constants!$B$3,FALSE(),FALSE())))</f>
        <v/>
      </c>
      <c r="AX287" s="74" t="str">
        <f aca="false">IF(ISBLANK($C287),"",IF($S287=Constants!$B$2,TRUE(),IF($S287=Constants!$B$3,FALSE(),FALSE())))</f>
        <v/>
      </c>
      <c r="AY287" s="74" t="str">
        <f aca="false">IF(ISBLANK($C287),"",IF($T287=Constants!$B$2,TRUE(),IF($T287=Constants!$B$3,FALSE(),FALSE())))</f>
        <v/>
      </c>
      <c r="AZ287" s="74" t="str">
        <f aca="false">IF(ISBLANK($C287),"",IF($U287=Constants!$B$2,TRUE(),IF($U287=Constants!$B$3,FALSE(),FALSE())))</f>
        <v/>
      </c>
      <c r="BA287" s="74" t="str">
        <f aca="false">IF(ISBLANK($C287),"",IF(OR($V287&amp;""="1",$V287&amp;""="2",$V287&amp;""="3",$V287&amp;""="4"),VALUE($V287&amp;""),IF($V287=Constants!$B$12,Constants!$B$12,"")))</f>
        <v/>
      </c>
      <c r="BB287" s="74" t="str">
        <f aca="false">IF(ISBLANK($C287),"",IF(ISBLANK($W287),0,IF(ISNUMBER($W287),IF(AND($W287&gt;=0,$W287&lt;=Constants!$B$21,$W287=INT($W287)),$W287,""),"")))</f>
        <v/>
      </c>
      <c r="BC287" s="74" t="str">
        <f aca="false">IF(ISBLANK($C287),"",IF(ISBLANK($X287),0,IF(ISNUMBER($X287),IF($X287&gt;=0,$X287,""),"")))</f>
        <v/>
      </c>
      <c r="BD287" s="74" t="str">
        <f aca="false">IF(ISBLANK($C287),"",IF($Y287=Constants!$B$2,TRUE(),IF($Y287=Constants!$B$3,FALSE(),TRUE())))</f>
        <v/>
      </c>
      <c r="BE287" s="74" t="str">
        <f aca="false">IF(ISBLANK($C287),"",IF($Z287=Constants!$B$2,TRUE(),IF($Z287=Constants!$B$3,FALSE(),FALSE())))</f>
        <v/>
      </c>
      <c r="BF287" s="74" t="str">
        <f aca="false">IF(ISBLANK($C287),"",IF(ISBLANK($AA287),0,IF(ISNUMBER($AA287),IF(AND($AA287&gt;=0,$AA287&lt;=Constants!$B$35,$AA287=INT($AA287)),$AA287,""),"")))</f>
        <v/>
      </c>
      <c r="BG287" s="74" t="str">
        <f aca="false">IF(ISBLANK($C287),"",IF($AB287=Constants!$B$2,TRUE(),IF($AB287=Constants!$B$3,FALSE(),TRUE())))</f>
        <v/>
      </c>
      <c r="BH287" s="74" t="str">
        <f aca="false">IF(ISBLANK($C287),"",IF($AC287=Constants!$B$2,TRUE(),IF($AC287=Constants!$B$3,FALSE(),TRUE())))</f>
        <v/>
      </c>
      <c r="BI287" s="74" t="str">
        <f aca="false">IF(ISBLANK($C287),"",IF($AD287=Constants!$B$2,TRUE(),IF($AD287=Constants!$B$3,FALSE(),TRUE())))</f>
        <v/>
      </c>
      <c r="BJ287" s="74" t="str">
        <f aca="false">IF(ISBLANK($C287),"",IF(ISNUMBER($AE287),IF($AE287&gt;=0,$AE287,""),""))</f>
        <v/>
      </c>
      <c r="BK287" s="74" t="str">
        <f aca="false">IF(ISBLANK($C287),"",IF($AF287=Constants!$B$2,TRUE(),IF($AF287=Constants!$B$3,FALSE(),FALSE())))</f>
        <v/>
      </c>
      <c r="BL287" s="73" t="str">
        <f aca="false">IF(ISBLANK($C287),"",IF($BK287,Constants!$B$7,IF(COUNTA($E287:$AE287)=0,Constants!$B$6,IF(OR(COUNTA($G287:$AE287)=0,NOT($AM287),$AS287),Constants!$B$5,IF(OR($CM287&lt;&gt;"",$CN287,$CO287,$CP287,$CQ287,$CR287,$CS287),Constants!$B$8,Constants!$B$4)))))</f>
        <v/>
      </c>
      <c r="BM287" s="74" t="str">
        <f aca="false">IF(ISBLANK($C287),"",IF($BL287&lt;&gt;Constants!$B$4,$BL287,IF(OR(NOT($AJ287),NOT($AL287),NOT($AT287)),Constants!$B$11,IF(OR(NOT($AR287),NOT($AU287),NOT($BI287),MAX($AN287,$AO287,$AP287)&gt;Constants!$B$30),Constants!$B$10,Constants!$B$9))))</f>
        <v/>
      </c>
      <c r="BN287" s="74" t="str">
        <f aca="false">IF($BL287&lt;&gt;Constants!$B$4,"",IF(NOT($AL287),0,MIN(Constants!$B$35,$BF287)))</f>
        <v/>
      </c>
      <c r="BO287" s="74" t="str">
        <f aca="false">IF($BL287&lt;&gt;Constants!$B$4,"",IF(NOT($AL287),0,IF($AW287,Constants!$B$18,IF($AV287,Constants!$B$17,0))))</f>
        <v/>
      </c>
      <c r="BP287" s="74" t="str">
        <f aca="false">IF($BL287&lt;&gt;Constants!$B$4,"",IF(NOT($AL287),0,Constants!$B$19*($AK287+$AX287+$AY287+$AZ287)))</f>
        <v/>
      </c>
      <c r="BQ287" s="74" t="str">
        <f aca="false">IF($BL287&lt;&gt;Constants!$B$4,"",IF(OR(NOT($AL287),NOT(ISNUMBER($BA287))),0,CHOOSE($BA287,Constants!$B$13,Constants!$B$14,Constants!$B$15,Constants!$B$16)))</f>
        <v/>
      </c>
      <c r="BR287" s="74" t="str">
        <f aca="false">IF($BL287&lt;&gt;Constants!$B$4,"",IF(NOT($AL287),0,Constants!$B$20*$BB287))</f>
        <v/>
      </c>
      <c r="BS287" s="74" t="str">
        <f aca="false">IF($BL287&lt;&gt;Constants!$B$4,"",IF(AND($AL287,$BD287,$BE287),Constants!$B$22,0))</f>
        <v/>
      </c>
      <c r="BT287" s="74" t="str">
        <f aca="false">IF($BL287&lt;&gt;Constants!$B$4,"",IF(OR(NOT($AL287),NOT($BD287)),0,IF($BJ287&gt;=2*$AH$9,0,Constants!$B$23*INT(ROUND(MIN($BJ287,$AH$9),6)))))</f>
        <v/>
      </c>
      <c r="BU287" s="74" t="str">
        <f aca="false">IF($BL287&lt;&gt;Constants!$B$4,"",IF(NOT($AL287),0,Constants!$B$24*INT(ROUND(MIN($BC287,$AH$9),6))))</f>
        <v/>
      </c>
      <c r="BV287" s="74" t="str">
        <f aca="false">IF($BL287&lt;&gt;Constants!$B$4,"",IF(AND($AL287,$BN287=0),Constants!$B$25,0))</f>
        <v/>
      </c>
      <c r="BW287" s="74" t="str">
        <f aca="false">IF($BL287&lt;&gt;Constants!$B$4,"",MIN(Constants!$B$29,MAX(0,Constants!$B$27*Constants!$B$28*INT(ROUND((Constants!$B$26-$AN287)/Constants!$B$28,6))))+MIN(Constants!$B$29,MAX(0,Constants!$B$27*Constants!$B$28*INT(ROUND((Constants!$B$26-$AO287)/Constants!$B$28,6))))+MIN(Constants!$B$29,MAX(0,Constants!$B$27*Constants!$B$28*INT(ROUND((Constants!$B$26-$AP287)/Constants!$B$28,6)))))</f>
        <v/>
      </c>
      <c r="BX287" s="74" t="str">
        <f aca="false">IF($BL287&lt;&gt;Constants!$B$4,"",IF(NOT($AL287),0,Constants!$B$31*INT(ROUND(MAX(0,MIN($BJ287,2*$AH$9)-$AH$9),6))))</f>
        <v/>
      </c>
      <c r="BY287" s="74" t="str">
        <f aca="false">IF($BL287&lt;&gt;Constants!$B$4,"",Constants!$B$32*(($AN287&gt;Constants!$B$26)+($AO287&gt;Constants!$B$26)+($AP287&gt;Constants!$B$26)))</f>
        <v/>
      </c>
      <c r="BZ287" s="74" t="str">
        <f aca="false">IF($BL287&lt;&gt;Constants!$B$4,"",IF(OR(NOT($AL287),$AQ287),0,Constants!$B$33))</f>
        <v/>
      </c>
      <c r="CA287" s="74" t="str">
        <f aca="false">IF($BL287&lt;&gt;Constants!$B$4,"",Constants!$B$34*$BN287)</f>
        <v/>
      </c>
      <c r="CB287" s="74" t="str">
        <f aca="false">IF($BL287&lt;&gt;Constants!$B$4,"",IF(OR(NOT($AL287),$BH287),0,Constants!$B$36))</f>
        <v/>
      </c>
      <c r="CC287" s="74" t="str">
        <f aca="false">IF($BL287&lt;&gt;Constants!$B$4,"",IF(OR(NOT($AL287),$BG287),0,Constants!$B$37))</f>
        <v/>
      </c>
      <c r="CD287" s="74" t="str">
        <f aca="false">IF($BL287&lt;&gt;Constants!$B$4,"",SUM($BX287:$CC287))</f>
        <v/>
      </c>
      <c r="CE287" s="74" t="str">
        <f aca="false">IF(ISBLANK($C287),"",IF($BL287&lt;&gt;Constants!$B$4,$BL287,SUM($BO287:$BW287)-$CD287))</f>
        <v/>
      </c>
      <c r="CF287" s="74" t="str">
        <f aca="false">IF(ISBLANK($C287),"",IF($BL287&lt;&gt;Constants!$B$4,$BL287,RANK($CE287,$CE$9:$CE$508)))</f>
        <v/>
      </c>
      <c r="CG287" s="74" t="str">
        <f aca="false">IF(ISBLANK($C287),"",IF($BL287&lt;&gt;Constants!$B$4,$BL287,COUNTIFS($BM$9:$BM$508,"&lt;"&amp;$BM287)+COUNTIFS($BM$9:$BM$508,$BM287,$CF$9:$CF$508,"&lt;"&amp;$CF287)+1))</f>
        <v/>
      </c>
      <c r="CH287" s="74" t="str">
        <f aca="false">IF(ISBLANK($C287),"",IF($BL287&lt;&gt;Constants!$B$4,$BL287,RANK($CD287,$CD$9:$CD$508,1)))</f>
        <v/>
      </c>
      <c r="CI287" s="74" t="str">
        <f aca="false">IF($BL287&lt;&gt;Constants!$B$4,"",$AN287+$AO287+$AP287)</f>
        <v/>
      </c>
      <c r="CJ287" s="74" t="str">
        <f aca="false">IF(ISBLANK($C287),"",IF($BL287&lt;&gt;Constants!$B$4,$BL287,RANK($CI287,$CI$9:$CI$508,1)))</f>
        <v/>
      </c>
      <c r="CK287" s="74" t="str">
        <f aca="false">IF(ISBLANK($C287),"",IF($BL287&lt;&gt;Constants!$B$4,$BL287,COUNTIFS($BM$9:$BM$508,"&lt;"&amp;$BM287)+COUNTIFS($BM$9:$BM$508,$BM287,$CF$9:$CF$508,"&lt;"&amp;$CF287)+COUNTIFS($BM$9:$BM$508,$BM287,$CF$9:$CF$508,$CF287,$CH$9:$CH$508,"&lt;"&amp;$CH287)+COUNTIFS($BM$9:$BM$508,$BM287,$CF$9:$CF$508,$CF287,$CH$9:$CH$508,$CH287,$CJ$9:$CJ$508,"&lt;"&amp;$CJ287)+1))</f>
        <v/>
      </c>
      <c r="CL287" s="74" t="str">
        <f aca="false">IF(ISBLANK($C287),"",IF($BL287&lt;&gt;Constants!$B$4,$BL287,$CG287-$CK287))</f>
        <v/>
      </c>
      <c r="CM287" s="74" t="str">
        <f aca="false">IF(ISBLANK($C287),"",IF(NOT($AL287),"",IF(ISBLANK($D$7),$CM$5,IF(NOT(ISNUMBER($D$7)),$CM$6,""))))</f>
        <v/>
      </c>
      <c r="CN287" s="74" t="str">
        <f aca="false">IF(ISBLANK($C287),"",OR($AN287="",$AO287="",$AP287=""))</f>
        <v/>
      </c>
      <c r="CO287" s="74" t="str">
        <f aca="false">IF(ISBLANK($C287),"",AND($AL287,$BA287=""))</f>
        <v/>
      </c>
      <c r="CP287" s="74" t="str">
        <f aca="false">IF(ISBLANK($C287),"",AND($AL287,$BB287=""))</f>
        <v/>
      </c>
      <c r="CQ287" s="74" t="str">
        <f aca="false">IF(ISBLANK($C287),"",AND($AL287,$BC287=""))</f>
        <v/>
      </c>
      <c r="CR287" s="74" t="str">
        <f aca="false">IF(ISBLANK($C287),"",AND($AL287,$BF287=""))</f>
        <v/>
      </c>
      <c r="CS287" s="74" t="str">
        <f aca="false">IF(ISBLANK($C287),"",AND($AL287,$BJ287=""))</f>
        <v/>
      </c>
      <c r="CT287" s="75"/>
      <c r="CU287" s="76"/>
      <c r="CV287" s="79" t="str">
        <f aca="false">IF(ISBLANK($C287),"",IF($BL287=Constants!$B$8,$CM287,""))</f>
        <v/>
      </c>
      <c r="CW287" s="76" t="str">
        <f aca="false">IF(ISBLANK($C287),"",IF($BL287&lt;&gt;Constants!$B$4,"",$BO287+$BP287))</f>
        <v/>
      </c>
      <c r="CX287" s="78" t="str">
        <f aca="false">IF(ISBLANK($C287),"",IF($BL287&lt;&gt;Constants!$B$4,"",$BQ287+$BR287+$BS287))</f>
        <v/>
      </c>
      <c r="CY287" s="78" t="str">
        <f aca="false">IF(ISBLANK($C287),"",IF($BL287&lt;&gt;Constants!$B$4,"",$BT287))</f>
        <v/>
      </c>
      <c r="CZ287" s="78" t="str">
        <f aca="false">IF(ISBLANK($C287),"",IF($BL287&lt;&gt;Constants!$B$4,"",$BU287+$BV287))</f>
        <v/>
      </c>
      <c r="DA287" s="78" t="str">
        <f aca="false">IF(ISBLANK($C287),"",IF($BL287&lt;&gt;Constants!$B$4,"",$BW287))</f>
        <v/>
      </c>
      <c r="DB287" s="78" t="str">
        <f aca="false">IF(ISBLANK($C287),"",IF($BL287&lt;&gt;Constants!$B$4,"",-$CD287))</f>
        <v/>
      </c>
      <c r="DC287" s="79" t="str">
        <f aca="false">IF(ISBLANK($C287),"",$CE287)</f>
        <v/>
      </c>
      <c r="DD287" s="80" t="str">
        <f aca="false">IF(ISBLANK($C287),"",$BM287)</f>
        <v/>
      </c>
      <c r="DE287" s="78" t="str">
        <f aca="false">IF(ISBLANK($C287),"",$CL287)</f>
        <v/>
      </c>
      <c r="DF287" s="78" t="str">
        <f aca="false">IF(ISBLANK($C287),"",$CK287)</f>
        <v/>
      </c>
      <c r="DG287" s="81" t="str">
        <f aca="false">IF(ISBLANK($C287),"",IF($DF287=Constants!$B$7,COUNTA($C$9:$C$508)+2,IF($DF287=Constants!$B$6,COUNTA($C$9:$C$508)+1,IF($DF287=Constants!$B$5,COUNTA($C$9:$C$508),$DF287))))</f>
        <v/>
      </c>
      <c r="DH287" s="7"/>
      <c r="DI287" s="82" t="n">
        <f aca="false">IF(OR(ISNUMBER($DF287),$DF287=Constants!$B$7,$DF287=Constants!$B$5,$DF287=Constants!$B$6),1,0)</f>
        <v>0</v>
      </c>
      <c r="DJ287" s="82" t="n">
        <v>279</v>
      </c>
      <c r="DK287" s="82" t="str">
        <f aca="false">IF(ISBLANK($C287),"",IF(ISNUMBER($DG287),$DG287+ROW($B287)/1000,""))</f>
        <v/>
      </c>
      <c r="DL287" s="82" t="str">
        <f aca="false">IF(ISNUMBER($DK287),RANK($DK287,$DK$9:$DK$508,1),"")</f>
        <v/>
      </c>
      <c r="DM287" s="82" t="str">
        <f aca="false">IF(ISBLANK($C287),"",$B287)</f>
        <v/>
      </c>
      <c r="DN287" s="82" t="str">
        <f aca="false">IF(ISBLANK($C287),"",$C287)</f>
        <v/>
      </c>
      <c r="DO287" s="82" t="str">
        <f aca="false">IF(ISBLANK($C287),"",$D287)</f>
        <v/>
      </c>
      <c r="DP287" s="83" t="str">
        <f aca="false">$DD287</f>
        <v/>
      </c>
      <c r="DQ287" s="84" t="str">
        <f aca="false">$DC287</f>
        <v/>
      </c>
      <c r="DR287" s="82" t="str">
        <f aca="false">IF(ISBLANK($C287),"",$DF287)</f>
        <v/>
      </c>
      <c r="DS287" s="85" t="str">
        <f aca="false">IF($DJ287&gt;$DI$8,"",VLOOKUP($DJ287,$DL$9:$DR$508,7,FALSE()))</f>
        <v/>
      </c>
      <c r="DT287" s="86" t="str">
        <f aca="false">IF($DJ287&gt;$DI$8,"",VLOOKUP($DJ287,$DL$9:$DR$508,2,FALSE()))</f>
        <v/>
      </c>
      <c r="DU287" s="86" t="str">
        <f aca="false">IF($DJ287&gt;$DI$8,"",VLOOKUP($DJ287,$DL$9:$DR$508,3,FALSE()))</f>
        <v/>
      </c>
      <c r="DV287" s="86" t="str">
        <f aca="false">IF($DJ287&gt;$DI$8,"",VLOOKUP($DJ287,$DL$9:$DR$508,4,FALSE()))</f>
        <v/>
      </c>
      <c r="DW287" s="86" t="str">
        <f aca="false">IF($DJ287&gt;$DI$8,"",VLOOKUP($DJ287,$DL$9:$DR$508,5,FALSE()))</f>
        <v/>
      </c>
      <c r="DX287" s="87" t="str">
        <f aca="false">IF($DJ287&gt;$DI$8,"",VLOOKUP($DJ287,$DL$9:$DR$508,6,FALSE()))</f>
        <v/>
      </c>
      <c r="DY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130"/>
      <c r="N288" s="130"/>
      <c r="O288" s="135"/>
      <c r="P288" s="135"/>
      <c r="Q288" s="130"/>
      <c r="R288" s="130"/>
      <c r="S288" s="130"/>
      <c r="T288" s="130"/>
      <c r="U288" s="135"/>
      <c r="V288" s="130"/>
      <c r="W288" s="96"/>
      <c r="X288" s="130"/>
      <c r="Y288" s="130"/>
      <c r="Z288" s="96"/>
      <c r="AA288" s="96"/>
      <c r="AB288" s="130"/>
      <c r="AC288" s="130"/>
      <c r="AD288" s="130"/>
      <c r="AE288" s="97"/>
      <c r="AF288" s="130"/>
      <c r="AG288" s="99"/>
      <c r="AH288" s="100"/>
      <c r="AI288" s="100"/>
      <c r="AJ288" s="100" t="str">
        <f aca="false">IF(ISBLANK($C288),"",IF($E288=Constants!$B$2,TRUE(),IF($E288=Constants!$B$3,FALSE(),TRUE())))</f>
        <v/>
      </c>
      <c r="AK288" s="100" t="str">
        <f aca="false">IF(ISBLANK($C288),"",IF($F288=Constants!$B$2,TRUE(),IF($F288=Constants!$B$3,FALSE(),FALSE())))</f>
        <v/>
      </c>
      <c r="AL288" s="100" t="str">
        <f aca="false">IF(ISBLANK($C288),"",IF($G288=Constants!$B$2,TRUE(),IF($G288=Constants!$B$3,FALSE(),TRUE())))</f>
        <v/>
      </c>
      <c r="AM288" s="100" t="str">
        <f aca="false">IF(ISBLANK($C288),"",IF($H288=Constants!$B$2,TRUE(),IF($H288=Constants!$B$3,FALSE(),TRUE())))</f>
        <v/>
      </c>
      <c r="AN288" s="100" t="str">
        <f aca="false">IF(ISBLANK($C288),"",IF(ISNUMBER($I288),IF($I288&gt;=0,$I288,""),""))</f>
        <v/>
      </c>
      <c r="AO288" s="100" t="str">
        <f aca="false">IF(ISBLANK($C288),"",IF(ISNUMBER($J288),IF($J288&gt;=0,$J288,""),""))</f>
        <v/>
      </c>
      <c r="AP288" s="100" t="str">
        <f aca="false">IF(ISBLANK($C288),"",IF(ISNUMBER($K288),IF($K288&gt;=0,$K288,""),""))</f>
        <v/>
      </c>
      <c r="AQ288" s="100" t="str">
        <f aca="false">IF(ISBLANK($C288),"",IF($L288=Constants!$B$2,TRUE(),IF($L288=Constants!$B$3,FALSE(),TRUE())))</f>
        <v/>
      </c>
      <c r="AR288" s="100" t="str">
        <f aca="false">IF(ISBLANK($C288),"",IF($M288=Constants!$B$2,TRUE(),IF($M288=Constants!$B$3,FALSE(),TRUE())))</f>
        <v/>
      </c>
      <c r="AS288" s="100" t="str">
        <f aca="false">IF(ISBLANK($C288),"",IF($N288=Constants!$B$2,TRUE(),IF($N288=Constants!$B$3,FALSE(),FALSE())))</f>
        <v/>
      </c>
      <c r="AT288" s="100" t="str">
        <f aca="false">IF(ISBLANK($C288),"",IF($O288=Constants!$B$2,TRUE(),IF($O288=Constants!$B$3,FALSE(),TRUE())))</f>
        <v/>
      </c>
      <c r="AU288" s="100" t="str">
        <f aca="false">IF(ISBLANK($C288),"",IF($P288=Constants!$B$2,TRUE(),IF($P288=Constants!$B$3,FALSE(),TRUE())))</f>
        <v/>
      </c>
      <c r="AV288" s="100" t="str">
        <f aca="false">IF(ISBLANK($C288),"",IF($Q288=Constants!$B$2,TRUE(),IF($Q288=Constants!$B$3,FALSE(),FALSE())))</f>
        <v/>
      </c>
      <c r="AW288" s="100" t="str">
        <f aca="false">IF(ISBLANK($C288),"",IF($R288=Constants!$B$2,TRUE(),IF($R288=Constants!$B$3,FALSE(),FALSE())))</f>
        <v/>
      </c>
      <c r="AX288" s="100" t="str">
        <f aca="false">IF(ISBLANK($C288),"",IF($S288=Constants!$B$2,TRUE(),IF($S288=Constants!$B$3,FALSE(),FALSE())))</f>
        <v/>
      </c>
      <c r="AY288" s="100" t="str">
        <f aca="false">IF(ISBLANK($C288),"",IF($T288=Constants!$B$2,TRUE(),IF($T288=Constants!$B$3,FALSE(),FALSE())))</f>
        <v/>
      </c>
      <c r="AZ288" s="100" t="str">
        <f aca="false">IF(ISBLANK($C288),"",IF($U288=Constants!$B$2,TRUE(),IF($U288=Constants!$B$3,FALSE(),FALSE())))</f>
        <v/>
      </c>
      <c r="BA288" s="100" t="str">
        <f aca="false">IF(ISBLANK($C288),"",IF(OR($V288&amp;""="1",$V288&amp;""="2",$V288&amp;""="3",$V288&amp;""="4"),VALUE($V288&amp;""),IF($V288=Constants!$B$12,Constants!$B$12,"")))</f>
        <v/>
      </c>
      <c r="BB288" s="100" t="str">
        <f aca="false">IF(ISBLANK($C288),"",IF(ISBLANK($W288),0,IF(ISNUMBER($W288),IF(AND($W288&gt;=0,$W288&lt;=Constants!$B$21,$W288=INT($W288)),$W288,""),"")))</f>
        <v/>
      </c>
      <c r="BC288" s="100" t="str">
        <f aca="false">IF(ISBLANK($C288),"",IF(ISBLANK($X288),0,IF(ISNUMBER($X288),IF($X288&gt;=0,$X288,""),"")))</f>
        <v/>
      </c>
      <c r="BD288" s="100" t="str">
        <f aca="false">IF(ISBLANK($C288),"",IF($Y288=Constants!$B$2,TRUE(),IF($Y288=Constants!$B$3,FALSE(),TRUE())))</f>
        <v/>
      </c>
      <c r="BE288" s="100" t="str">
        <f aca="false">IF(ISBLANK($C288),"",IF($Z288=Constants!$B$2,TRUE(),IF($Z288=Constants!$B$3,FALSE(),FALSE())))</f>
        <v/>
      </c>
      <c r="BF288" s="100" t="str">
        <f aca="false">IF(ISBLANK($C288),"",IF(ISBLANK($AA288),0,IF(ISNUMBER($AA288),IF(AND($AA288&gt;=0,$AA288&lt;=Constants!$B$35,$AA288=INT($AA288)),$AA288,""),"")))</f>
        <v/>
      </c>
      <c r="BG288" s="100" t="str">
        <f aca="false">IF(ISBLANK($C288),"",IF($AB288=Constants!$B$2,TRUE(),IF($AB288=Constants!$B$3,FALSE(),TRUE())))</f>
        <v/>
      </c>
      <c r="BH288" s="100" t="str">
        <f aca="false">IF(ISBLANK($C288),"",IF($AC288=Constants!$B$2,TRUE(),IF($AC288=Constants!$B$3,FALSE(),TRUE())))</f>
        <v/>
      </c>
      <c r="BI288" s="100" t="str">
        <f aca="false">IF(ISBLANK($C288),"",IF($AD288=Constants!$B$2,TRUE(),IF($AD288=Constants!$B$3,FALSE(),TRUE())))</f>
        <v/>
      </c>
      <c r="BJ288" s="100" t="str">
        <f aca="false">IF(ISBLANK($C288),"",IF(ISNUMBER($AE288),IF($AE288&gt;=0,$AE288,""),""))</f>
        <v/>
      </c>
      <c r="BK288" s="100" t="str">
        <f aca="false">IF(ISBLANK($C288),"",IF($AF288=Constants!$B$2,TRUE(),IF($AF288=Constants!$B$3,FALSE(),FALSE())))</f>
        <v/>
      </c>
      <c r="BL288" s="99" t="str">
        <f aca="false">IF(ISBLANK($C288),"",IF($BK288,Constants!$B$7,IF(COUNTA($E288:$AE288)=0,Constants!$B$6,IF(OR(COUNTA($G288:$AE288)=0,NOT($AM288),$AS288),Constants!$B$5,IF(OR($CM288&lt;&gt;"",$CN288,$CO288,$CP288,$CQ288,$CR288,$CS288),Constants!$B$8,Constants!$B$4)))))</f>
        <v/>
      </c>
      <c r="BM288" s="100" t="str">
        <f aca="false">IF(ISBLANK($C288),"",IF($BL288&lt;&gt;Constants!$B$4,$BL288,IF(OR(NOT($AJ288),NOT($AL288),NOT($AT288)),Constants!$B$11,IF(OR(NOT($AR288),NOT($AU288),NOT($BI288),MAX($AN288,$AO288,$AP288)&gt;Constants!$B$30),Constants!$B$10,Constants!$B$9))))</f>
        <v/>
      </c>
      <c r="BN288" s="100" t="str">
        <f aca="false">IF($BL288&lt;&gt;Constants!$B$4,"",IF(NOT($AL288),0,MIN(Constants!$B$35,$BF288)))</f>
        <v/>
      </c>
      <c r="BO288" s="100" t="str">
        <f aca="false">IF($BL288&lt;&gt;Constants!$B$4,"",IF(NOT($AL288),0,IF($AW288,Constants!$B$18,IF($AV288,Constants!$B$17,0))))</f>
        <v/>
      </c>
      <c r="BP288" s="100" t="str">
        <f aca="false">IF($BL288&lt;&gt;Constants!$B$4,"",IF(NOT($AL288),0,Constants!$B$19*($AK288+$AX288+$AY288+$AZ288)))</f>
        <v/>
      </c>
      <c r="BQ288" s="100" t="str">
        <f aca="false">IF($BL288&lt;&gt;Constants!$B$4,"",IF(OR(NOT($AL288),NOT(ISNUMBER($BA288))),0,CHOOSE($BA288,Constants!$B$13,Constants!$B$14,Constants!$B$15,Constants!$B$16)))</f>
        <v/>
      </c>
      <c r="BR288" s="100" t="str">
        <f aca="false">IF($BL288&lt;&gt;Constants!$B$4,"",IF(NOT($AL288),0,Constants!$B$20*$BB288))</f>
        <v/>
      </c>
      <c r="BS288" s="100" t="str">
        <f aca="false">IF($BL288&lt;&gt;Constants!$B$4,"",IF(AND($AL288,$BD288,$BE288),Constants!$B$22,0))</f>
        <v/>
      </c>
      <c r="BT288" s="100" t="str">
        <f aca="false">IF($BL288&lt;&gt;Constants!$B$4,"",IF(OR(NOT($AL288),NOT($BD288)),0,IF($BJ288&gt;=2*$AH$9,0,Constants!$B$23*INT(ROUND(MIN($BJ288,$AH$9),6)))))</f>
        <v/>
      </c>
      <c r="BU288" s="100" t="str">
        <f aca="false">IF($BL288&lt;&gt;Constants!$B$4,"",IF(NOT($AL288),0,Constants!$B$24*INT(ROUND(MIN($BC288,$AH$9),6))))</f>
        <v/>
      </c>
      <c r="BV288" s="100" t="str">
        <f aca="false">IF($BL288&lt;&gt;Constants!$B$4,"",IF(AND($AL288,$BN288=0),Constants!$B$25,0))</f>
        <v/>
      </c>
      <c r="BW288" s="100" t="str">
        <f aca="false">IF($BL288&lt;&gt;Constants!$B$4,"",MIN(Constants!$B$29,MAX(0,Constants!$B$27*Constants!$B$28*INT(ROUND((Constants!$B$26-$AN288)/Constants!$B$28,6))))+MIN(Constants!$B$29,MAX(0,Constants!$B$27*Constants!$B$28*INT(ROUND((Constants!$B$26-$AO288)/Constants!$B$28,6))))+MIN(Constants!$B$29,MAX(0,Constants!$B$27*Constants!$B$28*INT(ROUND((Constants!$B$26-$AP288)/Constants!$B$28,6)))))</f>
        <v/>
      </c>
      <c r="BX288" s="100" t="str">
        <f aca="false">IF($BL288&lt;&gt;Constants!$B$4,"",IF(NOT($AL288),0,Constants!$B$31*INT(ROUND(MAX(0,MIN($BJ288,2*$AH$9)-$AH$9),6))))</f>
        <v/>
      </c>
      <c r="BY288" s="100" t="str">
        <f aca="false">IF($BL288&lt;&gt;Constants!$B$4,"",Constants!$B$32*(($AN288&gt;Constants!$B$26)+($AO288&gt;Constants!$B$26)+($AP288&gt;Constants!$B$26)))</f>
        <v/>
      </c>
      <c r="BZ288" s="100" t="str">
        <f aca="false">IF($BL288&lt;&gt;Constants!$B$4,"",IF(OR(NOT($AL288),$AQ288),0,Constants!$B$33))</f>
        <v/>
      </c>
      <c r="CA288" s="100" t="str">
        <f aca="false">IF($BL288&lt;&gt;Constants!$B$4,"",Constants!$B$34*$BN288)</f>
        <v/>
      </c>
      <c r="CB288" s="100" t="str">
        <f aca="false">IF($BL288&lt;&gt;Constants!$B$4,"",IF(OR(NOT($AL288),$BH288),0,Constants!$B$36))</f>
        <v/>
      </c>
      <c r="CC288" s="100" t="str">
        <f aca="false">IF($BL288&lt;&gt;Constants!$B$4,"",IF(OR(NOT($AL288),$BG288),0,Constants!$B$37))</f>
        <v/>
      </c>
      <c r="CD288" s="100" t="str">
        <f aca="false">IF($BL288&lt;&gt;Constants!$B$4,"",SUM($BX288:$CC288))</f>
        <v/>
      </c>
      <c r="CE288" s="100" t="str">
        <f aca="false">IF(ISBLANK($C288),"",IF($BL288&lt;&gt;Constants!$B$4,$BL288,SUM($BO288:$BW288)-$CD288))</f>
        <v/>
      </c>
      <c r="CF288" s="100" t="str">
        <f aca="false">IF(ISBLANK($C288),"",IF($BL288&lt;&gt;Constants!$B$4,$BL288,RANK($CE288,$CE$9:$CE$508)))</f>
        <v/>
      </c>
      <c r="CG288" s="100" t="str">
        <f aca="false">IF(ISBLANK($C288),"",IF($BL288&lt;&gt;Constants!$B$4,$BL288,COUNTIFS($BM$9:$BM$508,"&lt;"&amp;$BM288)+COUNTIFS($BM$9:$BM$508,$BM288,$CF$9:$CF$508,"&lt;"&amp;$CF288)+1))</f>
        <v/>
      </c>
      <c r="CH288" s="100" t="str">
        <f aca="false">IF(ISBLANK($C288),"",IF($BL288&lt;&gt;Constants!$B$4,$BL288,RANK($CD288,$CD$9:$CD$508,1)))</f>
        <v/>
      </c>
      <c r="CI288" s="100" t="str">
        <f aca="false">IF($BL288&lt;&gt;Constants!$B$4,"",$AN288+$AO288+$AP288)</f>
        <v/>
      </c>
      <c r="CJ288" s="100" t="str">
        <f aca="false">IF(ISBLANK($C288),"",IF($BL288&lt;&gt;Constants!$B$4,$BL288,RANK($CI288,$CI$9:$CI$508,1)))</f>
        <v/>
      </c>
      <c r="CK288" s="100" t="str">
        <f aca="false">IF(ISBLANK($C288),"",IF($BL288&lt;&gt;Constants!$B$4,$BL288,COUNTIFS($BM$9:$BM$508,"&lt;"&amp;$BM288)+COUNTIFS($BM$9:$BM$508,$BM288,$CF$9:$CF$508,"&lt;"&amp;$CF288)+COUNTIFS($BM$9:$BM$508,$BM288,$CF$9:$CF$508,$CF288,$CH$9:$CH$508,"&lt;"&amp;$CH288)+COUNTIFS($BM$9:$BM$508,$BM288,$CF$9:$CF$508,$CF288,$CH$9:$CH$508,$CH288,$CJ$9:$CJ$508,"&lt;"&amp;$CJ288)+1))</f>
        <v/>
      </c>
      <c r="CL288" s="100" t="str">
        <f aca="false">IF(ISBLANK($C288),"",IF($BL288&lt;&gt;Constants!$B$4,$BL288,$CG288-$CK288))</f>
        <v/>
      </c>
      <c r="CM288" s="100" t="str">
        <f aca="false">IF(ISBLANK($C288),"",IF(NOT($AL288),"",IF(ISBLANK($D$7),$CM$5,IF(NOT(ISNUMBER($D$7)),$CM$6,""))))</f>
        <v/>
      </c>
      <c r="CN288" s="100" t="str">
        <f aca="false">IF(ISBLANK($C288),"",OR($AN288="",$AO288="",$AP288=""))</f>
        <v/>
      </c>
      <c r="CO288" s="100" t="str">
        <f aca="false">IF(ISBLANK($C288),"",AND($AL288,$BA288=""))</f>
        <v/>
      </c>
      <c r="CP288" s="100" t="str">
        <f aca="false">IF(ISBLANK($C288),"",AND($AL288,$BB288=""))</f>
        <v/>
      </c>
      <c r="CQ288" s="100" t="str">
        <f aca="false">IF(ISBLANK($C288),"",AND($AL288,$BC288=""))</f>
        <v/>
      </c>
      <c r="CR288" s="100" t="str">
        <f aca="false">IF(ISBLANK($C288),"",AND($AL288,$BF288=""))</f>
        <v/>
      </c>
      <c r="CS288" s="100" t="str">
        <f aca="false">IF(ISBLANK($C288),"",AND($AL288,$BJ288=""))</f>
        <v/>
      </c>
      <c r="CT288" s="101"/>
      <c r="CU288" s="102"/>
      <c r="CV288" s="103" t="str">
        <f aca="false">IF(ISBLANK($C288),"",IF($BL288=Constants!$B$8,$CM288,""))</f>
        <v/>
      </c>
      <c r="CW288" s="102" t="str">
        <f aca="false">IF(ISBLANK($C288),"",IF($BL288&lt;&gt;Constants!$B$4,"",$BO288+$BP288))</f>
        <v/>
      </c>
      <c r="CX288" s="104" t="str">
        <f aca="false">IF(ISBLANK($C288),"",IF($BL288&lt;&gt;Constants!$B$4,"",$BQ288+$BR288+$BS288))</f>
        <v/>
      </c>
      <c r="CY288" s="104" t="str">
        <f aca="false">IF(ISBLANK($C288),"",IF($BL288&lt;&gt;Constants!$B$4,"",$BT288))</f>
        <v/>
      </c>
      <c r="CZ288" s="104" t="str">
        <f aca="false">IF(ISBLANK($C288),"",IF($BL288&lt;&gt;Constants!$B$4,"",$BU288+$BV288))</f>
        <v/>
      </c>
      <c r="DA288" s="104" t="str">
        <f aca="false">IF(ISBLANK($C288),"",IF($BL288&lt;&gt;Constants!$B$4,"",$BW288))</f>
        <v/>
      </c>
      <c r="DB288" s="104" t="str">
        <f aca="false">IF(ISBLANK($C288),"",IF($BL288&lt;&gt;Constants!$B$4,"",-$CD288))</f>
        <v/>
      </c>
      <c r="DC288" s="103" t="str">
        <f aca="false">IF(ISBLANK($C288),"",$CE288)</f>
        <v/>
      </c>
      <c r="DD288" s="105" t="str">
        <f aca="false">IF(ISBLANK($C288),"",$BM288)</f>
        <v/>
      </c>
      <c r="DE288" s="104" t="str">
        <f aca="false">IF(ISBLANK($C288),"",$CL288)</f>
        <v/>
      </c>
      <c r="DF288" s="104" t="str">
        <f aca="false">IF(ISBLANK($C288),"",$CK288)</f>
        <v/>
      </c>
      <c r="DG288" s="106" t="str">
        <f aca="false">IF(ISBLANK($C288),"",IF($DF288=Constants!$B$7,COUNTA($C$9:$C$508)+2,IF($DF288=Constants!$B$6,COUNTA($C$9:$C$508)+1,IF($DF288=Constants!$B$5,COUNTA($C$9:$C$508),$DF288))))</f>
        <v/>
      </c>
      <c r="DH288" s="7"/>
      <c r="DI288" s="107" t="n">
        <f aca="false">IF(OR(ISNUMBER($DF288),$DF288=Constants!$B$7,$DF288=Constants!$B$5,$DF288=Constants!$B$6),1,0)</f>
        <v>0</v>
      </c>
      <c r="DJ288" s="107" t="n">
        <v>280</v>
      </c>
      <c r="DK288" s="107" t="str">
        <f aca="false">IF(ISBLANK($C288),"",IF(ISNUMBER($DG288),$DG288+ROW($B288)/1000,""))</f>
        <v/>
      </c>
      <c r="DL288" s="107" t="str">
        <f aca="false">IF(ISNUMBER($DK288),RANK($DK288,$DK$9:$DK$508,1),"")</f>
        <v/>
      </c>
      <c r="DM288" s="107" t="str">
        <f aca="false">IF(ISBLANK($C288),"",$B288)</f>
        <v/>
      </c>
      <c r="DN288" s="107" t="str">
        <f aca="false">IF(ISBLANK($C288),"",$C288)</f>
        <v/>
      </c>
      <c r="DO288" s="107" t="str">
        <f aca="false">IF(ISBLANK($C288),"",$D288)</f>
        <v/>
      </c>
      <c r="DP288" s="108" t="str">
        <f aca="false">$DD288</f>
        <v/>
      </c>
      <c r="DQ288" s="109" t="str">
        <f aca="false">$DC288</f>
        <v/>
      </c>
      <c r="DR288" s="107" t="str">
        <f aca="false">IF(ISBLANK($C288),"",$DF288)</f>
        <v/>
      </c>
      <c r="DS288" s="110" t="str">
        <f aca="false">IF($DJ288&gt;$DI$8,"",VLOOKUP($DJ288,$DL$9:$DR$508,7,FALSE()))</f>
        <v/>
      </c>
      <c r="DT288" s="111" t="str">
        <f aca="false">IF($DJ288&gt;$DI$8,"",VLOOKUP($DJ288,$DL$9:$DR$508,2,FALSE()))</f>
        <v/>
      </c>
      <c r="DU288" s="111" t="str">
        <f aca="false">IF($DJ288&gt;$DI$8,"",VLOOKUP($DJ288,$DL$9:$DR$508,3,FALSE()))</f>
        <v/>
      </c>
      <c r="DV288" s="111" t="str">
        <f aca="false">IF($DJ288&gt;$DI$8,"",VLOOKUP($DJ288,$DL$9:$DR$508,4,FALSE()))</f>
        <v/>
      </c>
      <c r="DW288" s="111" t="str">
        <f aca="false">IF($DJ288&gt;$DI$8,"",VLOOKUP($DJ288,$DL$9:$DR$508,5,FALSE()))</f>
        <v/>
      </c>
      <c r="DX288" s="112" t="str">
        <f aca="false">IF($DJ288&gt;$DI$8,"",VLOOKUP($DJ288,$DL$9:$DR$508,6,FALSE()))</f>
        <v/>
      </c>
      <c r="DY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130"/>
      <c r="N289" s="130"/>
      <c r="O289" s="135"/>
      <c r="P289" s="135"/>
      <c r="Q289" s="130"/>
      <c r="R289" s="130"/>
      <c r="S289" s="130"/>
      <c r="T289" s="130"/>
      <c r="U289" s="135"/>
      <c r="V289" s="130"/>
      <c r="W289" s="96"/>
      <c r="X289" s="130"/>
      <c r="Y289" s="130"/>
      <c r="Z289" s="96"/>
      <c r="AA289" s="96"/>
      <c r="AB289" s="130"/>
      <c r="AC289" s="130"/>
      <c r="AD289" s="130"/>
      <c r="AE289" s="97"/>
      <c r="AF289" s="130"/>
      <c r="AG289" s="99"/>
      <c r="AH289" s="100"/>
      <c r="AI289" s="100"/>
      <c r="AJ289" s="100" t="str">
        <f aca="false">IF(ISBLANK($C289),"",IF($E289=Constants!$B$2,TRUE(),IF($E289=Constants!$B$3,FALSE(),TRUE())))</f>
        <v/>
      </c>
      <c r="AK289" s="100" t="str">
        <f aca="false">IF(ISBLANK($C289),"",IF($F289=Constants!$B$2,TRUE(),IF($F289=Constants!$B$3,FALSE(),FALSE())))</f>
        <v/>
      </c>
      <c r="AL289" s="100" t="str">
        <f aca="false">IF(ISBLANK($C289),"",IF($G289=Constants!$B$2,TRUE(),IF($G289=Constants!$B$3,FALSE(),TRUE())))</f>
        <v/>
      </c>
      <c r="AM289" s="100" t="str">
        <f aca="false">IF(ISBLANK($C289),"",IF($H289=Constants!$B$2,TRUE(),IF($H289=Constants!$B$3,FALSE(),TRUE())))</f>
        <v/>
      </c>
      <c r="AN289" s="100" t="str">
        <f aca="false">IF(ISBLANK($C289),"",IF(ISNUMBER($I289),IF($I289&gt;=0,$I289,""),""))</f>
        <v/>
      </c>
      <c r="AO289" s="100" t="str">
        <f aca="false">IF(ISBLANK($C289),"",IF(ISNUMBER($J289),IF($J289&gt;=0,$J289,""),""))</f>
        <v/>
      </c>
      <c r="AP289" s="100" t="str">
        <f aca="false">IF(ISBLANK($C289),"",IF(ISNUMBER($K289),IF($K289&gt;=0,$K289,""),""))</f>
        <v/>
      </c>
      <c r="AQ289" s="100" t="str">
        <f aca="false">IF(ISBLANK($C289),"",IF($L289=Constants!$B$2,TRUE(),IF($L289=Constants!$B$3,FALSE(),TRUE())))</f>
        <v/>
      </c>
      <c r="AR289" s="100" t="str">
        <f aca="false">IF(ISBLANK($C289),"",IF($M289=Constants!$B$2,TRUE(),IF($M289=Constants!$B$3,FALSE(),TRUE())))</f>
        <v/>
      </c>
      <c r="AS289" s="100" t="str">
        <f aca="false">IF(ISBLANK($C289),"",IF($N289=Constants!$B$2,TRUE(),IF($N289=Constants!$B$3,FALSE(),FALSE())))</f>
        <v/>
      </c>
      <c r="AT289" s="100" t="str">
        <f aca="false">IF(ISBLANK($C289),"",IF($O289=Constants!$B$2,TRUE(),IF($O289=Constants!$B$3,FALSE(),TRUE())))</f>
        <v/>
      </c>
      <c r="AU289" s="100" t="str">
        <f aca="false">IF(ISBLANK($C289),"",IF($P289=Constants!$B$2,TRUE(),IF($P289=Constants!$B$3,FALSE(),TRUE())))</f>
        <v/>
      </c>
      <c r="AV289" s="100" t="str">
        <f aca="false">IF(ISBLANK($C289),"",IF($Q289=Constants!$B$2,TRUE(),IF($Q289=Constants!$B$3,FALSE(),FALSE())))</f>
        <v/>
      </c>
      <c r="AW289" s="100" t="str">
        <f aca="false">IF(ISBLANK($C289),"",IF($R289=Constants!$B$2,TRUE(),IF($R289=Constants!$B$3,FALSE(),FALSE())))</f>
        <v/>
      </c>
      <c r="AX289" s="100" t="str">
        <f aca="false">IF(ISBLANK($C289),"",IF($S289=Constants!$B$2,TRUE(),IF($S289=Constants!$B$3,FALSE(),FALSE())))</f>
        <v/>
      </c>
      <c r="AY289" s="100" t="str">
        <f aca="false">IF(ISBLANK($C289),"",IF($T289=Constants!$B$2,TRUE(),IF($T289=Constants!$B$3,FALSE(),FALSE())))</f>
        <v/>
      </c>
      <c r="AZ289" s="100" t="str">
        <f aca="false">IF(ISBLANK($C289),"",IF($U289=Constants!$B$2,TRUE(),IF($U289=Constants!$B$3,FALSE(),FALSE())))</f>
        <v/>
      </c>
      <c r="BA289" s="100" t="str">
        <f aca="false">IF(ISBLANK($C289),"",IF(OR($V289&amp;""="1",$V289&amp;""="2",$V289&amp;""="3",$V289&amp;""="4"),VALUE($V289&amp;""),IF($V289=Constants!$B$12,Constants!$B$12,"")))</f>
        <v/>
      </c>
      <c r="BB289" s="100" t="str">
        <f aca="false">IF(ISBLANK($C289),"",IF(ISBLANK($W289),0,IF(ISNUMBER($W289),IF(AND($W289&gt;=0,$W289&lt;=Constants!$B$21,$W289=INT($W289)),$W289,""),"")))</f>
        <v/>
      </c>
      <c r="BC289" s="100" t="str">
        <f aca="false">IF(ISBLANK($C289),"",IF(ISBLANK($X289),0,IF(ISNUMBER($X289),IF($X289&gt;=0,$X289,""),"")))</f>
        <v/>
      </c>
      <c r="BD289" s="100" t="str">
        <f aca="false">IF(ISBLANK($C289),"",IF($Y289=Constants!$B$2,TRUE(),IF($Y289=Constants!$B$3,FALSE(),TRUE())))</f>
        <v/>
      </c>
      <c r="BE289" s="100" t="str">
        <f aca="false">IF(ISBLANK($C289),"",IF($Z289=Constants!$B$2,TRUE(),IF($Z289=Constants!$B$3,FALSE(),FALSE())))</f>
        <v/>
      </c>
      <c r="BF289" s="100" t="str">
        <f aca="false">IF(ISBLANK($C289),"",IF(ISBLANK($AA289),0,IF(ISNUMBER($AA289),IF(AND($AA289&gt;=0,$AA289&lt;=Constants!$B$35,$AA289=INT($AA289)),$AA289,""),"")))</f>
        <v/>
      </c>
      <c r="BG289" s="100" t="str">
        <f aca="false">IF(ISBLANK($C289),"",IF($AB289=Constants!$B$2,TRUE(),IF($AB289=Constants!$B$3,FALSE(),TRUE())))</f>
        <v/>
      </c>
      <c r="BH289" s="100" t="str">
        <f aca="false">IF(ISBLANK($C289),"",IF($AC289=Constants!$B$2,TRUE(),IF($AC289=Constants!$B$3,FALSE(),TRUE())))</f>
        <v/>
      </c>
      <c r="BI289" s="100" t="str">
        <f aca="false">IF(ISBLANK($C289),"",IF($AD289=Constants!$B$2,TRUE(),IF($AD289=Constants!$B$3,FALSE(),TRUE())))</f>
        <v/>
      </c>
      <c r="BJ289" s="100" t="str">
        <f aca="false">IF(ISBLANK($C289),"",IF(ISNUMBER($AE289),IF($AE289&gt;=0,$AE289,""),""))</f>
        <v/>
      </c>
      <c r="BK289" s="100" t="str">
        <f aca="false">IF(ISBLANK($C289),"",IF($AF289=Constants!$B$2,TRUE(),IF($AF289=Constants!$B$3,FALSE(),FALSE())))</f>
        <v/>
      </c>
      <c r="BL289" s="99" t="str">
        <f aca="false">IF(ISBLANK($C289),"",IF($BK289,Constants!$B$7,IF(COUNTA($E289:$AE289)=0,Constants!$B$6,IF(OR(COUNTA($G289:$AE289)=0,NOT($AM289),$AS289),Constants!$B$5,IF(OR($CM289&lt;&gt;"",$CN289,$CO289,$CP289,$CQ289,$CR289,$CS289),Constants!$B$8,Constants!$B$4)))))</f>
        <v/>
      </c>
      <c r="BM289" s="100" t="str">
        <f aca="false">IF(ISBLANK($C289),"",IF($BL289&lt;&gt;Constants!$B$4,$BL289,IF(OR(NOT($AJ289),NOT($AL289),NOT($AT289)),Constants!$B$11,IF(OR(NOT($AR289),NOT($AU289),NOT($BI289),MAX($AN289,$AO289,$AP289)&gt;Constants!$B$30),Constants!$B$10,Constants!$B$9))))</f>
        <v/>
      </c>
      <c r="BN289" s="100" t="str">
        <f aca="false">IF($BL289&lt;&gt;Constants!$B$4,"",IF(NOT($AL289),0,MIN(Constants!$B$35,$BF289)))</f>
        <v/>
      </c>
      <c r="BO289" s="100" t="str">
        <f aca="false">IF($BL289&lt;&gt;Constants!$B$4,"",IF(NOT($AL289),0,IF($AW289,Constants!$B$18,IF($AV289,Constants!$B$17,0))))</f>
        <v/>
      </c>
      <c r="BP289" s="100" t="str">
        <f aca="false">IF($BL289&lt;&gt;Constants!$B$4,"",IF(NOT($AL289),0,Constants!$B$19*($AK289+$AX289+$AY289+$AZ289)))</f>
        <v/>
      </c>
      <c r="BQ289" s="100" t="str">
        <f aca="false">IF($BL289&lt;&gt;Constants!$B$4,"",IF(OR(NOT($AL289),NOT(ISNUMBER($BA289))),0,CHOOSE($BA289,Constants!$B$13,Constants!$B$14,Constants!$B$15,Constants!$B$16)))</f>
        <v/>
      </c>
      <c r="BR289" s="100" t="str">
        <f aca="false">IF($BL289&lt;&gt;Constants!$B$4,"",IF(NOT($AL289),0,Constants!$B$20*$BB289))</f>
        <v/>
      </c>
      <c r="BS289" s="100" t="str">
        <f aca="false">IF($BL289&lt;&gt;Constants!$B$4,"",IF(AND($AL289,$BD289,$BE289),Constants!$B$22,0))</f>
        <v/>
      </c>
      <c r="BT289" s="100" t="str">
        <f aca="false">IF($BL289&lt;&gt;Constants!$B$4,"",IF(OR(NOT($AL289),NOT($BD289)),0,IF($BJ289&gt;=2*$AH$9,0,Constants!$B$23*INT(ROUND(MIN($BJ289,$AH$9),6)))))</f>
        <v/>
      </c>
      <c r="BU289" s="100" t="str">
        <f aca="false">IF($BL289&lt;&gt;Constants!$B$4,"",IF(NOT($AL289),0,Constants!$B$24*INT(ROUND(MIN($BC289,$AH$9),6))))</f>
        <v/>
      </c>
      <c r="BV289" s="100" t="str">
        <f aca="false">IF($BL289&lt;&gt;Constants!$B$4,"",IF(AND($AL289,$BN289=0),Constants!$B$25,0))</f>
        <v/>
      </c>
      <c r="BW289" s="100" t="str">
        <f aca="false">IF($BL289&lt;&gt;Constants!$B$4,"",MIN(Constants!$B$29,MAX(0,Constants!$B$27*Constants!$B$28*INT(ROUND((Constants!$B$26-$AN289)/Constants!$B$28,6))))+MIN(Constants!$B$29,MAX(0,Constants!$B$27*Constants!$B$28*INT(ROUND((Constants!$B$26-$AO289)/Constants!$B$28,6))))+MIN(Constants!$B$29,MAX(0,Constants!$B$27*Constants!$B$28*INT(ROUND((Constants!$B$26-$AP289)/Constants!$B$28,6)))))</f>
        <v/>
      </c>
      <c r="BX289" s="100" t="str">
        <f aca="false">IF($BL289&lt;&gt;Constants!$B$4,"",IF(NOT($AL289),0,Constants!$B$31*INT(ROUND(MAX(0,MIN($BJ289,2*$AH$9)-$AH$9),6))))</f>
        <v/>
      </c>
      <c r="BY289" s="100" t="str">
        <f aca="false">IF($BL289&lt;&gt;Constants!$B$4,"",Constants!$B$32*(($AN289&gt;Constants!$B$26)+($AO289&gt;Constants!$B$26)+($AP289&gt;Constants!$B$26)))</f>
        <v/>
      </c>
      <c r="BZ289" s="100" t="str">
        <f aca="false">IF($BL289&lt;&gt;Constants!$B$4,"",IF(OR(NOT($AL289),$AQ289),0,Constants!$B$33))</f>
        <v/>
      </c>
      <c r="CA289" s="100" t="str">
        <f aca="false">IF($BL289&lt;&gt;Constants!$B$4,"",Constants!$B$34*$BN289)</f>
        <v/>
      </c>
      <c r="CB289" s="100" t="str">
        <f aca="false">IF($BL289&lt;&gt;Constants!$B$4,"",IF(OR(NOT($AL289),$BH289),0,Constants!$B$36))</f>
        <v/>
      </c>
      <c r="CC289" s="100" t="str">
        <f aca="false">IF($BL289&lt;&gt;Constants!$B$4,"",IF(OR(NOT($AL289),$BG289),0,Constants!$B$37))</f>
        <v/>
      </c>
      <c r="CD289" s="100" t="str">
        <f aca="false">IF($BL289&lt;&gt;Constants!$B$4,"",SUM($BX289:$CC289))</f>
        <v/>
      </c>
      <c r="CE289" s="100" t="str">
        <f aca="false">IF(ISBLANK($C289),"",IF($BL289&lt;&gt;Constants!$B$4,$BL289,SUM($BO289:$BW289)-$CD289))</f>
        <v/>
      </c>
      <c r="CF289" s="100" t="str">
        <f aca="false">IF(ISBLANK($C289),"",IF($BL289&lt;&gt;Constants!$B$4,$BL289,RANK($CE289,$CE$9:$CE$508)))</f>
        <v/>
      </c>
      <c r="CG289" s="100" t="str">
        <f aca="false">IF(ISBLANK($C289),"",IF($BL289&lt;&gt;Constants!$B$4,$BL289,COUNTIFS($BM$9:$BM$508,"&lt;"&amp;$BM289)+COUNTIFS($BM$9:$BM$508,$BM289,$CF$9:$CF$508,"&lt;"&amp;$CF289)+1))</f>
        <v/>
      </c>
      <c r="CH289" s="100" t="str">
        <f aca="false">IF(ISBLANK($C289),"",IF($BL289&lt;&gt;Constants!$B$4,$BL289,RANK($CD289,$CD$9:$CD$508,1)))</f>
        <v/>
      </c>
      <c r="CI289" s="100" t="str">
        <f aca="false">IF($BL289&lt;&gt;Constants!$B$4,"",$AN289+$AO289+$AP289)</f>
        <v/>
      </c>
      <c r="CJ289" s="100" t="str">
        <f aca="false">IF(ISBLANK($C289),"",IF($BL289&lt;&gt;Constants!$B$4,$BL289,RANK($CI289,$CI$9:$CI$508,1)))</f>
        <v/>
      </c>
      <c r="CK289" s="100" t="str">
        <f aca="false">IF(ISBLANK($C289),"",IF($BL289&lt;&gt;Constants!$B$4,$BL289,COUNTIFS($BM$9:$BM$508,"&lt;"&amp;$BM289)+COUNTIFS($BM$9:$BM$508,$BM289,$CF$9:$CF$508,"&lt;"&amp;$CF289)+COUNTIFS($BM$9:$BM$508,$BM289,$CF$9:$CF$508,$CF289,$CH$9:$CH$508,"&lt;"&amp;$CH289)+COUNTIFS($BM$9:$BM$508,$BM289,$CF$9:$CF$508,$CF289,$CH$9:$CH$508,$CH289,$CJ$9:$CJ$508,"&lt;"&amp;$CJ289)+1))</f>
        <v/>
      </c>
      <c r="CL289" s="100" t="str">
        <f aca="false">IF(ISBLANK($C289),"",IF($BL289&lt;&gt;Constants!$B$4,$BL289,$CG289-$CK289))</f>
        <v/>
      </c>
      <c r="CM289" s="100" t="str">
        <f aca="false">IF(ISBLANK($C289),"",IF(NOT($AL289),"",IF(ISBLANK($D$7),$CM$5,IF(NOT(ISNUMBER($D$7)),$CM$6,""))))</f>
        <v/>
      </c>
      <c r="CN289" s="100" t="str">
        <f aca="false">IF(ISBLANK($C289),"",OR($AN289="",$AO289="",$AP289=""))</f>
        <v/>
      </c>
      <c r="CO289" s="100" t="str">
        <f aca="false">IF(ISBLANK($C289),"",AND($AL289,$BA289=""))</f>
        <v/>
      </c>
      <c r="CP289" s="100" t="str">
        <f aca="false">IF(ISBLANK($C289),"",AND($AL289,$BB289=""))</f>
        <v/>
      </c>
      <c r="CQ289" s="100" t="str">
        <f aca="false">IF(ISBLANK($C289),"",AND($AL289,$BC289=""))</f>
        <v/>
      </c>
      <c r="CR289" s="100" t="str">
        <f aca="false">IF(ISBLANK($C289),"",AND($AL289,$BF289=""))</f>
        <v/>
      </c>
      <c r="CS289" s="100" t="str">
        <f aca="false">IF(ISBLANK($C289),"",AND($AL289,$BJ289=""))</f>
        <v/>
      </c>
      <c r="CT289" s="101"/>
      <c r="CU289" s="102"/>
      <c r="CV289" s="103" t="str">
        <f aca="false">IF(ISBLANK($C289),"",IF($BL289=Constants!$B$8,$CM289,""))</f>
        <v/>
      </c>
      <c r="CW289" s="102" t="str">
        <f aca="false">IF(ISBLANK($C289),"",IF($BL289&lt;&gt;Constants!$B$4,"",$BO289+$BP289))</f>
        <v/>
      </c>
      <c r="CX289" s="104" t="str">
        <f aca="false">IF(ISBLANK($C289),"",IF($BL289&lt;&gt;Constants!$B$4,"",$BQ289+$BR289+$BS289))</f>
        <v/>
      </c>
      <c r="CY289" s="104" t="str">
        <f aca="false">IF(ISBLANK($C289),"",IF($BL289&lt;&gt;Constants!$B$4,"",$BT289))</f>
        <v/>
      </c>
      <c r="CZ289" s="104" t="str">
        <f aca="false">IF(ISBLANK($C289),"",IF($BL289&lt;&gt;Constants!$B$4,"",$BU289+$BV289))</f>
        <v/>
      </c>
      <c r="DA289" s="104" t="str">
        <f aca="false">IF(ISBLANK($C289),"",IF($BL289&lt;&gt;Constants!$B$4,"",$BW289))</f>
        <v/>
      </c>
      <c r="DB289" s="104" t="str">
        <f aca="false">IF(ISBLANK($C289),"",IF($BL289&lt;&gt;Constants!$B$4,"",-$CD289))</f>
        <v/>
      </c>
      <c r="DC289" s="103" t="str">
        <f aca="false">IF(ISBLANK($C289),"",$CE289)</f>
        <v/>
      </c>
      <c r="DD289" s="105" t="str">
        <f aca="false">IF(ISBLANK($C289),"",$BM289)</f>
        <v/>
      </c>
      <c r="DE289" s="104" t="str">
        <f aca="false">IF(ISBLANK($C289),"",$CL289)</f>
        <v/>
      </c>
      <c r="DF289" s="104" t="str">
        <f aca="false">IF(ISBLANK($C289),"",$CK289)</f>
        <v/>
      </c>
      <c r="DG289" s="106" t="str">
        <f aca="false">IF(ISBLANK($C289),"",IF($DF289=Constants!$B$7,COUNTA($C$9:$C$508)+2,IF($DF289=Constants!$B$6,COUNTA($C$9:$C$508)+1,IF($DF289=Constants!$B$5,COUNTA($C$9:$C$508),$DF289))))</f>
        <v/>
      </c>
      <c r="DH289" s="7"/>
      <c r="DI289" s="107" t="n">
        <f aca="false">IF(OR(ISNUMBER($DF289),$DF289=Constants!$B$7,$DF289=Constants!$B$5,$DF289=Constants!$B$6),1,0)</f>
        <v>0</v>
      </c>
      <c r="DJ289" s="107" t="n">
        <v>281</v>
      </c>
      <c r="DK289" s="107" t="str">
        <f aca="false">IF(ISBLANK($C289),"",IF(ISNUMBER($DG289),$DG289+ROW($B289)/1000,""))</f>
        <v/>
      </c>
      <c r="DL289" s="107" t="str">
        <f aca="false">IF(ISNUMBER($DK289),RANK($DK289,$DK$9:$DK$508,1),"")</f>
        <v/>
      </c>
      <c r="DM289" s="107" t="str">
        <f aca="false">IF(ISBLANK($C289),"",$B289)</f>
        <v/>
      </c>
      <c r="DN289" s="107" t="str">
        <f aca="false">IF(ISBLANK($C289),"",$C289)</f>
        <v/>
      </c>
      <c r="DO289" s="107" t="str">
        <f aca="false">IF(ISBLANK($C289),"",$D289)</f>
        <v/>
      </c>
      <c r="DP289" s="108" t="str">
        <f aca="false">$DD289</f>
        <v/>
      </c>
      <c r="DQ289" s="109" t="str">
        <f aca="false">$DC289</f>
        <v/>
      </c>
      <c r="DR289" s="107" t="str">
        <f aca="false">IF(ISBLANK($C289),"",$DF289)</f>
        <v/>
      </c>
      <c r="DS289" s="110" t="str">
        <f aca="false">IF($DJ289&gt;$DI$8,"",VLOOKUP($DJ289,$DL$9:$DR$508,7,FALSE()))</f>
        <v/>
      </c>
      <c r="DT289" s="111" t="str">
        <f aca="false">IF($DJ289&gt;$DI$8,"",VLOOKUP($DJ289,$DL$9:$DR$508,2,FALSE()))</f>
        <v/>
      </c>
      <c r="DU289" s="111" t="str">
        <f aca="false">IF($DJ289&gt;$DI$8,"",VLOOKUP($DJ289,$DL$9:$DR$508,3,FALSE()))</f>
        <v/>
      </c>
      <c r="DV289" s="111" t="str">
        <f aca="false">IF($DJ289&gt;$DI$8,"",VLOOKUP($DJ289,$DL$9:$DR$508,4,FALSE()))</f>
        <v/>
      </c>
      <c r="DW289" s="111" t="str">
        <f aca="false">IF($DJ289&gt;$DI$8,"",VLOOKUP($DJ289,$DL$9:$DR$508,5,FALSE()))</f>
        <v/>
      </c>
      <c r="DX289" s="112" t="str">
        <f aca="false">IF($DJ289&gt;$DI$8,"",VLOOKUP($DJ289,$DL$9:$DR$508,6,FALSE()))</f>
        <v/>
      </c>
      <c r="DY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130"/>
      <c r="N290" s="130"/>
      <c r="O290" s="135"/>
      <c r="P290" s="135"/>
      <c r="Q290" s="130"/>
      <c r="R290" s="130"/>
      <c r="S290" s="130"/>
      <c r="T290" s="130"/>
      <c r="U290" s="135"/>
      <c r="V290" s="130"/>
      <c r="W290" s="96"/>
      <c r="X290" s="130"/>
      <c r="Y290" s="130"/>
      <c r="Z290" s="96"/>
      <c r="AA290" s="96"/>
      <c r="AB290" s="130"/>
      <c r="AC290" s="130"/>
      <c r="AD290" s="130"/>
      <c r="AE290" s="97"/>
      <c r="AF290" s="130"/>
      <c r="AG290" s="99"/>
      <c r="AH290" s="100"/>
      <c r="AI290" s="100"/>
      <c r="AJ290" s="100" t="str">
        <f aca="false">IF(ISBLANK($C290),"",IF($E290=Constants!$B$2,TRUE(),IF($E290=Constants!$B$3,FALSE(),TRUE())))</f>
        <v/>
      </c>
      <c r="AK290" s="100" t="str">
        <f aca="false">IF(ISBLANK($C290),"",IF($F290=Constants!$B$2,TRUE(),IF($F290=Constants!$B$3,FALSE(),FALSE())))</f>
        <v/>
      </c>
      <c r="AL290" s="100" t="str">
        <f aca="false">IF(ISBLANK($C290),"",IF($G290=Constants!$B$2,TRUE(),IF($G290=Constants!$B$3,FALSE(),TRUE())))</f>
        <v/>
      </c>
      <c r="AM290" s="100" t="str">
        <f aca="false">IF(ISBLANK($C290),"",IF($H290=Constants!$B$2,TRUE(),IF($H290=Constants!$B$3,FALSE(),TRUE())))</f>
        <v/>
      </c>
      <c r="AN290" s="100" t="str">
        <f aca="false">IF(ISBLANK($C290),"",IF(ISNUMBER($I290),IF($I290&gt;=0,$I290,""),""))</f>
        <v/>
      </c>
      <c r="AO290" s="100" t="str">
        <f aca="false">IF(ISBLANK($C290),"",IF(ISNUMBER($J290),IF($J290&gt;=0,$J290,""),""))</f>
        <v/>
      </c>
      <c r="AP290" s="100" t="str">
        <f aca="false">IF(ISBLANK($C290),"",IF(ISNUMBER($K290),IF($K290&gt;=0,$K290,""),""))</f>
        <v/>
      </c>
      <c r="AQ290" s="100" t="str">
        <f aca="false">IF(ISBLANK($C290),"",IF($L290=Constants!$B$2,TRUE(),IF($L290=Constants!$B$3,FALSE(),TRUE())))</f>
        <v/>
      </c>
      <c r="AR290" s="100" t="str">
        <f aca="false">IF(ISBLANK($C290),"",IF($M290=Constants!$B$2,TRUE(),IF($M290=Constants!$B$3,FALSE(),TRUE())))</f>
        <v/>
      </c>
      <c r="AS290" s="100" t="str">
        <f aca="false">IF(ISBLANK($C290),"",IF($N290=Constants!$B$2,TRUE(),IF($N290=Constants!$B$3,FALSE(),FALSE())))</f>
        <v/>
      </c>
      <c r="AT290" s="100" t="str">
        <f aca="false">IF(ISBLANK($C290),"",IF($O290=Constants!$B$2,TRUE(),IF($O290=Constants!$B$3,FALSE(),TRUE())))</f>
        <v/>
      </c>
      <c r="AU290" s="100" t="str">
        <f aca="false">IF(ISBLANK($C290),"",IF($P290=Constants!$B$2,TRUE(),IF($P290=Constants!$B$3,FALSE(),TRUE())))</f>
        <v/>
      </c>
      <c r="AV290" s="100" t="str">
        <f aca="false">IF(ISBLANK($C290),"",IF($Q290=Constants!$B$2,TRUE(),IF($Q290=Constants!$B$3,FALSE(),FALSE())))</f>
        <v/>
      </c>
      <c r="AW290" s="100" t="str">
        <f aca="false">IF(ISBLANK($C290),"",IF($R290=Constants!$B$2,TRUE(),IF($R290=Constants!$B$3,FALSE(),FALSE())))</f>
        <v/>
      </c>
      <c r="AX290" s="100" t="str">
        <f aca="false">IF(ISBLANK($C290),"",IF($S290=Constants!$B$2,TRUE(),IF($S290=Constants!$B$3,FALSE(),FALSE())))</f>
        <v/>
      </c>
      <c r="AY290" s="100" t="str">
        <f aca="false">IF(ISBLANK($C290),"",IF($T290=Constants!$B$2,TRUE(),IF($T290=Constants!$B$3,FALSE(),FALSE())))</f>
        <v/>
      </c>
      <c r="AZ290" s="100" t="str">
        <f aca="false">IF(ISBLANK($C290),"",IF($U290=Constants!$B$2,TRUE(),IF($U290=Constants!$B$3,FALSE(),FALSE())))</f>
        <v/>
      </c>
      <c r="BA290" s="100" t="str">
        <f aca="false">IF(ISBLANK($C290),"",IF(OR($V290&amp;""="1",$V290&amp;""="2",$V290&amp;""="3",$V290&amp;""="4"),VALUE($V290&amp;""),IF($V290=Constants!$B$12,Constants!$B$12,"")))</f>
        <v/>
      </c>
      <c r="BB290" s="100" t="str">
        <f aca="false">IF(ISBLANK($C290),"",IF(ISBLANK($W290),0,IF(ISNUMBER($W290),IF(AND($W290&gt;=0,$W290&lt;=Constants!$B$21,$W290=INT($W290)),$W290,""),"")))</f>
        <v/>
      </c>
      <c r="BC290" s="100" t="str">
        <f aca="false">IF(ISBLANK($C290),"",IF(ISBLANK($X290),0,IF(ISNUMBER($X290),IF($X290&gt;=0,$X290,""),"")))</f>
        <v/>
      </c>
      <c r="BD290" s="100" t="str">
        <f aca="false">IF(ISBLANK($C290),"",IF($Y290=Constants!$B$2,TRUE(),IF($Y290=Constants!$B$3,FALSE(),TRUE())))</f>
        <v/>
      </c>
      <c r="BE290" s="100" t="str">
        <f aca="false">IF(ISBLANK($C290),"",IF($Z290=Constants!$B$2,TRUE(),IF($Z290=Constants!$B$3,FALSE(),FALSE())))</f>
        <v/>
      </c>
      <c r="BF290" s="100" t="str">
        <f aca="false">IF(ISBLANK($C290),"",IF(ISBLANK($AA290),0,IF(ISNUMBER($AA290),IF(AND($AA290&gt;=0,$AA290&lt;=Constants!$B$35,$AA290=INT($AA290)),$AA290,""),"")))</f>
        <v/>
      </c>
      <c r="BG290" s="100" t="str">
        <f aca="false">IF(ISBLANK($C290),"",IF($AB290=Constants!$B$2,TRUE(),IF($AB290=Constants!$B$3,FALSE(),TRUE())))</f>
        <v/>
      </c>
      <c r="BH290" s="100" t="str">
        <f aca="false">IF(ISBLANK($C290),"",IF($AC290=Constants!$B$2,TRUE(),IF($AC290=Constants!$B$3,FALSE(),TRUE())))</f>
        <v/>
      </c>
      <c r="BI290" s="100" t="str">
        <f aca="false">IF(ISBLANK($C290),"",IF($AD290=Constants!$B$2,TRUE(),IF($AD290=Constants!$B$3,FALSE(),TRUE())))</f>
        <v/>
      </c>
      <c r="BJ290" s="100" t="str">
        <f aca="false">IF(ISBLANK($C290),"",IF(ISNUMBER($AE290),IF($AE290&gt;=0,$AE290,""),""))</f>
        <v/>
      </c>
      <c r="BK290" s="100" t="str">
        <f aca="false">IF(ISBLANK($C290),"",IF($AF290=Constants!$B$2,TRUE(),IF($AF290=Constants!$B$3,FALSE(),FALSE())))</f>
        <v/>
      </c>
      <c r="BL290" s="99" t="str">
        <f aca="false">IF(ISBLANK($C290),"",IF($BK290,Constants!$B$7,IF(COUNTA($E290:$AE290)=0,Constants!$B$6,IF(OR(COUNTA($G290:$AE290)=0,NOT($AM290),$AS290),Constants!$B$5,IF(OR($CM290&lt;&gt;"",$CN290,$CO290,$CP290,$CQ290,$CR290,$CS290),Constants!$B$8,Constants!$B$4)))))</f>
        <v/>
      </c>
      <c r="BM290" s="100" t="str">
        <f aca="false">IF(ISBLANK($C290),"",IF($BL290&lt;&gt;Constants!$B$4,$BL290,IF(OR(NOT($AJ290),NOT($AL290),NOT($AT290)),Constants!$B$11,IF(OR(NOT($AR290),NOT($AU290),NOT($BI290),MAX($AN290,$AO290,$AP290)&gt;Constants!$B$30),Constants!$B$10,Constants!$B$9))))</f>
        <v/>
      </c>
      <c r="BN290" s="100" t="str">
        <f aca="false">IF($BL290&lt;&gt;Constants!$B$4,"",IF(NOT($AL290),0,MIN(Constants!$B$35,$BF290)))</f>
        <v/>
      </c>
      <c r="BO290" s="100" t="str">
        <f aca="false">IF($BL290&lt;&gt;Constants!$B$4,"",IF(NOT($AL290),0,IF($AW290,Constants!$B$18,IF($AV290,Constants!$B$17,0))))</f>
        <v/>
      </c>
      <c r="BP290" s="100" t="str">
        <f aca="false">IF($BL290&lt;&gt;Constants!$B$4,"",IF(NOT($AL290),0,Constants!$B$19*($AK290+$AX290+$AY290+$AZ290)))</f>
        <v/>
      </c>
      <c r="BQ290" s="100" t="str">
        <f aca="false">IF($BL290&lt;&gt;Constants!$B$4,"",IF(OR(NOT($AL290),NOT(ISNUMBER($BA290))),0,CHOOSE($BA290,Constants!$B$13,Constants!$B$14,Constants!$B$15,Constants!$B$16)))</f>
        <v/>
      </c>
      <c r="BR290" s="100" t="str">
        <f aca="false">IF($BL290&lt;&gt;Constants!$B$4,"",IF(NOT($AL290),0,Constants!$B$20*$BB290))</f>
        <v/>
      </c>
      <c r="BS290" s="100" t="str">
        <f aca="false">IF($BL290&lt;&gt;Constants!$B$4,"",IF(AND($AL290,$BD290,$BE290),Constants!$B$22,0))</f>
        <v/>
      </c>
      <c r="BT290" s="100" t="str">
        <f aca="false">IF($BL290&lt;&gt;Constants!$B$4,"",IF(OR(NOT($AL290),NOT($BD290)),0,IF($BJ290&gt;=2*$AH$9,0,Constants!$B$23*INT(ROUND(MIN($BJ290,$AH$9),6)))))</f>
        <v/>
      </c>
      <c r="BU290" s="100" t="str">
        <f aca="false">IF($BL290&lt;&gt;Constants!$B$4,"",IF(NOT($AL290),0,Constants!$B$24*INT(ROUND(MIN($BC290,$AH$9),6))))</f>
        <v/>
      </c>
      <c r="BV290" s="100" t="str">
        <f aca="false">IF($BL290&lt;&gt;Constants!$B$4,"",IF(AND($AL290,$BN290=0),Constants!$B$25,0))</f>
        <v/>
      </c>
      <c r="BW290" s="100" t="str">
        <f aca="false">IF($BL290&lt;&gt;Constants!$B$4,"",MIN(Constants!$B$29,MAX(0,Constants!$B$27*Constants!$B$28*INT(ROUND((Constants!$B$26-$AN290)/Constants!$B$28,6))))+MIN(Constants!$B$29,MAX(0,Constants!$B$27*Constants!$B$28*INT(ROUND((Constants!$B$26-$AO290)/Constants!$B$28,6))))+MIN(Constants!$B$29,MAX(0,Constants!$B$27*Constants!$B$28*INT(ROUND((Constants!$B$26-$AP290)/Constants!$B$28,6)))))</f>
        <v/>
      </c>
      <c r="BX290" s="100" t="str">
        <f aca="false">IF($BL290&lt;&gt;Constants!$B$4,"",IF(NOT($AL290),0,Constants!$B$31*INT(ROUND(MAX(0,MIN($BJ290,2*$AH$9)-$AH$9),6))))</f>
        <v/>
      </c>
      <c r="BY290" s="100" t="str">
        <f aca="false">IF($BL290&lt;&gt;Constants!$B$4,"",Constants!$B$32*(($AN290&gt;Constants!$B$26)+($AO290&gt;Constants!$B$26)+($AP290&gt;Constants!$B$26)))</f>
        <v/>
      </c>
      <c r="BZ290" s="100" t="str">
        <f aca="false">IF($BL290&lt;&gt;Constants!$B$4,"",IF(OR(NOT($AL290),$AQ290),0,Constants!$B$33))</f>
        <v/>
      </c>
      <c r="CA290" s="100" t="str">
        <f aca="false">IF($BL290&lt;&gt;Constants!$B$4,"",Constants!$B$34*$BN290)</f>
        <v/>
      </c>
      <c r="CB290" s="100" t="str">
        <f aca="false">IF($BL290&lt;&gt;Constants!$B$4,"",IF(OR(NOT($AL290),$BH290),0,Constants!$B$36))</f>
        <v/>
      </c>
      <c r="CC290" s="100" t="str">
        <f aca="false">IF($BL290&lt;&gt;Constants!$B$4,"",IF(OR(NOT($AL290),$BG290),0,Constants!$B$37))</f>
        <v/>
      </c>
      <c r="CD290" s="100" t="str">
        <f aca="false">IF($BL290&lt;&gt;Constants!$B$4,"",SUM($BX290:$CC290))</f>
        <v/>
      </c>
      <c r="CE290" s="100" t="str">
        <f aca="false">IF(ISBLANK($C290),"",IF($BL290&lt;&gt;Constants!$B$4,$BL290,SUM($BO290:$BW290)-$CD290))</f>
        <v/>
      </c>
      <c r="CF290" s="100" t="str">
        <f aca="false">IF(ISBLANK($C290),"",IF($BL290&lt;&gt;Constants!$B$4,$BL290,RANK($CE290,$CE$9:$CE$508)))</f>
        <v/>
      </c>
      <c r="CG290" s="100" t="str">
        <f aca="false">IF(ISBLANK($C290),"",IF($BL290&lt;&gt;Constants!$B$4,$BL290,COUNTIFS($BM$9:$BM$508,"&lt;"&amp;$BM290)+COUNTIFS($BM$9:$BM$508,$BM290,$CF$9:$CF$508,"&lt;"&amp;$CF290)+1))</f>
        <v/>
      </c>
      <c r="CH290" s="100" t="str">
        <f aca="false">IF(ISBLANK($C290),"",IF($BL290&lt;&gt;Constants!$B$4,$BL290,RANK($CD290,$CD$9:$CD$508,1)))</f>
        <v/>
      </c>
      <c r="CI290" s="100" t="str">
        <f aca="false">IF($BL290&lt;&gt;Constants!$B$4,"",$AN290+$AO290+$AP290)</f>
        <v/>
      </c>
      <c r="CJ290" s="100" t="str">
        <f aca="false">IF(ISBLANK($C290),"",IF($BL290&lt;&gt;Constants!$B$4,$BL290,RANK($CI290,$CI$9:$CI$508,1)))</f>
        <v/>
      </c>
      <c r="CK290" s="100" t="str">
        <f aca="false">IF(ISBLANK($C290),"",IF($BL290&lt;&gt;Constants!$B$4,$BL290,COUNTIFS($BM$9:$BM$508,"&lt;"&amp;$BM290)+COUNTIFS($BM$9:$BM$508,$BM290,$CF$9:$CF$508,"&lt;"&amp;$CF290)+COUNTIFS($BM$9:$BM$508,$BM290,$CF$9:$CF$508,$CF290,$CH$9:$CH$508,"&lt;"&amp;$CH290)+COUNTIFS($BM$9:$BM$508,$BM290,$CF$9:$CF$508,$CF290,$CH$9:$CH$508,$CH290,$CJ$9:$CJ$508,"&lt;"&amp;$CJ290)+1))</f>
        <v/>
      </c>
      <c r="CL290" s="100" t="str">
        <f aca="false">IF(ISBLANK($C290),"",IF($BL290&lt;&gt;Constants!$B$4,$BL290,$CG290-$CK290))</f>
        <v/>
      </c>
      <c r="CM290" s="100" t="str">
        <f aca="false">IF(ISBLANK($C290),"",IF(NOT($AL290),"",IF(ISBLANK($D$7),$CM$5,IF(NOT(ISNUMBER($D$7)),$CM$6,""))))</f>
        <v/>
      </c>
      <c r="CN290" s="100" t="str">
        <f aca="false">IF(ISBLANK($C290),"",OR($AN290="",$AO290="",$AP290=""))</f>
        <v/>
      </c>
      <c r="CO290" s="100" t="str">
        <f aca="false">IF(ISBLANK($C290),"",AND($AL290,$BA290=""))</f>
        <v/>
      </c>
      <c r="CP290" s="100" t="str">
        <f aca="false">IF(ISBLANK($C290),"",AND($AL290,$BB290=""))</f>
        <v/>
      </c>
      <c r="CQ290" s="100" t="str">
        <f aca="false">IF(ISBLANK($C290),"",AND($AL290,$BC290=""))</f>
        <v/>
      </c>
      <c r="CR290" s="100" t="str">
        <f aca="false">IF(ISBLANK($C290),"",AND($AL290,$BF290=""))</f>
        <v/>
      </c>
      <c r="CS290" s="100" t="str">
        <f aca="false">IF(ISBLANK($C290),"",AND($AL290,$BJ290=""))</f>
        <v/>
      </c>
      <c r="CT290" s="101"/>
      <c r="CU290" s="102"/>
      <c r="CV290" s="103" t="str">
        <f aca="false">IF(ISBLANK($C290),"",IF($BL290=Constants!$B$8,$CM290,""))</f>
        <v/>
      </c>
      <c r="CW290" s="102" t="str">
        <f aca="false">IF(ISBLANK($C290),"",IF($BL290&lt;&gt;Constants!$B$4,"",$BO290+$BP290))</f>
        <v/>
      </c>
      <c r="CX290" s="104" t="str">
        <f aca="false">IF(ISBLANK($C290),"",IF($BL290&lt;&gt;Constants!$B$4,"",$BQ290+$BR290+$BS290))</f>
        <v/>
      </c>
      <c r="CY290" s="104" t="str">
        <f aca="false">IF(ISBLANK($C290),"",IF($BL290&lt;&gt;Constants!$B$4,"",$BT290))</f>
        <v/>
      </c>
      <c r="CZ290" s="104" t="str">
        <f aca="false">IF(ISBLANK($C290),"",IF($BL290&lt;&gt;Constants!$B$4,"",$BU290+$BV290))</f>
        <v/>
      </c>
      <c r="DA290" s="104" t="str">
        <f aca="false">IF(ISBLANK($C290),"",IF($BL290&lt;&gt;Constants!$B$4,"",$BW290))</f>
        <v/>
      </c>
      <c r="DB290" s="104" t="str">
        <f aca="false">IF(ISBLANK($C290),"",IF($BL290&lt;&gt;Constants!$B$4,"",-$CD290))</f>
        <v/>
      </c>
      <c r="DC290" s="103" t="str">
        <f aca="false">IF(ISBLANK($C290),"",$CE290)</f>
        <v/>
      </c>
      <c r="DD290" s="105" t="str">
        <f aca="false">IF(ISBLANK($C290),"",$BM290)</f>
        <v/>
      </c>
      <c r="DE290" s="104" t="str">
        <f aca="false">IF(ISBLANK($C290),"",$CL290)</f>
        <v/>
      </c>
      <c r="DF290" s="104" t="str">
        <f aca="false">IF(ISBLANK($C290),"",$CK290)</f>
        <v/>
      </c>
      <c r="DG290" s="106" t="str">
        <f aca="false">IF(ISBLANK($C290),"",IF($DF290=Constants!$B$7,COUNTA($C$9:$C$508)+2,IF($DF290=Constants!$B$6,COUNTA($C$9:$C$508)+1,IF($DF290=Constants!$B$5,COUNTA($C$9:$C$508),$DF290))))</f>
        <v/>
      </c>
      <c r="DH290" s="7"/>
      <c r="DI290" s="107" t="n">
        <f aca="false">IF(OR(ISNUMBER($DF290),$DF290=Constants!$B$7,$DF290=Constants!$B$5,$DF290=Constants!$B$6),1,0)</f>
        <v>0</v>
      </c>
      <c r="DJ290" s="107" t="n">
        <v>282</v>
      </c>
      <c r="DK290" s="107" t="str">
        <f aca="false">IF(ISBLANK($C290),"",IF(ISNUMBER($DG290),$DG290+ROW($B290)/1000,""))</f>
        <v/>
      </c>
      <c r="DL290" s="107" t="str">
        <f aca="false">IF(ISNUMBER($DK290),RANK($DK290,$DK$9:$DK$508,1),"")</f>
        <v/>
      </c>
      <c r="DM290" s="107" t="str">
        <f aca="false">IF(ISBLANK($C290),"",$B290)</f>
        <v/>
      </c>
      <c r="DN290" s="107" t="str">
        <f aca="false">IF(ISBLANK($C290),"",$C290)</f>
        <v/>
      </c>
      <c r="DO290" s="107" t="str">
        <f aca="false">IF(ISBLANK($C290),"",$D290)</f>
        <v/>
      </c>
      <c r="DP290" s="108" t="str">
        <f aca="false">$DD290</f>
        <v/>
      </c>
      <c r="DQ290" s="109" t="str">
        <f aca="false">$DC290</f>
        <v/>
      </c>
      <c r="DR290" s="107" t="str">
        <f aca="false">IF(ISBLANK($C290),"",$DF290)</f>
        <v/>
      </c>
      <c r="DS290" s="110" t="str">
        <f aca="false">IF($DJ290&gt;$DI$8,"",VLOOKUP($DJ290,$DL$9:$DR$508,7,FALSE()))</f>
        <v/>
      </c>
      <c r="DT290" s="111" t="str">
        <f aca="false">IF($DJ290&gt;$DI$8,"",VLOOKUP($DJ290,$DL$9:$DR$508,2,FALSE()))</f>
        <v/>
      </c>
      <c r="DU290" s="111" t="str">
        <f aca="false">IF($DJ290&gt;$DI$8,"",VLOOKUP($DJ290,$DL$9:$DR$508,3,FALSE()))</f>
        <v/>
      </c>
      <c r="DV290" s="111" t="str">
        <f aca="false">IF($DJ290&gt;$DI$8,"",VLOOKUP($DJ290,$DL$9:$DR$508,4,FALSE()))</f>
        <v/>
      </c>
      <c r="DW290" s="111" t="str">
        <f aca="false">IF($DJ290&gt;$DI$8,"",VLOOKUP($DJ290,$DL$9:$DR$508,5,FALSE()))</f>
        <v/>
      </c>
      <c r="DX290" s="112" t="str">
        <f aca="false">IF($DJ290&gt;$DI$8,"",VLOOKUP($DJ290,$DL$9:$DR$508,6,FALSE()))</f>
        <v/>
      </c>
      <c r="DY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88"/>
      <c r="N291" s="88"/>
      <c r="O291" s="134"/>
      <c r="P291" s="134"/>
      <c r="Q291" s="88"/>
      <c r="R291" s="88"/>
      <c r="S291" s="88"/>
      <c r="T291" s="88"/>
      <c r="U291" s="134"/>
      <c r="V291" s="88"/>
      <c r="W291" s="70"/>
      <c r="X291" s="88"/>
      <c r="Y291" s="88"/>
      <c r="Z291" s="70"/>
      <c r="AA291" s="70"/>
      <c r="AB291" s="88"/>
      <c r="AC291" s="88"/>
      <c r="AD291" s="88"/>
      <c r="AE291" s="71"/>
      <c r="AF291" s="88"/>
      <c r="AG291" s="73"/>
      <c r="AH291" s="74"/>
      <c r="AI291" s="74"/>
      <c r="AJ291" s="74" t="str">
        <f aca="false">IF(ISBLANK($C291),"",IF($E291=Constants!$B$2,TRUE(),IF($E291=Constants!$B$3,FALSE(),TRUE())))</f>
        <v/>
      </c>
      <c r="AK291" s="74" t="str">
        <f aca="false">IF(ISBLANK($C291),"",IF($F291=Constants!$B$2,TRUE(),IF($F291=Constants!$B$3,FALSE(),FALSE())))</f>
        <v/>
      </c>
      <c r="AL291" s="74" t="str">
        <f aca="false">IF(ISBLANK($C291),"",IF($G291=Constants!$B$2,TRUE(),IF($G291=Constants!$B$3,FALSE(),TRUE())))</f>
        <v/>
      </c>
      <c r="AM291" s="74" t="str">
        <f aca="false">IF(ISBLANK($C291),"",IF($H291=Constants!$B$2,TRUE(),IF($H291=Constants!$B$3,FALSE(),TRUE())))</f>
        <v/>
      </c>
      <c r="AN291" s="74" t="str">
        <f aca="false">IF(ISBLANK($C291),"",IF(ISNUMBER($I291),IF($I291&gt;=0,$I291,""),""))</f>
        <v/>
      </c>
      <c r="AO291" s="74" t="str">
        <f aca="false">IF(ISBLANK($C291),"",IF(ISNUMBER($J291),IF($J291&gt;=0,$J291,""),""))</f>
        <v/>
      </c>
      <c r="AP291" s="74" t="str">
        <f aca="false">IF(ISBLANK($C291),"",IF(ISNUMBER($K291),IF($K291&gt;=0,$K291,""),""))</f>
        <v/>
      </c>
      <c r="AQ291" s="74" t="str">
        <f aca="false">IF(ISBLANK($C291),"",IF($L291=Constants!$B$2,TRUE(),IF($L291=Constants!$B$3,FALSE(),TRUE())))</f>
        <v/>
      </c>
      <c r="AR291" s="74" t="str">
        <f aca="false">IF(ISBLANK($C291),"",IF($M291=Constants!$B$2,TRUE(),IF($M291=Constants!$B$3,FALSE(),TRUE())))</f>
        <v/>
      </c>
      <c r="AS291" s="74" t="str">
        <f aca="false">IF(ISBLANK($C291),"",IF($N291=Constants!$B$2,TRUE(),IF($N291=Constants!$B$3,FALSE(),FALSE())))</f>
        <v/>
      </c>
      <c r="AT291" s="74" t="str">
        <f aca="false">IF(ISBLANK($C291),"",IF($O291=Constants!$B$2,TRUE(),IF($O291=Constants!$B$3,FALSE(),TRUE())))</f>
        <v/>
      </c>
      <c r="AU291" s="74" t="str">
        <f aca="false">IF(ISBLANK($C291),"",IF($P291=Constants!$B$2,TRUE(),IF($P291=Constants!$B$3,FALSE(),TRUE())))</f>
        <v/>
      </c>
      <c r="AV291" s="74" t="str">
        <f aca="false">IF(ISBLANK($C291),"",IF($Q291=Constants!$B$2,TRUE(),IF($Q291=Constants!$B$3,FALSE(),FALSE())))</f>
        <v/>
      </c>
      <c r="AW291" s="74" t="str">
        <f aca="false">IF(ISBLANK($C291),"",IF($R291=Constants!$B$2,TRUE(),IF($R291=Constants!$B$3,FALSE(),FALSE())))</f>
        <v/>
      </c>
      <c r="AX291" s="74" t="str">
        <f aca="false">IF(ISBLANK($C291),"",IF($S291=Constants!$B$2,TRUE(),IF($S291=Constants!$B$3,FALSE(),FALSE())))</f>
        <v/>
      </c>
      <c r="AY291" s="74" t="str">
        <f aca="false">IF(ISBLANK($C291),"",IF($T291=Constants!$B$2,TRUE(),IF($T291=Constants!$B$3,FALSE(),FALSE())))</f>
        <v/>
      </c>
      <c r="AZ291" s="74" t="str">
        <f aca="false">IF(ISBLANK($C291),"",IF($U291=Constants!$B$2,TRUE(),IF($U291=Constants!$B$3,FALSE(),FALSE())))</f>
        <v/>
      </c>
      <c r="BA291" s="74" t="str">
        <f aca="false">IF(ISBLANK($C291),"",IF(OR($V291&amp;""="1",$V291&amp;""="2",$V291&amp;""="3",$V291&amp;""="4"),VALUE($V291&amp;""),IF($V291=Constants!$B$12,Constants!$B$12,"")))</f>
        <v/>
      </c>
      <c r="BB291" s="74" t="str">
        <f aca="false">IF(ISBLANK($C291),"",IF(ISBLANK($W291),0,IF(ISNUMBER($W291),IF(AND($W291&gt;=0,$W291&lt;=Constants!$B$21,$W291=INT($W291)),$W291,""),"")))</f>
        <v/>
      </c>
      <c r="BC291" s="74" t="str">
        <f aca="false">IF(ISBLANK($C291),"",IF(ISBLANK($X291),0,IF(ISNUMBER($X291),IF($X291&gt;=0,$X291,""),"")))</f>
        <v/>
      </c>
      <c r="BD291" s="74" t="str">
        <f aca="false">IF(ISBLANK($C291),"",IF($Y291=Constants!$B$2,TRUE(),IF($Y291=Constants!$B$3,FALSE(),TRUE())))</f>
        <v/>
      </c>
      <c r="BE291" s="74" t="str">
        <f aca="false">IF(ISBLANK($C291),"",IF($Z291=Constants!$B$2,TRUE(),IF($Z291=Constants!$B$3,FALSE(),FALSE())))</f>
        <v/>
      </c>
      <c r="BF291" s="74" t="str">
        <f aca="false">IF(ISBLANK($C291),"",IF(ISBLANK($AA291),0,IF(ISNUMBER($AA291),IF(AND($AA291&gt;=0,$AA291&lt;=Constants!$B$35,$AA291=INT($AA291)),$AA291,""),"")))</f>
        <v/>
      </c>
      <c r="BG291" s="74" t="str">
        <f aca="false">IF(ISBLANK($C291),"",IF($AB291=Constants!$B$2,TRUE(),IF($AB291=Constants!$B$3,FALSE(),TRUE())))</f>
        <v/>
      </c>
      <c r="BH291" s="74" t="str">
        <f aca="false">IF(ISBLANK($C291),"",IF($AC291=Constants!$B$2,TRUE(),IF($AC291=Constants!$B$3,FALSE(),TRUE())))</f>
        <v/>
      </c>
      <c r="BI291" s="74" t="str">
        <f aca="false">IF(ISBLANK($C291),"",IF($AD291=Constants!$B$2,TRUE(),IF($AD291=Constants!$B$3,FALSE(),TRUE())))</f>
        <v/>
      </c>
      <c r="BJ291" s="74" t="str">
        <f aca="false">IF(ISBLANK($C291),"",IF(ISNUMBER($AE291),IF($AE291&gt;=0,$AE291,""),""))</f>
        <v/>
      </c>
      <c r="BK291" s="74" t="str">
        <f aca="false">IF(ISBLANK($C291),"",IF($AF291=Constants!$B$2,TRUE(),IF($AF291=Constants!$B$3,FALSE(),FALSE())))</f>
        <v/>
      </c>
      <c r="BL291" s="73" t="str">
        <f aca="false">IF(ISBLANK($C291),"",IF($BK291,Constants!$B$7,IF(COUNTA($E291:$AE291)=0,Constants!$B$6,IF(OR(COUNTA($G291:$AE291)=0,NOT($AM291),$AS291),Constants!$B$5,IF(OR($CM291&lt;&gt;"",$CN291,$CO291,$CP291,$CQ291,$CR291,$CS291),Constants!$B$8,Constants!$B$4)))))</f>
        <v/>
      </c>
      <c r="BM291" s="74" t="str">
        <f aca="false">IF(ISBLANK($C291),"",IF($BL291&lt;&gt;Constants!$B$4,$BL291,IF(OR(NOT($AJ291),NOT($AL291),NOT($AT291)),Constants!$B$11,IF(OR(NOT($AR291),NOT($AU291),NOT($BI291),MAX($AN291,$AO291,$AP291)&gt;Constants!$B$30),Constants!$B$10,Constants!$B$9))))</f>
        <v/>
      </c>
      <c r="BN291" s="74" t="str">
        <f aca="false">IF($BL291&lt;&gt;Constants!$B$4,"",IF(NOT($AL291),0,MIN(Constants!$B$35,$BF291)))</f>
        <v/>
      </c>
      <c r="BO291" s="74" t="str">
        <f aca="false">IF($BL291&lt;&gt;Constants!$B$4,"",IF(NOT($AL291),0,IF($AW291,Constants!$B$18,IF($AV291,Constants!$B$17,0))))</f>
        <v/>
      </c>
      <c r="BP291" s="74" t="str">
        <f aca="false">IF($BL291&lt;&gt;Constants!$B$4,"",IF(NOT($AL291),0,Constants!$B$19*($AK291+$AX291+$AY291+$AZ291)))</f>
        <v/>
      </c>
      <c r="BQ291" s="74" t="str">
        <f aca="false">IF($BL291&lt;&gt;Constants!$B$4,"",IF(OR(NOT($AL291),NOT(ISNUMBER($BA291))),0,CHOOSE($BA291,Constants!$B$13,Constants!$B$14,Constants!$B$15,Constants!$B$16)))</f>
        <v/>
      </c>
      <c r="BR291" s="74" t="str">
        <f aca="false">IF($BL291&lt;&gt;Constants!$B$4,"",IF(NOT($AL291),0,Constants!$B$20*$BB291))</f>
        <v/>
      </c>
      <c r="BS291" s="74" t="str">
        <f aca="false">IF($BL291&lt;&gt;Constants!$B$4,"",IF(AND($AL291,$BD291,$BE291),Constants!$B$22,0))</f>
        <v/>
      </c>
      <c r="BT291" s="74" t="str">
        <f aca="false">IF($BL291&lt;&gt;Constants!$B$4,"",IF(OR(NOT($AL291),NOT($BD291)),0,IF($BJ291&gt;=2*$AH$9,0,Constants!$B$23*INT(ROUND(MIN($BJ291,$AH$9),6)))))</f>
        <v/>
      </c>
      <c r="BU291" s="74" t="str">
        <f aca="false">IF($BL291&lt;&gt;Constants!$B$4,"",IF(NOT($AL291),0,Constants!$B$24*INT(ROUND(MIN($BC291,$AH$9),6))))</f>
        <v/>
      </c>
      <c r="BV291" s="74" t="str">
        <f aca="false">IF($BL291&lt;&gt;Constants!$B$4,"",IF(AND($AL291,$BN291=0),Constants!$B$25,0))</f>
        <v/>
      </c>
      <c r="BW291" s="74" t="str">
        <f aca="false">IF($BL291&lt;&gt;Constants!$B$4,"",MIN(Constants!$B$29,MAX(0,Constants!$B$27*Constants!$B$28*INT(ROUND((Constants!$B$26-$AN291)/Constants!$B$28,6))))+MIN(Constants!$B$29,MAX(0,Constants!$B$27*Constants!$B$28*INT(ROUND((Constants!$B$26-$AO291)/Constants!$B$28,6))))+MIN(Constants!$B$29,MAX(0,Constants!$B$27*Constants!$B$28*INT(ROUND((Constants!$B$26-$AP291)/Constants!$B$28,6)))))</f>
        <v/>
      </c>
      <c r="BX291" s="74" t="str">
        <f aca="false">IF($BL291&lt;&gt;Constants!$B$4,"",IF(NOT($AL291),0,Constants!$B$31*INT(ROUND(MAX(0,MIN($BJ291,2*$AH$9)-$AH$9),6))))</f>
        <v/>
      </c>
      <c r="BY291" s="74" t="str">
        <f aca="false">IF($BL291&lt;&gt;Constants!$B$4,"",Constants!$B$32*(($AN291&gt;Constants!$B$26)+($AO291&gt;Constants!$B$26)+($AP291&gt;Constants!$B$26)))</f>
        <v/>
      </c>
      <c r="BZ291" s="74" t="str">
        <f aca="false">IF($BL291&lt;&gt;Constants!$B$4,"",IF(OR(NOT($AL291),$AQ291),0,Constants!$B$33))</f>
        <v/>
      </c>
      <c r="CA291" s="74" t="str">
        <f aca="false">IF($BL291&lt;&gt;Constants!$B$4,"",Constants!$B$34*$BN291)</f>
        <v/>
      </c>
      <c r="CB291" s="74" t="str">
        <f aca="false">IF($BL291&lt;&gt;Constants!$B$4,"",IF(OR(NOT($AL291),$BH291),0,Constants!$B$36))</f>
        <v/>
      </c>
      <c r="CC291" s="74" t="str">
        <f aca="false">IF($BL291&lt;&gt;Constants!$B$4,"",IF(OR(NOT($AL291),$BG291),0,Constants!$B$37))</f>
        <v/>
      </c>
      <c r="CD291" s="74" t="str">
        <f aca="false">IF($BL291&lt;&gt;Constants!$B$4,"",SUM($BX291:$CC291))</f>
        <v/>
      </c>
      <c r="CE291" s="74" t="str">
        <f aca="false">IF(ISBLANK($C291),"",IF($BL291&lt;&gt;Constants!$B$4,$BL291,SUM($BO291:$BW291)-$CD291))</f>
        <v/>
      </c>
      <c r="CF291" s="74" t="str">
        <f aca="false">IF(ISBLANK($C291),"",IF($BL291&lt;&gt;Constants!$B$4,$BL291,RANK($CE291,$CE$9:$CE$508)))</f>
        <v/>
      </c>
      <c r="CG291" s="74" t="str">
        <f aca="false">IF(ISBLANK($C291),"",IF($BL291&lt;&gt;Constants!$B$4,$BL291,COUNTIFS($BM$9:$BM$508,"&lt;"&amp;$BM291)+COUNTIFS($BM$9:$BM$508,$BM291,$CF$9:$CF$508,"&lt;"&amp;$CF291)+1))</f>
        <v/>
      </c>
      <c r="CH291" s="74" t="str">
        <f aca="false">IF(ISBLANK($C291),"",IF($BL291&lt;&gt;Constants!$B$4,$BL291,RANK($CD291,$CD$9:$CD$508,1)))</f>
        <v/>
      </c>
      <c r="CI291" s="74" t="str">
        <f aca="false">IF($BL291&lt;&gt;Constants!$B$4,"",$AN291+$AO291+$AP291)</f>
        <v/>
      </c>
      <c r="CJ291" s="74" t="str">
        <f aca="false">IF(ISBLANK($C291),"",IF($BL291&lt;&gt;Constants!$B$4,$BL291,RANK($CI291,$CI$9:$CI$508,1)))</f>
        <v/>
      </c>
      <c r="CK291" s="74" t="str">
        <f aca="false">IF(ISBLANK($C291),"",IF($BL291&lt;&gt;Constants!$B$4,$BL291,COUNTIFS($BM$9:$BM$508,"&lt;"&amp;$BM291)+COUNTIFS($BM$9:$BM$508,$BM291,$CF$9:$CF$508,"&lt;"&amp;$CF291)+COUNTIFS($BM$9:$BM$508,$BM291,$CF$9:$CF$508,$CF291,$CH$9:$CH$508,"&lt;"&amp;$CH291)+COUNTIFS($BM$9:$BM$508,$BM291,$CF$9:$CF$508,$CF291,$CH$9:$CH$508,$CH291,$CJ$9:$CJ$508,"&lt;"&amp;$CJ291)+1))</f>
        <v/>
      </c>
      <c r="CL291" s="74" t="str">
        <f aca="false">IF(ISBLANK($C291),"",IF($BL291&lt;&gt;Constants!$B$4,$BL291,$CG291-$CK291))</f>
        <v/>
      </c>
      <c r="CM291" s="74" t="str">
        <f aca="false">IF(ISBLANK($C291),"",IF(NOT($AL291),"",IF(ISBLANK($D$7),$CM$5,IF(NOT(ISNUMBER($D$7)),$CM$6,""))))</f>
        <v/>
      </c>
      <c r="CN291" s="74" t="str">
        <f aca="false">IF(ISBLANK($C291),"",OR($AN291="",$AO291="",$AP291=""))</f>
        <v/>
      </c>
      <c r="CO291" s="74" t="str">
        <f aca="false">IF(ISBLANK($C291),"",AND($AL291,$BA291=""))</f>
        <v/>
      </c>
      <c r="CP291" s="74" t="str">
        <f aca="false">IF(ISBLANK($C291),"",AND($AL291,$BB291=""))</f>
        <v/>
      </c>
      <c r="CQ291" s="74" t="str">
        <f aca="false">IF(ISBLANK($C291),"",AND($AL291,$BC291=""))</f>
        <v/>
      </c>
      <c r="CR291" s="74" t="str">
        <f aca="false">IF(ISBLANK($C291),"",AND($AL291,$BF291=""))</f>
        <v/>
      </c>
      <c r="CS291" s="74" t="str">
        <f aca="false">IF(ISBLANK($C291),"",AND($AL291,$BJ291=""))</f>
        <v/>
      </c>
      <c r="CT291" s="75"/>
      <c r="CU291" s="76"/>
      <c r="CV291" s="79" t="str">
        <f aca="false">IF(ISBLANK($C291),"",IF($BL291=Constants!$B$8,$CM291,""))</f>
        <v/>
      </c>
      <c r="CW291" s="76" t="str">
        <f aca="false">IF(ISBLANK($C291),"",IF($BL291&lt;&gt;Constants!$B$4,"",$BO291+$BP291))</f>
        <v/>
      </c>
      <c r="CX291" s="78" t="str">
        <f aca="false">IF(ISBLANK($C291),"",IF($BL291&lt;&gt;Constants!$B$4,"",$BQ291+$BR291+$BS291))</f>
        <v/>
      </c>
      <c r="CY291" s="78" t="str">
        <f aca="false">IF(ISBLANK($C291),"",IF($BL291&lt;&gt;Constants!$B$4,"",$BT291))</f>
        <v/>
      </c>
      <c r="CZ291" s="78" t="str">
        <f aca="false">IF(ISBLANK($C291),"",IF($BL291&lt;&gt;Constants!$B$4,"",$BU291+$BV291))</f>
        <v/>
      </c>
      <c r="DA291" s="78" t="str">
        <f aca="false">IF(ISBLANK($C291),"",IF($BL291&lt;&gt;Constants!$B$4,"",$BW291))</f>
        <v/>
      </c>
      <c r="DB291" s="78" t="str">
        <f aca="false">IF(ISBLANK($C291),"",IF($BL291&lt;&gt;Constants!$B$4,"",-$CD291))</f>
        <v/>
      </c>
      <c r="DC291" s="79" t="str">
        <f aca="false">IF(ISBLANK($C291),"",$CE291)</f>
        <v/>
      </c>
      <c r="DD291" s="80" t="str">
        <f aca="false">IF(ISBLANK($C291),"",$BM291)</f>
        <v/>
      </c>
      <c r="DE291" s="78" t="str">
        <f aca="false">IF(ISBLANK($C291),"",$CL291)</f>
        <v/>
      </c>
      <c r="DF291" s="78" t="str">
        <f aca="false">IF(ISBLANK($C291),"",$CK291)</f>
        <v/>
      </c>
      <c r="DG291" s="81" t="str">
        <f aca="false">IF(ISBLANK($C291),"",IF($DF291=Constants!$B$7,COUNTA($C$9:$C$508)+2,IF($DF291=Constants!$B$6,COUNTA($C$9:$C$508)+1,IF($DF291=Constants!$B$5,COUNTA($C$9:$C$508),$DF291))))</f>
        <v/>
      </c>
      <c r="DH291" s="7"/>
      <c r="DI291" s="82" t="n">
        <f aca="false">IF(OR(ISNUMBER($DF291),$DF291=Constants!$B$7,$DF291=Constants!$B$5,$DF291=Constants!$B$6),1,0)</f>
        <v>0</v>
      </c>
      <c r="DJ291" s="82" t="n">
        <v>283</v>
      </c>
      <c r="DK291" s="82" t="str">
        <f aca="false">IF(ISBLANK($C291),"",IF(ISNUMBER($DG291),$DG291+ROW($B291)/1000,""))</f>
        <v/>
      </c>
      <c r="DL291" s="82" t="str">
        <f aca="false">IF(ISNUMBER($DK291),RANK($DK291,$DK$9:$DK$508,1),"")</f>
        <v/>
      </c>
      <c r="DM291" s="82" t="str">
        <f aca="false">IF(ISBLANK($C291),"",$B291)</f>
        <v/>
      </c>
      <c r="DN291" s="82" t="str">
        <f aca="false">IF(ISBLANK($C291),"",$C291)</f>
        <v/>
      </c>
      <c r="DO291" s="82" t="str">
        <f aca="false">IF(ISBLANK($C291),"",$D291)</f>
        <v/>
      </c>
      <c r="DP291" s="83" t="str">
        <f aca="false">$DD291</f>
        <v/>
      </c>
      <c r="DQ291" s="84" t="str">
        <f aca="false">$DC291</f>
        <v/>
      </c>
      <c r="DR291" s="82" t="str">
        <f aca="false">IF(ISBLANK($C291),"",$DF291)</f>
        <v/>
      </c>
      <c r="DS291" s="85" t="str">
        <f aca="false">IF($DJ291&gt;$DI$8,"",VLOOKUP($DJ291,$DL$9:$DR$508,7,FALSE()))</f>
        <v/>
      </c>
      <c r="DT291" s="86" t="str">
        <f aca="false">IF($DJ291&gt;$DI$8,"",VLOOKUP($DJ291,$DL$9:$DR$508,2,FALSE()))</f>
        <v/>
      </c>
      <c r="DU291" s="86" t="str">
        <f aca="false">IF($DJ291&gt;$DI$8,"",VLOOKUP($DJ291,$DL$9:$DR$508,3,FALSE()))</f>
        <v/>
      </c>
      <c r="DV291" s="86" t="str">
        <f aca="false">IF($DJ291&gt;$DI$8,"",VLOOKUP($DJ291,$DL$9:$DR$508,4,FALSE()))</f>
        <v/>
      </c>
      <c r="DW291" s="86" t="str">
        <f aca="false">IF($DJ291&gt;$DI$8,"",VLOOKUP($DJ291,$DL$9:$DR$508,5,FALSE()))</f>
        <v/>
      </c>
      <c r="DX291" s="87" t="str">
        <f aca="false">IF($DJ291&gt;$DI$8,"",VLOOKUP($DJ291,$DL$9:$DR$508,6,FALSE()))</f>
        <v/>
      </c>
      <c r="DY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88"/>
      <c r="N292" s="88"/>
      <c r="O292" s="134"/>
      <c r="P292" s="134"/>
      <c r="Q292" s="88"/>
      <c r="R292" s="88"/>
      <c r="S292" s="88"/>
      <c r="T292" s="88"/>
      <c r="U292" s="134"/>
      <c r="V292" s="88"/>
      <c r="W292" s="70"/>
      <c r="X292" s="88"/>
      <c r="Y292" s="88"/>
      <c r="Z292" s="70"/>
      <c r="AA292" s="70"/>
      <c r="AB292" s="88"/>
      <c r="AC292" s="88"/>
      <c r="AD292" s="88"/>
      <c r="AE292" s="71"/>
      <c r="AF292" s="88"/>
      <c r="AG292" s="73"/>
      <c r="AH292" s="74"/>
      <c r="AI292" s="74"/>
      <c r="AJ292" s="74" t="str">
        <f aca="false">IF(ISBLANK($C292),"",IF($E292=Constants!$B$2,TRUE(),IF($E292=Constants!$B$3,FALSE(),TRUE())))</f>
        <v/>
      </c>
      <c r="AK292" s="74" t="str">
        <f aca="false">IF(ISBLANK($C292),"",IF($F292=Constants!$B$2,TRUE(),IF($F292=Constants!$B$3,FALSE(),FALSE())))</f>
        <v/>
      </c>
      <c r="AL292" s="74" t="str">
        <f aca="false">IF(ISBLANK($C292),"",IF($G292=Constants!$B$2,TRUE(),IF($G292=Constants!$B$3,FALSE(),TRUE())))</f>
        <v/>
      </c>
      <c r="AM292" s="74" t="str">
        <f aca="false">IF(ISBLANK($C292),"",IF($H292=Constants!$B$2,TRUE(),IF($H292=Constants!$B$3,FALSE(),TRUE())))</f>
        <v/>
      </c>
      <c r="AN292" s="74" t="str">
        <f aca="false">IF(ISBLANK($C292),"",IF(ISNUMBER($I292),IF($I292&gt;=0,$I292,""),""))</f>
        <v/>
      </c>
      <c r="AO292" s="74" t="str">
        <f aca="false">IF(ISBLANK($C292),"",IF(ISNUMBER($J292),IF($J292&gt;=0,$J292,""),""))</f>
        <v/>
      </c>
      <c r="AP292" s="74" t="str">
        <f aca="false">IF(ISBLANK($C292),"",IF(ISNUMBER($K292),IF($K292&gt;=0,$K292,""),""))</f>
        <v/>
      </c>
      <c r="AQ292" s="74" t="str">
        <f aca="false">IF(ISBLANK($C292),"",IF($L292=Constants!$B$2,TRUE(),IF($L292=Constants!$B$3,FALSE(),TRUE())))</f>
        <v/>
      </c>
      <c r="AR292" s="74" t="str">
        <f aca="false">IF(ISBLANK($C292),"",IF($M292=Constants!$B$2,TRUE(),IF($M292=Constants!$B$3,FALSE(),TRUE())))</f>
        <v/>
      </c>
      <c r="AS292" s="74" t="str">
        <f aca="false">IF(ISBLANK($C292),"",IF($N292=Constants!$B$2,TRUE(),IF($N292=Constants!$B$3,FALSE(),FALSE())))</f>
        <v/>
      </c>
      <c r="AT292" s="74" t="str">
        <f aca="false">IF(ISBLANK($C292),"",IF($O292=Constants!$B$2,TRUE(),IF($O292=Constants!$B$3,FALSE(),TRUE())))</f>
        <v/>
      </c>
      <c r="AU292" s="74" t="str">
        <f aca="false">IF(ISBLANK($C292),"",IF($P292=Constants!$B$2,TRUE(),IF($P292=Constants!$B$3,FALSE(),TRUE())))</f>
        <v/>
      </c>
      <c r="AV292" s="74" t="str">
        <f aca="false">IF(ISBLANK($C292),"",IF($Q292=Constants!$B$2,TRUE(),IF($Q292=Constants!$B$3,FALSE(),FALSE())))</f>
        <v/>
      </c>
      <c r="AW292" s="74" t="str">
        <f aca="false">IF(ISBLANK($C292),"",IF($R292=Constants!$B$2,TRUE(),IF($R292=Constants!$B$3,FALSE(),FALSE())))</f>
        <v/>
      </c>
      <c r="AX292" s="74" t="str">
        <f aca="false">IF(ISBLANK($C292),"",IF($S292=Constants!$B$2,TRUE(),IF($S292=Constants!$B$3,FALSE(),FALSE())))</f>
        <v/>
      </c>
      <c r="AY292" s="74" t="str">
        <f aca="false">IF(ISBLANK($C292),"",IF($T292=Constants!$B$2,TRUE(),IF($T292=Constants!$B$3,FALSE(),FALSE())))</f>
        <v/>
      </c>
      <c r="AZ292" s="74" t="str">
        <f aca="false">IF(ISBLANK($C292),"",IF($U292=Constants!$B$2,TRUE(),IF($U292=Constants!$B$3,FALSE(),FALSE())))</f>
        <v/>
      </c>
      <c r="BA292" s="74" t="str">
        <f aca="false">IF(ISBLANK($C292),"",IF(OR($V292&amp;""="1",$V292&amp;""="2",$V292&amp;""="3",$V292&amp;""="4"),VALUE($V292&amp;""),IF($V292=Constants!$B$12,Constants!$B$12,"")))</f>
        <v/>
      </c>
      <c r="BB292" s="74" t="str">
        <f aca="false">IF(ISBLANK($C292),"",IF(ISBLANK($W292),0,IF(ISNUMBER($W292),IF(AND($W292&gt;=0,$W292&lt;=Constants!$B$21,$W292=INT($W292)),$W292,""),"")))</f>
        <v/>
      </c>
      <c r="BC292" s="74" t="str">
        <f aca="false">IF(ISBLANK($C292),"",IF(ISBLANK($X292),0,IF(ISNUMBER($X292),IF($X292&gt;=0,$X292,""),"")))</f>
        <v/>
      </c>
      <c r="BD292" s="74" t="str">
        <f aca="false">IF(ISBLANK($C292),"",IF($Y292=Constants!$B$2,TRUE(),IF($Y292=Constants!$B$3,FALSE(),TRUE())))</f>
        <v/>
      </c>
      <c r="BE292" s="74" t="str">
        <f aca="false">IF(ISBLANK($C292),"",IF($Z292=Constants!$B$2,TRUE(),IF($Z292=Constants!$B$3,FALSE(),FALSE())))</f>
        <v/>
      </c>
      <c r="BF292" s="74" t="str">
        <f aca="false">IF(ISBLANK($C292),"",IF(ISBLANK($AA292),0,IF(ISNUMBER($AA292),IF(AND($AA292&gt;=0,$AA292&lt;=Constants!$B$35,$AA292=INT($AA292)),$AA292,""),"")))</f>
        <v/>
      </c>
      <c r="BG292" s="74" t="str">
        <f aca="false">IF(ISBLANK($C292),"",IF($AB292=Constants!$B$2,TRUE(),IF($AB292=Constants!$B$3,FALSE(),TRUE())))</f>
        <v/>
      </c>
      <c r="BH292" s="74" t="str">
        <f aca="false">IF(ISBLANK($C292),"",IF($AC292=Constants!$B$2,TRUE(),IF($AC292=Constants!$B$3,FALSE(),TRUE())))</f>
        <v/>
      </c>
      <c r="BI292" s="74" t="str">
        <f aca="false">IF(ISBLANK($C292),"",IF($AD292=Constants!$B$2,TRUE(),IF($AD292=Constants!$B$3,FALSE(),TRUE())))</f>
        <v/>
      </c>
      <c r="BJ292" s="74" t="str">
        <f aca="false">IF(ISBLANK($C292),"",IF(ISNUMBER($AE292),IF($AE292&gt;=0,$AE292,""),""))</f>
        <v/>
      </c>
      <c r="BK292" s="74" t="str">
        <f aca="false">IF(ISBLANK($C292),"",IF($AF292=Constants!$B$2,TRUE(),IF($AF292=Constants!$B$3,FALSE(),FALSE())))</f>
        <v/>
      </c>
      <c r="BL292" s="73" t="str">
        <f aca="false">IF(ISBLANK($C292),"",IF($BK292,Constants!$B$7,IF(COUNTA($E292:$AE292)=0,Constants!$B$6,IF(OR(COUNTA($G292:$AE292)=0,NOT($AM292),$AS292),Constants!$B$5,IF(OR($CM292&lt;&gt;"",$CN292,$CO292,$CP292,$CQ292,$CR292,$CS292),Constants!$B$8,Constants!$B$4)))))</f>
        <v/>
      </c>
      <c r="BM292" s="74" t="str">
        <f aca="false">IF(ISBLANK($C292),"",IF($BL292&lt;&gt;Constants!$B$4,$BL292,IF(OR(NOT($AJ292),NOT($AL292),NOT($AT292)),Constants!$B$11,IF(OR(NOT($AR292),NOT($AU292),NOT($BI292),MAX($AN292,$AO292,$AP292)&gt;Constants!$B$30),Constants!$B$10,Constants!$B$9))))</f>
        <v/>
      </c>
      <c r="BN292" s="74" t="str">
        <f aca="false">IF($BL292&lt;&gt;Constants!$B$4,"",IF(NOT($AL292),0,MIN(Constants!$B$35,$BF292)))</f>
        <v/>
      </c>
      <c r="BO292" s="74" t="str">
        <f aca="false">IF($BL292&lt;&gt;Constants!$B$4,"",IF(NOT($AL292),0,IF($AW292,Constants!$B$18,IF($AV292,Constants!$B$17,0))))</f>
        <v/>
      </c>
      <c r="BP292" s="74" t="str">
        <f aca="false">IF($BL292&lt;&gt;Constants!$B$4,"",IF(NOT($AL292),0,Constants!$B$19*($AK292+$AX292+$AY292+$AZ292)))</f>
        <v/>
      </c>
      <c r="BQ292" s="74" t="str">
        <f aca="false">IF($BL292&lt;&gt;Constants!$B$4,"",IF(OR(NOT($AL292),NOT(ISNUMBER($BA292))),0,CHOOSE($BA292,Constants!$B$13,Constants!$B$14,Constants!$B$15,Constants!$B$16)))</f>
        <v/>
      </c>
      <c r="BR292" s="74" t="str">
        <f aca="false">IF($BL292&lt;&gt;Constants!$B$4,"",IF(NOT($AL292),0,Constants!$B$20*$BB292))</f>
        <v/>
      </c>
      <c r="BS292" s="74" t="str">
        <f aca="false">IF($BL292&lt;&gt;Constants!$B$4,"",IF(AND($AL292,$BD292,$BE292),Constants!$B$22,0))</f>
        <v/>
      </c>
      <c r="BT292" s="74" t="str">
        <f aca="false">IF($BL292&lt;&gt;Constants!$B$4,"",IF(OR(NOT($AL292),NOT($BD292)),0,IF($BJ292&gt;=2*$AH$9,0,Constants!$B$23*INT(ROUND(MIN($BJ292,$AH$9),6)))))</f>
        <v/>
      </c>
      <c r="BU292" s="74" t="str">
        <f aca="false">IF($BL292&lt;&gt;Constants!$B$4,"",IF(NOT($AL292),0,Constants!$B$24*INT(ROUND(MIN($BC292,$AH$9),6))))</f>
        <v/>
      </c>
      <c r="BV292" s="74" t="str">
        <f aca="false">IF($BL292&lt;&gt;Constants!$B$4,"",IF(AND($AL292,$BN292=0),Constants!$B$25,0))</f>
        <v/>
      </c>
      <c r="BW292" s="74" t="str">
        <f aca="false">IF($BL292&lt;&gt;Constants!$B$4,"",MIN(Constants!$B$29,MAX(0,Constants!$B$27*Constants!$B$28*INT(ROUND((Constants!$B$26-$AN292)/Constants!$B$28,6))))+MIN(Constants!$B$29,MAX(0,Constants!$B$27*Constants!$B$28*INT(ROUND((Constants!$B$26-$AO292)/Constants!$B$28,6))))+MIN(Constants!$B$29,MAX(0,Constants!$B$27*Constants!$B$28*INT(ROUND((Constants!$B$26-$AP292)/Constants!$B$28,6)))))</f>
        <v/>
      </c>
      <c r="BX292" s="74" t="str">
        <f aca="false">IF($BL292&lt;&gt;Constants!$B$4,"",IF(NOT($AL292),0,Constants!$B$31*INT(ROUND(MAX(0,MIN($BJ292,2*$AH$9)-$AH$9),6))))</f>
        <v/>
      </c>
      <c r="BY292" s="74" t="str">
        <f aca="false">IF($BL292&lt;&gt;Constants!$B$4,"",Constants!$B$32*(($AN292&gt;Constants!$B$26)+($AO292&gt;Constants!$B$26)+($AP292&gt;Constants!$B$26)))</f>
        <v/>
      </c>
      <c r="BZ292" s="74" t="str">
        <f aca="false">IF($BL292&lt;&gt;Constants!$B$4,"",IF(OR(NOT($AL292),$AQ292),0,Constants!$B$33))</f>
        <v/>
      </c>
      <c r="CA292" s="74" t="str">
        <f aca="false">IF($BL292&lt;&gt;Constants!$B$4,"",Constants!$B$34*$BN292)</f>
        <v/>
      </c>
      <c r="CB292" s="74" t="str">
        <f aca="false">IF($BL292&lt;&gt;Constants!$B$4,"",IF(OR(NOT($AL292),$BH292),0,Constants!$B$36))</f>
        <v/>
      </c>
      <c r="CC292" s="74" t="str">
        <f aca="false">IF($BL292&lt;&gt;Constants!$B$4,"",IF(OR(NOT($AL292),$BG292),0,Constants!$B$37))</f>
        <v/>
      </c>
      <c r="CD292" s="74" t="str">
        <f aca="false">IF($BL292&lt;&gt;Constants!$B$4,"",SUM($BX292:$CC292))</f>
        <v/>
      </c>
      <c r="CE292" s="74" t="str">
        <f aca="false">IF(ISBLANK($C292),"",IF($BL292&lt;&gt;Constants!$B$4,$BL292,SUM($BO292:$BW292)-$CD292))</f>
        <v/>
      </c>
      <c r="CF292" s="74" t="str">
        <f aca="false">IF(ISBLANK($C292),"",IF($BL292&lt;&gt;Constants!$B$4,$BL292,RANK($CE292,$CE$9:$CE$508)))</f>
        <v/>
      </c>
      <c r="CG292" s="74" t="str">
        <f aca="false">IF(ISBLANK($C292),"",IF($BL292&lt;&gt;Constants!$B$4,$BL292,COUNTIFS($BM$9:$BM$508,"&lt;"&amp;$BM292)+COUNTIFS($BM$9:$BM$508,$BM292,$CF$9:$CF$508,"&lt;"&amp;$CF292)+1))</f>
        <v/>
      </c>
      <c r="CH292" s="74" t="str">
        <f aca="false">IF(ISBLANK($C292),"",IF($BL292&lt;&gt;Constants!$B$4,$BL292,RANK($CD292,$CD$9:$CD$508,1)))</f>
        <v/>
      </c>
      <c r="CI292" s="74" t="str">
        <f aca="false">IF($BL292&lt;&gt;Constants!$B$4,"",$AN292+$AO292+$AP292)</f>
        <v/>
      </c>
      <c r="CJ292" s="74" t="str">
        <f aca="false">IF(ISBLANK($C292),"",IF($BL292&lt;&gt;Constants!$B$4,$BL292,RANK($CI292,$CI$9:$CI$508,1)))</f>
        <v/>
      </c>
      <c r="CK292" s="74" t="str">
        <f aca="false">IF(ISBLANK($C292),"",IF($BL292&lt;&gt;Constants!$B$4,$BL292,COUNTIFS($BM$9:$BM$508,"&lt;"&amp;$BM292)+COUNTIFS($BM$9:$BM$508,$BM292,$CF$9:$CF$508,"&lt;"&amp;$CF292)+COUNTIFS($BM$9:$BM$508,$BM292,$CF$9:$CF$508,$CF292,$CH$9:$CH$508,"&lt;"&amp;$CH292)+COUNTIFS($BM$9:$BM$508,$BM292,$CF$9:$CF$508,$CF292,$CH$9:$CH$508,$CH292,$CJ$9:$CJ$508,"&lt;"&amp;$CJ292)+1))</f>
        <v/>
      </c>
      <c r="CL292" s="74" t="str">
        <f aca="false">IF(ISBLANK($C292),"",IF($BL292&lt;&gt;Constants!$B$4,$BL292,$CG292-$CK292))</f>
        <v/>
      </c>
      <c r="CM292" s="74" t="str">
        <f aca="false">IF(ISBLANK($C292),"",IF(NOT($AL292),"",IF(ISBLANK($D$7),$CM$5,IF(NOT(ISNUMBER($D$7)),$CM$6,""))))</f>
        <v/>
      </c>
      <c r="CN292" s="74" t="str">
        <f aca="false">IF(ISBLANK($C292),"",OR($AN292="",$AO292="",$AP292=""))</f>
        <v/>
      </c>
      <c r="CO292" s="74" t="str">
        <f aca="false">IF(ISBLANK($C292),"",AND($AL292,$BA292=""))</f>
        <v/>
      </c>
      <c r="CP292" s="74" t="str">
        <f aca="false">IF(ISBLANK($C292),"",AND($AL292,$BB292=""))</f>
        <v/>
      </c>
      <c r="CQ292" s="74" t="str">
        <f aca="false">IF(ISBLANK($C292),"",AND($AL292,$BC292=""))</f>
        <v/>
      </c>
      <c r="CR292" s="74" t="str">
        <f aca="false">IF(ISBLANK($C292),"",AND($AL292,$BF292=""))</f>
        <v/>
      </c>
      <c r="CS292" s="74" t="str">
        <f aca="false">IF(ISBLANK($C292),"",AND($AL292,$BJ292=""))</f>
        <v/>
      </c>
      <c r="CT292" s="75"/>
      <c r="CU292" s="76"/>
      <c r="CV292" s="79" t="str">
        <f aca="false">IF(ISBLANK($C292),"",IF($BL292=Constants!$B$8,$CM292,""))</f>
        <v/>
      </c>
      <c r="CW292" s="76" t="str">
        <f aca="false">IF(ISBLANK($C292),"",IF($BL292&lt;&gt;Constants!$B$4,"",$BO292+$BP292))</f>
        <v/>
      </c>
      <c r="CX292" s="78" t="str">
        <f aca="false">IF(ISBLANK($C292),"",IF($BL292&lt;&gt;Constants!$B$4,"",$BQ292+$BR292+$BS292))</f>
        <v/>
      </c>
      <c r="CY292" s="78" t="str">
        <f aca="false">IF(ISBLANK($C292),"",IF($BL292&lt;&gt;Constants!$B$4,"",$BT292))</f>
        <v/>
      </c>
      <c r="CZ292" s="78" t="str">
        <f aca="false">IF(ISBLANK($C292),"",IF($BL292&lt;&gt;Constants!$B$4,"",$BU292+$BV292))</f>
        <v/>
      </c>
      <c r="DA292" s="78" t="str">
        <f aca="false">IF(ISBLANK($C292),"",IF($BL292&lt;&gt;Constants!$B$4,"",$BW292))</f>
        <v/>
      </c>
      <c r="DB292" s="78" t="str">
        <f aca="false">IF(ISBLANK($C292),"",IF($BL292&lt;&gt;Constants!$B$4,"",-$CD292))</f>
        <v/>
      </c>
      <c r="DC292" s="79" t="str">
        <f aca="false">IF(ISBLANK($C292),"",$CE292)</f>
        <v/>
      </c>
      <c r="DD292" s="80" t="str">
        <f aca="false">IF(ISBLANK($C292),"",$BM292)</f>
        <v/>
      </c>
      <c r="DE292" s="78" t="str">
        <f aca="false">IF(ISBLANK($C292),"",$CL292)</f>
        <v/>
      </c>
      <c r="DF292" s="78" t="str">
        <f aca="false">IF(ISBLANK($C292),"",$CK292)</f>
        <v/>
      </c>
      <c r="DG292" s="81" t="str">
        <f aca="false">IF(ISBLANK($C292),"",IF($DF292=Constants!$B$7,COUNTA($C$9:$C$508)+2,IF($DF292=Constants!$B$6,COUNTA($C$9:$C$508)+1,IF($DF292=Constants!$B$5,COUNTA($C$9:$C$508),$DF292))))</f>
        <v/>
      </c>
      <c r="DH292" s="7"/>
      <c r="DI292" s="82" t="n">
        <f aca="false">IF(OR(ISNUMBER($DF292),$DF292=Constants!$B$7,$DF292=Constants!$B$5,$DF292=Constants!$B$6),1,0)</f>
        <v>0</v>
      </c>
      <c r="DJ292" s="82" t="n">
        <v>284</v>
      </c>
      <c r="DK292" s="82" t="str">
        <f aca="false">IF(ISBLANK($C292),"",IF(ISNUMBER($DG292),$DG292+ROW($B292)/1000,""))</f>
        <v/>
      </c>
      <c r="DL292" s="82" t="str">
        <f aca="false">IF(ISNUMBER($DK292),RANK($DK292,$DK$9:$DK$508,1),"")</f>
        <v/>
      </c>
      <c r="DM292" s="82" t="str">
        <f aca="false">IF(ISBLANK($C292),"",$B292)</f>
        <v/>
      </c>
      <c r="DN292" s="82" t="str">
        <f aca="false">IF(ISBLANK($C292),"",$C292)</f>
        <v/>
      </c>
      <c r="DO292" s="82" t="str">
        <f aca="false">IF(ISBLANK($C292),"",$D292)</f>
        <v/>
      </c>
      <c r="DP292" s="83" t="str">
        <f aca="false">$DD292</f>
        <v/>
      </c>
      <c r="DQ292" s="84" t="str">
        <f aca="false">$DC292</f>
        <v/>
      </c>
      <c r="DR292" s="82" t="str">
        <f aca="false">IF(ISBLANK($C292),"",$DF292)</f>
        <v/>
      </c>
      <c r="DS292" s="85" t="str">
        <f aca="false">IF($DJ292&gt;$DI$8,"",VLOOKUP($DJ292,$DL$9:$DR$508,7,FALSE()))</f>
        <v/>
      </c>
      <c r="DT292" s="86" t="str">
        <f aca="false">IF($DJ292&gt;$DI$8,"",VLOOKUP($DJ292,$DL$9:$DR$508,2,FALSE()))</f>
        <v/>
      </c>
      <c r="DU292" s="86" t="str">
        <f aca="false">IF($DJ292&gt;$DI$8,"",VLOOKUP($DJ292,$DL$9:$DR$508,3,FALSE()))</f>
        <v/>
      </c>
      <c r="DV292" s="86" t="str">
        <f aca="false">IF($DJ292&gt;$DI$8,"",VLOOKUP($DJ292,$DL$9:$DR$508,4,FALSE()))</f>
        <v/>
      </c>
      <c r="DW292" s="86" t="str">
        <f aca="false">IF($DJ292&gt;$DI$8,"",VLOOKUP($DJ292,$DL$9:$DR$508,5,FALSE()))</f>
        <v/>
      </c>
      <c r="DX292" s="87" t="str">
        <f aca="false">IF($DJ292&gt;$DI$8,"",VLOOKUP($DJ292,$DL$9:$DR$508,6,FALSE()))</f>
        <v/>
      </c>
      <c r="DY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88"/>
      <c r="N293" s="88"/>
      <c r="O293" s="134"/>
      <c r="P293" s="134"/>
      <c r="Q293" s="88"/>
      <c r="R293" s="88"/>
      <c r="S293" s="88"/>
      <c r="T293" s="88"/>
      <c r="U293" s="134"/>
      <c r="V293" s="88"/>
      <c r="W293" s="70"/>
      <c r="X293" s="88"/>
      <c r="Y293" s="88"/>
      <c r="Z293" s="70"/>
      <c r="AA293" s="70"/>
      <c r="AB293" s="88"/>
      <c r="AC293" s="88"/>
      <c r="AD293" s="88"/>
      <c r="AE293" s="71"/>
      <c r="AF293" s="88"/>
      <c r="AG293" s="73"/>
      <c r="AH293" s="74"/>
      <c r="AI293" s="74"/>
      <c r="AJ293" s="74" t="str">
        <f aca="false">IF(ISBLANK($C293),"",IF($E293=Constants!$B$2,TRUE(),IF($E293=Constants!$B$3,FALSE(),TRUE())))</f>
        <v/>
      </c>
      <c r="AK293" s="74" t="str">
        <f aca="false">IF(ISBLANK($C293),"",IF($F293=Constants!$B$2,TRUE(),IF($F293=Constants!$B$3,FALSE(),FALSE())))</f>
        <v/>
      </c>
      <c r="AL293" s="74" t="str">
        <f aca="false">IF(ISBLANK($C293),"",IF($G293=Constants!$B$2,TRUE(),IF($G293=Constants!$B$3,FALSE(),TRUE())))</f>
        <v/>
      </c>
      <c r="AM293" s="74" t="str">
        <f aca="false">IF(ISBLANK($C293),"",IF($H293=Constants!$B$2,TRUE(),IF($H293=Constants!$B$3,FALSE(),TRUE())))</f>
        <v/>
      </c>
      <c r="AN293" s="74" t="str">
        <f aca="false">IF(ISBLANK($C293),"",IF(ISNUMBER($I293),IF($I293&gt;=0,$I293,""),""))</f>
        <v/>
      </c>
      <c r="AO293" s="74" t="str">
        <f aca="false">IF(ISBLANK($C293),"",IF(ISNUMBER($J293),IF($J293&gt;=0,$J293,""),""))</f>
        <v/>
      </c>
      <c r="AP293" s="74" t="str">
        <f aca="false">IF(ISBLANK($C293),"",IF(ISNUMBER($K293),IF($K293&gt;=0,$K293,""),""))</f>
        <v/>
      </c>
      <c r="AQ293" s="74" t="str">
        <f aca="false">IF(ISBLANK($C293),"",IF($L293=Constants!$B$2,TRUE(),IF($L293=Constants!$B$3,FALSE(),TRUE())))</f>
        <v/>
      </c>
      <c r="AR293" s="74" t="str">
        <f aca="false">IF(ISBLANK($C293),"",IF($M293=Constants!$B$2,TRUE(),IF($M293=Constants!$B$3,FALSE(),TRUE())))</f>
        <v/>
      </c>
      <c r="AS293" s="74" t="str">
        <f aca="false">IF(ISBLANK($C293),"",IF($N293=Constants!$B$2,TRUE(),IF($N293=Constants!$B$3,FALSE(),FALSE())))</f>
        <v/>
      </c>
      <c r="AT293" s="74" t="str">
        <f aca="false">IF(ISBLANK($C293),"",IF($O293=Constants!$B$2,TRUE(),IF($O293=Constants!$B$3,FALSE(),TRUE())))</f>
        <v/>
      </c>
      <c r="AU293" s="74" t="str">
        <f aca="false">IF(ISBLANK($C293),"",IF($P293=Constants!$B$2,TRUE(),IF($P293=Constants!$B$3,FALSE(),TRUE())))</f>
        <v/>
      </c>
      <c r="AV293" s="74" t="str">
        <f aca="false">IF(ISBLANK($C293),"",IF($Q293=Constants!$B$2,TRUE(),IF($Q293=Constants!$B$3,FALSE(),FALSE())))</f>
        <v/>
      </c>
      <c r="AW293" s="74" t="str">
        <f aca="false">IF(ISBLANK($C293),"",IF($R293=Constants!$B$2,TRUE(),IF($R293=Constants!$B$3,FALSE(),FALSE())))</f>
        <v/>
      </c>
      <c r="AX293" s="74" t="str">
        <f aca="false">IF(ISBLANK($C293),"",IF($S293=Constants!$B$2,TRUE(),IF($S293=Constants!$B$3,FALSE(),FALSE())))</f>
        <v/>
      </c>
      <c r="AY293" s="74" t="str">
        <f aca="false">IF(ISBLANK($C293),"",IF($T293=Constants!$B$2,TRUE(),IF($T293=Constants!$B$3,FALSE(),FALSE())))</f>
        <v/>
      </c>
      <c r="AZ293" s="74" t="str">
        <f aca="false">IF(ISBLANK($C293),"",IF($U293=Constants!$B$2,TRUE(),IF($U293=Constants!$B$3,FALSE(),FALSE())))</f>
        <v/>
      </c>
      <c r="BA293" s="74" t="str">
        <f aca="false">IF(ISBLANK($C293),"",IF(OR($V293&amp;""="1",$V293&amp;""="2",$V293&amp;""="3",$V293&amp;""="4"),VALUE($V293&amp;""),IF($V293=Constants!$B$12,Constants!$B$12,"")))</f>
        <v/>
      </c>
      <c r="BB293" s="74" t="str">
        <f aca="false">IF(ISBLANK($C293),"",IF(ISBLANK($W293),0,IF(ISNUMBER($W293),IF(AND($W293&gt;=0,$W293&lt;=Constants!$B$21,$W293=INT($W293)),$W293,""),"")))</f>
        <v/>
      </c>
      <c r="BC293" s="74" t="str">
        <f aca="false">IF(ISBLANK($C293),"",IF(ISBLANK($X293),0,IF(ISNUMBER($X293),IF($X293&gt;=0,$X293,""),"")))</f>
        <v/>
      </c>
      <c r="BD293" s="74" t="str">
        <f aca="false">IF(ISBLANK($C293),"",IF($Y293=Constants!$B$2,TRUE(),IF($Y293=Constants!$B$3,FALSE(),TRUE())))</f>
        <v/>
      </c>
      <c r="BE293" s="74" t="str">
        <f aca="false">IF(ISBLANK($C293),"",IF($Z293=Constants!$B$2,TRUE(),IF($Z293=Constants!$B$3,FALSE(),FALSE())))</f>
        <v/>
      </c>
      <c r="BF293" s="74" t="str">
        <f aca="false">IF(ISBLANK($C293),"",IF(ISBLANK($AA293),0,IF(ISNUMBER($AA293),IF(AND($AA293&gt;=0,$AA293&lt;=Constants!$B$35,$AA293=INT($AA293)),$AA293,""),"")))</f>
        <v/>
      </c>
      <c r="BG293" s="74" t="str">
        <f aca="false">IF(ISBLANK($C293),"",IF($AB293=Constants!$B$2,TRUE(),IF($AB293=Constants!$B$3,FALSE(),TRUE())))</f>
        <v/>
      </c>
      <c r="BH293" s="74" t="str">
        <f aca="false">IF(ISBLANK($C293),"",IF($AC293=Constants!$B$2,TRUE(),IF($AC293=Constants!$B$3,FALSE(),TRUE())))</f>
        <v/>
      </c>
      <c r="BI293" s="74" t="str">
        <f aca="false">IF(ISBLANK($C293),"",IF($AD293=Constants!$B$2,TRUE(),IF($AD293=Constants!$B$3,FALSE(),TRUE())))</f>
        <v/>
      </c>
      <c r="BJ293" s="74" t="str">
        <f aca="false">IF(ISBLANK($C293),"",IF(ISNUMBER($AE293),IF($AE293&gt;=0,$AE293,""),""))</f>
        <v/>
      </c>
      <c r="BK293" s="74" t="str">
        <f aca="false">IF(ISBLANK($C293),"",IF($AF293=Constants!$B$2,TRUE(),IF($AF293=Constants!$B$3,FALSE(),FALSE())))</f>
        <v/>
      </c>
      <c r="BL293" s="73" t="str">
        <f aca="false">IF(ISBLANK($C293),"",IF($BK293,Constants!$B$7,IF(COUNTA($E293:$AE293)=0,Constants!$B$6,IF(OR(COUNTA($G293:$AE293)=0,NOT($AM293),$AS293),Constants!$B$5,IF(OR($CM293&lt;&gt;"",$CN293,$CO293,$CP293,$CQ293,$CR293,$CS293),Constants!$B$8,Constants!$B$4)))))</f>
        <v/>
      </c>
      <c r="BM293" s="74" t="str">
        <f aca="false">IF(ISBLANK($C293),"",IF($BL293&lt;&gt;Constants!$B$4,$BL293,IF(OR(NOT($AJ293),NOT($AL293),NOT($AT293)),Constants!$B$11,IF(OR(NOT($AR293),NOT($AU293),NOT($BI293),MAX($AN293,$AO293,$AP293)&gt;Constants!$B$30),Constants!$B$10,Constants!$B$9))))</f>
        <v/>
      </c>
      <c r="BN293" s="74" t="str">
        <f aca="false">IF($BL293&lt;&gt;Constants!$B$4,"",IF(NOT($AL293),0,MIN(Constants!$B$35,$BF293)))</f>
        <v/>
      </c>
      <c r="BO293" s="74" t="str">
        <f aca="false">IF($BL293&lt;&gt;Constants!$B$4,"",IF(NOT($AL293),0,IF($AW293,Constants!$B$18,IF($AV293,Constants!$B$17,0))))</f>
        <v/>
      </c>
      <c r="BP293" s="74" t="str">
        <f aca="false">IF($BL293&lt;&gt;Constants!$B$4,"",IF(NOT($AL293),0,Constants!$B$19*($AK293+$AX293+$AY293+$AZ293)))</f>
        <v/>
      </c>
      <c r="BQ293" s="74" t="str">
        <f aca="false">IF($BL293&lt;&gt;Constants!$B$4,"",IF(OR(NOT($AL293),NOT(ISNUMBER($BA293))),0,CHOOSE($BA293,Constants!$B$13,Constants!$B$14,Constants!$B$15,Constants!$B$16)))</f>
        <v/>
      </c>
      <c r="BR293" s="74" t="str">
        <f aca="false">IF($BL293&lt;&gt;Constants!$B$4,"",IF(NOT($AL293),0,Constants!$B$20*$BB293))</f>
        <v/>
      </c>
      <c r="BS293" s="74" t="str">
        <f aca="false">IF($BL293&lt;&gt;Constants!$B$4,"",IF(AND($AL293,$BD293,$BE293),Constants!$B$22,0))</f>
        <v/>
      </c>
      <c r="BT293" s="74" t="str">
        <f aca="false">IF($BL293&lt;&gt;Constants!$B$4,"",IF(OR(NOT($AL293),NOT($BD293)),0,IF($BJ293&gt;=2*$AH$9,0,Constants!$B$23*INT(ROUND(MIN($BJ293,$AH$9),6)))))</f>
        <v/>
      </c>
      <c r="BU293" s="74" t="str">
        <f aca="false">IF($BL293&lt;&gt;Constants!$B$4,"",IF(NOT($AL293),0,Constants!$B$24*INT(ROUND(MIN($BC293,$AH$9),6))))</f>
        <v/>
      </c>
      <c r="BV293" s="74" t="str">
        <f aca="false">IF($BL293&lt;&gt;Constants!$B$4,"",IF(AND($AL293,$BN293=0),Constants!$B$25,0))</f>
        <v/>
      </c>
      <c r="BW293" s="74" t="str">
        <f aca="false">IF($BL293&lt;&gt;Constants!$B$4,"",MIN(Constants!$B$29,MAX(0,Constants!$B$27*Constants!$B$28*INT(ROUND((Constants!$B$26-$AN293)/Constants!$B$28,6))))+MIN(Constants!$B$29,MAX(0,Constants!$B$27*Constants!$B$28*INT(ROUND((Constants!$B$26-$AO293)/Constants!$B$28,6))))+MIN(Constants!$B$29,MAX(0,Constants!$B$27*Constants!$B$28*INT(ROUND((Constants!$B$26-$AP293)/Constants!$B$28,6)))))</f>
        <v/>
      </c>
      <c r="BX293" s="74" t="str">
        <f aca="false">IF($BL293&lt;&gt;Constants!$B$4,"",IF(NOT($AL293),0,Constants!$B$31*INT(ROUND(MAX(0,MIN($BJ293,2*$AH$9)-$AH$9),6))))</f>
        <v/>
      </c>
      <c r="BY293" s="74" t="str">
        <f aca="false">IF($BL293&lt;&gt;Constants!$B$4,"",Constants!$B$32*(($AN293&gt;Constants!$B$26)+($AO293&gt;Constants!$B$26)+($AP293&gt;Constants!$B$26)))</f>
        <v/>
      </c>
      <c r="BZ293" s="74" t="str">
        <f aca="false">IF($BL293&lt;&gt;Constants!$B$4,"",IF(OR(NOT($AL293),$AQ293),0,Constants!$B$33))</f>
        <v/>
      </c>
      <c r="CA293" s="74" t="str">
        <f aca="false">IF($BL293&lt;&gt;Constants!$B$4,"",Constants!$B$34*$BN293)</f>
        <v/>
      </c>
      <c r="CB293" s="74" t="str">
        <f aca="false">IF($BL293&lt;&gt;Constants!$B$4,"",IF(OR(NOT($AL293),$BH293),0,Constants!$B$36))</f>
        <v/>
      </c>
      <c r="CC293" s="74" t="str">
        <f aca="false">IF($BL293&lt;&gt;Constants!$B$4,"",IF(OR(NOT($AL293),$BG293),0,Constants!$B$37))</f>
        <v/>
      </c>
      <c r="CD293" s="74" t="str">
        <f aca="false">IF($BL293&lt;&gt;Constants!$B$4,"",SUM($BX293:$CC293))</f>
        <v/>
      </c>
      <c r="CE293" s="74" t="str">
        <f aca="false">IF(ISBLANK($C293),"",IF($BL293&lt;&gt;Constants!$B$4,$BL293,SUM($BO293:$BW293)-$CD293))</f>
        <v/>
      </c>
      <c r="CF293" s="74" t="str">
        <f aca="false">IF(ISBLANK($C293),"",IF($BL293&lt;&gt;Constants!$B$4,$BL293,RANK($CE293,$CE$9:$CE$508)))</f>
        <v/>
      </c>
      <c r="CG293" s="74" t="str">
        <f aca="false">IF(ISBLANK($C293),"",IF($BL293&lt;&gt;Constants!$B$4,$BL293,COUNTIFS($BM$9:$BM$508,"&lt;"&amp;$BM293)+COUNTIFS($BM$9:$BM$508,$BM293,$CF$9:$CF$508,"&lt;"&amp;$CF293)+1))</f>
        <v/>
      </c>
      <c r="CH293" s="74" t="str">
        <f aca="false">IF(ISBLANK($C293),"",IF($BL293&lt;&gt;Constants!$B$4,$BL293,RANK($CD293,$CD$9:$CD$508,1)))</f>
        <v/>
      </c>
      <c r="CI293" s="74" t="str">
        <f aca="false">IF($BL293&lt;&gt;Constants!$B$4,"",$AN293+$AO293+$AP293)</f>
        <v/>
      </c>
      <c r="CJ293" s="74" t="str">
        <f aca="false">IF(ISBLANK($C293),"",IF($BL293&lt;&gt;Constants!$B$4,$BL293,RANK($CI293,$CI$9:$CI$508,1)))</f>
        <v/>
      </c>
      <c r="CK293" s="74" t="str">
        <f aca="false">IF(ISBLANK($C293),"",IF($BL293&lt;&gt;Constants!$B$4,$BL293,COUNTIFS($BM$9:$BM$508,"&lt;"&amp;$BM293)+COUNTIFS($BM$9:$BM$508,$BM293,$CF$9:$CF$508,"&lt;"&amp;$CF293)+COUNTIFS($BM$9:$BM$508,$BM293,$CF$9:$CF$508,$CF293,$CH$9:$CH$508,"&lt;"&amp;$CH293)+COUNTIFS($BM$9:$BM$508,$BM293,$CF$9:$CF$508,$CF293,$CH$9:$CH$508,$CH293,$CJ$9:$CJ$508,"&lt;"&amp;$CJ293)+1))</f>
        <v/>
      </c>
      <c r="CL293" s="74" t="str">
        <f aca="false">IF(ISBLANK($C293),"",IF($BL293&lt;&gt;Constants!$B$4,$BL293,$CG293-$CK293))</f>
        <v/>
      </c>
      <c r="CM293" s="74" t="str">
        <f aca="false">IF(ISBLANK($C293),"",IF(NOT($AL293),"",IF(ISBLANK($D$7),$CM$5,IF(NOT(ISNUMBER($D$7)),$CM$6,""))))</f>
        <v/>
      </c>
      <c r="CN293" s="74" t="str">
        <f aca="false">IF(ISBLANK($C293),"",OR($AN293="",$AO293="",$AP293=""))</f>
        <v/>
      </c>
      <c r="CO293" s="74" t="str">
        <f aca="false">IF(ISBLANK($C293),"",AND($AL293,$BA293=""))</f>
        <v/>
      </c>
      <c r="CP293" s="74" t="str">
        <f aca="false">IF(ISBLANK($C293),"",AND($AL293,$BB293=""))</f>
        <v/>
      </c>
      <c r="CQ293" s="74" t="str">
        <f aca="false">IF(ISBLANK($C293),"",AND($AL293,$BC293=""))</f>
        <v/>
      </c>
      <c r="CR293" s="74" t="str">
        <f aca="false">IF(ISBLANK($C293),"",AND($AL293,$BF293=""))</f>
        <v/>
      </c>
      <c r="CS293" s="74" t="str">
        <f aca="false">IF(ISBLANK($C293),"",AND($AL293,$BJ293=""))</f>
        <v/>
      </c>
      <c r="CT293" s="75"/>
      <c r="CU293" s="76"/>
      <c r="CV293" s="79" t="str">
        <f aca="false">IF(ISBLANK($C293),"",IF($BL293=Constants!$B$8,$CM293,""))</f>
        <v/>
      </c>
      <c r="CW293" s="76" t="str">
        <f aca="false">IF(ISBLANK($C293),"",IF($BL293&lt;&gt;Constants!$B$4,"",$BO293+$BP293))</f>
        <v/>
      </c>
      <c r="CX293" s="78" t="str">
        <f aca="false">IF(ISBLANK($C293),"",IF($BL293&lt;&gt;Constants!$B$4,"",$BQ293+$BR293+$BS293))</f>
        <v/>
      </c>
      <c r="CY293" s="78" t="str">
        <f aca="false">IF(ISBLANK($C293),"",IF($BL293&lt;&gt;Constants!$B$4,"",$BT293))</f>
        <v/>
      </c>
      <c r="CZ293" s="78" t="str">
        <f aca="false">IF(ISBLANK($C293),"",IF($BL293&lt;&gt;Constants!$B$4,"",$BU293+$BV293))</f>
        <v/>
      </c>
      <c r="DA293" s="78" t="str">
        <f aca="false">IF(ISBLANK($C293),"",IF($BL293&lt;&gt;Constants!$B$4,"",$BW293))</f>
        <v/>
      </c>
      <c r="DB293" s="78" t="str">
        <f aca="false">IF(ISBLANK($C293),"",IF($BL293&lt;&gt;Constants!$B$4,"",-$CD293))</f>
        <v/>
      </c>
      <c r="DC293" s="79" t="str">
        <f aca="false">IF(ISBLANK($C293),"",$CE293)</f>
        <v/>
      </c>
      <c r="DD293" s="80" t="str">
        <f aca="false">IF(ISBLANK($C293),"",$BM293)</f>
        <v/>
      </c>
      <c r="DE293" s="78" t="str">
        <f aca="false">IF(ISBLANK($C293),"",$CL293)</f>
        <v/>
      </c>
      <c r="DF293" s="78" t="str">
        <f aca="false">IF(ISBLANK($C293),"",$CK293)</f>
        <v/>
      </c>
      <c r="DG293" s="81" t="str">
        <f aca="false">IF(ISBLANK($C293),"",IF($DF293=Constants!$B$7,COUNTA($C$9:$C$508)+2,IF($DF293=Constants!$B$6,COUNTA($C$9:$C$508)+1,IF($DF293=Constants!$B$5,COUNTA($C$9:$C$508),$DF293))))</f>
        <v/>
      </c>
      <c r="DH293" s="7"/>
      <c r="DI293" s="82" t="n">
        <f aca="false">IF(OR(ISNUMBER($DF293),$DF293=Constants!$B$7,$DF293=Constants!$B$5,$DF293=Constants!$B$6),1,0)</f>
        <v>0</v>
      </c>
      <c r="DJ293" s="82" t="n">
        <v>285</v>
      </c>
      <c r="DK293" s="82" t="str">
        <f aca="false">IF(ISBLANK($C293),"",IF(ISNUMBER($DG293),$DG293+ROW($B293)/1000,""))</f>
        <v/>
      </c>
      <c r="DL293" s="82" t="str">
        <f aca="false">IF(ISNUMBER($DK293),RANK($DK293,$DK$9:$DK$508,1),"")</f>
        <v/>
      </c>
      <c r="DM293" s="82" t="str">
        <f aca="false">IF(ISBLANK($C293),"",$B293)</f>
        <v/>
      </c>
      <c r="DN293" s="82" t="str">
        <f aca="false">IF(ISBLANK($C293),"",$C293)</f>
        <v/>
      </c>
      <c r="DO293" s="82" t="str">
        <f aca="false">IF(ISBLANK($C293),"",$D293)</f>
        <v/>
      </c>
      <c r="DP293" s="83" t="str">
        <f aca="false">$DD293</f>
        <v/>
      </c>
      <c r="DQ293" s="84" t="str">
        <f aca="false">$DC293</f>
        <v/>
      </c>
      <c r="DR293" s="82" t="str">
        <f aca="false">IF(ISBLANK($C293),"",$DF293)</f>
        <v/>
      </c>
      <c r="DS293" s="85" t="str">
        <f aca="false">IF($DJ293&gt;$DI$8,"",VLOOKUP($DJ293,$DL$9:$DR$508,7,FALSE()))</f>
        <v/>
      </c>
      <c r="DT293" s="86" t="str">
        <f aca="false">IF($DJ293&gt;$DI$8,"",VLOOKUP($DJ293,$DL$9:$DR$508,2,FALSE()))</f>
        <v/>
      </c>
      <c r="DU293" s="86" t="str">
        <f aca="false">IF($DJ293&gt;$DI$8,"",VLOOKUP($DJ293,$DL$9:$DR$508,3,FALSE()))</f>
        <v/>
      </c>
      <c r="DV293" s="86" t="str">
        <f aca="false">IF($DJ293&gt;$DI$8,"",VLOOKUP($DJ293,$DL$9:$DR$508,4,FALSE()))</f>
        <v/>
      </c>
      <c r="DW293" s="86" t="str">
        <f aca="false">IF($DJ293&gt;$DI$8,"",VLOOKUP($DJ293,$DL$9:$DR$508,5,FALSE()))</f>
        <v/>
      </c>
      <c r="DX293" s="87" t="str">
        <f aca="false">IF($DJ293&gt;$DI$8,"",VLOOKUP($DJ293,$DL$9:$DR$508,6,FALSE()))</f>
        <v/>
      </c>
      <c r="DY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130"/>
      <c r="N294" s="130"/>
      <c r="O294" s="135"/>
      <c r="P294" s="135"/>
      <c r="Q294" s="130"/>
      <c r="R294" s="130"/>
      <c r="S294" s="130"/>
      <c r="T294" s="130"/>
      <c r="U294" s="135"/>
      <c r="V294" s="130"/>
      <c r="W294" s="96"/>
      <c r="X294" s="130"/>
      <c r="Y294" s="130"/>
      <c r="Z294" s="96"/>
      <c r="AA294" s="96"/>
      <c r="AB294" s="130"/>
      <c r="AC294" s="130"/>
      <c r="AD294" s="130"/>
      <c r="AE294" s="97"/>
      <c r="AF294" s="130"/>
      <c r="AG294" s="99"/>
      <c r="AH294" s="100"/>
      <c r="AI294" s="100"/>
      <c r="AJ294" s="100" t="str">
        <f aca="false">IF(ISBLANK($C294),"",IF($E294=Constants!$B$2,TRUE(),IF($E294=Constants!$B$3,FALSE(),TRUE())))</f>
        <v/>
      </c>
      <c r="AK294" s="100" t="str">
        <f aca="false">IF(ISBLANK($C294),"",IF($F294=Constants!$B$2,TRUE(),IF($F294=Constants!$B$3,FALSE(),FALSE())))</f>
        <v/>
      </c>
      <c r="AL294" s="100" t="str">
        <f aca="false">IF(ISBLANK($C294),"",IF($G294=Constants!$B$2,TRUE(),IF($G294=Constants!$B$3,FALSE(),TRUE())))</f>
        <v/>
      </c>
      <c r="AM294" s="100" t="str">
        <f aca="false">IF(ISBLANK($C294),"",IF($H294=Constants!$B$2,TRUE(),IF($H294=Constants!$B$3,FALSE(),TRUE())))</f>
        <v/>
      </c>
      <c r="AN294" s="100" t="str">
        <f aca="false">IF(ISBLANK($C294),"",IF(ISNUMBER($I294),IF($I294&gt;=0,$I294,""),""))</f>
        <v/>
      </c>
      <c r="AO294" s="100" t="str">
        <f aca="false">IF(ISBLANK($C294),"",IF(ISNUMBER($J294),IF($J294&gt;=0,$J294,""),""))</f>
        <v/>
      </c>
      <c r="AP294" s="100" t="str">
        <f aca="false">IF(ISBLANK($C294),"",IF(ISNUMBER($K294),IF($K294&gt;=0,$K294,""),""))</f>
        <v/>
      </c>
      <c r="AQ294" s="100" t="str">
        <f aca="false">IF(ISBLANK($C294),"",IF($L294=Constants!$B$2,TRUE(),IF($L294=Constants!$B$3,FALSE(),TRUE())))</f>
        <v/>
      </c>
      <c r="AR294" s="100" t="str">
        <f aca="false">IF(ISBLANK($C294),"",IF($M294=Constants!$B$2,TRUE(),IF($M294=Constants!$B$3,FALSE(),TRUE())))</f>
        <v/>
      </c>
      <c r="AS294" s="100" t="str">
        <f aca="false">IF(ISBLANK($C294),"",IF($N294=Constants!$B$2,TRUE(),IF($N294=Constants!$B$3,FALSE(),FALSE())))</f>
        <v/>
      </c>
      <c r="AT294" s="100" t="str">
        <f aca="false">IF(ISBLANK($C294),"",IF($O294=Constants!$B$2,TRUE(),IF($O294=Constants!$B$3,FALSE(),TRUE())))</f>
        <v/>
      </c>
      <c r="AU294" s="100" t="str">
        <f aca="false">IF(ISBLANK($C294),"",IF($P294=Constants!$B$2,TRUE(),IF($P294=Constants!$B$3,FALSE(),TRUE())))</f>
        <v/>
      </c>
      <c r="AV294" s="100" t="str">
        <f aca="false">IF(ISBLANK($C294),"",IF($Q294=Constants!$B$2,TRUE(),IF($Q294=Constants!$B$3,FALSE(),FALSE())))</f>
        <v/>
      </c>
      <c r="AW294" s="100" t="str">
        <f aca="false">IF(ISBLANK($C294),"",IF($R294=Constants!$B$2,TRUE(),IF($R294=Constants!$B$3,FALSE(),FALSE())))</f>
        <v/>
      </c>
      <c r="AX294" s="100" t="str">
        <f aca="false">IF(ISBLANK($C294),"",IF($S294=Constants!$B$2,TRUE(),IF($S294=Constants!$B$3,FALSE(),FALSE())))</f>
        <v/>
      </c>
      <c r="AY294" s="100" t="str">
        <f aca="false">IF(ISBLANK($C294),"",IF($T294=Constants!$B$2,TRUE(),IF($T294=Constants!$B$3,FALSE(),FALSE())))</f>
        <v/>
      </c>
      <c r="AZ294" s="100" t="str">
        <f aca="false">IF(ISBLANK($C294),"",IF($U294=Constants!$B$2,TRUE(),IF($U294=Constants!$B$3,FALSE(),FALSE())))</f>
        <v/>
      </c>
      <c r="BA294" s="100" t="str">
        <f aca="false">IF(ISBLANK($C294),"",IF(OR($V294&amp;""="1",$V294&amp;""="2",$V294&amp;""="3",$V294&amp;""="4"),VALUE($V294&amp;""),IF($V294=Constants!$B$12,Constants!$B$12,"")))</f>
        <v/>
      </c>
      <c r="BB294" s="100" t="str">
        <f aca="false">IF(ISBLANK($C294),"",IF(ISBLANK($W294),0,IF(ISNUMBER($W294),IF(AND($W294&gt;=0,$W294&lt;=Constants!$B$21,$W294=INT($W294)),$W294,""),"")))</f>
        <v/>
      </c>
      <c r="BC294" s="100" t="str">
        <f aca="false">IF(ISBLANK($C294),"",IF(ISBLANK($X294),0,IF(ISNUMBER($X294),IF($X294&gt;=0,$X294,""),"")))</f>
        <v/>
      </c>
      <c r="BD294" s="100" t="str">
        <f aca="false">IF(ISBLANK($C294),"",IF($Y294=Constants!$B$2,TRUE(),IF($Y294=Constants!$B$3,FALSE(),TRUE())))</f>
        <v/>
      </c>
      <c r="BE294" s="100" t="str">
        <f aca="false">IF(ISBLANK($C294),"",IF($Z294=Constants!$B$2,TRUE(),IF($Z294=Constants!$B$3,FALSE(),FALSE())))</f>
        <v/>
      </c>
      <c r="BF294" s="100" t="str">
        <f aca="false">IF(ISBLANK($C294),"",IF(ISBLANK($AA294),0,IF(ISNUMBER($AA294),IF(AND($AA294&gt;=0,$AA294&lt;=Constants!$B$35,$AA294=INT($AA294)),$AA294,""),"")))</f>
        <v/>
      </c>
      <c r="BG294" s="100" t="str">
        <f aca="false">IF(ISBLANK($C294),"",IF($AB294=Constants!$B$2,TRUE(),IF($AB294=Constants!$B$3,FALSE(),TRUE())))</f>
        <v/>
      </c>
      <c r="BH294" s="100" t="str">
        <f aca="false">IF(ISBLANK($C294),"",IF($AC294=Constants!$B$2,TRUE(),IF($AC294=Constants!$B$3,FALSE(),TRUE())))</f>
        <v/>
      </c>
      <c r="BI294" s="100" t="str">
        <f aca="false">IF(ISBLANK($C294),"",IF($AD294=Constants!$B$2,TRUE(),IF($AD294=Constants!$B$3,FALSE(),TRUE())))</f>
        <v/>
      </c>
      <c r="BJ294" s="100" t="str">
        <f aca="false">IF(ISBLANK($C294),"",IF(ISNUMBER($AE294),IF($AE294&gt;=0,$AE294,""),""))</f>
        <v/>
      </c>
      <c r="BK294" s="100" t="str">
        <f aca="false">IF(ISBLANK($C294),"",IF($AF294=Constants!$B$2,TRUE(),IF($AF294=Constants!$B$3,FALSE(),FALSE())))</f>
        <v/>
      </c>
      <c r="BL294" s="99" t="str">
        <f aca="false">IF(ISBLANK($C294),"",IF($BK294,Constants!$B$7,IF(COUNTA($E294:$AE294)=0,Constants!$B$6,IF(OR(COUNTA($G294:$AE294)=0,NOT($AM294),$AS294),Constants!$B$5,IF(OR($CM294&lt;&gt;"",$CN294,$CO294,$CP294,$CQ294,$CR294,$CS294),Constants!$B$8,Constants!$B$4)))))</f>
        <v/>
      </c>
      <c r="BM294" s="100" t="str">
        <f aca="false">IF(ISBLANK($C294),"",IF($BL294&lt;&gt;Constants!$B$4,$BL294,IF(OR(NOT($AJ294),NOT($AL294),NOT($AT294)),Constants!$B$11,IF(OR(NOT($AR294),NOT($AU294),NOT($BI294),MAX($AN294,$AO294,$AP294)&gt;Constants!$B$30),Constants!$B$10,Constants!$B$9))))</f>
        <v/>
      </c>
      <c r="BN294" s="100" t="str">
        <f aca="false">IF($BL294&lt;&gt;Constants!$B$4,"",IF(NOT($AL294),0,MIN(Constants!$B$35,$BF294)))</f>
        <v/>
      </c>
      <c r="BO294" s="100" t="str">
        <f aca="false">IF($BL294&lt;&gt;Constants!$B$4,"",IF(NOT($AL294),0,IF($AW294,Constants!$B$18,IF($AV294,Constants!$B$17,0))))</f>
        <v/>
      </c>
      <c r="BP294" s="100" t="str">
        <f aca="false">IF($BL294&lt;&gt;Constants!$B$4,"",IF(NOT($AL294),0,Constants!$B$19*($AK294+$AX294+$AY294+$AZ294)))</f>
        <v/>
      </c>
      <c r="BQ294" s="100" t="str">
        <f aca="false">IF($BL294&lt;&gt;Constants!$B$4,"",IF(OR(NOT($AL294),NOT(ISNUMBER($BA294))),0,CHOOSE($BA294,Constants!$B$13,Constants!$B$14,Constants!$B$15,Constants!$B$16)))</f>
        <v/>
      </c>
      <c r="BR294" s="100" t="str">
        <f aca="false">IF($BL294&lt;&gt;Constants!$B$4,"",IF(NOT($AL294),0,Constants!$B$20*$BB294))</f>
        <v/>
      </c>
      <c r="BS294" s="100" t="str">
        <f aca="false">IF($BL294&lt;&gt;Constants!$B$4,"",IF(AND($AL294,$BD294,$BE294),Constants!$B$22,0))</f>
        <v/>
      </c>
      <c r="BT294" s="100" t="str">
        <f aca="false">IF($BL294&lt;&gt;Constants!$B$4,"",IF(OR(NOT($AL294),NOT($BD294)),0,IF($BJ294&gt;=2*$AH$9,0,Constants!$B$23*INT(ROUND(MIN($BJ294,$AH$9),6)))))</f>
        <v/>
      </c>
      <c r="BU294" s="100" t="str">
        <f aca="false">IF($BL294&lt;&gt;Constants!$B$4,"",IF(NOT($AL294),0,Constants!$B$24*INT(ROUND(MIN($BC294,$AH$9),6))))</f>
        <v/>
      </c>
      <c r="BV294" s="100" t="str">
        <f aca="false">IF($BL294&lt;&gt;Constants!$B$4,"",IF(AND($AL294,$BN294=0),Constants!$B$25,0))</f>
        <v/>
      </c>
      <c r="BW294" s="100" t="str">
        <f aca="false">IF($BL294&lt;&gt;Constants!$B$4,"",MIN(Constants!$B$29,MAX(0,Constants!$B$27*Constants!$B$28*INT(ROUND((Constants!$B$26-$AN294)/Constants!$B$28,6))))+MIN(Constants!$B$29,MAX(0,Constants!$B$27*Constants!$B$28*INT(ROUND((Constants!$B$26-$AO294)/Constants!$B$28,6))))+MIN(Constants!$B$29,MAX(0,Constants!$B$27*Constants!$B$28*INT(ROUND((Constants!$B$26-$AP294)/Constants!$B$28,6)))))</f>
        <v/>
      </c>
      <c r="BX294" s="100" t="str">
        <f aca="false">IF($BL294&lt;&gt;Constants!$B$4,"",IF(NOT($AL294),0,Constants!$B$31*INT(ROUND(MAX(0,MIN($BJ294,2*$AH$9)-$AH$9),6))))</f>
        <v/>
      </c>
      <c r="BY294" s="100" t="str">
        <f aca="false">IF($BL294&lt;&gt;Constants!$B$4,"",Constants!$B$32*(($AN294&gt;Constants!$B$26)+($AO294&gt;Constants!$B$26)+($AP294&gt;Constants!$B$26)))</f>
        <v/>
      </c>
      <c r="BZ294" s="100" t="str">
        <f aca="false">IF($BL294&lt;&gt;Constants!$B$4,"",IF(OR(NOT($AL294),$AQ294),0,Constants!$B$33))</f>
        <v/>
      </c>
      <c r="CA294" s="100" t="str">
        <f aca="false">IF($BL294&lt;&gt;Constants!$B$4,"",Constants!$B$34*$BN294)</f>
        <v/>
      </c>
      <c r="CB294" s="100" t="str">
        <f aca="false">IF($BL294&lt;&gt;Constants!$B$4,"",IF(OR(NOT($AL294),$BH294),0,Constants!$B$36))</f>
        <v/>
      </c>
      <c r="CC294" s="100" t="str">
        <f aca="false">IF($BL294&lt;&gt;Constants!$B$4,"",IF(OR(NOT($AL294),$BG294),0,Constants!$B$37))</f>
        <v/>
      </c>
      <c r="CD294" s="100" t="str">
        <f aca="false">IF($BL294&lt;&gt;Constants!$B$4,"",SUM($BX294:$CC294))</f>
        <v/>
      </c>
      <c r="CE294" s="100" t="str">
        <f aca="false">IF(ISBLANK($C294),"",IF($BL294&lt;&gt;Constants!$B$4,$BL294,SUM($BO294:$BW294)-$CD294))</f>
        <v/>
      </c>
      <c r="CF294" s="100" t="str">
        <f aca="false">IF(ISBLANK($C294),"",IF($BL294&lt;&gt;Constants!$B$4,$BL294,RANK($CE294,$CE$9:$CE$508)))</f>
        <v/>
      </c>
      <c r="CG294" s="100" t="str">
        <f aca="false">IF(ISBLANK($C294),"",IF($BL294&lt;&gt;Constants!$B$4,$BL294,COUNTIFS($BM$9:$BM$508,"&lt;"&amp;$BM294)+COUNTIFS($BM$9:$BM$508,$BM294,$CF$9:$CF$508,"&lt;"&amp;$CF294)+1))</f>
        <v/>
      </c>
      <c r="CH294" s="100" t="str">
        <f aca="false">IF(ISBLANK($C294),"",IF($BL294&lt;&gt;Constants!$B$4,$BL294,RANK($CD294,$CD$9:$CD$508,1)))</f>
        <v/>
      </c>
      <c r="CI294" s="100" t="str">
        <f aca="false">IF($BL294&lt;&gt;Constants!$B$4,"",$AN294+$AO294+$AP294)</f>
        <v/>
      </c>
      <c r="CJ294" s="100" t="str">
        <f aca="false">IF(ISBLANK($C294),"",IF($BL294&lt;&gt;Constants!$B$4,$BL294,RANK($CI294,$CI$9:$CI$508,1)))</f>
        <v/>
      </c>
      <c r="CK294" s="100" t="str">
        <f aca="false">IF(ISBLANK($C294),"",IF($BL294&lt;&gt;Constants!$B$4,$BL294,COUNTIFS($BM$9:$BM$508,"&lt;"&amp;$BM294)+COUNTIFS($BM$9:$BM$508,$BM294,$CF$9:$CF$508,"&lt;"&amp;$CF294)+COUNTIFS($BM$9:$BM$508,$BM294,$CF$9:$CF$508,$CF294,$CH$9:$CH$508,"&lt;"&amp;$CH294)+COUNTIFS($BM$9:$BM$508,$BM294,$CF$9:$CF$508,$CF294,$CH$9:$CH$508,$CH294,$CJ$9:$CJ$508,"&lt;"&amp;$CJ294)+1))</f>
        <v/>
      </c>
      <c r="CL294" s="100" t="str">
        <f aca="false">IF(ISBLANK($C294),"",IF($BL294&lt;&gt;Constants!$B$4,$BL294,$CG294-$CK294))</f>
        <v/>
      </c>
      <c r="CM294" s="100" t="str">
        <f aca="false">IF(ISBLANK($C294),"",IF(NOT($AL294),"",IF(ISBLANK($D$7),$CM$5,IF(NOT(ISNUMBER($D$7)),$CM$6,""))))</f>
        <v/>
      </c>
      <c r="CN294" s="100" t="str">
        <f aca="false">IF(ISBLANK($C294),"",OR($AN294="",$AO294="",$AP294=""))</f>
        <v/>
      </c>
      <c r="CO294" s="100" t="str">
        <f aca="false">IF(ISBLANK($C294),"",AND($AL294,$BA294=""))</f>
        <v/>
      </c>
      <c r="CP294" s="100" t="str">
        <f aca="false">IF(ISBLANK($C294),"",AND($AL294,$BB294=""))</f>
        <v/>
      </c>
      <c r="CQ294" s="100" t="str">
        <f aca="false">IF(ISBLANK($C294),"",AND($AL294,$BC294=""))</f>
        <v/>
      </c>
      <c r="CR294" s="100" t="str">
        <f aca="false">IF(ISBLANK($C294),"",AND($AL294,$BF294=""))</f>
        <v/>
      </c>
      <c r="CS294" s="100" t="str">
        <f aca="false">IF(ISBLANK($C294),"",AND($AL294,$BJ294=""))</f>
        <v/>
      </c>
      <c r="CT294" s="101"/>
      <c r="CU294" s="102"/>
      <c r="CV294" s="103" t="str">
        <f aca="false">IF(ISBLANK($C294),"",IF($BL294=Constants!$B$8,$CM294,""))</f>
        <v/>
      </c>
      <c r="CW294" s="102" t="str">
        <f aca="false">IF(ISBLANK($C294),"",IF($BL294&lt;&gt;Constants!$B$4,"",$BO294+$BP294))</f>
        <v/>
      </c>
      <c r="CX294" s="104" t="str">
        <f aca="false">IF(ISBLANK($C294),"",IF($BL294&lt;&gt;Constants!$B$4,"",$BQ294+$BR294+$BS294))</f>
        <v/>
      </c>
      <c r="CY294" s="104" t="str">
        <f aca="false">IF(ISBLANK($C294),"",IF($BL294&lt;&gt;Constants!$B$4,"",$BT294))</f>
        <v/>
      </c>
      <c r="CZ294" s="104" t="str">
        <f aca="false">IF(ISBLANK($C294),"",IF($BL294&lt;&gt;Constants!$B$4,"",$BU294+$BV294))</f>
        <v/>
      </c>
      <c r="DA294" s="104" t="str">
        <f aca="false">IF(ISBLANK($C294),"",IF($BL294&lt;&gt;Constants!$B$4,"",$BW294))</f>
        <v/>
      </c>
      <c r="DB294" s="104" t="str">
        <f aca="false">IF(ISBLANK($C294),"",IF($BL294&lt;&gt;Constants!$B$4,"",-$CD294))</f>
        <v/>
      </c>
      <c r="DC294" s="103" t="str">
        <f aca="false">IF(ISBLANK($C294),"",$CE294)</f>
        <v/>
      </c>
      <c r="DD294" s="105" t="str">
        <f aca="false">IF(ISBLANK($C294),"",$BM294)</f>
        <v/>
      </c>
      <c r="DE294" s="104" t="str">
        <f aca="false">IF(ISBLANK($C294),"",$CL294)</f>
        <v/>
      </c>
      <c r="DF294" s="104" t="str">
        <f aca="false">IF(ISBLANK($C294),"",$CK294)</f>
        <v/>
      </c>
      <c r="DG294" s="106" t="str">
        <f aca="false">IF(ISBLANK($C294),"",IF($DF294=Constants!$B$7,COUNTA($C$9:$C$508)+2,IF($DF294=Constants!$B$6,COUNTA($C$9:$C$508)+1,IF($DF294=Constants!$B$5,COUNTA($C$9:$C$508),$DF294))))</f>
        <v/>
      </c>
      <c r="DH294" s="7"/>
      <c r="DI294" s="107" t="n">
        <f aca="false">IF(OR(ISNUMBER($DF294),$DF294=Constants!$B$7,$DF294=Constants!$B$5,$DF294=Constants!$B$6),1,0)</f>
        <v>0</v>
      </c>
      <c r="DJ294" s="107" t="n">
        <v>286</v>
      </c>
      <c r="DK294" s="107" t="str">
        <f aca="false">IF(ISBLANK($C294),"",IF(ISNUMBER($DG294),$DG294+ROW($B294)/1000,""))</f>
        <v/>
      </c>
      <c r="DL294" s="107" t="str">
        <f aca="false">IF(ISNUMBER($DK294),RANK($DK294,$DK$9:$DK$508,1),"")</f>
        <v/>
      </c>
      <c r="DM294" s="107" t="str">
        <f aca="false">IF(ISBLANK($C294),"",$B294)</f>
        <v/>
      </c>
      <c r="DN294" s="107" t="str">
        <f aca="false">IF(ISBLANK($C294),"",$C294)</f>
        <v/>
      </c>
      <c r="DO294" s="107" t="str">
        <f aca="false">IF(ISBLANK($C294),"",$D294)</f>
        <v/>
      </c>
      <c r="DP294" s="108" t="str">
        <f aca="false">$DD294</f>
        <v/>
      </c>
      <c r="DQ294" s="109" t="str">
        <f aca="false">$DC294</f>
        <v/>
      </c>
      <c r="DR294" s="107" t="str">
        <f aca="false">IF(ISBLANK($C294),"",$DF294)</f>
        <v/>
      </c>
      <c r="DS294" s="110" t="str">
        <f aca="false">IF($DJ294&gt;$DI$8,"",VLOOKUP($DJ294,$DL$9:$DR$508,7,FALSE()))</f>
        <v/>
      </c>
      <c r="DT294" s="111" t="str">
        <f aca="false">IF($DJ294&gt;$DI$8,"",VLOOKUP($DJ294,$DL$9:$DR$508,2,FALSE()))</f>
        <v/>
      </c>
      <c r="DU294" s="111" t="str">
        <f aca="false">IF($DJ294&gt;$DI$8,"",VLOOKUP($DJ294,$DL$9:$DR$508,3,FALSE()))</f>
        <v/>
      </c>
      <c r="DV294" s="111" t="str">
        <f aca="false">IF($DJ294&gt;$DI$8,"",VLOOKUP($DJ294,$DL$9:$DR$508,4,FALSE()))</f>
        <v/>
      </c>
      <c r="DW294" s="111" t="str">
        <f aca="false">IF($DJ294&gt;$DI$8,"",VLOOKUP($DJ294,$DL$9:$DR$508,5,FALSE()))</f>
        <v/>
      </c>
      <c r="DX294" s="112" t="str">
        <f aca="false">IF($DJ294&gt;$DI$8,"",VLOOKUP($DJ294,$DL$9:$DR$508,6,FALSE()))</f>
        <v/>
      </c>
      <c r="DY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130"/>
      <c r="N295" s="130"/>
      <c r="O295" s="135"/>
      <c r="P295" s="135"/>
      <c r="Q295" s="130"/>
      <c r="R295" s="130"/>
      <c r="S295" s="130"/>
      <c r="T295" s="130"/>
      <c r="U295" s="135"/>
      <c r="V295" s="130"/>
      <c r="W295" s="96"/>
      <c r="X295" s="130"/>
      <c r="Y295" s="130"/>
      <c r="Z295" s="96"/>
      <c r="AA295" s="96"/>
      <c r="AB295" s="130"/>
      <c r="AC295" s="130"/>
      <c r="AD295" s="130"/>
      <c r="AE295" s="97"/>
      <c r="AF295" s="130"/>
      <c r="AG295" s="99"/>
      <c r="AH295" s="100"/>
      <c r="AI295" s="100"/>
      <c r="AJ295" s="100" t="str">
        <f aca="false">IF(ISBLANK($C295),"",IF($E295=Constants!$B$2,TRUE(),IF($E295=Constants!$B$3,FALSE(),TRUE())))</f>
        <v/>
      </c>
      <c r="AK295" s="100" t="str">
        <f aca="false">IF(ISBLANK($C295),"",IF($F295=Constants!$B$2,TRUE(),IF($F295=Constants!$B$3,FALSE(),FALSE())))</f>
        <v/>
      </c>
      <c r="AL295" s="100" t="str">
        <f aca="false">IF(ISBLANK($C295),"",IF($G295=Constants!$B$2,TRUE(),IF($G295=Constants!$B$3,FALSE(),TRUE())))</f>
        <v/>
      </c>
      <c r="AM295" s="100" t="str">
        <f aca="false">IF(ISBLANK($C295),"",IF($H295=Constants!$B$2,TRUE(),IF($H295=Constants!$B$3,FALSE(),TRUE())))</f>
        <v/>
      </c>
      <c r="AN295" s="100" t="str">
        <f aca="false">IF(ISBLANK($C295),"",IF(ISNUMBER($I295),IF($I295&gt;=0,$I295,""),""))</f>
        <v/>
      </c>
      <c r="AO295" s="100" t="str">
        <f aca="false">IF(ISBLANK($C295),"",IF(ISNUMBER($J295),IF($J295&gt;=0,$J295,""),""))</f>
        <v/>
      </c>
      <c r="AP295" s="100" t="str">
        <f aca="false">IF(ISBLANK($C295),"",IF(ISNUMBER($K295),IF($K295&gt;=0,$K295,""),""))</f>
        <v/>
      </c>
      <c r="AQ295" s="100" t="str">
        <f aca="false">IF(ISBLANK($C295),"",IF($L295=Constants!$B$2,TRUE(),IF($L295=Constants!$B$3,FALSE(),TRUE())))</f>
        <v/>
      </c>
      <c r="AR295" s="100" t="str">
        <f aca="false">IF(ISBLANK($C295),"",IF($M295=Constants!$B$2,TRUE(),IF($M295=Constants!$B$3,FALSE(),TRUE())))</f>
        <v/>
      </c>
      <c r="AS295" s="100" t="str">
        <f aca="false">IF(ISBLANK($C295),"",IF($N295=Constants!$B$2,TRUE(),IF($N295=Constants!$B$3,FALSE(),FALSE())))</f>
        <v/>
      </c>
      <c r="AT295" s="100" t="str">
        <f aca="false">IF(ISBLANK($C295),"",IF($O295=Constants!$B$2,TRUE(),IF($O295=Constants!$B$3,FALSE(),TRUE())))</f>
        <v/>
      </c>
      <c r="AU295" s="100" t="str">
        <f aca="false">IF(ISBLANK($C295),"",IF($P295=Constants!$B$2,TRUE(),IF($P295=Constants!$B$3,FALSE(),TRUE())))</f>
        <v/>
      </c>
      <c r="AV295" s="100" t="str">
        <f aca="false">IF(ISBLANK($C295),"",IF($Q295=Constants!$B$2,TRUE(),IF($Q295=Constants!$B$3,FALSE(),FALSE())))</f>
        <v/>
      </c>
      <c r="AW295" s="100" t="str">
        <f aca="false">IF(ISBLANK($C295),"",IF($R295=Constants!$B$2,TRUE(),IF($R295=Constants!$B$3,FALSE(),FALSE())))</f>
        <v/>
      </c>
      <c r="AX295" s="100" t="str">
        <f aca="false">IF(ISBLANK($C295),"",IF($S295=Constants!$B$2,TRUE(),IF($S295=Constants!$B$3,FALSE(),FALSE())))</f>
        <v/>
      </c>
      <c r="AY295" s="100" t="str">
        <f aca="false">IF(ISBLANK($C295),"",IF($T295=Constants!$B$2,TRUE(),IF($T295=Constants!$B$3,FALSE(),FALSE())))</f>
        <v/>
      </c>
      <c r="AZ295" s="100" t="str">
        <f aca="false">IF(ISBLANK($C295),"",IF($U295=Constants!$B$2,TRUE(),IF($U295=Constants!$B$3,FALSE(),FALSE())))</f>
        <v/>
      </c>
      <c r="BA295" s="100" t="str">
        <f aca="false">IF(ISBLANK($C295),"",IF(OR($V295&amp;""="1",$V295&amp;""="2",$V295&amp;""="3",$V295&amp;""="4"),VALUE($V295&amp;""),IF($V295=Constants!$B$12,Constants!$B$12,"")))</f>
        <v/>
      </c>
      <c r="BB295" s="100" t="str">
        <f aca="false">IF(ISBLANK($C295),"",IF(ISBLANK($W295),0,IF(ISNUMBER($W295),IF(AND($W295&gt;=0,$W295&lt;=Constants!$B$21,$W295=INT($W295)),$W295,""),"")))</f>
        <v/>
      </c>
      <c r="BC295" s="100" t="str">
        <f aca="false">IF(ISBLANK($C295),"",IF(ISBLANK($X295),0,IF(ISNUMBER($X295),IF($X295&gt;=0,$X295,""),"")))</f>
        <v/>
      </c>
      <c r="BD295" s="100" t="str">
        <f aca="false">IF(ISBLANK($C295),"",IF($Y295=Constants!$B$2,TRUE(),IF($Y295=Constants!$B$3,FALSE(),TRUE())))</f>
        <v/>
      </c>
      <c r="BE295" s="100" t="str">
        <f aca="false">IF(ISBLANK($C295),"",IF($Z295=Constants!$B$2,TRUE(),IF($Z295=Constants!$B$3,FALSE(),FALSE())))</f>
        <v/>
      </c>
      <c r="BF295" s="100" t="str">
        <f aca="false">IF(ISBLANK($C295),"",IF(ISBLANK($AA295),0,IF(ISNUMBER($AA295),IF(AND($AA295&gt;=0,$AA295&lt;=Constants!$B$35,$AA295=INT($AA295)),$AA295,""),"")))</f>
        <v/>
      </c>
      <c r="BG295" s="100" t="str">
        <f aca="false">IF(ISBLANK($C295),"",IF($AB295=Constants!$B$2,TRUE(),IF($AB295=Constants!$B$3,FALSE(),TRUE())))</f>
        <v/>
      </c>
      <c r="BH295" s="100" t="str">
        <f aca="false">IF(ISBLANK($C295),"",IF($AC295=Constants!$B$2,TRUE(),IF($AC295=Constants!$B$3,FALSE(),TRUE())))</f>
        <v/>
      </c>
      <c r="BI295" s="100" t="str">
        <f aca="false">IF(ISBLANK($C295),"",IF($AD295=Constants!$B$2,TRUE(),IF($AD295=Constants!$B$3,FALSE(),TRUE())))</f>
        <v/>
      </c>
      <c r="BJ295" s="100" t="str">
        <f aca="false">IF(ISBLANK($C295),"",IF(ISNUMBER($AE295),IF($AE295&gt;=0,$AE295,""),""))</f>
        <v/>
      </c>
      <c r="BK295" s="100" t="str">
        <f aca="false">IF(ISBLANK($C295),"",IF($AF295=Constants!$B$2,TRUE(),IF($AF295=Constants!$B$3,FALSE(),FALSE())))</f>
        <v/>
      </c>
      <c r="BL295" s="99" t="str">
        <f aca="false">IF(ISBLANK($C295),"",IF($BK295,Constants!$B$7,IF(COUNTA($E295:$AE295)=0,Constants!$B$6,IF(OR(COUNTA($G295:$AE295)=0,NOT($AM295),$AS295),Constants!$B$5,IF(OR($CM295&lt;&gt;"",$CN295,$CO295,$CP295,$CQ295,$CR295,$CS295),Constants!$B$8,Constants!$B$4)))))</f>
        <v/>
      </c>
      <c r="BM295" s="100" t="str">
        <f aca="false">IF(ISBLANK($C295),"",IF($BL295&lt;&gt;Constants!$B$4,$BL295,IF(OR(NOT($AJ295),NOT($AL295),NOT($AT295)),Constants!$B$11,IF(OR(NOT($AR295),NOT($AU295),NOT($BI295),MAX($AN295,$AO295,$AP295)&gt;Constants!$B$30),Constants!$B$10,Constants!$B$9))))</f>
        <v/>
      </c>
      <c r="BN295" s="100" t="str">
        <f aca="false">IF($BL295&lt;&gt;Constants!$B$4,"",IF(NOT($AL295),0,MIN(Constants!$B$35,$BF295)))</f>
        <v/>
      </c>
      <c r="BO295" s="100" t="str">
        <f aca="false">IF($BL295&lt;&gt;Constants!$B$4,"",IF(NOT($AL295),0,IF($AW295,Constants!$B$18,IF($AV295,Constants!$B$17,0))))</f>
        <v/>
      </c>
      <c r="BP295" s="100" t="str">
        <f aca="false">IF($BL295&lt;&gt;Constants!$B$4,"",IF(NOT($AL295),0,Constants!$B$19*($AK295+$AX295+$AY295+$AZ295)))</f>
        <v/>
      </c>
      <c r="BQ295" s="100" t="str">
        <f aca="false">IF($BL295&lt;&gt;Constants!$B$4,"",IF(OR(NOT($AL295),NOT(ISNUMBER($BA295))),0,CHOOSE($BA295,Constants!$B$13,Constants!$B$14,Constants!$B$15,Constants!$B$16)))</f>
        <v/>
      </c>
      <c r="BR295" s="100" t="str">
        <f aca="false">IF($BL295&lt;&gt;Constants!$B$4,"",IF(NOT($AL295),0,Constants!$B$20*$BB295))</f>
        <v/>
      </c>
      <c r="BS295" s="100" t="str">
        <f aca="false">IF($BL295&lt;&gt;Constants!$B$4,"",IF(AND($AL295,$BD295,$BE295),Constants!$B$22,0))</f>
        <v/>
      </c>
      <c r="BT295" s="100" t="str">
        <f aca="false">IF($BL295&lt;&gt;Constants!$B$4,"",IF(OR(NOT($AL295),NOT($BD295)),0,IF($BJ295&gt;=2*$AH$9,0,Constants!$B$23*INT(ROUND(MIN($BJ295,$AH$9),6)))))</f>
        <v/>
      </c>
      <c r="BU295" s="100" t="str">
        <f aca="false">IF($BL295&lt;&gt;Constants!$B$4,"",IF(NOT($AL295),0,Constants!$B$24*INT(ROUND(MIN($BC295,$AH$9),6))))</f>
        <v/>
      </c>
      <c r="BV295" s="100" t="str">
        <f aca="false">IF($BL295&lt;&gt;Constants!$B$4,"",IF(AND($AL295,$BN295=0),Constants!$B$25,0))</f>
        <v/>
      </c>
      <c r="BW295" s="100" t="str">
        <f aca="false">IF($BL295&lt;&gt;Constants!$B$4,"",MIN(Constants!$B$29,MAX(0,Constants!$B$27*Constants!$B$28*INT(ROUND((Constants!$B$26-$AN295)/Constants!$B$28,6))))+MIN(Constants!$B$29,MAX(0,Constants!$B$27*Constants!$B$28*INT(ROUND((Constants!$B$26-$AO295)/Constants!$B$28,6))))+MIN(Constants!$B$29,MAX(0,Constants!$B$27*Constants!$B$28*INT(ROUND((Constants!$B$26-$AP295)/Constants!$B$28,6)))))</f>
        <v/>
      </c>
      <c r="BX295" s="100" t="str">
        <f aca="false">IF($BL295&lt;&gt;Constants!$B$4,"",IF(NOT($AL295),0,Constants!$B$31*INT(ROUND(MAX(0,MIN($BJ295,2*$AH$9)-$AH$9),6))))</f>
        <v/>
      </c>
      <c r="BY295" s="100" t="str">
        <f aca="false">IF($BL295&lt;&gt;Constants!$B$4,"",Constants!$B$32*(($AN295&gt;Constants!$B$26)+($AO295&gt;Constants!$B$26)+($AP295&gt;Constants!$B$26)))</f>
        <v/>
      </c>
      <c r="BZ295" s="100" t="str">
        <f aca="false">IF($BL295&lt;&gt;Constants!$B$4,"",IF(OR(NOT($AL295),$AQ295),0,Constants!$B$33))</f>
        <v/>
      </c>
      <c r="CA295" s="100" t="str">
        <f aca="false">IF($BL295&lt;&gt;Constants!$B$4,"",Constants!$B$34*$BN295)</f>
        <v/>
      </c>
      <c r="CB295" s="100" t="str">
        <f aca="false">IF($BL295&lt;&gt;Constants!$B$4,"",IF(OR(NOT($AL295),$BH295),0,Constants!$B$36))</f>
        <v/>
      </c>
      <c r="CC295" s="100" t="str">
        <f aca="false">IF($BL295&lt;&gt;Constants!$B$4,"",IF(OR(NOT($AL295),$BG295),0,Constants!$B$37))</f>
        <v/>
      </c>
      <c r="CD295" s="100" t="str">
        <f aca="false">IF($BL295&lt;&gt;Constants!$B$4,"",SUM($BX295:$CC295))</f>
        <v/>
      </c>
      <c r="CE295" s="100" t="str">
        <f aca="false">IF(ISBLANK($C295),"",IF($BL295&lt;&gt;Constants!$B$4,$BL295,SUM($BO295:$BW295)-$CD295))</f>
        <v/>
      </c>
      <c r="CF295" s="100" t="str">
        <f aca="false">IF(ISBLANK($C295),"",IF($BL295&lt;&gt;Constants!$B$4,$BL295,RANK($CE295,$CE$9:$CE$508)))</f>
        <v/>
      </c>
      <c r="CG295" s="100" t="str">
        <f aca="false">IF(ISBLANK($C295),"",IF($BL295&lt;&gt;Constants!$B$4,$BL295,COUNTIFS($BM$9:$BM$508,"&lt;"&amp;$BM295)+COUNTIFS($BM$9:$BM$508,$BM295,$CF$9:$CF$508,"&lt;"&amp;$CF295)+1))</f>
        <v/>
      </c>
      <c r="CH295" s="100" t="str">
        <f aca="false">IF(ISBLANK($C295),"",IF($BL295&lt;&gt;Constants!$B$4,$BL295,RANK($CD295,$CD$9:$CD$508,1)))</f>
        <v/>
      </c>
      <c r="CI295" s="100" t="str">
        <f aca="false">IF($BL295&lt;&gt;Constants!$B$4,"",$AN295+$AO295+$AP295)</f>
        <v/>
      </c>
      <c r="CJ295" s="100" t="str">
        <f aca="false">IF(ISBLANK($C295),"",IF($BL295&lt;&gt;Constants!$B$4,$BL295,RANK($CI295,$CI$9:$CI$508,1)))</f>
        <v/>
      </c>
      <c r="CK295" s="100" t="str">
        <f aca="false">IF(ISBLANK($C295),"",IF($BL295&lt;&gt;Constants!$B$4,$BL295,COUNTIFS($BM$9:$BM$508,"&lt;"&amp;$BM295)+COUNTIFS($BM$9:$BM$508,$BM295,$CF$9:$CF$508,"&lt;"&amp;$CF295)+COUNTIFS($BM$9:$BM$508,$BM295,$CF$9:$CF$508,$CF295,$CH$9:$CH$508,"&lt;"&amp;$CH295)+COUNTIFS($BM$9:$BM$508,$BM295,$CF$9:$CF$508,$CF295,$CH$9:$CH$508,$CH295,$CJ$9:$CJ$508,"&lt;"&amp;$CJ295)+1))</f>
        <v/>
      </c>
      <c r="CL295" s="100" t="str">
        <f aca="false">IF(ISBLANK($C295),"",IF($BL295&lt;&gt;Constants!$B$4,$BL295,$CG295-$CK295))</f>
        <v/>
      </c>
      <c r="CM295" s="100" t="str">
        <f aca="false">IF(ISBLANK($C295),"",IF(NOT($AL295),"",IF(ISBLANK($D$7),$CM$5,IF(NOT(ISNUMBER($D$7)),$CM$6,""))))</f>
        <v/>
      </c>
      <c r="CN295" s="100" t="str">
        <f aca="false">IF(ISBLANK($C295),"",OR($AN295="",$AO295="",$AP295=""))</f>
        <v/>
      </c>
      <c r="CO295" s="100" t="str">
        <f aca="false">IF(ISBLANK($C295),"",AND($AL295,$BA295=""))</f>
        <v/>
      </c>
      <c r="CP295" s="100" t="str">
        <f aca="false">IF(ISBLANK($C295),"",AND($AL295,$BB295=""))</f>
        <v/>
      </c>
      <c r="CQ295" s="100" t="str">
        <f aca="false">IF(ISBLANK($C295),"",AND($AL295,$BC295=""))</f>
        <v/>
      </c>
      <c r="CR295" s="100" t="str">
        <f aca="false">IF(ISBLANK($C295),"",AND($AL295,$BF295=""))</f>
        <v/>
      </c>
      <c r="CS295" s="100" t="str">
        <f aca="false">IF(ISBLANK($C295),"",AND($AL295,$BJ295=""))</f>
        <v/>
      </c>
      <c r="CT295" s="101"/>
      <c r="CU295" s="102"/>
      <c r="CV295" s="103" t="str">
        <f aca="false">IF(ISBLANK($C295),"",IF($BL295=Constants!$B$8,$CM295,""))</f>
        <v/>
      </c>
      <c r="CW295" s="102" t="str">
        <f aca="false">IF(ISBLANK($C295),"",IF($BL295&lt;&gt;Constants!$B$4,"",$BO295+$BP295))</f>
        <v/>
      </c>
      <c r="CX295" s="104" t="str">
        <f aca="false">IF(ISBLANK($C295),"",IF($BL295&lt;&gt;Constants!$B$4,"",$BQ295+$BR295+$BS295))</f>
        <v/>
      </c>
      <c r="CY295" s="104" t="str">
        <f aca="false">IF(ISBLANK($C295),"",IF($BL295&lt;&gt;Constants!$B$4,"",$BT295))</f>
        <v/>
      </c>
      <c r="CZ295" s="104" t="str">
        <f aca="false">IF(ISBLANK($C295),"",IF($BL295&lt;&gt;Constants!$B$4,"",$BU295+$BV295))</f>
        <v/>
      </c>
      <c r="DA295" s="104" t="str">
        <f aca="false">IF(ISBLANK($C295),"",IF($BL295&lt;&gt;Constants!$B$4,"",$BW295))</f>
        <v/>
      </c>
      <c r="DB295" s="104" t="str">
        <f aca="false">IF(ISBLANK($C295),"",IF($BL295&lt;&gt;Constants!$B$4,"",-$CD295))</f>
        <v/>
      </c>
      <c r="DC295" s="103" t="str">
        <f aca="false">IF(ISBLANK($C295),"",$CE295)</f>
        <v/>
      </c>
      <c r="DD295" s="105" t="str">
        <f aca="false">IF(ISBLANK($C295),"",$BM295)</f>
        <v/>
      </c>
      <c r="DE295" s="104" t="str">
        <f aca="false">IF(ISBLANK($C295),"",$CL295)</f>
        <v/>
      </c>
      <c r="DF295" s="104" t="str">
        <f aca="false">IF(ISBLANK($C295),"",$CK295)</f>
        <v/>
      </c>
      <c r="DG295" s="106" t="str">
        <f aca="false">IF(ISBLANK($C295),"",IF($DF295=Constants!$B$7,COUNTA($C$9:$C$508)+2,IF($DF295=Constants!$B$6,COUNTA($C$9:$C$508)+1,IF($DF295=Constants!$B$5,COUNTA($C$9:$C$508),$DF295))))</f>
        <v/>
      </c>
      <c r="DH295" s="7"/>
      <c r="DI295" s="107" t="n">
        <f aca="false">IF(OR(ISNUMBER($DF295),$DF295=Constants!$B$7,$DF295=Constants!$B$5,$DF295=Constants!$B$6),1,0)</f>
        <v>0</v>
      </c>
      <c r="DJ295" s="107" t="n">
        <v>287</v>
      </c>
      <c r="DK295" s="107" t="str">
        <f aca="false">IF(ISBLANK($C295),"",IF(ISNUMBER($DG295),$DG295+ROW($B295)/1000,""))</f>
        <v/>
      </c>
      <c r="DL295" s="107" t="str">
        <f aca="false">IF(ISNUMBER($DK295),RANK($DK295,$DK$9:$DK$508,1),"")</f>
        <v/>
      </c>
      <c r="DM295" s="107" t="str">
        <f aca="false">IF(ISBLANK($C295),"",$B295)</f>
        <v/>
      </c>
      <c r="DN295" s="107" t="str">
        <f aca="false">IF(ISBLANK($C295),"",$C295)</f>
        <v/>
      </c>
      <c r="DO295" s="107" t="str">
        <f aca="false">IF(ISBLANK($C295),"",$D295)</f>
        <v/>
      </c>
      <c r="DP295" s="108" t="str">
        <f aca="false">$DD295</f>
        <v/>
      </c>
      <c r="DQ295" s="109" t="str">
        <f aca="false">$DC295</f>
        <v/>
      </c>
      <c r="DR295" s="107" t="str">
        <f aca="false">IF(ISBLANK($C295),"",$DF295)</f>
        <v/>
      </c>
      <c r="DS295" s="110" t="str">
        <f aca="false">IF($DJ295&gt;$DI$8,"",VLOOKUP($DJ295,$DL$9:$DR$508,7,FALSE()))</f>
        <v/>
      </c>
      <c r="DT295" s="111" t="str">
        <f aca="false">IF($DJ295&gt;$DI$8,"",VLOOKUP($DJ295,$DL$9:$DR$508,2,FALSE()))</f>
        <v/>
      </c>
      <c r="DU295" s="111" t="str">
        <f aca="false">IF($DJ295&gt;$DI$8,"",VLOOKUP($DJ295,$DL$9:$DR$508,3,FALSE()))</f>
        <v/>
      </c>
      <c r="DV295" s="111" t="str">
        <f aca="false">IF($DJ295&gt;$DI$8,"",VLOOKUP($DJ295,$DL$9:$DR$508,4,FALSE()))</f>
        <v/>
      </c>
      <c r="DW295" s="111" t="str">
        <f aca="false">IF($DJ295&gt;$DI$8,"",VLOOKUP($DJ295,$DL$9:$DR$508,5,FALSE()))</f>
        <v/>
      </c>
      <c r="DX295" s="112" t="str">
        <f aca="false">IF($DJ295&gt;$DI$8,"",VLOOKUP($DJ295,$DL$9:$DR$508,6,FALSE()))</f>
        <v/>
      </c>
      <c r="DY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130"/>
      <c r="N296" s="130"/>
      <c r="O296" s="135"/>
      <c r="P296" s="135"/>
      <c r="Q296" s="130"/>
      <c r="R296" s="130"/>
      <c r="S296" s="130"/>
      <c r="T296" s="130"/>
      <c r="U296" s="135"/>
      <c r="V296" s="130"/>
      <c r="W296" s="96"/>
      <c r="X296" s="130"/>
      <c r="Y296" s="130"/>
      <c r="Z296" s="96"/>
      <c r="AA296" s="96"/>
      <c r="AB296" s="130"/>
      <c r="AC296" s="130"/>
      <c r="AD296" s="130"/>
      <c r="AE296" s="97"/>
      <c r="AF296" s="130"/>
      <c r="AG296" s="99"/>
      <c r="AH296" s="100"/>
      <c r="AI296" s="100"/>
      <c r="AJ296" s="100" t="str">
        <f aca="false">IF(ISBLANK($C296),"",IF($E296=Constants!$B$2,TRUE(),IF($E296=Constants!$B$3,FALSE(),TRUE())))</f>
        <v/>
      </c>
      <c r="AK296" s="100" t="str">
        <f aca="false">IF(ISBLANK($C296),"",IF($F296=Constants!$B$2,TRUE(),IF($F296=Constants!$B$3,FALSE(),FALSE())))</f>
        <v/>
      </c>
      <c r="AL296" s="100" t="str">
        <f aca="false">IF(ISBLANK($C296),"",IF($G296=Constants!$B$2,TRUE(),IF($G296=Constants!$B$3,FALSE(),TRUE())))</f>
        <v/>
      </c>
      <c r="AM296" s="100" t="str">
        <f aca="false">IF(ISBLANK($C296),"",IF($H296=Constants!$B$2,TRUE(),IF($H296=Constants!$B$3,FALSE(),TRUE())))</f>
        <v/>
      </c>
      <c r="AN296" s="100" t="str">
        <f aca="false">IF(ISBLANK($C296),"",IF(ISNUMBER($I296),IF($I296&gt;=0,$I296,""),""))</f>
        <v/>
      </c>
      <c r="AO296" s="100" t="str">
        <f aca="false">IF(ISBLANK($C296),"",IF(ISNUMBER($J296),IF($J296&gt;=0,$J296,""),""))</f>
        <v/>
      </c>
      <c r="AP296" s="100" t="str">
        <f aca="false">IF(ISBLANK($C296),"",IF(ISNUMBER($K296),IF($K296&gt;=0,$K296,""),""))</f>
        <v/>
      </c>
      <c r="AQ296" s="100" t="str">
        <f aca="false">IF(ISBLANK($C296),"",IF($L296=Constants!$B$2,TRUE(),IF($L296=Constants!$B$3,FALSE(),TRUE())))</f>
        <v/>
      </c>
      <c r="AR296" s="100" t="str">
        <f aca="false">IF(ISBLANK($C296),"",IF($M296=Constants!$B$2,TRUE(),IF($M296=Constants!$B$3,FALSE(),TRUE())))</f>
        <v/>
      </c>
      <c r="AS296" s="100" t="str">
        <f aca="false">IF(ISBLANK($C296),"",IF($N296=Constants!$B$2,TRUE(),IF($N296=Constants!$B$3,FALSE(),FALSE())))</f>
        <v/>
      </c>
      <c r="AT296" s="100" t="str">
        <f aca="false">IF(ISBLANK($C296),"",IF($O296=Constants!$B$2,TRUE(),IF($O296=Constants!$B$3,FALSE(),TRUE())))</f>
        <v/>
      </c>
      <c r="AU296" s="100" t="str">
        <f aca="false">IF(ISBLANK($C296),"",IF($P296=Constants!$B$2,TRUE(),IF($P296=Constants!$B$3,FALSE(),TRUE())))</f>
        <v/>
      </c>
      <c r="AV296" s="100" t="str">
        <f aca="false">IF(ISBLANK($C296),"",IF($Q296=Constants!$B$2,TRUE(),IF($Q296=Constants!$B$3,FALSE(),FALSE())))</f>
        <v/>
      </c>
      <c r="AW296" s="100" t="str">
        <f aca="false">IF(ISBLANK($C296),"",IF($R296=Constants!$B$2,TRUE(),IF($R296=Constants!$B$3,FALSE(),FALSE())))</f>
        <v/>
      </c>
      <c r="AX296" s="100" t="str">
        <f aca="false">IF(ISBLANK($C296),"",IF($S296=Constants!$B$2,TRUE(),IF($S296=Constants!$B$3,FALSE(),FALSE())))</f>
        <v/>
      </c>
      <c r="AY296" s="100" t="str">
        <f aca="false">IF(ISBLANK($C296),"",IF($T296=Constants!$B$2,TRUE(),IF($T296=Constants!$B$3,FALSE(),FALSE())))</f>
        <v/>
      </c>
      <c r="AZ296" s="100" t="str">
        <f aca="false">IF(ISBLANK($C296),"",IF($U296=Constants!$B$2,TRUE(),IF($U296=Constants!$B$3,FALSE(),FALSE())))</f>
        <v/>
      </c>
      <c r="BA296" s="100" t="str">
        <f aca="false">IF(ISBLANK($C296),"",IF(OR($V296&amp;""="1",$V296&amp;""="2",$V296&amp;""="3",$V296&amp;""="4"),VALUE($V296&amp;""),IF($V296=Constants!$B$12,Constants!$B$12,"")))</f>
        <v/>
      </c>
      <c r="BB296" s="100" t="str">
        <f aca="false">IF(ISBLANK($C296),"",IF(ISBLANK($W296),0,IF(ISNUMBER($W296),IF(AND($W296&gt;=0,$W296&lt;=Constants!$B$21,$W296=INT($W296)),$W296,""),"")))</f>
        <v/>
      </c>
      <c r="BC296" s="100" t="str">
        <f aca="false">IF(ISBLANK($C296),"",IF(ISBLANK($X296),0,IF(ISNUMBER($X296),IF($X296&gt;=0,$X296,""),"")))</f>
        <v/>
      </c>
      <c r="BD296" s="100" t="str">
        <f aca="false">IF(ISBLANK($C296),"",IF($Y296=Constants!$B$2,TRUE(),IF($Y296=Constants!$B$3,FALSE(),TRUE())))</f>
        <v/>
      </c>
      <c r="BE296" s="100" t="str">
        <f aca="false">IF(ISBLANK($C296),"",IF($Z296=Constants!$B$2,TRUE(),IF($Z296=Constants!$B$3,FALSE(),FALSE())))</f>
        <v/>
      </c>
      <c r="BF296" s="100" t="str">
        <f aca="false">IF(ISBLANK($C296),"",IF(ISBLANK($AA296),0,IF(ISNUMBER($AA296),IF(AND($AA296&gt;=0,$AA296&lt;=Constants!$B$35,$AA296=INT($AA296)),$AA296,""),"")))</f>
        <v/>
      </c>
      <c r="BG296" s="100" t="str">
        <f aca="false">IF(ISBLANK($C296),"",IF($AB296=Constants!$B$2,TRUE(),IF($AB296=Constants!$B$3,FALSE(),TRUE())))</f>
        <v/>
      </c>
      <c r="BH296" s="100" t="str">
        <f aca="false">IF(ISBLANK($C296),"",IF($AC296=Constants!$B$2,TRUE(),IF($AC296=Constants!$B$3,FALSE(),TRUE())))</f>
        <v/>
      </c>
      <c r="BI296" s="100" t="str">
        <f aca="false">IF(ISBLANK($C296),"",IF($AD296=Constants!$B$2,TRUE(),IF($AD296=Constants!$B$3,FALSE(),TRUE())))</f>
        <v/>
      </c>
      <c r="BJ296" s="100" t="str">
        <f aca="false">IF(ISBLANK($C296),"",IF(ISNUMBER($AE296),IF($AE296&gt;=0,$AE296,""),""))</f>
        <v/>
      </c>
      <c r="BK296" s="100" t="str">
        <f aca="false">IF(ISBLANK($C296),"",IF($AF296=Constants!$B$2,TRUE(),IF($AF296=Constants!$B$3,FALSE(),FALSE())))</f>
        <v/>
      </c>
      <c r="BL296" s="99" t="str">
        <f aca="false">IF(ISBLANK($C296),"",IF($BK296,Constants!$B$7,IF(COUNTA($E296:$AE296)=0,Constants!$B$6,IF(OR(COUNTA($G296:$AE296)=0,NOT($AM296),$AS296),Constants!$B$5,IF(OR($CM296&lt;&gt;"",$CN296,$CO296,$CP296,$CQ296,$CR296,$CS296),Constants!$B$8,Constants!$B$4)))))</f>
        <v/>
      </c>
      <c r="BM296" s="100" t="str">
        <f aca="false">IF(ISBLANK($C296),"",IF($BL296&lt;&gt;Constants!$B$4,$BL296,IF(OR(NOT($AJ296),NOT($AL296),NOT($AT296)),Constants!$B$11,IF(OR(NOT($AR296),NOT($AU296),NOT($BI296),MAX($AN296,$AO296,$AP296)&gt;Constants!$B$30),Constants!$B$10,Constants!$B$9))))</f>
        <v/>
      </c>
      <c r="BN296" s="100" t="str">
        <f aca="false">IF($BL296&lt;&gt;Constants!$B$4,"",IF(NOT($AL296),0,MIN(Constants!$B$35,$BF296)))</f>
        <v/>
      </c>
      <c r="BO296" s="100" t="str">
        <f aca="false">IF($BL296&lt;&gt;Constants!$B$4,"",IF(NOT($AL296),0,IF($AW296,Constants!$B$18,IF($AV296,Constants!$B$17,0))))</f>
        <v/>
      </c>
      <c r="BP296" s="100" t="str">
        <f aca="false">IF($BL296&lt;&gt;Constants!$B$4,"",IF(NOT($AL296),0,Constants!$B$19*($AK296+$AX296+$AY296+$AZ296)))</f>
        <v/>
      </c>
      <c r="BQ296" s="100" t="str">
        <f aca="false">IF($BL296&lt;&gt;Constants!$B$4,"",IF(OR(NOT($AL296),NOT(ISNUMBER($BA296))),0,CHOOSE($BA296,Constants!$B$13,Constants!$B$14,Constants!$B$15,Constants!$B$16)))</f>
        <v/>
      </c>
      <c r="BR296" s="100" t="str">
        <f aca="false">IF($BL296&lt;&gt;Constants!$B$4,"",IF(NOT($AL296),0,Constants!$B$20*$BB296))</f>
        <v/>
      </c>
      <c r="BS296" s="100" t="str">
        <f aca="false">IF($BL296&lt;&gt;Constants!$B$4,"",IF(AND($AL296,$BD296,$BE296),Constants!$B$22,0))</f>
        <v/>
      </c>
      <c r="BT296" s="100" t="str">
        <f aca="false">IF($BL296&lt;&gt;Constants!$B$4,"",IF(OR(NOT($AL296),NOT($BD296)),0,IF($BJ296&gt;=2*$AH$9,0,Constants!$B$23*INT(ROUND(MIN($BJ296,$AH$9),6)))))</f>
        <v/>
      </c>
      <c r="BU296" s="100" t="str">
        <f aca="false">IF($BL296&lt;&gt;Constants!$B$4,"",IF(NOT($AL296),0,Constants!$B$24*INT(ROUND(MIN($BC296,$AH$9),6))))</f>
        <v/>
      </c>
      <c r="BV296" s="100" t="str">
        <f aca="false">IF($BL296&lt;&gt;Constants!$B$4,"",IF(AND($AL296,$BN296=0),Constants!$B$25,0))</f>
        <v/>
      </c>
      <c r="BW296" s="100" t="str">
        <f aca="false">IF($BL296&lt;&gt;Constants!$B$4,"",MIN(Constants!$B$29,MAX(0,Constants!$B$27*Constants!$B$28*INT(ROUND((Constants!$B$26-$AN296)/Constants!$B$28,6))))+MIN(Constants!$B$29,MAX(0,Constants!$B$27*Constants!$B$28*INT(ROUND((Constants!$B$26-$AO296)/Constants!$B$28,6))))+MIN(Constants!$B$29,MAX(0,Constants!$B$27*Constants!$B$28*INT(ROUND((Constants!$B$26-$AP296)/Constants!$B$28,6)))))</f>
        <v/>
      </c>
      <c r="BX296" s="100" t="str">
        <f aca="false">IF($BL296&lt;&gt;Constants!$B$4,"",IF(NOT($AL296),0,Constants!$B$31*INT(ROUND(MAX(0,MIN($BJ296,2*$AH$9)-$AH$9),6))))</f>
        <v/>
      </c>
      <c r="BY296" s="100" t="str">
        <f aca="false">IF($BL296&lt;&gt;Constants!$B$4,"",Constants!$B$32*(($AN296&gt;Constants!$B$26)+($AO296&gt;Constants!$B$26)+($AP296&gt;Constants!$B$26)))</f>
        <v/>
      </c>
      <c r="BZ296" s="100" t="str">
        <f aca="false">IF($BL296&lt;&gt;Constants!$B$4,"",IF(OR(NOT($AL296),$AQ296),0,Constants!$B$33))</f>
        <v/>
      </c>
      <c r="CA296" s="100" t="str">
        <f aca="false">IF($BL296&lt;&gt;Constants!$B$4,"",Constants!$B$34*$BN296)</f>
        <v/>
      </c>
      <c r="CB296" s="100" t="str">
        <f aca="false">IF($BL296&lt;&gt;Constants!$B$4,"",IF(OR(NOT($AL296),$BH296),0,Constants!$B$36))</f>
        <v/>
      </c>
      <c r="CC296" s="100" t="str">
        <f aca="false">IF($BL296&lt;&gt;Constants!$B$4,"",IF(OR(NOT($AL296),$BG296),0,Constants!$B$37))</f>
        <v/>
      </c>
      <c r="CD296" s="100" t="str">
        <f aca="false">IF($BL296&lt;&gt;Constants!$B$4,"",SUM($BX296:$CC296))</f>
        <v/>
      </c>
      <c r="CE296" s="100" t="str">
        <f aca="false">IF(ISBLANK($C296),"",IF($BL296&lt;&gt;Constants!$B$4,$BL296,SUM($BO296:$BW296)-$CD296))</f>
        <v/>
      </c>
      <c r="CF296" s="100" t="str">
        <f aca="false">IF(ISBLANK($C296),"",IF($BL296&lt;&gt;Constants!$B$4,$BL296,RANK($CE296,$CE$9:$CE$508)))</f>
        <v/>
      </c>
      <c r="CG296" s="100" t="str">
        <f aca="false">IF(ISBLANK($C296),"",IF($BL296&lt;&gt;Constants!$B$4,$BL296,COUNTIFS($BM$9:$BM$508,"&lt;"&amp;$BM296)+COUNTIFS($BM$9:$BM$508,$BM296,$CF$9:$CF$508,"&lt;"&amp;$CF296)+1))</f>
        <v/>
      </c>
      <c r="CH296" s="100" t="str">
        <f aca="false">IF(ISBLANK($C296),"",IF($BL296&lt;&gt;Constants!$B$4,$BL296,RANK($CD296,$CD$9:$CD$508,1)))</f>
        <v/>
      </c>
      <c r="CI296" s="100" t="str">
        <f aca="false">IF($BL296&lt;&gt;Constants!$B$4,"",$AN296+$AO296+$AP296)</f>
        <v/>
      </c>
      <c r="CJ296" s="100" t="str">
        <f aca="false">IF(ISBLANK($C296),"",IF($BL296&lt;&gt;Constants!$B$4,$BL296,RANK($CI296,$CI$9:$CI$508,1)))</f>
        <v/>
      </c>
      <c r="CK296" s="100" t="str">
        <f aca="false">IF(ISBLANK($C296),"",IF($BL296&lt;&gt;Constants!$B$4,$BL296,COUNTIFS($BM$9:$BM$508,"&lt;"&amp;$BM296)+COUNTIFS($BM$9:$BM$508,$BM296,$CF$9:$CF$508,"&lt;"&amp;$CF296)+COUNTIFS($BM$9:$BM$508,$BM296,$CF$9:$CF$508,$CF296,$CH$9:$CH$508,"&lt;"&amp;$CH296)+COUNTIFS($BM$9:$BM$508,$BM296,$CF$9:$CF$508,$CF296,$CH$9:$CH$508,$CH296,$CJ$9:$CJ$508,"&lt;"&amp;$CJ296)+1))</f>
        <v/>
      </c>
      <c r="CL296" s="100" t="str">
        <f aca="false">IF(ISBLANK($C296),"",IF($BL296&lt;&gt;Constants!$B$4,$BL296,$CG296-$CK296))</f>
        <v/>
      </c>
      <c r="CM296" s="100" t="str">
        <f aca="false">IF(ISBLANK($C296),"",IF(NOT($AL296),"",IF(ISBLANK($D$7),$CM$5,IF(NOT(ISNUMBER($D$7)),$CM$6,""))))</f>
        <v/>
      </c>
      <c r="CN296" s="100" t="str">
        <f aca="false">IF(ISBLANK($C296),"",OR($AN296="",$AO296="",$AP296=""))</f>
        <v/>
      </c>
      <c r="CO296" s="100" t="str">
        <f aca="false">IF(ISBLANK($C296),"",AND($AL296,$BA296=""))</f>
        <v/>
      </c>
      <c r="CP296" s="100" t="str">
        <f aca="false">IF(ISBLANK($C296),"",AND($AL296,$BB296=""))</f>
        <v/>
      </c>
      <c r="CQ296" s="100" t="str">
        <f aca="false">IF(ISBLANK($C296),"",AND($AL296,$BC296=""))</f>
        <v/>
      </c>
      <c r="CR296" s="100" t="str">
        <f aca="false">IF(ISBLANK($C296),"",AND($AL296,$BF296=""))</f>
        <v/>
      </c>
      <c r="CS296" s="100" t="str">
        <f aca="false">IF(ISBLANK($C296),"",AND($AL296,$BJ296=""))</f>
        <v/>
      </c>
      <c r="CT296" s="101"/>
      <c r="CU296" s="102"/>
      <c r="CV296" s="103" t="str">
        <f aca="false">IF(ISBLANK($C296),"",IF($BL296=Constants!$B$8,$CM296,""))</f>
        <v/>
      </c>
      <c r="CW296" s="102" t="str">
        <f aca="false">IF(ISBLANK($C296),"",IF($BL296&lt;&gt;Constants!$B$4,"",$BO296+$BP296))</f>
        <v/>
      </c>
      <c r="CX296" s="104" t="str">
        <f aca="false">IF(ISBLANK($C296),"",IF($BL296&lt;&gt;Constants!$B$4,"",$BQ296+$BR296+$BS296))</f>
        <v/>
      </c>
      <c r="CY296" s="104" t="str">
        <f aca="false">IF(ISBLANK($C296),"",IF($BL296&lt;&gt;Constants!$B$4,"",$BT296))</f>
        <v/>
      </c>
      <c r="CZ296" s="104" t="str">
        <f aca="false">IF(ISBLANK($C296),"",IF($BL296&lt;&gt;Constants!$B$4,"",$BU296+$BV296))</f>
        <v/>
      </c>
      <c r="DA296" s="104" t="str">
        <f aca="false">IF(ISBLANK($C296),"",IF($BL296&lt;&gt;Constants!$B$4,"",$BW296))</f>
        <v/>
      </c>
      <c r="DB296" s="104" t="str">
        <f aca="false">IF(ISBLANK($C296),"",IF($BL296&lt;&gt;Constants!$B$4,"",-$CD296))</f>
        <v/>
      </c>
      <c r="DC296" s="103" t="str">
        <f aca="false">IF(ISBLANK($C296),"",$CE296)</f>
        <v/>
      </c>
      <c r="DD296" s="105" t="str">
        <f aca="false">IF(ISBLANK($C296),"",$BM296)</f>
        <v/>
      </c>
      <c r="DE296" s="104" t="str">
        <f aca="false">IF(ISBLANK($C296),"",$CL296)</f>
        <v/>
      </c>
      <c r="DF296" s="104" t="str">
        <f aca="false">IF(ISBLANK($C296),"",$CK296)</f>
        <v/>
      </c>
      <c r="DG296" s="106" t="str">
        <f aca="false">IF(ISBLANK($C296),"",IF($DF296=Constants!$B$7,COUNTA($C$9:$C$508)+2,IF($DF296=Constants!$B$6,COUNTA($C$9:$C$508)+1,IF($DF296=Constants!$B$5,COUNTA($C$9:$C$508),$DF296))))</f>
        <v/>
      </c>
      <c r="DH296" s="7"/>
      <c r="DI296" s="107" t="n">
        <f aca="false">IF(OR(ISNUMBER($DF296),$DF296=Constants!$B$7,$DF296=Constants!$B$5,$DF296=Constants!$B$6),1,0)</f>
        <v>0</v>
      </c>
      <c r="DJ296" s="107" t="n">
        <v>288</v>
      </c>
      <c r="DK296" s="107" t="str">
        <f aca="false">IF(ISBLANK($C296),"",IF(ISNUMBER($DG296),$DG296+ROW($B296)/1000,""))</f>
        <v/>
      </c>
      <c r="DL296" s="107" t="str">
        <f aca="false">IF(ISNUMBER($DK296),RANK($DK296,$DK$9:$DK$508,1),"")</f>
        <v/>
      </c>
      <c r="DM296" s="107" t="str">
        <f aca="false">IF(ISBLANK($C296),"",$B296)</f>
        <v/>
      </c>
      <c r="DN296" s="107" t="str">
        <f aca="false">IF(ISBLANK($C296),"",$C296)</f>
        <v/>
      </c>
      <c r="DO296" s="107" t="str">
        <f aca="false">IF(ISBLANK($C296),"",$D296)</f>
        <v/>
      </c>
      <c r="DP296" s="108" t="str">
        <f aca="false">$DD296</f>
        <v/>
      </c>
      <c r="DQ296" s="109" t="str">
        <f aca="false">$DC296</f>
        <v/>
      </c>
      <c r="DR296" s="107" t="str">
        <f aca="false">IF(ISBLANK($C296),"",$DF296)</f>
        <v/>
      </c>
      <c r="DS296" s="110" t="str">
        <f aca="false">IF($DJ296&gt;$DI$8,"",VLOOKUP($DJ296,$DL$9:$DR$508,7,FALSE()))</f>
        <v/>
      </c>
      <c r="DT296" s="111" t="str">
        <f aca="false">IF($DJ296&gt;$DI$8,"",VLOOKUP($DJ296,$DL$9:$DR$508,2,FALSE()))</f>
        <v/>
      </c>
      <c r="DU296" s="111" t="str">
        <f aca="false">IF($DJ296&gt;$DI$8,"",VLOOKUP($DJ296,$DL$9:$DR$508,3,FALSE()))</f>
        <v/>
      </c>
      <c r="DV296" s="111" t="str">
        <f aca="false">IF($DJ296&gt;$DI$8,"",VLOOKUP($DJ296,$DL$9:$DR$508,4,FALSE()))</f>
        <v/>
      </c>
      <c r="DW296" s="111" t="str">
        <f aca="false">IF($DJ296&gt;$DI$8,"",VLOOKUP($DJ296,$DL$9:$DR$508,5,FALSE()))</f>
        <v/>
      </c>
      <c r="DX296" s="112" t="str">
        <f aca="false">IF($DJ296&gt;$DI$8,"",VLOOKUP($DJ296,$DL$9:$DR$508,6,FALSE()))</f>
        <v/>
      </c>
      <c r="DY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88"/>
      <c r="N297" s="88"/>
      <c r="O297" s="134"/>
      <c r="P297" s="134"/>
      <c r="Q297" s="88"/>
      <c r="R297" s="88"/>
      <c r="S297" s="88"/>
      <c r="T297" s="88"/>
      <c r="U297" s="134"/>
      <c r="V297" s="88"/>
      <c r="W297" s="70"/>
      <c r="X297" s="88"/>
      <c r="Y297" s="88"/>
      <c r="Z297" s="70"/>
      <c r="AA297" s="70"/>
      <c r="AB297" s="88"/>
      <c r="AC297" s="88"/>
      <c r="AD297" s="88"/>
      <c r="AE297" s="71"/>
      <c r="AF297" s="88"/>
      <c r="AG297" s="73"/>
      <c r="AH297" s="74"/>
      <c r="AI297" s="74"/>
      <c r="AJ297" s="74" t="str">
        <f aca="false">IF(ISBLANK($C297),"",IF($E297=Constants!$B$2,TRUE(),IF($E297=Constants!$B$3,FALSE(),TRUE())))</f>
        <v/>
      </c>
      <c r="AK297" s="74" t="str">
        <f aca="false">IF(ISBLANK($C297),"",IF($F297=Constants!$B$2,TRUE(),IF($F297=Constants!$B$3,FALSE(),FALSE())))</f>
        <v/>
      </c>
      <c r="AL297" s="74" t="str">
        <f aca="false">IF(ISBLANK($C297),"",IF($G297=Constants!$B$2,TRUE(),IF($G297=Constants!$B$3,FALSE(),TRUE())))</f>
        <v/>
      </c>
      <c r="AM297" s="74" t="str">
        <f aca="false">IF(ISBLANK($C297),"",IF($H297=Constants!$B$2,TRUE(),IF($H297=Constants!$B$3,FALSE(),TRUE())))</f>
        <v/>
      </c>
      <c r="AN297" s="74" t="str">
        <f aca="false">IF(ISBLANK($C297),"",IF(ISNUMBER($I297),IF($I297&gt;=0,$I297,""),""))</f>
        <v/>
      </c>
      <c r="AO297" s="74" t="str">
        <f aca="false">IF(ISBLANK($C297),"",IF(ISNUMBER($J297),IF($J297&gt;=0,$J297,""),""))</f>
        <v/>
      </c>
      <c r="AP297" s="74" t="str">
        <f aca="false">IF(ISBLANK($C297),"",IF(ISNUMBER($K297),IF($K297&gt;=0,$K297,""),""))</f>
        <v/>
      </c>
      <c r="AQ297" s="74" t="str">
        <f aca="false">IF(ISBLANK($C297),"",IF($L297=Constants!$B$2,TRUE(),IF($L297=Constants!$B$3,FALSE(),TRUE())))</f>
        <v/>
      </c>
      <c r="AR297" s="74" t="str">
        <f aca="false">IF(ISBLANK($C297),"",IF($M297=Constants!$B$2,TRUE(),IF($M297=Constants!$B$3,FALSE(),TRUE())))</f>
        <v/>
      </c>
      <c r="AS297" s="74" t="str">
        <f aca="false">IF(ISBLANK($C297),"",IF($N297=Constants!$B$2,TRUE(),IF($N297=Constants!$B$3,FALSE(),FALSE())))</f>
        <v/>
      </c>
      <c r="AT297" s="74" t="str">
        <f aca="false">IF(ISBLANK($C297),"",IF($O297=Constants!$B$2,TRUE(),IF($O297=Constants!$B$3,FALSE(),TRUE())))</f>
        <v/>
      </c>
      <c r="AU297" s="74" t="str">
        <f aca="false">IF(ISBLANK($C297),"",IF($P297=Constants!$B$2,TRUE(),IF($P297=Constants!$B$3,FALSE(),TRUE())))</f>
        <v/>
      </c>
      <c r="AV297" s="74" t="str">
        <f aca="false">IF(ISBLANK($C297),"",IF($Q297=Constants!$B$2,TRUE(),IF($Q297=Constants!$B$3,FALSE(),FALSE())))</f>
        <v/>
      </c>
      <c r="AW297" s="74" t="str">
        <f aca="false">IF(ISBLANK($C297),"",IF($R297=Constants!$B$2,TRUE(),IF($R297=Constants!$B$3,FALSE(),FALSE())))</f>
        <v/>
      </c>
      <c r="AX297" s="74" t="str">
        <f aca="false">IF(ISBLANK($C297),"",IF($S297=Constants!$B$2,TRUE(),IF($S297=Constants!$B$3,FALSE(),FALSE())))</f>
        <v/>
      </c>
      <c r="AY297" s="74" t="str">
        <f aca="false">IF(ISBLANK($C297),"",IF($T297=Constants!$B$2,TRUE(),IF($T297=Constants!$B$3,FALSE(),FALSE())))</f>
        <v/>
      </c>
      <c r="AZ297" s="74" t="str">
        <f aca="false">IF(ISBLANK($C297),"",IF($U297=Constants!$B$2,TRUE(),IF($U297=Constants!$B$3,FALSE(),FALSE())))</f>
        <v/>
      </c>
      <c r="BA297" s="74" t="str">
        <f aca="false">IF(ISBLANK($C297),"",IF(OR($V297&amp;""="1",$V297&amp;""="2",$V297&amp;""="3",$V297&amp;""="4"),VALUE($V297&amp;""),IF($V297=Constants!$B$12,Constants!$B$12,"")))</f>
        <v/>
      </c>
      <c r="BB297" s="74" t="str">
        <f aca="false">IF(ISBLANK($C297),"",IF(ISBLANK($W297),0,IF(ISNUMBER($W297),IF(AND($W297&gt;=0,$W297&lt;=Constants!$B$21,$W297=INT($W297)),$W297,""),"")))</f>
        <v/>
      </c>
      <c r="BC297" s="74" t="str">
        <f aca="false">IF(ISBLANK($C297),"",IF(ISBLANK($X297),0,IF(ISNUMBER($X297),IF($X297&gt;=0,$X297,""),"")))</f>
        <v/>
      </c>
      <c r="BD297" s="74" t="str">
        <f aca="false">IF(ISBLANK($C297),"",IF($Y297=Constants!$B$2,TRUE(),IF($Y297=Constants!$B$3,FALSE(),TRUE())))</f>
        <v/>
      </c>
      <c r="BE297" s="74" t="str">
        <f aca="false">IF(ISBLANK($C297),"",IF($Z297=Constants!$B$2,TRUE(),IF($Z297=Constants!$B$3,FALSE(),FALSE())))</f>
        <v/>
      </c>
      <c r="BF297" s="74" t="str">
        <f aca="false">IF(ISBLANK($C297),"",IF(ISBLANK($AA297),0,IF(ISNUMBER($AA297),IF(AND($AA297&gt;=0,$AA297&lt;=Constants!$B$35,$AA297=INT($AA297)),$AA297,""),"")))</f>
        <v/>
      </c>
      <c r="BG297" s="74" t="str">
        <f aca="false">IF(ISBLANK($C297),"",IF($AB297=Constants!$B$2,TRUE(),IF($AB297=Constants!$B$3,FALSE(),TRUE())))</f>
        <v/>
      </c>
      <c r="BH297" s="74" t="str">
        <f aca="false">IF(ISBLANK($C297),"",IF($AC297=Constants!$B$2,TRUE(),IF($AC297=Constants!$B$3,FALSE(),TRUE())))</f>
        <v/>
      </c>
      <c r="BI297" s="74" t="str">
        <f aca="false">IF(ISBLANK($C297),"",IF($AD297=Constants!$B$2,TRUE(),IF($AD297=Constants!$B$3,FALSE(),TRUE())))</f>
        <v/>
      </c>
      <c r="BJ297" s="74" t="str">
        <f aca="false">IF(ISBLANK($C297),"",IF(ISNUMBER($AE297),IF($AE297&gt;=0,$AE297,""),""))</f>
        <v/>
      </c>
      <c r="BK297" s="74" t="str">
        <f aca="false">IF(ISBLANK($C297),"",IF($AF297=Constants!$B$2,TRUE(),IF($AF297=Constants!$B$3,FALSE(),FALSE())))</f>
        <v/>
      </c>
      <c r="BL297" s="73" t="str">
        <f aca="false">IF(ISBLANK($C297),"",IF($BK297,Constants!$B$7,IF(COUNTA($E297:$AE297)=0,Constants!$B$6,IF(OR(COUNTA($G297:$AE297)=0,NOT($AM297),$AS297),Constants!$B$5,IF(OR($CM297&lt;&gt;"",$CN297,$CO297,$CP297,$CQ297,$CR297,$CS297),Constants!$B$8,Constants!$B$4)))))</f>
        <v/>
      </c>
      <c r="BM297" s="74" t="str">
        <f aca="false">IF(ISBLANK($C297),"",IF($BL297&lt;&gt;Constants!$B$4,$BL297,IF(OR(NOT($AJ297),NOT($AL297),NOT($AT297)),Constants!$B$11,IF(OR(NOT($AR297),NOT($AU297),NOT($BI297),MAX($AN297,$AO297,$AP297)&gt;Constants!$B$30),Constants!$B$10,Constants!$B$9))))</f>
        <v/>
      </c>
      <c r="BN297" s="74" t="str">
        <f aca="false">IF($BL297&lt;&gt;Constants!$B$4,"",IF(NOT($AL297),0,MIN(Constants!$B$35,$BF297)))</f>
        <v/>
      </c>
      <c r="BO297" s="74" t="str">
        <f aca="false">IF($BL297&lt;&gt;Constants!$B$4,"",IF(NOT($AL297),0,IF($AW297,Constants!$B$18,IF($AV297,Constants!$B$17,0))))</f>
        <v/>
      </c>
      <c r="BP297" s="74" t="str">
        <f aca="false">IF($BL297&lt;&gt;Constants!$B$4,"",IF(NOT($AL297),0,Constants!$B$19*($AK297+$AX297+$AY297+$AZ297)))</f>
        <v/>
      </c>
      <c r="BQ297" s="74" t="str">
        <f aca="false">IF($BL297&lt;&gt;Constants!$B$4,"",IF(OR(NOT($AL297),NOT(ISNUMBER($BA297))),0,CHOOSE($BA297,Constants!$B$13,Constants!$B$14,Constants!$B$15,Constants!$B$16)))</f>
        <v/>
      </c>
      <c r="BR297" s="74" t="str">
        <f aca="false">IF($BL297&lt;&gt;Constants!$B$4,"",IF(NOT($AL297),0,Constants!$B$20*$BB297))</f>
        <v/>
      </c>
      <c r="BS297" s="74" t="str">
        <f aca="false">IF($BL297&lt;&gt;Constants!$B$4,"",IF(AND($AL297,$BD297,$BE297),Constants!$B$22,0))</f>
        <v/>
      </c>
      <c r="BT297" s="74" t="str">
        <f aca="false">IF($BL297&lt;&gt;Constants!$B$4,"",IF(OR(NOT($AL297),NOT($BD297)),0,IF($BJ297&gt;=2*$AH$9,0,Constants!$B$23*INT(ROUND(MIN($BJ297,$AH$9),6)))))</f>
        <v/>
      </c>
      <c r="BU297" s="74" t="str">
        <f aca="false">IF($BL297&lt;&gt;Constants!$B$4,"",IF(NOT($AL297),0,Constants!$B$24*INT(ROUND(MIN($BC297,$AH$9),6))))</f>
        <v/>
      </c>
      <c r="BV297" s="74" t="str">
        <f aca="false">IF($BL297&lt;&gt;Constants!$B$4,"",IF(AND($AL297,$BN297=0),Constants!$B$25,0))</f>
        <v/>
      </c>
      <c r="BW297" s="74" t="str">
        <f aca="false">IF($BL297&lt;&gt;Constants!$B$4,"",MIN(Constants!$B$29,MAX(0,Constants!$B$27*Constants!$B$28*INT(ROUND((Constants!$B$26-$AN297)/Constants!$B$28,6))))+MIN(Constants!$B$29,MAX(0,Constants!$B$27*Constants!$B$28*INT(ROUND((Constants!$B$26-$AO297)/Constants!$B$28,6))))+MIN(Constants!$B$29,MAX(0,Constants!$B$27*Constants!$B$28*INT(ROUND((Constants!$B$26-$AP297)/Constants!$B$28,6)))))</f>
        <v/>
      </c>
      <c r="BX297" s="74" t="str">
        <f aca="false">IF($BL297&lt;&gt;Constants!$B$4,"",IF(NOT($AL297),0,Constants!$B$31*INT(ROUND(MAX(0,MIN($BJ297,2*$AH$9)-$AH$9),6))))</f>
        <v/>
      </c>
      <c r="BY297" s="74" t="str">
        <f aca="false">IF($BL297&lt;&gt;Constants!$B$4,"",Constants!$B$32*(($AN297&gt;Constants!$B$26)+($AO297&gt;Constants!$B$26)+($AP297&gt;Constants!$B$26)))</f>
        <v/>
      </c>
      <c r="BZ297" s="74" t="str">
        <f aca="false">IF($BL297&lt;&gt;Constants!$B$4,"",IF(OR(NOT($AL297),$AQ297),0,Constants!$B$33))</f>
        <v/>
      </c>
      <c r="CA297" s="74" t="str">
        <f aca="false">IF($BL297&lt;&gt;Constants!$B$4,"",Constants!$B$34*$BN297)</f>
        <v/>
      </c>
      <c r="CB297" s="74" t="str">
        <f aca="false">IF($BL297&lt;&gt;Constants!$B$4,"",IF(OR(NOT($AL297),$BH297),0,Constants!$B$36))</f>
        <v/>
      </c>
      <c r="CC297" s="74" t="str">
        <f aca="false">IF($BL297&lt;&gt;Constants!$B$4,"",IF(OR(NOT($AL297),$BG297),0,Constants!$B$37))</f>
        <v/>
      </c>
      <c r="CD297" s="74" t="str">
        <f aca="false">IF($BL297&lt;&gt;Constants!$B$4,"",SUM($BX297:$CC297))</f>
        <v/>
      </c>
      <c r="CE297" s="74" t="str">
        <f aca="false">IF(ISBLANK($C297),"",IF($BL297&lt;&gt;Constants!$B$4,$BL297,SUM($BO297:$BW297)-$CD297))</f>
        <v/>
      </c>
      <c r="CF297" s="74" t="str">
        <f aca="false">IF(ISBLANK($C297),"",IF($BL297&lt;&gt;Constants!$B$4,$BL297,RANK($CE297,$CE$9:$CE$508)))</f>
        <v/>
      </c>
      <c r="CG297" s="74" t="str">
        <f aca="false">IF(ISBLANK($C297),"",IF($BL297&lt;&gt;Constants!$B$4,$BL297,COUNTIFS($BM$9:$BM$508,"&lt;"&amp;$BM297)+COUNTIFS($BM$9:$BM$508,$BM297,$CF$9:$CF$508,"&lt;"&amp;$CF297)+1))</f>
        <v/>
      </c>
      <c r="CH297" s="74" t="str">
        <f aca="false">IF(ISBLANK($C297),"",IF($BL297&lt;&gt;Constants!$B$4,$BL297,RANK($CD297,$CD$9:$CD$508,1)))</f>
        <v/>
      </c>
      <c r="CI297" s="74" t="str">
        <f aca="false">IF($BL297&lt;&gt;Constants!$B$4,"",$AN297+$AO297+$AP297)</f>
        <v/>
      </c>
      <c r="CJ297" s="74" t="str">
        <f aca="false">IF(ISBLANK($C297),"",IF($BL297&lt;&gt;Constants!$B$4,$BL297,RANK($CI297,$CI$9:$CI$508,1)))</f>
        <v/>
      </c>
      <c r="CK297" s="74" t="str">
        <f aca="false">IF(ISBLANK($C297),"",IF($BL297&lt;&gt;Constants!$B$4,$BL297,COUNTIFS($BM$9:$BM$508,"&lt;"&amp;$BM297)+COUNTIFS($BM$9:$BM$508,$BM297,$CF$9:$CF$508,"&lt;"&amp;$CF297)+COUNTIFS($BM$9:$BM$508,$BM297,$CF$9:$CF$508,$CF297,$CH$9:$CH$508,"&lt;"&amp;$CH297)+COUNTIFS($BM$9:$BM$508,$BM297,$CF$9:$CF$508,$CF297,$CH$9:$CH$508,$CH297,$CJ$9:$CJ$508,"&lt;"&amp;$CJ297)+1))</f>
        <v/>
      </c>
      <c r="CL297" s="74" t="str">
        <f aca="false">IF(ISBLANK($C297),"",IF($BL297&lt;&gt;Constants!$B$4,$BL297,$CG297-$CK297))</f>
        <v/>
      </c>
      <c r="CM297" s="74" t="str">
        <f aca="false">IF(ISBLANK($C297),"",IF(NOT($AL297),"",IF(ISBLANK($D$7),$CM$5,IF(NOT(ISNUMBER($D$7)),$CM$6,""))))</f>
        <v/>
      </c>
      <c r="CN297" s="74" t="str">
        <f aca="false">IF(ISBLANK($C297),"",OR($AN297="",$AO297="",$AP297=""))</f>
        <v/>
      </c>
      <c r="CO297" s="74" t="str">
        <f aca="false">IF(ISBLANK($C297),"",AND($AL297,$BA297=""))</f>
        <v/>
      </c>
      <c r="CP297" s="74" t="str">
        <f aca="false">IF(ISBLANK($C297),"",AND($AL297,$BB297=""))</f>
        <v/>
      </c>
      <c r="CQ297" s="74" t="str">
        <f aca="false">IF(ISBLANK($C297),"",AND($AL297,$BC297=""))</f>
        <v/>
      </c>
      <c r="CR297" s="74" t="str">
        <f aca="false">IF(ISBLANK($C297),"",AND($AL297,$BF297=""))</f>
        <v/>
      </c>
      <c r="CS297" s="74" t="str">
        <f aca="false">IF(ISBLANK($C297),"",AND($AL297,$BJ297=""))</f>
        <v/>
      </c>
      <c r="CT297" s="75"/>
      <c r="CU297" s="76"/>
      <c r="CV297" s="79" t="str">
        <f aca="false">IF(ISBLANK($C297),"",IF($BL297=Constants!$B$8,$CM297,""))</f>
        <v/>
      </c>
      <c r="CW297" s="76" t="str">
        <f aca="false">IF(ISBLANK($C297),"",IF($BL297&lt;&gt;Constants!$B$4,"",$BO297+$BP297))</f>
        <v/>
      </c>
      <c r="CX297" s="78" t="str">
        <f aca="false">IF(ISBLANK($C297),"",IF($BL297&lt;&gt;Constants!$B$4,"",$BQ297+$BR297+$BS297))</f>
        <v/>
      </c>
      <c r="CY297" s="78" t="str">
        <f aca="false">IF(ISBLANK($C297),"",IF($BL297&lt;&gt;Constants!$B$4,"",$BT297))</f>
        <v/>
      </c>
      <c r="CZ297" s="78" t="str">
        <f aca="false">IF(ISBLANK($C297),"",IF($BL297&lt;&gt;Constants!$B$4,"",$BU297+$BV297))</f>
        <v/>
      </c>
      <c r="DA297" s="78" t="str">
        <f aca="false">IF(ISBLANK($C297),"",IF($BL297&lt;&gt;Constants!$B$4,"",$BW297))</f>
        <v/>
      </c>
      <c r="DB297" s="78" t="str">
        <f aca="false">IF(ISBLANK($C297),"",IF($BL297&lt;&gt;Constants!$B$4,"",-$CD297))</f>
        <v/>
      </c>
      <c r="DC297" s="79" t="str">
        <f aca="false">IF(ISBLANK($C297),"",$CE297)</f>
        <v/>
      </c>
      <c r="DD297" s="80" t="str">
        <f aca="false">IF(ISBLANK($C297),"",$BM297)</f>
        <v/>
      </c>
      <c r="DE297" s="78" t="str">
        <f aca="false">IF(ISBLANK($C297),"",$CL297)</f>
        <v/>
      </c>
      <c r="DF297" s="78" t="str">
        <f aca="false">IF(ISBLANK($C297),"",$CK297)</f>
        <v/>
      </c>
      <c r="DG297" s="81" t="str">
        <f aca="false">IF(ISBLANK($C297),"",IF($DF297=Constants!$B$7,COUNTA($C$9:$C$508)+2,IF($DF297=Constants!$B$6,COUNTA($C$9:$C$508)+1,IF($DF297=Constants!$B$5,COUNTA($C$9:$C$508),$DF297))))</f>
        <v/>
      </c>
      <c r="DH297" s="7"/>
      <c r="DI297" s="82" t="n">
        <f aca="false">IF(OR(ISNUMBER($DF297),$DF297=Constants!$B$7,$DF297=Constants!$B$5,$DF297=Constants!$B$6),1,0)</f>
        <v>0</v>
      </c>
      <c r="DJ297" s="82" t="n">
        <v>289</v>
      </c>
      <c r="DK297" s="82" t="str">
        <f aca="false">IF(ISBLANK($C297),"",IF(ISNUMBER($DG297),$DG297+ROW($B297)/1000,""))</f>
        <v/>
      </c>
      <c r="DL297" s="82" t="str">
        <f aca="false">IF(ISNUMBER($DK297),RANK($DK297,$DK$9:$DK$508,1),"")</f>
        <v/>
      </c>
      <c r="DM297" s="82" t="str">
        <f aca="false">IF(ISBLANK($C297),"",$B297)</f>
        <v/>
      </c>
      <c r="DN297" s="82" t="str">
        <f aca="false">IF(ISBLANK($C297),"",$C297)</f>
        <v/>
      </c>
      <c r="DO297" s="82" t="str">
        <f aca="false">IF(ISBLANK($C297),"",$D297)</f>
        <v/>
      </c>
      <c r="DP297" s="83" t="str">
        <f aca="false">$DD297</f>
        <v/>
      </c>
      <c r="DQ297" s="84" t="str">
        <f aca="false">$DC297</f>
        <v/>
      </c>
      <c r="DR297" s="82" t="str">
        <f aca="false">IF(ISBLANK($C297),"",$DF297)</f>
        <v/>
      </c>
      <c r="DS297" s="85" t="str">
        <f aca="false">IF($DJ297&gt;$DI$8,"",VLOOKUP($DJ297,$DL$9:$DR$508,7,FALSE()))</f>
        <v/>
      </c>
      <c r="DT297" s="86" t="str">
        <f aca="false">IF($DJ297&gt;$DI$8,"",VLOOKUP($DJ297,$DL$9:$DR$508,2,FALSE()))</f>
        <v/>
      </c>
      <c r="DU297" s="86" t="str">
        <f aca="false">IF($DJ297&gt;$DI$8,"",VLOOKUP($DJ297,$DL$9:$DR$508,3,FALSE()))</f>
        <v/>
      </c>
      <c r="DV297" s="86" t="str">
        <f aca="false">IF($DJ297&gt;$DI$8,"",VLOOKUP($DJ297,$DL$9:$DR$508,4,FALSE()))</f>
        <v/>
      </c>
      <c r="DW297" s="86" t="str">
        <f aca="false">IF($DJ297&gt;$DI$8,"",VLOOKUP($DJ297,$DL$9:$DR$508,5,FALSE()))</f>
        <v/>
      </c>
      <c r="DX297" s="87" t="str">
        <f aca="false">IF($DJ297&gt;$DI$8,"",VLOOKUP($DJ297,$DL$9:$DR$508,6,FALSE()))</f>
        <v/>
      </c>
      <c r="DY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88"/>
      <c r="N298" s="88"/>
      <c r="O298" s="134"/>
      <c r="P298" s="134"/>
      <c r="Q298" s="88"/>
      <c r="R298" s="88"/>
      <c r="S298" s="88"/>
      <c r="T298" s="88"/>
      <c r="U298" s="134"/>
      <c r="V298" s="88"/>
      <c r="W298" s="70"/>
      <c r="X298" s="88"/>
      <c r="Y298" s="88"/>
      <c r="Z298" s="70"/>
      <c r="AA298" s="70"/>
      <c r="AB298" s="88"/>
      <c r="AC298" s="88"/>
      <c r="AD298" s="88"/>
      <c r="AE298" s="71"/>
      <c r="AF298" s="88"/>
      <c r="AG298" s="73"/>
      <c r="AH298" s="74"/>
      <c r="AI298" s="74"/>
      <c r="AJ298" s="74" t="str">
        <f aca="false">IF(ISBLANK($C298),"",IF($E298=Constants!$B$2,TRUE(),IF($E298=Constants!$B$3,FALSE(),TRUE())))</f>
        <v/>
      </c>
      <c r="AK298" s="74" t="str">
        <f aca="false">IF(ISBLANK($C298),"",IF($F298=Constants!$B$2,TRUE(),IF($F298=Constants!$B$3,FALSE(),FALSE())))</f>
        <v/>
      </c>
      <c r="AL298" s="74" t="str">
        <f aca="false">IF(ISBLANK($C298),"",IF($G298=Constants!$B$2,TRUE(),IF($G298=Constants!$B$3,FALSE(),TRUE())))</f>
        <v/>
      </c>
      <c r="AM298" s="74" t="str">
        <f aca="false">IF(ISBLANK($C298),"",IF($H298=Constants!$B$2,TRUE(),IF($H298=Constants!$B$3,FALSE(),TRUE())))</f>
        <v/>
      </c>
      <c r="AN298" s="74" t="str">
        <f aca="false">IF(ISBLANK($C298),"",IF(ISNUMBER($I298),IF($I298&gt;=0,$I298,""),""))</f>
        <v/>
      </c>
      <c r="AO298" s="74" t="str">
        <f aca="false">IF(ISBLANK($C298),"",IF(ISNUMBER($J298),IF($J298&gt;=0,$J298,""),""))</f>
        <v/>
      </c>
      <c r="AP298" s="74" t="str">
        <f aca="false">IF(ISBLANK($C298),"",IF(ISNUMBER($K298),IF($K298&gt;=0,$K298,""),""))</f>
        <v/>
      </c>
      <c r="AQ298" s="74" t="str">
        <f aca="false">IF(ISBLANK($C298),"",IF($L298=Constants!$B$2,TRUE(),IF($L298=Constants!$B$3,FALSE(),TRUE())))</f>
        <v/>
      </c>
      <c r="AR298" s="74" t="str">
        <f aca="false">IF(ISBLANK($C298),"",IF($M298=Constants!$B$2,TRUE(),IF($M298=Constants!$B$3,FALSE(),TRUE())))</f>
        <v/>
      </c>
      <c r="AS298" s="74" t="str">
        <f aca="false">IF(ISBLANK($C298),"",IF($N298=Constants!$B$2,TRUE(),IF($N298=Constants!$B$3,FALSE(),FALSE())))</f>
        <v/>
      </c>
      <c r="AT298" s="74" t="str">
        <f aca="false">IF(ISBLANK($C298),"",IF($O298=Constants!$B$2,TRUE(),IF($O298=Constants!$B$3,FALSE(),TRUE())))</f>
        <v/>
      </c>
      <c r="AU298" s="74" t="str">
        <f aca="false">IF(ISBLANK($C298),"",IF($P298=Constants!$B$2,TRUE(),IF($P298=Constants!$B$3,FALSE(),TRUE())))</f>
        <v/>
      </c>
      <c r="AV298" s="74" t="str">
        <f aca="false">IF(ISBLANK($C298),"",IF($Q298=Constants!$B$2,TRUE(),IF($Q298=Constants!$B$3,FALSE(),FALSE())))</f>
        <v/>
      </c>
      <c r="AW298" s="74" t="str">
        <f aca="false">IF(ISBLANK($C298),"",IF($R298=Constants!$B$2,TRUE(),IF($R298=Constants!$B$3,FALSE(),FALSE())))</f>
        <v/>
      </c>
      <c r="AX298" s="74" t="str">
        <f aca="false">IF(ISBLANK($C298),"",IF($S298=Constants!$B$2,TRUE(),IF($S298=Constants!$B$3,FALSE(),FALSE())))</f>
        <v/>
      </c>
      <c r="AY298" s="74" t="str">
        <f aca="false">IF(ISBLANK($C298),"",IF($T298=Constants!$B$2,TRUE(),IF($T298=Constants!$B$3,FALSE(),FALSE())))</f>
        <v/>
      </c>
      <c r="AZ298" s="74" t="str">
        <f aca="false">IF(ISBLANK($C298),"",IF($U298=Constants!$B$2,TRUE(),IF($U298=Constants!$B$3,FALSE(),FALSE())))</f>
        <v/>
      </c>
      <c r="BA298" s="74" t="str">
        <f aca="false">IF(ISBLANK($C298),"",IF(OR($V298&amp;""="1",$V298&amp;""="2",$V298&amp;""="3",$V298&amp;""="4"),VALUE($V298&amp;""),IF($V298=Constants!$B$12,Constants!$B$12,"")))</f>
        <v/>
      </c>
      <c r="BB298" s="74" t="str">
        <f aca="false">IF(ISBLANK($C298),"",IF(ISBLANK($W298),0,IF(ISNUMBER($W298),IF(AND($W298&gt;=0,$W298&lt;=Constants!$B$21,$W298=INT($W298)),$W298,""),"")))</f>
        <v/>
      </c>
      <c r="BC298" s="74" t="str">
        <f aca="false">IF(ISBLANK($C298),"",IF(ISBLANK($X298),0,IF(ISNUMBER($X298),IF($X298&gt;=0,$X298,""),"")))</f>
        <v/>
      </c>
      <c r="BD298" s="74" t="str">
        <f aca="false">IF(ISBLANK($C298),"",IF($Y298=Constants!$B$2,TRUE(),IF($Y298=Constants!$B$3,FALSE(),TRUE())))</f>
        <v/>
      </c>
      <c r="BE298" s="74" t="str">
        <f aca="false">IF(ISBLANK($C298),"",IF($Z298=Constants!$B$2,TRUE(),IF($Z298=Constants!$B$3,FALSE(),FALSE())))</f>
        <v/>
      </c>
      <c r="BF298" s="74" t="str">
        <f aca="false">IF(ISBLANK($C298),"",IF(ISBLANK($AA298),0,IF(ISNUMBER($AA298),IF(AND($AA298&gt;=0,$AA298&lt;=Constants!$B$35,$AA298=INT($AA298)),$AA298,""),"")))</f>
        <v/>
      </c>
      <c r="BG298" s="74" t="str">
        <f aca="false">IF(ISBLANK($C298),"",IF($AB298=Constants!$B$2,TRUE(),IF($AB298=Constants!$B$3,FALSE(),TRUE())))</f>
        <v/>
      </c>
      <c r="BH298" s="74" t="str">
        <f aca="false">IF(ISBLANK($C298),"",IF($AC298=Constants!$B$2,TRUE(),IF($AC298=Constants!$B$3,FALSE(),TRUE())))</f>
        <v/>
      </c>
      <c r="BI298" s="74" t="str">
        <f aca="false">IF(ISBLANK($C298),"",IF($AD298=Constants!$B$2,TRUE(),IF($AD298=Constants!$B$3,FALSE(),TRUE())))</f>
        <v/>
      </c>
      <c r="BJ298" s="74" t="str">
        <f aca="false">IF(ISBLANK($C298),"",IF(ISNUMBER($AE298),IF($AE298&gt;=0,$AE298,""),""))</f>
        <v/>
      </c>
      <c r="BK298" s="74" t="str">
        <f aca="false">IF(ISBLANK($C298),"",IF($AF298=Constants!$B$2,TRUE(),IF($AF298=Constants!$B$3,FALSE(),FALSE())))</f>
        <v/>
      </c>
      <c r="BL298" s="73" t="str">
        <f aca="false">IF(ISBLANK($C298),"",IF($BK298,Constants!$B$7,IF(COUNTA($E298:$AE298)=0,Constants!$B$6,IF(OR(COUNTA($G298:$AE298)=0,NOT($AM298),$AS298),Constants!$B$5,IF(OR($CM298&lt;&gt;"",$CN298,$CO298,$CP298,$CQ298,$CR298,$CS298),Constants!$B$8,Constants!$B$4)))))</f>
        <v/>
      </c>
      <c r="BM298" s="74" t="str">
        <f aca="false">IF(ISBLANK($C298),"",IF($BL298&lt;&gt;Constants!$B$4,$BL298,IF(OR(NOT($AJ298),NOT($AL298),NOT($AT298)),Constants!$B$11,IF(OR(NOT($AR298),NOT($AU298),NOT($BI298),MAX($AN298,$AO298,$AP298)&gt;Constants!$B$30),Constants!$B$10,Constants!$B$9))))</f>
        <v/>
      </c>
      <c r="BN298" s="74" t="str">
        <f aca="false">IF($BL298&lt;&gt;Constants!$B$4,"",IF(NOT($AL298),0,MIN(Constants!$B$35,$BF298)))</f>
        <v/>
      </c>
      <c r="BO298" s="74" t="str">
        <f aca="false">IF($BL298&lt;&gt;Constants!$B$4,"",IF(NOT($AL298),0,IF($AW298,Constants!$B$18,IF($AV298,Constants!$B$17,0))))</f>
        <v/>
      </c>
      <c r="BP298" s="74" t="str">
        <f aca="false">IF($BL298&lt;&gt;Constants!$B$4,"",IF(NOT($AL298),0,Constants!$B$19*($AK298+$AX298+$AY298+$AZ298)))</f>
        <v/>
      </c>
      <c r="BQ298" s="74" t="str">
        <f aca="false">IF($BL298&lt;&gt;Constants!$B$4,"",IF(OR(NOT($AL298),NOT(ISNUMBER($BA298))),0,CHOOSE($BA298,Constants!$B$13,Constants!$B$14,Constants!$B$15,Constants!$B$16)))</f>
        <v/>
      </c>
      <c r="BR298" s="74" t="str">
        <f aca="false">IF($BL298&lt;&gt;Constants!$B$4,"",IF(NOT($AL298),0,Constants!$B$20*$BB298))</f>
        <v/>
      </c>
      <c r="BS298" s="74" t="str">
        <f aca="false">IF($BL298&lt;&gt;Constants!$B$4,"",IF(AND($AL298,$BD298,$BE298),Constants!$B$22,0))</f>
        <v/>
      </c>
      <c r="BT298" s="74" t="str">
        <f aca="false">IF($BL298&lt;&gt;Constants!$B$4,"",IF(OR(NOT($AL298),NOT($BD298)),0,IF($BJ298&gt;=2*$AH$9,0,Constants!$B$23*INT(ROUND(MIN($BJ298,$AH$9),6)))))</f>
        <v/>
      </c>
      <c r="BU298" s="74" t="str">
        <f aca="false">IF($BL298&lt;&gt;Constants!$B$4,"",IF(NOT($AL298),0,Constants!$B$24*INT(ROUND(MIN($BC298,$AH$9),6))))</f>
        <v/>
      </c>
      <c r="BV298" s="74" t="str">
        <f aca="false">IF($BL298&lt;&gt;Constants!$B$4,"",IF(AND($AL298,$BN298=0),Constants!$B$25,0))</f>
        <v/>
      </c>
      <c r="BW298" s="74" t="str">
        <f aca="false">IF($BL298&lt;&gt;Constants!$B$4,"",MIN(Constants!$B$29,MAX(0,Constants!$B$27*Constants!$B$28*INT(ROUND((Constants!$B$26-$AN298)/Constants!$B$28,6))))+MIN(Constants!$B$29,MAX(0,Constants!$B$27*Constants!$B$28*INT(ROUND((Constants!$B$26-$AO298)/Constants!$B$28,6))))+MIN(Constants!$B$29,MAX(0,Constants!$B$27*Constants!$B$28*INT(ROUND((Constants!$B$26-$AP298)/Constants!$B$28,6)))))</f>
        <v/>
      </c>
      <c r="BX298" s="74" t="str">
        <f aca="false">IF($BL298&lt;&gt;Constants!$B$4,"",IF(NOT($AL298),0,Constants!$B$31*INT(ROUND(MAX(0,MIN($BJ298,2*$AH$9)-$AH$9),6))))</f>
        <v/>
      </c>
      <c r="BY298" s="74" t="str">
        <f aca="false">IF($BL298&lt;&gt;Constants!$B$4,"",Constants!$B$32*(($AN298&gt;Constants!$B$26)+($AO298&gt;Constants!$B$26)+($AP298&gt;Constants!$B$26)))</f>
        <v/>
      </c>
      <c r="BZ298" s="74" t="str">
        <f aca="false">IF($BL298&lt;&gt;Constants!$B$4,"",IF(OR(NOT($AL298),$AQ298),0,Constants!$B$33))</f>
        <v/>
      </c>
      <c r="CA298" s="74" t="str">
        <f aca="false">IF($BL298&lt;&gt;Constants!$B$4,"",Constants!$B$34*$BN298)</f>
        <v/>
      </c>
      <c r="CB298" s="74" t="str">
        <f aca="false">IF($BL298&lt;&gt;Constants!$B$4,"",IF(OR(NOT($AL298),$BH298),0,Constants!$B$36))</f>
        <v/>
      </c>
      <c r="CC298" s="74" t="str">
        <f aca="false">IF($BL298&lt;&gt;Constants!$B$4,"",IF(OR(NOT($AL298),$BG298),0,Constants!$B$37))</f>
        <v/>
      </c>
      <c r="CD298" s="74" t="str">
        <f aca="false">IF($BL298&lt;&gt;Constants!$B$4,"",SUM($BX298:$CC298))</f>
        <v/>
      </c>
      <c r="CE298" s="74" t="str">
        <f aca="false">IF(ISBLANK($C298),"",IF($BL298&lt;&gt;Constants!$B$4,$BL298,SUM($BO298:$BW298)-$CD298))</f>
        <v/>
      </c>
      <c r="CF298" s="74" t="str">
        <f aca="false">IF(ISBLANK($C298),"",IF($BL298&lt;&gt;Constants!$B$4,$BL298,RANK($CE298,$CE$9:$CE$508)))</f>
        <v/>
      </c>
      <c r="CG298" s="74" t="str">
        <f aca="false">IF(ISBLANK($C298),"",IF($BL298&lt;&gt;Constants!$B$4,$BL298,COUNTIFS($BM$9:$BM$508,"&lt;"&amp;$BM298)+COUNTIFS($BM$9:$BM$508,$BM298,$CF$9:$CF$508,"&lt;"&amp;$CF298)+1))</f>
        <v/>
      </c>
      <c r="CH298" s="74" t="str">
        <f aca="false">IF(ISBLANK($C298),"",IF($BL298&lt;&gt;Constants!$B$4,$BL298,RANK($CD298,$CD$9:$CD$508,1)))</f>
        <v/>
      </c>
      <c r="CI298" s="74" t="str">
        <f aca="false">IF($BL298&lt;&gt;Constants!$B$4,"",$AN298+$AO298+$AP298)</f>
        <v/>
      </c>
      <c r="CJ298" s="74" t="str">
        <f aca="false">IF(ISBLANK($C298),"",IF($BL298&lt;&gt;Constants!$B$4,$BL298,RANK($CI298,$CI$9:$CI$508,1)))</f>
        <v/>
      </c>
      <c r="CK298" s="74" t="str">
        <f aca="false">IF(ISBLANK($C298),"",IF($BL298&lt;&gt;Constants!$B$4,$BL298,COUNTIFS($BM$9:$BM$508,"&lt;"&amp;$BM298)+COUNTIFS($BM$9:$BM$508,$BM298,$CF$9:$CF$508,"&lt;"&amp;$CF298)+COUNTIFS($BM$9:$BM$508,$BM298,$CF$9:$CF$508,$CF298,$CH$9:$CH$508,"&lt;"&amp;$CH298)+COUNTIFS($BM$9:$BM$508,$BM298,$CF$9:$CF$508,$CF298,$CH$9:$CH$508,$CH298,$CJ$9:$CJ$508,"&lt;"&amp;$CJ298)+1))</f>
        <v/>
      </c>
      <c r="CL298" s="74" t="str">
        <f aca="false">IF(ISBLANK($C298),"",IF($BL298&lt;&gt;Constants!$B$4,$BL298,$CG298-$CK298))</f>
        <v/>
      </c>
      <c r="CM298" s="74" t="str">
        <f aca="false">IF(ISBLANK($C298),"",IF(NOT($AL298),"",IF(ISBLANK($D$7),$CM$5,IF(NOT(ISNUMBER($D$7)),$CM$6,""))))</f>
        <v/>
      </c>
      <c r="CN298" s="74" t="str">
        <f aca="false">IF(ISBLANK($C298),"",OR($AN298="",$AO298="",$AP298=""))</f>
        <v/>
      </c>
      <c r="CO298" s="74" t="str">
        <f aca="false">IF(ISBLANK($C298),"",AND($AL298,$BA298=""))</f>
        <v/>
      </c>
      <c r="CP298" s="74" t="str">
        <f aca="false">IF(ISBLANK($C298),"",AND($AL298,$BB298=""))</f>
        <v/>
      </c>
      <c r="CQ298" s="74" t="str">
        <f aca="false">IF(ISBLANK($C298),"",AND($AL298,$BC298=""))</f>
        <v/>
      </c>
      <c r="CR298" s="74" t="str">
        <f aca="false">IF(ISBLANK($C298),"",AND($AL298,$BF298=""))</f>
        <v/>
      </c>
      <c r="CS298" s="74" t="str">
        <f aca="false">IF(ISBLANK($C298),"",AND($AL298,$BJ298=""))</f>
        <v/>
      </c>
      <c r="CT298" s="75"/>
      <c r="CU298" s="76"/>
      <c r="CV298" s="79" t="str">
        <f aca="false">IF(ISBLANK($C298),"",IF($BL298=Constants!$B$8,$CM298,""))</f>
        <v/>
      </c>
      <c r="CW298" s="76" t="str">
        <f aca="false">IF(ISBLANK($C298),"",IF($BL298&lt;&gt;Constants!$B$4,"",$BO298+$BP298))</f>
        <v/>
      </c>
      <c r="CX298" s="78" t="str">
        <f aca="false">IF(ISBLANK($C298),"",IF($BL298&lt;&gt;Constants!$B$4,"",$BQ298+$BR298+$BS298))</f>
        <v/>
      </c>
      <c r="CY298" s="78" t="str">
        <f aca="false">IF(ISBLANK($C298),"",IF($BL298&lt;&gt;Constants!$B$4,"",$BT298))</f>
        <v/>
      </c>
      <c r="CZ298" s="78" t="str">
        <f aca="false">IF(ISBLANK($C298),"",IF($BL298&lt;&gt;Constants!$B$4,"",$BU298+$BV298))</f>
        <v/>
      </c>
      <c r="DA298" s="78" t="str">
        <f aca="false">IF(ISBLANK($C298),"",IF($BL298&lt;&gt;Constants!$B$4,"",$BW298))</f>
        <v/>
      </c>
      <c r="DB298" s="78" t="str">
        <f aca="false">IF(ISBLANK($C298),"",IF($BL298&lt;&gt;Constants!$B$4,"",-$CD298))</f>
        <v/>
      </c>
      <c r="DC298" s="79" t="str">
        <f aca="false">IF(ISBLANK($C298),"",$CE298)</f>
        <v/>
      </c>
      <c r="DD298" s="80" t="str">
        <f aca="false">IF(ISBLANK($C298),"",$BM298)</f>
        <v/>
      </c>
      <c r="DE298" s="78" t="str">
        <f aca="false">IF(ISBLANK($C298),"",$CL298)</f>
        <v/>
      </c>
      <c r="DF298" s="78" t="str">
        <f aca="false">IF(ISBLANK($C298),"",$CK298)</f>
        <v/>
      </c>
      <c r="DG298" s="81" t="str">
        <f aca="false">IF(ISBLANK($C298),"",IF($DF298=Constants!$B$7,COUNTA($C$9:$C$508)+2,IF($DF298=Constants!$B$6,COUNTA($C$9:$C$508)+1,IF($DF298=Constants!$B$5,COUNTA($C$9:$C$508),$DF298))))</f>
        <v/>
      </c>
      <c r="DH298" s="7"/>
      <c r="DI298" s="82" t="n">
        <f aca="false">IF(OR(ISNUMBER($DF298),$DF298=Constants!$B$7,$DF298=Constants!$B$5,$DF298=Constants!$B$6),1,0)</f>
        <v>0</v>
      </c>
      <c r="DJ298" s="82" t="n">
        <v>290</v>
      </c>
      <c r="DK298" s="82" t="str">
        <f aca="false">IF(ISBLANK($C298),"",IF(ISNUMBER($DG298),$DG298+ROW($B298)/1000,""))</f>
        <v/>
      </c>
      <c r="DL298" s="82" t="str">
        <f aca="false">IF(ISNUMBER($DK298),RANK($DK298,$DK$9:$DK$508,1),"")</f>
        <v/>
      </c>
      <c r="DM298" s="82" t="str">
        <f aca="false">IF(ISBLANK($C298),"",$B298)</f>
        <v/>
      </c>
      <c r="DN298" s="82" t="str">
        <f aca="false">IF(ISBLANK($C298),"",$C298)</f>
        <v/>
      </c>
      <c r="DO298" s="82" t="str">
        <f aca="false">IF(ISBLANK($C298),"",$D298)</f>
        <v/>
      </c>
      <c r="DP298" s="83" t="str">
        <f aca="false">$DD298</f>
        <v/>
      </c>
      <c r="DQ298" s="84" t="str">
        <f aca="false">$DC298</f>
        <v/>
      </c>
      <c r="DR298" s="82" t="str">
        <f aca="false">IF(ISBLANK($C298),"",$DF298)</f>
        <v/>
      </c>
      <c r="DS298" s="85" t="str">
        <f aca="false">IF($DJ298&gt;$DI$8,"",VLOOKUP($DJ298,$DL$9:$DR$508,7,FALSE()))</f>
        <v/>
      </c>
      <c r="DT298" s="86" t="str">
        <f aca="false">IF($DJ298&gt;$DI$8,"",VLOOKUP($DJ298,$DL$9:$DR$508,2,FALSE()))</f>
        <v/>
      </c>
      <c r="DU298" s="86" t="str">
        <f aca="false">IF($DJ298&gt;$DI$8,"",VLOOKUP($DJ298,$DL$9:$DR$508,3,FALSE()))</f>
        <v/>
      </c>
      <c r="DV298" s="86" t="str">
        <f aca="false">IF($DJ298&gt;$DI$8,"",VLOOKUP($DJ298,$DL$9:$DR$508,4,FALSE()))</f>
        <v/>
      </c>
      <c r="DW298" s="86" t="str">
        <f aca="false">IF($DJ298&gt;$DI$8,"",VLOOKUP($DJ298,$DL$9:$DR$508,5,FALSE()))</f>
        <v/>
      </c>
      <c r="DX298" s="87" t="str">
        <f aca="false">IF($DJ298&gt;$DI$8,"",VLOOKUP($DJ298,$DL$9:$DR$508,6,FALSE()))</f>
        <v/>
      </c>
      <c r="DY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88"/>
      <c r="N299" s="88"/>
      <c r="O299" s="134"/>
      <c r="P299" s="134"/>
      <c r="Q299" s="88"/>
      <c r="R299" s="88"/>
      <c r="S299" s="88"/>
      <c r="T299" s="88"/>
      <c r="U299" s="134"/>
      <c r="V299" s="88"/>
      <c r="W299" s="70"/>
      <c r="X299" s="88"/>
      <c r="Y299" s="88"/>
      <c r="Z299" s="70"/>
      <c r="AA299" s="70"/>
      <c r="AB299" s="88"/>
      <c r="AC299" s="88"/>
      <c r="AD299" s="88"/>
      <c r="AE299" s="71"/>
      <c r="AF299" s="88"/>
      <c r="AG299" s="73"/>
      <c r="AH299" s="74"/>
      <c r="AI299" s="74"/>
      <c r="AJ299" s="74" t="str">
        <f aca="false">IF(ISBLANK($C299),"",IF($E299=Constants!$B$2,TRUE(),IF($E299=Constants!$B$3,FALSE(),TRUE())))</f>
        <v/>
      </c>
      <c r="AK299" s="74" t="str">
        <f aca="false">IF(ISBLANK($C299),"",IF($F299=Constants!$B$2,TRUE(),IF($F299=Constants!$B$3,FALSE(),FALSE())))</f>
        <v/>
      </c>
      <c r="AL299" s="74" t="str">
        <f aca="false">IF(ISBLANK($C299),"",IF($G299=Constants!$B$2,TRUE(),IF($G299=Constants!$B$3,FALSE(),TRUE())))</f>
        <v/>
      </c>
      <c r="AM299" s="74" t="str">
        <f aca="false">IF(ISBLANK($C299),"",IF($H299=Constants!$B$2,TRUE(),IF($H299=Constants!$B$3,FALSE(),TRUE())))</f>
        <v/>
      </c>
      <c r="AN299" s="74" t="str">
        <f aca="false">IF(ISBLANK($C299),"",IF(ISNUMBER($I299),IF($I299&gt;=0,$I299,""),""))</f>
        <v/>
      </c>
      <c r="AO299" s="74" t="str">
        <f aca="false">IF(ISBLANK($C299),"",IF(ISNUMBER($J299),IF($J299&gt;=0,$J299,""),""))</f>
        <v/>
      </c>
      <c r="AP299" s="74" t="str">
        <f aca="false">IF(ISBLANK($C299),"",IF(ISNUMBER($K299),IF($K299&gt;=0,$K299,""),""))</f>
        <v/>
      </c>
      <c r="AQ299" s="74" t="str">
        <f aca="false">IF(ISBLANK($C299),"",IF($L299=Constants!$B$2,TRUE(),IF($L299=Constants!$B$3,FALSE(),TRUE())))</f>
        <v/>
      </c>
      <c r="AR299" s="74" t="str">
        <f aca="false">IF(ISBLANK($C299),"",IF($M299=Constants!$B$2,TRUE(),IF($M299=Constants!$B$3,FALSE(),TRUE())))</f>
        <v/>
      </c>
      <c r="AS299" s="74" t="str">
        <f aca="false">IF(ISBLANK($C299),"",IF($N299=Constants!$B$2,TRUE(),IF($N299=Constants!$B$3,FALSE(),FALSE())))</f>
        <v/>
      </c>
      <c r="AT299" s="74" t="str">
        <f aca="false">IF(ISBLANK($C299),"",IF($O299=Constants!$B$2,TRUE(),IF($O299=Constants!$B$3,FALSE(),TRUE())))</f>
        <v/>
      </c>
      <c r="AU299" s="74" t="str">
        <f aca="false">IF(ISBLANK($C299),"",IF($P299=Constants!$B$2,TRUE(),IF($P299=Constants!$B$3,FALSE(),TRUE())))</f>
        <v/>
      </c>
      <c r="AV299" s="74" t="str">
        <f aca="false">IF(ISBLANK($C299),"",IF($Q299=Constants!$B$2,TRUE(),IF($Q299=Constants!$B$3,FALSE(),FALSE())))</f>
        <v/>
      </c>
      <c r="AW299" s="74" t="str">
        <f aca="false">IF(ISBLANK($C299),"",IF($R299=Constants!$B$2,TRUE(),IF($R299=Constants!$B$3,FALSE(),FALSE())))</f>
        <v/>
      </c>
      <c r="AX299" s="74" t="str">
        <f aca="false">IF(ISBLANK($C299),"",IF($S299=Constants!$B$2,TRUE(),IF($S299=Constants!$B$3,FALSE(),FALSE())))</f>
        <v/>
      </c>
      <c r="AY299" s="74" t="str">
        <f aca="false">IF(ISBLANK($C299),"",IF($T299=Constants!$B$2,TRUE(),IF($T299=Constants!$B$3,FALSE(),FALSE())))</f>
        <v/>
      </c>
      <c r="AZ299" s="74" t="str">
        <f aca="false">IF(ISBLANK($C299),"",IF($U299=Constants!$B$2,TRUE(),IF($U299=Constants!$B$3,FALSE(),FALSE())))</f>
        <v/>
      </c>
      <c r="BA299" s="74" t="str">
        <f aca="false">IF(ISBLANK($C299),"",IF(OR($V299&amp;""="1",$V299&amp;""="2",$V299&amp;""="3",$V299&amp;""="4"),VALUE($V299&amp;""),IF($V299=Constants!$B$12,Constants!$B$12,"")))</f>
        <v/>
      </c>
      <c r="BB299" s="74" t="str">
        <f aca="false">IF(ISBLANK($C299),"",IF(ISBLANK($W299),0,IF(ISNUMBER($W299),IF(AND($W299&gt;=0,$W299&lt;=Constants!$B$21,$W299=INT($W299)),$W299,""),"")))</f>
        <v/>
      </c>
      <c r="BC299" s="74" t="str">
        <f aca="false">IF(ISBLANK($C299),"",IF(ISBLANK($X299),0,IF(ISNUMBER($X299),IF($X299&gt;=0,$X299,""),"")))</f>
        <v/>
      </c>
      <c r="BD299" s="74" t="str">
        <f aca="false">IF(ISBLANK($C299),"",IF($Y299=Constants!$B$2,TRUE(),IF($Y299=Constants!$B$3,FALSE(),TRUE())))</f>
        <v/>
      </c>
      <c r="BE299" s="74" t="str">
        <f aca="false">IF(ISBLANK($C299),"",IF($Z299=Constants!$B$2,TRUE(),IF($Z299=Constants!$B$3,FALSE(),FALSE())))</f>
        <v/>
      </c>
      <c r="BF299" s="74" t="str">
        <f aca="false">IF(ISBLANK($C299),"",IF(ISBLANK($AA299),0,IF(ISNUMBER($AA299),IF(AND($AA299&gt;=0,$AA299&lt;=Constants!$B$35,$AA299=INT($AA299)),$AA299,""),"")))</f>
        <v/>
      </c>
      <c r="BG299" s="74" t="str">
        <f aca="false">IF(ISBLANK($C299),"",IF($AB299=Constants!$B$2,TRUE(),IF($AB299=Constants!$B$3,FALSE(),TRUE())))</f>
        <v/>
      </c>
      <c r="BH299" s="74" t="str">
        <f aca="false">IF(ISBLANK($C299),"",IF($AC299=Constants!$B$2,TRUE(),IF($AC299=Constants!$B$3,FALSE(),TRUE())))</f>
        <v/>
      </c>
      <c r="BI299" s="74" t="str">
        <f aca="false">IF(ISBLANK($C299),"",IF($AD299=Constants!$B$2,TRUE(),IF($AD299=Constants!$B$3,FALSE(),TRUE())))</f>
        <v/>
      </c>
      <c r="BJ299" s="74" t="str">
        <f aca="false">IF(ISBLANK($C299),"",IF(ISNUMBER($AE299),IF($AE299&gt;=0,$AE299,""),""))</f>
        <v/>
      </c>
      <c r="BK299" s="74" t="str">
        <f aca="false">IF(ISBLANK($C299),"",IF($AF299=Constants!$B$2,TRUE(),IF($AF299=Constants!$B$3,FALSE(),FALSE())))</f>
        <v/>
      </c>
      <c r="BL299" s="73" t="str">
        <f aca="false">IF(ISBLANK($C299),"",IF($BK299,Constants!$B$7,IF(COUNTA($E299:$AE299)=0,Constants!$B$6,IF(OR(COUNTA($G299:$AE299)=0,NOT($AM299),$AS299),Constants!$B$5,IF(OR($CM299&lt;&gt;"",$CN299,$CO299,$CP299,$CQ299,$CR299,$CS299),Constants!$B$8,Constants!$B$4)))))</f>
        <v/>
      </c>
      <c r="BM299" s="74" t="str">
        <f aca="false">IF(ISBLANK($C299),"",IF($BL299&lt;&gt;Constants!$B$4,$BL299,IF(OR(NOT($AJ299),NOT($AL299),NOT($AT299)),Constants!$B$11,IF(OR(NOT($AR299),NOT($AU299),NOT($BI299),MAX($AN299,$AO299,$AP299)&gt;Constants!$B$30),Constants!$B$10,Constants!$B$9))))</f>
        <v/>
      </c>
      <c r="BN299" s="74" t="str">
        <f aca="false">IF($BL299&lt;&gt;Constants!$B$4,"",IF(NOT($AL299),0,MIN(Constants!$B$35,$BF299)))</f>
        <v/>
      </c>
      <c r="BO299" s="74" t="str">
        <f aca="false">IF($BL299&lt;&gt;Constants!$B$4,"",IF(NOT($AL299),0,IF($AW299,Constants!$B$18,IF($AV299,Constants!$B$17,0))))</f>
        <v/>
      </c>
      <c r="BP299" s="74" t="str">
        <f aca="false">IF($BL299&lt;&gt;Constants!$B$4,"",IF(NOT($AL299),0,Constants!$B$19*($AK299+$AX299+$AY299+$AZ299)))</f>
        <v/>
      </c>
      <c r="BQ299" s="74" t="str">
        <f aca="false">IF($BL299&lt;&gt;Constants!$B$4,"",IF(OR(NOT($AL299),NOT(ISNUMBER($BA299))),0,CHOOSE($BA299,Constants!$B$13,Constants!$B$14,Constants!$B$15,Constants!$B$16)))</f>
        <v/>
      </c>
      <c r="BR299" s="74" t="str">
        <f aca="false">IF($BL299&lt;&gt;Constants!$B$4,"",IF(NOT($AL299),0,Constants!$B$20*$BB299))</f>
        <v/>
      </c>
      <c r="BS299" s="74" t="str">
        <f aca="false">IF($BL299&lt;&gt;Constants!$B$4,"",IF(AND($AL299,$BD299,$BE299),Constants!$B$22,0))</f>
        <v/>
      </c>
      <c r="BT299" s="74" t="str">
        <f aca="false">IF($BL299&lt;&gt;Constants!$B$4,"",IF(OR(NOT($AL299),NOT($BD299)),0,IF($BJ299&gt;=2*$AH$9,0,Constants!$B$23*INT(ROUND(MIN($BJ299,$AH$9),6)))))</f>
        <v/>
      </c>
      <c r="BU299" s="74" t="str">
        <f aca="false">IF($BL299&lt;&gt;Constants!$B$4,"",IF(NOT($AL299),0,Constants!$B$24*INT(ROUND(MIN($BC299,$AH$9),6))))</f>
        <v/>
      </c>
      <c r="BV299" s="74" t="str">
        <f aca="false">IF($BL299&lt;&gt;Constants!$B$4,"",IF(AND($AL299,$BN299=0),Constants!$B$25,0))</f>
        <v/>
      </c>
      <c r="BW299" s="74" t="str">
        <f aca="false">IF($BL299&lt;&gt;Constants!$B$4,"",MIN(Constants!$B$29,MAX(0,Constants!$B$27*Constants!$B$28*INT(ROUND((Constants!$B$26-$AN299)/Constants!$B$28,6))))+MIN(Constants!$B$29,MAX(0,Constants!$B$27*Constants!$B$28*INT(ROUND((Constants!$B$26-$AO299)/Constants!$B$28,6))))+MIN(Constants!$B$29,MAX(0,Constants!$B$27*Constants!$B$28*INT(ROUND((Constants!$B$26-$AP299)/Constants!$B$28,6)))))</f>
        <v/>
      </c>
      <c r="BX299" s="74" t="str">
        <f aca="false">IF($BL299&lt;&gt;Constants!$B$4,"",IF(NOT($AL299),0,Constants!$B$31*INT(ROUND(MAX(0,MIN($BJ299,2*$AH$9)-$AH$9),6))))</f>
        <v/>
      </c>
      <c r="BY299" s="74" t="str">
        <f aca="false">IF($BL299&lt;&gt;Constants!$B$4,"",Constants!$B$32*(($AN299&gt;Constants!$B$26)+($AO299&gt;Constants!$B$26)+($AP299&gt;Constants!$B$26)))</f>
        <v/>
      </c>
      <c r="BZ299" s="74" t="str">
        <f aca="false">IF($BL299&lt;&gt;Constants!$B$4,"",IF(OR(NOT($AL299),$AQ299),0,Constants!$B$33))</f>
        <v/>
      </c>
      <c r="CA299" s="74" t="str">
        <f aca="false">IF($BL299&lt;&gt;Constants!$B$4,"",Constants!$B$34*$BN299)</f>
        <v/>
      </c>
      <c r="CB299" s="74" t="str">
        <f aca="false">IF($BL299&lt;&gt;Constants!$B$4,"",IF(OR(NOT($AL299),$BH299),0,Constants!$B$36))</f>
        <v/>
      </c>
      <c r="CC299" s="74" t="str">
        <f aca="false">IF($BL299&lt;&gt;Constants!$B$4,"",IF(OR(NOT($AL299),$BG299),0,Constants!$B$37))</f>
        <v/>
      </c>
      <c r="CD299" s="74" t="str">
        <f aca="false">IF($BL299&lt;&gt;Constants!$B$4,"",SUM($BX299:$CC299))</f>
        <v/>
      </c>
      <c r="CE299" s="74" t="str">
        <f aca="false">IF(ISBLANK($C299),"",IF($BL299&lt;&gt;Constants!$B$4,$BL299,SUM($BO299:$BW299)-$CD299))</f>
        <v/>
      </c>
      <c r="CF299" s="74" t="str">
        <f aca="false">IF(ISBLANK($C299),"",IF($BL299&lt;&gt;Constants!$B$4,$BL299,RANK($CE299,$CE$9:$CE$508)))</f>
        <v/>
      </c>
      <c r="CG299" s="74" t="str">
        <f aca="false">IF(ISBLANK($C299),"",IF($BL299&lt;&gt;Constants!$B$4,$BL299,COUNTIFS($BM$9:$BM$508,"&lt;"&amp;$BM299)+COUNTIFS($BM$9:$BM$508,$BM299,$CF$9:$CF$508,"&lt;"&amp;$CF299)+1))</f>
        <v/>
      </c>
      <c r="CH299" s="74" t="str">
        <f aca="false">IF(ISBLANK($C299),"",IF($BL299&lt;&gt;Constants!$B$4,$BL299,RANK($CD299,$CD$9:$CD$508,1)))</f>
        <v/>
      </c>
      <c r="CI299" s="74" t="str">
        <f aca="false">IF($BL299&lt;&gt;Constants!$B$4,"",$AN299+$AO299+$AP299)</f>
        <v/>
      </c>
      <c r="CJ299" s="74" t="str">
        <f aca="false">IF(ISBLANK($C299),"",IF($BL299&lt;&gt;Constants!$B$4,$BL299,RANK($CI299,$CI$9:$CI$508,1)))</f>
        <v/>
      </c>
      <c r="CK299" s="74" t="str">
        <f aca="false">IF(ISBLANK($C299),"",IF($BL299&lt;&gt;Constants!$B$4,$BL299,COUNTIFS($BM$9:$BM$508,"&lt;"&amp;$BM299)+COUNTIFS($BM$9:$BM$508,$BM299,$CF$9:$CF$508,"&lt;"&amp;$CF299)+COUNTIFS($BM$9:$BM$508,$BM299,$CF$9:$CF$508,$CF299,$CH$9:$CH$508,"&lt;"&amp;$CH299)+COUNTIFS($BM$9:$BM$508,$BM299,$CF$9:$CF$508,$CF299,$CH$9:$CH$508,$CH299,$CJ$9:$CJ$508,"&lt;"&amp;$CJ299)+1))</f>
        <v/>
      </c>
      <c r="CL299" s="74" t="str">
        <f aca="false">IF(ISBLANK($C299),"",IF($BL299&lt;&gt;Constants!$B$4,$BL299,$CG299-$CK299))</f>
        <v/>
      </c>
      <c r="CM299" s="74" t="str">
        <f aca="false">IF(ISBLANK($C299),"",IF(NOT($AL299),"",IF(ISBLANK($D$7),$CM$5,IF(NOT(ISNUMBER($D$7)),$CM$6,""))))</f>
        <v/>
      </c>
      <c r="CN299" s="74" t="str">
        <f aca="false">IF(ISBLANK($C299),"",OR($AN299="",$AO299="",$AP299=""))</f>
        <v/>
      </c>
      <c r="CO299" s="74" t="str">
        <f aca="false">IF(ISBLANK($C299),"",AND($AL299,$BA299=""))</f>
        <v/>
      </c>
      <c r="CP299" s="74" t="str">
        <f aca="false">IF(ISBLANK($C299),"",AND($AL299,$BB299=""))</f>
        <v/>
      </c>
      <c r="CQ299" s="74" t="str">
        <f aca="false">IF(ISBLANK($C299),"",AND($AL299,$BC299=""))</f>
        <v/>
      </c>
      <c r="CR299" s="74" t="str">
        <f aca="false">IF(ISBLANK($C299),"",AND($AL299,$BF299=""))</f>
        <v/>
      </c>
      <c r="CS299" s="74" t="str">
        <f aca="false">IF(ISBLANK($C299),"",AND($AL299,$BJ299=""))</f>
        <v/>
      </c>
      <c r="CT299" s="75"/>
      <c r="CU299" s="76"/>
      <c r="CV299" s="79" t="str">
        <f aca="false">IF(ISBLANK($C299),"",IF($BL299=Constants!$B$8,$CM299,""))</f>
        <v/>
      </c>
      <c r="CW299" s="76" t="str">
        <f aca="false">IF(ISBLANK($C299),"",IF($BL299&lt;&gt;Constants!$B$4,"",$BO299+$BP299))</f>
        <v/>
      </c>
      <c r="CX299" s="78" t="str">
        <f aca="false">IF(ISBLANK($C299),"",IF($BL299&lt;&gt;Constants!$B$4,"",$BQ299+$BR299+$BS299))</f>
        <v/>
      </c>
      <c r="CY299" s="78" t="str">
        <f aca="false">IF(ISBLANK($C299),"",IF($BL299&lt;&gt;Constants!$B$4,"",$BT299))</f>
        <v/>
      </c>
      <c r="CZ299" s="78" t="str">
        <f aca="false">IF(ISBLANK($C299),"",IF($BL299&lt;&gt;Constants!$B$4,"",$BU299+$BV299))</f>
        <v/>
      </c>
      <c r="DA299" s="78" t="str">
        <f aca="false">IF(ISBLANK($C299),"",IF($BL299&lt;&gt;Constants!$B$4,"",$BW299))</f>
        <v/>
      </c>
      <c r="DB299" s="78" t="str">
        <f aca="false">IF(ISBLANK($C299),"",IF($BL299&lt;&gt;Constants!$B$4,"",-$CD299))</f>
        <v/>
      </c>
      <c r="DC299" s="79" t="str">
        <f aca="false">IF(ISBLANK($C299),"",$CE299)</f>
        <v/>
      </c>
      <c r="DD299" s="80" t="str">
        <f aca="false">IF(ISBLANK($C299),"",$BM299)</f>
        <v/>
      </c>
      <c r="DE299" s="78" t="str">
        <f aca="false">IF(ISBLANK($C299),"",$CL299)</f>
        <v/>
      </c>
      <c r="DF299" s="78" t="str">
        <f aca="false">IF(ISBLANK($C299),"",$CK299)</f>
        <v/>
      </c>
      <c r="DG299" s="81" t="str">
        <f aca="false">IF(ISBLANK($C299),"",IF($DF299=Constants!$B$7,COUNTA($C$9:$C$508)+2,IF($DF299=Constants!$B$6,COUNTA($C$9:$C$508)+1,IF($DF299=Constants!$B$5,COUNTA($C$9:$C$508),$DF299))))</f>
        <v/>
      </c>
      <c r="DH299" s="7"/>
      <c r="DI299" s="82" t="n">
        <f aca="false">IF(OR(ISNUMBER($DF299),$DF299=Constants!$B$7,$DF299=Constants!$B$5,$DF299=Constants!$B$6),1,0)</f>
        <v>0</v>
      </c>
      <c r="DJ299" s="82" t="n">
        <v>291</v>
      </c>
      <c r="DK299" s="82" t="str">
        <f aca="false">IF(ISBLANK($C299),"",IF(ISNUMBER($DG299),$DG299+ROW($B299)/1000,""))</f>
        <v/>
      </c>
      <c r="DL299" s="82" t="str">
        <f aca="false">IF(ISNUMBER($DK299),RANK($DK299,$DK$9:$DK$508,1),"")</f>
        <v/>
      </c>
      <c r="DM299" s="82" t="str">
        <f aca="false">IF(ISBLANK($C299),"",$B299)</f>
        <v/>
      </c>
      <c r="DN299" s="82" t="str">
        <f aca="false">IF(ISBLANK($C299),"",$C299)</f>
        <v/>
      </c>
      <c r="DO299" s="82" t="str">
        <f aca="false">IF(ISBLANK($C299),"",$D299)</f>
        <v/>
      </c>
      <c r="DP299" s="83" t="str">
        <f aca="false">$DD299</f>
        <v/>
      </c>
      <c r="DQ299" s="84" t="str">
        <f aca="false">$DC299</f>
        <v/>
      </c>
      <c r="DR299" s="82" t="str">
        <f aca="false">IF(ISBLANK($C299),"",$DF299)</f>
        <v/>
      </c>
      <c r="DS299" s="85" t="str">
        <f aca="false">IF($DJ299&gt;$DI$8,"",VLOOKUP($DJ299,$DL$9:$DR$508,7,FALSE()))</f>
        <v/>
      </c>
      <c r="DT299" s="86" t="str">
        <f aca="false">IF($DJ299&gt;$DI$8,"",VLOOKUP($DJ299,$DL$9:$DR$508,2,FALSE()))</f>
        <v/>
      </c>
      <c r="DU299" s="86" t="str">
        <f aca="false">IF($DJ299&gt;$DI$8,"",VLOOKUP($DJ299,$DL$9:$DR$508,3,FALSE()))</f>
        <v/>
      </c>
      <c r="DV299" s="86" t="str">
        <f aca="false">IF($DJ299&gt;$DI$8,"",VLOOKUP($DJ299,$DL$9:$DR$508,4,FALSE()))</f>
        <v/>
      </c>
      <c r="DW299" s="86" t="str">
        <f aca="false">IF($DJ299&gt;$DI$8,"",VLOOKUP($DJ299,$DL$9:$DR$508,5,FALSE()))</f>
        <v/>
      </c>
      <c r="DX299" s="87" t="str">
        <f aca="false">IF($DJ299&gt;$DI$8,"",VLOOKUP($DJ299,$DL$9:$DR$508,6,FALSE()))</f>
        <v/>
      </c>
      <c r="DY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130"/>
      <c r="N300" s="130"/>
      <c r="O300" s="135"/>
      <c r="P300" s="135"/>
      <c r="Q300" s="130"/>
      <c r="R300" s="130"/>
      <c r="S300" s="130"/>
      <c r="T300" s="130"/>
      <c r="U300" s="135"/>
      <c r="V300" s="130"/>
      <c r="W300" s="96"/>
      <c r="X300" s="130"/>
      <c r="Y300" s="130"/>
      <c r="Z300" s="96"/>
      <c r="AA300" s="96"/>
      <c r="AB300" s="130"/>
      <c r="AC300" s="130"/>
      <c r="AD300" s="130"/>
      <c r="AE300" s="97"/>
      <c r="AF300" s="130"/>
      <c r="AG300" s="99"/>
      <c r="AH300" s="100"/>
      <c r="AI300" s="100"/>
      <c r="AJ300" s="100" t="str">
        <f aca="false">IF(ISBLANK($C300),"",IF($E300=Constants!$B$2,TRUE(),IF($E300=Constants!$B$3,FALSE(),TRUE())))</f>
        <v/>
      </c>
      <c r="AK300" s="100" t="str">
        <f aca="false">IF(ISBLANK($C300),"",IF($F300=Constants!$B$2,TRUE(),IF($F300=Constants!$B$3,FALSE(),FALSE())))</f>
        <v/>
      </c>
      <c r="AL300" s="100" t="str">
        <f aca="false">IF(ISBLANK($C300),"",IF($G300=Constants!$B$2,TRUE(),IF($G300=Constants!$B$3,FALSE(),TRUE())))</f>
        <v/>
      </c>
      <c r="AM300" s="100" t="str">
        <f aca="false">IF(ISBLANK($C300),"",IF($H300=Constants!$B$2,TRUE(),IF($H300=Constants!$B$3,FALSE(),TRUE())))</f>
        <v/>
      </c>
      <c r="AN300" s="100" t="str">
        <f aca="false">IF(ISBLANK($C300),"",IF(ISNUMBER($I300),IF($I300&gt;=0,$I300,""),""))</f>
        <v/>
      </c>
      <c r="AO300" s="100" t="str">
        <f aca="false">IF(ISBLANK($C300),"",IF(ISNUMBER($J300),IF($J300&gt;=0,$J300,""),""))</f>
        <v/>
      </c>
      <c r="AP300" s="100" t="str">
        <f aca="false">IF(ISBLANK($C300),"",IF(ISNUMBER($K300),IF($K300&gt;=0,$K300,""),""))</f>
        <v/>
      </c>
      <c r="AQ300" s="100" t="str">
        <f aca="false">IF(ISBLANK($C300),"",IF($L300=Constants!$B$2,TRUE(),IF($L300=Constants!$B$3,FALSE(),TRUE())))</f>
        <v/>
      </c>
      <c r="AR300" s="100" t="str">
        <f aca="false">IF(ISBLANK($C300),"",IF($M300=Constants!$B$2,TRUE(),IF($M300=Constants!$B$3,FALSE(),TRUE())))</f>
        <v/>
      </c>
      <c r="AS300" s="100" t="str">
        <f aca="false">IF(ISBLANK($C300),"",IF($N300=Constants!$B$2,TRUE(),IF($N300=Constants!$B$3,FALSE(),FALSE())))</f>
        <v/>
      </c>
      <c r="AT300" s="100" t="str">
        <f aca="false">IF(ISBLANK($C300),"",IF($O300=Constants!$B$2,TRUE(),IF($O300=Constants!$B$3,FALSE(),TRUE())))</f>
        <v/>
      </c>
      <c r="AU300" s="100" t="str">
        <f aca="false">IF(ISBLANK($C300),"",IF($P300=Constants!$B$2,TRUE(),IF($P300=Constants!$B$3,FALSE(),TRUE())))</f>
        <v/>
      </c>
      <c r="AV300" s="100" t="str">
        <f aca="false">IF(ISBLANK($C300),"",IF($Q300=Constants!$B$2,TRUE(),IF($Q300=Constants!$B$3,FALSE(),FALSE())))</f>
        <v/>
      </c>
      <c r="AW300" s="100" t="str">
        <f aca="false">IF(ISBLANK($C300),"",IF($R300=Constants!$B$2,TRUE(),IF($R300=Constants!$B$3,FALSE(),FALSE())))</f>
        <v/>
      </c>
      <c r="AX300" s="100" t="str">
        <f aca="false">IF(ISBLANK($C300),"",IF($S300=Constants!$B$2,TRUE(),IF($S300=Constants!$B$3,FALSE(),FALSE())))</f>
        <v/>
      </c>
      <c r="AY300" s="100" t="str">
        <f aca="false">IF(ISBLANK($C300),"",IF($T300=Constants!$B$2,TRUE(),IF($T300=Constants!$B$3,FALSE(),FALSE())))</f>
        <v/>
      </c>
      <c r="AZ300" s="100" t="str">
        <f aca="false">IF(ISBLANK($C300),"",IF($U300=Constants!$B$2,TRUE(),IF($U300=Constants!$B$3,FALSE(),FALSE())))</f>
        <v/>
      </c>
      <c r="BA300" s="100" t="str">
        <f aca="false">IF(ISBLANK($C300),"",IF(OR($V300&amp;""="1",$V300&amp;""="2",$V300&amp;""="3",$V300&amp;""="4"),VALUE($V300&amp;""),IF($V300=Constants!$B$12,Constants!$B$12,"")))</f>
        <v/>
      </c>
      <c r="BB300" s="100" t="str">
        <f aca="false">IF(ISBLANK($C300),"",IF(ISBLANK($W300),0,IF(ISNUMBER($W300),IF(AND($W300&gt;=0,$W300&lt;=Constants!$B$21,$W300=INT($W300)),$W300,""),"")))</f>
        <v/>
      </c>
      <c r="BC300" s="100" t="str">
        <f aca="false">IF(ISBLANK($C300),"",IF(ISBLANK($X300),0,IF(ISNUMBER($X300),IF($X300&gt;=0,$X300,""),"")))</f>
        <v/>
      </c>
      <c r="BD300" s="100" t="str">
        <f aca="false">IF(ISBLANK($C300),"",IF($Y300=Constants!$B$2,TRUE(),IF($Y300=Constants!$B$3,FALSE(),TRUE())))</f>
        <v/>
      </c>
      <c r="BE300" s="100" t="str">
        <f aca="false">IF(ISBLANK($C300),"",IF($Z300=Constants!$B$2,TRUE(),IF($Z300=Constants!$B$3,FALSE(),FALSE())))</f>
        <v/>
      </c>
      <c r="BF300" s="100" t="str">
        <f aca="false">IF(ISBLANK($C300),"",IF(ISBLANK($AA300),0,IF(ISNUMBER($AA300),IF(AND($AA300&gt;=0,$AA300&lt;=Constants!$B$35,$AA300=INT($AA300)),$AA300,""),"")))</f>
        <v/>
      </c>
      <c r="BG300" s="100" t="str">
        <f aca="false">IF(ISBLANK($C300),"",IF($AB300=Constants!$B$2,TRUE(),IF($AB300=Constants!$B$3,FALSE(),TRUE())))</f>
        <v/>
      </c>
      <c r="BH300" s="100" t="str">
        <f aca="false">IF(ISBLANK($C300),"",IF($AC300=Constants!$B$2,TRUE(),IF($AC300=Constants!$B$3,FALSE(),TRUE())))</f>
        <v/>
      </c>
      <c r="BI300" s="100" t="str">
        <f aca="false">IF(ISBLANK($C300),"",IF($AD300=Constants!$B$2,TRUE(),IF($AD300=Constants!$B$3,FALSE(),TRUE())))</f>
        <v/>
      </c>
      <c r="BJ300" s="100" t="str">
        <f aca="false">IF(ISBLANK($C300),"",IF(ISNUMBER($AE300),IF($AE300&gt;=0,$AE300,""),""))</f>
        <v/>
      </c>
      <c r="BK300" s="100" t="str">
        <f aca="false">IF(ISBLANK($C300),"",IF($AF300=Constants!$B$2,TRUE(),IF($AF300=Constants!$B$3,FALSE(),FALSE())))</f>
        <v/>
      </c>
      <c r="BL300" s="99" t="str">
        <f aca="false">IF(ISBLANK($C300),"",IF($BK300,Constants!$B$7,IF(COUNTA($E300:$AE300)=0,Constants!$B$6,IF(OR(COUNTA($G300:$AE300)=0,NOT($AM300),$AS300),Constants!$B$5,IF(OR($CM300&lt;&gt;"",$CN300,$CO300,$CP300,$CQ300,$CR300,$CS300),Constants!$B$8,Constants!$B$4)))))</f>
        <v/>
      </c>
      <c r="BM300" s="100" t="str">
        <f aca="false">IF(ISBLANK($C300),"",IF($BL300&lt;&gt;Constants!$B$4,$BL300,IF(OR(NOT($AJ300),NOT($AL300),NOT($AT300)),Constants!$B$11,IF(OR(NOT($AR300),NOT($AU300),NOT($BI300),MAX($AN300,$AO300,$AP300)&gt;Constants!$B$30),Constants!$B$10,Constants!$B$9))))</f>
        <v/>
      </c>
      <c r="BN300" s="100" t="str">
        <f aca="false">IF($BL300&lt;&gt;Constants!$B$4,"",IF(NOT($AL300),0,MIN(Constants!$B$35,$BF300)))</f>
        <v/>
      </c>
      <c r="BO300" s="100" t="str">
        <f aca="false">IF($BL300&lt;&gt;Constants!$B$4,"",IF(NOT($AL300),0,IF($AW300,Constants!$B$18,IF($AV300,Constants!$B$17,0))))</f>
        <v/>
      </c>
      <c r="BP300" s="100" t="str">
        <f aca="false">IF($BL300&lt;&gt;Constants!$B$4,"",IF(NOT($AL300),0,Constants!$B$19*($AK300+$AX300+$AY300+$AZ300)))</f>
        <v/>
      </c>
      <c r="BQ300" s="100" t="str">
        <f aca="false">IF($BL300&lt;&gt;Constants!$B$4,"",IF(OR(NOT($AL300),NOT(ISNUMBER($BA300))),0,CHOOSE($BA300,Constants!$B$13,Constants!$B$14,Constants!$B$15,Constants!$B$16)))</f>
        <v/>
      </c>
      <c r="BR300" s="100" t="str">
        <f aca="false">IF($BL300&lt;&gt;Constants!$B$4,"",IF(NOT($AL300),0,Constants!$B$20*$BB300))</f>
        <v/>
      </c>
      <c r="BS300" s="100" t="str">
        <f aca="false">IF($BL300&lt;&gt;Constants!$B$4,"",IF(AND($AL300,$BD300,$BE300),Constants!$B$22,0))</f>
        <v/>
      </c>
      <c r="BT300" s="100" t="str">
        <f aca="false">IF($BL300&lt;&gt;Constants!$B$4,"",IF(OR(NOT($AL300),NOT($BD300)),0,IF($BJ300&gt;=2*$AH$9,0,Constants!$B$23*INT(ROUND(MIN($BJ300,$AH$9),6)))))</f>
        <v/>
      </c>
      <c r="BU300" s="100" t="str">
        <f aca="false">IF($BL300&lt;&gt;Constants!$B$4,"",IF(NOT($AL300),0,Constants!$B$24*INT(ROUND(MIN($BC300,$AH$9),6))))</f>
        <v/>
      </c>
      <c r="BV300" s="100" t="str">
        <f aca="false">IF($BL300&lt;&gt;Constants!$B$4,"",IF(AND($AL300,$BN300=0),Constants!$B$25,0))</f>
        <v/>
      </c>
      <c r="BW300" s="100" t="str">
        <f aca="false">IF($BL300&lt;&gt;Constants!$B$4,"",MIN(Constants!$B$29,MAX(0,Constants!$B$27*Constants!$B$28*INT(ROUND((Constants!$B$26-$AN300)/Constants!$B$28,6))))+MIN(Constants!$B$29,MAX(0,Constants!$B$27*Constants!$B$28*INT(ROUND((Constants!$B$26-$AO300)/Constants!$B$28,6))))+MIN(Constants!$B$29,MAX(0,Constants!$B$27*Constants!$B$28*INT(ROUND((Constants!$B$26-$AP300)/Constants!$B$28,6)))))</f>
        <v/>
      </c>
      <c r="BX300" s="100" t="str">
        <f aca="false">IF($BL300&lt;&gt;Constants!$B$4,"",IF(NOT($AL300),0,Constants!$B$31*INT(ROUND(MAX(0,MIN($BJ300,2*$AH$9)-$AH$9),6))))</f>
        <v/>
      </c>
      <c r="BY300" s="100" t="str">
        <f aca="false">IF($BL300&lt;&gt;Constants!$B$4,"",Constants!$B$32*(($AN300&gt;Constants!$B$26)+($AO300&gt;Constants!$B$26)+($AP300&gt;Constants!$B$26)))</f>
        <v/>
      </c>
      <c r="BZ300" s="100" t="str">
        <f aca="false">IF($BL300&lt;&gt;Constants!$B$4,"",IF(OR(NOT($AL300),$AQ300),0,Constants!$B$33))</f>
        <v/>
      </c>
      <c r="CA300" s="100" t="str">
        <f aca="false">IF($BL300&lt;&gt;Constants!$B$4,"",Constants!$B$34*$BN300)</f>
        <v/>
      </c>
      <c r="CB300" s="100" t="str">
        <f aca="false">IF($BL300&lt;&gt;Constants!$B$4,"",IF(OR(NOT($AL300),$BH300),0,Constants!$B$36))</f>
        <v/>
      </c>
      <c r="CC300" s="100" t="str">
        <f aca="false">IF($BL300&lt;&gt;Constants!$B$4,"",IF(OR(NOT($AL300),$BG300),0,Constants!$B$37))</f>
        <v/>
      </c>
      <c r="CD300" s="100" t="str">
        <f aca="false">IF($BL300&lt;&gt;Constants!$B$4,"",SUM($BX300:$CC300))</f>
        <v/>
      </c>
      <c r="CE300" s="100" t="str">
        <f aca="false">IF(ISBLANK($C300),"",IF($BL300&lt;&gt;Constants!$B$4,$BL300,SUM($BO300:$BW300)-$CD300))</f>
        <v/>
      </c>
      <c r="CF300" s="100" t="str">
        <f aca="false">IF(ISBLANK($C300),"",IF($BL300&lt;&gt;Constants!$B$4,$BL300,RANK($CE300,$CE$9:$CE$508)))</f>
        <v/>
      </c>
      <c r="CG300" s="100" t="str">
        <f aca="false">IF(ISBLANK($C300),"",IF($BL300&lt;&gt;Constants!$B$4,$BL300,COUNTIFS($BM$9:$BM$508,"&lt;"&amp;$BM300)+COUNTIFS($BM$9:$BM$508,$BM300,$CF$9:$CF$508,"&lt;"&amp;$CF300)+1))</f>
        <v/>
      </c>
      <c r="CH300" s="100" t="str">
        <f aca="false">IF(ISBLANK($C300),"",IF($BL300&lt;&gt;Constants!$B$4,$BL300,RANK($CD300,$CD$9:$CD$508,1)))</f>
        <v/>
      </c>
      <c r="CI300" s="100" t="str">
        <f aca="false">IF($BL300&lt;&gt;Constants!$B$4,"",$AN300+$AO300+$AP300)</f>
        <v/>
      </c>
      <c r="CJ300" s="100" t="str">
        <f aca="false">IF(ISBLANK($C300),"",IF($BL300&lt;&gt;Constants!$B$4,$BL300,RANK($CI300,$CI$9:$CI$508,1)))</f>
        <v/>
      </c>
      <c r="CK300" s="100" t="str">
        <f aca="false">IF(ISBLANK($C300),"",IF($BL300&lt;&gt;Constants!$B$4,$BL300,COUNTIFS($BM$9:$BM$508,"&lt;"&amp;$BM300)+COUNTIFS($BM$9:$BM$508,$BM300,$CF$9:$CF$508,"&lt;"&amp;$CF300)+COUNTIFS($BM$9:$BM$508,$BM300,$CF$9:$CF$508,$CF300,$CH$9:$CH$508,"&lt;"&amp;$CH300)+COUNTIFS($BM$9:$BM$508,$BM300,$CF$9:$CF$508,$CF300,$CH$9:$CH$508,$CH300,$CJ$9:$CJ$508,"&lt;"&amp;$CJ300)+1))</f>
        <v/>
      </c>
      <c r="CL300" s="100" t="str">
        <f aca="false">IF(ISBLANK($C300),"",IF($BL300&lt;&gt;Constants!$B$4,$BL300,$CG300-$CK300))</f>
        <v/>
      </c>
      <c r="CM300" s="100" t="str">
        <f aca="false">IF(ISBLANK($C300),"",IF(NOT($AL300),"",IF(ISBLANK($D$7),$CM$5,IF(NOT(ISNUMBER($D$7)),$CM$6,""))))</f>
        <v/>
      </c>
      <c r="CN300" s="100" t="str">
        <f aca="false">IF(ISBLANK($C300),"",OR($AN300="",$AO300="",$AP300=""))</f>
        <v/>
      </c>
      <c r="CO300" s="100" t="str">
        <f aca="false">IF(ISBLANK($C300),"",AND($AL300,$BA300=""))</f>
        <v/>
      </c>
      <c r="CP300" s="100" t="str">
        <f aca="false">IF(ISBLANK($C300),"",AND($AL300,$BB300=""))</f>
        <v/>
      </c>
      <c r="CQ300" s="100" t="str">
        <f aca="false">IF(ISBLANK($C300),"",AND($AL300,$BC300=""))</f>
        <v/>
      </c>
      <c r="CR300" s="100" t="str">
        <f aca="false">IF(ISBLANK($C300),"",AND($AL300,$BF300=""))</f>
        <v/>
      </c>
      <c r="CS300" s="100" t="str">
        <f aca="false">IF(ISBLANK($C300),"",AND($AL300,$BJ300=""))</f>
        <v/>
      </c>
      <c r="CT300" s="101"/>
      <c r="CU300" s="102"/>
      <c r="CV300" s="103" t="str">
        <f aca="false">IF(ISBLANK($C300),"",IF($BL300=Constants!$B$8,$CM300,""))</f>
        <v/>
      </c>
      <c r="CW300" s="102" t="str">
        <f aca="false">IF(ISBLANK($C300),"",IF($BL300&lt;&gt;Constants!$B$4,"",$BO300+$BP300))</f>
        <v/>
      </c>
      <c r="CX300" s="104" t="str">
        <f aca="false">IF(ISBLANK($C300),"",IF($BL300&lt;&gt;Constants!$B$4,"",$BQ300+$BR300+$BS300))</f>
        <v/>
      </c>
      <c r="CY300" s="104" t="str">
        <f aca="false">IF(ISBLANK($C300),"",IF($BL300&lt;&gt;Constants!$B$4,"",$BT300))</f>
        <v/>
      </c>
      <c r="CZ300" s="104" t="str">
        <f aca="false">IF(ISBLANK($C300),"",IF($BL300&lt;&gt;Constants!$B$4,"",$BU300+$BV300))</f>
        <v/>
      </c>
      <c r="DA300" s="104" t="str">
        <f aca="false">IF(ISBLANK($C300),"",IF($BL300&lt;&gt;Constants!$B$4,"",$BW300))</f>
        <v/>
      </c>
      <c r="DB300" s="104" t="str">
        <f aca="false">IF(ISBLANK($C300),"",IF($BL300&lt;&gt;Constants!$B$4,"",-$CD300))</f>
        <v/>
      </c>
      <c r="DC300" s="103" t="str">
        <f aca="false">IF(ISBLANK($C300),"",$CE300)</f>
        <v/>
      </c>
      <c r="DD300" s="105" t="str">
        <f aca="false">IF(ISBLANK($C300),"",$BM300)</f>
        <v/>
      </c>
      <c r="DE300" s="104" t="str">
        <f aca="false">IF(ISBLANK($C300),"",$CL300)</f>
        <v/>
      </c>
      <c r="DF300" s="104" t="str">
        <f aca="false">IF(ISBLANK($C300),"",$CK300)</f>
        <v/>
      </c>
      <c r="DG300" s="106" t="str">
        <f aca="false">IF(ISBLANK($C300),"",IF($DF300=Constants!$B$7,COUNTA($C$9:$C$508)+2,IF($DF300=Constants!$B$6,COUNTA($C$9:$C$508)+1,IF($DF300=Constants!$B$5,COUNTA($C$9:$C$508),$DF300))))</f>
        <v/>
      </c>
      <c r="DH300" s="7"/>
      <c r="DI300" s="107" t="n">
        <f aca="false">IF(OR(ISNUMBER($DF300),$DF300=Constants!$B$7,$DF300=Constants!$B$5,$DF300=Constants!$B$6),1,0)</f>
        <v>0</v>
      </c>
      <c r="DJ300" s="107" t="n">
        <v>292</v>
      </c>
      <c r="DK300" s="107" t="str">
        <f aca="false">IF(ISBLANK($C300),"",IF(ISNUMBER($DG300),$DG300+ROW($B300)/1000,""))</f>
        <v/>
      </c>
      <c r="DL300" s="107" t="str">
        <f aca="false">IF(ISNUMBER($DK300),RANK($DK300,$DK$9:$DK$508,1),"")</f>
        <v/>
      </c>
      <c r="DM300" s="107" t="str">
        <f aca="false">IF(ISBLANK($C300),"",$B300)</f>
        <v/>
      </c>
      <c r="DN300" s="107" t="str">
        <f aca="false">IF(ISBLANK($C300),"",$C300)</f>
        <v/>
      </c>
      <c r="DO300" s="107" t="str">
        <f aca="false">IF(ISBLANK($C300),"",$D300)</f>
        <v/>
      </c>
      <c r="DP300" s="108" t="str">
        <f aca="false">$DD300</f>
        <v/>
      </c>
      <c r="DQ300" s="109" t="str">
        <f aca="false">$DC300</f>
        <v/>
      </c>
      <c r="DR300" s="107" t="str">
        <f aca="false">IF(ISBLANK($C300),"",$DF300)</f>
        <v/>
      </c>
      <c r="DS300" s="110" t="str">
        <f aca="false">IF($DJ300&gt;$DI$8,"",VLOOKUP($DJ300,$DL$9:$DR$508,7,FALSE()))</f>
        <v/>
      </c>
      <c r="DT300" s="111" t="str">
        <f aca="false">IF($DJ300&gt;$DI$8,"",VLOOKUP($DJ300,$DL$9:$DR$508,2,FALSE()))</f>
        <v/>
      </c>
      <c r="DU300" s="111" t="str">
        <f aca="false">IF($DJ300&gt;$DI$8,"",VLOOKUP($DJ300,$DL$9:$DR$508,3,FALSE()))</f>
        <v/>
      </c>
      <c r="DV300" s="111" t="str">
        <f aca="false">IF($DJ300&gt;$DI$8,"",VLOOKUP($DJ300,$DL$9:$DR$508,4,FALSE()))</f>
        <v/>
      </c>
      <c r="DW300" s="111" t="str">
        <f aca="false">IF($DJ300&gt;$DI$8,"",VLOOKUP($DJ300,$DL$9:$DR$508,5,FALSE()))</f>
        <v/>
      </c>
      <c r="DX300" s="112" t="str">
        <f aca="false">IF($DJ300&gt;$DI$8,"",VLOOKUP($DJ300,$DL$9:$DR$508,6,FALSE()))</f>
        <v/>
      </c>
      <c r="DY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130"/>
      <c r="N301" s="130"/>
      <c r="O301" s="135"/>
      <c r="P301" s="135"/>
      <c r="Q301" s="130"/>
      <c r="R301" s="130"/>
      <c r="S301" s="130"/>
      <c r="T301" s="130"/>
      <c r="U301" s="135"/>
      <c r="V301" s="130"/>
      <c r="W301" s="96"/>
      <c r="X301" s="130"/>
      <c r="Y301" s="130"/>
      <c r="Z301" s="96"/>
      <c r="AA301" s="96"/>
      <c r="AB301" s="130"/>
      <c r="AC301" s="130"/>
      <c r="AD301" s="130"/>
      <c r="AE301" s="97"/>
      <c r="AF301" s="130"/>
      <c r="AG301" s="99"/>
      <c r="AH301" s="100"/>
      <c r="AI301" s="100"/>
      <c r="AJ301" s="100" t="str">
        <f aca="false">IF(ISBLANK($C301),"",IF($E301=Constants!$B$2,TRUE(),IF($E301=Constants!$B$3,FALSE(),TRUE())))</f>
        <v/>
      </c>
      <c r="AK301" s="100" t="str">
        <f aca="false">IF(ISBLANK($C301),"",IF($F301=Constants!$B$2,TRUE(),IF($F301=Constants!$B$3,FALSE(),FALSE())))</f>
        <v/>
      </c>
      <c r="AL301" s="100" t="str">
        <f aca="false">IF(ISBLANK($C301),"",IF($G301=Constants!$B$2,TRUE(),IF($G301=Constants!$B$3,FALSE(),TRUE())))</f>
        <v/>
      </c>
      <c r="AM301" s="100" t="str">
        <f aca="false">IF(ISBLANK($C301),"",IF($H301=Constants!$B$2,TRUE(),IF($H301=Constants!$B$3,FALSE(),TRUE())))</f>
        <v/>
      </c>
      <c r="AN301" s="100" t="str">
        <f aca="false">IF(ISBLANK($C301),"",IF(ISNUMBER($I301),IF($I301&gt;=0,$I301,""),""))</f>
        <v/>
      </c>
      <c r="AO301" s="100" t="str">
        <f aca="false">IF(ISBLANK($C301),"",IF(ISNUMBER($J301),IF($J301&gt;=0,$J301,""),""))</f>
        <v/>
      </c>
      <c r="AP301" s="100" t="str">
        <f aca="false">IF(ISBLANK($C301),"",IF(ISNUMBER($K301),IF($K301&gt;=0,$K301,""),""))</f>
        <v/>
      </c>
      <c r="AQ301" s="100" t="str">
        <f aca="false">IF(ISBLANK($C301),"",IF($L301=Constants!$B$2,TRUE(),IF($L301=Constants!$B$3,FALSE(),TRUE())))</f>
        <v/>
      </c>
      <c r="AR301" s="100" t="str">
        <f aca="false">IF(ISBLANK($C301),"",IF($M301=Constants!$B$2,TRUE(),IF($M301=Constants!$B$3,FALSE(),TRUE())))</f>
        <v/>
      </c>
      <c r="AS301" s="100" t="str">
        <f aca="false">IF(ISBLANK($C301),"",IF($N301=Constants!$B$2,TRUE(),IF($N301=Constants!$B$3,FALSE(),FALSE())))</f>
        <v/>
      </c>
      <c r="AT301" s="100" t="str">
        <f aca="false">IF(ISBLANK($C301),"",IF($O301=Constants!$B$2,TRUE(),IF($O301=Constants!$B$3,FALSE(),TRUE())))</f>
        <v/>
      </c>
      <c r="AU301" s="100" t="str">
        <f aca="false">IF(ISBLANK($C301),"",IF($P301=Constants!$B$2,TRUE(),IF($P301=Constants!$B$3,FALSE(),TRUE())))</f>
        <v/>
      </c>
      <c r="AV301" s="100" t="str">
        <f aca="false">IF(ISBLANK($C301),"",IF($Q301=Constants!$B$2,TRUE(),IF($Q301=Constants!$B$3,FALSE(),FALSE())))</f>
        <v/>
      </c>
      <c r="AW301" s="100" t="str">
        <f aca="false">IF(ISBLANK($C301),"",IF($R301=Constants!$B$2,TRUE(),IF($R301=Constants!$B$3,FALSE(),FALSE())))</f>
        <v/>
      </c>
      <c r="AX301" s="100" t="str">
        <f aca="false">IF(ISBLANK($C301),"",IF($S301=Constants!$B$2,TRUE(),IF($S301=Constants!$B$3,FALSE(),FALSE())))</f>
        <v/>
      </c>
      <c r="AY301" s="100" t="str">
        <f aca="false">IF(ISBLANK($C301),"",IF($T301=Constants!$B$2,TRUE(),IF($T301=Constants!$B$3,FALSE(),FALSE())))</f>
        <v/>
      </c>
      <c r="AZ301" s="100" t="str">
        <f aca="false">IF(ISBLANK($C301),"",IF($U301=Constants!$B$2,TRUE(),IF($U301=Constants!$B$3,FALSE(),FALSE())))</f>
        <v/>
      </c>
      <c r="BA301" s="100" t="str">
        <f aca="false">IF(ISBLANK($C301),"",IF(OR($V301&amp;""="1",$V301&amp;""="2",$V301&amp;""="3",$V301&amp;""="4"),VALUE($V301&amp;""),IF($V301=Constants!$B$12,Constants!$B$12,"")))</f>
        <v/>
      </c>
      <c r="BB301" s="100" t="str">
        <f aca="false">IF(ISBLANK($C301),"",IF(ISBLANK($W301),0,IF(ISNUMBER($W301),IF(AND($W301&gt;=0,$W301&lt;=Constants!$B$21,$W301=INT($W301)),$W301,""),"")))</f>
        <v/>
      </c>
      <c r="BC301" s="100" t="str">
        <f aca="false">IF(ISBLANK($C301),"",IF(ISBLANK($X301),0,IF(ISNUMBER($X301),IF($X301&gt;=0,$X301,""),"")))</f>
        <v/>
      </c>
      <c r="BD301" s="100" t="str">
        <f aca="false">IF(ISBLANK($C301),"",IF($Y301=Constants!$B$2,TRUE(),IF($Y301=Constants!$B$3,FALSE(),TRUE())))</f>
        <v/>
      </c>
      <c r="BE301" s="100" t="str">
        <f aca="false">IF(ISBLANK($C301),"",IF($Z301=Constants!$B$2,TRUE(),IF($Z301=Constants!$B$3,FALSE(),FALSE())))</f>
        <v/>
      </c>
      <c r="BF301" s="100" t="str">
        <f aca="false">IF(ISBLANK($C301),"",IF(ISBLANK($AA301),0,IF(ISNUMBER($AA301),IF(AND($AA301&gt;=0,$AA301&lt;=Constants!$B$35,$AA301=INT($AA301)),$AA301,""),"")))</f>
        <v/>
      </c>
      <c r="BG301" s="100" t="str">
        <f aca="false">IF(ISBLANK($C301),"",IF($AB301=Constants!$B$2,TRUE(),IF($AB301=Constants!$B$3,FALSE(),TRUE())))</f>
        <v/>
      </c>
      <c r="BH301" s="100" t="str">
        <f aca="false">IF(ISBLANK($C301),"",IF($AC301=Constants!$B$2,TRUE(),IF($AC301=Constants!$B$3,FALSE(),TRUE())))</f>
        <v/>
      </c>
      <c r="BI301" s="100" t="str">
        <f aca="false">IF(ISBLANK($C301),"",IF($AD301=Constants!$B$2,TRUE(),IF($AD301=Constants!$B$3,FALSE(),TRUE())))</f>
        <v/>
      </c>
      <c r="BJ301" s="100" t="str">
        <f aca="false">IF(ISBLANK($C301),"",IF(ISNUMBER($AE301),IF($AE301&gt;=0,$AE301,""),""))</f>
        <v/>
      </c>
      <c r="BK301" s="100" t="str">
        <f aca="false">IF(ISBLANK($C301),"",IF($AF301=Constants!$B$2,TRUE(),IF($AF301=Constants!$B$3,FALSE(),FALSE())))</f>
        <v/>
      </c>
      <c r="BL301" s="99" t="str">
        <f aca="false">IF(ISBLANK($C301),"",IF($BK301,Constants!$B$7,IF(COUNTA($E301:$AE301)=0,Constants!$B$6,IF(OR(COUNTA($G301:$AE301)=0,NOT($AM301),$AS301),Constants!$B$5,IF(OR($CM301&lt;&gt;"",$CN301,$CO301,$CP301,$CQ301,$CR301,$CS301),Constants!$B$8,Constants!$B$4)))))</f>
        <v/>
      </c>
      <c r="BM301" s="100" t="str">
        <f aca="false">IF(ISBLANK($C301),"",IF($BL301&lt;&gt;Constants!$B$4,$BL301,IF(OR(NOT($AJ301),NOT($AL301),NOT($AT301)),Constants!$B$11,IF(OR(NOT($AR301),NOT($AU301),NOT($BI301),MAX($AN301,$AO301,$AP301)&gt;Constants!$B$30),Constants!$B$10,Constants!$B$9))))</f>
        <v/>
      </c>
      <c r="BN301" s="100" t="str">
        <f aca="false">IF($BL301&lt;&gt;Constants!$B$4,"",IF(NOT($AL301),0,MIN(Constants!$B$35,$BF301)))</f>
        <v/>
      </c>
      <c r="BO301" s="100" t="str">
        <f aca="false">IF($BL301&lt;&gt;Constants!$B$4,"",IF(NOT($AL301),0,IF($AW301,Constants!$B$18,IF($AV301,Constants!$B$17,0))))</f>
        <v/>
      </c>
      <c r="BP301" s="100" t="str">
        <f aca="false">IF($BL301&lt;&gt;Constants!$B$4,"",IF(NOT($AL301),0,Constants!$B$19*($AK301+$AX301+$AY301+$AZ301)))</f>
        <v/>
      </c>
      <c r="BQ301" s="100" t="str">
        <f aca="false">IF($BL301&lt;&gt;Constants!$B$4,"",IF(OR(NOT($AL301),NOT(ISNUMBER($BA301))),0,CHOOSE($BA301,Constants!$B$13,Constants!$B$14,Constants!$B$15,Constants!$B$16)))</f>
        <v/>
      </c>
      <c r="BR301" s="100" t="str">
        <f aca="false">IF($BL301&lt;&gt;Constants!$B$4,"",IF(NOT($AL301),0,Constants!$B$20*$BB301))</f>
        <v/>
      </c>
      <c r="BS301" s="100" t="str">
        <f aca="false">IF($BL301&lt;&gt;Constants!$B$4,"",IF(AND($AL301,$BD301,$BE301),Constants!$B$22,0))</f>
        <v/>
      </c>
      <c r="BT301" s="100" t="str">
        <f aca="false">IF($BL301&lt;&gt;Constants!$B$4,"",IF(OR(NOT($AL301),NOT($BD301)),0,IF($BJ301&gt;=2*$AH$9,0,Constants!$B$23*INT(ROUND(MIN($BJ301,$AH$9),6)))))</f>
        <v/>
      </c>
      <c r="BU301" s="100" t="str">
        <f aca="false">IF($BL301&lt;&gt;Constants!$B$4,"",IF(NOT($AL301),0,Constants!$B$24*INT(ROUND(MIN($BC301,$AH$9),6))))</f>
        <v/>
      </c>
      <c r="BV301" s="100" t="str">
        <f aca="false">IF($BL301&lt;&gt;Constants!$B$4,"",IF(AND($AL301,$BN301=0),Constants!$B$25,0))</f>
        <v/>
      </c>
      <c r="BW301" s="100" t="str">
        <f aca="false">IF($BL301&lt;&gt;Constants!$B$4,"",MIN(Constants!$B$29,MAX(0,Constants!$B$27*Constants!$B$28*INT(ROUND((Constants!$B$26-$AN301)/Constants!$B$28,6))))+MIN(Constants!$B$29,MAX(0,Constants!$B$27*Constants!$B$28*INT(ROUND((Constants!$B$26-$AO301)/Constants!$B$28,6))))+MIN(Constants!$B$29,MAX(0,Constants!$B$27*Constants!$B$28*INT(ROUND((Constants!$B$26-$AP301)/Constants!$B$28,6)))))</f>
        <v/>
      </c>
      <c r="BX301" s="100" t="str">
        <f aca="false">IF($BL301&lt;&gt;Constants!$B$4,"",IF(NOT($AL301),0,Constants!$B$31*INT(ROUND(MAX(0,MIN($BJ301,2*$AH$9)-$AH$9),6))))</f>
        <v/>
      </c>
      <c r="BY301" s="100" t="str">
        <f aca="false">IF($BL301&lt;&gt;Constants!$B$4,"",Constants!$B$32*(($AN301&gt;Constants!$B$26)+($AO301&gt;Constants!$B$26)+($AP301&gt;Constants!$B$26)))</f>
        <v/>
      </c>
      <c r="BZ301" s="100" t="str">
        <f aca="false">IF($BL301&lt;&gt;Constants!$B$4,"",IF(OR(NOT($AL301),$AQ301),0,Constants!$B$33))</f>
        <v/>
      </c>
      <c r="CA301" s="100" t="str">
        <f aca="false">IF($BL301&lt;&gt;Constants!$B$4,"",Constants!$B$34*$BN301)</f>
        <v/>
      </c>
      <c r="CB301" s="100" t="str">
        <f aca="false">IF($BL301&lt;&gt;Constants!$B$4,"",IF(OR(NOT($AL301),$BH301),0,Constants!$B$36))</f>
        <v/>
      </c>
      <c r="CC301" s="100" t="str">
        <f aca="false">IF($BL301&lt;&gt;Constants!$B$4,"",IF(OR(NOT($AL301),$BG301),0,Constants!$B$37))</f>
        <v/>
      </c>
      <c r="CD301" s="100" t="str">
        <f aca="false">IF($BL301&lt;&gt;Constants!$B$4,"",SUM($BX301:$CC301))</f>
        <v/>
      </c>
      <c r="CE301" s="100" t="str">
        <f aca="false">IF(ISBLANK($C301),"",IF($BL301&lt;&gt;Constants!$B$4,$BL301,SUM($BO301:$BW301)-$CD301))</f>
        <v/>
      </c>
      <c r="CF301" s="100" t="str">
        <f aca="false">IF(ISBLANK($C301),"",IF($BL301&lt;&gt;Constants!$B$4,$BL301,RANK($CE301,$CE$9:$CE$508)))</f>
        <v/>
      </c>
      <c r="CG301" s="100" t="str">
        <f aca="false">IF(ISBLANK($C301),"",IF($BL301&lt;&gt;Constants!$B$4,$BL301,COUNTIFS($BM$9:$BM$508,"&lt;"&amp;$BM301)+COUNTIFS($BM$9:$BM$508,$BM301,$CF$9:$CF$508,"&lt;"&amp;$CF301)+1))</f>
        <v/>
      </c>
      <c r="CH301" s="100" t="str">
        <f aca="false">IF(ISBLANK($C301),"",IF($BL301&lt;&gt;Constants!$B$4,$BL301,RANK($CD301,$CD$9:$CD$508,1)))</f>
        <v/>
      </c>
      <c r="CI301" s="100" t="str">
        <f aca="false">IF($BL301&lt;&gt;Constants!$B$4,"",$AN301+$AO301+$AP301)</f>
        <v/>
      </c>
      <c r="CJ301" s="100" t="str">
        <f aca="false">IF(ISBLANK($C301),"",IF($BL301&lt;&gt;Constants!$B$4,$BL301,RANK($CI301,$CI$9:$CI$508,1)))</f>
        <v/>
      </c>
      <c r="CK301" s="100" t="str">
        <f aca="false">IF(ISBLANK($C301),"",IF($BL301&lt;&gt;Constants!$B$4,$BL301,COUNTIFS($BM$9:$BM$508,"&lt;"&amp;$BM301)+COUNTIFS($BM$9:$BM$508,$BM301,$CF$9:$CF$508,"&lt;"&amp;$CF301)+COUNTIFS($BM$9:$BM$508,$BM301,$CF$9:$CF$508,$CF301,$CH$9:$CH$508,"&lt;"&amp;$CH301)+COUNTIFS($BM$9:$BM$508,$BM301,$CF$9:$CF$508,$CF301,$CH$9:$CH$508,$CH301,$CJ$9:$CJ$508,"&lt;"&amp;$CJ301)+1))</f>
        <v/>
      </c>
      <c r="CL301" s="100" t="str">
        <f aca="false">IF(ISBLANK($C301),"",IF($BL301&lt;&gt;Constants!$B$4,$BL301,$CG301-$CK301))</f>
        <v/>
      </c>
      <c r="CM301" s="100" t="str">
        <f aca="false">IF(ISBLANK($C301),"",IF(NOT($AL301),"",IF(ISBLANK($D$7),$CM$5,IF(NOT(ISNUMBER($D$7)),$CM$6,""))))</f>
        <v/>
      </c>
      <c r="CN301" s="100" t="str">
        <f aca="false">IF(ISBLANK($C301),"",OR($AN301="",$AO301="",$AP301=""))</f>
        <v/>
      </c>
      <c r="CO301" s="100" t="str">
        <f aca="false">IF(ISBLANK($C301),"",AND($AL301,$BA301=""))</f>
        <v/>
      </c>
      <c r="CP301" s="100" t="str">
        <f aca="false">IF(ISBLANK($C301),"",AND($AL301,$BB301=""))</f>
        <v/>
      </c>
      <c r="CQ301" s="100" t="str">
        <f aca="false">IF(ISBLANK($C301),"",AND($AL301,$BC301=""))</f>
        <v/>
      </c>
      <c r="CR301" s="100" t="str">
        <f aca="false">IF(ISBLANK($C301),"",AND($AL301,$BF301=""))</f>
        <v/>
      </c>
      <c r="CS301" s="100" t="str">
        <f aca="false">IF(ISBLANK($C301),"",AND($AL301,$BJ301=""))</f>
        <v/>
      </c>
      <c r="CT301" s="101"/>
      <c r="CU301" s="102"/>
      <c r="CV301" s="103" t="str">
        <f aca="false">IF(ISBLANK($C301),"",IF($BL301=Constants!$B$8,$CM301,""))</f>
        <v/>
      </c>
      <c r="CW301" s="102" t="str">
        <f aca="false">IF(ISBLANK($C301),"",IF($BL301&lt;&gt;Constants!$B$4,"",$BO301+$BP301))</f>
        <v/>
      </c>
      <c r="CX301" s="104" t="str">
        <f aca="false">IF(ISBLANK($C301),"",IF($BL301&lt;&gt;Constants!$B$4,"",$BQ301+$BR301+$BS301))</f>
        <v/>
      </c>
      <c r="CY301" s="104" t="str">
        <f aca="false">IF(ISBLANK($C301),"",IF($BL301&lt;&gt;Constants!$B$4,"",$BT301))</f>
        <v/>
      </c>
      <c r="CZ301" s="104" t="str">
        <f aca="false">IF(ISBLANK($C301),"",IF($BL301&lt;&gt;Constants!$B$4,"",$BU301+$BV301))</f>
        <v/>
      </c>
      <c r="DA301" s="104" t="str">
        <f aca="false">IF(ISBLANK($C301),"",IF($BL301&lt;&gt;Constants!$B$4,"",$BW301))</f>
        <v/>
      </c>
      <c r="DB301" s="104" t="str">
        <f aca="false">IF(ISBLANK($C301),"",IF($BL301&lt;&gt;Constants!$B$4,"",-$CD301))</f>
        <v/>
      </c>
      <c r="DC301" s="103" t="str">
        <f aca="false">IF(ISBLANK($C301),"",$CE301)</f>
        <v/>
      </c>
      <c r="DD301" s="105" t="str">
        <f aca="false">IF(ISBLANK($C301),"",$BM301)</f>
        <v/>
      </c>
      <c r="DE301" s="104" t="str">
        <f aca="false">IF(ISBLANK($C301),"",$CL301)</f>
        <v/>
      </c>
      <c r="DF301" s="104" t="str">
        <f aca="false">IF(ISBLANK($C301),"",$CK301)</f>
        <v/>
      </c>
      <c r="DG301" s="106" t="str">
        <f aca="false">IF(ISBLANK($C301),"",IF($DF301=Constants!$B$7,COUNTA($C$9:$C$508)+2,IF($DF301=Constants!$B$6,COUNTA($C$9:$C$508)+1,IF($DF301=Constants!$B$5,COUNTA($C$9:$C$508),$DF301))))</f>
        <v/>
      </c>
      <c r="DH301" s="7"/>
      <c r="DI301" s="107" t="n">
        <f aca="false">IF(OR(ISNUMBER($DF301),$DF301=Constants!$B$7,$DF301=Constants!$B$5,$DF301=Constants!$B$6),1,0)</f>
        <v>0</v>
      </c>
      <c r="DJ301" s="107" t="n">
        <v>293</v>
      </c>
      <c r="DK301" s="107" t="str">
        <f aca="false">IF(ISBLANK($C301),"",IF(ISNUMBER($DG301),$DG301+ROW($B301)/1000,""))</f>
        <v/>
      </c>
      <c r="DL301" s="107" t="str">
        <f aca="false">IF(ISNUMBER($DK301),RANK($DK301,$DK$9:$DK$508,1),"")</f>
        <v/>
      </c>
      <c r="DM301" s="107" t="str">
        <f aca="false">IF(ISBLANK($C301),"",$B301)</f>
        <v/>
      </c>
      <c r="DN301" s="107" t="str">
        <f aca="false">IF(ISBLANK($C301),"",$C301)</f>
        <v/>
      </c>
      <c r="DO301" s="107" t="str">
        <f aca="false">IF(ISBLANK($C301),"",$D301)</f>
        <v/>
      </c>
      <c r="DP301" s="108" t="str">
        <f aca="false">$DD301</f>
        <v/>
      </c>
      <c r="DQ301" s="109" t="str">
        <f aca="false">$DC301</f>
        <v/>
      </c>
      <c r="DR301" s="107" t="str">
        <f aca="false">IF(ISBLANK($C301),"",$DF301)</f>
        <v/>
      </c>
      <c r="DS301" s="110" t="str">
        <f aca="false">IF($DJ301&gt;$DI$8,"",VLOOKUP($DJ301,$DL$9:$DR$508,7,FALSE()))</f>
        <v/>
      </c>
      <c r="DT301" s="111" t="str">
        <f aca="false">IF($DJ301&gt;$DI$8,"",VLOOKUP($DJ301,$DL$9:$DR$508,2,FALSE()))</f>
        <v/>
      </c>
      <c r="DU301" s="111" t="str">
        <f aca="false">IF($DJ301&gt;$DI$8,"",VLOOKUP($DJ301,$DL$9:$DR$508,3,FALSE()))</f>
        <v/>
      </c>
      <c r="DV301" s="111" t="str">
        <f aca="false">IF($DJ301&gt;$DI$8,"",VLOOKUP($DJ301,$DL$9:$DR$508,4,FALSE()))</f>
        <v/>
      </c>
      <c r="DW301" s="111" t="str">
        <f aca="false">IF($DJ301&gt;$DI$8,"",VLOOKUP($DJ301,$DL$9:$DR$508,5,FALSE()))</f>
        <v/>
      </c>
      <c r="DX301" s="112" t="str">
        <f aca="false">IF($DJ301&gt;$DI$8,"",VLOOKUP($DJ301,$DL$9:$DR$508,6,FALSE()))</f>
        <v/>
      </c>
      <c r="DY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130"/>
      <c r="N302" s="130"/>
      <c r="O302" s="135"/>
      <c r="P302" s="135"/>
      <c r="Q302" s="130"/>
      <c r="R302" s="130"/>
      <c r="S302" s="130"/>
      <c r="T302" s="130"/>
      <c r="U302" s="135"/>
      <c r="V302" s="130"/>
      <c r="W302" s="96"/>
      <c r="X302" s="130"/>
      <c r="Y302" s="130"/>
      <c r="Z302" s="96"/>
      <c r="AA302" s="96"/>
      <c r="AB302" s="130"/>
      <c r="AC302" s="130"/>
      <c r="AD302" s="130"/>
      <c r="AE302" s="97"/>
      <c r="AF302" s="130"/>
      <c r="AG302" s="99"/>
      <c r="AH302" s="100"/>
      <c r="AI302" s="100"/>
      <c r="AJ302" s="100" t="str">
        <f aca="false">IF(ISBLANK($C302),"",IF($E302=Constants!$B$2,TRUE(),IF($E302=Constants!$B$3,FALSE(),TRUE())))</f>
        <v/>
      </c>
      <c r="AK302" s="100" t="str">
        <f aca="false">IF(ISBLANK($C302),"",IF($F302=Constants!$B$2,TRUE(),IF($F302=Constants!$B$3,FALSE(),FALSE())))</f>
        <v/>
      </c>
      <c r="AL302" s="100" t="str">
        <f aca="false">IF(ISBLANK($C302),"",IF($G302=Constants!$B$2,TRUE(),IF($G302=Constants!$B$3,FALSE(),TRUE())))</f>
        <v/>
      </c>
      <c r="AM302" s="100" t="str">
        <f aca="false">IF(ISBLANK($C302),"",IF($H302=Constants!$B$2,TRUE(),IF($H302=Constants!$B$3,FALSE(),TRUE())))</f>
        <v/>
      </c>
      <c r="AN302" s="100" t="str">
        <f aca="false">IF(ISBLANK($C302),"",IF(ISNUMBER($I302),IF($I302&gt;=0,$I302,""),""))</f>
        <v/>
      </c>
      <c r="AO302" s="100" t="str">
        <f aca="false">IF(ISBLANK($C302),"",IF(ISNUMBER($J302),IF($J302&gt;=0,$J302,""),""))</f>
        <v/>
      </c>
      <c r="AP302" s="100" t="str">
        <f aca="false">IF(ISBLANK($C302),"",IF(ISNUMBER($K302),IF($K302&gt;=0,$K302,""),""))</f>
        <v/>
      </c>
      <c r="AQ302" s="100" t="str">
        <f aca="false">IF(ISBLANK($C302),"",IF($L302=Constants!$B$2,TRUE(),IF($L302=Constants!$B$3,FALSE(),TRUE())))</f>
        <v/>
      </c>
      <c r="AR302" s="100" t="str">
        <f aca="false">IF(ISBLANK($C302),"",IF($M302=Constants!$B$2,TRUE(),IF($M302=Constants!$B$3,FALSE(),TRUE())))</f>
        <v/>
      </c>
      <c r="AS302" s="100" t="str">
        <f aca="false">IF(ISBLANK($C302),"",IF($N302=Constants!$B$2,TRUE(),IF($N302=Constants!$B$3,FALSE(),FALSE())))</f>
        <v/>
      </c>
      <c r="AT302" s="100" t="str">
        <f aca="false">IF(ISBLANK($C302),"",IF($O302=Constants!$B$2,TRUE(),IF($O302=Constants!$B$3,FALSE(),TRUE())))</f>
        <v/>
      </c>
      <c r="AU302" s="100" t="str">
        <f aca="false">IF(ISBLANK($C302),"",IF($P302=Constants!$B$2,TRUE(),IF($P302=Constants!$B$3,FALSE(),TRUE())))</f>
        <v/>
      </c>
      <c r="AV302" s="100" t="str">
        <f aca="false">IF(ISBLANK($C302),"",IF($Q302=Constants!$B$2,TRUE(),IF($Q302=Constants!$B$3,FALSE(),FALSE())))</f>
        <v/>
      </c>
      <c r="AW302" s="100" t="str">
        <f aca="false">IF(ISBLANK($C302),"",IF($R302=Constants!$B$2,TRUE(),IF($R302=Constants!$B$3,FALSE(),FALSE())))</f>
        <v/>
      </c>
      <c r="AX302" s="100" t="str">
        <f aca="false">IF(ISBLANK($C302),"",IF($S302=Constants!$B$2,TRUE(),IF($S302=Constants!$B$3,FALSE(),FALSE())))</f>
        <v/>
      </c>
      <c r="AY302" s="100" t="str">
        <f aca="false">IF(ISBLANK($C302),"",IF($T302=Constants!$B$2,TRUE(),IF($T302=Constants!$B$3,FALSE(),FALSE())))</f>
        <v/>
      </c>
      <c r="AZ302" s="100" t="str">
        <f aca="false">IF(ISBLANK($C302),"",IF($U302=Constants!$B$2,TRUE(),IF($U302=Constants!$B$3,FALSE(),FALSE())))</f>
        <v/>
      </c>
      <c r="BA302" s="100" t="str">
        <f aca="false">IF(ISBLANK($C302),"",IF(OR($V302&amp;""="1",$V302&amp;""="2",$V302&amp;""="3",$V302&amp;""="4"),VALUE($V302&amp;""),IF($V302=Constants!$B$12,Constants!$B$12,"")))</f>
        <v/>
      </c>
      <c r="BB302" s="100" t="str">
        <f aca="false">IF(ISBLANK($C302),"",IF(ISBLANK($W302),0,IF(ISNUMBER($W302),IF(AND($W302&gt;=0,$W302&lt;=Constants!$B$21,$W302=INT($W302)),$W302,""),"")))</f>
        <v/>
      </c>
      <c r="BC302" s="100" t="str">
        <f aca="false">IF(ISBLANK($C302),"",IF(ISBLANK($X302),0,IF(ISNUMBER($X302),IF($X302&gt;=0,$X302,""),"")))</f>
        <v/>
      </c>
      <c r="BD302" s="100" t="str">
        <f aca="false">IF(ISBLANK($C302),"",IF($Y302=Constants!$B$2,TRUE(),IF($Y302=Constants!$B$3,FALSE(),TRUE())))</f>
        <v/>
      </c>
      <c r="BE302" s="100" t="str">
        <f aca="false">IF(ISBLANK($C302),"",IF($Z302=Constants!$B$2,TRUE(),IF($Z302=Constants!$B$3,FALSE(),FALSE())))</f>
        <v/>
      </c>
      <c r="BF302" s="100" t="str">
        <f aca="false">IF(ISBLANK($C302),"",IF(ISBLANK($AA302),0,IF(ISNUMBER($AA302),IF(AND($AA302&gt;=0,$AA302&lt;=Constants!$B$35,$AA302=INT($AA302)),$AA302,""),"")))</f>
        <v/>
      </c>
      <c r="BG302" s="100" t="str">
        <f aca="false">IF(ISBLANK($C302),"",IF($AB302=Constants!$B$2,TRUE(),IF($AB302=Constants!$B$3,FALSE(),TRUE())))</f>
        <v/>
      </c>
      <c r="BH302" s="100" t="str">
        <f aca="false">IF(ISBLANK($C302),"",IF($AC302=Constants!$B$2,TRUE(),IF($AC302=Constants!$B$3,FALSE(),TRUE())))</f>
        <v/>
      </c>
      <c r="BI302" s="100" t="str">
        <f aca="false">IF(ISBLANK($C302),"",IF($AD302=Constants!$B$2,TRUE(),IF($AD302=Constants!$B$3,FALSE(),TRUE())))</f>
        <v/>
      </c>
      <c r="BJ302" s="100" t="str">
        <f aca="false">IF(ISBLANK($C302),"",IF(ISNUMBER($AE302),IF($AE302&gt;=0,$AE302,""),""))</f>
        <v/>
      </c>
      <c r="BK302" s="100" t="str">
        <f aca="false">IF(ISBLANK($C302),"",IF($AF302=Constants!$B$2,TRUE(),IF($AF302=Constants!$B$3,FALSE(),FALSE())))</f>
        <v/>
      </c>
      <c r="BL302" s="99" t="str">
        <f aca="false">IF(ISBLANK($C302),"",IF($BK302,Constants!$B$7,IF(COUNTA($E302:$AE302)=0,Constants!$B$6,IF(OR(COUNTA($G302:$AE302)=0,NOT($AM302),$AS302),Constants!$B$5,IF(OR($CM302&lt;&gt;"",$CN302,$CO302,$CP302,$CQ302,$CR302,$CS302),Constants!$B$8,Constants!$B$4)))))</f>
        <v/>
      </c>
      <c r="BM302" s="100" t="str">
        <f aca="false">IF(ISBLANK($C302),"",IF($BL302&lt;&gt;Constants!$B$4,$BL302,IF(OR(NOT($AJ302),NOT($AL302),NOT($AT302)),Constants!$B$11,IF(OR(NOT($AR302),NOT($AU302),NOT($BI302),MAX($AN302,$AO302,$AP302)&gt;Constants!$B$30),Constants!$B$10,Constants!$B$9))))</f>
        <v/>
      </c>
      <c r="BN302" s="100" t="str">
        <f aca="false">IF($BL302&lt;&gt;Constants!$B$4,"",IF(NOT($AL302),0,MIN(Constants!$B$35,$BF302)))</f>
        <v/>
      </c>
      <c r="BO302" s="100" t="str">
        <f aca="false">IF($BL302&lt;&gt;Constants!$B$4,"",IF(NOT($AL302),0,IF($AW302,Constants!$B$18,IF($AV302,Constants!$B$17,0))))</f>
        <v/>
      </c>
      <c r="BP302" s="100" t="str">
        <f aca="false">IF($BL302&lt;&gt;Constants!$B$4,"",IF(NOT($AL302),0,Constants!$B$19*($AK302+$AX302+$AY302+$AZ302)))</f>
        <v/>
      </c>
      <c r="BQ302" s="100" t="str">
        <f aca="false">IF($BL302&lt;&gt;Constants!$B$4,"",IF(OR(NOT($AL302),NOT(ISNUMBER($BA302))),0,CHOOSE($BA302,Constants!$B$13,Constants!$B$14,Constants!$B$15,Constants!$B$16)))</f>
        <v/>
      </c>
      <c r="BR302" s="100" t="str">
        <f aca="false">IF($BL302&lt;&gt;Constants!$B$4,"",IF(NOT($AL302),0,Constants!$B$20*$BB302))</f>
        <v/>
      </c>
      <c r="BS302" s="100" t="str">
        <f aca="false">IF($BL302&lt;&gt;Constants!$B$4,"",IF(AND($AL302,$BD302,$BE302),Constants!$B$22,0))</f>
        <v/>
      </c>
      <c r="BT302" s="100" t="str">
        <f aca="false">IF($BL302&lt;&gt;Constants!$B$4,"",IF(OR(NOT($AL302),NOT($BD302)),0,IF($BJ302&gt;=2*$AH$9,0,Constants!$B$23*INT(ROUND(MIN($BJ302,$AH$9),6)))))</f>
        <v/>
      </c>
      <c r="BU302" s="100" t="str">
        <f aca="false">IF($BL302&lt;&gt;Constants!$B$4,"",IF(NOT($AL302),0,Constants!$B$24*INT(ROUND(MIN($BC302,$AH$9),6))))</f>
        <v/>
      </c>
      <c r="BV302" s="100" t="str">
        <f aca="false">IF($BL302&lt;&gt;Constants!$B$4,"",IF(AND($AL302,$BN302=0),Constants!$B$25,0))</f>
        <v/>
      </c>
      <c r="BW302" s="100" t="str">
        <f aca="false">IF($BL302&lt;&gt;Constants!$B$4,"",MIN(Constants!$B$29,MAX(0,Constants!$B$27*Constants!$B$28*INT(ROUND((Constants!$B$26-$AN302)/Constants!$B$28,6))))+MIN(Constants!$B$29,MAX(0,Constants!$B$27*Constants!$B$28*INT(ROUND((Constants!$B$26-$AO302)/Constants!$B$28,6))))+MIN(Constants!$B$29,MAX(0,Constants!$B$27*Constants!$B$28*INT(ROUND((Constants!$B$26-$AP302)/Constants!$B$28,6)))))</f>
        <v/>
      </c>
      <c r="BX302" s="100" t="str">
        <f aca="false">IF($BL302&lt;&gt;Constants!$B$4,"",IF(NOT($AL302),0,Constants!$B$31*INT(ROUND(MAX(0,MIN($BJ302,2*$AH$9)-$AH$9),6))))</f>
        <v/>
      </c>
      <c r="BY302" s="100" t="str">
        <f aca="false">IF($BL302&lt;&gt;Constants!$B$4,"",Constants!$B$32*(($AN302&gt;Constants!$B$26)+($AO302&gt;Constants!$B$26)+($AP302&gt;Constants!$B$26)))</f>
        <v/>
      </c>
      <c r="BZ302" s="100" t="str">
        <f aca="false">IF($BL302&lt;&gt;Constants!$B$4,"",IF(OR(NOT($AL302),$AQ302),0,Constants!$B$33))</f>
        <v/>
      </c>
      <c r="CA302" s="100" t="str">
        <f aca="false">IF($BL302&lt;&gt;Constants!$B$4,"",Constants!$B$34*$BN302)</f>
        <v/>
      </c>
      <c r="CB302" s="100" t="str">
        <f aca="false">IF($BL302&lt;&gt;Constants!$B$4,"",IF(OR(NOT($AL302),$BH302),0,Constants!$B$36))</f>
        <v/>
      </c>
      <c r="CC302" s="100" t="str">
        <f aca="false">IF($BL302&lt;&gt;Constants!$B$4,"",IF(OR(NOT($AL302),$BG302),0,Constants!$B$37))</f>
        <v/>
      </c>
      <c r="CD302" s="100" t="str">
        <f aca="false">IF($BL302&lt;&gt;Constants!$B$4,"",SUM($BX302:$CC302))</f>
        <v/>
      </c>
      <c r="CE302" s="100" t="str">
        <f aca="false">IF(ISBLANK($C302),"",IF($BL302&lt;&gt;Constants!$B$4,$BL302,SUM($BO302:$BW302)-$CD302))</f>
        <v/>
      </c>
      <c r="CF302" s="100" t="str">
        <f aca="false">IF(ISBLANK($C302),"",IF($BL302&lt;&gt;Constants!$B$4,$BL302,RANK($CE302,$CE$9:$CE$508)))</f>
        <v/>
      </c>
      <c r="CG302" s="100" t="str">
        <f aca="false">IF(ISBLANK($C302),"",IF($BL302&lt;&gt;Constants!$B$4,$BL302,COUNTIFS($BM$9:$BM$508,"&lt;"&amp;$BM302)+COUNTIFS($BM$9:$BM$508,$BM302,$CF$9:$CF$508,"&lt;"&amp;$CF302)+1))</f>
        <v/>
      </c>
      <c r="CH302" s="100" t="str">
        <f aca="false">IF(ISBLANK($C302),"",IF($BL302&lt;&gt;Constants!$B$4,$BL302,RANK($CD302,$CD$9:$CD$508,1)))</f>
        <v/>
      </c>
      <c r="CI302" s="100" t="str">
        <f aca="false">IF($BL302&lt;&gt;Constants!$B$4,"",$AN302+$AO302+$AP302)</f>
        <v/>
      </c>
      <c r="CJ302" s="100" t="str">
        <f aca="false">IF(ISBLANK($C302),"",IF($BL302&lt;&gt;Constants!$B$4,$BL302,RANK($CI302,$CI$9:$CI$508,1)))</f>
        <v/>
      </c>
      <c r="CK302" s="100" t="str">
        <f aca="false">IF(ISBLANK($C302),"",IF($BL302&lt;&gt;Constants!$B$4,$BL302,COUNTIFS($BM$9:$BM$508,"&lt;"&amp;$BM302)+COUNTIFS($BM$9:$BM$508,$BM302,$CF$9:$CF$508,"&lt;"&amp;$CF302)+COUNTIFS($BM$9:$BM$508,$BM302,$CF$9:$CF$508,$CF302,$CH$9:$CH$508,"&lt;"&amp;$CH302)+COUNTIFS($BM$9:$BM$508,$BM302,$CF$9:$CF$508,$CF302,$CH$9:$CH$508,$CH302,$CJ$9:$CJ$508,"&lt;"&amp;$CJ302)+1))</f>
        <v/>
      </c>
      <c r="CL302" s="100" t="str">
        <f aca="false">IF(ISBLANK($C302),"",IF($BL302&lt;&gt;Constants!$B$4,$BL302,$CG302-$CK302))</f>
        <v/>
      </c>
      <c r="CM302" s="100" t="str">
        <f aca="false">IF(ISBLANK($C302),"",IF(NOT($AL302),"",IF(ISBLANK($D$7),$CM$5,IF(NOT(ISNUMBER($D$7)),$CM$6,""))))</f>
        <v/>
      </c>
      <c r="CN302" s="100" t="str">
        <f aca="false">IF(ISBLANK($C302),"",OR($AN302="",$AO302="",$AP302=""))</f>
        <v/>
      </c>
      <c r="CO302" s="100" t="str">
        <f aca="false">IF(ISBLANK($C302),"",AND($AL302,$BA302=""))</f>
        <v/>
      </c>
      <c r="CP302" s="100" t="str">
        <f aca="false">IF(ISBLANK($C302),"",AND($AL302,$BB302=""))</f>
        <v/>
      </c>
      <c r="CQ302" s="100" t="str">
        <f aca="false">IF(ISBLANK($C302),"",AND($AL302,$BC302=""))</f>
        <v/>
      </c>
      <c r="CR302" s="100" t="str">
        <f aca="false">IF(ISBLANK($C302),"",AND($AL302,$BF302=""))</f>
        <v/>
      </c>
      <c r="CS302" s="100" t="str">
        <f aca="false">IF(ISBLANK($C302),"",AND($AL302,$BJ302=""))</f>
        <v/>
      </c>
      <c r="CT302" s="101"/>
      <c r="CU302" s="102"/>
      <c r="CV302" s="103" t="str">
        <f aca="false">IF(ISBLANK($C302),"",IF($BL302=Constants!$B$8,$CM302,""))</f>
        <v/>
      </c>
      <c r="CW302" s="102" t="str">
        <f aca="false">IF(ISBLANK($C302),"",IF($BL302&lt;&gt;Constants!$B$4,"",$BO302+$BP302))</f>
        <v/>
      </c>
      <c r="CX302" s="104" t="str">
        <f aca="false">IF(ISBLANK($C302),"",IF($BL302&lt;&gt;Constants!$B$4,"",$BQ302+$BR302+$BS302))</f>
        <v/>
      </c>
      <c r="CY302" s="104" t="str">
        <f aca="false">IF(ISBLANK($C302),"",IF($BL302&lt;&gt;Constants!$B$4,"",$BT302))</f>
        <v/>
      </c>
      <c r="CZ302" s="104" t="str">
        <f aca="false">IF(ISBLANK($C302),"",IF($BL302&lt;&gt;Constants!$B$4,"",$BU302+$BV302))</f>
        <v/>
      </c>
      <c r="DA302" s="104" t="str">
        <f aca="false">IF(ISBLANK($C302),"",IF($BL302&lt;&gt;Constants!$B$4,"",$BW302))</f>
        <v/>
      </c>
      <c r="DB302" s="104" t="str">
        <f aca="false">IF(ISBLANK($C302),"",IF($BL302&lt;&gt;Constants!$B$4,"",-$CD302))</f>
        <v/>
      </c>
      <c r="DC302" s="103" t="str">
        <f aca="false">IF(ISBLANK($C302),"",$CE302)</f>
        <v/>
      </c>
      <c r="DD302" s="105" t="str">
        <f aca="false">IF(ISBLANK($C302),"",$BM302)</f>
        <v/>
      </c>
      <c r="DE302" s="104" t="str">
        <f aca="false">IF(ISBLANK($C302),"",$CL302)</f>
        <v/>
      </c>
      <c r="DF302" s="104" t="str">
        <f aca="false">IF(ISBLANK($C302),"",$CK302)</f>
        <v/>
      </c>
      <c r="DG302" s="106" t="str">
        <f aca="false">IF(ISBLANK($C302),"",IF($DF302=Constants!$B$7,COUNTA($C$9:$C$508)+2,IF($DF302=Constants!$B$6,COUNTA($C$9:$C$508)+1,IF($DF302=Constants!$B$5,COUNTA($C$9:$C$508),$DF302))))</f>
        <v/>
      </c>
      <c r="DH302" s="7"/>
      <c r="DI302" s="107" t="n">
        <f aca="false">IF(OR(ISNUMBER($DF302),$DF302=Constants!$B$7,$DF302=Constants!$B$5,$DF302=Constants!$B$6),1,0)</f>
        <v>0</v>
      </c>
      <c r="DJ302" s="107" t="n">
        <v>294</v>
      </c>
      <c r="DK302" s="107" t="str">
        <f aca="false">IF(ISBLANK($C302),"",IF(ISNUMBER($DG302),$DG302+ROW($B302)/1000,""))</f>
        <v/>
      </c>
      <c r="DL302" s="107" t="str">
        <f aca="false">IF(ISNUMBER($DK302),RANK($DK302,$DK$9:$DK$508,1),"")</f>
        <v/>
      </c>
      <c r="DM302" s="107" t="str">
        <f aca="false">IF(ISBLANK($C302),"",$B302)</f>
        <v/>
      </c>
      <c r="DN302" s="107" t="str">
        <f aca="false">IF(ISBLANK($C302),"",$C302)</f>
        <v/>
      </c>
      <c r="DO302" s="107" t="str">
        <f aca="false">IF(ISBLANK($C302),"",$D302)</f>
        <v/>
      </c>
      <c r="DP302" s="108" t="str">
        <f aca="false">$DD302</f>
        <v/>
      </c>
      <c r="DQ302" s="109" t="str">
        <f aca="false">$DC302</f>
        <v/>
      </c>
      <c r="DR302" s="107" t="str">
        <f aca="false">IF(ISBLANK($C302),"",$DF302)</f>
        <v/>
      </c>
      <c r="DS302" s="110" t="str">
        <f aca="false">IF($DJ302&gt;$DI$8,"",VLOOKUP($DJ302,$DL$9:$DR$508,7,FALSE()))</f>
        <v/>
      </c>
      <c r="DT302" s="111" t="str">
        <f aca="false">IF($DJ302&gt;$DI$8,"",VLOOKUP($DJ302,$DL$9:$DR$508,2,FALSE()))</f>
        <v/>
      </c>
      <c r="DU302" s="111" t="str">
        <f aca="false">IF($DJ302&gt;$DI$8,"",VLOOKUP($DJ302,$DL$9:$DR$508,3,FALSE()))</f>
        <v/>
      </c>
      <c r="DV302" s="111" t="str">
        <f aca="false">IF($DJ302&gt;$DI$8,"",VLOOKUP($DJ302,$DL$9:$DR$508,4,FALSE()))</f>
        <v/>
      </c>
      <c r="DW302" s="111" t="str">
        <f aca="false">IF($DJ302&gt;$DI$8,"",VLOOKUP($DJ302,$DL$9:$DR$508,5,FALSE()))</f>
        <v/>
      </c>
      <c r="DX302" s="112" t="str">
        <f aca="false">IF($DJ302&gt;$DI$8,"",VLOOKUP($DJ302,$DL$9:$DR$508,6,FALSE()))</f>
        <v/>
      </c>
      <c r="DY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88"/>
      <c r="N303" s="88"/>
      <c r="O303" s="134"/>
      <c r="P303" s="134"/>
      <c r="Q303" s="88"/>
      <c r="R303" s="88"/>
      <c r="S303" s="88"/>
      <c r="T303" s="88"/>
      <c r="U303" s="134"/>
      <c r="V303" s="88"/>
      <c r="W303" s="70"/>
      <c r="X303" s="88"/>
      <c r="Y303" s="88"/>
      <c r="Z303" s="70"/>
      <c r="AA303" s="70"/>
      <c r="AB303" s="88"/>
      <c r="AC303" s="88"/>
      <c r="AD303" s="88"/>
      <c r="AE303" s="71"/>
      <c r="AF303" s="88"/>
      <c r="AG303" s="73"/>
      <c r="AH303" s="74"/>
      <c r="AI303" s="74"/>
      <c r="AJ303" s="74" t="str">
        <f aca="false">IF(ISBLANK($C303),"",IF($E303=Constants!$B$2,TRUE(),IF($E303=Constants!$B$3,FALSE(),TRUE())))</f>
        <v/>
      </c>
      <c r="AK303" s="74" t="str">
        <f aca="false">IF(ISBLANK($C303),"",IF($F303=Constants!$B$2,TRUE(),IF($F303=Constants!$B$3,FALSE(),FALSE())))</f>
        <v/>
      </c>
      <c r="AL303" s="74" t="str">
        <f aca="false">IF(ISBLANK($C303),"",IF($G303=Constants!$B$2,TRUE(),IF($G303=Constants!$B$3,FALSE(),TRUE())))</f>
        <v/>
      </c>
      <c r="AM303" s="74" t="str">
        <f aca="false">IF(ISBLANK($C303),"",IF($H303=Constants!$B$2,TRUE(),IF($H303=Constants!$B$3,FALSE(),TRUE())))</f>
        <v/>
      </c>
      <c r="AN303" s="74" t="str">
        <f aca="false">IF(ISBLANK($C303),"",IF(ISNUMBER($I303),IF($I303&gt;=0,$I303,""),""))</f>
        <v/>
      </c>
      <c r="AO303" s="74" t="str">
        <f aca="false">IF(ISBLANK($C303),"",IF(ISNUMBER($J303),IF($J303&gt;=0,$J303,""),""))</f>
        <v/>
      </c>
      <c r="AP303" s="74" t="str">
        <f aca="false">IF(ISBLANK($C303),"",IF(ISNUMBER($K303),IF($K303&gt;=0,$K303,""),""))</f>
        <v/>
      </c>
      <c r="AQ303" s="74" t="str">
        <f aca="false">IF(ISBLANK($C303),"",IF($L303=Constants!$B$2,TRUE(),IF($L303=Constants!$B$3,FALSE(),TRUE())))</f>
        <v/>
      </c>
      <c r="AR303" s="74" t="str">
        <f aca="false">IF(ISBLANK($C303),"",IF($M303=Constants!$B$2,TRUE(),IF($M303=Constants!$B$3,FALSE(),TRUE())))</f>
        <v/>
      </c>
      <c r="AS303" s="74" t="str">
        <f aca="false">IF(ISBLANK($C303),"",IF($N303=Constants!$B$2,TRUE(),IF($N303=Constants!$B$3,FALSE(),FALSE())))</f>
        <v/>
      </c>
      <c r="AT303" s="74" t="str">
        <f aca="false">IF(ISBLANK($C303),"",IF($O303=Constants!$B$2,TRUE(),IF($O303=Constants!$B$3,FALSE(),TRUE())))</f>
        <v/>
      </c>
      <c r="AU303" s="74" t="str">
        <f aca="false">IF(ISBLANK($C303),"",IF($P303=Constants!$B$2,TRUE(),IF($P303=Constants!$B$3,FALSE(),TRUE())))</f>
        <v/>
      </c>
      <c r="AV303" s="74" t="str">
        <f aca="false">IF(ISBLANK($C303),"",IF($Q303=Constants!$B$2,TRUE(),IF($Q303=Constants!$B$3,FALSE(),FALSE())))</f>
        <v/>
      </c>
      <c r="AW303" s="74" t="str">
        <f aca="false">IF(ISBLANK($C303),"",IF($R303=Constants!$B$2,TRUE(),IF($R303=Constants!$B$3,FALSE(),FALSE())))</f>
        <v/>
      </c>
      <c r="AX303" s="74" t="str">
        <f aca="false">IF(ISBLANK($C303),"",IF($S303=Constants!$B$2,TRUE(),IF($S303=Constants!$B$3,FALSE(),FALSE())))</f>
        <v/>
      </c>
      <c r="AY303" s="74" t="str">
        <f aca="false">IF(ISBLANK($C303),"",IF($T303=Constants!$B$2,TRUE(),IF($T303=Constants!$B$3,FALSE(),FALSE())))</f>
        <v/>
      </c>
      <c r="AZ303" s="74" t="str">
        <f aca="false">IF(ISBLANK($C303),"",IF($U303=Constants!$B$2,TRUE(),IF($U303=Constants!$B$3,FALSE(),FALSE())))</f>
        <v/>
      </c>
      <c r="BA303" s="74" t="str">
        <f aca="false">IF(ISBLANK($C303),"",IF(OR($V303&amp;""="1",$V303&amp;""="2",$V303&amp;""="3",$V303&amp;""="4"),VALUE($V303&amp;""),IF($V303=Constants!$B$12,Constants!$B$12,"")))</f>
        <v/>
      </c>
      <c r="BB303" s="74" t="str">
        <f aca="false">IF(ISBLANK($C303),"",IF(ISBLANK($W303),0,IF(ISNUMBER($W303),IF(AND($W303&gt;=0,$W303&lt;=Constants!$B$21,$W303=INT($W303)),$W303,""),"")))</f>
        <v/>
      </c>
      <c r="BC303" s="74" t="str">
        <f aca="false">IF(ISBLANK($C303),"",IF(ISBLANK($X303),0,IF(ISNUMBER($X303),IF($X303&gt;=0,$X303,""),"")))</f>
        <v/>
      </c>
      <c r="BD303" s="74" t="str">
        <f aca="false">IF(ISBLANK($C303),"",IF($Y303=Constants!$B$2,TRUE(),IF($Y303=Constants!$B$3,FALSE(),TRUE())))</f>
        <v/>
      </c>
      <c r="BE303" s="74" t="str">
        <f aca="false">IF(ISBLANK($C303),"",IF($Z303=Constants!$B$2,TRUE(),IF($Z303=Constants!$B$3,FALSE(),FALSE())))</f>
        <v/>
      </c>
      <c r="BF303" s="74" t="str">
        <f aca="false">IF(ISBLANK($C303),"",IF(ISBLANK($AA303),0,IF(ISNUMBER($AA303),IF(AND($AA303&gt;=0,$AA303&lt;=Constants!$B$35,$AA303=INT($AA303)),$AA303,""),"")))</f>
        <v/>
      </c>
      <c r="BG303" s="74" t="str">
        <f aca="false">IF(ISBLANK($C303),"",IF($AB303=Constants!$B$2,TRUE(),IF($AB303=Constants!$B$3,FALSE(),TRUE())))</f>
        <v/>
      </c>
      <c r="BH303" s="74" t="str">
        <f aca="false">IF(ISBLANK($C303),"",IF($AC303=Constants!$B$2,TRUE(),IF($AC303=Constants!$B$3,FALSE(),TRUE())))</f>
        <v/>
      </c>
      <c r="BI303" s="74" t="str">
        <f aca="false">IF(ISBLANK($C303),"",IF($AD303=Constants!$B$2,TRUE(),IF($AD303=Constants!$B$3,FALSE(),TRUE())))</f>
        <v/>
      </c>
      <c r="BJ303" s="74" t="str">
        <f aca="false">IF(ISBLANK($C303),"",IF(ISNUMBER($AE303),IF($AE303&gt;=0,$AE303,""),""))</f>
        <v/>
      </c>
      <c r="BK303" s="74" t="str">
        <f aca="false">IF(ISBLANK($C303),"",IF($AF303=Constants!$B$2,TRUE(),IF($AF303=Constants!$B$3,FALSE(),FALSE())))</f>
        <v/>
      </c>
      <c r="BL303" s="73" t="str">
        <f aca="false">IF(ISBLANK($C303),"",IF($BK303,Constants!$B$7,IF(COUNTA($E303:$AE303)=0,Constants!$B$6,IF(OR(COUNTA($G303:$AE303)=0,NOT($AM303),$AS303),Constants!$B$5,IF(OR($CM303&lt;&gt;"",$CN303,$CO303,$CP303,$CQ303,$CR303,$CS303),Constants!$B$8,Constants!$B$4)))))</f>
        <v/>
      </c>
      <c r="BM303" s="74" t="str">
        <f aca="false">IF(ISBLANK($C303),"",IF($BL303&lt;&gt;Constants!$B$4,$BL303,IF(OR(NOT($AJ303),NOT($AL303),NOT($AT303)),Constants!$B$11,IF(OR(NOT($AR303),NOT($AU303),NOT($BI303),MAX($AN303,$AO303,$AP303)&gt;Constants!$B$30),Constants!$B$10,Constants!$B$9))))</f>
        <v/>
      </c>
      <c r="BN303" s="74" t="str">
        <f aca="false">IF($BL303&lt;&gt;Constants!$B$4,"",IF(NOT($AL303),0,MIN(Constants!$B$35,$BF303)))</f>
        <v/>
      </c>
      <c r="BO303" s="74" t="str">
        <f aca="false">IF($BL303&lt;&gt;Constants!$B$4,"",IF(NOT($AL303),0,IF($AW303,Constants!$B$18,IF($AV303,Constants!$B$17,0))))</f>
        <v/>
      </c>
      <c r="BP303" s="74" t="str">
        <f aca="false">IF($BL303&lt;&gt;Constants!$B$4,"",IF(NOT($AL303),0,Constants!$B$19*($AK303+$AX303+$AY303+$AZ303)))</f>
        <v/>
      </c>
      <c r="BQ303" s="74" t="str">
        <f aca="false">IF($BL303&lt;&gt;Constants!$B$4,"",IF(OR(NOT($AL303),NOT(ISNUMBER($BA303))),0,CHOOSE($BA303,Constants!$B$13,Constants!$B$14,Constants!$B$15,Constants!$B$16)))</f>
        <v/>
      </c>
      <c r="BR303" s="74" t="str">
        <f aca="false">IF($BL303&lt;&gt;Constants!$B$4,"",IF(NOT($AL303),0,Constants!$B$20*$BB303))</f>
        <v/>
      </c>
      <c r="BS303" s="74" t="str">
        <f aca="false">IF($BL303&lt;&gt;Constants!$B$4,"",IF(AND($AL303,$BD303,$BE303),Constants!$B$22,0))</f>
        <v/>
      </c>
      <c r="BT303" s="74" t="str">
        <f aca="false">IF($BL303&lt;&gt;Constants!$B$4,"",IF(OR(NOT($AL303),NOT($BD303)),0,IF($BJ303&gt;=2*$AH$9,0,Constants!$B$23*INT(ROUND(MIN($BJ303,$AH$9),6)))))</f>
        <v/>
      </c>
      <c r="BU303" s="74" t="str">
        <f aca="false">IF($BL303&lt;&gt;Constants!$B$4,"",IF(NOT($AL303),0,Constants!$B$24*INT(ROUND(MIN($BC303,$AH$9),6))))</f>
        <v/>
      </c>
      <c r="BV303" s="74" t="str">
        <f aca="false">IF($BL303&lt;&gt;Constants!$B$4,"",IF(AND($AL303,$BN303=0),Constants!$B$25,0))</f>
        <v/>
      </c>
      <c r="BW303" s="74" t="str">
        <f aca="false">IF($BL303&lt;&gt;Constants!$B$4,"",MIN(Constants!$B$29,MAX(0,Constants!$B$27*Constants!$B$28*INT(ROUND((Constants!$B$26-$AN303)/Constants!$B$28,6))))+MIN(Constants!$B$29,MAX(0,Constants!$B$27*Constants!$B$28*INT(ROUND((Constants!$B$26-$AO303)/Constants!$B$28,6))))+MIN(Constants!$B$29,MAX(0,Constants!$B$27*Constants!$B$28*INT(ROUND((Constants!$B$26-$AP303)/Constants!$B$28,6)))))</f>
        <v/>
      </c>
      <c r="BX303" s="74" t="str">
        <f aca="false">IF($BL303&lt;&gt;Constants!$B$4,"",IF(NOT($AL303),0,Constants!$B$31*INT(ROUND(MAX(0,MIN($BJ303,2*$AH$9)-$AH$9),6))))</f>
        <v/>
      </c>
      <c r="BY303" s="74" t="str">
        <f aca="false">IF($BL303&lt;&gt;Constants!$B$4,"",Constants!$B$32*(($AN303&gt;Constants!$B$26)+($AO303&gt;Constants!$B$26)+($AP303&gt;Constants!$B$26)))</f>
        <v/>
      </c>
      <c r="BZ303" s="74" t="str">
        <f aca="false">IF($BL303&lt;&gt;Constants!$B$4,"",IF(OR(NOT($AL303),$AQ303),0,Constants!$B$33))</f>
        <v/>
      </c>
      <c r="CA303" s="74" t="str">
        <f aca="false">IF($BL303&lt;&gt;Constants!$B$4,"",Constants!$B$34*$BN303)</f>
        <v/>
      </c>
      <c r="CB303" s="74" t="str">
        <f aca="false">IF($BL303&lt;&gt;Constants!$B$4,"",IF(OR(NOT($AL303),$BH303),0,Constants!$B$36))</f>
        <v/>
      </c>
      <c r="CC303" s="74" t="str">
        <f aca="false">IF($BL303&lt;&gt;Constants!$B$4,"",IF(OR(NOT($AL303),$BG303),0,Constants!$B$37))</f>
        <v/>
      </c>
      <c r="CD303" s="74" t="str">
        <f aca="false">IF($BL303&lt;&gt;Constants!$B$4,"",SUM($BX303:$CC303))</f>
        <v/>
      </c>
      <c r="CE303" s="74" t="str">
        <f aca="false">IF(ISBLANK($C303),"",IF($BL303&lt;&gt;Constants!$B$4,$BL303,SUM($BO303:$BW303)-$CD303))</f>
        <v/>
      </c>
      <c r="CF303" s="74" t="str">
        <f aca="false">IF(ISBLANK($C303),"",IF($BL303&lt;&gt;Constants!$B$4,$BL303,RANK($CE303,$CE$9:$CE$508)))</f>
        <v/>
      </c>
      <c r="CG303" s="74" t="str">
        <f aca="false">IF(ISBLANK($C303),"",IF($BL303&lt;&gt;Constants!$B$4,$BL303,COUNTIFS($BM$9:$BM$508,"&lt;"&amp;$BM303)+COUNTIFS($BM$9:$BM$508,$BM303,$CF$9:$CF$508,"&lt;"&amp;$CF303)+1))</f>
        <v/>
      </c>
      <c r="CH303" s="74" t="str">
        <f aca="false">IF(ISBLANK($C303),"",IF($BL303&lt;&gt;Constants!$B$4,$BL303,RANK($CD303,$CD$9:$CD$508,1)))</f>
        <v/>
      </c>
      <c r="CI303" s="74" t="str">
        <f aca="false">IF($BL303&lt;&gt;Constants!$B$4,"",$AN303+$AO303+$AP303)</f>
        <v/>
      </c>
      <c r="CJ303" s="74" t="str">
        <f aca="false">IF(ISBLANK($C303),"",IF($BL303&lt;&gt;Constants!$B$4,$BL303,RANK($CI303,$CI$9:$CI$508,1)))</f>
        <v/>
      </c>
      <c r="CK303" s="74" t="str">
        <f aca="false">IF(ISBLANK($C303),"",IF($BL303&lt;&gt;Constants!$B$4,$BL303,COUNTIFS($BM$9:$BM$508,"&lt;"&amp;$BM303)+COUNTIFS($BM$9:$BM$508,$BM303,$CF$9:$CF$508,"&lt;"&amp;$CF303)+COUNTIFS($BM$9:$BM$508,$BM303,$CF$9:$CF$508,$CF303,$CH$9:$CH$508,"&lt;"&amp;$CH303)+COUNTIFS($BM$9:$BM$508,$BM303,$CF$9:$CF$508,$CF303,$CH$9:$CH$508,$CH303,$CJ$9:$CJ$508,"&lt;"&amp;$CJ303)+1))</f>
        <v/>
      </c>
      <c r="CL303" s="74" t="str">
        <f aca="false">IF(ISBLANK($C303),"",IF($BL303&lt;&gt;Constants!$B$4,$BL303,$CG303-$CK303))</f>
        <v/>
      </c>
      <c r="CM303" s="74" t="str">
        <f aca="false">IF(ISBLANK($C303),"",IF(NOT($AL303),"",IF(ISBLANK($D$7),$CM$5,IF(NOT(ISNUMBER($D$7)),$CM$6,""))))</f>
        <v/>
      </c>
      <c r="CN303" s="74" t="str">
        <f aca="false">IF(ISBLANK($C303),"",OR($AN303="",$AO303="",$AP303=""))</f>
        <v/>
      </c>
      <c r="CO303" s="74" t="str">
        <f aca="false">IF(ISBLANK($C303),"",AND($AL303,$BA303=""))</f>
        <v/>
      </c>
      <c r="CP303" s="74" t="str">
        <f aca="false">IF(ISBLANK($C303),"",AND($AL303,$BB303=""))</f>
        <v/>
      </c>
      <c r="CQ303" s="74" t="str">
        <f aca="false">IF(ISBLANK($C303),"",AND($AL303,$BC303=""))</f>
        <v/>
      </c>
      <c r="CR303" s="74" t="str">
        <f aca="false">IF(ISBLANK($C303),"",AND($AL303,$BF303=""))</f>
        <v/>
      </c>
      <c r="CS303" s="74" t="str">
        <f aca="false">IF(ISBLANK($C303),"",AND($AL303,$BJ303=""))</f>
        <v/>
      </c>
      <c r="CT303" s="75"/>
      <c r="CU303" s="76"/>
      <c r="CV303" s="79" t="str">
        <f aca="false">IF(ISBLANK($C303),"",IF($BL303=Constants!$B$8,$CM303,""))</f>
        <v/>
      </c>
      <c r="CW303" s="76" t="str">
        <f aca="false">IF(ISBLANK($C303),"",IF($BL303&lt;&gt;Constants!$B$4,"",$BO303+$BP303))</f>
        <v/>
      </c>
      <c r="CX303" s="78" t="str">
        <f aca="false">IF(ISBLANK($C303),"",IF($BL303&lt;&gt;Constants!$B$4,"",$BQ303+$BR303+$BS303))</f>
        <v/>
      </c>
      <c r="CY303" s="78" t="str">
        <f aca="false">IF(ISBLANK($C303),"",IF($BL303&lt;&gt;Constants!$B$4,"",$BT303))</f>
        <v/>
      </c>
      <c r="CZ303" s="78" t="str">
        <f aca="false">IF(ISBLANK($C303),"",IF($BL303&lt;&gt;Constants!$B$4,"",$BU303+$BV303))</f>
        <v/>
      </c>
      <c r="DA303" s="78" t="str">
        <f aca="false">IF(ISBLANK($C303),"",IF($BL303&lt;&gt;Constants!$B$4,"",$BW303))</f>
        <v/>
      </c>
      <c r="DB303" s="78" t="str">
        <f aca="false">IF(ISBLANK($C303),"",IF($BL303&lt;&gt;Constants!$B$4,"",-$CD303))</f>
        <v/>
      </c>
      <c r="DC303" s="79" t="str">
        <f aca="false">IF(ISBLANK($C303),"",$CE303)</f>
        <v/>
      </c>
      <c r="DD303" s="80" t="str">
        <f aca="false">IF(ISBLANK($C303),"",$BM303)</f>
        <v/>
      </c>
      <c r="DE303" s="78" t="str">
        <f aca="false">IF(ISBLANK($C303),"",$CL303)</f>
        <v/>
      </c>
      <c r="DF303" s="78" t="str">
        <f aca="false">IF(ISBLANK($C303),"",$CK303)</f>
        <v/>
      </c>
      <c r="DG303" s="81" t="str">
        <f aca="false">IF(ISBLANK($C303),"",IF($DF303=Constants!$B$7,COUNTA($C$9:$C$508)+2,IF($DF303=Constants!$B$6,COUNTA($C$9:$C$508)+1,IF($DF303=Constants!$B$5,COUNTA($C$9:$C$508),$DF303))))</f>
        <v/>
      </c>
      <c r="DH303" s="7"/>
      <c r="DI303" s="82" t="n">
        <f aca="false">IF(OR(ISNUMBER($DF303),$DF303=Constants!$B$7,$DF303=Constants!$B$5,$DF303=Constants!$B$6),1,0)</f>
        <v>0</v>
      </c>
      <c r="DJ303" s="82" t="n">
        <v>295</v>
      </c>
      <c r="DK303" s="82" t="str">
        <f aca="false">IF(ISBLANK($C303),"",IF(ISNUMBER($DG303),$DG303+ROW($B303)/1000,""))</f>
        <v/>
      </c>
      <c r="DL303" s="82" t="str">
        <f aca="false">IF(ISNUMBER($DK303),RANK($DK303,$DK$9:$DK$508,1),"")</f>
        <v/>
      </c>
      <c r="DM303" s="82" t="str">
        <f aca="false">IF(ISBLANK($C303),"",$B303)</f>
        <v/>
      </c>
      <c r="DN303" s="82" t="str">
        <f aca="false">IF(ISBLANK($C303),"",$C303)</f>
        <v/>
      </c>
      <c r="DO303" s="82" t="str">
        <f aca="false">IF(ISBLANK($C303),"",$D303)</f>
        <v/>
      </c>
      <c r="DP303" s="83" t="str">
        <f aca="false">$DD303</f>
        <v/>
      </c>
      <c r="DQ303" s="84" t="str">
        <f aca="false">$DC303</f>
        <v/>
      </c>
      <c r="DR303" s="82" t="str">
        <f aca="false">IF(ISBLANK($C303),"",$DF303)</f>
        <v/>
      </c>
      <c r="DS303" s="85" t="str">
        <f aca="false">IF($DJ303&gt;$DI$8,"",VLOOKUP($DJ303,$DL$9:$DR$508,7,FALSE()))</f>
        <v/>
      </c>
      <c r="DT303" s="86" t="str">
        <f aca="false">IF($DJ303&gt;$DI$8,"",VLOOKUP($DJ303,$DL$9:$DR$508,2,FALSE()))</f>
        <v/>
      </c>
      <c r="DU303" s="86" t="str">
        <f aca="false">IF($DJ303&gt;$DI$8,"",VLOOKUP($DJ303,$DL$9:$DR$508,3,FALSE()))</f>
        <v/>
      </c>
      <c r="DV303" s="86" t="str">
        <f aca="false">IF($DJ303&gt;$DI$8,"",VLOOKUP($DJ303,$DL$9:$DR$508,4,FALSE()))</f>
        <v/>
      </c>
      <c r="DW303" s="86" t="str">
        <f aca="false">IF($DJ303&gt;$DI$8,"",VLOOKUP($DJ303,$DL$9:$DR$508,5,FALSE()))</f>
        <v/>
      </c>
      <c r="DX303" s="87" t="str">
        <f aca="false">IF($DJ303&gt;$DI$8,"",VLOOKUP($DJ303,$DL$9:$DR$508,6,FALSE()))</f>
        <v/>
      </c>
      <c r="DY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88"/>
      <c r="N304" s="88"/>
      <c r="O304" s="134"/>
      <c r="P304" s="134"/>
      <c r="Q304" s="88"/>
      <c r="R304" s="88"/>
      <c r="S304" s="88"/>
      <c r="T304" s="88"/>
      <c r="U304" s="134"/>
      <c r="V304" s="88"/>
      <c r="W304" s="70"/>
      <c r="X304" s="88"/>
      <c r="Y304" s="88"/>
      <c r="Z304" s="70"/>
      <c r="AA304" s="70"/>
      <c r="AB304" s="88"/>
      <c r="AC304" s="88"/>
      <c r="AD304" s="88"/>
      <c r="AE304" s="71"/>
      <c r="AF304" s="88"/>
      <c r="AG304" s="73"/>
      <c r="AH304" s="74"/>
      <c r="AI304" s="74"/>
      <c r="AJ304" s="74" t="str">
        <f aca="false">IF(ISBLANK($C304),"",IF($E304=Constants!$B$2,TRUE(),IF($E304=Constants!$B$3,FALSE(),TRUE())))</f>
        <v/>
      </c>
      <c r="AK304" s="74" t="str">
        <f aca="false">IF(ISBLANK($C304),"",IF($F304=Constants!$B$2,TRUE(),IF($F304=Constants!$B$3,FALSE(),FALSE())))</f>
        <v/>
      </c>
      <c r="AL304" s="74" t="str">
        <f aca="false">IF(ISBLANK($C304),"",IF($G304=Constants!$B$2,TRUE(),IF($G304=Constants!$B$3,FALSE(),TRUE())))</f>
        <v/>
      </c>
      <c r="AM304" s="74" t="str">
        <f aca="false">IF(ISBLANK($C304),"",IF($H304=Constants!$B$2,TRUE(),IF($H304=Constants!$B$3,FALSE(),TRUE())))</f>
        <v/>
      </c>
      <c r="AN304" s="74" t="str">
        <f aca="false">IF(ISBLANK($C304),"",IF(ISNUMBER($I304),IF($I304&gt;=0,$I304,""),""))</f>
        <v/>
      </c>
      <c r="AO304" s="74" t="str">
        <f aca="false">IF(ISBLANK($C304),"",IF(ISNUMBER($J304),IF($J304&gt;=0,$J304,""),""))</f>
        <v/>
      </c>
      <c r="AP304" s="74" t="str">
        <f aca="false">IF(ISBLANK($C304),"",IF(ISNUMBER($K304),IF($K304&gt;=0,$K304,""),""))</f>
        <v/>
      </c>
      <c r="AQ304" s="74" t="str">
        <f aca="false">IF(ISBLANK($C304),"",IF($L304=Constants!$B$2,TRUE(),IF($L304=Constants!$B$3,FALSE(),TRUE())))</f>
        <v/>
      </c>
      <c r="AR304" s="74" t="str">
        <f aca="false">IF(ISBLANK($C304),"",IF($M304=Constants!$B$2,TRUE(),IF($M304=Constants!$B$3,FALSE(),TRUE())))</f>
        <v/>
      </c>
      <c r="AS304" s="74" t="str">
        <f aca="false">IF(ISBLANK($C304),"",IF($N304=Constants!$B$2,TRUE(),IF($N304=Constants!$B$3,FALSE(),FALSE())))</f>
        <v/>
      </c>
      <c r="AT304" s="74" t="str">
        <f aca="false">IF(ISBLANK($C304),"",IF($O304=Constants!$B$2,TRUE(),IF($O304=Constants!$B$3,FALSE(),TRUE())))</f>
        <v/>
      </c>
      <c r="AU304" s="74" t="str">
        <f aca="false">IF(ISBLANK($C304),"",IF($P304=Constants!$B$2,TRUE(),IF($P304=Constants!$B$3,FALSE(),TRUE())))</f>
        <v/>
      </c>
      <c r="AV304" s="74" t="str">
        <f aca="false">IF(ISBLANK($C304),"",IF($Q304=Constants!$B$2,TRUE(),IF($Q304=Constants!$B$3,FALSE(),FALSE())))</f>
        <v/>
      </c>
      <c r="AW304" s="74" t="str">
        <f aca="false">IF(ISBLANK($C304),"",IF($R304=Constants!$B$2,TRUE(),IF($R304=Constants!$B$3,FALSE(),FALSE())))</f>
        <v/>
      </c>
      <c r="AX304" s="74" t="str">
        <f aca="false">IF(ISBLANK($C304),"",IF($S304=Constants!$B$2,TRUE(),IF($S304=Constants!$B$3,FALSE(),FALSE())))</f>
        <v/>
      </c>
      <c r="AY304" s="74" t="str">
        <f aca="false">IF(ISBLANK($C304),"",IF($T304=Constants!$B$2,TRUE(),IF($T304=Constants!$B$3,FALSE(),FALSE())))</f>
        <v/>
      </c>
      <c r="AZ304" s="74" t="str">
        <f aca="false">IF(ISBLANK($C304),"",IF($U304=Constants!$B$2,TRUE(),IF($U304=Constants!$B$3,FALSE(),FALSE())))</f>
        <v/>
      </c>
      <c r="BA304" s="74" t="str">
        <f aca="false">IF(ISBLANK($C304),"",IF(OR($V304&amp;""="1",$V304&amp;""="2",$V304&amp;""="3",$V304&amp;""="4"),VALUE($V304&amp;""),IF($V304=Constants!$B$12,Constants!$B$12,"")))</f>
        <v/>
      </c>
      <c r="BB304" s="74" t="str">
        <f aca="false">IF(ISBLANK($C304),"",IF(ISBLANK($W304),0,IF(ISNUMBER($W304),IF(AND($W304&gt;=0,$W304&lt;=Constants!$B$21,$W304=INT($W304)),$W304,""),"")))</f>
        <v/>
      </c>
      <c r="BC304" s="74" t="str">
        <f aca="false">IF(ISBLANK($C304),"",IF(ISBLANK($X304),0,IF(ISNUMBER($X304),IF($X304&gt;=0,$X304,""),"")))</f>
        <v/>
      </c>
      <c r="BD304" s="74" t="str">
        <f aca="false">IF(ISBLANK($C304),"",IF($Y304=Constants!$B$2,TRUE(),IF($Y304=Constants!$B$3,FALSE(),TRUE())))</f>
        <v/>
      </c>
      <c r="BE304" s="74" t="str">
        <f aca="false">IF(ISBLANK($C304),"",IF($Z304=Constants!$B$2,TRUE(),IF($Z304=Constants!$B$3,FALSE(),FALSE())))</f>
        <v/>
      </c>
      <c r="BF304" s="74" t="str">
        <f aca="false">IF(ISBLANK($C304),"",IF(ISBLANK($AA304),0,IF(ISNUMBER($AA304),IF(AND($AA304&gt;=0,$AA304&lt;=Constants!$B$35,$AA304=INT($AA304)),$AA304,""),"")))</f>
        <v/>
      </c>
      <c r="BG304" s="74" t="str">
        <f aca="false">IF(ISBLANK($C304),"",IF($AB304=Constants!$B$2,TRUE(),IF($AB304=Constants!$B$3,FALSE(),TRUE())))</f>
        <v/>
      </c>
      <c r="BH304" s="74" t="str">
        <f aca="false">IF(ISBLANK($C304),"",IF($AC304=Constants!$B$2,TRUE(),IF($AC304=Constants!$B$3,FALSE(),TRUE())))</f>
        <v/>
      </c>
      <c r="BI304" s="74" t="str">
        <f aca="false">IF(ISBLANK($C304),"",IF($AD304=Constants!$B$2,TRUE(),IF($AD304=Constants!$B$3,FALSE(),TRUE())))</f>
        <v/>
      </c>
      <c r="BJ304" s="74" t="str">
        <f aca="false">IF(ISBLANK($C304),"",IF(ISNUMBER($AE304),IF($AE304&gt;=0,$AE304,""),""))</f>
        <v/>
      </c>
      <c r="BK304" s="74" t="str">
        <f aca="false">IF(ISBLANK($C304),"",IF($AF304=Constants!$B$2,TRUE(),IF($AF304=Constants!$B$3,FALSE(),FALSE())))</f>
        <v/>
      </c>
      <c r="BL304" s="73" t="str">
        <f aca="false">IF(ISBLANK($C304),"",IF($BK304,Constants!$B$7,IF(COUNTA($E304:$AE304)=0,Constants!$B$6,IF(OR(COUNTA($G304:$AE304)=0,NOT($AM304),$AS304),Constants!$B$5,IF(OR($CM304&lt;&gt;"",$CN304,$CO304,$CP304,$CQ304,$CR304,$CS304),Constants!$B$8,Constants!$B$4)))))</f>
        <v/>
      </c>
      <c r="BM304" s="74" t="str">
        <f aca="false">IF(ISBLANK($C304),"",IF($BL304&lt;&gt;Constants!$B$4,$BL304,IF(OR(NOT($AJ304),NOT($AL304),NOT($AT304)),Constants!$B$11,IF(OR(NOT($AR304),NOT($AU304),NOT($BI304),MAX($AN304,$AO304,$AP304)&gt;Constants!$B$30),Constants!$B$10,Constants!$B$9))))</f>
        <v/>
      </c>
      <c r="BN304" s="74" t="str">
        <f aca="false">IF($BL304&lt;&gt;Constants!$B$4,"",IF(NOT($AL304),0,MIN(Constants!$B$35,$BF304)))</f>
        <v/>
      </c>
      <c r="BO304" s="74" t="str">
        <f aca="false">IF($BL304&lt;&gt;Constants!$B$4,"",IF(NOT($AL304),0,IF($AW304,Constants!$B$18,IF($AV304,Constants!$B$17,0))))</f>
        <v/>
      </c>
      <c r="BP304" s="74" t="str">
        <f aca="false">IF($BL304&lt;&gt;Constants!$B$4,"",IF(NOT($AL304),0,Constants!$B$19*($AK304+$AX304+$AY304+$AZ304)))</f>
        <v/>
      </c>
      <c r="BQ304" s="74" t="str">
        <f aca="false">IF($BL304&lt;&gt;Constants!$B$4,"",IF(OR(NOT($AL304),NOT(ISNUMBER($BA304))),0,CHOOSE($BA304,Constants!$B$13,Constants!$B$14,Constants!$B$15,Constants!$B$16)))</f>
        <v/>
      </c>
      <c r="BR304" s="74" t="str">
        <f aca="false">IF($BL304&lt;&gt;Constants!$B$4,"",IF(NOT($AL304),0,Constants!$B$20*$BB304))</f>
        <v/>
      </c>
      <c r="BS304" s="74" t="str">
        <f aca="false">IF($BL304&lt;&gt;Constants!$B$4,"",IF(AND($AL304,$BD304,$BE304),Constants!$B$22,0))</f>
        <v/>
      </c>
      <c r="BT304" s="74" t="str">
        <f aca="false">IF($BL304&lt;&gt;Constants!$B$4,"",IF(OR(NOT($AL304),NOT($BD304)),0,IF($BJ304&gt;=2*$AH$9,0,Constants!$B$23*INT(ROUND(MIN($BJ304,$AH$9),6)))))</f>
        <v/>
      </c>
      <c r="BU304" s="74" t="str">
        <f aca="false">IF($BL304&lt;&gt;Constants!$B$4,"",IF(NOT($AL304),0,Constants!$B$24*INT(ROUND(MIN($BC304,$AH$9),6))))</f>
        <v/>
      </c>
      <c r="BV304" s="74" t="str">
        <f aca="false">IF($BL304&lt;&gt;Constants!$B$4,"",IF(AND($AL304,$BN304=0),Constants!$B$25,0))</f>
        <v/>
      </c>
      <c r="BW304" s="74" t="str">
        <f aca="false">IF($BL304&lt;&gt;Constants!$B$4,"",MIN(Constants!$B$29,MAX(0,Constants!$B$27*Constants!$B$28*INT(ROUND((Constants!$B$26-$AN304)/Constants!$B$28,6))))+MIN(Constants!$B$29,MAX(0,Constants!$B$27*Constants!$B$28*INT(ROUND((Constants!$B$26-$AO304)/Constants!$B$28,6))))+MIN(Constants!$B$29,MAX(0,Constants!$B$27*Constants!$B$28*INT(ROUND((Constants!$B$26-$AP304)/Constants!$B$28,6)))))</f>
        <v/>
      </c>
      <c r="BX304" s="74" t="str">
        <f aca="false">IF($BL304&lt;&gt;Constants!$B$4,"",IF(NOT($AL304),0,Constants!$B$31*INT(ROUND(MAX(0,MIN($BJ304,2*$AH$9)-$AH$9),6))))</f>
        <v/>
      </c>
      <c r="BY304" s="74" t="str">
        <f aca="false">IF($BL304&lt;&gt;Constants!$B$4,"",Constants!$B$32*(($AN304&gt;Constants!$B$26)+($AO304&gt;Constants!$B$26)+($AP304&gt;Constants!$B$26)))</f>
        <v/>
      </c>
      <c r="BZ304" s="74" t="str">
        <f aca="false">IF($BL304&lt;&gt;Constants!$B$4,"",IF(OR(NOT($AL304),$AQ304),0,Constants!$B$33))</f>
        <v/>
      </c>
      <c r="CA304" s="74" t="str">
        <f aca="false">IF($BL304&lt;&gt;Constants!$B$4,"",Constants!$B$34*$BN304)</f>
        <v/>
      </c>
      <c r="CB304" s="74" t="str">
        <f aca="false">IF($BL304&lt;&gt;Constants!$B$4,"",IF(OR(NOT($AL304),$BH304),0,Constants!$B$36))</f>
        <v/>
      </c>
      <c r="CC304" s="74" t="str">
        <f aca="false">IF($BL304&lt;&gt;Constants!$B$4,"",IF(OR(NOT($AL304),$BG304),0,Constants!$B$37))</f>
        <v/>
      </c>
      <c r="CD304" s="74" t="str">
        <f aca="false">IF($BL304&lt;&gt;Constants!$B$4,"",SUM($BX304:$CC304))</f>
        <v/>
      </c>
      <c r="CE304" s="74" t="str">
        <f aca="false">IF(ISBLANK($C304),"",IF($BL304&lt;&gt;Constants!$B$4,$BL304,SUM($BO304:$BW304)-$CD304))</f>
        <v/>
      </c>
      <c r="CF304" s="74" t="str">
        <f aca="false">IF(ISBLANK($C304),"",IF($BL304&lt;&gt;Constants!$B$4,$BL304,RANK($CE304,$CE$9:$CE$508)))</f>
        <v/>
      </c>
      <c r="CG304" s="74" t="str">
        <f aca="false">IF(ISBLANK($C304),"",IF($BL304&lt;&gt;Constants!$B$4,$BL304,COUNTIFS($BM$9:$BM$508,"&lt;"&amp;$BM304)+COUNTIFS($BM$9:$BM$508,$BM304,$CF$9:$CF$508,"&lt;"&amp;$CF304)+1))</f>
        <v/>
      </c>
      <c r="CH304" s="74" t="str">
        <f aca="false">IF(ISBLANK($C304),"",IF($BL304&lt;&gt;Constants!$B$4,$BL304,RANK($CD304,$CD$9:$CD$508,1)))</f>
        <v/>
      </c>
      <c r="CI304" s="74" t="str">
        <f aca="false">IF($BL304&lt;&gt;Constants!$B$4,"",$AN304+$AO304+$AP304)</f>
        <v/>
      </c>
      <c r="CJ304" s="74" t="str">
        <f aca="false">IF(ISBLANK($C304),"",IF($BL304&lt;&gt;Constants!$B$4,$BL304,RANK($CI304,$CI$9:$CI$508,1)))</f>
        <v/>
      </c>
      <c r="CK304" s="74" t="str">
        <f aca="false">IF(ISBLANK($C304),"",IF($BL304&lt;&gt;Constants!$B$4,$BL304,COUNTIFS($BM$9:$BM$508,"&lt;"&amp;$BM304)+COUNTIFS($BM$9:$BM$508,$BM304,$CF$9:$CF$508,"&lt;"&amp;$CF304)+COUNTIFS($BM$9:$BM$508,$BM304,$CF$9:$CF$508,$CF304,$CH$9:$CH$508,"&lt;"&amp;$CH304)+COUNTIFS($BM$9:$BM$508,$BM304,$CF$9:$CF$508,$CF304,$CH$9:$CH$508,$CH304,$CJ$9:$CJ$508,"&lt;"&amp;$CJ304)+1))</f>
        <v/>
      </c>
      <c r="CL304" s="74" t="str">
        <f aca="false">IF(ISBLANK($C304),"",IF($BL304&lt;&gt;Constants!$B$4,$BL304,$CG304-$CK304))</f>
        <v/>
      </c>
      <c r="CM304" s="74" t="str">
        <f aca="false">IF(ISBLANK($C304),"",IF(NOT($AL304),"",IF(ISBLANK($D$7),$CM$5,IF(NOT(ISNUMBER($D$7)),$CM$6,""))))</f>
        <v/>
      </c>
      <c r="CN304" s="74" t="str">
        <f aca="false">IF(ISBLANK($C304),"",OR($AN304="",$AO304="",$AP304=""))</f>
        <v/>
      </c>
      <c r="CO304" s="74" t="str">
        <f aca="false">IF(ISBLANK($C304),"",AND($AL304,$BA304=""))</f>
        <v/>
      </c>
      <c r="CP304" s="74" t="str">
        <f aca="false">IF(ISBLANK($C304),"",AND($AL304,$BB304=""))</f>
        <v/>
      </c>
      <c r="CQ304" s="74" t="str">
        <f aca="false">IF(ISBLANK($C304),"",AND($AL304,$BC304=""))</f>
        <v/>
      </c>
      <c r="CR304" s="74" t="str">
        <f aca="false">IF(ISBLANK($C304),"",AND($AL304,$BF304=""))</f>
        <v/>
      </c>
      <c r="CS304" s="74" t="str">
        <f aca="false">IF(ISBLANK($C304),"",AND($AL304,$BJ304=""))</f>
        <v/>
      </c>
      <c r="CT304" s="75"/>
      <c r="CU304" s="76"/>
      <c r="CV304" s="79" t="str">
        <f aca="false">IF(ISBLANK($C304),"",IF($BL304=Constants!$B$8,$CM304,""))</f>
        <v/>
      </c>
      <c r="CW304" s="76" t="str">
        <f aca="false">IF(ISBLANK($C304),"",IF($BL304&lt;&gt;Constants!$B$4,"",$BO304+$BP304))</f>
        <v/>
      </c>
      <c r="CX304" s="78" t="str">
        <f aca="false">IF(ISBLANK($C304),"",IF($BL304&lt;&gt;Constants!$B$4,"",$BQ304+$BR304+$BS304))</f>
        <v/>
      </c>
      <c r="CY304" s="78" t="str">
        <f aca="false">IF(ISBLANK($C304),"",IF($BL304&lt;&gt;Constants!$B$4,"",$BT304))</f>
        <v/>
      </c>
      <c r="CZ304" s="78" t="str">
        <f aca="false">IF(ISBLANK($C304),"",IF($BL304&lt;&gt;Constants!$B$4,"",$BU304+$BV304))</f>
        <v/>
      </c>
      <c r="DA304" s="78" t="str">
        <f aca="false">IF(ISBLANK($C304),"",IF($BL304&lt;&gt;Constants!$B$4,"",$BW304))</f>
        <v/>
      </c>
      <c r="DB304" s="78" t="str">
        <f aca="false">IF(ISBLANK($C304),"",IF($BL304&lt;&gt;Constants!$B$4,"",-$CD304))</f>
        <v/>
      </c>
      <c r="DC304" s="79" t="str">
        <f aca="false">IF(ISBLANK($C304),"",$CE304)</f>
        <v/>
      </c>
      <c r="DD304" s="80" t="str">
        <f aca="false">IF(ISBLANK($C304),"",$BM304)</f>
        <v/>
      </c>
      <c r="DE304" s="78" t="str">
        <f aca="false">IF(ISBLANK($C304),"",$CL304)</f>
        <v/>
      </c>
      <c r="DF304" s="78" t="str">
        <f aca="false">IF(ISBLANK($C304),"",$CK304)</f>
        <v/>
      </c>
      <c r="DG304" s="81" t="str">
        <f aca="false">IF(ISBLANK($C304),"",IF($DF304=Constants!$B$7,COUNTA($C$9:$C$508)+2,IF($DF304=Constants!$B$6,COUNTA($C$9:$C$508)+1,IF($DF304=Constants!$B$5,COUNTA($C$9:$C$508),$DF304))))</f>
        <v/>
      </c>
      <c r="DH304" s="7"/>
      <c r="DI304" s="82" t="n">
        <f aca="false">IF(OR(ISNUMBER($DF304),$DF304=Constants!$B$7,$DF304=Constants!$B$5,$DF304=Constants!$B$6),1,0)</f>
        <v>0</v>
      </c>
      <c r="DJ304" s="82" t="n">
        <v>296</v>
      </c>
      <c r="DK304" s="82" t="str">
        <f aca="false">IF(ISBLANK($C304),"",IF(ISNUMBER($DG304),$DG304+ROW($B304)/1000,""))</f>
        <v/>
      </c>
      <c r="DL304" s="82" t="str">
        <f aca="false">IF(ISNUMBER($DK304),RANK($DK304,$DK$9:$DK$508,1),"")</f>
        <v/>
      </c>
      <c r="DM304" s="82" t="str">
        <f aca="false">IF(ISBLANK($C304),"",$B304)</f>
        <v/>
      </c>
      <c r="DN304" s="82" t="str">
        <f aca="false">IF(ISBLANK($C304),"",$C304)</f>
        <v/>
      </c>
      <c r="DO304" s="82" t="str">
        <f aca="false">IF(ISBLANK($C304),"",$D304)</f>
        <v/>
      </c>
      <c r="DP304" s="83" t="str">
        <f aca="false">$DD304</f>
        <v/>
      </c>
      <c r="DQ304" s="84" t="str">
        <f aca="false">$DC304</f>
        <v/>
      </c>
      <c r="DR304" s="82" t="str">
        <f aca="false">IF(ISBLANK($C304),"",$DF304)</f>
        <v/>
      </c>
      <c r="DS304" s="85" t="str">
        <f aca="false">IF($DJ304&gt;$DI$8,"",VLOOKUP($DJ304,$DL$9:$DR$508,7,FALSE()))</f>
        <v/>
      </c>
      <c r="DT304" s="86" t="str">
        <f aca="false">IF($DJ304&gt;$DI$8,"",VLOOKUP($DJ304,$DL$9:$DR$508,2,FALSE()))</f>
        <v/>
      </c>
      <c r="DU304" s="86" t="str">
        <f aca="false">IF($DJ304&gt;$DI$8,"",VLOOKUP($DJ304,$DL$9:$DR$508,3,FALSE()))</f>
        <v/>
      </c>
      <c r="DV304" s="86" t="str">
        <f aca="false">IF($DJ304&gt;$DI$8,"",VLOOKUP($DJ304,$DL$9:$DR$508,4,FALSE()))</f>
        <v/>
      </c>
      <c r="DW304" s="86" t="str">
        <f aca="false">IF($DJ304&gt;$DI$8,"",VLOOKUP($DJ304,$DL$9:$DR$508,5,FALSE()))</f>
        <v/>
      </c>
      <c r="DX304" s="87" t="str">
        <f aca="false">IF($DJ304&gt;$DI$8,"",VLOOKUP($DJ304,$DL$9:$DR$508,6,FALSE()))</f>
        <v/>
      </c>
      <c r="DY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88"/>
      <c r="N305" s="88"/>
      <c r="O305" s="134"/>
      <c r="P305" s="134"/>
      <c r="Q305" s="88"/>
      <c r="R305" s="88"/>
      <c r="S305" s="88"/>
      <c r="T305" s="88"/>
      <c r="U305" s="134"/>
      <c r="V305" s="88"/>
      <c r="W305" s="70"/>
      <c r="X305" s="88"/>
      <c r="Y305" s="88"/>
      <c r="Z305" s="70"/>
      <c r="AA305" s="70"/>
      <c r="AB305" s="88"/>
      <c r="AC305" s="88"/>
      <c r="AD305" s="88"/>
      <c r="AE305" s="71"/>
      <c r="AF305" s="88"/>
      <c r="AG305" s="73"/>
      <c r="AH305" s="74"/>
      <c r="AI305" s="74"/>
      <c r="AJ305" s="74" t="str">
        <f aca="false">IF(ISBLANK($C305),"",IF($E305=Constants!$B$2,TRUE(),IF($E305=Constants!$B$3,FALSE(),TRUE())))</f>
        <v/>
      </c>
      <c r="AK305" s="74" t="str">
        <f aca="false">IF(ISBLANK($C305),"",IF($F305=Constants!$B$2,TRUE(),IF($F305=Constants!$B$3,FALSE(),FALSE())))</f>
        <v/>
      </c>
      <c r="AL305" s="74" t="str">
        <f aca="false">IF(ISBLANK($C305),"",IF($G305=Constants!$B$2,TRUE(),IF($G305=Constants!$B$3,FALSE(),TRUE())))</f>
        <v/>
      </c>
      <c r="AM305" s="74" t="str">
        <f aca="false">IF(ISBLANK($C305),"",IF($H305=Constants!$B$2,TRUE(),IF($H305=Constants!$B$3,FALSE(),TRUE())))</f>
        <v/>
      </c>
      <c r="AN305" s="74" t="str">
        <f aca="false">IF(ISBLANK($C305),"",IF(ISNUMBER($I305),IF($I305&gt;=0,$I305,""),""))</f>
        <v/>
      </c>
      <c r="AO305" s="74" t="str">
        <f aca="false">IF(ISBLANK($C305),"",IF(ISNUMBER($J305),IF($J305&gt;=0,$J305,""),""))</f>
        <v/>
      </c>
      <c r="AP305" s="74" t="str">
        <f aca="false">IF(ISBLANK($C305),"",IF(ISNUMBER($K305),IF($K305&gt;=0,$K305,""),""))</f>
        <v/>
      </c>
      <c r="AQ305" s="74" t="str">
        <f aca="false">IF(ISBLANK($C305),"",IF($L305=Constants!$B$2,TRUE(),IF($L305=Constants!$B$3,FALSE(),TRUE())))</f>
        <v/>
      </c>
      <c r="AR305" s="74" t="str">
        <f aca="false">IF(ISBLANK($C305),"",IF($M305=Constants!$B$2,TRUE(),IF($M305=Constants!$B$3,FALSE(),TRUE())))</f>
        <v/>
      </c>
      <c r="AS305" s="74" t="str">
        <f aca="false">IF(ISBLANK($C305),"",IF($N305=Constants!$B$2,TRUE(),IF($N305=Constants!$B$3,FALSE(),FALSE())))</f>
        <v/>
      </c>
      <c r="AT305" s="74" t="str">
        <f aca="false">IF(ISBLANK($C305),"",IF($O305=Constants!$B$2,TRUE(),IF($O305=Constants!$B$3,FALSE(),TRUE())))</f>
        <v/>
      </c>
      <c r="AU305" s="74" t="str">
        <f aca="false">IF(ISBLANK($C305),"",IF($P305=Constants!$B$2,TRUE(),IF($P305=Constants!$B$3,FALSE(),TRUE())))</f>
        <v/>
      </c>
      <c r="AV305" s="74" t="str">
        <f aca="false">IF(ISBLANK($C305),"",IF($Q305=Constants!$B$2,TRUE(),IF($Q305=Constants!$B$3,FALSE(),FALSE())))</f>
        <v/>
      </c>
      <c r="AW305" s="74" t="str">
        <f aca="false">IF(ISBLANK($C305),"",IF($R305=Constants!$B$2,TRUE(),IF($R305=Constants!$B$3,FALSE(),FALSE())))</f>
        <v/>
      </c>
      <c r="AX305" s="74" t="str">
        <f aca="false">IF(ISBLANK($C305),"",IF($S305=Constants!$B$2,TRUE(),IF($S305=Constants!$B$3,FALSE(),FALSE())))</f>
        <v/>
      </c>
      <c r="AY305" s="74" t="str">
        <f aca="false">IF(ISBLANK($C305),"",IF($T305=Constants!$B$2,TRUE(),IF($T305=Constants!$B$3,FALSE(),FALSE())))</f>
        <v/>
      </c>
      <c r="AZ305" s="74" t="str">
        <f aca="false">IF(ISBLANK($C305),"",IF($U305=Constants!$B$2,TRUE(),IF($U305=Constants!$B$3,FALSE(),FALSE())))</f>
        <v/>
      </c>
      <c r="BA305" s="74" t="str">
        <f aca="false">IF(ISBLANK($C305),"",IF(OR($V305&amp;""="1",$V305&amp;""="2",$V305&amp;""="3",$V305&amp;""="4"),VALUE($V305&amp;""),IF($V305=Constants!$B$12,Constants!$B$12,"")))</f>
        <v/>
      </c>
      <c r="BB305" s="74" t="str">
        <f aca="false">IF(ISBLANK($C305),"",IF(ISBLANK($W305),0,IF(ISNUMBER($W305),IF(AND($W305&gt;=0,$W305&lt;=Constants!$B$21,$W305=INT($W305)),$W305,""),"")))</f>
        <v/>
      </c>
      <c r="BC305" s="74" t="str">
        <f aca="false">IF(ISBLANK($C305),"",IF(ISBLANK($X305),0,IF(ISNUMBER($X305),IF($X305&gt;=0,$X305,""),"")))</f>
        <v/>
      </c>
      <c r="BD305" s="74" t="str">
        <f aca="false">IF(ISBLANK($C305),"",IF($Y305=Constants!$B$2,TRUE(),IF($Y305=Constants!$B$3,FALSE(),TRUE())))</f>
        <v/>
      </c>
      <c r="BE305" s="74" t="str">
        <f aca="false">IF(ISBLANK($C305),"",IF($Z305=Constants!$B$2,TRUE(),IF($Z305=Constants!$B$3,FALSE(),FALSE())))</f>
        <v/>
      </c>
      <c r="BF305" s="74" t="str">
        <f aca="false">IF(ISBLANK($C305),"",IF(ISBLANK($AA305),0,IF(ISNUMBER($AA305),IF(AND($AA305&gt;=0,$AA305&lt;=Constants!$B$35,$AA305=INT($AA305)),$AA305,""),"")))</f>
        <v/>
      </c>
      <c r="BG305" s="74" t="str">
        <f aca="false">IF(ISBLANK($C305),"",IF($AB305=Constants!$B$2,TRUE(),IF($AB305=Constants!$B$3,FALSE(),TRUE())))</f>
        <v/>
      </c>
      <c r="BH305" s="74" t="str">
        <f aca="false">IF(ISBLANK($C305),"",IF($AC305=Constants!$B$2,TRUE(),IF($AC305=Constants!$B$3,FALSE(),TRUE())))</f>
        <v/>
      </c>
      <c r="BI305" s="74" t="str">
        <f aca="false">IF(ISBLANK($C305),"",IF($AD305=Constants!$B$2,TRUE(),IF($AD305=Constants!$B$3,FALSE(),TRUE())))</f>
        <v/>
      </c>
      <c r="BJ305" s="74" t="str">
        <f aca="false">IF(ISBLANK($C305),"",IF(ISNUMBER($AE305),IF($AE305&gt;=0,$AE305,""),""))</f>
        <v/>
      </c>
      <c r="BK305" s="74" t="str">
        <f aca="false">IF(ISBLANK($C305),"",IF($AF305=Constants!$B$2,TRUE(),IF($AF305=Constants!$B$3,FALSE(),FALSE())))</f>
        <v/>
      </c>
      <c r="BL305" s="73" t="str">
        <f aca="false">IF(ISBLANK($C305),"",IF($BK305,Constants!$B$7,IF(COUNTA($E305:$AE305)=0,Constants!$B$6,IF(OR(COUNTA($G305:$AE305)=0,NOT($AM305),$AS305),Constants!$B$5,IF(OR($CM305&lt;&gt;"",$CN305,$CO305,$CP305,$CQ305,$CR305,$CS305),Constants!$B$8,Constants!$B$4)))))</f>
        <v/>
      </c>
      <c r="BM305" s="74" t="str">
        <f aca="false">IF(ISBLANK($C305),"",IF($BL305&lt;&gt;Constants!$B$4,$BL305,IF(OR(NOT($AJ305),NOT($AL305),NOT($AT305)),Constants!$B$11,IF(OR(NOT($AR305),NOT($AU305),NOT($BI305),MAX($AN305,$AO305,$AP305)&gt;Constants!$B$30),Constants!$B$10,Constants!$B$9))))</f>
        <v/>
      </c>
      <c r="BN305" s="74" t="str">
        <f aca="false">IF($BL305&lt;&gt;Constants!$B$4,"",IF(NOT($AL305),0,MIN(Constants!$B$35,$BF305)))</f>
        <v/>
      </c>
      <c r="BO305" s="74" t="str">
        <f aca="false">IF($BL305&lt;&gt;Constants!$B$4,"",IF(NOT($AL305),0,IF($AW305,Constants!$B$18,IF($AV305,Constants!$B$17,0))))</f>
        <v/>
      </c>
      <c r="BP305" s="74" t="str">
        <f aca="false">IF($BL305&lt;&gt;Constants!$B$4,"",IF(NOT($AL305),0,Constants!$B$19*($AK305+$AX305+$AY305+$AZ305)))</f>
        <v/>
      </c>
      <c r="BQ305" s="74" t="str">
        <f aca="false">IF($BL305&lt;&gt;Constants!$B$4,"",IF(OR(NOT($AL305),NOT(ISNUMBER($BA305))),0,CHOOSE($BA305,Constants!$B$13,Constants!$B$14,Constants!$B$15,Constants!$B$16)))</f>
        <v/>
      </c>
      <c r="BR305" s="74" t="str">
        <f aca="false">IF($BL305&lt;&gt;Constants!$B$4,"",IF(NOT($AL305),0,Constants!$B$20*$BB305))</f>
        <v/>
      </c>
      <c r="BS305" s="74" t="str">
        <f aca="false">IF($BL305&lt;&gt;Constants!$B$4,"",IF(AND($AL305,$BD305,$BE305),Constants!$B$22,0))</f>
        <v/>
      </c>
      <c r="BT305" s="74" t="str">
        <f aca="false">IF($BL305&lt;&gt;Constants!$B$4,"",IF(OR(NOT($AL305),NOT($BD305)),0,IF($BJ305&gt;=2*$AH$9,0,Constants!$B$23*INT(ROUND(MIN($BJ305,$AH$9),6)))))</f>
        <v/>
      </c>
      <c r="BU305" s="74" t="str">
        <f aca="false">IF($BL305&lt;&gt;Constants!$B$4,"",IF(NOT($AL305),0,Constants!$B$24*INT(ROUND(MIN($BC305,$AH$9),6))))</f>
        <v/>
      </c>
      <c r="BV305" s="74" t="str">
        <f aca="false">IF($BL305&lt;&gt;Constants!$B$4,"",IF(AND($AL305,$BN305=0),Constants!$B$25,0))</f>
        <v/>
      </c>
      <c r="BW305" s="74" t="str">
        <f aca="false">IF($BL305&lt;&gt;Constants!$B$4,"",MIN(Constants!$B$29,MAX(0,Constants!$B$27*Constants!$B$28*INT(ROUND((Constants!$B$26-$AN305)/Constants!$B$28,6))))+MIN(Constants!$B$29,MAX(0,Constants!$B$27*Constants!$B$28*INT(ROUND((Constants!$B$26-$AO305)/Constants!$B$28,6))))+MIN(Constants!$B$29,MAX(0,Constants!$B$27*Constants!$B$28*INT(ROUND((Constants!$B$26-$AP305)/Constants!$B$28,6)))))</f>
        <v/>
      </c>
      <c r="BX305" s="74" t="str">
        <f aca="false">IF($BL305&lt;&gt;Constants!$B$4,"",IF(NOT($AL305),0,Constants!$B$31*INT(ROUND(MAX(0,MIN($BJ305,2*$AH$9)-$AH$9),6))))</f>
        <v/>
      </c>
      <c r="BY305" s="74" t="str">
        <f aca="false">IF($BL305&lt;&gt;Constants!$B$4,"",Constants!$B$32*(($AN305&gt;Constants!$B$26)+($AO305&gt;Constants!$B$26)+($AP305&gt;Constants!$B$26)))</f>
        <v/>
      </c>
      <c r="BZ305" s="74" t="str">
        <f aca="false">IF($BL305&lt;&gt;Constants!$B$4,"",IF(OR(NOT($AL305),$AQ305),0,Constants!$B$33))</f>
        <v/>
      </c>
      <c r="CA305" s="74" t="str">
        <f aca="false">IF($BL305&lt;&gt;Constants!$B$4,"",Constants!$B$34*$BN305)</f>
        <v/>
      </c>
      <c r="CB305" s="74" t="str">
        <f aca="false">IF($BL305&lt;&gt;Constants!$B$4,"",IF(OR(NOT($AL305),$BH305),0,Constants!$B$36))</f>
        <v/>
      </c>
      <c r="CC305" s="74" t="str">
        <f aca="false">IF($BL305&lt;&gt;Constants!$B$4,"",IF(OR(NOT($AL305),$BG305),0,Constants!$B$37))</f>
        <v/>
      </c>
      <c r="CD305" s="74" t="str">
        <f aca="false">IF($BL305&lt;&gt;Constants!$B$4,"",SUM($BX305:$CC305))</f>
        <v/>
      </c>
      <c r="CE305" s="74" t="str">
        <f aca="false">IF(ISBLANK($C305),"",IF($BL305&lt;&gt;Constants!$B$4,$BL305,SUM($BO305:$BW305)-$CD305))</f>
        <v/>
      </c>
      <c r="CF305" s="74" t="str">
        <f aca="false">IF(ISBLANK($C305),"",IF($BL305&lt;&gt;Constants!$B$4,$BL305,RANK($CE305,$CE$9:$CE$508)))</f>
        <v/>
      </c>
      <c r="CG305" s="74" t="str">
        <f aca="false">IF(ISBLANK($C305),"",IF($BL305&lt;&gt;Constants!$B$4,$BL305,COUNTIFS($BM$9:$BM$508,"&lt;"&amp;$BM305)+COUNTIFS($BM$9:$BM$508,$BM305,$CF$9:$CF$508,"&lt;"&amp;$CF305)+1))</f>
        <v/>
      </c>
      <c r="CH305" s="74" t="str">
        <f aca="false">IF(ISBLANK($C305),"",IF($BL305&lt;&gt;Constants!$B$4,$BL305,RANK($CD305,$CD$9:$CD$508,1)))</f>
        <v/>
      </c>
      <c r="CI305" s="74" t="str">
        <f aca="false">IF($BL305&lt;&gt;Constants!$B$4,"",$AN305+$AO305+$AP305)</f>
        <v/>
      </c>
      <c r="CJ305" s="74" t="str">
        <f aca="false">IF(ISBLANK($C305),"",IF($BL305&lt;&gt;Constants!$B$4,$BL305,RANK($CI305,$CI$9:$CI$508,1)))</f>
        <v/>
      </c>
      <c r="CK305" s="74" t="str">
        <f aca="false">IF(ISBLANK($C305),"",IF($BL305&lt;&gt;Constants!$B$4,$BL305,COUNTIFS($BM$9:$BM$508,"&lt;"&amp;$BM305)+COUNTIFS($BM$9:$BM$508,$BM305,$CF$9:$CF$508,"&lt;"&amp;$CF305)+COUNTIFS($BM$9:$BM$508,$BM305,$CF$9:$CF$508,$CF305,$CH$9:$CH$508,"&lt;"&amp;$CH305)+COUNTIFS($BM$9:$BM$508,$BM305,$CF$9:$CF$508,$CF305,$CH$9:$CH$508,$CH305,$CJ$9:$CJ$508,"&lt;"&amp;$CJ305)+1))</f>
        <v/>
      </c>
      <c r="CL305" s="74" t="str">
        <f aca="false">IF(ISBLANK($C305),"",IF($BL305&lt;&gt;Constants!$B$4,$BL305,$CG305-$CK305))</f>
        <v/>
      </c>
      <c r="CM305" s="74" t="str">
        <f aca="false">IF(ISBLANK($C305),"",IF(NOT($AL305),"",IF(ISBLANK($D$7),$CM$5,IF(NOT(ISNUMBER($D$7)),$CM$6,""))))</f>
        <v/>
      </c>
      <c r="CN305" s="74" t="str">
        <f aca="false">IF(ISBLANK($C305),"",OR($AN305="",$AO305="",$AP305=""))</f>
        <v/>
      </c>
      <c r="CO305" s="74" t="str">
        <f aca="false">IF(ISBLANK($C305),"",AND($AL305,$BA305=""))</f>
        <v/>
      </c>
      <c r="CP305" s="74" t="str">
        <f aca="false">IF(ISBLANK($C305),"",AND($AL305,$BB305=""))</f>
        <v/>
      </c>
      <c r="CQ305" s="74" t="str">
        <f aca="false">IF(ISBLANK($C305),"",AND($AL305,$BC305=""))</f>
        <v/>
      </c>
      <c r="CR305" s="74" t="str">
        <f aca="false">IF(ISBLANK($C305),"",AND($AL305,$BF305=""))</f>
        <v/>
      </c>
      <c r="CS305" s="74" t="str">
        <f aca="false">IF(ISBLANK($C305),"",AND($AL305,$BJ305=""))</f>
        <v/>
      </c>
      <c r="CT305" s="75"/>
      <c r="CU305" s="76"/>
      <c r="CV305" s="79" t="str">
        <f aca="false">IF(ISBLANK($C305),"",IF($BL305=Constants!$B$8,$CM305,""))</f>
        <v/>
      </c>
      <c r="CW305" s="76" t="str">
        <f aca="false">IF(ISBLANK($C305),"",IF($BL305&lt;&gt;Constants!$B$4,"",$BO305+$BP305))</f>
        <v/>
      </c>
      <c r="CX305" s="78" t="str">
        <f aca="false">IF(ISBLANK($C305),"",IF($BL305&lt;&gt;Constants!$B$4,"",$BQ305+$BR305+$BS305))</f>
        <v/>
      </c>
      <c r="CY305" s="78" t="str">
        <f aca="false">IF(ISBLANK($C305),"",IF($BL305&lt;&gt;Constants!$B$4,"",$BT305))</f>
        <v/>
      </c>
      <c r="CZ305" s="78" t="str">
        <f aca="false">IF(ISBLANK($C305),"",IF($BL305&lt;&gt;Constants!$B$4,"",$BU305+$BV305))</f>
        <v/>
      </c>
      <c r="DA305" s="78" t="str">
        <f aca="false">IF(ISBLANK($C305),"",IF($BL305&lt;&gt;Constants!$B$4,"",$BW305))</f>
        <v/>
      </c>
      <c r="DB305" s="78" t="str">
        <f aca="false">IF(ISBLANK($C305),"",IF($BL305&lt;&gt;Constants!$B$4,"",-$CD305))</f>
        <v/>
      </c>
      <c r="DC305" s="79" t="str">
        <f aca="false">IF(ISBLANK($C305),"",$CE305)</f>
        <v/>
      </c>
      <c r="DD305" s="80" t="str">
        <f aca="false">IF(ISBLANK($C305),"",$BM305)</f>
        <v/>
      </c>
      <c r="DE305" s="78" t="str">
        <f aca="false">IF(ISBLANK($C305),"",$CL305)</f>
        <v/>
      </c>
      <c r="DF305" s="78" t="str">
        <f aca="false">IF(ISBLANK($C305),"",$CK305)</f>
        <v/>
      </c>
      <c r="DG305" s="81" t="str">
        <f aca="false">IF(ISBLANK($C305),"",IF($DF305=Constants!$B$7,COUNTA($C$9:$C$508)+2,IF($DF305=Constants!$B$6,COUNTA($C$9:$C$508)+1,IF($DF305=Constants!$B$5,COUNTA($C$9:$C$508),$DF305))))</f>
        <v/>
      </c>
      <c r="DH305" s="7"/>
      <c r="DI305" s="82" t="n">
        <f aca="false">IF(OR(ISNUMBER($DF305),$DF305=Constants!$B$7,$DF305=Constants!$B$5,$DF305=Constants!$B$6),1,0)</f>
        <v>0</v>
      </c>
      <c r="DJ305" s="82" t="n">
        <v>297</v>
      </c>
      <c r="DK305" s="82" t="str">
        <f aca="false">IF(ISBLANK($C305),"",IF(ISNUMBER($DG305),$DG305+ROW($B305)/1000,""))</f>
        <v/>
      </c>
      <c r="DL305" s="82" t="str">
        <f aca="false">IF(ISNUMBER($DK305),RANK($DK305,$DK$9:$DK$508,1),"")</f>
        <v/>
      </c>
      <c r="DM305" s="82" t="str">
        <f aca="false">IF(ISBLANK($C305),"",$B305)</f>
        <v/>
      </c>
      <c r="DN305" s="82" t="str">
        <f aca="false">IF(ISBLANK($C305),"",$C305)</f>
        <v/>
      </c>
      <c r="DO305" s="82" t="str">
        <f aca="false">IF(ISBLANK($C305),"",$D305)</f>
        <v/>
      </c>
      <c r="DP305" s="83" t="str">
        <f aca="false">$DD305</f>
        <v/>
      </c>
      <c r="DQ305" s="84" t="str">
        <f aca="false">$DC305</f>
        <v/>
      </c>
      <c r="DR305" s="82" t="str">
        <f aca="false">IF(ISBLANK($C305),"",$DF305)</f>
        <v/>
      </c>
      <c r="DS305" s="85" t="str">
        <f aca="false">IF($DJ305&gt;$DI$8,"",VLOOKUP($DJ305,$DL$9:$DR$508,7,FALSE()))</f>
        <v/>
      </c>
      <c r="DT305" s="86" t="str">
        <f aca="false">IF($DJ305&gt;$DI$8,"",VLOOKUP($DJ305,$DL$9:$DR$508,2,FALSE()))</f>
        <v/>
      </c>
      <c r="DU305" s="86" t="str">
        <f aca="false">IF($DJ305&gt;$DI$8,"",VLOOKUP($DJ305,$DL$9:$DR$508,3,FALSE()))</f>
        <v/>
      </c>
      <c r="DV305" s="86" t="str">
        <f aca="false">IF($DJ305&gt;$DI$8,"",VLOOKUP($DJ305,$DL$9:$DR$508,4,FALSE()))</f>
        <v/>
      </c>
      <c r="DW305" s="86" t="str">
        <f aca="false">IF($DJ305&gt;$DI$8,"",VLOOKUP($DJ305,$DL$9:$DR$508,5,FALSE()))</f>
        <v/>
      </c>
      <c r="DX305" s="87" t="str">
        <f aca="false">IF($DJ305&gt;$DI$8,"",VLOOKUP($DJ305,$DL$9:$DR$508,6,FALSE()))</f>
        <v/>
      </c>
      <c r="DY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130"/>
      <c r="N306" s="130"/>
      <c r="O306" s="135"/>
      <c r="P306" s="135"/>
      <c r="Q306" s="130"/>
      <c r="R306" s="130"/>
      <c r="S306" s="130"/>
      <c r="T306" s="130"/>
      <c r="U306" s="135"/>
      <c r="V306" s="130"/>
      <c r="W306" s="96"/>
      <c r="X306" s="130"/>
      <c r="Y306" s="130"/>
      <c r="Z306" s="96"/>
      <c r="AA306" s="96"/>
      <c r="AB306" s="130"/>
      <c r="AC306" s="130"/>
      <c r="AD306" s="130"/>
      <c r="AE306" s="97"/>
      <c r="AF306" s="130"/>
      <c r="AG306" s="99"/>
      <c r="AH306" s="100"/>
      <c r="AI306" s="100"/>
      <c r="AJ306" s="100" t="str">
        <f aca="false">IF(ISBLANK($C306),"",IF($E306=Constants!$B$2,TRUE(),IF($E306=Constants!$B$3,FALSE(),TRUE())))</f>
        <v/>
      </c>
      <c r="AK306" s="100" t="str">
        <f aca="false">IF(ISBLANK($C306),"",IF($F306=Constants!$B$2,TRUE(),IF($F306=Constants!$B$3,FALSE(),FALSE())))</f>
        <v/>
      </c>
      <c r="AL306" s="100" t="str">
        <f aca="false">IF(ISBLANK($C306),"",IF($G306=Constants!$B$2,TRUE(),IF($G306=Constants!$B$3,FALSE(),TRUE())))</f>
        <v/>
      </c>
      <c r="AM306" s="100" t="str">
        <f aca="false">IF(ISBLANK($C306),"",IF($H306=Constants!$B$2,TRUE(),IF($H306=Constants!$B$3,FALSE(),TRUE())))</f>
        <v/>
      </c>
      <c r="AN306" s="100" t="str">
        <f aca="false">IF(ISBLANK($C306),"",IF(ISNUMBER($I306),IF($I306&gt;=0,$I306,""),""))</f>
        <v/>
      </c>
      <c r="AO306" s="100" t="str">
        <f aca="false">IF(ISBLANK($C306),"",IF(ISNUMBER($J306),IF($J306&gt;=0,$J306,""),""))</f>
        <v/>
      </c>
      <c r="AP306" s="100" t="str">
        <f aca="false">IF(ISBLANK($C306),"",IF(ISNUMBER($K306),IF($K306&gt;=0,$K306,""),""))</f>
        <v/>
      </c>
      <c r="AQ306" s="100" t="str">
        <f aca="false">IF(ISBLANK($C306),"",IF($L306=Constants!$B$2,TRUE(),IF($L306=Constants!$B$3,FALSE(),TRUE())))</f>
        <v/>
      </c>
      <c r="AR306" s="100" t="str">
        <f aca="false">IF(ISBLANK($C306),"",IF($M306=Constants!$B$2,TRUE(),IF($M306=Constants!$B$3,FALSE(),TRUE())))</f>
        <v/>
      </c>
      <c r="AS306" s="100" t="str">
        <f aca="false">IF(ISBLANK($C306),"",IF($N306=Constants!$B$2,TRUE(),IF($N306=Constants!$B$3,FALSE(),FALSE())))</f>
        <v/>
      </c>
      <c r="AT306" s="100" t="str">
        <f aca="false">IF(ISBLANK($C306),"",IF($O306=Constants!$B$2,TRUE(),IF($O306=Constants!$B$3,FALSE(),TRUE())))</f>
        <v/>
      </c>
      <c r="AU306" s="100" t="str">
        <f aca="false">IF(ISBLANK($C306),"",IF($P306=Constants!$B$2,TRUE(),IF($P306=Constants!$B$3,FALSE(),TRUE())))</f>
        <v/>
      </c>
      <c r="AV306" s="100" t="str">
        <f aca="false">IF(ISBLANK($C306),"",IF($Q306=Constants!$B$2,TRUE(),IF($Q306=Constants!$B$3,FALSE(),FALSE())))</f>
        <v/>
      </c>
      <c r="AW306" s="100" t="str">
        <f aca="false">IF(ISBLANK($C306),"",IF($R306=Constants!$B$2,TRUE(),IF($R306=Constants!$B$3,FALSE(),FALSE())))</f>
        <v/>
      </c>
      <c r="AX306" s="100" t="str">
        <f aca="false">IF(ISBLANK($C306),"",IF($S306=Constants!$B$2,TRUE(),IF($S306=Constants!$B$3,FALSE(),FALSE())))</f>
        <v/>
      </c>
      <c r="AY306" s="100" t="str">
        <f aca="false">IF(ISBLANK($C306),"",IF($T306=Constants!$B$2,TRUE(),IF($T306=Constants!$B$3,FALSE(),FALSE())))</f>
        <v/>
      </c>
      <c r="AZ306" s="100" t="str">
        <f aca="false">IF(ISBLANK($C306),"",IF($U306=Constants!$B$2,TRUE(),IF($U306=Constants!$B$3,FALSE(),FALSE())))</f>
        <v/>
      </c>
      <c r="BA306" s="100" t="str">
        <f aca="false">IF(ISBLANK($C306),"",IF(OR($V306&amp;""="1",$V306&amp;""="2",$V306&amp;""="3",$V306&amp;""="4"),VALUE($V306&amp;""),IF($V306=Constants!$B$12,Constants!$B$12,"")))</f>
        <v/>
      </c>
      <c r="BB306" s="100" t="str">
        <f aca="false">IF(ISBLANK($C306),"",IF(ISBLANK($W306),0,IF(ISNUMBER($W306),IF(AND($W306&gt;=0,$W306&lt;=Constants!$B$21,$W306=INT($W306)),$W306,""),"")))</f>
        <v/>
      </c>
      <c r="BC306" s="100" t="str">
        <f aca="false">IF(ISBLANK($C306),"",IF(ISBLANK($X306),0,IF(ISNUMBER($X306),IF($X306&gt;=0,$X306,""),"")))</f>
        <v/>
      </c>
      <c r="BD306" s="100" t="str">
        <f aca="false">IF(ISBLANK($C306),"",IF($Y306=Constants!$B$2,TRUE(),IF($Y306=Constants!$B$3,FALSE(),TRUE())))</f>
        <v/>
      </c>
      <c r="BE306" s="100" t="str">
        <f aca="false">IF(ISBLANK($C306),"",IF($Z306=Constants!$B$2,TRUE(),IF($Z306=Constants!$B$3,FALSE(),FALSE())))</f>
        <v/>
      </c>
      <c r="BF306" s="100" t="str">
        <f aca="false">IF(ISBLANK($C306),"",IF(ISBLANK($AA306),0,IF(ISNUMBER($AA306),IF(AND($AA306&gt;=0,$AA306&lt;=Constants!$B$35,$AA306=INT($AA306)),$AA306,""),"")))</f>
        <v/>
      </c>
      <c r="BG306" s="100" t="str">
        <f aca="false">IF(ISBLANK($C306),"",IF($AB306=Constants!$B$2,TRUE(),IF($AB306=Constants!$B$3,FALSE(),TRUE())))</f>
        <v/>
      </c>
      <c r="BH306" s="100" t="str">
        <f aca="false">IF(ISBLANK($C306),"",IF($AC306=Constants!$B$2,TRUE(),IF($AC306=Constants!$B$3,FALSE(),TRUE())))</f>
        <v/>
      </c>
      <c r="BI306" s="100" t="str">
        <f aca="false">IF(ISBLANK($C306),"",IF($AD306=Constants!$B$2,TRUE(),IF($AD306=Constants!$B$3,FALSE(),TRUE())))</f>
        <v/>
      </c>
      <c r="BJ306" s="100" t="str">
        <f aca="false">IF(ISBLANK($C306),"",IF(ISNUMBER($AE306),IF($AE306&gt;=0,$AE306,""),""))</f>
        <v/>
      </c>
      <c r="BK306" s="100" t="str">
        <f aca="false">IF(ISBLANK($C306),"",IF($AF306=Constants!$B$2,TRUE(),IF($AF306=Constants!$B$3,FALSE(),FALSE())))</f>
        <v/>
      </c>
      <c r="BL306" s="99" t="str">
        <f aca="false">IF(ISBLANK($C306),"",IF($BK306,Constants!$B$7,IF(COUNTA($E306:$AE306)=0,Constants!$B$6,IF(OR(COUNTA($G306:$AE306)=0,NOT($AM306),$AS306),Constants!$B$5,IF(OR($CM306&lt;&gt;"",$CN306,$CO306,$CP306,$CQ306,$CR306,$CS306),Constants!$B$8,Constants!$B$4)))))</f>
        <v/>
      </c>
      <c r="BM306" s="100" t="str">
        <f aca="false">IF(ISBLANK($C306),"",IF($BL306&lt;&gt;Constants!$B$4,$BL306,IF(OR(NOT($AJ306),NOT($AL306),NOT($AT306)),Constants!$B$11,IF(OR(NOT($AR306),NOT($AU306),NOT($BI306),MAX($AN306,$AO306,$AP306)&gt;Constants!$B$30),Constants!$B$10,Constants!$B$9))))</f>
        <v/>
      </c>
      <c r="BN306" s="100" t="str">
        <f aca="false">IF($BL306&lt;&gt;Constants!$B$4,"",IF(NOT($AL306),0,MIN(Constants!$B$35,$BF306)))</f>
        <v/>
      </c>
      <c r="BO306" s="100" t="str">
        <f aca="false">IF($BL306&lt;&gt;Constants!$B$4,"",IF(NOT($AL306),0,IF($AW306,Constants!$B$18,IF($AV306,Constants!$B$17,0))))</f>
        <v/>
      </c>
      <c r="BP306" s="100" t="str">
        <f aca="false">IF($BL306&lt;&gt;Constants!$B$4,"",IF(NOT($AL306),0,Constants!$B$19*($AK306+$AX306+$AY306+$AZ306)))</f>
        <v/>
      </c>
      <c r="BQ306" s="100" t="str">
        <f aca="false">IF($BL306&lt;&gt;Constants!$B$4,"",IF(OR(NOT($AL306),NOT(ISNUMBER($BA306))),0,CHOOSE($BA306,Constants!$B$13,Constants!$B$14,Constants!$B$15,Constants!$B$16)))</f>
        <v/>
      </c>
      <c r="BR306" s="100" t="str">
        <f aca="false">IF($BL306&lt;&gt;Constants!$B$4,"",IF(NOT($AL306),0,Constants!$B$20*$BB306))</f>
        <v/>
      </c>
      <c r="BS306" s="100" t="str">
        <f aca="false">IF($BL306&lt;&gt;Constants!$B$4,"",IF(AND($AL306,$BD306,$BE306),Constants!$B$22,0))</f>
        <v/>
      </c>
      <c r="BT306" s="100" t="str">
        <f aca="false">IF($BL306&lt;&gt;Constants!$B$4,"",IF(OR(NOT($AL306),NOT($BD306)),0,IF($BJ306&gt;=2*$AH$9,0,Constants!$B$23*INT(ROUND(MIN($BJ306,$AH$9),6)))))</f>
        <v/>
      </c>
      <c r="BU306" s="100" t="str">
        <f aca="false">IF($BL306&lt;&gt;Constants!$B$4,"",IF(NOT($AL306),0,Constants!$B$24*INT(ROUND(MIN($BC306,$AH$9),6))))</f>
        <v/>
      </c>
      <c r="BV306" s="100" t="str">
        <f aca="false">IF($BL306&lt;&gt;Constants!$B$4,"",IF(AND($AL306,$BN306=0),Constants!$B$25,0))</f>
        <v/>
      </c>
      <c r="BW306" s="100" t="str">
        <f aca="false">IF($BL306&lt;&gt;Constants!$B$4,"",MIN(Constants!$B$29,MAX(0,Constants!$B$27*Constants!$B$28*INT(ROUND((Constants!$B$26-$AN306)/Constants!$B$28,6))))+MIN(Constants!$B$29,MAX(0,Constants!$B$27*Constants!$B$28*INT(ROUND((Constants!$B$26-$AO306)/Constants!$B$28,6))))+MIN(Constants!$B$29,MAX(0,Constants!$B$27*Constants!$B$28*INT(ROUND((Constants!$B$26-$AP306)/Constants!$B$28,6)))))</f>
        <v/>
      </c>
      <c r="BX306" s="100" t="str">
        <f aca="false">IF($BL306&lt;&gt;Constants!$B$4,"",IF(NOT($AL306),0,Constants!$B$31*INT(ROUND(MAX(0,MIN($BJ306,2*$AH$9)-$AH$9),6))))</f>
        <v/>
      </c>
      <c r="BY306" s="100" t="str">
        <f aca="false">IF($BL306&lt;&gt;Constants!$B$4,"",Constants!$B$32*(($AN306&gt;Constants!$B$26)+($AO306&gt;Constants!$B$26)+($AP306&gt;Constants!$B$26)))</f>
        <v/>
      </c>
      <c r="BZ306" s="100" t="str">
        <f aca="false">IF($BL306&lt;&gt;Constants!$B$4,"",IF(OR(NOT($AL306),$AQ306),0,Constants!$B$33))</f>
        <v/>
      </c>
      <c r="CA306" s="100" t="str">
        <f aca="false">IF($BL306&lt;&gt;Constants!$B$4,"",Constants!$B$34*$BN306)</f>
        <v/>
      </c>
      <c r="CB306" s="100" t="str">
        <f aca="false">IF($BL306&lt;&gt;Constants!$B$4,"",IF(OR(NOT($AL306),$BH306),0,Constants!$B$36))</f>
        <v/>
      </c>
      <c r="CC306" s="100" t="str">
        <f aca="false">IF($BL306&lt;&gt;Constants!$B$4,"",IF(OR(NOT($AL306),$BG306),0,Constants!$B$37))</f>
        <v/>
      </c>
      <c r="CD306" s="100" t="str">
        <f aca="false">IF($BL306&lt;&gt;Constants!$B$4,"",SUM($BX306:$CC306))</f>
        <v/>
      </c>
      <c r="CE306" s="100" t="str">
        <f aca="false">IF(ISBLANK($C306),"",IF($BL306&lt;&gt;Constants!$B$4,$BL306,SUM($BO306:$BW306)-$CD306))</f>
        <v/>
      </c>
      <c r="CF306" s="100" t="str">
        <f aca="false">IF(ISBLANK($C306),"",IF($BL306&lt;&gt;Constants!$B$4,$BL306,RANK($CE306,$CE$9:$CE$508)))</f>
        <v/>
      </c>
      <c r="CG306" s="100" t="str">
        <f aca="false">IF(ISBLANK($C306),"",IF($BL306&lt;&gt;Constants!$B$4,$BL306,COUNTIFS($BM$9:$BM$508,"&lt;"&amp;$BM306)+COUNTIFS($BM$9:$BM$508,$BM306,$CF$9:$CF$508,"&lt;"&amp;$CF306)+1))</f>
        <v/>
      </c>
      <c r="CH306" s="100" t="str">
        <f aca="false">IF(ISBLANK($C306),"",IF($BL306&lt;&gt;Constants!$B$4,$BL306,RANK($CD306,$CD$9:$CD$508,1)))</f>
        <v/>
      </c>
      <c r="CI306" s="100" t="str">
        <f aca="false">IF($BL306&lt;&gt;Constants!$B$4,"",$AN306+$AO306+$AP306)</f>
        <v/>
      </c>
      <c r="CJ306" s="100" t="str">
        <f aca="false">IF(ISBLANK($C306),"",IF($BL306&lt;&gt;Constants!$B$4,$BL306,RANK($CI306,$CI$9:$CI$508,1)))</f>
        <v/>
      </c>
      <c r="CK306" s="100" t="str">
        <f aca="false">IF(ISBLANK($C306),"",IF($BL306&lt;&gt;Constants!$B$4,$BL306,COUNTIFS($BM$9:$BM$508,"&lt;"&amp;$BM306)+COUNTIFS($BM$9:$BM$508,$BM306,$CF$9:$CF$508,"&lt;"&amp;$CF306)+COUNTIFS($BM$9:$BM$508,$BM306,$CF$9:$CF$508,$CF306,$CH$9:$CH$508,"&lt;"&amp;$CH306)+COUNTIFS($BM$9:$BM$508,$BM306,$CF$9:$CF$508,$CF306,$CH$9:$CH$508,$CH306,$CJ$9:$CJ$508,"&lt;"&amp;$CJ306)+1))</f>
        <v/>
      </c>
      <c r="CL306" s="100" t="str">
        <f aca="false">IF(ISBLANK($C306),"",IF($BL306&lt;&gt;Constants!$B$4,$BL306,$CG306-$CK306))</f>
        <v/>
      </c>
      <c r="CM306" s="100" t="str">
        <f aca="false">IF(ISBLANK($C306),"",IF(NOT($AL306),"",IF(ISBLANK($D$7),$CM$5,IF(NOT(ISNUMBER($D$7)),$CM$6,""))))</f>
        <v/>
      </c>
      <c r="CN306" s="100" t="str">
        <f aca="false">IF(ISBLANK($C306),"",OR($AN306="",$AO306="",$AP306=""))</f>
        <v/>
      </c>
      <c r="CO306" s="100" t="str">
        <f aca="false">IF(ISBLANK($C306),"",AND($AL306,$BA306=""))</f>
        <v/>
      </c>
      <c r="CP306" s="100" t="str">
        <f aca="false">IF(ISBLANK($C306),"",AND($AL306,$BB306=""))</f>
        <v/>
      </c>
      <c r="CQ306" s="100" t="str">
        <f aca="false">IF(ISBLANK($C306),"",AND($AL306,$BC306=""))</f>
        <v/>
      </c>
      <c r="CR306" s="100" t="str">
        <f aca="false">IF(ISBLANK($C306),"",AND($AL306,$BF306=""))</f>
        <v/>
      </c>
      <c r="CS306" s="100" t="str">
        <f aca="false">IF(ISBLANK($C306),"",AND($AL306,$BJ306=""))</f>
        <v/>
      </c>
      <c r="CT306" s="101"/>
      <c r="CU306" s="102"/>
      <c r="CV306" s="103" t="str">
        <f aca="false">IF(ISBLANK($C306),"",IF($BL306=Constants!$B$8,$CM306,""))</f>
        <v/>
      </c>
      <c r="CW306" s="102" t="str">
        <f aca="false">IF(ISBLANK($C306),"",IF($BL306&lt;&gt;Constants!$B$4,"",$BO306+$BP306))</f>
        <v/>
      </c>
      <c r="CX306" s="104" t="str">
        <f aca="false">IF(ISBLANK($C306),"",IF($BL306&lt;&gt;Constants!$B$4,"",$BQ306+$BR306+$BS306))</f>
        <v/>
      </c>
      <c r="CY306" s="104" t="str">
        <f aca="false">IF(ISBLANK($C306),"",IF($BL306&lt;&gt;Constants!$B$4,"",$BT306))</f>
        <v/>
      </c>
      <c r="CZ306" s="104" t="str">
        <f aca="false">IF(ISBLANK($C306),"",IF($BL306&lt;&gt;Constants!$B$4,"",$BU306+$BV306))</f>
        <v/>
      </c>
      <c r="DA306" s="104" t="str">
        <f aca="false">IF(ISBLANK($C306),"",IF($BL306&lt;&gt;Constants!$B$4,"",$BW306))</f>
        <v/>
      </c>
      <c r="DB306" s="104" t="str">
        <f aca="false">IF(ISBLANK($C306),"",IF($BL306&lt;&gt;Constants!$B$4,"",-$CD306))</f>
        <v/>
      </c>
      <c r="DC306" s="103" t="str">
        <f aca="false">IF(ISBLANK($C306),"",$CE306)</f>
        <v/>
      </c>
      <c r="DD306" s="105" t="str">
        <f aca="false">IF(ISBLANK($C306),"",$BM306)</f>
        <v/>
      </c>
      <c r="DE306" s="104" t="str">
        <f aca="false">IF(ISBLANK($C306),"",$CL306)</f>
        <v/>
      </c>
      <c r="DF306" s="104" t="str">
        <f aca="false">IF(ISBLANK($C306),"",$CK306)</f>
        <v/>
      </c>
      <c r="DG306" s="106" t="str">
        <f aca="false">IF(ISBLANK($C306),"",IF($DF306=Constants!$B$7,COUNTA($C$9:$C$508)+2,IF($DF306=Constants!$B$6,COUNTA($C$9:$C$508)+1,IF($DF306=Constants!$B$5,COUNTA($C$9:$C$508),$DF306))))</f>
        <v/>
      </c>
      <c r="DH306" s="7"/>
      <c r="DI306" s="107" t="n">
        <f aca="false">IF(OR(ISNUMBER($DF306),$DF306=Constants!$B$7,$DF306=Constants!$B$5,$DF306=Constants!$B$6),1,0)</f>
        <v>0</v>
      </c>
      <c r="DJ306" s="107" t="n">
        <v>298</v>
      </c>
      <c r="DK306" s="107" t="str">
        <f aca="false">IF(ISBLANK($C306),"",IF(ISNUMBER($DG306),$DG306+ROW($B306)/1000,""))</f>
        <v/>
      </c>
      <c r="DL306" s="107" t="str">
        <f aca="false">IF(ISNUMBER($DK306),RANK($DK306,$DK$9:$DK$508,1),"")</f>
        <v/>
      </c>
      <c r="DM306" s="107" t="str">
        <f aca="false">IF(ISBLANK($C306),"",$B306)</f>
        <v/>
      </c>
      <c r="DN306" s="107" t="str">
        <f aca="false">IF(ISBLANK($C306),"",$C306)</f>
        <v/>
      </c>
      <c r="DO306" s="107" t="str">
        <f aca="false">IF(ISBLANK($C306),"",$D306)</f>
        <v/>
      </c>
      <c r="DP306" s="108" t="str">
        <f aca="false">$DD306</f>
        <v/>
      </c>
      <c r="DQ306" s="109" t="str">
        <f aca="false">$DC306</f>
        <v/>
      </c>
      <c r="DR306" s="107" t="str">
        <f aca="false">IF(ISBLANK($C306),"",$DF306)</f>
        <v/>
      </c>
      <c r="DS306" s="110" t="str">
        <f aca="false">IF($DJ306&gt;$DI$8,"",VLOOKUP($DJ306,$DL$9:$DR$508,7,FALSE()))</f>
        <v/>
      </c>
      <c r="DT306" s="111" t="str">
        <f aca="false">IF($DJ306&gt;$DI$8,"",VLOOKUP($DJ306,$DL$9:$DR$508,2,FALSE()))</f>
        <v/>
      </c>
      <c r="DU306" s="111" t="str">
        <f aca="false">IF($DJ306&gt;$DI$8,"",VLOOKUP($DJ306,$DL$9:$DR$508,3,FALSE()))</f>
        <v/>
      </c>
      <c r="DV306" s="111" t="str">
        <f aca="false">IF($DJ306&gt;$DI$8,"",VLOOKUP($DJ306,$DL$9:$DR$508,4,FALSE()))</f>
        <v/>
      </c>
      <c r="DW306" s="111" t="str">
        <f aca="false">IF($DJ306&gt;$DI$8,"",VLOOKUP($DJ306,$DL$9:$DR$508,5,FALSE()))</f>
        <v/>
      </c>
      <c r="DX306" s="112" t="str">
        <f aca="false">IF($DJ306&gt;$DI$8,"",VLOOKUP($DJ306,$DL$9:$DR$508,6,FALSE()))</f>
        <v/>
      </c>
      <c r="DY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130"/>
      <c r="N307" s="130"/>
      <c r="O307" s="135"/>
      <c r="P307" s="135"/>
      <c r="Q307" s="130"/>
      <c r="R307" s="130"/>
      <c r="S307" s="130"/>
      <c r="T307" s="130"/>
      <c r="U307" s="135"/>
      <c r="V307" s="130"/>
      <c r="W307" s="96"/>
      <c r="X307" s="130"/>
      <c r="Y307" s="130"/>
      <c r="Z307" s="96"/>
      <c r="AA307" s="96"/>
      <c r="AB307" s="130"/>
      <c r="AC307" s="130"/>
      <c r="AD307" s="130"/>
      <c r="AE307" s="97"/>
      <c r="AF307" s="130"/>
      <c r="AG307" s="99"/>
      <c r="AH307" s="100"/>
      <c r="AI307" s="100"/>
      <c r="AJ307" s="100" t="str">
        <f aca="false">IF(ISBLANK($C307),"",IF($E307=Constants!$B$2,TRUE(),IF($E307=Constants!$B$3,FALSE(),TRUE())))</f>
        <v/>
      </c>
      <c r="AK307" s="100" t="str">
        <f aca="false">IF(ISBLANK($C307),"",IF($F307=Constants!$B$2,TRUE(),IF($F307=Constants!$B$3,FALSE(),FALSE())))</f>
        <v/>
      </c>
      <c r="AL307" s="100" t="str">
        <f aca="false">IF(ISBLANK($C307),"",IF($G307=Constants!$B$2,TRUE(),IF($G307=Constants!$B$3,FALSE(),TRUE())))</f>
        <v/>
      </c>
      <c r="AM307" s="100" t="str">
        <f aca="false">IF(ISBLANK($C307),"",IF($H307=Constants!$B$2,TRUE(),IF($H307=Constants!$B$3,FALSE(),TRUE())))</f>
        <v/>
      </c>
      <c r="AN307" s="100" t="str">
        <f aca="false">IF(ISBLANK($C307),"",IF(ISNUMBER($I307),IF($I307&gt;=0,$I307,""),""))</f>
        <v/>
      </c>
      <c r="AO307" s="100" t="str">
        <f aca="false">IF(ISBLANK($C307),"",IF(ISNUMBER($J307),IF($J307&gt;=0,$J307,""),""))</f>
        <v/>
      </c>
      <c r="AP307" s="100" t="str">
        <f aca="false">IF(ISBLANK($C307),"",IF(ISNUMBER($K307),IF($K307&gt;=0,$K307,""),""))</f>
        <v/>
      </c>
      <c r="AQ307" s="100" t="str">
        <f aca="false">IF(ISBLANK($C307),"",IF($L307=Constants!$B$2,TRUE(),IF($L307=Constants!$B$3,FALSE(),TRUE())))</f>
        <v/>
      </c>
      <c r="AR307" s="100" t="str">
        <f aca="false">IF(ISBLANK($C307),"",IF($M307=Constants!$B$2,TRUE(),IF($M307=Constants!$B$3,FALSE(),TRUE())))</f>
        <v/>
      </c>
      <c r="AS307" s="100" t="str">
        <f aca="false">IF(ISBLANK($C307),"",IF($N307=Constants!$B$2,TRUE(),IF($N307=Constants!$B$3,FALSE(),FALSE())))</f>
        <v/>
      </c>
      <c r="AT307" s="100" t="str">
        <f aca="false">IF(ISBLANK($C307),"",IF($O307=Constants!$B$2,TRUE(),IF($O307=Constants!$B$3,FALSE(),TRUE())))</f>
        <v/>
      </c>
      <c r="AU307" s="100" t="str">
        <f aca="false">IF(ISBLANK($C307),"",IF($P307=Constants!$B$2,TRUE(),IF($P307=Constants!$B$3,FALSE(),TRUE())))</f>
        <v/>
      </c>
      <c r="AV307" s="100" t="str">
        <f aca="false">IF(ISBLANK($C307),"",IF($Q307=Constants!$B$2,TRUE(),IF($Q307=Constants!$B$3,FALSE(),FALSE())))</f>
        <v/>
      </c>
      <c r="AW307" s="100" t="str">
        <f aca="false">IF(ISBLANK($C307),"",IF($R307=Constants!$B$2,TRUE(),IF($R307=Constants!$B$3,FALSE(),FALSE())))</f>
        <v/>
      </c>
      <c r="AX307" s="100" t="str">
        <f aca="false">IF(ISBLANK($C307),"",IF($S307=Constants!$B$2,TRUE(),IF($S307=Constants!$B$3,FALSE(),FALSE())))</f>
        <v/>
      </c>
      <c r="AY307" s="100" t="str">
        <f aca="false">IF(ISBLANK($C307),"",IF($T307=Constants!$B$2,TRUE(),IF($T307=Constants!$B$3,FALSE(),FALSE())))</f>
        <v/>
      </c>
      <c r="AZ307" s="100" t="str">
        <f aca="false">IF(ISBLANK($C307),"",IF($U307=Constants!$B$2,TRUE(),IF($U307=Constants!$B$3,FALSE(),FALSE())))</f>
        <v/>
      </c>
      <c r="BA307" s="100" t="str">
        <f aca="false">IF(ISBLANK($C307),"",IF(OR($V307&amp;""="1",$V307&amp;""="2",$V307&amp;""="3",$V307&amp;""="4"),VALUE($V307&amp;""),IF($V307=Constants!$B$12,Constants!$B$12,"")))</f>
        <v/>
      </c>
      <c r="BB307" s="100" t="str">
        <f aca="false">IF(ISBLANK($C307),"",IF(ISBLANK($W307),0,IF(ISNUMBER($W307),IF(AND($W307&gt;=0,$W307&lt;=Constants!$B$21,$W307=INT($W307)),$W307,""),"")))</f>
        <v/>
      </c>
      <c r="BC307" s="100" t="str">
        <f aca="false">IF(ISBLANK($C307),"",IF(ISBLANK($X307),0,IF(ISNUMBER($X307),IF($X307&gt;=0,$X307,""),"")))</f>
        <v/>
      </c>
      <c r="BD307" s="100" t="str">
        <f aca="false">IF(ISBLANK($C307),"",IF($Y307=Constants!$B$2,TRUE(),IF($Y307=Constants!$B$3,FALSE(),TRUE())))</f>
        <v/>
      </c>
      <c r="BE307" s="100" t="str">
        <f aca="false">IF(ISBLANK($C307),"",IF($Z307=Constants!$B$2,TRUE(),IF($Z307=Constants!$B$3,FALSE(),FALSE())))</f>
        <v/>
      </c>
      <c r="BF307" s="100" t="str">
        <f aca="false">IF(ISBLANK($C307),"",IF(ISBLANK($AA307),0,IF(ISNUMBER($AA307),IF(AND($AA307&gt;=0,$AA307&lt;=Constants!$B$35,$AA307=INT($AA307)),$AA307,""),"")))</f>
        <v/>
      </c>
      <c r="BG307" s="100" t="str">
        <f aca="false">IF(ISBLANK($C307),"",IF($AB307=Constants!$B$2,TRUE(),IF($AB307=Constants!$B$3,FALSE(),TRUE())))</f>
        <v/>
      </c>
      <c r="BH307" s="100" t="str">
        <f aca="false">IF(ISBLANK($C307),"",IF($AC307=Constants!$B$2,TRUE(),IF($AC307=Constants!$B$3,FALSE(),TRUE())))</f>
        <v/>
      </c>
      <c r="BI307" s="100" t="str">
        <f aca="false">IF(ISBLANK($C307),"",IF($AD307=Constants!$B$2,TRUE(),IF($AD307=Constants!$B$3,FALSE(),TRUE())))</f>
        <v/>
      </c>
      <c r="BJ307" s="100" t="str">
        <f aca="false">IF(ISBLANK($C307),"",IF(ISNUMBER($AE307),IF($AE307&gt;=0,$AE307,""),""))</f>
        <v/>
      </c>
      <c r="BK307" s="100" t="str">
        <f aca="false">IF(ISBLANK($C307),"",IF($AF307=Constants!$B$2,TRUE(),IF($AF307=Constants!$B$3,FALSE(),FALSE())))</f>
        <v/>
      </c>
      <c r="BL307" s="99" t="str">
        <f aca="false">IF(ISBLANK($C307),"",IF($BK307,Constants!$B$7,IF(COUNTA($E307:$AE307)=0,Constants!$B$6,IF(OR(COUNTA($G307:$AE307)=0,NOT($AM307),$AS307),Constants!$B$5,IF(OR($CM307&lt;&gt;"",$CN307,$CO307,$CP307,$CQ307,$CR307,$CS307),Constants!$B$8,Constants!$B$4)))))</f>
        <v/>
      </c>
      <c r="BM307" s="100" t="str">
        <f aca="false">IF(ISBLANK($C307),"",IF($BL307&lt;&gt;Constants!$B$4,$BL307,IF(OR(NOT($AJ307),NOT($AL307),NOT($AT307)),Constants!$B$11,IF(OR(NOT($AR307),NOT($AU307),NOT($BI307),MAX($AN307,$AO307,$AP307)&gt;Constants!$B$30),Constants!$B$10,Constants!$B$9))))</f>
        <v/>
      </c>
      <c r="BN307" s="100" t="str">
        <f aca="false">IF($BL307&lt;&gt;Constants!$B$4,"",IF(NOT($AL307),0,MIN(Constants!$B$35,$BF307)))</f>
        <v/>
      </c>
      <c r="BO307" s="100" t="str">
        <f aca="false">IF($BL307&lt;&gt;Constants!$B$4,"",IF(NOT($AL307),0,IF($AW307,Constants!$B$18,IF($AV307,Constants!$B$17,0))))</f>
        <v/>
      </c>
      <c r="BP307" s="100" t="str">
        <f aca="false">IF($BL307&lt;&gt;Constants!$B$4,"",IF(NOT($AL307),0,Constants!$B$19*($AK307+$AX307+$AY307+$AZ307)))</f>
        <v/>
      </c>
      <c r="BQ307" s="100" t="str">
        <f aca="false">IF($BL307&lt;&gt;Constants!$B$4,"",IF(OR(NOT($AL307),NOT(ISNUMBER($BA307))),0,CHOOSE($BA307,Constants!$B$13,Constants!$B$14,Constants!$B$15,Constants!$B$16)))</f>
        <v/>
      </c>
      <c r="BR307" s="100" t="str">
        <f aca="false">IF($BL307&lt;&gt;Constants!$B$4,"",IF(NOT($AL307),0,Constants!$B$20*$BB307))</f>
        <v/>
      </c>
      <c r="BS307" s="100" t="str">
        <f aca="false">IF($BL307&lt;&gt;Constants!$B$4,"",IF(AND($AL307,$BD307,$BE307),Constants!$B$22,0))</f>
        <v/>
      </c>
      <c r="BT307" s="100" t="str">
        <f aca="false">IF($BL307&lt;&gt;Constants!$B$4,"",IF(OR(NOT($AL307),NOT($BD307)),0,IF($BJ307&gt;=2*$AH$9,0,Constants!$B$23*INT(ROUND(MIN($BJ307,$AH$9),6)))))</f>
        <v/>
      </c>
      <c r="BU307" s="100" t="str">
        <f aca="false">IF($BL307&lt;&gt;Constants!$B$4,"",IF(NOT($AL307),0,Constants!$B$24*INT(ROUND(MIN($BC307,$AH$9),6))))</f>
        <v/>
      </c>
      <c r="BV307" s="100" t="str">
        <f aca="false">IF($BL307&lt;&gt;Constants!$B$4,"",IF(AND($AL307,$BN307=0),Constants!$B$25,0))</f>
        <v/>
      </c>
      <c r="BW307" s="100" t="str">
        <f aca="false">IF($BL307&lt;&gt;Constants!$B$4,"",MIN(Constants!$B$29,MAX(0,Constants!$B$27*Constants!$B$28*INT(ROUND((Constants!$B$26-$AN307)/Constants!$B$28,6))))+MIN(Constants!$B$29,MAX(0,Constants!$B$27*Constants!$B$28*INT(ROUND((Constants!$B$26-$AO307)/Constants!$B$28,6))))+MIN(Constants!$B$29,MAX(0,Constants!$B$27*Constants!$B$28*INT(ROUND((Constants!$B$26-$AP307)/Constants!$B$28,6)))))</f>
        <v/>
      </c>
      <c r="BX307" s="100" t="str">
        <f aca="false">IF($BL307&lt;&gt;Constants!$B$4,"",IF(NOT($AL307),0,Constants!$B$31*INT(ROUND(MAX(0,MIN($BJ307,2*$AH$9)-$AH$9),6))))</f>
        <v/>
      </c>
      <c r="BY307" s="100" t="str">
        <f aca="false">IF($BL307&lt;&gt;Constants!$B$4,"",Constants!$B$32*(($AN307&gt;Constants!$B$26)+($AO307&gt;Constants!$B$26)+($AP307&gt;Constants!$B$26)))</f>
        <v/>
      </c>
      <c r="BZ307" s="100" t="str">
        <f aca="false">IF($BL307&lt;&gt;Constants!$B$4,"",IF(OR(NOT($AL307),$AQ307),0,Constants!$B$33))</f>
        <v/>
      </c>
      <c r="CA307" s="100" t="str">
        <f aca="false">IF($BL307&lt;&gt;Constants!$B$4,"",Constants!$B$34*$BN307)</f>
        <v/>
      </c>
      <c r="CB307" s="100" t="str">
        <f aca="false">IF($BL307&lt;&gt;Constants!$B$4,"",IF(OR(NOT($AL307),$BH307),0,Constants!$B$36))</f>
        <v/>
      </c>
      <c r="CC307" s="100" t="str">
        <f aca="false">IF($BL307&lt;&gt;Constants!$B$4,"",IF(OR(NOT($AL307),$BG307),0,Constants!$B$37))</f>
        <v/>
      </c>
      <c r="CD307" s="100" t="str">
        <f aca="false">IF($BL307&lt;&gt;Constants!$B$4,"",SUM($BX307:$CC307))</f>
        <v/>
      </c>
      <c r="CE307" s="100" t="str">
        <f aca="false">IF(ISBLANK($C307),"",IF($BL307&lt;&gt;Constants!$B$4,$BL307,SUM($BO307:$BW307)-$CD307))</f>
        <v/>
      </c>
      <c r="CF307" s="100" t="str">
        <f aca="false">IF(ISBLANK($C307),"",IF($BL307&lt;&gt;Constants!$B$4,$BL307,RANK($CE307,$CE$9:$CE$508)))</f>
        <v/>
      </c>
      <c r="CG307" s="100" t="str">
        <f aca="false">IF(ISBLANK($C307),"",IF($BL307&lt;&gt;Constants!$B$4,$BL307,COUNTIFS($BM$9:$BM$508,"&lt;"&amp;$BM307)+COUNTIFS($BM$9:$BM$508,$BM307,$CF$9:$CF$508,"&lt;"&amp;$CF307)+1))</f>
        <v/>
      </c>
      <c r="CH307" s="100" t="str">
        <f aca="false">IF(ISBLANK($C307),"",IF($BL307&lt;&gt;Constants!$B$4,$BL307,RANK($CD307,$CD$9:$CD$508,1)))</f>
        <v/>
      </c>
      <c r="CI307" s="100" t="str">
        <f aca="false">IF($BL307&lt;&gt;Constants!$B$4,"",$AN307+$AO307+$AP307)</f>
        <v/>
      </c>
      <c r="CJ307" s="100" t="str">
        <f aca="false">IF(ISBLANK($C307),"",IF($BL307&lt;&gt;Constants!$B$4,$BL307,RANK($CI307,$CI$9:$CI$508,1)))</f>
        <v/>
      </c>
      <c r="CK307" s="100" t="str">
        <f aca="false">IF(ISBLANK($C307),"",IF($BL307&lt;&gt;Constants!$B$4,$BL307,COUNTIFS($BM$9:$BM$508,"&lt;"&amp;$BM307)+COUNTIFS($BM$9:$BM$508,$BM307,$CF$9:$CF$508,"&lt;"&amp;$CF307)+COUNTIFS($BM$9:$BM$508,$BM307,$CF$9:$CF$508,$CF307,$CH$9:$CH$508,"&lt;"&amp;$CH307)+COUNTIFS($BM$9:$BM$508,$BM307,$CF$9:$CF$508,$CF307,$CH$9:$CH$508,$CH307,$CJ$9:$CJ$508,"&lt;"&amp;$CJ307)+1))</f>
        <v/>
      </c>
      <c r="CL307" s="100" t="str">
        <f aca="false">IF(ISBLANK($C307),"",IF($BL307&lt;&gt;Constants!$B$4,$BL307,$CG307-$CK307))</f>
        <v/>
      </c>
      <c r="CM307" s="100" t="str">
        <f aca="false">IF(ISBLANK($C307),"",IF(NOT($AL307),"",IF(ISBLANK($D$7),$CM$5,IF(NOT(ISNUMBER($D$7)),$CM$6,""))))</f>
        <v/>
      </c>
      <c r="CN307" s="100" t="str">
        <f aca="false">IF(ISBLANK($C307),"",OR($AN307="",$AO307="",$AP307=""))</f>
        <v/>
      </c>
      <c r="CO307" s="100" t="str">
        <f aca="false">IF(ISBLANK($C307),"",AND($AL307,$BA307=""))</f>
        <v/>
      </c>
      <c r="CP307" s="100" t="str">
        <f aca="false">IF(ISBLANK($C307),"",AND($AL307,$BB307=""))</f>
        <v/>
      </c>
      <c r="CQ307" s="100" t="str">
        <f aca="false">IF(ISBLANK($C307),"",AND($AL307,$BC307=""))</f>
        <v/>
      </c>
      <c r="CR307" s="100" t="str">
        <f aca="false">IF(ISBLANK($C307),"",AND($AL307,$BF307=""))</f>
        <v/>
      </c>
      <c r="CS307" s="100" t="str">
        <f aca="false">IF(ISBLANK($C307),"",AND($AL307,$BJ307=""))</f>
        <v/>
      </c>
      <c r="CT307" s="101"/>
      <c r="CU307" s="102"/>
      <c r="CV307" s="103" t="str">
        <f aca="false">IF(ISBLANK($C307),"",IF($BL307=Constants!$B$8,$CM307,""))</f>
        <v/>
      </c>
      <c r="CW307" s="102" t="str">
        <f aca="false">IF(ISBLANK($C307),"",IF($BL307&lt;&gt;Constants!$B$4,"",$BO307+$BP307))</f>
        <v/>
      </c>
      <c r="CX307" s="104" t="str">
        <f aca="false">IF(ISBLANK($C307),"",IF($BL307&lt;&gt;Constants!$B$4,"",$BQ307+$BR307+$BS307))</f>
        <v/>
      </c>
      <c r="CY307" s="104" t="str">
        <f aca="false">IF(ISBLANK($C307),"",IF($BL307&lt;&gt;Constants!$B$4,"",$BT307))</f>
        <v/>
      </c>
      <c r="CZ307" s="104" t="str">
        <f aca="false">IF(ISBLANK($C307),"",IF($BL307&lt;&gt;Constants!$B$4,"",$BU307+$BV307))</f>
        <v/>
      </c>
      <c r="DA307" s="104" t="str">
        <f aca="false">IF(ISBLANK($C307),"",IF($BL307&lt;&gt;Constants!$B$4,"",$BW307))</f>
        <v/>
      </c>
      <c r="DB307" s="104" t="str">
        <f aca="false">IF(ISBLANK($C307),"",IF($BL307&lt;&gt;Constants!$B$4,"",-$CD307))</f>
        <v/>
      </c>
      <c r="DC307" s="103" t="str">
        <f aca="false">IF(ISBLANK($C307),"",$CE307)</f>
        <v/>
      </c>
      <c r="DD307" s="105" t="str">
        <f aca="false">IF(ISBLANK($C307),"",$BM307)</f>
        <v/>
      </c>
      <c r="DE307" s="104" t="str">
        <f aca="false">IF(ISBLANK($C307),"",$CL307)</f>
        <v/>
      </c>
      <c r="DF307" s="104" t="str">
        <f aca="false">IF(ISBLANK($C307),"",$CK307)</f>
        <v/>
      </c>
      <c r="DG307" s="106" t="str">
        <f aca="false">IF(ISBLANK($C307),"",IF($DF307=Constants!$B$7,COUNTA($C$9:$C$508)+2,IF($DF307=Constants!$B$6,COUNTA($C$9:$C$508)+1,IF($DF307=Constants!$B$5,COUNTA($C$9:$C$508),$DF307))))</f>
        <v/>
      </c>
      <c r="DH307" s="7"/>
      <c r="DI307" s="107" t="n">
        <f aca="false">IF(OR(ISNUMBER($DF307),$DF307=Constants!$B$7,$DF307=Constants!$B$5,$DF307=Constants!$B$6),1,0)</f>
        <v>0</v>
      </c>
      <c r="DJ307" s="107" t="n">
        <v>299</v>
      </c>
      <c r="DK307" s="107" t="str">
        <f aca="false">IF(ISBLANK($C307),"",IF(ISNUMBER($DG307),$DG307+ROW($B307)/1000,""))</f>
        <v/>
      </c>
      <c r="DL307" s="107" t="str">
        <f aca="false">IF(ISNUMBER($DK307),RANK($DK307,$DK$9:$DK$508,1),"")</f>
        <v/>
      </c>
      <c r="DM307" s="107" t="str">
        <f aca="false">IF(ISBLANK($C307),"",$B307)</f>
        <v/>
      </c>
      <c r="DN307" s="107" t="str">
        <f aca="false">IF(ISBLANK($C307),"",$C307)</f>
        <v/>
      </c>
      <c r="DO307" s="107" t="str">
        <f aca="false">IF(ISBLANK($C307),"",$D307)</f>
        <v/>
      </c>
      <c r="DP307" s="108" t="str">
        <f aca="false">$DD307</f>
        <v/>
      </c>
      <c r="DQ307" s="109" t="str">
        <f aca="false">$DC307</f>
        <v/>
      </c>
      <c r="DR307" s="107" t="str">
        <f aca="false">IF(ISBLANK($C307),"",$DF307)</f>
        <v/>
      </c>
      <c r="DS307" s="110" t="str">
        <f aca="false">IF($DJ307&gt;$DI$8,"",VLOOKUP($DJ307,$DL$9:$DR$508,7,FALSE()))</f>
        <v/>
      </c>
      <c r="DT307" s="111" t="str">
        <f aca="false">IF($DJ307&gt;$DI$8,"",VLOOKUP($DJ307,$DL$9:$DR$508,2,FALSE()))</f>
        <v/>
      </c>
      <c r="DU307" s="111" t="str">
        <f aca="false">IF($DJ307&gt;$DI$8,"",VLOOKUP($DJ307,$DL$9:$DR$508,3,FALSE()))</f>
        <v/>
      </c>
      <c r="DV307" s="111" t="str">
        <f aca="false">IF($DJ307&gt;$DI$8,"",VLOOKUP($DJ307,$DL$9:$DR$508,4,FALSE()))</f>
        <v/>
      </c>
      <c r="DW307" s="111" t="str">
        <f aca="false">IF($DJ307&gt;$DI$8,"",VLOOKUP($DJ307,$DL$9:$DR$508,5,FALSE()))</f>
        <v/>
      </c>
      <c r="DX307" s="112" t="str">
        <f aca="false">IF($DJ307&gt;$DI$8,"",VLOOKUP($DJ307,$DL$9:$DR$508,6,FALSE()))</f>
        <v/>
      </c>
      <c r="DY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130"/>
      <c r="N308" s="130"/>
      <c r="O308" s="135"/>
      <c r="P308" s="135"/>
      <c r="Q308" s="130"/>
      <c r="R308" s="130"/>
      <c r="S308" s="130"/>
      <c r="T308" s="130"/>
      <c r="U308" s="135"/>
      <c r="V308" s="130"/>
      <c r="W308" s="96"/>
      <c r="X308" s="130"/>
      <c r="Y308" s="130"/>
      <c r="Z308" s="96"/>
      <c r="AA308" s="96"/>
      <c r="AB308" s="130"/>
      <c r="AC308" s="130"/>
      <c r="AD308" s="130"/>
      <c r="AE308" s="97"/>
      <c r="AF308" s="130"/>
      <c r="AG308" s="99"/>
      <c r="AH308" s="100"/>
      <c r="AI308" s="100"/>
      <c r="AJ308" s="100" t="str">
        <f aca="false">IF(ISBLANK($C308),"",IF($E308=Constants!$B$2,TRUE(),IF($E308=Constants!$B$3,FALSE(),TRUE())))</f>
        <v/>
      </c>
      <c r="AK308" s="100" t="str">
        <f aca="false">IF(ISBLANK($C308),"",IF($F308=Constants!$B$2,TRUE(),IF($F308=Constants!$B$3,FALSE(),FALSE())))</f>
        <v/>
      </c>
      <c r="AL308" s="100" t="str">
        <f aca="false">IF(ISBLANK($C308),"",IF($G308=Constants!$B$2,TRUE(),IF($G308=Constants!$B$3,FALSE(),TRUE())))</f>
        <v/>
      </c>
      <c r="AM308" s="100" t="str">
        <f aca="false">IF(ISBLANK($C308),"",IF($H308=Constants!$B$2,TRUE(),IF($H308=Constants!$B$3,FALSE(),TRUE())))</f>
        <v/>
      </c>
      <c r="AN308" s="100" t="str">
        <f aca="false">IF(ISBLANK($C308),"",IF(ISNUMBER($I308),IF($I308&gt;=0,$I308,""),""))</f>
        <v/>
      </c>
      <c r="AO308" s="100" t="str">
        <f aca="false">IF(ISBLANK($C308),"",IF(ISNUMBER($J308),IF($J308&gt;=0,$J308,""),""))</f>
        <v/>
      </c>
      <c r="AP308" s="100" t="str">
        <f aca="false">IF(ISBLANK($C308),"",IF(ISNUMBER($K308),IF($K308&gt;=0,$K308,""),""))</f>
        <v/>
      </c>
      <c r="AQ308" s="100" t="str">
        <f aca="false">IF(ISBLANK($C308),"",IF($L308=Constants!$B$2,TRUE(),IF($L308=Constants!$B$3,FALSE(),TRUE())))</f>
        <v/>
      </c>
      <c r="AR308" s="100" t="str">
        <f aca="false">IF(ISBLANK($C308),"",IF($M308=Constants!$B$2,TRUE(),IF($M308=Constants!$B$3,FALSE(),TRUE())))</f>
        <v/>
      </c>
      <c r="AS308" s="100" t="str">
        <f aca="false">IF(ISBLANK($C308),"",IF($N308=Constants!$B$2,TRUE(),IF($N308=Constants!$B$3,FALSE(),FALSE())))</f>
        <v/>
      </c>
      <c r="AT308" s="100" t="str">
        <f aca="false">IF(ISBLANK($C308),"",IF($O308=Constants!$B$2,TRUE(),IF($O308=Constants!$B$3,FALSE(),TRUE())))</f>
        <v/>
      </c>
      <c r="AU308" s="100" t="str">
        <f aca="false">IF(ISBLANK($C308),"",IF($P308=Constants!$B$2,TRUE(),IF($P308=Constants!$B$3,FALSE(),TRUE())))</f>
        <v/>
      </c>
      <c r="AV308" s="100" t="str">
        <f aca="false">IF(ISBLANK($C308),"",IF($Q308=Constants!$B$2,TRUE(),IF($Q308=Constants!$B$3,FALSE(),FALSE())))</f>
        <v/>
      </c>
      <c r="AW308" s="100" t="str">
        <f aca="false">IF(ISBLANK($C308),"",IF($R308=Constants!$B$2,TRUE(),IF($R308=Constants!$B$3,FALSE(),FALSE())))</f>
        <v/>
      </c>
      <c r="AX308" s="100" t="str">
        <f aca="false">IF(ISBLANK($C308),"",IF($S308=Constants!$B$2,TRUE(),IF($S308=Constants!$B$3,FALSE(),FALSE())))</f>
        <v/>
      </c>
      <c r="AY308" s="100" t="str">
        <f aca="false">IF(ISBLANK($C308),"",IF($T308=Constants!$B$2,TRUE(),IF($T308=Constants!$B$3,FALSE(),FALSE())))</f>
        <v/>
      </c>
      <c r="AZ308" s="100" t="str">
        <f aca="false">IF(ISBLANK($C308),"",IF($U308=Constants!$B$2,TRUE(),IF($U308=Constants!$B$3,FALSE(),FALSE())))</f>
        <v/>
      </c>
      <c r="BA308" s="100" t="str">
        <f aca="false">IF(ISBLANK($C308),"",IF(OR($V308&amp;""="1",$V308&amp;""="2",$V308&amp;""="3",$V308&amp;""="4"),VALUE($V308&amp;""),IF($V308=Constants!$B$12,Constants!$B$12,"")))</f>
        <v/>
      </c>
      <c r="BB308" s="100" t="str">
        <f aca="false">IF(ISBLANK($C308),"",IF(ISBLANK($W308),0,IF(ISNUMBER($W308),IF(AND($W308&gt;=0,$W308&lt;=Constants!$B$21,$W308=INT($W308)),$W308,""),"")))</f>
        <v/>
      </c>
      <c r="BC308" s="100" t="str">
        <f aca="false">IF(ISBLANK($C308),"",IF(ISBLANK($X308),0,IF(ISNUMBER($X308),IF($X308&gt;=0,$X308,""),"")))</f>
        <v/>
      </c>
      <c r="BD308" s="100" t="str">
        <f aca="false">IF(ISBLANK($C308),"",IF($Y308=Constants!$B$2,TRUE(),IF($Y308=Constants!$B$3,FALSE(),TRUE())))</f>
        <v/>
      </c>
      <c r="BE308" s="100" t="str">
        <f aca="false">IF(ISBLANK($C308),"",IF($Z308=Constants!$B$2,TRUE(),IF($Z308=Constants!$B$3,FALSE(),FALSE())))</f>
        <v/>
      </c>
      <c r="BF308" s="100" t="str">
        <f aca="false">IF(ISBLANK($C308),"",IF(ISBLANK($AA308),0,IF(ISNUMBER($AA308),IF(AND($AA308&gt;=0,$AA308&lt;=Constants!$B$35,$AA308=INT($AA308)),$AA308,""),"")))</f>
        <v/>
      </c>
      <c r="BG308" s="100" t="str">
        <f aca="false">IF(ISBLANK($C308),"",IF($AB308=Constants!$B$2,TRUE(),IF($AB308=Constants!$B$3,FALSE(),TRUE())))</f>
        <v/>
      </c>
      <c r="BH308" s="100" t="str">
        <f aca="false">IF(ISBLANK($C308),"",IF($AC308=Constants!$B$2,TRUE(),IF($AC308=Constants!$B$3,FALSE(),TRUE())))</f>
        <v/>
      </c>
      <c r="BI308" s="100" t="str">
        <f aca="false">IF(ISBLANK($C308),"",IF($AD308=Constants!$B$2,TRUE(),IF($AD308=Constants!$B$3,FALSE(),TRUE())))</f>
        <v/>
      </c>
      <c r="BJ308" s="100" t="str">
        <f aca="false">IF(ISBLANK($C308),"",IF(ISNUMBER($AE308),IF($AE308&gt;=0,$AE308,""),""))</f>
        <v/>
      </c>
      <c r="BK308" s="100" t="str">
        <f aca="false">IF(ISBLANK($C308),"",IF($AF308=Constants!$B$2,TRUE(),IF($AF308=Constants!$B$3,FALSE(),FALSE())))</f>
        <v/>
      </c>
      <c r="BL308" s="99" t="str">
        <f aca="false">IF(ISBLANK($C308),"",IF($BK308,Constants!$B$7,IF(COUNTA($E308:$AE308)=0,Constants!$B$6,IF(OR(COUNTA($G308:$AE308)=0,NOT($AM308),$AS308),Constants!$B$5,IF(OR($CM308&lt;&gt;"",$CN308,$CO308,$CP308,$CQ308,$CR308,$CS308),Constants!$B$8,Constants!$B$4)))))</f>
        <v/>
      </c>
      <c r="BM308" s="100" t="str">
        <f aca="false">IF(ISBLANK($C308),"",IF($BL308&lt;&gt;Constants!$B$4,$BL308,IF(OR(NOT($AJ308),NOT($AL308),NOT($AT308)),Constants!$B$11,IF(OR(NOT($AR308),NOT($AU308),NOT($BI308),MAX($AN308,$AO308,$AP308)&gt;Constants!$B$30),Constants!$B$10,Constants!$B$9))))</f>
        <v/>
      </c>
      <c r="BN308" s="100" t="str">
        <f aca="false">IF($BL308&lt;&gt;Constants!$B$4,"",IF(NOT($AL308),0,MIN(Constants!$B$35,$BF308)))</f>
        <v/>
      </c>
      <c r="BO308" s="100" t="str">
        <f aca="false">IF($BL308&lt;&gt;Constants!$B$4,"",IF(NOT($AL308),0,IF($AW308,Constants!$B$18,IF($AV308,Constants!$B$17,0))))</f>
        <v/>
      </c>
      <c r="BP308" s="100" t="str">
        <f aca="false">IF($BL308&lt;&gt;Constants!$B$4,"",IF(NOT($AL308),0,Constants!$B$19*($AK308+$AX308+$AY308+$AZ308)))</f>
        <v/>
      </c>
      <c r="BQ308" s="100" t="str">
        <f aca="false">IF($BL308&lt;&gt;Constants!$B$4,"",IF(OR(NOT($AL308),NOT(ISNUMBER($BA308))),0,CHOOSE($BA308,Constants!$B$13,Constants!$B$14,Constants!$B$15,Constants!$B$16)))</f>
        <v/>
      </c>
      <c r="BR308" s="100" t="str">
        <f aca="false">IF($BL308&lt;&gt;Constants!$B$4,"",IF(NOT($AL308),0,Constants!$B$20*$BB308))</f>
        <v/>
      </c>
      <c r="BS308" s="100" t="str">
        <f aca="false">IF($BL308&lt;&gt;Constants!$B$4,"",IF(AND($AL308,$BD308,$BE308),Constants!$B$22,0))</f>
        <v/>
      </c>
      <c r="BT308" s="100" t="str">
        <f aca="false">IF($BL308&lt;&gt;Constants!$B$4,"",IF(OR(NOT($AL308),NOT($BD308)),0,IF($BJ308&gt;=2*$AH$9,0,Constants!$B$23*INT(ROUND(MIN($BJ308,$AH$9),6)))))</f>
        <v/>
      </c>
      <c r="BU308" s="100" t="str">
        <f aca="false">IF($BL308&lt;&gt;Constants!$B$4,"",IF(NOT($AL308),0,Constants!$B$24*INT(ROUND(MIN($BC308,$AH$9),6))))</f>
        <v/>
      </c>
      <c r="BV308" s="100" t="str">
        <f aca="false">IF($BL308&lt;&gt;Constants!$B$4,"",IF(AND($AL308,$BN308=0),Constants!$B$25,0))</f>
        <v/>
      </c>
      <c r="BW308" s="100" t="str">
        <f aca="false">IF($BL308&lt;&gt;Constants!$B$4,"",MIN(Constants!$B$29,MAX(0,Constants!$B$27*Constants!$B$28*INT(ROUND((Constants!$B$26-$AN308)/Constants!$B$28,6))))+MIN(Constants!$B$29,MAX(0,Constants!$B$27*Constants!$B$28*INT(ROUND((Constants!$B$26-$AO308)/Constants!$B$28,6))))+MIN(Constants!$B$29,MAX(0,Constants!$B$27*Constants!$B$28*INT(ROUND((Constants!$B$26-$AP308)/Constants!$B$28,6)))))</f>
        <v/>
      </c>
      <c r="BX308" s="100" t="str">
        <f aca="false">IF($BL308&lt;&gt;Constants!$B$4,"",IF(NOT($AL308),0,Constants!$B$31*INT(ROUND(MAX(0,MIN($BJ308,2*$AH$9)-$AH$9),6))))</f>
        <v/>
      </c>
      <c r="BY308" s="100" t="str">
        <f aca="false">IF($BL308&lt;&gt;Constants!$B$4,"",Constants!$B$32*(($AN308&gt;Constants!$B$26)+($AO308&gt;Constants!$B$26)+($AP308&gt;Constants!$B$26)))</f>
        <v/>
      </c>
      <c r="BZ308" s="100" t="str">
        <f aca="false">IF($BL308&lt;&gt;Constants!$B$4,"",IF(OR(NOT($AL308),$AQ308),0,Constants!$B$33))</f>
        <v/>
      </c>
      <c r="CA308" s="100" t="str">
        <f aca="false">IF($BL308&lt;&gt;Constants!$B$4,"",Constants!$B$34*$BN308)</f>
        <v/>
      </c>
      <c r="CB308" s="100" t="str">
        <f aca="false">IF($BL308&lt;&gt;Constants!$B$4,"",IF(OR(NOT($AL308),$BH308),0,Constants!$B$36))</f>
        <v/>
      </c>
      <c r="CC308" s="100" t="str">
        <f aca="false">IF($BL308&lt;&gt;Constants!$B$4,"",IF(OR(NOT($AL308),$BG308),0,Constants!$B$37))</f>
        <v/>
      </c>
      <c r="CD308" s="100" t="str">
        <f aca="false">IF($BL308&lt;&gt;Constants!$B$4,"",SUM($BX308:$CC308))</f>
        <v/>
      </c>
      <c r="CE308" s="100" t="str">
        <f aca="false">IF(ISBLANK($C308),"",IF($BL308&lt;&gt;Constants!$B$4,$BL308,SUM($BO308:$BW308)-$CD308))</f>
        <v/>
      </c>
      <c r="CF308" s="100" t="str">
        <f aca="false">IF(ISBLANK($C308),"",IF($BL308&lt;&gt;Constants!$B$4,$BL308,RANK($CE308,$CE$9:$CE$508)))</f>
        <v/>
      </c>
      <c r="CG308" s="100" t="str">
        <f aca="false">IF(ISBLANK($C308),"",IF($BL308&lt;&gt;Constants!$B$4,$BL308,COUNTIFS($BM$9:$BM$508,"&lt;"&amp;$BM308)+COUNTIFS($BM$9:$BM$508,$BM308,$CF$9:$CF$508,"&lt;"&amp;$CF308)+1))</f>
        <v/>
      </c>
      <c r="CH308" s="100" t="str">
        <f aca="false">IF(ISBLANK($C308),"",IF($BL308&lt;&gt;Constants!$B$4,$BL308,RANK($CD308,$CD$9:$CD$508,1)))</f>
        <v/>
      </c>
      <c r="CI308" s="100" t="str">
        <f aca="false">IF($BL308&lt;&gt;Constants!$B$4,"",$AN308+$AO308+$AP308)</f>
        <v/>
      </c>
      <c r="CJ308" s="100" t="str">
        <f aca="false">IF(ISBLANK($C308),"",IF($BL308&lt;&gt;Constants!$B$4,$BL308,RANK($CI308,$CI$9:$CI$508,1)))</f>
        <v/>
      </c>
      <c r="CK308" s="100" t="str">
        <f aca="false">IF(ISBLANK($C308),"",IF($BL308&lt;&gt;Constants!$B$4,$BL308,COUNTIFS($BM$9:$BM$508,"&lt;"&amp;$BM308)+COUNTIFS($BM$9:$BM$508,$BM308,$CF$9:$CF$508,"&lt;"&amp;$CF308)+COUNTIFS($BM$9:$BM$508,$BM308,$CF$9:$CF$508,$CF308,$CH$9:$CH$508,"&lt;"&amp;$CH308)+COUNTIFS($BM$9:$BM$508,$BM308,$CF$9:$CF$508,$CF308,$CH$9:$CH$508,$CH308,$CJ$9:$CJ$508,"&lt;"&amp;$CJ308)+1))</f>
        <v/>
      </c>
      <c r="CL308" s="100" t="str">
        <f aca="false">IF(ISBLANK($C308),"",IF($BL308&lt;&gt;Constants!$B$4,$BL308,$CG308-$CK308))</f>
        <v/>
      </c>
      <c r="CM308" s="100" t="str">
        <f aca="false">IF(ISBLANK($C308),"",IF(NOT($AL308),"",IF(ISBLANK($D$7),$CM$5,IF(NOT(ISNUMBER($D$7)),$CM$6,""))))</f>
        <v/>
      </c>
      <c r="CN308" s="100" t="str">
        <f aca="false">IF(ISBLANK($C308),"",OR($AN308="",$AO308="",$AP308=""))</f>
        <v/>
      </c>
      <c r="CO308" s="100" t="str">
        <f aca="false">IF(ISBLANK($C308),"",AND($AL308,$BA308=""))</f>
        <v/>
      </c>
      <c r="CP308" s="100" t="str">
        <f aca="false">IF(ISBLANK($C308),"",AND($AL308,$BB308=""))</f>
        <v/>
      </c>
      <c r="CQ308" s="100" t="str">
        <f aca="false">IF(ISBLANK($C308),"",AND($AL308,$BC308=""))</f>
        <v/>
      </c>
      <c r="CR308" s="100" t="str">
        <f aca="false">IF(ISBLANK($C308),"",AND($AL308,$BF308=""))</f>
        <v/>
      </c>
      <c r="CS308" s="100" t="str">
        <f aca="false">IF(ISBLANK($C308),"",AND($AL308,$BJ308=""))</f>
        <v/>
      </c>
      <c r="CT308" s="101"/>
      <c r="CU308" s="102"/>
      <c r="CV308" s="103" t="str">
        <f aca="false">IF(ISBLANK($C308),"",IF($BL308=Constants!$B$8,$CM308,""))</f>
        <v/>
      </c>
      <c r="CW308" s="102" t="str">
        <f aca="false">IF(ISBLANK($C308),"",IF($BL308&lt;&gt;Constants!$B$4,"",$BO308+$BP308))</f>
        <v/>
      </c>
      <c r="CX308" s="104" t="str">
        <f aca="false">IF(ISBLANK($C308),"",IF($BL308&lt;&gt;Constants!$B$4,"",$BQ308+$BR308+$BS308))</f>
        <v/>
      </c>
      <c r="CY308" s="104" t="str">
        <f aca="false">IF(ISBLANK($C308),"",IF($BL308&lt;&gt;Constants!$B$4,"",$BT308))</f>
        <v/>
      </c>
      <c r="CZ308" s="104" t="str">
        <f aca="false">IF(ISBLANK($C308),"",IF($BL308&lt;&gt;Constants!$B$4,"",$BU308+$BV308))</f>
        <v/>
      </c>
      <c r="DA308" s="104" t="str">
        <f aca="false">IF(ISBLANK($C308),"",IF($BL308&lt;&gt;Constants!$B$4,"",$BW308))</f>
        <v/>
      </c>
      <c r="DB308" s="104" t="str">
        <f aca="false">IF(ISBLANK($C308),"",IF($BL308&lt;&gt;Constants!$B$4,"",-$CD308))</f>
        <v/>
      </c>
      <c r="DC308" s="103" t="str">
        <f aca="false">IF(ISBLANK($C308),"",$CE308)</f>
        <v/>
      </c>
      <c r="DD308" s="105" t="str">
        <f aca="false">IF(ISBLANK($C308),"",$BM308)</f>
        <v/>
      </c>
      <c r="DE308" s="104" t="str">
        <f aca="false">IF(ISBLANK($C308),"",$CL308)</f>
        <v/>
      </c>
      <c r="DF308" s="104" t="str">
        <f aca="false">IF(ISBLANK($C308),"",$CK308)</f>
        <v/>
      </c>
      <c r="DG308" s="106" t="str">
        <f aca="false">IF(ISBLANK($C308),"",IF($DF308=Constants!$B$7,COUNTA($C$9:$C$508)+2,IF($DF308=Constants!$B$6,COUNTA($C$9:$C$508)+1,IF($DF308=Constants!$B$5,COUNTA($C$9:$C$508),$DF308))))</f>
        <v/>
      </c>
      <c r="DH308" s="7"/>
      <c r="DI308" s="107" t="n">
        <f aca="false">IF(OR(ISNUMBER($DF308),$DF308=Constants!$B$7,$DF308=Constants!$B$5,$DF308=Constants!$B$6),1,0)</f>
        <v>0</v>
      </c>
      <c r="DJ308" s="107" t="n">
        <v>300</v>
      </c>
      <c r="DK308" s="107" t="str">
        <f aca="false">IF(ISBLANK($C308),"",IF(ISNUMBER($DG308),$DG308+ROW($B308)/1000,""))</f>
        <v/>
      </c>
      <c r="DL308" s="107" t="str">
        <f aca="false">IF(ISNUMBER($DK308),RANK($DK308,$DK$9:$DK$508,1),"")</f>
        <v/>
      </c>
      <c r="DM308" s="107" t="str">
        <f aca="false">IF(ISBLANK($C308),"",$B308)</f>
        <v/>
      </c>
      <c r="DN308" s="107" t="str">
        <f aca="false">IF(ISBLANK($C308),"",$C308)</f>
        <v/>
      </c>
      <c r="DO308" s="107" t="str">
        <f aca="false">IF(ISBLANK($C308),"",$D308)</f>
        <v/>
      </c>
      <c r="DP308" s="108" t="str">
        <f aca="false">$DD308</f>
        <v/>
      </c>
      <c r="DQ308" s="109" t="str">
        <f aca="false">$DC308</f>
        <v/>
      </c>
      <c r="DR308" s="107" t="str">
        <f aca="false">IF(ISBLANK($C308),"",$DF308)</f>
        <v/>
      </c>
      <c r="DS308" s="110" t="str">
        <f aca="false">IF($DJ308&gt;$DI$8,"",VLOOKUP($DJ308,$DL$9:$DR$508,7,FALSE()))</f>
        <v/>
      </c>
      <c r="DT308" s="111" t="str">
        <f aca="false">IF($DJ308&gt;$DI$8,"",VLOOKUP($DJ308,$DL$9:$DR$508,2,FALSE()))</f>
        <v/>
      </c>
      <c r="DU308" s="111" t="str">
        <f aca="false">IF($DJ308&gt;$DI$8,"",VLOOKUP($DJ308,$DL$9:$DR$508,3,FALSE()))</f>
        <v/>
      </c>
      <c r="DV308" s="111" t="str">
        <f aca="false">IF($DJ308&gt;$DI$8,"",VLOOKUP($DJ308,$DL$9:$DR$508,4,FALSE()))</f>
        <v/>
      </c>
      <c r="DW308" s="111" t="str">
        <f aca="false">IF($DJ308&gt;$DI$8,"",VLOOKUP($DJ308,$DL$9:$DR$508,5,FALSE()))</f>
        <v/>
      </c>
      <c r="DX308" s="112" t="str">
        <f aca="false">IF($DJ308&gt;$DI$8,"",VLOOKUP($DJ308,$DL$9:$DR$508,6,FALSE()))</f>
        <v/>
      </c>
      <c r="DY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88"/>
      <c r="N309" s="88"/>
      <c r="O309" s="134"/>
      <c r="P309" s="134"/>
      <c r="Q309" s="88"/>
      <c r="R309" s="88"/>
      <c r="S309" s="88"/>
      <c r="T309" s="88"/>
      <c r="U309" s="134"/>
      <c r="V309" s="88"/>
      <c r="W309" s="70"/>
      <c r="X309" s="88"/>
      <c r="Y309" s="88"/>
      <c r="Z309" s="70"/>
      <c r="AA309" s="70"/>
      <c r="AB309" s="88"/>
      <c r="AC309" s="88"/>
      <c r="AD309" s="88"/>
      <c r="AE309" s="71"/>
      <c r="AF309" s="88"/>
      <c r="AG309" s="73"/>
      <c r="AH309" s="74"/>
      <c r="AI309" s="74"/>
      <c r="AJ309" s="74" t="str">
        <f aca="false">IF(ISBLANK($C309),"",IF($E309=Constants!$B$2,TRUE(),IF($E309=Constants!$B$3,FALSE(),TRUE())))</f>
        <v/>
      </c>
      <c r="AK309" s="74" t="str">
        <f aca="false">IF(ISBLANK($C309),"",IF($F309=Constants!$B$2,TRUE(),IF($F309=Constants!$B$3,FALSE(),FALSE())))</f>
        <v/>
      </c>
      <c r="AL309" s="74" t="str">
        <f aca="false">IF(ISBLANK($C309),"",IF($G309=Constants!$B$2,TRUE(),IF($G309=Constants!$B$3,FALSE(),TRUE())))</f>
        <v/>
      </c>
      <c r="AM309" s="74" t="str">
        <f aca="false">IF(ISBLANK($C309),"",IF($H309=Constants!$B$2,TRUE(),IF($H309=Constants!$B$3,FALSE(),TRUE())))</f>
        <v/>
      </c>
      <c r="AN309" s="74" t="str">
        <f aca="false">IF(ISBLANK($C309),"",IF(ISNUMBER($I309),IF($I309&gt;=0,$I309,""),""))</f>
        <v/>
      </c>
      <c r="AO309" s="74" t="str">
        <f aca="false">IF(ISBLANK($C309),"",IF(ISNUMBER($J309),IF($J309&gt;=0,$J309,""),""))</f>
        <v/>
      </c>
      <c r="AP309" s="74" t="str">
        <f aca="false">IF(ISBLANK($C309),"",IF(ISNUMBER($K309),IF($K309&gt;=0,$K309,""),""))</f>
        <v/>
      </c>
      <c r="AQ309" s="74" t="str">
        <f aca="false">IF(ISBLANK($C309),"",IF($L309=Constants!$B$2,TRUE(),IF($L309=Constants!$B$3,FALSE(),TRUE())))</f>
        <v/>
      </c>
      <c r="AR309" s="74" t="str">
        <f aca="false">IF(ISBLANK($C309),"",IF($M309=Constants!$B$2,TRUE(),IF($M309=Constants!$B$3,FALSE(),TRUE())))</f>
        <v/>
      </c>
      <c r="AS309" s="74" t="str">
        <f aca="false">IF(ISBLANK($C309),"",IF($N309=Constants!$B$2,TRUE(),IF($N309=Constants!$B$3,FALSE(),FALSE())))</f>
        <v/>
      </c>
      <c r="AT309" s="74" t="str">
        <f aca="false">IF(ISBLANK($C309),"",IF($O309=Constants!$B$2,TRUE(),IF($O309=Constants!$B$3,FALSE(),TRUE())))</f>
        <v/>
      </c>
      <c r="AU309" s="74" t="str">
        <f aca="false">IF(ISBLANK($C309),"",IF($P309=Constants!$B$2,TRUE(),IF($P309=Constants!$B$3,FALSE(),TRUE())))</f>
        <v/>
      </c>
      <c r="AV309" s="74" t="str">
        <f aca="false">IF(ISBLANK($C309),"",IF($Q309=Constants!$B$2,TRUE(),IF($Q309=Constants!$B$3,FALSE(),FALSE())))</f>
        <v/>
      </c>
      <c r="AW309" s="74" t="str">
        <f aca="false">IF(ISBLANK($C309),"",IF($R309=Constants!$B$2,TRUE(),IF($R309=Constants!$B$3,FALSE(),FALSE())))</f>
        <v/>
      </c>
      <c r="AX309" s="74" t="str">
        <f aca="false">IF(ISBLANK($C309),"",IF($S309=Constants!$B$2,TRUE(),IF($S309=Constants!$B$3,FALSE(),FALSE())))</f>
        <v/>
      </c>
      <c r="AY309" s="74" t="str">
        <f aca="false">IF(ISBLANK($C309),"",IF($T309=Constants!$B$2,TRUE(),IF($T309=Constants!$B$3,FALSE(),FALSE())))</f>
        <v/>
      </c>
      <c r="AZ309" s="74" t="str">
        <f aca="false">IF(ISBLANK($C309),"",IF($U309=Constants!$B$2,TRUE(),IF($U309=Constants!$B$3,FALSE(),FALSE())))</f>
        <v/>
      </c>
      <c r="BA309" s="74" t="str">
        <f aca="false">IF(ISBLANK($C309),"",IF(OR($V309&amp;""="1",$V309&amp;""="2",$V309&amp;""="3",$V309&amp;""="4"),VALUE($V309&amp;""),IF($V309=Constants!$B$12,Constants!$B$12,"")))</f>
        <v/>
      </c>
      <c r="BB309" s="74" t="str">
        <f aca="false">IF(ISBLANK($C309),"",IF(ISBLANK($W309),0,IF(ISNUMBER($W309),IF(AND($W309&gt;=0,$W309&lt;=Constants!$B$21,$W309=INT($W309)),$W309,""),"")))</f>
        <v/>
      </c>
      <c r="BC309" s="74" t="str">
        <f aca="false">IF(ISBLANK($C309),"",IF(ISBLANK($X309),0,IF(ISNUMBER($X309),IF($X309&gt;=0,$X309,""),"")))</f>
        <v/>
      </c>
      <c r="BD309" s="74" t="str">
        <f aca="false">IF(ISBLANK($C309),"",IF($Y309=Constants!$B$2,TRUE(),IF($Y309=Constants!$B$3,FALSE(),TRUE())))</f>
        <v/>
      </c>
      <c r="BE309" s="74" t="str">
        <f aca="false">IF(ISBLANK($C309),"",IF($Z309=Constants!$B$2,TRUE(),IF($Z309=Constants!$B$3,FALSE(),FALSE())))</f>
        <v/>
      </c>
      <c r="BF309" s="74" t="str">
        <f aca="false">IF(ISBLANK($C309),"",IF(ISBLANK($AA309),0,IF(ISNUMBER($AA309),IF(AND($AA309&gt;=0,$AA309&lt;=Constants!$B$35,$AA309=INT($AA309)),$AA309,""),"")))</f>
        <v/>
      </c>
      <c r="BG309" s="74" t="str">
        <f aca="false">IF(ISBLANK($C309),"",IF($AB309=Constants!$B$2,TRUE(),IF($AB309=Constants!$B$3,FALSE(),TRUE())))</f>
        <v/>
      </c>
      <c r="BH309" s="74" t="str">
        <f aca="false">IF(ISBLANK($C309),"",IF($AC309=Constants!$B$2,TRUE(),IF($AC309=Constants!$B$3,FALSE(),TRUE())))</f>
        <v/>
      </c>
      <c r="BI309" s="74" t="str">
        <f aca="false">IF(ISBLANK($C309),"",IF($AD309=Constants!$B$2,TRUE(),IF($AD309=Constants!$B$3,FALSE(),TRUE())))</f>
        <v/>
      </c>
      <c r="BJ309" s="74" t="str">
        <f aca="false">IF(ISBLANK($C309),"",IF(ISNUMBER($AE309),IF($AE309&gt;=0,$AE309,""),""))</f>
        <v/>
      </c>
      <c r="BK309" s="74" t="str">
        <f aca="false">IF(ISBLANK($C309),"",IF($AF309=Constants!$B$2,TRUE(),IF($AF309=Constants!$B$3,FALSE(),FALSE())))</f>
        <v/>
      </c>
      <c r="BL309" s="73" t="str">
        <f aca="false">IF(ISBLANK($C309),"",IF($BK309,Constants!$B$7,IF(COUNTA($E309:$AE309)=0,Constants!$B$6,IF(OR(COUNTA($G309:$AE309)=0,NOT($AM309),$AS309),Constants!$B$5,IF(OR($CM309&lt;&gt;"",$CN309,$CO309,$CP309,$CQ309,$CR309,$CS309),Constants!$B$8,Constants!$B$4)))))</f>
        <v/>
      </c>
      <c r="BM309" s="74" t="str">
        <f aca="false">IF(ISBLANK($C309),"",IF($BL309&lt;&gt;Constants!$B$4,$BL309,IF(OR(NOT($AJ309),NOT($AL309),NOT($AT309)),Constants!$B$11,IF(OR(NOT($AR309),NOT($AU309),NOT($BI309),MAX($AN309,$AO309,$AP309)&gt;Constants!$B$30),Constants!$B$10,Constants!$B$9))))</f>
        <v/>
      </c>
      <c r="BN309" s="74" t="str">
        <f aca="false">IF($BL309&lt;&gt;Constants!$B$4,"",IF(NOT($AL309),0,MIN(Constants!$B$35,$BF309)))</f>
        <v/>
      </c>
      <c r="BO309" s="74" t="str">
        <f aca="false">IF($BL309&lt;&gt;Constants!$B$4,"",IF(NOT($AL309),0,IF($AW309,Constants!$B$18,IF($AV309,Constants!$B$17,0))))</f>
        <v/>
      </c>
      <c r="BP309" s="74" t="str">
        <f aca="false">IF($BL309&lt;&gt;Constants!$B$4,"",IF(NOT($AL309),0,Constants!$B$19*($AK309+$AX309+$AY309+$AZ309)))</f>
        <v/>
      </c>
      <c r="BQ309" s="74" t="str">
        <f aca="false">IF($BL309&lt;&gt;Constants!$B$4,"",IF(OR(NOT($AL309),NOT(ISNUMBER($BA309))),0,CHOOSE($BA309,Constants!$B$13,Constants!$B$14,Constants!$B$15,Constants!$B$16)))</f>
        <v/>
      </c>
      <c r="BR309" s="74" t="str">
        <f aca="false">IF($BL309&lt;&gt;Constants!$B$4,"",IF(NOT($AL309),0,Constants!$B$20*$BB309))</f>
        <v/>
      </c>
      <c r="BS309" s="74" t="str">
        <f aca="false">IF($BL309&lt;&gt;Constants!$B$4,"",IF(AND($AL309,$BD309,$BE309),Constants!$B$22,0))</f>
        <v/>
      </c>
      <c r="BT309" s="74" t="str">
        <f aca="false">IF($BL309&lt;&gt;Constants!$B$4,"",IF(OR(NOT($AL309),NOT($BD309)),0,IF($BJ309&gt;=2*$AH$9,0,Constants!$B$23*INT(ROUND(MIN($BJ309,$AH$9),6)))))</f>
        <v/>
      </c>
      <c r="BU309" s="74" t="str">
        <f aca="false">IF($BL309&lt;&gt;Constants!$B$4,"",IF(NOT($AL309),0,Constants!$B$24*INT(ROUND(MIN($BC309,$AH$9),6))))</f>
        <v/>
      </c>
      <c r="BV309" s="74" t="str">
        <f aca="false">IF($BL309&lt;&gt;Constants!$B$4,"",IF(AND($AL309,$BN309=0),Constants!$B$25,0))</f>
        <v/>
      </c>
      <c r="BW309" s="74" t="str">
        <f aca="false">IF($BL309&lt;&gt;Constants!$B$4,"",MIN(Constants!$B$29,MAX(0,Constants!$B$27*Constants!$B$28*INT(ROUND((Constants!$B$26-$AN309)/Constants!$B$28,6))))+MIN(Constants!$B$29,MAX(0,Constants!$B$27*Constants!$B$28*INT(ROUND((Constants!$B$26-$AO309)/Constants!$B$28,6))))+MIN(Constants!$B$29,MAX(0,Constants!$B$27*Constants!$B$28*INT(ROUND((Constants!$B$26-$AP309)/Constants!$B$28,6)))))</f>
        <v/>
      </c>
      <c r="BX309" s="74" t="str">
        <f aca="false">IF($BL309&lt;&gt;Constants!$B$4,"",IF(NOT($AL309),0,Constants!$B$31*INT(ROUND(MAX(0,MIN($BJ309,2*$AH$9)-$AH$9),6))))</f>
        <v/>
      </c>
      <c r="BY309" s="74" t="str">
        <f aca="false">IF($BL309&lt;&gt;Constants!$B$4,"",Constants!$B$32*(($AN309&gt;Constants!$B$26)+($AO309&gt;Constants!$B$26)+($AP309&gt;Constants!$B$26)))</f>
        <v/>
      </c>
      <c r="BZ309" s="74" t="str">
        <f aca="false">IF($BL309&lt;&gt;Constants!$B$4,"",IF(OR(NOT($AL309),$AQ309),0,Constants!$B$33))</f>
        <v/>
      </c>
      <c r="CA309" s="74" t="str">
        <f aca="false">IF($BL309&lt;&gt;Constants!$B$4,"",Constants!$B$34*$BN309)</f>
        <v/>
      </c>
      <c r="CB309" s="74" t="str">
        <f aca="false">IF($BL309&lt;&gt;Constants!$B$4,"",IF(OR(NOT($AL309),$BH309),0,Constants!$B$36))</f>
        <v/>
      </c>
      <c r="CC309" s="74" t="str">
        <f aca="false">IF($BL309&lt;&gt;Constants!$B$4,"",IF(OR(NOT($AL309),$BG309),0,Constants!$B$37))</f>
        <v/>
      </c>
      <c r="CD309" s="74" t="str">
        <f aca="false">IF($BL309&lt;&gt;Constants!$B$4,"",SUM($BX309:$CC309))</f>
        <v/>
      </c>
      <c r="CE309" s="74" t="str">
        <f aca="false">IF(ISBLANK($C309),"",IF($BL309&lt;&gt;Constants!$B$4,$BL309,SUM($BO309:$BW309)-$CD309))</f>
        <v/>
      </c>
      <c r="CF309" s="74" t="str">
        <f aca="false">IF(ISBLANK($C309),"",IF($BL309&lt;&gt;Constants!$B$4,$BL309,RANK($CE309,$CE$9:$CE$508)))</f>
        <v/>
      </c>
      <c r="CG309" s="74" t="str">
        <f aca="false">IF(ISBLANK($C309),"",IF($BL309&lt;&gt;Constants!$B$4,$BL309,COUNTIFS($BM$9:$BM$508,"&lt;"&amp;$BM309)+COUNTIFS($BM$9:$BM$508,$BM309,$CF$9:$CF$508,"&lt;"&amp;$CF309)+1))</f>
        <v/>
      </c>
      <c r="CH309" s="74" t="str">
        <f aca="false">IF(ISBLANK($C309),"",IF($BL309&lt;&gt;Constants!$B$4,$BL309,RANK($CD309,$CD$9:$CD$508,1)))</f>
        <v/>
      </c>
      <c r="CI309" s="74" t="str">
        <f aca="false">IF($BL309&lt;&gt;Constants!$B$4,"",$AN309+$AO309+$AP309)</f>
        <v/>
      </c>
      <c r="CJ309" s="74" t="str">
        <f aca="false">IF(ISBLANK($C309),"",IF($BL309&lt;&gt;Constants!$B$4,$BL309,RANK($CI309,$CI$9:$CI$508,1)))</f>
        <v/>
      </c>
      <c r="CK309" s="74" t="str">
        <f aca="false">IF(ISBLANK($C309),"",IF($BL309&lt;&gt;Constants!$B$4,$BL309,COUNTIFS($BM$9:$BM$508,"&lt;"&amp;$BM309)+COUNTIFS($BM$9:$BM$508,$BM309,$CF$9:$CF$508,"&lt;"&amp;$CF309)+COUNTIFS($BM$9:$BM$508,$BM309,$CF$9:$CF$508,$CF309,$CH$9:$CH$508,"&lt;"&amp;$CH309)+COUNTIFS($BM$9:$BM$508,$BM309,$CF$9:$CF$508,$CF309,$CH$9:$CH$508,$CH309,$CJ$9:$CJ$508,"&lt;"&amp;$CJ309)+1))</f>
        <v/>
      </c>
      <c r="CL309" s="74" t="str">
        <f aca="false">IF(ISBLANK($C309),"",IF($BL309&lt;&gt;Constants!$B$4,$BL309,$CG309-$CK309))</f>
        <v/>
      </c>
      <c r="CM309" s="74" t="str">
        <f aca="false">IF(ISBLANK($C309),"",IF(NOT($AL309),"",IF(ISBLANK($D$7),$CM$5,IF(NOT(ISNUMBER($D$7)),$CM$6,""))))</f>
        <v/>
      </c>
      <c r="CN309" s="74" t="str">
        <f aca="false">IF(ISBLANK($C309),"",OR($AN309="",$AO309="",$AP309=""))</f>
        <v/>
      </c>
      <c r="CO309" s="74" t="str">
        <f aca="false">IF(ISBLANK($C309),"",AND($AL309,$BA309=""))</f>
        <v/>
      </c>
      <c r="CP309" s="74" t="str">
        <f aca="false">IF(ISBLANK($C309),"",AND($AL309,$BB309=""))</f>
        <v/>
      </c>
      <c r="CQ309" s="74" t="str">
        <f aca="false">IF(ISBLANK($C309),"",AND($AL309,$BC309=""))</f>
        <v/>
      </c>
      <c r="CR309" s="74" t="str">
        <f aca="false">IF(ISBLANK($C309),"",AND($AL309,$BF309=""))</f>
        <v/>
      </c>
      <c r="CS309" s="74" t="str">
        <f aca="false">IF(ISBLANK($C309),"",AND($AL309,$BJ309=""))</f>
        <v/>
      </c>
      <c r="CT309" s="75"/>
      <c r="CU309" s="76"/>
      <c r="CV309" s="79" t="str">
        <f aca="false">IF(ISBLANK($C309),"",IF($BL309=Constants!$B$8,$CM309,""))</f>
        <v/>
      </c>
      <c r="CW309" s="76" t="str">
        <f aca="false">IF(ISBLANK($C309),"",IF($BL309&lt;&gt;Constants!$B$4,"",$BO309+$BP309))</f>
        <v/>
      </c>
      <c r="CX309" s="78" t="str">
        <f aca="false">IF(ISBLANK($C309),"",IF($BL309&lt;&gt;Constants!$B$4,"",$BQ309+$BR309+$BS309))</f>
        <v/>
      </c>
      <c r="CY309" s="78" t="str">
        <f aca="false">IF(ISBLANK($C309),"",IF($BL309&lt;&gt;Constants!$B$4,"",$BT309))</f>
        <v/>
      </c>
      <c r="CZ309" s="78" t="str">
        <f aca="false">IF(ISBLANK($C309),"",IF($BL309&lt;&gt;Constants!$B$4,"",$BU309+$BV309))</f>
        <v/>
      </c>
      <c r="DA309" s="78" t="str">
        <f aca="false">IF(ISBLANK($C309),"",IF($BL309&lt;&gt;Constants!$B$4,"",$BW309))</f>
        <v/>
      </c>
      <c r="DB309" s="78" t="str">
        <f aca="false">IF(ISBLANK($C309),"",IF($BL309&lt;&gt;Constants!$B$4,"",-$CD309))</f>
        <v/>
      </c>
      <c r="DC309" s="79" t="str">
        <f aca="false">IF(ISBLANK($C309),"",$CE309)</f>
        <v/>
      </c>
      <c r="DD309" s="80" t="str">
        <f aca="false">IF(ISBLANK($C309),"",$BM309)</f>
        <v/>
      </c>
      <c r="DE309" s="78" t="str">
        <f aca="false">IF(ISBLANK($C309),"",$CL309)</f>
        <v/>
      </c>
      <c r="DF309" s="78" t="str">
        <f aca="false">IF(ISBLANK($C309),"",$CK309)</f>
        <v/>
      </c>
      <c r="DG309" s="81" t="str">
        <f aca="false">IF(ISBLANK($C309),"",IF($DF309=Constants!$B$7,COUNTA($C$9:$C$508)+2,IF($DF309=Constants!$B$6,COUNTA($C$9:$C$508)+1,IF($DF309=Constants!$B$5,COUNTA($C$9:$C$508),$DF309))))</f>
        <v/>
      </c>
      <c r="DH309" s="7"/>
      <c r="DI309" s="82" t="n">
        <f aca="false">IF(OR(ISNUMBER($DF309),$DF309=Constants!$B$7,$DF309=Constants!$B$5,$DF309=Constants!$B$6),1,0)</f>
        <v>0</v>
      </c>
      <c r="DJ309" s="82" t="n">
        <v>301</v>
      </c>
      <c r="DK309" s="82" t="str">
        <f aca="false">IF(ISBLANK($C309),"",IF(ISNUMBER($DG309),$DG309+ROW($B309)/1000,""))</f>
        <v/>
      </c>
      <c r="DL309" s="82" t="str">
        <f aca="false">IF(ISNUMBER($DK309),RANK($DK309,$DK$9:$DK$508,1),"")</f>
        <v/>
      </c>
      <c r="DM309" s="82" t="str">
        <f aca="false">IF(ISBLANK($C309),"",$B309)</f>
        <v/>
      </c>
      <c r="DN309" s="82" t="str">
        <f aca="false">IF(ISBLANK($C309),"",$C309)</f>
        <v/>
      </c>
      <c r="DO309" s="82" t="str">
        <f aca="false">IF(ISBLANK($C309),"",$D309)</f>
        <v/>
      </c>
      <c r="DP309" s="83" t="str">
        <f aca="false">$DD309</f>
        <v/>
      </c>
      <c r="DQ309" s="84" t="str">
        <f aca="false">$DC309</f>
        <v/>
      </c>
      <c r="DR309" s="82" t="str">
        <f aca="false">IF(ISBLANK($C309),"",$DF309)</f>
        <v/>
      </c>
      <c r="DS309" s="85" t="str">
        <f aca="false">IF($DJ309&gt;$DI$8,"",VLOOKUP($DJ309,$DL$9:$DR$508,7,FALSE()))</f>
        <v/>
      </c>
      <c r="DT309" s="86" t="str">
        <f aca="false">IF($DJ309&gt;$DI$8,"",VLOOKUP($DJ309,$DL$9:$DR$508,2,FALSE()))</f>
        <v/>
      </c>
      <c r="DU309" s="86" t="str">
        <f aca="false">IF($DJ309&gt;$DI$8,"",VLOOKUP($DJ309,$DL$9:$DR$508,3,FALSE()))</f>
        <v/>
      </c>
      <c r="DV309" s="86" t="str">
        <f aca="false">IF($DJ309&gt;$DI$8,"",VLOOKUP($DJ309,$DL$9:$DR$508,4,FALSE()))</f>
        <v/>
      </c>
      <c r="DW309" s="86" t="str">
        <f aca="false">IF($DJ309&gt;$DI$8,"",VLOOKUP($DJ309,$DL$9:$DR$508,5,FALSE()))</f>
        <v/>
      </c>
      <c r="DX309" s="87" t="str">
        <f aca="false">IF($DJ309&gt;$DI$8,"",VLOOKUP($DJ309,$DL$9:$DR$508,6,FALSE()))</f>
        <v/>
      </c>
      <c r="DY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88"/>
      <c r="N310" s="88"/>
      <c r="O310" s="134"/>
      <c r="P310" s="134"/>
      <c r="Q310" s="88"/>
      <c r="R310" s="88"/>
      <c r="S310" s="88"/>
      <c r="T310" s="88"/>
      <c r="U310" s="134"/>
      <c r="V310" s="88"/>
      <c r="W310" s="70"/>
      <c r="X310" s="88"/>
      <c r="Y310" s="88"/>
      <c r="Z310" s="70"/>
      <c r="AA310" s="70"/>
      <c r="AB310" s="88"/>
      <c r="AC310" s="88"/>
      <c r="AD310" s="88"/>
      <c r="AE310" s="71"/>
      <c r="AF310" s="88"/>
      <c r="AG310" s="73"/>
      <c r="AH310" s="74"/>
      <c r="AI310" s="74"/>
      <c r="AJ310" s="74" t="str">
        <f aca="false">IF(ISBLANK($C310),"",IF($E310=Constants!$B$2,TRUE(),IF($E310=Constants!$B$3,FALSE(),TRUE())))</f>
        <v/>
      </c>
      <c r="AK310" s="74" t="str">
        <f aca="false">IF(ISBLANK($C310),"",IF($F310=Constants!$B$2,TRUE(),IF($F310=Constants!$B$3,FALSE(),FALSE())))</f>
        <v/>
      </c>
      <c r="AL310" s="74" t="str">
        <f aca="false">IF(ISBLANK($C310),"",IF($G310=Constants!$B$2,TRUE(),IF($G310=Constants!$B$3,FALSE(),TRUE())))</f>
        <v/>
      </c>
      <c r="AM310" s="74" t="str">
        <f aca="false">IF(ISBLANK($C310),"",IF($H310=Constants!$B$2,TRUE(),IF($H310=Constants!$B$3,FALSE(),TRUE())))</f>
        <v/>
      </c>
      <c r="AN310" s="74" t="str">
        <f aca="false">IF(ISBLANK($C310),"",IF(ISNUMBER($I310),IF($I310&gt;=0,$I310,""),""))</f>
        <v/>
      </c>
      <c r="AO310" s="74" t="str">
        <f aca="false">IF(ISBLANK($C310),"",IF(ISNUMBER($J310),IF($J310&gt;=0,$J310,""),""))</f>
        <v/>
      </c>
      <c r="AP310" s="74" t="str">
        <f aca="false">IF(ISBLANK($C310),"",IF(ISNUMBER($K310),IF($K310&gt;=0,$K310,""),""))</f>
        <v/>
      </c>
      <c r="AQ310" s="74" t="str">
        <f aca="false">IF(ISBLANK($C310),"",IF($L310=Constants!$B$2,TRUE(),IF($L310=Constants!$B$3,FALSE(),TRUE())))</f>
        <v/>
      </c>
      <c r="AR310" s="74" t="str">
        <f aca="false">IF(ISBLANK($C310),"",IF($M310=Constants!$B$2,TRUE(),IF($M310=Constants!$B$3,FALSE(),TRUE())))</f>
        <v/>
      </c>
      <c r="AS310" s="74" t="str">
        <f aca="false">IF(ISBLANK($C310),"",IF($N310=Constants!$B$2,TRUE(),IF($N310=Constants!$B$3,FALSE(),FALSE())))</f>
        <v/>
      </c>
      <c r="AT310" s="74" t="str">
        <f aca="false">IF(ISBLANK($C310),"",IF($O310=Constants!$B$2,TRUE(),IF($O310=Constants!$B$3,FALSE(),TRUE())))</f>
        <v/>
      </c>
      <c r="AU310" s="74" t="str">
        <f aca="false">IF(ISBLANK($C310),"",IF($P310=Constants!$B$2,TRUE(),IF($P310=Constants!$B$3,FALSE(),TRUE())))</f>
        <v/>
      </c>
      <c r="AV310" s="74" t="str">
        <f aca="false">IF(ISBLANK($C310),"",IF($Q310=Constants!$B$2,TRUE(),IF($Q310=Constants!$B$3,FALSE(),FALSE())))</f>
        <v/>
      </c>
      <c r="AW310" s="74" t="str">
        <f aca="false">IF(ISBLANK($C310),"",IF($R310=Constants!$B$2,TRUE(),IF($R310=Constants!$B$3,FALSE(),FALSE())))</f>
        <v/>
      </c>
      <c r="AX310" s="74" t="str">
        <f aca="false">IF(ISBLANK($C310),"",IF($S310=Constants!$B$2,TRUE(),IF($S310=Constants!$B$3,FALSE(),FALSE())))</f>
        <v/>
      </c>
      <c r="AY310" s="74" t="str">
        <f aca="false">IF(ISBLANK($C310),"",IF($T310=Constants!$B$2,TRUE(),IF($T310=Constants!$B$3,FALSE(),FALSE())))</f>
        <v/>
      </c>
      <c r="AZ310" s="74" t="str">
        <f aca="false">IF(ISBLANK($C310),"",IF($U310=Constants!$B$2,TRUE(),IF($U310=Constants!$B$3,FALSE(),FALSE())))</f>
        <v/>
      </c>
      <c r="BA310" s="74" t="str">
        <f aca="false">IF(ISBLANK($C310),"",IF(OR($V310&amp;""="1",$V310&amp;""="2",$V310&amp;""="3",$V310&amp;""="4"),VALUE($V310&amp;""),IF($V310=Constants!$B$12,Constants!$B$12,"")))</f>
        <v/>
      </c>
      <c r="BB310" s="74" t="str">
        <f aca="false">IF(ISBLANK($C310),"",IF(ISBLANK($W310),0,IF(ISNUMBER($W310),IF(AND($W310&gt;=0,$W310&lt;=Constants!$B$21,$W310=INT($W310)),$W310,""),"")))</f>
        <v/>
      </c>
      <c r="BC310" s="74" t="str">
        <f aca="false">IF(ISBLANK($C310),"",IF(ISBLANK($X310),0,IF(ISNUMBER($X310),IF($X310&gt;=0,$X310,""),"")))</f>
        <v/>
      </c>
      <c r="BD310" s="74" t="str">
        <f aca="false">IF(ISBLANK($C310),"",IF($Y310=Constants!$B$2,TRUE(),IF($Y310=Constants!$B$3,FALSE(),TRUE())))</f>
        <v/>
      </c>
      <c r="BE310" s="74" t="str">
        <f aca="false">IF(ISBLANK($C310),"",IF($Z310=Constants!$B$2,TRUE(),IF($Z310=Constants!$B$3,FALSE(),FALSE())))</f>
        <v/>
      </c>
      <c r="BF310" s="74" t="str">
        <f aca="false">IF(ISBLANK($C310),"",IF(ISBLANK($AA310),0,IF(ISNUMBER($AA310),IF(AND($AA310&gt;=0,$AA310&lt;=Constants!$B$35,$AA310=INT($AA310)),$AA310,""),"")))</f>
        <v/>
      </c>
      <c r="BG310" s="74" t="str">
        <f aca="false">IF(ISBLANK($C310),"",IF($AB310=Constants!$B$2,TRUE(),IF($AB310=Constants!$B$3,FALSE(),TRUE())))</f>
        <v/>
      </c>
      <c r="BH310" s="74" t="str">
        <f aca="false">IF(ISBLANK($C310),"",IF($AC310=Constants!$B$2,TRUE(),IF($AC310=Constants!$B$3,FALSE(),TRUE())))</f>
        <v/>
      </c>
      <c r="BI310" s="74" t="str">
        <f aca="false">IF(ISBLANK($C310),"",IF($AD310=Constants!$B$2,TRUE(),IF($AD310=Constants!$B$3,FALSE(),TRUE())))</f>
        <v/>
      </c>
      <c r="BJ310" s="74" t="str">
        <f aca="false">IF(ISBLANK($C310),"",IF(ISNUMBER($AE310),IF($AE310&gt;=0,$AE310,""),""))</f>
        <v/>
      </c>
      <c r="BK310" s="74" t="str">
        <f aca="false">IF(ISBLANK($C310),"",IF($AF310=Constants!$B$2,TRUE(),IF($AF310=Constants!$B$3,FALSE(),FALSE())))</f>
        <v/>
      </c>
      <c r="BL310" s="73" t="str">
        <f aca="false">IF(ISBLANK($C310),"",IF($BK310,Constants!$B$7,IF(COUNTA($E310:$AE310)=0,Constants!$B$6,IF(OR(COUNTA($G310:$AE310)=0,NOT($AM310),$AS310),Constants!$B$5,IF(OR($CM310&lt;&gt;"",$CN310,$CO310,$CP310,$CQ310,$CR310,$CS310),Constants!$B$8,Constants!$B$4)))))</f>
        <v/>
      </c>
      <c r="BM310" s="74" t="str">
        <f aca="false">IF(ISBLANK($C310),"",IF($BL310&lt;&gt;Constants!$B$4,$BL310,IF(OR(NOT($AJ310),NOT($AL310),NOT($AT310)),Constants!$B$11,IF(OR(NOT($AR310),NOT($AU310),NOT($BI310),MAX($AN310,$AO310,$AP310)&gt;Constants!$B$30),Constants!$B$10,Constants!$B$9))))</f>
        <v/>
      </c>
      <c r="BN310" s="74" t="str">
        <f aca="false">IF($BL310&lt;&gt;Constants!$B$4,"",IF(NOT($AL310),0,MIN(Constants!$B$35,$BF310)))</f>
        <v/>
      </c>
      <c r="BO310" s="74" t="str">
        <f aca="false">IF($BL310&lt;&gt;Constants!$B$4,"",IF(NOT($AL310),0,IF($AW310,Constants!$B$18,IF($AV310,Constants!$B$17,0))))</f>
        <v/>
      </c>
      <c r="BP310" s="74" t="str">
        <f aca="false">IF($BL310&lt;&gt;Constants!$B$4,"",IF(NOT($AL310),0,Constants!$B$19*($AK310+$AX310+$AY310+$AZ310)))</f>
        <v/>
      </c>
      <c r="BQ310" s="74" t="str">
        <f aca="false">IF($BL310&lt;&gt;Constants!$B$4,"",IF(OR(NOT($AL310),NOT(ISNUMBER($BA310))),0,CHOOSE($BA310,Constants!$B$13,Constants!$B$14,Constants!$B$15,Constants!$B$16)))</f>
        <v/>
      </c>
      <c r="BR310" s="74" t="str">
        <f aca="false">IF($BL310&lt;&gt;Constants!$B$4,"",IF(NOT($AL310),0,Constants!$B$20*$BB310))</f>
        <v/>
      </c>
      <c r="BS310" s="74" t="str">
        <f aca="false">IF($BL310&lt;&gt;Constants!$B$4,"",IF(AND($AL310,$BD310,$BE310),Constants!$B$22,0))</f>
        <v/>
      </c>
      <c r="BT310" s="74" t="str">
        <f aca="false">IF($BL310&lt;&gt;Constants!$B$4,"",IF(OR(NOT($AL310),NOT($BD310)),0,IF($BJ310&gt;=2*$AH$9,0,Constants!$B$23*INT(ROUND(MIN($BJ310,$AH$9),6)))))</f>
        <v/>
      </c>
      <c r="BU310" s="74" t="str">
        <f aca="false">IF($BL310&lt;&gt;Constants!$B$4,"",IF(NOT($AL310),0,Constants!$B$24*INT(ROUND(MIN($BC310,$AH$9),6))))</f>
        <v/>
      </c>
      <c r="BV310" s="74" t="str">
        <f aca="false">IF($BL310&lt;&gt;Constants!$B$4,"",IF(AND($AL310,$BN310=0),Constants!$B$25,0))</f>
        <v/>
      </c>
      <c r="BW310" s="74" t="str">
        <f aca="false">IF($BL310&lt;&gt;Constants!$B$4,"",MIN(Constants!$B$29,MAX(0,Constants!$B$27*Constants!$B$28*INT(ROUND((Constants!$B$26-$AN310)/Constants!$B$28,6))))+MIN(Constants!$B$29,MAX(0,Constants!$B$27*Constants!$B$28*INT(ROUND((Constants!$B$26-$AO310)/Constants!$B$28,6))))+MIN(Constants!$B$29,MAX(0,Constants!$B$27*Constants!$B$28*INT(ROUND((Constants!$B$26-$AP310)/Constants!$B$28,6)))))</f>
        <v/>
      </c>
      <c r="BX310" s="74" t="str">
        <f aca="false">IF($BL310&lt;&gt;Constants!$B$4,"",IF(NOT($AL310),0,Constants!$B$31*INT(ROUND(MAX(0,MIN($BJ310,2*$AH$9)-$AH$9),6))))</f>
        <v/>
      </c>
      <c r="BY310" s="74" t="str">
        <f aca="false">IF($BL310&lt;&gt;Constants!$B$4,"",Constants!$B$32*(($AN310&gt;Constants!$B$26)+($AO310&gt;Constants!$B$26)+($AP310&gt;Constants!$B$26)))</f>
        <v/>
      </c>
      <c r="BZ310" s="74" t="str">
        <f aca="false">IF($BL310&lt;&gt;Constants!$B$4,"",IF(OR(NOT($AL310),$AQ310),0,Constants!$B$33))</f>
        <v/>
      </c>
      <c r="CA310" s="74" t="str">
        <f aca="false">IF($BL310&lt;&gt;Constants!$B$4,"",Constants!$B$34*$BN310)</f>
        <v/>
      </c>
      <c r="CB310" s="74" t="str">
        <f aca="false">IF($BL310&lt;&gt;Constants!$B$4,"",IF(OR(NOT($AL310),$BH310),0,Constants!$B$36))</f>
        <v/>
      </c>
      <c r="CC310" s="74" t="str">
        <f aca="false">IF($BL310&lt;&gt;Constants!$B$4,"",IF(OR(NOT($AL310),$BG310),0,Constants!$B$37))</f>
        <v/>
      </c>
      <c r="CD310" s="74" t="str">
        <f aca="false">IF($BL310&lt;&gt;Constants!$B$4,"",SUM($BX310:$CC310))</f>
        <v/>
      </c>
      <c r="CE310" s="74" t="str">
        <f aca="false">IF(ISBLANK($C310),"",IF($BL310&lt;&gt;Constants!$B$4,$BL310,SUM($BO310:$BW310)-$CD310))</f>
        <v/>
      </c>
      <c r="CF310" s="74" t="str">
        <f aca="false">IF(ISBLANK($C310),"",IF($BL310&lt;&gt;Constants!$B$4,$BL310,RANK($CE310,$CE$9:$CE$508)))</f>
        <v/>
      </c>
      <c r="CG310" s="74" t="str">
        <f aca="false">IF(ISBLANK($C310),"",IF($BL310&lt;&gt;Constants!$B$4,$BL310,COUNTIFS($BM$9:$BM$508,"&lt;"&amp;$BM310)+COUNTIFS($BM$9:$BM$508,$BM310,$CF$9:$CF$508,"&lt;"&amp;$CF310)+1))</f>
        <v/>
      </c>
      <c r="CH310" s="74" t="str">
        <f aca="false">IF(ISBLANK($C310),"",IF($BL310&lt;&gt;Constants!$B$4,$BL310,RANK($CD310,$CD$9:$CD$508,1)))</f>
        <v/>
      </c>
      <c r="CI310" s="74" t="str">
        <f aca="false">IF($BL310&lt;&gt;Constants!$B$4,"",$AN310+$AO310+$AP310)</f>
        <v/>
      </c>
      <c r="CJ310" s="74" t="str">
        <f aca="false">IF(ISBLANK($C310),"",IF($BL310&lt;&gt;Constants!$B$4,$BL310,RANK($CI310,$CI$9:$CI$508,1)))</f>
        <v/>
      </c>
      <c r="CK310" s="74" t="str">
        <f aca="false">IF(ISBLANK($C310),"",IF($BL310&lt;&gt;Constants!$B$4,$BL310,COUNTIFS($BM$9:$BM$508,"&lt;"&amp;$BM310)+COUNTIFS($BM$9:$BM$508,$BM310,$CF$9:$CF$508,"&lt;"&amp;$CF310)+COUNTIFS($BM$9:$BM$508,$BM310,$CF$9:$CF$508,$CF310,$CH$9:$CH$508,"&lt;"&amp;$CH310)+COUNTIFS($BM$9:$BM$508,$BM310,$CF$9:$CF$508,$CF310,$CH$9:$CH$508,$CH310,$CJ$9:$CJ$508,"&lt;"&amp;$CJ310)+1))</f>
        <v/>
      </c>
      <c r="CL310" s="74" t="str">
        <f aca="false">IF(ISBLANK($C310),"",IF($BL310&lt;&gt;Constants!$B$4,$BL310,$CG310-$CK310))</f>
        <v/>
      </c>
      <c r="CM310" s="74" t="str">
        <f aca="false">IF(ISBLANK($C310),"",IF(NOT($AL310),"",IF(ISBLANK($D$7),$CM$5,IF(NOT(ISNUMBER($D$7)),$CM$6,""))))</f>
        <v/>
      </c>
      <c r="CN310" s="74" t="str">
        <f aca="false">IF(ISBLANK($C310),"",OR($AN310="",$AO310="",$AP310=""))</f>
        <v/>
      </c>
      <c r="CO310" s="74" t="str">
        <f aca="false">IF(ISBLANK($C310),"",AND($AL310,$BA310=""))</f>
        <v/>
      </c>
      <c r="CP310" s="74" t="str">
        <f aca="false">IF(ISBLANK($C310),"",AND($AL310,$BB310=""))</f>
        <v/>
      </c>
      <c r="CQ310" s="74" t="str">
        <f aca="false">IF(ISBLANK($C310),"",AND($AL310,$BC310=""))</f>
        <v/>
      </c>
      <c r="CR310" s="74" t="str">
        <f aca="false">IF(ISBLANK($C310),"",AND($AL310,$BF310=""))</f>
        <v/>
      </c>
      <c r="CS310" s="74" t="str">
        <f aca="false">IF(ISBLANK($C310),"",AND($AL310,$BJ310=""))</f>
        <v/>
      </c>
      <c r="CT310" s="75"/>
      <c r="CU310" s="76"/>
      <c r="CV310" s="79" t="str">
        <f aca="false">IF(ISBLANK($C310),"",IF($BL310=Constants!$B$8,$CM310,""))</f>
        <v/>
      </c>
      <c r="CW310" s="76" t="str">
        <f aca="false">IF(ISBLANK($C310),"",IF($BL310&lt;&gt;Constants!$B$4,"",$BO310+$BP310))</f>
        <v/>
      </c>
      <c r="CX310" s="78" t="str">
        <f aca="false">IF(ISBLANK($C310),"",IF($BL310&lt;&gt;Constants!$B$4,"",$BQ310+$BR310+$BS310))</f>
        <v/>
      </c>
      <c r="CY310" s="78" t="str">
        <f aca="false">IF(ISBLANK($C310),"",IF($BL310&lt;&gt;Constants!$B$4,"",$BT310))</f>
        <v/>
      </c>
      <c r="CZ310" s="78" t="str">
        <f aca="false">IF(ISBLANK($C310),"",IF($BL310&lt;&gt;Constants!$B$4,"",$BU310+$BV310))</f>
        <v/>
      </c>
      <c r="DA310" s="78" t="str">
        <f aca="false">IF(ISBLANK($C310),"",IF($BL310&lt;&gt;Constants!$B$4,"",$BW310))</f>
        <v/>
      </c>
      <c r="DB310" s="78" t="str">
        <f aca="false">IF(ISBLANK($C310),"",IF($BL310&lt;&gt;Constants!$B$4,"",-$CD310))</f>
        <v/>
      </c>
      <c r="DC310" s="79" t="str">
        <f aca="false">IF(ISBLANK($C310),"",$CE310)</f>
        <v/>
      </c>
      <c r="DD310" s="80" t="str">
        <f aca="false">IF(ISBLANK($C310),"",$BM310)</f>
        <v/>
      </c>
      <c r="DE310" s="78" t="str">
        <f aca="false">IF(ISBLANK($C310),"",$CL310)</f>
        <v/>
      </c>
      <c r="DF310" s="78" t="str">
        <f aca="false">IF(ISBLANK($C310),"",$CK310)</f>
        <v/>
      </c>
      <c r="DG310" s="81" t="str">
        <f aca="false">IF(ISBLANK($C310),"",IF($DF310=Constants!$B$7,COUNTA($C$9:$C$508)+2,IF($DF310=Constants!$B$6,COUNTA($C$9:$C$508)+1,IF($DF310=Constants!$B$5,COUNTA($C$9:$C$508),$DF310))))</f>
        <v/>
      </c>
      <c r="DH310" s="7"/>
      <c r="DI310" s="82" t="n">
        <f aca="false">IF(OR(ISNUMBER($DF310),$DF310=Constants!$B$7,$DF310=Constants!$B$5,$DF310=Constants!$B$6),1,0)</f>
        <v>0</v>
      </c>
      <c r="DJ310" s="82" t="n">
        <v>302</v>
      </c>
      <c r="DK310" s="82" t="str">
        <f aca="false">IF(ISBLANK($C310),"",IF(ISNUMBER($DG310),$DG310+ROW($B310)/1000,""))</f>
        <v/>
      </c>
      <c r="DL310" s="82" t="str">
        <f aca="false">IF(ISNUMBER($DK310),RANK($DK310,$DK$9:$DK$508,1),"")</f>
        <v/>
      </c>
      <c r="DM310" s="82" t="str">
        <f aca="false">IF(ISBLANK($C310),"",$B310)</f>
        <v/>
      </c>
      <c r="DN310" s="82" t="str">
        <f aca="false">IF(ISBLANK($C310),"",$C310)</f>
        <v/>
      </c>
      <c r="DO310" s="82" t="str">
        <f aca="false">IF(ISBLANK($C310),"",$D310)</f>
        <v/>
      </c>
      <c r="DP310" s="83" t="str">
        <f aca="false">$DD310</f>
        <v/>
      </c>
      <c r="DQ310" s="84" t="str">
        <f aca="false">$DC310</f>
        <v/>
      </c>
      <c r="DR310" s="82" t="str">
        <f aca="false">IF(ISBLANK($C310),"",$DF310)</f>
        <v/>
      </c>
      <c r="DS310" s="85" t="str">
        <f aca="false">IF($DJ310&gt;$DI$8,"",VLOOKUP($DJ310,$DL$9:$DR$508,7,FALSE()))</f>
        <v/>
      </c>
      <c r="DT310" s="86" t="str">
        <f aca="false">IF($DJ310&gt;$DI$8,"",VLOOKUP($DJ310,$DL$9:$DR$508,2,FALSE()))</f>
        <v/>
      </c>
      <c r="DU310" s="86" t="str">
        <f aca="false">IF($DJ310&gt;$DI$8,"",VLOOKUP($DJ310,$DL$9:$DR$508,3,FALSE()))</f>
        <v/>
      </c>
      <c r="DV310" s="86" t="str">
        <f aca="false">IF($DJ310&gt;$DI$8,"",VLOOKUP($DJ310,$DL$9:$DR$508,4,FALSE()))</f>
        <v/>
      </c>
      <c r="DW310" s="86" t="str">
        <f aca="false">IF($DJ310&gt;$DI$8,"",VLOOKUP($DJ310,$DL$9:$DR$508,5,FALSE()))</f>
        <v/>
      </c>
      <c r="DX310" s="87" t="str">
        <f aca="false">IF($DJ310&gt;$DI$8,"",VLOOKUP($DJ310,$DL$9:$DR$508,6,FALSE()))</f>
        <v/>
      </c>
      <c r="DY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88"/>
      <c r="N311" s="88"/>
      <c r="O311" s="134"/>
      <c r="P311" s="134"/>
      <c r="Q311" s="88"/>
      <c r="R311" s="88"/>
      <c r="S311" s="88"/>
      <c r="T311" s="88"/>
      <c r="U311" s="134"/>
      <c r="V311" s="88"/>
      <c r="W311" s="70"/>
      <c r="X311" s="88"/>
      <c r="Y311" s="88"/>
      <c r="Z311" s="70"/>
      <c r="AA311" s="70"/>
      <c r="AB311" s="88"/>
      <c r="AC311" s="88"/>
      <c r="AD311" s="88"/>
      <c r="AE311" s="71"/>
      <c r="AF311" s="88"/>
      <c r="AG311" s="73"/>
      <c r="AH311" s="74"/>
      <c r="AI311" s="74"/>
      <c r="AJ311" s="74" t="str">
        <f aca="false">IF(ISBLANK($C311),"",IF($E311=Constants!$B$2,TRUE(),IF($E311=Constants!$B$3,FALSE(),TRUE())))</f>
        <v/>
      </c>
      <c r="AK311" s="74" t="str">
        <f aca="false">IF(ISBLANK($C311),"",IF($F311=Constants!$B$2,TRUE(),IF($F311=Constants!$B$3,FALSE(),FALSE())))</f>
        <v/>
      </c>
      <c r="AL311" s="74" t="str">
        <f aca="false">IF(ISBLANK($C311),"",IF($G311=Constants!$B$2,TRUE(),IF($G311=Constants!$B$3,FALSE(),TRUE())))</f>
        <v/>
      </c>
      <c r="AM311" s="74" t="str">
        <f aca="false">IF(ISBLANK($C311),"",IF($H311=Constants!$B$2,TRUE(),IF($H311=Constants!$B$3,FALSE(),TRUE())))</f>
        <v/>
      </c>
      <c r="AN311" s="74" t="str">
        <f aca="false">IF(ISBLANK($C311),"",IF(ISNUMBER($I311),IF($I311&gt;=0,$I311,""),""))</f>
        <v/>
      </c>
      <c r="AO311" s="74" t="str">
        <f aca="false">IF(ISBLANK($C311),"",IF(ISNUMBER($J311),IF($J311&gt;=0,$J311,""),""))</f>
        <v/>
      </c>
      <c r="AP311" s="74" t="str">
        <f aca="false">IF(ISBLANK($C311),"",IF(ISNUMBER($K311),IF($K311&gt;=0,$K311,""),""))</f>
        <v/>
      </c>
      <c r="AQ311" s="74" t="str">
        <f aca="false">IF(ISBLANK($C311),"",IF($L311=Constants!$B$2,TRUE(),IF($L311=Constants!$B$3,FALSE(),TRUE())))</f>
        <v/>
      </c>
      <c r="AR311" s="74" t="str">
        <f aca="false">IF(ISBLANK($C311),"",IF($M311=Constants!$B$2,TRUE(),IF($M311=Constants!$B$3,FALSE(),TRUE())))</f>
        <v/>
      </c>
      <c r="AS311" s="74" t="str">
        <f aca="false">IF(ISBLANK($C311),"",IF($N311=Constants!$B$2,TRUE(),IF($N311=Constants!$B$3,FALSE(),FALSE())))</f>
        <v/>
      </c>
      <c r="AT311" s="74" t="str">
        <f aca="false">IF(ISBLANK($C311),"",IF($O311=Constants!$B$2,TRUE(),IF($O311=Constants!$B$3,FALSE(),TRUE())))</f>
        <v/>
      </c>
      <c r="AU311" s="74" t="str">
        <f aca="false">IF(ISBLANK($C311),"",IF($P311=Constants!$B$2,TRUE(),IF($P311=Constants!$B$3,FALSE(),TRUE())))</f>
        <v/>
      </c>
      <c r="AV311" s="74" t="str">
        <f aca="false">IF(ISBLANK($C311),"",IF($Q311=Constants!$B$2,TRUE(),IF($Q311=Constants!$B$3,FALSE(),FALSE())))</f>
        <v/>
      </c>
      <c r="AW311" s="74" t="str">
        <f aca="false">IF(ISBLANK($C311),"",IF($R311=Constants!$B$2,TRUE(),IF($R311=Constants!$B$3,FALSE(),FALSE())))</f>
        <v/>
      </c>
      <c r="AX311" s="74" t="str">
        <f aca="false">IF(ISBLANK($C311),"",IF($S311=Constants!$B$2,TRUE(),IF($S311=Constants!$B$3,FALSE(),FALSE())))</f>
        <v/>
      </c>
      <c r="AY311" s="74" t="str">
        <f aca="false">IF(ISBLANK($C311),"",IF($T311=Constants!$B$2,TRUE(),IF($T311=Constants!$B$3,FALSE(),FALSE())))</f>
        <v/>
      </c>
      <c r="AZ311" s="74" t="str">
        <f aca="false">IF(ISBLANK($C311),"",IF($U311=Constants!$B$2,TRUE(),IF($U311=Constants!$B$3,FALSE(),FALSE())))</f>
        <v/>
      </c>
      <c r="BA311" s="74" t="str">
        <f aca="false">IF(ISBLANK($C311),"",IF(OR($V311&amp;""="1",$V311&amp;""="2",$V311&amp;""="3",$V311&amp;""="4"),VALUE($V311&amp;""),IF($V311=Constants!$B$12,Constants!$B$12,"")))</f>
        <v/>
      </c>
      <c r="BB311" s="74" t="str">
        <f aca="false">IF(ISBLANK($C311),"",IF(ISBLANK($W311),0,IF(ISNUMBER($W311),IF(AND($W311&gt;=0,$W311&lt;=Constants!$B$21,$W311=INT($W311)),$W311,""),"")))</f>
        <v/>
      </c>
      <c r="BC311" s="74" t="str">
        <f aca="false">IF(ISBLANK($C311),"",IF(ISBLANK($X311),0,IF(ISNUMBER($X311),IF($X311&gt;=0,$X311,""),"")))</f>
        <v/>
      </c>
      <c r="BD311" s="74" t="str">
        <f aca="false">IF(ISBLANK($C311),"",IF($Y311=Constants!$B$2,TRUE(),IF($Y311=Constants!$B$3,FALSE(),TRUE())))</f>
        <v/>
      </c>
      <c r="BE311" s="74" t="str">
        <f aca="false">IF(ISBLANK($C311),"",IF($Z311=Constants!$B$2,TRUE(),IF($Z311=Constants!$B$3,FALSE(),FALSE())))</f>
        <v/>
      </c>
      <c r="BF311" s="74" t="str">
        <f aca="false">IF(ISBLANK($C311),"",IF(ISBLANK($AA311),0,IF(ISNUMBER($AA311),IF(AND($AA311&gt;=0,$AA311&lt;=Constants!$B$35,$AA311=INT($AA311)),$AA311,""),"")))</f>
        <v/>
      </c>
      <c r="BG311" s="74" t="str">
        <f aca="false">IF(ISBLANK($C311),"",IF($AB311=Constants!$B$2,TRUE(),IF($AB311=Constants!$B$3,FALSE(),TRUE())))</f>
        <v/>
      </c>
      <c r="BH311" s="74" t="str">
        <f aca="false">IF(ISBLANK($C311),"",IF($AC311=Constants!$B$2,TRUE(),IF($AC311=Constants!$B$3,FALSE(),TRUE())))</f>
        <v/>
      </c>
      <c r="BI311" s="74" t="str">
        <f aca="false">IF(ISBLANK($C311),"",IF($AD311=Constants!$B$2,TRUE(),IF($AD311=Constants!$B$3,FALSE(),TRUE())))</f>
        <v/>
      </c>
      <c r="BJ311" s="74" t="str">
        <f aca="false">IF(ISBLANK($C311),"",IF(ISNUMBER($AE311),IF($AE311&gt;=0,$AE311,""),""))</f>
        <v/>
      </c>
      <c r="BK311" s="74" t="str">
        <f aca="false">IF(ISBLANK($C311),"",IF($AF311=Constants!$B$2,TRUE(),IF($AF311=Constants!$B$3,FALSE(),FALSE())))</f>
        <v/>
      </c>
      <c r="BL311" s="73" t="str">
        <f aca="false">IF(ISBLANK($C311),"",IF($BK311,Constants!$B$7,IF(COUNTA($E311:$AE311)=0,Constants!$B$6,IF(OR(COUNTA($G311:$AE311)=0,NOT($AM311),$AS311),Constants!$B$5,IF(OR($CM311&lt;&gt;"",$CN311,$CO311,$CP311,$CQ311,$CR311,$CS311),Constants!$B$8,Constants!$B$4)))))</f>
        <v/>
      </c>
      <c r="BM311" s="74" t="str">
        <f aca="false">IF(ISBLANK($C311),"",IF($BL311&lt;&gt;Constants!$B$4,$BL311,IF(OR(NOT($AJ311),NOT($AL311),NOT($AT311)),Constants!$B$11,IF(OR(NOT($AR311),NOT($AU311),NOT($BI311),MAX($AN311,$AO311,$AP311)&gt;Constants!$B$30),Constants!$B$10,Constants!$B$9))))</f>
        <v/>
      </c>
      <c r="BN311" s="74" t="str">
        <f aca="false">IF($BL311&lt;&gt;Constants!$B$4,"",IF(NOT($AL311),0,MIN(Constants!$B$35,$BF311)))</f>
        <v/>
      </c>
      <c r="BO311" s="74" t="str">
        <f aca="false">IF($BL311&lt;&gt;Constants!$B$4,"",IF(NOT($AL311),0,IF($AW311,Constants!$B$18,IF($AV311,Constants!$B$17,0))))</f>
        <v/>
      </c>
      <c r="BP311" s="74" t="str">
        <f aca="false">IF($BL311&lt;&gt;Constants!$B$4,"",IF(NOT($AL311),0,Constants!$B$19*($AK311+$AX311+$AY311+$AZ311)))</f>
        <v/>
      </c>
      <c r="BQ311" s="74" t="str">
        <f aca="false">IF($BL311&lt;&gt;Constants!$B$4,"",IF(OR(NOT($AL311),NOT(ISNUMBER($BA311))),0,CHOOSE($BA311,Constants!$B$13,Constants!$B$14,Constants!$B$15,Constants!$B$16)))</f>
        <v/>
      </c>
      <c r="BR311" s="74" t="str">
        <f aca="false">IF($BL311&lt;&gt;Constants!$B$4,"",IF(NOT($AL311),0,Constants!$B$20*$BB311))</f>
        <v/>
      </c>
      <c r="BS311" s="74" t="str">
        <f aca="false">IF($BL311&lt;&gt;Constants!$B$4,"",IF(AND($AL311,$BD311,$BE311),Constants!$B$22,0))</f>
        <v/>
      </c>
      <c r="BT311" s="74" t="str">
        <f aca="false">IF($BL311&lt;&gt;Constants!$B$4,"",IF(OR(NOT($AL311),NOT($BD311)),0,IF($BJ311&gt;=2*$AH$9,0,Constants!$B$23*INT(ROUND(MIN($BJ311,$AH$9),6)))))</f>
        <v/>
      </c>
      <c r="BU311" s="74" t="str">
        <f aca="false">IF($BL311&lt;&gt;Constants!$B$4,"",IF(NOT($AL311),0,Constants!$B$24*INT(ROUND(MIN($BC311,$AH$9),6))))</f>
        <v/>
      </c>
      <c r="BV311" s="74" t="str">
        <f aca="false">IF($BL311&lt;&gt;Constants!$B$4,"",IF(AND($AL311,$BN311=0),Constants!$B$25,0))</f>
        <v/>
      </c>
      <c r="BW311" s="74" t="str">
        <f aca="false">IF($BL311&lt;&gt;Constants!$B$4,"",MIN(Constants!$B$29,MAX(0,Constants!$B$27*Constants!$B$28*INT(ROUND((Constants!$B$26-$AN311)/Constants!$B$28,6))))+MIN(Constants!$B$29,MAX(0,Constants!$B$27*Constants!$B$28*INT(ROUND((Constants!$B$26-$AO311)/Constants!$B$28,6))))+MIN(Constants!$B$29,MAX(0,Constants!$B$27*Constants!$B$28*INT(ROUND((Constants!$B$26-$AP311)/Constants!$B$28,6)))))</f>
        <v/>
      </c>
      <c r="BX311" s="74" t="str">
        <f aca="false">IF($BL311&lt;&gt;Constants!$B$4,"",IF(NOT($AL311),0,Constants!$B$31*INT(ROUND(MAX(0,MIN($BJ311,2*$AH$9)-$AH$9),6))))</f>
        <v/>
      </c>
      <c r="BY311" s="74" t="str">
        <f aca="false">IF($BL311&lt;&gt;Constants!$B$4,"",Constants!$B$32*(($AN311&gt;Constants!$B$26)+($AO311&gt;Constants!$B$26)+($AP311&gt;Constants!$B$26)))</f>
        <v/>
      </c>
      <c r="BZ311" s="74" t="str">
        <f aca="false">IF($BL311&lt;&gt;Constants!$B$4,"",IF(OR(NOT($AL311),$AQ311),0,Constants!$B$33))</f>
        <v/>
      </c>
      <c r="CA311" s="74" t="str">
        <f aca="false">IF($BL311&lt;&gt;Constants!$B$4,"",Constants!$B$34*$BN311)</f>
        <v/>
      </c>
      <c r="CB311" s="74" t="str">
        <f aca="false">IF($BL311&lt;&gt;Constants!$B$4,"",IF(OR(NOT($AL311),$BH311),0,Constants!$B$36))</f>
        <v/>
      </c>
      <c r="CC311" s="74" t="str">
        <f aca="false">IF($BL311&lt;&gt;Constants!$B$4,"",IF(OR(NOT($AL311),$BG311),0,Constants!$B$37))</f>
        <v/>
      </c>
      <c r="CD311" s="74" t="str">
        <f aca="false">IF($BL311&lt;&gt;Constants!$B$4,"",SUM($BX311:$CC311))</f>
        <v/>
      </c>
      <c r="CE311" s="74" t="str">
        <f aca="false">IF(ISBLANK($C311),"",IF($BL311&lt;&gt;Constants!$B$4,$BL311,SUM($BO311:$BW311)-$CD311))</f>
        <v/>
      </c>
      <c r="CF311" s="74" t="str">
        <f aca="false">IF(ISBLANK($C311),"",IF($BL311&lt;&gt;Constants!$B$4,$BL311,RANK($CE311,$CE$9:$CE$508)))</f>
        <v/>
      </c>
      <c r="CG311" s="74" t="str">
        <f aca="false">IF(ISBLANK($C311),"",IF($BL311&lt;&gt;Constants!$B$4,$BL311,COUNTIFS($BM$9:$BM$508,"&lt;"&amp;$BM311)+COUNTIFS($BM$9:$BM$508,$BM311,$CF$9:$CF$508,"&lt;"&amp;$CF311)+1))</f>
        <v/>
      </c>
      <c r="CH311" s="74" t="str">
        <f aca="false">IF(ISBLANK($C311),"",IF($BL311&lt;&gt;Constants!$B$4,$BL311,RANK($CD311,$CD$9:$CD$508,1)))</f>
        <v/>
      </c>
      <c r="CI311" s="74" t="str">
        <f aca="false">IF($BL311&lt;&gt;Constants!$B$4,"",$AN311+$AO311+$AP311)</f>
        <v/>
      </c>
      <c r="CJ311" s="74" t="str">
        <f aca="false">IF(ISBLANK($C311),"",IF($BL311&lt;&gt;Constants!$B$4,$BL311,RANK($CI311,$CI$9:$CI$508,1)))</f>
        <v/>
      </c>
      <c r="CK311" s="74" t="str">
        <f aca="false">IF(ISBLANK($C311),"",IF($BL311&lt;&gt;Constants!$B$4,$BL311,COUNTIFS($BM$9:$BM$508,"&lt;"&amp;$BM311)+COUNTIFS($BM$9:$BM$508,$BM311,$CF$9:$CF$508,"&lt;"&amp;$CF311)+COUNTIFS($BM$9:$BM$508,$BM311,$CF$9:$CF$508,$CF311,$CH$9:$CH$508,"&lt;"&amp;$CH311)+COUNTIFS($BM$9:$BM$508,$BM311,$CF$9:$CF$508,$CF311,$CH$9:$CH$508,$CH311,$CJ$9:$CJ$508,"&lt;"&amp;$CJ311)+1))</f>
        <v/>
      </c>
      <c r="CL311" s="74" t="str">
        <f aca="false">IF(ISBLANK($C311),"",IF($BL311&lt;&gt;Constants!$B$4,$BL311,$CG311-$CK311))</f>
        <v/>
      </c>
      <c r="CM311" s="74" t="str">
        <f aca="false">IF(ISBLANK($C311),"",IF(NOT($AL311),"",IF(ISBLANK($D$7),$CM$5,IF(NOT(ISNUMBER($D$7)),$CM$6,""))))</f>
        <v/>
      </c>
      <c r="CN311" s="74" t="str">
        <f aca="false">IF(ISBLANK($C311),"",OR($AN311="",$AO311="",$AP311=""))</f>
        <v/>
      </c>
      <c r="CO311" s="74" t="str">
        <f aca="false">IF(ISBLANK($C311),"",AND($AL311,$BA311=""))</f>
        <v/>
      </c>
      <c r="CP311" s="74" t="str">
        <f aca="false">IF(ISBLANK($C311),"",AND($AL311,$BB311=""))</f>
        <v/>
      </c>
      <c r="CQ311" s="74" t="str">
        <f aca="false">IF(ISBLANK($C311),"",AND($AL311,$BC311=""))</f>
        <v/>
      </c>
      <c r="CR311" s="74" t="str">
        <f aca="false">IF(ISBLANK($C311),"",AND($AL311,$BF311=""))</f>
        <v/>
      </c>
      <c r="CS311" s="74" t="str">
        <f aca="false">IF(ISBLANK($C311),"",AND($AL311,$BJ311=""))</f>
        <v/>
      </c>
      <c r="CT311" s="75"/>
      <c r="CU311" s="76"/>
      <c r="CV311" s="79" t="str">
        <f aca="false">IF(ISBLANK($C311),"",IF($BL311=Constants!$B$8,$CM311,""))</f>
        <v/>
      </c>
      <c r="CW311" s="76" t="str">
        <f aca="false">IF(ISBLANK($C311),"",IF($BL311&lt;&gt;Constants!$B$4,"",$BO311+$BP311))</f>
        <v/>
      </c>
      <c r="CX311" s="78" t="str">
        <f aca="false">IF(ISBLANK($C311),"",IF($BL311&lt;&gt;Constants!$B$4,"",$BQ311+$BR311+$BS311))</f>
        <v/>
      </c>
      <c r="CY311" s="78" t="str">
        <f aca="false">IF(ISBLANK($C311),"",IF($BL311&lt;&gt;Constants!$B$4,"",$BT311))</f>
        <v/>
      </c>
      <c r="CZ311" s="78" t="str">
        <f aca="false">IF(ISBLANK($C311),"",IF($BL311&lt;&gt;Constants!$B$4,"",$BU311+$BV311))</f>
        <v/>
      </c>
      <c r="DA311" s="78" t="str">
        <f aca="false">IF(ISBLANK($C311),"",IF($BL311&lt;&gt;Constants!$B$4,"",$BW311))</f>
        <v/>
      </c>
      <c r="DB311" s="78" t="str">
        <f aca="false">IF(ISBLANK($C311),"",IF($BL311&lt;&gt;Constants!$B$4,"",-$CD311))</f>
        <v/>
      </c>
      <c r="DC311" s="79" t="str">
        <f aca="false">IF(ISBLANK($C311),"",$CE311)</f>
        <v/>
      </c>
      <c r="DD311" s="80" t="str">
        <f aca="false">IF(ISBLANK($C311),"",$BM311)</f>
        <v/>
      </c>
      <c r="DE311" s="78" t="str">
        <f aca="false">IF(ISBLANK($C311),"",$CL311)</f>
        <v/>
      </c>
      <c r="DF311" s="78" t="str">
        <f aca="false">IF(ISBLANK($C311),"",$CK311)</f>
        <v/>
      </c>
      <c r="DG311" s="81" t="str">
        <f aca="false">IF(ISBLANK($C311),"",IF($DF311=Constants!$B$7,COUNTA($C$9:$C$508)+2,IF($DF311=Constants!$B$6,COUNTA($C$9:$C$508)+1,IF($DF311=Constants!$B$5,COUNTA($C$9:$C$508),$DF311))))</f>
        <v/>
      </c>
      <c r="DH311" s="7"/>
      <c r="DI311" s="82" t="n">
        <f aca="false">IF(OR(ISNUMBER($DF311),$DF311=Constants!$B$7,$DF311=Constants!$B$5,$DF311=Constants!$B$6),1,0)</f>
        <v>0</v>
      </c>
      <c r="DJ311" s="82" t="n">
        <v>303</v>
      </c>
      <c r="DK311" s="82" t="str">
        <f aca="false">IF(ISBLANK($C311),"",IF(ISNUMBER($DG311),$DG311+ROW($B311)/1000,""))</f>
        <v/>
      </c>
      <c r="DL311" s="82" t="str">
        <f aca="false">IF(ISNUMBER($DK311),RANK($DK311,$DK$9:$DK$508,1),"")</f>
        <v/>
      </c>
      <c r="DM311" s="82" t="str">
        <f aca="false">IF(ISBLANK($C311),"",$B311)</f>
        <v/>
      </c>
      <c r="DN311" s="82" t="str">
        <f aca="false">IF(ISBLANK($C311),"",$C311)</f>
        <v/>
      </c>
      <c r="DO311" s="82" t="str">
        <f aca="false">IF(ISBLANK($C311),"",$D311)</f>
        <v/>
      </c>
      <c r="DP311" s="83" t="str">
        <f aca="false">$DD311</f>
        <v/>
      </c>
      <c r="DQ311" s="84" t="str">
        <f aca="false">$DC311</f>
        <v/>
      </c>
      <c r="DR311" s="82" t="str">
        <f aca="false">IF(ISBLANK($C311),"",$DF311)</f>
        <v/>
      </c>
      <c r="DS311" s="85" t="str">
        <f aca="false">IF($DJ311&gt;$DI$8,"",VLOOKUP($DJ311,$DL$9:$DR$508,7,FALSE()))</f>
        <v/>
      </c>
      <c r="DT311" s="86" t="str">
        <f aca="false">IF($DJ311&gt;$DI$8,"",VLOOKUP($DJ311,$DL$9:$DR$508,2,FALSE()))</f>
        <v/>
      </c>
      <c r="DU311" s="86" t="str">
        <f aca="false">IF($DJ311&gt;$DI$8,"",VLOOKUP($DJ311,$DL$9:$DR$508,3,FALSE()))</f>
        <v/>
      </c>
      <c r="DV311" s="86" t="str">
        <f aca="false">IF($DJ311&gt;$DI$8,"",VLOOKUP($DJ311,$DL$9:$DR$508,4,FALSE()))</f>
        <v/>
      </c>
      <c r="DW311" s="86" t="str">
        <f aca="false">IF($DJ311&gt;$DI$8,"",VLOOKUP($DJ311,$DL$9:$DR$508,5,FALSE()))</f>
        <v/>
      </c>
      <c r="DX311" s="87" t="str">
        <f aca="false">IF($DJ311&gt;$DI$8,"",VLOOKUP($DJ311,$DL$9:$DR$508,6,FALSE()))</f>
        <v/>
      </c>
      <c r="DY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130"/>
      <c r="N312" s="130"/>
      <c r="O312" s="135"/>
      <c r="P312" s="135"/>
      <c r="Q312" s="130"/>
      <c r="R312" s="130"/>
      <c r="S312" s="130"/>
      <c r="T312" s="130"/>
      <c r="U312" s="135"/>
      <c r="V312" s="130"/>
      <c r="W312" s="96"/>
      <c r="X312" s="130"/>
      <c r="Y312" s="130"/>
      <c r="Z312" s="96"/>
      <c r="AA312" s="96"/>
      <c r="AB312" s="130"/>
      <c r="AC312" s="130"/>
      <c r="AD312" s="130"/>
      <c r="AE312" s="97"/>
      <c r="AF312" s="130"/>
      <c r="AG312" s="99"/>
      <c r="AH312" s="100"/>
      <c r="AI312" s="100"/>
      <c r="AJ312" s="100" t="str">
        <f aca="false">IF(ISBLANK($C312),"",IF($E312=Constants!$B$2,TRUE(),IF($E312=Constants!$B$3,FALSE(),TRUE())))</f>
        <v/>
      </c>
      <c r="AK312" s="100" t="str">
        <f aca="false">IF(ISBLANK($C312),"",IF($F312=Constants!$B$2,TRUE(),IF($F312=Constants!$B$3,FALSE(),FALSE())))</f>
        <v/>
      </c>
      <c r="AL312" s="100" t="str">
        <f aca="false">IF(ISBLANK($C312),"",IF($G312=Constants!$B$2,TRUE(),IF($G312=Constants!$B$3,FALSE(),TRUE())))</f>
        <v/>
      </c>
      <c r="AM312" s="100" t="str">
        <f aca="false">IF(ISBLANK($C312),"",IF($H312=Constants!$B$2,TRUE(),IF($H312=Constants!$B$3,FALSE(),TRUE())))</f>
        <v/>
      </c>
      <c r="AN312" s="100" t="str">
        <f aca="false">IF(ISBLANK($C312),"",IF(ISNUMBER($I312),IF($I312&gt;=0,$I312,""),""))</f>
        <v/>
      </c>
      <c r="AO312" s="100" t="str">
        <f aca="false">IF(ISBLANK($C312),"",IF(ISNUMBER($J312),IF($J312&gt;=0,$J312,""),""))</f>
        <v/>
      </c>
      <c r="AP312" s="100" t="str">
        <f aca="false">IF(ISBLANK($C312),"",IF(ISNUMBER($K312),IF($K312&gt;=0,$K312,""),""))</f>
        <v/>
      </c>
      <c r="AQ312" s="100" t="str">
        <f aca="false">IF(ISBLANK($C312),"",IF($L312=Constants!$B$2,TRUE(),IF($L312=Constants!$B$3,FALSE(),TRUE())))</f>
        <v/>
      </c>
      <c r="AR312" s="100" t="str">
        <f aca="false">IF(ISBLANK($C312),"",IF($M312=Constants!$B$2,TRUE(),IF($M312=Constants!$B$3,FALSE(),TRUE())))</f>
        <v/>
      </c>
      <c r="AS312" s="100" t="str">
        <f aca="false">IF(ISBLANK($C312),"",IF($N312=Constants!$B$2,TRUE(),IF($N312=Constants!$B$3,FALSE(),FALSE())))</f>
        <v/>
      </c>
      <c r="AT312" s="100" t="str">
        <f aca="false">IF(ISBLANK($C312),"",IF($O312=Constants!$B$2,TRUE(),IF($O312=Constants!$B$3,FALSE(),TRUE())))</f>
        <v/>
      </c>
      <c r="AU312" s="100" t="str">
        <f aca="false">IF(ISBLANK($C312),"",IF($P312=Constants!$B$2,TRUE(),IF($P312=Constants!$B$3,FALSE(),TRUE())))</f>
        <v/>
      </c>
      <c r="AV312" s="100" t="str">
        <f aca="false">IF(ISBLANK($C312),"",IF($Q312=Constants!$B$2,TRUE(),IF($Q312=Constants!$B$3,FALSE(),FALSE())))</f>
        <v/>
      </c>
      <c r="AW312" s="100" t="str">
        <f aca="false">IF(ISBLANK($C312),"",IF($R312=Constants!$B$2,TRUE(),IF($R312=Constants!$B$3,FALSE(),FALSE())))</f>
        <v/>
      </c>
      <c r="AX312" s="100" t="str">
        <f aca="false">IF(ISBLANK($C312),"",IF($S312=Constants!$B$2,TRUE(),IF($S312=Constants!$B$3,FALSE(),FALSE())))</f>
        <v/>
      </c>
      <c r="AY312" s="100" t="str">
        <f aca="false">IF(ISBLANK($C312),"",IF($T312=Constants!$B$2,TRUE(),IF($T312=Constants!$B$3,FALSE(),FALSE())))</f>
        <v/>
      </c>
      <c r="AZ312" s="100" t="str">
        <f aca="false">IF(ISBLANK($C312),"",IF($U312=Constants!$B$2,TRUE(),IF($U312=Constants!$B$3,FALSE(),FALSE())))</f>
        <v/>
      </c>
      <c r="BA312" s="100" t="str">
        <f aca="false">IF(ISBLANK($C312),"",IF(OR($V312&amp;""="1",$V312&amp;""="2",$V312&amp;""="3",$V312&amp;""="4"),VALUE($V312&amp;""),IF($V312=Constants!$B$12,Constants!$B$12,"")))</f>
        <v/>
      </c>
      <c r="BB312" s="100" t="str">
        <f aca="false">IF(ISBLANK($C312),"",IF(ISBLANK($W312),0,IF(ISNUMBER($W312),IF(AND($W312&gt;=0,$W312&lt;=Constants!$B$21,$W312=INT($W312)),$W312,""),"")))</f>
        <v/>
      </c>
      <c r="BC312" s="100" t="str">
        <f aca="false">IF(ISBLANK($C312),"",IF(ISBLANK($X312),0,IF(ISNUMBER($X312),IF($X312&gt;=0,$X312,""),"")))</f>
        <v/>
      </c>
      <c r="BD312" s="100" t="str">
        <f aca="false">IF(ISBLANK($C312),"",IF($Y312=Constants!$B$2,TRUE(),IF($Y312=Constants!$B$3,FALSE(),TRUE())))</f>
        <v/>
      </c>
      <c r="BE312" s="100" t="str">
        <f aca="false">IF(ISBLANK($C312),"",IF($Z312=Constants!$B$2,TRUE(),IF($Z312=Constants!$B$3,FALSE(),FALSE())))</f>
        <v/>
      </c>
      <c r="BF312" s="100" t="str">
        <f aca="false">IF(ISBLANK($C312),"",IF(ISBLANK($AA312),0,IF(ISNUMBER($AA312),IF(AND($AA312&gt;=0,$AA312&lt;=Constants!$B$35,$AA312=INT($AA312)),$AA312,""),"")))</f>
        <v/>
      </c>
      <c r="BG312" s="100" t="str">
        <f aca="false">IF(ISBLANK($C312),"",IF($AB312=Constants!$B$2,TRUE(),IF($AB312=Constants!$B$3,FALSE(),TRUE())))</f>
        <v/>
      </c>
      <c r="BH312" s="100" t="str">
        <f aca="false">IF(ISBLANK($C312),"",IF($AC312=Constants!$B$2,TRUE(),IF($AC312=Constants!$B$3,FALSE(),TRUE())))</f>
        <v/>
      </c>
      <c r="BI312" s="100" t="str">
        <f aca="false">IF(ISBLANK($C312),"",IF($AD312=Constants!$B$2,TRUE(),IF($AD312=Constants!$B$3,FALSE(),TRUE())))</f>
        <v/>
      </c>
      <c r="BJ312" s="100" t="str">
        <f aca="false">IF(ISBLANK($C312),"",IF(ISNUMBER($AE312),IF($AE312&gt;=0,$AE312,""),""))</f>
        <v/>
      </c>
      <c r="BK312" s="100" t="str">
        <f aca="false">IF(ISBLANK($C312),"",IF($AF312=Constants!$B$2,TRUE(),IF($AF312=Constants!$B$3,FALSE(),FALSE())))</f>
        <v/>
      </c>
      <c r="BL312" s="99" t="str">
        <f aca="false">IF(ISBLANK($C312),"",IF($BK312,Constants!$B$7,IF(COUNTA($E312:$AE312)=0,Constants!$B$6,IF(OR(COUNTA($G312:$AE312)=0,NOT($AM312),$AS312),Constants!$B$5,IF(OR($CM312&lt;&gt;"",$CN312,$CO312,$CP312,$CQ312,$CR312,$CS312),Constants!$B$8,Constants!$B$4)))))</f>
        <v/>
      </c>
      <c r="BM312" s="100" t="str">
        <f aca="false">IF(ISBLANK($C312),"",IF($BL312&lt;&gt;Constants!$B$4,$BL312,IF(OR(NOT($AJ312),NOT($AL312),NOT($AT312)),Constants!$B$11,IF(OR(NOT($AR312),NOT($AU312),NOT($BI312),MAX($AN312,$AO312,$AP312)&gt;Constants!$B$30),Constants!$B$10,Constants!$B$9))))</f>
        <v/>
      </c>
      <c r="BN312" s="100" t="str">
        <f aca="false">IF($BL312&lt;&gt;Constants!$B$4,"",IF(NOT($AL312),0,MIN(Constants!$B$35,$BF312)))</f>
        <v/>
      </c>
      <c r="BO312" s="100" t="str">
        <f aca="false">IF($BL312&lt;&gt;Constants!$B$4,"",IF(NOT($AL312),0,IF($AW312,Constants!$B$18,IF($AV312,Constants!$B$17,0))))</f>
        <v/>
      </c>
      <c r="BP312" s="100" t="str">
        <f aca="false">IF($BL312&lt;&gt;Constants!$B$4,"",IF(NOT($AL312),0,Constants!$B$19*($AK312+$AX312+$AY312+$AZ312)))</f>
        <v/>
      </c>
      <c r="BQ312" s="100" t="str">
        <f aca="false">IF($BL312&lt;&gt;Constants!$B$4,"",IF(OR(NOT($AL312),NOT(ISNUMBER($BA312))),0,CHOOSE($BA312,Constants!$B$13,Constants!$B$14,Constants!$B$15,Constants!$B$16)))</f>
        <v/>
      </c>
      <c r="BR312" s="100" t="str">
        <f aca="false">IF($BL312&lt;&gt;Constants!$B$4,"",IF(NOT($AL312),0,Constants!$B$20*$BB312))</f>
        <v/>
      </c>
      <c r="BS312" s="100" t="str">
        <f aca="false">IF($BL312&lt;&gt;Constants!$B$4,"",IF(AND($AL312,$BD312,$BE312),Constants!$B$22,0))</f>
        <v/>
      </c>
      <c r="BT312" s="100" t="str">
        <f aca="false">IF($BL312&lt;&gt;Constants!$B$4,"",IF(OR(NOT($AL312),NOT($BD312)),0,IF($BJ312&gt;=2*$AH$9,0,Constants!$B$23*INT(ROUND(MIN($BJ312,$AH$9),6)))))</f>
        <v/>
      </c>
      <c r="BU312" s="100" t="str">
        <f aca="false">IF($BL312&lt;&gt;Constants!$B$4,"",IF(NOT($AL312),0,Constants!$B$24*INT(ROUND(MIN($BC312,$AH$9),6))))</f>
        <v/>
      </c>
      <c r="BV312" s="100" t="str">
        <f aca="false">IF($BL312&lt;&gt;Constants!$B$4,"",IF(AND($AL312,$BN312=0),Constants!$B$25,0))</f>
        <v/>
      </c>
      <c r="BW312" s="100" t="str">
        <f aca="false">IF($BL312&lt;&gt;Constants!$B$4,"",MIN(Constants!$B$29,MAX(0,Constants!$B$27*Constants!$B$28*INT(ROUND((Constants!$B$26-$AN312)/Constants!$B$28,6))))+MIN(Constants!$B$29,MAX(0,Constants!$B$27*Constants!$B$28*INT(ROUND((Constants!$B$26-$AO312)/Constants!$B$28,6))))+MIN(Constants!$B$29,MAX(0,Constants!$B$27*Constants!$B$28*INT(ROUND((Constants!$B$26-$AP312)/Constants!$B$28,6)))))</f>
        <v/>
      </c>
      <c r="BX312" s="100" t="str">
        <f aca="false">IF($BL312&lt;&gt;Constants!$B$4,"",IF(NOT($AL312),0,Constants!$B$31*INT(ROUND(MAX(0,MIN($BJ312,2*$AH$9)-$AH$9),6))))</f>
        <v/>
      </c>
      <c r="BY312" s="100" t="str">
        <f aca="false">IF($BL312&lt;&gt;Constants!$B$4,"",Constants!$B$32*(($AN312&gt;Constants!$B$26)+($AO312&gt;Constants!$B$26)+($AP312&gt;Constants!$B$26)))</f>
        <v/>
      </c>
      <c r="BZ312" s="100" t="str">
        <f aca="false">IF($BL312&lt;&gt;Constants!$B$4,"",IF(OR(NOT($AL312),$AQ312),0,Constants!$B$33))</f>
        <v/>
      </c>
      <c r="CA312" s="100" t="str">
        <f aca="false">IF($BL312&lt;&gt;Constants!$B$4,"",Constants!$B$34*$BN312)</f>
        <v/>
      </c>
      <c r="CB312" s="100" t="str">
        <f aca="false">IF($BL312&lt;&gt;Constants!$B$4,"",IF(OR(NOT($AL312),$BH312),0,Constants!$B$36))</f>
        <v/>
      </c>
      <c r="CC312" s="100" t="str">
        <f aca="false">IF($BL312&lt;&gt;Constants!$B$4,"",IF(OR(NOT($AL312),$BG312),0,Constants!$B$37))</f>
        <v/>
      </c>
      <c r="CD312" s="100" t="str">
        <f aca="false">IF($BL312&lt;&gt;Constants!$B$4,"",SUM($BX312:$CC312))</f>
        <v/>
      </c>
      <c r="CE312" s="100" t="str">
        <f aca="false">IF(ISBLANK($C312),"",IF($BL312&lt;&gt;Constants!$B$4,$BL312,SUM($BO312:$BW312)-$CD312))</f>
        <v/>
      </c>
      <c r="CF312" s="100" t="str">
        <f aca="false">IF(ISBLANK($C312),"",IF($BL312&lt;&gt;Constants!$B$4,$BL312,RANK($CE312,$CE$9:$CE$508)))</f>
        <v/>
      </c>
      <c r="CG312" s="100" t="str">
        <f aca="false">IF(ISBLANK($C312),"",IF($BL312&lt;&gt;Constants!$B$4,$BL312,COUNTIFS($BM$9:$BM$508,"&lt;"&amp;$BM312)+COUNTIFS($BM$9:$BM$508,$BM312,$CF$9:$CF$508,"&lt;"&amp;$CF312)+1))</f>
        <v/>
      </c>
      <c r="CH312" s="100" t="str">
        <f aca="false">IF(ISBLANK($C312),"",IF($BL312&lt;&gt;Constants!$B$4,$BL312,RANK($CD312,$CD$9:$CD$508,1)))</f>
        <v/>
      </c>
      <c r="CI312" s="100" t="str">
        <f aca="false">IF($BL312&lt;&gt;Constants!$B$4,"",$AN312+$AO312+$AP312)</f>
        <v/>
      </c>
      <c r="CJ312" s="100" t="str">
        <f aca="false">IF(ISBLANK($C312),"",IF($BL312&lt;&gt;Constants!$B$4,$BL312,RANK($CI312,$CI$9:$CI$508,1)))</f>
        <v/>
      </c>
      <c r="CK312" s="100" t="str">
        <f aca="false">IF(ISBLANK($C312),"",IF($BL312&lt;&gt;Constants!$B$4,$BL312,COUNTIFS($BM$9:$BM$508,"&lt;"&amp;$BM312)+COUNTIFS($BM$9:$BM$508,$BM312,$CF$9:$CF$508,"&lt;"&amp;$CF312)+COUNTIFS($BM$9:$BM$508,$BM312,$CF$9:$CF$508,$CF312,$CH$9:$CH$508,"&lt;"&amp;$CH312)+COUNTIFS($BM$9:$BM$508,$BM312,$CF$9:$CF$508,$CF312,$CH$9:$CH$508,$CH312,$CJ$9:$CJ$508,"&lt;"&amp;$CJ312)+1))</f>
        <v/>
      </c>
      <c r="CL312" s="100" t="str">
        <f aca="false">IF(ISBLANK($C312),"",IF($BL312&lt;&gt;Constants!$B$4,$BL312,$CG312-$CK312))</f>
        <v/>
      </c>
      <c r="CM312" s="100" t="str">
        <f aca="false">IF(ISBLANK($C312),"",IF(NOT($AL312),"",IF(ISBLANK($D$7),$CM$5,IF(NOT(ISNUMBER($D$7)),$CM$6,""))))</f>
        <v/>
      </c>
      <c r="CN312" s="100" t="str">
        <f aca="false">IF(ISBLANK($C312),"",OR($AN312="",$AO312="",$AP312=""))</f>
        <v/>
      </c>
      <c r="CO312" s="100" t="str">
        <f aca="false">IF(ISBLANK($C312),"",AND($AL312,$BA312=""))</f>
        <v/>
      </c>
      <c r="CP312" s="100" t="str">
        <f aca="false">IF(ISBLANK($C312),"",AND($AL312,$BB312=""))</f>
        <v/>
      </c>
      <c r="CQ312" s="100" t="str">
        <f aca="false">IF(ISBLANK($C312),"",AND($AL312,$BC312=""))</f>
        <v/>
      </c>
      <c r="CR312" s="100" t="str">
        <f aca="false">IF(ISBLANK($C312),"",AND($AL312,$BF312=""))</f>
        <v/>
      </c>
      <c r="CS312" s="100" t="str">
        <f aca="false">IF(ISBLANK($C312),"",AND($AL312,$BJ312=""))</f>
        <v/>
      </c>
      <c r="CT312" s="101"/>
      <c r="CU312" s="102"/>
      <c r="CV312" s="103" t="str">
        <f aca="false">IF(ISBLANK($C312),"",IF($BL312=Constants!$B$8,$CM312,""))</f>
        <v/>
      </c>
      <c r="CW312" s="102" t="str">
        <f aca="false">IF(ISBLANK($C312),"",IF($BL312&lt;&gt;Constants!$B$4,"",$BO312+$BP312))</f>
        <v/>
      </c>
      <c r="CX312" s="104" t="str">
        <f aca="false">IF(ISBLANK($C312),"",IF($BL312&lt;&gt;Constants!$B$4,"",$BQ312+$BR312+$BS312))</f>
        <v/>
      </c>
      <c r="CY312" s="104" t="str">
        <f aca="false">IF(ISBLANK($C312),"",IF($BL312&lt;&gt;Constants!$B$4,"",$BT312))</f>
        <v/>
      </c>
      <c r="CZ312" s="104" t="str">
        <f aca="false">IF(ISBLANK($C312),"",IF($BL312&lt;&gt;Constants!$B$4,"",$BU312+$BV312))</f>
        <v/>
      </c>
      <c r="DA312" s="104" t="str">
        <f aca="false">IF(ISBLANK($C312),"",IF($BL312&lt;&gt;Constants!$B$4,"",$BW312))</f>
        <v/>
      </c>
      <c r="DB312" s="104" t="str">
        <f aca="false">IF(ISBLANK($C312),"",IF($BL312&lt;&gt;Constants!$B$4,"",-$CD312))</f>
        <v/>
      </c>
      <c r="DC312" s="103" t="str">
        <f aca="false">IF(ISBLANK($C312),"",$CE312)</f>
        <v/>
      </c>
      <c r="DD312" s="105" t="str">
        <f aca="false">IF(ISBLANK($C312),"",$BM312)</f>
        <v/>
      </c>
      <c r="DE312" s="104" t="str">
        <f aca="false">IF(ISBLANK($C312),"",$CL312)</f>
        <v/>
      </c>
      <c r="DF312" s="104" t="str">
        <f aca="false">IF(ISBLANK($C312),"",$CK312)</f>
        <v/>
      </c>
      <c r="DG312" s="106" t="str">
        <f aca="false">IF(ISBLANK($C312),"",IF($DF312=Constants!$B$7,COUNTA($C$9:$C$508)+2,IF($DF312=Constants!$B$6,COUNTA($C$9:$C$508)+1,IF($DF312=Constants!$B$5,COUNTA($C$9:$C$508),$DF312))))</f>
        <v/>
      </c>
      <c r="DH312" s="7"/>
      <c r="DI312" s="107" t="n">
        <f aca="false">IF(OR(ISNUMBER($DF312),$DF312=Constants!$B$7,$DF312=Constants!$B$5,$DF312=Constants!$B$6),1,0)</f>
        <v>0</v>
      </c>
      <c r="DJ312" s="107" t="n">
        <v>304</v>
      </c>
      <c r="DK312" s="107" t="str">
        <f aca="false">IF(ISBLANK($C312),"",IF(ISNUMBER($DG312),$DG312+ROW($B312)/1000,""))</f>
        <v/>
      </c>
      <c r="DL312" s="107" t="str">
        <f aca="false">IF(ISNUMBER($DK312),RANK($DK312,$DK$9:$DK$508,1),"")</f>
        <v/>
      </c>
      <c r="DM312" s="107" t="str">
        <f aca="false">IF(ISBLANK($C312),"",$B312)</f>
        <v/>
      </c>
      <c r="DN312" s="107" t="str">
        <f aca="false">IF(ISBLANK($C312),"",$C312)</f>
        <v/>
      </c>
      <c r="DO312" s="107" t="str">
        <f aca="false">IF(ISBLANK($C312),"",$D312)</f>
        <v/>
      </c>
      <c r="DP312" s="108" t="str">
        <f aca="false">$DD312</f>
        <v/>
      </c>
      <c r="DQ312" s="109" t="str">
        <f aca="false">$DC312</f>
        <v/>
      </c>
      <c r="DR312" s="107" t="str">
        <f aca="false">IF(ISBLANK($C312),"",$DF312)</f>
        <v/>
      </c>
      <c r="DS312" s="110" t="str">
        <f aca="false">IF($DJ312&gt;$DI$8,"",VLOOKUP($DJ312,$DL$9:$DR$508,7,FALSE()))</f>
        <v/>
      </c>
      <c r="DT312" s="111" t="str">
        <f aca="false">IF($DJ312&gt;$DI$8,"",VLOOKUP($DJ312,$DL$9:$DR$508,2,FALSE()))</f>
        <v/>
      </c>
      <c r="DU312" s="111" t="str">
        <f aca="false">IF($DJ312&gt;$DI$8,"",VLOOKUP($DJ312,$DL$9:$DR$508,3,FALSE()))</f>
        <v/>
      </c>
      <c r="DV312" s="111" t="str">
        <f aca="false">IF($DJ312&gt;$DI$8,"",VLOOKUP($DJ312,$DL$9:$DR$508,4,FALSE()))</f>
        <v/>
      </c>
      <c r="DW312" s="111" t="str">
        <f aca="false">IF($DJ312&gt;$DI$8,"",VLOOKUP($DJ312,$DL$9:$DR$508,5,FALSE()))</f>
        <v/>
      </c>
      <c r="DX312" s="112" t="str">
        <f aca="false">IF($DJ312&gt;$DI$8,"",VLOOKUP($DJ312,$DL$9:$DR$508,6,FALSE()))</f>
        <v/>
      </c>
      <c r="DY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130"/>
      <c r="N313" s="130"/>
      <c r="O313" s="135"/>
      <c r="P313" s="135"/>
      <c r="Q313" s="130"/>
      <c r="R313" s="130"/>
      <c r="S313" s="130"/>
      <c r="T313" s="130"/>
      <c r="U313" s="135"/>
      <c r="V313" s="130"/>
      <c r="W313" s="96"/>
      <c r="X313" s="130"/>
      <c r="Y313" s="130"/>
      <c r="Z313" s="96"/>
      <c r="AA313" s="96"/>
      <c r="AB313" s="130"/>
      <c r="AC313" s="130"/>
      <c r="AD313" s="130"/>
      <c r="AE313" s="97"/>
      <c r="AF313" s="130"/>
      <c r="AG313" s="99"/>
      <c r="AH313" s="100"/>
      <c r="AI313" s="100"/>
      <c r="AJ313" s="100" t="str">
        <f aca="false">IF(ISBLANK($C313),"",IF($E313=Constants!$B$2,TRUE(),IF($E313=Constants!$B$3,FALSE(),TRUE())))</f>
        <v/>
      </c>
      <c r="AK313" s="100" t="str">
        <f aca="false">IF(ISBLANK($C313),"",IF($F313=Constants!$B$2,TRUE(),IF($F313=Constants!$B$3,FALSE(),FALSE())))</f>
        <v/>
      </c>
      <c r="AL313" s="100" t="str">
        <f aca="false">IF(ISBLANK($C313),"",IF($G313=Constants!$B$2,TRUE(),IF($G313=Constants!$B$3,FALSE(),TRUE())))</f>
        <v/>
      </c>
      <c r="AM313" s="100" t="str">
        <f aca="false">IF(ISBLANK($C313),"",IF($H313=Constants!$B$2,TRUE(),IF($H313=Constants!$B$3,FALSE(),TRUE())))</f>
        <v/>
      </c>
      <c r="AN313" s="100" t="str">
        <f aca="false">IF(ISBLANK($C313),"",IF(ISNUMBER($I313),IF($I313&gt;=0,$I313,""),""))</f>
        <v/>
      </c>
      <c r="AO313" s="100" t="str">
        <f aca="false">IF(ISBLANK($C313),"",IF(ISNUMBER($J313),IF($J313&gt;=0,$J313,""),""))</f>
        <v/>
      </c>
      <c r="AP313" s="100" t="str">
        <f aca="false">IF(ISBLANK($C313),"",IF(ISNUMBER($K313),IF($K313&gt;=0,$K313,""),""))</f>
        <v/>
      </c>
      <c r="AQ313" s="100" t="str">
        <f aca="false">IF(ISBLANK($C313),"",IF($L313=Constants!$B$2,TRUE(),IF($L313=Constants!$B$3,FALSE(),TRUE())))</f>
        <v/>
      </c>
      <c r="AR313" s="100" t="str">
        <f aca="false">IF(ISBLANK($C313),"",IF($M313=Constants!$B$2,TRUE(),IF($M313=Constants!$B$3,FALSE(),TRUE())))</f>
        <v/>
      </c>
      <c r="AS313" s="100" t="str">
        <f aca="false">IF(ISBLANK($C313),"",IF($N313=Constants!$B$2,TRUE(),IF($N313=Constants!$B$3,FALSE(),FALSE())))</f>
        <v/>
      </c>
      <c r="AT313" s="100" t="str">
        <f aca="false">IF(ISBLANK($C313),"",IF($O313=Constants!$B$2,TRUE(),IF($O313=Constants!$B$3,FALSE(),TRUE())))</f>
        <v/>
      </c>
      <c r="AU313" s="100" t="str">
        <f aca="false">IF(ISBLANK($C313),"",IF($P313=Constants!$B$2,TRUE(),IF($P313=Constants!$B$3,FALSE(),TRUE())))</f>
        <v/>
      </c>
      <c r="AV313" s="100" t="str">
        <f aca="false">IF(ISBLANK($C313),"",IF($Q313=Constants!$B$2,TRUE(),IF($Q313=Constants!$B$3,FALSE(),FALSE())))</f>
        <v/>
      </c>
      <c r="AW313" s="100" t="str">
        <f aca="false">IF(ISBLANK($C313),"",IF($R313=Constants!$B$2,TRUE(),IF($R313=Constants!$B$3,FALSE(),FALSE())))</f>
        <v/>
      </c>
      <c r="AX313" s="100" t="str">
        <f aca="false">IF(ISBLANK($C313),"",IF($S313=Constants!$B$2,TRUE(),IF($S313=Constants!$B$3,FALSE(),FALSE())))</f>
        <v/>
      </c>
      <c r="AY313" s="100" t="str">
        <f aca="false">IF(ISBLANK($C313),"",IF($T313=Constants!$B$2,TRUE(),IF($T313=Constants!$B$3,FALSE(),FALSE())))</f>
        <v/>
      </c>
      <c r="AZ313" s="100" t="str">
        <f aca="false">IF(ISBLANK($C313),"",IF($U313=Constants!$B$2,TRUE(),IF($U313=Constants!$B$3,FALSE(),FALSE())))</f>
        <v/>
      </c>
      <c r="BA313" s="100" t="str">
        <f aca="false">IF(ISBLANK($C313),"",IF(OR($V313&amp;""="1",$V313&amp;""="2",$V313&amp;""="3",$V313&amp;""="4"),VALUE($V313&amp;""),IF($V313=Constants!$B$12,Constants!$B$12,"")))</f>
        <v/>
      </c>
      <c r="BB313" s="100" t="str">
        <f aca="false">IF(ISBLANK($C313),"",IF(ISBLANK($W313),0,IF(ISNUMBER($W313),IF(AND($W313&gt;=0,$W313&lt;=Constants!$B$21,$W313=INT($W313)),$W313,""),"")))</f>
        <v/>
      </c>
      <c r="BC313" s="100" t="str">
        <f aca="false">IF(ISBLANK($C313),"",IF(ISBLANK($X313),0,IF(ISNUMBER($X313),IF($X313&gt;=0,$X313,""),"")))</f>
        <v/>
      </c>
      <c r="BD313" s="100" t="str">
        <f aca="false">IF(ISBLANK($C313),"",IF($Y313=Constants!$B$2,TRUE(),IF($Y313=Constants!$B$3,FALSE(),TRUE())))</f>
        <v/>
      </c>
      <c r="BE313" s="100" t="str">
        <f aca="false">IF(ISBLANK($C313),"",IF($Z313=Constants!$B$2,TRUE(),IF($Z313=Constants!$B$3,FALSE(),FALSE())))</f>
        <v/>
      </c>
      <c r="BF313" s="100" t="str">
        <f aca="false">IF(ISBLANK($C313),"",IF(ISBLANK($AA313),0,IF(ISNUMBER($AA313),IF(AND($AA313&gt;=0,$AA313&lt;=Constants!$B$35,$AA313=INT($AA313)),$AA313,""),"")))</f>
        <v/>
      </c>
      <c r="BG313" s="100" t="str">
        <f aca="false">IF(ISBLANK($C313),"",IF($AB313=Constants!$B$2,TRUE(),IF($AB313=Constants!$B$3,FALSE(),TRUE())))</f>
        <v/>
      </c>
      <c r="BH313" s="100" t="str">
        <f aca="false">IF(ISBLANK($C313),"",IF($AC313=Constants!$B$2,TRUE(),IF($AC313=Constants!$B$3,FALSE(),TRUE())))</f>
        <v/>
      </c>
      <c r="BI313" s="100" t="str">
        <f aca="false">IF(ISBLANK($C313),"",IF($AD313=Constants!$B$2,TRUE(),IF($AD313=Constants!$B$3,FALSE(),TRUE())))</f>
        <v/>
      </c>
      <c r="BJ313" s="100" t="str">
        <f aca="false">IF(ISBLANK($C313),"",IF(ISNUMBER($AE313),IF($AE313&gt;=0,$AE313,""),""))</f>
        <v/>
      </c>
      <c r="BK313" s="100" t="str">
        <f aca="false">IF(ISBLANK($C313),"",IF($AF313=Constants!$B$2,TRUE(),IF($AF313=Constants!$B$3,FALSE(),FALSE())))</f>
        <v/>
      </c>
      <c r="BL313" s="99" t="str">
        <f aca="false">IF(ISBLANK($C313),"",IF($BK313,Constants!$B$7,IF(COUNTA($E313:$AE313)=0,Constants!$B$6,IF(OR(COUNTA($G313:$AE313)=0,NOT($AM313),$AS313),Constants!$B$5,IF(OR($CM313&lt;&gt;"",$CN313,$CO313,$CP313,$CQ313,$CR313,$CS313),Constants!$B$8,Constants!$B$4)))))</f>
        <v/>
      </c>
      <c r="BM313" s="100" t="str">
        <f aca="false">IF(ISBLANK($C313),"",IF($BL313&lt;&gt;Constants!$B$4,$BL313,IF(OR(NOT($AJ313),NOT($AL313),NOT($AT313)),Constants!$B$11,IF(OR(NOT($AR313),NOT($AU313),NOT($BI313),MAX($AN313,$AO313,$AP313)&gt;Constants!$B$30),Constants!$B$10,Constants!$B$9))))</f>
        <v/>
      </c>
      <c r="BN313" s="100" t="str">
        <f aca="false">IF($BL313&lt;&gt;Constants!$B$4,"",IF(NOT($AL313),0,MIN(Constants!$B$35,$BF313)))</f>
        <v/>
      </c>
      <c r="BO313" s="100" t="str">
        <f aca="false">IF($BL313&lt;&gt;Constants!$B$4,"",IF(NOT($AL313),0,IF($AW313,Constants!$B$18,IF($AV313,Constants!$B$17,0))))</f>
        <v/>
      </c>
      <c r="BP313" s="100" t="str">
        <f aca="false">IF($BL313&lt;&gt;Constants!$B$4,"",IF(NOT($AL313),0,Constants!$B$19*($AK313+$AX313+$AY313+$AZ313)))</f>
        <v/>
      </c>
      <c r="BQ313" s="100" t="str">
        <f aca="false">IF($BL313&lt;&gt;Constants!$B$4,"",IF(OR(NOT($AL313),NOT(ISNUMBER($BA313))),0,CHOOSE($BA313,Constants!$B$13,Constants!$B$14,Constants!$B$15,Constants!$B$16)))</f>
        <v/>
      </c>
      <c r="BR313" s="100" t="str">
        <f aca="false">IF($BL313&lt;&gt;Constants!$B$4,"",IF(NOT($AL313),0,Constants!$B$20*$BB313))</f>
        <v/>
      </c>
      <c r="BS313" s="100" t="str">
        <f aca="false">IF($BL313&lt;&gt;Constants!$B$4,"",IF(AND($AL313,$BD313,$BE313),Constants!$B$22,0))</f>
        <v/>
      </c>
      <c r="BT313" s="100" t="str">
        <f aca="false">IF($BL313&lt;&gt;Constants!$B$4,"",IF(OR(NOT($AL313),NOT($BD313)),0,IF($BJ313&gt;=2*$AH$9,0,Constants!$B$23*INT(ROUND(MIN($BJ313,$AH$9),6)))))</f>
        <v/>
      </c>
      <c r="BU313" s="100" t="str">
        <f aca="false">IF($BL313&lt;&gt;Constants!$B$4,"",IF(NOT($AL313),0,Constants!$B$24*INT(ROUND(MIN($BC313,$AH$9),6))))</f>
        <v/>
      </c>
      <c r="BV313" s="100" t="str">
        <f aca="false">IF($BL313&lt;&gt;Constants!$B$4,"",IF(AND($AL313,$BN313=0),Constants!$B$25,0))</f>
        <v/>
      </c>
      <c r="BW313" s="100" t="str">
        <f aca="false">IF($BL313&lt;&gt;Constants!$B$4,"",MIN(Constants!$B$29,MAX(0,Constants!$B$27*Constants!$B$28*INT(ROUND((Constants!$B$26-$AN313)/Constants!$B$28,6))))+MIN(Constants!$B$29,MAX(0,Constants!$B$27*Constants!$B$28*INT(ROUND((Constants!$B$26-$AO313)/Constants!$B$28,6))))+MIN(Constants!$B$29,MAX(0,Constants!$B$27*Constants!$B$28*INT(ROUND((Constants!$B$26-$AP313)/Constants!$B$28,6)))))</f>
        <v/>
      </c>
      <c r="BX313" s="100" t="str">
        <f aca="false">IF($BL313&lt;&gt;Constants!$B$4,"",IF(NOT($AL313),0,Constants!$B$31*INT(ROUND(MAX(0,MIN($BJ313,2*$AH$9)-$AH$9),6))))</f>
        <v/>
      </c>
      <c r="BY313" s="100" t="str">
        <f aca="false">IF($BL313&lt;&gt;Constants!$B$4,"",Constants!$B$32*(($AN313&gt;Constants!$B$26)+($AO313&gt;Constants!$B$26)+($AP313&gt;Constants!$B$26)))</f>
        <v/>
      </c>
      <c r="BZ313" s="100" t="str">
        <f aca="false">IF($BL313&lt;&gt;Constants!$B$4,"",IF(OR(NOT($AL313),$AQ313),0,Constants!$B$33))</f>
        <v/>
      </c>
      <c r="CA313" s="100" t="str">
        <f aca="false">IF($BL313&lt;&gt;Constants!$B$4,"",Constants!$B$34*$BN313)</f>
        <v/>
      </c>
      <c r="CB313" s="100" t="str">
        <f aca="false">IF($BL313&lt;&gt;Constants!$B$4,"",IF(OR(NOT($AL313),$BH313),0,Constants!$B$36))</f>
        <v/>
      </c>
      <c r="CC313" s="100" t="str">
        <f aca="false">IF($BL313&lt;&gt;Constants!$B$4,"",IF(OR(NOT($AL313),$BG313),0,Constants!$B$37))</f>
        <v/>
      </c>
      <c r="CD313" s="100" t="str">
        <f aca="false">IF($BL313&lt;&gt;Constants!$B$4,"",SUM($BX313:$CC313))</f>
        <v/>
      </c>
      <c r="CE313" s="100" t="str">
        <f aca="false">IF(ISBLANK($C313),"",IF($BL313&lt;&gt;Constants!$B$4,$BL313,SUM($BO313:$BW313)-$CD313))</f>
        <v/>
      </c>
      <c r="CF313" s="100" t="str">
        <f aca="false">IF(ISBLANK($C313),"",IF($BL313&lt;&gt;Constants!$B$4,$BL313,RANK($CE313,$CE$9:$CE$508)))</f>
        <v/>
      </c>
      <c r="CG313" s="100" t="str">
        <f aca="false">IF(ISBLANK($C313),"",IF($BL313&lt;&gt;Constants!$B$4,$BL313,COUNTIFS($BM$9:$BM$508,"&lt;"&amp;$BM313)+COUNTIFS($BM$9:$BM$508,$BM313,$CF$9:$CF$508,"&lt;"&amp;$CF313)+1))</f>
        <v/>
      </c>
      <c r="CH313" s="100" t="str">
        <f aca="false">IF(ISBLANK($C313),"",IF($BL313&lt;&gt;Constants!$B$4,$BL313,RANK($CD313,$CD$9:$CD$508,1)))</f>
        <v/>
      </c>
      <c r="CI313" s="100" t="str">
        <f aca="false">IF($BL313&lt;&gt;Constants!$B$4,"",$AN313+$AO313+$AP313)</f>
        <v/>
      </c>
      <c r="CJ313" s="100" t="str">
        <f aca="false">IF(ISBLANK($C313),"",IF($BL313&lt;&gt;Constants!$B$4,$BL313,RANK($CI313,$CI$9:$CI$508,1)))</f>
        <v/>
      </c>
      <c r="CK313" s="100" t="str">
        <f aca="false">IF(ISBLANK($C313),"",IF($BL313&lt;&gt;Constants!$B$4,$BL313,COUNTIFS($BM$9:$BM$508,"&lt;"&amp;$BM313)+COUNTIFS($BM$9:$BM$508,$BM313,$CF$9:$CF$508,"&lt;"&amp;$CF313)+COUNTIFS($BM$9:$BM$508,$BM313,$CF$9:$CF$508,$CF313,$CH$9:$CH$508,"&lt;"&amp;$CH313)+COUNTIFS($BM$9:$BM$508,$BM313,$CF$9:$CF$508,$CF313,$CH$9:$CH$508,$CH313,$CJ$9:$CJ$508,"&lt;"&amp;$CJ313)+1))</f>
        <v/>
      </c>
      <c r="CL313" s="100" t="str">
        <f aca="false">IF(ISBLANK($C313),"",IF($BL313&lt;&gt;Constants!$B$4,$BL313,$CG313-$CK313))</f>
        <v/>
      </c>
      <c r="CM313" s="100" t="str">
        <f aca="false">IF(ISBLANK($C313),"",IF(NOT($AL313),"",IF(ISBLANK($D$7),$CM$5,IF(NOT(ISNUMBER($D$7)),$CM$6,""))))</f>
        <v/>
      </c>
      <c r="CN313" s="100" t="str">
        <f aca="false">IF(ISBLANK($C313),"",OR($AN313="",$AO313="",$AP313=""))</f>
        <v/>
      </c>
      <c r="CO313" s="100" t="str">
        <f aca="false">IF(ISBLANK($C313),"",AND($AL313,$BA313=""))</f>
        <v/>
      </c>
      <c r="CP313" s="100" t="str">
        <f aca="false">IF(ISBLANK($C313),"",AND($AL313,$BB313=""))</f>
        <v/>
      </c>
      <c r="CQ313" s="100" t="str">
        <f aca="false">IF(ISBLANK($C313),"",AND($AL313,$BC313=""))</f>
        <v/>
      </c>
      <c r="CR313" s="100" t="str">
        <f aca="false">IF(ISBLANK($C313),"",AND($AL313,$BF313=""))</f>
        <v/>
      </c>
      <c r="CS313" s="100" t="str">
        <f aca="false">IF(ISBLANK($C313),"",AND($AL313,$BJ313=""))</f>
        <v/>
      </c>
      <c r="CT313" s="101"/>
      <c r="CU313" s="102"/>
      <c r="CV313" s="103" t="str">
        <f aca="false">IF(ISBLANK($C313),"",IF($BL313=Constants!$B$8,$CM313,""))</f>
        <v/>
      </c>
      <c r="CW313" s="102" t="str">
        <f aca="false">IF(ISBLANK($C313),"",IF($BL313&lt;&gt;Constants!$B$4,"",$BO313+$BP313))</f>
        <v/>
      </c>
      <c r="CX313" s="104" t="str">
        <f aca="false">IF(ISBLANK($C313),"",IF($BL313&lt;&gt;Constants!$B$4,"",$BQ313+$BR313+$BS313))</f>
        <v/>
      </c>
      <c r="CY313" s="104" t="str">
        <f aca="false">IF(ISBLANK($C313),"",IF($BL313&lt;&gt;Constants!$B$4,"",$BT313))</f>
        <v/>
      </c>
      <c r="CZ313" s="104" t="str">
        <f aca="false">IF(ISBLANK($C313),"",IF($BL313&lt;&gt;Constants!$B$4,"",$BU313+$BV313))</f>
        <v/>
      </c>
      <c r="DA313" s="104" t="str">
        <f aca="false">IF(ISBLANK($C313),"",IF($BL313&lt;&gt;Constants!$B$4,"",$BW313))</f>
        <v/>
      </c>
      <c r="DB313" s="104" t="str">
        <f aca="false">IF(ISBLANK($C313),"",IF($BL313&lt;&gt;Constants!$B$4,"",-$CD313))</f>
        <v/>
      </c>
      <c r="DC313" s="103" t="str">
        <f aca="false">IF(ISBLANK($C313),"",$CE313)</f>
        <v/>
      </c>
      <c r="DD313" s="105" t="str">
        <f aca="false">IF(ISBLANK($C313),"",$BM313)</f>
        <v/>
      </c>
      <c r="DE313" s="104" t="str">
        <f aca="false">IF(ISBLANK($C313),"",$CL313)</f>
        <v/>
      </c>
      <c r="DF313" s="104" t="str">
        <f aca="false">IF(ISBLANK($C313),"",$CK313)</f>
        <v/>
      </c>
      <c r="DG313" s="106" t="str">
        <f aca="false">IF(ISBLANK($C313),"",IF($DF313=Constants!$B$7,COUNTA($C$9:$C$508)+2,IF($DF313=Constants!$B$6,COUNTA($C$9:$C$508)+1,IF($DF313=Constants!$B$5,COUNTA($C$9:$C$508),$DF313))))</f>
        <v/>
      </c>
      <c r="DH313" s="7"/>
      <c r="DI313" s="107" t="n">
        <f aca="false">IF(OR(ISNUMBER($DF313),$DF313=Constants!$B$7,$DF313=Constants!$B$5,$DF313=Constants!$B$6),1,0)</f>
        <v>0</v>
      </c>
      <c r="DJ313" s="107" t="n">
        <v>305</v>
      </c>
      <c r="DK313" s="107" t="str">
        <f aca="false">IF(ISBLANK($C313),"",IF(ISNUMBER($DG313),$DG313+ROW($B313)/1000,""))</f>
        <v/>
      </c>
      <c r="DL313" s="107" t="str">
        <f aca="false">IF(ISNUMBER($DK313),RANK($DK313,$DK$9:$DK$508,1),"")</f>
        <v/>
      </c>
      <c r="DM313" s="107" t="str">
        <f aca="false">IF(ISBLANK($C313),"",$B313)</f>
        <v/>
      </c>
      <c r="DN313" s="107" t="str">
        <f aca="false">IF(ISBLANK($C313),"",$C313)</f>
        <v/>
      </c>
      <c r="DO313" s="107" t="str">
        <f aca="false">IF(ISBLANK($C313),"",$D313)</f>
        <v/>
      </c>
      <c r="DP313" s="108" t="str">
        <f aca="false">$DD313</f>
        <v/>
      </c>
      <c r="DQ313" s="109" t="str">
        <f aca="false">$DC313</f>
        <v/>
      </c>
      <c r="DR313" s="107" t="str">
        <f aca="false">IF(ISBLANK($C313),"",$DF313)</f>
        <v/>
      </c>
      <c r="DS313" s="110" t="str">
        <f aca="false">IF($DJ313&gt;$DI$8,"",VLOOKUP($DJ313,$DL$9:$DR$508,7,FALSE()))</f>
        <v/>
      </c>
      <c r="DT313" s="111" t="str">
        <f aca="false">IF($DJ313&gt;$DI$8,"",VLOOKUP($DJ313,$DL$9:$DR$508,2,FALSE()))</f>
        <v/>
      </c>
      <c r="DU313" s="111" t="str">
        <f aca="false">IF($DJ313&gt;$DI$8,"",VLOOKUP($DJ313,$DL$9:$DR$508,3,FALSE()))</f>
        <v/>
      </c>
      <c r="DV313" s="111" t="str">
        <f aca="false">IF($DJ313&gt;$DI$8,"",VLOOKUP($DJ313,$DL$9:$DR$508,4,FALSE()))</f>
        <v/>
      </c>
      <c r="DW313" s="111" t="str">
        <f aca="false">IF($DJ313&gt;$DI$8,"",VLOOKUP($DJ313,$DL$9:$DR$508,5,FALSE()))</f>
        <v/>
      </c>
      <c r="DX313" s="112" t="str">
        <f aca="false">IF($DJ313&gt;$DI$8,"",VLOOKUP($DJ313,$DL$9:$DR$508,6,FALSE()))</f>
        <v/>
      </c>
      <c r="DY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130"/>
      <c r="N314" s="130"/>
      <c r="O314" s="135"/>
      <c r="P314" s="135"/>
      <c r="Q314" s="130"/>
      <c r="R314" s="130"/>
      <c r="S314" s="130"/>
      <c r="T314" s="130"/>
      <c r="U314" s="135"/>
      <c r="V314" s="130"/>
      <c r="W314" s="96"/>
      <c r="X314" s="130"/>
      <c r="Y314" s="130"/>
      <c r="Z314" s="96"/>
      <c r="AA314" s="96"/>
      <c r="AB314" s="130"/>
      <c r="AC314" s="130"/>
      <c r="AD314" s="130"/>
      <c r="AE314" s="97"/>
      <c r="AF314" s="130"/>
      <c r="AG314" s="99"/>
      <c r="AH314" s="100"/>
      <c r="AI314" s="100"/>
      <c r="AJ314" s="100" t="str">
        <f aca="false">IF(ISBLANK($C314),"",IF($E314=Constants!$B$2,TRUE(),IF($E314=Constants!$B$3,FALSE(),TRUE())))</f>
        <v/>
      </c>
      <c r="AK314" s="100" t="str">
        <f aca="false">IF(ISBLANK($C314),"",IF($F314=Constants!$B$2,TRUE(),IF($F314=Constants!$B$3,FALSE(),FALSE())))</f>
        <v/>
      </c>
      <c r="AL314" s="100" t="str">
        <f aca="false">IF(ISBLANK($C314),"",IF($G314=Constants!$B$2,TRUE(),IF($G314=Constants!$B$3,FALSE(),TRUE())))</f>
        <v/>
      </c>
      <c r="AM314" s="100" t="str">
        <f aca="false">IF(ISBLANK($C314),"",IF($H314=Constants!$B$2,TRUE(),IF($H314=Constants!$B$3,FALSE(),TRUE())))</f>
        <v/>
      </c>
      <c r="AN314" s="100" t="str">
        <f aca="false">IF(ISBLANK($C314),"",IF(ISNUMBER($I314),IF($I314&gt;=0,$I314,""),""))</f>
        <v/>
      </c>
      <c r="AO314" s="100" t="str">
        <f aca="false">IF(ISBLANK($C314),"",IF(ISNUMBER($J314),IF($J314&gt;=0,$J314,""),""))</f>
        <v/>
      </c>
      <c r="AP314" s="100" t="str">
        <f aca="false">IF(ISBLANK($C314),"",IF(ISNUMBER($K314),IF($K314&gt;=0,$K314,""),""))</f>
        <v/>
      </c>
      <c r="AQ314" s="100" t="str">
        <f aca="false">IF(ISBLANK($C314),"",IF($L314=Constants!$B$2,TRUE(),IF($L314=Constants!$B$3,FALSE(),TRUE())))</f>
        <v/>
      </c>
      <c r="AR314" s="100" t="str">
        <f aca="false">IF(ISBLANK($C314),"",IF($M314=Constants!$B$2,TRUE(),IF($M314=Constants!$B$3,FALSE(),TRUE())))</f>
        <v/>
      </c>
      <c r="AS314" s="100" t="str">
        <f aca="false">IF(ISBLANK($C314),"",IF($N314=Constants!$B$2,TRUE(),IF($N314=Constants!$B$3,FALSE(),FALSE())))</f>
        <v/>
      </c>
      <c r="AT314" s="100" t="str">
        <f aca="false">IF(ISBLANK($C314),"",IF($O314=Constants!$B$2,TRUE(),IF($O314=Constants!$B$3,FALSE(),TRUE())))</f>
        <v/>
      </c>
      <c r="AU314" s="100" t="str">
        <f aca="false">IF(ISBLANK($C314),"",IF($P314=Constants!$B$2,TRUE(),IF($P314=Constants!$B$3,FALSE(),TRUE())))</f>
        <v/>
      </c>
      <c r="AV314" s="100" t="str">
        <f aca="false">IF(ISBLANK($C314),"",IF($Q314=Constants!$B$2,TRUE(),IF($Q314=Constants!$B$3,FALSE(),FALSE())))</f>
        <v/>
      </c>
      <c r="AW314" s="100" t="str">
        <f aca="false">IF(ISBLANK($C314),"",IF($R314=Constants!$B$2,TRUE(),IF($R314=Constants!$B$3,FALSE(),FALSE())))</f>
        <v/>
      </c>
      <c r="AX314" s="100" t="str">
        <f aca="false">IF(ISBLANK($C314),"",IF($S314=Constants!$B$2,TRUE(),IF($S314=Constants!$B$3,FALSE(),FALSE())))</f>
        <v/>
      </c>
      <c r="AY314" s="100" t="str">
        <f aca="false">IF(ISBLANK($C314),"",IF($T314=Constants!$B$2,TRUE(),IF($T314=Constants!$B$3,FALSE(),FALSE())))</f>
        <v/>
      </c>
      <c r="AZ314" s="100" t="str">
        <f aca="false">IF(ISBLANK($C314),"",IF($U314=Constants!$B$2,TRUE(),IF($U314=Constants!$B$3,FALSE(),FALSE())))</f>
        <v/>
      </c>
      <c r="BA314" s="100" t="str">
        <f aca="false">IF(ISBLANK($C314),"",IF(OR($V314&amp;""="1",$V314&amp;""="2",$V314&amp;""="3",$V314&amp;""="4"),VALUE($V314&amp;""),IF($V314=Constants!$B$12,Constants!$B$12,"")))</f>
        <v/>
      </c>
      <c r="BB314" s="100" t="str">
        <f aca="false">IF(ISBLANK($C314),"",IF(ISBLANK($W314),0,IF(ISNUMBER($W314),IF(AND($W314&gt;=0,$W314&lt;=Constants!$B$21,$W314=INT($W314)),$W314,""),"")))</f>
        <v/>
      </c>
      <c r="BC314" s="100" t="str">
        <f aca="false">IF(ISBLANK($C314),"",IF(ISBLANK($X314),0,IF(ISNUMBER($X314),IF($X314&gt;=0,$X314,""),"")))</f>
        <v/>
      </c>
      <c r="BD314" s="100" t="str">
        <f aca="false">IF(ISBLANK($C314),"",IF($Y314=Constants!$B$2,TRUE(),IF($Y314=Constants!$B$3,FALSE(),TRUE())))</f>
        <v/>
      </c>
      <c r="BE314" s="100" t="str">
        <f aca="false">IF(ISBLANK($C314),"",IF($Z314=Constants!$B$2,TRUE(),IF($Z314=Constants!$B$3,FALSE(),FALSE())))</f>
        <v/>
      </c>
      <c r="BF314" s="100" t="str">
        <f aca="false">IF(ISBLANK($C314),"",IF(ISBLANK($AA314),0,IF(ISNUMBER($AA314),IF(AND($AA314&gt;=0,$AA314&lt;=Constants!$B$35,$AA314=INT($AA314)),$AA314,""),"")))</f>
        <v/>
      </c>
      <c r="BG314" s="100" t="str">
        <f aca="false">IF(ISBLANK($C314),"",IF($AB314=Constants!$B$2,TRUE(),IF($AB314=Constants!$B$3,FALSE(),TRUE())))</f>
        <v/>
      </c>
      <c r="BH314" s="100" t="str">
        <f aca="false">IF(ISBLANK($C314),"",IF($AC314=Constants!$B$2,TRUE(),IF($AC314=Constants!$B$3,FALSE(),TRUE())))</f>
        <v/>
      </c>
      <c r="BI314" s="100" t="str">
        <f aca="false">IF(ISBLANK($C314),"",IF($AD314=Constants!$B$2,TRUE(),IF($AD314=Constants!$B$3,FALSE(),TRUE())))</f>
        <v/>
      </c>
      <c r="BJ314" s="100" t="str">
        <f aca="false">IF(ISBLANK($C314),"",IF(ISNUMBER($AE314),IF($AE314&gt;=0,$AE314,""),""))</f>
        <v/>
      </c>
      <c r="BK314" s="100" t="str">
        <f aca="false">IF(ISBLANK($C314),"",IF($AF314=Constants!$B$2,TRUE(),IF($AF314=Constants!$B$3,FALSE(),FALSE())))</f>
        <v/>
      </c>
      <c r="BL314" s="99" t="str">
        <f aca="false">IF(ISBLANK($C314),"",IF($BK314,Constants!$B$7,IF(COUNTA($E314:$AE314)=0,Constants!$B$6,IF(OR(COUNTA($G314:$AE314)=0,NOT($AM314),$AS314),Constants!$B$5,IF(OR($CM314&lt;&gt;"",$CN314,$CO314,$CP314,$CQ314,$CR314,$CS314),Constants!$B$8,Constants!$B$4)))))</f>
        <v/>
      </c>
      <c r="BM314" s="100" t="str">
        <f aca="false">IF(ISBLANK($C314),"",IF($BL314&lt;&gt;Constants!$B$4,$BL314,IF(OR(NOT($AJ314),NOT($AL314),NOT($AT314)),Constants!$B$11,IF(OR(NOT($AR314),NOT($AU314),NOT($BI314),MAX($AN314,$AO314,$AP314)&gt;Constants!$B$30),Constants!$B$10,Constants!$B$9))))</f>
        <v/>
      </c>
      <c r="BN314" s="100" t="str">
        <f aca="false">IF($BL314&lt;&gt;Constants!$B$4,"",IF(NOT($AL314),0,MIN(Constants!$B$35,$BF314)))</f>
        <v/>
      </c>
      <c r="BO314" s="100" t="str">
        <f aca="false">IF($BL314&lt;&gt;Constants!$B$4,"",IF(NOT($AL314),0,IF($AW314,Constants!$B$18,IF($AV314,Constants!$B$17,0))))</f>
        <v/>
      </c>
      <c r="BP314" s="100" t="str">
        <f aca="false">IF($BL314&lt;&gt;Constants!$B$4,"",IF(NOT($AL314),0,Constants!$B$19*($AK314+$AX314+$AY314+$AZ314)))</f>
        <v/>
      </c>
      <c r="BQ314" s="100" t="str">
        <f aca="false">IF($BL314&lt;&gt;Constants!$B$4,"",IF(OR(NOT($AL314),NOT(ISNUMBER($BA314))),0,CHOOSE($BA314,Constants!$B$13,Constants!$B$14,Constants!$B$15,Constants!$B$16)))</f>
        <v/>
      </c>
      <c r="BR314" s="100" t="str">
        <f aca="false">IF($BL314&lt;&gt;Constants!$B$4,"",IF(NOT($AL314),0,Constants!$B$20*$BB314))</f>
        <v/>
      </c>
      <c r="BS314" s="100" t="str">
        <f aca="false">IF($BL314&lt;&gt;Constants!$B$4,"",IF(AND($AL314,$BD314,$BE314),Constants!$B$22,0))</f>
        <v/>
      </c>
      <c r="BT314" s="100" t="str">
        <f aca="false">IF($BL314&lt;&gt;Constants!$B$4,"",IF(OR(NOT($AL314),NOT($BD314)),0,IF($BJ314&gt;=2*$AH$9,0,Constants!$B$23*INT(ROUND(MIN($BJ314,$AH$9),6)))))</f>
        <v/>
      </c>
      <c r="BU314" s="100" t="str">
        <f aca="false">IF($BL314&lt;&gt;Constants!$B$4,"",IF(NOT($AL314),0,Constants!$B$24*INT(ROUND(MIN($BC314,$AH$9),6))))</f>
        <v/>
      </c>
      <c r="BV314" s="100" t="str">
        <f aca="false">IF($BL314&lt;&gt;Constants!$B$4,"",IF(AND($AL314,$BN314=0),Constants!$B$25,0))</f>
        <v/>
      </c>
      <c r="BW314" s="100" t="str">
        <f aca="false">IF($BL314&lt;&gt;Constants!$B$4,"",MIN(Constants!$B$29,MAX(0,Constants!$B$27*Constants!$B$28*INT(ROUND((Constants!$B$26-$AN314)/Constants!$B$28,6))))+MIN(Constants!$B$29,MAX(0,Constants!$B$27*Constants!$B$28*INT(ROUND((Constants!$B$26-$AO314)/Constants!$B$28,6))))+MIN(Constants!$B$29,MAX(0,Constants!$B$27*Constants!$B$28*INT(ROUND((Constants!$B$26-$AP314)/Constants!$B$28,6)))))</f>
        <v/>
      </c>
      <c r="BX314" s="100" t="str">
        <f aca="false">IF($BL314&lt;&gt;Constants!$B$4,"",IF(NOT($AL314),0,Constants!$B$31*INT(ROUND(MAX(0,MIN($BJ314,2*$AH$9)-$AH$9),6))))</f>
        <v/>
      </c>
      <c r="BY314" s="100" t="str">
        <f aca="false">IF($BL314&lt;&gt;Constants!$B$4,"",Constants!$B$32*(($AN314&gt;Constants!$B$26)+($AO314&gt;Constants!$B$26)+($AP314&gt;Constants!$B$26)))</f>
        <v/>
      </c>
      <c r="BZ314" s="100" t="str">
        <f aca="false">IF($BL314&lt;&gt;Constants!$B$4,"",IF(OR(NOT($AL314),$AQ314),0,Constants!$B$33))</f>
        <v/>
      </c>
      <c r="CA314" s="100" t="str">
        <f aca="false">IF($BL314&lt;&gt;Constants!$B$4,"",Constants!$B$34*$BN314)</f>
        <v/>
      </c>
      <c r="CB314" s="100" t="str">
        <f aca="false">IF($BL314&lt;&gt;Constants!$B$4,"",IF(OR(NOT($AL314),$BH314),0,Constants!$B$36))</f>
        <v/>
      </c>
      <c r="CC314" s="100" t="str">
        <f aca="false">IF($BL314&lt;&gt;Constants!$B$4,"",IF(OR(NOT($AL314),$BG314),0,Constants!$B$37))</f>
        <v/>
      </c>
      <c r="CD314" s="100" t="str">
        <f aca="false">IF($BL314&lt;&gt;Constants!$B$4,"",SUM($BX314:$CC314))</f>
        <v/>
      </c>
      <c r="CE314" s="100" t="str">
        <f aca="false">IF(ISBLANK($C314),"",IF($BL314&lt;&gt;Constants!$B$4,$BL314,SUM($BO314:$BW314)-$CD314))</f>
        <v/>
      </c>
      <c r="CF314" s="100" t="str">
        <f aca="false">IF(ISBLANK($C314),"",IF($BL314&lt;&gt;Constants!$B$4,$BL314,RANK($CE314,$CE$9:$CE$508)))</f>
        <v/>
      </c>
      <c r="CG314" s="100" t="str">
        <f aca="false">IF(ISBLANK($C314),"",IF($BL314&lt;&gt;Constants!$B$4,$BL314,COUNTIFS($BM$9:$BM$508,"&lt;"&amp;$BM314)+COUNTIFS($BM$9:$BM$508,$BM314,$CF$9:$CF$508,"&lt;"&amp;$CF314)+1))</f>
        <v/>
      </c>
      <c r="CH314" s="100" t="str">
        <f aca="false">IF(ISBLANK($C314),"",IF($BL314&lt;&gt;Constants!$B$4,$BL314,RANK($CD314,$CD$9:$CD$508,1)))</f>
        <v/>
      </c>
      <c r="CI314" s="100" t="str">
        <f aca="false">IF($BL314&lt;&gt;Constants!$B$4,"",$AN314+$AO314+$AP314)</f>
        <v/>
      </c>
      <c r="CJ314" s="100" t="str">
        <f aca="false">IF(ISBLANK($C314),"",IF($BL314&lt;&gt;Constants!$B$4,$BL314,RANK($CI314,$CI$9:$CI$508,1)))</f>
        <v/>
      </c>
      <c r="CK314" s="100" t="str">
        <f aca="false">IF(ISBLANK($C314),"",IF($BL314&lt;&gt;Constants!$B$4,$BL314,COUNTIFS($BM$9:$BM$508,"&lt;"&amp;$BM314)+COUNTIFS($BM$9:$BM$508,$BM314,$CF$9:$CF$508,"&lt;"&amp;$CF314)+COUNTIFS($BM$9:$BM$508,$BM314,$CF$9:$CF$508,$CF314,$CH$9:$CH$508,"&lt;"&amp;$CH314)+COUNTIFS($BM$9:$BM$508,$BM314,$CF$9:$CF$508,$CF314,$CH$9:$CH$508,$CH314,$CJ$9:$CJ$508,"&lt;"&amp;$CJ314)+1))</f>
        <v/>
      </c>
      <c r="CL314" s="100" t="str">
        <f aca="false">IF(ISBLANK($C314),"",IF($BL314&lt;&gt;Constants!$B$4,$BL314,$CG314-$CK314))</f>
        <v/>
      </c>
      <c r="CM314" s="100" t="str">
        <f aca="false">IF(ISBLANK($C314),"",IF(NOT($AL314),"",IF(ISBLANK($D$7),$CM$5,IF(NOT(ISNUMBER($D$7)),$CM$6,""))))</f>
        <v/>
      </c>
      <c r="CN314" s="100" t="str">
        <f aca="false">IF(ISBLANK($C314),"",OR($AN314="",$AO314="",$AP314=""))</f>
        <v/>
      </c>
      <c r="CO314" s="100" t="str">
        <f aca="false">IF(ISBLANK($C314),"",AND($AL314,$BA314=""))</f>
        <v/>
      </c>
      <c r="CP314" s="100" t="str">
        <f aca="false">IF(ISBLANK($C314),"",AND($AL314,$BB314=""))</f>
        <v/>
      </c>
      <c r="CQ314" s="100" t="str">
        <f aca="false">IF(ISBLANK($C314),"",AND($AL314,$BC314=""))</f>
        <v/>
      </c>
      <c r="CR314" s="100" t="str">
        <f aca="false">IF(ISBLANK($C314),"",AND($AL314,$BF314=""))</f>
        <v/>
      </c>
      <c r="CS314" s="100" t="str">
        <f aca="false">IF(ISBLANK($C314),"",AND($AL314,$BJ314=""))</f>
        <v/>
      </c>
      <c r="CT314" s="101"/>
      <c r="CU314" s="102"/>
      <c r="CV314" s="103" t="str">
        <f aca="false">IF(ISBLANK($C314),"",IF($BL314=Constants!$B$8,$CM314,""))</f>
        <v/>
      </c>
      <c r="CW314" s="102" t="str">
        <f aca="false">IF(ISBLANK($C314),"",IF($BL314&lt;&gt;Constants!$B$4,"",$BO314+$BP314))</f>
        <v/>
      </c>
      <c r="CX314" s="104" t="str">
        <f aca="false">IF(ISBLANK($C314),"",IF($BL314&lt;&gt;Constants!$B$4,"",$BQ314+$BR314+$BS314))</f>
        <v/>
      </c>
      <c r="CY314" s="104" t="str">
        <f aca="false">IF(ISBLANK($C314),"",IF($BL314&lt;&gt;Constants!$B$4,"",$BT314))</f>
        <v/>
      </c>
      <c r="CZ314" s="104" t="str">
        <f aca="false">IF(ISBLANK($C314),"",IF($BL314&lt;&gt;Constants!$B$4,"",$BU314+$BV314))</f>
        <v/>
      </c>
      <c r="DA314" s="104" t="str">
        <f aca="false">IF(ISBLANK($C314),"",IF($BL314&lt;&gt;Constants!$B$4,"",$BW314))</f>
        <v/>
      </c>
      <c r="DB314" s="104" t="str">
        <f aca="false">IF(ISBLANK($C314),"",IF($BL314&lt;&gt;Constants!$B$4,"",-$CD314))</f>
        <v/>
      </c>
      <c r="DC314" s="103" t="str">
        <f aca="false">IF(ISBLANK($C314),"",$CE314)</f>
        <v/>
      </c>
      <c r="DD314" s="105" t="str">
        <f aca="false">IF(ISBLANK($C314),"",$BM314)</f>
        <v/>
      </c>
      <c r="DE314" s="104" t="str">
        <f aca="false">IF(ISBLANK($C314),"",$CL314)</f>
        <v/>
      </c>
      <c r="DF314" s="104" t="str">
        <f aca="false">IF(ISBLANK($C314),"",$CK314)</f>
        <v/>
      </c>
      <c r="DG314" s="106" t="str">
        <f aca="false">IF(ISBLANK($C314),"",IF($DF314=Constants!$B$7,COUNTA($C$9:$C$508)+2,IF($DF314=Constants!$B$6,COUNTA($C$9:$C$508)+1,IF($DF314=Constants!$B$5,COUNTA($C$9:$C$508),$DF314))))</f>
        <v/>
      </c>
      <c r="DH314" s="7"/>
      <c r="DI314" s="107" t="n">
        <f aca="false">IF(OR(ISNUMBER($DF314),$DF314=Constants!$B$7,$DF314=Constants!$B$5,$DF314=Constants!$B$6),1,0)</f>
        <v>0</v>
      </c>
      <c r="DJ314" s="107" t="n">
        <v>306</v>
      </c>
      <c r="DK314" s="107" t="str">
        <f aca="false">IF(ISBLANK($C314),"",IF(ISNUMBER($DG314),$DG314+ROW($B314)/1000,""))</f>
        <v/>
      </c>
      <c r="DL314" s="107" t="str">
        <f aca="false">IF(ISNUMBER($DK314),RANK($DK314,$DK$9:$DK$508,1),"")</f>
        <v/>
      </c>
      <c r="DM314" s="107" t="str">
        <f aca="false">IF(ISBLANK($C314),"",$B314)</f>
        <v/>
      </c>
      <c r="DN314" s="107" t="str">
        <f aca="false">IF(ISBLANK($C314),"",$C314)</f>
        <v/>
      </c>
      <c r="DO314" s="107" t="str">
        <f aca="false">IF(ISBLANK($C314),"",$D314)</f>
        <v/>
      </c>
      <c r="DP314" s="108" t="str">
        <f aca="false">$DD314</f>
        <v/>
      </c>
      <c r="DQ314" s="109" t="str">
        <f aca="false">$DC314</f>
        <v/>
      </c>
      <c r="DR314" s="107" t="str">
        <f aca="false">IF(ISBLANK($C314),"",$DF314)</f>
        <v/>
      </c>
      <c r="DS314" s="110" t="str">
        <f aca="false">IF($DJ314&gt;$DI$8,"",VLOOKUP($DJ314,$DL$9:$DR$508,7,FALSE()))</f>
        <v/>
      </c>
      <c r="DT314" s="111" t="str">
        <f aca="false">IF($DJ314&gt;$DI$8,"",VLOOKUP($DJ314,$DL$9:$DR$508,2,FALSE()))</f>
        <v/>
      </c>
      <c r="DU314" s="111" t="str">
        <f aca="false">IF($DJ314&gt;$DI$8,"",VLOOKUP($DJ314,$DL$9:$DR$508,3,FALSE()))</f>
        <v/>
      </c>
      <c r="DV314" s="111" t="str">
        <f aca="false">IF($DJ314&gt;$DI$8,"",VLOOKUP($DJ314,$DL$9:$DR$508,4,FALSE()))</f>
        <v/>
      </c>
      <c r="DW314" s="111" t="str">
        <f aca="false">IF($DJ314&gt;$DI$8,"",VLOOKUP($DJ314,$DL$9:$DR$508,5,FALSE()))</f>
        <v/>
      </c>
      <c r="DX314" s="112" t="str">
        <f aca="false">IF($DJ314&gt;$DI$8,"",VLOOKUP($DJ314,$DL$9:$DR$508,6,FALSE()))</f>
        <v/>
      </c>
      <c r="DY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88"/>
      <c r="N315" s="88"/>
      <c r="O315" s="134"/>
      <c r="P315" s="134"/>
      <c r="Q315" s="88"/>
      <c r="R315" s="88"/>
      <c r="S315" s="88"/>
      <c r="T315" s="88"/>
      <c r="U315" s="134"/>
      <c r="V315" s="88"/>
      <c r="W315" s="70"/>
      <c r="X315" s="88"/>
      <c r="Y315" s="88"/>
      <c r="Z315" s="70"/>
      <c r="AA315" s="70"/>
      <c r="AB315" s="88"/>
      <c r="AC315" s="88"/>
      <c r="AD315" s="88"/>
      <c r="AE315" s="71"/>
      <c r="AF315" s="88"/>
      <c r="AG315" s="73"/>
      <c r="AH315" s="74"/>
      <c r="AI315" s="74"/>
      <c r="AJ315" s="74" t="str">
        <f aca="false">IF(ISBLANK($C315),"",IF($E315=Constants!$B$2,TRUE(),IF($E315=Constants!$B$3,FALSE(),TRUE())))</f>
        <v/>
      </c>
      <c r="AK315" s="74" t="str">
        <f aca="false">IF(ISBLANK($C315),"",IF($F315=Constants!$B$2,TRUE(),IF($F315=Constants!$B$3,FALSE(),FALSE())))</f>
        <v/>
      </c>
      <c r="AL315" s="74" t="str">
        <f aca="false">IF(ISBLANK($C315),"",IF($G315=Constants!$B$2,TRUE(),IF($G315=Constants!$B$3,FALSE(),TRUE())))</f>
        <v/>
      </c>
      <c r="AM315" s="74" t="str">
        <f aca="false">IF(ISBLANK($C315),"",IF($H315=Constants!$B$2,TRUE(),IF($H315=Constants!$B$3,FALSE(),TRUE())))</f>
        <v/>
      </c>
      <c r="AN315" s="74" t="str">
        <f aca="false">IF(ISBLANK($C315),"",IF(ISNUMBER($I315),IF($I315&gt;=0,$I315,""),""))</f>
        <v/>
      </c>
      <c r="AO315" s="74" t="str">
        <f aca="false">IF(ISBLANK($C315),"",IF(ISNUMBER($J315),IF($J315&gt;=0,$J315,""),""))</f>
        <v/>
      </c>
      <c r="AP315" s="74" t="str">
        <f aca="false">IF(ISBLANK($C315),"",IF(ISNUMBER($K315),IF($K315&gt;=0,$K315,""),""))</f>
        <v/>
      </c>
      <c r="AQ315" s="74" t="str">
        <f aca="false">IF(ISBLANK($C315),"",IF($L315=Constants!$B$2,TRUE(),IF($L315=Constants!$B$3,FALSE(),TRUE())))</f>
        <v/>
      </c>
      <c r="AR315" s="74" t="str">
        <f aca="false">IF(ISBLANK($C315),"",IF($M315=Constants!$B$2,TRUE(),IF($M315=Constants!$B$3,FALSE(),TRUE())))</f>
        <v/>
      </c>
      <c r="AS315" s="74" t="str">
        <f aca="false">IF(ISBLANK($C315),"",IF($N315=Constants!$B$2,TRUE(),IF($N315=Constants!$B$3,FALSE(),FALSE())))</f>
        <v/>
      </c>
      <c r="AT315" s="74" t="str">
        <f aca="false">IF(ISBLANK($C315),"",IF($O315=Constants!$B$2,TRUE(),IF($O315=Constants!$B$3,FALSE(),TRUE())))</f>
        <v/>
      </c>
      <c r="AU315" s="74" t="str">
        <f aca="false">IF(ISBLANK($C315),"",IF($P315=Constants!$B$2,TRUE(),IF($P315=Constants!$B$3,FALSE(),TRUE())))</f>
        <v/>
      </c>
      <c r="AV315" s="74" t="str">
        <f aca="false">IF(ISBLANK($C315),"",IF($Q315=Constants!$B$2,TRUE(),IF($Q315=Constants!$B$3,FALSE(),FALSE())))</f>
        <v/>
      </c>
      <c r="AW315" s="74" t="str">
        <f aca="false">IF(ISBLANK($C315),"",IF($R315=Constants!$B$2,TRUE(),IF($R315=Constants!$B$3,FALSE(),FALSE())))</f>
        <v/>
      </c>
      <c r="AX315" s="74" t="str">
        <f aca="false">IF(ISBLANK($C315),"",IF($S315=Constants!$B$2,TRUE(),IF($S315=Constants!$B$3,FALSE(),FALSE())))</f>
        <v/>
      </c>
      <c r="AY315" s="74" t="str">
        <f aca="false">IF(ISBLANK($C315),"",IF($T315=Constants!$B$2,TRUE(),IF($T315=Constants!$B$3,FALSE(),FALSE())))</f>
        <v/>
      </c>
      <c r="AZ315" s="74" t="str">
        <f aca="false">IF(ISBLANK($C315),"",IF($U315=Constants!$B$2,TRUE(),IF($U315=Constants!$B$3,FALSE(),FALSE())))</f>
        <v/>
      </c>
      <c r="BA315" s="74" t="str">
        <f aca="false">IF(ISBLANK($C315),"",IF(OR($V315&amp;""="1",$V315&amp;""="2",$V315&amp;""="3",$V315&amp;""="4"),VALUE($V315&amp;""),IF($V315=Constants!$B$12,Constants!$B$12,"")))</f>
        <v/>
      </c>
      <c r="BB315" s="74" t="str">
        <f aca="false">IF(ISBLANK($C315),"",IF(ISBLANK($W315),0,IF(ISNUMBER($W315),IF(AND($W315&gt;=0,$W315&lt;=Constants!$B$21,$W315=INT($W315)),$W315,""),"")))</f>
        <v/>
      </c>
      <c r="BC315" s="74" t="str">
        <f aca="false">IF(ISBLANK($C315),"",IF(ISBLANK($X315),0,IF(ISNUMBER($X315),IF($X315&gt;=0,$X315,""),"")))</f>
        <v/>
      </c>
      <c r="BD315" s="74" t="str">
        <f aca="false">IF(ISBLANK($C315),"",IF($Y315=Constants!$B$2,TRUE(),IF($Y315=Constants!$B$3,FALSE(),TRUE())))</f>
        <v/>
      </c>
      <c r="BE315" s="74" t="str">
        <f aca="false">IF(ISBLANK($C315),"",IF($Z315=Constants!$B$2,TRUE(),IF($Z315=Constants!$B$3,FALSE(),FALSE())))</f>
        <v/>
      </c>
      <c r="BF315" s="74" t="str">
        <f aca="false">IF(ISBLANK($C315),"",IF(ISBLANK($AA315),0,IF(ISNUMBER($AA315),IF(AND($AA315&gt;=0,$AA315&lt;=Constants!$B$35,$AA315=INT($AA315)),$AA315,""),"")))</f>
        <v/>
      </c>
      <c r="BG315" s="74" t="str">
        <f aca="false">IF(ISBLANK($C315),"",IF($AB315=Constants!$B$2,TRUE(),IF($AB315=Constants!$B$3,FALSE(),TRUE())))</f>
        <v/>
      </c>
      <c r="BH315" s="74" t="str">
        <f aca="false">IF(ISBLANK($C315),"",IF($AC315=Constants!$B$2,TRUE(),IF($AC315=Constants!$B$3,FALSE(),TRUE())))</f>
        <v/>
      </c>
      <c r="BI315" s="74" t="str">
        <f aca="false">IF(ISBLANK($C315),"",IF($AD315=Constants!$B$2,TRUE(),IF($AD315=Constants!$B$3,FALSE(),TRUE())))</f>
        <v/>
      </c>
      <c r="BJ315" s="74" t="str">
        <f aca="false">IF(ISBLANK($C315),"",IF(ISNUMBER($AE315),IF($AE315&gt;=0,$AE315,""),""))</f>
        <v/>
      </c>
      <c r="BK315" s="74" t="str">
        <f aca="false">IF(ISBLANK($C315),"",IF($AF315=Constants!$B$2,TRUE(),IF($AF315=Constants!$B$3,FALSE(),FALSE())))</f>
        <v/>
      </c>
      <c r="BL315" s="73" t="str">
        <f aca="false">IF(ISBLANK($C315),"",IF($BK315,Constants!$B$7,IF(COUNTA($E315:$AE315)=0,Constants!$B$6,IF(OR(COUNTA($G315:$AE315)=0,NOT($AM315),$AS315),Constants!$B$5,IF(OR($CM315&lt;&gt;"",$CN315,$CO315,$CP315,$CQ315,$CR315,$CS315),Constants!$B$8,Constants!$B$4)))))</f>
        <v/>
      </c>
      <c r="BM315" s="74" t="str">
        <f aca="false">IF(ISBLANK($C315),"",IF($BL315&lt;&gt;Constants!$B$4,$BL315,IF(OR(NOT($AJ315),NOT($AL315),NOT($AT315)),Constants!$B$11,IF(OR(NOT($AR315),NOT($AU315),NOT($BI315),MAX($AN315,$AO315,$AP315)&gt;Constants!$B$30),Constants!$B$10,Constants!$B$9))))</f>
        <v/>
      </c>
      <c r="BN315" s="74" t="str">
        <f aca="false">IF($BL315&lt;&gt;Constants!$B$4,"",IF(NOT($AL315),0,MIN(Constants!$B$35,$BF315)))</f>
        <v/>
      </c>
      <c r="BO315" s="74" t="str">
        <f aca="false">IF($BL315&lt;&gt;Constants!$B$4,"",IF(NOT($AL315),0,IF($AW315,Constants!$B$18,IF($AV315,Constants!$B$17,0))))</f>
        <v/>
      </c>
      <c r="BP315" s="74" t="str">
        <f aca="false">IF($BL315&lt;&gt;Constants!$B$4,"",IF(NOT($AL315),0,Constants!$B$19*($AK315+$AX315+$AY315+$AZ315)))</f>
        <v/>
      </c>
      <c r="BQ315" s="74" t="str">
        <f aca="false">IF($BL315&lt;&gt;Constants!$B$4,"",IF(OR(NOT($AL315),NOT(ISNUMBER($BA315))),0,CHOOSE($BA315,Constants!$B$13,Constants!$B$14,Constants!$B$15,Constants!$B$16)))</f>
        <v/>
      </c>
      <c r="BR315" s="74" t="str">
        <f aca="false">IF($BL315&lt;&gt;Constants!$B$4,"",IF(NOT($AL315),0,Constants!$B$20*$BB315))</f>
        <v/>
      </c>
      <c r="BS315" s="74" t="str">
        <f aca="false">IF($BL315&lt;&gt;Constants!$B$4,"",IF(AND($AL315,$BD315,$BE315),Constants!$B$22,0))</f>
        <v/>
      </c>
      <c r="BT315" s="74" t="str">
        <f aca="false">IF($BL315&lt;&gt;Constants!$B$4,"",IF(OR(NOT($AL315),NOT($BD315)),0,IF($BJ315&gt;=2*$AH$9,0,Constants!$B$23*INT(ROUND(MIN($BJ315,$AH$9),6)))))</f>
        <v/>
      </c>
      <c r="BU315" s="74" t="str">
        <f aca="false">IF($BL315&lt;&gt;Constants!$B$4,"",IF(NOT($AL315),0,Constants!$B$24*INT(ROUND(MIN($BC315,$AH$9),6))))</f>
        <v/>
      </c>
      <c r="BV315" s="74" t="str">
        <f aca="false">IF($BL315&lt;&gt;Constants!$B$4,"",IF(AND($AL315,$BN315=0),Constants!$B$25,0))</f>
        <v/>
      </c>
      <c r="BW315" s="74" t="str">
        <f aca="false">IF($BL315&lt;&gt;Constants!$B$4,"",MIN(Constants!$B$29,MAX(0,Constants!$B$27*Constants!$B$28*INT(ROUND((Constants!$B$26-$AN315)/Constants!$B$28,6))))+MIN(Constants!$B$29,MAX(0,Constants!$B$27*Constants!$B$28*INT(ROUND((Constants!$B$26-$AO315)/Constants!$B$28,6))))+MIN(Constants!$B$29,MAX(0,Constants!$B$27*Constants!$B$28*INT(ROUND((Constants!$B$26-$AP315)/Constants!$B$28,6)))))</f>
        <v/>
      </c>
      <c r="BX315" s="74" t="str">
        <f aca="false">IF($BL315&lt;&gt;Constants!$B$4,"",IF(NOT($AL315),0,Constants!$B$31*INT(ROUND(MAX(0,MIN($BJ315,2*$AH$9)-$AH$9),6))))</f>
        <v/>
      </c>
      <c r="BY315" s="74" t="str">
        <f aca="false">IF($BL315&lt;&gt;Constants!$B$4,"",Constants!$B$32*(($AN315&gt;Constants!$B$26)+($AO315&gt;Constants!$B$26)+($AP315&gt;Constants!$B$26)))</f>
        <v/>
      </c>
      <c r="BZ315" s="74" t="str">
        <f aca="false">IF($BL315&lt;&gt;Constants!$B$4,"",IF(OR(NOT($AL315),$AQ315),0,Constants!$B$33))</f>
        <v/>
      </c>
      <c r="CA315" s="74" t="str">
        <f aca="false">IF($BL315&lt;&gt;Constants!$B$4,"",Constants!$B$34*$BN315)</f>
        <v/>
      </c>
      <c r="CB315" s="74" t="str">
        <f aca="false">IF($BL315&lt;&gt;Constants!$B$4,"",IF(OR(NOT($AL315),$BH315),0,Constants!$B$36))</f>
        <v/>
      </c>
      <c r="CC315" s="74" t="str">
        <f aca="false">IF($BL315&lt;&gt;Constants!$B$4,"",IF(OR(NOT($AL315),$BG315),0,Constants!$B$37))</f>
        <v/>
      </c>
      <c r="CD315" s="74" t="str">
        <f aca="false">IF($BL315&lt;&gt;Constants!$B$4,"",SUM($BX315:$CC315))</f>
        <v/>
      </c>
      <c r="CE315" s="74" t="str">
        <f aca="false">IF(ISBLANK($C315),"",IF($BL315&lt;&gt;Constants!$B$4,$BL315,SUM($BO315:$BW315)-$CD315))</f>
        <v/>
      </c>
      <c r="CF315" s="74" t="str">
        <f aca="false">IF(ISBLANK($C315),"",IF($BL315&lt;&gt;Constants!$B$4,$BL315,RANK($CE315,$CE$9:$CE$508)))</f>
        <v/>
      </c>
      <c r="CG315" s="74" t="str">
        <f aca="false">IF(ISBLANK($C315),"",IF($BL315&lt;&gt;Constants!$B$4,$BL315,COUNTIFS($BM$9:$BM$508,"&lt;"&amp;$BM315)+COUNTIFS($BM$9:$BM$508,$BM315,$CF$9:$CF$508,"&lt;"&amp;$CF315)+1))</f>
        <v/>
      </c>
      <c r="CH315" s="74" t="str">
        <f aca="false">IF(ISBLANK($C315),"",IF($BL315&lt;&gt;Constants!$B$4,$BL315,RANK($CD315,$CD$9:$CD$508,1)))</f>
        <v/>
      </c>
      <c r="CI315" s="74" t="str">
        <f aca="false">IF($BL315&lt;&gt;Constants!$B$4,"",$AN315+$AO315+$AP315)</f>
        <v/>
      </c>
      <c r="CJ315" s="74" t="str">
        <f aca="false">IF(ISBLANK($C315),"",IF($BL315&lt;&gt;Constants!$B$4,$BL315,RANK($CI315,$CI$9:$CI$508,1)))</f>
        <v/>
      </c>
      <c r="CK315" s="74" t="str">
        <f aca="false">IF(ISBLANK($C315),"",IF($BL315&lt;&gt;Constants!$B$4,$BL315,COUNTIFS($BM$9:$BM$508,"&lt;"&amp;$BM315)+COUNTIFS($BM$9:$BM$508,$BM315,$CF$9:$CF$508,"&lt;"&amp;$CF315)+COUNTIFS($BM$9:$BM$508,$BM315,$CF$9:$CF$508,$CF315,$CH$9:$CH$508,"&lt;"&amp;$CH315)+COUNTIFS($BM$9:$BM$508,$BM315,$CF$9:$CF$508,$CF315,$CH$9:$CH$508,$CH315,$CJ$9:$CJ$508,"&lt;"&amp;$CJ315)+1))</f>
        <v/>
      </c>
      <c r="CL315" s="74" t="str">
        <f aca="false">IF(ISBLANK($C315),"",IF($BL315&lt;&gt;Constants!$B$4,$BL315,$CG315-$CK315))</f>
        <v/>
      </c>
      <c r="CM315" s="74" t="str">
        <f aca="false">IF(ISBLANK($C315),"",IF(NOT($AL315),"",IF(ISBLANK($D$7),$CM$5,IF(NOT(ISNUMBER($D$7)),$CM$6,""))))</f>
        <v/>
      </c>
      <c r="CN315" s="74" t="str">
        <f aca="false">IF(ISBLANK($C315),"",OR($AN315="",$AO315="",$AP315=""))</f>
        <v/>
      </c>
      <c r="CO315" s="74" t="str">
        <f aca="false">IF(ISBLANK($C315),"",AND($AL315,$BA315=""))</f>
        <v/>
      </c>
      <c r="CP315" s="74" t="str">
        <f aca="false">IF(ISBLANK($C315),"",AND($AL315,$BB315=""))</f>
        <v/>
      </c>
      <c r="CQ315" s="74" t="str">
        <f aca="false">IF(ISBLANK($C315),"",AND($AL315,$BC315=""))</f>
        <v/>
      </c>
      <c r="CR315" s="74" t="str">
        <f aca="false">IF(ISBLANK($C315),"",AND($AL315,$BF315=""))</f>
        <v/>
      </c>
      <c r="CS315" s="74" t="str">
        <f aca="false">IF(ISBLANK($C315),"",AND($AL315,$BJ315=""))</f>
        <v/>
      </c>
      <c r="CT315" s="75"/>
      <c r="CU315" s="76"/>
      <c r="CV315" s="79" t="str">
        <f aca="false">IF(ISBLANK($C315),"",IF($BL315=Constants!$B$8,$CM315,""))</f>
        <v/>
      </c>
      <c r="CW315" s="76" t="str">
        <f aca="false">IF(ISBLANK($C315),"",IF($BL315&lt;&gt;Constants!$B$4,"",$BO315+$BP315))</f>
        <v/>
      </c>
      <c r="CX315" s="78" t="str">
        <f aca="false">IF(ISBLANK($C315),"",IF($BL315&lt;&gt;Constants!$B$4,"",$BQ315+$BR315+$BS315))</f>
        <v/>
      </c>
      <c r="CY315" s="78" t="str">
        <f aca="false">IF(ISBLANK($C315),"",IF($BL315&lt;&gt;Constants!$B$4,"",$BT315))</f>
        <v/>
      </c>
      <c r="CZ315" s="78" t="str">
        <f aca="false">IF(ISBLANK($C315),"",IF($BL315&lt;&gt;Constants!$B$4,"",$BU315+$BV315))</f>
        <v/>
      </c>
      <c r="DA315" s="78" t="str">
        <f aca="false">IF(ISBLANK($C315),"",IF($BL315&lt;&gt;Constants!$B$4,"",$BW315))</f>
        <v/>
      </c>
      <c r="DB315" s="78" t="str">
        <f aca="false">IF(ISBLANK($C315),"",IF($BL315&lt;&gt;Constants!$B$4,"",-$CD315))</f>
        <v/>
      </c>
      <c r="DC315" s="79" t="str">
        <f aca="false">IF(ISBLANK($C315),"",$CE315)</f>
        <v/>
      </c>
      <c r="DD315" s="80" t="str">
        <f aca="false">IF(ISBLANK($C315),"",$BM315)</f>
        <v/>
      </c>
      <c r="DE315" s="78" t="str">
        <f aca="false">IF(ISBLANK($C315),"",$CL315)</f>
        <v/>
      </c>
      <c r="DF315" s="78" t="str">
        <f aca="false">IF(ISBLANK($C315),"",$CK315)</f>
        <v/>
      </c>
      <c r="DG315" s="81" t="str">
        <f aca="false">IF(ISBLANK($C315),"",IF($DF315=Constants!$B$7,COUNTA($C$9:$C$508)+2,IF($DF315=Constants!$B$6,COUNTA($C$9:$C$508)+1,IF($DF315=Constants!$B$5,COUNTA($C$9:$C$508),$DF315))))</f>
        <v/>
      </c>
      <c r="DH315" s="7"/>
      <c r="DI315" s="82" t="n">
        <f aca="false">IF(OR(ISNUMBER($DF315),$DF315=Constants!$B$7,$DF315=Constants!$B$5,$DF315=Constants!$B$6),1,0)</f>
        <v>0</v>
      </c>
      <c r="DJ315" s="82" t="n">
        <v>307</v>
      </c>
      <c r="DK315" s="82" t="str">
        <f aca="false">IF(ISBLANK($C315),"",IF(ISNUMBER($DG315),$DG315+ROW($B315)/1000,""))</f>
        <v/>
      </c>
      <c r="DL315" s="82" t="str">
        <f aca="false">IF(ISNUMBER($DK315),RANK($DK315,$DK$9:$DK$508,1),"")</f>
        <v/>
      </c>
      <c r="DM315" s="82" t="str">
        <f aca="false">IF(ISBLANK($C315),"",$B315)</f>
        <v/>
      </c>
      <c r="DN315" s="82" t="str">
        <f aca="false">IF(ISBLANK($C315),"",$C315)</f>
        <v/>
      </c>
      <c r="DO315" s="82" t="str">
        <f aca="false">IF(ISBLANK($C315),"",$D315)</f>
        <v/>
      </c>
      <c r="DP315" s="83" t="str">
        <f aca="false">$DD315</f>
        <v/>
      </c>
      <c r="DQ315" s="84" t="str">
        <f aca="false">$DC315</f>
        <v/>
      </c>
      <c r="DR315" s="82" t="str">
        <f aca="false">IF(ISBLANK($C315),"",$DF315)</f>
        <v/>
      </c>
      <c r="DS315" s="85" t="str">
        <f aca="false">IF($DJ315&gt;$DI$8,"",VLOOKUP($DJ315,$DL$9:$DR$508,7,FALSE()))</f>
        <v/>
      </c>
      <c r="DT315" s="86" t="str">
        <f aca="false">IF($DJ315&gt;$DI$8,"",VLOOKUP($DJ315,$DL$9:$DR$508,2,FALSE()))</f>
        <v/>
      </c>
      <c r="DU315" s="86" t="str">
        <f aca="false">IF($DJ315&gt;$DI$8,"",VLOOKUP($DJ315,$DL$9:$DR$508,3,FALSE()))</f>
        <v/>
      </c>
      <c r="DV315" s="86" t="str">
        <f aca="false">IF($DJ315&gt;$DI$8,"",VLOOKUP($DJ315,$DL$9:$DR$508,4,FALSE()))</f>
        <v/>
      </c>
      <c r="DW315" s="86" t="str">
        <f aca="false">IF($DJ315&gt;$DI$8,"",VLOOKUP($DJ315,$DL$9:$DR$508,5,FALSE()))</f>
        <v/>
      </c>
      <c r="DX315" s="87" t="str">
        <f aca="false">IF($DJ315&gt;$DI$8,"",VLOOKUP($DJ315,$DL$9:$DR$508,6,FALSE()))</f>
        <v/>
      </c>
      <c r="DY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88"/>
      <c r="N316" s="88"/>
      <c r="O316" s="134"/>
      <c r="P316" s="134"/>
      <c r="Q316" s="88"/>
      <c r="R316" s="88"/>
      <c r="S316" s="88"/>
      <c r="T316" s="88"/>
      <c r="U316" s="134"/>
      <c r="V316" s="88"/>
      <c r="W316" s="70"/>
      <c r="X316" s="88"/>
      <c r="Y316" s="88"/>
      <c r="Z316" s="70"/>
      <c r="AA316" s="70"/>
      <c r="AB316" s="88"/>
      <c r="AC316" s="88"/>
      <c r="AD316" s="88"/>
      <c r="AE316" s="71"/>
      <c r="AF316" s="88"/>
      <c r="AG316" s="73"/>
      <c r="AH316" s="74"/>
      <c r="AI316" s="74"/>
      <c r="AJ316" s="74" t="str">
        <f aca="false">IF(ISBLANK($C316),"",IF($E316=Constants!$B$2,TRUE(),IF($E316=Constants!$B$3,FALSE(),TRUE())))</f>
        <v/>
      </c>
      <c r="AK316" s="74" t="str">
        <f aca="false">IF(ISBLANK($C316),"",IF($F316=Constants!$B$2,TRUE(),IF($F316=Constants!$B$3,FALSE(),FALSE())))</f>
        <v/>
      </c>
      <c r="AL316" s="74" t="str">
        <f aca="false">IF(ISBLANK($C316),"",IF($G316=Constants!$B$2,TRUE(),IF($G316=Constants!$B$3,FALSE(),TRUE())))</f>
        <v/>
      </c>
      <c r="AM316" s="74" t="str">
        <f aca="false">IF(ISBLANK($C316),"",IF($H316=Constants!$B$2,TRUE(),IF($H316=Constants!$B$3,FALSE(),TRUE())))</f>
        <v/>
      </c>
      <c r="AN316" s="74" t="str">
        <f aca="false">IF(ISBLANK($C316),"",IF(ISNUMBER($I316),IF($I316&gt;=0,$I316,""),""))</f>
        <v/>
      </c>
      <c r="AO316" s="74" t="str">
        <f aca="false">IF(ISBLANK($C316),"",IF(ISNUMBER($J316),IF($J316&gt;=0,$J316,""),""))</f>
        <v/>
      </c>
      <c r="AP316" s="74" t="str">
        <f aca="false">IF(ISBLANK($C316),"",IF(ISNUMBER($K316),IF($K316&gt;=0,$K316,""),""))</f>
        <v/>
      </c>
      <c r="AQ316" s="74" t="str">
        <f aca="false">IF(ISBLANK($C316),"",IF($L316=Constants!$B$2,TRUE(),IF($L316=Constants!$B$3,FALSE(),TRUE())))</f>
        <v/>
      </c>
      <c r="AR316" s="74" t="str">
        <f aca="false">IF(ISBLANK($C316),"",IF($M316=Constants!$B$2,TRUE(),IF($M316=Constants!$B$3,FALSE(),TRUE())))</f>
        <v/>
      </c>
      <c r="AS316" s="74" t="str">
        <f aca="false">IF(ISBLANK($C316),"",IF($N316=Constants!$B$2,TRUE(),IF($N316=Constants!$B$3,FALSE(),FALSE())))</f>
        <v/>
      </c>
      <c r="AT316" s="74" t="str">
        <f aca="false">IF(ISBLANK($C316),"",IF($O316=Constants!$B$2,TRUE(),IF($O316=Constants!$B$3,FALSE(),TRUE())))</f>
        <v/>
      </c>
      <c r="AU316" s="74" t="str">
        <f aca="false">IF(ISBLANK($C316),"",IF($P316=Constants!$B$2,TRUE(),IF($P316=Constants!$B$3,FALSE(),TRUE())))</f>
        <v/>
      </c>
      <c r="AV316" s="74" t="str">
        <f aca="false">IF(ISBLANK($C316),"",IF($Q316=Constants!$B$2,TRUE(),IF($Q316=Constants!$B$3,FALSE(),FALSE())))</f>
        <v/>
      </c>
      <c r="AW316" s="74" t="str">
        <f aca="false">IF(ISBLANK($C316),"",IF($R316=Constants!$B$2,TRUE(),IF($R316=Constants!$B$3,FALSE(),FALSE())))</f>
        <v/>
      </c>
      <c r="AX316" s="74" t="str">
        <f aca="false">IF(ISBLANK($C316),"",IF($S316=Constants!$B$2,TRUE(),IF($S316=Constants!$B$3,FALSE(),FALSE())))</f>
        <v/>
      </c>
      <c r="AY316" s="74" t="str">
        <f aca="false">IF(ISBLANK($C316),"",IF($T316=Constants!$B$2,TRUE(),IF($T316=Constants!$B$3,FALSE(),FALSE())))</f>
        <v/>
      </c>
      <c r="AZ316" s="74" t="str">
        <f aca="false">IF(ISBLANK($C316),"",IF($U316=Constants!$B$2,TRUE(),IF($U316=Constants!$B$3,FALSE(),FALSE())))</f>
        <v/>
      </c>
      <c r="BA316" s="74" t="str">
        <f aca="false">IF(ISBLANK($C316),"",IF(OR($V316&amp;""="1",$V316&amp;""="2",$V316&amp;""="3",$V316&amp;""="4"),VALUE($V316&amp;""),IF($V316=Constants!$B$12,Constants!$B$12,"")))</f>
        <v/>
      </c>
      <c r="BB316" s="74" t="str">
        <f aca="false">IF(ISBLANK($C316),"",IF(ISBLANK($W316),0,IF(ISNUMBER($W316),IF(AND($W316&gt;=0,$W316&lt;=Constants!$B$21,$W316=INT($W316)),$W316,""),"")))</f>
        <v/>
      </c>
      <c r="BC316" s="74" t="str">
        <f aca="false">IF(ISBLANK($C316),"",IF(ISBLANK($X316),0,IF(ISNUMBER($X316),IF($X316&gt;=0,$X316,""),"")))</f>
        <v/>
      </c>
      <c r="BD316" s="74" t="str">
        <f aca="false">IF(ISBLANK($C316),"",IF($Y316=Constants!$B$2,TRUE(),IF($Y316=Constants!$B$3,FALSE(),TRUE())))</f>
        <v/>
      </c>
      <c r="BE316" s="74" t="str">
        <f aca="false">IF(ISBLANK($C316),"",IF($Z316=Constants!$B$2,TRUE(),IF($Z316=Constants!$B$3,FALSE(),FALSE())))</f>
        <v/>
      </c>
      <c r="BF316" s="74" t="str">
        <f aca="false">IF(ISBLANK($C316),"",IF(ISBLANK($AA316),0,IF(ISNUMBER($AA316),IF(AND($AA316&gt;=0,$AA316&lt;=Constants!$B$35,$AA316=INT($AA316)),$AA316,""),"")))</f>
        <v/>
      </c>
      <c r="BG316" s="74" t="str">
        <f aca="false">IF(ISBLANK($C316),"",IF($AB316=Constants!$B$2,TRUE(),IF($AB316=Constants!$B$3,FALSE(),TRUE())))</f>
        <v/>
      </c>
      <c r="BH316" s="74" t="str">
        <f aca="false">IF(ISBLANK($C316),"",IF($AC316=Constants!$B$2,TRUE(),IF($AC316=Constants!$B$3,FALSE(),TRUE())))</f>
        <v/>
      </c>
      <c r="BI316" s="74" t="str">
        <f aca="false">IF(ISBLANK($C316),"",IF($AD316=Constants!$B$2,TRUE(),IF($AD316=Constants!$B$3,FALSE(),TRUE())))</f>
        <v/>
      </c>
      <c r="BJ316" s="74" t="str">
        <f aca="false">IF(ISBLANK($C316),"",IF(ISNUMBER($AE316),IF($AE316&gt;=0,$AE316,""),""))</f>
        <v/>
      </c>
      <c r="BK316" s="74" t="str">
        <f aca="false">IF(ISBLANK($C316),"",IF($AF316=Constants!$B$2,TRUE(),IF($AF316=Constants!$B$3,FALSE(),FALSE())))</f>
        <v/>
      </c>
      <c r="BL316" s="73" t="str">
        <f aca="false">IF(ISBLANK($C316),"",IF($BK316,Constants!$B$7,IF(COUNTA($E316:$AE316)=0,Constants!$B$6,IF(OR(COUNTA($G316:$AE316)=0,NOT($AM316),$AS316),Constants!$B$5,IF(OR($CM316&lt;&gt;"",$CN316,$CO316,$CP316,$CQ316,$CR316,$CS316),Constants!$B$8,Constants!$B$4)))))</f>
        <v/>
      </c>
      <c r="BM316" s="74" t="str">
        <f aca="false">IF(ISBLANK($C316),"",IF($BL316&lt;&gt;Constants!$B$4,$BL316,IF(OR(NOT($AJ316),NOT($AL316),NOT($AT316)),Constants!$B$11,IF(OR(NOT($AR316),NOT($AU316),NOT($BI316),MAX($AN316,$AO316,$AP316)&gt;Constants!$B$30),Constants!$B$10,Constants!$B$9))))</f>
        <v/>
      </c>
      <c r="BN316" s="74" t="str">
        <f aca="false">IF($BL316&lt;&gt;Constants!$B$4,"",IF(NOT($AL316),0,MIN(Constants!$B$35,$BF316)))</f>
        <v/>
      </c>
      <c r="BO316" s="74" t="str">
        <f aca="false">IF($BL316&lt;&gt;Constants!$B$4,"",IF(NOT($AL316),0,IF($AW316,Constants!$B$18,IF($AV316,Constants!$B$17,0))))</f>
        <v/>
      </c>
      <c r="BP316" s="74" t="str">
        <f aca="false">IF($BL316&lt;&gt;Constants!$B$4,"",IF(NOT($AL316),0,Constants!$B$19*($AK316+$AX316+$AY316+$AZ316)))</f>
        <v/>
      </c>
      <c r="BQ316" s="74" t="str">
        <f aca="false">IF($BL316&lt;&gt;Constants!$B$4,"",IF(OR(NOT($AL316),NOT(ISNUMBER($BA316))),0,CHOOSE($BA316,Constants!$B$13,Constants!$B$14,Constants!$B$15,Constants!$B$16)))</f>
        <v/>
      </c>
      <c r="BR316" s="74" t="str">
        <f aca="false">IF($BL316&lt;&gt;Constants!$B$4,"",IF(NOT($AL316),0,Constants!$B$20*$BB316))</f>
        <v/>
      </c>
      <c r="BS316" s="74" t="str">
        <f aca="false">IF($BL316&lt;&gt;Constants!$B$4,"",IF(AND($AL316,$BD316,$BE316),Constants!$B$22,0))</f>
        <v/>
      </c>
      <c r="BT316" s="74" t="str">
        <f aca="false">IF($BL316&lt;&gt;Constants!$B$4,"",IF(OR(NOT($AL316),NOT($BD316)),0,IF($BJ316&gt;=2*$AH$9,0,Constants!$B$23*INT(ROUND(MIN($BJ316,$AH$9),6)))))</f>
        <v/>
      </c>
      <c r="BU316" s="74" t="str">
        <f aca="false">IF($BL316&lt;&gt;Constants!$B$4,"",IF(NOT($AL316),0,Constants!$B$24*INT(ROUND(MIN($BC316,$AH$9),6))))</f>
        <v/>
      </c>
      <c r="BV316" s="74" t="str">
        <f aca="false">IF($BL316&lt;&gt;Constants!$B$4,"",IF(AND($AL316,$BN316=0),Constants!$B$25,0))</f>
        <v/>
      </c>
      <c r="BW316" s="74" t="str">
        <f aca="false">IF($BL316&lt;&gt;Constants!$B$4,"",MIN(Constants!$B$29,MAX(0,Constants!$B$27*Constants!$B$28*INT(ROUND((Constants!$B$26-$AN316)/Constants!$B$28,6))))+MIN(Constants!$B$29,MAX(0,Constants!$B$27*Constants!$B$28*INT(ROUND((Constants!$B$26-$AO316)/Constants!$B$28,6))))+MIN(Constants!$B$29,MAX(0,Constants!$B$27*Constants!$B$28*INT(ROUND((Constants!$B$26-$AP316)/Constants!$B$28,6)))))</f>
        <v/>
      </c>
      <c r="BX316" s="74" t="str">
        <f aca="false">IF($BL316&lt;&gt;Constants!$B$4,"",IF(NOT($AL316),0,Constants!$B$31*INT(ROUND(MAX(0,MIN($BJ316,2*$AH$9)-$AH$9),6))))</f>
        <v/>
      </c>
      <c r="BY316" s="74" t="str">
        <f aca="false">IF($BL316&lt;&gt;Constants!$B$4,"",Constants!$B$32*(($AN316&gt;Constants!$B$26)+($AO316&gt;Constants!$B$26)+($AP316&gt;Constants!$B$26)))</f>
        <v/>
      </c>
      <c r="BZ316" s="74" t="str">
        <f aca="false">IF($BL316&lt;&gt;Constants!$B$4,"",IF(OR(NOT($AL316),$AQ316),0,Constants!$B$33))</f>
        <v/>
      </c>
      <c r="CA316" s="74" t="str">
        <f aca="false">IF($BL316&lt;&gt;Constants!$B$4,"",Constants!$B$34*$BN316)</f>
        <v/>
      </c>
      <c r="CB316" s="74" t="str">
        <f aca="false">IF($BL316&lt;&gt;Constants!$B$4,"",IF(OR(NOT($AL316),$BH316),0,Constants!$B$36))</f>
        <v/>
      </c>
      <c r="CC316" s="74" t="str">
        <f aca="false">IF($BL316&lt;&gt;Constants!$B$4,"",IF(OR(NOT($AL316),$BG316),0,Constants!$B$37))</f>
        <v/>
      </c>
      <c r="CD316" s="74" t="str">
        <f aca="false">IF($BL316&lt;&gt;Constants!$B$4,"",SUM($BX316:$CC316))</f>
        <v/>
      </c>
      <c r="CE316" s="74" t="str">
        <f aca="false">IF(ISBLANK($C316),"",IF($BL316&lt;&gt;Constants!$B$4,$BL316,SUM($BO316:$BW316)-$CD316))</f>
        <v/>
      </c>
      <c r="CF316" s="74" t="str">
        <f aca="false">IF(ISBLANK($C316),"",IF($BL316&lt;&gt;Constants!$B$4,$BL316,RANK($CE316,$CE$9:$CE$508)))</f>
        <v/>
      </c>
      <c r="CG316" s="74" t="str">
        <f aca="false">IF(ISBLANK($C316),"",IF($BL316&lt;&gt;Constants!$B$4,$BL316,COUNTIFS($BM$9:$BM$508,"&lt;"&amp;$BM316)+COUNTIFS($BM$9:$BM$508,$BM316,$CF$9:$CF$508,"&lt;"&amp;$CF316)+1))</f>
        <v/>
      </c>
      <c r="CH316" s="74" t="str">
        <f aca="false">IF(ISBLANK($C316),"",IF($BL316&lt;&gt;Constants!$B$4,$BL316,RANK($CD316,$CD$9:$CD$508,1)))</f>
        <v/>
      </c>
      <c r="CI316" s="74" t="str">
        <f aca="false">IF($BL316&lt;&gt;Constants!$B$4,"",$AN316+$AO316+$AP316)</f>
        <v/>
      </c>
      <c r="CJ316" s="74" t="str">
        <f aca="false">IF(ISBLANK($C316),"",IF($BL316&lt;&gt;Constants!$B$4,$BL316,RANK($CI316,$CI$9:$CI$508,1)))</f>
        <v/>
      </c>
      <c r="CK316" s="74" t="str">
        <f aca="false">IF(ISBLANK($C316),"",IF($BL316&lt;&gt;Constants!$B$4,$BL316,COUNTIFS($BM$9:$BM$508,"&lt;"&amp;$BM316)+COUNTIFS($BM$9:$BM$508,$BM316,$CF$9:$CF$508,"&lt;"&amp;$CF316)+COUNTIFS($BM$9:$BM$508,$BM316,$CF$9:$CF$508,$CF316,$CH$9:$CH$508,"&lt;"&amp;$CH316)+COUNTIFS($BM$9:$BM$508,$BM316,$CF$9:$CF$508,$CF316,$CH$9:$CH$508,$CH316,$CJ$9:$CJ$508,"&lt;"&amp;$CJ316)+1))</f>
        <v/>
      </c>
      <c r="CL316" s="74" t="str">
        <f aca="false">IF(ISBLANK($C316),"",IF($BL316&lt;&gt;Constants!$B$4,$BL316,$CG316-$CK316))</f>
        <v/>
      </c>
      <c r="CM316" s="74" t="str">
        <f aca="false">IF(ISBLANK($C316),"",IF(NOT($AL316),"",IF(ISBLANK($D$7),$CM$5,IF(NOT(ISNUMBER($D$7)),$CM$6,""))))</f>
        <v/>
      </c>
      <c r="CN316" s="74" t="str">
        <f aca="false">IF(ISBLANK($C316),"",OR($AN316="",$AO316="",$AP316=""))</f>
        <v/>
      </c>
      <c r="CO316" s="74" t="str">
        <f aca="false">IF(ISBLANK($C316),"",AND($AL316,$BA316=""))</f>
        <v/>
      </c>
      <c r="CP316" s="74" t="str">
        <f aca="false">IF(ISBLANK($C316),"",AND($AL316,$BB316=""))</f>
        <v/>
      </c>
      <c r="CQ316" s="74" t="str">
        <f aca="false">IF(ISBLANK($C316),"",AND($AL316,$BC316=""))</f>
        <v/>
      </c>
      <c r="CR316" s="74" t="str">
        <f aca="false">IF(ISBLANK($C316),"",AND($AL316,$BF316=""))</f>
        <v/>
      </c>
      <c r="CS316" s="74" t="str">
        <f aca="false">IF(ISBLANK($C316),"",AND($AL316,$BJ316=""))</f>
        <v/>
      </c>
      <c r="CT316" s="75"/>
      <c r="CU316" s="76"/>
      <c r="CV316" s="79" t="str">
        <f aca="false">IF(ISBLANK($C316),"",IF($BL316=Constants!$B$8,$CM316,""))</f>
        <v/>
      </c>
      <c r="CW316" s="76" t="str">
        <f aca="false">IF(ISBLANK($C316),"",IF($BL316&lt;&gt;Constants!$B$4,"",$BO316+$BP316))</f>
        <v/>
      </c>
      <c r="CX316" s="78" t="str">
        <f aca="false">IF(ISBLANK($C316),"",IF($BL316&lt;&gt;Constants!$B$4,"",$BQ316+$BR316+$BS316))</f>
        <v/>
      </c>
      <c r="CY316" s="78" t="str">
        <f aca="false">IF(ISBLANK($C316),"",IF($BL316&lt;&gt;Constants!$B$4,"",$BT316))</f>
        <v/>
      </c>
      <c r="CZ316" s="78" t="str">
        <f aca="false">IF(ISBLANK($C316),"",IF($BL316&lt;&gt;Constants!$B$4,"",$BU316+$BV316))</f>
        <v/>
      </c>
      <c r="DA316" s="78" t="str">
        <f aca="false">IF(ISBLANK($C316),"",IF($BL316&lt;&gt;Constants!$B$4,"",$BW316))</f>
        <v/>
      </c>
      <c r="DB316" s="78" t="str">
        <f aca="false">IF(ISBLANK($C316),"",IF($BL316&lt;&gt;Constants!$B$4,"",-$CD316))</f>
        <v/>
      </c>
      <c r="DC316" s="79" t="str">
        <f aca="false">IF(ISBLANK($C316),"",$CE316)</f>
        <v/>
      </c>
      <c r="DD316" s="80" t="str">
        <f aca="false">IF(ISBLANK($C316),"",$BM316)</f>
        <v/>
      </c>
      <c r="DE316" s="78" t="str">
        <f aca="false">IF(ISBLANK($C316),"",$CL316)</f>
        <v/>
      </c>
      <c r="DF316" s="78" t="str">
        <f aca="false">IF(ISBLANK($C316),"",$CK316)</f>
        <v/>
      </c>
      <c r="DG316" s="81" t="str">
        <f aca="false">IF(ISBLANK($C316),"",IF($DF316=Constants!$B$7,COUNTA($C$9:$C$508)+2,IF($DF316=Constants!$B$6,COUNTA($C$9:$C$508)+1,IF($DF316=Constants!$B$5,COUNTA($C$9:$C$508),$DF316))))</f>
        <v/>
      </c>
      <c r="DH316" s="7"/>
      <c r="DI316" s="82" t="n">
        <f aca="false">IF(OR(ISNUMBER($DF316),$DF316=Constants!$B$7,$DF316=Constants!$B$5,$DF316=Constants!$B$6),1,0)</f>
        <v>0</v>
      </c>
      <c r="DJ316" s="82" t="n">
        <v>308</v>
      </c>
      <c r="DK316" s="82" t="str">
        <f aca="false">IF(ISBLANK($C316),"",IF(ISNUMBER($DG316),$DG316+ROW($B316)/1000,""))</f>
        <v/>
      </c>
      <c r="DL316" s="82" t="str">
        <f aca="false">IF(ISNUMBER($DK316),RANK($DK316,$DK$9:$DK$508,1),"")</f>
        <v/>
      </c>
      <c r="DM316" s="82" t="str">
        <f aca="false">IF(ISBLANK($C316),"",$B316)</f>
        <v/>
      </c>
      <c r="DN316" s="82" t="str">
        <f aca="false">IF(ISBLANK($C316),"",$C316)</f>
        <v/>
      </c>
      <c r="DO316" s="82" t="str">
        <f aca="false">IF(ISBLANK($C316),"",$D316)</f>
        <v/>
      </c>
      <c r="DP316" s="83" t="str">
        <f aca="false">$DD316</f>
        <v/>
      </c>
      <c r="DQ316" s="84" t="str">
        <f aca="false">$DC316</f>
        <v/>
      </c>
      <c r="DR316" s="82" t="str">
        <f aca="false">IF(ISBLANK($C316),"",$DF316)</f>
        <v/>
      </c>
      <c r="DS316" s="85" t="str">
        <f aca="false">IF($DJ316&gt;$DI$8,"",VLOOKUP($DJ316,$DL$9:$DR$508,7,FALSE()))</f>
        <v/>
      </c>
      <c r="DT316" s="86" t="str">
        <f aca="false">IF($DJ316&gt;$DI$8,"",VLOOKUP($DJ316,$DL$9:$DR$508,2,FALSE()))</f>
        <v/>
      </c>
      <c r="DU316" s="86" t="str">
        <f aca="false">IF($DJ316&gt;$DI$8,"",VLOOKUP($DJ316,$DL$9:$DR$508,3,FALSE()))</f>
        <v/>
      </c>
      <c r="DV316" s="86" t="str">
        <f aca="false">IF($DJ316&gt;$DI$8,"",VLOOKUP($DJ316,$DL$9:$DR$508,4,FALSE()))</f>
        <v/>
      </c>
      <c r="DW316" s="86" t="str">
        <f aca="false">IF($DJ316&gt;$DI$8,"",VLOOKUP($DJ316,$DL$9:$DR$508,5,FALSE()))</f>
        <v/>
      </c>
      <c r="DX316" s="87" t="str">
        <f aca="false">IF($DJ316&gt;$DI$8,"",VLOOKUP($DJ316,$DL$9:$DR$508,6,FALSE()))</f>
        <v/>
      </c>
      <c r="DY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88"/>
      <c r="N317" s="88"/>
      <c r="O317" s="134"/>
      <c r="P317" s="134"/>
      <c r="Q317" s="88"/>
      <c r="R317" s="88"/>
      <c r="S317" s="88"/>
      <c r="T317" s="88"/>
      <c r="U317" s="134"/>
      <c r="V317" s="88"/>
      <c r="W317" s="70"/>
      <c r="X317" s="88"/>
      <c r="Y317" s="88"/>
      <c r="Z317" s="70"/>
      <c r="AA317" s="70"/>
      <c r="AB317" s="88"/>
      <c r="AC317" s="88"/>
      <c r="AD317" s="88"/>
      <c r="AE317" s="71"/>
      <c r="AF317" s="88"/>
      <c r="AG317" s="73"/>
      <c r="AH317" s="74"/>
      <c r="AI317" s="74"/>
      <c r="AJ317" s="74" t="str">
        <f aca="false">IF(ISBLANK($C317),"",IF($E317=Constants!$B$2,TRUE(),IF($E317=Constants!$B$3,FALSE(),TRUE())))</f>
        <v/>
      </c>
      <c r="AK317" s="74" t="str">
        <f aca="false">IF(ISBLANK($C317),"",IF($F317=Constants!$B$2,TRUE(),IF($F317=Constants!$B$3,FALSE(),FALSE())))</f>
        <v/>
      </c>
      <c r="AL317" s="74" t="str">
        <f aca="false">IF(ISBLANK($C317),"",IF($G317=Constants!$B$2,TRUE(),IF($G317=Constants!$B$3,FALSE(),TRUE())))</f>
        <v/>
      </c>
      <c r="AM317" s="74" t="str">
        <f aca="false">IF(ISBLANK($C317),"",IF($H317=Constants!$B$2,TRUE(),IF($H317=Constants!$B$3,FALSE(),TRUE())))</f>
        <v/>
      </c>
      <c r="AN317" s="74" t="str">
        <f aca="false">IF(ISBLANK($C317),"",IF(ISNUMBER($I317),IF($I317&gt;=0,$I317,""),""))</f>
        <v/>
      </c>
      <c r="AO317" s="74" t="str">
        <f aca="false">IF(ISBLANK($C317),"",IF(ISNUMBER($J317),IF($J317&gt;=0,$J317,""),""))</f>
        <v/>
      </c>
      <c r="AP317" s="74" t="str">
        <f aca="false">IF(ISBLANK($C317),"",IF(ISNUMBER($K317),IF($K317&gt;=0,$K317,""),""))</f>
        <v/>
      </c>
      <c r="AQ317" s="74" t="str">
        <f aca="false">IF(ISBLANK($C317),"",IF($L317=Constants!$B$2,TRUE(),IF($L317=Constants!$B$3,FALSE(),TRUE())))</f>
        <v/>
      </c>
      <c r="AR317" s="74" t="str">
        <f aca="false">IF(ISBLANK($C317),"",IF($M317=Constants!$B$2,TRUE(),IF($M317=Constants!$B$3,FALSE(),TRUE())))</f>
        <v/>
      </c>
      <c r="AS317" s="74" t="str">
        <f aca="false">IF(ISBLANK($C317),"",IF($N317=Constants!$B$2,TRUE(),IF($N317=Constants!$B$3,FALSE(),FALSE())))</f>
        <v/>
      </c>
      <c r="AT317" s="74" t="str">
        <f aca="false">IF(ISBLANK($C317),"",IF($O317=Constants!$B$2,TRUE(),IF($O317=Constants!$B$3,FALSE(),TRUE())))</f>
        <v/>
      </c>
      <c r="AU317" s="74" t="str">
        <f aca="false">IF(ISBLANK($C317),"",IF($P317=Constants!$B$2,TRUE(),IF($P317=Constants!$B$3,FALSE(),TRUE())))</f>
        <v/>
      </c>
      <c r="AV317" s="74" t="str">
        <f aca="false">IF(ISBLANK($C317),"",IF($Q317=Constants!$B$2,TRUE(),IF($Q317=Constants!$B$3,FALSE(),FALSE())))</f>
        <v/>
      </c>
      <c r="AW317" s="74" t="str">
        <f aca="false">IF(ISBLANK($C317),"",IF($R317=Constants!$B$2,TRUE(),IF($R317=Constants!$B$3,FALSE(),FALSE())))</f>
        <v/>
      </c>
      <c r="AX317" s="74" t="str">
        <f aca="false">IF(ISBLANK($C317),"",IF($S317=Constants!$B$2,TRUE(),IF($S317=Constants!$B$3,FALSE(),FALSE())))</f>
        <v/>
      </c>
      <c r="AY317" s="74" t="str">
        <f aca="false">IF(ISBLANK($C317),"",IF($T317=Constants!$B$2,TRUE(),IF($T317=Constants!$B$3,FALSE(),FALSE())))</f>
        <v/>
      </c>
      <c r="AZ317" s="74" t="str">
        <f aca="false">IF(ISBLANK($C317),"",IF($U317=Constants!$B$2,TRUE(),IF($U317=Constants!$B$3,FALSE(),FALSE())))</f>
        <v/>
      </c>
      <c r="BA317" s="74" t="str">
        <f aca="false">IF(ISBLANK($C317),"",IF(OR($V317&amp;""="1",$V317&amp;""="2",$V317&amp;""="3",$V317&amp;""="4"),VALUE($V317&amp;""),IF($V317=Constants!$B$12,Constants!$B$12,"")))</f>
        <v/>
      </c>
      <c r="BB317" s="74" t="str">
        <f aca="false">IF(ISBLANK($C317),"",IF(ISBLANK($W317),0,IF(ISNUMBER($W317),IF(AND($W317&gt;=0,$W317&lt;=Constants!$B$21,$W317=INT($W317)),$W317,""),"")))</f>
        <v/>
      </c>
      <c r="BC317" s="74" t="str">
        <f aca="false">IF(ISBLANK($C317),"",IF(ISBLANK($X317),0,IF(ISNUMBER($X317),IF($X317&gt;=0,$X317,""),"")))</f>
        <v/>
      </c>
      <c r="BD317" s="74" t="str">
        <f aca="false">IF(ISBLANK($C317),"",IF($Y317=Constants!$B$2,TRUE(),IF($Y317=Constants!$B$3,FALSE(),TRUE())))</f>
        <v/>
      </c>
      <c r="BE317" s="74" t="str">
        <f aca="false">IF(ISBLANK($C317),"",IF($Z317=Constants!$B$2,TRUE(),IF($Z317=Constants!$B$3,FALSE(),FALSE())))</f>
        <v/>
      </c>
      <c r="BF317" s="74" t="str">
        <f aca="false">IF(ISBLANK($C317),"",IF(ISBLANK($AA317),0,IF(ISNUMBER($AA317),IF(AND($AA317&gt;=0,$AA317&lt;=Constants!$B$35,$AA317=INT($AA317)),$AA317,""),"")))</f>
        <v/>
      </c>
      <c r="BG317" s="74" t="str">
        <f aca="false">IF(ISBLANK($C317),"",IF($AB317=Constants!$B$2,TRUE(),IF($AB317=Constants!$B$3,FALSE(),TRUE())))</f>
        <v/>
      </c>
      <c r="BH317" s="74" t="str">
        <f aca="false">IF(ISBLANK($C317),"",IF($AC317=Constants!$B$2,TRUE(),IF($AC317=Constants!$B$3,FALSE(),TRUE())))</f>
        <v/>
      </c>
      <c r="BI317" s="74" t="str">
        <f aca="false">IF(ISBLANK($C317),"",IF($AD317=Constants!$B$2,TRUE(),IF($AD317=Constants!$B$3,FALSE(),TRUE())))</f>
        <v/>
      </c>
      <c r="BJ317" s="74" t="str">
        <f aca="false">IF(ISBLANK($C317),"",IF(ISNUMBER($AE317),IF($AE317&gt;=0,$AE317,""),""))</f>
        <v/>
      </c>
      <c r="BK317" s="74" t="str">
        <f aca="false">IF(ISBLANK($C317),"",IF($AF317=Constants!$B$2,TRUE(),IF($AF317=Constants!$B$3,FALSE(),FALSE())))</f>
        <v/>
      </c>
      <c r="BL317" s="73" t="str">
        <f aca="false">IF(ISBLANK($C317),"",IF($BK317,Constants!$B$7,IF(COUNTA($E317:$AE317)=0,Constants!$B$6,IF(OR(COUNTA($G317:$AE317)=0,NOT($AM317),$AS317),Constants!$B$5,IF(OR($CM317&lt;&gt;"",$CN317,$CO317,$CP317,$CQ317,$CR317,$CS317),Constants!$B$8,Constants!$B$4)))))</f>
        <v/>
      </c>
      <c r="BM317" s="74" t="str">
        <f aca="false">IF(ISBLANK($C317),"",IF($BL317&lt;&gt;Constants!$B$4,$BL317,IF(OR(NOT($AJ317),NOT($AL317),NOT($AT317)),Constants!$B$11,IF(OR(NOT($AR317),NOT($AU317),NOT($BI317),MAX($AN317,$AO317,$AP317)&gt;Constants!$B$30),Constants!$B$10,Constants!$B$9))))</f>
        <v/>
      </c>
      <c r="BN317" s="74" t="str">
        <f aca="false">IF($BL317&lt;&gt;Constants!$B$4,"",IF(NOT($AL317),0,MIN(Constants!$B$35,$BF317)))</f>
        <v/>
      </c>
      <c r="BO317" s="74" t="str">
        <f aca="false">IF($BL317&lt;&gt;Constants!$B$4,"",IF(NOT($AL317),0,IF($AW317,Constants!$B$18,IF($AV317,Constants!$B$17,0))))</f>
        <v/>
      </c>
      <c r="BP317" s="74" t="str">
        <f aca="false">IF($BL317&lt;&gt;Constants!$B$4,"",IF(NOT($AL317),0,Constants!$B$19*($AK317+$AX317+$AY317+$AZ317)))</f>
        <v/>
      </c>
      <c r="BQ317" s="74" t="str">
        <f aca="false">IF($BL317&lt;&gt;Constants!$B$4,"",IF(OR(NOT($AL317),NOT(ISNUMBER($BA317))),0,CHOOSE($BA317,Constants!$B$13,Constants!$B$14,Constants!$B$15,Constants!$B$16)))</f>
        <v/>
      </c>
      <c r="BR317" s="74" t="str">
        <f aca="false">IF($BL317&lt;&gt;Constants!$B$4,"",IF(NOT($AL317),0,Constants!$B$20*$BB317))</f>
        <v/>
      </c>
      <c r="BS317" s="74" t="str">
        <f aca="false">IF($BL317&lt;&gt;Constants!$B$4,"",IF(AND($AL317,$BD317,$BE317),Constants!$B$22,0))</f>
        <v/>
      </c>
      <c r="BT317" s="74" t="str">
        <f aca="false">IF($BL317&lt;&gt;Constants!$B$4,"",IF(OR(NOT($AL317),NOT($BD317)),0,IF($BJ317&gt;=2*$AH$9,0,Constants!$B$23*INT(ROUND(MIN($BJ317,$AH$9),6)))))</f>
        <v/>
      </c>
      <c r="BU317" s="74" t="str">
        <f aca="false">IF($BL317&lt;&gt;Constants!$B$4,"",IF(NOT($AL317),0,Constants!$B$24*INT(ROUND(MIN($BC317,$AH$9),6))))</f>
        <v/>
      </c>
      <c r="BV317" s="74" t="str">
        <f aca="false">IF($BL317&lt;&gt;Constants!$B$4,"",IF(AND($AL317,$BN317=0),Constants!$B$25,0))</f>
        <v/>
      </c>
      <c r="BW317" s="74" t="str">
        <f aca="false">IF($BL317&lt;&gt;Constants!$B$4,"",MIN(Constants!$B$29,MAX(0,Constants!$B$27*Constants!$B$28*INT(ROUND((Constants!$B$26-$AN317)/Constants!$B$28,6))))+MIN(Constants!$B$29,MAX(0,Constants!$B$27*Constants!$B$28*INT(ROUND((Constants!$B$26-$AO317)/Constants!$B$28,6))))+MIN(Constants!$B$29,MAX(0,Constants!$B$27*Constants!$B$28*INT(ROUND((Constants!$B$26-$AP317)/Constants!$B$28,6)))))</f>
        <v/>
      </c>
      <c r="BX317" s="74" t="str">
        <f aca="false">IF($BL317&lt;&gt;Constants!$B$4,"",IF(NOT($AL317),0,Constants!$B$31*INT(ROUND(MAX(0,MIN($BJ317,2*$AH$9)-$AH$9),6))))</f>
        <v/>
      </c>
      <c r="BY317" s="74" t="str">
        <f aca="false">IF($BL317&lt;&gt;Constants!$B$4,"",Constants!$B$32*(($AN317&gt;Constants!$B$26)+($AO317&gt;Constants!$B$26)+($AP317&gt;Constants!$B$26)))</f>
        <v/>
      </c>
      <c r="BZ317" s="74" t="str">
        <f aca="false">IF($BL317&lt;&gt;Constants!$B$4,"",IF(OR(NOT($AL317),$AQ317),0,Constants!$B$33))</f>
        <v/>
      </c>
      <c r="CA317" s="74" t="str">
        <f aca="false">IF($BL317&lt;&gt;Constants!$B$4,"",Constants!$B$34*$BN317)</f>
        <v/>
      </c>
      <c r="CB317" s="74" t="str">
        <f aca="false">IF($BL317&lt;&gt;Constants!$B$4,"",IF(OR(NOT($AL317),$BH317),0,Constants!$B$36))</f>
        <v/>
      </c>
      <c r="CC317" s="74" t="str">
        <f aca="false">IF($BL317&lt;&gt;Constants!$B$4,"",IF(OR(NOT($AL317),$BG317),0,Constants!$B$37))</f>
        <v/>
      </c>
      <c r="CD317" s="74" t="str">
        <f aca="false">IF($BL317&lt;&gt;Constants!$B$4,"",SUM($BX317:$CC317))</f>
        <v/>
      </c>
      <c r="CE317" s="74" t="str">
        <f aca="false">IF(ISBLANK($C317),"",IF($BL317&lt;&gt;Constants!$B$4,$BL317,SUM($BO317:$BW317)-$CD317))</f>
        <v/>
      </c>
      <c r="CF317" s="74" t="str">
        <f aca="false">IF(ISBLANK($C317),"",IF($BL317&lt;&gt;Constants!$B$4,$BL317,RANK($CE317,$CE$9:$CE$508)))</f>
        <v/>
      </c>
      <c r="CG317" s="74" t="str">
        <f aca="false">IF(ISBLANK($C317),"",IF($BL317&lt;&gt;Constants!$B$4,$BL317,COUNTIFS($BM$9:$BM$508,"&lt;"&amp;$BM317)+COUNTIFS($BM$9:$BM$508,$BM317,$CF$9:$CF$508,"&lt;"&amp;$CF317)+1))</f>
        <v/>
      </c>
      <c r="CH317" s="74" t="str">
        <f aca="false">IF(ISBLANK($C317),"",IF($BL317&lt;&gt;Constants!$B$4,$BL317,RANK($CD317,$CD$9:$CD$508,1)))</f>
        <v/>
      </c>
      <c r="CI317" s="74" t="str">
        <f aca="false">IF($BL317&lt;&gt;Constants!$B$4,"",$AN317+$AO317+$AP317)</f>
        <v/>
      </c>
      <c r="CJ317" s="74" t="str">
        <f aca="false">IF(ISBLANK($C317),"",IF($BL317&lt;&gt;Constants!$B$4,$BL317,RANK($CI317,$CI$9:$CI$508,1)))</f>
        <v/>
      </c>
      <c r="CK317" s="74" t="str">
        <f aca="false">IF(ISBLANK($C317),"",IF($BL317&lt;&gt;Constants!$B$4,$BL317,COUNTIFS($BM$9:$BM$508,"&lt;"&amp;$BM317)+COUNTIFS($BM$9:$BM$508,$BM317,$CF$9:$CF$508,"&lt;"&amp;$CF317)+COUNTIFS($BM$9:$BM$508,$BM317,$CF$9:$CF$508,$CF317,$CH$9:$CH$508,"&lt;"&amp;$CH317)+COUNTIFS($BM$9:$BM$508,$BM317,$CF$9:$CF$508,$CF317,$CH$9:$CH$508,$CH317,$CJ$9:$CJ$508,"&lt;"&amp;$CJ317)+1))</f>
        <v/>
      </c>
      <c r="CL317" s="74" t="str">
        <f aca="false">IF(ISBLANK($C317),"",IF($BL317&lt;&gt;Constants!$B$4,$BL317,$CG317-$CK317))</f>
        <v/>
      </c>
      <c r="CM317" s="74" t="str">
        <f aca="false">IF(ISBLANK($C317),"",IF(NOT($AL317),"",IF(ISBLANK($D$7),$CM$5,IF(NOT(ISNUMBER($D$7)),$CM$6,""))))</f>
        <v/>
      </c>
      <c r="CN317" s="74" t="str">
        <f aca="false">IF(ISBLANK($C317),"",OR($AN317="",$AO317="",$AP317=""))</f>
        <v/>
      </c>
      <c r="CO317" s="74" t="str">
        <f aca="false">IF(ISBLANK($C317),"",AND($AL317,$BA317=""))</f>
        <v/>
      </c>
      <c r="CP317" s="74" t="str">
        <f aca="false">IF(ISBLANK($C317),"",AND($AL317,$BB317=""))</f>
        <v/>
      </c>
      <c r="CQ317" s="74" t="str">
        <f aca="false">IF(ISBLANK($C317),"",AND($AL317,$BC317=""))</f>
        <v/>
      </c>
      <c r="CR317" s="74" t="str">
        <f aca="false">IF(ISBLANK($C317),"",AND($AL317,$BF317=""))</f>
        <v/>
      </c>
      <c r="CS317" s="74" t="str">
        <f aca="false">IF(ISBLANK($C317),"",AND($AL317,$BJ317=""))</f>
        <v/>
      </c>
      <c r="CT317" s="75"/>
      <c r="CU317" s="76"/>
      <c r="CV317" s="79" t="str">
        <f aca="false">IF(ISBLANK($C317),"",IF($BL317=Constants!$B$8,$CM317,""))</f>
        <v/>
      </c>
      <c r="CW317" s="76" t="str">
        <f aca="false">IF(ISBLANK($C317),"",IF($BL317&lt;&gt;Constants!$B$4,"",$BO317+$BP317))</f>
        <v/>
      </c>
      <c r="CX317" s="78" t="str">
        <f aca="false">IF(ISBLANK($C317),"",IF($BL317&lt;&gt;Constants!$B$4,"",$BQ317+$BR317+$BS317))</f>
        <v/>
      </c>
      <c r="CY317" s="78" t="str">
        <f aca="false">IF(ISBLANK($C317),"",IF($BL317&lt;&gt;Constants!$B$4,"",$BT317))</f>
        <v/>
      </c>
      <c r="CZ317" s="78" t="str">
        <f aca="false">IF(ISBLANK($C317),"",IF($BL317&lt;&gt;Constants!$B$4,"",$BU317+$BV317))</f>
        <v/>
      </c>
      <c r="DA317" s="78" t="str">
        <f aca="false">IF(ISBLANK($C317),"",IF($BL317&lt;&gt;Constants!$B$4,"",$BW317))</f>
        <v/>
      </c>
      <c r="DB317" s="78" t="str">
        <f aca="false">IF(ISBLANK($C317),"",IF($BL317&lt;&gt;Constants!$B$4,"",-$CD317))</f>
        <v/>
      </c>
      <c r="DC317" s="79" t="str">
        <f aca="false">IF(ISBLANK($C317),"",$CE317)</f>
        <v/>
      </c>
      <c r="DD317" s="80" t="str">
        <f aca="false">IF(ISBLANK($C317),"",$BM317)</f>
        <v/>
      </c>
      <c r="DE317" s="78" t="str">
        <f aca="false">IF(ISBLANK($C317),"",$CL317)</f>
        <v/>
      </c>
      <c r="DF317" s="78" t="str">
        <f aca="false">IF(ISBLANK($C317),"",$CK317)</f>
        <v/>
      </c>
      <c r="DG317" s="81" t="str">
        <f aca="false">IF(ISBLANK($C317),"",IF($DF317=Constants!$B$7,COUNTA($C$9:$C$508)+2,IF($DF317=Constants!$B$6,COUNTA($C$9:$C$508)+1,IF($DF317=Constants!$B$5,COUNTA($C$9:$C$508),$DF317))))</f>
        <v/>
      </c>
      <c r="DH317" s="7"/>
      <c r="DI317" s="82" t="n">
        <f aca="false">IF(OR(ISNUMBER($DF317),$DF317=Constants!$B$7,$DF317=Constants!$B$5,$DF317=Constants!$B$6),1,0)</f>
        <v>0</v>
      </c>
      <c r="DJ317" s="82" t="n">
        <v>309</v>
      </c>
      <c r="DK317" s="82" t="str">
        <f aca="false">IF(ISBLANK($C317),"",IF(ISNUMBER($DG317),$DG317+ROW($B317)/1000,""))</f>
        <v/>
      </c>
      <c r="DL317" s="82" t="str">
        <f aca="false">IF(ISNUMBER($DK317),RANK($DK317,$DK$9:$DK$508,1),"")</f>
        <v/>
      </c>
      <c r="DM317" s="82" t="str">
        <f aca="false">IF(ISBLANK($C317),"",$B317)</f>
        <v/>
      </c>
      <c r="DN317" s="82" t="str">
        <f aca="false">IF(ISBLANK($C317),"",$C317)</f>
        <v/>
      </c>
      <c r="DO317" s="82" t="str">
        <f aca="false">IF(ISBLANK($C317),"",$D317)</f>
        <v/>
      </c>
      <c r="DP317" s="83" t="str">
        <f aca="false">$DD317</f>
        <v/>
      </c>
      <c r="DQ317" s="84" t="str">
        <f aca="false">$DC317</f>
        <v/>
      </c>
      <c r="DR317" s="82" t="str">
        <f aca="false">IF(ISBLANK($C317),"",$DF317)</f>
        <v/>
      </c>
      <c r="DS317" s="85" t="str">
        <f aca="false">IF($DJ317&gt;$DI$8,"",VLOOKUP($DJ317,$DL$9:$DR$508,7,FALSE()))</f>
        <v/>
      </c>
      <c r="DT317" s="86" t="str">
        <f aca="false">IF($DJ317&gt;$DI$8,"",VLOOKUP($DJ317,$DL$9:$DR$508,2,FALSE()))</f>
        <v/>
      </c>
      <c r="DU317" s="86" t="str">
        <f aca="false">IF($DJ317&gt;$DI$8,"",VLOOKUP($DJ317,$DL$9:$DR$508,3,FALSE()))</f>
        <v/>
      </c>
      <c r="DV317" s="86" t="str">
        <f aca="false">IF($DJ317&gt;$DI$8,"",VLOOKUP($DJ317,$DL$9:$DR$508,4,FALSE()))</f>
        <v/>
      </c>
      <c r="DW317" s="86" t="str">
        <f aca="false">IF($DJ317&gt;$DI$8,"",VLOOKUP($DJ317,$DL$9:$DR$508,5,FALSE()))</f>
        <v/>
      </c>
      <c r="DX317" s="87" t="str">
        <f aca="false">IF($DJ317&gt;$DI$8,"",VLOOKUP($DJ317,$DL$9:$DR$508,6,FALSE()))</f>
        <v/>
      </c>
      <c r="DY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130"/>
      <c r="N318" s="130"/>
      <c r="O318" s="135"/>
      <c r="P318" s="135"/>
      <c r="Q318" s="130"/>
      <c r="R318" s="130"/>
      <c r="S318" s="130"/>
      <c r="T318" s="130"/>
      <c r="U318" s="135"/>
      <c r="V318" s="130"/>
      <c r="W318" s="96"/>
      <c r="X318" s="130"/>
      <c r="Y318" s="130"/>
      <c r="Z318" s="96"/>
      <c r="AA318" s="96"/>
      <c r="AB318" s="130"/>
      <c r="AC318" s="130"/>
      <c r="AD318" s="130"/>
      <c r="AE318" s="97"/>
      <c r="AF318" s="130"/>
      <c r="AG318" s="99"/>
      <c r="AH318" s="100"/>
      <c r="AI318" s="100"/>
      <c r="AJ318" s="100" t="str">
        <f aca="false">IF(ISBLANK($C318),"",IF($E318=Constants!$B$2,TRUE(),IF($E318=Constants!$B$3,FALSE(),TRUE())))</f>
        <v/>
      </c>
      <c r="AK318" s="100" t="str">
        <f aca="false">IF(ISBLANK($C318),"",IF($F318=Constants!$B$2,TRUE(),IF($F318=Constants!$B$3,FALSE(),FALSE())))</f>
        <v/>
      </c>
      <c r="AL318" s="100" t="str">
        <f aca="false">IF(ISBLANK($C318),"",IF($G318=Constants!$B$2,TRUE(),IF($G318=Constants!$B$3,FALSE(),TRUE())))</f>
        <v/>
      </c>
      <c r="AM318" s="100" t="str">
        <f aca="false">IF(ISBLANK($C318),"",IF($H318=Constants!$B$2,TRUE(),IF($H318=Constants!$B$3,FALSE(),TRUE())))</f>
        <v/>
      </c>
      <c r="AN318" s="100" t="str">
        <f aca="false">IF(ISBLANK($C318),"",IF(ISNUMBER($I318),IF($I318&gt;=0,$I318,""),""))</f>
        <v/>
      </c>
      <c r="AO318" s="100" t="str">
        <f aca="false">IF(ISBLANK($C318),"",IF(ISNUMBER($J318),IF($J318&gt;=0,$J318,""),""))</f>
        <v/>
      </c>
      <c r="AP318" s="100" t="str">
        <f aca="false">IF(ISBLANK($C318),"",IF(ISNUMBER($K318),IF($K318&gt;=0,$K318,""),""))</f>
        <v/>
      </c>
      <c r="AQ318" s="100" t="str">
        <f aca="false">IF(ISBLANK($C318),"",IF($L318=Constants!$B$2,TRUE(),IF($L318=Constants!$B$3,FALSE(),TRUE())))</f>
        <v/>
      </c>
      <c r="AR318" s="100" t="str">
        <f aca="false">IF(ISBLANK($C318),"",IF($M318=Constants!$B$2,TRUE(),IF($M318=Constants!$B$3,FALSE(),TRUE())))</f>
        <v/>
      </c>
      <c r="AS318" s="100" t="str">
        <f aca="false">IF(ISBLANK($C318),"",IF($N318=Constants!$B$2,TRUE(),IF($N318=Constants!$B$3,FALSE(),FALSE())))</f>
        <v/>
      </c>
      <c r="AT318" s="100" t="str">
        <f aca="false">IF(ISBLANK($C318),"",IF($O318=Constants!$B$2,TRUE(),IF($O318=Constants!$B$3,FALSE(),TRUE())))</f>
        <v/>
      </c>
      <c r="AU318" s="100" t="str">
        <f aca="false">IF(ISBLANK($C318),"",IF($P318=Constants!$B$2,TRUE(),IF($P318=Constants!$B$3,FALSE(),TRUE())))</f>
        <v/>
      </c>
      <c r="AV318" s="100" t="str">
        <f aca="false">IF(ISBLANK($C318),"",IF($Q318=Constants!$B$2,TRUE(),IF($Q318=Constants!$B$3,FALSE(),FALSE())))</f>
        <v/>
      </c>
      <c r="AW318" s="100" t="str">
        <f aca="false">IF(ISBLANK($C318),"",IF($R318=Constants!$B$2,TRUE(),IF($R318=Constants!$B$3,FALSE(),FALSE())))</f>
        <v/>
      </c>
      <c r="AX318" s="100" t="str">
        <f aca="false">IF(ISBLANK($C318),"",IF($S318=Constants!$B$2,TRUE(),IF($S318=Constants!$B$3,FALSE(),FALSE())))</f>
        <v/>
      </c>
      <c r="AY318" s="100" t="str">
        <f aca="false">IF(ISBLANK($C318),"",IF($T318=Constants!$B$2,TRUE(),IF($T318=Constants!$B$3,FALSE(),FALSE())))</f>
        <v/>
      </c>
      <c r="AZ318" s="100" t="str">
        <f aca="false">IF(ISBLANK($C318),"",IF($U318=Constants!$B$2,TRUE(),IF($U318=Constants!$B$3,FALSE(),FALSE())))</f>
        <v/>
      </c>
      <c r="BA318" s="100" t="str">
        <f aca="false">IF(ISBLANK($C318),"",IF(OR($V318&amp;""="1",$V318&amp;""="2",$V318&amp;""="3",$V318&amp;""="4"),VALUE($V318&amp;""),IF($V318=Constants!$B$12,Constants!$B$12,"")))</f>
        <v/>
      </c>
      <c r="BB318" s="100" t="str">
        <f aca="false">IF(ISBLANK($C318),"",IF(ISBLANK($W318),0,IF(ISNUMBER($W318),IF(AND($W318&gt;=0,$W318&lt;=Constants!$B$21,$W318=INT($W318)),$W318,""),"")))</f>
        <v/>
      </c>
      <c r="BC318" s="100" t="str">
        <f aca="false">IF(ISBLANK($C318),"",IF(ISBLANK($X318),0,IF(ISNUMBER($X318),IF($X318&gt;=0,$X318,""),"")))</f>
        <v/>
      </c>
      <c r="BD318" s="100" t="str">
        <f aca="false">IF(ISBLANK($C318),"",IF($Y318=Constants!$B$2,TRUE(),IF($Y318=Constants!$B$3,FALSE(),TRUE())))</f>
        <v/>
      </c>
      <c r="BE318" s="100" t="str">
        <f aca="false">IF(ISBLANK($C318),"",IF($Z318=Constants!$B$2,TRUE(),IF($Z318=Constants!$B$3,FALSE(),FALSE())))</f>
        <v/>
      </c>
      <c r="BF318" s="100" t="str">
        <f aca="false">IF(ISBLANK($C318),"",IF(ISBLANK($AA318),0,IF(ISNUMBER($AA318),IF(AND($AA318&gt;=0,$AA318&lt;=Constants!$B$35,$AA318=INT($AA318)),$AA318,""),"")))</f>
        <v/>
      </c>
      <c r="BG318" s="100" t="str">
        <f aca="false">IF(ISBLANK($C318),"",IF($AB318=Constants!$B$2,TRUE(),IF($AB318=Constants!$B$3,FALSE(),TRUE())))</f>
        <v/>
      </c>
      <c r="BH318" s="100" t="str">
        <f aca="false">IF(ISBLANK($C318),"",IF($AC318=Constants!$B$2,TRUE(),IF($AC318=Constants!$B$3,FALSE(),TRUE())))</f>
        <v/>
      </c>
      <c r="BI318" s="100" t="str">
        <f aca="false">IF(ISBLANK($C318),"",IF($AD318=Constants!$B$2,TRUE(),IF($AD318=Constants!$B$3,FALSE(),TRUE())))</f>
        <v/>
      </c>
      <c r="BJ318" s="100" t="str">
        <f aca="false">IF(ISBLANK($C318),"",IF(ISNUMBER($AE318),IF($AE318&gt;=0,$AE318,""),""))</f>
        <v/>
      </c>
      <c r="BK318" s="100" t="str">
        <f aca="false">IF(ISBLANK($C318),"",IF($AF318=Constants!$B$2,TRUE(),IF($AF318=Constants!$B$3,FALSE(),FALSE())))</f>
        <v/>
      </c>
      <c r="BL318" s="99" t="str">
        <f aca="false">IF(ISBLANK($C318),"",IF($BK318,Constants!$B$7,IF(COUNTA($E318:$AE318)=0,Constants!$B$6,IF(OR(COUNTA($G318:$AE318)=0,NOT($AM318),$AS318),Constants!$B$5,IF(OR($CM318&lt;&gt;"",$CN318,$CO318,$CP318,$CQ318,$CR318,$CS318),Constants!$B$8,Constants!$B$4)))))</f>
        <v/>
      </c>
      <c r="BM318" s="100" t="str">
        <f aca="false">IF(ISBLANK($C318),"",IF($BL318&lt;&gt;Constants!$B$4,$BL318,IF(OR(NOT($AJ318),NOT($AL318),NOT($AT318)),Constants!$B$11,IF(OR(NOT($AR318),NOT($AU318),NOT($BI318),MAX($AN318,$AO318,$AP318)&gt;Constants!$B$30),Constants!$B$10,Constants!$B$9))))</f>
        <v/>
      </c>
      <c r="BN318" s="100" t="str">
        <f aca="false">IF($BL318&lt;&gt;Constants!$B$4,"",IF(NOT($AL318),0,MIN(Constants!$B$35,$BF318)))</f>
        <v/>
      </c>
      <c r="BO318" s="100" t="str">
        <f aca="false">IF($BL318&lt;&gt;Constants!$B$4,"",IF(NOT($AL318),0,IF($AW318,Constants!$B$18,IF($AV318,Constants!$B$17,0))))</f>
        <v/>
      </c>
      <c r="BP318" s="100" t="str">
        <f aca="false">IF($BL318&lt;&gt;Constants!$B$4,"",IF(NOT($AL318),0,Constants!$B$19*($AK318+$AX318+$AY318+$AZ318)))</f>
        <v/>
      </c>
      <c r="BQ318" s="100" t="str">
        <f aca="false">IF($BL318&lt;&gt;Constants!$B$4,"",IF(OR(NOT($AL318),NOT(ISNUMBER($BA318))),0,CHOOSE($BA318,Constants!$B$13,Constants!$B$14,Constants!$B$15,Constants!$B$16)))</f>
        <v/>
      </c>
      <c r="BR318" s="100" t="str">
        <f aca="false">IF($BL318&lt;&gt;Constants!$B$4,"",IF(NOT($AL318),0,Constants!$B$20*$BB318))</f>
        <v/>
      </c>
      <c r="BS318" s="100" t="str">
        <f aca="false">IF($BL318&lt;&gt;Constants!$B$4,"",IF(AND($AL318,$BD318,$BE318),Constants!$B$22,0))</f>
        <v/>
      </c>
      <c r="BT318" s="100" t="str">
        <f aca="false">IF($BL318&lt;&gt;Constants!$B$4,"",IF(OR(NOT($AL318),NOT($BD318)),0,IF($BJ318&gt;=2*$AH$9,0,Constants!$B$23*INT(ROUND(MIN($BJ318,$AH$9),6)))))</f>
        <v/>
      </c>
      <c r="BU318" s="100" t="str">
        <f aca="false">IF($BL318&lt;&gt;Constants!$B$4,"",IF(NOT($AL318),0,Constants!$B$24*INT(ROUND(MIN($BC318,$AH$9),6))))</f>
        <v/>
      </c>
      <c r="BV318" s="100" t="str">
        <f aca="false">IF($BL318&lt;&gt;Constants!$B$4,"",IF(AND($AL318,$BN318=0),Constants!$B$25,0))</f>
        <v/>
      </c>
      <c r="BW318" s="100" t="str">
        <f aca="false">IF($BL318&lt;&gt;Constants!$B$4,"",MIN(Constants!$B$29,MAX(0,Constants!$B$27*Constants!$B$28*INT(ROUND((Constants!$B$26-$AN318)/Constants!$B$28,6))))+MIN(Constants!$B$29,MAX(0,Constants!$B$27*Constants!$B$28*INT(ROUND((Constants!$B$26-$AO318)/Constants!$B$28,6))))+MIN(Constants!$B$29,MAX(0,Constants!$B$27*Constants!$B$28*INT(ROUND((Constants!$B$26-$AP318)/Constants!$B$28,6)))))</f>
        <v/>
      </c>
      <c r="BX318" s="100" t="str">
        <f aca="false">IF($BL318&lt;&gt;Constants!$B$4,"",IF(NOT($AL318),0,Constants!$B$31*INT(ROUND(MAX(0,MIN($BJ318,2*$AH$9)-$AH$9),6))))</f>
        <v/>
      </c>
      <c r="BY318" s="100" t="str">
        <f aca="false">IF($BL318&lt;&gt;Constants!$B$4,"",Constants!$B$32*(($AN318&gt;Constants!$B$26)+($AO318&gt;Constants!$B$26)+($AP318&gt;Constants!$B$26)))</f>
        <v/>
      </c>
      <c r="BZ318" s="100" t="str">
        <f aca="false">IF($BL318&lt;&gt;Constants!$B$4,"",IF(OR(NOT($AL318),$AQ318),0,Constants!$B$33))</f>
        <v/>
      </c>
      <c r="CA318" s="100" t="str">
        <f aca="false">IF($BL318&lt;&gt;Constants!$B$4,"",Constants!$B$34*$BN318)</f>
        <v/>
      </c>
      <c r="CB318" s="100" t="str">
        <f aca="false">IF($BL318&lt;&gt;Constants!$B$4,"",IF(OR(NOT($AL318),$BH318),0,Constants!$B$36))</f>
        <v/>
      </c>
      <c r="CC318" s="100" t="str">
        <f aca="false">IF($BL318&lt;&gt;Constants!$B$4,"",IF(OR(NOT($AL318),$BG318),0,Constants!$B$37))</f>
        <v/>
      </c>
      <c r="CD318" s="100" t="str">
        <f aca="false">IF($BL318&lt;&gt;Constants!$B$4,"",SUM($BX318:$CC318))</f>
        <v/>
      </c>
      <c r="CE318" s="100" t="str">
        <f aca="false">IF(ISBLANK($C318),"",IF($BL318&lt;&gt;Constants!$B$4,$BL318,SUM($BO318:$BW318)-$CD318))</f>
        <v/>
      </c>
      <c r="CF318" s="100" t="str">
        <f aca="false">IF(ISBLANK($C318),"",IF($BL318&lt;&gt;Constants!$B$4,$BL318,RANK($CE318,$CE$9:$CE$508)))</f>
        <v/>
      </c>
      <c r="CG318" s="100" t="str">
        <f aca="false">IF(ISBLANK($C318),"",IF($BL318&lt;&gt;Constants!$B$4,$BL318,COUNTIFS($BM$9:$BM$508,"&lt;"&amp;$BM318)+COUNTIFS($BM$9:$BM$508,$BM318,$CF$9:$CF$508,"&lt;"&amp;$CF318)+1))</f>
        <v/>
      </c>
      <c r="CH318" s="100" t="str">
        <f aca="false">IF(ISBLANK($C318),"",IF($BL318&lt;&gt;Constants!$B$4,$BL318,RANK($CD318,$CD$9:$CD$508,1)))</f>
        <v/>
      </c>
      <c r="CI318" s="100" t="str">
        <f aca="false">IF($BL318&lt;&gt;Constants!$B$4,"",$AN318+$AO318+$AP318)</f>
        <v/>
      </c>
      <c r="CJ318" s="100" t="str">
        <f aca="false">IF(ISBLANK($C318),"",IF($BL318&lt;&gt;Constants!$B$4,$BL318,RANK($CI318,$CI$9:$CI$508,1)))</f>
        <v/>
      </c>
      <c r="CK318" s="100" t="str">
        <f aca="false">IF(ISBLANK($C318),"",IF($BL318&lt;&gt;Constants!$B$4,$BL318,COUNTIFS($BM$9:$BM$508,"&lt;"&amp;$BM318)+COUNTIFS($BM$9:$BM$508,$BM318,$CF$9:$CF$508,"&lt;"&amp;$CF318)+COUNTIFS($BM$9:$BM$508,$BM318,$CF$9:$CF$508,$CF318,$CH$9:$CH$508,"&lt;"&amp;$CH318)+COUNTIFS($BM$9:$BM$508,$BM318,$CF$9:$CF$508,$CF318,$CH$9:$CH$508,$CH318,$CJ$9:$CJ$508,"&lt;"&amp;$CJ318)+1))</f>
        <v/>
      </c>
      <c r="CL318" s="100" t="str">
        <f aca="false">IF(ISBLANK($C318),"",IF($BL318&lt;&gt;Constants!$B$4,$BL318,$CG318-$CK318))</f>
        <v/>
      </c>
      <c r="CM318" s="100" t="str">
        <f aca="false">IF(ISBLANK($C318),"",IF(NOT($AL318),"",IF(ISBLANK($D$7),$CM$5,IF(NOT(ISNUMBER($D$7)),$CM$6,""))))</f>
        <v/>
      </c>
      <c r="CN318" s="100" t="str">
        <f aca="false">IF(ISBLANK($C318),"",OR($AN318="",$AO318="",$AP318=""))</f>
        <v/>
      </c>
      <c r="CO318" s="100" t="str">
        <f aca="false">IF(ISBLANK($C318),"",AND($AL318,$BA318=""))</f>
        <v/>
      </c>
      <c r="CP318" s="100" t="str">
        <f aca="false">IF(ISBLANK($C318),"",AND($AL318,$BB318=""))</f>
        <v/>
      </c>
      <c r="CQ318" s="100" t="str">
        <f aca="false">IF(ISBLANK($C318),"",AND($AL318,$BC318=""))</f>
        <v/>
      </c>
      <c r="CR318" s="100" t="str">
        <f aca="false">IF(ISBLANK($C318),"",AND($AL318,$BF318=""))</f>
        <v/>
      </c>
      <c r="CS318" s="100" t="str">
        <f aca="false">IF(ISBLANK($C318),"",AND($AL318,$BJ318=""))</f>
        <v/>
      </c>
      <c r="CT318" s="101"/>
      <c r="CU318" s="102"/>
      <c r="CV318" s="103" t="str">
        <f aca="false">IF(ISBLANK($C318),"",IF($BL318=Constants!$B$8,$CM318,""))</f>
        <v/>
      </c>
      <c r="CW318" s="102" t="str">
        <f aca="false">IF(ISBLANK($C318),"",IF($BL318&lt;&gt;Constants!$B$4,"",$BO318+$BP318))</f>
        <v/>
      </c>
      <c r="CX318" s="104" t="str">
        <f aca="false">IF(ISBLANK($C318),"",IF($BL318&lt;&gt;Constants!$B$4,"",$BQ318+$BR318+$BS318))</f>
        <v/>
      </c>
      <c r="CY318" s="104" t="str">
        <f aca="false">IF(ISBLANK($C318),"",IF($BL318&lt;&gt;Constants!$B$4,"",$BT318))</f>
        <v/>
      </c>
      <c r="CZ318" s="104" t="str">
        <f aca="false">IF(ISBLANK($C318),"",IF($BL318&lt;&gt;Constants!$B$4,"",$BU318+$BV318))</f>
        <v/>
      </c>
      <c r="DA318" s="104" t="str">
        <f aca="false">IF(ISBLANK($C318),"",IF($BL318&lt;&gt;Constants!$B$4,"",$BW318))</f>
        <v/>
      </c>
      <c r="DB318" s="104" t="str">
        <f aca="false">IF(ISBLANK($C318),"",IF($BL318&lt;&gt;Constants!$B$4,"",-$CD318))</f>
        <v/>
      </c>
      <c r="DC318" s="103" t="str">
        <f aca="false">IF(ISBLANK($C318),"",$CE318)</f>
        <v/>
      </c>
      <c r="DD318" s="105" t="str">
        <f aca="false">IF(ISBLANK($C318),"",$BM318)</f>
        <v/>
      </c>
      <c r="DE318" s="104" t="str">
        <f aca="false">IF(ISBLANK($C318),"",$CL318)</f>
        <v/>
      </c>
      <c r="DF318" s="104" t="str">
        <f aca="false">IF(ISBLANK($C318),"",$CK318)</f>
        <v/>
      </c>
      <c r="DG318" s="106" t="str">
        <f aca="false">IF(ISBLANK($C318),"",IF($DF318=Constants!$B$7,COUNTA($C$9:$C$508)+2,IF($DF318=Constants!$B$6,COUNTA($C$9:$C$508)+1,IF($DF318=Constants!$B$5,COUNTA($C$9:$C$508),$DF318))))</f>
        <v/>
      </c>
      <c r="DH318" s="7"/>
      <c r="DI318" s="107" t="n">
        <f aca="false">IF(OR(ISNUMBER($DF318),$DF318=Constants!$B$7,$DF318=Constants!$B$5,$DF318=Constants!$B$6),1,0)</f>
        <v>0</v>
      </c>
      <c r="DJ318" s="107" t="n">
        <v>310</v>
      </c>
      <c r="DK318" s="107" t="str">
        <f aca="false">IF(ISBLANK($C318),"",IF(ISNUMBER($DG318),$DG318+ROW($B318)/1000,""))</f>
        <v/>
      </c>
      <c r="DL318" s="107" t="str">
        <f aca="false">IF(ISNUMBER($DK318),RANK($DK318,$DK$9:$DK$508,1),"")</f>
        <v/>
      </c>
      <c r="DM318" s="107" t="str">
        <f aca="false">IF(ISBLANK($C318),"",$B318)</f>
        <v/>
      </c>
      <c r="DN318" s="107" t="str">
        <f aca="false">IF(ISBLANK($C318),"",$C318)</f>
        <v/>
      </c>
      <c r="DO318" s="107" t="str">
        <f aca="false">IF(ISBLANK($C318),"",$D318)</f>
        <v/>
      </c>
      <c r="DP318" s="108" t="str">
        <f aca="false">$DD318</f>
        <v/>
      </c>
      <c r="DQ318" s="109" t="str">
        <f aca="false">$DC318</f>
        <v/>
      </c>
      <c r="DR318" s="107" t="str">
        <f aca="false">IF(ISBLANK($C318),"",$DF318)</f>
        <v/>
      </c>
      <c r="DS318" s="110" t="str">
        <f aca="false">IF($DJ318&gt;$DI$8,"",VLOOKUP($DJ318,$DL$9:$DR$508,7,FALSE()))</f>
        <v/>
      </c>
      <c r="DT318" s="111" t="str">
        <f aca="false">IF($DJ318&gt;$DI$8,"",VLOOKUP($DJ318,$DL$9:$DR$508,2,FALSE()))</f>
        <v/>
      </c>
      <c r="DU318" s="111" t="str">
        <f aca="false">IF($DJ318&gt;$DI$8,"",VLOOKUP($DJ318,$DL$9:$DR$508,3,FALSE()))</f>
        <v/>
      </c>
      <c r="DV318" s="111" t="str">
        <f aca="false">IF($DJ318&gt;$DI$8,"",VLOOKUP($DJ318,$DL$9:$DR$508,4,FALSE()))</f>
        <v/>
      </c>
      <c r="DW318" s="111" t="str">
        <f aca="false">IF($DJ318&gt;$DI$8,"",VLOOKUP($DJ318,$DL$9:$DR$508,5,FALSE()))</f>
        <v/>
      </c>
      <c r="DX318" s="112" t="str">
        <f aca="false">IF($DJ318&gt;$DI$8,"",VLOOKUP($DJ318,$DL$9:$DR$508,6,FALSE()))</f>
        <v/>
      </c>
      <c r="DY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130"/>
      <c r="N319" s="130"/>
      <c r="O319" s="135"/>
      <c r="P319" s="135"/>
      <c r="Q319" s="130"/>
      <c r="R319" s="130"/>
      <c r="S319" s="130"/>
      <c r="T319" s="130"/>
      <c r="U319" s="135"/>
      <c r="V319" s="130"/>
      <c r="W319" s="96"/>
      <c r="X319" s="130"/>
      <c r="Y319" s="130"/>
      <c r="Z319" s="96"/>
      <c r="AA319" s="96"/>
      <c r="AB319" s="130"/>
      <c r="AC319" s="130"/>
      <c r="AD319" s="130"/>
      <c r="AE319" s="97"/>
      <c r="AF319" s="130"/>
      <c r="AG319" s="99"/>
      <c r="AH319" s="100"/>
      <c r="AI319" s="100"/>
      <c r="AJ319" s="100" t="str">
        <f aca="false">IF(ISBLANK($C319),"",IF($E319=Constants!$B$2,TRUE(),IF($E319=Constants!$B$3,FALSE(),TRUE())))</f>
        <v/>
      </c>
      <c r="AK319" s="100" t="str">
        <f aca="false">IF(ISBLANK($C319),"",IF($F319=Constants!$B$2,TRUE(),IF($F319=Constants!$B$3,FALSE(),FALSE())))</f>
        <v/>
      </c>
      <c r="AL319" s="100" t="str">
        <f aca="false">IF(ISBLANK($C319),"",IF($G319=Constants!$B$2,TRUE(),IF($G319=Constants!$B$3,FALSE(),TRUE())))</f>
        <v/>
      </c>
      <c r="AM319" s="100" t="str">
        <f aca="false">IF(ISBLANK($C319),"",IF($H319=Constants!$B$2,TRUE(),IF($H319=Constants!$B$3,FALSE(),TRUE())))</f>
        <v/>
      </c>
      <c r="AN319" s="100" t="str">
        <f aca="false">IF(ISBLANK($C319),"",IF(ISNUMBER($I319),IF($I319&gt;=0,$I319,""),""))</f>
        <v/>
      </c>
      <c r="AO319" s="100" t="str">
        <f aca="false">IF(ISBLANK($C319),"",IF(ISNUMBER($J319),IF($J319&gt;=0,$J319,""),""))</f>
        <v/>
      </c>
      <c r="AP319" s="100" t="str">
        <f aca="false">IF(ISBLANK($C319),"",IF(ISNUMBER($K319),IF($K319&gt;=0,$K319,""),""))</f>
        <v/>
      </c>
      <c r="AQ319" s="100" t="str">
        <f aca="false">IF(ISBLANK($C319),"",IF($L319=Constants!$B$2,TRUE(),IF($L319=Constants!$B$3,FALSE(),TRUE())))</f>
        <v/>
      </c>
      <c r="AR319" s="100" t="str">
        <f aca="false">IF(ISBLANK($C319),"",IF($M319=Constants!$B$2,TRUE(),IF($M319=Constants!$B$3,FALSE(),TRUE())))</f>
        <v/>
      </c>
      <c r="AS319" s="100" t="str">
        <f aca="false">IF(ISBLANK($C319),"",IF($N319=Constants!$B$2,TRUE(),IF($N319=Constants!$B$3,FALSE(),FALSE())))</f>
        <v/>
      </c>
      <c r="AT319" s="100" t="str">
        <f aca="false">IF(ISBLANK($C319),"",IF($O319=Constants!$B$2,TRUE(),IF($O319=Constants!$B$3,FALSE(),TRUE())))</f>
        <v/>
      </c>
      <c r="AU319" s="100" t="str">
        <f aca="false">IF(ISBLANK($C319),"",IF($P319=Constants!$B$2,TRUE(),IF($P319=Constants!$B$3,FALSE(),TRUE())))</f>
        <v/>
      </c>
      <c r="AV319" s="100" t="str">
        <f aca="false">IF(ISBLANK($C319),"",IF($Q319=Constants!$B$2,TRUE(),IF($Q319=Constants!$B$3,FALSE(),FALSE())))</f>
        <v/>
      </c>
      <c r="AW319" s="100" t="str">
        <f aca="false">IF(ISBLANK($C319),"",IF($R319=Constants!$B$2,TRUE(),IF($R319=Constants!$B$3,FALSE(),FALSE())))</f>
        <v/>
      </c>
      <c r="AX319" s="100" t="str">
        <f aca="false">IF(ISBLANK($C319),"",IF($S319=Constants!$B$2,TRUE(),IF($S319=Constants!$B$3,FALSE(),FALSE())))</f>
        <v/>
      </c>
      <c r="AY319" s="100" t="str">
        <f aca="false">IF(ISBLANK($C319),"",IF($T319=Constants!$B$2,TRUE(),IF($T319=Constants!$B$3,FALSE(),FALSE())))</f>
        <v/>
      </c>
      <c r="AZ319" s="100" t="str">
        <f aca="false">IF(ISBLANK($C319),"",IF($U319=Constants!$B$2,TRUE(),IF($U319=Constants!$B$3,FALSE(),FALSE())))</f>
        <v/>
      </c>
      <c r="BA319" s="100" t="str">
        <f aca="false">IF(ISBLANK($C319),"",IF(OR($V319&amp;""="1",$V319&amp;""="2",$V319&amp;""="3",$V319&amp;""="4"),VALUE($V319&amp;""),IF($V319=Constants!$B$12,Constants!$B$12,"")))</f>
        <v/>
      </c>
      <c r="BB319" s="100" t="str">
        <f aca="false">IF(ISBLANK($C319),"",IF(ISBLANK($W319),0,IF(ISNUMBER($W319),IF(AND($W319&gt;=0,$W319&lt;=Constants!$B$21,$W319=INT($W319)),$W319,""),"")))</f>
        <v/>
      </c>
      <c r="BC319" s="100" t="str">
        <f aca="false">IF(ISBLANK($C319),"",IF(ISBLANK($X319),0,IF(ISNUMBER($X319),IF($X319&gt;=0,$X319,""),"")))</f>
        <v/>
      </c>
      <c r="BD319" s="100" t="str">
        <f aca="false">IF(ISBLANK($C319),"",IF($Y319=Constants!$B$2,TRUE(),IF($Y319=Constants!$B$3,FALSE(),TRUE())))</f>
        <v/>
      </c>
      <c r="BE319" s="100" t="str">
        <f aca="false">IF(ISBLANK($C319),"",IF($Z319=Constants!$B$2,TRUE(),IF($Z319=Constants!$B$3,FALSE(),FALSE())))</f>
        <v/>
      </c>
      <c r="BF319" s="100" t="str">
        <f aca="false">IF(ISBLANK($C319),"",IF(ISBLANK($AA319),0,IF(ISNUMBER($AA319),IF(AND($AA319&gt;=0,$AA319&lt;=Constants!$B$35,$AA319=INT($AA319)),$AA319,""),"")))</f>
        <v/>
      </c>
      <c r="BG319" s="100" t="str">
        <f aca="false">IF(ISBLANK($C319),"",IF($AB319=Constants!$B$2,TRUE(),IF($AB319=Constants!$B$3,FALSE(),TRUE())))</f>
        <v/>
      </c>
      <c r="BH319" s="100" t="str">
        <f aca="false">IF(ISBLANK($C319),"",IF($AC319=Constants!$B$2,TRUE(),IF($AC319=Constants!$B$3,FALSE(),TRUE())))</f>
        <v/>
      </c>
      <c r="BI319" s="100" t="str">
        <f aca="false">IF(ISBLANK($C319),"",IF($AD319=Constants!$B$2,TRUE(),IF($AD319=Constants!$B$3,FALSE(),TRUE())))</f>
        <v/>
      </c>
      <c r="BJ319" s="100" t="str">
        <f aca="false">IF(ISBLANK($C319),"",IF(ISNUMBER($AE319),IF($AE319&gt;=0,$AE319,""),""))</f>
        <v/>
      </c>
      <c r="BK319" s="100" t="str">
        <f aca="false">IF(ISBLANK($C319),"",IF($AF319=Constants!$B$2,TRUE(),IF($AF319=Constants!$B$3,FALSE(),FALSE())))</f>
        <v/>
      </c>
      <c r="BL319" s="99" t="str">
        <f aca="false">IF(ISBLANK($C319),"",IF($BK319,Constants!$B$7,IF(COUNTA($E319:$AE319)=0,Constants!$B$6,IF(OR(COUNTA($G319:$AE319)=0,NOT($AM319),$AS319),Constants!$B$5,IF(OR($CM319&lt;&gt;"",$CN319,$CO319,$CP319,$CQ319,$CR319,$CS319),Constants!$B$8,Constants!$B$4)))))</f>
        <v/>
      </c>
      <c r="BM319" s="100" t="str">
        <f aca="false">IF(ISBLANK($C319),"",IF($BL319&lt;&gt;Constants!$B$4,$BL319,IF(OR(NOT($AJ319),NOT($AL319),NOT($AT319)),Constants!$B$11,IF(OR(NOT($AR319),NOT($AU319),NOT($BI319),MAX($AN319,$AO319,$AP319)&gt;Constants!$B$30),Constants!$B$10,Constants!$B$9))))</f>
        <v/>
      </c>
      <c r="BN319" s="100" t="str">
        <f aca="false">IF($BL319&lt;&gt;Constants!$B$4,"",IF(NOT($AL319),0,MIN(Constants!$B$35,$BF319)))</f>
        <v/>
      </c>
      <c r="BO319" s="100" t="str">
        <f aca="false">IF($BL319&lt;&gt;Constants!$B$4,"",IF(NOT($AL319),0,IF($AW319,Constants!$B$18,IF($AV319,Constants!$B$17,0))))</f>
        <v/>
      </c>
      <c r="BP319" s="100" t="str">
        <f aca="false">IF($BL319&lt;&gt;Constants!$B$4,"",IF(NOT($AL319),0,Constants!$B$19*($AK319+$AX319+$AY319+$AZ319)))</f>
        <v/>
      </c>
      <c r="BQ319" s="100" t="str">
        <f aca="false">IF($BL319&lt;&gt;Constants!$B$4,"",IF(OR(NOT($AL319),NOT(ISNUMBER($BA319))),0,CHOOSE($BA319,Constants!$B$13,Constants!$B$14,Constants!$B$15,Constants!$B$16)))</f>
        <v/>
      </c>
      <c r="BR319" s="100" t="str">
        <f aca="false">IF($BL319&lt;&gt;Constants!$B$4,"",IF(NOT($AL319),0,Constants!$B$20*$BB319))</f>
        <v/>
      </c>
      <c r="BS319" s="100" t="str">
        <f aca="false">IF($BL319&lt;&gt;Constants!$B$4,"",IF(AND($AL319,$BD319,$BE319),Constants!$B$22,0))</f>
        <v/>
      </c>
      <c r="BT319" s="100" t="str">
        <f aca="false">IF($BL319&lt;&gt;Constants!$B$4,"",IF(OR(NOT($AL319),NOT($BD319)),0,IF($BJ319&gt;=2*$AH$9,0,Constants!$B$23*INT(ROUND(MIN($BJ319,$AH$9),6)))))</f>
        <v/>
      </c>
      <c r="BU319" s="100" t="str">
        <f aca="false">IF($BL319&lt;&gt;Constants!$B$4,"",IF(NOT($AL319),0,Constants!$B$24*INT(ROUND(MIN($BC319,$AH$9),6))))</f>
        <v/>
      </c>
      <c r="BV319" s="100" t="str">
        <f aca="false">IF($BL319&lt;&gt;Constants!$B$4,"",IF(AND($AL319,$BN319=0),Constants!$B$25,0))</f>
        <v/>
      </c>
      <c r="BW319" s="100" t="str">
        <f aca="false">IF($BL319&lt;&gt;Constants!$B$4,"",MIN(Constants!$B$29,MAX(0,Constants!$B$27*Constants!$B$28*INT(ROUND((Constants!$B$26-$AN319)/Constants!$B$28,6))))+MIN(Constants!$B$29,MAX(0,Constants!$B$27*Constants!$B$28*INT(ROUND((Constants!$B$26-$AO319)/Constants!$B$28,6))))+MIN(Constants!$B$29,MAX(0,Constants!$B$27*Constants!$B$28*INT(ROUND((Constants!$B$26-$AP319)/Constants!$B$28,6)))))</f>
        <v/>
      </c>
      <c r="BX319" s="100" t="str">
        <f aca="false">IF($BL319&lt;&gt;Constants!$B$4,"",IF(NOT($AL319),0,Constants!$B$31*INT(ROUND(MAX(0,MIN($BJ319,2*$AH$9)-$AH$9),6))))</f>
        <v/>
      </c>
      <c r="BY319" s="100" t="str">
        <f aca="false">IF($BL319&lt;&gt;Constants!$B$4,"",Constants!$B$32*(($AN319&gt;Constants!$B$26)+($AO319&gt;Constants!$B$26)+($AP319&gt;Constants!$B$26)))</f>
        <v/>
      </c>
      <c r="BZ319" s="100" t="str">
        <f aca="false">IF($BL319&lt;&gt;Constants!$B$4,"",IF(OR(NOT($AL319),$AQ319),0,Constants!$B$33))</f>
        <v/>
      </c>
      <c r="CA319" s="100" t="str">
        <f aca="false">IF($BL319&lt;&gt;Constants!$B$4,"",Constants!$B$34*$BN319)</f>
        <v/>
      </c>
      <c r="CB319" s="100" t="str">
        <f aca="false">IF($BL319&lt;&gt;Constants!$B$4,"",IF(OR(NOT($AL319),$BH319),0,Constants!$B$36))</f>
        <v/>
      </c>
      <c r="CC319" s="100" t="str">
        <f aca="false">IF($BL319&lt;&gt;Constants!$B$4,"",IF(OR(NOT($AL319),$BG319),0,Constants!$B$37))</f>
        <v/>
      </c>
      <c r="CD319" s="100" t="str">
        <f aca="false">IF($BL319&lt;&gt;Constants!$B$4,"",SUM($BX319:$CC319))</f>
        <v/>
      </c>
      <c r="CE319" s="100" t="str">
        <f aca="false">IF(ISBLANK($C319),"",IF($BL319&lt;&gt;Constants!$B$4,$BL319,SUM($BO319:$BW319)-$CD319))</f>
        <v/>
      </c>
      <c r="CF319" s="100" t="str">
        <f aca="false">IF(ISBLANK($C319),"",IF($BL319&lt;&gt;Constants!$B$4,$BL319,RANK($CE319,$CE$9:$CE$508)))</f>
        <v/>
      </c>
      <c r="CG319" s="100" t="str">
        <f aca="false">IF(ISBLANK($C319),"",IF($BL319&lt;&gt;Constants!$B$4,$BL319,COUNTIFS($BM$9:$BM$508,"&lt;"&amp;$BM319)+COUNTIFS($BM$9:$BM$508,$BM319,$CF$9:$CF$508,"&lt;"&amp;$CF319)+1))</f>
        <v/>
      </c>
      <c r="CH319" s="100" t="str">
        <f aca="false">IF(ISBLANK($C319),"",IF($BL319&lt;&gt;Constants!$B$4,$BL319,RANK($CD319,$CD$9:$CD$508,1)))</f>
        <v/>
      </c>
      <c r="CI319" s="100" t="str">
        <f aca="false">IF($BL319&lt;&gt;Constants!$B$4,"",$AN319+$AO319+$AP319)</f>
        <v/>
      </c>
      <c r="CJ319" s="100" t="str">
        <f aca="false">IF(ISBLANK($C319),"",IF($BL319&lt;&gt;Constants!$B$4,$BL319,RANK($CI319,$CI$9:$CI$508,1)))</f>
        <v/>
      </c>
      <c r="CK319" s="100" t="str">
        <f aca="false">IF(ISBLANK($C319),"",IF($BL319&lt;&gt;Constants!$B$4,$BL319,COUNTIFS($BM$9:$BM$508,"&lt;"&amp;$BM319)+COUNTIFS($BM$9:$BM$508,$BM319,$CF$9:$CF$508,"&lt;"&amp;$CF319)+COUNTIFS($BM$9:$BM$508,$BM319,$CF$9:$CF$508,$CF319,$CH$9:$CH$508,"&lt;"&amp;$CH319)+COUNTIFS($BM$9:$BM$508,$BM319,$CF$9:$CF$508,$CF319,$CH$9:$CH$508,$CH319,$CJ$9:$CJ$508,"&lt;"&amp;$CJ319)+1))</f>
        <v/>
      </c>
      <c r="CL319" s="100" t="str">
        <f aca="false">IF(ISBLANK($C319),"",IF($BL319&lt;&gt;Constants!$B$4,$BL319,$CG319-$CK319))</f>
        <v/>
      </c>
      <c r="CM319" s="100" t="str">
        <f aca="false">IF(ISBLANK($C319),"",IF(NOT($AL319),"",IF(ISBLANK($D$7),$CM$5,IF(NOT(ISNUMBER($D$7)),$CM$6,""))))</f>
        <v/>
      </c>
      <c r="CN319" s="100" t="str">
        <f aca="false">IF(ISBLANK($C319),"",OR($AN319="",$AO319="",$AP319=""))</f>
        <v/>
      </c>
      <c r="CO319" s="100" t="str">
        <f aca="false">IF(ISBLANK($C319),"",AND($AL319,$BA319=""))</f>
        <v/>
      </c>
      <c r="CP319" s="100" t="str">
        <f aca="false">IF(ISBLANK($C319),"",AND($AL319,$BB319=""))</f>
        <v/>
      </c>
      <c r="CQ319" s="100" t="str">
        <f aca="false">IF(ISBLANK($C319),"",AND($AL319,$BC319=""))</f>
        <v/>
      </c>
      <c r="CR319" s="100" t="str">
        <f aca="false">IF(ISBLANK($C319),"",AND($AL319,$BF319=""))</f>
        <v/>
      </c>
      <c r="CS319" s="100" t="str">
        <f aca="false">IF(ISBLANK($C319),"",AND($AL319,$BJ319=""))</f>
        <v/>
      </c>
      <c r="CT319" s="101"/>
      <c r="CU319" s="102"/>
      <c r="CV319" s="103" t="str">
        <f aca="false">IF(ISBLANK($C319),"",IF($BL319=Constants!$B$8,$CM319,""))</f>
        <v/>
      </c>
      <c r="CW319" s="102" t="str">
        <f aca="false">IF(ISBLANK($C319),"",IF($BL319&lt;&gt;Constants!$B$4,"",$BO319+$BP319))</f>
        <v/>
      </c>
      <c r="CX319" s="104" t="str">
        <f aca="false">IF(ISBLANK($C319),"",IF($BL319&lt;&gt;Constants!$B$4,"",$BQ319+$BR319+$BS319))</f>
        <v/>
      </c>
      <c r="CY319" s="104" t="str">
        <f aca="false">IF(ISBLANK($C319),"",IF($BL319&lt;&gt;Constants!$B$4,"",$BT319))</f>
        <v/>
      </c>
      <c r="CZ319" s="104" t="str">
        <f aca="false">IF(ISBLANK($C319),"",IF($BL319&lt;&gt;Constants!$B$4,"",$BU319+$BV319))</f>
        <v/>
      </c>
      <c r="DA319" s="104" t="str">
        <f aca="false">IF(ISBLANK($C319),"",IF($BL319&lt;&gt;Constants!$B$4,"",$BW319))</f>
        <v/>
      </c>
      <c r="DB319" s="104" t="str">
        <f aca="false">IF(ISBLANK($C319),"",IF($BL319&lt;&gt;Constants!$B$4,"",-$CD319))</f>
        <v/>
      </c>
      <c r="DC319" s="103" t="str">
        <f aca="false">IF(ISBLANK($C319),"",$CE319)</f>
        <v/>
      </c>
      <c r="DD319" s="105" t="str">
        <f aca="false">IF(ISBLANK($C319),"",$BM319)</f>
        <v/>
      </c>
      <c r="DE319" s="104" t="str">
        <f aca="false">IF(ISBLANK($C319),"",$CL319)</f>
        <v/>
      </c>
      <c r="DF319" s="104" t="str">
        <f aca="false">IF(ISBLANK($C319),"",$CK319)</f>
        <v/>
      </c>
      <c r="DG319" s="106" t="str">
        <f aca="false">IF(ISBLANK($C319),"",IF($DF319=Constants!$B$7,COUNTA($C$9:$C$508)+2,IF($DF319=Constants!$B$6,COUNTA($C$9:$C$508)+1,IF($DF319=Constants!$B$5,COUNTA($C$9:$C$508),$DF319))))</f>
        <v/>
      </c>
      <c r="DH319" s="7"/>
      <c r="DI319" s="107" t="n">
        <f aca="false">IF(OR(ISNUMBER($DF319),$DF319=Constants!$B$7,$DF319=Constants!$B$5,$DF319=Constants!$B$6),1,0)</f>
        <v>0</v>
      </c>
      <c r="DJ319" s="107" t="n">
        <v>311</v>
      </c>
      <c r="DK319" s="107" t="str">
        <f aca="false">IF(ISBLANK($C319),"",IF(ISNUMBER($DG319),$DG319+ROW($B319)/1000,""))</f>
        <v/>
      </c>
      <c r="DL319" s="107" t="str">
        <f aca="false">IF(ISNUMBER($DK319),RANK($DK319,$DK$9:$DK$508,1),"")</f>
        <v/>
      </c>
      <c r="DM319" s="107" t="str">
        <f aca="false">IF(ISBLANK($C319),"",$B319)</f>
        <v/>
      </c>
      <c r="DN319" s="107" t="str">
        <f aca="false">IF(ISBLANK($C319),"",$C319)</f>
        <v/>
      </c>
      <c r="DO319" s="107" t="str">
        <f aca="false">IF(ISBLANK($C319),"",$D319)</f>
        <v/>
      </c>
      <c r="DP319" s="108" t="str">
        <f aca="false">$DD319</f>
        <v/>
      </c>
      <c r="DQ319" s="109" t="str">
        <f aca="false">$DC319</f>
        <v/>
      </c>
      <c r="DR319" s="107" t="str">
        <f aca="false">IF(ISBLANK($C319),"",$DF319)</f>
        <v/>
      </c>
      <c r="DS319" s="110" t="str">
        <f aca="false">IF($DJ319&gt;$DI$8,"",VLOOKUP($DJ319,$DL$9:$DR$508,7,FALSE()))</f>
        <v/>
      </c>
      <c r="DT319" s="111" t="str">
        <f aca="false">IF($DJ319&gt;$DI$8,"",VLOOKUP($DJ319,$DL$9:$DR$508,2,FALSE()))</f>
        <v/>
      </c>
      <c r="DU319" s="111" t="str">
        <f aca="false">IF($DJ319&gt;$DI$8,"",VLOOKUP($DJ319,$DL$9:$DR$508,3,FALSE()))</f>
        <v/>
      </c>
      <c r="DV319" s="111" t="str">
        <f aca="false">IF($DJ319&gt;$DI$8,"",VLOOKUP($DJ319,$DL$9:$DR$508,4,FALSE()))</f>
        <v/>
      </c>
      <c r="DW319" s="111" t="str">
        <f aca="false">IF($DJ319&gt;$DI$8,"",VLOOKUP($DJ319,$DL$9:$DR$508,5,FALSE()))</f>
        <v/>
      </c>
      <c r="DX319" s="112" t="str">
        <f aca="false">IF($DJ319&gt;$DI$8,"",VLOOKUP($DJ319,$DL$9:$DR$508,6,FALSE()))</f>
        <v/>
      </c>
      <c r="DY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130"/>
      <c r="N320" s="130"/>
      <c r="O320" s="135"/>
      <c r="P320" s="135"/>
      <c r="Q320" s="130"/>
      <c r="R320" s="130"/>
      <c r="S320" s="130"/>
      <c r="T320" s="130"/>
      <c r="U320" s="135"/>
      <c r="V320" s="130"/>
      <c r="W320" s="96"/>
      <c r="X320" s="130"/>
      <c r="Y320" s="130"/>
      <c r="Z320" s="96"/>
      <c r="AA320" s="96"/>
      <c r="AB320" s="130"/>
      <c r="AC320" s="130"/>
      <c r="AD320" s="130"/>
      <c r="AE320" s="97"/>
      <c r="AF320" s="130"/>
      <c r="AG320" s="99"/>
      <c r="AH320" s="100"/>
      <c r="AI320" s="100"/>
      <c r="AJ320" s="100" t="str">
        <f aca="false">IF(ISBLANK($C320),"",IF($E320=Constants!$B$2,TRUE(),IF($E320=Constants!$B$3,FALSE(),TRUE())))</f>
        <v/>
      </c>
      <c r="AK320" s="100" t="str">
        <f aca="false">IF(ISBLANK($C320),"",IF($F320=Constants!$B$2,TRUE(),IF($F320=Constants!$B$3,FALSE(),FALSE())))</f>
        <v/>
      </c>
      <c r="AL320" s="100" t="str">
        <f aca="false">IF(ISBLANK($C320),"",IF($G320=Constants!$B$2,TRUE(),IF($G320=Constants!$B$3,FALSE(),TRUE())))</f>
        <v/>
      </c>
      <c r="AM320" s="100" t="str">
        <f aca="false">IF(ISBLANK($C320),"",IF($H320=Constants!$B$2,TRUE(),IF($H320=Constants!$B$3,FALSE(),TRUE())))</f>
        <v/>
      </c>
      <c r="AN320" s="100" t="str">
        <f aca="false">IF(ISBLANK($C320),"",IF(ISNUMBER($I320),IF($I320&gt;=0,$I320,""),""))</f>
        <v/>
      </c>
      <c r="AO320" s="100" t="str">
        <f aca="false">IF(ISBLANK($C320),"",IF(ISNUMBER($J320),IF($J320&gt;=0,$J320,""),""))</f>
        <v/>
      </c>
      <c r="AP320" s="100" t="str">
        <f aca="false">IF(ISBLANK($C320),"",IF(ISNUMBER($K320),IF($K320&gt;=0,$K320,""),""))</f>
        <v/>
      </c>
      <c r="AQ320" s="100" t="str">
        <f aca="false">IF(ISBLANK($C320),"",IF($L320=Constants!$B$2,TRUE(),IF($L320=Constants!$B$3,FALSE(),TRUE())))</f>
        <v/>
      </c>
      <c r="AR320" s="100" t="str">
        <f aca="false">IF(ISBLANK($C320),"",IF($M320=Constants!$B$2,TRUE(),IF($M320=Constants!$B$3,FALSE(),TRUE())))</f>
        <v/>
      </c>
      <c r="AS320" s="100" t="str">
        <f aca="false">IF(ISBLANK($C320),"",IF($N320=Constants!$B$2,TRUE(),IF($N320=Constants!$B$3,FALSE(),FALSE())))</f>
        <v/>
      </c>
      <c r="AT320" s="100" t="str">
        <f aca="false">IF(ISBLANK($C320),"",IF($O320=Constants!$B$2,TRUE(),IF($O320=Constants!$B$3,FALSE(),TRUE())))</f>
        <v/>
      </c>
      <c r="AU320" s="100" t="str">
        <f aca="false">IF(ISBLANK($C320),"",IF($P320=Constants!$B$2,TRUE(),IF($P320=Constants!$B$3,FALSE(),TRUE())))</f>
        <v/>
      </c>
      <c r="AV320" s="100" t="str">
        <f aca="false">IF(ISBLANK($C320),"",IF($Q320=Constants!$B$2,TRUE(),IF($Q320=Constants!$B$3,FALSE(),FALSE())))</f>
        <v/>
      </c>
      <c r="AW320" s="100" t="str">
        <f aca="false">IF(ISBLANK($C320),"",IF($R320=Constants!$B$2,TRUE(),IF($R320=Constants!$B$3,FALSE(),FALSE())))</f>
        <v/>
      </c>
      <c r="AX320" s="100" t="str">
        <f aca="false">IF(ISBLANK($C320),"",IF($S320=Constants!$B$2,TRUE(),IF($S320=Constants!$B$3,FALSE(),FALSE())))</f>
        <v/>
      </c>
      <c r="AY320" s="100" t="str">
        <f aca="false">IF(ISBLANK($C320),"",IF($T320=Constants!$B$2,TRUE(),IF($T320=Constants!$B$3,FALSE(),FALSE())))</f>
        <v/>
      </c>
      <c r="AZ320" s="100" t="str">
        <f aca="false">IF(ISBLANK($C320),"",IF($U320=Constants!$B$2,TRUE(),IF($U320=Constants!$B$3,FALSE(),FALSE())))</f>
        <v/>
      </c>
      <c r="BA320" s="100" t="str">
        <f aca="false">IF(ISBLANK($C320),"",IF(OR($V320&amp;""="1",$V320&amp;""="2",$V320&amp;""="3",$V320&amp;""="4"),VALUE($V320&amp;""),IF($V320=Constants!$B$12,Constants!$B$12,"")))</f>
        <v/>
      </c>
      <c r="BB320" s="100" t="str">
        <f aca="false">IF(ISBLANK($C320),"",IF(ISBLANK($W320),0,IF(ISNUMBER($W320),IF(AND($W320&gt;=0,$W320&lt;=Constants!$B$21,$W320=INT($W320)),$W320,""),"")))</f>
        <v/>
      </c>
      <c r="BC320" s="100" t="str">
        <f aca="false">IF(ISBLANK($C320),"",IF(ISBLANK($X320),0,IF(ISNUMBER($X320),IF($X320&gt;=0,$X320,""),"")))</f>
        <v/>
      </c>
      <c r="BD320" s="100" t="str">
        <f aca="false">IF(ISBLANK($C320),"",IF($Y320=Constants!$B$2,TRUE(),IF($Y320=Constants!$B$3,FALSE(),TRUE())))</f>
        <v/>
      </c>
      <c r="BE320" s="100" t="str">
        <f aca="false">IF(ISBLANK($C320),"",IF($Z320=Constants!$B$2,TRUE(),IF($Z320=Constants!$B$3,FALSE(),FALSE())))</f>
        <v/>
      </c>
      <c r="BF320" s="100" t="str">
        <f aca="false">IF(ISBLANK($C320),"",IF(ISBLANK($AA320),0,IF(ISNUMBER($AA320),IF(AND($AA320&gt;=0,$AA320&lt;=Constants!$B$35,$AA320=INT($AA320)),$AA320,""),"")))</f>
        <v/>
      </c>
      <c r="BG320" s="100" t="str">
        <f aca="false">IF(ISBLANK($C320),"",IF($AB320=Constants!$B$2,TRUE(),IF($AB320=Constants!$B$3,FALSE(),TRUE())))</f>
        <v/>
      </c>
      <c r="BH320" s="100" t="str">
        <f aca="false">IF(ISBLANK($C320),"",IF($AC320=Constants!$B$2,TRUE(),IF($AC320=Constants!$B$3,FALSE(),TRUE())))</f>
        <v/>
      </c>
      <c r="BI320" s="100" t="str">
        <f aca="false">IF(ISBLANK($C320),"",IF($AD320=Constants!$B$2,TRUE(),IF($AD320=Constants!$B$3,FALSE(),TRUE())))</f>
        <v/>
      </c>
      <c r="BJ320" s="100" t="str">
        <f aca="false">IF(ISBLANK($C320),"",IF(ISNUMBER($AE320),IF($AE320&gt;=0,$AE320,""),""))</f>
        <v/>
      </c>
      <c r="BK320" s="100" t="str">
        <f aca="false">IF(ISBLANK($C320),"",IF($AF320=Constants!$B$2,TRUE(),IF($AF320=Constants!$B$3,FALSE(),FALSE())))</f>
        <v/>
      </c>
      <c r="BL320" s="99" t="str">
        <f aca="false">IF(ISBLANK($C320),"",IF($BK320,Constants!$B$7,IF(COUNTA($E320:$AE320)=0,Constants!$B$6,IF(OR(COUNTA($G320:$AE320)=0,NOT($AM320),$AS320),Constants!$B$5,IF(OR($CM320&lt;&gt;"",$CN320,$CO320,$CP320,$CQ320,$CR320,$CS320),Constants!$B$8,Constants!$B$4)))))</f>
        <v/>
      </c>
      <c r="BM320" s="100" t="str">
        <f aca="false">IF(ISBLANK($C320),"",IF($BL320&lt;&gt;Constants!$B$4,$BL320,IF(OR(NOT($AJ320),NOT($AL320),NOT($AT320)),Constants!$B$11,IF(OR(NOT($AR320),NOT($AU320),NOT($BI320),MAX($AN320,$AO320,$AP320)&gt;Constants!$B$30),Constants!$B$10,Constants!$B$9))))</f>
        <v/>
      </c>
      <c r="BN320" s="100" t="str">
        <f aca="false">IF($BL320&lt;&gt;Constants!$B$4,"",IF(NOT($AL320),0,MIN(Constants!$B$35,$BF320)))</f>
        <v/>
      </c>
      <c r="BO320" s="100" t="str">
        <f aca="false">IF($BL320&lt;&gt;Constants!$B$4,"",IF(NOT($AL320),0,IF($AW320,Constants!$B$18,IF($AV320,Constants!$B$17,0))))</f>
        <v/>
      </c>
      <c r="BP320" s="100" t="str">
        <f aca="false">IF($BL320&lt;&gt;Constants!$B$4,"",IF(NOT($AL320),0,Constants!$B$19*($AK320+$AX320+$AY320+$AZ320)))</f>
        <v/>
      </c>
      <c r="BQ320" s="100" t="str">
        <f aca="false">IF($BL320&lt;&gt;Constants!$B$4,"",IF(OR(NOT($AL320),NOT(ISNUMBER($BA320))),0,CHOOSE($BA320,Constants!$B$13,Constants!$B$14,Constants!$B$15,Constants!$B$16)))</f>
        <v/>
      </c>
      <c r="BR320" s="100" t="str">
        <f aca="false">IF($BL320&lt;&gt;Constants!$B$4,"",IF(NOT($AL320),0,Constants!$B$20*$BB320))</f>
        <v/>
      </c>
      <c r="BS320" s="100" t="str">
        <f aca="false">IF($BL320&lt;&gt;Constants!$B$4,"",IF(AND($AL320,$BD320,$BE320),Constants!$B$22,0))</f>
        <v/>
      </c>
      <c r="BT320" s="100" t="str">
        <f aca="false">IF($BL320&lt;&gt;Constants!$B$4,"",IF(OR(NOT($AL320),NOT($BD320)),0,IF($BJ320&gt;=2*$AH$9,0,Constants!$B$23*INT(ROUND(MIN($BJ320,$AH$9),6)))))</f>
        <v/>
      </c>
      <c r="BU320" s="100" t="str">
        <f aca="false">IF($BL320&lt;&gt;Constants!$B$4,"",IF(NOT($AL320),0,Constants!$B$24*INT(ROUND(MIN($BC320,$AH$9),6))))</f>
        <v/>
      </c>
      <c r="BV320" s="100" t="str">
        <f aca="false">IF($BL320&lt;&gt;Constants!$B$4,"",IF(AND($AL320,$BN320=0),Constants!$B$25,0))</f>
        <v/>
      </c>
      <c r="BW320" s="100" t="str">
        <f aca="false">IF($BL320&lt;&gt;Constants!$B$4,"",MIN(Constants!$B$29,MAX(0,Constants!$B$27*Constants!$B$28*INT(ROUND((Constants!$B$26-$AN320)/Constants!$B$28,6))))+MIN(Constants!$B$29,MAX(0,Constants!$B$27*Constants!$B$28*INT(ROUND((Constants!$B$26-$AO320)/Constants!$B$28,6))))+MIN(Constants!$B$29,MAX(0,Constants!$B$27*Constants!$B$28*INT(ROUND((Constants!$B$26-$AP320)/Constants!$B$28,6)))))</f>
        <v/>
      </c>
      <c r="BX320" s="100" t="str">
        <f aca="false">IF($BL320&lt;&gt;Constants!$B$4,"",IF(NOT($AL320),0,Constants!$B$31*INT(ROUND(MAX(0,MIN($BJ320,2*$AH$9)-$AH$9),6))))</f>
        <v/>
      </c>
      <c r="BY320" s="100" t="str">
        <f aca="false">IF($BL320&lt;&gt;Constants!$B$4,"",Constants!$B$32*(($AN320&gt;Constants!$B$26)+($AO320&gt;Constants!$B$26)+($AP320&gt;Constants!$B$26)))</f>
        <v/>
      </c>
      <c r="BZ320" s="100" t="str">
        <f aca="false">IF($BL320&lt;&gt;Constants!$B$4,"",IF(OR(NOT($AL320),$AQ320),0,Constants!$B$33))</f>
        <v/>
      </c>
      <c r="CA320" s="100" t="str">
        <f aca="false">IF($BL320&lt;&gt;Constants!$B$4,"",Constants!$B$34*$BN320)</f>
        <v/>
      </c>
      <c r="CB320" s="100" t="str">
        <f aca="false">IF($BL320&lt;&gt;Constants!$B$4,"",IF(OR(NOT($AL320),$BH320),0,Constants!$B$36))</f>
        <v/>
      </c>
      <c r="CC320" s="100" t="str">
        <f aca="false">IF($BL320&lt;&gt;Constants!$B$4,"",IF(OR(NOT($AL320),$BG320),0,Constants!$B$37))</f>
        <v/>
      </c>
      <c r="CD320" s="100" t="str">
        <f aca="false">IF($BL320&lt;&gt;Constants!$B$4,"",SUM($BX320:$CC320))</f>
        <v/>
      </c>
      <c r="CE320" s="100" t="str">
        <f aca="false">IF(ISBLANK($C320),"",IF($BL320&lt;&gt;Constants!$B$4,$BL320,SUM($BO320:$BW320)-$CD320))</f>
        <v/>
      </c>
      <c r="CF320" s="100" t="str">
        <f aca="false">IF(ISBLANK($C320),"",IF($BL320&lt;&gt;Constants!$B$4,$BL320,RANK($CE320,$CE$9:$CE$508)))</f>
        <v/>
      </c>
      <c r="CG320" s="100" t="str">
        <f aca="false">IF(ISBLANK($C320),"",IF($BL320&lt;&gt;Constants!$B$4,$BL320,COUNTIFS($BM$9:$BM$508,"&lt;"&amp;$BM320)+COUNTIFS($BM$9:$BM$508,$BM320,$CF$9:$CF$508,"&lt;"&amp;$CF320)+1))</f>
        <v/>
      </c>
      <c r="CH320" s="100" t="str">
        <f aca="false">IF(ISBLANK($C320),"",IF($BL320&lt;&gt;Constants!$B$4,$BL320,RANK($CD320,$CD$9:$CD$508,1)))</f>
        <v/>
      </c>
      <c r="CI320" s="100" t="str">
        <f aca="false">IF($BL320&lt;&gt;Constants!$B$4,"",$AN320+$AO320+$AP320)</f>
        <v/>
      </c>
      <c r="CJ320" s="100" t="str">
        <f aca="false">IF(ISBLANK($C320),"",IF($BL320&lt;&gt;Constants!$B$4,$BL320,RANK($CI320,$CI$9:$CI$508,1)))</f>
        <v/>
      </c>
      <c r="CK320" s="100" t="str">
        <f aca="false">IF(ISBLANK($C320),"",IF($BL320&lt;&gt;Constants!$B$4,$BL320,COUNTIFS($BM$9:$BM$508,"&lt;"&amp;$BM320)+COUNTIFS($BM$9:$BM$508,$BM320,$CF$9:$CF$508,"&lt;"&amp;$CF320)+COUNTIFS($BM$9:$BM$508,$BM320,$CF$9:$CF$508,$CF320,$CH$9:$CH$508,"&lt;"&amp;$CH320)+COUNTIFS($BM$9:$BM$508,$BM320,$CF$9:$CF$508,$CF320,$CH$9:$CH$508,$CH320,$CJ$9:$CJ$508,"&lt;"&amp;$CJ320)+1))</f>
        <v/>
      </c>
      <c r="CL320" s="100" t="str">
        <f aca="false">IF(ISBLANK($C320),"",IF($BL320&lt;&gt;Constants!$B$4,$BL320,$CG320-$CK320))</f>
        <v/>
      </c>
      <c r="CM320" s="100" t="str">
        <f aca="false">IF(ISBLANK($C320),"",IF(NOT($AL320),"",IF(ISBLANK($D$7),$CM$5,IF(NOT(ISNUMBER($D$7)),$CM$6,""))))</f>
        <v/>
      </c>
      <c r="CN320" s="100" t="str">
        <f aca="false">IF(ISBLANK($C320),"",OR($AN320="",$AO320="",$AP320=""))</f>
        <v/>
      </c>
      <c r="CO320" s="100" t="str">
        <f aca="false">IF(ISBLANK($C320),"",AND($AL320,$BA320=""))</f>
        <v/>
      </c>
      <c r="CP320" s="100" t="str">
        <f aca="false">IF(ISBLANK($C320),"",AND($AL320,$BB320=""))</f>
        <v/>
      </c>
      <c r="CQ320" s="100" t="str">
        <f aca="false">IF(ISBLANK($C320),"",AND($AL320,$BC320=""))</f>
        <v/>
      </c>
      <c r="CR320" s="100" t="str">
        <f aca="false">IF(ISBLANK($C320),"",AND($AL320,$BF320=""))</f>
        <v/>
      </c>
      <c r="CS320" s="100" t="str">
        <f aca="false">IF(ISBLANK($C320),"",AND($AL320,$BJ320=""))</f>
        <v/>
      </c>
      <c r="CT320" s="101"/>
      <c r="CU320" s="102"/>
      <c r="CV320" s="103" t="str">
        <f aca="false">IF(ISBLANK($C320),"",IF($BL320=Constants!$B$8,$CM320,""))</f>
        <v/>
      </c>
      <c r="CW320" s="102" t="str">
        <f aca="false">IF(ISBLANK($C320),"",IF($BL320&lt;&gt;Constants!$B$4,"",$BO320+$BP320))</f>
        <v/>
      </c>
      <c r="CX320" s="104" t="str">
        <f aca="false">IF(ISBLANK($C320),"",IF($BL320&lt;&gt;Constants!$B$4,"",$BQ320+$BR320+$BS320))</f>
        <v/>
      </c>
      <c r="CY320" s="104" t="str">
        <f aca="false">IF(ISBLANK($C320),"",IF($BL320&lt;&gt;Constants!$B$4,"",$BT320))</f>
        <v/>
      </c>
      <c r="CZ320" s="104" t="str">
        <f aca="false">IF(ISBLANK($C320),"",IF($BL320&lt;&gt;Constants!$B$4,"",$BU320+$BV320))</f>
        <v/>
      </c>
      <c r="DA320" s="104" t="str">
        <f aca="false">IF(ISBLANK($C320),"",IF($BL320&lt;&gt;Constants!$B$4,"",$BW320))</f>
        <v/>
      </c>
      <c r="DB320" s="104" t="str">
        <f aca="false">IF(ISBLANK($C320),"",IF($BL320&lt;&gt;Constants!$B$4,"",-$CD320))</f>
        <v/>
      </c>
      <c r="DC320" s="103" t="str">
        <f aca="false">IF(ISBLANK($C320),"",$CE320)</f>
        <v/>
      </c>
      <c r="DD320" s="105" t="str">
        <f aca="false">IF(ISBLANK($C320),"",$BM320)</f>
        <v/>
      </c>
      <c r="DE320" s="104" t="str">
        <f aca="false">IF(ISBLANK($C320),"",$CL320)</f>
        <v/>
      </c>
      <c r="DF320" s="104" t="str">
        <f aca="false">IF(ISBLANK($C320),"",$CK320)</f>
        <v/>
      </c>
      <c r="DG320" s="106" t="str">
        <f aca="false">IF(ISBLANK($C320),"",IF($DF320=Constants!$B$7,COUNTA($C$9:$C$508)+2,IF($DF320=Constants!$B$6,COUNTA($C$9:$C$508)+1,IF($DF320=Constants!$B$5,COUNTA($C$9:$C$508),$DF320))))</f>
        <v/>
      </c>
      <c r="DH320" s="7"/>
      <c r="DI320" s="107" t="n">
        <f aca="false">IF(OR(ISNUMBER($DF320),$DF320=Constants!$B$7,$DF320=Constants!$B$5,$DF320=Constants!$B$6),1,0)</f>
        <v>0</v>
      </c>
      <c r="DJ320" s="107" t="n">
        <v>312</v>
      </c>
      <c r="DK320" s="107" t="str">
        <f aca="false">IF(ISBLANK($C320),"",IF(ISNUMBER($DG320),$DG320+ROW($B320)/1000,""))</f>
        <v/>
      </c>
      <c r="DL320" s="107" t="str">
        <f aca="false">IF(ISNUMBER($DK320),RANK($DK320,$DK$9:$DK$508,1),"")</f>
        <v/>
      </c>
      <c r="DM320" s="107" t="str">
        <f aca="false">IF(ISBLANK($C320),"",$B320)</f>
        <v/>
      </c>
      <c r="DN320" s="107" t="str">
        <f aca="false">IF(ISBLANK($C320),"",$C320)</f>
        <v/>
      </c>
      <c r="DO320" s="107" t="str">
        <f aca="false">IF(ISBLANK($C320),"",$D320)</f>
        <v/>
      </c>
      <c r="DP320" s="108" t="str">
        <f aca="false">$DD320</f>
        <v/>
      </c>
      <c r="DQ320" s="109" t="str">
        <f aca="false">$DC320</f>
        <v/>
      </c>
      <c r="DR320" s="107" t="str">
        <f aca="false">IF(ISBLANK($C320),"",$DF320)</f>
        <v/>
      </c>
      <c r="DS320" s="110" t="str">
        <f aca="false">IF($DJ320&gt;$DI$8,"",VLOOKUP($DJ320,$DL$9:$DR$508,7,FALSE()))</f>
        <v/>
      </c>
      <c r="DT320" s="111" t="str">
        <f aca="false">IF($DJ320&gt;$DI$8,"",VLOOKUP($DJ320,$DL$9:$DR$508,2,FALSE()))</f>
        <v/>
      </c>
      <c r="DU320" s="111" t="str">
        <f aca="false">IF($DJ320&gt;$DI$8,"",VLOOKUP($DJ320,$DL$9:$DR$508,3,FALSE()))</f>
        <v/>
      </c>
      <c r="DV320" s="111" t="str">
        <f aca="false">IF($DJ320&gt;$DI$8,"",VLOOKUP($DJ320,$DL$9:$DR$508,4,FALSE()))</f>
        <v/>
      </c>
      <c r="DW320" s="111" t="str">
        <f aca="false">IF($DJ320&gt;$DI$8,"",VLOOKUP($DJ320,$DL$9:$DR$508,5,FALSE()))</f>
        <v/>
      </c>
      <c r="DX320" s="112" t="str">
        <f aca="false">IF($DJ320&gt;$DI$8,"",VLOOKUP($DJ320,$DL$9:$DR$508,6,FALSE()))</f>
        <v/>
      </c>
      <c r="DY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88"/>
      <c r="N321" s="88"/>
      <c r="O321" s="134"/>
      <c r="P321" s="134"/>
      <c r="Q321" s="88"/>
      <c r="R321" s="88"/>
      <c r="S321" s="88"/>
      <c r="T321" s="88"/>
      <c r="U321" s="134"/>
      <c r="V321" s="88"/>
      <c r="W321" s="70"/>
      <c r="X321" s="88"/>
      <c r="Y321" s="88"/>
      <c r="Z321" s="70"/>
      <c r="AA321" s="70"/>
      <c r="AB321" s="88"/>
      <c r="AC321" s="88"/>
      <c r="AD321" s="88"/>
      <c r="AE321" s="71"/>
      <c r="AF321" s="88"/>
      <c r="AG321" s="73"/>
      <c r="AH321" s="74"/>
      <c r="AI321" s="74"/>
      <c r="AJ321" s="74" t="str">
        <f aca="false">IF(ISBLANK($C321),"",IF($E321=Constants!$B$2,TRUE(),IF($E321=Constants!$B$3,FALSE(),TRUE())))</f>
        <v/>
      </c>
      <c r="AK321" s="74" t="str">
        <f aca="false">IF(ISBLANK($C321),"",IF($F321=Constants!$B$2,TRUE(),IF($F321=Constants!$B$3,FALSE(),FALSE())))</f>
        <v/>
      </c>
      <c r="AL321" s="74" t="str">
        <f aca="false">IF(ISBLANK($C321),"",IF($G321=Constants!$B$2,TRUE(),IF($G321=Constants!$B$3,FALSE(),TRUE())))</f>
        <v/>
      </c>
      <c r="AM321" s="74" t="str">
        <f aca="false">IF(ISBLANK($C321),"",IF($H321=Constants!$B$2,TRUE(),IF($H321=Constants!$B$3,FALSE(),TRUE())))</f>
        <v/>
      </c>
      <c r="AN321" s="74" t="str">
        <f aca="false">IF(ISBLANK($C321),"",IF(ISNUMBER($I321),IF($I321&gt;=0,$I321,""),""))</f>
        <v/>
      </c>
      <c r="AO321" s="74" t="str">
        <f aca="false">IF(ISBLANK($C321),"",IF(ISNUMBER($J321),IF($J321&gt;=0,$J321,""),""))</f>
        <v/>
      </c>
      <c r="AP321" s="74" t="str">
        <f aca="false">IF(ISBLANK($C321),"",IF(ISNUMBER($K321),IF($K321&gt;=0,$K321,""),""))</f>
        <v/>
      </c>
      <c r="AQ321" s="74" t="str">
        <f aca="false">IF(ISBLANK($C321),"",IF($L321=Constants!$B$2,TRUE(),IF($L321=Constants!$B$3,FALSE(),TRUE())))</f>
        <v/>
      </c>
      <c r="AR321" s="74" t="str">
        <f aca="false">IF(ISBLANK($C321),"",IF($M321=Constants!$B$2,TRUE(),IF($M321=Constants!$B$3,FALSE(),TRUE())))</f>
        <v/>
      </c>
      <c r="AS321" s="74" t="str">
        <f aca="false">IF(ISBLANK($C321),"",IF($N321=Constants!$B$2,TRUE(),IF($N321=Constants!$B$3,FALSE(),FALSE())))</f>
        <v/>
      </c>
      <c r="AT321" s="74" t="str">
        <f aca="false">IF(ISBLANK($C321),"",IF($O321=Constants!$B$2,TRUE(),IF($O321=Constants!$B$3,FALSE(),TRUE())))</f>
        <v/>
      </c>
      <c r="AU321" s="74" t="str">
        <f aca="false">IF(ISBLANK($C321),"",IF($P321=Constants!$B$2,TRUE(),IF($P321=Constants!$B$3,FALSE(),TRUE())))</f>
        <v/>
      </c>
      <c r="AV321" s="74" t="str">
        <f aca="false">IF(ISBLANK($C321),"",IF($Q321=Constants!$B$2,TRUE(),IF($Q321=Constants!$B$3,FALSE(),FALSE())))</f>
        <v/>
      </c>
      <c r="AW321" s="74" t="str">
        <f aca="false">IF(ISBLANK($C321),"",IF($R321=Constants!$B$2,TRUE(),IF($R321=Constants!$B$3,FALSE(),FALSE())))</f>
        <v/>
      </c>
      <c r="AX321" s="74" t="str">
        <f aca="false">IF(ISBLANK($C321),"",IF($S321=Constants!$B$2,TRUE(),IF($S321=Constants!$B$3,FALSE(),FALSE())))</f>
        <v/>
      </c>
      <c r="AY321" s="74" t="str">
        <f aca="false">IF(ISBLANK($C321),"",IF($T321=Constants!$B$2,TRUE(),IF($T321=Constants!$B$3,FALSE(),FALSE())))</f>
        <v/>
      </c>
      <c r="AZ321" s="74" t="str">
        <f aca="false">IF(ISBLANK($C321),"",IF($U321=Constants!$B$2,TRUE(),IF($U321=Constants!$B$3,FALSE(),FALSE())))</f>
        <v/>
      </c>
      <c r="BA321" s="74" t="str">
        <f aca="false">IF(ISBLANK($C321),"",IF(OR($V321&amp;""="1",$V321&amp;""="2",$V321&amp;""="3",$V321&amp;""="4"),VALUE($V321&amp;""),IF($V321=Constants!$B$12,Constants!$B$12,"")))</f>
        <v/>
      </c>
      <c r="BB321" s="74" t="str">
        <f aca="false">IF(ISBLANK($C321),"",IF(ISBLANK($W321),0,IF(ISNUMBER($W321),IF(AND($W321&gt;=0,$W321&lt;=Constants!$B$21,$W321=INT($W321)),$W321,""),"")))</f>
        <v/>
      </c>
      <c r="BC321" s="74" t="str">
        <f aca="false">IF(ISBLANK($C321),"",IF(ISBLANK($X321),0,IF(ISNUMBER($X321),IF($X321&gt;=0,$X321,""),"")))</f>
        <v/>
      </c>
      <c r="BD321" s="74" t="str">
        <f aca="false">IF(ISBLANK($C321),"",IF($Y321=Constants!$B$2,TRUE(),IF($Y321=Constants!$B$3,FALSE(),TRUE())))</f>
        <v/>
      </c>
      <c r="BE321" s="74" t="str">
        <f aca="false">IF(ISBLANK($C321),"",IF($Z321=Constants!$B$2,TRUE(),IF($Z321=Constants!$B$3,FALSE(),FALSE())))</f>
        <v/>
      </c>
      <c r="BF321" s="74" t="str">
        <f aca="false">IF(ISBLANK($C321),"",IF(ISBLANK($AA321),0,IF(ISNUMBER($AA321),IF(AND($AA321&gt;=0,$AA321&lt;=Constants!$B$35,$AA321=INT($AA321)),$AA321,""),"")))</f>
        <v/>
      </c>
      <c r="BG321" s="74" t="str">
        <f aca="false">IF(ISBLANK($C321),"",IF($AB321=Constants!$B$2,TRUE(),IF($AB321=Constants!$B$3,FALSE(),TRUE())))</f>
        <v/>
      </c>
      <c r="BH321" s="74" t="str">
        <f aca="false">IF(ISBLANK($C321),"",IF($AC321=Constants!$B$2,TRUE(),IF($AC321=Constants!$B$3,FALSE(),TRUE())))</f>
        <v/>
      </c>
      <c r="BI321" s="74" t="str">
        <f aca="false">IF(ISBLANK($C321),"",IF($AD321=Constants!$B$2,TRUE(),IF($AD321=Constants!$B$3,FALSE(),TRUE())))</f>
        <v/>
      </c>
      <c r="BJ321" s="74" t="str">
        <f aca="false">IF(ISBLANK($C321),"",IF(ISNUMBER($AE321),IF($AE321&gt;=0,$AE321,""),""))</f>
        <v/>
      </c>
      <c r="BK321" s="74" t="str">
        <f aca="false">IF(ISBLANK($C321),"",IF($AF321=Constants!$B$2,TRUE(),IF($AF321=Constants!$B$3,FALSE(),FALSE())))</f>
        <v/>
      </c>
      <c r="BL321" s="73" t="str">
        <f aca="false">IF(ISBLANK($C321),"",IF($BK321,Constants!$B$7,IF(COUNTA($E321:$AE321)=0,Constants!$B$6,IF(OR(COUNTA($G321:$AE321)=0,NOT($AM321),$AS321),Constants!$B$5,IF(OR($CM321&lt;&gt;"",$CN321,$CO321,$CP321,$CQ321,$CR321,$CS321),Constants!$B$8,Constants!$B$4)))))</f>
        <v/>
      </c>
      <c r="BM321" s="74" t="str">
        <f aca="false">IF(ISBLANK($C321),"",IF($BL321&lt;&gt;Constants!$B$4,$BL321,IF(OR(NOT($AJ321),NOT($AL321),NOT($AT321)),Constants!$B$11,IF(OR(NOT($AR321),NOT($AU321),NOT($BI321),MAX($AN321,$AO321,$AP321)&gt;Constants!$B$30),Constants!$B$10,Constants!$B$9))))</f>
        <v/>
      </c>
      <c r="BN321" s="74" t="str">
        <f aca="false">IF($BL321&lt;&gt;Constants!$B$4,"",IF(NOT($AL321),0,MIN(Constants!$B$35,$BF321)))</f>
        <v/>
      </c>
      <c r="BO321" s="74" t="str">
        <f aca="false">IF($BL321&lt;&gt;Constants!$B$4,"",IF(NOT($AL321),0,IF($AW321,Constants!$B$18,IF($AV321,Constants!$B$17,0))))</f>
        <v/>
      </c>
      <c r="BP321" s="74" t="str">
        <f aca="false">IF($BL321&lt;&gt;Constants!$B$4,"",IF(NOT($AL321),0,Constants!$B$19*($AK321+$AX321+$AY321+$AZ321)))</f>
        <v/>
      </c>
      <c r="BQ321" s="74" t="str">
        <f aca="false">IF($BL321&lt;&gt;Constants!$B$4,"",IF(OR(NOT($AL321),NOT(ISNUMBER($BA321))),0,CHOOSE($BA321,Constants!$B$13,Constants!$B$14,Constants!$B$15,Constants!$B$16)))</f>
        <v/>
      </c>
      <c r="BR321" s="74" t="str">
        <f aca="false">IF($BL321&lt;&gt;Constants!$B$4,"",IF(NOT($AL321),0,Constants!$B$20*$BB321))</f>
        <v/>
      </c>
      <c r="BS321" s="74" t="str">
        <f aca="false">IF($BL321&lt;&gt;Constants!$B$4,"",IF(AND($AL321,$BD321,$BE321),Constants!$B$22,0))</f>
        <v/>
      </c>
      <c r="BT321" s="74" t="str">
        <f aca="false">IF($BL321&lt;&gt;Constants!$B$4,"",IF(OR(NOT($AL321),NOT($BD321)),0,IF($BJ321&gt;=2*$AH$9,0,Constants!$B$23*INT(ROUND(MIN($BJ321,$AH$9),6)))))</f>
        <v/>
      </c>
      <c r="BU321" s="74" t="str">
        <f aca="false">IF($BL321&lt;&gt;Constants!$B$4,"",IF(NOT($AL321),0,Constants!$B$24*INT(ROUND(MIN($BC321,$AH$9),6))))</f>
        <v/>
      </c>
      <c r="BV321" s="74" t="str">
        <f aca="false">IF($BL321&lt;&gt;Constants!$B$4,"",IF(AND($AL321,$BN321=0),Constants!$B$25,0))</f>
        <v/>
      </c>
      <c r="BW321" s="74" t="str">
        <f aca="false">IF($BL321&lt;&gt;Constants!$B$4,"",MIN(Constants!$B$29,MAX(0,Constants!$B$27*Constants!$B$28*INT(ROUND((Constants!$B$26-$AN321)/Constants!$B$28,6))))+MIN(Constants!$B$29,MAX(0,Constants!$B$27*Constants!$B$28*INT(ROUND((Constants!$B$26-$AO321)/Constants!$B$28,6))))+MIN(Constants!$B$29,MAX(0,Constants!$B$27*Constants!$B$28*INT(ROUND((Constants!$B$26-$AP321)/Constants!$B$28,6)))))</f>
        <v/>
      </c>
      <c r="BX321" s="74" t="str">
        <f aca="false">IF($BL321&lt;&gt;Constants!$B$4,"",IF(NOT($AL321),0,Constants!$B$31*INT(ROUND(MAX(0,MIN($BJ321,2*$AH$9)-$AH$9),6))))</f>
        <v/>
      </c>
      <c r="BY321" s="74" t="str">
        <f aca="false">IF($BL321&lt;&gt;Constants!$B$4,"",Constants!$B$32*(($AN321&gt;Constants!$B$26)+($AO321&gt;Constants!$B$26)+($AP321&gt;Constants!$B$26)))</f>
        <v/>
      </c>
      <c r="BZ321" s="74" t="str">
        <f aca="false">IF($BL321&lt;&gt;Constants!$B$4,"",IF(OR(NOT($AL321),$AQ321),0,Constants!$B$33))</f>
        <v/>
      </c>
      <c r="CA321" s="74" t="str">
        <f aca="false">IF($BL321&lt;&gt;Constants!$B$4,"",Constants!$B$34*$BN321)</f>
        <v/>
      </c>
      <c r="CB321" s="74" t="str">
        <f aca="false">IF($BL321&lt;&gt;Constants!$B$4,"",IF(OR(NOT($AL321),$BH321),0,Constants!$B$36))</f>
        <v/>
      </c>
      <c r="CC321" s="74" t="str">
        <f aca="false">IF($BL321&lt;&gt;Constants!$B$4,"",IF(OR(NOT($AL321),$BG321),0,Constants!$B$37))</f>
        <v/>
      </c>
      <c r="CD321" s="74" t="str">
        <f aca="false">IF($BL321&lt;&gt;Constants!$B$4,"",SUM($BX321:$CC321))</f>
        <v/>
      </c>
      <c r="CE321" s="74" t="str">
        <f aca="false">IF(ISBLANK($C321),"",IF($BL321&lt;&gt;Constants!$B$4,$BL321,SUM($BO321:$BW321)-$CD321))</f>
        <v/>
      </c>
      <c r="CF321" s="74" t="str">
        <f aca="false">IF(ISBLANK($C321),"",IF($BL321&lt;&gt;Constants!$B$4,$BL321,RANK($CE321,$CE$9:$CE$508)))</f>
        <v/>
      </c>
      <c r="CG321" s="74" t="str">
        <f aca="false">IF(ISBLANK($C321),"",IF($BL321&lt;&gt;Constants!$B$4,$BL321,COUNTIFS($BM$9:$BM$508,"&lt;"&amp;$BM321)+COUNTIFS($BM$9:$BM$508,$BM321,$CF$9:$CF$508,"&lt;"&amp;$CF321)+1))</f>
        <v/>
      </c>
      <c r="CH321" s="74" t="str">
        <f aca="false">IF(ISBLANK($C321),"",IF($BL321&lt;&gt;Constants!$B$4,$BL321,RANK($CD321,$CD$9:$CD$508,1)))</f>
        <v/>
      </c>
      <c r="CI321" s="74" t="str">
        <f aca="false">IF($BL321&lt;&gt;Constants!$B$4,"",$AN321+$AO321+$AP321)</f>
        <v/>
      </c>
      <c r="CJ321" s="74" t="str">
        <f aca="false">IF(ISBLANK($C321),"",IF($BL321&lt;&gt;Constants!$B$4,$BL321,RANK($CI321,$CI$9:$CI$508,1)))</f>
        <v/>
      </c>
      <c r="CK321" s="74" t="str">
        <f aca="false">IF(ISBLANK($C321),"",IF($BL321&lt;&gt;Constants!$B$4,$BL321,COUNTIFS($BM$9:$BM$508,"&lt;"&amp;$BM321)+COUNTIFS($BM$9:$BM$508,$BM321,$CF$9:$CF$508,"&lt;"&amp;$CF321)+COUNTIFS($BM$9:$BM$508,$BM321,$CF$9:$CF$508,$CF321,$CH$9:$CH$508,"&lt;"&amp;$CH321)+COUNTIFS($BM$9:$BM$508,$BM321,$CF$9:$CF$508,$CF321,$CH$9:$CH$508,$CH321,$CJ$9:$CJ$508,"&lt;"&amp;$CJ321)+1))</f>
        <v/>
      </c>
      <c r="CL321" s="74" t="str">
        <f aca="false">IF(ISBLANK($C321),"",IF($BL321&lt;&gt;Constants!$B$4,$BL321,$CG321-$CK321))</f>
        <v/>
      </c>
      <c r="CM321" s="74" t="str">
        <f aca="false">IF(ISBLANK($C321),"",IF(NOT($AL321),"",IF(ISBLANK($D$7),$CM$5,IF(NOT(ISNUMBER($D$7)),$CM$6,""))))</f>
        <v/>
      </c>
      <c r="CN321" s="74" t="str">
        <f aca="false">IF(ISBLANK($C321),"",OR($AN321="",$AO321="",$AP321=""))</f>
        <v/>
      </c>
      <c r="CO321" s="74" t="str">
        <f aca="false">IF(ISBLANK($C321),"",AND($AL321,$BA321=""))</f>
        <v/>
      </c>
      <c r="CP321" s="74" t="str">
        <f aca="false">IF(ISBLANK($C321),"",AND($AL321,$BB321=""))</f>
        <v/>
      </c>
      <c r="CQ321" s="74" t="str">
        <f aca="false">IF(ISBLANK($C321),"",AND($AL321,$BC321=""))</f>
        <v/>
      </c>
      <c r="CR321" s="74" t="str">
        <f aca="false">IF(ISBLANK($C321),"",AND($AL321,$BF321=""))</f>
        <v/>
      </c>
      <c r="CS321" s="74" t="str">
        <f aca="false">IF(ISBLANK($C321),"",AND($AL321,$BJ321=""))</f>
        <v/>
      </c>
      <c r="CT321" s="75"/>
      <c r="CU321" s="76"/>
      <c r="CV321" s="79" t="str">
        <f aca="false">IF(ISBLANK($C321),"",IF($BL321=Constants!$B$8,$CM321,""))</f>
        <v/>
      </c>
      <c r="CW321" s="76" t="str">
        <f aca="false">IF(ISBLANK($C321),"",IF($BL321&lt;&gt;Constants!$B$4,"",$BO321+$BP321))</f>
        <v/>
      </c>
      <c r="CX321" s="78" t="str">
        <f aca="false">IF(ISBLANK($C321),"",IF($BL321&lt;&gt;Constants!$B$4,"",$BQ321+$BR321+$BS321))</f>
        <v/>
      </c>
      <c r="CY321" s="78" t="str">
        <f aca="false">IF(ISBLANK($C321),"",IF($BL321&lt;&gt;Constants!$B$4,"",$BT321))</f>
        <v/>
      </c>
      <c r="CZ321" s="78" t="str">
        <f aca="false">IF(ISBLANK($C321),"",IF($BL321&lt;&gt;Constants!$B$4,"",$BU321+$BV321))</f>
        <v/>
      </c>
      <c r="DA321" s="78" t="str">
        <f aca="false">IF(ISBLANK($C321),"",IF($BL321&lt;&gt;Constants!$B$4,"",$BW321))</f>
        <v/>
      </c>
      <c r="DB321" s="78" t="str">
        <f aca="false">IF(ISBLANK($C321),"",IF($BL321&lt;&gt;Constants!$B$4,"",-$CD321))</f>
        <v/>
      </c>
      <c r="DC321" s="79" t="str">
        <f aca="false">IF(ISBLANK($C321),"",$CE321)</f>
        <v/>
      </c>
      <c r="DD321" s="80" t="str">
        <f aca="false">IF(ISBLANK($C321),"",$BM321)</f>
        <v/>
      </c>
      <c r="DE321" s="78" t="str">
        <f aca="false">IF(ISBLANK($C321),"",$CL321)</f>
        <v/>
      </c>
      <c r="DF321" s="78" t="str">
        <f aca="false">IF(ISBLANK($C321),"",$CK321)</f>
        <v/>
      </c>
      <c r="DG321" s="81" t="str">
        <f aca="false">IF(ISBLANK($C321),"",IF($DF321=Constants!$B$7,COUNTA($C$9:$C$508)+2,IF($DF321=Constants!$B$6,COUNTA($C$9:$C$508)+1,IF($DF321=Constants!$B$5,COUNTA($C$9:$C$508),$DF321))))</f>
        <v/>
      </c>
      <c r="DH321" s="7"/>
      <c r="DI321" s="82" t="n">
        <f aca="false">IF(OR(ISNUMBER($DF321),$DF321=Constants!$B$7,$DF321=Constants!$B$5,$DF321=Constants!$B$6),1,0)</f>
        <v>0</v>
      </c>
      <c r="DJ321" s="82" t="n">
        <v>313</v>
      </c>
      <c r="DK321" s="82" t="str">
        <f aca="false">IF(ISBLANK($C321),"",IF(ISNUMBER($DG321),$DG321+ROW($B321)/1000,""))</f>
        <v/>
      </c>
      <c r="DL321" s="82" t="str">
        <f aca="false">IF(ISNUMBER($DK321),RANK($DK321,$DK$9:$DK$508,1),"")</f>
        <v/>
      </c>
      <c r="DM321" s="82" t="str">
        <f aca="false">IF(ISBLANK($C321),"",$B321)</f>
        <v/>
      </c>
      <c r="DN321" s="82" t="str">
        <f aca="false">IF(ISBLANK($C321),"",$C321)</f>
        <v/>
      </c>
      <c r="DO321" s="82" t="str">
        <f aca="false">IF(ISBLANK($C321),"",$D321)</f>
        <v/>
      </c>
      <c r="DP321" s="83" t="str">
        <f aca="false">$DD321</f>
        <v/>
      </c>
      <c r="DQ321" s="84" t="str">
        <f aca="false">$DC321</f>
        <v/>
      </c>
      <c r="DR321" s="82" t="str">
        <f aca="false">IF(ISBLANK($C321),"",$DF321)</f>
        <v/>
      </c>
      <c r="DS321" s="85" t="str">
        <f aca="false">IF($DJ321&gt;$DI$8,"",VLOOKUP($DJ321,$DL$9:$DR$508,7,FALSE()))</f>
        <v/>
      </c>
      <c r="DT321" s="86" t="str">
        <f aca="false">IF($DJ321&gt;$DI$8,"",VLOOKUP($DJ321,$DL$9:$DR$508,2,FALSE()))</f>
        <v/>
      </c>
      <c r="DU321" s="86" t="str">
        <f aca="false">IF($DJ321&gt;$DI$8,"",VLOOKUP($DJ321,$DL$9:$DR$508,3,FALSE()))</f>
        <v/>
      </c>
      <c r="DV321" s="86" t="str">
        <f aca="false">IF($DJ321&gt;$DI$8,"",VLOOKUP($DJ321,$DL$9:$DR$508,4,FALSE()))</f>
        <v/>
      </c>
      <c r="DW321" s="86" t="str">
        <f aca="false">IF($DJ321&gt;$DI$8,"",VLOOKUP($DJ321,$DL$9:$DR$508,5,FALSE()))</f>
        <v/>
      </c>
      <c r="DX321" s="87" t="str">
        <f aca="false">IF($DJ321&gt;$DI$8,"",VLOOKUP($DJ321,$DL$9:$DR$508,6,FALSE()))</f>
        <v/>
      </c>
      <c r="DY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88"/>
      <c r="N322" s="88"/>
      <c r="O322" s="134"/>
      <c r="P322" s="134"/>
      <c r="Q322" s="88"/>
      <c r="R322" s="88"/>
      <c r="S322" s="88"/>
      <c r="T322" s="88"/>
      <c r="U322" s="134"/>
      <c r="V322" s="88"/>
      <c r="W322" s="70"/>
      <c r="X322" s="88"/>
      <c r="Y322" s="88"/>
      <c r="Z322" s="70"/>
      <c r="AA322" s="70"/>
      <c r="AB322" s="88"/>
      <c r="AC322" s="88"/>
      <c r="AD322" s="88"/>
      <c r="AE322" s="71"/>
      <c r="AF322" s="88"/>
      <c r="AG322" s="73"/>
      <c r="AH322" s="74"/>
      <c r="AI322" s="74"/>
      <c r="AJ322" s="74" t="str">
        <f aca="false">IF(ISBLANK($C322),"",IF($E322=Constants!$B$2,TRUE(),IF($E322=Constants!$B$3,FALSE(),TRUE())))</f>
        <v/>
      </c>
      <c r="AK322" s="74" t="str">
        <f aca="false">IF(ISBLANK($C322),"",IF($F322=Constants!$B$2,TRUE(),IF($F322=Constants!$B$3,FALSE(),FALSE())))</f>
        <v/>
      </c>
      <c r="AL322" s="74" t="str">
        <f aca="false">IF(ISBLANK($C322),"",IF($G322=Constants!$B$2,TRUE(),IF($G322=Constants!$B$3,FALSE(),TRUE())))</f>
        <v/>
      </c>
      <c r="AM322" s="74" t="str">
        <f aca="false">IF(ISBLANK($C322),"",IF($H322=Constants!$B$2,TRUE(),IF($H322=Constants!$B$3,FALSE(),TRUE())))</f>
        <v/>
      </c>
      <c r="AN322" s="74" t="str">
        <f aca="false">IF(ISBLANK($C322),"",IF(ISNUMBER($I322),IF($I322&gt;=0,$I322,""),""))</f>
        <v/>
      </c>
      <c r="AO322" s="74" t="str">
        <f aca="false">IF(ISBLANK($C322),"",IF(ISNUMBER($J322),IF($J322&gt;=0,$J322,""),""))</f>
        <v/>
      </c>
      <c r="AP322" s="74" t="str">
        <f aca="false">IF(ISBLANK($C322),"",IF(ISNUMBER($K322),IF($K322&gt;=0,$K322,""),""))</f>
        <v/>
      </c>
      <c r="AQ322" s="74" t="str">
        <f aca="false">IF(ISBLANK($C322),"",IF($L322=Constants!$B$2,TRUE(),IF($L322=Constants!$B$3,FALSE(),TRUE())))</f>
        <v/>
      </c>
      <c r="AR322" s="74" t="str">
        <f aca="false">IF(ISBLANK($C322),"",IF($M322=Constants!$B$2,TRUE(),IF($M322=Constants!$B$3,FALSE(),TRUE())))</f>
        <v/>
      </c>
      <c r="AS322" s="74" t="str">
        <f aca="false">IF(ISBLANK($C322),"",IF($N322=Constants!$B$2,TRUE(),IF($N322=Constants!$B$3,FALSE(),FALSE())))</f>
        <v/>
      </c>
      <c r="AT322" s="74" t="str">
        <f aca="false">IF(ISBLANK($C322),"",IF($O322=Constants!$B$2,TRUE(),IF($O322=Constants!$B$3,FALSE(),TRUE())))</f>
        <v/>
      </c>
      <c r="AU322" s="74" t="str">
        <f aca="false">IF(ISBLANK($C322),"",IF($P322=Constants!$B$2,TRUE(),IF($P322=Constants!$B$3,FALSE(),TRUE())))</f>
        <v/>
      </c>
      <c r="AV322" s="74" t="str">
        <f aca="false">IF(ISBLANK($C322),"",IF($Q322=Constants!$B$2,TRUE(),IF($Q322=Constants!$B$3,FALSE(),FALSE())))</f>
        <v/>
      </c>
      <c r="AW322" s="74" t="str">
        <f aca="false">IF(ISBLANK($C322),"",IF($R322=Constants!$B$2,TRUE(),IF($R322=Constants!$B$3,FALSE(),FALSE())))</f>
        <v/>
      </c>
      <c r="AX322" s="74" t="str">
        <f aca="false">IF(ISBLANK($C322),"",IF($S322=Constants!$B$2,TRUE(),IF($S322=Constants!$B$3,FALSE(),FALSE())))</f>
        <v/>
      </c>
      <c r="AY322" s="74" t="str">
        <f aca="false">IF(ISBLANK($C322),"",IF($T322=Constants!$B$2,TRUE(),IF($T322=Constants!$B$3,FALSE(),FALSE())))</f>
        <v/>
      </c>
      <c r="AZ322" s="74" t="str">
        <f aca="false">IF(ISBLANK($C322),"",IF($U322=Constants!$B$2,TRUE(),IF($U322=Constants!$B$3,FALSE(),FALSE())))</f>
        <v/>
      </c>
      <c r="BA322" s="74" t="str">
        <f aca="false">IF(ISBLANK($C322),"",IF(OR($V322&amp;""="1",$V322&amp;""="2",$V322&amp;""="3",$V322&amp;""="4"),VALUE($V322&amp;""),IF($V322=Constants!$B$12,Constants!$B$12,"")))</f>
        <v/>
      </c>
      <c r="BB322" s="74" t="str">
        <f aca="false">IF(ISBLANK($C322),"",IF(ISBLANK($W322),0,IF(ISNUMBER($W322),IF(AND($W322&gt;=0,$W322&lt;=Constants!$B$21,$W322=INT($W322)),$W322,""),"")))</f>
        <v/>
      </c>
      <c r="BC322" s="74" t="str">
        <f aca="false">IF(ISBLANK($C322),"",IF(ISBLANK($X322),0,IF(ISNUMBER($X322),IF($X322&gt;=0,$X322,""),"")))</f>
        <v/>
      </c>
      <c r="BD322" s="74" t="str">
        <f aca="false">IF(ISBLANK($C322),"",IF($Y322=Constants!$B$2,TRUE(),IF($Y322=Constants!$B$3,FALSE(),TRUE())))</f>
        <v/>
      </c>
      <c r="BE322" s="74" t="str">
        <f aca="false">IF(ISBLANK($C322),"",IF($Z322=Constants!$B$2,TRUE(),IF($Z322=Constants!$B$3,FALSE(),FALSE())))</f>
        <v/>
      </c>
      <c r="BF322" s="74" t="str">
        <f aca="false">IF(ISBLANK($C322),"",IF(ISBLANK($AA322),0,IF(ISNUMBER($AA322),IF(AND($AA322&gt;=0,$AA322&lt;=Constants!$B$35,$AA322=INT($AA322)),$AA322,""),"")))</f>
        <v/>
      </c>
      <c r="BG322" s="74" t="str">
        <f aca="false">IF(ISBLANK($C322),"",IF($AB322=Constants!$B$2,TRUE(),IF($AB322=Constants!$B$3,FALSE(),TRUE())))</f>
        <v/>
      </c>
      <c r="BH322" s="74" t="str">
        <f aca="false">IF(ISBLANK($C322),"",IF($AC322=Constants!$B$2,TRUE(),IF($AC322=Constants!$B$3,FALSE(),TRUE())))</f>
        <v/>
      </c>
      <c r="BI322" s="74" t="str">
        <f aca="false">IF(ISBLANK($C322),"",IF($AD322=Constants!$B$2,TRUE(),IF($AD322=Constants!$B$3,FALSE(),TRUE())))</f>
        <v/>
      </c>
      <c r="BJ322" s="74" t="str">
        <f aca="false">IF(ISBLANK($C322),"",IF(ISNUMBER($AE322),IF($AE322&gt;=0,$AE322,""),""))</f>
        <v/>
      </c>
      <c r="BK322" s="74" t="str">
        <f aca="false">IF(ISBLANK($C322),"",IF($AF322=Constants!$B$2,TRUE(),IF($AF322=Constants!$B$3,FALSE(),FALSE())))</f>
        <v/>
      </c>
      <c r="BL322" s="73" t="str">
        <f aca="false">IF(ISBLANK($C322),"",IF($BK322,Constants!$B$7,IF(COUNTA($E322:$AE322)=0,Constants!$B$6,IF(OR(COUNTA($G322:$AE322)=0,NOT($AM322),$AS322),Constants!$B$5,IF(OR($CM322&lt;&gt;"",$CN322,$CO322,$CP322,$CQ322,$CR322,$CS322),Constants!$B$8,Constants!$B$4)))))</f>
        <v/>
      </c>
      <c r="BM322" s="74" t="str">
        <f aca="false">IF(ISBLANK($C322),"",IF($BL322&lt;&gt;Constants!$B$4,$BL322,IF(OR(NOT($AJ322),NOT($AL322),NOT($AT322)),Constants!$B$11,IF(OR(NOT($AR322),NOT($AU322),NOT($BI322),MAX($AN322,$AO322,$AP322)&gt;Constants!$B$30),Constants!$B$10,Constants!$B$9))))</f>
        <v/>
      </c>
      <c r="BN322" s="74" t="str">
        <f aca="false">IF($BL322&lt;&gt;Constants!$B$4,"",IF(NOT($AL322),0,MIN(Constants!$B$35,$BF322)))</f>
        <v/>
      </c>
      <c r="BO322" s="74" t="str">
        <f aca="false">IF($BL322&lt;&gt;Constants!$B$4,"",IF(NOT($AL322),0,IF($AW322,Constants!$B$18,IF($AV322,Constants!$B$17,0))))</f>
        <v/>
      </c>
      <c r="BP322" s="74" t="str">
        <f aca="false">IF($BL322&lt;&gt;Constants!$B$4,"",IF(NOT($AL322),0,Constants!$B$19*($AK322+$AX322+$AY322+$AZ322)))</f>
        <v/>
      </c>
      <c r="BQ322" s="74" t="str">
        <f aca="false">IF($BL322&lt;&gt;Constants!$B$4,"",IF(OR(NOT($AL322),NOT(ISNUMBER($BA322))),0,CHOOSE($BA322,Constants!$B$13,Constants!$B$14,Constants!$B$15,Constants!$B$16)))</f>
        <v/>
      </c>
      <c r="BR322" s="74" t="str">
        <f aca="false">IF($BL322&lt;&gt;Constants!$B$4,"",IF(NOT($AL322),0,Constants!$B$20*$BB322))</f>
        <v/>
      </c>
      <c r="BS322" s="74" t="str">
        <f aca="false">IF($BL322&lt;&gt;Constants!$B$4,"",IF(AND($AL322,$BD322,$BE322),Constants!$B$22,0))</f>
        <v/>
      </c>
      <c r="BT322" s="74" t="str">
        <f aca="false">IF($BL322&lt;&gt;Constants!$B$4,"",IF(OR(NOT($AL322),NOT($BD322)),0,IF($BJ322&gt;=2*$AH$9,0,Constants!$B$23*INT(ROUND(MIN($BJ322,$AH$9),6)))))</f>
        <v/>
      </c>
      <c r="BU322" s="74" t="str">
        <f aca="false">IF($BL322&lt;&gt;Constants!$B$4,"",IF(NOT($AL322),0,Constants!$B$24*INT(ROUND(MIN($BC322,$AH$9),6))))</f>
        <v/>
      </c>
      <c r="BV322" s="74" t="str">
        <f aca="false">IF($BL322&lt;&gt;Constants!$B$4,"",IF(AND($AL322,$BN322=0),Constants!$B$25,0))</f>
        <v/>
      </c>
      <c r="BW322" s="74" t="str">
        <f aca="false">IF($BL322&lt;&gt;Constants!$B$4,"",MIN(Constants!$B$29,MAX(0,Constants!$B$27*Constants!$B$28*INT(ROUND((Constants!$B$26-$AN322)/Constants!$B$28,6))))+MIN(Constants!$B$29,MAX(0,Constants!$B$27*Constants!$B$28*INT(ROUND((Constants!$B$26-$AO322)/Constants!$B$28,6))))+MIN(Constants!$B$29,MAX(0,Constants!$B$27*Constants!$B$28*INT(ROUND((Constants!$B$26-$AP322)/Constants!$B$28,6)))))</f>
        <v/>
      </c>
      <c r="BX322" s="74" t="str">
        <f aca="false">IF($BL322&lt;&gt;Constants!$B$4,"",IF(NOT($AL322),0,Constants!$B$31*INT(ROUND(MAX(0,MIN($BJ322,2*$AH$9)-$AH$9),6))))</f>
        <v/>
      </c>
      <c r="BY322" s="74" t="str">
        <f aca="false">IF($BL322&lt;&gt;Constants!$B$4,"",Constants!$B$32*(($AN322&gt;Constants!$B$26)+($AO322&gt;Constants!$B$26)+($AP322&gt;Constants!$B$26)))</f>
        <v/>
      </c>
      <c r="BZ322" s="74" t="str">
        <f aca="false">IF($BL322&lt;&gt;Constants!$B$4,"",IF(OR(NOT($AL322),$AQ322),0,Constants!$B$33))</f>
        <v/>
      </c>
      <c r="CA322" s="74" t="str">
        <f aca="false">IF($BL322&lt;&gt;Constants!$B$4,"",Constants!$B$34*$BN322)</f>
        <v/>
      </c>
      <c r="CB322" s="74" t="str">
        <f aca="false">IF($BL322&lt;&gt;Constants!$B$4,"",IF(OR(NOT($AL322),$BH322),0,Constants!$B$36))</f>
        <v/>
      </c>
      <c r="CC322" s="74" t="str">
        <f aca="false">IF($BL322&lt;&gt;Constants!$B$4,"",IF(OR(NOT($AL322),$BG322),0,Constants!$B$37))</f>
        <v/>
      </c>
      <c r="CD322" s="74" t="str">
        <f aca="false">IF($BL322&lt;&gt;Constants!$B$4,"",SUM($BX322:$CC322))</f>
        <v/>
      </c>
      <c r="CE322" s="74" t="str">
        <f aca="false">IF(ISBLANK($C322),"",IF($BL322&lt;&gt;Constants!$B$4,$BL322,SUM($BO322:$BW322)-$CD322))</f>
        <v/>
      </c>
      <c r="CF322" s="74" t="str">
        <f aca="false">IF(ISBLANK($C322),"",IF($BL322&lt;&gt;Constants!$B$4,$BL322,RANK($CE322,$CE$9:$CE$508)))</f>
        <v/>
      </c>
      <c r="CG322" s="74" t="str">
        <f aca="false">IF(ISBLANK($C322),"",IF($BL322&lt;&gt;Constants!$B$4,$BL322,COUNTIFS($BM$9:$BM$508,"&lt;"&amp;$BM322)+COUNTIFS($BM$9:$BM$508,$BM322,$CF$9:$CF$508,"&lt;"&amp;$CF322)+1))</f>
        <v/>
      </c>
      <c r="CH322" s="74" t="str">
        <f aca="false">IF(ISBLANK($C322),"",IF($BL322&lt;&gt;Constants!$B$4,$BL322,RANK($CD322,$CD$9:$CD$508,1)))</f>
        <v/>
      </c>
      <c r="CI322" s="74" t="str">
        <f aca="false">IF($BL322&lt;&gt;Constants!$B$4,"",$AN322+$AO322+$AP322)</f>
        <v/>
      </c>
      <c r="CJ322" s="74" t="str">
        <f aca="false">IF(ISBLANK($C322),"",IF($BL322&lt;&gt;Constants!$B$4,$BL322,RANK($CI322,$CI$9:$CI$508,1)))</f>
        <v/>
      </c>
      <c r="CK322" s="74" t="str">
        <f aca="false">IF(ISBLANK($C322),"",IF($BL322&lt;&gt;Constants!$B$4,$BL322,COUNTIFS($BM$9:$BM$508,"&lt;"&amp;$BM322)+COUNTIFS($BM$9:$BM$508,$BM322,$CF$9:$CF$508,"&lt;"&amp;$CF322)+COUNTIFS($BM$9:$BM$508,$BM322,$CF$9:$CF$508,$CF322,$CH$9:$CH$508,"&lt;"&amp;$CH322)+COUNTIFS($BM$9:$BM$508,$BM322,$CF$9:$CF$508,$CF322,$CH$9:$CH$508,$CH322,$CJ$9:$CJ$508,"&lt;"&amp;$CJ322)+1))</f>
        <v/>
      </c>
      <c r="CL322" s="74" t="str">
        <f aca="false">IF(ISBLANK($C322),"",IF($BL322&lt;&gt;Constants!$B$4,$BL322,$CG322-$CK322))</f>
        <v/>
      </c>
      <c r="CM322" s="74" t="str">
        <f aca="false">IF(ISBLANK($C322),"",IF(NOT($AL322),"",IF(ISBLANK($D$7),$CM$5,IF(NOT(ISNUMBER($D$7)),$CM$6,""))))</f>
        <v/>
      </c>
      <c r="CN322" s="74" t="str">
        <f aca="false">IF(ISBLANK($C322),"",OR($AN322="",$AO322="",$AP322=""))</f>
        <v/>
      </c>
      <c r="CO322" s="74" t="str">
        <f aca="false">IF(ISBLANK($C322),"",AND($AL322,$BA322=""))</f>
        <v/>
      </c>
      <c r="CP322" s="74" t="str">
        <f aca="false">IF(ISBLANK($C322),"",AND($AL322,$BB322=""))</f>
        <v/>
      </c>
      <c r="CQ322" s="74" t="str">
        <f aca="false">IF(ISBLANK($C322),"",AND($AL322,$BC322=""))</f>
        <v/>
      </c>
      <c r="CR322" s="74" t="str">
        <f aca="false">IF(ISBLANK($C322),"",AND($AL322,$BF322=""))</f>
        <v/>
      </c>
      <c r="CS322" s="74" t="str">
        <f aca="false">IF(ISBLANK($C322),"",AND($AL322,$BJ322=""))</f>
        <v/>
      </c>
      <c r="CT322" s="75"/>
      <c r="CU322" s="76"/>
      <c r="CV322" s="79" t="str">
        <f aca="false">IF(ISBLANK($C322),"",IF($BL322=Constants!$B$8,$CM322,""))</f>
        <v/>
      </c>
      <c r="CW322" s="76" t="str">
        <f aca="false">IF(ISBLANK($C322),"",IF($BL322&lt;&gt;Constants!$B$4,"",$BO322+$BP322))</f>
        <v/>
      </c>
      <c r="CX322" s="78" t="str">
        <f aca="false">IF(ISBLANK($C322),"",IF($BL322&lt;&gt;Constants!$B$4,"",$BQ322+$BR322+$BS322))</f>
        <v/>
      </c>
      <c r="CY322" s="78" t="str">
        <f aca="false">IF(ISBLANK($C322),"",IF($BL322&lt;&gt;Constants!$B$4,"",$BT322))</f>
        <v/>
      </c>
      <c r="CZ322" s="78" t="str">
        <f aca="false">IF(ISBLANK($C322),"",IF($BL322&lt;&gt;Constants!$B$4,"",$BU322+$BV322))</f>
        <v/>
      </c>
      <c r="DA322" s="78" t="str">
        <f aca="false">IF(ISBLANK($C322),"",IF($BL322&lt;&gt;Constants!$B$4,"",$BW322))</f>
        <v/>
      </c>
      <c r="DB322" s="78" t="str">
        <f aca="false">IF(ISBLANK($C322),"",IF($BL322&lt;&gt;Constants!$B$4,"",-$CD322))</f>
        <v/>
      </c>
      <c r="DC322" s="79" t="str">
        <f aca="false">IF(ISBLANK($C322),"",$CE322)</f>
        <v/>
      </c>
      <c r="DD322" s="80" t="str">
        <f aca="false">IF(ISBLANK($C322),"",$BM322)</f>
        <v/>
      </c>
      <c r="DE322" s="78" t="str">
        <f aca="false">IF(ISBLANK($C322),"",$CL322)</f>
        <v/>
      </c>
      <c r="DF322" s="78" t="str">
        <f aca="false">IF(ISBLANK($C322),"",$CK322)</f>
        <v/>
      </c>
      <c r="DG322" s="81" t="str">
        <f aca="false">IF(ISBLANK($C322),"",IF($DF322=Constants!$B$7,COUNTA($C$9:$C$508)+2,IF($DF322=Constants!$B$6,COUNTA($C$9:$C$508)+1,IF($DF322=Constants!$B$5,COUNTA($C$9:$C$508),$DF322))))</f>
        <v/>
      </c>
      <c r="DH322" s="7"/>
      <c r="DI322" s="82" t="n">
        <f aca="false">IF(OR(ISNUMBER($DF322),$DF322=Constants!$B$7,$DF322=Constants!$B$5,$DF322=Constants!$B$6),1,0)</f>
        <v>0</v>
      </c>
      <c r="DJ322" s="82" t="n">
        <v>314</v>
      </c>
      <c r="DK322" s="82" t="str">
        <f aca="false">IF(ISBLANK($C322),"",IF(ISNUMBER($DG322),$DG322+ROW($B322)/1000,""))</f>
        <v/>
      </c>
      <c r="DL322" s="82" t="str">
        <f aca="false">IF(ISNUMBER($DK322),RANK($DK322,$DK$9:$DK$508,1),"")</f>
        <v/>
      </c>
      <c r="DM322" s="82" t="str">
        <f aca="false">IF(ISBLANK($C322),"",$B322)</f>
        <v/>
      </c>
      <c r="DN322" s="82" t="str">
        <f aca="false">IF(ISBLANK($C322),"",$C322)</f>
        <v/>
      </c>
      <c r="DO322" s="82" t="str">
        <f aca="false">IF(ISBLANK($C322),"",$D322)</f>
        <v/>
      </c>
      <c r="DP322" s="83" t="str">
        <f aca="false">$DD322</f>
        <v/>
      </c>
      <c r="DQ322" s="84" t="str">
        <f aca="false">$DC322</f>
        <v/>
      </c>
      <c r="DR322" s="82" t="str">
        <f aca="false">IF(ISBLANK($C322),"",$DF322)</f>
        <v/>
      </c>
      <c r="DS322" s="85" t="str">
        <f aca="false">IF($DJ322&gt;$DI$8,"",VLOOKUP($DJ322,$DL$9:$DR$508,7,FALSE()))</f>
        <v/>
      </c>
      <c r="DT322" s="86" t="str">
        <f aca="false">IF($DJ322&gt;$DI$8,"",VLOOKUP($DJ322,$DL$9:$DR$508,2,FALSE()))</f>
        <v/>
      </c>
      <c r="DU322" s="86" t="str">
        <f aca="false">IF($DJ322&gt;$DI$8,"",VLOOKUP($DJ322,$DL$9:$DR$508,3,FALSE()))</f>
        <v/>
      </c>
      <c r="DV322" s="86" t="str">
        <f aca="false">IF($DJ322&gt;$DI$8,"",VLOOKUP($DJ322,$DL$9:$DR$508,4,FALSE()))</f>
        <v/>
      </c>
      <c r="DW322" s="86" t="str">
        <f aca="false">IF($DJ322&gt;$DI$8,"",VLOOKUP($DJ322,$DL$9:$DR$508,5,FALSE()))</f>
        <v/>
      </c>
      <c r="DX322" s="87" t="str">
        <f aca="false">IF($DJ322&gt;$DI$8,"",VLOOKUP($DJ322,$DL$9:$DR$508,6,FALSE()))</f>
        <v/>
      </c>
      <c r="DY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88"/>
      <c r="N323" s="88"/>
      <c r="O323" s="134"/>
      <c r="P323" s="134"/>
      <c r="Q323" s="88"/>
      <c r="R323" s="88"/>
      <c r="S323" s="88"/>
      <c r="T323" s="88"/>
      <c r="U323" s="134"/>
      <c r="V323" s="88"/>
      <c r="W323" s="70"/>
      <c r="X323" s="88"/>
      <c r="Y323" s="88"/>
      <c r="Z323" s="70"/>
      <c r="AA323" s="70"/>
      <c r="AB323" s="88"/>
      <c r="AC323" s="88"/>
      <c r="AD323" s="88"/>
      <c r="AE323" s="71"/>
      <c r="AF323" s="88"/>
      <c r="AG323" s="73"/>
      <c r="AH323" s="74"/>
      <c r="AI323" s="74"/>
      <c r="AJ323" s="74" t="str">
        <f aca="false">IF(ISBLANK($C323),"",IF($E323=Constants!$B$2,TRUE(),IF($E323=Constants!$B$3,FALSE(),TRUE())))</f>
        <v/>
      </c>
      <c r="AK323" s="74" t="str">
        <f aca="false">IF(ISBLANK($C323),"",IF($F323=Constants!$B$2,TRUE(),IF($F323=Constants!$B$3,FALSE(),FALSE())))</f>
        <v/>
      </c>
      <c r="AL323" s="74" t="str">
        <f aca="false">IF(ISBLANK($C323),"",IF($G323=Constants!$B$2,TRUE(),IF($G323=Constants!$B$3,FALSE(),TRUE())))</f>
        <v/>
      </c>
      <c r="AM323" s="74" t="str">
        <f aca="false">IF(ISBLANK($C323),"",IF($H323=Constants!$B$2,TRUE(),IF($H323=Constants!$B$3,FALSE(),TRUE())))</f>
        <v/>
      </c>
      <c r="AN323" s="74" t="str">
        <f aca="false">IF(ISBLANK($C323),"",IF(ISNUMBER($I323),IF($I323&gt;=0,$I323,""),""))</f>
        <v/>
      </c>
      <c r="AO323" s="74" t="str">
        <f aca="false">IF(ISBLANK($C323),"",IF(ISNUMBER($J323),IF($J323&gt;=0,$J323,""),""))</f>
        <v/>
      </c>
      <c r="AP323" s="74" t="str">
        <f aca="false">IF(ISBLANK($C323),"",IF(ISNUMBER($K323),IF($K323&gt;=0,$K323,""),""))</f>
        <v/>
      </c>
      <c r="AQ323" s="74" t="str">
        <f aca="false">IF(ISBLANK($C323),"",IF($L323=Constants!$B$2,TRUE(),IF($L323=Constants!$B$3,FALSE(),TRUE())))</f>
        <v/>
      </c>
      <c r="AR323" s="74" t="str">
        <f aca="false">IF(ISBLANK($C323),"",IF($M323=Constants!$B$2,TRUE(),IF($M323=Constants!$B$3,FALSE(),TRUE())))</f>
        <v/>
      </c>
      <c r="AS323" s="74" t="str">
        <f aca="false">IF(ISBLANK($C323),"",IF($N323=Constants!$B$2,TRUE(),IF($N323=Constants!$B$3,FALSE(),FALSE())))</f>
        <v/>
      </c>
      <c r="AT323" s="74" t="str">
        <f aca="false">IF(ISBLANK($C323),"",IF($O323=Constants!$B$2,TRUE(),IF($O323=Constants!$B$3,FALSE(),TRUE())))</f>
        <v/>
      </c>
      <c r="AU323" s="74" t="str">
        <f aca="false">IF(ISBLANK($C323),"",IF($P323=Constants!$B$2,TRUE(),IF($P323=Constants!$B$3,FALSE(),TRUE())))</f>
        <v/>
      </c>
      <c r="AV323" s="74" t="str">
        <f aca="false">IF(ISBLANK($C323),"",IF($Q323=Constants!$B$2,TRUE(),IF($Q323=Constants!$B$3,FALSE(),FALSE())))</f>
        <v/>
      </c>
      <c r="AW323" s="74" t="str">
        <f aca="false">IF(ISBLANK($C323),"",IF($R323=Constants!$B$2,TRUE(),IF($R323=Constants!$B$3,FALSE(),FALSE())))</f>
        <v/>
      </c>
      <c r="AX323" s="74" t="str">
        <f aca="false">IF(ISBLANK($C323),"",IF($S323=Constants!$B$2,TRUE(),IF($S323=Constants!$B$3,FALSE(),FALSE())))</f>
        <v/>
      </c>
      <c r="AY323" s="74" t="str">
        <f aca="false">IF(ISBLANK($C323),"",IF($T323=Constants!$B$2,TRUE(),IF($T323=Constants!$B$3,FALSE(),FALSE())))</f>
        <v/>
      </c>
      <c r="AZ323" s="74" t="str">
        <f aca="false">IF(ISBLANK($C323),"",IF($U323=Constants!$B$2,TRUE(),IF($U323=Constants!$B$3,FALSE(),FALSE())))</f>
        <v/>
      </c>
      <c r="BA323" s="74" t="str">
        <f aca="false">IF(ISBLANK($C323),"",IF(OR($V323&amp;""="1",$V323&amp;""="2",$V323&amp;""="3",$V323&amp;""="4"),VALUE($V323&amp;""),IF($V323=Constants!$B$12,Constants!$B$12,"")))</f>
        <v/>
      </c>
      <c r="BB323" s="74" t="str">
        <f aca="false">IF(ISBLANK($C323),"",IF(ISBLANK($W323),0,IF(ISNUMBER($W323),IF(AND($W323&gt;=0,$W323&lt;=Constants!$B$21,$W323=INT($W323)),$W323,""),"")))</f>
        <v/>
      </c>
      <c r="BC323" s="74" t="str">
        <f aca="false">IF(ISBLANK($C323),"",IF(ISBLANK($X323),0,IF(ISNUMBER($X323),IF($X323&gt;=0,$X323,""),"")))</f>
        <v/>
      </c>
      <c r="BD323" s="74" t="str">
        <f aca="false">IF(ISBLANK($C323),"",IF($Y323=Constants!$B$2,TRUE(),IF($Y323=Constants!$B$3,FALSE(),TRUE())))</f>
        <v/>
      </c>
      <c r="BE323" s="74" t="str">
        <f aca="false">IF(ISBLANK($C323),"",IF($Z323=Constants!$B$2,TRUE(),IF($Z323=Constants!$B$3,FALSE(),FALSE())))</f>
        <v/>
      </c>
      <c r="BF323" s="74" t="str">
        <f aca="false">IF(ISBLANK($C323),"",IF(ISBLANK($AA323),0,IF(ISNUMBER($AA323),IF(AND($AA323&gt;=0,$AA323&lt;=Constants!$B$35,$AA323=INT($AA323)),$AA323,""),"")))</f>
        <v/>
      </c>
      <c r="BG323" s="74" t="str">
        <f aca="false">IF(ISBLANK($C323),"",IF($AB323=Constants!$B$2,TRUE(),IF($AB323=Constants!$B$3,FALSE(),TRUE())))</f>
        <v/>
      </c>
      <c r="BH323" s="74" t="str">
        <f aca="false">IF(ISBLANK($C323),"",IF($AC323=Constants!$B$2,TRUE(),IF($AC323=Constants!$B$3,FALSE(),TRUE())))</f>
        <v/>
      </c>
      <c r="BI323" s="74" t="str">
        <f aca="false">IF(ISBLANK($C323),"",IF($AD323=Constants!$B$2,TRUE(),IF($AD323=Constants!$B$3,FALSE(),TRUE())))</f>
        <v/>
      </c>
      <c r="BJ323" s="74" t="str">
        <f aca="false">IF(ISBLANK($C323),"",IF(ISNUMBER($AE323),IF($AE323&gt;=0,$AE323,""),""))</f>
        <v/>
      </c>
      <c r="BK323" s="74" t="str">
        <f aca="false">IF(ISBLANK($C323),"",IF($AF323=Constants!$B$2,TRUE(),IF($AF323=Constants!$B$3,FALSE(),FALSE())))</f>
        <v/>
      </c>
      <c r="BL323" s="73" t="str">
        <f aca="false">IF(ISBLANK($C323),"",IF($BK323,Constants!$B$7,IF(COUNTA($E323:$AE323)=0,Constants!$B$6,IF(OR(COUNTA($G323:$AE323)=0,NOT($AM323),$AS323),Constants!$B$5,IF(OR($CM323&lt;&gt;"",$CN323,$CO323,$CP323,$CQ323,$CR323,$CS323),Constants!$B$8,Constants!$B$4)))))</f>
        <v/>
      </c>
      <c r="BM323" s="74" t="str">
        <f aca="false">IF(ISBLANK($C323),"",IF($BL323&lt;&gt;Constants!$B$4,$BL323,IF(OR(NOT($AJ323),NOT($AL323),NOT($AT323)),Constants!$B$11,IF(OR(NOT($AR323),NOT($AU323),NOT($BI323),MAX($AN323,$AO323,$AP323)&gt;Constants!$B$30),Constants!$B$10,Constants!$B$9))))</f>
        <v/>
      </c>
      <c r="BN323" s="74" t="str">
        <f aca="false">IF($BL323&lt;&gt;Constants!$B$4,"",IF(NOT($AL323),0,MIN(Constants!$B$35,$BF323)))</f>
        <v/>
      </c>
      <c r="BO323" s="74" t="str">
        <f aca="false">IF($BL323&lt;&gt;Constants!$B$4,"",IF(NOT($AL323),0,IF($AW323,Constants!$B$18,IF($AV323,Constants!$B$17,0))))</f>
        <v/>
      </c>
      <c r="BP323" s="74" t="str">
        <f aca="false">IF($BL323&lt;&gt;Constants!$B$4,"",IF(NOT($AL323),0,Constants!$B$19*($AK323+$AX323+$AY323+$AZ323)))</f>
        <v/>
      </c>
      <c r="BQ323" s="74" t="str">
        <f aca="false">IF($BL323&lt;&gt;Constants!$B$4,"",IF(OR(NOT($AL323),NOT(ISNUMBER($BA323))),0,CHOOSE($BA323,Constants!$B$13,Constants!$B$14,Constants!$B$15,Constants!$B$16)))</f>
        <v/>
      </c>
      <c r="BR323" s="74" t="str">
        <f aca="false">IF($BL323&lt;&gt;Constants!$B$4,"",IF(NOT($AL323),0,Constants!$B$20*$BB323))</f>
        <v/>
      </c>
      <c r="BS323" s="74" t="str">
        <f aca="false">IF($BL323&lt;&gt;Constants!$B$4,"",IF(AND($AL323,$BD323,$BE323),Constants!$B$22,0))</f>
        <v/>
      </c>
      <c r="BT323" s="74" t="str">
        <f aca="false">IF($BL323&lt;&gt;Constants!$B$4,"",IF(OR(NOT($AL323),NOT($BD323)),0,IF($BJ323&gt;=2*$AH$9,0,Constants!$B$23*INT(ROUND(MIN($BJ323,$AH$9),6)))))</f>
        <v/>
      </c>
      <c r="BU323" s="74" t="str">
        <f aca="false">IF($BL323&lt;&gt;Constants!$B$4,"",IF(NOT($AL323),0,Constants!$B$24*INT(ROUND(MIN($BC323,$AH$9),6))))</f>
        <v/>
      </c>
      <c r="BV323" s="74" t="str">
        <f aca="false">IF($BL323&lt;&gt;Constants!$B$4,"",IF(AND($AL323,$BN323=0),Constants!$B$25,0))</f>
        <v/>
      </c>
      <c r="BW323" s="74" t="str">
        <f aca="false">IF($BL323&lt;&gt;Constants!$B$4,"",MIN(Constants!$B$29,MAX(0,Constants!$B$27*Constants!$B$28*INT(ROUND((Constants!$B$26-$AN323)/Constants!$B$28,6))))+MIN(Constants!$B$29,MAX(0,Constants!$B$27*Constants!$B$28*INT(ROUND((Constants!$B$26-$AO323)/Constants!$B$28,6))))+MIN(Constants!$B$29,MAX(0,Constants!$B$27*Constants!$B$28*INT(ROUND((Constants!$B$26-$AP323)/Constants!$B$28,6)))))</f>
        <v/>
      </c>
      <c r="BX323" s="74" t="str">
        <f aca="false">IF($BL323&lt;&gt;Constants!$B$4,"",IF(NOT($AL323),0,Constants!$B$31*INT(ROUND(MAX(0,MIN($BJ323,2*$AH$9)-$AH$9),6))))</f>
        <v/>
      </c>
      <c r="BY323" s="74" t="str">
        <f aca="false">IF($BL323&lt;&gt;Constants!$B$4,"",Constants!$B$32*(($AN323&gt;Constants!$B$26)+($AO323&gt;Constants!$B$26)+($AP323&gt;Constants!$B$26)))</f>
        <v/>
      </c>
      <c r="BZ323" s="74" t="str">
        <f aca="false">IF($BL323&lt;&gt;Constants!$B$4,"",IF(OR(NOT($AL323),$AQ323),0,Constants!$B$33))</f>
        <v/>
      </c>
      <c r="CA323" s="74" t="str">
        <f aca="false">IF($BL323&lt;&gt;Constants!$B$4,"",Constants!$B$34*$BN323)</f>
        <v/>
      </c>
      <c r="CB323" s="74" t="str">
        <f aca="false">IF($BL323&lt;&gt;Constants!$B$4,"",IF(OR(NOT($AL323),$BH323),0,Constants!$B$36))</f>
        <v/>
      </c>
      <c r="CC323" s="74" t="str">
        <f aca="false">IF($BL323&lt;&gt;Constants!$B$4,"",IF(OR(NOT($AL323),$BG323),0,Constants!$B$37))</f>
        <v/>
      </c>
      <c r="CD323" s="74" t="str">
        <f aca="false">IF($BL323&lt;&gt;Constants!$B$4,"",SUM($BX323:$CC323))</f>
        <v/>
      </c>
      <c r="CE323" s="74" t="str">
        <f aca="false">IF(ISBLANK($C323),"",IF($BL323&lt;&gt;Constants!$B$4,$BL323,SUM($BO323:$BW323)-$CD323))</f>
        <v/>
      </c>
      <c r="CF323" s="74" t="str">
        <f aca="false">IF(ISBLANK($C323),"",IF($BL323&lt;&gt;Constants!$B$4,$BL323,RANK($CE323,$CE$9:$CE$508)))</f>
        <v/>
      </c>
      <c r="CG323" s="74" t="str">
        <f aca="false">IF(ISBLANK($C323),"",IF($BL323&lt;&gt;Constants!$B$4,$BL323,COUNTIFS($BM$9:$BM$508,"&lt;"&amp;$BM323)+COUNTIFS($BM$9:$BM$508,$BM323,$CF$9:$CF$508,"&lt;"&amp;$CF323)+1))</f>
        <v/>
      </c>
      <c r="CH323" s="74" t="str">
        <f aca="false">IF(ISBLANK($C323),"",IF($BL323&lt;&gt;Constants!$B$4,$BL323,RANK($CD323,$CD$9:$CD$508,1)))</f>
        <v/>
      </c>
      <c r="CI323" s="74" t="str">
        <f aca="false">IF($BL323&lt;&gt;Constants!$B$4,"",$AN323+$AO323+$AP323)</f>
        <v/>
      </c>
      <c r="CJ323" s="74" t="str">
        <f aca="false">IF(ISBLANK($C323),"",IF($BL323&lt;&gt;Constants!$B$4,$BL323,RANK($CI323,$CI$9:$CI$508,1)))</f>
        <v/>
      </c>
      <c r="CK323" s="74" t="str">
        <f aca="false">IF(ISBLANK($C323),"",IF($BL323&lt;&gt;Constants!$B$4,$BL323,COUNTIFS($BM$9:$BM$508,"&lt;"&amp;$BM323)+COUNTIFS($BM$9:$BM$508,$BM323,$CF$9:$CF$508,"&lt;"&amp;$CF323)+COUNTIFS($BM$9:$BM$508,$BM323,$CF$9:$CF$508,$CF323,$CH$9:$CH$508,"&lt;"&amp;$CH323)+COUNTIFS($BM$9:$BM$508,$BM323,$CF$9:$CF$508,$CF323,$CH$9:$CH$508,$CH323,$CJ$9:$CJ$508,"&lt;"&amp;$CJ323)+1))</f>
        <v/>
      </c>
      <c r="CL323" s="74" t="str">
        <f aca="false">IF(ISBLANK($C323),"",IF($BL323&lt;&gt;Constants!$B$4,$BL323,$CG323-$CK323))</f>
        <v/>
      </c>
      <c r="CM323" s="74" t="str">
        <f aca="false">IF(ISBLANK($C323),"",IF(NOT($AL323),"",IF(ISBLANK($D$7),$CM$5,IF(NOT(ISNUMBER($D$7)),$CM$6,""))))</f>
        <v/>
      </c>
      <c r="CN323" s="74" t="str">
        <f aca="false">IF(ISBLANK($C323),"",OR($AN323="",$AO323="",$AP323=""))</f>
        <v/>
      </c>
      <c r="CO323" s="74" t="str">
        <f aca="false">IF(ISBLANK($C323),"",AND($AL323,$BA323=""))</f>
        <v/>
      </c>
      <c r="CP323" s="74" t="str">
        <f aca="false">IF(ISBLANK($C323),"",AND($AL323,$BB323=""))</f>
        <v/>
      </c>
      <c r="CQ323" s="74" t="str">
        <f aca="false">IF(ISBLANK($C323),"",AND($AL323,$BC323=""))</f>
        <v/>
      </c>
      <c r="CR323" s="74" t="str">
        <f aca="false">IF(ISBLANK($C323),"",AND($AL323,$BF323=""))</f>
        <v/>
      </c>
      <c r="CS323" s="74" t="str">
        <f aca="false">IF(ISBLANK($C323),"",AND($AL323,$BJ323=""))</f>
        <v/>
      </c>
      <c r="CT323" s="75"/>
      <c r="CU323" s="76"/>
      <c r="CV323" s="79" t="str">
        <f aca="false">IF(ISBLANK($C323),"",IF($BL323=Constants!$B$8,$CM323,""))</f>
        <v/>
      </c>
      <c r="CW323" s="76" t="str">
        <f aca="false">IF(ISBLANK($C323),"",IF($BL323&lt;&gt;Constants!$B$4,"",$BO323+$BP323))</f>
        <v/>
      </c>
      <c r="CX323" s="78" t="str">
        <f aca="false">IF(ISBLANK($C323),"",IF($BL323&lt;&gt;Constants!$B$4,"",$BQ323+$BR323+$BS323))</f>
        <v/>
      </c>
      <c r="CY323" s="78" t="str">
        <f aca="false">IF(ISBLANK($C323),"",IF($BL323&lt;&gt;Constants!$B$4,"",$BT323))</f>
        <v/>
      </c>
      <c r="CZ323" s="78" t="str">
        <f aca="false">IF(ISBLANK($C323),"",IF($BL323&lt;&gt;Constants!$B$4,"",$BU323+$BV323))</f>
        <v/>
      </c>
      <c r="DA323" s="78" t="str">
        <f aca="false">IF(ISBLANK($C323),"",IF($BL323&lt;&gt;Constants!$B$4,"",$BW323))</f>
        <v/>
      </c>
      <c r="DB323" s="78" t="str">
        <f aca="false">IF(ISBLANK($C323),"",IF($BL323&lt;&gt;Constants!$B$4,"",-$CD323))</f>
        <v/>
      </c>
      <c r="DC323" s="79" t="str">
        <f aca="false">IF(ISBLANK($C323),"",$CE323)</f>
        <v/>
      </c>
      <c r="DD323" s="80" t="str">
        <f aca="false">IF(ISBLANK($C323),"",$BM323)</f>
        <v/>
      </c>
      <c r="DE323" s="78" t="str">
        <f aca="false">IF(ISBLANK($C323),"",$CL323)</f>
        <v/>
      </c>
      <c r="DF323" s="78" t="str">
        <f aca="false">IF(ISBLANK($C323),"",$CK323)</f>
        <v/>
      </c>
      <c r="DG323" s="81" t="str">
        <f aca="false">IF(ISBLANK($C323),"",IF($DF323=Constants!$B$7,COUNTA($C$9:$C$508)+2,IF($DF323=Constants!$B$6,COUNTA($C$9:$C$508)+1,IF($DF323=Constants!$B$5,COUNTA($C$9:$C$508),$DF323))))</f>
        <v/>
      </c>
      <c r="DH323" s="7"/>
      <c r="DI323" s="82" t="n">
        <f aca="false">IF(OR(ISNUMBER($DF323),$DF323=Constants!$B$7,$DF323=Constants!$B$5,$DF323=Constants!$B$6),1,0)</f>
        <v>0</v>
      </c>
      <c r="DJ323" s="82" t="n">
        <v>315</v>
      </c>
      <c r="DK323" s="82" t="str">
        <f aca="false">IF(ISBLANK($C323),"",IF(ISNUMBER($DG323),$DG323+ROW($B323)/1000,""))</f>
        <v/>
      </c>
      <c r="DL323" s="82" t="str">
        <f aca="false">IF(ISNUMBER($DK323),RANK($DK323,$DK$9:$DK$508,1),"")</f>
        <v/>
      </c>
      <c r="DM323" s="82" t="str">
        <f aca="false">IF(ISBLANK($C323),"",$B323)</f>
        <v/>
      </c>
      <c r="DN323" s="82" t="str">
        <f aca="false">IF(ISBLANK($C323),"",$C323)</f>
        <v/>
      </c>
      <c r="DO323" s="82" t="str">
        <f aca="false">IF(ISBLANK($C323),"",$D323)</f>
        <v/>
      </c>
      <c r="DP323" s="83" t="str">
        <f aca="false">$DD323</f>
        <v/>
      </c>
      <c r="DQ323" s="84" t="str">
        <f aca="false">$DC323</f>
        <v/>
      </c>
      <c r="DR323" s="82" t="str">
        <f aca="false">IF(ISBLANK($C323),"",$DF323)</f>
        <v/>
      </c>
      <c r="DS323" s="85" t="str">
        <f aca="false">IF($DJ323&gt;$DI$8,"",VLOOKUP($DJ323,$DL$9:$DR$508,7,FALSE()))</f>
        <v/>
      </c>
      <c r="DT323" s="86" t="str">
        <f aca="false">IF($DJ323&gt;$DI$8,"",VLOOKUP($DJ323,$DL$9:$DR$508,2,FALSE()))</f>
        <v/>
      </c>
      <c r="DU323" s="86" t="str">
        <f aca="false">IF($DJ323&gt;$DI$8,"",VLOOKUP($DJ323,$DL$9:$DR$508,3,FALSE()))</f>
        <v/>
      </c>
      <c r="DV323" s="86" t="str">
        <f aca="false">IF($DJ323&gt;$DI$8,"",VLOOKUP($DJ323,$DL$9:$DR$508,4,FALSE()))</f>
        <v/>
      </c>
      <c r="DW323" s="86" t="str">
        <f aca="false">IF($DJ323&gt;$DI$8,"",VLOOKUP($DJ323,$DL$9:$DR$508,5,FALSE()))</f>
        <v/>
      </c>
      <c r="DX323" s="87" t="str">
        <f aca="false">IF($DJ323&gt;$DI$8,"",VLOOKUP($DJ323,$DL$9:$DR$508,6,FALSE()))</f>
        <v/>
      </c>
      <c r="DY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130"/>
      <c r="N324" s="130"/>
      <c r="O324" s="135"/>
      <c r="P324" s="135"/>
      <c r="Q324" s="130"/>
      <c r="R324" s="130"/>
      <c r="S324" s="130"/>
      <c r="T324" s="130"/>
      <c r="U324" s="135"/>
      <c r="V324" s="130"/>
      <c r="W324" s="96"/>
      <c r="X324" s="130"/>
      <c r="Y324" s="130"/>
      <c r="Z324" s="96"/>
      <c r="AA324" s="96"/>
      <c r="AB324" s="130"/>
      <c r="AC324" s="130"/>
      <c r="AD324" s="130"/>
      <c r="AE324" s="97"/>
      <c r="AF324" s="130"/>
      <c r="AG324" s="99"/>
      <c r="AH324" s="100"/>
      <c r="AI324" s="100"/>
      <c r="AJ324" s="100" t="str">
        <f aca="false">IF(ISBLANK($C324),"",IF($E324=Constants!$B$2,TRUE(),IF($E324=Constants!$B$3,FALSE(),TRUE())))</f>
        <v/>
      </c>
      <c r="AK324" s="100" t="str">
        <f aca="false">IF(ISBLANK($C324),"",IF($F324=Constants!$B$2,TRUE(),IF($F324=Constants!$B$3,FALSE(),FALSE())))</f>
        <v/>
      </c>
      <c r="AL324" s="100" t="str">
        <f aca="false">IF(ISBLANK($C324),"",IF($G324=Constants!$B$2,TRUE(),IF($G324=Constants!$B$3,FALSE(),TRUE())))</f>
        <v/>
      </c>
      <c r="AM324" s="100" t="str">
        <f aca="false">IF(ISBLANK($C324),"",IF($H324=Constants!$B$2,TRUE(),IF($H324=Constants!$B$3,FALSE(),TRUE())))</f>
        <v/>
      </c>
      <c r="AN324" s="100" t="str">
        <f aca="false">IF(ISBLANK($C324),"",IF(ISNUMBER($I324),IF($I324&gt;=0,$I324,""),""))</f>
        <v/>
      </c>
      <c r="AO324" s="100" t="str">
        <f aca="false">IF(ISBLANK($C324),"",IF(ISNUMBER($J324),IF($J324&gt;=0,$J324,""),""))</f>
        <v/>
      </c>
      <c r="AP324" s="100" t="str">
        <f aca="false">IF(ISBLANK($C324),"",IF(ISNUMBER($K324),IF($K324&gt;=0,$K324,""),""))</f>
        <v/>
      </c>
      <c r="AQ324" s="100" t="str">
        <f aca="false">IF(ISBLANK($C324),"",IF($L324=Constants!$B$2,TRUE(),IF($L324=Constants!$B$3,FALSE(),TRUE())))</f>
        <v/>
      </c>
      <c r="AR324" s="100" t="str">
        <f aca="false">IF(ISBLANK($C324),"",IF($M324=Constants!$B$2,TRUE(),IF($M324=Constants!$B$3,FALSE(),TRUE())))</f>
        <v/>
      </c>
      <c r="AS324" s="100" t="str">
        <f aca="false">IF(ISBLANK($C324),"",IF($N324=Constants!$B$2,TRUE(),IF($N324=Constants!$B$3,FALSE(),FALSE())))</f>
        <v/>
      </c>
      <c r="AT324" s="100" t="str">
        <f aca="false">IF(ISBLANK($C324),"",IF($O324=Constants!$B$2,TRUE(),IF($O324=Constants!$B$3,FALSE(),TRUE())))</f>
        <v/>
      </c>
      <c r="AU324" s="100" t="str">
        <f aca="false">IF(ISBLANK($C324),"",IF($P324=Constants!$B$2,TRUE(),IF($P324=Constants!$B$3,FALSE(),TRUE())))</f>
        <v/>
      </c>
      <c r="AV324" s="100" t="str">
        <f aca="false">IF(ISBLANK($C324),"",IF($Q324=Constants!$B$2,TRUE(),IF($Q324=Constants!$B$3,FALSE(),FALSE())))</f>
        <v/>
      </c>
      <c r="AW324" s="100" t="str">
        <f aca="false">IF(ISBLANK($C324),"",IF($R324=Constants!$B$2,TRUE(),IF($R324=Constants!$B$3,FALSE(),FALSE())))</f>
        <v/>
      </c>
      <c r="AX324" s="100" t="str">
        <f aca="false">IF(ISBLANK($C324),"",IF($S324=Constants!$B$2,TRUE(),IF($S324=Constants!$B$3,FALSE(),FALSE())))</f>
        <v/>
      </c>
      <c r="AY324" s="100" t="str">
        <f aca="false">IF(ISBLANK($C324),"",IF($T324=Constants!$B$2,TRUE(),IF($T324=Constants!$B$3,FALSE(),FALSE())))</f>
        <v/>
      </c>
      <c r="AZ324" s="100" t="str">
        <f aca="false">IF(ISBLANK($C324),"",IF($U324=Constants!$B$2,TRUE(),IF($U324=Constants!$B$3,FALSE(),FALSE())))</f>
        <v/>
      </c>
      <c r="BA324" s="100" t="str">
        <f aca="false">IF(ISBLANK($C324),"",IF(OR($V324&amp;""="1",$V324&amp;""="2",$V324&amp;""="3",$V324&amp;""="4"),VALUE($V324&amp;""),IF($V324=Constants!$B$12,Constants!$B$12,"")))</f>
        <v/>
      </c>
      <c r="BB324" s="100" t="str">
        <f aca="false">IF(ISBLANK($C324),"",IF(ISBLANK($W324),0,IF(ISNUMBER($W324),IF(AND($W324&gt;=0,$W324&lt;=Constants!$B$21,$W324=INT($W324)),$W324,""),"")))</f>
        <v/>
      </c>
      <c r="BC324" s="100" t="str">
        <f aca="false">IF(ISBLANK($C324),"",IF(ISBLANK($X324),0,IF(ISNUMBER($X324),IF($X324&gt;=0,$X324,""),"")))</f>
        <v/>
      </c>
      <c r="BD324" s="100" t="str">
        <f aca="false">IF(ISBLANK($C324),"",IF($Y324=Constants!$B$2,TRUE(),IF($Y324=Constants!$B$3,FALSE(),TRUE())))</f>
        <v/>
      </c>
      <c r="BE324" s="100" t="str">
        <f aca="false">IF(ISBLANK($C324),"",IF($Z324=Constants!$B$2,TRUE(),IF($Z324=Constants!$B$3,FALSE(),FALSE())))</f>
        <v/>
      </c>
      <c r="BF324" s="100" t="str">
        <f aca="false">IF(ISBLANK($C324),"",IF(ISBLANK($AA324),0,IF(ISNUMBER($AA324),IF(AND($AA324&gt;=0,$AA324&lt;=Constants!$B$35,$AA324=INT($AA324)),$AA324,""),"")))</f>
        <v/>
      </c>
      <c r="BG324" s="100" t="str">
        <f aca="false">IF(ISBLANK($C324),"",IF($AB324=Constants!$B$2,TRUE(),IF($AB324=Constants!$B$3,FALSE(),TRUE())))</f>
        <v/>
      </c>
      <c r="BH324" s="100" t="str">
        <f aca="false">IF(ISBLANK($C324),"",IF($AC324=Constants!$B$2,TRUE(),IF($AC324=Constants!$B$3,FALSE(),TRUE())))</f>
        <v/>
      </c>
      <c r="BI324" s="100" t="str">
        <f aca="false">IF(ISBLANK($C324),"",IF($AD324=Constants!$B$2,TRUE(),IF($AD324=Constants!$B$3,FALSE(),TRUE())))</f>
        <v/>
      </c>
      <c r="BJ324" s="100" t="str">
        <f aca="false">IF(ISBLANK($C324),"",IF(ISNUMBER($AE324),IF($AE324&gt;=0,$AE324,""),""))</f>
        <v/>
      </c>
      <c r="BK324" s="100" t="str">
        <f aca="false">IF(ISBLANK($C324),"",IF($AF324=Constants!$B$2,TRUE(),IF($AF324=Constants!$B$3,FALSE(),FALSE())))</f>
        <v/>
      </c>
      <c r="BL324" s="99" t="str">
        <f aca="false">IF(ISBLANK($C324),"",IF($BK324,Constants!$B$7,IF(COUNTA($E324:$AE324)=0,Constants!$B$6,IF(OR(COUNTA($G324:$AE324)=0,NOT($AM324),$AS324),Constants!$B$5,IF(OR($CM324&lt;&gt;"",$CN324,$CO324,$CP324,$CQ324,$CR324,$CS324),Constants!$B$8,Constants!$B$4)))))</f>
        <v/>
      </c>
      <c r="BM324" s="100" t="str">
        <f aca="false">IF(ISBLANK($C324),"",IF($BL324&lt;&gt;Constants!$B$4,$BL324,IF(OR(NOT($AJ324),NOT($AL324),NOT($AT324)),Constants!$B$11,IF(OR(NOT($AR324),NOT($AU324),NOT($BI324),MAX($AN324,$AO324,$AP324)&gt;Constants!$B$30),Constants!$B$10,Constants!$B$9))))</f>
        <v/>
      </c>
      <c r="BN324" s="100" t="str">
        <f aca="false">IF($BL324&lt;&gt;Constants!$B$4,"",IF(NOT($AL324),0,MIN(Constants!$B$35,$BF324)))</f>
        <v/>
      </c>
      <c r="BO324" s="100" t="str">
        <f aca="false">IF($BL324&lt;&gt;Constants!$B$4,"",IF(NOT($AL324),0,IF($AW324,Constants!$B$18,IF($AV324,Constants!$B$17,0))))</f>
        <v/>
      </c>
      <c r="BP324" s="100" t="str">
        <f aca="false">IF($BL324&lt;&gt;Constants!$B$4,"",IF(NOT($AL324),0,Constants!$B$19*($AK324+$AX324+$AY324+$AZ324)))</f>
        <v/>
      </c>
      <c r="BQ324" s="100" t="str">
        <f aca="false">IF($BL324&lt;&gt;Constants!$B$4,"",IF(OR(NOT($AL324),NOT(ISNUMBER($BA324))),0,CHOOSE($BA324,Constants!$B$13,Constants!$B$14,Constants!$B$15,Constants!$B$16)))</f>
        <v/>
      </c>
      <c r="BR324" s="100" t="str">
        <f aca="false">IF($BL324&lt;&gt;Constants!$B$4,"",IF(NOT($AL324),0,Constants!$B$20*$BB324))</f>
        <v/>
      </c>
      <c r="BS324" s="100" t="str">
        <f aca="false">IF($BL324&lt;&gt;Constants!$B$4,"",IF(AND($AL324,$BD324,$BE324),Constants!$B$22,0))</f>
        <v/>
      </c>
      <c r="BT324" s="100" t="str">
        <f aca="false">IF($BL324&lt;&gt;Constants!$B$4,"",IF(OR(NOT($AL324),NOT($BD324)),0,IF($BJ324&gt;=2*$AH$9,0,Constants!$B$23*INT(ROUND(MIN($BJ324,$AH$9),6)))))</f>
        <v/>
      </c>
      <c r="BU324" s="100" t="str">
        <f aca="false">IF($BL324&lt;&gt;Constants!$B$4,"",IF(NOT($AL324),0,Constants!$B$24*INT(ROUND(MIN($BC324,$AH$9),6))))</f>
        <v/>
      </c>
      <c r="BV324" s="100" t="str">
        <f aca="false">IF($BL324&lt;&gt;Constants!$B$4,"",IF(AND($AL324,$BN324=0),Constants!$B$25,0))</f>
        <v/>
      </c>
      <c r="BW324" s="100" t="str">
        <f aca="false">IF($BL324&lt;&gt;Constants!$B$4,"",MIN(Constants!$B$29,MAX(0,Constants!$B$27*Constants!$B$28*INT(ROUND((Constants!$B$26-$AN324)/Constants!$B$28,6))))+MIN(Constants!$B$29,MAX(0,Constants!$B$27*Constants!$B$28*INT(ROUND((Constants!$B$26-$AO324)/Constants!$B$28,6))))+MIN(Constants!$B$29,MAX(0,Constants!$B$27*Constants!$B$28*INT(ROUND((Constants!$B$26-$AP324)/Constants!$B$28,6)))))</f>
        <v/>
      </c>
      <c r="BX324" s="100" t="str">
        <f aca="false">IF($BL324&lt;&gt;Constants!$B$4,"",IF(NOT($AL324),0,Constants!$B$31*INT(ROUND(MAX(0,MIN($BJ324,2*$AH$9)-$AH$9),6))))</f>
        <v/>
      </c>
      <c r="BY324" s="100" t="str">
        <f aca="false">IF($BL324&lt;&gt;Constants!$B$4,"",Constants!$B$32*(($AN324&gt;Constants!$B$26)+($AO324&gt;Constants!$B$26)+($AP324&gt;Constants!$B$26)))</f>
        <v/>
      </c>
      <c r="BZ324" s="100" t="str">
        <f aca="false">IF($BL324&lt;&gt;Constants!$B$4,"",IF(OR(NOT($AL324),$AQ324),0,Constants!$B$33))</f>
        <v/>
      </c>
      <c r="CA324" s="100" t="str">
        <f aca="false">IF($BL324&lt;&gt;Constants!$B$4,"",Constants!$B$34*$BN324)</f>
        <v/>
      </c>
      <c r="CB324" s="100" t="str">
        <f aca="false">IF($BL324&lt;&gt;Constants!$B$4,"",IF(OR(NOT($AL324),$BH324),0,Constants!$B$36))</f>
        <v/>
      </c>
      <c r="CC324" s="100" t="str">
        <f aca="false">IF($BL324&lt;&gt;Constants!$B$4,"",IF(OR(NOT($AL324),$BG324),0,Constants!$B$37))</f>
        <v/>
      </c>
      <c r="CD324" s="100" t="str">
        <f aca="false">IF($BL324&lt;&gt;Constants!$B$4,"",SUM($BX324:$CC324))</f>
        <v/>
      </c>
      <c r="CE324" s="100" t="str">
        <f aca="false">IF(ISBLANK($C324),"",IF($BL324&lt;&gt;Constants!$B$4,$BL324,SUM($BO324:$BW324)-$CD324))</f>
        <v/>
      </c>
      <c r="CF324" s="100" t="str">
        <f aca="false">IF(ISBLANK($C324),"",IF($BL324&lt;&gt;Constants!$B$4,$BL324,RANK($CE324,$CE$9:$CE$508)))</f>
        <v/>
      </c>
      <c r="CG324" s="100" t="str">
        <f aca="false">IF(ISBLANK($C324),"",IF($BL324&lt;&gt;Constants!$B$4,$BL324,COUNTIFS($BM$9:$BM$508,"&lt;"&amp;$BM324)+COUNTIFS($BM$9:$BM$508,$BM324,$CF$9:$CF$508,"&lt;"&amp;$CF324)+1))</f>
        <v/>
      </c>
      <c r="CH324" s="100" t="str">
        <f aca="false">IF(ISBLANK($C324),"",IF($BL324&lt;&gt;Constants!$B$4,$BL324,RANK($CD324,$CD$9:$CD$508,1)))</f>
        <v/>
      </c>
      <c r="CI324" s="100" t="str">
        <f aca="false">IF($BL324&lt;&gt;Constants!$B$4,"",$AN324+$AO324+$AP324)</f>
        <v/>
      </c>
      <c r="CJ324" s="100" t="str">
        <f aca="false">IF(ISBLANK($C324),"",IF($BL324&lt;&gt;Constants!$B$4,$BL324,RANK($CI324,$CI$9:$CI$508,1)))</f>
        <v/>
      </c>
      <c r="CK324" s="100" t="str">
        <f aca="false">IF(ISBLANK($C324),"",IF($BL324&lt;&gt;Constants!$B$4,$BL324,COUNTIFS($BM$9:$BM$508,"&lt;"&amp;$BM324)+COUNTIFS($BM$9:$BM$508,$BM324,$CF$9:$CF$508,"&lt;"&amp;$CF324)+COUNTIFS($BM$9:$BM$508,$BM324,$CF$9:$CF$508,$CF324,$CH$9:$CH$508,"&lt;"&amp;$CH324)+COUNTIFS($BM$9:$BM$508,$BM324,$CF$9:$CF$508,$CF324,$CH$9:$CH$508,$CH324,$CJ$9:$CJ$508,"&lt;"&amp;$CJ324)+1))</f>
        <v/>
      </c>
      <c r="CL324" s="100" t="str">
        <f aca="false">IF(ISBLANK($C324),"",IF($BL324&lt;&gt;Constants!$B$4,$BL324,$CG324-$CK324))</f>
        <v/>
      </c>
      <c r="CM324" s="100" t="str">
        <f aca="false">IF(ISBLANK($C324),"",IF(NOT($AL324),"",IF(ISBLANK($D$7),$CM$5,IF(NOT(ISNUMBER($D$7)),$CM$6,""))))</f>
        <v/>
      </c>
      <c r="CN324" s="100" t="str">
        <f aca="false">IF(ISBLANK($C324),"",OR($AN324="",$AO324="",$AP324=""))</f>
        <v/>
      </c>
      <c r="CO324" s="100" t="str">
        <f aca="false">IF(ISBLANK($C324),"",AND($AL324,$BA324=""))</f>
        <v/>
      </c>
      <c r="CP324" s="100" t="str">
        <f aca="false">IF(ISBLANK($C324),"",AND($AL324,$BB324=""))</f>
        <v/>
      </c>
      <c r="CQ324" s="100" t="str">
        <f aca="false">IF(ISBLANK($C324),"",AND($AL324,$BC324=""))</f>
        <v/>
      </c>
      <c r="CR324" s="100" t="str">
        <f aca="false">IF(ISBLANK($C324),"",AND($AL324,$BF324=""))</f>
        <v/>
      </c>
      <c r="CS324" s="100" t="str">
        <f aca="false">IF(ISBLANK($C324),"",AND($AL324,$BJ324=""))</f>
        <v/>
      </c>
      <c r="CT324" s="101"/>
      <c r="CU324" s="102"/>
      <c r="CV324" s="103" t="str">
        <f aca="false">IF(ISBLANK($C324),"",IF($BL324=Constants!$B$8,$CM324,""))</f>
        <v/>
      </c>
      <c r="CW324" s="102" t="str">
        <f aca="false">IF(ISBLANK($C324),"",IF($BL324&lt;&gt;Constants!$B$4,"",$BO324+$BP324))</f>
        <v/>
      </c>
      <c r="CX324" s="104" t="str">
        <f aca="false">IF(ISBLANK($C324),"",IF($BL324&lt;&gt;Constants!$B$4,"",$BQ324+$BR324+$BS324))</f>
        <v/>
      </c>
      <c r="CY324" s="104" t="str">
        <f aca="false">IF(ISBLANK($C324),"",IF($BL324&lt;&gt;Constants!$B$4,"",$BT324))</f>
        <v/>
      </c>
      <c r="CZ324" s="104" t="str">
        <f aca="false">IF(ISBLANK($C324),"",IF($BL324&lt;&gt;Constants!$B$4,"",$BU324+$BV324))</f>
        <v/>
      </c>
      <c r="DA324" s="104" t="str">
        <f aca="false">IF(ISBLANK($C324),"",IF($BL324&lt;&gt;Constants!$B$4,"",$BW324))</f>
        <v/>
      </c>
      <c r="DB324" s="104" t="str">
        <f aca="false">IF(ISBLANK($C324),"",IF($BL324&lt;&gt;Constants!$B$4,"",-$CD324))</f>
        <v/>
      </c>
      <c r="DC324" s="103" t="str">
        <f aca="false">IF(ISBLANK($C324),"",$CE324)</f>
        <v/>
      </c>
      <c r="DD324" s="105" t="str">
        <f aca="false">IF(ISBLANK($C324),"",$BM324)</f>
        <v/>
      </c>
      <c r="DE324" s="104" t="str">
        <f aca="false">IF(ISBLANK($C324),"",$CL324)</f>
        <v/>
      </c>
      <c r="DF324" s="104" t="str">
        <f aca="false">IF(ISBLANK($C324),"",$CK324)</f>
        <v/>
      </c>
      <c r="DG324" s="106" t="str">
        <f aca="false">IF(ISBLANK($C324),"",IF($DF324=Constants!$B$7,COUNTA($C$9:$C$508)+2,IF($DF324=Constants!$B$6,COUNTA($C$9:$C$508)+1,IF($DF324=Constants!$B$5,COUNTA($C$9:$C$508),$DF324))))</f>
        <v/>
      </c>
      <c r="DH324" s="7"/>
      <c r="DI324" s="107" t="n">
        <f aca="false">IF(OR(ISNUMBER($DF324),$DF324=Constants!$B$7,$DF324=Constants!$B$5,$DF324=Constants!$B$6),1,0)</f>
        <v>0</v>
      </c>
      <c r="DJ324" s="107" t="n">
        <v>316</v>
      </c>
      <c r="DK324" s="107" t="str">
        <f aca="false">IF(ISBLANK($C324),"",IF(ISNUMBER($DG324),$DG324+ROW($B324)/1000,""))</f>
        <v/>
      </c>
      <c r="DL324" s="107" t="str">
        <f aca="false">IF(ISNUMBER($DK324),RANK($DK324,$DK$9:$DK$508,1),"")</f>
        <v/>
      </c>
      <c r="DM324" s="107" t="str">
        <f aca="false">IF(ISBLANK($C324),"",$B324)</f>
        <v/>
      </c>
      <c r="DN324" s="107" t="str">
        <f aca="false">IF(ISBLANK($C324),"",$C324)</f>
        <v/>
      </c>
      <c r="DO324" s="107" t="str">
        <f aca="false">IF(ISBLANK($C324),"",$D324)</f>
        <v/>
      </c>
      <c r="DP324" s="108" t="str">
        <f aca="false">$DD324</f>
        <v/>
      </c>
      <c r="DQ324" s="109" t="str">
        <f aca="false">$DC324</f>
        <v/>
      </c>
      <c r="DR324" s="107" t="str">
        <f aca="false">IF(ISBLANK($C324),"",$DF324)</f>
        <v/>
      </c>
      <c r="DS324" s="110" t="str">
        <f aca="false">IF($DJ324&gt;$DI$8,"",VLOOKUP($DJ324,$DL$9:$DR$508,7,FALSE()))</f>
        <v/>
      </c>
      <c r="DT324" s="111" t="str">
        <f aca="false">IF($DJ324&gt;$DI$8,"",VLOOKUP($DJ324,$DL$9:$DR$508,2,FALSE()))</f>
        <v/>
      </c>
      <c r="DU324" s="111" t="str">
        <f aca="false">IF($DJ324&gt;$DI$8,"",VLOOKUP($DJ324,$DL$9:$DR$508,3,FALSE()))</f>
        <v/>
      </c>
      <c r="DV324" s="111" t="str">
        <f aca="false">IF($DJ324&gt;$DI$8,"",VLOOKUP($DJ324,$DL$9:$DR$508,4,FALSE()))</f>
        <v/>
      </c>
      <c r="DW324" s="111" t="str">
        <f aca="false">IF($DJ324&gt;$DI$8,"",VLOOKUP($DJ324,$DL$9:$DR$508,5,FALSE()))</f>
        <v/>
      </c>
      <c r="DX324" s="112" t="str">
        <f aca="false">IF($DJ324&gt;$DI$8,"",VLOOKUP($DJ324,$DL$9:$DR$508,6,FALSE()))</f>
        <v/>
      </c>
      <c r="DY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130"/>
      <c r="N325" s="130"/>
      <c r="O325" s="135"/>
      <c r="P325" s="135"/>
      <c r="Q325" s="130"/>
      <c r="R325" s="130"/>
      <c r="S325" s="130"/>
      <c r="T325" s="130"/>
      <c r="U325" s="135"/>
      <c r="V325" s="130"/>
      <c r="W325" s="96"/>
      <c r="X325" s="130"/>
      <c r="Y325" s="130"/>
      <c r="Z325" s="96"/>
      <c r="AA325" s="96"/>
      <c r="AB325" s="130"/>
      <c r="AC325" s="130"/>
      <c r="AD325" s="130"/>
      <c r="AE325" s="97"/>
      <c r="AF325" s="130"/>
      <c r="AG325" s="99"/>
      <c r="AH325" s="100"/>
      <c r="AI325" s="100"/>
      <c r="AJ325" s="100" t="str">
        <f aca="false">IF(ISBLANK($C325),"",IF($E325=Constants!$B$2,TRUE(),IF($E325=Constants!$B$3,FALSE(),TRUE())))</f>
        <v/>
      </c>
      <c r="AK325" s="100" t="str">
        <f aca="false">IF(ISBLANK($C325),"",IF($F325=Constants!$B$2,TRUE(),IF($F325=Constants!$B$3,FALSE(),FALSE())))</f>
        <v/>
      </c>
      <c r="AL325" s="100" t="str">
        <f aca="false">IF(ISBLANK($C325),"",IF($G325=Constants!$B$2,TRUE(),IF($G325=Constants!$B$3,FALSE(),TRUE())))</f>
        <v/>
      </c>
      <c r="AM325" s="100" t="str">
        <f aca="false">IF(ISBLANK($C325),"",IF($H325=Constants!$B$2,TRUE(),IF($H325=Constants!$B$3,FALSE(),TRUE())))</f>
        <v/>
      </c>
      <c r="AN325" s="100" t="str">
        <f aca="false">IF(ISBLANK($C325),"",IF(ISNUMBER($I325),IF($I325&gt;=0,$I325,""),""))</f>
        <v/>
      </c>
      <c r="AO325" s="100" t="str">
        <f aca="false">IF(ISBLANK($C325),"",IF(ISNUMBER($J325),IF($J325&gt;=0,$J325,""),""))</f>
        <v/>
      </c>
      <c r="AP325" s="100" t="str">
        <f aca="false">IF(ISBLANK($C325),"",IF(ISNUMBER($K325),IF($K325&gt;=0,$K325,""),""))</f>
        <v/>
      </c>
      <c r="AQ325" s="100" t="str">
        <f aca="false">IF(ISBLANK($C325),"",IF($L325=Constants!$B$2,TRUE(),IF($L325=Constants!$B$3,FALSE(),TRUE())))</f>
        <v/>
      </c>
      <c r="AR325" s="100" t="str">
        <f aca="false">IF(ISBLANK($C325),"",IF($M325=Constants!$B$2,TRUE(),IF($M325=Constants!$B$3,FALSE(),TRUE())))</f>
        <v/>
      </c>
      <c r="AS325" s="100" t="str">
        <f aca="false">IF(ISBLANK($C325),"",IF($N325=Constants!$B$2,TRUE(),IF($N325=Constants!$B$3,FALSE(),FALSE())))</f>
        <v/>
      </c>
      <c r="AT325" s="100" t="str">
        <f aca="false">IF(ISBLANK($C325),"",IF($O325=Constants!$B$2,TRUE(),IF($O325=Constants!$B$3,FALSE(),TRUE())))</f>
        <v/>
      </c>
      <c r="AU325" s="100" t="str">
        <f aca="false">IF(ISBLANK($C325),"",IF($P325=Constants!$B$2,TRUE(),IF($P325=Constants!$B$3,FALSE(),TRUE())))</f>
        <v/>
      </c>
      <c r="AV325" s="100" t="str">
        <f aca="false">IF(ISBLANK($C325),"",IF($Q325=Constants!$B$2,TRUE(),IF($Q325=Constants!$B$3,FALSE(),FALSE())))</f>
        <v/>
      </c>
      <c r="AW325" s="100" t="str">
        <f aca="false">IF(ISBLANK($C325),"",IF($R325=Constants!$B$2,TRUE(),IF($R325=Constants!$B$3,FALSE(),FALSE())))</f>
        <v/>
      </c>
      <c r="AX325" s="100" t="str">
        <f aca="false">IF(ISBLANK($C325),"",IF($S325=Constants!$B$2,TRUE(),IF($S325=Constants!$B$3,FALSE(),FALSE())))</f>
        <v/>
      </c>
      <c r="AY325" s="100" t="str">
        <f aca="false">IF(ISBLANK($C325),"",IF($T325=Constants!$B$2,TRUE(),IF($T325=Constants!$B$3,FALSE(),FALSE())))</f>
        <v/>
      </c>
      <c r="AZ325" s="100" t="str">
        <f aca="false">IF(ISBLANK($C325),"",IF($U325=Constants!$B$2,TRUE(),IF($U325=Constants!$B$3,FALSE(),FALSE())))</f>
        <v/>
      </c>
      <c r="BA325" s="100" t="str">
        <f aca="false">IF(ISBLANK($C325),"",IF(OR($V325&amp;""="1",$V325&amp;""="2",$V325&amp;""="3",$V325&amp;""="4"),VALUE($V325&amp;""),IF($V325=Constants!$B$12,Constants!$B$12,"")))</f>
        <v/>
      </c>
      <c r="BB325" s="100" t="str">
        <f aca="false">IF(ISBLANK($C325),"",IF(ISBLANK($W325),0,IF(ISNUMBER($W325),IF(AND($W325&gt;=0,$W325&lt;=Constants!$B$21,$W325=INT($W325)),$W325,""),"")))</f>
        <v/>
      </c>
      <c r="BC325" s="100" t="str">
        <f aca="false">IF(ISBLANK($C325),"",IF(ISBLANK($X325),0,IF(ISNUMBER($X325),IF($X325&gt;=0,$X325,""),"")))</f>
        <v/>
      </c>
      <c r="BD325" s="100" t="str">
        <f aca="false">IF(ISBLANK($C325),"",IF($Y325=Constants!$B$2,TRUE(),IF($Y325=Constants!$B$3,FALSE(),TRUE())))</f>
        <v/>
      </c>
      <c r="BE325" s="100" t="str">
        <f aca="false">IF(ISBLANK($C325),"",IF($Z325=Constants!$B$2,TRUE(),IF($Z325=Constants!$B$3,FALSE(),FALSE())))</f>
        <v/>
      </c>
      <c r="BF325" s="100" t="str">
        <f aca="false">IF(ISBLANK($C325),"",IF(ISBLANK($AA325),0,IF(ISNUMBER($AA325),IF(AND($AA325&gt;=0,$AA325&lt;=Constants!$B$35,$AA325=INT($AA325)),$AA325,""),"")))</f>
        <v/>
      </c>
      <c r="BG325" s="100" t="str">
        <f aca="false">IF(ISBLANK($C325),"",IF($AB325=Constants!$B$2,TRUE(),IF($AB325=Constants!$B$3,FALSE(),TRUE())))</f>
        <v/>
      </c>
      <c r="BH325" s="100" t="str">
        <f aca="false">IF(ISBLANK($C325),"",IF($AC325=Constants!$B$2,TRUE(),IF($AC325=Constants!$B$3,FALSE(),TRUE())))</f>
        <v/>
      </c>
      <c r="BI325" s="100" t="str">
        <f aca="false">IF(ISBLANK($C325),"",IF($AD325=Constants!$B$2,TRUE(),IF($AD325=Constants!$B$3,FALSE(),TRUE())))</f>
        <v/>
      </c>
      <c r="BJ325" s="100" t="str">
        <f aca="false">IF(ISBLANK($C325),"",IF(ISNUMBER($AE325),IF($AE325&gt;=0,$AE325,""),""))</f>
        <v/>
      </c>
      <c r="BK325" s="100" t="str">
        <f aca="false">IF(ISBLANK($C325),"",IF($AF325=Constants!$B$2,TRUE(),IF($AF325=Constants!$B$3,FALSE(),FALSE())))</f>
        <v/>
      </c>
      <c r="BL325" s="99" t="str">
        <f aca="false">IF(ISBLANK($C325),"",IF($BK325,Constants!$B$7,IF(COUNTA($E325:$AE325)=0,Constants!$B$6,IF(OR(COUNTA($G325:$AE325)=0,NOT($AM325),$AS325),Constants!$B$5,IF(OR($CM325&lt;&gt;"",$CN325,$CO325,$CP325,$CQ325,$CR325,$CS325),Constants!$B$8,Constants!$B$4)))))</f>
        <v/>
      </c>
      <c r="BM325" s="100" t="str">
        <f aca="false">IF(ISBLANK($C325),"",IF($BL325&lt;&gt;Constants!$B$4,$BL325,IF(OR(NOT($AJ325),NOT($AL325),NOT($AT325)),Constants!$B$11,IF(OR(NOT($AR325),NOT($AU325),NOT($BI325),MAX($AN325,$AO325,$AP325)&gt;Constants!$B$30),Constants!$B$10,Constants!$B$9))))</f>
        <v/>
      </c>
      <c r="BN325" s="100" t="str">
        <f aca="false">IF($BL325&lt;&gt;Constants!$B$4,"",IF(NOT($AL325),0,MIN(Constants!$B$35,$BF325)))</f>
        <v/>
      </c>
      <c r="BO325" s="100" t="str">
        <f aca="false">IF($BL325&lt;&gt;Constants!$B$4,"",IF(NOT($AL325),0,IF($AW325,Constants!$B$18,IF($AV325,Constants!$B$17,0))))</f>
        <v/>
      </c>
      <c r="BP325" s="100" t="str">
        <f aca="false">IF($BL325&lt;&gt;Constants!$B$4,"",IF(NOT($AL325),0,Constants!$B$19*($AK325+$AX325+$AY325+$AZ325)))</f>
        <v/>
      </c>
      <c r="BQ325" s="100" t="str">
        <f aca="false">IF($BL325&lt;&gt;Constants!$B$4,"",IF(OR(NOT($AL325),NOT(ISNUMBER($BA325))),0,CHOOSE($BA325,Constants!$B$13,Constants!$B$14,Constants!$B$15,Constants!$B$16)))</f>
        <v/>
      </c>
      <c r="BR325" s="100" t="str">
        <f aca="false">IF($BL325&lt;&gt;Constants!$B$4,"",IF(NOT($AL325),0,Constants!$B$20*$BB325))</f>
        <v/>
      </c>
      <c r="BS325" s="100" t="str">
        <f aca="false">IF($BL325&lt;&gt;Constants!$B$4,"",IF(AND($AL325,$BD325,$BE325),Constants!$B$22,0))</f>
        <v/>
      </c>
      <c r="BT325" s="100" t="str">
        <f aca="false">IF($BL325&lt;&gt;Constants!$B$4,"",IF(OR(NOT($AL325),NOT($BD325)),0,IF($BJ325&gt;=2*$AH$9,0,Constants!$B$23*INT(ROUND(MIN($BJ325,$AH$9),6)))))</f>
        <v/>
      </c>
      <c r="BU325" s="100" t="str">
        <f aca="false">IF($BL325&lt;&gt;Constants!$B$4,"",IF(NOT($AL325),0,Constants!$B$24*INT(ROUND(MIN($BC325,$AH$9),6))))</f>
        <v/>
      </c>
      <c r="BV325" s="100" t="str">
        <f aca="false">IF($BL325&lt;&gt;Constants!$B$4,"",IF(AND($AL325,$BN325=0),Constants!$B$25,0))</f>
        <v/>
      </c>
      <c r="BW325" s="100" t="str">
        <f aca="false">IF($BL325&lt;&gt;Constants!$B$4,"",MIN(Constants!$B$29,MAX(0,Constants!$B$27*Constants!$B$28*INT(ROUND((Constants!$B$26-$AN325)/Constants!$B$28,6))))+MIN(Constants!$B$29,MAX(0,Constants!$B$27*Constants!$B$28*INT(ROUND((Constants!$B$26-$AO325)/Constants!$B$28,6))))+MIN(Constants!$B$29,MAX(0,Constants!$B$27*Constants!$B$28*INT(ROUND((Constants!$B$26-$AP325)/Constants!$B$28,6)))))</f>
        <v/>
      </c>
      <c r="BX325" s="100" t="str">
        <f aca="false">IF($BL325&lt;&gt;Constants!$B$4,"",IF(NOT($AL325),0,Constants!$B$31*INT(ROUND(MAX(0,MIN($BJ325,2*$AH$9)-$AH$9),6))))</f>
        <v/>
      </c>
      <c r="BY325" s="100" t="str">
        <f aca="false">IF($BL325&lt;&gt;Constants!$B$4,"",Constants!$B$32*(($AN325&gt;Constants!$B$26)+($AO325&gt;Constants!$B$26)+($AP325&gt;Constants!$B$26)))</f>
        <v/>
      </c>
      <c r="BZ325" s="100" t="str">
        <f aca="false">IF($BL325&lt;&gt;Constants!$B$4,"",IF(OR(NOT($AL325),$AQ325),0,Constants!$B$33))</f>
        <v/>
      </c>
      <c r="CA325" s="100" t="str">
        <f aca="false">IF($BL325&lt;&gt;Constants!$B$4,"",Constants!$B$34*$BN325)</f>
        <v/>
      </c>
      <c r="CB325" s="100" t="str">
        <f aca="false">IF($BL325&lt;&gt;Constants!$B$4,"",IF(OR(NOT($AL325),$BH325),0,Constants!$B$36))</f>
        <v/>
      </c>
      <c r="CC325" s="100" t="str">
        <f aca="false">IF($BL325&lt;&gt;Constants!$B$4,"",IF(OR(NOT($AL325),$BG325),0,Constants!$B$37))</f>
        <v/>
      </c>
      <c r="CD325" s="100" t="str">
        <f aca="false">IF($BL325&lt;&gt;Constants!$B$4,"",SUM($BX325:$CC325))</f>
        <v/>
      </c>
      <c r="CE325" s="100" t="str">
        <f aca="false">IF(ISBLANK($C325),"",IF($BL325&lt;&gt;Constants!$B$4,$BL325,SUM($BO325:$BW325)-$CD325))</f>
        <v/>
      </c>
      <c r="CF325" s="100" t="str">
        <f aca="false">IF(ISBLANK($C325),"",IF($BL325&lt;&gt;Constants!$B$4,$BL325,RANK($CE325,$CE$9:$CE$508)))</f>
        <v/>
      </c>
      <c r="CG325" s="100" t="str">
        <f aca="false">IF(ISBLANK($C325),"",IF($BL325&lt;&gt;Constants!$B$4,$BL325,COUNTIFS($BM$9:$BM$508,"&lt;"&amp;$BM325)+COUNTIFS($BM$9:$BM$508,$BM325,$CF$9:$CF$508,"&lt;"&amp;$CF325)+1))</f>
        <v/>
      </c>
      <c r="CH325" s="100" t="str">
        <f aca="false">IF(ISBLANK($C325),"",IF($BL325&lt;&gt;Constants!$B$4,$BL325,RANK($CD325,$CD$9:$CD$508,1)))</f>
        <v/>
      </c>
      <c r="CI325" s="100" t="str">
        <f aca="false">IF($BL325&lt;&gt;Constants!$B$4,"",$AN325+$AO325+$AP325)</f>
        <v/>
      </c>
      <c r="CJ325" s="100" t="str">
        <f aca="false">IF(ISBLANK($C325),"",IF($BL325&lt;&gt;Constants!$B$4,$BL325,RANK($CI325,$CI$9:$CI$508,1)))</f>
        <v/>
      </c>
      <c r="CK325" s="100" t="str">
        <f aca="false">IF(ISBLANK($C325),"",IF($BL325&lt;&gt;Constants!$B$4,$BL325,COUNTIFS($BM$9:$BM$508,"&lt;"&amp;$BM325)+COUNTIFS($BM$9:$BM$508,$BM325,$CF$9:$CF$508,"&lt;"&amp;$CF325)+COUNTIFS($BM$9:$BM$508,$BM325,$CF$9:$CF$508,$CF325,$CH$9:$CH$508,"&lt;"&amp;$CH325)+COUNTIFS($BM$9:$BM$508,$BM325,$CF$9:$CF$508,$CF325,$CH$9:$CH$508,$CH325,$CJ$9:$CJ$508,"&lt;"&amp;$CJ325)+1))</f>
        <v/>
      </c>
      <c r="CL325" s="100" t="str">
        <f aca="false">IF(ISBLANK($C325),"",IF($BL325&lt;&gt;Constants!$B$4,$BL325,$CG325-$CK325))</f>
        <v/>
      </c>
      <c r="CM325" s="100" t="str">
        <f aca="false">IF(ISBLANK($C325),"",IF(NOT($AL325),"",IF(ISBLANK($D$7),$CM$5,IF(NOT(ISNUMBER($D$7)),$CM$6,""))))</f>
        <v/>
      </c>
      <c r="CN325" s="100" t="str">
        <f aca="false">IF(ISBLANK($C325),"",OR($AN325="",$AO325="",$AP325=""))</f>
        <v/>
      </c>
      <c r="CO325" s="100" t="str">
        <f aca="false">IF(ISBLANK($C325),"",AND($AL325,$BA325=""))</f>
        <v/>
      </c>
      <c r="CP325" s="100" t="str">
        <f aca="false">IF(ISBLANK($C325),"",AND($AL325,$BB325=""))</f>
        <v/>
      </c>
      <c r="CQ325" s="100" t="str">
        <f aca="false">IF(ISBLANK($C325),"",AND($AL325,$BC325=""))</f>
        <v/>
      </c>
      <c r="CR325" s="100" t="str">
        <f aca="false">IF(ISBLANK($C325),"",AND($AL325,$BF325=""))</f>
        <v/>
      </c>
      <c r="CS325" s="100" t="str">
        <f aca="false">IF(ISBLANK($C325),"",AND($AL325,$BJ325=""))</f>
        <v/>
      </c>
      <c r="CT325" s="101"/>
      <c r="CU325" s="102"/>
      <c r="CV325" s="103" t="str">
        <f aca="false">IF(ISBLANK($C325),"",IF($BL325=Constants!$B$8,$CM325,""))</f>
        <v/>
      </c>
      <c r="CW325" s="102" t="str">
        <f aca="false">IF(ISBLANK($C325),"",IF($BL325&lt;&gt;Constants!$B$4,"",$BO325+$BP325))</f>
        <v/>
      </c>
      <c r="CX325" s="104" t="str">
        <f aca="false">IF(ISBLANK($C325),"",IF($BL325&lt;&gt;Constants!$B$4,"",$BQ325+$BR325+$BS325))</f>
        <v/>
      </c>
      <c r="CY325" s="104" t="str">
        <f aca="false">IF(ISBLANK($C325),"",IF($BL325&lt;&gt;Constants!$B$4,"",$BT325))</f>
        <v/>
      </c>
      <c r="CZ325" s="104" t="str">
        <f aca="false">IF(ISBLANK($C325),"",IF($BL325&lt;&gt;Constants!$B$4,"",$BU325+$BV325))</f>
        <v/>
      </c>
      <c r="DA325" s="104" t="str">
        <f aca="false">IF(ISBLANK($C325),"",IF($BL325&lt;&gt;Constants!$B$4,"",$BW325))</f>
        <v/>
      </c>
      <c r="DB325" s="104" t="str">
        <f aca="false">IF(ISBLANK($C325),"",IF($BL325&lt;&gt;Constants!$B$4,"",-$CD325))</f>
        <v/>
      </c>
      <c r="DC325" s="103" t="str">
        <f aca="false">IF(ISBLANK($C325),"",$CE325)</f>
        <v/>
      </c>
      <c r="DD325" s="105" t="str">
        <f aca="false">IF(ISBLANK($C325),"",$BM325)</f>
        <v/>
      </c>
      <c r="DE325" s="104" t="str">
        <f aca="false">IF(ISBLANK($C325),"",$CL325)</f>
        <v/>
      </c>
      <c r="DF325" s="104" t="str">
        <f aca="false">IF(ISBLANK($C325),"",$CK325)</f>
        <v/>
      </c>
      <c r="DG325" s="106" t="str">
        <f aca="false">IF(ISBLANK($C325),"",IF($DF325=Constants!$B$7,COUNTA($C$9:$C$508)+2,IF($DF325=Constants!$B$6,COUNTA($C$9:$C$508)+1,IF($DF325=Constants!$B$5,COUNTA($C$9:$C$508),$DF325))))</f>
        <v/>
      </c>
      <c r="DH325" s="7"/>
      <c r="DI325" s="107" t="n">
        <f aca="false">IF(OR(ISNUMBER($DF325),$DF325=Constants!$B$7,$DF325=Constants!$B$5,$DF325=Constants!$B$6),1,0)</f>
        <v>0</v>
      </c>
      <c r="DJ325" s="107" t="n">
        <v>317</v>
      </c>
      <c r="DK325" s="107" t="str">
        <f aca="false">IF(ISBLANK($C325),"",IF(ISNUMBER($DG325),$DG325+ROW($B325)/1000,""))</f>
        <v/>
      </c>
      <c r="DL325" s="107" t="str">
        <f aca="false">IF(ISNUMBER($DK325),RANK($DK325,$DK$9:$DK$508,1),"")</f>
        <v/>
      </c>
      <c r="DM325" s="107" t="str">
        <f aca="false">IF(ISBLANK($C325),"",$B325)</f>
        <v/>
      </c>
      <c r="DN325" s="107" t="str">
        <f aca="false">IF(ISBLANK($C325),"",$C325)</f>
        <v/>
      </c>
      <c r="DO325" s="107" t="str">
        <f aca="false">IF(ISBLANK($C325),"",$D325)</f>
        <v/>
      </c>
      <c r="DP325" s="108" t="str">
        <f aca="false">$DD325</f>
        <v/>
      </c>
      <c r="DQ325" s="109" t="str">
        <f aca="false">$DC325</f>
        <v/>
      </c>
      <c r="DR325" s="107" t="str">
        <f aca="false">IF(ISBLANK($C325),"",$DF325)</f>
        <v/>
      </c>
      <c r="DS325" s="110" t="str">
        <f aca="false">IF($DJ325&gt;$DI$8,"",VLOOKUP($DJ325,$DL$9:$DR$508,7,FALSE()))</f>
        <v/>
      </c>
      <c r="DT325" s="111" t="str">
        <f aca="false">IF($DJ325&gt;$DI$8,"",VLOOKUP($DJ325,$DL$9:$DR$508,2,FALSE()))</f>
        <v/>
      </c>
      <c r="DU325" s="111" t="str">
        <f aca="false">IF($DJ325&gt;$DI$8,"",VLOOKUP($DJ325,$DL$9:$DR$508,3,FALSE()))</f>
        <v/>
      </c>
      <c r="DV325" s="111" t="str">
        <f aca="false">IF($DJ325&gt;$DI$8,"",VLOOKUP($DJ325,$DL$9:$DR$508,4,FALSE()))</f>
        <v/>
      </c>
      <c r="DW325" s="111" t="str">
        <f aca="false">IF($DJ325&gt;$DI$8,"",VLOOKUP($DJ325,$DL$9:$DR$508,5,FALSE()))</f>
        <v/>
      </c>
      <c r="DX325" s="112" t="str">
        <f aca="false">IF($DJ325&gt;$DI$8,"",VLOOKUP($DJ325,$DL$9:$DR$508,6,FALSE()))</f>
        <v/>
      </c>
      <c r="DY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130"/>
      <c r="N326" s="130"/>
      <c r="O326" s="135"/>
      <c r="P326" s="135"/>
      <c r="Q326" s="130"/>
      <c r="R326" s="130"/>
      <c r="S326" s="130"/>
      <c r="T326" s="130"/>
      <c r="U326" s="135"/>
      <c r="V326" s="130"/>
      <c r="W326" s="96"/>
      <c r="X326" s="130"/>
      <c r="Y326" s="130"/>
      <c r="Z326" s="96"/>
      <c r="AA326" s="96"/>
      <c r="AB326" s="130"/>
      <c r="AC326" s="130"/>
      <c r="AD326" s="130"/>
      <c r="AE326" s="97"/>
      <c r="AF326" s="130"/>
      <c r="AG326" s="99"/>
      <c r="AH326" s="100"/>
      <c r="AI326" s="100"/>
      <c r="AJ326" s="100" t="str">
        <f aca="false">IF(ISBLANK($C326),"",IF($E326=Constants!$B$2,TRUE(),IF($E326=Constants!$B$3,FALSE(),TRUE())))</f>
        <v/>
      </c>
      <c r="AK326" s="100" t="str">
        <f aca="false">IF(ISBLANK($C326),"",IF($F326=Constants!$B$2,TRUE(),IF($F326=Constants!$B$3,FALSE(),FALSE())))</f>
        <v/>
      </c>
      <c r="AL326" s="100" t="str">
        <f aca="false">IF(ISBLANK($C326),"",IF($G326=Constants!$B$2,TRUE(),IF($G326=Constants!$B$3,FALSE(),TRUE())))</f>
        <v/>
      </c>
      <c r="AM326" s="100" t="str">
        <f aca="false">IF(ISBLANK($C326),"",IF($H326=Constants!$B$2,TRUE(),IF($H326=Constants!$B$3,FALSE(),TRUE())))</f>
        <v/>
      </c>
      <c r="AN326" s="100" t="str">
        <f aca="false">IF(ISBLANK($C326),"",IF(ISNUMBER($I326),IF($I326&gt;=0,$I326,""),""))</f>
        <v/>
      </c>
      <c r="AO326" s="100" t="str">
        <f aca="false">IF(ISBLANK($C326),"",IF(ISNUMBER($J326),IF($J326&gt;=0,$J326,""),""))</f>
        <v/>
      </c>
      <c r="AP326" s="100" t="str">
        <f aca="false">IF(ISBLANK($C326),"",IF(ISNUMBER($K326),IF($K326&gt;=0,$K326,""),""))</f>
        <v/>
      </c>
      <c r="AQ326" s="100" t="str">
        <f aca="false">IF(ISBLANK($C326),"",IF($L326=Constants!$B$2,TRUE(),IF($L326=Constants!$B$3,FALSE(),TRUE())))</f>
        <v/>
      </c>
      <c r="AR326" s="100" t="str">
        <f aca="false">IF(ISBLANK($C326),"",IF($M326=Constants!$B$2,TRUE(),IF($M326=Constants!$B$3,FALSE(),TRUE())))</f>
        <v/>
      </c>
      <c r="AS326" s="100" t="str">
        <f aca="false">IF(ISBLANK($C326),"",IF($N326=Constants!$B$2,TRUE(),IF($N326=Constants!$B$3,FALSE(),FALSE())))</f>
        <v/>
      </c>
      <c r="AT326" s="100" t="str">
        <f aca="false">IF(ISBLANK($C326),"",IF($O326=Constants!$B$2,TRUE(),IF($O326=Constants!$B$3,FALSE(),TRUE())))</f>
        <v/>
      </c>
      <c r="AU326" s="100" t="str">
        <f aca="false">IF(ISBLANK($C326),"",IF($P326=Constants!$B$2,TRUE(),IF($P326=Constants!$B$3,FALSE(),TRUE())))</f>
        <v/>
      </c>
      <c r="AV326" s="100" t="str">
        <f aca="false">IF(ISBLANK($C326),"",IF($Q326=Constants!$B$2,TRUE(),IF($Q326=Constants!$B$3,FALSE(),FALSE())))</f>
        <v/>
      </c>
      <c r="AW326" s="100" t="str">
        <f aca="false">IF(ISBLANK($C326),"",IF($R326=Constants!$B$2,TRUE(),IF($R326=Constants!$B$3,FALSE(),FALSE())))</f>
        <v/>
      </c>
      <c r="AX326" s="100" t="str">
        <f aca="false">IF(ISBLANK($C326),"",IF($S326=Constants!$B$2,TRUE(),IF($S326=Constants!$B$3,FALSE(),FALSE())))</f>
        <v/>
      </c>
      <c r="AY326" s="100" t="str">
        <f aca="false">IF(ISBLANK($C326),"",IF($T326=Constants!$B$2,TRUE(),IF($T326=Constants!$B$3,FALSE(),FALSE())))</f>
        <v/>
      </c>
      <c r="AZ326" s="100" t="str">
        <f aca="false">IF(ISBLANK($C326),"",IF($U326=Constants!$B$2,TRUE(),IF($U326=Constants!$B$3,FALSE(),FALSE())))</f>
        <v/>
      </c>
      <c r="BA326" s="100" t="str">
        <f aca="false">IF(ISBLANK($C326),"",IF(OR($V326&amp;""="1",$V326&amp;""="2",$V326&amp;""="3",$V326&amp;""="4"),VALUE($V326&amp;""),IF($V326=Constants!$B$12,Constants!$B$12,"")))</f>
        <v/>
      </c>
      <c r="BB326" s="100" t="str">
        <f aca="false">IF(ISBLANK($C326),"",IF(ISBLANK($W326),0,IF(ISNUMBER($W326),IF(AND($W326&gt;=0,$W326&lt;=Constants!$B$21,$W326=INT($W326)),$W326,""),"")))</f>
        <v/>
      </c>
      <c r="BC326" s="100" t="str">
        <f aca="false">IF(ISBLANK($C326),"",IF(ISBLANK($X326),0,IF(ISNUMBER($X326),IF($X326&gt;=0,$X326,""),"")))</f>
        <v/>
      </c>
      <c r="BD326" s="100" t="str">
        <f aca="false">IF(ISBLANK($C326),"",IF($Y326=Constants!$B$2,TRUE(),IF($Y326=Constants!$B$3,FALSE(),TRUE())))</f>
        <v/>
      </c>
      <c r="BE326" s="100" t="str">
        <f aca="false">IF(ISBLANK($C326),"",IF($Z326=Constants!$B$2,TRUE(),IF($Z326=Constants!$B$3,FALSE(),FALSE())))</f>
        <v/>
      </c>
      <c r="BF326" s="100" t="str">
        <f aca="false">IF(ISBLANK($C326),"",IF(ISBLANK($AA326),0,IF(ISNUMBER($AA326),IF(AND($AA326&gt;=0,$AA326&lt;=Constants!$B$35,$AA326=INT($AA326)),$AA326,""),"")))</f>
        <v/>
      </c>
      <c r="BG326" s="100" t="str">
        <f aca="false">IF(ISBLANK($C326),"",IF($AB326=Constants!$B$2,TRUE(),IF($AB326=Constants!$B$3,FALSE(),TRUE())))</f>
        <v/>
      </c>
      <c r="BH326" s="100" t="str">
        <f aca="false">IF(ISBLANK($C326),"",IF($AC326=Constants!$B$2,TRUE(),IF($AC326=Constants!$B$3,FALSE(),TRUE())))</f>
        <v/>
      </c>
      <c r="BI326" s="100" t="str">
        <f aca="false">IF(ISBLANK($C326),"",IF($AD326=Constants!$B$2,TRUE(),IF($AD326=Constants!$B$3,FALSE(),TRUE())))</f>
        <v/>
      </c>
      <c r="BJ326" s="100" t="str">
        <f aca="false">IF(ISBLANK($C326),"",IF(ISNUMBER($AE326),IF($AE326&gt;=0,$AE326,""),""))</f>
        <v/>
      </c>
      <c r="BK326" s="100" t="str">
        <f aca="false">IF(ISBLANK($C326),"",IF($AF326=Constants!$B$2,TRUE(),IF($AF326=Constants!$B$3,FALSE(),FALSE())))</f>
        <v/>
      </c>
      <c r="BL326" s="99" t="str">
        <f aca="false">IF(ISBLANK($C326),"",IF($BK326,Constants!$B$7,IF(COUNTA($E326:$AE326)=0,Constants!$B$6,IF(OR(COUNTA($G326:$AE326)=0,NOT($AM326),$AS326),Constants!$B$5,IF(OR($CM326&lt;&gt;"",$CN326,$CO326,$CP326,$CQ326,$CR326,$CS326),Constants!$B$8,Constants!$B$4)))))</f>
        <v/>
      </c>
      <c r="BM326" s="100" t="str">
        <f aca="false">IF(ISBLANK($C326),"",IF($BL326&lt;&gt;Constants!$B$4,$BL326,IF(OR(NOT($AJ326),NOT($AL326),NOT($AT326)),Constants!$B$11,IF(OR(NOT($AR326),NOT($AU326),NOT($BI326),MAX($AN326,$AO326,$AP326)&gt;Constants!$B$30),Constants!$B$10,Constants!$B$9))))</f>
        <v/>
      </c>
      <c r="BN326" s="100" t="str">
        <f aca="false">IF($BL326&lt;&gt;Constants!$B$4,"",IF(NOT($AL326),0,MIN(Constants!$B$35,$BF326)))</f>
        <v/>
      </c>
      <c r="BO326" s="100" t="str">
        <f aca="false">IF($BL326&lt;&gt;Constants!$B$4,"",IF(NOT($AL326),0,IF($AW326,Constants!$B$18,IF($AV326,Constants!$B$17,0))))</f>
        <v/>
      </c>
      <c r="BP326" s="100" t="str">
        <f aca="false">IF($BL326&lt;&gt;Constants!$B$4,"",IF(NOT($AL326),0,Constants!$B$19*($AK326+$AX326+$AY326+$AZ326)))</f>
        <v/>
      </c>
      <c r="BQ326" s="100" t="str">
        <f aca="false">IF($BL326&lt;&gt;Constants!$B$4,"",IF(OR(NOT($AL326),NOT(ISNUMBER($BA326))),0,CHOOSE($BA326,Constants!$B$13,Constants!$B$14,Constants!$B$15,Constants!$B$16)))</f>
        <v/>
      </c>
      <c r="BR326" s="100" t="str">
        <f aca="false">IF($BL326&lt;&gt;Constants!$B$4,"",IF(NOT($AL326),0,Constants!$B$20*$BB326))</f>
        <v/>
      </c>
      <c r="BS326" s="100" t="str">
        <f aca="false">IF($BL326&lt;&gt;Constants!$B$4,"",IF(AND($AL326,$BD326,$BE326),Constants!$B$22,0))</f>
        <v/>
      </c>
      <c r="BT326" s="100" t="str">
        <f aca="false">IF($BL326&lt;&gt;Constants!$B$4,"",IF(OR(NOT($AL326),NOT($BD326)),0,IF($BJ326&gt;=2*$AH$9,0,Constants!$B$23*INT(ROUND(MIN($BJ326,$AH$9),6)))))</f>
        <v/>
      </c>
      <c r="BU326" s="100" t="str">
        <f aca="false">IF($BL326&lt;&gt;Constants!$B$4,"",IF(NOT($AL326),0,Constants!$B$24*INT(ROUND(MIN($BC326,$AH$9),6))))</f>
        <v/>
      </c>
      <c r="BV326" s="100" t="str">
        <f aca="false">IF($BL326&lt;&gt;Constants!$B$4,"",IF(AND($AL326,$BN326=0),Constants!$B$25,0))</f>
        <v/>
      </c>
      <c r="BW326" s="100" t="str">
        <f aca="false">IF($BL326&lt;&gt;Constants!$B$4,"",MIN(Constants!$B$29,MAX(0,Constants!$B$27*Constants!$B$28*INT(ROUND((Constants!$B$26-$AN326)/Constants!$B$28,6))))+MIN(Constants!$B$29,MAX(0,Constants!$B$27*Constants!$B$28*INT(ROUND((Constants!$B$26-$AO326)/Constants!$B$28,6))))+MIN(Constants!$B$29,MAX(0,Constants!$B$27*Constants!$B$28*INT(ROUND((Constants!$B$26-$AP326)/Constants!$B$28,6)))))</f>
        <v/>
      </c>
      <c r="BX326" s="100" t="str">
        <f aca="false">IF($BL326&lt;&gt;Constants!$B$4,"",IF(NOT($AL326),0,Constants!$B$31*INT(ROUND(MAX(0,MIN($BJ326,2*$AH$9)-$AH$9),6))))</f>
        <v/>
      </c>
      <c r="BY326" s="100" t="str">
        <f aca="false">IF($BL326&lt;&gt;Constants!$B$4,"",Constants!$B$32*(($AN326&gt;Constants!$B$26)+($AO326&gt;Constants!$B$26)+($AP326&gt;Constants!$B$26)))</f>
        <v/>
      </c>
      <c r="BZ326" s="100" t="str">
        <f aca="false">IF($BL326&lt;&gt;Constants!$B$4,"",IF(OR(NOT($AL326),$AQ326),0,Constants!$B$33))</f>
        <v/>
      </c>
      <c r="CA326" s="100" t="str">
        <f aca="false">IF($BL326&lt;&gt;Constants!$B$4,"",Constants!$B$34*$BN326)</f>
        <v/>
      </c>
      <c r="CB326" s="100" t="str">
        <f aca="false">IF($BL326&lt;&gt;Constants!$B$4,"",IF(OR(NOT($AL326),$BH326),0,Constants!$B$36))</f>
        <v/>
      </c>
      <c r="CC326" s="100" t="str">
        <f aca="false">IF($BL326&lt;&gt;Constants!$B$4,"",IF(OR(NOT($AL326),$BG326),0,Constants!$B$37))</f>
        <v/>
      </c>
      <c r="CD326" s="100" t="str">
        <f aca="false">IF($BL326&lt;&gt;Constants!$B$4,"",SUM($BX326:$CC326))</f>
        <v/>
      </c>
      <c r="CE326" s="100" t="str">
        <f aca="false">IF(ISBLANK($C326),"",IF($BL326&lt;&gt;Constants!$B$4,$BL326,SUM($BO326:$BW326)-$CD326))</f>
        <v/>
      </c>
      <c r="CF326" s="100" t="str">
        <f aca="false">IF(ISBLANK($C326),"",IF($BL326&lt;&gt;Constants!$B$4,$BL326,RANK($CE326,$CE$9:$CE$508)))</f>
        <v/>
      </c>
      <c r="CG326" s="100" t="str">
        <f aca="false">IF(ISBLANK($C326),"",IF($BL326&lt;&gt;Constants!$B$4,$BL326,COUNTIFS($BM$9:$BM$508,"&lt;"&amp;$BM326)+COUNTIFS($BM$9:$BM$508,$BM326,$CF$9:$CF$508,"&lt;"&amp;$CF326)+1))</f>
        <v/>
      </c>
      <c r="CH326" s="100" t="str">
        <f aca="false">IF(ISBLANK($C326),"",IF($BL326&lt;&gt;Constants!$B$4,$BL326,RANK($CD326,$CD$9:$CD$508,1)))</f>
        <v/>
      </c>
      <c r="CI326" s="100" t="str">
        <f aca="false">IF($BL326&lt;&gt;Constants!$B$4,"",$AN326+$AO326+$AP326)</f>
        <v/>
      </c>
      <c r="CJ326" s="100" t="str">
        <f aca="false">IF(ISBLANK($C326),"",IF($BL326&lt;&gt;Constants!$B$4,$BL326,RANK($CI326,$CI$9:$CI$508,1)))</f>
        <v/>
      </c>
      <c r="CK326" s="100" t="str">
        <f aca="false">IF(ISBLANK($C326),"",IF($BL326&lt;&gt;Constants!$B$4,$BL326,COUNTIFS($BM$9:$BM$508,"&lt;"&amp;$BM326)+COUNTIFS($BM$9:$BM$508,$BM326,$CF$9:$CF$508,"&lt;"&amp;$CF326)+COUNTIFS($BM$9:$BM$508,$BM326,$CF$9:$CF$508,$CF326,$CH$9:$CH$508,"&lt;"&amp;$CH326)+COUNTIFS($BM$9:$BM$508,$BM326,$CF$9:$CF$508,$CF326,$CH$9:$CH$508,$CH326,$CJ$9:$CJ$508,"&lt;"&amp;$CJ326)+1))</f>
        <v/>
      </c>
      <c r="CL326" s="100" t="str">
        <f aca="false">IF(ISBLANK($C326),"",IF($BL326&lt;&gt;Constants!$B$4,$BL326,$CG326-$CK326))</f>
        <v/>
      </c>
      <c r="CM326" s="100" t="str">
        <f aca="false">IF(ISBLANK($C326),"",IF(NOT($AL326),"",IF(ISBLANK($D$7),$CM$5,IF(NOT(ISNUMBER($D$7)),$CM$6,""))))</f>
        <v/>
      </c>
      <c r="CN326" s="100" t="str">
        <f aca="false">IF(ISBLANK($C326),"",OR($AN326="",$AO326="",$AP326=""))</f>
        <v/>
      </c>
      <c r="CO326" s="100" t="str">
        <f aca="false">IF(ISBLANK($C326),"",AND($AL326,$BA326=""))</f>
        <v/>
      </c>
      <c r="CP326" s="100" t="str">
        <f aca="false">IF(ISBLANK($C326),"",AND($AL326,$BB326=""))</f>
        <v/>
      </c>
      <c r="CQ326" s="100" t="str">
        <f aca="false">IF(ISBLANK($C326),"",AND($AL326,$BC326=""))</f>
        <v/>
      </c>
      <c r="CR326" s="100" t="str">
        <f aca="false">IF(ISBLANK($C326),"",AND($AL326,$BF326=""))</f>
        <v/>
      </c>
      <c r="CS326" s="100" t="str">
        <f aca="false">IF(ISBLANK($C326),"",AND($AL326,$BJ326=""))</f>
        <v/>
      </c>
      <c r="CT326" s="101"/>
      <c r="CU326" s="102"/>
      <c r="CV326" s="103" t="str">
        <f aca="false">IF(ISBLANK($C326),"",IF($BL326=Constants!$B$8,$CM326,""))</f>
        <v/>
      </c>
      <c r="CW326" s="102" t="str">
        <f aca="false">IF(ISBLANK($C326),"",IF($BL326&lt;&gt;Constants!$B$4,"",$BO326+$BP326))</f>
        <v/>
      </c>
      <c r="CX326" s="104" t="str">
        <f aca="false">IF(ISBLANK($C326),"",IF($BL326&lt;&gt;Constants!$B$4,"",$BQ326+$BR326+$BS326))</f>
        <v/>
      </c>
      <c r="CY326" s="104" t="str">
        <f aca="false">IF(ISBLANK($C326),"",IF($BL326&lt;&gt;Constants!$B$4,"",$BT326))</f>
        <v/>
      </c>
      <c r="CZ326" s="104" t="str">
        <f aca="false">IF(ISBLANK($C326),"",IF($BL326&lt;&gt;Constants!$B$4,"",$BU326+$BV326))</f>
        <v/>
      </c>
      <c r="DA326" s="104" t="str">
        <f aca="false">IF(ISBLANK($C326),"",IF($BL326&lt;&gt;Constants!$B$4,"",$BW326))</f>
        <v/>
      </c>
      <c r="DB326" s="104" t="str">
        <f aca="false">IF(ISBLANK($C326),"",IF($BL326&lt;&gt;Constants!$B$4,"",-$CD326))</f>
        <v/>
      </c>
      <c r="DC326" s="103" t="str">
        <f aca="false">IF(ISBLANK($C326),"",$CE326)</f>
        <v/>
      </c>
      <c r="DD326" s="105" t="str">
        <f aca="false">IF(ISBLANK($C326),"",$BM326)</f>
        <v/>
      </c>
      <c r="DE326" s="104" t="str">
        <f aca="false">IF(ISBLANK($C326),"",$CL326)</f>
        <v/>
      </c>
      <c r="DF326" s="104" t="str">
        <f aca="false">IF(ISBLANK($C326),"",$CK326)</f>
        <v/>
      </c>
      <c r="DG326" s="106" t="str">
        <f aca="false">IF(ISBLANK($C326),"",IF($DF326=Constants!$B$7,COUNTA($C$9:$C$508)+2,IF($DF326=Constants!$B$6,COUNTA($C$9:$C$508)+1,IF($DF326=Constants!$B$5,COUNTA($C$9:$C$508),$DF326))))</f>
        <v/>
      </c>
      <c r="DH326" s="7"/>
      <c r="DI326" s="107" t="n">
        <f aca="false">IF(OR(ISNUMBER($DF326),$DF326=Constants!$B$7,$DF326=Constants!$B$5,$DF326=Constants!$B$6),1,0)</f>
        <v>0</v>
      </c>
      <c r="DJ326" s="107" t="n">
        <v>318</v>
      </c>
      <c r="DK326" s="107" t="str">
        <f aca="false">IF(ISBLANK($C326),"",IF(ISNUMBER($DG326),$DG326+ROW($B326)/1000,""))</f>
        <v/>
      </c>
      <c r="DL326" s="107" t="str">
        <f aca="false">IF(ISNUMBER($DK326),RANK($DK326,$DK$9:$DK$508,1),"")</f>
        <v/>
      </c>
      <c r="DM326" s="107" t="str">
        <f aca="false">IF(ISBLANK($C326),"",$B326)</f>
        <v/>
      </c>
      <c r="DN326" s="107" t="str">
        <f aca="false">IF(ISBLANK($C326),"",$C326)</f>
        <v/>
      </c>
      <c r="DO326" s="107" t="str">
        <f aca="false">IF(ISBLANK($C326),"",$D326)</f>
        <v/>
      </c>
      <c r="DP326" s="108" t="str">
        <f aca="false">$DD326</f>
        <v/>
      </c>
      <c r="DQ326" s="109" t="str">
        <f aca="false">$DC326</f>
        <v/>
      </c>
      <c r="DR326" s="107" t="str">
        <f aca="false">IF(ISBLANK($C326),"",$DF326)</f>
        <v/>
      </c>
      <c r="DS326" s="110" t="str">
        <f aca="false">IF($DJ326&gt;$DI$8,"",VLOOKUP($DJ326,$DL$9:$DR$508,7,FALSE()))</f>
        <v/>
      </c>
      <c r="DT326" s="111" t="str">
        <f aca="false">IF($DJ326&gt;$DI$8,"",VLOOKUP($DJ326,$DL$9:$DR$508,2,FALSE()))</f>
        <v/>
      </c>
      <c r="DU326" s="111" t="str">
        <f aca="false">IF($DJ326&gt;$DI$8,"",VLOOKUP($DJ326,$DL$9:$DR$508,3,FALSE()))</f>
        <v/>
      </c>
      <c r="DV326" s="111" t="str">
        <f aca="false">IF($DJ326&gt;$DI$8,"",VLOOKUP($DJ326,$DL$9:$DR$508,4,FALSE()))</f>
        <v/>
      </c>
      <c r="DW326" s="111" t="str">
        <f aca="false">IF($DJ326&gt;$DI$8,"",VLOOKUP($DJ326,$DL$9:$DR$508,5,FALSE()))</f>
        <v/>
      </c>
      <c r="DX326" s="112" t="str">
        <f aca="false">IF($DJ326&gt;$DI$8,"",VLOOKUP($DJ326,$DL$9:$DR$508,6,FALSE()))</f>
        <v/>
      </c>
      <c r="DY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88"/>
      <c r="N327" s="88"/>
      <c r="O327" s="134"/>
      <c r="P327" s="134"/>
      <c r="Q327" s="88"/>
      <c r="R327" s="88"/>
      <c r="S327" s="88"/>
      <c r="T327" s="88"/>
      <c r="U327" s="134"/>
      <c r="V327" s="88"/>
      <c r="W327" s="70"/>
      <c r="X327" s="88"/>
      <c r="Y327" s="88"/>
      <c r="Z327" s="70"/>
      <c r="AA327" s="70"/>
      <c r="AB327" s="88"/>
      <c r="AC327" s="88"/>
      <c r="AD327" s="88"/>
      <c r="AE327" s="71"/>
      <c r="AF327" s="88"/>
      <c r="AG327" s="73"/>
      <c r="AH327" s="74"/>
      <c r="AI327" s="74"/>
      <c r="AJ327" s="74" t="str">
        <f aca="false">IF(ISBLANK($C327),"",IF($E327=Constants!$B$2,TRUE(),IF($E327=Constants!$B$3,FALSE(),TRUE())))</f>
        <v/>
      </c>
      <c r="AK327" s="74" t="str">
        <f aca="false">IF(ISBLANK($C327),"",IF($F327=Constants!$B$2,TRUE(),IF($F327=Constants!$B$3,FALSE(),FALSE())))</f>
        <v/>
      </c>
      <c r="AL327" s="74" t="str">
        <f aca="false">IF(ISBLANK($C327),"",IF($G327=Constants!$B$2,TRUE(),IF($G327=Constants!$B$3,FALSE(),TRUE())))</f>
        <v/>
      </c>
      <c r="AM327" s="74" t="str">
        <f aca="false">IF(ISBLANK($C327),"",IF($H327=Constants!$B$2,TRUE(),IF($H327=Constants!$B$3,FALSE(),TRUE())))</f>
        <v/>
      </c>
      <c r="AN327" s="74" t="str">
        <f aca="false">IF(ISBLANK($C327),"",IF(ISNUMBER($I327),IF($I327&gt;=0,$I327,""),""))</f>
        <v/>
      </c>
      <c r="AO327" s="74" t="str">
        <f aca="false">IF(ISBLANK($C327),"",IF(ISNUMBER($J327),IF($J327&gt;=0,$J327,""),""))</f>
        <v/>
      </c>
      <c r="AP327" s="74" t="str">
        <f aca="false">IF(ISBLANK($C327),"",IF(ISNUMBER($K327),IF($K327&gt;=0,$K327,""),""))</f>
        <v/>
      </c>
      <c r="AQ327" s="74" t="str">
        <f aca="false">IF(ISBLANK($C327),"",IF($L327=Constants!$B$2,TRUE(),IF($L327=Constants!$B$3,FALSE(),TRUE())))</f>
        <v/>
      </c>
      <c r="AR327" s="74" t="str">
        <f aca="false">IF(ISBLANK($C327),"",IF($M327=Constants!$B$2,TRUE(),IF($M327=Constants!$B$3,FALSE(),TRUE())))</f>
        <v/>
      </c>
      <c r="AS327" s="74" t="str">
        <f aca="false">IF(ISBLANK($C327),"",IF($N327=Constants!$B$2,TRUE(),IF($N327=Constants!$B$3,FALSE(),FALSE())))</f>
        <v/>
      </c>
      <c r="AT327" s="74" t="str">
        <f aca="false">IF(ISBLANK($C327),"",IF($O327=Constants!$B$2,TRUE(),IF($O327=Constants!$B$3,FALSE(),TRUE())))</f>
        <v/>
      </c>
      <c r="AU327" s="74" t="str">
        <f aca="false">IF(ISBLANK($C327),"",IF($P327=Constants!$B$2,TRUE(),IF($P327=Constants!$B$3,FALSE(),TRUE())))</f>
        <v/>
      </c>
      <c r="AV327" s="74" t="str">
        <f aca="false">IF(ISBLANK($C327),"",IF($Q327=Constants!$B$2,TRUE(),IF($Q327=Constants!$B$3,FALSE(),FALSE())))</f>
        <v/>
      </c>
      <c r="AW327" s="74" t="str">
        <f aca="false">IF(ISBLANK($C327),"",IF($R327=Constants!$B$2,TRUE(),IF($R327=Constants!$B$3,FALSE(),FALSE())))</f>
        <v/>
      </c>
      <c r="AX327" s="74" t="str">
        <f aca="false">IF(ISBLANK($C327),"",IF($S327=Constants!$B$2,TRUE(),IF($S327=Constants!$B$3,FALSE(),FALSE())))</f>
        <v/>
      </c>
      <c r="AY327" s="74" t="str">
        <f aca="false">IF(ISBLANK($C327),"",IF($T327=Constants!$B$2,TRUE(),IF($T327=Constants!$B$3,FALSE(),FALSE())))</f>
        <v/>
      </c>
      <c r="AZ327" s="74" t="str">
        <f aca="false">IF(ISBLANK($C327),"",IF($U327=Constants!$B$2,TRUE(),IF($U327=Constants!$B$3,FALSE(),FALSE())))</f>
        <v/>
      </c>
      <c r="BA327" s="74" t="str">
        <f aca="false">IF(ISBLANK($C327),"",IF(OR($V327&amp;""="1",$V327&amp;""="2",$V327&amp;""="3",$V327&amp;""="4"),VALUE($V327&amp;""),IF($V327=Constants!$B$12,Constants!$B$12,"")))</f>
        <v/>
      </c>
      <c r="BB327" s="74" t="str">
        <f aca="false">IF(ISBLANK($C327),"",IF(ISBLANK($W327),0,IF(ISNUMBER($W327),IF(AND($W327&gt;=0,$W327&lt;=Constants!$B$21,$W327=INT($W327)),$W327,""),"")))</f>
        <v/>
      </c>
      <c r="BC327" s="74" t="str">
        <f aca="false">IF(ISBLANK($C327),"",IF(ISBLANK($X327),0,IF(ISNUMBER($X327),IF($X327&gt;=0,$X327,""),"")))</f>
        <v/>
      </c>
      <c r="BD327" s="74" t="str">
        <f aca="false">IF(ISBLANK($C327),"",IF($Y327=Constants!$B$2,TRUE(),IF($Y327=Constants!$B$3,FALSE(),TRUE())))</f>
        <v/>
      </c>
      <c r="BE327" s="74" t="str">
        <f aca="false">IF(ISBLANK($C327),"",IF($Z327=Constants!$B$2,TRUE(),IF($Z327=Constants!$B$3,FALSE(),FALSE())))</f>
        <v/>
      </c>
      <c r="BF327" s="74" t="str">
        <f aca="false">IF(ISBLANK($C327),"",IF(ISBLANK($AA327),0,IF(ISNUMBER($AA327),IF(AND($AA327&gt;=0,$AA327&lt;=Constants!$B$35,$AA327=INT($AA327)),$AA327,""),"")))</f>
        <v/>
      </c>
      <c r="BG327" s="74" t="str">
        <f aca="false">IF(ISBLANK($C327),"",IF($AB327=Constants!$B$2,TRUE(),IF($AB327=Constants!$B$3,FALSE(),TRUE())))</f>
        <v/>
      </c>
      <c r="BH327" s="74" t="str">
        <f aca="false">IF(ISBLANK($C327),"",IF($AC327=Constants!$B$2,TRUE(),IF($AC327=Constants!$B$3,FALSE(),TRUE())))</f>
        <v/>
      </c>
      <c r="BI327" s="74" t="str">
        <f aca="false">IF(ISBLANK($C327),"",IF($AD327=Constants!$B$2,TRUE(),IF($AD327=Constants!$B$3,FALSE(),TRUE())))</f>
        <v/>
      </c>
      <c r="BJ327" s="74" t="str">
        <f aca="false">IF(ISBLANK($C327),"",IF(ISNUMBER($AE327),IF($AE327&gt;=0,$AE327,""),""))</f>
        <v/>
      </c>
      <c r="BK327" s="74" t="str">
        <f aca="false">IF(ISBLANK($C327),"",IF($AF327=Constants!$B$2,TRUE(),IF($AF327=Constants!$B$3,FALSE(),FALSE())))</f>
        <v/>
      </c>
      <c r="BL327" s="73" t="str">
        <f aca="false">IF(ISBLANK($C327),"",IF($BK327,Constants!$B$7,IF(COUNTA($E327:$AE327)=0,Constants!$B$6,IF(OR(COUNTA($G327:$AE327)=0,NOT($AM327),$AS327),Constants!$B$5,IF(OR($CM327&lt;&gt;"",$CN327,$CO327,$CP327,$CQ327,$CR327,$CS327),Constants!$B$8,Constants!$B$4)))))</f>
        <v/>
      </c>
      <c r="BM327" s="74" t="str">
        <f aca="false">IF(ISBLANK($C327),"",IF($BL327&lt;&gt;Constants!$B$4,$BL327,IF(OR(NOT($AJ327),NOT($AL327),NOT($AT327)),Constants!$B$11,IF(OR(NOT($AR327),NOT($AU327),NOT($BI327),MAX($AN327,$AO327,$AP327)&gt;Constants!$B$30),Constants!$B$10,Constants!$B$9))))</f>
        <v/>
      </c>
      <c r="BN327" s="74" t="str">
        <f aca="false">IF($BL327&lt;&gt;Constants!$B$4,"",IF(NOT($AL327),0,MIN(Constants!$B$35,$BF327)))</f>
        <v/>
      </c>
      <c r="BO327" s="74" t="str">
        <f aca="false">IF($BL327&lt;&gt;Constants!$B$4,"",IF(NOT($AL327),0,IF($AW327,Constants!$B$18,IF($AV327,Constants!$B$17,0))))</f>
        <v/>
      </c>
      <c r="BP327" s="74" t="str">
        <f aca="false">IF($BL327&lt;&gt;Constants!$B$4,"",IF(NOT($AL327),0,Constants!$B$19*($AK327+$AX327+$AY327+$AZ327)))</f>
        <v/>
      </c>
      <c r="BQ327" s="74" t="str">
        <f aca="false">IF($BL327&lt;&gt;Constants!$B$4,"",IF(OR(NOT($AL327),NOT(ISNUMBER($BA327))),0,CHOOSE($BA327,Constants!$B$13,Constants!$B$14,Constants!$B$15,Constants!$B$16)))</f>
        <v/>
      </c>
      <c r="BR327" s="74" t="str">
        <f aca="false">IF($BL327&lt;&gt;Constants!$B$4,"",IF(NOT($AL327),0,Constants!$B$20*$BB327))</f>
        <v/>
      </c>
      <c r="BS327" s="74" t="str">
        <f aca="false">IF($BL327&lt;&gt;Constants!$B$4,"",IF(AND($AL327,$BD327,$BE327),Constants!$B$22,0))</f>
        <v/>
      </c>
      <c r="BT327" s="74" t="str">
        <f aca="false">IF($BL327&lt;&gt;Constants!$B$4,"",IF(OR(NOT($AL327),NOT($BD327)),0,IF($BJ327&gt;=2*$AH$9,0,Constants!$B$23*INT(ROUND(MIN($BJ327,$AH$9),6)))))</f>
        <v/>
      </c>
      <c r="BU327" s="74" t="str">
        <f aca="false">IF($BL327&lt;&gt;Constants!$B$4,"",IF(NOT($AL327),0,Constants!$B$24*INT(ROUND(MIN($BC327,$AH$9),6))))</f>
        <v/>
      </c>
      <c r="BV327" s="74" t="str">
        <f aca="false">IF($BL327&lt;&gt;Constants!$B$4,"",IF(AND($AL327,$BN327=0),Constants!$B$25,0))</f>
        <v/>
      </c>
      <c r="BW327" s="74" t="str">
        <f aca="false">IF($BL327&lt;&gt;Constants!$B$4,"",MIN(Constants!$B$29,MAX(0,Constants!$B$27*Constants!$B$28*INT(ROUND((Constants!$B$26-$AN327)/Constants!$B$28,6))))+MIN(Constants!$B$29,MAX(0,Constants!$B$27*Constants!$B$28*INT(ROUND((Constants!$B$26-$AO327)/Constants!$B$28,6))))+MIN(Constants!$B$29,MAX(0,Constants!$B$27*Constants!$B$28*INT(ROUND((Constants!$B$26-$AP327)/Constants!$B$28,6)))))</f>
        <v/>
      </c>
      <c r="BX327" s="74" t="str">
        <f aca="false">IF($BL327&lt;&gt;Constants!$B$4,"",IF(NOT($AL327),0,Constants!$B$31*INT(ROUND(MAX(0,MIN($BJ327,2*$AH$9)-$AH$9),6))))</f>
        <v/>
      </c>
      <c r="BY327" s="74" t="str">
        <f aca="false">IF($BL327&lt;&gt;Constants!$B$4,"",Constants!$B$32*(($AN327&gt;Constants!$B$26)+($AO327&gt;Constants!$B$26)+($AP327&gt;Constants!$B$26)))</f>
        <v/>
      </c>
      <c r="BZ327" s="74" t="str">
        <f aca="false">IF($BL327&lt;&gt;Constants!$B$4,"",IF(OR(NOT($AL327),$AQ327),0,Constants!$B$33))</f>
        <v/>
      </c>
      <c r="CA327" s="74" t="str">
        <f aca="false">IF($BL327&lt;&gt;Constants!$B$4,"",Constants!$B$34*$BN327)</f>
        <v/>
      </c>
      <c r="CB327" s="74" t="str">
        <f aca="false">IF($BL327&lt;&gt;Constants!$B$4,"",IF(OR(NOT($AL327),$BH327),0,Constants!$B$36))</f>
        <v/>
      </c>
      <c r="CC327" s="74" t="str">
        <f aca="false">IF($BL327&lt;&gt;Constants!$B$4,"",IF(OR(NOT($AL327),$BG327),0,Constants!$B$37))</f>
        <v/>
      </c>
      <c r="CD327" s="74" t="str">
        <f aca="false">IF($BL327&lt;&gt;Constants!$B$4,"",SUM($BX327:$CC327))</f>
        <v/>
      </c>
      <c r="CE327" s="74" t="str">
        <f aca="false">IF(ISBLANK($C327),"",IF($BL327&lt;&gt;Constants!$B$4,$BL327,SUM($BO327:$BW327)-$CD327))</f>
        <v/>
      </c>
      <c r="CF327" s="74" t="str">
        <f aca="false">IF(ISBLANK($C327),"",IF($BL327&lt;&gt;Constants!$B$4,$BL327,RANK($CE327,$CE$9:$CE$508)))</f>
        <v/>
      </c>
      <c r="CG327" s="74" t="str">
        <f aca="false">IF(ISBLANK($C327),"",IF($BL327&lt;&gt;Constants!$B$4,$BL327,COUNTIFS($BM$9:$BM$508,"&lt;"&amp;$BM327)+COUNTIFS($BM$9:$BM$508,$BM327,$CF$9:$CF$508,"&lt;"&amp;$CF327)+1))</f>
        <v/>
      </c>
      <c r="CH327" s="74" t="str">
        <f aca="false">IF(ISBLANK($C327),"",IF($BL327&lt;&gt;Constants!$B$4,$BL327,RANK($CD327,$CD$9:$CD$508,1)))</f>
        <v/>
      </c>
      <c r="CI327" s="74" t="str">
        <f aca="false">IF($BL327&lt;&gt;Constants!$B$4,"",$AN327+$AO327+$AP327)</f>
        <v/>
      </c>
      <c r="CJ327" s="74" t="str">
        <f aca="false">IF(ISBLANK($C327),"",IF($BL327&lt;&gt;Constants!$B$4,$BL327,RANK($CI327,$CI$9:$CI$508,1)))</f>
        <v/>
      </c>
      <c r="CK327" s="74" t="str">
        <f aca="false">IF(ISBLANK($C327),"",IF($BL327&lt;&gt;Constants!$B$4,$BL327,COUNTIFS($BM$9:$BM$508,"&lt;"&amp;$BM327)+COUNTIFS($BM$9:$BM$508,$BM327,$CF$9:$CF$508,"&lt;"&amp;$CF327)+COUNTIFS($BM$9:$BM$508,$BM327,$CF$9:$CF$508,$CF327,$CH$9:$CH$508,"&lt;"&amp;$CH327)+COUNTIFS($BM$9:$BM$508,$BM327,$CF$9:$CF$508,$CF327,$CH$9:$CH$508,$CH327,$CJ$9:$CJ$508,"&lt;"&amp;$CJ327)+1))</f>
        <v/>
      </c>
      <c r="CL327" s="74" t="str">
        <f aca="false">IF(ISBLANK($C327),"",IF($BL327&lt;&gt;Constants!$B$4,$BL327,$CG327-$CK327))</f>
        <v/>
      </c>
      <c r="CM327" s="74" t="str">
        <f aca="false">IF(ISBLANK($C327),"",IF(NOT($AL327),"",IF(ISBLANK($D$7),$CM$5,IF(NOT(ISNUMBER($D$7)),$CM$6,""))))</f>
        <v/>
      </c>
      <c r="CN327" s="74" t="str">
        <f aca="false">IF(ISBLANK($C327),"",OR($AN327="",$AO327="",$AP327=""))</f>
        <v/>
      </c>
      <c r="CO327" s="74" t="str">
        <f aca="false">IF(ISBLANK($C327),"",AND($AL327,$BA327=""))</f>
        <v/>
      </c>
      <c r="CP327" s="74" t="str">
        <f aca="false">IF(ISBLANK($C327),"",AND($AL327,$BB327=""))</f>
        <v/>
      </c>
      <c r="CQ327" s="74" t="str">
        <f aca="false">IF(ISBLANK($C327),"",AND($AL327,$BC327=""))</f>
        <v/>
      </c>
      <c r="CR327" s="74" t="str">
        <f aca="false">IF(ISBLANK($C327),"",AND($AL327,$BF327=""))</f>
        <v/>
      </c>
      <c r="CS327" s="74" t="str">
        <f aca="false">IF(ISBLANK($C327),"",AND($AL327,$BJ327=""))</f>
        <v/>
      </c>
      <c r="CT327" s="75"/>
      <c r="CU327" s="76"/>
      <c r="CV327" s="79" t="str">
        <f aca="false">IF(ISBLANK($C327),"",IF($BL327=Constants!$B$8,$CM327,""))</f>
        <v/>
      </c>
      <c r="CW327" s="76" t="str">
        <f aca="false">IF(ISBLANK($C327),"",IF($BL327&lt;&gt;Constants!$B$4,"",$BO327+$BP327))</f>
        <v/>
      </c>
      <c r="CX327" s="78" t="str">
        <f aca="false">IF(ISBLANK($C327),"",IF($BL327&lt;&gt;Constants!$B$4,"",$BQ327+$BR327+$BS327))</f>
        <v/>
      </c>
      <c r="CY327" s="78" t="str">
        <f aca="false">IF(ISBLANK($C327),"",IF($BL327&lt;&gt;Constants!$B$4,"",$BT327))</f>
        <v/>
      </c>
      <c r="CZ327" s="78" t="str">
        <f aca="false">IF(ISBLANK($C327),"",IF($BL327&lt;&gt;Constants!$B$4,"",$BU327+$BV327))</f>
        <v/>
      </c>
      <c r="DA327" s="78" t="str">
        <f aca="false">IF(ISBLANK($C327),"",IF($BL327&lt;&gt;Constants!$B$4,"",$BW327))</f>
        <v/>
      </c>
      <c r="DB327" s="78" t="str">
        <f aca="false">IF(ISBLANK($C327),"",IF($BL327&lt;&gt;Constants!$B$4,"",-$CD327))</f>
        <v/>
      </c>
      <c r="DC327" s="79" t="str">
        <f aca="false">IF(ISBLANK($C327),"",$CE327)</f>
        <v/>
      </c>
      <c r="DD327" s="80" t="str">
        <f aca="false">IF(ISBLANK($C327),"",$BM327)</f>
        <v/>
      </c>
      <c r="DE327" s="78" t="str">
        <f aca="false">IF(ISBLANK($C327),"",$CL327)</f>
        <v/>
      </c>
      <c r="DF327" s="78" t="str">
        <f aca="false">IF(ISBLANK($C327),"",$CK327)</f>
        <v/>
      </c>
      <c r="DG327" s="81" t="str">
        <f aca="false">IF(ISBLANK($C327),"",IF($DF327=Constants!$B$7,COUNTA($C$9:$C$508)+2,IF($DF327=Constants!$B$6,COUNTA($C$9:$C$508)+1,IF($DF327=Constants!$B$5,COUNTA($C$9:$C$508),$DF327))))</f>
        <v/>
      </c>
      <c r="DH327" s="7"/>
      <c r="DI327" s="82" t="n">
        <f aca="false">IF(OR(ISNUMBER($DF327),$DF327=Constants!$B$7,$DF327=Constants!$B$5,$DF327=Constants!$B$6),1,0)</f>
        <v>0</v>
      </c>
      <c r="DJ327" s="82" t="n">
        <v>319</v>
      </c>
      <c r="DK327" s="82" t="str">
        <f aca="false">IF(ISBLANK($C327),"",IF(ISNUMBER($DG327),$DG327+ROW($B327)/1000,""))</f>
        <v/>
      </c>
      <c r="DL327" s="82" t="str">
        <f aca="false">IF(ISNUMBER($DK327),RANK($DK327,$DK$9:$DK$508,1),"")</f>
        <v/>
      </c>
      <c r="DM327" s="82" t="str">
        <f aca="false">IF(ISBLANK($C327),"",$B327)</f>
        <v/>
      </c>
      <c r="DN327" s="82" t="str">
        <f aca="false">IF(ISBLANK($C327),"",$C327)</f>
        <v/>
      </c>
      <c r="DO327" s="82" t="str">
        <f aca="false">IF(ISBLANK($C327),"",$D327)</f>
        <v/>
      </c>
      <c r="DP327" s="83" t="str">
        <f aca="false">$DD327</f>
        <v/>
      </c>
      <c r="DQ327" s="84" t="str">
        <f aca="false">$DC327</f>
        <v/>
      </c>
      <c r="DR327" s="82" t="str">
        <f aca="false">IF(ISBLANK($C327),"",$DF327)</f>
        <v/>
      </c>
      <c r="DS327" s="85" t="str">
        <f aca="false">IF($DJ327&gt;$DI$8,"",VLOOKUP($DJ327,$DL$9:$DR$508,7,FALSE()))</f>
        <v/>
      </c>
      <c r="DT327" s="86" t="str">
        <f aca="false">IF($DJ327&gt;$DI$8,"",VLOOKUP($DJ327,$DL$9:$DR$508,2,FALSE()))</f>
        <v/>
      </c>
      <c r="DU327" s="86" t="str">
        <f aca="false">IF($DJ327&gt;$DI$8,"",VLOOKUP($DJ327,$DL$9:$DR$508,3,FALSE()))</f>
        <v/>
      </c>
      <c r="DV327" s="86" t="str">
        <f aca="false">IF($DJ327&gt;$DI$8,"",VLOOKUP($DJ327,$DL$9:$DR$508,4,FALSE()))</f>
        <v/>
      </c>
      <c r="DW327" s="86" t="str">
        <f aca="false">IF($DJ327&gt;$DI$8,"",VLOOKUP($DJ327,$DL$9:$DR$508,5,FALSE()))</f>
        <v/>
      </c>
      <c r="DX327" s="87" t="str">
        <f aca="false">IF($DJ327&gt;$DI$8,"",VLOOKUP($DJ327,$DL$9:$DR$508,6,FALSE()))</f>
        <v/>
      </c>
      <c r="DY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88"/>
      <c r="N328" s="88"/>
      <c r="O328" s="134"/>
      <c r="P328" s="134"/>
      <c r="Q328" s="88"/>
      <c r="R328" s="88"/>
      <c r="S328" s="88"/>
      <c r="T328" s="88"/>
      <c r="U328" s="134"/>
      <c r="V328" s="88"/>
      <c r="W328" s="70"/>
      <c r="X328" s="88"/>
      <c r="Y328" s="88"/>
      <c r="Z328" s="70"/>
      <c r="AA328" s="70"/>
      <c r="AB328" s="88"/>
      <c r="AC328" s="88"/>
      <c r="AD328" s="88"/>
      <c r="AE328" s="71"/>
      <c r="AF328" s="88"/>
      <c r="AG328" s="73"/>
      <c r="AH328" s="74"/>
      <c r="AI328" s="74"/>
      <c r="AJ328" s="74" t="str">
        <f aca="false">IF(ISBLANK($C328),"",IF($E328=Constants!$B$2,TRUE(),IF($E328=Constants!$B$3,FALSE(),TRUE())))</f>
        <v/>
      </c>
      <c r="AK328" s="74" t="str">
        <f aca="false">IF(ISBLANK($C328),"",IF($F328=Constants!$B$2,TRUE(),IF($F328=Constants!$B$3,FALSE(),FALSE())))</f>
        <v/>
      </c>
      <c r="AL328" s="74" t="str">
        <f aca="false">IF(ISBLANK($C328),"",IF($G328=Constants!$B$2,TRUE(),IF($G328=Constants!$B$3,FALSE(),TRUE())))</f>
        <v/>
      </c>
      <c r="AM328" s="74" t="str">
        <f aca="false">IF(ISBLANK($C328),"",IF($H328=Constants!$B$2,TRUE(),IF($H328=Constants!$B$3,FALSE(),TRUE())))</f>
        <v/>
      </c>
      <c r="AN328" s="74" t="str">
        <f aca="false">IF(ISBLANK($C328),"",IF(ISNUMBER($I328),IF($I328&gt;=0,$I328,""),""))</f>
        <v/>
      </c>
      <c r="AO328" s="74" t="str">
        <f aca="false">IF(ISBLANK($C328),"",IF(ISNUMBER($J328),IF($J328&gt;=0,$J328,""),""))</f>
        <v/>
      </c>
      <c r="AP328" s="74" t="str">
        <f aca="false">IF(ISBLANK($C328),"",IF(ISNUMBER($K328),IF($K328&gt;=0,$K328,""),""))</f>
        <v/>
      </c>
      <c r="AQ328" s="74" t="str">
        <f aca="false">IF(ISBLANK($C328),"",IF($L328=Constants!$B$2,TRUE(),IF($L328=Constants!$B$3,FALSE(),TRUE())))</f>
        <v/>
      </c>
      <c r="AR328" s="74" t="str">
        <f aca="false">IF(ISBLANK($C328),"",IF($M328=Constants!$B$2,TRUE(),IF($M328=Constants!$B$3,FALSE(),TRUE())))</f>
        <v/>
      </c>
      <c r="AS328" s="74" t="str">
        <f aca="false">IF(ISBLANK($C328),"",IF($N328=Constants!$B$2,TRUE(),IF($N328=Constants!$B$3,FALSE(),FALSE())))</f>
        <v/>
      </c>
      <c r="AT328" s="74" t="str">
        <f aca="false">IF(ISBLANK($C328),"",IF($O328=Constants!$B$2,TRUE(),IF($O328=Constants!$B$3,FALSE(),TRUE())))</f>
        <v/>
      </c>
      <c r="AU328" s="74" t="str">
        <f aca="false">IF(ISBLANK($C328),"",IF($P328=Constants!$B$2,TRUE(),IF($P328=Constants!$B$3,FALSE(),TRUE())))</f>
        <v/>
      </c>
      <c r="AV328" s="74" t="str">
        <f aca="false">IF(ISBLANK($C328),"",IF($Q328=Constants!$B$2,TRUE(),IF($Q328=Constants!$B$3,FALSE(),FALSE())))</f>
        <v/>
      </c>
      <c r="AW328" s="74" t="str">
        <f aca="false">IF(ISBLANK($C328),"",IF($R328=Constants!$B$2,TRUE(),IF($R328=Constants!$B$3,FALSE(),FALSE())))</f>
        <v/>
      </c>
      <c r="AX328" s="74" t="str">
        <f aca="false">IF(ISBLANK($C328),"",IF($S328=Constants!$B$2,TRUE(),IF($S328=Constants!$B$3,FALSE(),FALSE())))</f>
        <v/>
      </c>
      <c r="AY328" s="74" t="str">
        <f aca="false">IF(ISBLANK($C328),"",IF($T328=Constants!$B$2,TRUE(),IF($T328=Constants!$B$3,FALSE(),FALSE())))</f>
        <v/>
      </c>
      <c r="AZ328" s="74" t="str">
        <f aca="false">IF(ISBLANK($C328),"",IF($U328=Constants!$B$2,TRUE(),IF($U328=Constants!$B$3,FALSE(),FALSE())))</f>
        <v/>
      </c>
      <c r="BA328" s="74" t="str">
        <f aca="false">IF(ISBLANK($C328),"",IF(OR($V328&amp;""="1",$V328&amp;""="2",$V328&amp;""="3",$V328&amp;""="4"),VALUE($V328&amp;""),IF($V328=Constants!$B$12,Constants!$B$12,"")))</f>
        <v/>
      </c>
      <c r="BB328" s="74" t="str">
        <f aca="false">IF(ISBLANK($C328),"",IF(ISBLANK($W328),0,IF(ISNUMBER($W328),IF(AND($W328&gt;=0,$W328&lt;=Constants!$B$21,$W328=INT($W328)),$W328,""),"")))</f>
        <v/>
      </c>
      <c r="BC328" s="74" t="str">
        <f aca="false">IF(ISBLANK($C328),"",IF(ISBLANK($X328),0,IF(ISNUMBER($X328),IF($X328&gt;=0,$X328,""),"")))</f>
        <v/>
      </c>
      <c r="BD328" s="74" t="str">
        <f aca="false">IF(ISBLANK($C328),"",IF($Y328=Constants!$B$2,TRUE(),IF($Y328=Constants!$B$3,FALSE(),TRUE())))</f>
        <v/>
      </c>
      <c r="BE328" s="74" t="str">
        <f aca="false">IF(ISBLANK($C328),"",IF($Z328=Constants!$B$2,TRUE(),IF($Z328=Constants!$B$3,FALSE(),FALSE())))</f>
        <v/>
      </c>
      <c r="BF328" s="74" t="str">
        <f aca="false">IF(ISBLANK($C328),"",IF(ISBLANK($AA328),0,IF(ISNUMBER($AA328),IF(AND($AA328&gt;=0,$AA328&lt;=Constants!$B$35,$AA328=INT($AA328)),$AA328,""),"")))</f>
        <v/>
      </c>
      <c r="BG328" s="74" t="str">
        <f aca="false">IF(ISBLANK($C328),"",IF($AB328=Constants!$B$2,TRUE(),IF($AB328=Constants!$B$3,FALSE(),TRUE())))</f>
        <v/>
      </c>
      <c r="BH328" s="74" t="str">
        <f aca="false">IF(ISBLANK($C328),"",IF($AC328=Constants!$B$2,TRUE(),IF($AC328=Constants!$B$3,FALSE(),TRUE())))</f>
        <v/>
      </c>
      <c r="BI328" s="74" t="str">
        <f aca="false">IF(ISBLANK($C328),"",IF($AD328=Constants!$B$2,TRUE(),IF($AD328=Constants!$B$3,FALSE(),TRUE())))</f>
        <v/>
      </c>
      <c r="BJ328" s="74" t="str">
        <f aca="false">IF(ISBLANK($C328),"",IF(ISNUMBER($AE328),IF($AE328&gt;=0,$AE328,""),""))</f>
        <v/>
      </c>
      <c r="BK328" s="74" t="str">
        <f aca="false">IF(ISBLANK($C328),"",IF($AF328=Constants!$B$2,TRUE(),IF($AF328=Constants!$B$3,FALSE(),FALSE())))</f>
        <v/>
      </c>
      <c r="BL328" s="73" t="str">
        <f aca="false">IF(ISBLANK($C328),"",IF($BK328,Constants!$B$7,IF(COUNTA($E328:$AE328)=0,Constants!$B$6,IF(OR(COUNTA($G328:$AE328)=0,NOT($AM328),$AS328),Constants!$B$5,IF(OR($CM328&lt;&gt;"",$CN328,$CO328,$CP328,$CQ328,$CR328,$CS328),Constants!$B$8,Constants!$B$4)))))</f>
        <v/>
      </c>
      <c r="BM328" s="74" t="str">
        <f aca="false">IF(ISBLANK($C328),"",IF($BL328&lt;&gt;Constants!$B$4,$BL328,IF(OR(NOT($AJ328),NOT($AL328),NOT($AT328)),Constants!$B$11,IF(OR(NOT($AR328),NOT($AU328),NOT($BI328),MAX($AN328,$AO328,$AP328)&gt;Constants!$B$30),Constants!$B$10,Constants!$B$9))))</f>
        <v/>
      </c>
      <c r="BN328" s="74" t="str">
        <f aca="false">IF($BL328&lt;&gt;Constants!$B$4,"",IF(NOT($AL328),0,MIN(Constants!$B$35,$BF328)))</f>
        <v/>
      </c>
      <c r="BO328" s="74" t="str">
        <f aca="false">IF($BL328&lt;&gt;Constants!$B$4,"",IF(NOT($AL328),0,IF($AW328,Constants!$B$18,IF($AV328,Constants!$B$17,0))))</f>
        <v/>
      </c>
      <c r="BP328" s="74" t="str">
        <f aca="false">IF($BL328&lt;&gt;Constants!$B$4,"",IF(NOT($AL328),0,Constants!$B$19*($AK328+$AX328+$AY328+$AZ328)))</f>
        <v/>
      </c>
      <c r="BQ328" s="74" t="str">
        <f aca="false">IF($BL328&lt;&gt;Constants!$B$4,"",IF(OR(NOT($AL328),NOT(ISNUMBER($BA328))),0,CHOOSE($BA328,Constants!$B$13,Constants!$B$14,Constants!$B$15,Constants!$B$16)))</f>
        <v/>
      </c>
      <c r="BR328" s="74" t="str">
        <f aca="false">IF($BL328&lt;&gt;Constants!$B$4,"",IF(NOT($AL328),0,Constants!$B$20*$BB328))</f>
        <v/>
      </c>
      <c r="BS328" s="74" t="str">
        <f aca="false">IF($BL328&lt;&gt;Constants!$B$4,"",IF(AND($AL328,$BD328,$BE328),Constants!$B$22,0))</f>
        <v/>
      </c>
      <c r="BT328" s="74" t="str">
        <f aca="false">IF($BL328&lt;&gt;Constants!$B$4,"",IF(OR(NOT($AL328),NOT($BD328)),0,IF($BJ328&gt;=2*$AH$9,0,Constants!$B$23*INT(ROUND(MIN($BJ328,$AH$9),6)))))</f>
        <v/>
      </c>
      <c r="BU328" s="74" t="str">
        <f aca="false">IF($BL328&lt;&gt;Constants!$B$4,"",IF(NOT($AL328),0,Constants!$B$24*INT(ROUND(MIN($BC328,$AH$9),6))))</f>
        <v/>
      </c>
      <c r="BV328" s="74" t="str">
        <f aca="false">IF($BL328&lt;&gt;Constants!$B$4,"",IF(AND($AL328,$BN328=0),Constants!$B$25,0))</f>
        <v/>
      </c>
      <c r="BW328" s="74" t="str">
        <f aca="false">IF($BL328&lt;&gt;Constants!$B$4,"",MIN(Constants!$B$29,MAX(0,Constants!$B$27*Constants!$B$28*INT(ROUND((Constants!$B$26-$AN328)/Constants!$B$28,6))))+MIN(Constants!$B$29,MAX(0,Constants!$B$27*Constants!$B$28*INT(ROUND((Constants!$B$26-$AO328)/Constants!$B$28,6))))+MIN(Constants!$B$29,MAX(0,Constants!$B$27*Constants!$B$28*INT(ROUND((Constants!$B$26-$AP328)/Constants!$B$28,6)))))</f>
        <v/>
      </c>
      <c r="BX328" s="74" t="str">
        <f aca="false">IF($BL328&lt;&gt;Constants!$B$4,"",IF(NOT($AL328),0,Constants!$B$31*INT(ROUND(MAX(0,MIN($BJ328,2*$AH$9)-$AH$9),6))))</f>
        <v/>
      </c>
      <c r="BY328" s="74" t="str">
        <f aca="false">IF($BL328&lt;&gt;Constants!$B$4,"",Constants!$B$32*(($AN328&gt;Constants!$B$26)+($AO328&gt;Constants!$B$26)+($AP328&gt;Constants!$B$26)))</f>
        <v/>
      </c>
      <c r="BZ328" s="74" t="str">
        <f aca="false">IF($BL328&lt;&gt;Constants!$B$4,"",IF(OR(NOT($AL328),$AQ328),0,Constants!$B$33))</f>
        <v/>
      </c>
      <c r="CA328" s="74" t="str">
        <f aca="false">IF($BL328&lt;&gt;Constants!$B$4,"",Constants!$B$34*$BN328)</f>
        <v/>
      </c>
      <c r="CB328" s="74" t="str">
        <f aca="false">IF($BL328&lt;&gt;Constants!$B$4,"",IF(OR(NOT($AL328),$BH328),0,Constants!$B$36))</f>
        <v/>
      </c>
      <c r="CC328" s="74" t="str">
        <f aca="false">IF($BL328&lt;&gt;Constants!$B$4,"",IF(OR(NOT($AL328),$BG328),0,Constants!$B$37))</f>
        <v/>
      </c>
      <c r="CD328" s="74" t="str">
        <f aca="false">IF($BL328&lt;&gt;Constants!$B$4,"",SUM($BX328:$CC328))</f>
        <v/>
      </c>
      <c r="CE328" s="74" t="str">
        <f aca="false">IF(ISBLANK($C328),"",IF($BL328&lt;&gt;Constants!$B$4,$BL328,SUM($BO328:$BW328)-$CD328))</f>
        <v/>
      </c>
      <c r="CF328" s="74" t="str">
        <f aca="false">IF(ISBLANK($C328),"",IF($BL328&lt;&gt;Constants!$B$4,$BL328,RANK($CE328,$CE$9:$CE$508)))</f>
        <v/>
      </c>
      <c r="CG328" s="74" t="str">
        <f aca="false">IF(ISBLANK($C328),"",IF($BL328&lt;&gt;Constants!$B$4,$BL328,COUNTIFS($BM$9:$BM$508,"&lt;"&amp;$BM328)+COUNTIFS($BM$9:$BM$508,$BM328,$CF$9:$CF$508,"&lt;"&amp;$CF328)+1))</f>
        <v/>
      </c>
      <c r="CH328" s="74" t="str">
        <f aca="false">IF(ISBLANK($C328),"",IF($BL328&lt;&gt;Constants!$B$4,$BL328,RANK($CD328,$CD$9:$CD$508,1)))</f>
        <v/>
      </c>
      <c r="CI328" s="74" t="str">
        <f aca="false">IF($BL328&lt;&gt;Constants!$B$4,"",$AN328+$AO328+$AP328)</f>
        <v/>
      </c>
      <c r="CJ328" s="74" t="str">
        <f aca="false">IF(ISBLANK($C328),"",IF($BL328&lt;&gt;Constants!$B$4,$BL328,RANK($CI328,$CI$9:$CI$508,1)))</f>
        <v/>
      </c>
      <c r="CK328" s="74" t="str">
        <f aca="false">IF(ISBLANK($C328),"",IF($BL328&lt;&gt;Constants!$B$4,$BL328,COUNTIFS($BM$9:$BM$508,"&lt;"&amp;$BM328)+COUNTIFS($BM$9:$BM$508,$BM328,$CF$9:$CF$508,"&lt;"&amp;$CF328)+COUNTIFS($BM$9:$BM$508,$BM328,$CF$9:$CF$508,$CF328,$CH$9:$CH$508,"&lt;"&amp;$CH328)+COUNTIFS($BM$9:$BM$508,$BM328,$CF$9:$CF$508,$CF328,$CH$9:$CH$508,$CH328,$CJ$9:$CJ$508,"&lt;"&amp;$CJ328)+1))</f>
        <v/>
      </c>
      <c r="CL328" s="74" t="str">
        <f aca="false">IF(ISBLANK($C328),"",IF($BL328&lt;&gt;Constants!$B$4,$BL328,$CG328-$CK328))</f>
        <v/>
      </c>
      <c r="CM328" s="74" t="str">
        <f aca="false">IF(ISBLANK($C328),"",IF(NOT($AL328),"",IF(ISBLANK($D$7),$CM$5,IF(NOT(ISNUMBER($D$7)),$CM$6,""))))</f>
        <v/>
      </c>
      <c r="CN328" s="74" t="str">
        <f aca="false">IF(ISBLANK($C328),"",OR($AN328="",$AO328="",$AP328=""))</f>
        <v/>
      </c>
      <c r="CO328" s="74" t="str">
        <f aca="false">IF(ISBLANK($C328),"",AND($AL328,$BA328=""))</f>
        <v/>
      </c>
      <c r="CP328" s="74" t="str">
        <f aca="false">IF(ISBLANK($C328),"",AND($AL328,$BB328=""))</f>
        <v/>
      </c>
      <c r="CQ328" s="74" t="str">
        <f aca="false">IF(ISBLANK($C328),"",AND($AL328,$BC328=""))</f>
        <v/>
      </c>
      <c r="CR328" s="74" t="str">
        <f aca="false">IF(ISBLANK($C328),"",AND($AL328,$BF328=""))</f>
        <v/>
      </c>
      <c r="CS328" s="74" t="str">
        <f aca="false">IF(ISBLANK($C328),"",AND($AL328,$BJ328=""))</f>
        <v/>
      </c>
      <c r="CT328" s="75"/>
      <c r="CU328" s="76"/>
      <c r="CV328" s="79" t="str">
        <f aca="false">IF(ISBLANK($C328),"",IF($BL328=Constants!$B$8,$CM328,""))</f>
        <v/>
      </c>
      <c r="CW328" s="76" t="str">
        <f aca="false">IF(ISBLANK($C328),"",IF($BL328&lt;&gt;Constants!$B$4,"",$BO328+$BP328))</f>
        <v/>
      </c>
      <c r="CX328" s="78" t="str">
        <f aca="false">IF(ISBLANK($C328),"",IF($BL328&lt;&gt;Constants!$B$4,"",$BQ328+$BR328+$BS328))</f>
        <v/>
      </c>
      <c r="CY328" s="78" t="str">
        <f aca="false">IF(ISBLANK($C328),"",IF($BL328&lt;&gt;Constants!$B$4,"",$BT328))</f>
        <v/>
      </c>
      <c r="CZ328" s="78" t="str">
        <f aca="false">IF(ISBLANK($C328),"",IF($BL328&lt;&gt;Constants!$B$4,"",$BU328+$BV328))</f>
        <v/>
      </c>
      <c r="DA328" s="78" t="str">
        <f aca="false">IF(ISBLANK($C328),"",IF($BL328&lt;&gt;Constants!$B$4,"",$BW328))</f>
        <v/>
      </c>
      <c r="DB328" s="78" t="str">
        <f aca="false">IF(ISBLANK($C328),"",IF($BL328&lt;&gt;Constants!$B$4,"",-$CD328))</f>
        <v/>
      </c>
      <c r="DC328" s="79" t="str">
        <f aca="false">IF(ISBLANK($C328),"",$CE328)</f>
        <v/>
      </c>
      <c r="DD328" s="80" t="str">
        <f aca="false">IF(ISBLANK($C328),"",$BM328)</f>
        <v/>
      </c>
      <c r="DE328" s="78" t="str">
        <f aca="false">IF(ISBLANK($C328),"",$CL328)</f>
        <v/>
      </c>
      <c r="DF328" s="78" t="str">
        <f aca="false">IF(ISBLANK($C328),"",$CK328)</f>
        <v/>
      </c>
      <c r="DG328" s="81" t="str">
        <f aca="false">IF(ISBLANK($C328),"",IF($DF328=Constants!$B$7,COUNTA($C$9:$C$508)+2,IF($DF328=Constants!$B$6,COUNTA($C$9:$C$508)+1,IF($DF328=Constants!$B$5,COUNTA($C$9:$C$508),$DF328))))</f>
        <v/>
      </c>
      <c r="DH328" s="7"/>
      <c r="DI328" s="82" t="n">
        <f aca="false">IF(OR(ISNUMBER($DF328),$DF328=Constants!$B$7,$DF328=Constants!$B$5,$DF328=Constants!$B$6),1,0)</f>
        <v>0</v>
      </c>
      <c r="DJ328" s="82" t="n">
        <v>320</v>
      </c>
      <c r="DK328" s="82" t="str">
        <f aca="false">IF(ISBLANK($C328),"",IF(ISNUMBER($DG328),$DG328+ROW($B328)/1000,""))</f>
        <v/>
      </c>
      <c r="DL328" s="82" t="str">
        <f aca="false">IF(ISNUMBER($DK328),RANK($DK328,$DK$9:$DK$508,1),"")</f>
        <v/>
      </c>
      <c r="DM328" s="82" t="str">
        <f aca="false">IF(ISBLANK($C328),"",$B328)</f>
        <v/>
      </c>
      <c r="DN328" s="82" t="str">
        <f aca="false">IF(ISBLANK($C328),"",$C328)</f>
        <v/>
      </c>
      <c r="DO328" s="82" t="str">
        <f aca="false">IF(ISBLANK($C328),"",$D328)</f>
        <v/>
      </c>
      <c r="DP328" s="83" t="str">
        <f aca="false">$DD328</f>
        <v/>
      </c>
      <c r="DQ328" s="84" t="str">
        <f aca="false">$DC328</f>
        <v/>
      </c>
      <c r="DR328" s="82" t="str">
        <f aca="false">IF(ISBLANK($C328),"",$DF328)</f>
        <v/>
      </c>
      <c r="DS328" s="85" t="str">
        <f aca="false">IF($DJ328&gt;$DI$8,"",VLOOKUP($DJ328,$DL$9:$DR$508,7,FALSE()))</f>
        <v/>
      </c>
      <c r="DT328" s="86" t="str">
        <f aca="false">IF($DJ328&gt;$DI$8,"",VLOOKUP($DJ328,$DL$9:$DR$508,2,FALSE()))</f>
        <v/>
      </c>
      <c r="DU328" s="86" t="str">
        <f aca="false">IF($DJ328&gt;$DI$8,"",VLOOKUP($DJ328,$DL$9:$DR$508,3,FALSE()))</f>
        <v/>
      </c>
      <c r="DV328" s="86" t="str">
        <f aca="false">IF($DJ328&gt;$DI$8,"",VLOOKUP($DJ328,$DL$9:$DR$508,4,FALSE()))</f>
        <v/>
      </c>
      <c r="DW328" s="86" t="str">
        <f aca="false">IF($DJ328&gt;$DI$8,"",VLOOKUP($DJ328,$DL$9:$DR$508,5,FALSE()))</f>
        <v/>
      </c>
      <c r="DX328" s="87" t="str">
        <f aca="false">IF($DJ328&gt;$DI$8,"",VLOOKUP($DJ328,$DL$9:$DR$508,6,FALSE()))</f>
        <v/>
      </c>
      <c r="DY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88"/>
      <c r="N329" s="88"/>
      <c r="O329" s="134"/>
      <c r="P329" s="134"/>
      <c r="Q329" s="88"/>
      <c r="R329" s="88"/>
      <c r="S329" s="88"/>
      <c r="T329" s="88"/>
      <c r="U329" s="134"/>
      <c r="V329" s="88"/>
      <c r="W329" s="70"/>
      <c r="X329" s="88"/>
      <c r="Y329" s="88"/>
      <c r="Z329" s="70"/>
      <c r="AA329" s="70"/>
      <c r="AB329" s="88"/>
      <c r="AC329" s="88"/>
      <c r="AD329" s="88"/>
      <c r="AE329" s="71"/>
      <c r="AF329" s="88"/>
      <c r="AG329" s="73"/>
      <c r="AH329" s="74"/>
      <c r="AI329" s="74"/>
      <c r="AJ329" s="74" t="str">
        <f aca="false">IF(ISBLANK($C329),"",IF($E329=Constants!$B$2,TRUE(),IF($E329=Constants!$B$3,FALSE(),TRUE())))</f>
        <v/>
      </c>
      <c r="AK329" s="74" t="str">
        <f aca="false">IF(ISBLANK($C329),"",IF($F329=Constants!$B$2,TRUE(),IF($F329=Constants!$B$3,FALSE(),FALSE())))</f>
        <v/>
      </c>
      <c r="AL329" s="74" t="str">
        <f aca="false">IF(ISBLANK($C329),"",IF($G329=Constants!$B$2,TRUE(),IF($G329=Constants!$B$3,FALSE(),TRUE())))</f>
        <v/>
      </c>
      <c r="AM329" s="74" t="str">
        <f aca="false">IF(ISBLANK($C329),"",IF($H329=Constants!$B$2,TRUE(),IF($H329=Constants!$B$3,FALSE(),TRUE())))</f>
        <v/>
      </c>
      <c r="AN329" s="74" t="str">
        <f aca="false">IF(ISBLANK($C329),"",IF(ISNUMBER($I329),IF($I329&gt;=0,$I329,""),""))</f>
        <v/>
      </c>
      <c r="AO329" s="74" t="str">
        <f aca="false">IF(ISBLANK($C329),"",IF(ISNUMBER($J329),IF($J329&gt;=0,$J329,""),""))</f>
        <v/>
      </c>
      <c r="AP329" s="74" t="str">
        <f aca="false">IF(ISBLANK($C329),"",IF(ISNUMBER($K329),IF($K329&gt;=0,$K329,""),""))</f>
        <v/>
      </c>
      <c r="AQ329" s="74" t="str">
        <f aca="false">IF(ISBLANK($C329),"",IF($L329=Constants!$B$2,TRUE(),IF($L329=Constants!$B$3,FALSE(),TRUE())))</f>
        <v/>
      </c>
      <c r="AR329" s="74" t="str">
        <f aca="false">IF(ISBLANK($C329),"",IF($M329=Constants!$B$2,TRUE(),IF($M329=Constants!$B$3,FALSE(),TRUE())))</f>
        <v/>
      </c>
      <c r="AS329" s="74" t="str">
        <f aca="false">IF(ISBLANK($C329),"",IF($N329=Constants!$B$2,TRUE(),IF($N329=Constants!$B$3,FALSE(),FALSE())))</f>
        <v/>
      </c>
      <c r="AT329" s="74" t="str">
        <f aca="false">IF(ISBLANK($C329),"",IF($O329=Constants!$B$2,TRUE(),IF($O329=Constants!$B$3,FALSE(),TRUE())))</f>
        <v/>
      </c>
      <c r="AU329" s="74" t="str">
        <f aca="false">IF(ISBLANK($C329),"",IF($P329=Constants!$B$2,TRUE(),IF($P329=Constants!$B$3,FALSE(),TRUE())))</f>
        <v/>
      </c>
      <c r="AV329" s="74" t="str">
        <f aca="false">IF(ISBLANK($C329),"",IF($Q329=Constants!$B$2,TRUE(),IF($Q329=Constants!$B$3,FALSE(),FALSE())))</f>
        <v/>
      </c>
      <c r="AW329" s="74" t="str">
        <f aca="false">IF(ISBLANK($C329),"",IF($R329=Constants!$B$2,TRUE(),IF($R329=Constants!$B$3,FALSE(),FALSE())))</f>
        <v/>
      </c>
      <c r="AX329" s="74" t="str">
        <f aca="false">IF(ISBLANK($C329),"",IF($S329=Constants!$B$2,TRUE(),IF($S329=Constants!$B$3,FALSE(),FALSE())))</f>
        <v/>
      </c>
      <c r="AY329" s="74" t="str">
        <f aca="false">IF(ISBLANK($C329),"",IF($T329=Constants!$B$2,TRUE(),IF($T329=Constants!$B$3,FALSE(),FALSE())))</f>
        <v/>
      </c>
      <c r="AZ329" s="74" t="str">
        <f aca="false">IF(ISBLANK($C329),"",IF($U329=Constants!$B$2,TRUE(),IF($U329=Constants!$B$3,FALSE(),FALSE())))</f>
        <v/>
      </c>
      <c r="BA329" s="74" t="str">
        <f aca="false">IF(ISBLANK($C329),"",IF(OR($V329&amp;""="1",$V329&amp;""="2",$V329&amp;""="3",$V329&amp;""="4"),VALUE($V329&amp;""),IF($V329=Constants!$B$12,Constants!$B$12,"")))</f>
        <v/>
      </c>
      <c r="BB329" s="74" t="str">
        <f aca="false">IF(ISBLANK($C329),"",IF(ISBLANK($W329),0,IF(ISNUMBER($W329),IF(AND($W329&gt;=0,$W329&lt;=Constants!$B$21,$W329=INT($W329)),$W329,""),"")))</f>
        <v/>
      </c>
      <c r="BC329" s="74" t="str">
        <f aca="false">IF(ISBLANK($C329),"",IF(ISBLANK($X329),0,IF(ISNUMBER($X329),IF($X329&gt;=0,$X329,""),"")))</f>
        <v/>
      </c>
      <c r="BD329" s="74" t="str">
        <f aca="false">IF(ISBLANK($C329),"",IF($Y329=Constants!$B$2,TRUE(),IF($Y329=Constants!$B$3,FALSE(),TRUE())))</f>
        <v/>
      </c>
      <c r="BE329" s="74" t="str">
        <f aca="false">IF(ISBLANK($C329),"",IF($Z329=Constants!$B$2,TRUE(),IF($Z329=Constants!$B$3,FALSE(),FALSE())))</f>
        <v/>
      </c>
      <c r="BF329" s="74" t="str">
        <f aca="false">IF(ISBLANK($C329),"",IF(ISBLANK($AA329),0,IF(ISNUMBER($AA329),IF(AND($AA329&gt;=0,$AA329&lt;=Constants!$B$35,$AA329=INT($AA329)),$AA329,""),"")))</f>
        <v/>
      </c>
      <c r="BG329" s="74" t="str">
        <f aca="false">IF(ISBLANK($C329),"",IF($AB329=Constants!$B$2,TRUE(),IF($AB329=Constants!$B$3,FALSE(),TRUE())))</f>
        <v/>
      </c>
      <c r="BH329" s="74" t="str">
        <f aca="false">IF(ISBLANK($C329),"",IF($AC329=Constants!$B$2,TRUE(),IF($AC329=Constants!$B$3,FALSE(),TRUE())))</f>
        <v/>
      </c>
      <c r="BI329" s="74" t="str">
        <f aca="false">IF(ISBLANK($C329),"",IF($AD329=Constants!$B$2,TRUE(),IF($AD329=Constants!$B$3,FALSE(),TRUE())))</f>
        <v/>
      </c>
      <c r="BJ329" s="74" t="str">
        <f aca="false">IF(ISBLANK($C329),"",IF(ISNUMBER($AE329),IF($AE329&gt;=0,$AE329,""),""))</f>
        <v/>
      </c>
      <c r="BK329" s="74" t="str">
        <f aca="false">IF(ISBLANK($C329),"",IF($AF329=Constants!$B$2,TRUE(),IF($AF329=Constants!$B$3,FALSE(),FALSE())))</f>
        <v/>
      </c>
      <c r="BL329" s="73" t="str">
        <f aca="false">IF(ISBLANK($C329),"",IF($BK329,Constants!$B$7,IF(COUNTA($E329:$AE329)=0,Constants!$B$6,IF(OR(COUNTA($G329:$AE329)=0,NOT($AM329),$AS329),Constants!$B$5,IF(OR($CM329&lt;&gt;"",$CN329,$CO329,$CP329,$CQ329,$CR329,$CS329),Constants!$B$8,Constants!$B$4)))))</f>
        <v/>
      </c>
      <c r="BM329" s="74" t="str">
        <f aca="false">IF(ISBLANK($C329),"",IF($BL329&lt;&gt;Constants!$B$4,$BL329,IF(OR(NOT($AJ329),NOT($AL329),NOT($AT329)),Constants!$B$11,IF(OR(NOT($AR329),NOT($AU329),NOT($BI329),MAX($AN329,$AO329,$AP329)&gt;Constants!$B$30),Constants!$B$10,Constants!$B$9))))</f>
        <v/>
      </c>
      <c r="BN329" s="74" t="str">
        <f aca="false">IF($BL329&lt;&gt;Constants!$B$4,"",IF(NOT($AL329),0,MIN(Constants!$B$35,$BF329)))</f>
        <v/>
      </c>
      <c r="BO329" s="74" t="str">
        <f aca="false">IF($BL329&lt;&gt;Constants!$B$4,"",IF(NOT($AL329),0,IF($AW329,Constants!$B$18,IF($AV329,Constants!$B$17,0))))</f>
        <v/>
      </c>
      <c r="BP329" s="74" t="str">
        <f aca="false">IF($BL329&lt;&gt;Constants!$B$4,"",IF(NOT($AL329),0,Constants!$B$19*($AK329+$AX329+$AY329+$AZ329)))</f>
        <v/>
      </c>
      <c r="BQ329" s="74" t="str">
        <f aca="false">IF($BL329&lt;&gt;Constants!$B$4,"",IF(OR(NOT($AL329),NOT(ISNUMBER($BA329))),0,CHOOSE($BA329,Constants!$B$13,Constants!$B$14,Constants!$B$15,Constants!$B$16)))</f>
        <v/>
      </c>
      <c r="BR329" s="74" t="str">
        <f aca="false">IF($BL329&lt;&gt;Constants!$B$4,"",IF(NOT($AL329),0,Constants!$B$20*$BB329))</f>
        <v/>
      </c>
      <c r="BS329" s="74" t="str">
        <f aca="false">IF($BL329&lt;&gt;Constants!$B$4,"",IF(AND($AL329,$BD329,$BE329),Constants!$B$22,0))</f>
        <v/>
      </c>
      <c r="BT329" s="74" t="str">
        <f aca="false">IF($BL329&lt;&gt;Constants!$B$4,"",IF(OR(NOT($AL329),NOT($BD329)),0,IF($BJ329&gt;=2*$AH$9,0,Constants!$B$23*INT(ROUND(MIN($BJ329,$AH$9),6)))))</f>
        <v/>
      </c>
      <c r="BU329" s="74" t="str">
        <f aca="false">IF($BL329&lt;&gt;Constants!$B$4,"",IF(NOT($AL329),0,Constants!$B$24*INT(ROUND(MIN($BC329,$AH$9),6))))</f>
        <v/>
      </c>
      <c r="BV329" s="74" t="str">
        <f aca="false">IF($BL329&lt;&gt;Constants!$B$4,"",IF(AND($AL329,$BN329=0),Constants!$B$25,0))</f>
        <v/>
      </c>
      <c r="BW329" s="74" t="str">
        <f aca="false">IF($BL329&lt;&gt;Constants!$B$4,"",MIN(Constants!$B$29,MAX(0,Constants!$B$27*Constants!$B$28*INT(ROUND((Constants!$B$26-$AN329)/Constants!$B$28,6))))+MIN(Constants!$B$29,MAX(0,Constants!$B$27*Constants!$B$28*INT(ROUND((Constants!$B$26-$AO329)/Constants!$B$28,6))))+MIN(Constants!$B$29,MAX(0,Constants!$B$27*Constants!$B$28*INT(ROUND((Constants!$B$26-$AP329)/Constants!$B$28,6)))))</f>
        <v/>
      </c>
      <c r="BX329" s="74" t="str">
        <f aca="false">IF($BL329&lt;&gt;Constants!$B$4,"",IF(NOT($AL329),0,Constants!$B$31*INT(ROUND(MAX(0,MIN($BJ329,2*$AH$9)-$AH$9),6))))</f>
        <v/>
      </c>
      <c r="BY329" s="74" t="str">
        <f aca="false">IF($BL329&lt;&gt;Constants!$B$4,"",Constants!$B$32*(($AN329&gt;Constants!$B$26)+($AO329&gt;Constants!$B$26)+($AP329&gt;Constants!$B$26)))</f>
        <v/>
      </c>
      <c r="BZ329" s="74" t="str">
        <f aca="false">IF($BL329&lt;&gt;Constants!$B$4,"",IF(OR(NOT($AL329),$AQ329),0,Constants!$B$33))</f>
        <v/>
      </c>
      <c r="CA329" s="74" t="str">
        <f aca="false">IF($BL329&lt;&gt;Constants!$B$4,"",Constants!$B$34*$BN329)</f>
        <v/>
      </c>
      <c r="CB329" s="74" t="str">
        <f aca="false">IF($BL329&lt;&gt;Constants!$B$4,"",IF(OR(NOT($AL329),$BH329),0,Constants!$B$36))</f>
        <v/>
      </c>
      <c r="CC329" s="74" t="str">
        <f aca="false">IF($BL329&lt;&gt;Constants!$B$4,"",IF(OR(NOT($AL329),$BG329),0,Constants!$B$37))</f>
        <v/>
      </c>
      <c r="CD329" s="74" t="str">
        <f aca="false">IF($BL329&lt;&gt;Constants!$B$4,"",SUM($BX329:$CC329))</f>
        <v/>
      </c>
      <c r="CE329" s="74" t="str">
        <f aca="false">IF(ISBLANK($C329),"",IF($BL329&lt;&gt;Constants!$B$4,$BL329,SUM($BO329:$BW329)-$CD329))</f>
        <v/>
      </c>
      <c r="CF329" s="74" t="str">
        <f aca="false">IF(ISBLANK($C329),"",IF($BL329&lt;&gt;Constants!$B$4,$BL329,RANK($CE329,$CE$9:$CE$508)))</f>
        <v/>
      </c>
      <c r="CG329" s="74" t="str">
        <f aca="false">IF(ISBLANK($C329),"",IF($BL329&lt;&gt;Constants!$B$4,$BL329,COUNTIFS($BM$9:$BM$508,"&lt;"&amp;$BM329)+COUNTIFS($BM$9:$BM$508,$BM329,$CF$9:$CF$508,"&lt;"&amp;$CF329)+1))</f>
        <v/>
      </c>
      <c r="CH329" s="74" t="str">
        <f aca="false">IF(ISBLANK($C329),"",IF($BL329&lt;&gt;Constants!$B$4,$BL329,RANK($CD329,$CD$9:$CD$508,1)))</f>
        <v/>
      </c>
      <c r="CI329" s="74" t="str">
        <f aca="false">IF($BL329&lt;&gt;Constants!$B$4,"",$AN329+$AO329+$AP329)</f>
        <v/>
      </c>
      <c r="CJ329" s="74" t="str">
        <f aca="false">IF(ISBLANK($C329),"",IF($BL329&lt;&gt;Constants!$B$4,$BL329,RANK($CI329,$CI$9:$CI$508,1)))</f>
        <v/>
      </c>
      <c r="CK329" s="74" t="str">
        <f aca="false">IF(ISBLANK($C329),"",IF($BL329&lt;&gt;Constants!$B$4,$BL329,COUNTIFS($BM$9:$BM$508,"&lt;"&amp;$BM329)+COUNTIFS($BM$9:$BM$508,$BM329,$CF$9:$CF$508,"&lt;"&amp;$CF329)+COUNTIFS($BM$9:$BM$508,$BM329,$CF$9:$CF$508,$CF329,$CH$9:$CH$508,"&lt;"&amp;$CH329)+COUNTIFS($BM$9:$BM$508,$BM329,$CF$9:$CF$508,$CF329,$CH$9:$CH$508,$CH329,$CJ$9:$CJ$508,"&lt;"&amp;$CJ329)+1))</f>
        <v/>
      </c>
      <c r="CL329" s="74" t="str">
        <f aca="false">IF(ISBLANK($C329),"",IF($BL329&lt;&gt;Constants!$B$4,$BL329,$CG329-$CK329))</f>
        <v/>
      </c>
      <c r="CM329" s="74" t="str">
        <f aca="false">IF(ISBLANK($C329),"",IF(NOT($AL329),"",IF(ISBLANK($D$7),$CM$5,IF(NOT(ISNUMBER($D$7)),$CM$6,""))))</f>
        <v/>
      </c>
      <c r="CN329" s="74" t="str">
        <f aca="false">IF(ISBLANK($C329),"",OR($AN329="",$AO329="",$AP329=""))</f>
        <v/>
      </c>
      <c r="CO329" s="74" t="str">
        <f aca="false">IF(ISBLANK($C329),"",AND($AL329,$BA329=""))</f>
        <v/>
      </c>
      <c r="CP329" s="74" t="str">
        <f aca="false">IF(ISBLANK($C329),"",AND($AL329,$BB329=""))</f>
        <v/>
      </c>
      <c r="CQ329" s="74" t="str">
        <f aca="false">IF(ISBLANK($C329),"",AND($AL329,$BC329=""))</f>
        <v/>
      </c>
      <c r="CR329" s="74" t="str">
        <f aca="false">IF(ISBLANK($C329),"",AND($AL329,$BF329=""))</f>
        <v/>
      </c>
      <c r="CS329" s="74" t="str">
        <f aca="false">IF(ISBLANK($C329),"",AND($AL329,$BJ329=""))</f>
        <v/>
      </c>
      <c r="CT329" s="75"/>
      <c r="CU329" s="76"/>
      <c r="CV329" s="79" t="str">
        <f aca="false">IF(ISBLANK($C329),"",IF($BL329=Constants!$B$8,$CM329,""))</f>
        <v/>
      </c>
      <c r="CW329" s="76" t="str">
        <f aca="false">IF(ISBLANK($C329),"",IF($BL329&lt;&gt;Constants!$B$4,"",$BO329+$BP329))</f>
        <v/>
      </c>
      <c r="CX329" s="78" t="str">
        <f aca="false">IF(ISBLANK($C329),"",IF($BL329&lt;&gt;Constants!$B$4,"",$BQ329+$BR329+$BS329))</f>
        <v/>
      </c>
      <c r="CY329" s="78" t="str">
        <f aca="false">IF(ISBLANK($C329),"",IF($BL329&lt;&gt;Constants!$B$4,"",$BT329))</f>
        <v/>
      </c>
      <c r="CZ329" s="78" t="str">
        <f aca="false">IF(ISBLANK($C329),"",IF($BL329&lt;&gt;Constants!$B$4,"",$BU329+$BV329))</f>
        <v/>
      </c>
      <c r="DA329" s="78" t="str">
        <f aca="false">IF(ISBLANK($C329),"",IF($BL329&lt;&gt;Constants!$B$4,"",$BW329))</f>
        <v/>
      </c>
      <c r="DB329" s="78" t="str">
        <f aca="false">IF(ISBLANK($C329),"",IF($BL329&lt;&gt;Constants!$B$4,"",-$CD329))</f>
        <v/>
      </c>
      <c r="DC329" s="79" t="str">
        <f aca="false">IF(ISBLANK($C329),"",$CE329)</f>
        <v/>
      </c>
      <c r="DD329" s="80" t="str">
        <f aca="false">IF(ISBLANK($C329),"",$BM329)</f>
        <v/>
      </c>
      <c r="DE329" s="78" t="str">
        <f aca="false">IF(ISBLANK($C329),"",$CL329)</f>
        <v/>
      </c>
      <c r="DF329" s="78" t="str">
        <f aca="false">IF(ISBLANK($C329),"",$CK329)</f>
        <v/>
      </c>
      <c r="DG329" s="81" t="str">
        <f aca="false">IF(ISBLANK($C329),"",IF($DF329=Constants!$B$7,COUNTA($C$9:$C$508)+2,IF($DF329=Constants!$B$6,COUNTA($C$9:$C$508)+1,IF($DF329=Constants!$B$5,COUNTA($C$9:$C$508),$DF329))))</f>
        <v/>
      </c>
      <c r="DH329" s="7"/>
      <c r="DI329" s="82" t="n">
        <f aca="false">IF(OR(ISNUMBER($DF329),$DF329=Constants!$B$7,$DF329=Constants!$B$5,$DF329=Constants!$B$6),1,0)</f>
        <v>0</v>
      </c>
      <c r="DJ329" s="82" t="n">
        <v>321</v>
      </c>
      <c r="DK329" s="82" t="str">
        <f aca="false">IF(ISBLANK($C329),"",IF(ISNUMBER($DG329),$DG329+ROW($B329)/1000,""))</f>
        <v/>
      </c>
      <c r="DL329" s="82" t="str">
        <f aca="false">IF(ISNUMBER($DK329),RANK($DK329,$DK$9:$DK$508,1),"")</f>
        <v/>
      </c>
      <c r="DM329" s="82" t="str">
        <f aca="false">IF(ISBLANK($C329),"",$B329)</f>
        <v/>
      </c>
      <c r="DN329" s="82" t="str">
        <f aca="false">IF(ISBLANK($C329),"",$C329)</f>
        <v/>
      </c>
      <c r="DO329" s="82" t="str">
        <f aca="false">IF(ISBLANK($C329),"",$D329)</f>
        <v/>
      </c>
      <c r="DP329" s="83" t="str">
        <f aca="false">$DD329</f>
        <v/>
      </c>
      <c r="DQ329" s="84" t="str">
        <f aca="false">$DC329</f>
        <v/>
      </c>
      <c r="DR329" s="82" t="str">
        <f aca="false">IF(ISBLANK($C329),"",$DF329)</f>
        <v/>
      </c>
      <c r="DS329" s="85" t="str">
        <f aca="false">IF($DJ329&gt;$DI$8,"",VLOOKUP($DJ329,$DL$9:$DR$508,7,FALSE()))</f>
        <v/>
      </c>
      <c r="DT329" s="86" t="str">
        <f aca="false">IF($DJ329&gt;$DI$8,"",VLOOKUP($DJ329,$DL$9:$DR$508,2,FALSE()))</f>
        <v/>
      </c>
      <c r="DU329" s="86" t="str">
        <f aca="false">IF($DJ329&gt;$DI$8,"",VLOOKUP($DJ329,$DL$9:$DR$508,3,FALSE()))</f>
        <v/>
      </c>
      <c r="DV329" s="86" t="str">
        <f aca="false">IF($DJ329&gt;$DI$8,"",VLOOKUP($DJ329,$DL$9:$DR$508,4,FALSE()))</f>
        <v/>
      </c>
      <c r="DW329" s="86" t="str">
        <f aca="false">IF($DJ329&gt;$DI$8,"",VLOOKUP($DJ329,$DL$9:$DR$508,5,FALSE()))</f>
        <v/>
      </c>
      <c r="DX329" s="87" t="str">
        <f aca="false">IF($DJ329&gt;$DI$8,"",VLOOKUP($DJ329,$DL$9:$DR$508,6,FALSE()))</f>
        <v/>
      </c>
      <c r="DY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130"/>
      <c r="N330" s="130"/>
      <c r="O330" s="135"/>
      <c r="P330" s="135"/>
      <c r="Q330" s="130"/>
      <c r="R330" s="130"/>
      <c r="S330" s="130"/>
      <c r="T330" s="130"/>
      <c r="U330" s="135"/>
      <c r="V330" s="130"/>
      <c r="W330" s="96"/>
      <c r="X330" s="130"/>
      <c r="Y330" s="130"/>
      <c r="Z330" s="96"/>
      <c r="AA330" s="96"/>
      <c r="AB330" s="130"/>
      <c r="AC330" s="130"/>
      <c r="AD330" s="130"/>
      <c r="AE330" s="97"/>
      <c r="AF330" s="130"/>
      <c r="AG330" s="99"/>
      <c r="AH330" s="100"/>
      <c r="AI330" s="100"/>
      <c r="AJ330" s="100" t="str">
        <f aca="false">IF(ISBLANK($C330),"",IF($E330=Constants!$B$2,TRUE(),IF($E330=Constants!$B$3,FALSE(),TRUE())))</f>
        <v/>
      </c>
      <c r="AK330" s="100" t="str">
        <f aca="false">IF(ISBLANK($C330),"",IF($F330=Constants!$B$2,TRUE(),IF($F330=Constants!$B$3,FALSE(),FALSE())))</f>
        <v/>
      </c>
      <c r="AL330" s="100" t="str">
        <f aca="false">IF(ISBLANK($C330),"",IF($G330=Constants!$B$2,TRUE(),IF($G330=Constants!$B$3,FALSE(),TRUE())))</f>
        <v/>
      </c>
      <c r="AM330" s="100" t="str">
        <f aca="false">IF(ISBLANK($C330),"",IF($H330=Constants!$B$2,TRUE(),IF($H330=Constants!$B$3,FALSE(),TRUE())))</f>
        <v/>
      </c>
      <c r="AN330" s="100" t="str">
        <f aca="false">IF(ISBLANK($C330),"",IF(ISNUMBER($I330),IF($I330&gt;=0,$I330,""),""))</f>
        <v/>
      </c>
      <c r="AO330" s="100" t="str">
        <f aca="false">IF(ISBLANK($C330),"",IF(ISNUMBER($J330),IF($J330&gt;=0,$J330,""),""))</f>
        <v/>
      </c>
      <c r="AP330" s="100" t="str">
        <f aca="false">IF(ISBLANK($C330),"",IF(ISNUMBER($K330),IF($K330&gt;=0,$K330,""),""))</f>
        <v/>
      </c>
      <c r="AQ330" s="100" t="str">
        <f aca="false">IF(ISBLANK($C330),"",IF($L330=Constants!$B$2,TRUE(),IF($L330=Constants!$B$3,FALSE(),TRUE())))</f>
        <v/>
      </c>
      <c r="AR330" s="100" t="str">
        <f aca="false">IF(ISBLANK($C330),"",IF($M330=Constants!$B$2,TRUE(),IF($M330=Constants!$B$3,FALSE(),TRUE())))</f>
        <v/>
      </c>
      <c r="AS330" s="100" t="str">
        <f aca="false">IF(ISBLANK($C330),"",IF($N330=Constants!$B$2,TRUE(),IF($N330=Constants!$B$3,FALSE(),FALSE())))</f>
        <v/>
      </c>
      <c r="AT330" s="100" t="str">
        <f aca="false">IF(ISBLANK($C330),"",IF($O330=Constants!$B$2,TRUE(),IF($O330=Constants!$B$3,FALSE(),TRUE())))</f>
        <v/>
      </c>
      <c r="AU330" s="100" t="str">
        <f aca="false">IF(ISBLANK($C330),"",IF($P330=Constants!$B$2,TRUE(),IF($P330=Constants!$B$3,FALSE(),TRUE())))</f>
        <v/>
      </c>
      <c r="AV330" s="100" t="str">
        <f aca="false">IF(ISBLANK($C330),"",IF($Q330=Constants!$B$2,TRUE(),IF($Q330=Constants!$B$3,FALSE(),FALSE())))</f>
        <v/>
      </c>
      <c r="AW330" s="100" t="str">
        <f aca="false">IF(ISBLANK($C330),"",IF($R330=Constants!$B$2,TRUE(),IF($R330=Constants!$B$3,FALSE(),FALSE())))</f>
        <v/>
      </c>
      <c r="AX330" s="100" t="str">
        <f aca="false">IF(ISBLANK($C330),"",IF($S330=Constants!$B$2,TRUE(),IF($S330=Constants!$B$3,FALSE(),FALSE())))</f>
        <v/>
      </c>
      <c r="AY330" s="100" t="str">
        <f aca="false">IF(ISBLANK($C330),"",IF($T330=Constants!$B$2,TRUE(),IF($T330=Constants!$B$3,FALSE(),FALSE())))</f>
        <v/>
      </c>
      <c r="AZ330" s="100" t="str">
        <f aca="false">IF(ISBLANK($C330),"",IF($U330=Constants!$B$2,TRUE(),IF($U330=Constants!$B$3,FALSE(),FALSE())))</f>
        <v/>
      </c>
      <c r="BA330" s="100" t="str">
        <f aca="false">IF(ISBLANK($C330),"",IF(OR($V330&amp;""="1",$V330&amp;""="2",$V330&amp;""="3",$V330&amp;""="4"),VALUE($V330&amp;""),IF($V330=Constants!$B$12,Constants!$B$12,"")))</f>
        <v/>
      </c>
      <c r="BB330" s="100" t="str">
        <f aca="false">IF(ISBLANK($C330),"",IF(ISBLANK($W330),0,IF(ISNUMBER($W330),IF(AND($W330&gt;=0,$W330&lt;=Constants!$B$21,$W330=INT($W330)),$W330,""),"")))</f>
        <v/>
      </c>
      <c r="BC330" s="100" t="str">
        <f aca="false">IF(ISBLANK($C330),"",IF(ISBLANK($X330),0,IF(ISNUMBER($X330),IF($X330&gt;=0,$X330,""),"")))</f>
        <v/>
      </c>
      <c r="BD330" s="100" t="str">
        <f aca="false">IF(ISBLANK($C330),"",IF($Y330=Constants!$B$2,TRUE(),IF($Y330=Constants!$B$3,FALSE(),TRUE())))</f>
        <v/>
      </c>
      <c r="BE330" s="100" t="str">
        <f aca="false">IF(ISBLANK($C330),"",IF($Z330=Constants!$B$2,TRUE(),IF($Z330=Constants!$B$3,FALSE(),FALSE())))</f>
        <v/>
      </c>
      <c r="BF330" s="100" t="str">
        <f aca="false">IF(ISBLANK($C330),"",IF(ISBLANK($AA330),0,IF(ISNUMBER($AA330),IF(AND($AA330&gt;=0,$AA330&lt;=Constants!$B$35,$AA330=INT($AA330)),$AA330,""),"")))</f>
        <v/>
      </c>
      <c r="BG330" s="100" t="str">
        <f aca="false">IF(ISBLANK($C330),"",IF($AB330=Constants!$B$2,TRUE(),IF($AB330=Constants!$B$3,FALSE(),TRUE())))</f>
        <v/>
      </c>
      <c r="BH330" s="100" t="str">
        <f aca="false">IF(ISBLANK($C330),"",IF($AC330=Constants!$B$2,TRUE(),IF($AC330=Constants!$B$3,FALSE(),TRUE())))</f>
        <v/>
      </c>
      <c r="BI330" s="100" t="str">
        <f aca="false">IF(ISBLANK($C330),"",IF($AD330=Constants!$B$2,TRUE(),IF($AD330=Constants!$B$3,FALSE(),TRUE())))</f>
        <v/>
      </c>
      <c r="BJ330" s="100" t="str">
        <f aca="false">IF(ISBLANK($C330),"",IF(ISNUMBER($AE330),IF($AE330&gt;=0,$AE330,""),""))</f>
        <v/>
      </c>
      <c r="BK330" s="100" t="str">
        <f aca="false">IF(ISBLANK($C330),"",IF($AF330=Constants!$B$2,TRUE(),IF($AF330=Constants!$B$3,FALSE(),FALSE())))</f>
        <v/>
      </c>
      <c r="BL330" s="99" t="str">
        <f aca="false">IF(ISBLANK($C330),"",IF($BK330,Constants!$B$7,IF(COUNTA($E330:$AE330)=0,Constants!$B$6,IF(OR(COUNTA($G330:$AE330)=0,NOT($AM330),$AS330),Constants!$B$5,IF(OR($CM330&lt;&gt;"",$CN330,$CO330,$CP330,$CQ330,$CR330,$CS330),Constants!$B$8,Constants!$B$4)))))</f>
        <v/>
      </c>
      <c r="BM330" s="100" t="str">
        <f aca="false">IF(ISBLANK($C330),"",IF($BL330&lt;&gt;Constants!$B$4,$BL330,IF(OR(NOT($AJ330),NOT($AL330),NOT($AT330)),Constants!$B$11,IF(OR(NOT($AR330),NOT($AU330),NOT($BI330),MAX($AN330,$AO330,$AP330)&gt;Constants!$B$30),Constants!$B$10,Constants!$B$9))))</f>
        <v/>
      </c>
      <c r="BN330" s="100" t="str">
        <f aca="false">IF($BL330&lt;&gt;Constants!$B$4,"",IF(NOT($AL330),0,MIN(Constants!$B$35,$BF330)))</f>
        <v/>
      </c>
      <c r="BO330" s="100" t="str">
        <f aca="false">IF($BL330&lt;&gt;Constants!$B$4,"",IF(NOT($AL330),0,IF($AW330,Constants!$B$18,IF($AV330,Constants!$B$17,0))))</f>
        <v/>
      </c>
      <c r="BP330" s="100" t="str">
        <f aca="false">IF($BL330&lt;&gt;Constants!$B$4,"",IF(NOT($AL330),0,Constants!$B$19*($AK330+$AX330+$AY330+$AZ330)))</f>
        <v/>
      </c>
      <c r="BQ330" s="100" t="str">
        <f aca="false">IF($BL330&lt;&gt;Constants!$B$4,"",IF(OR(NOT($AL330),NOT(ISNUMBER($BA330))),0,CHOOSE($BA330,Constants!$B$13,Constants!$B$14,Constants!$B$15,Constants!$B$16)))</f>
        <v/>
      </c>
      <c r="BR330" s="100" t="str">
        <f aca="false">IF($BL330&lt;&gt;Constants!$B$4,"",IF(NOT($AL330),0,Constants!$B$20*$BB330))</f>
        <v/>
      </c>
      <c r="BS330" s="100" t="str">
        <f aca="false">IF($BL330&lt;&gt;Constants!$B$4,"",IF(AND($AL330,$BD330,$BE330),Constants!$B$22,0))</f>
        <v/>
      </c>
      <c r="BT330" s="100" t="str">
        <f aca="false">IF($BL330&lt;&gt;Constants!$B$4,"",IF(OR(NOT($AL330),NOT($BD330)),0,IF($BJ330&gt;=2*$AH$9,0,Constants!$B$23*INT(ROUND(MIN($BJ330,$AH$9),6)))))</f>
        <v/>
      </c>
      <c r="BU330" s="100" t="str">
        <f aca="false">IF($BL330&lt;&gt;Constants!$B$4,"",IF(NOT($AL330),0,Constants!$B$24*INT(ROUND(MIN($BC330,$AH$9),6))))</f>
        <v/>
      </c>
      <c r="BV330" s="100" t="str">
        <f aca="false">IF($BL330&lt;&gt;Constants!$B$4,"",IF(AND($AL330,$BN330=0),Constants!$B$25,0))</f>
        <v/>
      </c>
      <c r="BW330" s="100" t="str">
        <f aca="false">IF($BL330&lt;&gt;Constants!$B$4,"",MIN(Constants!$B$29,MAX(0,Constants!$B$27*Constants!$B$28*INT(ROUND((Constants!$B$26-$AN330)/Constants!$B$28,6))))+MIN(Constants!$B$29,MAX(0,Constants!$B$27*Constants!$B$28*INT(ROUND((Constants!$B$26-$AO330)/Constants!$B$28,6))))+MIN(Constants!$B$29,MAX(0,Constants!$B$27*Constants!$B$28*INT(ROUND((Constants!$B$26-$AP330)/Constants!$B$28,6)))))</f>
        <v/>
      </c>
      <c r="BX330" s="100" t="str">
        <f aca="false">IF($BL330&lt;&gt;Constants!$B$4,"",IF(NOT($AL330),0,Constants!$B$31*INT(ROUND(MAX(0,MIN($BJ330,2*$AH$9)-$AH$9),6))))</f>
        <v/>
      </c>
      <c r="BY330" s="100" t="str">
        <f aca="false">IF($BL330&lt;&gt;Constants!$B$4,"",Constants!$B$32*(($AN330&gt;Constants!$B$26)+($AO330&gt;Constants!$B$26)+($AP330&gt;Constants!$B$26)))</f>
        <v/>
      </c>
      <c r="BZ330" s="100" t="str">
        <f aca="false">IF($BL330&lt;&gt;Constants!$B$4,"",IF(OR(NOT($AL330),$AQ330),0,Constants!$B$33))</f>
        <v/>
      </c>
      <c r="CA330" s="100" t="str">
        <f aca="false">IF($BL330&lt;&gt;Constants!$B$4,"",Constants!$B$34*$BN330)</f>
        <v/>
      </c>
      <c r="CB330" s="100" t="str">
        <f aca="false">IF($BL330&lt;&gt;Constants!$B$4,"",IF(OR(NOT($AL330),$BH330),0,Constants!$B$36))</f>
        <v/>
      </c>
      <c r="CC330" s="100" t="str">
        <f aca="false">IF($BL330&lt;&gt;Constants!$B$4,"",IF(OR(NOT($AL330),$BG330),0,Constants!$B$37))</f>
        <v/>
      </c>
      <c r="CD330" s="100" t="str">
        <f aca="false">IF($BL330&lt;&gt;Constants!$B$4,"",SUM($BX330:$CC330))</f>
        <v/>
      </c>
      <c r="CE330" s="100" t="str">
        <f aca="false">IF(ISBLANK($C330),"",IF($BL330&lt;&gt;Constants!$B$4,$BL330,SUM($BO330:$BW330)-$CD330))</f>
        <v/>
      </c>
      <c r="CF330" s="100" t="str">
        <f aca="false">IF(ISBLANK($C330),"",IF($BL330&lt;&gt;Constants!$B$4,$BL330,RANK($CE330,$CE$9:$CE$508)))</f>
        <v/>
      </c>
      <c r="CG330" s="100" t="str">
        <f aca="false">IF(ISBLANK($C330),"",IF($BL330&lt;&gt;Constants!$B$4,$BL330,COUNTIFS($BM$9:$BM$508,"&lt;"&amp;$BM330)+COUNTIFS($BM$9:$BM$508,$BM330,$CF$9:$CF$508,"&lt;"&amp;$CF330)+1))</f>
        <v/>
      </c>
      <c r="CH330" s="100" t="str">
        <f aca="false">IF(ISBLANK($C330),"",IF($BL330&lt;&gt;Constants!$B$4,$BL330,RANK($CD330,$CD$9:$CD$508,1)))</f>
        <v/>
      </c>
      <c r="CI330" s="100" t="str">
        <f aca="false">IF($BL330&lt;&gt;Constants!$B$4,"",$AN330+$AO330+$AP330)</f>
        <v/>
      </c>
      <c r="CJ330" s="100" t="str">
        <f aca="false">IF(ISBLANK($C330),"",IF($BL330&lt;&gt;Constants!$B$4,$BL330,RANK($CI330,$CI$9:$CI$508,1)))</f>
        <v/>
      </c>
      <c r="CK330" s="100" t="str">
        <f aca="false">IF(ISBLANK($C330),"",IF($BL330&lt;&gt;Constants!$B$4,$BL330,COUNTIFS($BM$9:$BM$508,"&lt;"&amp;$BM330)+COUNTIFS($BM$9:$BM$508,$BM330,$CF$9:$CF$508,"&lt;"&amp;$CF330)+COUNTIFS($BM$9:$BM$508,$BM330,$CF$9:$CF$508,$CF330,$CH$9:$CH$508,"&lt;"&amp;$CH330)+COUNTIFS($BM$9:$BM$508,$BM330,$CF$9:$CF$508,$CF330,$CH$9:$CH$508,$CH330,$CJ$9:$CJ$508,"&lt;"&amp;$CJ330)+1))</f>
        <v/>
      </c>
      <c r="CL330" s="100" t="str">
        <f aca="false">IF(ISBLANK($C330),"",IF($BL330&lt;&gt;Constants!$B$4,$BL330,$CG330-$CK330))</f>
        <v/>
      </c>
      <c r="CM330" s="100" t="str">
        <f aca="false">IF(ISBLANK($C330),"",IF(NOT($AL330),"",IF(ISBLANK($D$7),$CM$5,IF(NOT(ISNUMBER($D$7)),$CM$6,""))))</f>
        <v/>
      </c>
      <c r="CN330" s="100" t="str">
        <f aca="false">IF(ISBLANK($C330),"",OR($AN330="",$AO330="",$AP330=""))</f>
        <v/>
      </c>
      <c r="CO330" s="100" t="str">
        <f aca="false">IF(ISBLANK($C330),"",AND($AL330,$BA330=""))</f>
        <v/>
      </c>
      <c r="CP330" s="100" t="str">
        <f aca="false">IF(ISBLANK($C330),"",AND($AL330,$BB330=""))</f>
        <v/>
      </c>
      <c r="CQ330" s="100" t="str">
        <f aca="false">IF(ISBLANK($C330),"",AND($AL330,$BC330=""))</f>
        <v/>
      </c>
      <c r="CR330" s="100" t="str">
        <f aca="false">IF(ISBLANK($C330),"",AND($AL330,$BF330=""))</f>
        <v/>
      </c>
      <c r="CS330" s="100" t="str">
        <f aca="false">IF(ISBLANK($C330),"",AND($AL330,$BJ330=""))</f>
        <v/>
      </c>
      <c r="CT330" s="101"/>
      <c r="CU330" s="102"/>
      <c r="CV330" s="103" t="str">
        <f aca="false">IF(ISBLANK($C330),"",IF($BL330=Constants!$B$8,$CM330,""))</f>
        <v/>
      </c>
      <c r="CW330" s="102" t="str">
        <f aca="false">IF(ISBLANK($C330),"",IF($BL330&lt;&gt;Constants!$B$4,"",$BO330+$BP330))</f>
        <v/>
      </c>
      <c r="CX330" s="104" t="str">
        <f aca="false">IF(ISBLANK($C330),"",IF($BL330&lt;&gt;Constants!$B$4,"",$BQ330+$BR330+$BS330))</f>
        <v/>
      </c>
      <c r="CY330" s="104" t="str">
        <f aca="false">IF(ISBLANK($C330),"",IF($BL330&lt;&gt;Constants!$B$4,"",$BT330))</f>
        <v/>
      </c>
      <c r="CZ330" s="104" t="str">
        <f aca="false">IF(ISBLANK($C330),"",IF($BL330&lt;&gt;Constants!$B$4,"",$BU330+$BV330))</f>
        <v/>
      </c>
      <c r="DA330" s="104" t="str">
        <f aca="false">IF(ISBLANK($C330),"",IF($BL330&lt;&gt;Constants!$B$4,"",$BW330))</f>
        <v/>
      </c>
      <c r="DB330" s="104" t="str">
        <f aca="false">IF(ISBLANK($C330),"",IF($BL330&lt;&gt;Constants!$B$4,"",-$CD330))</f>
        <v/>
      </c>
      <c r="DC330" s="103" t="str">
        <f aca="false">IF(ISBLANK($C330),"",$CE330)</f>
        <v/>
      </c>
      <c r="DD330" s="105" t="str">
        <f aca="false">IF(ISBLANK($C330),"",$BM330)</f>
        <v/>
      </c>
      <c r="DE330" s="104" t="str">
        <f aca="false">IF(ISBLANK($C330),"",$CL330)</f>
        <v/>
      </c>
      <c r="DF330" s="104" t="str">
        <f aca="false">IF(ISBLANK($C330),"",$CK330)</f>
        <v/>
      </c>
      <c r="DG330" s="106" t="str">
        <f aca="false">IF(ISBLANK($C330),"",IF($DF330=Constants!$B$7,COUNTA($C$9:$C$508)+2,IF($DF330=Constants!$B$6,COUNTA($C$9:$C$508)+1,IF($DF330=Constants!$B$5,COUNTA($C$9:$C$508),$DF330))))</f>
        <v/>
      </c>
      <c r="DH330" s="7"/>
      <c r="DI330" s="107" t="n">
        <f aca="false">IF(OR(ISNUMBER($DF330),$DF330=Constants!$B$7,$DF330=Constants!$B$5,$DF330=Constants!$B$6),1,0)</f>
        <v>0</v>
      </c>
      <c r="DJ330" s="107" t="n">
        <v>322</v>
      </c>
      <c r="DK330" s="107" t="str">
        <f aca="false">IF(ISBLANK($C330),"",IF(ISNUMBER($DG330),$DG330+ROW($B330)/1000,""))</f>
        <v/>
      </c>
      <c r="DL330" s="107" t="str">
        <f aca="false">IF(ISNUMBER($DK330),RANK($DK330,$DK$9:$DK$508,1),"")</f>
        <v/>
      </c>
      <c r="DM330" s="107" t="str">
        <f aca="false">IF(ISBLANK($C330),"",$B330)</f>
        <v/>
      </c>
      <c r="DN330" s="107" t="str">
        <f aca="false">IF(ISBLANK($C330),"",$C330)</f>
        <v/>
      </c>
      <c r="DO330" s="107" t="str">
        <f aca="false">IF(ISBLANK($C330),"",$D330)</f>
        <v/>
      </c>
      <c r="DP330" s="108" t="str">
        <f aca="false">$DD330</f>
        <v/>
      </c>
      <c r="DQ330" s="109" t="str">
        <f aca="false">$DC330</f>
        <v/>
      </c>
      <c r="DR330" s="107" t="str">
        <f aca="false">IF(ISBLANK($C330),"",$DF330)</f>
        <v/>
      </c>
      <c r="DS330" s="110" t="str">
        <f aca="false">IF($DJ330&gt;$DI$8,"",VLOOKUP($DJ330,$DL$9:$DR$508,7,FALSE()))</f>
        <v/>
      </c>
      <c r="DT330" s="111" t="str">
        <f aca="false">IF($DJ330&gt;$DI$8,"",VLOOKUP($DJ330,$DL$9:$DR$508,2,FALSE()))</f>
        <v/>
      </c>
      <c r="DU330" s="111" t="str">
        <f aca="false">IF($DJ330&gt;$DI$8,"",VLOOKUP($DJ330,$DL$9:$DR$508,3,FALSE()))</f>
        <v/>
      </c>
      <c r="DV330" s="111" t="str">
        <f aca="false">IF($DJ330&gt;$DI$8,"",VLOOKUP($DJ330,$DL$9:$DR$508,4,FALSE()))</f>
        <v/>
      </c>
      <c r="DW330" s="111" t="str">
        <f aca="false">IF($DJ330&gt;$DI$8,"",VLOOKUP($DJ330,$DL$9:$DR$508,5,FALSE()))</f>
        <v/>
      </c>
      <c r="DX330" s="112" t="str">
        <f aca="false">IF($DJ330&gt;$DI$8,"",VLOOKUP($DJ330,$DL$9:$DR$508,6,FALSE()))</f>
        <v/>
      </c>
      <c r="DY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130"/>
      <c r="N331" s="130"/>
      <c r="O331" s="135"/>
      <c r="P331" s="135"/>
      <c r="Q331" s="130"/>
      <c r="R331" s="130"/>
      <c r="S331" s="130"/>
      <c r="T331" s="130"/>
      <c r="U331" s="135"/>
      <c r="V331" s="130"/>
      <c r="W331" s="96"/>
      <c r="X331" s="130"/>
      <c r="Y331" s="130"/>
      <c r="Z331" s="96"/>
      <c r="AA331" s="96"/>
      <c r="AB331" s="130"/>
      <c r="AC331" s="130"/>
      <c r="AD331" s="130"/>
      <c r="AE331" s="97"/>
      <c r="AF331" s="130"/>
      <c r="AG331" s="99"/>
      <c r="AH331" s="100"/>
      <c r="AI331" s="100"/>
      <c r="AJ331" s="100" t="str">
        <f aca="false">IF(ISBLANK($C331),"",IF($E331=Constants!$B$2,TRUE(),IF($E331=Constants!$B$3,FALSE(),TRUE())))</f>
        <v/>
      </c>
      <c r="AK331" s="100" t="str">
        <f aca="false">IF(ISBLANK($C331),"",IF($F331=Constants!$B$2,TRUE(),IF($F331=Constants!$B$3,FALSE(),FALSE())))</f>
        <v/>
      </c>
      <c r="AL331" s="100" t="str">
        <f aca="false">IF(ISBLANK($C331),"",IF($G331=Constants!$B$2,TRUE(),IF($G331=Constants!$B$3,FALSE(),TRUE())))</f>
        <v/>
      </c>
      <c r="AM331" s="100" t="str">
        <f aca="false">IF(ISBLANK($C331),"",IF($H331=Constants!$B$2,TRUE(),IF($H331=Constants!$B$3,FALSE(),TRUE())))</f>
        <v/>
      </c>
      <c r="AN331" s="100" t="str">
        <f aca="false">IF(ISBLANK($C331),"",IF(ISNUMBER($I331),IF($I331&gt;=0,$I331,""),""))</f>
        <v/>
      </c>
      <c r="AO331" s="100" t="str">
        <f aca="false">IF(ISBLANK($C331),"",IF(ISNUMBER($J331),IF($J331&gt;=0,$J331,""),""))</f>
        <v/>
      </c>
      <c r="AP331" s="100" t="str">
        <f aca="false">IF(ISBLANK($C331),"",IF(ISNUMBER($K331),IF($K331&gt;=0,$K331,""),""))</f>
        <v/>
      </c>
      <c r="AQ331" s="100" t="str">
        <f aca="false">IF(ISBLANK($C331),"",IF($L331=Constants!$B$2,TRUE(),IF($L331=Constants!$B$3,FALSE(),TRUE())))</f>
        <v/>
      </c>
      <c r="AR331" s="100" t="str">
        <f aca="false">IF(ISBLANK($C331),"",IF($M331=Constants!$B$2,TRUE(),IF($M331=Constants!$B$3,FALSE(),TRUE())))</f>
        <v/>
      </c>
      <c r="AS331" s="100" t="str">
        <f aca="false">IF(ISBLANK($C331),"",IF($N331=Constants!$B$2,TRUE(),IF($N331=Constants!$B$3,FALSE(),FALSE())))</f>
        <v/>
      </c>
      <c r="AT331" s="100" t="str">
        <f aca="false">IF(ISBLANK($C331),"",IF($O331=Constants!$B$2,TRUE(),IF($O331=Constants!$B$3,FALSE(),TRUE())))</f>
        <v/>
      </c>
      <c r="AU331" s="100" t="str">
        <f aca="false">IF(ISBLANK($C331),"",IF($P331=Constants!$B$2,TRUE(),IF($P331=Constants!$B$3,FALSE(),TRUE())))</f>
        <v/>
      </c>
      <c r="AV331" s="100" t="str">
        <f aca="false">IF(ISBLANK($C331),"",IF($Q331=Constants!$B$2,TRUE(),IF($Q331=Constants!$B$3,FALSE(),FALSE())))</f>
        <v/>
      </c>
      <c r="AW331" s="100" t="str">
        <f aca="false">IF(ISBLANK($C331),"",IF($R331=Constants!$B$2,TRUE(),IF($R331=Constants!$B$3,FALSE(),FALSE())))</f>
        <v/>
      </c>
      <c r="AX331" s="100" t="str">
        <f aca="false">IF(ISBLANK($C331),"",IF($S331=Constants!$B$2,TRUE(),IF($S331=Constants!$B$3,FALSE(),FALSE())))</f>
        <v/>
      </c>
      <c r="AY331" s="100" t="str">
        <f aca="false">IF(ISBLANK($C331),"",IF($T331=Constants!$B$2,TRUE(),IF($T331=Constants!$B$3,FALSE(),FALSE())))</f>
        <v/>
      </c>
      <c r="AZ331" s="100" t="str">
        <f aca="false">IF(ISBLANK($C331),"",IF($U331=Constants!$B$2,TRUE(),IF($U331=Constants!$B$3,FALSE(),FALSE())))</f>
        <v/>
      </c>
      <c r="BA331" s="100" t="str">
        <f aca="false">IF(ISBLANK($C331),"",IF(OR($V331&amp;""="1",$V331&amp;""="2",$V331&amp;""="3",$V331&amp;""="4"),VALUE($V331&amp;""),IF($V331=Constants!$B$12,Constants!$B$12,"")))</f>
        <v/>
      </c>
      <c r="BB331" s="100" t="str">
        <f aca="false">IF(ISBLANK($C331),"",IF(ISBLANK($W331),0,IF(ISNUMBER($W331),IF(AND($W331&gt;=0,$W331&lt;=Constants!$B$21,$W331=INT($W331)),$W331,""),"")))</f>
        <v/>
      </c>
      <c r="BC331" s="100" t="str">
        <f aca="false">IF(ISBLANK($C331),"",IF(ISBLANK($X331),0,IF(ISNUMBER($X331),IF($X331&gt;=0,$X331,""),"")))</f>
        <v/>
      </c>
      <c r="BD331" s="100" t="str">
        <f aca="false">IF(ISBLANK($C331),"",IF($Y331=Constants!$B$2,TRUE(),IF($Y331=Constants!$B$3,FALSE(),TRUE())))</f>
        <v/>
      </c>
      <c r="BE331" s="100" t="str">
        <f aca="false">IF(ISBLANK($C331),"",IF($Z331=Constants!$B$2,TRUE(),IF($Z331=Constants!$B$3,FALSE(),FALSE())))</f>
        <v/>
      </c>
      <c r="BF331" s="100" t="str">
        <f aca="false">IF(ISBLANK($C331),"",IF(ISBLANK($AA331),0,IF(ISNUMBER($AA331),IF(AND($AA331&gt;=0,$AA331&lt;=Constants!$B$35,$AA331=INT($AA331)),$AA331,""),"")))</f>
        <v/>
      </c>
      <c r="BG331" s="100" t="str">
        <f aca="false">IF(ISBLANK($C331),"",IF($AB331=Constants!$B$2,TRUE(),IF($AB331=Constants!$B$3,FALSE(),TRUE())))</f>
        <v/>
      </c>
      <c r="BH331" s="100" t="str">
        <f aca="false">IF(ISBLANK($C331),"",IF($AC331=Constants!$B$2,TRUE(),IF($AC331=Constants!$B$3,FALSE(),TRUE())))</f>
        <v/>
      </c>
      <c r="BI331" s="100" t="str">
        <f aca="false">IF(ISBLANK($C331),"",IF($AD331=Constants!$B$2,TRUE(),IF($AD331=Constants!$B$3,FALSE(),TRUE())))</f>
        <v/>
      </c>
      <c r="BJ331" s="100" t="str">
        <f aca="false">IF(ISBLANK($C331),"",IF(ISNUMBER($AE331),IF($AE331&gt;=0,$AE331,""),""))</f>
        <v/>
      </c>
      <c r="BK331" s="100" t="str">
        <f aca="false">IF(ISBLANK($C331),"",IF($AF331=Constants!$B$2,TRUE(),IF($AF331=Constants!$B$3,FALSE(),FALSE())))</f>
        <v/>
      </c>
      <c r="BL331" s="99" t="str">
        <f aca="false">IF(ISBLANK($C331),"",IF($BK331,Constants!$B$7,IF(COUNTA($E331:$AE331)=0,Constants!$B$6,IF(OR(COUNTA($G331:$AE331)=0,NOT($AM331),$AS331),Constants!$B$5,IF(OR($CM331&lt;&gt;"",$CN331,$CO331,$CP331,$CQ331,$CR331,$CS331),Constants!$B$8,Constants!$B$4)))))</f>
        <v/>
      </c>
      <c r="BM331" s="100" t="str">
        <f aca="false">IF(ISBLANK($C331),"",IF($BL331&lt;&gt;Constants!$B$4,$BL331,IF(OR(NOT($AJ331),NOT($AL331),NOT($AT331)),Constants!$B$11,IF(OR(NOT($AR331),NOT($AU331),NOT($BI331),MAX($AN331,$AO331,$AP331)&gt;Constants!$B$30),Constants!$B$10,Constants!$B$9))))</f>
        <v/>
      </c>
      <c r="BN331" s="100" t="str">
        <f aca="false">IF($BL331&lt;&gt;Constants!$B$4,"",IF(NOT($AL331),0,MIN(Constants!$B$35,$BF331)))</f>
        <v/>
      </c>
      <c r="BO331" s="100" t="str">
        <f aca="false">IF($BL331&lt;&gt;Constants!$B$4,"",IF(NOT($AL331),0,IF($AW331,Constants!$B$18,IF($AV331,Constants!$B$17,0))))</f>
        <v/>
      </c>
      <c r="BP331" s="100" t="str">
        <f aca="false">IF($BL331&lt;&gt;Constants!$B$4,"",IF(NOT($AL331),0,Constants!$B$19*($AK331+$AX331+$AY331+$AZ331)))</f>
        <v/>
      </c>
      <c r="BQ331" s="100" t="str">
        <f aca="false">IF($BL331&lt;&gt;Constants!$B$4,"",IF(OR(NOT($AL331),NOT(ISNUMBER($BA331))),0,CHOOSE($BA331,Constants!$B$13,Constants!$B$14,Constants!$B$15,Constants!$B$16)))</f>
        <v/>
      </c>
      <c r="BR331" s="100" t="str">
        <f aca="false">IF($BL331&lt;&gt;Constants!$B$4,"",IF(NOT($AL331),0,Constants!$B$20*$BB331))</f>
        <v/>
      </c>
      <c r="BS331" s="100" t="str">
        <f aca="false">IF($BL331&lt;&gt;Constants!$B$4,"",IF(AND($AL331,$BD331,$BE331),Constants!$B$22,0))</f>
        <v/>
      </c>
      <c r="BT331" s="100" t="str">
        <f aca="false">IF($BL331&lt;&gt;Constants!$B$4,"",IF(OR(NOT($AL331),NOT($BD331)),0,IF($BJ331&gt;=2*$AH$9,0,Constants!$B$23*INT(ROUND(MIN($BJ331,$AH$9),6)))))</f>
        <v/>
      </c>
      <c r="BU331" s="100" t="str">
        <f aca="false">IF($BL331&lt;&gt;Constants!$B$4,"",IF(NOT($AL331),0,Constants!$B$24*INT(ROUND(MIN($BC331,$AH$9),6))))</f>
        <v/>
      </c>
      <c r="BV331" s="100" t="str">
        <f aca="false">IF($BL331&lt;&gt;Constants!$B$4,"",IF(AND($AL331,$BN331=0),Constants!$B$25,0))</f>
        <v/>
      </c>
      <c r="BW331" s="100" t="str">
        <f aca="false">IF($BL331&lt;&gt;Constants!$B$4,"",MIN(Constants!$B$29,MAX(0,Constants!$B$27*Constants!$B$28*INT(ROUND((Constants!$B$26-$AN331)/Constants!$B$28,6))))+MIN(Constants!$B$29,MAX(0,Constants!$B$27*Constants!$B$28*INT(ROUND((Constants!$B$26-$AO331)/Constants!$B$28,6))))+MIN(Constants!$B$29,MAX(0,Constants!$B$27*Constants!$B$28*INT(ROUND((Constants!$B$26-$AP331)/Constants!$B$28,6)))))</f>
        <v/>
      </c>
      <c r="BX331" s="100" t="str">
        <f aca="false">IF($BL331&lt;&gt;Constants!$B$4,"",IF(NOT($AL331),0,Constants!$B$31*INT(ROUND(MAX(0,MIN($BJ331,2*$AH$9)-$AH$9),6))))</f>
        <v/>
      </c>
      <c r="BY331" s="100" t="str">
        <f aca="false">IF($BL331&lt;&gt;Constants!$B$4,"",Constants!$B$32*(($AN331&gt;Constants!$B$26)+($AO331&gt;Constants!$B$26)+($AP331&gt;Constants!$B$26)))</f>
        <v/>
      </c>
      <c r="BZ331" s="100" t="str">
        <f aca="false">IF($BL331&lt;&gt;Constants!$B$4,"",IF(OR(NOT($AL331),$AQ331),0,Constants!$B$33))</f>
        <v/>
      </c>
      <c r="CA331" s="100" t="str">
        <f aca="false">IF($BL331&lt;&gt;Constants!$B$4,"",Constants!$B$34*$BN331)</f>
        <v/>
      </c>
      <c r="CB331" s="100" t="str">
        <f aca="false">IF($BL331&lt;&gt;Constants!$B$4,"",IF(OR(NOT($AL331),$BH331),0,Constants!$B$36))</f>
        <v/>
      </c>
      <c r="CC331" s="100" t="str">
        <f aca="false">IF($BL331&lt;&gt;Constants!$B$4,"",IF(OR(NOT($AL331),$BG331),0,Constants!$B$37))</f>
        <v/>
      </c>
      <c r="CD331" s="100" t="str">
        <f aca="false">IF($BL331&lt;&gt;Constants!$B$4,"",SUM($BX331:$CC331))</f>
        <v/>
      </c>
      <c r="CE331" s="100" t="str">
        <f aca="false">IF(ISBLANK($C331),"",IF($BL331&lt;&gt;Constants!$B$4,$BL331,SUM($BO331:$BW331)-$CD331))</f>
        <v/>
      </c>
      <c r="CF331" s="100" t="str">
        <f aca="false">IF(ISBLANK($C331),"",IF($BL331&lt;&gt;Constants!$B$4,$BL331,RANK($CE331,$CE$9:$CE$508)))</f>
        <v/>
      </c>
      <c r="CG331" s="100" t="str">
        <f aca="false">IF(ISBLANK($C331),"",IF($BL331&lt;&gt;Constants!$B$4,$BL331,COUNTIFS($BM$9:$BM$508,"&lt;"&amp;$BM331)+COUNTIFS($BM$9:$BM$508,$BM331,$CF$9:$CF$508,"&lt;"&amp;$CF331)+1))</f>
        <v/>
      </c>
      <c r="CH331" s="100" t="str">
        <f aca="false">IF(ISBLANK($C331),"",IF($BL331&lt;&gt;Constants!$B$4,$BL331,RANK($CD331,$CD$9:$CD$508,1)))</f>
        <v/>
      </c>
      <c r="CI331" s="100" t="str">
        <f aca="false">IF($BL331&lt;&gt;Constants!$B$4,"",$AN331+$AO331+$AP331)</f>
        <v/>
      </c>
      <c r="CJ331" s="100" t="str">
        <f aca="false">IF(ISBLANK($C331),"",IF($BL331&lt;&gt;Constants!$B$4,$BL331,RANK($CI331,$CI$9:$CI$508,1)))</f>
        <v/>
      </c>
      <c r="CK331" s="100" t="str">
        <f aca="false">IF(ISBLANK($C331),"",IF($BL331&lt;&gt;Constants!$B$4,$BL331,COUNTIFS($BM$9:$BM$508,"&lt;"&amp;$BM331)+COUNTIFS($BM$9:$BM$508,$BM331,$CF$9:$CF$508,"&lt;"&amp;$CF331)+COUNTIFS($BM$9:$BM$508,$BM331,$CF$9:$CF$508,$CF331,$CH$9:$CH$508,"&lt;"&amp;$CH331)+COUNTIFS($BM$9:$BM$508,$BM331,$CF$9:$CF$508,$CF331,$CH$9:$CH$508,$CH331,$CJ$9:$CJ$508,"&lt;"&amp;$CJ331)+1))</f>
        <v/>
      </c>
      <c r="CL331" s="100" t="str">
        <f aca="false">IF(ISBLANK($C331),"",IF($BL331&lt;&gt;Constants!$B$4,$BL331,$CG331-$CK331))</f>
        <v/>
      </c>
      <c r="CM331" s="100" t="str">
        <f aca="false">IF(ISBLANK($C331),"",IF(NOT($AL331),"",IF(ISBLANK($D$7),$CM$5,IF(NOT(ISNUMBER($D$7)),$CM$6,""))))</f>
        <v/>
      </c>
      <c r="CN331" s="100" t="str">
        <f aca="false">IF(ISBLANK($C331),"",OR($AN331="",$AO331="",$AP331=""))</f>
        <v/>
      </c>
      <c r="CO331" s="100" t="str">
        <f aca="false">IF(ISBLANK($C331),"",AND($AL331,$BA331=""))</f>
        <v/>
      </c>
      <c r="CP331" s="100" t="str">
        <f aca="false">IF(ISBLANK($C331),"",AND($AL331,$BB331=""))</f>
        <v/>
      </c>
      <c r="CQ331" s="100" t="str">
        <f aca="false">IF(ISBLANK($C331),"",AND($AL331,$BC331=""))</f>
        <v/>
      </c>
      <c r="CR331" s="100" t="str">
        <f aca="false">IF(ISBLANK($C331),"",AND($AL331,$BF331=""))</f>
        <v/>
      </c>
      <c r="CS331" s="100" t="str">
        <f aca="false">IF(ISBLANK($C331),"",AND($AL331,$BJ331=""))</f>
        <v/>
      </c>
      <c r="CT331" s="101"/>
      <c r="CU331" s="102"/>
      <c r="CV331" s="103" t="str">
        <f aca="false">IF(ISBLANK($C331),"",IF($BL331=Constants!$B$8,$CM331,""))</f>
        <v/>
      </c>
      <c r="CW331" s="102" t="str">
        <f aca="false">IF(ISBLANK($C331),"",IF($BL331&lt;&gt;Constants!$B$4,"",$BO331+$BP331))</f>
        <v/>
      </c>
      <c r="CX331" s="104" t="str">
        <f aca="false">IF(ISBLANK($C331),"",IF($BL331&lt;&gt;Constants!$B$4,"",$BQ331+$BR331+$BS331))</f>
        <v/>
      </c>
      <c r="CY331" s="104" t="str">
        <f aca="false">IF(ISBLANK($C331),"",IF($BL331&lt;&gt;Constants!$B$4,"",$BT331))</f>
        <v/>
      </c>
      <c r="CZ331" s="104" t="str">
        <f aca="false">IF(ISBLANK($C331),"",IF($BL331&lt;&gt;Constants!$B$4,"",$BU331+$BV331))</f>
        <v/>
      </c>
      <c r="DA331" s="104" t="str">
        <f aca="false">IF(ISBLANK($C331),"",IF($BL331&lt;&gt;Constants!$B$4,"",$BW331))</f>
        <v/>
      </c>
      <c r="DB331" s="104" t="str">
        <f aca="false">IF(ISBLANK($C331),"",IF($BL331&lt;&gt;Constants!$B$4,"",-$CD331))</f>
        <v/>
      </c>
      <c r="DC331" s="103" t="str">
        <f aca="false">IF(ISBLANK($C331),"",$CE331)</f>
        <v/>
      </c>
      <c r="DD331" s="105" t="str">
        <f aca="false">IF(ISBLANK($C331),"",$BM331)</f>
        <v/>
      </c>
      <c r="DE331" s="104" t="str">
        <f aca="false">IF(ISBLANK($C331),"",$CL331)</f>
        <v/>
      </c>
      <c r="DF331" s="104" t="str">
        <f aca="false">IF(ISBLANK($C331),"",$CK331)</f>
        <v/>
      </c>
      <c r="DG331" s="106" t="str">
        <f aca="false">IF(ISBLANK($C331),"",IF($DF331=Constants!$B$7,COUNTA($C$9:$C$508)+2,IF($DF331=Constants!$B$6,COUNTA($C$9:$C$508)+1,IF($DF331=Constants!$B$5,COUNTA($C$9:$C$508),$DF331))))</f>
        <v/>
      </c>
      <c r="DH331" s="7"/>
      <c r="DI331" s="107" t="n">
        <f aca="false">IF(OR(ISNUMBER($DF331),$DF331=Constants!$B$7,$DF331=Constants!$B$5,$DF331=Constants!$B$6),1,0)</f>
        <v>0</v>
      </c>
      <c r="DJ331" s="107" t="n">
        <v>323</v>
      </c>
      <c r="DK331" s="107" t="str">
        <f aca="false">IF(ISBLANK($C331),"",IF(ISNUMBER($DG331),$DG331+ROW($B331)/1000,""))</f>
        <v/>
      </c>
      <c r="DL331" s="107" t="str">
        <f aca="false">IF(ISNUMBER($DK331),RANK($DK331,$DK$9:$DK$508,1),"")</f>
        <v/>
      </c>
      <c r="DM331" s="107" t="str">
        <f aca="false">IF(ISBLANK($C331),"",$B331)</f>
        <v/>
      </c>
      <c r="DN331" s="107" t="str">
        <f aca="false">IF(ISBLANK($C331),"",$C331)</f>
        <v/>
      </c>
      <c r="DO331" s="107" t="str">
        <f aca="false">IF(ISBLANK($C331),"",$D331)</f>
        <v/>
      </c>
      <c r="DP331" s="108" t="str">
        <f aca="false">$DD331</f>
        <v/>
      </c>
      <c r="DQ331" s="109" t="str">
        <f aca="false">$DC331</f>
        <v/>
      </c>
      <c r="DR331" s="107" t="str">
        <f aca="false">IF(ISBLANK($C331),"",$DF331)</f>
        <v/>
      </c>
      <c r="DS331" s="110" t="str">
        <f aca="false">IF($DJ331&gt;$DI$8,"",VLOOKUP($DJ331,$DL$9:$DR$508,7,FALSE()))</f>
        <v/>
      </c>
      <c r="DT331" s="111" t="str">
        <f aca="false">IF($DJ331&gt;$DI$8,"",VLOOKUP($DJ331,$DL$9:$DR$508,2,FALSE()))</f>
        <v/>
      </c>
      <c r="DU331" s="111" t="str">
        <f aca="false">IF($DJ331&gt;$DI$8,"",VLOOKUP($DJ331,$DL$9:$DR$508,3,FALSE()))</f>
        <v/>
      </c>
      <c r="DV331" s="111" t="str">
        <f aca="false">IF($DJ331&gt;$DI$8,"",VLOOKUP($DJ331,$DL$9:$DR$508,4,FALSE()))</f>
        <v/>
      </c>
      <c r="DW331" s="111" t="str">
        <f aca="false">IF($DJ331&gt;$DI$8,"",VLOOKUP($DJ331,$DL$9:$DR$508,5,FALSE()))</f>
        <v/>
      </c>
      <c r="DX331" s="112" t="str">
        <f aca="false">IF($DJ331&gt;$DI$8,"",VLOOKUP($DJ331,$DL$9:$DR$508,6,FALSE()))</f>
        <v/>
      </c>
      <c r="DY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130"/>
      <c r="N332" s="130"/>
      <c r="O332" s="135"/>
      <c r="P332" s="135"/>
      <c r="Q332" s="130"/>
      <c r="R332" s="130"/>
      <c r="S332" s="130"/>
      <c r="T332" s="130"/>
      <c r="U332" s="135"/>
      <c r="V332" s="130"/>
      <c r="W332" s="96"/>
      <c r="X332" s="130"/>
      <c r="Y332" s="130"/>
      <c r="Z332" s="96"/>
      <c r="AA332" s="96"/>
      <c r="AB332" s="130"/>
      <c r="AC332" s="130"/>
      <c r="AD332" s="130"/>
      <c r="AE332" s="97"/>
      <c r="AF332" s="130"/>
      <c r="AG332" s="99"/>
      <c r="AH332" s="100"/>
      <c r="AI332" s="100"/>
      <c r="AJ332" s="100" t="str">
        <f aca="false">IF(ISBLANK($C332),"",IF($E332=Constants!$B$2,TRUE(),IF($E332=Constants!$B$3,FALSE(),TRUE())))</f>
        <v/>
      </c>
      <c r="AK332" s="100" t="str">
        <f aca="false">IF(ISBLANK($C332),"",IF($F332=Constants!$B$2,TRUE(),IF($F332=Constants!$B$3,FALSE(),FALSE())))</f>
        <v/>
      </c>
      <c r="AL332" s="100" t="str">
        <f aca="false">IF(ISBLANK($C332),"",IF($G332=Constants!$B$2,TRUE(),IF($G332=Constants!$B$3,FALSE(),TRUE())))</f>
        <v/>
      </c>
      <c r="AM332" s="100" t="str">
        <f aca="false">IF(ISBLANK($C332),"",IF($H332=Constants!$B$2,TRUE(),IF($H332=Constants!$B$3,FALSE(),TRUE())))</f>
        <v/>
      </c>
      <c r="AN332" s="100" t="str">
        <f aca="false">IF(ISBLANK($C332),"",IF(ISNUMBER($I332),IF($I332&gt;=0,$I332,""),""))</f>
        <v/>
      </c>
      <c r="AO332" s="100" t="str">
        <f aca="false">IF(ISBLANK($C332),"",IF(ISNUMBER($J332),IF($J332&gt;=0,$J332,""),""))</f>
        <v/>
      </c>
      <c r="AP332" s="100" t="str">
        <f aca="false">IF(ISBLANK($C332),"",IF(ISNUMBER($K332),IF($K332&gt;=0,$K332,""),""))</f>
        <v/>
      </c>
      <c r="AQ332" s="100" t="str">
        <f aca="false">IF(ISBLANK($C332),"",IF($L332=Constants!$B$2,TRUE(),IF($L332=Constants!$B$3,FALSE(),TRUE())))</f>
        <v/>
      </c>
      <c r="AR332" s="100" t="str">
        <f aca="false">IF(ISBLANK($C332),"",IF($M332=Constants!$B$2,TRUE(),IF($M332=Constants!$B$3,FALSE(),TRUE())))</f>
        <v/>
      </c>
      <c r="AS332" s="100" t="str">
        <f aca="false">IF(ISBLANK($C332),"",IF($N332=Constants!$B$2,TRUE(),IF($N332=Constants!$B$3,FALSE(),FALSE())))</f>
        <v/>
      </c>
      <c r="AT332" s="100" t="str">
        <f aca="false">IF(ISBLANK($C332),"",IF($O332=Constants!$B$2,TRUE(),IF($O332=Constants!$B$3,FALSE(),TRUE())))</f>
        <v/>
      </c>
      <c r="AU332" s="100" t="str">
        <f aca="false">IF(ISBLANK($C332),"",IF($P332=Constants!$B$2,TRUE(),IF($P332=Constants!$B$3,FALSE(),TRUE())))</f>
        <v/>
      </c>
      <c r="AV332" s="100" t="str">
        <f aca="false">IF(ISBLANK($C332),"",IF($Q332=Constants!$B$2,TRUE(),IF($Q332=Constants!$B$3,FALSE(),FALSE())))</f>
        <v/>
      </c>
      <c r="AW332" s="100" t="str">
        <f aca="false">IF(ISBLANK($C332),"",IF($R332=Constants!$B$2,TRUE(),IF($R332=Constants!$B$3,FALSE(),FALSE())))</f>
        <v/>
      </c>
      <c r="AX332" s="100" t="str">
        <f aca="false">IF(ISBLANK($C332),"",IF($S332=Constants!$B$2,TRUE(),IF($S332=Constants!$B$3,FALSE(),FALSE())))</f>
        <v/>
      </c>
      <c r="AY332" s="100" t="str">
        <f aca="false">IF(ISBLANK($C332),"",IF($T332=Constants!$B$2,TRUE(),IF($T332=Constants!$B$3,FALSE(),FALSE())))</f>
        <v/>
      </c>
      <c r="AZ332" s="100" t="str">
        <f aca="false">IF(ISBLANK($C332),"",IF($U332=Constants!$B$2,TRUE(),IF($U332=Constants!$B$3,FALSE(),FALSE())))</f>
        <v/>
      </c>
      <c r="BA332" s="100" t="str">
        <f aca="false">IF(ISBLANK($C332),"",IF(OR($V332&amp;""="1",$V332&amp;""="2",$V332&amp;""="3",$V332&amp;""="4"),VALUE($V332&amp;""),IF($V332=Constants!$B$12,Constants!$B$12,"")))</f>
        <v/>
      </c>
      <c r="BB332" s="100" t="str">
        <f aca="false">IF(ISBLANK($C332),"",IF(ISBLANK($W332),0,IF(ISNUMBER($W332),IF(AND($W332&gt;=0,$W332&lt;=Constants!$B$21,$W332=INT($W332)),$W332,""),"")))</f>
        <v/>
      </c>
      <c r="BC332" s="100" t="str">
        <f aca="false">IF(ISBLANK($C332),"",IF(ISBLANK($X332),0,IF(ISNUMBER($X332),IF($X332&gt;=0,$X332,""),"")))</f>
        <v/>
      </c>
      <c r="BD332" s="100" t="str">
        <f aca="false">IF(ISBLANK($C332),"",IF($Y332=Constants!$B$2,TRUE(),IF($Y332=Constants!$B$3,FALSE(),TRUE())))</f>
        <v/>
      </c>
      <c r="BE332" s="100" t="str">
        <f aca="false">IF(ISBLANK($C332),"",IF($Z332=Constants!$B$2,TRUE(),IF($Z332=Constants!$B$3,FALSE(),FALSE())))</f>
        <v/>
      </c>
      <c r="BF332" s="100" t="str">
        <f aca="false">IF(ISBLANK($C332),"",IF(ISBLANK($AA332),0,IF(ISNUMBER($AA332),IF(AND($AA332&gt;=0,$AA332&lt;=Constants!$B$35,$AA332=INT($AA332)),$AA332,""),"")))</f>
        <v/>
      </c>
      <c r="BG332" s="100" t="str">
        <f aca="false">IF(ISBLANK($C332),"",IF($AB332=Constants!$B$2,TRUE(),IF($AB332=Constants!$B$3,FALSE(),TRUE())))</f>
        <v/>
      </c>
      <c r="BH332" s="100" t="str">
        <f aca="false">IF(ISBLANK($C332),"",IF($AC332=Constants!$B$2,TRUE(),IF($AC332=Constants!$B$3,FALSE(),TRUE())))</f>
        <v/>
      </c>
      <c r="BI332" s="100" t="str">
        <f aca="false">IF(ISBLANK($C332),"",IF($AD332=Constants!$B$2,TRUE(),IF($AD332=Constants!$B$3,FALSE(),TRUE())))</f>
        <v/>
      </c>
      <c r="BJ332" s="100" t="str">
        <f aca="false">IF(ISBLANK($C332),"",IF(ISNUMBER($AE332),IF($AE332&gt;=0,$AE332,""),""))</f>
        <v/>
      </c>
      <c r="BK332" s="100" t="str">
        <f aca="false">IF(ISBLANK($C332),"",IF($AF332=Constants!$B$2,TRUE(),IF($AF332=Constants!$B$3,FALSE(),FALSE())))</f>
        <v/>
      </c>
      <c r="BL332" s="99" t="str">
        <f aca="false">IF(ISBLANK($C332),"",IF($BK332,Constants!$B$7,IF(COUNTA($E332:$AE332)=0,Constants!$B$6,IF(OR(COUNTA($G332:$AE332)=0,NOT($AM332),$AS332),Constants!$B$5,IF(OR($CM332&lt;&gt;"",$CN332,$CO332,$CP332,$CQ332,$CR332,$CS332),Constants!$B$8,Constants!$B$4)))))</f>
        <v/>
      </c>
      <c r="BM332" s="100" t="str">
        <f aca="false">IF(ISBLANK($C332),"",IF($BL332&lt;&gt;Constants!$B$4,$BL332,IF(OR(NOT($AJ332),NOT($AL332),NOT($AT332)),Constants!$B$11,IF(OR(NOT($AR332),NOT($AU332),NOT($BI332),MAX($AN332,$AO332,$AP332)&gt;Constants!$B$30),Constants!$B$10,Constants!$B$9))))</f>
        <v/>
      </c>
      <c r="BN332" s="100" t="str">
        <f aca="false">IF($BL332&lt;&gt;Constants!$B$4,"",IF(NOT($AL332),0,MIN(Constants!$B$35,$BF332)))</f>
        <v/>
      </c>
      <c r="BO332" s="100" t="str">
        <f aca="false">IF($BL332&lt;&gt;Constants!$B$4,"",IF(NOT($AL332),0,IF($AW332,Constants!$B$18,IF($AV332,Constants!$B$17,0))))</f>
        <v/>
      </c>
      <c r="BP332" s="100" t="str">
        <f aca="false">IF($BL332&lt;&gt;Constants!$B$4,"",IF(NOT($AL332),0,Constants!$B$19*($AK332+$AX332+$AY332+$AZ332)))</f>
        <v/>
      </c>
      <c r="BQ332" s="100" t="str">
        <f aca="false">IF($BL332&lt;&gt;Constants!$B$4,"",IF(OR(NOT($AL332),NOT(ISNUMBER($BA332))),0,CHOOSE($BA332,Constants!$B$13,Constants!$B$14,Constants!$B$15,Constants!$B$16)))</f>
        <v/>
      </c>
      <c r="BR332" s="100" t="str">
        <f aca="false">IF($BL332&lt;&gt;Constants!$B$4,"",IF(NOT($AL332),0,Constants!$B$20*$BB332))</f>
        <v/>
      </c>
      <c r="BS332" s="100" t="str">
        <f aca="false">IF($BL332&lt;&gt;Constants!$B$4,"",IF(AND($AL332,$BD332,$BE332),Constants!$B$22,0))</f>
        <v/>
      </c>
      <c r="BT332" s="100" t="str">
        <f aca="false">IF($BL332&lt;&gt;Constants!$B$4,"",IF(OR(NOT($AL332),NOT($BD332)),0,IF($BJ332&gt;=2*$AH$9,0,Constants!$B$23*INT(ROUND(MIN($BJ332,$AH$9),6)))))</f>
        <v/>
      </c>
      <c r="BU332" s="100" t="str">
        <f aca="false">IF($BL332&lt;&gt;Constants!$B$4,"",IF(NOT($AL332),0,Constants!$B$24*INT(ROUND(MIN($BC332,$AH$9),6))))</f>
        <v/>
      </c>
      <c r="BV332" s="100" t="str">
        <f aca="false">IF($BL332&lt;&gt;Constants!$B$4,"",IF(AND($AL332,$BN332=0),Constants!$B$25,0))</f>
        <v/>
      </c>
      <c r="BW332" s="100" t="str">
        <f aca="false">IF($BL332&lt;&gt;Constants!$B$4,"",MIN(Constants!$B$29,MAX(0,Constants!$B$27*Constants!$B$28*INT(ROUND((Constants!$B$26-$AN332)/Constants!$B$28,6))))+MIN(Constants!$B$29,MAX(0,Constants!$B$27*Constants!$B$28*INT(ROUND((Constants!$B$26-$AO332)/Constants!$B$28,6))))+MIN(Constants!$B$29,MAX(0,Constants!$B$27*Constants!$B$28*INT(ROUND((Constants!$B$26-$AP332)/Constants!$B$28,6)))))</f>
        <v/>
      </c>
      <c r="BX332" s="100" t="str">
        <f aca="false">IF($BL332&lt;&gt;Constants!$B$4,"",IF(NOT($AL332),0,Constants!$B$31*INT(ROUND(MAX(0,MIN($BJ332,2*$AH$9)-$AH$9),6))))</f>
        <v/>
      </c>
      <c r="BY332" s="100" t="str">
        <f aca="false">IF($BL332&lt;&gt;Constants!$B$4,"",Constants!$B$32*(($AN332&gt;Constants!$B$26)+($AO332&gt;Constants!$B$26)+($AP332&gt;Constants!$B$26)))</f>
        <v/>
      </c>
      <c r="BZ332" s="100" t="str">
        <f aca="false">IF($BL332&lt;&gt;Constants!$B$4,"",IF(OR(NOT($AL332),$AQ332),0,Constants!$B$33))</f>
        <v/>
      </c>
      <c r="CA332" s="100" t="str">
        <f aca="false">IF($BL332&lt;&gt;Constants!$B$4,"",Constants!$B$34*$BN332)</f>
        <v/>
      </c>
      <c r="CB332" s="100" t="str">
        <f aca="false">IF($BL332&lt;&gt;Constants!$B$4,"",IF(OR(NOT($AL332),$BH332),0,Constants!$B$36))</f>
        <v/>
      </c>
      <c r="CC332" s="100" t="str">
        <f aca="false">IF($BL332&lt;&gt;Constants!$B$4,"",IF(OR(NOT($AL332),$BG332),0,Constants!$B$37))</f>
        <v/>
      </c>
      <c r="CD332" s="100" t="str">
        <f aca="false">IF($BL332&lt;&gt;Constants!$B$4,"",SUM($BX332:$CC332))</f>
        <v/>
      </c>
      <c r="CE332" s="100" t="str">
        <f aca="false">IF(ISBLANK($C332),"",IF($BL332&lt;&gt;Constants!$B$4,$BL332,SUM($BO332:$BW332)-$CD332))</f>
        <v/>
      </c>
      <c r="CF332" s="100" t="str">
        <f aca="false">IF(ISBLANK($C332),"",IF($BL332&lt;&gt;Constants!$B$4,$BL332,RANK($CE332,$CE$9:$CE$508)))</f>
        <v/>
      </c>
      <c r="CG332" s="100" t="str">
        <f aca="false">IF(ISBLANK($C332),"",IF($BL332&lt;&gt;Constants!$B$4,$BL332,COUNTIFS($BM$9:$BM$508,"&lt;"&amp;$BM332)+COUNTIFS($BM$9:$BM$508,$BM332,$CF$9:$CF$508,"&lt;"&amp;$CF332)+1))</f>
        <v/>
      </c>
      <c r="CH332" s="100" t="str">
        <f aca="false">IF(ISBLANK($C332),"",IF($BL332&lt;&gt;Constants!$B$4,$BL332,RANK($CD332,$CD$9:$CD$508,1)))</f>
        <v/>
      </c>
      <c r="CI332" s="100" t="str">
        <f aca="false">IF($BL332&lt;&gt;Constants!$B$4,"",$AN332+$AO332+$AP332)</f>
        <v/>
      </c>
      <c r="CJ332" s="100" t="str">
        <f aca="false">IF(ISBLANK($C332),"",IF($BL332&lt;&gt;Constants!$B$4,$BL332,RANK($CI332,$CI$9:$CI$508,1)))</f>
        <v/>
      </c>
      <c r="CK332" s="100" t="str">
        <f aca="false">IF(ISBLANK($C332),"",IF($BL332&lt;&gt;Constants!$B$4,$BL332,COUNTIFS($BM$9:$BM$508,"&lt;"&amp;$BM332)+COUNTIFS($BM$9:$BM$508,$BM332,$CF$9:$CF$508,"&lt;"&amp;$CF332)+COUNTIFS($BM$9:$BM$508,$BM332,$CF$9:$CF$508,$CF332,$CH$9:$CH$508,"&lt;"&amp;$CH332)+COUNTIFS($BM$9:$BM$508,$BM332,$CF$9:$CF$508,$CF332,$CH$9:$CH$508,$CH332,$CJ$9:$CJ$508,"&lt;"&amp;$CJ332)+1))</f>
        <v/>
      </c>
      <c r="CL332" s="100" t="str">
        <f aca="false">IF(ISBLANK($C332),"",IF($BL332&lt;&gt;Constants!$B$4,$BL332,$CG332-$CK332))</f>
        <v/>
      </c>
      <c r="CM332" s="100" t="str">
        <f aca="false">IF(ISBLANK($C332),"",IF(NOT($AL332),"",IF(ISBLANK($D$7),$CM$5,IF(NOT(ISNUMBER($D$7)),$CM$6,""))))</f>
        <v/>
      </c>
      <c r="CN332" s="100" t="str">
        <f aca="false">IF(ISBLANK($C332),"",OR($AN332="",$AO332="",$AP332=""))</f>
        <v/>
      </c>
      <c r="CO332" s="100" t="str">
        <f aca="false">IF(ISBLANK($C332),"",AND($AL332,$BA332=""))</f>
        <v/>
      </c>
      <c r="CP332" s="100" t="str">
        <f aca="false">IF(ISBLANK($C332),"",AND($AL332,$BB332=""))</f>
        <v/>
      </c>
      <c r="CQ332" s="100" t="str">
        <f aca="false">IF(ISBLANK($C332),"",AND($AL332,$BC332=""))</f>
        <v/>
      </c>
      <c r="CR332" s="100" t="str">
        <f aca="false">IF(ISBLANK($C332),"",AND($AL332,$BF332=""))</f>
        <v/>
      </c>
      <c r="CS332" s="100" t="str">
        <f aca="false">IF(ISBLANK($C332),"",AND($AL332,$BJ332=""))</f>
        <v/>
      </c>
      <c r="CT332" s="101"/>
      <c r="CU332" s="102"/>
      <c r="CV332" s="103" t="str">
        <f aca="false">IF(ISBLANK($C332),"",IF($BL332=Constants!$B$8,$CM332,""))</f>
        <v/>
      </c>
      <c r="CW332" s="102" t="str">
        <f aca="false">IF(ISBLANK($C332),"",IF($BL332&lt;&gt;Constants!$B$4,"",$BO332+$BP332))</f>
        <v/>
      </c>
      <c r="CX332" s="104" t="str">
        <f aca="false">IF(ISBLANK($C332),"",IF($BL332&lt;&gt;Constants!$B$4,"",$BQ332+$BR332+$BS332))</f>
        <v/>
      </c>
      <c r="CY332" s="104" t="str">
        <f aca="false">IF(ISBLANK($C332),"",IF($BL332&lt;&gt;Constants!$B$4,"",$BT332))</f>
        <v/>
      </c>
      <c r="CZ332" s="104" t="str">
        <f aca="false">IF(ISBLANK($C332),"",IF($BL332&lt;&gt;Constants!$B$4,"",$BU332+$BV332))</f>
        <v/>
      </c>
      <c r="DA332" s="104" t="str">
        <f aca="false">IF(ISBLANK($C332),"",IF($BL332&lt;&gt;Constants!$B$4,"",$BW332))</f>
        <v/>
      </c>
      <c r="DB332" s="104" t="str">
        <f aca="false">IF(ISBLANK($C332),"",IF($BL332&lt;&gt;Constants!$B$4,"",-$CD332))</f>
        <v/>
      </c>
      <c r="DC332" s="103" t="str">
        <f aca="false">IF(ISBLANK($C332),"",$CE332)</f>
        <v/>
      </c>
      <c r="DD332" s="105" t="str">
        <f aca="false">IF(ISBLANK($C332),"",$BM332)</f>
        <v/>
      </c>
      <c r="DE332" s="104" t="str">
        <f aca="false">IF(ISBLANK($C332),"",$CL332)</f>
        <v/>
      </c>
      <c r="DF332" s="104" t="str">
        <f aca="false">IF(ISBLANK($C332),"",$CK332)</f>
        <v/>
      </c>
      <c r="DG332" s="106" t="str">
        <f aca="false">IF(ISBLANK($C332),"",IF($DF332=Constants!$B$7,COUNTA($C$9:$C$508)+2,IF($DF332=Constants!$B$6,COUNTA($C$9:$C$508)+1,IF($DF332=Constants!$B$5,COUNTA($C$9:$C$508),$DF332))))</f>
        <v/>
      </c>
      <c r="DH332" s="7"/>
      <c r="DI332" s="107" t="n">
        <f aca="false">IF(OR(ISNUMBER($DF332),$DF332=Constants!$B$7,$DF332=Constants!$B$5,$DF332=Constants!$B$6),1,0)</f>
        <v>0</v>
      </c>
      <c r="DJ332" s="107" t="n">
        <v>324</v>
      </c>
      <c r="DK332" s="107" t="str">
        <f aca="false">IF(ISBLANK($C332),"",IF(ISNUMBER($DG332),$DG332+ROW($B332)/1000,""))</f>
        <v/>
      </c>
      <c r="DL332" s="107" t="str">
        <f aca="false">IF(ISNUMBER($DK332),RANK($DK332,$DK$9:$DK$508,1),"")</f>
        <v/>
      </c>
      <c r="DM332" s="107" t="str">
        <f aca="false">IF(ISBLANK($C332),"",$B332)</f>
        <v/>
      </c>
      <c r="DN332" s="107" t="str">
        <f aca="false">IF(ISBLANK($C332),"",$C332)</f>
        <v/>
      </c>
      <c r="DO332" s="107" t="str">
        <f aca="false">IF(ISBLANK($C332),"",$D332)</f>
        <v/>
      </c>
      <c r="DP332" s="108" t="str">
        <f aca="false">$DD332</f>
        <v/>
      </c>
      <c r="DQ332" s="109" t="str">
        <f aca="false">$DC332</f>
        <v/>
      </c>
      <c r="DR332" s="107" t="str">
        <f aca="false">IF(ISBLANK($C332),"",$DF332)</f>
        <v/>
      </c>
      <c r="DS332" s="110" t="str">
        <f aca="false">IF($DJ332&gt;$DI$8,"",VLOOKUP($DJ332,$DL$9:$DR$508,7,FALSE()))</f>
        <v/>
      </c>
      <c r="DT332" s="111" t="str">
        <f aca="false">IF($DJ332&gt;$DI$8,"",VLOOKUP($DJ332,$DL$9:$DR$508,2,FALSE()))</f>
        <v/>
      </c>
      <c r="DU332" s="111" t="str">
        <f aca="false">IF($DJ332&gt;$DI$8,"",VLOOKUP($DJ332,$DL$9:$DR$508,3,FALSE()))</f>
        <v/>
      </c>
      <c r="DV332" s="111" t="str">
        <f aca="false">IF($DJ332&gt;$DI$8,"",VLOOKUP($DJ332,$DL$9:$DR$508,4,FALSE()))</f>
        <v/>
      </c>
      <c r="DW332" s="111" t="str">
        <f aca="false">IF($DJ332&gt;$DI$8,"",VLOOKUP($DJ332,$DL$9:$DR$508,5,FALSE()))</f>
        <v/>
      </c>
      <c r="DX332" s="112" t="str">
        <f aca="false">IF($DJ332&gt;$DI$8,"",VLOOKUP($DJ332,$DL$9:$DR$508,6,FALSE()))</f>
        <v/>
      </c>
      <c r="DY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88"/>
      <c r="N333" s="88"/>
      <c r="O333" s="134"/>
      <c r="P333" s="134"/>
      <c r="Q333" s="88"/>
      <c r="R333" s="88"/>
      <c r="S333" s="88"/>
      <c r="T333" s="88"/>
      <c r="U333" s="134"/>
      <c r="V333" s="88"/>
      <c r="W333" s="70"/>
      <c r="X333" s="88"/>
      <c r="Y333" s="88"/>
      <c r="Z333" s="70"/>
      <c r="AA333" s="70"/>
      <c r="AB333" s="88"/>
      <c r="AC333" s="88"/>
      <c r="AD333" s="88"/>
      <c r="AE333" s="71"/>
      <c r="AF333" s="88"/>
      <c r="AG333" s="73"/>
      <c r="AH333" s="74"/>
      <c r="AI333" s="74"/>
      <c r="AJ333" s="74" t="str">
        <f aca="false">IF(ISBLANK($C333),"",IF($E333=Constants!$B$2,TRUE(),IF($E333=Constants!$B$3,FALSE(),TRUE())))</f>
        <v/>
      </c>
      <c r="AK333" s="74" t="str">
        <f aca="false">IF(ISBLANK($C333),"",IF($F333=Constants!$B$2,TRUE(),IF($F333=Constants!$B$3,FALSE(),FALSE())))</f>
        <v/>
      </c>
      <c r="AL333" s="74" t="str">
        <f aca="false">IF(ISBLANK($C333),"",IF($G333=Constants!$B$2,TRUE(),IF($G333=Constants!$B$3,FALSE(),TRUE())))</f>
        <v/>
      </c>
      <c r="AM333" s="74" t="str">
        <f aca="false">IF(ISBLANK($C333),"",IF($H333=Constants!$B$2,TRUE(),IF($H333=Constants!$B$3,FALSE(),TRUE())))</f>
        <v/>
      </c>
      <c r="AN333" s="74" t="str">
        <f aca="false">IF(ISBLANK($C333),"",IF(ISNUMBER($I333),IF($I333&gt;=0,$I333,""),""))</f>
        <v/>
      </c>
      <c r="AO333" s="74" t="str">
        <f aca="false">IF(ISBLANK($C333),"",IF(ISNUMBER($J333),IF($J333&gt;=0,$J333,""),""))</f>
        <v/>
      </c>
      <c r="AP333" s="74" t="str">
        <f aca="false">IF(ISBLANK($C333),"",IF(ISNUMBER($K333),IF($K333&gt;=0,$K333,""),""))</f>
        <v/>
      </c>
      <c r="AQ333" s="74" t="str">
        <f aca="false">IF(ISBLANK($C333),"",IF($L333=Constants!$B$2,TRUE(),IF($L333=Constants!$B$3,FALSE(),TRUE())))</f>
        <v/>
      </c>
      <c r="AR333" s="74" t="str">
        <f aca="false">IF(ISBLANK($C333),"",IF($M333=Constants!$B$2,TRUE(),IF($M333=Constants!$B$3,FALSE(),TRUE())))</f>
        <v/>
      </c>
      <c r="AS333" s="74" t="str">
        <f aca="false">IF(ISBLANK($C333),"",IF($N333=Constants!$B$2,TRUE(),IF($N333=Constants!$B$3,FALSE(),FALSE())))</f>
        <v/>
      </c>
      <c r="AT333" s="74" t="str">
        <f aca="false">IF(ISBLANK($C333),"",IF($O333=Constants!$B$2,TRUE(),IF($O333=Constants!$B$3,FALSE(),TRUE())))</f>
        <v/>
      </c>
      <c r="AU333" s="74" t="str">
        <f aca="false">IF(ISBLANK($C333),"",IF($P333=Constants!$B$2,TRUE(),IF($P333=Constants!$B$3,FALSE(),TRUE())))</f>
        <v/>
      </c>
      <c r="AV333" s="74" t="str">
        <f aca="false">IF(ISBLANK($C333),"",IF($Q333=Constants!$B$2,TRUE(),IF($Q333=Constants!$B$3,FALSE(),FALSE())))</f>
        <v/>
      </c>
      <c r="AW333" s="74" t="str">
        <f aca="false">IF(ISBLANK($C333),"",IF($R333=Constants!$B$2,TRUE(),IF($R333=Constants!$B$3,FALSE(),FALSE())))</f>
        <v/>
      </c>
      <c r="AX333" s="74" t="str">
        <f aca="false">IF(ISBLANK($C333),"",IF($S333=Constants!$B$2,TRUE(),IF($S333=Constants!$B$3,FALSE(),FALSE())))</f>
        <v/>
      </c>
      <c r="AY333" s="74" t="str">
        <f aca="false">IF(ISBLANK($C333),"",IF($T333=Constants!$B$2,TRUE(),IF($T333=Constants!$B$3,FALSE(),FALSE())))</f>
        <v/>
      </c>
      <c r="AZ333" s="74" t="str">
        <f aca="false">IF(ISBLANK($C333),"",IF($U333=Constants!$B$2,TRUE(),IF($U333=Constants!$B$3,FALSE(),FALSE())))</f>
        <v/>
      </c>
      <c r="BA333" s="74" t="str">
        <f aca="false">IF(ISBLANK($C333),"",IF(OR($V333&amp;""="1",$V333&amp;""="2",$V333&amp;""="3",$V333&amp;""="4"),VALUE($V333&amp;""),IF($V333=Constants!$B$12,Constants!$B$12,"")))</f>
        <v/>
      </c>
      <c r="BB333" s="74" t="str">
        <f aca="false">IF(ISBLANK($C333),"",IF(ISBLANK($W333),0,IF(ISNUMBER($W333),IF(AND($W333&gt;=0,$W333&lt;=Constants!$B$21,$W333=INT($W333)),$W333,""),"")))</f>
        <v/>
      </c>
      <c r="BC333" s="74" t="str">
        <f aca="false">IF(ISBLANK($C333),"",IF(ISBLANK($X333),0,IF(ISNUMBER($X333),IF($X333&gt;=0,$X333,""),"")))</f>
        <v/>
      </c>
      <c r="BD333" s="74" t="str">
        <f aca="false">IF(ISBLANK($C333),"",IF($Y333=Constants!$B$2,TRUE(),IF($Y333=Constants!$B$3,FALSE(),TRUE())))</f>
        <v/>
      </c>
      <c r="BE333" s="74" t="str">
        <f aca="false">IF(ISBLANK($C333),"",IF($Z333=Constants!$B$2,TRUE(),IF($Z333=Constants!$B$3,FALSE(),FALSE())))</f>
        <v/>
      </c>
      <c r="BF333" s="74" t="str">
        <f aca="false">IF(ISBLANK($C333),"",IF(ISBLANK($AA333),0,IF(ISNUMBER($AA333),IF(AND($AA333&gt;=0,$AA333&lt;=Constants!$B$35,$AA333=INT($AA333)),$AA333,""),"")))</f>
        <v/>
      </c>
      <c r="BG333" s="74" t="str">
        <f aca="false">IF(ISBLANK($C333),"",IF($AB333=Constants!$B$2,TRUE(),IF($AB333=Constants!$B$3,FALSE(),TRUE())))</f>
        <v/>
      </c>
      <c r="BH333" s="74" t="str">
        <f aca="false">IF(ISBLANK($C333),"",IF($AC333=Constants!$B$2,TRUE(),IF($AC333=Constants!$B$3,FALSE(),TRUE())))</f>
        <v/>
      </c>
      <c r="BI333" s="74" t="str">
        <f aca="false">IF(ISBLANK($C333),"",IF($AD333=Constants!$B$2,TRUE(),IF($AD333=Constants!$B$3,FALSE(),TRUE())))</f>
        <v/>
      </c>
      <c r="BJ333" s="74" t="str">
        <f aca="false">IF(ISBLANK($C333),"",IF(ISNUMBER($AE333),IF($AE333&gt;=0,$AE333,""),""))</f>
        <v/>
      </c>
      <c r="BK333" s="74" t="str">
        <f aca="false">IF(ISBLANK($C333),"",IF($AF333=Constants!$B$2,TRUE(),IF($AF333=Constants!$B$3,FALSE(),FALSE())))</f>
        <v/>
      </c>
      <c r="BL333" s="73" t="str">
        <f aca="false">IF(ISBLANK($C333),"",IF($BK333,Constants!$B$7,IF(COUNTA($E333:$AE333)=0,Constants!$B$6,IF(OR(COUNTA($G333:$AE333)=0,NOT($AM333),$AS333),Constants!$B$5,IF(OR($CM333&lt;&gt;"",$CN333,$CO333,$CP333,$CQ333,$CR333,$CS333),Constants!$B$8,Constants!$B$4)))))</f>
        <v/>
      </c>
      <c r="BM333" s="74" t="str">
        <f aca="false">IF(ISBLANK($C333),"",IF($BL333&lt;&gt;Constants!$B$4,$BL333,IF(OR(NOT($AJ333),NOT($AL333),NOT($AT333)),Constants!$B$11,IF(OR(NOT($AR333),NOT($AU333),NOT($BI333),MAX($AN333,$AO333,$AP333)&gt;Constants!$B$30),Constants!$B$10,Constants!$B$9))))</f>
        <v/>
      </c>
      <c r="BN333" s="74" t="str">
        <f aca="false">IF($BL333&lt;&gt;Constants!$B$4,"",IF(NOT($AL333),0,MIN(Constants!$B$35,$BF333)))</f>
        <v/>
      </c>
      <c r="BO333" s="74" t="str">
        <f aca="false">IF($BL333&lt;&gt;Constants!$B$4,"",IF(NOT($AL333),0,IF($AW333,Constants!$B$18,IF($AV333,Constants!$B$17,0))))</f>
        <v/>
      </c>
      <c r="BP333" s="74" t="str">
        <f aca="false">IF($BL333&lt;&gt;Constants!$B$4,"",IF(NOT($AL333),0,Constants!$B$19*($AK333+$AX333+$AY333+$AZ333)))</f>
        <v/>
      </c>
      <c r="BQ333" s="74" t="str">
        <f aca="false">IF($BL333&lt;&gt;Constants!$B$4,"",IF(OR(NOT($AL333),NOT(ISNUMBER($BA333))),0,CHOOSE($BA333,Constants!$B$13,Constants!$B$14,Constants!$B$15,Constants!$B$16)))</f>
        <v/>
      </c>
      <c r="BR333" s="74" t="str">
        <f aca="false">IF($BL333&lt;&gt;Constants!$B$4,"",IF(NOT($AL333),0,Constants!$B$20*$BB333))</f>
        <v/>
      </c>
      <c r="BS333" s="74" t="str">
        <f aca="false">IF($BL333&lt;&gt;Constants!$B$4,"",IF(AND($AL333,$BD333,$BE333),Constants!$B$22,0))</f>
        <v/>
      </c>
      <c r="BT333" s="74" t="str">
        <f aca="false">IF($BL333&lt;&gt;Constants!$B$4,"",IF(OR(NOT($AL333),NOT($BD333)),0,IF($BJ333&gt;=2*$AH$9,0,Constants!$B$23*INT(ROUND(MIN($BJ333,$AH$9),6)))))</f>
        <v/>
      </c>
      <c r="BU333" s="74" t="str">
        <f aca="false">IF($BL333&lt;&gt;Constants!$B$4,"",IF(NOT($AL333),0,Constants!$B$24*INT(ROUND(MIN($BC333,$AH$9),6))))</f>
        <v/>
      </c>
      <c r="BV333" s="74" t="str">
        <f aca="false">IF($BL333&lt;&gt;Constants!$B$4,"",IF(AND($AL333,$BN333=0),Constants!$B$25,0))</f>
        <v/>
      </c>
      <c r="BW333" s="74" t="str">
        <f aca="false">IF($BL333&lt;&gt;Constants!$B$4,"",MIN(Constants!$B$29,MAX(0,Constants!$B$27*Constants!$B$28*INT(ROUND((Constants!$B$26-$AN333)/Constants!$B$28,6))))+MIN(Constants!$B$29,MAX(0,Constants!$B$27*Constants!$B$28*INT(ROUND((Constants!$B$26-$AO333)/Constants!$B$28,6))))+MIN(Constants!$B$29,MAX(0,Constants!$B$27*Constants!$B$28*INT(ROUND((Constants!$B$26-$AP333)/Constants!$B$28,6)))))</f>
        <v/>
      </c>
      <c r="BX333" s="74" t="str">
        <f aca="false">IF($BL333&lt;&gt;Constants!$B$4,"",IF(NOT($AL333),0,Constants!$B$31*INT(ROUND(MAX(0,MIN($BJ333,2*$AH$9)-$AH$9),6))))</f>
        <v/>
      </c>
      <c r="BY333" s="74" t="str">
        <f aca="false">IF($BL333&lt;&gt;Constants!$B$4,"",Constants!$B$32*(($AN333&gt;Constants!$B$26)+($AO333&gt;Constants!$B$26)+($AP333&gt;Constants!$B$26)))</f>
        <v/>
      </c>
      <c r="BZ333" s="74" t="str">
        <f aca="false">IF($BL333&lt;&gt;Constants!$B$4,"",IF(OR(NOT($AL333),$AQ333),0,Constants!$B$33))</f>
        <v/>
      </c>
      <c r="CA333" s="74" t="str">
        <f aca="false">IF($BL333&lt;&gt;Constants!$B$4,"",Constants!$B$34*$BN333)</f>
        <v/>
      </c>
      <c r="CB333" s="74" t="str">
        <f aca="false">IF($BL333&lt;&gt;Constants!$B$4,"",IF(OR(NOT($AL333),$BH333),0,Constants!$B$36))</f>
        <v/>
      </c>
      <c r="CC333" s="74" t="str">
        <f aca="false">IF($BL333&lt;&gt;Constants!$B$4,"",IF(OR(NOT($AL333),$BG333),0,Constants!$B$37))</f>
        <v/>
      </c>
      <c r="CD333" s="74" t="str">
        <f aca="false">IF($BL333&lt;&gt;Constants!$B$4,"",SUM($BX333:$CC333))</f>
        <v/>
      </c>
      <c r="CE333" s="74" t="str">
        <f aca="false">IF(ISBLANK($C333),"",IF($BL333&lt;&gt;Constants!$B$4,$BL333,SUM($BO333:$BW333)-$CD333))</f>
        <v/>
      </c>
      <c r="CF333" s="74" t="str">
        <f aca="false">IF(ISBLANK($C333),"",IF($BL333&lt;&gt;Constants!$B$4,$BL333,RANK($CE333,$CE$9:$CE$508)))</f>
        <v/>
      </c>
      <c r="CG333" s="74" t="str">
        <f aca="false">IF(ISBLANK($C333),"",IF($BL333&lt;&gt;Constants!$B$4,$BL333,COUNTIFS($BM$9:$BM$508,"&lt;"&amp;$BM333)+COUNTIFS($BM$9:$BM$508,$BM333,$CF$9:$CF$508,"&lt;"&amp;$CF333)+1))</f>
        <v/>
      </c>
      <c r="CH333" s="74" t="str">
        <f aca="false">IF(ISBLANK($C333),"",IF($BL333&lt;&gt;Constants!$B$4,$BL333,RANK($CD333,$CD$9:$CD$508,1)))</f>
        <v/>
      </c>
      <c r="CI333" s="74" t="str">
        <f aca="false">IF($BL333&lt;&gt;Constants!$B$4,"",$AN333+$AO333+$AP333)</f>
        <v/>
      </c>
      <c r="CJ333" s="74" t="str">
        <f aca="false">IF(ISBLANK($C333),"",IF($BL333&lt;&gt;Constants!$B$4,$BL333,RANK($CI333,$CI$9:$CI$508,1)))</f>
        <v/>
      </c>
      <c r="CK333" s="74" t="str">
        <f aca="false">IF(ISBLANK($C333),"",IF($BL333&lt;&gt;Constants!$B$4,$BL333,COUNTIFS($BM$9:$BM$508,"&lt;"&amp;$BM333)+COUNTIFS($BM$9:$BM$508,$BM333,$CF$9:$CF$508,"&lt;"&amp;$CF333)+COUNTIFS($BM$9:$BM$508,$BM333,$CF$9:$CF$508,$CF333,$CH$9:$CH$508,"&lt;"&amp;$CH333)+COUNTIFS($BM$9:$BM$508,$BM333,$CF$9:$CF$508,$CF333,$CH$9:$CH$508,$CH333,$CJ$9:$CJ$508,"&lt;"&amp;$CJ333)+1))</f>
        <v/>
      </c>
      <c r="CL333" s="74" t="str">
        <f aca="false">IF(ISBLANK($C333),"",IF($BL333&lt;&gt;Constants!$B$4,$BL333,$CG333-$CK333))</f>
        <v/>
      </c>
      <c r="CM333" s="74" t="str">
        <f aca="false">IF(ISBLANK($C333),"",IF(NOT($AL333),"",IF(ISBLANK($D$7),$CM$5,IF(NOT(ISNUMBER($D$7)),$CM$6,""))))</f>
        <v/>
      </c>
      <c r="CN333" s="74" t="str">
        <f aca="false">IF(ISBLANK($C333),"",OR($AN333="",$AO333="",$AP333=""))</f>
        <v/>
      </c>
      <c r="CO333" s="74" t="str">
        <f aca="false">IF(ISBLANK($C333),"",AND($AL333,$BA333=""))</f>
        <v/>
      </c>
      <c r="CP333" s="74" t="str">
        <f aca="false">IF(ISBLANK($C333),"",AND($AL333,$BB333=""))</f>
        <v/>
      </c>
      <c r="CQ333" s="74" t="str">
        <f aca="false">IF(ISBLANK($C333),"",AND($AL333,$BC333=""))</f>
        <v/>
      </c>
      <c r="CR333" s="74" t="str">
        <f aca="false">IF(ISBLANK($C333),"",AND($AL333,$BF333=""))</f>
        <v/>
      </c>
      <c r="CS333" s="74" t="str">
        <f aca="false">IF(ISBLANK($C333),"",AND($AL333,$BJ333=""))</f>
        <v/>
      </c>
      <c r="CT333" s="75"/>
      <c r="CU333" s="76"/>
      <c r="CV333" s="79" t="str">
        <f aca="false">IF(ISBLANK($C333),"",IF($BL333=Constants!$B$8,$CM333,""))</f>
        <v/>
      </c>
      <c r="CW333" s="76" t="str">
        <f aca="false">IF(ISBLANK($C333),"",IF($BL333&lt;&gt;Constants!$B$4,"",$BO333+$BP333))</f>
        <v/>
      </c>
      <c r="CX333" s="78" t="str">
        <f aca="false">IF(ISBLANK($C333),"",IF($BL333&lt;&gt;Constants!$B$4,"",$BQ333+$BR333+$BS333))</f>
        <v/>
      </c>
      <c r="CY333" s="78" t="str">
        <f aca="false">IF(ISBLANK($C333),"",IF($BL333&lt;&gt;Constants!$B$4,"",$BT333))</f>
        <v/>
      </c>
      <c r="CZ333" s="78" t="str">
        <f aca="false">IF(ISBLANK($C333),"",IF($BL333&lt;&gt;Constants!$B$4,"",$BU333+$BV333))</f>
        <v/>
      </c>
      <c r="DA333" s="78" t="str">
        <f aca="false">IF(ISBLANK($C333),"",IF($BL333&lt;&gt;Constants!$B$4,"",$BW333))</f>
        <v/>
      </c>
      <c r="DB333" s="78" t="str">
        <f aca="false">IF(ISBLANK($C333),"",IF($BL333&lt;&gt;Constants!$B$4,"",-$CD333))</f>
        <v/>
      </c>
      <c r="DC333" s="79" t="str">
        <f aca="false">IF(ISBLANK($C333),"",$CE333)</f>
        <v/>
      </c>
      <c r="DD333" s="80" t="str">
        <f aca="false">IF(ISBLANK($C333),"",$BM333)</f>
        <v/>
      </c>
      <c r="DE333" s="78" t="str">
        <f aca="false">IF(ISBLANK($C333),"",$CL333)</f>
        <v/>
      </c>
      <c r="DF333" s="78" t="str">
        <f aca="false">IF(ISBLANK($C333),"",$CK333)</f>
        <v/>
      </c>
      <c r="DG333" s="81" t="str">
        <f aca="false">IF(ISBLANK($C333),"",IF($DF333=Constants!$B$7,COUNTA($C$9:$C$508)+2,IF($DF333=Constants!$B$6,COUNTA($C$9:$C$508)+1,IF($DF333=Constants!$B$5,COUNTA($C$9:$C$508),$DF333))))</f>
        <v/>
      </c>
      <c r="DH333" s="7"/>
      <c r="DI333" s="82" t="n">
        <f aca="false">IF(OR(ISNUMBER($DF333),$DF333=Constants!$B$7,$DF333=Constants!$B$5,$DF333=Constants!$B$6),1,0)</f>
        <v>0</v>
      </c>
      <c r="DJ333" s="82" t="n">
        <v>325</v>
      </c>
      <c r="DK333" s="82" t="str">
        <f aca="false">IF(ISBLANK($C333),"",IF(ISNUMBER($DG333),$DG333+ROW($B333)/1000,""))</f>
        <v/>
      </c>
      <c r="DL333" s="82" t="str">
        <f aca="false">IF(ISNUMBER($DK333),RANK($DK333,$DK$9:$DK$508,1),"")</f>
        <v/>
      </c>
      <c r="DM333" s="82" t="str">
        <f aca="false">IF(ISBLANK($C333),"",$B333)</f>
        <v/>
      </c>
      <c r="DN333" s="82" t="str">
        <f aca="false">IF(ISBLANK($C333),"",$C333)</f>
        <v/>
      </c>
      <c r="DO333" s="82" t="str">
        <f aca="false">IF(ISBLANK($C333),"",$D333)</f>
        <v/>
      </c>
      <c r="DP333" s="83" t="str">
        <f aca="false">$DD333</f>
        <v/>
      </c>
      <c r="DQ333" s="84" t="str">
        <f aca="false">$DC333</f>
        <v/>
      </c>
      <c r="DR333" s="82" t="str">
        <f aca="false">IF(ISBLANK($C333),"",$DF333)</f>
        <v/>
      </c>
      <c r="DS333" s="85" t="str">
        <f aca="false">IF($DJ333&gt;$DI$8,"",VLOOKUP($DJ333,$DL$9:$DR$508,7,FALSE()))</f>
        <v/>
      </c>
      <c r="DT333" s="86" t="str">
        <f aca="false">IF($DJ333&gt;$DI$8,"",VLOOKUP($DJ333,$DL$9:$DR$508,2,FALSE()))</f>
        <v/>
      </c>
      <c r="DU333" s="86" t="str">
        <f aca="false">IF($DJ333&gt;$DI$8,"",VLOOKUP($DJ333,$DL$9:$DR$508,3,FALSE()))</f>
        <v/>
      </c>
      <c r="DV333" s="86" t="str">
        <f aca="false">IF($DJ333&gt;$DI$8,"",VLOOKUP($DJ333,$DL$9:$DR$508,4,FALSE()))</f>
        <v/>
      </c>
      <c r="DW333" s="86" t="str">
        <f aca="false">IF($DJ333&gt;$DI$8,"",VLOOKUP($DJ333,$DL$9:$DR$508,5,FALSE()))</f>
        <v/>
      </c>
      <c r="DX333" s="87" t="str">
        <f aca="false">IF($DJ333&gt;$DI$8,"",VLOOKUP($DJ333,$DL$9:$DR$508,6,FALSE()))</f>
        <v/>
      </c>
      <c r="DY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88"/>
      <c r="N334" s="88"/>
      <c r="O334" s="134"/>
      <c r="P334" s="134"/>
      <c r="Q334" s="88"/>
      <c r="R334" s="88"/>
      <c r="S334" s="88"/>
      <c r="T334" s="88"/>
      <c r="U334" s="134"/>
      <c r="V334" s="88"/>
      <c r="W334" s="70"/>
      <c r="X334" s="88"/>
      <c r="Y334" s="88"/>
      <c r="Z334" s="70"/>
      <c r="AA334" s="70"/>
      <c r="AB334" s="88"/>
      <c r="AC334" s="88"/>
      <c r="AD334" s="88"/>
      <c r="AE334" s="71"/>
      <c r="AF334" s="88"/>
      <c r="AG334" s="73"/>
      <c r="AH334" s="74"/>
      <c r="AI334" s="74"/>
      <c r="AJ334" s="74" t="str">
        <f aca="false">IF(ISBLANK($C334),"",IF($E334=Constants!$B$2,TRUE(),IF($E334=Constants!$B$3,FALSE(),TRUE())))</f>
        <v/>
      </c>
      <c r="AK334" s="74" t="str">
        <f aca="false">IF(ISBLANK($C334),"",IF($F334=Constants!$B$2,TRUE(),IF($F334=Constants!$B$3,FALSE(),FALSE())))</f>
        <v/>
      </c>
      <c r="AL334" s="74" t="str">
        <f aca="false">IF(ISBLANK($C334),"",IF($G334=Constants!$B$2,TRUE(),IF($G334=Constants!$B$3,FALSE(),TRUE())))</f>
        <v/>
      </c>
      <c r="AM334" s="74" t="str">
        <f aca="false">IF(ISBLANK($C334),"",IF($H334=Constants!$B$2,TRUE(),IF($H334=Constants!$B$3,FALSE(),TRUE())))</f>
        <v/>
      </c>
      <c r="AN334" s="74" t="str">
        <f aca="false">IF(ISBLANK($C334),"",IF(ISNUMBER($I334),IF($I334&gt;=0,$I334,""),""))</f>
        <v/>
      </c>
      <c r="AO334" s="74" t="str">
        <f aca="false">IF(ISBLANK($C334),"",IF(ISNUMBER($J334),IF($J334&gt;=0,$J334,""),""))</f>
        <v/>
      </c>
      <c r="AP334" s="74" t="str">
        <f aca="false">IF(ISBLANK($C334),"",IF(ISNUMBER($K334),IF($K334&gt;=0,$K334,""),""))</f>
        <v/>
      </c>
      <c r="AQ334" s="74" t="str">
        <f aca="false">IF(ISBLANK($C334),"",IF($L334=Constants!$B$2,TRUE(),IF($L334=Constants!$B$3,FALSE(),TRUE())))</f>
        <v/>
      </c>
      <c r="AR334" s="74" t="str">
        <f aca="false">IF(ISBLANK($C334),"",IF($M334=Constants!$B$2,TRUE(),IF($M334=Constants!$B$3,FALSE(),TRUE())))</f>
        <v/>
      </c>
      <c r="AS334" s="74" t="str">
        <f aca="false">IF(ISBLANK($C334),"",IF($N334=Constants!$B$2,TRUE(),IF($N334=Constants!$B$3,FALSE(),FALSE())))</f>
        <v/>
      </c>
      <c r="AT334" s="74" t="str">
        <f aca="false">IF(ISBLANK($C334),"",IF($O334=Constants!$B$2,TRUE(),IF($O334=Constants!$B$3,FALSE(),TRUE())))</f>
        <v/>
      </c>
      <c r="AU334" s="74" t="str">
        <f aca="false">IF(ISBLANK($C334),"",IF($P334=Constants!$B$2,TRUE(),IF($P334=Constants!$B$3,FALSE(),TRUE())))</f>
        <v/>
      </c>
      <c r="AV334" s="74" t="str">
        <f aca="false">IF(ISBLANK($C334),"",IF($Q334=Constants!$B$2,TRUE(),IF($Q334=Constants!$B$3,FALSE(),FALSE())))</f>
        <v/>
      </c>
      <c r="AW334" s="74" t="str">
        <f aca="false">IF(ISBLANK($C334),"",IF($R334=Constants!$B$2,TRUE(),IF($R334=Constants!$B$3,FALSE(),FALSE())))</f>
        <v/>
      </c>
      <c r="AX334" s="74" t="str">
        <f aca="false">IF(ISBLANK($C334),"",IF($S334=Constants!$B$2,TRUE(),IF($S334=Constants!$B$3,FALSE(),FALSE())))</f>
        <v/>
      </c>
      <c r="AY334" s="74" t="str">
        <f aca="false">IF(ISBLANK($C334),"",IF($T334=Constants!$B$2,TRUE(),IF($T334=Constants!$B$3,FALSE(),FALSE())))</f>
        <v/>
      </c>
      <c r="AZ334" s="74" t="str">
        <f aca="false">IF(ISBLANK($C334),"",IF($U334=Constants!$B$2,TRUE(),IF($U334=Constants!$B$3,FALSE(),FALSE())))</f>
        <v/>
      </c>
      <c r="BA334" s="74" t="str">
        <f aca="false">IF(ISBLANK($C334),"",IF(OR($V334&amp;""="1",$V334&amp;""="2",$V334&amp;""="3",$V334&amp;""="4"),VALUE($V334&amp;""),IF($V334=Constants!$B$12,Constants!$B$12,"")))</f>
        <v/>
      </c>
      <c r="BB334" s="74" t="str">
        <f aca="false">IF(ISBLANK($C334),"",IF(ISBLANK($W334),0,IF(ISNUMBER($W334),IF(AND($W334&gt;=0,$W334&lt;=Constants!$B$21,$W334=INT($W334)),$W334,""),"")))</f>
        <v/>
      </c>
      <c r="BC334" s="74" t="str">
        <f aca="false">IF(ISBLANK($C334),"",IF(ISBLANK($X334),0,IF(ISNUMBER($X334),IF($X334&gt;=0,$X334,""),"")))</f>
        <v/>
      </c>
      <c r="BD334" s="74" t="str">
        <f aca="false">IF(ISBLANK($C334),"",IF($Y334=Constants!$B$2,TRUE(),IF($Y334=Constants!$B$3,FALSE(),TRUE())))</f>
        <v/>
      </c>
      <c r="BE334" s="74" t="str">
        <f aca="false">IF(ISBLANK($C334),"",IF($Z334=Constants!$B$2,TRUE(),IF($Z334=Constants!$B$3,FALSE(),FALSE())))</f>
        <v/>
      </c>
      <c r="BF334" s="74" t="str">
        <f aca="false">IF(ISBLANK($C334),"",IF(ISBLANK($AA334),0,IF(ISNUMBER($AA334),IF(AND($AA334&gt;=0,$AA334&lt;=Constants!$B$35,$AA334=INT($AA334)),$AA334,""),"")))</f>
        <v/>
      </c>
      <c r="BG334" s="74" t="str">
        <f aca="false">IF(ISBLANK($C334),"",IF($AB334=Constants!$B$2,TRUE(),IF($AB334=Constants!$B$3,FALSE(),TRUE())))</f>
        <v/>
      </c>
      <c r="BH334" s="74" t="str">
        <f aca="false">IF(ISBLANK($C334),"",IF($AC334=Constants!$B$2,TRUE(),IF($AC334=Constants!$B$3,FALSE(),TRUE())))</f>
        <v/>
      </c>
      <c r="BI334" s="74" t="str">
        <f aca="false">IF(ISBLANK($C334),"",IF($AD334=Constants!$B$2,TRUE(),IF($AD334=Constants!$B$3,FALSE(),TRUE())))</f>
        <v/>
      </c>
      <c r="BJ334" s="74" t="str">
        <f aca="false">IF(ISBLANK($C334),"",IF(ISNUMBER($AE334),IF($AE334&gt;=0,$AE334,""),""))</f>
        <v/>
      </c>
      <c r="BK334" s="74" t="str">
        <f aca="false">IF(ISBLANK($C334),"",IF($AF334=Constants!$B$2,TRUE(),IF($AF334=Constants!$B$3,FALSE(),FALSE())))</f>
        <v/>
      </c>
      <c r="BL334" s="73" t="str">
        <f aca="false">IF(ISBLANK($C334),"",IF($BK334,Constants!$B$7,IF(COUNTA($E334:$AE334)=0,Constants!$B$6,IF(OR(COUNTA($G334:$AE334)=0,NOT($AM334),$AS334),Constants!$B$5,IF(OR($CM334&lt;&gt;"",$CN334,$CO334,$CP334,$CQ334,$CR334,$CS334),Constants!$B$8,Constants!$B$4)))))</f>
        <v/>
      </c>
      <c r="BM334" s="74" t="str">
        <f aca="false">IF(ISBLANK($C334),"",IF($BL334&lt;&gt;Constants!$B$4,$BL334,IF(OR(NOT($AJ334),NOT($AL334),NOT($AT334)),Constants!$B$11,IF(OR(NOT($AR334),NOT($AU334),NOT($BI334),MAX($AN334,$AO334,$AP334)&gt;Constants!$B$30),Constants!$B$10,Constants!$B$9))))</f>
        <v/>
      </c>
      <c r="BN334" s="74" t="str">
        <f aca="false">IF($BL334&lt;&gt;Constants!$B$4,"",IF(NOT($AL334),0,MIN(Constants!$B$35,$BF334)))</f>
        <v/>
      </c>
      <c r="BO334" s="74" t="str">
        <f aca="false">IF($BL334&lt;&gt;Constants!$B$4,"",IF(NOT($AL334),0,IF($AW334,Constants!$B$18,IF($AV334,Constants!$B$17,0))))</f>
        <v/>
      </c>
      <c r="BP334" s="74" t="str">
        <f aca="false">IF($BL334&lt;&gt;Constants!$B$4,"",IF(NOT($AL334),0,Constants!$B$19*($AK334+$AX334+$AY334+$AZ334)))</f>
        <v/>
      </c>
      <c r="BQ334" s="74" t="str">
        <f aca="false">IF($BL334&lt;&gt;Constants!$B$4,"",IF(OR(NOT($AL334),NOT(ISNUMBER($BA334))),0,CHOOSE($BA334,Constants!$B$13,Constants!$B$14,Constants!$B$15,Constants!$B$16)))</f>
        <v/>
      </c>
      <c r="BR334" s="74" t="str">
        <f aca="false">IF($BL334&lt;&gt;Constants!$B$4,"",IF(NOT($AL334),0,Constants!$B$20*$BB334))</f>
        <v/>
      </c>
      <c r="BS334" s="74" t="str">
        <f aca="false">IF($BL334&lt;&gt;Constants!$B$4,"",IF(AND($AL334,$BD334,$BE334),Constants!$B$22,0))</f>
        <v/>
      </c>
      <c r="BT334" s="74" t="str">
        <f aca="false">IF($BL334&lt;&gt;Constants!$B$4,"",IF(OR(NOT($AL334),NOT($BD334)),0,IF($BJ334&gt;=2*$AH$9,0,Constants!$B$23*INT(ROUND(MIN($BJ334,$AH$9),6)))))</f>
        <v/>
      </c>
      <c r="BU334" s="74" t="str">
        <f aca="false">IF($BL334&lt;&gt;Constants!$B$4,"",IF(NOT($AL334),0,Constants!$B$24*INT(ROUND(MIN($BC334,$AH$9),6))))</f>
        <v/>
      </c>
      <c r="BV334" s="74" t="str">
        <f aca="false">IF($BL334&lt;&gt;Constants!$B$4,"",IF(AND($AL334,$BN334=0),Constants!$B$25,0))</f>
        <v/>
      </c>
      <c r="BW334" s="74" t="str">
        <f aca="false">IF($BL334&lt;&gt;Constants!$B$4,"",MIN(Constants!$B$29,MAX(0,Constants!$B$27*Constants!$B$28*INT(ROUND((Constants!$B$26-$AN334)/Constants!$B$28,6))))+MIN(Constants!$B$29,MAX(0,Constants!$B$27*Constants!$B$28*INT(ROUND((Constants!$B$26-$AO334)/Constants!$B$28,6))))+MIN(Constants!$B$29,MAX(0,Constants!$B$27*Constants!$B$28*INT(ROUND((Constants!$B$26-$AP334)/Constants!$B$28,6)))))</f>
        <v/>
      </c>
      <c r="BX334" s="74" t="str">
        <f aca="false">IF($BL334&lt;&gt;Constants!$B$4,"",IF(NOT($AL334),0,Constants!$B$31*INT(ROUND(MAX(0,MIN($BJ334,2*$AH$9)-$AH$9),6))))</f>
        <v/>
      </c>
      <c r="BY334" s="74" t="str">
        <f aca="false">IF($BL334&lt;&gt;Constants!$B$4,"",Constants!$B$32*(($AN334&gt;Constants!$B$26)+($AO334&gt;Constants!$B$26)+($AP334&gt;Constants!$B$26)))</f>
        <v/>
      </c>
      <c r="BZ334" s="74" t="str">
        <f aca="false">IF($BL334&lt;&gt;Constants!$B$4,"",IF(OR(NOT($AL334),$AQ334),0,Constants!$B$33))</f>
        <v/>
      </c>
      <c r="CA334" s="74" t="str">
        <f aca="false">IF($BL334&lt;&gt;Constants!$B$4,"",Constants!$B$34*$BN334)</f>
        <v/>
      </c>
      <c r="CB334" s="74" t="str">
        <f aca="false">IF($BL334&lt;&gt;Constants!$B$4,"",IF(OR(NOT($AL334),$BH334),0,Constants!$B$36))</f>
        <v/>
      </c>
      <c r="CC334" s="74" t="str">
        <f aca="false">IF($BL334&lt;&gt;Constants!$B$4,"",IF(OR(NOT($AL334),$BG334),0,Constants!$B$37))</f>
        <v/>
      </c>
      <c r="CD334" s="74" t="str">
        <f aca="false">IF($BL334&lt;&gt;Constants!$B$4,"",SUM($BX334:$CC334))</f>
        <v/>
      </c>
      <c r="CE334" s="74" t="str">
        <f aca="false">IF(ISBLANK($C334),"",IF($BL334&lt;&gt;Constants!$B$4,$BL334,SUM($BO334:$BW334)-$CD334))</f>
        <v/>
      </c>
      <c r="CF334" s="74" t="str">
        <f aca="false">IF(ISBLANK($C334),"",IF($BL334&lt;&gt;Constants!$B$4,$BL334,RANK($CE334,$CE$9:$CE$508)))</f>
        <v/>
      </c>
      <c r="CG334" s="74" t="str">
        <f aca="false">IF(ISBLANK($C334),"",IF($BL334&lt;&gt;Constants!$B$4,$BL334,COUNTIFS($BM$9:$BM$508,"&lt;"&amp;$BM334)+COUNTIFS($BM$9:$BM$508,$BM334,$CF$9:$CF$508,"&lt;"&amp;$CF334)+1))</f>
        <v/>
      </c>
      <c r="CH334" s="74" t="str">
        <f aca="false">IF(ISBLANK($C334),"",IF($BL334&lt;&gt;Constants!$B$4,$BL334,RANK($CD334,$CD$9:$CD$508,1)))</f>
        <v/>
      </c>
      <c r="CI334" s="74" t="str">
        <f aca="false">IF($BL334&lt;&gt;Constants!$B$4,"",$AN334+$AO334+$AP334)</f>
        <v/>
      </c>
      <c r="CJ334" s="74" t="str">
        <f aca="false">IF(ISBLANK($C334),"",IF($BL334&lt;&gt;Constants!$B$4,$BL334,RANK($CI334,$CI$9:$CI$508,1)))</f>
        <v/>
      </c>
      <c r="CK334" s="74" t="str">
        <f aca="false">IF(ISBLANK($C334),"",IF($BL334&lt;&gt;Constants!$B$4,$BL334,COUNTIFS($BM$9:$BM$508,"&lt;"&amp;$BM334)+COUNTIFS($BM$9:$BM$508,$BM334,$CF$9:$CF$508,"&lt;"&amp;$CF334)+COUNTIFS($BM$9:$BM$508,$BM334,$CF$9:$CF$508,$CF334,$CH$9:$CH$508,"&lt;"&amp;$CH334)+COUNTIFS($BM$9:$BM$508,$BM334,$CF$9:$CF$508,$CF334,$CH$9:$CH$508,$CH334,$CJ$9:$CJ$508,"&lt;"&amp;$CJ334)+1))</f>
        <v/>
      </c>
      <c r="CL334" s="74" t="str">
        <f aca="false">IF(ISBLANK($C334),"",IF($BL334&lt;&gt;Constants!$B$4,$BL334,$CG334-$CK334))</f>
        <v/>
      </c>
      <c r="CM334" s="74" t="str">
        <f aca="false">IF(ISBLANK($C334),"",IF(NOT($AL334),"",IF(ISBLANK($D$7),$CM$5,IF(NOT(ISNUMBER($D$7)),$CM$6,""))))</f>
        <v/>
      </c>
      <c r="CN334" s="74" t="str">
        <f aca="false">IF(ISBLANK($C334),"",OR($AN334="",$AO334="",$AP334=""))</f>
        <v/>
      </c>
      <c r="CO334" s="74" t="str">
        <f aca="false">IF(ISBLANK($C334),"",AND($AL334,$BA334=""))</f>
        <v/>
      </c>
      <c r="CP334" s="74" t="str">
        <f aca="false">IF(ISBLANK($C334),"",AND($AL334,$BB334=""))</f>
        <v/>
      </c>
      <c r="CQ334" s="74" t="str">
        <f aca="false">IF(ISBLANK($C334),"",AND($AL334,$BC334=""))</f>
        <v/>
      </c>
      <c r="CR334" s="74" t="str">
        <f aca="false">IF(ISBLANK($C334),"",AND($AL334,$BF334=""))</f>
        <v/>
      </c>
      <c r="CS334" s="74" t="str">
        <f aca="false">IF(ISBLANK($C334),"",AND($AL334,$BJ334=""))</f>
        <v/>
      </c>
      <c r="CT334" s="75"/>
      <c r="CU334" s="76"/>
      <c r="CV334" s="79" t="str">
        <f aca="false">IF(ISBLANK($C334),"",IF($BL334=Constants!$B$8,$CM334,""))</f>
        <v/>
      </c>
      <c r="CW334" s="76" t="str">
        <f aca="false">IF(ISBLANK($C334),"",IF($BL334&lt;&gt;Constants!$B$4,"",$BO334+$BP334))</f>
        <v/>
      </c>
      <c r="CX334" s="78" t="str">
        <f aca="false">IF(ISBLANK($C334),"",IF($BL334&lt;&gt;Constants!$B$4,"",$BQ334+$BR334+$BS334))</f>
        <v/>
      </c>
      <c r="CY334" s="78" t="str">
        <f aca="false">IF(ISBLANK($C334),"",IF($BL334&lt;&gt;Constants!$B$4,"",$BT334))</f>
        <v/>
      </c>
      <c r="CZ334" s="78" t="str">
        <f aca="false">IF(ISBLANK($C334),"",IF($BL334&lt;&gt;Constants!$B$4,"",$BU334+$BV334))</f>
        <v/>
      </c>
      <c r="DA334" s="78" t="str">
        <f aca="false">IF(ISBLANK($C334),"",IF($BL334&lt;&gt;Constants!$B$4,"",$BW334))</f>
        <v/>
      </c>
      <c r="DB334" s="78" t="str">
        <f aca="false">IF(ISBLANK($C334),"",IF($BL334&lt;&gt;Constants!$B$4,"",-$CD334))</f>
        <v/>
      </c>
      <c r="DC334" s="79" t="str">
        <f aca="false">IF(ISBLANK($C334),"",$CE334)</f>
        <v/>
      </c>
      <c r="DD334" s="80" t="str">
        <f aca="false">IF(ISBLANK($C334),"",$BM334)</f>
        <v/>
      </c>
      <c r="DE334" s="78" t="str">
        <f aca="false">IF(ISBLANK($C334),"",$CL334)</f>
        <v/>
      </c>
      <c r="DF334" s="78" t="str">
        <f aca="false">IF(ISBLANK($C334),"",$CK334)</f>
        <v/>
      </c>
      <c r="DG334" s="81" t="str">
        <f aca="false">IF(ISBLANK($C334),"",IF($DF334=Constants!$B$7,COUNTA($C$9:$C$508)+2,IF($DF334=Constants!$B$6,COUNTA($C$9:$C$508)+1,IF($DF334=Constants!$B$5,COUNTA($C$9:$C$508),$DF334))))</f>
        <v/>
      </c>
      <c r="DH334" s="7"/>
      <c r="DI334" s="82" t="n">
        <f aca="false">IF(OR(ISNUMBER($DF334),$DF334=Constants!$B$7,$DF334=Constants!$B$5,$DF334=Constants!$B$6),1,0)</f>
        <v>0</v>
      </c>
      <c r="DJ334" s="82" t="n">
        <v>326</v>
      </c>
      <c r="DK334" s="82" t="str">
        <f aca="false">IF(ISBLANK($C334),"",IF(ISNUMBER($DG334),$DG334+ROW($B334)/1000,""))</f>
        <v/>
      </c>
      <c r="DL334" s="82" t="str">
        <f aca="false">IF(ISNUMBER($DK334),RANK($DK334,$DK$9:$DK$508,1),"")</f>
        <v/>
      </c>
      <c r="DM334" s="82" t="str">
        <f aca="false">IF(ISBLANK($C334),"",$B334)</f>
        <v/>
      </c>
      <c r="DN334" s="82" t="str">
        <f aca="false">IF(ISBLANK($C334),"",$C334)</f>
        <v/>
      </c>
      <c r="DO334" s="82" t="str">
        <f aca="false">IF(ISBLANK($C334),"",$D334)</f>
        <v/>
      </c>
      <c r="DP334" s="83" t="str">
        <f aca="false">$DD334</f>
        <v/>
      </c>
      <c r="DQ334" s="84" t="str">
        <f aca="false">$DC334</f>
        <v/>
      </c>
      <c r="DR334" s="82" t="str">
        <f aca="false">IF(ISBLANK($C334),"",$DF334)</f>
        <v/>
      </c>
      <c r="DS334" s="85" t="str">
        <f aca="false">IF($DJ334&gt;$DI$8,"",VLOOKUP($DJ334,$DL$9:$DR$508,7,FALSE()))</f>
        <v/>
      </c>
      <c r="DT334" s="86" t="str">
        <f aca="false">IF($DJ334&gt;$DI$8,"",VLOOKUP($DJ334,$DL$9:$DR$508,2,FALSE()))</f>
        <v/>
      </c>
      <c r="DU334" s="86" t="str">
        <f aca="false">IF($DJ334&gt;$DI$8,"",VLOOKUP($DJ334,$DL$9:$DR$508,3,FALSE()))</f>
        <v/>
      </c>
      <c r="DV334" s="86" t="str">
        <f aca="false">IF($DJ334&gt;$DI$8,"",VLOOKUP($DJ334,$DL$9:$DR$508,4,FALSE()))</f>
        <v/>
      </c>
      <c r="DW334" s="86" t="str">
        <f aca="false">IF($DJ334&gt;$DI$8,"",VLOOKUP($DJ334,$DL$9:$DR$508,5,FALSE()))</f>
        <v/>
      </c>
      <c r="DX334" s="87" t="str">
        <f aca="false">IF($DJ334&gt;$DI$8,"",VLOOKUP($DJ334,$DL$9:$DR$508,6,FALSE()))</f>
        <v/>
      </c>
      <c r="DY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88"/>
      <c r="N335" s="88"/>
      <c r="O335" s="134"/>
      <c r="P335" s="134"/>
      <c r="Q335" s="88"/>
      <c r="R335" s="88"/>
      <c r="S335" s="88"/>
      <c r="T335" s="88"/>
      <c r="U335" s="134"/>
      <c r="V335" s="88"/>
      <c r="W335" s="70"/>
      <c r="X335" s="88"/>
      <c r="Y335" s="88"/>
      <c r="Z335" s="70"/>
      <c r="AA335" s="70"/>
      <c r="AB335" s="88"/>
      <c r="AC335" s="88"/>
      <c r="AD335" s="88"/>
      <c r="AE335" s="71"/>
      <c r="AF335" s="88"/>
      <c r="AG335" s="73"/>
      <c r="AH335" s="74"/>
      <c r="AI335" s="74"/>
      <c r="AJ335" s="74" t="str">
        <f aca="false">IF(ISBLANK($C335),"",IF($E335=Constants!$B$2,TRUE(),IF($E335=Constants!$B$3,FALSE(),TRUE())))</f>
        <v/>
      </c>
      <c r="AK335" s="74" t="str">
        <f aca="false">IF(ISBLANK($C335),"",IF($F335=Constants!$B$2,TRUE(),IF($F335=Constants!$B$3,FALSE(),FALSE())))</f>
        <v/>
      </c>
      <c r="AL335" s="74" t="str">
        <f aca="false">IF(ISBLANK($C335),"",IF($G335=Constants!$B$2,TRUE(),IF($G335=Constants!$B$3,FALSE(),TRUE())))</f>
        <v/>
      </c>
      <c r="AM335" s="74" t="str">
        <f aca="false">IF(ISBLANK($C335),"",IF($H335=Constants!$B$2,TRUE(),IF($H335=Constants!$B$3,FALSE(),TRUE())))</f>
        <v/>
      </c>
      <c r="AN335" s="74" t="str">
        <f aca="false">IF(ISBLANK($C335),"",IF(ISNUMBER($I335),IF($I335&gt;=0,$I335,""),""))</f>
        <v/>
      </c>
      <c r="AO335" s="74" t="str">
        <f aca="false">IF(ISBLANK($C335),"",IF(ISNUMBER($J335),IF($J335&gt;=0,$J335,""),""))</f>
        <v/>
      </c>
      <c r="AP335" s="74" t="str">
        <f aca="false">IF(ISBLANK($C335),"",IF(ISNUMBER($K335),IF($K335&gt;=0,$K335,""),""))</f>
        <v/>
      </c>
      <c r="AQ335" s="74" t="str">
        <f aca="false">IF(ISBLANK($C335),"",IF($L335=Constants!$B$2,TRUE(),IF($L335=Constants!$B$3,FALSE(),TRUE())))</f>
        <v/>
      </c>
      <c r="AR335" s="74" t="str">
        <f aca="false">IF(ISBLANK($C335),"",IF($M335=Constants!$B$2,TRUE(),IF($M335=Constants!$B$3,FALSE(),TRUE())))</f>
        <v/>
      </c>
      <c r="AS335" s="74" t="str">
        <f aca="false">IF(ISBLANK($C335),"",IF($N335=Constants!$B$2,TRUE(),IF($N335=Constants!$B$3,FALSE(),FALSE())))</f>
        <v/>
      </c>
      <c r="AT335" s="74" t="str">
        <f aca="false">IF(ISBLANK($C335),"",IF($O335=Constants!$B$2,TRUE(),IF($O335=Constants!$B$3,FALSE(),TRUE())))</f>
        <v/>
      </c>
      <c r="AU335" s="74" t="str">
        <f aca="false">IF(ISBLANK($C335),"",IF($P335=Constants!$B$2,TRUE(),IF($P335=Constants!$B$3,FALSE(),TRUE())))</f>
        <v/>
      </c>
      <c r="AV335" s="74" t="str">
        <f aca="false">IF(ISBLANK($C335),"",IF($Q335=Constants!$B$2,TRUE(),IF($Q335=Constants!$B$3,FALSE(),FALSE())))</f>
        <v/>
      </c>
      <c r="AW335" s="74" t="str">
        <f aca="false">IF(ISBLANK($C335),"",IF($R335=Constants!$B$2,TRUE(),IF($R335=Constants!$B$3,FALSE(),FALSE())))</f>
        <v/>
      </c>
      <c r="AX335" s="74" t="str">
        <f aca="false">IF(ISBLANK($C335),"",IF($S335=Constants!$B$2,TRUE(),IF($S335=Constants!$B$3,FALSE(),FALSE())))</f>
        <v/>
      </c>
      <c r="AY335" s="74" t="str">
        <f aca="false">IF(ISBLANK($C335),"",IF($T335=Constants!$B$2,TRUE(),IF($T335=Constants!$B$3,FALSE(),FALSE())))</f>
        <v/>
      </c>
      <c r="AZ335" s="74" t="str">
        <f aca="false">IF(ISBLANK($C335),"",IF($U335=Constants!$B$2,TRUE(),IF($U335=Constants!$B$3,FALSE(),FALSE())))</f>
        <v/>
      </c>
      <c r="BA335" s="74" t="str">
        <f aca="false">IF(ISBLANK($C335),"",IF(OR($V335&amp;""="1",$V335&amp;""="2",$V335&amp;""="3",$V335&amp;""="4"),VALUE($V335&amp;""),IF($V335=Constants!$B$12,Constants!$B$12,"")))</f>
        <v/>
      </c>
      <c r="BB335" s="74" t="str">
        <f aca="false">IF(ISBLANK($C335),"",IF(ISBLANK($W335),0,IF(ISNUMBER($W335),IF(AND($W335&gt;=0,$W335&lt;=Constants!$B$21,$W335=INT($W335)),$W335,""),"")))</f>
        <v/>
      </c>
      <c r="BC335" s="74" t="str">
        <f aca="false">IF(ISBLANK($C335),"",IF(ISBLANK($X335),0,IF(ISNUMBER($X335),IF($X335&gt;=0,$X335,""),"")))</f>
        <v/>
      </c>
      <c r="BD335" s="74" t="str">
        <f aca="false">IF(ISBLANK($C335),"",IF($Y335=Constants!$B$2,TRUE(),IF($Y335=Constants!$B$3,FALSE(),TRUE())))</f>
        <v/>
      </c>
      <c r="BE335" s="74" t="str">
        <f aca="false">IF(ISBLANK($C335),"",IF($Z335=Constants!$B$2,TRUE(),IF($Z335=Constants!$B$3,FALSE(),FALSE())))</f>
        <v/>
      </c>
      <c r="BF335" s="74" t="str">
        <f aca="false">IF(ISBLANK($C335),"",IF(ISBLANK($AA335),0,IF(ISNUMBER($AA335),IF(AND($AA335&gt;=0,$AA335&lt;=Constants!$B$35,$AA335=INT($AA335)),$AA335,""),"")))</f>
        <v/>
      </c>
      <c r="BG335" s="74" t="str">
        <f aca="false">IF(ISBLANK($C335),"",IF($AB335=Constants!$B$2,TRUE(),IF($AB335=Constants!$B$3,FALSE(),TRUE())))</f>
        <v/>
      </c>
      <c r="BH335" s="74" t="str">
        <f aca="false">IF(ISBLANK($C335),"",IF($AC335=Constants!$B$2,TRUE(),IF($AC335=Constants!$B$3,FALSE(),TRUE())))</f>
        <v/>
      </c>
      <c r="BI335" s="74" t="str">
        <f aca="false">IF(ISBLANK($C335),"",IF($AD335=Constants!$B$2,TRUE(),IF($AD335=Constants!$B$3,FALSE(),TRUE())))</f>
        <v/>
      </c>
      <c r="BJ335" s="74" t="str">
        <f aca="false">IF(ISBLANK($C335),"",IF(ISNUMBER($AE335),IF($AE335&gt;=0,$AE335,""),""))</f>
        <v/>
      </c>
      <c r="BK335" s="74" t="str">
        <f aca="false">IF(ISBLANK($C335),"",IF($AF335=Constants!$B$2,TRUE(),IF($AF335=Constants!$B$3,FALSE(),FALSE())))</f>
        <v/>
      </c>
      <c r="BL335" s="73" t="str">
        <f aca="false">IF(ISBLANK($C335),"",IF($BK335,Constants!$B$7,IF(COUNTA($E335:$AE335)=0,Constants!$B$6,IF(OR(COUNTA($G335:$AE335)=0,NOT($AM335),$AS335),Constants!$B$5,IF(OR($CM335&lt;&gt;"",$CN335,$CO335,$CP335,$CQ335,$CR335,$CS335),Constants!$B$8,Constants!$B$4)))))</f>
        <v/>
      </c>
      <c r="BM335" s="74" t="str">
        <f aca="false">IF(ISBLANK($C335),"",IF($BL335&lt;&gt;Constants!$B$4,$BL335,IF(OR(NOT($AJ335),NOT($AL335),NOT($AT335)),Constants!$B$11,IF(OR(NOT($AR335),NOT($AU335),NOT($BI335),MAX($AN335,$AO335,$AP335)&gt;Constants!$B$30),Constants!$B$10,Constants!$B$9))))</f>
        <v/>
      </c>
      <c r="BN335" s="74" t="str">
        <f aca="false">IF($BL335&lt;&gt;Constants!$B$4,"",IF(NOT($AL335),0,MIN(Constants!$B$35,$BF335)))</f>
        <v/>
      </c>
      <c r="BO335" s="74" t="str">
        <f aca="false">IF($BL335&lt;&gt;Constants!$B$4,"",IF(NOT($AL335),0,IF($AW335,Constants!$B$18,IF($AV335,Constants!$B$17,0))))</f>
        <v/>
      </c>
      <c r="BP335" s="74" t="str">
        <f aca="false">IF($BL335&lt;&gt;Constants!$B$4,"",IF(NOT($AL335),0,Constants!$B$19*($AK335+$AX335+$AY335+$AZ335)))</f>
        <v/>
      </c>
      <c r="BQ335" s="74" t="str">
        <f aca="false">IF($BL335&lt;&gt;Constants!$B$4,"",IF(OR(NOT($AL335),NOT(ISNUMBER($BA335))),0,CHOOSE($BA335,Constants!$B$13,Constants!$B$14,Constants!$B$15,Constants!$B$16)))</f>
        <v/>
      </c>
      <c r="BR335" s="74" t="str">
        <f aca="false">IF($BL335&lt;&gt;Constants!$B$4,"",IF(NOT($AL335),0,Constants!$B$20*$BB335))</f>
        <v/>
      </c>
      <c r="BS335" s="74" t="str">
        <f aca="false">IF($BL335&lt;&gt;Constants!$B$4,"",IF(AND($AL335,$BD335,$BE335),Constants!$B$22,0))</f>
        <v/>
      </c>
      <c r="BT335" s="74" t="str">
        <f aca="false">IF($BL335&lt;&gt;Constants!$B$4,"",IF(OR(NOT($AL335),NOT($BD335)),0,IF($BJ335&gt;=2*$AH$9,0,Constants!$B$23*INT(ROUND(MIN($BJ335,$AH$9),6)))))</f>
        <v/>
      </c>
      <c r="BU335" s="74" t="str">
        <f aca="false">IF($BL335&lt;&gt;Constants!$B$4,"",IF(NOT($AL335),0,Constants!$B$24*INT(ROUND(MIN($BC335,$AH$9),6))))</f>
        <v/>
      </c>
      <c r="BV335" s="74" t="str">
        <f aca="false">IF($BL335&lt;&gt;Constants!$B$4,"",IF(AND($AL335,$BN335=0),Constants!$B$25,0))</f>
        <v/>
      </c>
      <c r="BW335" s="74" t="str">
        <f aca="false">IF($BL335&lt;&gt;Constants!$B$4,"",MIN(Constants!$B$29,MAX(0,Constants!$B$27*Constants!$B$28*INT(ROUND((Constants!$B$26-$AN335)/Constants!$B$28,6))))+MIN(Constants!$B$29,MAX(0,Constants!$B$27*Constants!$B$28*INT(ROUND((Constants!$B$26-$AO335)/Constants!$B$28,6))))+MIN(Constants!$B$29,MAX(0,Constants!$B$27*Constants!$B$28*INT(ROUND((Constants!$B$26-$AP335)/Constants!$B$28,6)))))</f>
        <v/>
      </c>
      <c r="BX335" s="74" t="str">
        <f aca="false">IF($BL335&lt;&gt;Constants!$B$4,"",IF(NOT($AL335),0,Constants!$B$31*INT(ROUND(MAX(0,MIN($BJ335,2*$AH$9)-$AH$9),6))))</f>
        <v/>
      </c>
      <c r="BY335" s="74" t="str">
        <f aca="false">IF($BL335&lt;&gt;Constants!$B$4,"",Constants!$B$32*(($AN335&gt;Constants!$B$26)+($AO335&gt;Constants!$B$26)+($AP335&gt;Constants!$B$26)))</f>
        <v/>
      </c>
      <c r="BZ335" s="74" t="str">
        <f aca="false">IF($BL335&lt;&gt;Constants!$B$4,"",IF(OR(NOT($AL335),$AQ335),0,Constants!$B$33))</f>
        <v/>
      </c>
      <c r="CA335" s="74" t="str">
        <f aca="false">IF($BL335&lt;&gt;Constants!$B$4,"",Constants!$B$34*$BN335)</f>
        <v/>
      </c>
      <c r="CB335" s="74" t="str">
        <f aca="false">IF($BL335&lt;&gt;Constants!$B$4,"",IF(OR(NOT($AL335),$BH335),0,Constants!$B$36))</f>
        <v/>
      </c>
      <c r="CC335" s="74" t="str">
        <f aca="false">IF($BL335&lt;&gt;Constants!$B$4,"",IF(OR(NOT($AL335),$BG335),0,Constants!$B$37))</f>
        <v/>
      </c>
      <c r="CD335" s="74" t="str">
        <f aca="false">IF($BL335&lt;&gt;Constants!$B$4,"",SUM($BX335:$CC335))</f>
        <v/>
      </c>
      <c r="CE335" s="74" t="str">
        <f aca="false">IF(ISBLANK($C335),"",IF($BL335&lt;&gt;Constants!$B$4,$BL335,SUM($BO335:$BW335)-$CD335))</f>
        <v/>
      </c>
      <c r="CF335" s="74" t="str">
        <f aca="false">IF(ISBLANK($C335),"",IF($BL335&lt;&gt;Constants!$B$4,$BL335,RANK($CE335,$CE$9:$CE$508)))</f>
        <v/>
      </c>
      <c r="CG335" s="74" t="str">
        <f aca="false">IF(ISBLANK($C335),"",IF($BL335&lt;&gt;Constants!$B$4,$BL335,COUNTIFS($BM$9:$BM$508,"&lt;"&amp;$BM335)+COUNTIFS($BM$9:$BM$508,$BM335,$CF$9:$CF$508,"&lt;"&amp;$CF335)+1))</f>
        <v/>
      </c>
      <c r="CH335" s="74" t="str">
        <f aca="false">IF(ISBLANK($C335),"",IF($BL335&lt;&gt;Constants!$B$4,$BL335,RANK($CD335,$CD$9:$CD$508,1)))</f>
        <v/>
      </c>
      <c r="CI335" s="74" t="str">
        <f aca="false">IF($BL335&lt;&gt;Constants!$B$4,"",$AN335+$AO335+$AP335)</f>
        <v/>
      </c>
      <c r="CJ335" s="74" t="str">
        <f aca="false">IF(ISBLANK($C335),"",IF($BL335&lt;&gt;Constants!$B$4,$BL335,RANK($CI335,$CI$9:$CI$508,1)))</f>
        <v/>
      </c>
      <c r="CK335" s="74" t="str">
        <f aca="false">IF(ISBLANK($C335),"",IF($BL335&lt;&gt;Constants!$B$4,$BL335,COUNTIFS($BM$9:$BM$508,"&lt;"&amp;$BM335)+COUNTIFS($BM$9:$BM$508,$BM335,$CF$9:$CF$508,"&lt;"&amp;$CF335)+COUNTIFS($BM$9:$BM$508,$BM335,$CF$9:$CF$508,$CF335,$CH$9:$CH$508,"&lt;"&amp;$CH335)+COUNTIFS($BM$9:$BM$508,$BM335,$CF$9:$CF$508,$CF335,$CH$9:$CH$508,$CH335,$CJ$9:$CJ$508,"&lt;"&amp;$CJ335)+1))</f>
        <v/>
      </c>
      <c r="CL335" s="74" t="str">
        <f aca="false">IF(ISBLANK($C335),"",IF($BL335&lt;&gt;Constants!$B$4,$BL335,$CG335-$CK335))</f>
        <v/>
      </c>
      <c r="CM335" s="74" t="str">
        <f aca="false">IF(ISBLANK($C335),"",IF(NOT($AL335),"",IF(ISBLANK($D$7),$CM$5,IF(NOT(ISNUMBER($D$7)),$CM$6,""))))</f>
        <v/>
      </c>
      <c r="CN335" s="74" t="str">
        <f aca="false">IF(ISBLANK($C335),"",OR($AN335="",$AO335="",$AP335=""))</f>
        <v/>
      </c>
      <c r="CO335" s="74" t="str">
        <f aca="false">IF(ISBLANK($C335),"",AND($AL335,$BA335=""))</f>
        <v/>
      </c>
      <c r="CP335" s="74" t="str">
        <f aca="false">IF(ISBLANK($C335),"",AND($AL335,$BB335=""))</f>
        <v/>
      </c>
      <c r="CQ335" s="74" t="str">
        <f aca="false">IF(ISBLANK($C335),"",AND($AL335,$BC335=""))</f>
        <v/>
      </c>
      <c r="CR335" s="74" t="str">
        <f aca="false">IF(ISBLANK($C335),"",AND($AL335,$BF335=""))</f>
        <v/>
      </c>
      <c r="CS335" s="74" t="str">
        <f aca="false">IF(ISBLANK($C335),"",AND($AL335,$BJ335=""))</f>
        <v/>
      </c>
      <c r="CT335" s="75"/>
      <c r="CU335" s="76"/>
      <c r="CV335" s="79" t="str">
        <f aca="false">IF(ISBLANK($C335),"",IF($BL335=Constants!$B$8,$CM335,""))</f>
        <v/>
      </c>
      <c r="CW335" s="76" t="str">
        <f aca="false">IF(ISBLANK($C335),"",IF($BL335&lt;&gt;Constants!$B$4,"",$BO335+$BP335))</f>
        <v/>
      </c>
      <c r="CX335" s="78" t="str">
        <f aca="false">IF(ISBLANK($C335),"",IF($BL335&lt;&gt;Constants!$B$4,"",$BQ335+$BR335+$BS335))</f>
        <v/>
      </c>
      <c r="CY335" s="78" t="str">
        <f aca="false">IF(ISBLANK($C335),"",IF($BL335&lt;&gt;Constants!$B$4,"",$BT335))</f>
        <v/>
      </c>
      <c r="CZ335" s="78" t="str">
        <f aca="false">IF(ISBLANK($C335),"",IF($BL335&lt;&gt;Constants!$B$4,"",$BU335+$BV335))</f>
        <v/>
      </c>
      <c r="DA335" s="78" t="str">
        <f aca="false">IF(ISBLANK($C335),"",IF($BL335&lt;&gt;Constants!$B$4,"",$BW335))</f>
        <v/>
      </c>
      <c r="DB335" s="78" t="str">
        <f aca="false">IF(ISBLANK($C335),"",IF($BL335&lt;&gt;Constants!$B$4,"",-$CD335))</f>
        <v/>
      </c>
      <c r="DC335" s="79" t="str">
        <f aca="false">IF(ISBLANK($C335),"",$CE335)</f>
        <v/>
      </c>
      <c r="DD335" s="80" t="str">
        <f aca="false">IF(ISBLANK($C335),"",$BM335)</f>
        <v/>
      </c>
      <c r="DE335" s="78" t="str">
        <f aca="false">IF(ISBLANK($C335),"",$CL335)</f>
        <v/>
      </c>
      <c r="DF335" s="78" t="str">
        <f aca="false">IF(ISBLANK($C335),"",$CK335)</f>
        <v/>
      </c>
      <c r="DG335" s="81" t="str">
        <f aca="false">IF(ISBLANK($C335),"",IF($DF335=Constants!$B$7,COUNTA($C$9:$C$508)+2,IF($DF335=Constants!$B$6,COUNTA($C$9:$C$508)+1,IF($DF335=Constants!$B$5,COUNTA($C$9:$C$508),$DF335))))</f>
        <v/>
      </c>
      <c r="DH335" s="7"/>
      <c r="DI335" s="82" t="n">
        <f aca="false">IF(OR(ISNUMBER($DF335),$DF335=Constants!$B$7,$DF335=Constants!$B$5,$DF335=Constants!$B$6),1,0)</f>
        <v>0</v>
      </c>
      <c r="DJ335" s="82" t="n">
        <v>327</v>
      </c>
      <c r="DK335" s="82" t="str">
        <f aca="false">IF(ISBLANK($C335),"",IF(ISNUMBER($DG335),$DG335+ROW($B335)/1000,""))</f>
        <v/>
      </c>
      <c r="DL335" s="82" t="str">
        <f aca="false">IF(ISNUMBER($DK335),RANK($DK335,$DK$9:$DK$508,1),"")</f>
        <v/>
      </c>
      <c r="DM335" s="82" t="str">
        <f aca="false">IF(ISBLANK($C335),"",$B335)</f>
        <v/>
      </c>
      <c r="DN335" s="82" t="str">
        <f aca="false">IF(ISBLANK($C335),"",$C335)</f>
        <v/>
      </c>
      <c r="DO335" s="82" t="str">
        <f aca="false">IF(ISBLANK($C335),"",$D335)</f>
        <v/>
      </c>
      <c r="DP335" s="83" t="str">
        <f aca="false">$DD335</f>
        <v/>
      </c>
      <c r="DQ335" s="84" t="str">
        <f aca="false">$DC335</f>
        <v/>
      </c>
      <c r="DR335" s="82" t="str">
        <f aca="false">IF(ISBLANK($C335),"",$DF335)</f>
        <v/>
      </c>
      <c r="DS335" s="85" t="str">
        <f aca="false">IF($DJ335&gt;$DI$8,"",VLOOKUP($DJ335,$DL$9:$DR$508,7,FALSE()))</f>
        <v/>
      </c>
      <c r="DT335" s="86" t="str">
        <f aca="false">IF($DJ335&gt;$DI$8,"",VLOOKUP($DJ335,$DL$9:$DR$508,2,FALSE()))</f>
        <v/>
      </c>
      <c r="DU335" s="86" t="str">
        <f aca="false">IF($DJ335&gt;$DI$8,"",VLOOKUP($DJ335,$DL$9:$DR$508,3,FALSE()))</f>
        <v/>
      </c>
      <c r="DV335" s="86" t="str">
        <f aca="false">IF($DJ335&gt;$DI$8,"",VLOOKUP($DJ335,$DL$9:$DR$508,4,FALSE()))</f>
        <v/>
      </c>
      <c r="DW335" s="86" t="str">
        <f aca="false">IF($DJ335&gt;$DI$8,"",VLOOKUP($DJ335,$DL$9:$DR$508,5,FALSE()))</f>
        <v/>
      </c>
      <c r="DX335" s="87" t="str">
        <f aca="false">IF($DJ335&gt;$DI$8,"",VLOOKUP($DJ335,$DL$9:$DR$508,6,FALSE()))</f>
        <v/>
      </c>
      <c r="DY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130"/>
      <c r="N336" s="130"/>
      <c r="O336" s="135"/>
      <c r="P336" s="135"/>
      <c r="Q336" s="130"/>
      <c r="R336" s="130"/>
      <c r="S336" s="130"/>
      <c r="T336" s="130"/>
      <c r="U336" s="135"/>
      <c r="V336" s="130"/>
      <c r="W336" s="96"/>
      <c r="X336" s="130"/>
      <c r="Y336" s="130"/>
      <c r="Z336" s="96"/>
      <c r="AA336" s="96"/>
      <c r="AB336" s="130"/>
      <c r="AC336" s="130"/>
      <c r="AD336" s="130"/>
      <c r="AE336" s="97"/>
      <c r="AF336" s="130"/>
      <c r="AG336" s="99"/>
      <c r="AH336" s="100"/>
      <c r="AI336" s="100"/>
      <c r="AJ336" s="100" t="str">
        <f aca="false">IF(ISBLANK($C336),"",IF($E336=Constants!$B$2,TRUE(),IF($E336=Constants!$B$3,FALSE(),TRUE())))</f>
        <v/>
      </c>
      <c r="AK336" s="100" t="str">
        <f aca="false">IF(ISBLANK($C336),"",IF($F336=Constants!$B$2,TRUE(),IF($F336=Constants!$B$3,FALSE(),FALSE())))</f>
        <v/>
      </c>
      <c r="AL336" s="100" t="str">
        <f aca="false">IF(ISBLANK($C336),"",IF($G336=Constants!$B$2,TRUE(),IF($G336=Constants!$B$3,FALSE(),TRUE())))</f>
        <v/>
      </c>
      <c r="AM336" s="100" t="str">
        <f aca="false">IF(ISBLANK($C336),"",IF($H336=Constants!$B$2,TRUE(),IF($H336=Constants!$B$3,FALSE(),TRUE())))</f>
        <v/>
      </c>
      <c r="AN336" s="100" t="str">
        <f aca="false">IF(ISBLANK($C336),"",IF(ISNUMBER($I336),IF($I336&gt;=0,$I336,""),""))</f>
        <v/>
      </c>
      <c r="AO336" s="100" t="str">
        <f aca="false">IF(ISBLANK($C336),"",IF(ISNUMBER($J336),IF($J336&gt;=0,$J336,""),""))</f>
        <v/>
      </c>
      <c r="AP336" s="100" t="str">
        <f aca="false">IF(ISBLANK($C336),"",IF(ISNUMBER($K336),IF($K336&gt;=0,$K336,""),""))</f>
        <v/>
      </c>
      <c r="AQ336" s="100" t="str">
        <f aca="false">IF(ISBLANK($C336),"",IF($L336=Constants!$B$2,TRUE(),IF($L336=Constants!$B$3,FALSE(),TRUE())))</f>
        <v/>
      </c>
      <c r="AR336" s="100" t="str">
        <f aca="false">IF(ISBLANK($C336),"",IF($M336=Constants!$B$2,TRUE(),IF($M336=Constants!$B$3,FALSE(),TRUE())))</f>
        <v/>
      </c>
      <c r="AS336" s="100" t="str">
        <f aca="false">IF(ISBLANK($C336),"",IF($N336=Constants!$B$2,TRUE(),IF($N336=Constants!$B$3,FALSE(),FALSE())))</f>
        <v/>
      </c>
      <c r="AT336" s="100" t="str">
        <f aca="false">IF(ISBLANK($C336),"",IF($O336=Constants!$B$2,TRUE(),IF($O336=Constants!$B$3,FALSE(),TRUE())))</f>
        <v/>
      </c>
      <c r="AU336" s="100" t="str">
        <f aca="false">IF(ISBLANK($C336),"",IF($P336=Constants!$B$2,TRUE(),IF($P336=Constants!$B$3,FALSE(),TRUE())))</f>
        <v/>
      </c>
      <c r="AV336" s="100" t="str">
        <f aca="false">IF(ISBLANK($C336),"",IF($Q336=Constants!$B$2,TRUE(),IF($Q336=Constants!$B$3,FALSE(),FALSE())))</f>
        <v/>
      </c>
      <c r="AW336" s="100" t="str">
        <f aca="false">IF(ISBLANK($C336),"",IF($R336=Constants!$B$2,TRUE(),IF($R336=Constants!$B$3,FALSE(),FALSE())))</f>
        <v/>
      </c>
      <c r="AX336" s="100" t="str">
        <f aca="false">IF(ISBLANK($C336),"",IF($S336=Constants!$B$2,TRUE(),IF($S336=Constants!$B$3,FALSE(),FALSE())))</f>
        <v/>
      </c>
      <c r="AY336" s="100" t="str">
        <f aca="false">IF(ISBLANK($C336),"",IF($T336=Constants!$B$2,TRUE(),IF($T336=Constants!$B$3,FALSE(),FALSE())))</f>
        <v/>
      </c>
      <c r="AZ336" s="100" t="str">
        <f aca="false">IF(ISBLANK($C336),"",IF($U336=Constants!$B$2,TRUE(),IF($U336=Constants!$B$3,FALSE(),FALSE())))</f>
        <v/>
      </c>
      <c r="BA336" s="100" t="str">
        <f aca="false">IF(ISBLANK($C336),"",IF(OR($V336&amp;""="1",$V336&amp;""="2",$V336&amp;""="3",$V336&amp;""="4"),VALUE($V336&amp;""),IF($V336=Constants!$B$12,Constants!$B$12,"")))</f>
        <v/>
      </c>
      <c r="BB336" s="100" t="str">
        <f aca="false">IF(ISBLANK($C336),"",IF(ISBLANK($W336),0,IF(ISNUMBER($W336),IF(AND($W336&gt;=0,$W336&lt;=Constants!$B$21,$W336=INT($W336)),$W336,""),"")))</f>
        <v/>
      </c>
      <c r="BC336" s="100" t="str">
        <f aca="false">IF(ISBLANK($C336),"",IF(ISBLANK($X336),0,IF(ISNUMBER($X336),IF($X336&gt;=0,$X336,""),"")))</f>
        <v/>
      </c>
      <c r="BD336" s="100" t="str">
        <f aca="false">IF(ISBLANK($C336),"",IF($Y336=Constants!$B$2,TRUE(),IF($Y336=Constants!$B$3,FALSE(),TRUE())))</f>
        <v/>
      </c>
      <c r="BE336" s="100" t="str">
        <f aca="false">IF(ISBLANK($C336),"",IF($Z336=Constants!$B$2,TRUE(),IF($Z336=Constants!$B$3,FALSE(),FALSE())))</f>
        <v/>
      </c>
      <c r="BF336" s="100" t="str">
        <f aca="false">IF(ISBLANK($C336),"",IF(ISBLANK($AA336),0,IF(ISNUMBER($AA336),IF(AND($AA336&gt;=0,$AA336&lt;=Constants!$B$35,$AA336=INT($AA336)),$AA336,""),"")))</f>
        <v/>
      </c>
      <c r="BG336" s="100" t="str">
        <f aca="false">IF(ISBLANK($C336),"",IF($AB336=Constants!$B$2,TRUE(),IF($AB336=Constants!$B$3,FALSE(),TRUE())))</f>
        <v/>
      </c>
      <c r="BH336" s="100" t="str">
        <f aca="false">IF(ISBLANK($C336),"",IF($AC336=Constants!$B$2,TRUE(),IF($AC336=Constants!$B$3,FALSE(),TRUE())))</f>
        <v/>
      </c>
      <c r="BI336" s="100" t="str">
        <f aca="false">IF(ISBLANK($C336),"",IF($AD336=Constants!$B$2,TRUE(),IF($AD336=Constants!$B$3,FALSE(),TRUE())))</f>
        <v/>
      </c>
      <c r="BJ336" s="100" t="str">
        <f aca="false">IF(ISBLANK($C336),"",IF(ISNUMBER($AE336),IF($AE336&gt;=0,$AE336,""),""))</f>
        <v/>
      </c>
      <c r="BK336" s="100" t="str">
        <f aca="false">IF(ISBLANK($C336),"",IF($AF336=Constants!$B$2,TRUE(),IF($AF336=Constants!$B$3,FALSE(),FALSE())))</f>
        <v/>
      </c>
      <c r="BL336" s="99" t="str">
        <f aca="false">IF(ISBLANK($C336),"",IF($BK336,Constants!$B$7,IF(COUNTA($E336:$AE336)=0,Constants!$B$6,IF(OR(COUNTA($G336:$AE336)=0,NOT($AM336),$AS336),Constants!$B$5,IF(OR($CM336&lt;&gt;"",$CN336,$CO336,$CP336,$CQ336,$CR336,$CS336),Constants!$B$8,Constants!$B$4)))))</f>
        <v/>
      </c>
      <c r="BM336" s="100" t="str">
        <f aca="false">IF(ISBLANK($C336),"",IF($BL336&lt;&gt;Constants!$B$4,$BL336,IF(OR(NOT($AJ336),NOT($AL336),NOT($AT336)),Constants!$B$11,IF(OR(NOT($AR336),NOT($AU336),NOT($BI336),MAX($AN336,$AO336,$AP336)&gt;Constants!$B$30),Constants!$B$10,Constants!$B$9))))</f>
        <v/>
      </c>
      <c r="BN336" s="100" t="str">
        <f aca="false">IF($BL336&lt;&gt;Constants!$B$4,"",IF(NOT($AL336),0,MIN(Constants!$B$35,$BF336)))</f>
        <v/>
      </c>
      <c r="BO336" s="100" t="str">
        <f aca="false">IF($BL336&lt;&gt;Constants!$B$4,"",IF(NOT($AL336),0,IF($AW336,Constants!$B$18,IF($AV336,Constants!$B$17,0))))</f>
        <v/>
      </c>
      <c r="BP336" s="100" t="str">
        <f aca="false">IF($BL336&lt;&gt;Constants!$B$4,"",IF(NOT($AL336),0,Constants!$B$19*($AK336+$AX336+$AY336+$AZ336)))</f>
        <v/>
      </c>
      <c r="BQ336" s="100" t="str">
        <f aca="false">IF($BL336&lt;&gt;Constants!$B$4,"",IF(OR(NOT($AL336),NOT(ISNUMBER($BA336))),0,CHOOSE($BA336,Constants!$B$13,Constants!$B$14,Constants!$B$15,Constants!$B$16)))</f>
        <v/>
      </c>
      <c r="BR336" s="100" t="str">
        <f aca="false">IF($BL336&lt;&gt;Constants!$B$4,"",IF(NOT($AL336),0,Constants!$B$20*$BB336))</f>
        <v/>
      </c>
      <c r="BS336" s="100" t="str">
        <f aca="false">IF($BL336&lt;&gt;Constants!$B$4,"",IF(AND($AL336,$BD336,$BE336),Constants!$B$22,0))</f>
        <v/>
      </c>
      <c r="BT336" s="100" t="str">
        <f aca="false">IF($BL336&lt;&gt;Constants!$B$4,"",IF(OR(NOT($AL336),NOT($BD336)),0,IF($BJ336&gt;=2*$AH$9,0,Constants!$B$23*INT(ROUND(MIN($BJ336,$AH$9),6)))))</f>
        <v/>
      </c>
      <c r="BU336" s="100" t="str">
        <f aca="false">IF($BL336&lt;&gt;Constants!$B$4,"",IF(NOT($AL336),0,Constants!$B$24*INT(ROUND(MIN($BC336,$AH$9),6))))</f>
        <v/>
      </c>
      <c r="BV336" s="100" t="str">
        <f aca="false">IF($BL336&lt;&gt;Constants!$B$4,"",IF(AND($AL336,$BN336=0),Constants!$B$25,0))</f>
        <v/>
      </c>
      <c r="BW336" s="100" t="str">
        <f aca="false">IF($BL336&lt;&gt;Constants!$B$4,"",MIN(Constants!$B$29,MAX(0,Constants!$B$27*Constants!$B$28*INT(ROUND((Constants!$B$26-$AN336)/Constants!$B$28,6))))+MIN(Constants!$B$29,MAX(0,Constants!$B$27*Constants!$B$28*INT(ROUND((Constants!$B$26-$AO336)/Constants!$B$28,6))))+MIN(Constants!$B$29,MAX(0,Constants!$B$27*Constants!$B$28*INT(ROUND((Constants!$B$26-$AP336)/Constants!$B$28,6)))))</f>
        <v/>
      </c>
      <c r="BX336" s="100" t="str">
        <f aca="false">IF($BL336&lt;&gt;Constants!$B$4,"",IF(NOT($AL336),0,Constants!$B$31*INT(ROUND(MAX(0,MIN($BJ336,2*$AH$9)-$AH$9),6))))</f>
        <v/>
      </c>
      <c r="BY336" s="100" t="str">
        <f aca="false">IF($BL336&lt;&gt;Constants!$B$4,"",Constants!$B$32*(($AN336&gt;Constants!$B$26)+($AO336&gt;Constants!$B$26)+($AP336&gt;Constants!$B$26)))</f>
        <v/>
      </c>
      <c r="BZ336" s="100" t="str">
        <f aca="false">IF($BL336&lt;&gt;Constants!$B$4,"",IF(OR(NOT($AL336),$AQ336),0,Constants!$B$33))</f>
        <v/>
      </c>
      <c r="CA336" s="100" t="str">
        <f aca="false">IF($BL336&lt;&gt;Constants!$B$4,"",Constants!$B$34*$BN336)</f>
        <v/>
      </c>
      <c r="CB336" s="100" t="str">
        <f aca="false">IF($BL336&lt;&gt;Constants!$B$4,"",IF(OR(NOT($AL336),$BH336),0,Constants!$B$36))</f>
        <v/>
      </c>
      <c r="CC336" s="100" t="str">
        <f aca="false">IF($BL336&lt;&gt;Constants!$B$4,"",IF(OR(NOT($AL336),$BG336),0,Constants!$B$37))</f>
        <v/>
      </c>
      <c r="CD336" s="100" t="str">
        <f aca="false">IF($BL336&lt;&gt;Constants!$B$4,"",SUM($BX336:$CC336))</f>
        <v/>
      </c>
      <c r="CE336" s="100" t="str">
        <f aca="false">IF(ISBLANK($C336),"",IF($BL336&lt;&gt;Constants!$B$4,$BL336,SUM($BO336:$BW336)-$CD336))</f>
        <v/>
      </c>
      <c r="CF336" s="100" t="str">
        <f aca="false">IF(ISBLANK($C336),"",IF($BL336&lt;&gt;Constants!$B$4,$BL336,RANK($CE336,$CE$9:$CE$508)))</f>
        <v/>
      </c>
      <c r="CG336" s="100" t="str">
        <f aca="false">IF(ISBLANK($C336),"",IF($BL336&lt;&gt;Constants!$B$4,$BL336,COUNTIFS($BM$9:$BM$508,"&lt;"&amp;$BM336)+COUNTIFS($BM$9:$BM$508,$BM336,$CF$9:$CF$508,"&lt;"&amp;$CF336)+1))</f>
        <v/>
      </c>
      <c r="CH336" s="100" t="str">
        <f aca="false">IF(ISBLANK($C336),"",IF($BL336&lt;&gt;Constants!$B$4,$BL336,RANK($CD336,$CD$9:$CD$508,1)))</f>
        <v/>
      </c>
      <c r="CI336" s="100" t="str">
        <f aca="false">IF($BL336&lt;&gt;Constants!$B$4,"",$AN336+$AO336+$AP336)</f>
        <v/>
      </c>
      <c r="CJ336" s="100" t="str">
        <f aca="false">IF(ISBLANK($C336),"",IF($BL336&lt;&gt;Constants!$B$4,$BL336,RANK($CI336,$CI$9:$CI$508,1)))</f>
        <v/>
      </c>
      <c r="CK336" s="100" t="str">
        <f aca="false">IF(ISBLANK($C336),"",IF($BL336&lt;&gt;Constants!$B$4,$BL336,COUNTIFS($BM$9:$BM$508,"&lt;"&amp;$BM336)+COUNTIFS($BM$9:$BM$508,$BM336,$CF$9:$CF$508,"&lt;"&amp;$CF336)+COUNTIFS($BM$9:$BM$508,$BM336,$CF$9:$CF$508,$CF336,$CH$9:$CH$508,"&lt;"&amp;$CH336)+COUNTIFS($BM$9:$BM$508,$BM336,$CF$9:$CF$508,$CF336,$CH$9:$CH$508,$CH336,$CJ$9:$CJ$508,"&lt;"&amp;$CJ336)+1))</f>
        <v/>
      </c>
      <c r="CL336" s="100" t="str">
        <f aca="false">IF(ISBLANK($C336),"",IF($BL336&lt;&gt;Constants!$B$4,$BL336,$CG336-$CK336))</f>
        <v/>
      </c>
      <c r="CM336" s="100" t="str">
        <f aca="false">IF(ISBLANK($C336),"",IF(NOT($AL336),"",IF(ISBLANK($D$7),$CM$5,IF(NOT(ISNUMBER($D$7)),$CM$6,""))))</f>
        <v/>
      </c>
      <c r="CN336" s="100" t="str">
        <f aca="false">IF(ISBLANK($C336),"",OR($AN336="",$AO336="",$AP336=""))</f>
        <v/>
      </c>
      <c r="CO336" s="100" t="str">
        <f aca="false">IF(ISBLANK($C336),"",AND($AL336,$BA336=""))</f>
        <v/>
      </c>
      <c r="CP336" s="100" t="str">
        <f aca="false">IF(ISBLANK($C336),"",AND($AL336,$BB336=""))</f>
        <v/>
      </c>
      <c r="CQ336" s="100" t="str">
        <f aca="false">IF(ISBLANK($C336),"",AND($AL336,$BC336=""))</f>
        <v/>
      </c>
      <c r="CR336" s="100" t="str">
        <f aca="false">IF(ISBLANK($C336),"",AND($AL336,$BF336=""))</f>
        <v/>
      </c>
      <c r="CS336" s="100" t="str">
        <f aca="false">IF(ISBLANK($C336),"",AND($AL336,$BJ336=""))</f>
        <v/>
      </c>
      <c r="CT336" s="101"/>
      <c r="CU336" s="102"/>
      <c r="CV336" s="103" t="str">
        <f aca="false">IF(ISBLANK($C336),"",IF($BL336=Constants!$B$8,$CM336,""))</f>
        <v/>
      </c>
      <c r="CW336" s="102" t="str">
        <f aca="false">IF(ISBLANK($C336),"",IF($BL336&lt;&gt;Constants!$B$4,"",$BO336+$BP336))</f>
        <v/>
      </c>
      <c r="CX336" s="104" t="str">
        <f aca="false">IF(ISBLANK($C336),"",IF($BL336&lt;&gt;Constants!$B$4,"",$BQ336+$BR336+$BS336))</f>
        <v/>
      </c>
      <c r="CY336" s="104" t="str">
        <f aca="false">IF(ISBLANK($C336),"",IF($BL336&lt;&gt;Constants!$B$4,"",$BT336))</f>
        <v/>
      </c>
      <c r="CZ336" s="104" t="str">
        <f aca="false">IF(ISBLANK($C336),"",IF($BL336&lt;&gt;Constants!$B$4,"",$BU336+$BV336))</f>
        <v/>
      </c>
      <c r="DA336" s="104" t="str">
        <f aca="false">IF(ISBLANK($C336),"",IF($BL336&lt;&gt;Constants!$B$4,"",$BW336))</f>
        <v/>
      </c>
      <c r="DB336" s="104" t="str">
        <f aca="false">IF(ISBLANK($C336),"",IF($BL336&lt;&gt;Constants!$B$4,"",-$CD336))</f>
        <v/>
      </c>
      <c r="DC336" s="103" t="str">
        <f aca="false">IF(ISBLANK($C336),"",$CE336)</f>
        <v/>
      </c>
      <c r="DD336" s="105" t="str">
        <f aca="false">IF(ISBLANK($C336),"",$BM336)</f>
        <v/>
      </c>
      <c r="DE336" s="104" t="str">
        <f aca="false">IF(ISBLANK($C336),"",$CL336)</f>
        <v/>
      </c>
      <c r="DF336" s="104" t="str">
        <f aca="false">IF(ISBLANK($C336),"",$CK336)</f>
        <v/>
      </c>
      <c r="DG336" s="106" t="str">
        <f aca="false">IF(ISBLANK($C336),"",IF($DF336=Constants!$B$7,COUNTA($C$9:$C$508)+2,IF($DF336=Constants!$B$6,COUNTA($C$9:$C$508)+1,IF($DF336=Constants!$B$5,COUNTA($C$9:$C$508),$DF336))))</f>
        <v/>
      </c>
      <c r="DH336" s="7"/>
      <c r="DI336" s="107" t="n">
        <f aca="false">IF(OR(ISNUMBER($DF336),$DF336=Constants!$B$7,$DF336=Constants!$B$5,$DF336=Constants!$B$6),1,0)</f>
        <v>0</v>
      </c>
      <c r="DJ336" s="107" t="n">
        <v>328</v>
      </c>
      <c r="DK336" s="107" t="str">
        <f aca="false">IF(ISBLANK($C336),"",IF(ISNUMBER($DG336),$DG336+ROW($B336)/1000,""))</f>
        <v/>
      </c>
      <c r="DL336" s="107" t="str">
        <f aca="false">IF(ISNUMBER($DK336),RANK($DK336,$DK$9:$DK$508,1),"")</f>
        <v/>
      </c>
      <c r="DM336" s="107" t="str">
        <f aca="false">IF(ISBLANK($C336),"",$B336)</f>
        <v/>
      </c>
      <c r="DN336" s="107" t="str">
        <f aca="false">IF(ISBLANK($C336),"",$C336)</f>
        <v/>
      </c>
      <c r="DO336" s="107" t="str">
        <f aca="false">IF(ISBLANK($C336),"",$D336)</f>
        <v/>
      </c>
      <c r="DP336" s="108" t="str">
        <f aca="false">$DD336</f>
        <v/>
      </c>
      <c r="DQ336" s="109" t="str">
        <f aca="false">$DC336</f>
        <v/>
      </c>
      <c r="DR336" s="107" t="str">
        <f aca="false">IF(ISBLANK($C336),"",$DF336)</f>
        <v/>
      </c>
      <c r="DS336" s="110" t="str">
        <f aca="false">IF($DJ336&gt;$DI$8,"",VLOOKUP($DJ336,$DL$9:$DR$508,7,FALSE()))</f>
        <v/>
      </c>
      <c r="DT336" s="111" t="str">
        <f aca="false">IF($DJ336&gt;$DI$8,"",VLOOKUP($DJ336,$DL$9:$DR$508,2,FALSE()))</f>
        <v/>
      </c>
      <c r="DU336" s="111" t="str">
        <f aca="false">IF($DJ336&gt;$DI$8,"",VLOOKUP($DJ336,$DL$9:$DR$508,3,FALSE()))</f>
        <v/>
      </c>
      <c r="DV336" s="111" t="str">
        <f aca="false">IF($DJ336&gt;$DI$8,"",VLOOKUP($DJ336,$DL$9:$DR$508,4,FALSE()))</f>
        <v/>
      </c>
      <c r="DW336" s="111" t="str">
        <f aca="false">IF($DJ336&gt;$DI$8,"",VLOOKUP($DJ336,$DL$9:$DR$508,5,FALSE()))</f>
        <v/>
      </c>
      <c r="DX336" s="112" t="str">
        <f aca="false">IF($DJ336&gt;$DI$8,"",VLOOKUP($DJ336,$DL$9:$DR$508,6,FALSE()))</f>
        <v/>
      </c>
      <c r="DY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130"/>
      <c r="N337" s="130"/>
      <c r="O337" s="135"/>
      <c r="P337" s="135"/>
      <c r="Q337" s="130"/>
      <c r="R337" s="130"/>
      <c r="S337" s="130"/>
      <c r="T337" s="130"/>
      <c r="U337" s="135"/>
      <c r="V337" s="130"/>
      <c r="W337" s="96"/>
      <c r="X337" s="130"/>
      <c r="Y337" s="130"/>
      <c r="Z337" s="96"/>
      <c r="AA337" s="96"/>
      <c r="AB337" s="130"/>
      <c r="AC337" s="130"/>
      <c r="AD337" s="130"/>
      <c r="AE337" s="97"/>
      <c r="AF337" s="130"/>
      <c r="AG337" s="99"/>
      <c r="AH337" s="100"/>
      <c r="AI337" s="100"/>
      <c r="AJ337" s="100" t="str">
        <f aca="false">IF(ISBLANK($C337),"",IF($E337=Constants!$B$2,TRUE(),IF($E337=Constants!$B$3,FALSE(),TRUE())))</f>
        <v/>
      </c>
      <c r="AK337" s="100" t="str">
        <f aca="false">IF(ISBLANK($C337),"",IF($F337=Constants!$B$2,TRUE(),IF($F337=Constants!$B$3,FALSE(),FALSE())))</f>
        <v/>
      </c>
      <c r="AL337" s="100" t="str">
        <f aca="false">IF(ISBLANK($C337),"",IF($G337=Constants!$B$2,TRUE(),IF($G337=Constants!$B$3,FALSE(),TRUE())))</f>
        <v/>
      </c>
      <c r="AM337" s="100" t="str">
        <f aca="false">IF(ISBLANK($C337),"",IF($H337=Constants!$B$2,TRUE(),IF($H337=Constants!$B$3,FALSE(),TRUE())))</f>
        <v/>
      </c>
      <c r="AN337" s="100" t="str">
        <f aca="false">IF(ISBLANK($C337),"",IF(ISNUMBER($I337),IF($I337&gt;=0,$I337,""),""))</f>
        <v/>
      </c>
      <c r="AO337" s="100" t="str">
        <f aca="false">IF(ISBLANK($C337),"",IF(ISNUMBER($J337),IF($J337&gt;=0,$J337,""),""))</f>
        <v/>
      </c>
      <c r="AP337" s="100" t="str">
        <f aca="false">IF(ISBLANK($C337),"",IF(ISNUMBER($K337),IF($K337&gt;=0,$K337,""),""))</f>
        <v/>
      </c>
      <c r="AQ337" s="100" t="str">
        <f aca="false">IF(ISBLANK($C337),"",IF($L337=Constants!$B$2,TRUE(),IF($L337=Constants!$B$3,FALSE(),TRUE())))</f>
        <v/>
      </c>
      <c r="AR337" s="100" t="str">
        <f aca="false">IF(ISBLANK($C337),"",IF($M337=Constants!$B$2,TRUE(),IF($M337=Constants!$B$3,FALSE(),TRUE())))</f>
        <v/>
      </c>
      <c r="AS337" s="100" t="str">
        <f aca="false">IF(ISBLANK($C337),"",IF($N337=Constants!$B$2,TRUE(),IF($N337=Constants!$B$3,FALSE(),FALSE())))</f>
        <v/>
      </c>
      <c r="AT337" s="100" t="str">
        <f aca="false">IF(ISBLANK($C337),"",IF($O337=Constants!$B$2,TRUE(),IF($O337=Constants!$B$3,FALSE(),TRUE())))</f>
        <v/>
      </c>
      <c r="AU337" s="100" t="str">
        <f aca="false">IF(ISBLANK($C337),"",IF($P337=Constants!$B$2,TRUE(),IF($P337=Constants!$B$3,FALSE(),TRUE())))</f>
        <v/>
      </c>
      <c r="AV337" s="100" t="str">
        <f aca="false">IF(ISBLANK($C337),"",IF($Q337=Constants!$B$2,TRUE(),IF($Q337=Constants!$B$3,FALSE(),FALSE())))</f>
        <v/>
      </c>
      <c r="AW337" s="100" t="str">
        <f aca="false">IF(ISBLANK($C337),"",IF($R337=Constants!$B$2,TRUE(),IF($R337=Constants!$B$3,FALSE(),FALSE())))</f>
        <v/>
      </c>
      <c r="AX337" s="100" t="str">
        <f aca="false">IF(ISBLANK($C337),"",IF($S337=Constants!$B$2,TRUE(),IF($S337=Constants!$B$3,FALSE(),FALSE())))</f>
        <v/>
      </c>
      <c r="AY337" s="100" t="str">
        <f aca="false">IF(ISBLANK($C337),"",IF($T337=Constants!$B$2,TRUE(),IF($T337=Constants!$B$3,FALSE(),FALSE())))</f>
        <v/>
      </c>
      <c r="AZ337" s="100" t="str">
        <f aca="false">IF(ISBLANK($C337),"",IF($U337=Constants!$B$2,TRUE(),IF($U337=Constants!$B$3,FALSE(),FALSE())))</f>
        <v/>
      </c>
      <c r="BA337" s="100" t="str">
        <f aca="false">IF(ISBLANK($C337),"",IF(OR($V337&amp;""="1",$V337&amp;""="2",$V337&amp;""="3",$V337&amp;""="4"),VALUE($V337&amp;""),IF($V337=Constants!$B$12,Constants!$B$12,"")))</f>
        <v/>
      </c>
      <c r="BB337" s="100" t="str">
        <f aca="false">IF(ISBLANK($C337),"",IF(ISBLANK($W337),0,IF(ISNUMBER($W337),IF(AND($W337&gt;=0,$W337&lt;=Constants!$B$21,$W337=INT($W337)),$W337,""),"")))</f>
        <v/>
      </c>
      <c r="BC337" s="100" t="str">
        <f aca="false">IF(ISBLANK($C337),"",IF(ISBLANK($X337),0,IF(ISNUMBER($X337),IF($X337&gt;=0,$X337,""),"")))</f>
        <v/>
      </c>
      <c r="BD337" s="100" t="str">
        <f aca="false">IF(ISBLANK($C337),"",IF($Y337=Constants!$B$2,TRUE(),IF($Y337=Constants!$B$3,FALSE(),TRUE())))</f>
        <v/>
      </c>
      <c r="BE337" s="100" t="str">
        <f aca="false">IF(ISBLANK($C337),"",IF($Z337=Constants!$B$2,TRUE(),IF($Z337=Constants!$B$3,FALSE(),FALSE())))</f>
        <v/>
      </c>
      <c r="BF337" s="100" t="str">
        <f aca="false">IF(ISBLANK($C337),"",IF(ISBLANK($AA337),0,IF(ISNUMBER($AA337),IF(AND($AA337&gt;=0,$AA337&lt;=Constants!$B$35,$AA337=INT($AA337)),$AA337,""),"")))</f>
        <v/>
      </c>
      <c r="BG337" s="100" t="str">
        <f aca="false">IF(ISBLANK($C337),"",IF($AB337=Constants!$B$2,TRUE(),IF($AB337=Constants!$B$3,FALSE(),TRUE())))</f>
        <v/>
      </c>
      <c r="BH337" s="100" t="str">
        <f aca="false">IF(ISBLANK($C337),"",IF($AC337=Constants!$B$2,TRUE(),IF($AC337=Constants!$B$3,FALSE(),TRUE())))</f>
        <v/>
      </c>
      <c r="BI337" s="100" t="str">
        <f aca="false">IF(ISBLANK($C337),"",IF($AD337=Constants!$B$2,TRUE(),IF($AD337=Constants!$B$3,FALSE(),TRUE())))</f>
        <v/>
      </c>
      <c r="BJ337" s="100" t="str">
        <f aca="false">IF(ISBLANK($C337),"",IF(ISNUMBER($AE337),IF($AE337&gt;=0,$AE337,""),""))</f>
        <v/>
      </c>
      <c r="BK337" s="100" t="str">
        <f aca="false">IF(ISBLANK($C337),"",IF($AF337=Constants!$B$2,TRUE(),IF($AF337=Constants!$B$3,FALSE(),FALSE())))</f>
        <v/>
      </c>
      <c r="BL337" s="99" t="str">
        <f aca="false">IF(ISBLANK($C337),"",IF($BK337,Constants!$B$7,IF(COUNTA($E337:$AE337)=0,Constants!$B$6,IF(OR(COUNTA($G337:$AE337)=0,NOT($AM337),$AS337),Constants!$B$5,IF(OR($CM337&lt;&gt;"",$CN337,$CO337,$CP337,$CQ337,$CR337,$CS337),Constants!$B$8,Constants!$B$4)))))</f>
        <v/>
      </c>
      <c r="BM337" s="100" t="str">
        <f aca="false">IF(ISBLANK($C337),"",IF($BL337&lt;&gt;Constants!$B$4,$BL337,IF(OR(NOT($AJ337),NOT($AL337),NOT($AT337)),Constants!$B$11,IF(OR(NOT($AR337),NOT($AU337),NOT($BI337),MAX($AN337,$AO337,$AP337)&gt;Constants!$B$30),Constants!$B$10,Constants!$B$9))))</f>
        <v/>
      </c>
      <c r="BN337" s="100" t="str">
        <f aca="false">IF($BL337&lt;&gt;Constants!$B$4,"",IF(NOT($AL337),0,MIN(Constants!$B$35,$BF337)))</f>
        <v/>
      </c>
      <c r="BO337" s="100" t="str">
        <f aca="false">IF($BL337&lt;&gt;Constants!$B$4,"",IF(NOT($AL337),0,IF($AW337,Constants!$B$18,IF($AV337,Constants!$B$17,0))))</f>
        <v/>
      </c>
      <c r="BP337" s="100" t="str">
        <f aca="false">IF($BL337&lt;&gt;Constants!$B$4,"",IF(NOT($AL337),0,Constants!$B$19*($AK337+$AX337+$AY337+$AZ337)))</f>
        <v/>
      </c>
      <c r="BQ337" s="100" t="str">
        <f aca="false">IF($BL337&lt;&gt;Constants!$B$4,"",IF(OR(NOT($AL337),NOT(ISNUMBER($BA337))),0,CHOOSE($BA337,Constants!$B$13,Constants!$B$14,Constants!$B$15,Constants!$B$16)))</f>
        <v/>
      </c>
      <c r="BR337" s="100" t="str">
        <f aca="false">IF($BL337&lt;&gt;Constants!$B$4,"",IF(NOT($AL337),0,Constants!$B$20*$BB337))</f>
        <v/>
      </c>
      <c r="BS337" s="100" t="str">
        <f aca="false">IF($BL337&lt;&gt;Constants!$B$4,"",IF(AND($AL337,$BD337,$BE337),Constants!$B$22,0))</f>
        <v/>
      </c>
      <c r="BT337" s="100" t="str">
        <f aca="false">IF($BL337&lt;&gt;Constants!$B$4,"",IF(OR(NOT($AL337),NOT($BD337)),0,IF($BJ337&gt;=2*$AH$9,0,Constants!$B$23*INT(ROUND(MIN($BJ337,$AH$9),6)))))</f>
        <v/>
      </c>
      <c r="BU337" s="100" t="str">
        <f aca="false">IF($BL337&lt;&gt;Constants!$B$4,"",IF(NOT($AL337),0,Constants!$B$24*INT(ROUND(MIN($BC337,$AH$9),6))))</f>
        <v/>
      </c>
      <c r="BV337" s="100" t="str">
        <f aca="false">IF($BL337&lt;&gt;Constants!$B$4,"",IF(AND($AL337,$BN337=0),Constants!$B$25,0))</f>
        <v/>
      </c>
      <c r="BW337" s="100" t="str">
        <f aca="false">IF($BL337&lt;&gt;Constants!$B$4,"",MIN(Constants!$B$29,MAX(0,Constants!$B$27*Constants!$B$28*INT(ROUND((Constants!$B$26-$AN337)/Constants!$B$28,6))))+MIN(Constants!$B$29,MAX(0,Constants!$B$27*Constants!$B$28*INT(ROUND((Constants!$B$26-$AO337)/Constants!$B$28,6))))+MIN(Constants!$B$29,MAX(0,Constants!$B$27*Constants!$B$28*INT(ROUND((Constants!$B$26-$AP337)/Constants!$B$28,6)))))</f>
        <v/>
      </c>
      <c r="BX337" s="100" t="str">
        <f aca="false">IF($BL337&lt;&gt;Constants!$B$4,"",IF(NOT($AL337),0,Constants!$B$31*INT(ROUND(MAX(0,MIN($BJ337,2*$AH$9)-$AH$9),6))))</f>
        <v/>
      </c>
      <c r="BY337" s="100" t="str">
        <f aca="false">IF($BL337&lt;&gt;Constants!$B$4,"",Constants!$B$32*(($AN337&gt;Constants!$B$26)+($AO337&gt;Constants!$B$26)+($AP337&gt;Constants!$B$26)))</f>
        <v/>
      </c>
      <c r="BZ337" s="100" t="str">
        <f aca="false">IF($BL337&lt;&gt;Constants!$B$4,"",IF(OR(NOT($AL337),$AQ337),0,Constants!$B$33))</f>
        <v/>
      </c>
      <c r="CA337" s="100" t="str">
        <f aca="false">IF($BL337&lt;&gt;Constants!$B$4,"",Constants!$B$34*$BN337)</f>
        <v/>
      </c>
      <c r="CB337" s="100" t="str">
        <f aca="false">IF($BL337&lt;&gt;Constants!$B$4,"",IF(OR(NOT($AL337),$BH337),0,Constants!$B$36))</f>
        <v/>
      </c>
      <c r="CC337" s="100" t="str">
        <f aca="false">IF($BL337&lt;&gt;Constants!$B$4,"",IF(OR(NOT($AL337),$BG337),0,Constants!$B$37))</f>
        <v/>
      </c>
      <c r="CD337" s="100" t="str">
        <f aca="false">IF($BL337&lt;&gt;Constants!$B$4,"",SUM($BX337:$CC337))</f>
        <v/>
      </c>
      <c r="CE337" s="100" t="str">
        <f aca="false">IF(ISBLANK($C337),"",IF($BL337&lt;&gt;Constants!$B$4,$BL337,SUM($BO337:$BW337)-$CD337))</f>
        <v/>
      </c>
      <c r="CF337" s="100" t="str">
        <f aca="false">IF(ISBLANK($C337),"",IF($BL337&lt;&gt;Constants!$B$4,$BL337,RANK($CE337,$CE$9:$CE$508)))</f>
        <v/>
      </c>
      <c r="CG337" s="100" t="str">
        <f aca="false">IF(ISBLANK($C337),"",IF($BL337&lt;&gt;Constants!$B$4,$BL337,COUNTIFS($BM$9:$BM$508,"&lt;"&amp;$BM337)+COUNTIFS($BM$9:$BM$508,$BM337,$CF$9:$CF$508,"&lt;"&amp;$CF337)+1))</f>
        <v/>
      </c>
      <c r="CH337" s="100" t="str">
        <f aca="false">IF(ISBLANK($C337),"",IF($BL337&lt;&gt;Constants!$B$4,$BL337,RANK($CD337,$CD$9:$CD$508,1)))</f>
        <v/>
      </c>
      <c r="CI337" s="100" t="str">
        <f aca="false">IF($BL337&lt;&gt;Constants!$B$4,"",$AN337+$AO337+$AP337)</f>
        <v/>
      </c>
      <c r="CJ337" s="100" t="str">
        <f aca="false">IF(ISBLANK($C337),"",IF($BL337&lt;&gt;Constants!$B$4,$BL337,RANK($CI337,$CI$9:$CI$508,1)))</f>
        <v/>
      </c>
      <c r="CK337" s="100" t="str">
        <f aca="false">IF(ISBLANK($C337),"",IF($BL337&lt;&gt;Constants!$B$4,$BL337,COUNTIFS($BM$9:$BM$508,"&lt;"&amp;$BM337)+COUNTIFS($BM$9:$BM$508,$BM337,$CF$9:$CF$508,"&lt;"&amp;$CF337)+COUNTIFS($BM$9:$BM$508,$BM337,$CF$9:$CF$508,$CF337,$CH$9:$CH$508,"&lt;"&amp;$CH337)+COUNTIFS($BM$9:$BM$508,$BM337,$CF$9:$CF$508,$CF337,$CH$9:$CH$508,$CH337,$CJ$9:$CJ$508,"&lt;"&amp;$CJ337)+1))</f>
        <v/>
      </c>
      <c r="CL337" s="100" t="str">
        <f aca="false">IF(ISBLANK($C337),"",IF($BL337&lt;&gt;Constants!$B$4,$BL337,$CG337-$CK337))</f>
        <v/>
      </c>
      <c r="CM337" s="100" t="str">
        <f aca="false">IF(ISBLANK($C337),"",IF(NOT($AL337),"",IF(ISBLANK($D$7),$CM$5,IF(NOT(ISNUMBER($D$7)),$CM$6,""))))</f>
        <v/>
      </c>
      <c r="CN337" s="100" t="str">
        <f aca="false">IF(ISBLANK($C337),"",OR($AN337="",$AO337="",$AP337=""))</f>
        <v/>
      </c>
      <c r="CO337" s="100" t="str">
        <f aca="false">IF(ISBLANK($C337),"",AND($AL337,$BA337=""))</f>
        <v/>
      </c>
      <c r="CP337" s="100" t="str">
        <f aca="false">IF(ISBLANK($C337),"",AND($AL337,$BB337=""))</f>
        <v/>
      </c>
      <c r="CQ337" s="100" t="str">
        <f aca="false">IF(ISBLANK($C337),"",AND($AL337,$BC337=""))</f>
        <v/>
      </c>
      <c r="CR337" s="100" t="str">
        <f aca="false">IF(ISBLANK($C337),"",AND($AL337,$BF337=""))</f>
        <v/>
      </c>
      <c r="CS337" s="100" t="str">
        <f aca="false">IF(ISBLANK($C337),"",AND($AL337,$BJ337=""))</f>
        <v/>
      </c>
      <c r="CT337" s="101"/>
      <c r="CU337" s="102"/>
      <c r="CV337" s="103" t="str">
        <f aca="false">IF(ISBLANK($C337),"",IF($BL337=Constants!$B$8,$CM337,""))</f>
        <v/>
      </c>
      <c r="CW337" s="102" t="str">
        <f aca="false">IF(ISBLANK($C337),"",IF($BL337&lt;&gt;Constants!$B$4,"",$BO337+$BP337))</f>
        <v/>
      </c>
      <c r="CX337" s="104" t="str">
        <f aca="false">IF(ISBLANK($C337),"",IF($BL337&lt;&gt;Constants!$B$4,"",$BQ337+$BR337+$BS337))</f>
        <v/>
      </c>
      <c r="CY337" s="104" t="str">
        <f aca="false">IF(ISBLANK($C337),"",IF($BL337&lt;&gt;Constants!$B$4,"",$BT337))</f>
        <v/>
      </c>
      <c r="CZ337" s="104" t="str">
        <f aca="false">IF(ISBLANK($C337),"",IF($BL337&lt;&gt;Constants!$B$4,"",$BU337+$BV337))</f>
        <v/>
      </c>
      <c r="DA337" s="104" t="str">
        <f aca="false">IF(ISBLANK($C337),"",IF($BL337&lt;&gt;Constants!$B$4,"",$BW337))</f>
        <v/>
      </c>
      <c r="DB337" s="104" t="str">
        <f aca="false">IF(ISBLANK($C337),"",IF($BL337&lt;&gt;Constants!$B$4,"",-$CD337))</f>
        <v/>
      </c>
      <c r="DC337" s="103" t="str">
        <f aca="false">IF(ISBLANK($C337),"",$CE337)</f>
        <v/>
      </c>
      <c r="DD337" s="105" t="str">
        <f aca="false">IF(ISBLANK($C337),"",$BM337)</f>
        <v/>
      </c>
      <c r="DE337" s="104" t="str">
        <f aca="false">IF(ISBLANK($C337),"",$CL337)</f>
        <v/>
      </c>
      <c r="DF337" s="104" t="str">
        <f aca="false">IF(ISBLANK($C337),"",$CK337)</f>
        <v/>
      </c>
      <c r="DG337" s="106" t="str">
        <f aca="false">IF(ISBLANK($C337),"",IF($DF337=Constants!$B$7,COUNTA($C$9:$C$508)+2,IF($DF337=Constants!$B$6,COUNTA($C$9:$C$508)+1,IF($DF337=Constants!$B$5,COUNTA($C$9:$C$508),$DF337))))</f>
        <v/>
      </c>
      <c r="DH337" s="7"/>
      <c r="DI337" s="107" t="n">
        <f aca="false">IF(OR(ISNUMBER($DF337),$DF337=Constants!$B$7,$DF337=Constants!$B$5,$DF337=Constants!$B$6),1,0)</f>
        <v>0</v>
      </c>
      <c r="DJ337" s="107" t="n">
        <v>329</v>
      </c>
      <c r="DK337" s="107" t="str">
        <f aca="false">IF(ISBLANK($C337),"",IF(ISNUMBER($DG337),$DG337+ROW($B337)/1000,""))</f>
        <v/>
      </c>
      <c r="DL337" s="107" t="str">
        <f aca="false">IF(ISNUMBER($DK337),RANK($DK337,$DK$9:$DK$508,1),"")</f>
        <v/>
      </c>
      <c r="DM337" s="107" t="str">
        <f aca="false">IF(ISBLANK($C337),"",$B337)</f>
        <v/>
      </c>
      <c r="DN337" s="107" t="str">
        <f aca="false">IF(ISBLANK($C337),"",$C337)</f>
        <v/>
      </c>
      <c r="DO337" s="107" t="str">
        <f aca="false">IF(ISBLANK($C337),"",$D337)</f>
        <v/>
      </c>
      <c r="DP337" s="108" t="str">
        <f aca="false">$DD337</f>
        <v/>
      </c>
      <c r="DQ337" s="109" t="str">
        <f aca="false">$DC337</f>
        <v/>
      </c>
      <c r="DR337" s="107" t="str">
        <f aca="false">IF(ISBLANK($C337),"",$DF337)</f>
        <v/>
      </c>
      <c r="DS337" s="110" t="str">
        <f aca="false">IF($DJ337&gt;$DI$8,"",VLOOKUP($DJ337,$DL$9:$DR$508,7,FALSE()))</f>
        <v/>
      </c>
      <c r="DT337" s="111" t="str">
        <f aca="false">IF($DJ337&gt;$DI$8,"",VLOOKUP($DJ337,$DL$9:$DR$508,2,FALSE()))</f>
        <v/>
      </c>
      <c r="DU337" s="111" t="str">
        <f aca="false">IF($DJ337&gt;$DI$8,"",VLOOKUP($DJ337,$DL$9:$DR$508,3,FALSE()))</f>
        <v/>
      </c>
      <c r="DV337" s="111" t="str">
        <f aca="false">IF($DJ337&gt;$DI$8,"",VLOOKUP($DJ337,$DL$9:$DR$508,4,FALSE()))</f>
        <v/>
      </c>
      <c r="DW337" s="111" t="str">
        <f aca="false">IF($DJ337&gt;$DI$8,"",VLOOKUP($DJ337,$DL$9:$DR$508,5,FALSE()))</f>
        <v/>
      </c>
      <c r="DX337" s="112" t="str">
        <f aca="false">IF($DJ337&gt;$DI$8,"",VLOOKUP($DJ337,$DL$9:$DR$508,6,FALSE()))</f>
        <v/>
      </c>
      <c r="DY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130"/>
      <c r="N338" s="130"/>
      <c r="O338" s="135"/>
      <c r="P338" s="135"/>
      <c r="Q338" s="130"/>
      <c r="R338" s="130"/>
      <c r="S338" s="130"/>
      <c r="T338" s="130"/>
      <c r="U338" s="135"/>
      <c r="V338" s="130"/>
      <c r="W338" s="96"/>
      <c r="X338" s="130"/>
      <c r="Y338" s="130"/>
      <c r="Z338" s="96"/>
      <c r="AA338" s="96"/>
      <c r="AB338" s="130"/>
      <c r="AC338" s="130"/>
      <c r="AD338" s="130"/>
      <c r="AE338" s="97"/>
      <c r="AF338" s="130"/>
      <c r="AG338" s="99"/>
      <c r="AH338" s="100"/>
      <c r="AI338" s="100"/>
      <c r="AJ338" s="100" t="str">
        <f aca="false">IF(ISBLANK($C338),"",IF($E338=Constants!$B$2,TRUE(),IF($E338=Constants!$B$3,FALSE(),TRUE())))</f>
        <v/>
      </c>
      <c r="AK338" s="100" t="str">
        <f aca="false">IF(ISBLANK($C338),"",IF($F338=Constants!$B$2,TRUE(),IF($F338=Constants!$B$3,FALSE(),FALSE())))</f>
        <v/>
      </c>
      <c r="AL338" s="100" t="str">
        <f aca="false">IF(ISBLANK($C338),"",IF($G338=Constants!$B$2,TRUE(),IF($G338=Constants!$B$3,FALSE(),TRUE())))</f>
        <v/>
      </c>
      <c r="AM338" s="100" t="str">
        <f aca="false">IF(ISBLANK($C338),"",IF($H338=Constants!$B$2,TRUE(),IF($H338=Constants!$B$3,FALSE(),TRUE())))</f>
        <v/>
      </c>
      <c r="AN338" s="100" t="str">
        <f aca="false">IF(ISBLANK($C338),"",IF(ISNUMBER($I338),IF($I338&gt;=0,$I338,""),""))</f>
        <v/>
      </c>
      <c r="AO338" s="100" t="str">
        <f aca="false">IF(ISBLANK($C338),"",IF(ISNUMBER($J338),IF($J338&gt;=0,$J338,""),""))</f>
        <v/>
      </c>
      <c r="AP338" s="100" t="str">
        <f aca="false">IF(ISBLANK($C338),"",IF(ISNUMBER($K338),IF($K338&gt;=0,$K338,""),""))</f>
        <v/>
      </c>
      <c r="AQ338" s="100" t="str">
        <f aca="false">IF(ISBLANK($C338),"",IF($L338=Constants!$B$2,TRUE(),IF($L338=Constants!$B$3,FALSE(),TRUE())))</f>
        <v/>
      </c>
      <c r="AR338" s="100" t="str">
        <f aca="false">IF(ISBLANK($C338),"",IF($M338=Constants!$B$2,TRUE(),IF($M338=Constants!$B$3,FALSE(),TRUE())))</f>
        <v/>
      </c>
      <c r="AS338" s="100" t="str">
        <f aca="false">IF(ISBLANK($C338),"",IF($N338=Constants!$B$2,TRUE(),IF($N338=Constants!$B$3,FALSE(),FALSE())))</f>
        <v/>
      </c>
      <c r="AT338" s="100" t="str">
        <f aca="false">IF(ISBLANK($C338),"",IF($O338=Constants!$B$2,TRUE(),IF($O338=Constants!$B$3,FALSE(),TRUE())))</f>
        <v/>
      </c>
      <c r="AU338" s="100" t="str">
        <f aca="false">IF(ISBLANK($C338),"",IF($P338=Constants!$B$2,TRUE(),IF($P338=Constants!$B$3,FALSE(),TRUE())))</f>
        <v/>
      </c>
      <c r="AV338" s="100" t="str">
        <f aca="false">IF(ISBLANK($C338),"",IF($Q338=Constants!$B$2,TRUE(),IF($Q338=Constants!$B$3,FALSE(),FALSE())))</f>
        <v/>
      </c>
      <c r="AW338" s="100" t="str">
        <f aca="false">IF(ISBLANK($C338),"",IF($R338=Constants!$B$2,TRUE(),IF($R338=Constants!$B$3,FALSE(),FALSE())))</f>
        <v/>
      </c>
      <c r="AX338" s="100" t="str">
        <f aca="false">IF(ISBLANK($C338),"",IF($S338=Constants!$B$2,TRUE(),IF($S338=Constants!$B$3,FALSE(),FALSE())))</f>
        <v/>
      </c>
      <c r="AY338" s="100" t="str">
        <f aca="false">IF(ISBLANK($C338),"",IF($T338=Constants!$B$2,TRUE(),IF($T338=Constants!$B$3,FALSE(),FALSE())))</f>
        <v/>
      </c>
      <c r="AZ338" s="100" t="str">
        <f aca="false">IF(ISBLANK($C338),"",IF($U338=Constants!$B$2,TRUE(),IF($U338=Constants!$B$3,FALSE(),FALSE())))</f>
        <v/>
      </c>
      <c r="BA338" s="100" t="str">
        <f aca="false">IF(ISBLANK($C338),"",IF(OR($V338&amp;""="1",$V338&amp;""="2",$V338&amp;""="3",$V338&amp;""="4"),VALUE($V338&amp;""),IF($V338=Constants!$B$12,Constants!$B$12,"")))</f>
        <v/>
      </c>
      <c r="BB338" s="100" t="str">
        <f aca="false">IF(ISBLANK($C338),"",IF(ISBLANK($W338),0,IF(ISNUMBER($W338),IF(AND($W338&gt;=0,$W338&lt;=Constants!$B$21,$W338=INT($W338)),$W338,""),"")))</f>
        <v/>
      </c>
      <c r="BC338" s="100" t="str">
        <f aca="false">IF(ISBLANK($C338),"",IF(ISBLANK($X338),0,IF(ISNUMBER($X338),IF($X338&gt;=0,$X338,""),"")))</f>
        <v/>
      </c>
      <c r="BD338" s="100" t="str">
        <f aca="false">IF(ISBLANK($C338),"",IF($Y338=Constants!$B$2,TRUE(),IF($Y338=Constants!$B$3,FALSE(),TRUE())))</f>
        <v/>
      </c>
      <c r="BE338" s="100" t="str">
        <f aca="false">IF(ISBLANK($C338),"",IF($Z338=Constants!$B$2,TRUE(),IF($Z338=Constants!$B$3,FALSE(),FALSE())))</f>
        <v/>
      </c>
      <c r="BF338" s="100" t="str">
        <f aca="false">IF(ISBLANK($C338),"",IF(ISBLANK($AA338),0,IF(ISNUMBER($AA338),IF(AND($AA338&gt;=0,$AA338&lt;=Constants!$B$35,$AA338=INT($AA338)),$AA338,""),"")))</f>
        <v/>
      </c>
      <c r="BG338" s="100" t="str">
        <f aca="false">IF(ISBLANK($C338),"",IF($AB338=Constants!$B$2,TRUE(),IF($AB338=Constants!$B$3,FALSE(),TRUE())))</f>
        <v/>
      </c>
      <c r="BH338" s="100" t="str">
        <f aca="false">IF(ISBLANK($C338),"",IF($AC338=Constants!$B$2,TRUE(),IF($AC338=Constants!$B$3,FALSE(),TRUE())))</f>
        <v/>
      </c>
      <c r="BI338" s="100" t="str">
        <f aca="false">IF(ISBLANK($C338),"",IF($AD338=Constants!$B$2,TRUE(),IF($AD338=Constants!$B$3,FALSE(),TRUE())))</f>
        <v/>
      </c>
      <c r="BJ338" s="100" t="str">
        <f aca="false">IF(ISBLANK($C338),"",IF(ISNUMBER($AE338),IF($AE338&gt;=0,$AE338,""),""))</f>
        <v/>
      </c>
      <c r="BK338" s="100" t="str">
        <f aca="false">IF(ISBLANK($C338),"",IF($AF338=Constants!$B$2,TRUE(),IF($AF338=Constants!$B$3,FALSE(),FALSE())))</f>
        <v/>
      </c>
      <c r="BL338" s="99" t="str">
        <f aca="false">IF(ISBLANK($C338),"",IF($BK338,Constants!$B$7,IF(COUNTA($E338:$AE338)=0,Constants!$B$6,IF(OR(COUNTA($G338:$AE338)=0,NOT($AM338),$AS338),Constants!$B$5,IF(OR($CM338&lt;&gt;"",$CN338,$CO338,$CP338,$CQ338,$CR338,$CS338),Constants!$B$8,Constants!$B$4)))))</f>
        <v/>
      </c>
      <c r="BM338" s="100" t="str">
        <f aca="false">IF(ISBLANK($C338),"",IF($BL338&lt;&gt;Constants!$B$4,$BL338,IF(OR(NOT($AJ338),NOT($AL338),NOT($AT338)),Constants!$B$11,IF(OR(NOT($AR338),NOT($AU338),NOT($BI338),MAX($AN338,$AO338,$AP338)&gt;Constants!$B$30),Constants!$B$10,Constants!$B$9))))</f>
        <v/>
      </c>
      <c r="BN338" s="100" t="str">
        <f aca="false">IF($BL338&lt;&gt;Constants!$B$4,"",IF(NOT($AL338),0,MIN(Constants!$B$35,$BF338)))</f>
        <v/>
      </c>
      <c r="BO338" s="100" t="str">
        <f aca="false">IF($BL338&lt;&gt;Constants!$B$4,"",IF(NOT($AL338),0,IF($AW338,Constants!$B$18,IF($AV338,Constants!$B$17,0))))</f>
        <v/>
      </c>
      <c r="BP338" s="100" t="str">
        <f aca="false">IF($BL338&lt;&gt;Constants!$B$4,"",IF(NOT($AL338),0,Constants!$B$19*($AK338+$AX338+$AY338+$AZ338)))</f>
        <v/>
      </c>
      <c r="BQ338" s="100" t="str">
        <f aca="false">IF($BL338&lt;&gt;Constants!$B$4,"",IF(OR(NOT($AL338),NOT(ISNUMBER($BA338))),0,CHOOSE($BA338,Constants!$B$13,Constants!$B$14,Constants!$B$15,Constants!$B$16)))</f>
        <v/>
      </c>
      <c r="BR338" s="100" t="str">
        <f aca="false">IF($BL338&lt;&gt;Constants!$B$4,"",IF(NOT($AL338),0,Constants!$B$20*$BB338))</f>
        <v/>
      </c>
      <c r="BS338" s="100" t="str">
        <f aca="false">IF($BL338&lt;&gt;Constants!$B$4,"",IF(AND($AL338,$BD338,$BE338),Constants!$B$22,0))</f>
        <v/>
      </c>
      <c r="BT338" s="100" t="str">
        <f aca="false">IF($BL338&lt;&gt;Constants!$B$4,"",IF(OR(NOT($AL338),NOT($BD338)),0,IF($BJ338&gt;=2*$AH$9,0,Constants!$B$23*INT(ROUND(MIN($BJ338,$AH$9),6)))))</f>
        <v/>
      </c>
      <c r="BU338" s="100" t="str">
        <f aca="false">IF($BL338&lt;&gt;Constants!$B$4,"",IF(NOT($AL338),0,Constants!$B$24*INT(ROUND(MIN($BC338,$AH$9),6))))</f>
        <v/>
      </c>
      <c r="BV338" s="100" t="str">
        <f aca="false">IF($BL338&lt;&gt;Constants!$B$4,"",IF(AND($AL338,$BN338=0),Constants!$B$25,0))</f>
        <v/>
      </c>
      <c r="BW338" s="100" t="str">
        <f aca="false">IF($BL338&lt;&gt;Constants!$B$4,"",MIN(Constants!$B$29,MAX(0,Constants!$B$27*Constants!$B$28*INT(ROUND((Constants!$B$26-$AN338)/Constants!$B$28,6))))+MIN(Constants!$B$29,MAX(0,Constants!$B$27*Constants!$B$28*INT(ROUND((Constants!$B$26-$AO338)/Constants!$B$28,6))))+MIN(Constants!$B$29,MAX(0,Constants!$B$27*Constants!$B$28*INT(ROUND((Constants!$B$26-$AP338)/Constants!$B$28,6)))))</f>
        <v/>
      </c>
      <c r="BX338" s="100" t="str">
        <f aca="false">IF($BL338&lt;&gt;Constants!$B$4,"",IF(NOT($AL338),0,Constants!$B$31*INT(ROUND(MAX(0,MIN($BJ338,2*$AH$9)-$AH$9),6))))</f>
        <v/>
      </c>
      <c r="BY338" s="100" t="str">
        <f aca="false">IF($BL338&lt;&gt;Constants!$B$4,"",Constants!$B$32*(($AN338&gt;Constants!$B$26)+($AO338&gt;Constants!$B$26)+($AP338&gt;Constants!$B$26)))</f>
        <v/>
      </c>
      <c r="BZ338" s="100" t="str">
        <f aca="false">IF($BL338&lt;&gt;Constants!$B$4,"",IF(OR(NOT($AL338),$AQ338),0,Constants!$B$33))</f>
        <v/>
      </c>
      <c r="CA338" s="100" t="str">
        <f aca="false">IF($BL338&lt;&gt;Constants!$B$4,"",Constants!$B$34*$BN338)</f>
        <v/>
      </c>
      <c r="CB338" s="100" t="str">
        <f aca="false">IF($BL338&lt;&gt;Constants!$B$4,"",IF(OR(NOT($AL338),$BH338),0,Constants!$B$36))</f>
        <v/>
      </c>
      <c r="CC338" s="100" t="str">
        <f aca="false">IF($BL338&lt;&gt;Constants!$B$4,"",IF(OR(NOT($AL338),$BG338),0,Constants!$B$37))</f>
        <v/>
      </c>
      <c r="CD338" s="100" t="str">
        <f aca="false">IF($BL338&lt;&gt;Constants!$B$4,"",SUM($BX338:$CC338))</f>
        <v/>
      </c>
      <c r="CE338" s="100" t="str">
        <f aca="false">IF(ISBLANK($C338),"",IF($BL338&lt;&gt;Constants!$B$4,$BL338,SUM($BO338:$BW338)-$CD338))</f>
        <v/>
      </c>
      <c r="CF338" s="100" t="str">
        <f aca="false">IF(ISBLANK($C338),"",IF($BL338&lt;&gt;Constants!$B$4,$BL338,RANK($CE338,$CE$9:$CE$508)))</f>
        <v/>
      </c>
      <c r="CG338" s="100" t="str">
        <f aca="false">IF(ISBLANK($C338),"",IF($BL338&lt;&gt;Constants!$B$4,$BL338,COUNTIFS($BM$9:$BM$508,"&lt;"&amp;$BM338)+COUNTIFS($BM$9:$BM$508,$BM338,$CF$9:$CF$508,"&lt;"&amp;$CF338)+1))</f>
        <v/>
      </c>
      <c r="CH338" s="100" t="str">
        <f aca="false">IF(ISBLANK($C338),"",IF($BL338&lt;&gt;Constants!$B$4,$BL338,RANK($CD338,$CD$9:$CD$508,1)))</f>
        <v/>
      </c>
      <c r="CI338" s="100" t="str">
        <f aca="false">IF($BL338&lt;&gt;Constants!$B$4,"",$AN338+$AO338+$AP338)</f>
        <v/>
      </c>
      <c r="CJ338" s="100" t="str">
        <f aca="false">IF(ISBLANK($C338),"",IF($BL338&lt;&gt;Constants!$B$4,$BL338,RANK($CI338,$CI$9:$CI$508,1)))</f>
        <v/>
      </c>
      <c r="CK338" s="100" t="str">
        <f aca="false">IF(ISBLANK($C338),"",IF($BL338&lt;&gt;Constants!$B$4,$BL338,COUNTIFS($BM$9:$BM$508,"&lt;"&amp;$BM338)+COUNTIFS($BM$9:$BM$508,$BM338,$CF$9:$CF$508,"&lt;"&amp;$CF338)+COUNTIFS($BM$9:$BM$508,$BM338,$CF$9:$CF$508,$CF338,$CH$9:$CH$508,"&lt;"&amp;$CH338)+COUNTIFS($BM$9:$BM$508,$BM338,$CF$9:$CF$508,$CF338,$CH$9:$CH$508,$CH338,$CJ$9:$CJ$508,"&lt;"&amp;$CJ338)+1))</f>
        <v/>
      </c>
      <c r="CL338" s="100" t="str">
        <f aca="false">IF(ISBLANK($C338),"",IF($BL338&lt;&gt;Constants!$B$4,$BL338,$CG338-$CK338))</f>
        <v/>
      </c>
      <c r="CM338" s="100" t="str">
        <f aca="false">IF(ISBLANK($C338),"",IF(NOT($AL338),"",IF(ISBLANK($D$7),$CM$5,IF(NOT(ISNUMBER($D$7)),$CM$6,""))))</f>
        <v/>
      </c>
      <c r="CN338" s="100" t="str">
        <f aca="false">IF(ISBLANK($C338),"",OR($AN338="",$AO338="",$AP338=""))</f>
        <v/>
      </c>
      <c r="CO338" s="100" t="str">
        <f aca="false">IF(ISBLANK($C338),"",AND($AL338,$BA338=""))</f>
        <v/>
      </c>
      <c r="CP338" s="100" t="str">
        <f aca="false">IF(ISBLANK($C338),"",AND($AL338,$BB338=""))</f>
        <v/>
      </c>
      <c r="CQ338" s="100" t="str">
        <f aca="false">IF(ISBLANK($C338),"",AND($AL338,$BC338=""))</f>
        <v/>
      </c>
      <c r="CR338" s="100" t="str">
        <f aca="false">IF(ISBLANK($C338),"",AND($AL338,$BF338=""))</f>
        <v/>
      </c>
      <c r="CS338" s="100" t="str">
        <f aca="false">IF(ISBLANK($C338),"",AND($AL338,$BJ338=""))</f>
        <v/>
      </c>
      <c r="CT338" s="101"/>
      <c r="CU338" s="102"/>
      <c r="CV338" s="103" t="str">
        <f aca="false">IF(ISBLANK($C338),"",IF($BL338=Constants!$B$8,$CM338,""))</f>
        <v/>
      </c>
      <c r="CW338" s="102" t="str">
        <f aca="false">IF(ISBLANK($C338),"",IF($BL338&lt;&gt;Constants!$B$4,"",$BO338+$BP338))</f>
        <v/>
      </c>
      <c r="CX338" s="104" t="str">
        <f aca="false">IF(ISBLANK($C338),"",IF($BL338&lt;&gt;Constants!$B$4,"",$BQ338+$BR338+$BS338))</f>
        <v/>
      </c>
      <c r="CY338" s="104" t="str">
        <f aca="false">IF(ISBLANK($C338),"",IF($BL338&lt;&gt;Constants!$B$4,"",$BT338))</f>
        <v/>
      </c>
      <c r="CZ338" s="104" t="str">
        <f aca="false">IF(ISBLANK($C338),"",IF($BL338&lt;&gt;Constants!$B$4,"",$BU338+$BV338))</f>
        <v/>
      </c>
      <c r="DA338" s="104" t="str">
        <f aca="false">IF(ISBLANK($C338),"",IF($BL338&lt;&gt;Constants!$B$4,"",$BW338))</f>
        <v/>
      </c>
      <c r="DB338" s="104" t="str">
        <f aca="false">IF(ISBLANK($C338),"",IF($BL338&lt;&gt;Constants!$B$4,"",-$CD338))</f>
        <v/>
      </c>
      <c r="DC338" s="103" t="str">
        <f aca="false">IF(ISBLANK($C338),"",$CE338)</f>
        <v/>
      </c>
      <c r="DD338" s="105" t="str">
        <f aca="false">IF(ISBLANK($C338),"",$BM338)</f>
        <v/>
      </c>
      <c r="DE338" s="104" t="str">
        <f aca="false">IF(ISBLANK($C338),"",$CL338)</f>
        <v/>
      </c>
      <c r="DF338" s="104" t="str">
        <f aca="false">IF(ISBLANK($C338),"",$CK338)</f>
        <v/>
      </c>
      <c r="DG338" s="106" t="str">
        <f aca="false">IF(ISBLANK($C338),"",IF($DF338=Constants!$B$7,COUNTA($C$9:$C$508)+2,IF($DF338=Constants!$B$6,COUNTA($C$9:$C$508)+1,IF($DF338=Constants!$B$5,COUNTA($C$9:$C$508),$DF338))))</f>
        <v/>
      </c>
      <c r="DH338" s="7"/>
      <c r="DI338" s="107" t="n">
        <f aca="false">IF(OR(ISNUMBER($DF338),$DF338=Constants!$B$7,$DF338=Constants!$B$5,$DF338=Constants!$B$6),1,0)</f>
        <v>0</v>
      </c>
      <c r="DJ338" s="107" t="n">
        <v>330</v>
      </c>
      <c r="DK338" s="107" t="str">
        <f aca="false">IF(ISBLANK($C338),"",IF(ISNUMBER($DG338),$DG338+ROW($B338)/1000,""))</f>
        <v/>
      </c>
      <c r="DL338" s="107" t="str">
        <f aca="false">IF(ISNUMBER($DK338),RANK($DK338,$DK$9:$DK$508,1),"")</f>
        <v/>
      </c>
      <c r="DM338" s="107" t="str">
        <f aca="false">IF(ISBLANK($C338),"",$B338)</f>
        <v/>
      </c>
      <c r="DN338" s="107" t="str">
        <f aca="false">IF(ISBLANK($C338),"",$C338)</f>
        <v/>
      </c>
      <c r="DO338" s="107" t="str">
        <f aca="false">IF(ISBLANK($C338),"",$D338)</f>
        <v/>
      </c>
      <c r="DP338" s="108" t="str">
        <f aca="false">$DD338</f>
        <v/>
      </c>
      <c r="DQ338" s="109" t="str">
        <f aca="false">$DC338</f>
        <v/>
      </c>
      <c r="DR338" s="107" t="str">
        <f aca="false">IF(ISBLANK($C338),"",$DF338)</f>
        <v/>
      </c>
      <c r="DS338" s="110" t="str">
        <f aca="false">IF($DJ338&gt;$DI$8,"",VLOOKUP($DJ338,$DL$9:$DR$508,7,FALSE()))</f>
        <v/>
      </c>
      <c r="DT338" s="111" t="str">
        <f aca="false">IF($DJ338&gt;$DI$8,"",VLOOKUP($DJ338,$DL$9:$DR$508,2,FALSE()))</f>
        <v/>
      </c>
      <c r="DU338" s="111" t="str">
        <f aca="false">IF($DJ338&gt;$DI$8,"",VLOOKUP($DJ338,$DL$9:$DR$508,3,FALSE()))</f>
        <v/>
      </c>
      <c r="DV338" s="111" t="str">
        <f aca="false">IF($DJ338&gt;$DI$8,"",VLOOKUP($DJ338,$DL$9:$DR$508,4,FALSE()))</f>
        <v/>
      </c>
      <c r="DW338" s="111" t="str">
        <f aca="false">IF($DJ338&gt;$DI$8,"",VLOOKUP($DJ338,$DL$9:$DR$508,5,FALSE()))</f>
        <v/>
      </c>
      <c r="DX338" s="112" t="str">
        <f aca="false">IF($DJ338&gt;$DI$8,"",VLOOKUP($DJ338,$DL$9:$DR$508,6,FALSE()))</f>
        <v/>
      </c>
      <c r="DY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88"/>
      <c r="N339" s="88"/>
      <c r="O339" s="134"/>
      <c r="P339" s="134"/>
      <c r="Q339" s="88"/>
      <c r="R339" s="88"/>
      <c r="S339" s="88"/>
      <c r="T339" s="88"/>
      <c r="U339" s="134"/>
      <c r="V339" s="88"/>
      <c r="W339" s="70"/>
      <c r="X339" s="88"/>
      <c r="Y339" s="88"/>
      <c r="Z339" s="70"/>
      <c r="AA339" s="70"/>
      <c r="AB339" s="88"/>
      <c r="AC339" s="88"/>
      <c r="AD339" s="88"/>
      <c r="AE339" s="71"/>
      <c r="AF339" s="88"/>
      <c r="AG339" s="73"/>
      <c r="AH339" s="74"/>
      <c r="AI339" s="74"/>
      <c r="AJ339" s="74" t="str">
        <f aca="false">IF(ISBLANK($C339),"",IF($E339=Constants!$B$2,TRUE(),IF($E339=Constants!$B$3,FALSE(),TRUE())))</f>
        <v/>
      </c>
      <c r="AK339" s="74" t="str">
        <f aca="false">IF(ISBLANK($C339),"",IF($F339=Constants!$B$2,TRUE(),IF($F339=Constants!$B$3,FALSE(),FALSE())))</f>
        <v/>
      </c>
      <c r="AL339" s="74" t="str">
        <f aca="false">IF(ISBLANK($C339),"",IF($G339=Constants!$B$2,TRUE(),IF($G339=Constants!$B$3,FALSE(),TRUE())))</f>
        <v/>
      </c>
      <c r="AM339" s="74" t="str">
        <f aca="false">IF(ISBLANK($C339),"",IF($H339=Constants!$B$2,TRUE(),IF($H339=Constants!$B$3,FALSE(),TRUE())))</f>
        <v/>
      </c>
      <c r="AN339" s="74" t="str">
        <f aca="false">IF(ISBLANK($C339),"",IF(ISNUMBER($I339),IF($I339&gt;=0,$I339,""),""))</f>
        <v/>
      </c>
      <c r="AO339" s="74" t="str">
        <f aca="false">IF(ISBLANK($C339),"",IF(ISNUMBER($J339),IF($J339&gt;=0,$J339,""),""))</f>
        <v/>
      </c>
      <c r="AP339" s="74" t="str">
        <f aca="false">IF(ISBLANK($C339),"",IF(ISNUMBER($K339),IF($K339&gt;=0,$K339,""),""))</f>
        <v/>
      </c>
      <c r="AQ339" s="74" t="str">
        <f aca="false">IF(ISBLANK($C339),"",IF($L339=Constants!$B$2,TRUE(),IF($L339=Constants!$B$3,FALSE(),TRUE())))</f>
        <v/>
      </c>
      <c r="AR339" s="74" t="str">
        <f aca="false">IF(ISBLANK($C339),"",IF($M339=Constants!$B$2,TRUE(),IF($M339=Constants!$B$3,FALSE(),TRUE())))</f>
        <v/>
      </c>
      <c r="AS339" s="74" t="str">
        <f aca="false">IF(ISBLANK($C339),"",IF($N339=Constants!$B$2,TRUE(),IF($N339=Constants!$B$3,FALSE(),FALSE())))</f>
        <v/>
      </c>
      <c r="AT339" s="74" t="str">
        <f aca="false">IF(ISBLANK($C339),"",IF($O339=Constants!$B$2,TRUE(),IF($O339=Constants!$B$3,FALSE(),TRUE())))</f>
        <v/>
      </c>
      <c r="AU339" s="74" t="str">
        <f aca="false">IF(ISBLANK($C339),"",IF($P339=Constants!$B$2,TRUE(),IF($P339=Constants!$B$3,FALSE(),TRUE())))</f>
        <v/>
      </c>
      <c r="AV339" s="74" t="str">
        <f aca="false">IF(ISBLANK($C339),"",IF($Q339=Constants!$B$2,TRUE(),IF($Q339=Constants!$B$3,FALSE(),FALSE())))</f>
        <v/>
      </c>
      <c r="AW339" s="74" t="str">
        <f aca="false">IF(ISBLANK($C339),"",IF($R339=Constants!$B$2,TRUE(),IF($R339=Constants!$B$3,FALSE(),FALSE())))</f>
        <v/>
      </c>
      <c r="AX339" s="74" t="str">
        <f aca="false">IF(ISBLANK($C339),"",IF($S339=Constants!$B$2,TRUE(),IF($S339=Constants!$B$3,FALSE(),FALSE())))</f>
        <v/>
      </c>
      <c r="AY339" s="74" t="str">
        <f aca="false">IF(ISBLANK($C339),"",IF($T339=Constants!$B$2,TRUE(),IF($T339=Constants!$B$3,FALSE(),FALSE())))</f>
        <v/>
      </c>
      <c r="AZ339" s="74" t="str">
        <f aca="false">IF(ISBLANK($C339),"",IF($U339=Constants!$B$2,TRUE(),IF($U339=Constants!$B$3,FALSE(),FALSE())))</f>
        <v/>
      </c>
      <c r="BA339" s="74" t="str">
        <f aca="false">IF(ISBLANK($C339),"",IF(OR($V339&amp;""="1",$V339&amp;""="2",$V339&amp;""="3",$V339&amp;""="4"),VALUE($V339&amp;""),IF($V339=Constants!$B$12,Constants!$B$12,"")))</f>
        <v/>
      </c>
      <c r="BB339" s="74" t="str">
        <f aca="false">IF(ISBLANK($C339),"",IF(ISBLANK($W339),0,IF(ISNUMBER($W339),IF(AND($W339&gt;=0,$W339&lt;=Constants!$B$21,$W339=INT($W339)),$W339,""),"")))</f>
        <v/>
      </c>
      <c r="BC339" s="74" t="str">
        <f aca="false">IF(ISBLANK($C339),"",IF(ISBLANK($X339),0,IF(ISNUMBER($X339),IF($X339&gt;=0,$X339,""),"")))</f>
        <v/>
      </c>
      <c r="BD339" s="74" t="str">
        <f aca="false">IF(ISBLANK($C339),"",IF($Y339=Constants!$B$2,TRUE(),IF($Y339=Constants!$B$3,FALSE(),TRUE())))</f>
        <v/>
      </c>
      <c r="BE339" s="74" t="str">
        <f aca="false">IF(ISBLANK($C339),"",IF($Z339=Constants!$B$2,TRUE(),IF($Z339=Constants!$B$3,FALSE(),FALSE())))</f>
        <v/>
      </c>
      <c r="BF339" s="74" t="str">
        <f aca="false">IF(ISBLANK($C339),"",IF(ISBLANK($AA339),0,IF(ISNUMBER($AA339),IF(AND($AA339&gt;=0,$AA339&lt;=Constants!$B$35,$AA339=INT($AA339)),$AA339,""),"")))</f>
        <v/>
      </c>
      <c r="BG339" s="74" t="str">
        <f aca="false">IF(ISBLANK($C339),"",IF($AB339=Constants!$B$2,TRUE(),IF($AB339=Constants!$B$3,FALSE(),TRUE())))</f>
        <v/>
      </c>
      <c r="BH339" s="74" t="str">
        <f aca="false">IF(ISBLANK($C339),"",IF($AC339=Constants!$B$2,TRUE(),IF($AC339=Constants!$B$3,FALSE(),TRUE())))</f>
        <v/>
      </c>
      <c r="BI339" s="74" t="str">
        <f aca="false">IF(ISBLANK($C339),"",IF($AD339=Constants!$B$2,TRUE(),IF($AD339=Constants!$B$3,FALSE(),TRUE())))</f>
        <v/>
      </c>
      <c r="BJ339" s="74" t="str">
        <f aca="false">IF(ISBLANK($C339),"",IF(ISNUMBER($AE339),IF($AE339&gt;=0,$AE339,""),""))</f>
        <v/>
      </c>
      <c r="BK339" s="74" t="str">
        <f aca="false">IF(ISBLANK($C339),"",IF($AF339=Constants!$B$2,TRUE(),IF($AF339=Constants!$B$3,FALSE(),FALSE())))</f>
        <v/>
      </c>
      <c r="BL339" s="73" t="str">
        <f aca="false">IF(ISBLANK($C339),"",IF($BK339,Constants!$B$7,IF(COUNTA($E339:$AE339)=0,Constants!$B$6,IF(OR(COUNTA($G339:$AE339)=0,NOT($AM339),$AS339),Constants!$B$5,IF(OR($CM339&lt;&gt;"",$CN339,$CO339,$CP339,$CQ339,$CR339,$CS339),Constants!$B$8,Constants!$B$4)))))</f>
        <v/>
      </c>
      <c r="BM339" s="74" t="str">
        <f aca="false">IF(ISBLANK($C339),"",IF($BL339&lt;&gt;Constants!$B$4,$BL339,IF(OR(NOT($AJ339),NOT($AL339),NOT($AT339)),Constants!$B$11,IF(OR(NOT($AR339),NOT($AU339),NOT($BI339),MAX($AN339,$AO339,$AP339)&gt;Constants!$B$30),Constants!$B$10,Constants!$B$9))))</f>
        <v/>
      </c>
      <c r="BN339" s="74" t="str">
        <f aca="false">IF($BL339&lt;&gt;Constants!$B$4,"",IF(NOT($AL339),0,MIN(Constants!$B$35,$BF339)))</f>
        <v/>
      </c>
      <c r="BO339" s="74" t="str">
        <f aca="false">IF($BL339&lt;&gt;Constants!$B$4,"",IF(NOT($AL339),0,IF($AW339,Constants!$B$18,IF($AV339,Constants!$B$17,0))))</f>
        <v/>
      </c>
      <c r="BP339" s="74" t="str">
        <f aca="false">IF($BL339&lt;&gt;Constants!$B$4,"",IF(NOT($AL339),0,Constants!$B$19*($AK339+$AX339+$AY339+$AZ339)))</f>
        <v/>
      </c>
      <c r="BQ339" s="74" t="str">
        <f aca="false">IF($BL339&lt;&gt;Constants!$B$4,"",IF(OR(NOT($AL339),NOT(ISNUMBER($BA339))),0,CHOOSE($BA339,Constants!$B$13,Constants!$B$14,Constants!$B$15,Constants!$B$16)))</f>
        <v/>
      </c>
      <c r="BR339" s="74" t="str">
        <f aca="false">IF($BL339&lt;&gt;Constants!$B$4,"",IF(NOT($AL339),0,Constants!$B$20*$BB339))</f>
        <v/>
      </c>
      <c r="BS339" s="74" t="str">
        <f aca="false">IF($BL339&lt;&gt;Constants!$B$4,"",IF(AND($AL339,$BD339,$BE339),Constants!$B$22,0))</f>
        <v/>
      </c>
      <c r="BT339" s="74" t="str">
        <f aca="false">IF($BL339&lt;&gt;Constants!$B$4,"",IF(OR(NOT($AL339),NOT($BD339)),0,IF($BJ339&gt;=2*$AH$9,0,Constants!$B$23*INT(ROUND(MIN($BJ339,$AH$9),6)))))</f>
        <v/>
      </c>
      <c r="BU339" s="74" t="str">
        <f aca="false">IF($BL339&lt;&gt;Constants!$B$4,"",IF(NOT($AL339),0,Constants!$B$24*INT(ROUND(MIN($BC339,$AH$9),6))))</f>
        <v/>
      </c>
      <c r="BV339" s="74" t="str">
        <f aca="false">IF($BL339&lt;&gt;Constants!$B$4,"",IF(AND($AL339,$BN339=0),Constants!$B$25,0))</f>
        <v/>
      </c>
      <c r="BW339" s="74" t="str">
        <f aca="false">IF($BL339&lt;&gt;Constants!$B$4,"",MIN(Constants!$B$29,MAX(0,Constants!$B$27*Constants!$B$28*INT(ROUND((Constants!$B$26-$AN339)/Constants!$B$28,6))))+MIN(Constants!$B$29,MAX(0,Constants!$B$27*Constants!$B$28*INT(ROUND((Constants!$B$26-$AO339)/Constants!$B$28,6))))+MIN(Constants!$B$29,MAX(0,Constants!$B$27*Constants!$B$28*INT(ROUND((Constants!$B$26-$AP339)/Constants!$B$28,6)))))</f>
        <v/>
      </c>
      <c r="BX339" s="74" t="str">
        <f aca="false">IF($BL339&lt;&gt;Constants!$B$4,"",IF(NOT($AL339),0,Constants!$B$31*INT(ROUND(MAX(0,MIN($BJ339,2*$AH$9)-$AH$9),6))))</f>
        <v/>
      </c>
      <c r="BY339" s="74" t="str">
        <f aca="false">IF($BL339&lt;&gt;Constants!$B$4,"",Constants!$B$32*(($AN339&gt;Constants!$B$26)+($AO339&gt;Constants!$B$26)+($AP339&gt;Constants!$B$26)))</f>
        <v/>
      </c>
      <c r="BZ339" s="74" t="str">
        <f aca="false">IF($BL339&lt;&gt;Constants!$B$4,"",IF(OR(NOT($AL339),$AQ339),0,Constants!$B$33))</f>
        <v/>
      </c>
      <c r="CA339" s="74" t="str">
        <f aca="false">IF($BL339&lt;&gt;Constants!$B$4,"",Constants!$B$34*$BN339)</f>
        <v/>
      </c>
      <c r="CB339" s="74" t="str">
        <f aca="false">IF($BL339&lt;&gt;Constants!$B$4,"",IF(OR(NOT($AL339),$BH339),0,Constants!$B$36))</f>
        <v/>
      </c>
      <c r="CC339" s="74" t="str">
        <f aca="false">IF($BL339&lt;&gt;Constants!$B$4,"",IF(OR(NOT($AL339),$BG339),0,Constants!$B$37))</f>
        <v/>
      </c>
      <c r="CD339" s="74" t="str">
        <f aca="false">IF($BL339&lt;&gt;Constants!$B$4,"",SUM($BX339:$CC339))</f>
        <v/>
      </c>
      <c r="CE339" s="74" t="str">
        <f aca="false">IF(ISBLANK($C339),"",IF($BL339&lt;&gt;Constants!$B$4,$BL339,SUM($BO339:$BW339)-$CD339))</f>
        <v/>
      </c>
      <c r="CF339" s="74" t="str">
        <f aca="false">IF(ISBLANK($C339),"",IF($BL339&lt;&gt;Constants!$B$4,$BL339,RANK($CE339,$CE$9:$CE$508)))</f>
        <v/>
      </c>
      <c r="CG339" s="74" t="str">
        <f aca="false">IF(ISBLANK($C339),"",IF($BL339&lt;&gt;Constants!$B$4,$BL339,COUNTIFS($BM$9:$BM$508,"&lt;"&amp;$BM339)+COUNTIFS($BM$9:$BM$508,$BM339,$CF$9:$CF$508,"&lt;"&amp;$CF339)+1))</f>
        <v/>
      </c>
      <c r="CH339" s="74" t="str">
        <f aca="false">IF(ISBLANK($C339),"",IF($BL339&lt;&gt;Constants!$B$4,$BL339,RANK($CD339,$CD$9:$CD$508,1)))</f>
        <v/>
      </c>
      <c r="CI339" s="74" t="str">
        <f aca="false">IF($BL339&lt;&gt;Constants!$B$4,"",$AN339+$AO339+$AP339)</f>
        <v/>
      </c>
      <c r="CJ339" s="74" t="str">
        <f aca="false">IF(ISBLANK($C339),"",IF($BL339&lt;&gt;Constants!$B$4,$BL339,RANK($CI339,$CI$9:$CI$508,1)))</f>
        <v/>
      </c>
      <c r="CK339" s="74" t="str">
        <f aca="false">IF(ISBLANK($C339),"",IF($BL339&lt;&gt;Constants!$B$4,$BL339,COUNTIFS($BM$9:$BM$508,"&lt;"&amp;$BM339)+COUNTIFS($BM$9:$BM$508,$BM339,$CF$9:$CF$508,"&lt;"&amp;$CF339)+COUNTIFS($BM$9:$BM$508,$BM339,$CF$9:$CF$508,$CF339,$CH$9:$CH$508,"&lt;"&amp;$CH339)+COUNTIFS($BM$9:$BM$508,$BM339,$CF$9:$CF$508,$CF339,$CH$9:$CH$508,$CH339,$CJ$9:$CJ$508,"&lt;"&amp;$CJ339)+1))</f>
        <v/>
      </c>
      <c r="CL339" s="74" t="str">
        <f aca="false">IF(ISBLANK($C339),"",IF($BL339&lt;&gt;Constants!$B$4,$BL339,$CG339-$CK339))</f>
        <v/>
      </c>
      <c r="CM339" s="74" t="str">
        <f aca="false">IF(ISBLANK($C339),"",IF(NOT($AL339),"",IF(ISBLANK($D$7),$CM$5,IF(NOT(ISNUMBER($D$7)),$CM$6,""))))</f>
        <v/>
      </c>
      <c r="CN339" s="74" t="str">
        <f aca="false">IF(ISBLANK($C339),"",OR($AN339="",$AO339="",$AP339=""))</f>
        <v/>
      </c>
      <c r="CO339" s="74" t="str">
        <f aca="false">IF(ISBLANK($C339),"",AND($AL339,$BA339=""))</f>
        <v/>
      </c>
      <c r="CP339" s="74" t="str">
        <f aca="false">IF(ISBLANK($C339),"",AND($AL339,$BB339=""))</f>
        <v/>
      </c>
      <c r="CQ339" s="74" t="str">
        <f aca="false">IF(ISBLANK($C339),"",AND($AL339,$BC339=""))</f>
        <v/>
      </c>
      <c r="CR339" s="74" t="str">
        <f aca="false">IF(ISBLANK($C339),"",AND($AL339,$BF339=""))</f>
        <v/>
      </c>
      <c r="CS339" s="74" t="str">
        <f aca="false">IF(ISBLANK($C339),"",AND($AL339,$BJ339=""))</f>
        <v/>
      </c>
      <c r="CT339" s="75"/>
      <c r="CU339" s="76"/>
      <c r="CV339" s="79" t="str">
        <f aca="false">IF(ISBLANK($C339),"",IF($BL339=Constants!$B$8,$CM339,""))</f>
        <v/>
      </c>
      <c r="CW339" s="76" t="str">
        <f aca="false">IF(ISBLANK($C339),"",IF($BL339&lt;&gt;Constants!$B$4,"",$BO339+$BP339))</f>
        <v/>
      </c>
      <c r="CX339" s="78" t="str">
        <f aca="false">IF(ISBLANK($C339),"",IF($BL339&lt;&gt;Constants!$B$4,"",$BQ339+$BR339+$BS339))</f>
        <v/>
      </c>
      <c r="CY339" s="78" t="str">
        <f aca="false">IF(ISBLANK($C339),"",IF($BL339&lt;&gt;Constants!$B$4,"",$BT339))</f>
        <v/>
      </c>
      <c r="CZ339" s="78" t="str">
        <f aca="false">IF(ISBLANK($C339),"",IF($BL339&lt;&gt;Constants!$B$4,"",$BU339+$BV339))</f>
        <v/>
      </c>
      <c r="DA339" s="78" t="str">
        <f aca="false">IF(ISBLANK($C339),"",IF($BL339&lt;&gt;Constants!$B$4,"",$BW339))</f>
        <v/>
      </c>
      <c r="DB339" s="78" t="str">
        <f aca="false">IF(ISBLANK($C339),"",IF($BL339&lt;&gt;Constants!$B$4,"",-$CD339))</f>
        <v/>
      </c>
      <c r="DC339" s="79" t="str">
        <f aca="false">IF(ISBLANK($C339),"",$CE339)</f>
        <v/>
      </c>
      <c r="DD339" s="80" t="str">
        <f aca="false">IF(ISBLANK($C339),"",$BM339)</f>
        <v/>
      </c>
      <c r="DE339" s="78" t="str">
        <f aca="false">IF(ISBLANK($C339),"",$CL339)</f>
        <v/>
      </c>
      <c r="DF339" s="78" t="str">
        <f aca="false">IF(ISBLANK($C339),"",$CK339)</f>
        <v/>
      </c>
      <c r="DG339" s="81" t="str">
        <f aca="false">IF(ISBLANK($C339),"",IF($DF339=Constants!$B$7,COUNTA($C$9:$C$508)+2,IF($DF339=Constants!$B$6,COUNTA($C$9:$C$508)+1,IF($DF339=Constants!$B$5,COUNTA($C$9:$C$508),$DF339))))</f>
        <v/>
      </c>
      <c r="DH339" s="7"/>
      <c r="DI339" s="82" t="n">
        <f aca="false">IF(OR(ISNUMBER($DF339),$DF339=Constants!$B$7,$DF339=Constants!$B$5,$DF339=Constants!$B$6),1,0)</f>
        <v>0</v>
      </c>
      <c r="DJ339" s="82" t="n">
        <v>331</v>
      </c>
      <c r="DK339" s="82" t="str">
        <f aca="false">IF(ISBLANK($C339),"",IF(ISNUMBER($DG339),$DG339+ROW($B339)/1000,""))</f>
        <v/>
      </c>
      <c r="DL339" s="82" t="str">
        <f aca="false">IF(ISNUMBER($DK339),RANK($DK339,$DK$9:$DK$508,1),"")</f>
        <v/>
      </c>
      <c r="DM339" s="82" t="str">
        <f aca="false">IF(ISBLANK($C339),"",$B339)</f>
        <v/>
      </c>
      <c r="DN339" s="82" t="str">
        <f aca="false">IF(ISBLANK($C339),"",$C339)</f>
        <v/>
      </c>
      <c r="DO339" s="82" t="str">
        <f aca="false">IF(ISBLANK($C339),"",$D339)</f>
        <v/>
      </c>
      <c r="DP339" s="83" t="str">
        <f aca="false">$DD339</f>
        <v/>
      </c>
      <c r="DQ339" s="84" t="str">
        <f aca="false">$DC339</f>
        <v/>
      </c>
      <c r="DR339" s="82" t="str">
        <f aca="false">IF(ISBLANK($C339),"",$DF339)</f>
        <v/>
      </c>
      <c r="DS339" s="85" t="str">
        <f aca="false">IF($DJ339&gt;$DI$8,"",VLOOKUP($DJ339,$DL$9:$DR$508,7,FALSE()))</f>
        <v/>
      </c>
      <c r="DT339" s="86" t="str">
        <f aca="false">IF($DJ339&gt;$DI$8,"",VLOOKUP($DJ339,$DL$9:$DR$508,2,FALSE()))</f>
        <v/>
      </c>
      <c r="DU339" s="86" t="str">
        <f aca="false">IF($DJ339&gt;$DI$8,"",VLOOKUP($DJ339,$DL$9:$DR$508,3,FALSE()))</f>
        <v/>
      </c>
      <c r="DV339" s="86" t="str">
        <f aca="false">IF($DJ339&gt;$DI$8,"",VLOOKUP($DJ339,$DL$9:$DR$508,4,FALSE()))</f>
        <v/>
      </c>
      <c r="DW339" s="86" t="str">
        <f aca="false">IF($DJ339&gt;$DI$8,"",VLOOKUP($DJ339,$DL$9:$DR$508,5,FALSE()))</f>
        <v/>
      </c>
      <c r="DX339" s="87" t="str">
        <f aca="false">IF($DJ339&gt;$DI$8,"",VLOOKUP($DJ339,$DL$9:$DR$508,6,FALSE()))</f>
        <v/>
      </c>
      <c r="DY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88"/>
      <c r="N340" s="88"/>
      <c r="O340" s="134"/>
      <c r="P340" s="134"/>
      <c r="Q340" s="88"/>
      <c r="R340" s="88"/>
      <c r="S340" s="88"/>
      <c r="T340" s="88"/>
      <c r="U340" s="134"/>
      <c r="V340" s="88"/>
      <c r="W340" s="70"/>
      <c r="X340" s="88"/>
      <c r="Y340" s="88"/>
      <c r="Z340" s="70"/>
      <c r="AA340" s="70"/>
      <c r="AB340" s="88"/>
      <c r="AC340" s="88"/>
      <c r="AD340" s="88"/>
      <c r="AE340" s="71"/>
      <c r="AF340" s="88"/>
      <c r="AG340" s="73"/>
      <c r="AH340" s="74"/>
      <c r="AI340" s="74"/>
      <c r="AJ340" s="74" t="str">
        <f aca="false">IF(ISBLANK($C340),"",IF($E340=Constants!$B$2,TRUE(),IF($E340=Constants!$B$3,FALSE(),TRUE())))</f>
        <v/>
      </c>
      <c r="AK340" s="74" t="str">
        <f aca="false">IF(ISBLANK($C340),"",IF($F340=Constants!$B$2,TRUE(),IF($F340=Constants!$B$3,FALSE(),FALSE())))</f>
        <v/>
      </c>
      <c r="AL340" s="74" t="str">
        <f aca="false">IF(ISBLANK($C340),"",IF($G340=Constants!$B$2,TRUE(),IF($G340=Constants!$B$3,FALSE(),TRUE())))</f>
        <v/>
      </c>
      <c r="AM340" s="74" t="str">
        <f aca="false">IF(ISBLANK($C340),"",IF($H340=Constants!$B$2,TRUE(),IF($H340=Constants!$B$3,FALSE(),TRUE())))</f>
        <v/>
      </c>
      <c r="AN340" s="74" t="str">
        <f aca="false">IF(ISBLANK($C340),"",IF(ISNUMBER($I340),IF($I340&gt;=0,$I340,""),""))</f>
        <v/>
      </c>
      <c r="AO340" s="74" t="str">
        <f aca="false">IF(ISBLANK($C340),"",IF(ISNUMBER($J340),IF($J340&gt;=0,$J340,""),""))</f>
        <v/>
      </c>
      <c r="AP340" s="74" t="str">
        <f aca="false">IF(ISBLANK($C340),"",IF(ISNUMBER($K340),IF($K340&gt;=0,$K340,""),""))</f>
        <v/>
      </c>
      <c r="AQ340" s="74" t="str">
        <f aca="false">IF(ISBLANK($C340),"",IF($L340=Constants!$B$2,TRUE(),IF($L340=Constants!$B$3,FALSE(),TRUE())))</f>
        <v/>
      </c>
      <c r="AR340" s="74" t="str">
        <f aca="false">IF(ISBLANK($C340),"",IF($M340=Constants!$B$2,TRUE(),IF($M340=Constants!$B$3,FALSE(),TRUE())))</f>
        <v/>
      </c>
      <c r="AS340" s="74" t="str">
        <f aca="false">IF(ISBLANK($C340),"",IF($N340=Constants!$B$2,TRUE(),IF($N340=Constants!$B$3,FALSE(),FALSE())))</f>
        <v/>
      </c>
      <c r="AT340" s="74" t="str">
        <f aca="false">IF(ISBLANK($C340),"",IF($O340=Constants!$B$2,TRUE(),IF($O340=Constants!$B$3,FALSE(),TRUE())))</f>
        <v/>
      </c>
      <c r="AU340" s="74" t="str">
        <f aca="false">IF(ISBLANK($C340),"",IF($P340=Constants!$B$2,TRUE(),IF($P340=Constants!$B$3,FALSE(),TRUE())))</f>
        <v/>
      </c>
      <c r="AV340" s="74" t="str">
        <f aca="false">IF(ISBLANK($C340),"",IF($Q340=Constants!$B$2,TRUE(),IF($Q340=Constants!$B$3,FALSE(),FALSE())))</f>
        <v/>
      </c>
      <c r="AW340" s="74" t="str">
        <f aca="false">IF(ISBLANK($C340),"",IF($R340=Constants!$B$2,TRUE(),IF($R340=Constants!$B$3,FALSE(),FALSE())))</f>
        <v/>
      </c>
      <c r="AX340" s="74" t="str">
        <f aca="false">IF(ISBLANK($C340),"",IF($S340=Constants!$B$2,TRUE(),IF($S340=Constants!$B$3,FALSE(),FALSE())))</f>
        <v/>
      </c>
      <c r="AY340" s="74" t="str">
        <f aca="false">IF(ISBLANK($C340),"",IF($T340=Constants!$B$2,TRUE(),IF($T340=Constants!$B$3,FALSE(),FALSE())))</f>
        <v/>
      </c>
      <c r="AZ340" s="74" t="str">
        <f aca="false">IF(ISBLANK($C340),"",IF($U340=Constants!$B$2,TRUE(),IF($U340=Constants!$B$3,FALSE(),FALSE())))</f>
        <v/>
      </c>
      <c r="BA340" s="74" t="str">
        <f aca="false">IF(ISBLANK($C340),"",IF(OR($V340&amp;""="1",$V340&amp;""="2",$V340&amp;""="3",$V340&amp;""="4"),VALUE($V340&amp;""),IF($V340=Constants!$B$12,Constants!$B$12,"")))</f>
        <v/>
      </c>
      <c r="BB340" s="74" t="str">
        <f aca="false">IF(ISBLANK($C340),"",IF(ISBLANK($W340),0,IF(ISNUMBER($W340),IF(AND($W340&gt;=0,$W340&lt;=Constants!$B$21,$W340=INT($W340)),$W340,""),"")))</f>
        <v/>
      </c>
      <c r="BC340" s="74" t="str">
        <f aca="false">IF(ISBLANK($C340),"",IF(ISBLANK($X340),0,IF(ISNUMBER($X340),IF($X340&gt;=0,$X340,""),"")))</f>
        <v/>
      </c>
      <c r="BD340" s="74" t="str">
        <f aca="false">IF(ISBLANK($C340),"",IF($Y340=Constants!$B$2,TRUE(),IF($Y340=Constants!$B$3,FALSE(),TRUE())))</f>
        <v/>
      </c>
      <c r="BE340" s="74" t="str">
        <f aca="false">IF(ISBLANK($C340),"",IF($Z340=Constants!$B$2,TRUE(),IF($Z340=Constants!$B$3,FALSE(),FALSE())))</f>
        <v/>
      </c>
      <c r="BF340" s="74" t="str">
        <f aca="false">IF(ISBLANK($C340),"",IF(ISBLANK($AA340),0,IF(ISNUMBER($AA340),IF(AND($AA340&gt;=0,$AA340&lt;=Constants!$B$35,$AA340=INT($AA340)),$AA340,""),"")))</f>
        <v/>
      </c>
      <c r="BG340" s="74" t="str">
        <f aca="false">IF(ISBLANK($C340),"",IF($AB340=Constants!$B$2,TRUE(),IF($AB340=Constants!$B$3,FALSE(),TRUE())))</f>
        <v/>
      </c>
      <c r="BH340" s="74" t="str">
        <f aca="false">IF(ISBLANK($C340),"",IF($AC340=Constants!$B$2,TRUE(),IF($AC340=Constants!$B$3,FALSE(),TRUE())))</f>
        <v/>
      </c>
      <c r="BI340" s="74" t="str">
        <f aca="false">IF(ISBLANK($C340),"",IF($AD340=Constants!$B$2,TRUE(),IF($AD340=Constants!$B$3,FALSE(),TRUE())))</f>
        <v/>
      </c>
      <c r="BJ340" s="74" t="str">
        <f aca="false">IF(ISBLANK($C340),"",IF(ISNUMBER($AE340),IF($AE340&gt;=0,$AE340,""),""))</f>
        <v/>
      </c>
      <c r="BK340" s="74" t="str">
        <f aca="false">IF(ISBLANK($C340),"",IF($AF340=Constants!$B$2,TRUE(),IF($AF340=Constants!$B$3,FALSE(),FALSE())))</f>
        <v/>
      </c>
      <c r="BL340" s="73" t="str">
        <f aca="false">IF(ISBLANK($C340),"",IF($BK340,Constants!$B$7,IF(COUNTA($E340:$AE340)=0,Constants!$B$6,IF(OR(COUNTA($G340:$AE340)=0,NOT($AM340),$AS340),Constants!$B$5,IF(OR($CM340&lt;&gt;"",$CN340,$CO340,$CP340,$CQ340,$CR340,$CS340),Constants!$B$8,Constants!$B$4)))))</f>
        <v/>
      </c>
      <c r="BM340" s="74" t="str">
        <f aca="false">IF(ISBLANK($C340),"",IF($BL340&lt;&gt;Constants!$B$4,$BL340,IF(OR(NOT($AJ340),NOT($AL340),NOT($AT340)),Constants!$B$11,IF(OR(NOT($AR340),NOT($AU340),NOT($BI340),MAX($AN340,$AO340,$AP340)&gt;Constants!$B$30),Constants!$B$10,Constants!$B$9))))</f>
        <v/>
      </c>
      <c r="BN340" s="74" t="str">
        <f aca="false">IF($BL340&lt;&gt;Constants!$B$4,"",IF(NOT($AL340),0,MIN(Constants!$B$35,$BF340)))</f>
        <v/>
      </c>
      <c r="BO340" s="74" t="str">
        <f aca="false">IF($BL340&lt;&gt;Constants!$B$4,"",IF(NOT($AL340),0,IF($AW340,Constants!$B$18,IF($AV340,Constants!$B$17,0))))</f>
        <v/>
      </c>
      <c r="BP340" s="74" t="str">
        <f aca="false">IF($BL340&lt;&gt;Constants!$B$4,"",IF(NOT($AL340),0,Constants!$B$19*($AK340+$AX340+$AY340+$AZ340)))</f>
        <v/>
      </c>
      <c r="BQ340" s="74" t="str">
        <f aca="false">IF($BL340&lt;&gt;Constants!$B$4,"",IF(OR(NOT($AL340),NOT(ISNUMBER($BA340))),0,CHOOSE($BA340,Constants!$B$13,Constants!$B$14,Constants!$B$15,Constants!$B$16)))</f>
        <v/>
      </c>
      <c r="BR340" s="74" t="str">
        <f aca="false">IF($BL340&lt;&gt;Constants!$B$4,"",IF(NOT($AL340),0,Constants!$B$20*$BB340))</f>
        <v/>
      </c>
      <c r="BS340" s="74" t="str">
        <f aca="false">IF($BL340&lt;&gt;Constants!$B$4,"",IF(AND($AL340,$BD340,$BE340),Constants!$B$22,0))</f>
        <v/>
      </c>
      <c r="BT340" s="74" t="str">
        <f aca="false">IF($BL340&lt;&gt;Constants!$B$4,"",IF(OR(NOT($AL340),NOT($BD340)),0,IF($BJ340&gt;=2*$AH$9,0,Constants!$B$23*INT(ROUND(MIN($BJ340,$AH$9),6)))))</f>
        <v/>
      </c>
      <c r="BU340" s="74" t="str">
        <f aca="false">IF($BL340&lt;&gt;Constants!$B$4,"",IF(NOT($AL340),0,Constants!$B$24*INT(ROUND(MIN($BC340,$AH$9),6))))</f>
        <v/>
      </c>
      <c r="BV340" s="74" t="str">
        <f aca="false">IF($BL340&lt;&gt;Constants!$B$4,"",IF(AND($AL340,$BN340=0),Constants!$B$25,0))</f>
        <v/>
      </c>
      <c r="BW340" s="74" t="str">
        <f aca="false">IF($BL340&lt;&gt;Constants!$B$4,"",MIN(Constants!$B$29,MAX(0,Constants!$B$27*Constants!$B$28*INT(ROUND((Constants!$B$26-$AN340)/Constants!$B$28,6))))+MIN(Constants!$B$29,MAX(0,Constants!$B$27*Constants!$B$28*INT(ROUND((Constants!$B$26-$AO340)/Constants!$B$28,6))))+MIN(Constants!$B$29,MAX(0,Constants!$B$27*Constants!$B$28*INT(ROUND((Constants!$B$26-$AP340)/Constants!$B$28,6)))))</f>
        <v/>
      </c>
      <c r="BX340" s="74" t="str">
        <f aca="false">IF($BL340&lt;&gt;Constants!$B$4,"",IF(NOT($AL340),0,Constants!$B$31*INT(ROUND(MAX(0,MIN($BJ340,2*$AH$9)-$AH$9),6))))</f>
        <v/>
      </c>
      <c r="BY340" s="74" t="str">
        <f aca="false">IF($BL340&lt;&gt;Constants!$B$4,"",Constants!$B$32*(($AN340&gt;Constants!$B$26)+($AO340&gt;Constants!$B$26)+($AP340&gt;Constants!$B$26)))</f>
        <v/>
      </c>
      <c r="BZ340" s="74" t="str">
        <f aca="false">IF($BL340&lt;&gt;Constants!$B$4,"",IF(OR(NOT($AL340),$AQ340),0,Constants!$B$33))</f>
        <v/>
      </c>
      <c r="CA340" s="74" t="str">
        <f aca="false">IF($BL340&lt;&gt;Constants!$B$4,"",Constants!$B$34*$BN340)</f>
        <v/>
      </c>
      <c r="CB340" s="74" t="str">
        <f aca="false">IF($BL340&lt;&gt;Constants!$B$4,"",IF(OR(NOT($AL340),$BH340),0,Constants!$B$36))</f>
        <v/>
      </c>
      <c r="CC340" s="74" t="str">
        <f aca="false">IF($BL340&lt;&gt;Constants!$B$4,"",IF(OR(NOT($AL340),$BG340),0,Constants!$B$37))</f>
        <v/>
      </c>
      <c r="CD340" s="74" t="str">
        <f aca="false">IF($BL340&lt;&gt;Constants!$B$4,"",SUM($BX340:$CC340))</f>
        <v/>
      </c>
      <c r="CE340" s="74" t="str">
        <f aca="false">IF(ISBLANK($C340),"",IF($BL340&lt;&gt;Constants!$B$4,$BL340,SUM($BO340:$BW340)-$CD340))</f>
        <v/>
      </c>
      <c r="CF340" s="74" t="str">
        <f aca="false">IF(ISBLANK($C340),"",IF($BL340&lt;&gt;Constants!$B$4,$BL340,RANK($CE340,$CE$9:$CE$508)))</f>
        <v/>
      </c>
      <c r="CG340" s="74" t="str">
        <f aca="false">IF(ISBLANK($C340),"",IF($BL340&lt;&gt;Constants!$B$4,$BL340,COUNTIFS($BM$9:$BM$508,"&lt;"&amp;$BM340)+COUNTIFS($BM$9:$BM$508,$BM340,$CF$9:$CF$508,"&lt;"&amp;$CF340)+1))</f>
        <v/>
      </c>
      <c r="CH340" s="74" t="str">
        <f aca="false">IF(ISBLANK($C340),"",IF($BL340&lt;&gt;Constants!$B$4,$BL340,RANK($CD340,$CD$9:$CD$508,1)))</f>
        <v/>
      </c>
      <c r="CI340" s="74" t="str">
        <f aca="false">IF($BL340&lt;&gt;Constants!$B$4,"",$AN340+$AO340+$AP340)</f>
        <v/>
      </c>
      <c r="CJ340" s="74" t="str">
        <f aca="false">IF(ISBLANK($C340),"",IF($BL340&lt;&gt;Constants!$B$4,$BL340,RANK($CI340,$CI$9:$CI$508,1)))</f>
        <v/>
      </c>
      <c r="CK340" s="74" t="str">
        <f aca="false">IF(ISBLANK($C340),"",IF($BL340&lt;&gt;Constants!$B$4,$BL340,COUNTIFS($BM$9:$BM$508,"&lt;"&amp;$BM340)+COUNTIFS($BM$9:$BM$508,$BM340,$CF$9:$CF$508,"&lt;"&amp;$CF340)+COUNTIFS($BM$9:$BM$508,$BM340,$CF$9:$CF$508,$CF340,$CH$9:$CH$508,"&lt;"&amp;$CH340)+COUNTIFS($BM$9:$BM$508,$BM340,$CF$9:$CF$508,$CF340,$CH$9:$CH$508,$CH340,$CJ$9:$CJ$508,"&lt;"&amp;$CJ340)+1))</f>
        <v/>
      </c>
      <c r="CL340" s="74" t="str">
        <f aca="false">IF(ISBLANK($C340),"",IF($BL340&lt;&gt;Constants!$B$4,$BL340,$CG340-$CK340))</f>
        <v/>
      </c>
      <c r="CM340" s="74" t="str">
        <f aca="false">IF(ISBLANK($C340),"",IF(NOT($AL340),"",IF(ISBLANK($D$7),$CM$5,IF(NOT(ISNUMBER($D$7)),$CM$6,""))))</f>
        <v/>
      </c>
      <c r="CN340" s="74" t="str">
        <f aca="false">IF(ISBLANK($C340),"",OR($AN340="",$AO340="",$AP340=""))</f>
        <v/>
      </c>
      <c r="CO340" s="74" t="str">
        <f aca="false">IF(ISBLANK($C340),"",AND($AL340,$BA340=""))</f>
        <v/>
      </c>
      <c r="CP340" s="74" t="str">
        <f aca="false">IF(ISBLANK($C340),"",AND($AL340,$BB340=""))</f>
        <v/>
      </c>
      <c r="CQ340" s="74" t="str">
        <f aca="false">IF(ISBLANK($C340),"",AND($AL340,$BC340=""))</f>
        <v/>
      </c>
      <c r="CR340" s="74" t="str">
        <f aca="false">IF(ISBLANK($C340),"",AND($AL340,$BF340=""))</f>
        <v/>
      </c>
      <c r="CS340" s="74" t="str">
        <f aca="false">IF(ISBLANK($C340),"",AND($AL340,$BJ340=""))</f>
        <v/>
      </c>
      <c r="CT340" s="75"/>
      <c r="CU340" s="76"/>
      <c r="CV340" s="79" t="str">
        <f aca="false">IF(ISBLANK($C340),"",IF($BL340=Constants!$B$8,$CM340,""))</f>
        <v/>
      </c>
      <c r="CW340" s="76" t="str">
        <f aca="false">IF(ISBLANK($C340),"",IF($BL340&lt;&gt;Constants!$B$4,"",$BO340+$BP340))</f>
        <v/>
      </c>
      <c r="CX340" s="78" t="str">
        <f aca="false">IF(ISBLANK($C340),"",IF($BL340&lt;&gt;Constants!$B$4,"",$BQ340+$BR340+$BS340))</f>
        <v/>
      </c>
      <c r="CY340" s="78" t="str">
        <f aca="false">IF(ISBLANK($C340),"",IF($BL340&lt;&gt;Constants!$B$4,"",$BT340))</f>
        <v/>
      </c>
      <c r="CZ340" s="78" t="str">
        <f aca="false">IF(ISBLANK($C340),"",IF($BL340&lt;&gt;Constants!$B$4,"",$BU340+$BV340))</f>
        <v/>
      </c>
      <c r="DA340" s="78" t="str">
        <f aca="false">IF(ISBLANK($C340),"",IF($BL340&lt;&gt;Constants!$B$4,"",$BW340))</f>
        <v/>
      </c>
      <c r="DB340" s="78" t="str">
        <f aca="false">IF(ISBLANK($C340),"",IF($BL340&lt;&gt;Constants!$B$4,"",-$CD340))</f>
        <v/>
      </c>
      <c r="DC340" s="79" t="str">
        <f aca="false">IF(ISBLANK($C340),"",$CE340)</f>
        <v/>
      </c>
      <c r="DD340" s="80" t="str">
        <f aca="false">IF(ISBLANK($C340),"",$BM340)</f>
        <v/>
      </c>
      <c r="DE340" s="78" t="str">
        <f aca="false">IF(ISBLANK($C340),"",$CL340)</f>
        <v/>
      </c>
      <c r="DF340" s="78" t="str">
        <f aca="false">IF(ISBLANK($C340),"",$CK340)</f>
        <v/>
      </c>
      <c r="DG340" s="81" t="str">
        <f aca="false">IF(ISBLANK($C340),"",IF($DF340=Constants!$B$7,COUNTA($C$9:$C$508)+2,IF($DF340=Constants!$B$6,COUNTA($C$9:$C$508)+1,IF($DF340=Constants!$B$5,COUNTA($C$9:$C$508),$DF340))))</f>
        <v/>
      </c>
      <c r="DH340" s="7"/>
      <c r="DI340" s="82" t="n">
        <f aca="false">IF(OR(ISNUMBER($DF340),$DF340=Constants!$B$7,$DF340=Constants!$B$5,$DF340=Constants!$B$6),1,0)</f>
        <v>0</v>
      </c>
      <c r="DJ340" s="82" t="n">
        <v>332</v>
      </c>
      <c r="DK340" s="82" t="str">
        <f aca="false">IF(ISBLANK($C340),"",IF(ISNUMBER($DG340),$DG340+ROW($B340)/1000,""))</f>
        <v/>
      </c>
      <c r="DL340" s="82" t="str">
        <f aca="false">IF(ISNUMBER($DK340),RANK($DK340,$DK$9:$DK$508,1),"")</f>
        <v/>
      </c>
      <c r="DM340" s="82" t="str">
        <f aca="false">IF(ISBLANK($C340),"",$B340)</f>
        <v/>
      </c>
      <c r="DN340" s="82" t="str">
        <f aca="false">IF(ISBLANK($C340),"",$C340)</f>
        <v/>
      </c>
      <c r="DO340" s="82" t="str">
        <f aca="false">IF(ISBLANK($C340),"",$D340)</f>
        <v/>
      </c>
      <c r="DP340" s="83" t="str">
        <f aca="false">$DD340</f>
        <v/>
      </c>
      <c r="DQ340" s="84" t="str">
        <f aca="false">$DC340</f>
        <v/>
      </c>
      <c r="DR340" s="82" t="str">
        <f aca="false">IF(ISBLANK($C340),"",$DF340)</f>
        <v/>
      </c>
      <c r="DS340" s="85" t="str">
        <f aca="false">IF($DJ340&gt;$DI$8,"",VLOOKUP($DJ340,$DL$9:$DR$508,7,FALSE()))</f>
        <v/>
      </c>
      <c r="DT340" s="86" t="str">
        <f aca="false">IF($DJ340&gt;$DI$8,"",VLOOKUP($DJ340,$DL$9:$DR$508,2,FALSE()))</f>
        <v/>
      </c>
      <c r="DU340" s="86" t="str">
        <f aca="false">IF($DJ340&gt;$DI$8,"",VLOOKUP($DJ340,$DL$9:$DR$508,3,FALSE()))</f>
        <v/>
      </c>
      <c r="DV340" s="86" t="str">
        <f aca="false">IF($DJ340&gt;$DI$8,"",VLOOKUP($DJ340,$DL$9:$DR$508,4,FALSE()))</f>
        <v/>
      </c>
      <c r="DW340" s="86" t="str">
        <f aca="false">IF($DJ340&gt;$DI$8,"",VLOOKUP($DJ340,$DL$9:$DR$508,5,FALSE()))</f>
        <v/>
      </c>
      <c r="DX340" s="87" t="str">
        <f aca="false">IF($DJ340&gt;$DI$8,"",VLOOKUP($DJ340,$DL$9:$DR$508,6,FALSE()))</f>
        <v/>
      </c>
      <c r="DY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88"/>
      <c r="N341" s="88"/>
      <c r="O341" s="134"/>
      <c r="P341" s="134"/>
      <c r="Q341" s="88"/>
      <c r="R341" s="88"/>
      <c r="S341" s="88"/>
      <c r="T341" s="88"/>
      <c r="U341" s="134"/>
      <c r="V341" s="88"/>
      <c r="W341" s="70"/>
      <c r="X341" s="88"/>
      <c r="Y341" s="88"/>
      <c r="Z341" s="70"/>
      <c r="AA341" s="70"/>
      <c r="AB341" s="88"/>
      <c r="AC341" s="88"/>
      <c r="AD341" s="88"/>
      <c r="AE341" s="71"/>
      <c r="AF341" s="88"/>
      <c r="AG341" s="73"/>
      <c r="AH341" s="74"/>
      <c r="AI341" s="74"/>
      <c r="AJ341" s="74" t="str">
        <f aca="false">IF(ISBLANK($C341),"",IF($E341=Constants!$B$2,TRUE(),IF($E341=Constants!$B$3,FALSE(),TRUE())))</f>
        <v/>
      </c>
      <c r="AK341" s="74" t="str">
        <f aca="false">IF(ISBLANK($C341),"",IF($F341=Constants!$B$2,TRUE(),IF($F341=Constants!$B$3,FALSE(),FALSE())))</f>
        <v/>
      </c>
      <c r="AL341" s="74" t="str">
        <f aca="false">IF(ISBLANK($C341),"",IF($G341=Constants!$B$2,TRUE(),IF($G341=Constants!$B$3,FALSE(),TRUE())))</f>
        <v/>
      </c>
      <c r="AM341" s="74" t="str">
        <f aca="false">IF(ISBLANK($C341),"",IF($H341=Constants!$B$2,TRUE(),IF($H341=Constants!$B$3,FALSE(),TRUE())))</f>
        <v/>
      </c>
      <c r="AN341" s="74" t="str">
        <f aca="false">IF(ISBLANK($C341),"",IF(ISNUMBER($I341),IF($I341&gt;=0,$I341,""),""))</f>
        <v/>
      </c>
      <c r="AO341" s="74" t="str">
        <f aca="false">IF(ISBLANK($C341),"",IF(ISNUMBER($J341),IF($J341&gt;=0,$J341,""),""))</f>
        <v/>
      </c>
      <c r="AP341" s="74" t="str">
        <f aca="false">IF(ISBLANK($C341),"",IF(ISNUMBER($K341),IF($K341&gt;=0,$K341,""),""))</f>
        <v/>
      </c>
      <c r="AQ341" s="74" t="str">
        <f aca="false">IF(ISBLANK($C341),"",IF($L341=Constants!$B$2,TRUE(),IF($L341=Constants!$B$3,FALSE(),TRUE())))</f>
        <v/>
      </c>
      <c r="AR341" s="74" t="str">
        <f aca="false">IF(ISBLANK($C341),"",IF($M341=Constants!$B$2,TRUE(),IF($M341=Constants!$B$3,FALSE(),TRUE())))</f>
        <v/>
      </c>
      <c r="AS341" s="74" t="str">
        <f aca="false">IF(ISBLANK($C341),"",IF($N341=Constants!$B$2,TRUE(),IF($N341=Constants!$B$3,FALSE(),FALSE())))</f>
        <v/>
      </c>
      <c r="AT341" s="74" t="str">
        <f aca="false">IF(ISBLANK($C341),"",IF($O341=Constants!$B$2,TRUE(),IF($O341=Constants!$B$3,FALSE(),TRUE())))</f>
        <v/>
      </c>
      <c r="AU341" s="74" t="str">
        <f aca="false">IF(ISBLANK($C341),"",IF($P341=Constants!$B$2,TRUE(),IF($P341=Constants!$B$3,FALSE(),TRUE())))</f>
        <v/>
      </c>
      <c r="AV341" s="74" t="str">
        <f aca="false">IF(ISBLANK($C341),"",IF($Q341=Constants!$B$2,TRUE(),IF($Q341=Constants!$B$3,FALSE(),FALSE())))</f>
        <v/>
      </c>
      <c r="AW341" s="74" t="str">
        <f aca="false">IF(ISBLANK($C341),"",IF($R341=Constants!$B$2,TRUE(),IF($R341=Constants!$B$3,FALSE(),FALSE())))</f>
        <v/>
      </c>
      <c r="AX341" s="74" t="str">
        <f aca="false">IF(ISBLANK($C341),"",IF($S341=Constants!$B$2,TRUE(),IF($S341=Constants!$B$3,FALSE(),FALSE())))</f>
        <v/>
      </c>
      <c r="AY341" s="74" t="str">
        <f aca="false">IF(ISBLANK($C341),"",IF($T341=Constants!$B$2,TRUE(),IF($T341=Constants!$B$3,FALSE(),FALSE())))</f>
        <v/>
      </c>
      <c r="AZ341" s="74" t="str">
        <f aca="false">IF(ISBLANK($C341),"",IF($U341=Constants!$B$2,TRUE(),IF($U341=Constants!$B$3,FALSE(),FALSE())))</f>
        <v/>
      </c>
      <c r="BA341" s="74" t="str">
        <f aca="false">IF(ISBLANK($C341),"",IF(OR($V341&amp;""="1",$V341&amp;""="2",$V341&amp;""="3",$V341&amp;""="4"),VALUE($V341&amp;""),IF($V341=Constants!$B$12,Constants!$B$12,"")))</f>
        <v/>
      </c>
      <c r="BB341" s="74" t="str">
        <f aca="false">IF(ISBLANK($C341),"",IF(ISBLANK($W341),0,IF(ISNUMBER($W341),IF(AND($W341&gt;=0,$W341&lt;=Constants!$B$21,$W341=INT($W341)),$W341,""),"")))</f>
        <v/>
      </c>
      <c r="BC341" s="74" t="str">
        <f aca="false">IF(ISBLANK($C341),"",IF(ISBLANK($X341),0,IF(ISNUMBER($X341),IF($X341&gt;=0,$X341,""),"")))</f>
        <v/>
      </c>
      <c r="BD341" s="74" t="str">
        <f aca="false">IF(ISBLANK($C341),"",IF($Y341=Constants!$B$2,TRUE(),IF($Y341=Constants!$B$3,FALSE(),TRUE())))</f>
        <v/>
      </c>
      <c r="BE341" s="74" t="str">
        <f aca="false">IF(ISBLANK($C341),"",IF($Z341=Constants!$B$2,TRUE(),IF($Z341=Constants!$B$3,FALSE(),FALSE())))</f>
        <v/>
      </c>
      <c r="BF341" s="74" t="str">
        <f aca="false">IF(ISBLANK($C341),"",IF(ISBLANK($AA341),0,IF(ISNUMBER($AA341),IF(AND($AA341&gt;=0,$AA341&lt;=Constants!$B$35,$AA341=INT($AA341)),$AA341,""),"")))</f>
        <v/>
      </c>
      <c r="BG341" s="74" t="str">
        <f aca="false">IF(ISBLANK($C341),"",IF($AB341=Constants!$B$2,TRUE(),IF($AB341=Constants!$B$3,FALSE(),TRUE())))</f>
        <v/>
      </c>
      <c r="BH341" s="74" t="str">
        <f aca="false">IF(ISBLANK($C341),"",IF($AC341=Constants!$B$2,TRUE(),IF($AC341=Constants!$B$3,FALSE(),TRUE())))</f>
        <v/>
      </c>
      <c r="BI341" s="74" t="str">
        <f aca="false">IF(ISBLANK($C341),"",IF($AD341=Constants!$B$2,TRUE(),IF($AD341=Constants!$B$3,FALSE(),TRUE())))</f>
        <v/>
      </c>
      <c r="BJ341" s="74" t="str">
        <f aca="false">IF(ISBLANK($C341),"",IF(ISNUMBER($AE341),IF($AE341&gt;=0,$AE341,""),""))</f>
        <v/>
      </c>
      <c r="BK341" s="74" t="str">
        <f aca="false">IF(ISBLANK($C341),"",IF($AF341=Constants!$B$2,TRUE(),IF($AF341=Constants!$B$3,FALSE(),FALSE())))</f>
        <v/>
      </c>
      <c r="BL341" s="73" t="str">
        <f aca="false">IF(ISBLANK($C341),"",IF($BK341,Constants!$B$7,IF(COUNTA($E341:$AE341)=0,Constants!$B$6,IF(OR(COUNTA($G341:$AE341)=0,NOT($AM341),$AS341),Constants!$B$5,IF(OR($CM341&lt;&gt;"",$CN341,$CO341,$CP341,$CQ341,$CR341,$CS341),Constants!$B$8,Constants!$B$4)))))</f>
        <v/>
      </c>
      <c r="BM341" s="74" t="str">
        <f aca="false">IF(ISBLANK($C341),"",IF($BL341&lt;&gt;Constants!$B$4,$BL341,IF(OR(NOT($AJ341),NOT($AL341),NOT($AT341)),Constants!$B$11,IF(OR(NOT($AR341),NOT($AU341),NOT($BI341),MAX($AN341,$AO341,$AP341)&gt;Constants!$B$30),Constants!$B$10,Constants!$B$9))))</f>
        <v/>
      </c>
      <c r="BN341" s="74" t="str">
        <f aca="false">IF($BL341&lt;&gt;Constants!$B$4,"",IF(NOT($AL341),0,MIN(Constants!$B$35,$BF341)))</f>
        <v/>
      </c>
      <c r="BO341" s="74" t="str">
        <f aca="false">IF($BL341&lt;&gt;Constants!$B$4,"",IF(NOT($AL341),0,IF($AW341,Constants!$B$18,IF($AV341,Constants!$B$17,0))))</f>
        <v/>
      </c>
      <c r="BP341" s="74" t="str">
        <f aca="false">IF($BL341&lt;&gt;Constants!$B$4,"",IF(NOT($AL341),0,Constants!$B$19*($AK341+$AX341+$AY341+$AZ341)))</f>
        <v/>
      </c>
      <c r="BQ341" s="74" t="str">
        <f aca="false">IF($BL341&lt;&gt;Constants!$B$4,"",IF(OR(NOT($AL341),NOT(ISNUMBER($BA341))),0,CHOOSE($BA341,Constants!$B$13,Constants!$B$14,Constants!$B$15,Constants!$B$16)))</f>
        <v/>
      </c>
      <c r="BR341" s="74" t="str">
        <f aca="false">IF($BL341&lt;&gt;Constants!$B$4,"",IF(NOT($AL341),0,Constants!$B$20*$BB341))</f>
        <v/>
      </c>
      <c r="BS341" s="74" t="str">
        <f aca="false">IF($BL341&lt;&gt;Constants!$B$4,"",IF(AND($AL341,$BD341,$BE341),Constants!$B$22,0))</f>
        <v/>
      </c>
      <c r="BT341" s="74" t="str">
        <f aca="false">IF($BL341&lt;&gt;Constants!$B$4,"",IF(OR(NOT($AL341),NOT($BD341)),0,IF($BJ341&gt;=2*$AH$9,0,Constants!$B$23*INT(ROUND(MIN($BJ341,$AH$9),6)))))</f>
        <v/>
      </c>
      <c r="BU341" s="74" t="str">
        <f aca="false">IF($BL341&lt;&gt;Constants!$B$4,"",IF(NOT($AL341),0,Constants!$B$24*INT(ROUND(MIN($BC341,$AH$9),6))))</f>
        <v/>
      </c>
      <c r="BV341" s="74" t="str">
        <f aca="false">IF($BL341&lt;&gt;Constants!$B$4,"",IF(AND($AL341,$BN341=0),Constants!$B$25,0))</f>
        <v/>
      </c>
      <c r="BW341" s="74" t="str">
        <f aca="false">IF($BL341&lt;&gt;Constants!$B$4,"",MIN(Constants!$B$29,MAX(0,Constants!$B$27*Constants!$B$28*INT(ROUND((Constants!$B$26-$AN341)/Constants!$B$28,6))))+MIN(Constants!$B$29,MAX(0,Constants!$B$27*Constants!$B$28*INT(ROUND((Constants!$B$26-$AO341)/Constants!$B$28,6))))+MIN(Constants!$B$29,MAX(0,Constants!$B$27*Constants!$B$28*INT(ROUND((Constants!$B$26-$AP341)/Constants!$B$28,6)))))</f>
        <v/>
      </c>
      <c r="BX341" s="74" t="str">
        <f aca="false">IF($BL341&lt;&gt;Constants!$B$4,"",IF(NOT($AL341),0,Constants!$B$31*INT(ROUND(MAX(0,MIN($BJ341,2*$AH$9)-$AH$9),6))))</f>
        <v/>
      </c>
      <c r="BY341" s="74" t="str">
        <f aca="false">IF($BL341&lt;&gt;Constants!$B$4,"",Constants!$B$32*(($AN341&gt;Constants!$B$26)+($AO341&gt;Constants!$B$26)+($AP341&gt;Constants!$B$26)))</f>
        <v/>
      </c>
      <c r="BZ341" s="74" t="str">
        <f aca="false">IF($BL341&lt;&gt;Constants!$B$4,"",IF(OR(NOT($AL341),$AQ341),0,Constants!$B$33))</f>
        <v/>
      </c>
      <c r="CA341" s="74" t="str">
        <f aca="false">IF($BL341&lt;&gt;Constants!$B$4,"",Constants!$B$34*$BN341)</f>
        <v/>
      </c>
      <c r="CB341" s="74" t="str">
        <f aca="false">IF($BL341&lt;&gt;Constants!$B$4,"",IF(OR(NOT($AL341),$BH341),0,Constants!$B$36))</f>
        <v/>
      </c>
      <c r="CC341" s="74" t="str">
        <f aca="false">IF($BL341&lt;&gt;Constants!$B$4,"",IF(OR(NOT($AL341),$BG341),0,Constants!$B$37))</f>
        <v/>
      </c>
      <c r="CD341" s="74" t="str">
        <f aca="false">IF($BL341&lt;&gt;Constants!$B$4,"",SUM($BX341:$CC341))</f>
        <v/>
      </c>
      <c r="CE341" s="74" t="str">
        <f aca="false">IF(ISBLANK($C341),"",IF($BL341&lt;&gt;Constants!$B$4,$BL341,SUM($BO341:$BW341)-$CD341))</f>
        <v/>
      </c>
      <c r="CF341" s="74" t="str">
        <f aca="false">IF(ISBLANK($C341),"",IF($BL341&lt;&gt;Constants!$B$4,$BL341,RANK($CE341,$CE$9:$CE$508)))</f>
        <v/>
      </c>
      <c r="CG341" s="74" t="str">
        <f aca="false">IF(ISBLANK($C341),"",IF($BL341&lt;&gt;Constants!$B$4,$BL341,COUNTIFS($BM$9:$BM$508,"&lt;"&amp;$BM341)+COUNTIFS($BM$9:$BM$508,$BM341,$CF$9:$CF$508,"&lt;"&amp;$CF341)+1))</f>
        <v/>
      </c>
      <c r="CH341" s="74" t="str">
        <f aca="false">IF(ISBLANK($C341),"",IF($BL341&lt;&gt;Constants!$B$4,$BL341,RANK($CD341,$CD$9:$CD$508,1)))</f>
        <v/>
      </c>
      <c r="CI341" s="74" t="str">
        <f aca="false">IF($BL341&lt;&gt;Constants!$B$4,"",$AN341+$AO341+$AP341)</f>
        <v/>
      </c>
      <c r="CJ341" s="74" t="str">
        <f aca="false">IF(ISBLANK($C341),"",IF($BL341&lt;&gt;Constants!$B$4,$BL341,RANK($CI341,$CI$9:$CI$508,1)))</f>
        <v/>
      </c>
      <c r="CK341" s="74" t="str">
        <f aca="false">IF(ISBLANK($C341),"",IF($BL341&lt;&gt;Constants!$B$4,$BL341,COUNTIFS($BM$9:$BM$508,"&lt;"&amp;$BM341)+COUNTIFS($BM$9:$BM$508,$BM341,$CF$9:$CF$508,"&lt;"&amp;$CF341)+COUNTIFS($BM$9:$BM$508,$BM341,$CF$9:$CF$508,$CF341,$CH$9:$CH$508,"&lt;"&amp;$CH341)+COUNTIFS($BM$9:$BM$508,$BM341,$CF$9:$CF$508,$CF341,$CH$9:$CH$508,$CH341,$CJ$9:$CJ$508,"&lt;"&amp;$CJ341)+1))</f>
        <v/>
      </c>
      <c r="CL341" s="74" t="str">
        <f aca="false">IF(ISBLANK($C341),"",IF($BL341&lt;&gt;Constants!$B$4,$BL341,$CG341-$CK341))</f>
        <v/>
      </c>
      <c r="CM341" s="74" t="str">
        <f aca="false">IF(ISBLANK($C341),"",IF(NOT($AL341),"",IF(ISBLANK($D$7),$CM$5,IF(NOT(ISNUMBER($D$7)),$CM$6,""))))</f>
        <v/>
      </c>
      <c r="CN341" s="74" t="str">
        <f aca="false">IF(ISBLANK($C341),"",OR($AN341="",$AO341="",$AP341=""))</f>
        <v/>
      </c>
      <c r="CO341" s="74" t="str">
        <f aca="false">IF(ISBLANK($C341),"",AND($AL341,$BA341=""))</f>
        <v/>
      </c>
      <c r="CP341" s="74" t="str">
        <f aca="false">IF(ISBLANK($C341),"",AND($AL341,$BB341=""))</f>
        <v/>
      </c>
      <c r="CQ341" s="74" t="str">
        <f aca="false">IF(ISBLANK($C341),"",AND($AL341,$BC341=""))</f>
        <v/>
      </c>
      <c r="CR341" s="74" t="str">
        <f aca="false">IF(ISBLANK($C341),"",AND($AL341,$BF341=""))</f>
        <v/>
      </c>
      <c r="CS341" s="74" t="str">
        <f aca="false">IF(ISBLANK($C341),"",AND($AL341,$BJ341=""))</f>
        <v/>
      </c>
      <c r="CT341" s="75"/>
      <c r="CU341" s="76"/>
      <c r="CV341" s="79" t="str">
        <f aca="false">IF(ISBLANK($C341),"",IF($BL341=Constants!$B$8,$CM341,""))</f>
        <v/>
      </c>
      <c r="CW341" s="76" t="str">
        <f aca="false">IF(ISBLANK($C341),"",IF($BL341&lt;&gt;Constants!$B$4,"",$BO341+$BP341))</f>
        <v/>
      </c>
      <c r="CX341" s="78" t="str">
        <f aca="false">IF(ISBLANK($C341),"",IF($BL341&lt;&gt;Constants!$B$4,"",$BQ341+$BR341+$BS341))</f>
        <v/>
      </c>
      <c r="CY341" s="78" t="str">
        <f aca="false">IF(ISBLANK($C341),"",IF($BL341&lt;&gt;Constants!$B$4,"",$BT341))</f>
        <v/>
      </c>
      <c r="CZ341" s="78" t="str">
        <f aca="false">IF(ISBLANK($C341),"",IF($BL341&lt;&gt;Constants!$B$4,"",$BU341+$BV341))</f>
        <v/>
      </c>
      <c r="DA341" s="78" t="str">
        <f aca="false">IF(ISBLANK($C341),"",IF($BL341&lt;&gt;Constants!$B$4,"",$BW341))</f>
        <v/>
      </c>
      <c r="DB341" s="78" t="str">
        <f aca="false">IF(ISBLANK($C341),"",IF($BL341&lt;&gt;Constants!$B$4,"",-$CD341))</f>
        <v/>
      </c>
      <c r="DC341" s="79" t="str">
        <f aca="false">IF(ISBLANK($C341),"",$CE341)</f>
        <v/>
      </c>
      <c r="DD341" s="80" t="str">
        <f aca="false">IF(ISBLANK($C341),"",$BM341)</f>
        <v/>
      </c>
      <c r="DE341" s="78" t="str">
        <f aca="false">IF(ISBLANK($C341),"",$CL341)</f>
        <v/>
      </c>
      <c r="DF341" s="78" t="str">
        <f aca="false">IF(ISBLANK($C341),"",$CK341)</f>
        <v/>
      </c>
      <c r="DG341" s="81" t="str">
        <f aca="false">IF(ISBLANK($C341),"",IF($DF341=Constants!$B$7,COUNTA($C$9:$C$508)+2,IF($DF341=Constants!$B$6,COUNTA($C$9:$C$508)+1,IF($DF341=Constants!$B$5,COUNTA($C$9:$C$508),$DF341))))</f>
        <v/>
      </c>
      <c r="DH341" s="7"/>
      <c r="DI341" s="82" t="n">
        <f aca="false">IF(OR(ISNUMBER($DF341),$DF341=Constants!$B$7,$DF341=Constants!$B$5,$DF341=Constants!$B$6),1,0)</f>
        <v>0</v>
      </c>
      <c r="DJ341" s="82" t="n">
        <v>333</v>
      </c>
      <c r="DK341" s="82" t="str">
        <f aca="false">IF(ISBLANK($C341),"",IF(ISNUMBER($DG341),$DG341+ROW($B341)/1000,""))</f>
        <v/>
      </c>
      <c r="DL341" s="82" t="str">
        <f aca="false">IF(ISNUMBER($DK341),RANK($DK341,$DK$9:$DK$508,1),"")</f>
        <v/>
      </c>
      <c r="DM341" s="82" t="str">
        <f aca="false">IF(ISBLANK($C341),"",$B341)</f>
        <v/>
      </c>
      <c r="DN341" s="82" t="str">
        <f aca="false">IF(ISBLANK($C341),"",$C341)</f>
        <v/>
      </c>
      <c r="DO341" s="82" t="str">
        <f aca="false">IF(ISBLANK($C341),"",$D341)</f>
        <v/>
      </c>
      <c r="DP341" s="83" t="str">
        <f aca="false">$DD341</f>
        <v/>
      </c>
      <c r="DQ341" s="84" t="str">
        <f aca="false">$DC341</f>
        <v/>
      </c>
      <c r="DR341" s="82" t="str">
        <f aca="false">IF(ISBLANK($C341),"",$DF341)</f>
        <v/>
      </c>
      <c r="DS341" s="85" t="str">
        <f aca="false">IF($DJ341&gt;$DI$8,"",VLOOKUP($DJ341,$DL$9:$DR$508,7,FALSE()))</f>
        <v/>
      </c>
      <c r="DT341" s="86" t="str">
        <f aca="false">IF($DJ341&gt;$DI$8,"",VLOOKUP($DJ341,$DL$9:$DR$508,2,FALSE()))</f>
        <v/>
      </c>
      <c r="DU341" s="86" t="str">
        <f aca="false">IF($DJ341&gt;$DI$8,"",VLOOKUP($DJ341,$DL$9:$DR$508,3,FALSE()))</f>
        <v/>
      </c>
      <c r="DV341" s="86" t="str">
        <f aca="false">IF($DJ341&gt;$DI$8,"",VLOOKUP($DJ341,$DL$9:$DR$508,4,FALSE()))</f>
        <v/>
      </c>
      <c r="DW341" s="86" t="str">
        <f aca="false">IF($DJ341&gt;$DI$8,"",VLOOKUP($DJ341,$DL$9:$DR$508,5,FALSE()))</f>
        <v/>
      </c>
      <c r="DX341" s="87" t="str">
        <f aca="false">IF($DJ341&gt;$DI$8,"",VLOOKUP($DJ341,$DL$9:$DR$508,6,FALSE()))</f>
        <v/>
      </c>
      <c r="DY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130"/>
      <c r="N342" s="130"/>
      <c r="O342" s="135"/>
      <c r="P342" s="135"/>
      <c r="Q342" s="130"/>
      <c r="R342" s="130"/>
      <c r="S342" s="130"/>
      <c r="T342" s="130"/>
      <c r="U342" s="135"/>
      <c r="V342" s="130"/>
      <c r="W342" s="96"/>
      <c r="X342" s="130"/>
      <c r="Y342" s="130"/>
      <c r="Z342" s="96"/>
      <c r="AA342" s="96"/>
      <c r="AB342" s="130"/>
      <c r="AC342" s="130"/>
      <c r="AD342" s="130"/>
      <c r="AE342" s="97"/>
      <c r="AF342" s="130"/>
      <c r="AG342" s="99"/>
      <c r="AH342" s="100"/>
      <c r="AI342" s="100"/>
      <c r="AJ342" s="100" t="str">
        <f aca="false">IF(ISBLANK($C342),"",IF($E342=Constants!$B$2,TRUE(),IF($E342=Constants!$B$3,FALSE(),TRUE())))</f>
        <v/>
      </c>
      <c r="AK342" s="100" t="str">
        <f aca="false">IF(ISBLANK($C342),"",IF($F342=Constants!$B$2,TRUE(),IF($F342=Constants!$B$3,FALSE(),FALSE())))</f>
        <v/>
      </c>
      <c r="AL342" s="100" t="str">
        <f aca="false">IF(ISBLANK($C342),"",IF($G342=Constants!$B$2,TRUE(),IF($G342=Constants!$B$3,FALSE(),TRUE())))</f>
        <v/>
      </c>
      <c r="AM342" s="100" t="str">
        <f aca="false">IF(ISBLANK($C342),"",IF($H342=Constants!$B$2,TRUE(),IF($H342=Constants!$B$3,FALSE(),TRUE())))</f>
        <v/>
      </c>
      <c r="AN342" s="100" t="str">
        <f aca="false">IF(ISBLANK($C342),"",IF(ISNUMBER($I342),IF($I342&gt;=0,$I342,""),""))</f>
        <v/>
      </c>
      <c r="AO342" s="100" t="str">
        <f aca="false">IF(ISBLANK($C342),"",IF(ISNUMBER($J342),IF($J342&gt;=0,$J342,""),""))</f>
        <v/>
      </c>
      <c r="AP342" s="100" t="str">
        <f aca="false">IF(ISBLANK($C342),"",IF(ISNUMBER($K342),IF($K342&gt;=0,$K342,""),""))</f>
        <v/>
      </c>
      <c r="AQ342" s="100" t="str">
        <f aca="false">IF(ISBLANK($C342),"",IF($L342=Constants!$B$2,TRUE(),IF($L342=Constants!$B$3,FALSE(),TRUE())))</f>
        <v/>
      </c>
      <c r="AR342" s="100" t="str">
        <f aca="false">IF(ISBLANK($C342),"",IF($M342=Constants!$B$2,TRUE(),IF($M342=Constants!$B$3,FALSE(),TRUE())))</f>
        <v/>
      </c>
      <c r="AS342" s="100" t="str">
        <f aca="false">IF(ISBLANK($C342),"",IF($N342=Constants!$B$2,TRUE(),IF($N342=Constants!$B$3,FALSE(),FALSE())))</f>
        <v/>
      </c>
      <c r="AT342" s="100" t="str">
        <f aca="false">IF(ISBLANK($C342),"",IF($O342=Constants!$B$2,TRUE(),IF($O342=Constants!$B$3,FALSE(),TRUE())))</f>
        <v/>
      </c>
      <c r="AU342" s="100" t="str">
        <f aca="false">IF(ISBLANK($C342),"",IF($P342=Constants!$B$2,TRUE(),IF($P342=Constants!$B$3,FALSE(),TRUE())))</f>
        <v/>
      </c>
      <c r="AV342" s="100" t="str">
        <f aca="false">IF(ISBLANK($C342),"",IF($Q342=Constants!$B$2,TRUE(),IF($Q342=Constants!$B$3,FALSE(),FALSE())))</f>
        <v/>
      </c>
      <c r="AW342" s="100" t="str">
        <f aca="false">IF(ISBLANK($C342),"",IF($R342=Constants!$B$2,TRUE(),IF($R342=Constants!$B$3,FALSE(),FALSE())))</f>
        <v/>
      </c>
      <c r="AX342" s="100" t="str">
        <f aca="false">IF(ISBLANK($C342),"",IF($S342=Constants!$B$2,TRUE(),IF($S342=Constants!$B$3,FALSE(),FALSE())))</f>
        <v/>
      </c>
      <c r="AY342" s="100" t="str">
        <f aca="false">IF(ISBLANK($C342),"",IF($T342=Constants!$B$2,TRUE(),IF($T342=Constants!$B$3,FALSE(),FALSE())))</f>
        <v/>
      </c>
      <c r="AZ342" s="100" t="str">
        <f aca="false">IF(ISBLANK($C342),"",IF($U342=Constants!$B$2,TRUE(),IF($U342=Constants!$B$3,FALSE(),FALSE())))</f>
        <v/>
      </c>
      <c r="BA342" s="100" t="str">
        <f aca="false">IF(ISBLANK($C342),"",IF(OR($V342&amp;""="1",$V342&amp;""="2",$V342&amp;""="3",$V342&amp;""="4"),VALUE($V342&amp;""),IF($V342=Constants!$B$12,Constants!$B$12,"")))</f>
        <v/>
      </c>
      <c r="BB342" s="100" t="str">
        <f aca="false">IF(ISBLANK($C342),"",IF(ISBLANK($W342),0,IF(ISNUMBER($W342),IF(AND($W342&gt;=0,$W342&lt;=Constants!$B$21,$W342=INT($W342)),$W342,""),"")))</f>
        <v/>
      </c>
      <c r="BC342" s="100" t="str">
        <f aca="false">IF(ISBLANK($C342),"",IF(ISBLANK($X342),0,IF(ISNUMBER($X342),IF($X342&gt;=0,$X342,""),"")))</f>
        <v/>
      </c>
      <c r="BD342" s="100" t="str">
        <f aca="false">IF(ISBLANK($C342),"",IF($Y342=Constants!$B$2,TRUE(),IF($Y342=Constants!$B$3,FALSE(),TRUE())))</f>
        <v/>
      </c>
      <c r="BE342" s="100" t="str">
        <f aca="false">IF(ISBLANK($C342),"",IF($Z342=Constants!$B$2,TRUE(),IF($Z342=Constants!$B$3,FALSE(),FALSE())))</f>
        <v/>
      </c>
      <c r="BF342" s="100" t="str">
        <f aca="false">IF(ISBLANK($C342),"",IF(ISBLANK($AA342),0,IF(ISNUMBER($AA342),IF(AND($AA342&gt;=0,$AA342&lt;=Constants!$B$35,$AA342=INT($AA342)),$AA342,""),"")))</f>
        <v/>
      </c>
      <c r="BG342" s="100" t="str">
        <f aca="false">IF(ISBLANK($C342),"",IF($AB342=Constants!$B$2,TRUE(),IF($AB342=Constants!$B$3,FALSE(),TRUE())))</f>
        <v/>
      </c>
      <c r="BH342" s="100" t="str">
        <f aca="false">IF(ISBLANK($C342),"",IF($AC342=Constants!$B$2,TRUE(),IF($AC342=Constants!$B$3,FALSE(),TRUE())))</f>
        <v/>
      </c>
      <c r="BI342" s="100" t="str">
        <f aca="false">IF(ISBLANK($C342),"",IF($AD342=Constants!$B$2,TRUE(),IF($AD342=Constants!$B$3,FALSE(),TRUE())))</f>
        <v/>
      </c>
      <c r="BJ342" s="100" t="str">
        <f aca="false">IF(ISBLANK($C342),"",IF(ISNUMBER($AE342),IF($AE342&gt;=0,$AE342,""),""))</f>
        <v/>
      </c>
      <c r="BK342" s="100" t="str">
        <f aca="false">IF(ISBLANK($C342),"",IF($AF342=Constants!$B$2,TRUE(),IF($AF342=Constants!$B$3,FALSE(),FALSE())))</f>
        <v/>
      </c>
      <c r="BL342" s="99" t="str">
        <f aca="false">IF(ISBLANK($C342),"",IF($BK342,Constants!$B$7,IF(COUNTA($E342:$AE342)=0,Constants!$B$6,IF(OR(COUNTA($G342:$AE342)=0,NOT($AM342),$AS342),Constants!$B$5,IF(OR($CM342&lt;&gt;"",$CN342,$CO342,$CP342,$CQ342,$CR342,$CS342),Constants!$B$8,Constants!$B$4)))))</f>
        <v/>
      </c>
      <c r="BM342" s="100" t="str">
        <f aca="false">IF(ISBLANK($C342),"",IF($BL342&lt;&gt;Constants!$B$4,$BL342,IF(OR(NOT($AJ342),NOT($AL342),NOT($AT342)),Constants!$B$11,IF(OR(NOT($AR342),NOT($AU342),NOT($BI342),MAX($AN342,$AO342,$AP342)&gt;Constants!$B$30),Constants!$B$10,Constants!$B$9))))</f>
        <v/>
      </c>
      <c r="BN342" s="100" t="str">
        <f aca="false">IF($BL342&lt;&gt;Constants!$B$4,"",IF(NOT($AL342),0,MIN(Constants!$B$35,$BF342)))</f>
        <v/>
      </c>
      <c r="BO342" s="100" t="str">
        <f aca="false">IF($BL342&lt;&gt;Constants!$B$4,"",IF(NOT($AL342),0,IF($AW342,Constants!$B$18,IF($AV342,Constants!$B$17,0))))</f>
        <v/>
      </c>
      <c r="BP342" s="100" t="str">
        <f aca="false">IF($BL342&lt;&gt;Constants!$B$4,"",IF(NOT($AL342),0,Constants!$B$19*($AK342+$AX342+$AY342+$AZ342)))</f>
        <v/>
      </c>
      <c r="BQ342" s="100" t="str">
        <f aca="false">IF($BL342&lt;&gt;Constants!$B$4,"",IF(OR(NOT($AL342),NOT(ISNUMBER($BA342))),0,CHOOSE($BA342,Constants!$B$13,Constants!$B$14,Constants!$B$15,Constants!$B$16)))</f>
        <v/>
      </c>
      <c r="BR342" s="100" t="str">
        <f aca="false">IF($BL342&lt;&gt;Constants!$B$4,"",IF(NOT($AL342),0,Constants!$B$20*$BB342))</f>
        <v/>
      </c>
      <c r="BS342" s="100" t="str">
        <f aca="false">IF($BL342&lt;&gt;Constants!$B$4,"",IF(AND($AL342,$BD342,$BE342),Constants!$B$22,0))</f>
        <v/>
      </c>
      <c r="BT342" s="100" t="str">
        <f aca="false">IF($BL342&lt;&gt;Constants!$B$4,"",IF(OR(NOT($AL342),NOT($BD342)),0,IF($BJ342&gt;=2*$AH$9,0,Constants!$B$23*INT(ROUND(MIN($BJ342,$AH$9),6)))))</f>
        <v/>
      </c>
      <c r="BU342" s="100" t="str">
        <f aca="false">IF($BL342&lt;&gt;Constants!$B$4,"",IF(NOT($AL342),0,Constants!$B$24*INT(ROUND(MIN($BC342,$AH$9),6))))</f>
        <v/>
      </c>
      <c r="BV342" s="100" t="str">
        <f aca="false">IF($BL342&lt;&gt;Constants!$B$4,"",IF(AND($AL342,$BN342=0),Constants!$B$25,0))</f>
        <v/>
      </c>
      <c r="BW342" s="100" t="str">
        <f aca="false">IF($BL342&lt;&gt;Constants!$B$4,"",MIN(Constants!$B$29,MAX(0,Constants!$B$27*Constants!$B$28*INT(ROUND((Constants!$B$26-$AN342)/Constants!$B$28,6))))+MIN(Constants!$B$29,MAX(0,Constants!$B$27*Constants!$B$28*INT(ROUND((Constants!$B$26-$AO342)/Constants!$B$28,6))))+MIN(Constants!$B$29,MAX(0,Constants!$B$27*Constants!$B$28*INT(ROUND((Constants!$B$26-$AP342)/Constants!$B$28,6)))))</f>
        <v/>
      </c>
      <c r="BX342" s="100" t="str">
        <f aca="false">IF($BL342&lt;&gt;Constants!$B$4,"",IF(NOT($AL342),0,Constants!$B$31*INT(ROUND(MAX(0,MIN($BJ342,2*$AH$9)-$AH$9),6))))</f>
        <v/>
      </c>
      <c r="BY342" s="100" t="str">
        <f aca="false">IF($BL342&lt;&gt;Constants!$B$4,"",Constants!$B$32*(($AN342&gt;Constants!$B$26)+($AO342&gt;Constants!$B$26)+($AP342&gt;Constants!$B$26)))</f>
        <v/>
      </c>
      <c r="BZ342" s="100" t="str">
        <f aca="false">IF($BL342&lt;&gt;Constants!$B$4,"",IF(OR(NOT($AL342),$AQ342),0,Constants!$B$33))</f>
        <v/>
      </c>
      <c r="CA342" s="100" t="str">
        <f aca="false">IF($BL342&lt;&gt;Constants!$B$4,"",Constants!$B$34*$BN342)</f>
        <v/>
      </c>
      <c r="CB342" s="100" t="str">
        <f aca="false">IF($BL342&lt;&gt;Constants!$B$4,"",IF(OR(NOT($AL342),$BH342),0,Constants!$B$36))</f>
        <v/>
      </c>
      <c r="CC342" s="100" t="str">
        <f aca="false">IF($BL342&lt;&gt;Constants!$B$4,"",IF(OR(NOT($AL342),$BG342),0,Constants!$B$37))</f>
        <v/>
      </c>
      <c r="CD342" s="100" t="str">
        <f aca="false">IF($BL342&lt;&gt;Constants!$B$4,"",SUM($BX342:$CC342))</f>
        <v/>
      </c>
      <c r="CE342" s="100" t="str">
        <f aca="false">IF(ISBLANK($C342),"",IF($BL342&lt;&gt;Constants!$B$4,$BL342,SUM($BO342:$BW342)-$CD342))</f>
        <v/>
      </c>
      <c r="CF342" s="100" t="str">
        <f aca="false">IF(ISBLANK($C342),"",IF($BL342&lt;&gt;Constants!$B$4,$BL342,RANK($CE342,$CE$9:$CE$508)))</f>
        <v/>
      </c>
      <c r="CG342" s="100" t="str">
        <f aca="false">IF(ISBLANK($C342),"",IF($BL342&lt;&gt;Constants!$B$4,$BL342,COUNTIFS($BM$9:$BM$508,"&lt;"&amp;$BM342)+COUNTIFS($BM$9:$BM$508,$BM342,$CF$9:$CF$508,"&lt;"&amp;$CF342)+1))</f>
        <v/>
      </c>
      <c r="CH342" s="100" t="str">
        <f aca="false">IF(ISBLANK($C342),"",IF($BL342&lt;&gt;Constants!$B$4,$BL342,RANK($CD342,$CD$9:$CD$508,1)))</f>
        <v/>
      </c>
      <c r="CI342" s="100" t="str">
        <f aca="false">IF($BL342&lt;&gt;Constants!$B$4,"",$AN342+$AO342+$AP342)</f>
        <v/>
      </c>
      <c r="CJ342" s="100" t="str">
        <f aca="false">IF(ISBLANK($C342),"",IF($BL342&lt;&gt;Constants!$B$4,$BL342,RANK($CI342,$CI$9:$CI$508,1)))</f>
        <v/>
      </c>
      <c r="CK342" s="100" t="str">
        <f aca="false">IF(ISBLANK($C342),"",IF($BL342&lt;&gt;Constants!$B$4,$BL342,COUNTIFS($BM$9:$BM$508,"&lt;"&amp;$BM342)+COUNTIFS($BM$9:$BM$508,$BM342,$CF$9:$CF$508,"&lt;"&amp;$CF342)+COUNTIFS($BM$9:$BM$508,$BM342,$CF$9:$CF$508,$CF342,$CH$9:$CH$508,"&lt;"&amp;$CH342)+COUNTIFS($BM$9:$BM$508,$BM342,$CF$9:$CF$508,$CF342,$CH$9:$CH$508,$CH342,$CJ$9:$CJ$508,"&lt;"&amp;$CJ342)+1))</f>
        <v/>
      </c>
      <c r="CL342" s="100" t="str">
        <f aca="false">IF(ISBLANK($C342),"",IF($BL342&lt;&gt;Constants!$B$4,$BL342,$CG342-$CK342))</f>
        <v/>
      </c>
      <c r="CM342" s="100" t="str">
        <f aca="false">IF(ISBLANK($C342),"",IF(NOT($AL342),"",IF(ISBLANK($D$7),$CM$5,IF(NOT(ISNUMBER($D$7)),$CM$6,""))))</f>
        <v/>
      </c>
      <c r="CN342" s="100" t="str">
        <f aca="false">IF(ISBLANK($C342),"",OR($AN342="",$AO342="",$AP342=""))</f>
        <v/>
      </c>
      <c r="CO342" s="100" t="str">
        <f aca="false">IF(ISBLANK($C342),"",AND($AL342,$BA342=""))</f>
        <v/>
      </c>
      <c r="CP342" s="100" t="str">
        <f aca="false">IF(ISBLANK($C342),"",AND($AL342,$BB342=""))</f>
        <v/>
      </c>
      <c r="CQ342" s="100" t="str">
        <f aca="false">IF(ISBLANK($C342),"",AND($AL342,$BC342=""))</f>
        <v/>
      </c>
      <c r="CR342" s="100" t="str">
        <f aca="false">IF(ISBLANK($C342),"",AND($AL342,$BF342=""))</f>
        <v/>
      </c>
      <c r="CS342" s="100" t="str">
        <f aca="false">IF(ISBLANK($C342),"",AND($AL342,$BJ342=""))</f>
        <v/>
      </c>
      <c r="CT342" s="101"/>
      <c r="CU342" s="102"/>
      <c r="CV342" s="103" t="str">
        <f aca="false">IF(ISBLANK($C342),"",IF($BL342=Constants!$B$8,$CM342,""))</f>
        <v/>
      </c>
      <c r="CW342" s="102" t="str">
        <f aca="false">IF(ISBLANK($C342),"",IF($BL342&lt;&gt;Constants!$B$4,"",$BO342+$BP342))</f>
        <v/>
      </c>
      <c r="CX342" s="104" t="str">
        <f aca="false">IF(ISBLANK($C342),"",IF($BL342&lt;&gt;Constants!$B$4,"",$BQ342+$BR342+$BS342))</f>
        <v/>
      </c>
      <c r="CY342" s="104" t="str">
        <f aca="false">IF(ISBLANK($C342),"",IF($BL342&lt;&gt;Constants!$B$4,"",$BT342))</f>
        <v/>
      </c>
      <c r="CZ342" s="104" t="str">
        <f aca="false">IF(ISBLANK($C342),"",IF($BL342&lt;&gt;Constants!$B$4,"",$BU342+$BV342))</f>
        <v/>
      </c>
      <c r="DA342" s="104" t="str">
        <f aca="false">IF(ISBLANK($C342),"",IF($BL342&lt;&gt;Constants!$B$4,"",$BW342))</f>
        <v/>
      </c>
      <c r="DB342" s="104" t="str">
        <f aca="false">IF(ISBLANK($C342),"",IF($BL342&lt;&gt;Constants!$B$4,"",-$CD342))</f>
        <v/>
      </c>
      <c r="DC342" s="103" t="str">
        <f aca="false">IF(ISBLANK($C342),"",$CE342)</f>
        <v/>
      </c>
      <c r="DD342" s="105" t="str">
        <f aca="false">IF(ISBLANK($C342),"",$BM342)</f>
        <v/>
      </c>
      <c r="DE342" s="104" t="str">
        <f aca="false">IF(ISBLANK($C342),"",$CL342)</f>
        <v/>
      </c>
      <c r="DF342" s="104" t="str">
        <f aca="false">IF(ISBLANK($C342),"",$CK342)</f>
        <v/>
      </c>
      <c r="DG342" s="106" t="str">
        <f aca="false">IF(ISBLANK($C342),"",IF($DF342=Constants!$B$7,COUNTA($C$9:$C$508)+2,IF($DF342=Constants!$B$6,COUNTA($C$9:$C$508)+1,IF($DF342=Constants!$B$5,COUNTA($C$9:$C$508),$DF342))))</f>
        <v/>
      </c>
      <c r="DH342" s="7"/>
      <c r="DI342" s="107" t="n">
        <f aca="false">IF(OR(ISNUMBER($DF342),$DF342=Constants!$B$7,$DF342=Constants!$B$5,$DF342=Constants!$B$6),1,0)</f>
        <v>0</v>
      </c>
      <c r="DJ342" s="107" t="n">
        <v>334</v>
      </c>
      <c r="DK342" s="107" t="str">
        <f aca="false">IF(ISBLANK($C342),"",IF(ISNUMBER($DG342),$DG342+ROW($B342)/1000,""))</f>
        <v/>
      </c>
      <c r="DL342" s="107" t="str">
        <f aca="false">IF(ISNUMBER($DK342),RANK($DK342,$DK$9:$DK$508,1),"")</f>
        <v/>
      </c>
      <c r="DM342" s="107" t="str">
        <f aca="false">IF(ISBLANK($C342),"",$B342)</f>
        <v/>
      </c>
      <c r="DN342" s="107" t="str">
        <f aca="false">IF(ISBLANK($C342),"",$C342)</f>
        <v/>
      </c>
      <c r="DO342" s="107" t="str">
        <f aca="false">IF(ISBLANK($C342),"",$D342)</f>
        <v/>
      </c>
      <c r="DP342" s="108" t="str">
        <f aca="false">$DD342</f>
        <v/>
      </c>
      <c r="DQ342" s="109" t="str">
        <f aca="false">$DC342</f>
        <v/>
      </c>
      <c r="DR342" s="107" t="str">
        <f aca="false">IF(ISBLANK($C342),"",$DF342)</f>
        <v/>
      </c>
      <c r="DS342" s="110" t="str">
        <f aca="false">IF($DJ342&gt;$DI$8,"",VLOOKUP($DJ342,$DL$9:$DR$508,7,FALSE()))</f>
        <v/>
      </c>
      <c r="DT342" s="111" t="str">
        <f aca="false">IF($DJ342&gt;$DI$8,"",VLOOKUP($DJ342,$DL$9:$DR$508,2,FALSE()))</f>
        <v/>
      </c>
      <c r="DU342" s="111" t="str">
        <f aca="false">IF($DJ342&gt;$DI$8,"",VLOOKUP($DJ342,$DL$9:$DR$508,3,FALSE()))</f>
        <v/>
      </c>
      <c r="DV342" s="111" t="str">
        <f aca="false">IF($DJ342&gt;$DI$8,"",VLOOKUP($DJ342,$DL$9:$DR$508,4,FALSE()))</f>
        <v/>
      </c>
      <c r="DW342" s="111" t="str">
        <f aca="false">IF($DJ342&gt;$DI$8,"",VLOOKUP($DJ342,$DL$9:$DR$508,5,FALSE()))</f>
        <v/>
      </c>
      <c r="DX342" s="112" t="str">
        <f aca="false">IF($DJ342&gt;$DI$8,"",VLOOKUP($DJ342,$DL$9:$DR$508,6,FALSE()))</f>
        <v/>
      </c>
      <c r="DY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130"/>
      <c r="N343" s="130"/>
      <c r="O343" s="135"/>
      <c r="P343" s="135"/>
      <c r="Q343" s="130"/>
      <c r="R343" s="130"/>
      <c r="S343" s="130"/>
      <c r="T343" s="130"/>
      <c r="U343" s="135"/>
      <c r="V343" s="130"/>
      <c r="W343" s="96"/>
      <c r="X343" s="130"/>
      <c r="Y343" s="130"/>
      <c r="Z343" s="96"/>
      <c r="AA343" s="96"/>
      <c r="AB343" s="130"/>
      <c r="AC343" s="130"/>
      <c r="AD343" s="130"/>
      <c r="AE343" s="97"/>
      <c r="AF343" s="130"/>
      <c r="AG343" s="99"/>
      <c r="AH343" s="100"/>
      <c r="AI343" s="100"/>
      <c r="AJ343" s="100" t="str">
        <f aca="false">IF(ISBLANK($C343),"",IF($E343=Constants!$B$2,TRUE(),IF($E343=Constants!$B$3,FALSE(),TRUE())))</f>
        <v/>
      </c>
      <c r="AK343" s="100" t="str">
        <f aca="false">IF(ISBLANK($C343),"",IF($F343=Constants!$B$2,TRUE(),IF($F343=Constants!$B$3,FALSE(),FALSE())))</f>
        <v/>
      </c>
      <c r="AL343" s="100" t="str">
        <f aca="false">IF(ISBLANK($C343),"",IF($G343=Constants!$B$2,TRUE(),IF($G343=Constants!$B$3,FALSE(),TRUE())))</f>
        <v/>
      </c>
      <c r="AM343" s="100" t="str">
        <f aca="false">IF(ISBLANK($C343),"",IF($H343=Constants!$B$2,TRUE(),IF($H343=Constants!$B$3,FALSE(),TRUE())))</f>
        <v/>
      </c>
      <c r="AN343" s="100" t="str">
        <f aca="false">IF(ISBLANK($C343),"",IF(ISNUMBER($I343),IF($I343&gt;=0,$I343,""),""))</f>
        <v/>
      </c>
      <c r="AO343" s="100" t="str">
        <f aca="false">IF(ISBLANK($C343),"",IF(ISNUMBER($J343),IF($J343&gt;=0,$J343,""),""))</f>
        <v/>
      </c>
      <c r="AP343" s="100" t="str">
        <f aca="false">IF(ISBLANK($C343),"",IF(ISNUMBER($K343),IF($K343&gt;=0,$K343,""),""))</f>
        <v/>
      </c>
      <c r="AQ343" s="100" t="str">
        <f aca="false">IF(ISBLANK($C343),"",IF($L343=Constants!$B$2,TRUE(),IF($L343=Constants!$B$3,FALSE(),TRUE())))</f>
        <v/>
      </c>
      <c r="AR343" s="100" t="str">
        <f aca="false">IF(ISBLANK($C343),"",IF($M343=Constants!$B$2,TRUE(),IF($M343=Constants!$B$3,FALSE(),TRUE())))</f>
        <v/>
      </c>
      <c r="AS343" s="100" t="str">
        <f aca="false">IF(ISBLANK($C343),"",IF($N343=Constants!$B$2,TRUE(),IF($N343=Constants!$B$3,FALSE(),FALSE())))</f>
        <v/>
      </c>
      <c r="AT343" s="100" t="str">
        <f aca="false">IF(ISBLANK($C343),"",IF($O343=Constants!$B$2,TRUE(),IF($O343=Constants!$B$3,FALSE(),TRUE())))</f>
        <v/>
      </c>
      <c r="AU343" s="100" t="str">
        <f aca="false">IF(ISBLANK($C343),"",IF($P343=Constants!$B$2,TRUE(),IF($P343=Constants!$B$3,FALSE(),TRUE())))</f>
        <v/>
      </c>
      <c r="AV343" s="100" t="str">
        <f aca="false">IF(ISBLANK($C343),"",IF($Q343=Constants!$B$2,TRUE(),IF($Q343=Constants!$B$3,FALSE(),FALSE())))</f>
        <v/>
      </c>
      <c r="AW343" s="100" t="str">
        <f aca="false">IF(ISBLANK($C343),"",IF($R343=Constants!$B$2,TRUE(),IF($R343=Constants!$B$3,FALSE(),FALSE())))</f>
        <v/>
      </c>
      <c r="AX343" s="100" t="str">
        <f aca="false">IF(ISBLANK($C343),"",IF($S343=Constants!$B$2,TRUE(),IF($S343=Constants!$B$3,FALSE(),FALSE())))</f>
        <v/>
      </c>
      <c r="AY343" s="100" t="str">
        <f aca="false">IF(ISBLANK($C343),"",IF($T343=Constants!$B$2,TRUE(),IF($T343=Constants!$B$3,FALSE(),FALSE())))</f>
        <v/>
      </c>
      <c r="AZ343" s="100" t="str">
        <f aca="false">IF(ISBLANK($C343),"",IF($U343=Constants!$B$2,TRUE(),IF($U343=Constants!$B$3,FALSE(),FALSE())))</f>
        <v/>
      </c>
      <c r="BA343" s="100" t="str">
        <f aca="false">IF(ISBLANK($C343),"",IF(OR($V343&amp;""="1",$V343&amp;""="2",$V343&amp;""="3",$V343&amp;""="4"),VALUE($V343&amp;""),IF($V343=Constants!$B$12,Constants!$B$12,"")))</f>
        <v/>
      </c>
      <c r="BB343" s="100" t="str">
        <f aca="false">IF(ISBLANK($C343),"",IF(ISBLANK($W343),0,IF(ISNUMBER($W343),IF(AND($W343&gt;=0,$W343&lt;=Constants!$B$21,$W343=INT($W343)),$W343,""),"")))</f>
        <v/>
      </c>
      <c r="BC343" s="100" t="str">
        <f aca="false">IF(ISBLANK($C343),"",IF(ISBLANK($X343),0,IF(ISNUMBER($X343),IF($X343&gt;=0,$X343,""),"")))</f>
        <v/>
      </c>
      <c r="BD343" s="100" t="str">
        <f aca="false">IF(ISBLANK($C343),"",IF($Y343=Constants!$B$2,TRUE(),IF($Y343=Constants!$B$3,FALSE(),TRUE())))</f>
        <v/>
      </c>
      <c r="BE343" s="100" t="str">
        <f aca="false">IF(ISBLANK($C343),"",IF($Z343=Constants!$B$2,TRUE(),IF($Z343=Constants!$B$3,FALSE(),FALSE())))</f>
        <v/>
      </c>
      <c r="BF343" s="100" t="str">
        <f aca="false">IF(ISBLANK($C343),"",IF(ISBLANK($AA343),0,IF(ISNUMBER($AA343),IF(AND($AA343&gt;=0,$AA343&lt;=Constants!$B$35,$AA343=INT($AA343)),$AA343,""),"")))</f>
        <v/>
      </c>
      <c r="BG343" s="100" t="str">
        <f aca="false">IF(ISBLANK($C343),"",IF($AB343=Constants!$B$2,TRUE(),IF($AB343=Constants!$B$3,FALSE(),TRUE())))</f>
        <v/>
      </c>
      <c r="BH343" s="100" t="str">
        <f aca="false">IF(ISBLANK($C343),"",IF($AC343=Constants!$B$2,TRUE(),IF($AC343=Constants!$B$3,FALSE(),TRUE())))</f>
        <v/>
      </c>
      <c r="BI343" s="100" t="str">
        <f aca="false">IF(ISBLANK($C343),"",IF($AD343=Constants!$B$2,TRUE(),IF($AD343=Constants!$B$3,FALSE(),TRUE())))</f>
        <v/>
      </c>
      <c r="BJ343" s="100" t="str">
        <f aca="false">IF(ISBLANK($C343),"",IF(ISNUMBER($AE343),IF($AE343&gt;=0,$AE343,""),""))</f>
        <v/>
      </c>
      <c r="BK343" s="100" t="str">
        <f aca="false">IF(ISBLANK($C343),"",IF($AF343=Constants!$B$2,TRUE(),IF($AF343=Constants!$B$3,FALSE(),FALSE())))</f>
        <v/>
      </c>
      <c r="BL343" s="99" t="str">
        <f aca="false">IF(ISBLANK($C343),"",IF($BK343,Constants!$B$7,IF(COUNTA($E343:$AE343)=0,Constants!$B$6,IF(OR(COUNTA($G343:$AE343)=0,NOT($AM343),$AS343),Constants!$B$5,IF(OR($CM343&lt;&gt;"",$CN343,$CO343,$CP343,$CQ343,$CR343,$CS343),Constants!$B$8,Constants!$B$4)))))</f>
        <v/>
      </c>
      <c r="BM343" s="100" t="str">
        <f aca="false">IF(ISBLANK($C343),"",IF($BL343&lt;&gt;Constants!$B$4,$BL343,IF(OR(NOT($AJ343),NOT($AL343),NOT($AT343)),Constants!$B$11,IF(OR(NOT($AR343),NOT($AU343),NOT($BI343),MAX($AN343,$AO343,$AP343)&gt;Constants!$B$30),Constants!$B$10,Constants!$B$9))))</f>
        <v/>
      </c>
      <c r="BN343" s="100" t="str">
        <f aca="false">IF($BL343&lt;&gt;Constants!$B$4,"",IF(NOT($AL343),0,MIN(Constants!$B$35,$BF343)))</f>
        <v/>
      </c>
      <c r="BO343" s="100" t="str">
        <f aca="false">IF($BL343&lt;&gt;Constants!$B$4,"",IF(NOT($AL343),0,IF($AW343,Constants!$B$18,IF($AV343,Constants!$B$17,0))))</f>
        <v/>
      </c>
      <c r="BP343" s="100" t="str">
        <f aca="false">IF($BL343&lt;&gt;Constants!$B$4,"",IF(NOT($AL343),0,Constants!$B$19*($AK343+$AX343+$AY343+$AZ343)))</f>
        <v/>
      </c>
      <c r="BQ343" s="100" t="str">
        <f aca="false">IF($BL343&lt;&gt;Constants!$B$4,"",IF(OR(NOT($AL343),NOT(ISNUMBER($BA343))),0,CHOOSE($BA343,Constants!$B$13,Constants!$B$14,Constants!$B$15,Constants!$B$16)))</f>
        <v/>
      </c>
      <c r="BR343" s="100" t="str">
        <f aca="false">IF($BL343&lt;&gt;Constants!$B$4,"",IF(NOT($AL343),0,Constants!$B$20*$BB343))</f>
        <v/>
      </c>
      <c r="BS343" s="100" t="str">
        <f aca="false">IF($BL343&lt;&gt;Constants!$B$4,"",IF(AND($AL343,$BD343,$BE343),Constants!$B$22,0))</f>
        <v/>
      </c>
      <c r="BT343" s="100" t="str">
        <f aca="false">IF($BL343&lt;&gt;Constants!$B$4,"",IF(OR(NOT($AL343),NOT($BD343)),0,IF($BJ343&gt;=2*$AH$9,0,Constants!$B$23*INT(ROUND(MIN($BJ343,$AH$9),6)))))</f>
        <v/>
      </c>
      <c r="BU343" s="100" t="str">
        <f aca="false">IF($BL343&lt;&gt;Constants!$B$4,"",IF(NOT($AL343),0,Constants!$B$24*INT(ROUND(MIN($BC343,$AH$9),6))))</f>
        <v/>
      </c>
      <c r="BV343" s="100" t="str">
        <f aca="false">IF($BL343&lt;&gt;Constants!$B$4,"",IF(AND($AL343,$BN343=0),Constants!$B$25,0))</f>
        <v/>
      </c>
      <c r="BW343" s="100" t="str">
        <f aca="false">IF($BL343&lt;&gt;Constants!$B$4,"",MIN(Constants!$B$29,MAX(0,Constants!$B$27*Constants!$B$28*INT(ROUND((Constants!$B$26-$AN343)/Constants!$B$28,6))))+MIN(Constants!$B$29,MAX(0,Constants!$B$27*Constants!$B$28*INT(ROUND((Constants!$B$26-$AO343)/Constants!$B$28,6))))+MIN(Constants!$B$29,MAX(0,Constants!$B$27*Constants!$B$28*INT(ROUND((Constants!$B$26-$AP343)/Constants!$B$28,6)))))</f>
        <v/>
      </c>
      <c r="BX343" s="100" t="str">
        <f aca="false">IF($BL343&lt;&gt;Constants!$B$4,"",IF(NOT($AL343),0,Constants!$B$31*INT(ROUND(MAX(0,MIN($BJ343,2*$AH$9)-$AH$9),6))))</f>
        <v/>
      </c>
      <c r="BY343" s="100" t="str">
        <f aca="false">IF($BL343&lt;&gt;Constants!$B$4,"",Constants!$B$32*(($AN343&gt;Constants!$B$26)+($AO343&gt;Constants!$B$26)+($AP343&gt;Constants!$B$26)))</f>
        <v/>
      </c>
      <c r="BZ343" s="100" t="str">
        <f aca="false">IF($BL343&lt;&gt;Constants!$B$4,"",IF(OR(NOT($AL343),$AQ343),0,Constants!$B$33))</f>
        <v/>
      </c>
      <c r="CA343" s="100" t="str">
        <f aca="false">IF($BL343&lt;&gt;Constants!$B$4,"",Constants!$B$34*$BN343)</f>
        <v/>
      </c>
      <c r="CB343" s="100" t="str">
        <f aca="false">IF($BL343&lt;&gt;Constants!$B$4,"",IF(OR(NOT($AL343),$BH343),0,Constants!$B$36))</f>
        <v/>
      </c>
      <c r="CC343" s="100" t="str">
        <f aca="false">IF($BL343&lt;&gt;Constants!$B$4,"",IF(OR(NOT($AL343),$BG343),0,Constants!$B$37))</f>
        <v/>
      </c>
      <c r="CD343" s="100" t="str">
        <f aca="false">IF($BL343&lt;&gt;Constants!$B$4,"",SUM($BX343:$CC343))</f>
        <v/>
      </c>
      <c r="CE343" s="100" t="str">
        <f aca="false">IF(ISBLANK($C343),"",IF($BL343&lt;&gt;Constants!$B$4,$BL343,SUM($BO343:$BW343)-$CD343))</f>
        <v/>
      </c>
      <c r="CF343" s="100" t="str">
        <f aca="false">IF(ISBLANK($C343),"",IF($BL343&lt;&gt;Constants!$B$4,$BL343,RANK($CE343,$CE$9:$CE$508)))</f>
        <v/>
      </c>
      <c r="CG343" s="100" t="str">
        <f aca="false">IF(ISBLANK($C343),"",IF($BL343&lt;&gt;Constants!$B$4,$BL343,COUNTIFS($BM$9:$BM$508,"&lt;"&amp;$BM343)+COUNTIFS($BM$9:$BM$508,$BM343,$CF$9:$CF$508,"&lt;"&amp;$CF343)+1))</f>
        <v/>
      </c>
      <c r="CH343" s="100" t="str">
        <f aca="false">IF(ISBLANK($C343),"",IF($BL343&lt;&gt;Constants!$B$4,$BL343,RANK($CD343,$CD$9:$CD$508,1)))</f>
        <v/>
      </c>
      <c r="CI343" s="100" t="str">
        <f aca="false">IF($BL343&lt;&gt;Constants!$B$4,"",$AN343+$AO343+$AP343)</f>
        <v/>
      </c>
      <c r="CJ343" s="100" t="str">
        <f aca="false">IF(ISBLANK($C343),"",IF($BL343&lt;&gt;Constants!$B$4,$BL343,RANK($CI343,$CI$9:$CI$508,1)))</f>
        <v/>
      </c>
      <c r="CK343" s="100" t="str">
        <f aca="false">IF(ISBLANK($C343),"",IF($BL343&lt;&gt;Constants!$B$4,$BL343,COUNTIFS($BM$9:$BM$508,"&lt;"&amp;$BM343)+COUNTIFS($BM$9:$BM$508,$BM343,$CF$9:$CF$508,"&lt;"&amp;$CF343)+COUNTIFS($BM$9:$BM$508,$BM343,$CF$9:$CF$508,$CF343,$CH$9:$CH$508,"&lt;"&amp;$CH343)+COUNTIFS($BM$9:$BM$508,$BM343,$CF$9:$CF$508,$CF343,$CH$9:$CH$508,$CH343,$CJ$9:$CJ$508,"&lt;"&amp;$CJ343)+1))</f>
        <v/>
      </c>
      <c r="CL343" s="100" t="str">
        <f aca="false">IF(ISBLANK($C343),"",IF($BL343&lt;&gt;Constants!$B$4,$BL343,$CG343-$CK343))</f>
        <v/>
      </c>
      <c r="CM343" s="100" t="str">
        <f aca="false">IF(ISBLANK($C343),"",IF(NOT($AL343),"",IF(ISBLANK($D$7),$CM$5,IF(NOT(ISNUMBER($D$7)),$CM$6,""))))</f>
        <v/>
      </c>
      <c r="CN343" s="100" t="str">
        <f aca="false">IF(ISBLANK($C343),"",OR($AN343="",$AO343="",$AP343=""))</f>
        <v/>
      </c>
      <c r="CO343" s="100" t="str">
        <f aca="false">IF(ISBLANK($C343),"",AND($AL343,$BA343=""))</f>
        <v/>
      </c>
      <c r="CP343" s="100" t="str">
        <f aca="false">IF(ISBLANK($C343),"",AND($AL343,$BB343=""))</f>
        <v/>
      </c>
      <c r="CQ343" s="100" t="str">
        <f aca="false">IF(ISBLANK($C343),"",AND($AL343,$BC343=""))</f>
        <v/>
      </c>
      <c r="CR343" s="100" t="str">
        <f aca="false">IF(ISBLANK($C343),"",AND($AL343,$BF343=""))</f>
        <v/>
      </c>
      <c r="CS343" s="100" t="str">
        <f aca="false">IF(ISBLANK($C343),"",AND($AL343,$BJ343=""))</f>
        <v/>
      </c>
      <c r="CT343" s="101"/>
      <c r="CU343" s="102"/>
      <c r="CV343" s="103" t="str">
        <f aca="false">IF(ISBLANK($C343),"",IF($BL343=Constants!$B$8,$CM343,""))</f>
        <v/>
      </c>
      <c r="CW343" s="102" t="str">
        <f aca="false">IF(ISBLANK($C343),"",IF($BL343&lt;&gt;Constants!$B$4,"",$BO343+$BP343))</f>
        <v/>
      </c>
      <c r="CX343" s="104" t="str">
        <f aca="false">IF(ISBLANK($C343),"",IF($BL343&lt;&gt;Constants!$B$4,"",$BQ343+$BR343+$BS343))</f>
        <v/>
      </c>
      <c r="CY343" s="104" t="str">
        <f aca="false">IF(ISBLANK($C343),"",IF($BL343&lt;&gt;Constants!$B$4,"",$BT343))</f>
        <v/>
      </c>
      <c r="CZ343" s="104" t="str">
        <f aca="false">IF(ISBLANK($C343),"",IF($BL343&lt;&gt;Constants!$B$4,"",$BU343+$BV343))</f>
        <v/>
      </c>
      <c r="DA343" s="104" t="str">
        <f aca="false">IF(ISBLANK($C343),"",IF($BL343&lt;&gt;Constants!$B$4,"",$BW343))</f>
        <v/>
      </c>
      <c r="DB343" s="104" t="str">
        <f aca="false">IF(ISBLANK($C343),"",IF($BL343&lt;&gt;Constants!$B$4,"",-$CD343))</f>
        <v/>
      </c>
      <c r="DC343" s="103" t="str">
        <f aca="false">IF(ISBLANK($C343),"",$CE343)</f>
        <v/>
      </c>
      <c r="DD343" s="105" t="str">
        <f aca="false">IF(ISBLANK($C343),"",$BM343)</f>
        <v/>
      </c>
      <c r="DE343" s="104" t="str">
        <f aca="false">IF(ISBLANK($C343),"",$CL343)</f>
        <v/>
      </c>
      <c r="DF343" s="104" t="str">
        <f aca="false">IF(ISBLANK($C343),"",$CK343)</f>
        <v/>
      </c>
      <c r="DG343" s="106" t="str">
        <f aca="false">IF(ISBLANK($C343),"",IF($DF343=Constants!$B$7,COUNTA($C$9:$C$508)+2,IF($DF343=Constants!$B$6,COUNTA($C$9:$C$508)+1,IF($DF343=Constants!$B$5,COUNTA($C$9:$C$508),$DF343))))</f>
        <v/>
      </c>
      <c r="DH343" s="7"/>
      <c r="DI343" s="107" t="n">
        <f aca="false">IF(OR(ISNUMBER($DF343),$DF343=Constants!$B$7,$DF343=Constants!$B$5,$DF343=Constants!$B$6),1,0)</f>
        <v>0</v>
      </c>
      <c r="DJ343" s="107" t="n">
        <v>335</v>
      </c>
      <c r="DK343" s="107" t="str">
        <f aca="false">IF(ISBLANK($C343),"",IF(ISNUMBER($DG343),$DG343+ROW($B343)/1000,""))</f>
        <v/>
      </c>
      <c r="DL343" s="107" t="str">
        <f aca="false">IF(ISNUMBER($DK343),RANK($DK343,$DK$9:$DK$508,1),"")</f>
        <v/>
      </c>
      <c r="DM343" s="107" t="str">
        <f aca="false">IF(ISBLANK($C343),"",$B343)</f>
        <v/>
      </c>
      <c r="DN343" s="107" t="str">
        <f aca="false">IF(ISBLANK($C343),"",$C343)</f>
        <v/>
      </c>
      <c r="DO343" s="107" t="str">
        <f aca="false">IF(ISBLANK($C343),"",$D343)</f>
        <v/>
      </c>
      <c r="DP343" s="108" t="str">
        <f aca="false">$DD343</f>
        <v/>
      </c>
      <c r="DQ343" s="109" t="str">
        <f aca="false">$DC343</f>
        <v/>
      </c>
      <c r="DR343" s="107" t="str">
        <f aca="false">IF(ISBLANK($C343),"",$DF343)</f>
        <v/>
      </c>
      <c r="DS343" s="110" t="str">
        <f aca="false">IF($DJ343&gt;$DI$8,"",VLOOKUP($DJ343,$DL$9:$DR$508,7,FALSE()))</f>
        <v/>
      </c>
      <c r="DT343" s="111" t="str">
        <f aca="false">IF($DJ343&gt;$DI$8,"",VLOOKUP($DJ343,$DL$9:$DR$508,2,FALSE()))</f>
        <v/>
      </c>
      <c r="DU343" s="111" t="str">
        <f aca="false">IF($DJ343&gt;$DI$8,"",VLOOKUP($DJ343,$DL$9:$DR$508,3,FALSE()))</f>
        <v/>
      </c>
      <c r="DV343" s="111" t="str">
        <f aca="false">IF($DJ343&gt;$DI$8,"",VLOOKUP($DJ343,$DL$9:$DR$508,4,FALSE()))</f>
        <v/>
      </c>
      <c r="DW343" s="111" t="str">
        <f aca="false">IF($DJ343&gt;$DI$8,"",VLOOKUP($DJ343,$DL$9:$DR$508,5,FALSE()))</f>
        <v/>
      </c>
      <c r="DX343" s="112" t="str">
        <f aca="false">IF($DJ343&gt;$DI$8,"",VLOOKUP($DJ343,$DL$9:$DR$508,6,FALSE()))</f>
        <v/>
      </c>
      <c r="DY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130"/>
      <c r="N344" s="130"/>
      <c r="O344" s="135"/>
      <c r="P344" s="135"/>
      <c r="Q344" s="130"/>
      <c r="R344" s="130"/>
      <c r="S344" s="130"/>
      <c r="T344" s="130"/>
      <c r="U344" s="135"/>
      <c r="V344" s="130"/>
      <c r="W344" s="96"/>
      <c r="X344" s="130"/>
      <c r="Y344" s="130"/>
      <c r="Z344" s="96"/>
      <c r="AA344" s="96"/>
      <c r="AB344" s="130"/>
      <c r="AC344" s="130"/>
      <c r="AD344" s="130"/>
      <c r="AE344" s="97"/>
      <c r="AF344" s="130"/>
      <c r="AG344" s="99"/>
      <c r="AH344" s="100"/>
      <c r="AI344" s="100"/>
      <c r="AJ344" s="100" t="str">
        <f aca="false">IF(ISBLANK($C344),"",IF($E344=Constants!$B$2,TRUE(),IF($E344=Constants!$B$3,FALSE(),TRUE())))</f>
        <v/>
      </c>
      <c r="AK344" s="100" t="str">
        <f aca="false">IF(ISBLANK($C344),"",IF($F344=Constants!$B$2,TRUE(),IF($F344=Constants!$B$3,FALSE(),FALSE())))</f>
        <v/>
      </c>
      <c r="AL344" s="100" t="str">
        <f aca="false">IF(ISBLANK($C344),"",IF($G344=Constants!$B$2,TRUE(),IF($G344=Constants!$B$3,FALSE(),TRUE())))</f>
        <v/>
      </c>
      <c r="AM344" s="100" t="str">
        <f aca="false">IF(ISBLANK($C344),"",IF($H344=Constants!$B$2,TRUE(),IF($H344=Constants!$B$3,FALSE(),TRUE())))</f>
        <v/>
      </c>
      <c r="AN344" s="100" t="str">
        <f aca="false">IF(ISBLANK($C344),"",IF(ISNUMBER($I344),IF($I344&gt;=0,$I344,""),""))</f>
        <v/>
      </c>
      <c r="AO344" s="100" t="str">
        <f aca="false">IF(ISBLANK($C344),"",IF(ISNUMBER($J344),IF($J344&gt;=0,$J344,""),""))</f>
        <v/>
      </c>
      <c r="AP344" s="100" t="str">
        <f aca="false">IF(ISBLANK($C344),"",IF(ISNUMBER($K344),IF($K344&gt;=0,$K344,""),""))</f>
        <v/>
      </c>
      <c r="AQ344" s="100" t="str">
        <f aca="false">IF(ISBLANK($C344),"",IF($L344=Constants!$B$2,TRUE(),IF($L344=Constants!$B$3,FALSE(),TRUE())))</f>
        <v/>
      </c>
      <c r="AR344" s="100" t="str">
        <f aca="false">IF(ISBLANK($C344),"",IF($M344=Constants!$B$2,TRUE(),IF($M344=Constants!$B$3,FALSE(),TRUE())))</f>
        <v/>
      </c>
      <c r="AS344" s="100" t="str">
        <f aca="false">IF(ISBLANK($C344),"",IF($N344=Constants!$B$2,TRUE(),IF($N344=Constants!$B$3,FALSE(),FALSE())))</f>
        <v/>
      </c>
      <c r="AT344" s="100" t="str">
        <f aca="false">IF(ISBLANK($C344),"",IF($O344=Constants!$B$2,TRUE(),IF($O344=Constants!$B$3,FALSE(),TRUE())))</f>
        <v/>
      </c>
      <c r="AU344" s="100" t="str">
        <f aca="false">IF(ISBLANK($C344),"",IF($P344=Constants!$B$2,TRUE(),IF($P344=Constants!$B$3,FALSE(),TRUE())))</f>
        <v/>
      </c>
      <c r="AV344" s="100" t="str">
        <f aca="false">IF(ISBLANK($C344),"",IF($Q344=Constants!$B$2,TRUE(),IF($Q344=Constants!$B$3,FALSE(),FALSE())))</f>
        <v/>
      </c>
      <c r="AW344" s="100" t="str">
        <f aca="false">IF(ISBLANK($C344),"",IF($R344=Constants!$B$2,TRUE(),IF($R344=Constants!$B$3,FALSE(),FALSE())))</f>
        <v/>
      </c>
      <c r="AX344" s="100" t="str">
        <f aca="false">IF(ISBLANK($C344),"",IF($S344=Constants!$B$2,TRUE(),IF($S344=Constants!$B$3,FALSE(),FALSE())))</f>
        <v/>
      </c>
      <c r="AY344" s="100" t="str">
        <f aca="false">IF(ISBLANK($C344),"",IF($T344=Constants!$B$2,TRUE(),IF($T344=Constants!$B$3,FALSE(),FALSE())))</f>
        <v/>
      </c>
      <c r="AZ344" s="100" t="str">
        <f aca="false">IF(ISBLANK($C344),"",IF($U344=Constants!$B$2,TRUE(),IF($U344=Constants!$B$3,FALSE(),FALSE())))</f>
        <v/>
      </c>
      <c r="BA344" s="100" t="str">
        <f aca="false">IF(ISBLANK($C344),"",IF(OR($V344&amp;""="1",$V344&amp;""="2",$V344&amp;""="3",$V344&amp;""="4"),VALUE($V344&amp;""),IF($V344=Constants!$B$12,Constants!$B$12,"")))</f>
        <v/>
      </c>
      <c r="BB344" s="100" t="str">
        <f aca="false">IF(ISBLANK($C344),"",IF(ISBLANK($W344),0,IF(ISNUMBER($W344),IF(AND($W344&gt;=0,$W344&lt;=Constants!$B$21,$W344=INT($W344)),$W344,""),"")))</f>
        <v/>
      </c>
      <c r="BC344" s="100" t="str">
        <f aca="false">IF(ISBLANK($C344),"",IF(ISBLANK($X344),0,IF(ISNUMBER($X344),IF($X344&gt;=0,$X344,""),"")))</f>
        <v/>
      </c>
      <c r="BD344" s="100" t="str">
        <f aca="false">IF(ISBLANK($C344),"",IF($Y344=Constants!$B$2,TRUE(),IF($Y344=Constants!$B$3,FALSE(),TRUE())))</f>
        <v/>
      </c>
      <c r="BE344" s="100" t="str">
        <f aca="false">IF(ISBLANK($C344),"",IF($Z344=Constants!$B$2,TRUE(),IF($Z344=Constants!$B$3,FALSE(),FALSE())))</f>
        <v/>
      </c>
      <c r="BF344" s="100" t="str">
        <f aca="false">IF(ISBLANK($C344),"",IF(ISBLANK($AA344),0,IF(ISNUMBER($AA344),IF(AND($AA344&gt;=0,$AA344&lt;=Constants!$B$35,$AA344=INT($AA344)),$AA344,""),"")))</f>
        <v/>
      </c>
      <c r="BG344" s="100" t="str">
        <f aca="false">IF(ISBLANK($C344),"",IF($AB344=Constants!$B$2,TRUE(),IF($AB344=Constants!$B$3,FALSE(),TRUE())))</f>
        <v/>
      </c>
      <c r="BH344" s="100" t="str">
        <f aca="false">IF(ISBLANK($C344),"",IF($AC344=Constants!$B$2,TRUE(),IF($AC344=Constants!$B$3,FALSE(),TRUE())))</f>
        <v/>
      </c>
      <c r="BI344" s="100" t="str">
        <f aca="false">IF(ISBLANK($C344),"",IF($AD344=Constants!$B$2,TRUE(),IF($AD344=Constants!$B$3,FALSE(),TRUE())))</f>
        <v/>
      </c>
      <c r="BJ344" s="100" t="str">
        <f aca="false">IF(ISBLANK($C344),"",IF(ISNUMBER($AE344),IF($AE344&gt;=0,$AE344,""),""))</f>
        <v/>
      </c>
      <c r="BK344" s="100" t="str">
        <f aca="false">IF(ISBLANK($C344),"",IF($AF344=Constants!$B$2,TRUE(),IF($AF344=Constants!$B$3,FALSE(),FALSE())))</f>
        <v/>
      </c>
      <c r="BL344" s="99" t="str">
        <f aca="false">IF(ISBLANK($C344),"",IF($BK344,Constants!$B$7,IF(COUNTA($E344:$AE344)=0,Constants!$B$6,IF(OR(COUNTA($G344:$AE344)=0,NOT($AM344),$AS344),Constants!$B$5,IF(OR($CM344&lt;&gt;"",$CN344,$CO344,$CP344,$CQ344,$CR344,$CS344),Constants!$B$8,Constants!$B$4)))))</f>
        <v/>
      </c>
      <c r="BM344" s="100" t="str">
        <f aca="false">IF(ISBLANK($C344),"",IF($BL344&lt;&gt;Constants!$B$4,$BL344,IF(OR(NOT($AJ344),NOT($AL344),NOT($AT344)),Constants!$B$11,IF(OR(NOT($AR344),NOT($AU344),NOT($BI344),MAX($AN344,$AO344,$AP344)&gt;Constants!$B$30),Constants!$B$10,Constants!$B$9))))</f>
        <v/>
      </c>
      <c r="BN344" s="100" t="str">
        <f aca="false">IF($BL344&lt;&gt;Constants!$B$4,"",IF(NOT($AL344),0,MIN(Constants!$B$35,$BF344)))</f>
        <v/>
      </c>
      <c r="BO344" s="100" t="str">
        <f aca="false">IF($BL344&lt;&gt;Constants!$B$4,"",IF(NOT($AL344),0,IF($AW344,Constants!$B$18,IF($AV344,Constants!$B$17,0))))</f>
        <v/>
      </c>
      <c r="BP344" s="100" t="str">
        <f aca="false">IF($BL344&lt;&gt;Constants!$B$4,"",IF(NOT($AL344),0,Constants!$B$19*($AK344+$AX344+$AY344+$AZ344)))</f>
        <v/>
      </c>
      <c r="BQ344" s="100" t="str">
        <f aca="false">IF($BL344&lt;&gt;Constants!$B$4,"",IF(OR(NOT($AL344),NOT(ISNUMBER($BA344))),0,CHOOSE($BA344,Constants!$B$13,Constants!$B$14,Constants!$B$15,Constants!$B$16)))</f>
        <v/>
      </c>
      <c r="BR344" s="100" t="str">
        <f aca="false">IF($BL344&lt;&gt;Constants!$B$4,"",IF(NOT($AL344),0,Constants!$B$20*$BB344))</f>
        <v/>
      </c>
      <c r="BS344" s="100" t="str">
        <f aca="false">IF($BL344&lt;&gt;Constants!$B$4,"",IF(AND($AL344,$BD344,$BE344),Constants!$B$22,0))</f>
        <v/>
      </c>
      <c r="BT344" s="100" t="str">
        <f aca="false">IF($BL344&lt;&gt;Constants!$B$4,"",IF(OR(NOT($AL344),NOT($BD344)),0,IF($BJ344&gt;=2*$AH$9,0,Constants!$B$23*INT(ROUND(MIN($BJ344,$AH$9),6)))))</f>
        <v/>
      </c>
      <c r="BU344" s="100" t="str">
        <f aca="false">IF($BL344&lt;&gt;Constants!$B$4,"",IF(NOT($AL344),0,Constants!$B$24*INT(ROUND(MIN($BC344,$AH$9),6))))</f>
        <v/>
      </c>
      <c r="BV344" s="100" t="str">
        <f aca="false">IF($BL344&lt;&gt;Constants!$B$4,"",IF(AND($AL344,$BN344=0),Constants!$B$25,0))</f>
        <v/>
      </c>
      <c r="BW344" s="100" t="str">
        <f aca="false">IF($BL344&lt;&gt;Constants!$B$4,"",MIN(Constants!$B$29,MAX(0,Constants!$B$27*Constants!$B$28*INT(ROUND((Constants!$B$26-$AN344)/Constants!$B$28,6))))+MIN(Constants!$B$29,MAX(0,Constants!$B$27*Constants!$B$28*INT(ROUND((Constants!$B$26-$AO344)/Constants!$B$28,6))))+MIN(Constants!$B$29,MAX(0,Constants!$B$27*Constants!$B$28*INT(ROUND((Constants!$B$26-$AP344)/Constants!$B$28,6)))))</f>
        <v/>
      </c>
      <c r="BX344" s="100" t="str">
        <f aca="false">IF($BL344&lt;&gt;Constants!$B$4,"",IF(NOT($AL344),0,Constants!$B$31*INT(ROUND(MAX(0,MIN($BJ344,2*$AH$9)-$AH$9),6))))</f>
        <v/>
      </c>
      <c r="BY344" s="100" t="str">
        <f aca="false">IF($BL344&lt;&gt;Constants!$B$4,"",Constants!$B$32*(($AN344&gt;Constants!$B$26)+($AO344&gt;Constants!$B$26)+($AP344&gt;Constants!$B$26)))</f>
        <v/>
      </c>
      <c r="BZ344" s="100" t="str">
        <f aca="false">IF($BL344&lt;&gt;Constants!$B$4,"",IF(OR(NOT($AL344),$AQ344),0,Constants!$B$33))</f>
        <v/>
      </c>
      <c r="CA344" s="100" t="str">
        <f aca="false">IF($BL344&lt;&gt;Constants!$B$4,"",Constants!$B$34*$BN344)</f>
        <v/>
      </c>
      <c r="CB344" s="100" t="str">
        <f aca="false">IF($BL344&lt;&gt;Constants!$B$4,"",IF(OR(NOT($AL344),$BH344),0,Constants!$B$36))</f>
        <v/>
      </c>
      <c r="CC344" s="100" t="str">
        <f aca="false">IF($BL344&lt;&gt;Constants!$B$4,"",IF(OR(NOT($AL344),$BG344),0,Constants!$B$37))</f>
        <v/>
      </c>
      <c r="CD344" s="100" t="str">
        <f aca="false">IF($BL344&lt;&gt;Constants!$B$4,"",SUM($BX344:$CC344))</f>
        <v/>
      </c>
      <c r="CE344" s="100" t="str">
        <f aca="false">IF(ISBLANK($C344),"",IF($BL344&lt;&gt;Constants!$B$4,$BL344,SUM($BO344:$BW344)-$CD344))</f>
        <v/>
      </c>
      <c r="CF344" s="100" t="str">
        <f aca="false">IF(ISBLANK($C344),"",IF($BL344&lt;&gt;Constants!$B$4,$BL344,RANK($CE344,$CE$9:$CE$508)))</f>
        <v/>
      </c>
      <c r="CG344" s="100" t="str">
        <f aca="false">IF(ISBLANK($C344),"",IF($BL344&lt;&gt;Constants!$B$4,$BL344,COUNTIFS($BM$9:$BM$508,"&lt;"&amp;$BM344)+COUNTIFS($BM$9:$BM$508,$BM344,$CF$9:$CF$508,"&lt;"&amp;$CF344)+1))</f>
        <v/>
      </c>
      <c r="CH344" s="100" t="str">
        <f aca="false">IF(ISBLANK($C344),"",IF($BL344&lt;&gt;Constants!$B$4,$BL344,RANK($CD344,$CD$9:$CD$508,1)))</f>
        <v/>
      </c>
      <c r="CI344" s="100" t="str">
        <f aca="false">IF($BL344&lt;&gt;Constants!$B$4,"",$AN344+$AO344+$AP344)</f>
        <v/>
      </c>
      <c r="CJ344" s="100" t="str">
        <f aca="false">IF(ISBLANK($C344),"",IF($BL344&lt;&gt;Constants!$B$4,$BL344,RANK($CI344,$CI$9:$CI$508,1)))</f>
        <v/>
      </c>
      <c r="CK344" s="100" t="str">
        <f aca="false">IF(ISBLANK($C344),"",IF($BL344&lt;&gt;Constants!$B$4,$BL344,COUNTIFS($BM$9:$BM$508,"&lt;"&amp;$BM344)+COUNTIFS($BM$9:$BM$508,$BM344,$CF$9:$CF$508,"&lt;"&amp;$CF344)+COUNTIFS($BM$9:$BM$508,$BM344,$CF$9:$CF$508,$CF344,$CH$9:$CH$508,"&lt;"&amp;$CH344)+COUNTIFS($BM$9:$BM$508,$BM344,$CF$9:$CF$508,$CF344,$CH$9:$CH$508,$CH344,$CJ$9:$CJ$508,"&lt;"&amp;$CJ344)+1))</f>
        <v/>
      </c>
      <c r="CL344" s="100" t="str">
        <f aca="false">IF(ISBLANK($C344),"",IF($BL344&lt;&gt;Constants!$B$4,$BL344,$CG344-$CK344))</f>
        <v/>
      </c>
      <c r="CM344" s="100" t="str">
        <f aca="false">IF(ISBLANK($C344),"",IF(NOT($AL344),"",IF(ISBLANK($D$7),$CM$5,IF(NOT(ISNUMBER($D$7)),$CM$6,""))))</f>
        <v/>
      </c>
      <c r="CN344" s="100" t="str">
        <f aca="false">IF(ISBLANK($C344),"",OR($AN344="",$AO344="",$AP344=""))</f>
        <v/>
      </c>
      <c r="CO344" s="100" t="str">
        <f aca="false">IF(ISBLANK($C344),"",AND($AL344,$BA344=""))</f>
        <v/>
      </c>
      <c r="CP344" s="100" t="str">
        <f aca="false">IF(ISBLANK($C344),"",AND($AL344,$BB344=""))</f>
        <v/>
      </c>
      <c r="CQ344" s="100" t="str">
        <f aca="false">IF(ISBLANK($C344),"",AND($AL344,$BC344=""))</f>
        <v/>
      </c>
      <c r="CR344" s="100" t="str">
        <f aca="false">IF(ISBLANK($C344),"",AND($AL344,$BF344=""))</f>
        <v/>
      </c>
      <c r="CS344" s="100" t="str">
        <f aca="false">IF(ISBLANK($C344),"",AND($AL344,$BJ344=""))</f>
        <v/>
      </c>
      <c r="CT344" s="101"/>
      <c r="CU344" s="102"/>
      <c r="CV344" s="103" t="str">
        <f aca="false">IF(ISBLANK($C344),"",IF($BL344=Constants!$B$8,$CM344,""))</f>
        <v/>
      </c>
      <c r="CW344" s="102" t="str">
        <f aca="false">IF(ISBLANK($C344),"",IF($BL344&lt;&gt;Constants!$B$4,"",$BO344+$BP344))</f>
        <v/>
      </c>
      <c r="CX344" s="104" t="str">
        <f aca="false">IF(ISBLANK($C344),"",IF($BL344&lt;&gt;Constants!$B$4,"",$BQ344+$BR344+$BS344))</f>
        <v/>
      </c>
      <c r="CY344" s="104" t="str">
        <f aca="false">IF(ISBLANK($C344),"",IF($BL344&lt;&gt;Constants!$B$4,"",$BT344))</f>
        <v/>
      </c>
      <c r="CZ344" s="104" t="str">
        <f aca="false">IF(ISBLANK($C344),"",IF($BL344&lt;&gt;Constants!$B$4,"",$BU344+$BV344))</f>
        <v/>
      </c>
      <c r="DA344" s="104" t="str">
        <f aca="false">IF(ISBLANK($C344),"",IF($BL344&lt;&gt;Constants!$B$4,"",$BW344))</f>
        <v/>
      </c>
      <c r="DB344" s="104" t="str">
        <f aca="false">IF(ISBLANK($C344),"",IF($BL344&lt;&gt;Constants!$B$4,"",-$CD344))</f>
        <v/>
      </c>
      <c r="DC344" s="103" t="str">
        <f aca="false">IF(ISBLANK($C344),"",$CE344)</f>
        <v/>
      </c>
      <c r="DD344" s="105" t="str">
        <f aca="false">IF(ISBLANK($C344),"",$BM344)</f>
        <v/>
      </c>
      <c r="DE344" s="104" t="str">
        <f aca="false">IF(ISBLANK($C344),"",$CL344)</f>
        <v/>
      </c>
      <c r="DF344" s="104" t="str">
        <f aca="false">IF(ISBLANK($C344),"",$CK344)</f>
        <v/>
      </c>
      <c r="DG344" s="106" t="str">
        <f aca="false">IF(ISBLANK($C344),"",IF($DF344=Constants!$B$7,COUNTA($C$9:$C$508)+2,IF($DF344=Constants!$B$6,COUNTA($C$9:$C$508)+1,IF($DF344=Constants!$B$5,COUNTA($C$9:$C$508),$DF344))))</f>
        <v/>
      </c>
      <c r="DH344" s="7"/>
      <c r="DI344" s="107" t="n">
        <f aca="false">IF(OR(ISNUMBER($DF344),$DF344=Constants!$B$7,$DF344=Constants!$B$5,$DF344=Constants!$B$6),1,0)</f>
        <v>0</v>
      </c>
      <c r="DJ344" s="107" t="n">
        <v>336</v>
      </c>
      <c r="DK344" s="107" t="str">
        <f aca="false">IF(ISBLANK($C344),"",IF(ISNUMBER($DG344),$DG344+ROW($B344)/1000,""))</f>
        <v/>
      </c>
      <c r="DL344" s="107" t="str">
        <f aca="false">IF(ISNUMBER($DK344),RANK($DK344,$DK$9:$DK$508,1),"")</f>
        <v/>
      </c>
      <c r="DM344" s="107" t="str">
        <f aca="false">IF(ISBLANK($C344),"",$B344)</f>
        <v/>
      </c>
      <c r="DN344" s="107" t="str">
        <f aca="false">IF(ISBLANK($C344),"",$C344)</f>
        <v/>
      </c>
      <c r="DO344" s="107" t="str">
        <f aca="false">IF(ISBLANK($C344),"",$D344)</f>
        <v/>
      </c>
      <c r="DP344" s="108" t="str">
        <f aca="false">$DD344</f>
        <v/>
      </c>
      <c r="DQ344" s="109" t="str">
        <f aca="false">$DC344</f>
        <v/>
      </c>
      <c r="DR344" s="107" t="str">
        <f aca="false">IF(ISBLANK($C344),"",$DF344)</f>
        <v/>
      </c>
      <c r="DS344" s="110" t="str">
        <f aca="false">IF($DJ344&gt;$DI$8,"",VLOOKUP($DJ344,$DL$9:$DR$508,7,FALSE()))</f>
        <v/>
      </c>
      <c r="DT344" s="111" t="str">
        <f aca="false">IF($DJ344&gt;$DI$8,"",VLOOKUP($DJ344,$DL$9:$DR$508,2,FALSE()))</f>
        <v/>
      </c>
      <c r="DU344" s="111" t="str">
        <f aca="false">IF($DJ344&gt;$DI$8,"",VLOOKUP($DJ344,$DL$9:$DR$508,3,FALSE()))</f>
        <v/>
      </c>
      <c r="DV344" s="111" t="str">
        <f aca="false">IF($DJ344&gt;$DI$8,"",VLOOKUP($DJ344,$DL$9:$DR$508,4,FALSE()))</f>
        <v/>
      </c>
      <c r="DW344" s="111" t="str">
        <f aca="false">IF($DJ344&gt;$DI$8,"",VLOOKUP($DJ344,$DL$9:$DR$508,5,FALSE()))</f>
        <v/>
      </c>
      <c r="DX344" s="112" t="str">
        <f aca="false">IF($DJ344&gt;$DI$8,"",VLOOKUP($DJ344,$DL$9:$DR$508,6,FALSE()))</f>
        <v/>
      </c>
      <c r="DY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88"/>
      <c r="N345" s="88"/>
      <c r="O345" s="134"/>
      <c r="P345" s="134"/>
      <c r="Q345" s="88"/>
      <c r="R345" s="88"/>
      <c r="S345" s="88"/>
      <c r="T345" s="88"/>
      <c r="U345" s="134"/>
      <c r="V345" s="88"/>
      <c r="W345" s="70"/>
      <c r="X345" s="88"/>
      <c r="Y345" s="88"/>
      <c r="Z345" s="70"/>
      <c r="AA345" s="70"/>
      <c r="AB345" s="88"/>
      <c r="AC345" s="88"/>
      <c r="AD345" s="88"/>
      <c r="AE345" s="71"/>
      <c r="AF345" s="88"/>
      <c r="AG345" s="73"/>
      <c r="AH345" s="74"/>
      <c r="AI345" s="74"/>
      <c r="AJ345" s="74" t="str">
        <f aca="false">IF(ISBLANK($C345),"",IF($E345=Constants!$B$2,TRUE(),IF($E345=Constants!$B$3,FALSE(),TRUE())))</f>
        <v/>
      </c>
      <c r="AK345" s="74" t="str">
        <f aca="false">IF(ISBLANK($C345),"",IF($F345=Constants!$B$2,TRUE(),IF($F345=Constants!$B$3,FALSE(),FALSE())))</f>
        <v/>
      </c>
      <c r="AL345" s="74" t="str">
        <f aca="false">IF(ISBLANK($C345),"",IF($G345=Constants!$B$2,TRUE(),IF($G345=Constants!$B$3,FALSE(),TRUE())))</f>
        <v/>
      </c>
      <c r="AM345" s="74" t="str">
        <f aca="false">IF(ISBLANK($C345),"",IF($H345=Constants!$B$2,TRUE(),IF($H345=Constants!$B$3,FALSE(),TRUE())))</f>
        <v/>
      </c>
      <c r="AN345" s="74" t="str">
        <f aca="false">IF(ISBLANK($C345),"",IF(ISNUMBER($I345),IF($I345&gt;=0,$I345,""),""))</f>
        <v/>
      </c>
      <c r="AO345" s="74" t="str">
        <f aca="false">IF(ISBLANK($C345),"",IF(ISNUMBER($J345),IF($J345&gt;=0,$J345,""),""))</f>
        <v/>
      </c>
      <c r="AP345" s="74" t="str">
        <f aca="false">IF(ISBLANK($C345),"",IF(ISNUMBER($K345),IF($K345&gt;=0,$K345,""),""))</f>
        <v/>
      </c>
      <c r="AQ345" s="74" t="str">
        <f aca="false">IF(ISBLANK($C345),"",IF($L345=Constants!$B$2,TRUE(),IF($L345=Constants!$B$3,FALSE(),TRUE())))</f>
        <v/>
      </c>
      <c r="AR345" s="74" t="str">
        <f aca="false">IF(ISBLANK($C345),"",IF($M345=Constants!$B$2,TRUE(),IF($M345=Constants!$B$3,FALSE(),TRUE())))</f>
        <v/>
      </c>
      <c r="AS345" s="74" t="str">
        <f aca="false">IF(ISBLANK($C345),"",IF($N345=Constants!$B$2,TRUE(),IF($N345=Constants!$B$3,FALSE(),FALSE())))</f>
        <v/>
      </c>
      <c r="AT345" s="74" t="str">
        <f aca="false">IF(ISBLANK($C345),"",IF($O345=Constants!$B$2,TRUE(),IF($O345=Constants!$B$3,FALSE(),TRUE())))</f>
        <v/>
      </c>
      <c r="AU345" s="74" t="str">
        <f aca="false">IF(ISBLANK($C345),"",IF($P345=Constants!$B$2,TRUE(),IF($P345=Constants!$B$3,FALSE(),TRUE())))</f>
        <v/>
      </c>
      <c r="AV345" s="74" t="str">
        <f aca="false">IF(ISBLANK($C345),"",IF($Q345=Constants!$B$2,TRUE(),IF($Q345=Constants!$B$3,FALSE(),FALSE())))</f>
        <v/>
      </c>
      <c r="AW345" s="74" t="str">
        <f aca="false">IF(ISBLANK($C345),"",IF($R345=Constants!$B$2,TRUE(),IF($R345=Constants!$B$3,FALSE(),FALSE())))</f>
        <v/>
      </c>
      <c r="AX345" s="74" t="str">
        <f aca="false">IF(ISBLANK($C345),"",IF($S345=Constants!$B$2,TRUE(),IF($S345=Constants!$B$3,FALSE(),FALSE())))</f>
        <v/>
      </c>
      <c r="AY345" s="74" t="str">
        <f aca="false">IF(ISBLANK($C345),"",IF($T345=Constants!$B$2,TRUE(),IF($T345=Constants!$B$3,FALSE(),FALSE())))</f>
        <v/>
      </c>
      <c r="AZ345" s="74" t="str">
        <f aca="false">IF(ISBLANK($C345),"",IF($U345=Constants!$B$2,TRUE(),IF($U345=Constants!$B$3,FALSE(),FALSE())))</f>
        <v/>
      </c>
      <c r="BA345" s="74" t="str">
        <f aca="false">IF(ISBLANK($C345),"",IF(OR($V345&amp;""="1",$V345&amp;""="2",$V345&amp;""="3",$V345&amp;""="4"),VALUE($V345&amp;""),IF($V345=Constants!$B$12,Constants!$B$12,"")))</f>
        <v/>
      </c>
      <c r="BB345" s="74" t="str">
        <f aca="false">IF(ISBLANK($C345),"",IF(ISBLANK($W345),0,IF(ISNUMBER($W345),IF(AND($W345&gt;=0,$W345&lt;=Constants!$B$21,$W345=INT($W345)),$W345,""),"")))</f>
        <v/>
      </c>
      <c r="BC345" s="74" t="str">
        <f aca="false">IF(ISBLANK($C345),"",IF(ISBLANK($X345),0,IF(ISNUMBER($X345),IF($X345&gt;=0,$X345,""),"")))</f>
        <v/>
      </c>
      <c r="BD345" s="74" t="str">
        <f aca="false">IF(ISBLANK($C345),"",IF($Y345=Constants!$B$2,TRUE(),IF($Y345=Constants!$B$3,FALSE(),TRUE())))</f>
        <v/>
      </c>
      <c r="BE345" s="74" t="str">
        <f aca="false">IF(ISBLANK($C345),"",IF($Z345=Constants!$B$2,TRUE(),IF($Z345=Constants!$B$3,FALSE(),FALSE())))</f>
        <v/>
      </c>
      <c r="BF345" s="74" t="str">
        <f aca="false">IF(ISBLANK($C345),"",IF(ISBLANK($AA345),0,IF(ISNUMBER($AA345),IF(AND($AA345&gt;=0,$AA345&lt;=Constants!$B$35,$AA345=INT($AA345)),$AA345,""),"")))</f>
        <v/>
      </c>
      <c r="BG345" s="74" t="str">
        <f aca="false">IF(ISBLANK($C345),"",IF($AB345=Constants!$B$2,TRUE(),IF($AB345=Constants!$B$3,FALSE(),TRUE())))</f>
        <v/>
      </c>
      <c r="BH345" s="74" t="str">
        <f aca="false">IF(ISBLANK($C345),"",IF($AC345=Constants!$B$2,TRUE(),IF($AC345=Constants!$B$3,FALSE(),TRUE())))</f>
        <v/>
      </c>
      <c r="BI345" s="74" t="str">
        <f aca="false">IF(ISBLANK($C345),"",IF($AD345=Constants!$B$2,TRUE(),IF($AD345=Constants!$B$3,FALSE(),TRUE())))</f>
        <v/>
      </c>
      <c r="BJ345" s="74" t="str">
        <f aca="false">IF(ISBLANK($C345),"",IF(ISNUMBER($AE345),IF($AE345&gt;=0,$AE345,""),""))</f>
        <v/>
      </c>
      <c r="BK345" s="74" t="str">
        <f aca="false">IF(ISBLANK($C345),"",IF($AF345=Constants!$B$2,TRUE(),IF($AF345=Constants!$B$3,FALSE(),FALSE())))</f>
        <v/>
      </c>
      <c r="BL345" s="73" t="str">
        <f aca="false">IF(ISBLANK($C345),"",IF($BK345,Constants!$B$7,IF(COUNTA($E345:$AE345)=0,Constants!$B$6,IF(OR(COUNTA($G345:$AE345)=0,NOT($AM345),$AS345),Constants!$B$5,IF(OR($CM345&lt;&gt;"",$CN345,$CO345,$CP345,$CQ345,$CR345,$CS345),Constants!$B$8,Constants!$B$4)))))</f>
        <v/>
      </c>
      <c r="BM345" s="74" t="str">
        <f aca="false">IF(ISBLANK($C345),"",IF($BL345&lt;&gt;Constants!$B$4,$BL345,IF(OR(NOT($AJ345),NOT($AL345),NOT($AT345)),Constants!$B$11,IF(OR(NOT($AR345),NOT($AU345),NOT($BI345),MAX($AN345,$AO345,$AP345)&gt;Constants!$B$30),Constants!$B$10,Constants!$B$9))))</f>
        <v/>
      </c>
      <c r="BN345" s="74" t="str">
        <f aca="false">IF($BL345&lt;&gt;Constants!$B$4,"",IF(NOT($AL345),0,MIN(Constants!$B$35,$BF345)))</f>
        <v/>
      </c>
      <c r="BO345" s="74" t="str">
        <f aca="false">IF($BL345&lt;&gt;Constants!$B$4,"",IF(NOT($AL345),0,IF($AW345,Constants!$B$18,IF($AV345,Constants!$B$17,0))))</f>
        <v/>
      </c>
      <c r="BP345" s="74" t="str">
        <f aca="false">IF($BL345&lt;&gt;Constants!$B$4,"",IF(NOT($AL345),0,Constants!$B$19*($AK345+$AX345+$AY345+$AZ345)))</f>
        <v/>
      </c>
      <c r="BQ345" s="74" t="str">
        <f aca="false">IF($BL345&lt;&gt;Constants!$B$4,"",IF(OR(NOT($AL345),NOT(ISNUMBER($BA345))),0,CHOOSE($BA345,Constants!$B$13,Constants!$B$14,Constants!$B$15,Constants!$B$16)))</f>
        <v/>
      </c>
      <c r="BR345" s="74" t="str">
        <f aca="false">IF($BL345&lt;&gt;Constants!$B$4,"",IF(NOT($AL345),0,Constants!$B$20*$BB345))</f>
        <v/>
      </c>
      <c r="BS345" s="74" t="str">
        <f aca="false">IF($BL345&lt;&gt;Constants!$B$4,"",IF(AND($AL345,$BD345,$BE345),Constants!$B$22,0))</f>
        <v/>
      </c>
      <c r="BT345" s="74" t="str">
        <f aca="false">IF($BL345&lt;&gt;Constants!$B$4,"",IF(OR(NOT($AL345),NOT($BD345)),0,IF($BJ345&gt;=2*$AH$9,0,Constants!$B$23*INT(ROUND(MIN($BJ345,$AH$9),6)))))</f>
        <v/>
      </c>
      <c r="BU345" s="74" t="str">
        <f aca="false">IF($BL345&lt;&gt;Constants!$B$4,"",IF(NOT($AL345),0,Constants!$B$24*INT(ROUND(MIN($BC345,$AH$9),6))))</f>
        <v/>
      </c>
      <c r="BV345" s="74" t="str">
        <f aca="false">IF($BL345&lt;&gt;Constants!$B$4,"",IF(AND($AL345,$BN345=0),Constants!$B$25,0))</f>
        <v/>
      </c>
      <c r="BW345" s="74" t="str">
        <f aca="false">IF($BL345&lt;&gt;Constants!$B$4,"",MIN(Constants!$B$29,MAX(0,Constants!$B$27*Constants!$B$28*INT(ROUND((Constants!$B$26-$AN345)/Constants!$B$28,6))))+MIN(Constants!$B$29,MAX(0,Constants!$B$27*Constants!$B$28*INT(ROUND((Constants!$B$26-$AO345)/Constants!$B$28,6))))+MIN(Constants!$B$29,MAX(0,Constants!$B$27*Constants!$B$28*INT(ROUND((Constants!$B$26-$AP345)/Constants!$B$28,6)))))</f>
        <v/>
      </c>
      <c r="BX345" s="74" t="str">
        <f aca="false">IF($BL345&lt;&gt;Constants!$B$4,"",IF(NOT($AL345),0,Constants!$B$31*INT(ROUND(MAX(0,MIN($BJ345,2*$AH$9)-$AH$9),6))))</f>
        <v/>
      </c>
      <c r="BY345" s="74" t="str">
        <f aca="false">IF($BL345&lt;&gt;Constants!$B$4,"",Constants!$B$32*(($AN345&gt;Constants!$B$26)+($AO345&gt;Constants!$B$26)+($AP345&gt;Constants!$B$26)))</f>
        <v/>
      </c>
      <c r="BZ345" s="74" t="str">
        <f aca="false">IF($BL345&lt;&gt;Constants!$B$4,"",IF(OR(NOT($AL345),$AQ345),0,Constants!$B$33))</f>
        <v/>
      </c>
      <c r="CA345" s="74" t="str">
        <f aca="false">IF($BL345&lt;&gt;Constants!$B$4,"",Constants!$B$34*$BN345)</f>
        <v/>
      </c>
      <c r="CB345" s="74" t="str">
        <f aca="false">IF($BL345&lt;&gt;Constants!$B$4,"",IF(OR(NOT($AL345),$BH345),0,Constants!$B$36))</f>
        <v/>
      </c>
      <c r="CC345" s="74" t="str">
        <f aca="false">IF($BL345&lt;&gt;Constants!$B$4,"",IF(OR(NOT($AL345),$BG345),0,Constants!$B$37))</f>
        <v/>
      </c>
      <c r="CD345" s="74" t="str">
        <f aca="false">IF($BL345&lt;&gt;Constants!$B$4,"",SUM($BX345:$CC345))</f>
        <v/>
      </c>
      <c r="CE345" s="74" t="str">
        <f aca="false">IF(ISBLANK($C345),"",IF($BL345&lt;&gt;Constants!$B$4,$BL345,SUM($BO345:$BW345)-$CD345))</f>
        <v/>
      </c>
      <c r="CF345" s="74" t="str">
        <f aca="false">IF(ISBLANK($C345),"",IF($BL345&lt;&gt;Constants!$B$4,$BL345,RANK($CE345,$CE$9:$CE$508)))</f>
        <v/>
      </c>
      <c r="CG345" s="74" t="str">
        <f aca="false">IF(ISBLANK($C345),"",IF($BL345&lt;&gt;Constants!$B$4,$BL345,COUNTIFS($BM$9:$BM$508,"&lt;"&amp;$BM345)+COUNTIFS($BM$9:$BM$508,$BM345,$CF$9:$CF$508,"&lt;"&amp;$CF345)+1))</f>
        <v/>
      </c>
      <c r="CH345" s="74" t="str">
        <f aca="false">IF(ISBLANK($C345),"",IF($BL345&lt;&gt;Constants!$B$4,$BL345,RANK($CD345,$CD$9:$CD$508,1)))</f>
        <v/>
      </c>
      <c r="CI345" s="74" t="str">
        <f aca="false">IF($BL345&lt;&gt;Constants!$B$4,"",$AN345+$AO345+$AP345)</f>
        <v/>
      </c>
      <c r="CJ345" s="74" t="str">
        <f aca="false">IF(ISBLANK($C345),"",IF($BL345&lt;&gt;Constants!$B$4,$BL345,RANK($CI345,$CI$9:$CI$508,1)))</f>
        <v/>
      </c>
      <c r="CK345" s="74" t="str">
        <f aca="false">IF(ISBLANK($C345),"",IF($BL345&lt;&gt;Constants!$B$4,$BL345,COUNTIFS($BM$9:$BM$508,"&lt;"&amp;$BM345)+COUNTIFS($BM$9:$BM$508,$BM345,$CF$9:$CF$508,"&lt;"&amp;$CF345)+COUNTIFS($BM$9:$BM$508,$BM345,$CF$9:$CF$508,$CF345,$CH$9:$CH$508,"&lt;"&amp;$CH345)+COUNTIFS($BM$9:$BM$508,$BM345,$CF$9:$CF$508,$CF345,$CH$9:$CH$508,$CH345,$CJ$9:$CJ$508,"&lt;"&amp;$CJ345)+1))</f>
        <v/>
      </c>
      <c r="CL345" s="74" t="str">
        <f aca="false">IF(ISBLANK($C345),"",IF($BL345&lt;&gt;Constants!$B$4,$BL345,$CG345-$CK345))</f>
        <v/>
      </c>
      <c r="CM345" s="74" t="str">
        <f aca="false">IF(ISBLANK($C345),"",IF(NOT($AL345),"",IF(ISBLANK($D$7),$CM$5,IF(NOT(ISNUMBER($D$7)),$CM$6,""))))</f>
        <v/>
      </c>
      <c r="CN345" s="74" t="str">
        <f aca="false">IF(ISBLANK($C345),"",OR($AN345="",$AO345="",$AP345=""))</f>
        <v/>
      </c>
      <c r="CO345" s="74" t="str">
        <f aca="false">IF(ISBLANK($C345),"",AND($AL345,$BA345=""))</f>
        <v/>
      </c>
      <c r="CP345" s="74" t="str">
        <f aca="false">IF(ISBLANK($C345),"",AND($AL345,$BB345=""))</f>
        <v/>
      </c>
      <c r="CQ345" s="74" t="str">
        <f aca="false">IF(ISBLANK($C345),"",AND($AL345,$BC345=""))</f>
        <v/>
      </c>
      <c r="CR345" s="74" t="str">
        <f aca="false">IF(ISBLANK($C345),"",AND($AL345,$BF345=""))</f>
        <v/>
      </c>
      <c r="CS345" s="74" t="str">
        <f aca="false">IF(ISBLANK($C345),"",AND($AL345,$BJ345=""))</f>
        <v/>
      </c>
      <c r="CT345" s="75"/>
      <c r="CU345" s="76"/>
      <c r="CV345" s="79" t="str">
        <f aca="false">IF(ISBLANK($C345),"",IF($BL345=Constants!$B$8,$CM345,""))</f>
        <v/>
      </c>
      <c r="CW345" s="76" t="str">
        <f aca="false">IF(ISBLANK($C345),"",IF($BL345&lt;&gt;Constants!$B$4,"",$BO345+$BP345))</f>
        <v/>
      </c>
      <c r="CX345" s="78" t="str">
        <f aca="false">IF(ISBLANK($C345),"",IF($BL345&lt;&gt;Constants!$B$4,"",$BQ345+$BR345+$BS345))</f>
        <v/>
      </c>
      <c r="CY345" s="78" t="str">
        <f aca="false">IF(ISBLANK($C345),"",IF($BL345&lt;&gt;Constants!$B$4,"",$BT345))</f>
        <v/>
      </c>
      <c r="CZ345" s="78" t="str">
        <f aca="false">IF(ISBLANK($C345),"",IF($BL345&lt;&gt;Constants!$B$4,"",$BU345+$BV345))</f>
        <v/>
      </c>
      <c r="DA345" s="78" t="str">
        <f aca="false">IF(ISBLANK($C345),"",IF($BL345&lt;&gt;Constants!$B$4,"",$BW345))</f>
        <v/>
      </c>
      <c r="DB345" s="78" t="str">
        <f aca="false">IF(ISBLANK($C345),"",IF($BL345&lt;&gt;Constants!$B$4,"",-$CD345))</f>
        <v/>
      </c>
      <c r="DC345" s="79" t="str">
        <f aca="false">IF(ISBLANK($C345),"",$CE345)</f>
        <v/>
      </c>
      <c r="DD345" s="80" t="str">
        <f aca="false">IF(ISBLANK($C345),"",$BM345)</f>
        <v/>
      </c>
      <c r="DE345" s="78" t="str">
        <f aca="false">IF(ISBLANK($C345),"",$CL345)</f>
        <v/>
      </c>
      <c r="DF345" s="78" t="str">
        <f aca="false">IF(ISBLANK($C345),"",$CK345)</f>
        <v/>
      </c>
      <c r="DG345" s="81" t="str">
        <f aca="false">IF(ISBLANK($C345),"",IF($DF345=Constants!$B$7,COUNTA($C$9:$C$508)+2,IF($DF345=Constants!$B$6,COUNTA($C$9:$C$508)+1,IF($DF345=Constants!$B$5,COUNTA($C$9:$C$508),$DF345))))</f>
        <v/>
      </c>
      <c r="DH345" s="7"/>
      <c r="DI345" s="82" t="n">
        <f aca="false">IF(OR(ISNUMBER($DF345),$DF345=Constants!$B$7,$DF345=Constants!$B$5,$DF345=Constants!$B$6),1,0)</f>
        <v>0</v>
      </c>
      <c r="DJ345" s="82" t="n">
        <v>337</v>
      </c>
      <c r="DK345" s="82" t="str">
        <f aca="false">IF(ISBLANK($C345),"",IF(ISNUMBER($DG345),$DG345+ROW($B345)/1000,""))</f>
        <v/>
      </c>
      <c r="DL345" s="82" t="str">
        <f aca="false">IF(ISNUMBER($DK345),RANK($DK345,$DK$9:$DK$508,1),"")</f>
        <v/>
      </c>
      <c r="DM345" s="82" t="str">
        <f aca="false">IF(ISBLANK($C345),"",$B345)</f>
        <v/>
      </c>
      <c r="DN345" s="82" t="str">
        <f aca="false">IF(ISBLANK($C345),"",$C345)</f>
        <v/>
      </c>
      <c r="DO345" s="82" t="str">
        <f aca="false">IF(ISBLANK($C345),"",$D345)</f>
        <v/>
      </c>
      <c r="DP345" s="83" t="str">
        <f aca="false">$DD345</f>
        <v/>
      </c>
      <c r="DQ345" s="84" t="str">
        <f aca="false">$DC345</f>
        <v/>
      </c>
      <c r="DR345" s="82" t="str">
        <f aca="false">IF(ISBLANK($C345),"",$DF345)</f>
        <v/>
      </c>
      <c r="DS345" s="85" t="str">
        <f aca="false">IF($DJ345&gt;$DI$8,"",VLOOKUP($DJ345,$DL$9:$DR$508,7,FALSE()))</f>
        <v/>
      </c>
      <c r="DT345" s="86" t="str">
        <f aca="false">IF($DJ345&gt;$DI$8,"",VLOOKUP($DJ345,$DL$9:$DR$508,2,FALSE()))</f>
        <v/>
      </c>
      <c r="DU345" s="86" t="str">
        <f aca="false">IF($DJ345&gt;$DI$8,"",VLOOKUP($DJ345,$DL$9:$DR$508,3,FALSE()))</f>
        <v/>
      </c>
      <c r="DV345" s="86" t="str">
        <f aca="false">IF($DJ345&gt;$DI$8,"",VLOOKUP($DJ345,$DL$9:$DR$508,4,FALSE()))</f>
        <v/>
      </c>
      <c r="DW345" s="86" t="str">
        <f aca="false">IF($DJ345&gt;$DI$8,"",VLOOKUP($DJ345,$DL$9:$DR$508,5,FALSE()))</f>
        <v/>
      </c>
      <c r="DX345" s="87" t="str">
        <f aca="false">IF($DJ345&gt;$DI$8,"",VLOOKUP($DJ345,$DL$9:$DR$508,6,FALSE()))</f>
        <v/>
      </c>
      <c r="DY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88"/>
      <c r="N346" s="88"/>
      <c r="O346" s="134"/>
      <c r="P346" s="134"/>
      <c r="Q346" s="88"/>
      <c r="R346" s="88"/>
      <c r="S346" s="88"/>
      <c r="T346" s="88"/>
      <c r="U346" s="134"/>
      <c r="V346" s="88"/>
      <c r="W346" s="70"/>
      <c r="X346" s="88"/>
      <c r="Y346" s="88"/>
      <c r="Z346" s="70"/>
      <c r="AA346" s="70"/>
      <c r="AB346" s="88"/>
      <c r="AC346" s="88"/>
      <c r="AD346" s="88"/>
      <c r="AE346" s="71"/>
      <c r="AF346" s="88"/>
      <c r="AG346" s="73"/>
      <c r="AH346" s="74"/>
      <c r="AI346" s="74"/>
      <c r="AJ346" s="74" t="str">
        <f aca="false">IF(ISBLANK($C346),"",IF($E346=Constants!$B$2,TRUE(),IF($E346=Constants!$B$3,FALSE(),TRUE())))</f>
        <v/>
      </c>
      <c r="AK346" s="74" t="str">
        <f aca="false">IF(ISBLANK($C346),"",IF($F346=Constants!$B$2,TRUE(),IF($F346=Constants!$B$3,FALSE(),FALSE())))</f>
        <v/>
      </c>
      <c r="AL346" s="74" t="str">
        <f aca="false">IF(ISBLANK($C346),"",IF($G346=Constants!$B$2,TRUE(),IF($G346=Constants!$B$3,FALSE(),TRUE())))</f>
        <v/>
      </c>
      <c r="AM346" s="74" t="str">
        <f aca="false">IF(ISBLANK($C346),"",IF($H346=Constants!$B$2,TRUE(),IF($H346=Constants!$B$3,FALSE(),TRUE())))</f>
        <v/>
      </c>
      <c r="AN346" s="74" t="str">
        <f aca="false">IF(ISBLANK($C346),"",IF(ISNUMBER($I346),IF($I346&gt;=0,$I346,""),""))</f>
        <v/>
      </c>
      <c r="AO346" s="74" t="str">
        <f aca="false">IF(ISBLANK($C346),"",IF(ISNUMBER($J346),IF($J346&gt;=0,$J346,""),""))</f>
        <v/>
      </c>
      <c r="AP346" s="74" t="str">
        <f aca="false">IF(ISBLANK($C346),"",IF(ISNUMBER($K346),IF($K346&gt;=0,$K346,""),""))</f>
        <v/>
      </c>
      <c r="AQ346" s="74" t="str">
        <f aca="false">IF(ISBLANK($C346),"",IF($L346=Constants!$B$2,TRUE(),IF($L346=Constants!$B$3,FALSE(),TRUE())))</f>
        <v/>
      </c>
      <c r="AR346" s="74" t="str">
        <f aca="false">IF(ISBLANK($C346),"",IF($M346=Constants!$B$2,TRUE(),IF($M346=Constants!$B$3,FALSE(),TRUE())))</f>
        <v/>
      </c>
      <c r="AS346" s="74" t="str">
        <f aca="false">IF(ISBLANK($C346),"",IF($N346=Constants!$B$2,TRUE(),IF($N346=Constants!$B$3,FALSE(),FALSE())))</f>
        <v/>
      </c>
      <c r="AT346" s="74" t="str">
        <f aca="false">IF(ISBLANK($C346),"",IF($O346=Constants!$B$2,TRUE(),IF($O346=Constants!$B$3,FALSE(),TRUE())))</f>
        <v/>
      </c>
      <c r="AU346" s="74" t="str">
        <f aca="false">IF(ISBLANK($C346),"",IF($P346=Constants!$B$2,TRUE(),IF($P346=Constants!$B$3,FALSE(),TRUE())))</f>
        <v/>
      </c>
      <c r="AV346" s="74" t="str">
        <f aca="false">IF(ISBLANK($C346),"",IF($Q346=Constants!$B$2,TRUE(),IF($Q346=Constants!$B$3,FALSE(),FALSE())))</f>
        <v/>
      </c>
      <c r="AW346" s="74" t="str">
        <f aca="false">IF(ISBLANK($C346),"",IF($R346=Constants!$B$2,TRUE(),IF($R346=Constants!$B$3,FALSE(),FALSE())))</f>
        <v/>
      </c>
      <c r="AX346" s="74" t="str">
        <f aca="false">IF(ISBLANK($C346),"",IF($S346=Constants!$B$2,TRUE(),IF($S346=Constants!$B$3,FALSE(),FALSE())))</f>
        <v/>
      </c>
      <c r="AY346" s="74" t="str">
        <f aca="false">IF(ISBLANK($C346),"",IF($T346=Constants!$B$2,TRUE(),IF($T346=Constants!$B$3,FALSE(),FALSE())))</f>
        <v/>
      </c>
      <c r="AZ346" s="74" t="str">
        <f aca="false">IF(ISBLANK($C346),"",IF($U346=Constants!$B$2,TRUE(),IF($U346=Constants!$B$3,FALSE(),FALSE())))</f>
        <v/>
      </c>
      <c r="BA346" s="74" t="str">
        <f aca="false">IF(ISBLANK($C346),"",IF(OR($V346&amp;""="1",$V346&amp;""="2",$V346&amp;""="3",$V346&amp;""="4"),VALUE($V346&amp;""),IF($V346=Constants!$B$12,Constants!$B$12,"")))</f>
        <v/>
      </c>
      <c r="BB346" s="74" t="str">
        <f aca="false">IF(ISBLANK($C346),"",IF(ISBLANK($W346),0,IF(ISNUMBER($W346),IF(AND($W346&gt;=0,$W346&lt;=Constants!$B$21,$W346=INT($W346)),$W346,""),"")))</f>
        <v/>
      </c>
      <c r="BC346" s="74" t="str">
        <f aca="false">IF(ISBLANK($C346),"",IF(ISBLANK($X346),0,IF(ISNUMBER($X346),IF($X346&gt;=0,$X346,""),"")))</f>
        <v/>
      </c>
      <c r="BD346" s="74" t="str">
        <f aca="false">IF(ISBLANK($C346),"",IF($Y346=Constants!$B$2,TRUE(),IF($Y346=Constants!$B$3,FALSE(),TRUE())))</f>
        <v/>
      </c>
      <c r="BE346" s="74" t="str">
        <f aca="false">IF(ISBLANK($C346),"",IF($Z346=Constants!$B$2,TRUE(),IF($Z346=Constants!$B$3,FALSE(),FALSE())))</f>
        <v/>
      </c>
      <c r="BF346" s="74" t="str">
        <f aca="false">IF(ISBLANK($C346),"",IF(ISBLANK($AA346),0,IF(ISNUMBER($AA346),IF(AND($AA346&gt;=0,$AA346&lt;=Constants!$B$35,$AA346=INT($AA346)),$AA346,""),"")))</f>
        <v/>
      </c>
      <c r="BG346" s="74" t="str">
        <f aca="false">IF(ISBLANK($C346),"",IF($AB346=Constants!$B$2,TRUE(),IF($AB346=Constants!$B$3,FALSE(),TRUE())))</f>
        <v/>
      </c>
      <c r="BH346" s="74" t="str">
        <f aca="false">IF(ISBLANK($C346),"",IF($AC346=Constants!$B$2,TRUE(),IF($AC346=Constants!$B$3,FALSE(),TRUE())))</f>
        <v/>
      </c>
      <c r="BI346" s="74" t="str">
        <f aca="false">IF(ISBLANK($C346),"",IF($AD346=Constants!$B$2,TRUE(),IF($AD346=Constants!$B$3,FALSE(),TRUE())))</f>
        <v/>
      </c>
      <c r="BJ346" s="74" t="str">
        <f aca="false">IF(ISBLANK($C346),"",IF(ISNUMBER($AE346),IF($AE346&gt;=0,$AE346,""),""))</f>
        <v/>
      </c>
      <c r="BK346" s="74" t="str">
        <f aca="false">IF(ISBLANK($C346),"",IF($AF346=Constants!$B$2,TRUE(),IF($AF346=Constants!$B$3,FALSE(),FALSE())))</f>
        <v/>
      </c>
      <c r="BL346" s="73" t="str">
        <f aca="false">IF(ISBLANK($C346),"",IF($BK346,Constants!$B$7,IF(COUNTA($E346:$AE346)=0,Constants!$B$6,IF(OR(COUNTA($G346:$AE346)=0,NOT($AM346),$AS346),Constants!$B$5,IF(OR($CM346&lt;&gt;"",$CN346,$CO346,$CP346,$CQ346,$CR346,$CS346),Constants!$B$8,Constants!$B$4)))))</f>
        <v/>
      </c>
      <c r="BM346" s="74" t="str">
        <f aca="false">IF(ISBLANK($C346),"",IF($BL346&lt;&gt;Constants!$B$4,$BL346,IF(OR(NOT($AJ346),NOT($AL346),NOT($AT346)),Constants!$B$11,IF(OR(NOT($AR346),NOT($AU346),NOT($BI346),MAX($AN346,$AO346,$AP346)&gt;Constants!$B$30),Constants!$B$10,Constants!$B$9))))</f>
        <v/>
      </c>
      <c r="BN346" s="74" t="str">
        <f aca="false">IF($BL346&lt;&gt;Constants!$B$4,"",IF(NOT($AL346),0,MIN(Constants!$B$35,$BF346)))</f>
        <v/>
      </c>
      <c r="BO346" s="74" t="str">
        <f aca="false">IF($BL346&lt;&gt;Constants!$B$4,"",IF(NOT($AL346),0,IF($AW346,Constants!$B$18,IF($AV346,Constants!$B$17,0))))</f>
        <v/>
      </c>
      <c r="BP346" s="74" t="str">
        <f aca="false">IF($BL346&lt;&gt;Constants!$B$4,"",IF(NOT($AL346),0,Constants!$B$19*($AK346+$AX346+$AY346+$AZ346)))</f>
        <v/>
      </c>
      <c r="BQ346" s="74" t="str">
        <f aca="false">IF($BL346&lt;&gt;Constants!$B$4,"",IF(OR(NOT($AL346),NOT(ISNUMBER($BA346))),0,CHOOSE($BA346,Constants!$B$13,Constants!$B$14,Constants!$B$15,Constants!$B$16)))</f>
        <v/>
      </c>
      <c r="BR346" s="74" t="str">
        <f aca="false">IF($BL346&lt;&gt;Constants!$B$4,"",IF(NOT($AL346),0,Constants!$B$20*$BB346))</f>
        <v/>
      </c>
      <c r="BS346" s="74" t="str">
        <f aca="false">IF($BL346&lt;&gt;Constants!$B$4,"",IF(AND($AL346,$BD346,$BE346),Constants!$B$22,0))</f>
        <v/>
      </c>
      <c r="BT346" s="74" t="str">
        <f aca="false">IF($BL346&lt;&gt;Constants!$B$4,"",IF(OR(NOT($AL346),NOT($BD346)),0,IF($BJ346&gt;=2*$AH$9,0,Constants!$B$23*INT(ROUND(MIN($BJ346,$AH$9),6)))))</f>
        <v/>
      </c>
      <c r="BU346" s="74" t="str">
        <f aca="false">IF($BL346&lt;&gt;Constants!$B$4,"",IF(NOT($AL346),0,Constants!$B$24*INT(ROUND(MIN($BC346,$AH$9),6))))</f>
        <v/>
      </c>
      <c r="BV346" s="74" t="str">
        <f aca="false">IF($BL346&lt;&gt;Constants!$B$4,"",IF(AND($AL346,$BN346=0),Constants!$B$25,0))</f>
        <v/>
      </c>
      <c r="BW346" s="74" t="str">
        <f aca="false">IF($BL346&lt;&gt;Constants!$B$4,"",MIN(Constants!$B$29,MAX(0,Constants!$B$27*Constants!$B$28*INT(ROUND((Constants!$B$26-$AN346)/Constants!$B$28,6))))+MIN(Constants!$B$29,MAX(0,Constants!$B$27*Constants!$B$28*INT(ROUND((Constants!$B$26-$AO346)/Constants!$B$28,6))))+MIN(Constants!$B$29,MAX(0,Constants!$B$27*Constants!$B$28*INT(ROUND((Constants!$B$26-$AP346)/Constants!$B$28,6)))))</f>
        <v/>
      </c>
      <c r="BX346" s="74" t="str">
        <f aca="false">IF($BL346&lt;&gt;Constants!$B$4,"",IF(NOT($AL346),0,Constants!$B$31*INT(ROUND(MAX(0,MIN($BJ346,2*$AH$9)-$AH$9),6))))</f>
        <v/>
      </c>
      <c r="BY346" s="74" t="str">
        <f aca="false">IF($BL346&lt;&gt;Constants!$B$4,"",Constants!$B$32*(($AN346&gt;Constants!$B$26)+($AO346&gt;Constants!$B$26)+($AP346&gt;Constants!$B$26)))</f>
        <v/>
      </c>
      <c r="BZ346" s="74" t="str">
        <f aca="false">IF($BL346&lt;&gt;Constants!$B$4,"",IF(OR(NOT($AL346),$AQ346),0,Constants!$B$33))</f>
        <v/>
      </c>
      <c r="CA346" s="74" t="str">
        <f aca="false">IF($BL346&lt;&gt;Constants!$B$4,"",Constants!$B$34*$BN346)</f>
        <v/>
      </c>
      <c r="CB346" s="74" t="str">
        <f aca="false">IF($BL346&lt;&gt;Constants!$B$4,"",IF(OR(NOT($AL346),$BH346),0,Constants!$B$36))</f>
        <v/>
      </c>
      <c r="CC346" s="74" t="str">
        <f aca="false">IF($BL346&lt;&gt;Constants!$B$4,"",IF(OR(NOT($AL346),$BG346),0,Constants!$B$37))</f>
        <v/>
      </c>
      <c r="CD346" s="74" t="str">
        <f aca="false">IF($BL346&lt;&gt;Constants!$B$4,"",SUM($BX346:$CC346))</f>
        <v/>
      </c>
      <c r="CE346" s="74" t="str">
        <f aca="false">IF(ISBLANK($C346),"",IF($BL346&lt;&gt;Constants!$B$4,$BL346,SUM($BO346:$BW346)-$CD346))</f>
        <v/>
      </c>
      <c r="CF346" s="74" t="str">
        <f aca="false">IF(ISBLANK($C346),"",IF($BL346&lt;&gt;Constants!$B$4,$BL346,RANK($CE346,$CE$9:$CE$508)))</f>
        <v/>
      </c>
      <c r="CG346" s="74" t="str">
        <f aca="false">IF(ISBLANK($C346),"",IF($BL346&lt;&gt;Constants!$B$4,$BL346,COUNTIFS($BM$9:$BM$508,"&lt;"&amp;$BM346)+COUNTIFS($BM$9:$BM$508,$BM346,$CF$9:$CF$508,"&lt;"&amp;$CF346)+1))</f>
        <v/>
      </c>
      <c r="CH346" s="74" t="str">
        <f aca="false">IF(ISBLANK($C346),"",IF($BL346&lt;&gt;Constants!$B$4,$BL346,RANK($CD346,$CD$9:$CD$508,1)))</f>
        <v/>
      </c>
      <c r="CI346" s="74" t="str">
        <f aca="false">IF($BL346&lt;&gt;Constants!$B$4,"",$AN346+$AO346+$AP346)</f>
        <v/>
      </c>
      <c r="CJ346" s="74" t="str">
        <f aca="false">IF(ISBLANK($C346),"",IF($BL346&lt;&gt;Constants!$B$4,$BL346,RANK($CI346,$CI$9:$CI$508,1)))</f>
        <v/>
      </c>
      <c r="CK346" s="74" t="str">
        <f aca="false">IF(ISBLANK($C346),"",IF($BL346&lt;&gt;Constants!$B$4,$BL346,COUNTIFS($BM$9:$BM$508,"&lt;"&amp;$BM346)+COUNTIFS($BM$9:$BM$508,$BM346,$CF$9:$CF$508,"&lt;"&amp;$CF346)+COUNTIFS($BM$9:$BM$508,$BM346,$CF$9:$CF$508,$CF346,$CH$9:$CH$508,"&lt;"&amp;$CH346)+COUNTIFS($BM$9:$BM$508,$BM346,$CF$9:$CF$508,$CF346,$CH$9:$CH$508,$CH346,$CJ$9:$CJ$508,"&lt;"&amp;$CJ346)+1))</f>
        <v/>
      </c>
      <c r="CL346" s="74" t="str">
        <f aca="false">IF(ISBLANK($C346),"",IF($BL346&lt;&gt;Constants!$B$4,$BL346,$CG346-$CK346))</f>
        <v/>
      </c>
      <c r="CM346" s="74" t="str">
        <f aca="false">IF(ISBLANK($C346),"",IF(NOT($AL346),"",IF(ISBLANK($D$7),$CM$5,IF(NOT(ISNUMBER($D$7)),$CM$6,""))))</f>
        <v/>
      </c>
      <c r="CN346" s="74" t="str">
        <f aca="false">IF(ISBLANK($C346),"",OR($AN346="",$AO346="",$AP346=""))</f>
        <v/>
      </c>
      <c r="CO346" s="74" t="str">
        <f aca="false">IF(ISBLANK($C346),"",AND($AL346,$BA346=""))</f>
        <v/>
      </c>
      <c r="CP346" s="74" t="str">
        <f aca="false">IF(ISBLANK($C346),"",AND($AL346,$BB346=""))</f>
        <v/>
      </c>
      <c r="CQ346" s="74" t="str">
        <f aca="false">IF(ISBLANK($C346),"",AND($AL346,$BC346=""))</f>
        <v/>
      </c>
      <c r="CR346" s="74" t="str">
        <f aca="false">IF(ISBLANK($C346),"",AND($AL346,$BF346=""))</f>
        <v/>
      </c>
      <c r="CS346" s="74" t="str">
        <f aca="false">IF(ISBLANK($C346),"",AND($AL346,$BJ346=""))</f>
        <v/>
      </c>
      <c r="CT346" s="75"/>
      <c r="CU346" s="76"/>
      <c r="CV346" s="79" t="str">
        <f aca="false">IF(ISBLANK($C346),"",IF($BL346=Constants!$B$8,$CM346,""))</f>
        <v/>
      </c>
      <c r="CW346" s="76" t="str">
        <f aca="false">IF(ISBLANK($C346),"",IF($BL346&lt;&gt;Constants!$B$4,"",$BO346+$BP346))</f>
        <v/>
      </c>
      <c r="CX346" s="78" t="str">
        <f aca="false">IF(ISBLANK($C346),"",IF($BL346&lt;&gt;Constants!$B$4,"",$BQ346+$BR346+$BS346))</f>
        <v/>
      </c>
      <c r="CY346" s="78" t="str">
        <f aca="false">IF(ISBLANK($C346),"",IF($BL346&lt;&gt;Constants!$B$4,"",$BT346))</f>
        <v/>
      </c>
      <c r="CZ346" s="78" t="str">
        <f aca="false">IF(ISBLANK($C346),"",IF($BL346&lt;&gt;Constants!$B$4,"",$BU346+$BV346))</f>
        <v/>
      </c>
      <c r="DA346" s="78" t="str">
        <f aca="false">IF(ISBLANK($C346),"",IF($BL346&lt;&gt;Constants!$B$4,"",$BW346))</f>
        <v/>
      </c>
      <c r="DB346" s="78" t="str">
        <f aca="false">IF(ISBLANK($C346),"",IF($BL346&lt;&gt;Constants!$B$4,"",-$CD346))</f>
        <v/>
      </c>
      <c r="DC346" s="79" t="str">
        <f aca="false">IF(ISBLANK($C346),"",$CE346)</f>
        <v/>
      </c>
      <c r="DD346" s="80" t="str">
        <f aca="false">IF(ISBLANK($C346),"",$BM346)</f>
        <v/>
      </c>
      <c r="DE346" s="78" t="str">
        <f aca="false">IF(ISBLANK($C346),"",$CL346)</f>
        <v/>
      </c>
      <c r="DF346" s="78" t="str">
        <f aca="false">IF(ISBLANK($C346),"",$CK346)</f>
        <v/>
      </c>
      <c r="DG346" s="81" t="str">
        <f aca="false">IF(ISBLANK($C346),"",IF($DF346=Constants!$B$7,COUNTA($C$9:$C$508)+2,IF($DF346=Constants!$B$6,COUNTA($C$9:$C$508)+1,IF($DF346=Constants!$B$5,COUNTA($C$9:$C$508),$DF346))))</f>
        <v/>
      </c>
      <c r="DH346" s="7"/>
      <c r="DI346" s="82" t="n">
        <f aca="false">IF(OR(ISNUMBER($DF346),$DF346=Constants!$B$7,$DF346=Constants!$B$5,$DF346=Constants!$B$6),1,0)</f>
        <v>0</v>
      </c>
      <c r="DJ346" s="82" t="n">
        <v>338</v>
      </c>
      <c r="DK346" s="82" t="str">
        <f aca="false">IF(ISBLANK($C346),"",IF(ISNUMBER($DG346),$DG346+ROW($B346)/1000,""))</f>
        <v/>
      </c>
      <c r="DL346" s="82" t="str">
        <f aca="false">IF(ISNUMBER($DK346),RANK($DK346,$DK$9:$DK$508,1),"")</f>
        <v/>
      </c>
      <c r="DM346" s="82" t="str">
        <f aca="false">IF(ISBLANK($C346),"",$B346)</f>
        <v/>
      </c>
      <c r="DN346" s="82" t="str">
        <f aca="false">IF(ISBLANK($C346),"",$C346)</f>
        <v/>
      </c>
      <c r="DO346" s="82" t="str">
        <f aca="false">IF(ISBLANK($C346),"",$D346)</f>
        <v/>
      </c>
      <c r="DP346" s="83" t="str">
        <f aca="false">$DD346</f>
        <v/>
      </c>
      <c r="DQ346" s="84" t="str">
        <f aca="false">$DC346</f>
        <v/>
      </c>
      <c r="DR346" s="82" t="str">
        <f aca="false">IF(ISBLANK($C346),"",$DF346)</f>
        <v/>
      </c>
      <c r="DS346" s="85" t="str">
        <f aca="false">IF($DJ346&gt;$DI$8,"",VLOOKUP($DJ346,$DL$9:$DR$508,7,FALSE()))</f>
        <v/>
      </c>
      <c r="DT346" s="86" t="str">
        <f aca="false">IF($DJ346&gt;$DI$8,"",VLOOKUP($DJ346,$DL$9:$DR$508,2,FALSE()))</f>
        <v/>
      </c>
      <c r="DU346" s="86" t="str">
        <f aca="false">IF($DJ346&gt;$DI$8,"",VLOOKUP($DJ346,$DL$9:$DR$508,3,FALSE()))</f>
        <v/>
      </c>
      <c r="DV346" s="86" t="str">
        <f aca="false">IF($DJ346&gt;$DI$8,"",VLOOKUP($DJ346,$DL$9:$DR$508,4,FALSE()))</f>
        <v/>
      </c>
      <c r="DW346" s="86" t="str">
        <f aca="false">IF($DJ346&gt;$DI$8,"",VLOOKUP($DJ346,$DL$9:$DR$508,5,FALSE()))</f>
        <v/>
      </c>
      <c r="DX346" s="87" t="str">
        <f aca="false">IF($DJ346&gt;$DI$8,"",VLOOKUP($DJ346,$DL$9:$DR$508,6,FALSE()))</f>
        <v/>
      </c>
      <c r="DY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88"/>
      <c r="N347" s="88"/>
      <c r="O347" s="134"/>
      <c r="P347" s="134"/>
      <c r="Q347" s="88"/>
      <c r="R347" s="88"/>
      <c r="S347" s="88"/>
      <c r="T347" s="88"/>
      <c r="U347" s="134"/>
      <c r="V347" s="88"/>
      <c r="W347" s="70"/>
      <c r="X347" s="88"/>
      <c r="Y347" s="88"/>
      <c r="Z347" s="70"/>
      <c r="AA347" s="70"/>
      <c r="AB347" s="88"/>
      <c r="AC347" s="88"/>
      <c r="AD347" s="88"/>
      <c r="AE347" s="71"/>
      <c r="AF347" s="88"/>
      <c r="AG347" s="73"/>
      <c r="AH347" s="74"/>
      <c r="AI347" s="74"/>
      <c r="AJ347" s="74" t="str">
        <f aca="false">IF(ISBLANK($C347),"",IF($E347=Constants!$B$2,TRUE(),IF($E347=Constants!$B$3,FALSE(),TRUE())))</f>
        <v/>
      </c>
      <c r="AK347" s="74" t="str">
        <f aca="false">IF(ISBLANK($C347),"",IF($F347=Constants!$B$2,TRUE(),IF($F347=Constants!$B$3,FALSE(),FALSE())))</f>
        <v/>
      </c>
      <c r="AL347" s="74" t="str">
        <f aca="false">IF(ISBLANK($C347),"",IF($G347=Constants!$B$2,TRUE(),IF($G347=Constants!$B$3,FALSE(),TRUE())))</f>
        <v/>
      </c>
      <c r="AM347" s="74" t="str">
        <f aca="false">IF(ISBLANK($C347),"",IF($H347=Constants!$B$2,TRUE(),IF($H347=Constants!$B$3,FALSE(),TRUE())))</f>
        <v/>
      </c>
      <c r="AN347" s="74" t="str">
        <f aca="false">IF(ISBLANK($C347),"",IF(ISNUMBER($I347),IF($I347&gt;=0,$I347,""),""))</f>
        <v/>
      </c>
      <c r="AO347" s="74" t="str">
        <f aca="false">IF(ISBLANK($C347),"",IF(ISNUMBER($J347),IF($J347&gt;=0,$J347,""),""))</f>
        <v/>
      </c>
      <c r="AP347" s="74" t="str">
        <f aca="false">IF(ISBLANK($C347),"",IF(ISNUMBER($K347),IF($K347&gt;=0,$K347,""),""))</f>
        <v/>
      </c>
      <c r="AQ347" s="74" t="str">
        <f aca="false">IF(ISBLANK($C347),"",IF($L347=Constants!$B$2,TRUE(),IF($L347=Constants!$B$3,FALSE(),TRUE())))</f>
        <v/>
      </c>
      <c r="AR347" s="74" t="str">
        <f aca="false">IF(ISBLANK($C347),"",IF($M347=Constants!$B$2,TRUE(),IF($M347=Constants!$B$3,FALSE(),TRUE())))</f>
        <v/>
      </c>
      <c r="AS347" s="74" t="str">
        <f aca="false">IF(ISBLANK($C347),"",IF($N347=Constants!$B$2,TRUE(),IF($N347=Constants!$B$3,FALSE(),FALSE())))</f>
        <v/>
      </c>
      <c r="AT347" s="74" t="str">
        <f aca="false">IF(ISBLANK($C347),"",IF($O347=Constants!$B$2,TRUE(),IF($O347=Constants!$B$3,FALSE(),TRUE())))</f>
        <v/>
      </c>
      <c r="AU347" s="74" t="str">
        <f aca="false">IF(ISBLANK($C347),"",IF($P347=Constants!$B$2,TRUE(),IF($P347=Constants!$B$3,FALSE(),TRUE())))</f>
        <v/>
      </c>
      <c r="AV347" s="74" t="str">
        <f aca="false">IF(ISBLANK($C347),"",IF($Q347=Constants!$B$2,TRUE(),IF($Q347=Constants!$B$3,FALSE(),FALSE())))</f>
        <v/>
      </c>
      <c r="AW347" s="74" t="str">
        <f aca="false">IF(ISBLANK($C347),"",IF($R347=Constants!$B$2,TRUE(),IF($R347=Constants!$B$3,FALSE(),FALSE())))</f>
        <v/>
      </c>
      <c r="AX347" s="74" t="str">
        <f aca="false">IF(ISBLANK($C347),"",IF($S347=Constants!$B$2,TRUE(),IF($S347=Constants!$B$3,FALSE(),FALSE())))</f>
        <v/>
      </c>
      <c r="AY347" s="74" t="str">
        <f aca="false">IF(ISBLANK($C347),"",IF($T347=Constants!$B$2,TRUE(),IF($T347=Constants!$B$3,FALSE(),FALSE())))</f>
        <v/>
      </c>
      <c r="AZ347" s="74" t="str">
        <f aca="false">IF(ISBLANK($C347),"",IF($U347=Constants!$B$2,TRUE(),IF($U347=Constants!$B$3,FALSE(),FALSE())))</f>
        <v/>
      </c>
      <c r="BA347" s="74" t="str">
        <f aca="false">IF(ISBLANK($C347),"",IF(OR($V347&amp;""="1",$V347&amp;""="2",$V347&amp;""="3",$V347&amp;""="4"),VALUE($V347&amp;""),IF($V347=Constants!$B$12,Constants!$B$12,"")))</f>
        <v/>
      </c>
      <c r="BB347" s="74" t="str">
        <f aca="false">IF(ISBLANK($C347),"",IF(ISBLANK($W347),0,IF(ISNUMBER($W347),IF(AND($W347&gt;=0,$W347&lt;=Constants!$B$21,$W347=INT($W347)),$W347,""),"")))</f>
        <v/>
      </c>
      <c r="BC347" s="74" t="str">
        <f aca="false">IF(ISBLANK($C347),"",IF(ISBLANK($X347),0,IF(ISNUMBER($X347),IF($X347&gt;=0,$X347,""),"")))</f>
        <v/>
      </c>
      <c r="BD347" s="74" t="str">
        <f aca="false">IF(ISBLANK($C347),"",IF($Y347=Constants!$B$2,TRUE(),IF($Y347=Constants!$B$3,FALSE(),TRUE())))</f>
        <v/>
      </c>
      <c r="BE347" s="74" t="str">
        <f aca="false">IF(ISBLANK($C347),"",IF($Z347=Constants!$B$2,TRUE(),IF($Z347=Constants!$B$3,FALSE(),FALSE())))</f>
        <v/>
      </c>
      <c r="BF347" s="74" t="str">
        <f aca="false">IF(ISBLANK($C347),"",IF(ISBLANK($AA347),0,IF(ISNUMBER($AA347),IF(AND($AA347&gt;=0,$AA347&lt;=Constants!$B$35,$AA347=INT($AA347)),$AA347,""),"")))</f>
        <v/>
      </c>
      <c r="BG347" s="74" t="str">
        <f aca="false">IF(ISBLANK($C347),"",IF($AB347=Constants!$B$2,TRUE(),IF($AB347=Constants!$B$3,FALSE(),TRUE())))</f>
        <v/>
      </c>
      <c r="BH347" s="74" t="str">
        <f aca="false">IF(ISBLANK($C347),"",IF($AC347=Constants!$B$2,TRUE(),IF($AC347=Constants!$B$3,FALSE(),TRUE())))</f>
        <v/>
      </c>
      <c r="BI347" s="74" t="str">
        <f aca="false">IF(ISBLANK($C347),"",IF($AD347=Constants!$B$2,TRUE(),IF($AD347=Constants!$B$3,FALSE(),TRUE())))</f>
        <v/>
      </c>
      <c r="BJ347" s="74" t="str">
        <f aca="false">IF(ISBLANK($C347),"",IF(ISNUMBER($AE347),IF($AE347&gt;=0,$AE347,""),""))</f>
        <v/>
      </c>
      <c r="BK347" s="74" t="str">
        <f aca="false">IF(ISBLANK($C347),"",IF($AF347=Constants!$B$2,TRUE(),IF($AF347=Constants!$B$3,FALSE(),FALSE())))</f>
        <v/>
      </c>
      <c r="BL347" s="73" t="str">
        <f aca="false">IF(ISBLANK($C347),"",IF($BK347,Constants!$B$7,IF(COUNTA($E347:$AE347)=0,Constants!$B$6,IF(OR(COUNTA($G347:$AE347)=0,NOT($AM347),$AS347),Constants!$B$5,IF(OR($CM347&lt;&gt;"",$CN347,$CO347,$CP347,$CQ347,$CR347,$CS347),Constants!$B$8,Constants!$B$4)))))</f>
        <v/>
      </c>
      <c r="BM347" s="74" t="str">
        <f aca="false">IF(ISBLANK($C347),"",IF($BL347&lt;&gt;Constants!$B$4,$BL347,IF(OR(NOT($AJ347),NOT($AL347),NOT($AT347)),Constants!$B$11,IF(OR(NOT($AR347),NOT($AU347),NOT($BI347),MAX($AN347,$AO347,$AP347)&gt;Constants!$B$30),Constants!$B$10,Constants!$B$9))))</f>
        <v/>
      </c>
      <c r="BN347" s="74" t="str">
        <f aca="false">IF($BL347&lt;&gt;Constants!$B$4,"",IF(NOT($AL347),0,MIN(Constants!$B$35,$BF347)))</f>
        <v/>
      </c>
      <c r="BO347" s="74" t="str">
        <f aca="false">IF($BL347&lt;&gt;Constants!$B$4,"",IF(NOT($AL347),0,IF($AW347,Constants!$B$18,IF($AV347,Constants!$B$17,0))))</f>
        <v/>
      </c>
      <c r="BP347" s="74" t="str">
        <f aca="false">IF($BL347&lt;&gt;Constants!$B$4,"",IF(NOT($AL347),0,Constants!$B$19*($AK347+$AX347+$AY347+$AZ347)))</f>
        <v/>
      </c>
      <c r="BQ347" s="74" t="str">
        <f aca="false">IF($BL347&lt;&gt;Constants!$B$4,"",IF(OR(NOT($AL347),NOT(ISNUMBER($BA347))),0,CHOOSE($BA347,Constants!$B$13,Constants!$B$14,Constants!$B$15,Constants!$B$16)))</f>
        <v/>
      </c>
      <c r="BR347" s="74" t="str">
        <f aca="false">IF($BL347&lt;&gt;Constants!$B$4,"",IF(NOT($AL347),0,Constants!$B$20*$BB347))</f>
        <v/>
      </c>
      <c r="BS347" s="74" t="str">
        <f aca="false">IF($BL347&lt;&gt;Constants!$B$4,"",IF(AND($AL347,$BD347,$BE347),Constants!$B$22,0))</f>
        <v/>
      </c>
      <c r="BT347" s="74" t="str">
        <f aca="false">IF($BL347&lt;&gt;Constants!$B$4,"",IF(OR(NOT($AL347),NOT($BD347)),0,IF($BJ347&gt;=2*$AH$9,0,Constants!$B$23*INT(ROUND(MIN($BJ347,$AH$9),6)))))</f>
        <v/>
      </c>
      <c r="BU347" s="74" t="str">
        <f aca="false">IF($BL347&lt;&gt;Constants!$B$4,"",IF(NOT($AL347),0,Constants!$B$24*INT(ROUND(MIN($BC347,$AH$9),6))))</f>
        <v/>
      </c>
      <c r="BV347" s="74" t="str">
        <f aca="false">IF($BL347&lt;&gt;Constants!$B$4,"",IF(AND($AL347,$BN347=0),Constants!$B$25,0))</f>
        <v/>
      </c>
      <c r="BW347" s="74" t="str">
        <f aca="false">IF($BL347&lt;&gt;Constants!$B$4,"",MIN(Constants!$B$29,MAX(0,Constants!$B$27*Constants!$B$28*INT(ROUND((Constants!$B$26-$AN347)/Constants!$B$28,6))))+MIN(Constants!$B$29,MAX(0,Constants!$B$27*Constants!$B$28*INT(ROUND((Constants!$B$26-$AO347)/Constants!$B$28,6))))+MIN(Constants!$B$29,MAX(0,Constants!$B$27*Constants!$B$28*INT(ROUND((Constants!$B$26-$AP347)/Constants!$B$28,6)))))</f>
        <v/>
      </c>
      <c r="BX347" s="74" t="str">
        <f aca="false">IF($BL347&lt;&gt;Constants!$B$4,"",IF(NOT($AL347),0,Constants!$B$31*INT(ROUND(MAX(0,MIN($BJ347,2*$AH$9)-$AH$9),6))))</f>
        <v/>
      </c>
      <c r="BY347" s="74" t="str">
        <f aca="false">IF($BL347&lt;&gt;Constants!$B$4,"",Constants!$B$32*(($AN347&gt;Constants!$B$26)+($AO347&gt;Constants!$B$26)+($AP347&gt;Constants!$B$26)))</f>
        <v/>
      </c>
      <c r="BZ347" s="74" t="str">
        <f aca="false">IF($BL347&lt;&gt;Constants!$B$4,"",IF(OR(NOT($AL347),$AQ347),0,Constants!$B$33))</f>
        <v/>
      </c>
      <c r="CA347" s="74" t="str">
        <f aca="false">IF($BL347&lt;&gt;Constants!$B$4,"",Constants!$B$34*$BN347)</f>
        <v/>
      </c>
      <c r="CB347" s="74" t="str">
        <f aca="false">IF($BL347&lt;&gt;Constants!$B$4,"",IF(OR(NOT($AL347),$BH347),0,Constants!$B$36))</f>
        <v/>
      </c>
      <c r="CC347" s="74" t="str">
        <f aca="false">IF($BL347&lt;&gt;Constants!$B$4,"",IF(OR(NOT($AL347),$BG347),0,Constants!$B$37))</f>
        <v/>
      </c>
      <c r="CD347" s="74" t="str">
        <f aca="false">IF($BL347&lt;&gt;Constants!$B$4,"",SUM($BX347:$CC347))</f>
        <v/>
      </c>
      <c r="CE347" s="74" t="str">
        <f aca="false">IF(ISBLANK($C347),"",IF($BL347&lt;&gt;Constants!$B$4,$BL347,SUM($BO347:$BW347)-$CD347))</f>
        <v/>
      </c>
      <c r="CF347" s="74" t="str">
        <f aca="false">IF(ISBLANK($C347),"",IF($BL347&lt;&gt;Constants!$B$4,$BL347,RANK($CE347,$CE$9:$CE$508)))</f>
        <v/>
      </c>
      <c r="CG347" s="74" t="str">
        <f aca="false">IF(ISBLANK($C347),"",IF($BL347&lt;&gt;Constants!$B$4,$BL347,COUNTIFS($BM$9:$BM$508,"&lt;"&amp;$BM347)+COUNTIFS($BM$9:$BM$508,$BM347,$CF$9:$CF$508,"&lt;"&amp;$CF347)+1))</f>
        <v/>
      </c>
      <c r="CH347" s="74" t="str">
        <f aca="false">IF(ISBLANK($C347),"",IF($BL347&lt;&gt;Constants!$B$4,$BL347,RANK($CD347,$CD$9:$CD$508,1)))</f>
        <v/>
      </c>
      <c r="CI347" s="74" t="str">
        <f aca="false">IF($BL347&lt;&gt;Constants!$B$4,"",$AN347+$AO347+$AP347)</f>
        <v/>
      </c>
      <c r="CJ347" s="74" t="str">
        <f aca="false">IF(ISBLANK($C347),"",IF($BL347&lt;&gt;Constants!$B$4,$BL347,RANK($CI347,$CI$9:$CI$508,1)))</f>
        <v/>
      </c>
      <c r="CK347" s="74" t="str">
        <f aca="false">IF(ISBLANK($C347),"",IF($BL347&lt;&gt;Constants!$B$4,$BL347,COUNTIFS($BM$9:$BM$508,"&lt;"&amp;$BM347)+COUNTIFS($BM$9:$BM$508,$BM347,$CF$9:$CF$508,"&lt;"&amp;$CF347)+COUNTIFS($BM$9:$BM$508,$BM347,$CF$9:$CF$508,$CF347,$CH$9:$CH$508,"&lt;"&amp;$CH347)+COUNTIFS($BM$9:$BM$508,$BM347,$CF$9:$CF$508,$CF347,$CH$9:$CH$508,$CH347,$CJ$9:$CJ$508,"&lt;"&amp;$CJ347)+1))</f>
        <v/>
      </c>
      <c r="CL347" s="74" t="str">
        <f aca="false">IF(ISBLANK($C347),"",IF($BL347&lt;&gt;Constants!$B$4,$BL347,$CG347-$CK347))</f>
        <v/>
      </c>
      <c r="CM347" s="74" t="str">
        <f aca="false">IF(ISBLANK($C347),"",IF(NOT($AL347),"",IF(ISBLANK($D$7),$CM$5,IF(NOT(ISNUMBER($D$7)),$CM$6,""))))</f>
        <v/>
      </c>
      <c r="CN347" s="74" t="str">
        <f aca="false">IF(ISBLANK($C347),"",OR($AN347="",$AO347="",$AP347=""))</f>
        <v/>
      </c>
      <c r="CO347" s="74" t="str">
        <f aca="false">IF(ISBLANK($C347),"",AND($AL347,$BA347=""))</f>
        <v/>
      </c>
      <c r="CP347" s="74" t="str">
        <f aca="false">IF(ISBLANK($C347),"",AND($AL347,$BB347=""))</f>
        <v/>
      </c>
      <c r="CQ347" s="74" t="str">
        <f aca="false">IF(ISBLANK($C347),"",AND($AL347,$BC347=""))</f>
        <v/>
      </c>
      <c r="CR347" s="74" t="str">
        <f aca="false">IF(ISBLANK($C347),"",AND($AL347,$BF347=""))</f>
        <v/>
      </c>
      <c r="CS347" s="74" t="str">
        <f aca="false">IF(ISBLANK($C347),"",AND($AL347,$BJ347=""))</f>
        <v/>
      </c>
      <c r="CT347" s="75"/>
      <c r="CU347" s="76"/>
      <c r="CV347" s="79" t="str">
        <f aca="false">IF(ISBLANK($C347),"",IF($BL347=Constants!$B$8,$CM347,""))</f>
        <v/>
      </c>
      <c r="CW347" s="76" t="str">
        <f aca="false">IF(ISBLANK($C347),"",IF($BL347&lt;&gt;Constants!$B$4,"",$BO347+$BP347))</f>
        <v/>
      </c>
      <c r="CX347" s="78" t="str">
        <f aca="false">IF(ISBLANK($C347),"",IF($BL347&lt;&gt;Constants!$B$4,"",$BQ347+$BR347+$BS347))</f>
        <v/>
      </c>
      <c r="CY347" s="78" t="str">
        <f aca="false">IF(ISBLANK($C347),"",IF($BL347&lt;&gt;Constants!$B$4,"",$BT347))</f>
        <v/>
      </c>
      <c r="CZ347" s="78" t="str">
        <f aca="false">IF(ISBLANK($C347),"",IF($BL347&lt;&gt;Constants!$B$4,"",$BU347+$BV347))</f>
        <v/>
      </c>
      <c r="DA347" s="78" t="str">
        <f aca="false">IF(ISBLANK($C347),"",IF($BL347&lt;&gt;Constants!$B$4,"",$BW347))</f>
        <v/>
      </c>
      <c r="DB347" s="78" t="str">
        <f aca="false">IF(ISBLANK($C347),"",IF($BL347&lt;&gt;Constants!$B$4,"",-$CD347))</f>
        <v/>
      </c>
      <c r="DC347" s="79" t="str">
        <f aca="false">IF(ISBLANK($C347),"",$CE347)</f>
        <v/>
      </c>
      <c r="DD347" s="80" t="str">
        <f aca="false">IF(ISBLANK($C347),"",$BM347)</f>
        <v/>
      </c>
      <c r="DE347" s="78" t="str">
        <f aca="false">IF(ISBLANK($C347),"",$CL347)</f>
        <v/>
      </c>
      <c r="DF347" s="78" t="str">
        <f aca="false">IF(ISBLANK($C347),"",$CK347)</f>
        <v/>
      </c>
      <c r="DG347" s="81" t="str">
        <f aca="false">IF(ISBLANK($C347),"",IF($DF347=Constants!$B$7,COUNTA($C$9:$C$508)+2,IF($DF347=Constants!$B$6,COUNTA($C$9:$C$508)+1,IF($DF347=Constants!$B$5,COUNTA($C$9:$C$508),$DF347))))</f>
        <v/>
      </c>
      <c r="DH347" s="7"/>
      <c r="DI347" s="82" t="n">
        <f aca="false">IF(OR(ISNUMBER($DF347),$DF347=Constants!$B$7,$DF347=Constants!$B$5,$DF347=Constants!$B$6),1,0)</f>
        <v>0</v>
      </c>
      <c r="DJ347" s="82" t="n">
        <v>339</v>
      </c>
      <c r="DK347" s="82" t="str">
        <f aca="false">IF(ISBLANK($C347),"",IF(ISNUMBER($DG347),$DG347+ROW($B347)/1000,""))</f>
        <v/>
      </c>
      <c r="DL347" s="82" t="str">
        <f aca="false">IF(ISNUMBER($DK347),RANK($DK347,$DK$9:$DK$508,1),"")</f>
        <v/>
      </c>
      <c r="DM347" s="82" t="str">
        <f aca="false">IF(ISBLANK($C347),"",$B347)</f>
        <v/>
      </c>
      <c r="DN347" s="82" t="str">
        <f aca="false">IF(ISBLANK($C347),"",$C347)</f>
        <v/>
      </c>
      <c r="DO347" s="82" t="str">
        <f aca="false">IF(ISBLANK($C347),"",$D347)</f>
        <v/>
      </c>
      <c r="DP347" s="83" t="str">
        <f aca="false">$DD347</f>
        <v/>
      </c>
      <c r="DQ347" s="84" t="str">
        <f aca="false">$DC347</f>
        <v/>
      </c>
      <c r="DR347" s="82" t="str">
        <f aca="false">IF(ISBLANK($C347),"",$DF347)</f>
        <v/>
      </c>
      <c r="DS347" s="85" t="str">
        <f aca="false">IF($DJ347&gt;$DI$8,"",VLOOKUP($DJ347,$DL$9:$DR$508,7,FALSE()))</f>
        <v/>
      </c>
      <c r="DT347" s="86" t="str">
        <f aca="false">IF($DJ347&gt;$DI$8,"",VLOOKUP($DJ347,$DL$9:$DR$508,2,FALSE()))</f>
        <v/>
      </c>
      <c r="DU347" s="86" t="str">
        <f aca="false">IF($DJ347&gt;$DI$8,"",VLOOKUP($DJ347,$DL$9:$DR$508,3,FALSE()))</f>
        <v/>
      </c>
      <c r="DV347" s="86" t="str">
        <f aca="false">IF($DJ347&gt;$DI$8,"",VLOOKUP($DJ347,$DL$9:$DR$508,4,FALSE()))</f>
        <v/>
      </c>
      <c r="DW347" s="86" t="str">
        <f aca="false">IF($DJ347&gt;$DI$8,"",VLOOKUP($DJ347,$DL$9:$DR$508,5,FALSE()))</f>
        <v/>
      </c>
      <c r="DX347" s="87" t="str">
        <f aca="false">IF($DJ347&gt;$DI$8,"",VLOOKUP($DJ347,$DL$9:$DR$508,6,FALSE()))</f>
        <v/>
      </c>
      <c r="DY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130"/>
      <c r="N348" s="130"/>
      <c r="O348" s="135"/>
      <c r="P348" s="135"/>
      <c r="Q348" s="130"/>
      <c r="R348" s="130"/>
      <c r="S348" s="130"/>
      <c r="T348" s="130"/>
      <c r="U348" s="135"/>
      <c r="V348" s="130"/>
      <c r="W348" s="96"/>
      <c r="X348" s="130"/>
      <c r="Y348" s="130"/>
      <c r="Z348" s="96"/>
      <c r="AA348" s="96"/>
      <c r="AB348" s="130"/>
      <c r="AC348" s="130"/>
      <c r="AD348" s="130"/>
      <c r="AE348" s="97"/>
      <c r="AF348" s="130"/>
      <c r="AG348" s="99"/>
      <c r="AH348" s="100"/>
      <c r="AI348" s="100"/>
      <c r="AJ348" s="100" t="str">
        <f aca="false">IF(ISBLANK($C348),"",IF($E348=Constants!$B$2,TRUE(),IF($E348=Constants!$B$3,FALSE(),TRUE())))</f>
        <v/>
      </c>
      <c r="AK348" s="100" t="str">
        <f aca="false">IF(ISBLANK($C348),"",IF($F348=Constants!$B$2,TRUE(),IF($F348=Constants!$B$3,FALSE(),FALSE())))</f>
        <v/>
      </c>
      <c r="AL348" s="100" t="str">
        <f aca="false">IF(ISBLANK($C348),"",IF($G348=Constants!$B$2,TRUE(),IF($G348=Constants!$B$3,FALSE(),TRUE())))</f>
        <v/>
      </c>
      <c r="AM348" s="100" t="str">
        <f aca="false">IF(ISBLANK($C348),"",IF($H348=Constants!$B$2,TRUE(),IF($H348=Constants!$B$3,FALSE(),TRUE())))</f>
        <v/>
      </c>
      <c r="AN348" s="100" t="str">
        <f aca="false">IF(ISBLANK($C348),"",IF(ISNUMBER($I348),IF($I348&gt;=0,$I348,""),""))</f>
        <v/>
      </c>
      <c r="AO348" s="100" t="str">
        <f aca="false">IF(ISBLANK($C348),"",IF(ISNUMBER($J348),IF($J348&gt;=0,$J348,""),""))</f>
        <v/>
      </c>
      <c r="AP348" s="100" t="str">
        <f aca="false">IF(ISBLANK($C348),"",IF(ISNUMBER($K348),IF($K348&gt;=0,$K348,""),""))</f>
        <v/>
      </c>
      <c r="AQ348" s="100" t="str">
        <f aca="false">IF(ISBLANK($C348),"",IF($L348=Constants!$B$2,TRUE(),IF($L348=Constants!$B$3,FALSE(),TRUE())))</f>
        <v/>
      </c>
      <c r="AR348" s="100" t="str">
        <f aca="false">IF(ISBLANK($C348),"",IF($M348=Constants!$B$2,TRUE(),IF($M348=Constants!$B$3,FALSE(),TRUE())))</f>
        <v/>
      </c>
      <c r="AS348" s="100" t="str">
        <f aca="false">IF(ISBLANK($C348),"",IF($N348=Constants!$B$2,TRUE(),IF($N348=Constants!$B$3,FALSE(),FALSE())))</f>
        <v/>
      </c>
      <c r="AT348" s="100" t="str">
        <f aca="false">IF(ISBLANK($C348),"",IF($O348=Constants!$B$2,TRUE(),IF($O348=Constants!$B$3,FALSE(),TRUE())))</f>
        <v/>
      </c>
      <c r="AU348" s="100" t="str">
        <f aca="false">IF(ISBLANK($C348),"",IF($P348=Constants!$B$2,TRUE(),IF($P348=Constants!$B$3,FALSE(),TRUE())))</f>
        <v/>
      </c>
      <c r="AV348" s="100" t="str">
        <f aca="false">IF(ISBLANK($C348),"",IF($Q348=Constants!$B$2,TRUE(),IF($Q348=Constants!$B$3,FALSE(),FALSE())))</f>
        <v/>
      </c>
      <c r="AW348" s="100" t="str">
        <f aca="false">IF(ISBLANK($C348),"",IF($R348=Constants!$B$2,TRUE(),IF($R348=Constants!$B$3,FALSE(),FALSE())))</f>
        <v/>
      </c>
      <c r="AX348" s="100" t="str">
        <f aca="false">IF(ISBLANK($C348),"",IF($S348=Constants!$B$2,TRUE(),IF($S348=Constants!$B$3,FALSE(),FALSE())))</f>
        <v/>
      </c>
      <c r="AY348" s="100" t="str">
        <f aca="false">IF(ISBLANK($C348),"",IF($T348=Constants!$B$2,TRUE(),IF($T348=Constants!$B$3,FALSE(),FALSE())))</f>
        <v/>
      </c>
      <c r="AZ348" s="100" t="str">
        <f aca="false">IF(ISBLANK($C348),"",IF($U348=Constants!$B$2,TRUE(),IF($U348=Constants!$B$3,FALSE(),FALSE())))</f>
        <v/>
      </c>
      <c r="BA348" s="100" t="str">
        <f aca="false">IF(ISBLANK($C348),"",IF(OR($V348&amp;""="1",$V348&amp;""="2",$V348&amp;""="3",$V348&amp;""="4"),VALUE($V348&amp;""),IF($V348=Constants!$B$12,Constants!$B$12,"")))</f>
        <v/>
      </c>
      <c r="BB348" s="100" t="str">
        <f aca="false">IF(ISBLANK($C348),"",IF(ISBLANK($W348),0,IF(ISNUMBER($W348),IF(AND($W348&gt;=0,$W348&lt;=Constants!$B$21,$W348=INT($W348)),$W348,""),"")))</f>
        <v/>
      </c>
      <c r="BC348" s="100" t="str">
        <f aca="false">IF(ISBLANK($C348),"",IF(ISBLANK($X348),0,IF(ISNUMBER($X348),IF($X348&gt;=0,$X348,""),"")))</f>
        <v/>
      </c>
      <c r="BD348" s="100" t="str">
        <f aca="false">IF(ISBLANK($C348),"",IF($Y348=Constants!$B$2,TRUE(),IF($Y348=Constants!$B$3,FALSE(),TRUE())))</f>
        <v/>
      </c>
      <c r="BE348" s="100" t="str">
        <f aca="false">IF(ISBLANK($C348),"",IF($Z348=Constants!$B$2,TRUE(),IF($Z348=Constants!$B$3,FALSE(),FALSE())))</f>
        <v/>
      </c>
      <c r="BF348" s="100" t="str">
        <f aca="false">IF(ISBLANK($C348),"",IF(ISBLANK($AA348),0,IF(ISNUMBER($AA348),IF(AND($AA348&gt;=0,$AA348&lt;=Constants!$B$35,$AA348=INT($AA348)),$AA348,""),"")))</f>
        <v/>
      </c>
      <c r="BG348" s="100" t="str">
        <f aca="false">IF(ISBLANK($C348),"",IF($AB348=Constants!$B$2,TRUE(),IF($AB348=Constants!$B$3,FALSE(),TRUE())))</f>
        <v/>
      </c>
      <c r="BH348" s="100" t="str">
        <f aca="false">IF(ISBLANK($C348),"",IF($AC348=Constants!$B$2,TRUE(),IF($AC348=Constants!$B$3,FALSE(),TRUE())))</f>
        <v/>
      </c>
      <c r="BI348" s="100" t="str">
        <f aca="false">IF(ISBLANK($C348),"",IF($AD348=Constants!$B$2,TRUE(),IF($AD348=Constants!$B$3,FALSE(),TRUE())))</f>
        <v/>
      </c>
      <c r="BJ348" s="100" t="str">
        <f aca="false">IF(ISBLANK($C348),"",IF(ISNUMBER($AE348),IF($AE348&gt;=0,$AE348,""),""))</f>
        <v/>
      </c>
      <c r="BK348" s="100" t="str">
        <f aca="false">IF(ISBLANK($C348),"",IF($AF348=Constants!$B$2,TRUE(),IF($AF348=Constants!$B$3,FALSE(),FALSE())))</f>
        <v/>
      </c>
      <c r="BL348" s="99" t="str">
        <f aca="false">IF(ISBLANK($C348),"",IF($BK348,Constants!$B$7,IF(COUNTA($E348:$AE348)=0,Constants!$B$6,IF(OR(COUNTA($G348:$AE348)=0,NOT($AM348),$AS348),Constants!$B$5,IF(OR($CM348&lt;&gt;"",$CN348,$CO348,$CP348,$CQ348,$CR348,$CS348),Constants!$B$8,Constants!$B$4)))))</f>
        <v/>
      </c>
      <c r="BM348" s="100" t="str">
        <f aca="false">IF(ISBLANK($C348),"",IF($BL348&lt;&gt;Constants!$B$4,$BL348,IF(OR(NOT($AJ348),NOT($AL348),NOT($AT348)),Constants!$B$11,IF(OR(NOT($AR348),NOT($AU348),NOT($BI348),MAX($AN348,$AO348,$AP348)&gt;Constants!$B$30),Constants!$B$10,Constants!$B$9))))</f>
        <v/>
      </c>
      <c r="BN348" s="100" t="str">
        <f aca="false">IF($BL348&lt;&gt;Constants!$B$4,"",IF(NOT($AL348),0,MIN(Constants!$B$35,$BF348)))</f>
        <v/>
      </c>
      <c r="BO348" s="100" t="str">
        <f aca="false">IF($BL348&lt;&gt;Constants!$B$4,"",IF(NOT($AL348),0,IF($AW348,Constants!$B$18,IF($AV348,Constants!$B$17,0))))</f>
        <v/>
      </c>
      <c r="BP348" s="100" t="str">
        <f aca="false">IF($BL348&lt;&gt;Constants!$B$4,"",IF(NOT($AL348),0,Constants!$B$19*($AK348+$AX348+$AY348+$AZ348)))</f>
        <v/>
      </c>
      <c r="BQ348" s="100" t="str">
        <f aca="false">IF($BL348&lt;&gt;Constants!$B$4,"",IF(OR(NOT($AL348),NOT(ISNUMBER($BA348))),0,CHOOSE($BA348,Constants!$B$13,Constants!$B$14,Constants!$B$15,Constants!$B$16)))</f>
        <v/>
      </c>
      <c r="BR348" s="100" t="str">
        <f aca="false">IF($BL348&lt;&gt;Constants!$B$4,"",IF(NOT($AL348),0,Constants!$B$20*$BB348))</f>
        <v/>
      </c>
      <c r="BS348" s="100" t="str">
        <f aca="false">IF($BL348&lt;&gt;Constants!$B$4,"",IF(AND($AL348,$BD348,$BE348),Constants!$B$22,0))</f>
        <v/>
      </c>
      <c r="BT348" s="100" t="str">
        <f aca="false">IF($BL348&lt;&gt;Constants!$B$4,"",IF(OR(NOT($AL348),NOT($BD348)),0,IF($BJ348&gt;=2*$AH$9,0,Constants!$B$23*INT(ROUND(MIN($BJ348,$AH$9),6)))))</f>
        <v/>
      </c>
      <c r="BU348" s="100" t="str">
        <f aca="false">IF($BL348&lt;&gt;Constants!$B$4,"",IF(NOT($AL348),0,Constants!$B$24*INT(ROUND(MIN($BC348,$AH$9),6))))</f>
        <v/>
      </c>
      <c r="BV348" s="100" t="str">
        <f aca="false">IF($BL348&lt;&gt;Constants!$B$4,"",IF(AND($AL348,$BN348=0),Constants!$B$25,0))</f>
        <v/>
      </c>
      <c r="BW348" s="100" t="str">
        <f aca="false">IF($BL348&lt;&gt;Constants!$B$4,"",MIN(Constants!$B$29,MAX(0,Constants!$B$27*Constants!$B$28*INT(ROUND((Constants!$B$26-$AN348)/Constants!$B$28,6))))+MIN(Constants!$B$29,MAX(0,Constants!$B$27*Constants!$B$28*INT(ROUND((Constants!$B$26-$AO348)/Constants!$B$28,6))))+MIN(Constants!$B$29,MAX(0,Constants!$B$27*Constants!$B$28*INT(ROUND((Constants!$B$26-$AP348)/Constants!$B$28,6)))))</f>
        <v/>
      </c>
      <c r="BX348" s="100" t="str">
        <f aca="false">IF($BL348&lt;&gt;Constants!$B$4,"",IF(NOT($AL348),0,Constants!$B$31*INT(ROUND(MAX(0,MIN($BJ348,2*$AH$9)-$AH$9),6))))</f>
        <v/>
      </c>
      <c r="BY348" s="100" t="str">
        <f aca="false">IF($BL348&lt;&gt;Constants!$B$4,"",Constants!$B$32*(($AN348&gt;Constants!$B$26)+($AO348&gt;Constants!$B$26)+($AP348&gt;Constants!$B$26)))</f>
        <v/>
      </c>
      <c r="BZ348" s="100" t="str">
        <f aca="false">IF($BL348&lt;&gt;Constants!$B$4,"",IF(OR(NOT($AL348),$AQ348),0,Constants!$B$33))</f>
        <v/>
      </c>
      <c r="CA348" s="100" t="str">
        <f aca="false">IF($BL348&lt;&gt;Constants!$B$4,"",Constants!$B$34*$BN348)</f>
        <v/>
      </c>
      <c r="CB348" s="100" t="str">
        <f aca="false">IF($BL348&lt;&gt;Constants!$B$4,"",IF(OR(NOT($AL348),$BH348),0,Constants!$B$36))</f>
        <v/>
      </c>
      <c r="CC348" s="100" t="str">
        <f aca="false">IF($BL348&lt;&gt;Constants!$B$4,"",IF(OR(NOT($AL348),$BG348),0,Constants!$B$37))</f>
        <v/>
      </c>
      <c r="CD348" s="100" t="str">
        <f aca="false">IF($BL348&lt;&gt;Constants!$B$4,"",SUM($BX348:$CC348))</f>
        <v/>
      </c>
      <c r="CE348" s="100" t="str">
        <f aca="false">IF(ISBLANK($C348),"",IF($BL348&lt;&gt;Constants!$B$4,$BL348,SUM($BO348:$BW348)-$CD348))</f>
        <v/>
      </c>
      <c r="CF348" s="100" t="str">
        <f aca="false">IF(ISBLANK($C348),"",IF($BL348&lt;&gt;Constants!$B$4,$BL348,RANK($CE348,$CE$9:$CE$508)))</f>
        <v/>
      </c>
      <c r="CG348" s="100" t="str">
        <f aca="false">IF(ISBLANK($C348),"",IF($BL348&lt;&gt;Constants!$B$4,$BL348,COUNTIFS($BM$9:$BM$508,"&lt;"&amp;$BM348)+COUNTIFS($BM$9:$BM$508,$BM348,$CF$9:$CF$508,"&lt;"&amp;$CF348)+1))</f>
        <v/>
      </c>
      <c r="CH348" s="100" t="str">
        <f aca="false">IF(ISBLANK($C348),"",IF($BL348&lt;&gt;Constants!$B$4,$BL348,RANK($CD348,$CD$9:$CD$508,1)))</f>
        <v/>
      </c>
      <c r="CI348" s="100" t="str">
        <f aca="false">IF($BL348&lt;&gt;Constants!$B$4,"",$AN348+$AO348+$AP348)</f>
        <v/>
      </c>
      <c r="CJ348" s="100" t="str">
        <f aca="false">IF(ISBLANK($C348),"",IF($BL348&lt;&gt;Constants!$B$4,$BL348,RANK($CI348,$CI$9:$CI$508,1)))</f>
        <v/>
      </c>
      <c r="CK348" s="100" t="str">
        <f aca="false">IF(ISBLANK($C348),"",IF($BL348&lt;&gt;Constants!$B$4,$BL348,COUNTIFS($BM$9:$BM$508,"&lt;"&amp;$BM348)+COUNTIFS($BM$9:$BM$508,$BM348,$CF$9:$CF$508,"&lt;"&amp;$CF348)+COUNTIFS($BM$9:$BM$508,$BM348,$CF$9:$CF$508,$CF348,$CH$9:$CH$508,"&lt;"&amp;$CH348)+COUNTIFS($BM$9:$BM$508,$BM348,$CF$9:$CF$508,$CF348,$CH$9:$CH$508,$CH348,$CJ$9:$CJ$508,"&lt;"&amp;$CJ348)+1))</f>
        <v/>
      </c>
      <c r="CL348" s="100" t="str">
        <f aca="false">IF(ISBLANK($C348),"",IF($BL348&lt;&gt;Constants!$B$4,$BL348,$CG348-$CK348))</f>
        <v/>
      </c>
      <c r="CM348" s="100" t="str">
        <f aca="false">IF(ISBLANK($C348),"",IF(NOT($AL348),"",IF(ISBLANK($D$7),$CM$5,IF(NOT(ISNUMBER($D$7)),$CM$6,""))))</f>
        <v/>
      </c>
      <c r="CN348" s="100" t="str">
        <f aca="false">IF(ISBLANK($C348),"",OR($AN348="",$AO348="",$AP348=""))</f>
        <v/>
      </c>
      <c r="CO348" s="100" t="str">
        <f aca="false">IF(ISBLANK($C348),"",AND($AL348,$BA348=""))</f>
        <v/>
      </c>
      <c r="CP348" s="100" t="str">
        <f aca="false">IF(ISBLANK($C348),"",AND($AL348,$BB348=""))</f>
        <v/>
      </c>
      <c r="CQ348" s="100" t="str">
        <f aca="false">IF(ISBLANK($C348),"",AND($AL348,$BC348=""))</f>
        <v/>
      </c>
      <c r="CR348" s="100" t="str">
        <f aca="false">IF(ISBLANK($C348),"",AND($AL348,$BF348=""))</f>
        <v/>
      </c>
      <c r="CS348" s="100" t="str">
        <f aca="false">IF(ISBLANK($C348),"",AND($AL348,$BJ348=""))</f>
        <v/>
      </c>
      <c r="CT348" s="101"/>
      <c r="CU348" s="102"/>
      <c r="CV348" s="103" t="str">
        <f aca="false">IF(ISBLANK($C348),"",IF($BL348=Constants!$B$8,$CM348,""))</f>
        <v/>
      </c>
      <c r="CW348" s="102" t="str">
        <f aca="false">IF(ISBLANK($C348),"",IF($BL348&lt;&gt;Constants!$B$4,"",$BO348+$BP348))</f>
        <v/>
      </c>
      <c r="CX348" s="104" t="str">
        <f aca="false">IF(ISBLANK($C348),"",IF($BL348&lt;&gt;Constants!$B$4,"",$BQ348+$BR348+$BS348))</f>
        <v/>
      </c>
      <c r="CY348" s="104" t="str">
        <f aca="false">IF(ISBLANK($C348),"",IF($BL348&lt;&gt;Constants!$B$4,"",$BT348))</f>
        <v/>
      </c>
      <c r="CZ348" s="104" t="str">
        <f aca="false">IF(ISBLANK($C348),"",IF($BL348&lt;&gt;Constants!$B$4,"",$BU348+$BV348))</f>
        <v/>
      </c>
      <c r="DA348" s="104" t="str">
        <f aca="false">IF(ISBLANK($C348),"",IF($BL348&lt;&gt;Constants!$B$4,"",$BW348))</f>
        <v/>
      </c>
      <c r="DB348" s="104" t="str">
        <f aca="false">IF(ISBLANK($C348),"",IF($BL348&lt;&gt;Constants!$B$4,"",-$CD348))</f>
        <v/>
      </c>
      <c r="DC348" s="103" t="str">
        <f aca="false">IF(ISBLANK($C348),"",$CE348)</f>
        <v/>
      </c>
      <c r="DD348" s="105" t="str">
        <f aca="false">IF(ISBLANK($C348),"",$BM348)</f>
        <v/>
      </c>
      <c r="DE348" s="104" t="str">
        <f aca="false">IF(ISBLANK($C348),"",$CL348)</f>
        <v/>
      </c>
      <c r="DF348" s="104" t="str">
        <f aca="false">IF(ISBLANK($C348),"",$CK348)</f>
        <v/>
      </c>
      <c r="DG348" s="106" t="str">
        <f aca="false">IF(ISBLANK($C348),"",IF($DF348=Constants!$B$7,COUNTA($C$9:$C$508)+2,IF($DF348=Constants!$B$6,COUNTA($C$9:$C$508)+1,IF($DF348=Constants!$B$5,COUNTA($C$9:$C$508),$DF348))))</f>
        <v/>
      </c>
      <c r="DH348" s="7"/>
      <c r="DI348" s="107" t="n">
        <f aca="false">IF(OR(ISNUMBER($DF348),$DF348=Constants!$B$7,$DF348=Constants!$B$5,$DF348=Constants!$B$6),1,0)</f>
        <v>0</v>
      </c>
      <c r="DJ348" s="107" t="n">
        <v>340</v>
      </c>
      <c r="DK348" s="107" t="str">
        <f aca="false">IF(ISBLANK($C348),"",IF(ISNUMBER($DG348),$DG348+ROW($B348)/1000,""))</f>
        <v/>
      </c>
      <c r="DL348" s="107" t="str">
        <f aca="false">IF(ISNUMBER($DK348),RANK($DK348,$DK$9:$DK$508,1),"")</f>
        <v/>
      </c>
      <c r="DM348" s="107" t="str">
        <f aca="false">IF(ISBLANK($C348),"",$B348)</f>
        <v/>
      </c>
      <c r="DN348" s="107" t="str">
        <f aca="false">IF(ISBLANK($C348),"",$C348)</f>
        <v/>
      </c>
      <c r="DO348" s="107" t="str">
        <f aca="false">IF(ISBLANK($C348),"",$D348)</f>
        <v/>
      </c>
      <c r="DP348" s="108" t="str">
        <f aca="false">$DD348</f>
        <v/>
      </c>
      <c r="DQ348" s="109" t="str">
        <f aca="false">$DC348</f>
        <v/>
      </c>
      <c r="DR348" s="107" t="str">
        <f aca="false">IF(ISBLANK($C348),"",$DF348)</f>
        <v/>
      </c>
      <c r="DS348" s="110" t="str">
        <f aca="false">IF($DJ348&gt;$DI$8,"",VLOOKUP($DJ348,$DL$9:$DR$508,7,FALSE()))</f>
        <v/>
      </c>
      <c r="DT348" s="111" t="str">
        <f aca="false">IF($DJ348&gt;$DI$8,"",VLOOKUP($DJ348,$DL$9:$DR$508,2,FALSE()))</f>
        <v/>
      </c>
      <c r="DU348" s="111" t="str">
        <f aca="false">IF($DJ348&gt;$DI$8,"",VLOOKUP($DJ348,$DL$9:$DR$508,3,FALSE()))</f>
        <v/>
      </c>
      <c r="DV348" s="111" t="str">
        <f aca="false">IF($DJ348&gt;$DI$8,"",VLOOKUP($DJ348,$DL$9:$DR$508,4,FALSE()))</f>
        <v/>
      </c>
      <c r="DW348" s="111" t="str">
        <f aca="false">IF($DJ348&gt;$DI$8,"",VLOOKUP($DJ348,$DL$9:$DR$508,5,FALSE()))</f>
        <v/>
      </c>
      <c r="DX348" s="112" t="str">
        <f aca="false">IF($DJ348&gt;$DI$8,"",VLOOKUP($DJ348,$DL$9:$DR$508,6,FALSE()))</f>
        <v/>
      </c>
      <c r="DY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130"/>
      <c r="N349" s="130"/>
      <c r="O349" s="135"/>
      <c r="P349" s="135"/>
      <c r="Q349" s="130"/>
      <c r="R349" s="130"/>
      <c r="S349" s="130"/>
      <c r="T349" s="130"/>
      <c r="U349" s="135"/>
      <c r="V349" s="130"/>
      <c r="W349" s="96"/>
      <c r="X349" s="130"/>
      <c r="Y349" s="130"/>
      <c r="Z349" s="96"/>
      <c r="AA349" s="96"/>
      <c r="AB349" s="130"/>
      <c r="AC349" s="130"/>
      <c r="AD349" s="130"/>
      <c r="AE349" s="97"/>
      <c r="AF349" s="130"/>
      <c r="AG349" s="99"/>
      <c r="AH349" s="100"/>
      <c r="AI349" s="100"/>
      <c r="AJ349" s="100" t="str">
        <f aca="false">IF(ISBLANK($C349),"",IF($E349=Constants!$B$2,TRUE(),IF($E349=Constants!$B$3,FALSE(),TRUE())))</f>
        <v/>
      </c>
      <c r="AK349" s="100" t="str">
        <f aca="false">IF(ISBLANK($C349),"",IF($F349=Constants!$B$2,TRUE(),IF($F349=Constants!$B$3,FALSE(),FALSE())))</f>
        <v/>
      </c>
      <c r="AL349" s="100" t="str">
        <f aca="false">IF(ISBLANK($C349),"",IF($G349=Constants!$B$2,TRUE(),IF($G349=Constants!$B$3,FALSE(),TRUE())))</f>
        <v/>
      </c>
      <c r="AM349" s="100" t="str">
        <f aca="false">IF(ISBLANK($C349),"",IF($H349=Constants!$B$2,TRUE(),IF($H349=Constants!$B$3,FALSE(),TRUE())))</f>
        <v/>
      </c>
      <c r="AN349" s="100" t="str">
        <f aca="false">IF(ISBLANK($C349),"",IF(ISNUMBER($I349),IF($I349&gt;=0,$I349,""),""))</f>
        <v/>
      </c>
      <c r="AO349" s="100" t="str">
        <f aca="false">IF(ISBLANK($C349),"",IF(ISNUMBER($J349),IF($J349&gt;=0,$J349,""),""))</f>
        <v/>
      </c>
      <c r="AP349" s="100" t="str">
        <f aca="false">IF(ISBLANK($C349),"",IF(ISNUMBER($K349),IF($K349&gt;=0,$K349,""),""))</f>
        <v/>
      </c>
      <c r="AQ349" s="100" t="str">
        <f aca="false">IF(ISBLANK($C349),"",IF($L349=Constants!$B$2,TRUE(),IF($L349=Constants!$B$3,FALSE(),TRUE())))</f>
        <v/>
      </c>
      <c r="AR349" s="100" t="str">
        <f aca="false">IF(ISBLANK($C349),"",IF($M349=Constants!$B$2,TRUE(),IF($M349=Constants!$B$3,FALSE(),TRUE())))</f>
        <v/>
      </c>
      <c r="AS349" s="100" t="str">
        <f aca="false">IF(ISBLANK($C349),"",IF($N349=Constants!$B$2,TRUE(),IF($N349=Constants!$B$3,FALSE(),FALSE())))</f>
        <v/>
      </c>
      <c r="AT349" s="100" t="str">
        <f aca="false">IF(ISBLANK($C349),"",IF($O349=Constants!$B$2,TRUE(),IF($O349=Constants!$B$3,FALSE(),TRUE())))</f>
        <v/>
      </c>
      <c r="AU349" s="100" t="str">
        <f aca="false">IF(ISBLANK($C349),"",IF($P349=Constants!$B$2,TRUE(),IF($P349=Constants!$B$3,FALSE(),TRUE())))</f>
        <v/>
      </c>
      <c r="AV349" s="100" t="str">
        <f aca="false">IF(ISBLANK($C349),"",IF($Q349=Constants!$B$2,TRUE(),IF($Q349=Constants!$B$3,FALSE(),FALSE())))</f>
        <v/>
      </c>
      <c r="AW349" s="100" t="str">
        <f aca="false">IF(ISBLANK($C349),"",IF($R349=Constants!$B$2,TRUE(),IF($R349=Constants!$B$3,FALSE(),FALSE())))</f>
        <v/>
      </c>
      <c r="AX349" s="100" t="str">
        <f aca="false">IF(ISBLANK($C349),"",IF($S349=Constants!$B$2,TRUE(),IF($S349=Constants!$B$3,FALSE(),FALSE())))</f>
        <v/>
      </c>
      <c r="AY349" s="100" t="str">
        <f aca="false">IF(ISBLANK($C349),"",IF($T349=Constants!$B$2,TRUE(),IF($T349=Constants!$B$3,FALSE(),FALSE())))</f>
        <v/>
      </c>
      <c r="AZ349" s="100" t="str">
        <f aca="false">IF(ISBLANK($C349),"",IF($U349=Constants!$B$2,TRUE(),IF($U349=Constants!$B$3,FALSE(),FALSE())))</f>
        <v/>
      </c>
      <c r="BA349" s="100" t="str">
        <f aca="false">IF(ISBLANK($C349),"",IF(OR($V349&amp;""="1",$V349&amp;""="2",$V349&amp;""="3",$V349&amp;""="4"),VALUE($V349&amp;""),IF($V349=Constants!$B$12,Constants!$B$12,"")))</f>
        <v/>
      </c>
      <c r="BB349" s="100" t="str">
        <f aca="false">IF(ISBLANK($C349),"",IF(ISBLANK($W349),0,IF(ISNUMBER($W349),IF(AND($W349&gt;=0,$W349&lt;=Constants!$B$21,$W349=INT($W349)),$W349,""),"")))</f>
        <v/>
      </c>
      <c r="BC349" s="100" t="str">
        <f aca="false">IF(ISBLANK($C349),"",IF(ISBLANK($X349),0,IF(ISNUMBER($X349),IF($X349&gt;=0,$X349,""),"")))</f>
        <v/>
      </c>
      <c r="BD349" s="100" t="str">
        <f aca="false">IF(ISBLANK($C349),"",IF($Y349=Constants!$B$2,TRUE(),IF($Y349=Constants!$B$3,FALSE(),TRUE())))</f>
        <v/>
      </c>
      <c r="BE349" s="100" t="str">
        <f aca="false">IF(ISBLANK($C349),"",IF($Z349=Constants!$B$2,TRUE(),IF($Z349=Constants!$B$3,FALSE(),FALSE())))</f>
        <v/>
      </c>
      <c r="BF349" s="100" t="str">
        <f aca="false">IF(ISBLANK($C349),"",IF(ISBLANK($AA349),0,IF(ISNUMBER($AA349),IF(AND($AA349&gt;=0,$AA349&lt;=Constants!$B$35,$AA349=INT($AA349)),$AA349,""),"")))</f>
        <v/>
      </c>
      <c r="BG349" s="100" t="str">
        <f aca="false">IF(ISBLANK($C349),"",IF($AB349=Constants!$B$2,TRUE(),IF($AB349=Constants!$B$3,FALSE(),TRUE())))</f>
        <v/>
      </c>
      <c r="BH349" s="100" t="str">
        <f aca="false">IF(ISBLANK($C349),"",IF($AC349=Constants!$B$2,TRUE(),IF($AC349=Constants!$B$3,FALSE(),TRUE())))</f>
        <v/>
      </c>
      <c r="BI349" s="100" t="str">
        <f aca="false">IF(ISBLANK($C349),"",IF($AD349=Constants!$B$2,TRUE(),IF($AD349=Constants!$B$3,FALSE(),TRUE())))</f>
        <v/>
      </c>
      <c r="BJ349" s="100" t="str">
        <f aca="false">IF(ISBLANK($C349),"",IF(ISNUMBER($AE349),IF($AE349&gt;=0,$AE349,""),""))</f>
        <v/>
      </c>
      <c r="BK349" s="100" t="str">
        <f aca="false">IF(ISBLANK($C349),"",IF($AF349=Constants!$B$2,TRUE(),IF($AF349=Constants!$B$3,FALSE(),FALSE())))</f>
        <v/>
      </c>
      <c r="BL349" s="99" t="str">
        <f aca="false">IF(ISBLANK($C349),"",IF($BK349,Constants!$B$7,IF(COUNTA($E349:$AE349)=0,Constants!$B$6,IF(OR(COUNTA($G349:$AE349)=0,NOT($AM349),$AS349),Constants!$B$5,IF(OR($CM349&lt;&gt;"",$CN349,$CO349,$CP349,$CQ349,$CR349,$CS349),Constants!$B$8,Constants!$B$4)))))</f>
        <v/>
      </c>
      <c r="BM349" s="100" t="str">
        <f aca="false">IF(ISBLANK($C349),"",IF($BL349&lt;&gt;Constants!$B$4,$BL349,IF(OR(NOT($AJ349),NOT($AL349),NOT($AT349)),Constants!$B$11,IF(OR(NOT($AR349),NOT($AU349),NOT($BI349),MAX($AN349,$AO349,$AP349)&gt;Constants!$B$30),Constants!$B$10,Constants!$B$9))))</f>
        <v/>
      </c>
      <c r="BN349" s="100" t="str">
        <f aca="false">IF($BL349&lt;&gt;Constants!$B$4,"",IF(NOT($AL349),0,MIN(Constants!$B$35,$BF349)))</f>
        <v/>
      </c>
      <c r="BO349" s="100" t="str">
        <f aca="false">IF($BL349&lt;&gt;Constants!$B$4,"",IF(NOT($AL349),0,IF($AW349,Constants!$B$18,IF($AV349,Constants!$B$17,0))))</f>
        <v/>
      </c>
      <c r="BP349" s="100" t="str">
        <f aca="false">IF($BL349&lt;&gt;Constants!$B$4,"",IF(NOT($AL349),0,Constants!$B$19*($AK349+$AX349+$AY349+$AZ349)))</f>
        <v/>
      </c>
      <c r="BQ349" s="100" t="str">
        <f aca="false">IF($BL349&lt;&gt;Constants!$B$4,"",IF(OR(NOT($AL349),NOT(ISNUMBER($BA349))),0,CHOOSE($BA349,Constants!$B$13,Constants!$B$14,Constants!$B$15,Constants!$B$16)))</f>
        <v/>
      </c>
      <c r="BR349" s="100" t="str">
        <f aca="false">IF($BL349&lt;&gt;Constants!$B$4,"",IF(NOT($AL349),0,Constants!$B$20*$BB349))</f>
        <v/>
      </c>
      <c r="BS349" s="100" t="str">
        <f aca="false">IF($BL349&lt;&gt;Constants!$B$4,"",IF(AND($AL349,$BD349,$BE349),Constants!$B$22,0))</f>
        <v/>
      </c>
      <c r="BT349" s="100" t="str">
        <f aca="false">IF($BL349&lt;&gt;Constants!$B$4,"",IF(OR(NOT($AL349),NOT($BD349)),0,IF($BJ349&gt;=2*$AH$9,0,Constants!$B$23*INT(ROUND(MIN($BJ349,$AH$9),6)))))</f>
        <v/>
      </c>
      <c r="BU349" s="100" t="str">
        <f aca="false">IF($BL349&lt;&gt;Constants!$B$4,"",IF(NOT($AL349),0,Constants!$B$24*INT(ROUND(MIN($BC349,$AH$9),6))))</f>
        <v/>
      </c>
      <c r="BV349" s="100" t="str">
        <f aca="false">IF($BL349&lt;&gt;Constants!$B$4,"",IF(AND($AL349,$BN349=0),Constants!$B$25,0))</f>
        <v/>
      </c>
      <c r="BW349" s="100" t="str">
        <f aca="false">IF($BL349&lt;&gt;Constants!$B$4,"",MIN(Constants!$B$29,MAX(0,Constants!$B$27*Constants!$B$28*INT(ROUND((Constants!$B$26-$AN349)/Constants!$B$28,6))))+MIN(Constants!$B$29,MAX(0,Constants!$B$27*Constants!$B$28*INT(ROUND((Constants!$B$26-$AO349)/Constants!$B$28,6))))+MIN(Constants!$B$29,MAX(0,Constants!$B$27*Constants!$B$28*INT(ROUND((Constants!$B$26-$AP349)/Constants!$B$28,6)))))</f>
        <v/>
      </c>
      <c r="BX349" s="100" t="str">
        <f aca="false">IF($BL349&lt;&gt;Constants!$B$4,"",IF(NOT($AL349),0,Constants!$B$31*INT(ROUND(MAX(0,MIN($BJ349,2*$AH$9)-$AH$9),6))))</f>
        <v/>
      </c>
      <c r="BY349" s="100" t="str">
        <f aca="false">IF($BL349&lt;&gt;Constants!$B$4,"",Constants!$B$32*(($AN349&gt;Constants!$B$26)+($AO349&gt;Constants!$B$26)+($AP349&gt;Constants!$B$26)))</f>
        <v/>
      </c>
      <c r="BZ349" s="100" t="str">
        <f aca="false">IF($BL349&lt;&gt;Constants!$B$4,"",IF(OR(NOT($AL349),$AQ349),0,Constants!$B$33))</f>
        <v/>
      </c>
      <c r="CA349" s="100" t="str">
        <f aca="false">IF($BL349&lt;&gt;Constants!$B$4,"",Constants!$B$34*$BN349)</f>
        <v/>
      </c>
      <c r="CB349" s="100" t="str">
        <f aca="false">IF($BL349&lt;&gt;Constants!$B$4,"",IF(OR(NOT($AL349),$BH349),0,Constants!$B$36))</f>
        <v/>
      </c>
      <c r="CC349" s="100" t="str">
        <f aca="false">IF($BL349&lt;&gt;Constants!$B$4,"",IF(OR(NOT($AL349),$BG349),0,Constants!$B$37))</f>
        <v/>
      </c>
      <c r="CD349" s="100" t="str">
        <f aca="false">IF($BL349&lt;&gt;Constants!$B$4,"",SUM($BX349:$CC349))</f>
        <v/>
      </c>
      <c r="CE349" s="100" t="str">
        <f aca="false">IF(ISBLANK($C349),"",IF($BL349&lt;&gt;Constants!$B$4,$BL349,SUM($BO349:$BW349)-$CD349))</f>
        <v/>
      </c>
      <c r="CF349" s="100" t="str">
        <f aca="false">IF(ISBLANK($C349),"",IF($BL349&lt;&gt;Constants!$B$4,$BL349,RANK($CE349,$CE$9:$CE$508)))</f>
        <v/>
      </c>
      <c r="CG349" s="100" t="str">
        <f aca="false">IF(ISBLANK($C349),"",IF($BL349&lt;&gt;Constants!$B$4,$BL349,COUNTIFS($BM$9:$BM$508,"&lt;"&amp;$BM349)+COUNTIFS($BM$9:$BM$508,$BM349,$CF$9:$CF$508,"&lt;"&amp;$CF349)+1))</f>
        <v/>
      </c>
      <c r="CH349" s="100" t="str">
        <f aca="false">IF(ISBLANK($C349),"",IF($BL349&lt;&gt;Constants!$B$4,$BL349,RANK($CD349,$CD$9:$CD$508,1)))</f>
        <v/>
      </c>
      <c r="CI349" s="100" t="str">
        <f aca="false">IF($BL349&lt;&gt;Constants!$B$4,"",$AN349+$AO349+$AP349)</f>
        <v/>
      </c>
      <c r="CJ349" s="100" t="str">
        <f aca="false">IF(ISBLANK($C349),"",IF($BL349&lt;&gt;Constants!$B$4,$BL349,RANK($CI349,$CI$9:$CI$508,1)))</f>
        <v/>
      </c>
      <c r="CK349" s="100" t="str">
        <f aca="false">IF(ISBLANK($C349),"",IF($BL349&lt;&gt;Constants!$B$4,$BL349,COUNTIFS($BM$9:$BM$508,"&lt;"&amp;$BM349)+COUNTIFS($BM$9:$BM$508,$BM349,$CF$9:$CF$508,"&lt;"&amp;$CF349)+COUNTIFS($BM$9:$BM$508,$BM349,$CF$9:$CF$508,$CF349,$CH$9:$CH$508,"&lt;"&amp;$CH349)+COUNTIFS($BM$9:$BM$508,$BM349,$CF$9:$CF$508,$CF349,$CH$9:$CH$508,$CH349,$CJ$9:$CJ$508,"&lt;"&amp;$CJ349)+1))</f>
        <v/>
      </c>
      <c r="CL349" s="100" t="str">
        <f aca="false">IF(ISBLANK($C349),"",IF($BL349&lt;&gt;Constants!$B$4,$BL349,$CG349-$CK349))</f>
        <v/>
      </c>
      <c r="CM349" s="100" t="str">
        <f aca="false">IF(ISBLANK($C349),"",IF(NOT($AL349),"",IF(ISBLANK($D$7),$CM$5,IF(NOT(ISNUMBER($D$7)),$CM$6,""))))</f>
        <v/>
      </c>
      <c r="CN349" s="100" t="str">
        <f aca="false">IF(ISBLANK($C349),"",OR($AN349="",$AO349="",$AP349=""))</f>
        <v/>
      </c>
      <c r="CO349" s="100" t="str">
        <f aca="false">IF(ISBLANK($C349),"",AND($AL349,$BA349=""))</f>
        <v/>
      </c>
      <c r="CP349" s="100" t="str">
        <f aca="false">IF(ISBLANK($C349),"",AND($AL349,$BB349=""))</f>
        <v/>
      </c>
      <c r="CQ349" s="100" t="str">
        <f aca="false">IF(ISBLANK($C349),"",AND($AL349,$BC349=""))</f>
        <v/>
      </c>
      <c r="CR349" s="100" t="str">
        <f aca="false">IF(ISBLANK($C349),"",AND($AL349,$BF349=""))</f>
        <v/>
      </c>
      <c r="CS349" s="100" t="str">
        <f aca="false">IF(ISBLANK($C349),"",AND($AL349,$BJ349=""))</f>
        <v/>
      </c>
      <c r="CT349" s="101"/>
      <c r="CU349" s="102"/>
      <c r="CV349" s="103" t="str">
        <f aca="false">IF(ISBLANK($C349),"",IF($BL349=Constants!$B$8,$CM349,""))</f>
        <v/>
      </c>
      <c r="CW349" s="102" t="str">
        <f aca="false">IF(ISBLANK($C349),"",IF($BL349&lt;&gt;Constants!$B$4,"",$BO349+$BP349))</f>
        <v/>
      </c>
      <c r="CX349" s="104" t="str">
        <f aca="false">IF(ISBLANK($C349),"",IF($BL349&lt;&gt;Constants!$B$4,"",$BQ349+$BR349+$BS349))</f>
        <v/>
      </c>
      <c r="CY349" s="104" t="str">
        <f aca="false">IF(ISBLANK($C349),"",IF($BL349&lt;&gt;Constants!$B$4,"",$BT349))</f>
        <v/>
      </c>
      <c r="CZ349" s="104" t="str">
        <f aca="false">IF(ISBLANK($C349),"",IF($BL349&lt;&gt;Constants!$B$4,"",$BU349+$BV349))</f>
        <v/>
      </c>
      <c r="DA349" s="104" t="str">
        <f aca="false">IF(ISBLANK($C349),"",IF($BL349&lt;&gt;Constants!$B$4,"",$BW349))</f>
        <v/>
      </c>
      <c r="DB349" s="104" t="str">
        <f aca="false">IF(ISBLANK($C349),"",IF($BL349&lt;&gt;Constants!$B$4,"",-$CD349))</f>
        <v/>
      </c>
      <c r="DC349" s="103" t="str">
        <f aca="false">IF(ISBLANK($C349),"",$CE349)</f>
        <v/>
      </c>
      <c r="DD349" s="105" t="str">
        <f aca="false">IF(ISBLANK($C349),"",$BM349)</f>
        <v/>
      </c>
      <c r="DE349" s="104" t="str">
        <f aca="false">IF(ISBLANK($C349),"",$CL349)</f>
        <v/>
      </c>
      <c r="DF349" s="104" t="str">
        <f aca="false">IF(ISBLANK($C349),"",$CK349)</f>
        <v/>
      </c>
      <c r="DG349" s="106" t="str">
        <f aca="false">IF(ISBLANK($C349),"",IF($DF349=Constants!$B$7,COUNTA($C$9:$C$508)+2,IF($DF349=Constants!$B$6,COUNTA($C$9:$C$508)+1,IF($DF349=Constants!$B$5,COUNTA($C$9:$C$508),$DF349))))</f>
        <v/>
      </c>
      <c r="DH349" s="7"/>
      <c r="DI349" s="107" t="n">
        <f aca="false">IF(OR(ISNUMBER($DF349),$DF349=Constants!$B$7,$DF349=Constants!$B$5,$DF349=Constants!$B$6),1,0)</f>
        <v>0</v>
      </c>
      <c r="DJ349" s="107" t="n">
        <v>341</v>
      </c>
      <c r="DK349" s="107" t="str">
        <f aca="false">IF(ISBLANK($C349),"",IF(ISNUMBER($DG349),$DG349+ROW($B349)/1000,""))</f>
        <v/>
      </c>
      <c r="DL349" s="107" t="str">
        <f aca="false">IF(ISNUMBER($DK349),RANK($DK349,$DK$9:$DK$508,1),"")</f>
        <v/>
      </c>
      <c r="DM349" s="107" t="str">
        <f aca="false">IF(ISBLANK($C349),"",$B349)</f>
        <v/>
      </c>
      <c r="DN349" s="107" t="str">
        <f aca="false">IF(ISBLANK($C349),"",$C349)</f>
        <v/>
      </c>
      <c r="DO349" s="107" t="str">
        <f aca="false">IF(ISBLANK($C349),"",$D349)</f>
        <v/>
      </c>
      <c r="DP349" s="108" t="str">
        <f aca="false">$DD349</f>
        <v/>
      </c>
      <c r="DQ349" s="109" t="str">
        <f aca="false">$DC349</f>
        <v/>
      </c>
      <c r="DR349" s="107" t="str">
        <f aca="false">IF(ISBLANK($C349),"",$DF349)</f>
        <v/>
      </c>
      <c r="DS349" s="110" t="str">
        <f aca="false">IF($DJ349&gt;$DI$8,"",VLOOKUP($DJ349,$DL$9:$DR$508,7,FALSE()))</f>
        <v/>
      </c>
      <c r="DT349" s="111" t="str">
        <f aca="false">IF($DJ349&gt;$DI$8,"",VLOOKUP($DJ349,$DL$9:$DR$508,2,FALSE()))</f>
        <v/>
      </c>
      <c r="DU349" s="111" t="str">
        <f aca="false">IF($DJ349&gt;$DI$8,"",VLOOKUP($DJ349,$DL$9:$DR$508,3,FALSE()))</f>
        <v/>
      </c>
      <c r="DV349" s="111" t="str">
        <f aca="false">IF($DJ349&gt;$DI$8,"",VLOOKUP($DJ349,$DL$9:$DR$508,4,FALSE()))</f>
        <v/>
      </c>
      <c r="DW349" s="111" t="str">
        <f aca="false">IF($DJ349&gt;$DI$8,"",VLOOKUP($DJ349,$DL$9:$DR$508,5,FALSE()))</f>
        <v/>
      </c>
      <c r="DX349" s="112" t="str">
        <f aca="false">IF($DJ349&gt;$DI$8,"",VLOOKUP($DJ349,$DL$9:$DR$508,6,FALSE()))</f>
        <v/>
      </c>
      <c r="DY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130"/>
      <c r="N350" s="130"/>
      <c r="O350" s="135"/>
      <c r="P350" s="135"/>
      <c r="Q350" s="130"/>
      <c r="R350" s="130"/>
      <c r="S350" s="130"/>
      <c r="T350" s="130"/>
      <c r="U350" s="135"/>
      <c r="V350" s="130"/>
      <c r="W350" s="96"/>
      <c r="X350" s="130"/>
      <c r="Y350" s="130"/>
      <c r="Z350" s="96"/>
      <c r="AA350" s="96"/>
      <c r="AB350" s="130"/>
      <c r="AC350" s="130"/>
      <c r="AD350" s="130"/>
      <c r="AE350" s="97"/>
      <c r="AF350" s="130"/>
      <c r="AG350" s="99"/>
      <c r="AH350" s="100"/>
      <c r="AI350" s="100"/>
      <c r="AJ350" s="100" t="str">
        <f aca="false">IF(ISBLANK($C350),"",IF($E350=Constants!$B$2,TRUE(),IF($E350=Constants!$B$3,FALSE(),TRUE())))</f>
        <v/>
      </c>
      <c r="AK350" s="100" t="str">
        <f aca="false">IF(ISBLANK($C350),"",IF($F350=Constants!$B$2,TRUE(),IF($F350=Constants!$B$3,FALSE(),FALSE())))</f>
        <v/>
      </c>
      <c r="AL350" s="100" t="str">
        <f aca="false">IF(ISBLANK($C350),"",IF($G350=Constants!$B$2,TRUE(),IF($G350=Constants!$B$3,FALSE(),TRUE())))</f>
        <v/>
      </c>
      <c r="AM350" s="100" t="str">
        <f aca="false">IF(ISBLANK($C350),"",IF($H350=Constants!$B$2,TRUE(),IF($H350=Constants!$B$3,FALSE(),TRUE())))</f>
        <v/>
      </c>
      <c r="AN350" s="100" t="str">
        <f aca="false">IF(ISBLANK($C350),"",IF(ISNUMBER($I350),IF($I350&gt;=0,$I350,""),""))</f>
        <v/>
      </c>
      <c r="AO350" s="100" t="str">
        <f aca="false">IF(ISBLANK($C350),"",IF(ISNUMBER($J350),IF($J350&gt;=0,$J350,""),""))</f>
        <v/>
      </c>
      <c r="AP350" s="100" t="str">
        <f aca="false">IF(ISBLANK($C350),"",IF(ISNUMBER($K350),IF($K350&gt;=0,$K350,""),""))</f>
        <v/>
      </c>
      <c r="AQ350" s="100" t="str">
        <f aca="false">IF(ISBLANK($C350),"",IF($L350=Constants!$B$2,TRUE(),IF($L350=Constants!$B$3,FALSE(),TRUE())))</f>
        <v/>
      </c>
      <c r="AR350" s="100" t="str">
        <f aca="false">IF(ISBLANK($C350),"",IF($M350=Constants!$B$2,TRUE(),IF($M350=Constants!$B$3,FALSE(),TRUE())))</f>
        <v/>
      </c>
      <c r="AS350" s="100" t="str">
        <f aca="false">IF(ISBLANK($C350),"",IF($N350=Constants!$B$2,TRUE(),IF($N350=Constants!$B$3,FALSE(),FALSE())))</f>
        <v/>
      </c>
      <c r="AT350" s="100" t="str">
        <f aca="false">IF(ISBLANK($C350),"",IF($O350=Constants!$B$2,TRUE(),IF($O350=Constants!$B$3,FALSE(),TRUE())))</f>
        <v/>
      </c>
      <c r="AU350" s="100" t="str">
        <f aca="false">IF(ISBLANK($C350),"",IF($P350=Constants!$B$2,TRUE(),IF($P350=Constants!$B$3,FALSE(),TRUE())))</f>
        <v/>
      </c>
      <c r="AV350" s="100" t="str">
        <f aca="false">IF(ISBLANK($C350),"",IF($Q350=Constants!$B$2,TRUE(),IF($Q350=Constants!$B$3,FALSE(),FALSE())))</f>
        <v/>
      </c>
      <c r="AW350" s="100" t="str">
        <f aca="false">IF(ISBLANK($C350),"",IF($R350=Constants!$B$2,TRUE(),IF($R350=Constants!$B$3,FALSE(),FALSE())))</f>
        <v/>
      </c>
      <c r="AX350" s="100" t="str">
        <f aca="false">IF(ISBLANK($C350),"",IF($S350=Constants!$B$2,TRUE(),IF($S350=Constants!$B$3,FALSE(),FALSE())))</f>
        <v/>
      </c>
      <c r="AY350" s="100" t="str">
        <f aca="false">IF(ISBLANK($C350),"",IF($T350=Constants!$B$2,TRUE(),IF($T350=Constants!$B$3,FALSE(),FALSE())))</f>
        <v/>
      </c>
      <c r="AZ350" s="100" t="str">
        <f aca="false">IF(ISBLANK($C350),"",IF($U350=Constants!$B$2,TRUE(),IF($U350=Constants!$B$3,FALSE(),FALSE())))</f>
        <v/>
      </c>
      <c r="BA350" s="100" t="str">
        <f aca="false">IF(ISBLANK($C350),"",IF(OR($V350&amp;""="1",$V350&amp;""="2",$V350&amp;""="3",$V350&amp;""="4"),VALUE($V350&amp;""),IF($V350=Constants!$B$12,Constants!$B$12,"")))</f>
        <v/>
      </c>
      <c r="BB350" s="100" t="str">
        <f aca="false">IF(ISBLANK($C350),"",IF(ISBLANK($W350),0,IF(ISNUMBER($W350),IF(AND($W350&gt;=0,$W350&lt;=Constants!$B$21,$W350=INT($W350)),$W350,""),"")))</f>
        <v/>
      </c>
      <c r="BC350" s="100" t="str">
        <f aca="false">IF(ISBLANK($C350),"",IF(ISBLANK($X350),0,IF(ISNUMBER($X350),IF($X350&gt;=0,$X350,""),"")))</f>
        <v/>
      </c>
      <c r="BD350" s="100" t="str">
        <f aca="false">IF(ISBLANK($C350),"",IF($Y350=Constants!$B$2,TRUE(),IF($Y350=Constants!$B$3,FALSE(),TRUE())))</f>
        <v/>
      </c>
      <c r="BE350" s="100" t="str">
        <f aca="false">IF(ISBLANK($C350),"",IF($Z350=Constants!$B$2,TRUE(),IF($Z350=Constants!$B$3,FALSE(),FALSE())))</f>
        <v/>
      </c>
      <c r="BF350" s="100" t="str">
        <f aca="false">IF(ISBLANK($C350),"",IF(ISBLANK($AA350),0,IF(ISNUMBER($AA350),IF(AND($AA350&gt;=0,$AA350&lt;=Constants!$B$35,$AA350=INT($AA350)),$AA350,""),"")))</f>
        <v/>
      </c>
      <c r="BG350" s="100" t="str">
        <f aca="false">IF(ISBLANK($C350),"",IF($AB350=Constants!$B$2,TRUE(),IF($AB350=Constants!$B$3,FALSE(),TRUE())))</f>
        <v/>
      </c>
      <c r="BH350" s="100" t="str">
        <f aca="false">IF(ISBLANK($C350),"",IF($AC350=Constants!$B$2,TRUE(),IF($AC350=Constants!$B$3,FALSE(),TRUE())))</f>
        <v/>
      </c>
      <c r="BI350" s="100" t="str">
        <f aca="false">IF(ISBLANK($C350),"",IF($AD350=Constants!$B$2,TRUE(),IF($AD350=Constants!$B$3,FALSE(),TRUE())))</f>
        <v/>
      </c>
      <c r="BJ350" s="100" t="str">
        <f aca="false">IF(ISBLANK($C350),"",IF(ISNUMBER($AE350),IF($AE350&gt;=0,$AE350,""),""))</f>
        <v/>
      </c>
      <c r="BK350" s="100" t="str">
        <f aca="false">IF(ISBLANK($C350),"",IF($AF350=Constants!$B$2,TRUE(),IF($AF350=Constants!$B$3,FALSE(),FALSE())))</f>
        <v/>
      </c>
      <c r="BL350" s="99" t="str">
        <f aca="false">IF(ISBLANK($C350),"",IF($BK350,Constants!$B$7,IF(COUNTA($E350:$AE350)=0,Constants!$B$6,IF(OR(COUNTA($G350:$AE350)=0,NOT($AM350),$AS350),Constants!$B$5,IF(OR($CM350&lt;&gt;"",$CN350,$CO350,$CP350,$CQ350,$CR350,$CS350),Constants!$B$8,Constants!$B$4)))))</f>
        <v/>
      </c>
      <c r="BM350" s="100" t="str">
        <f aca="false">IF(ISBLANK($C350),"",IF($BL350&lt;&gt;Constants!$B$4,$BL350,IF(OR(NOT($AJ350),NOT($AL350),NOT($AT350)),Constants!$B$11,IF(OR(NOT($AR350),NOT($AU350),NOT($BI350),MAX($AN350,$AO350,$AP350)&gt;Constants!$B$30),Constants!$B$10,Constants!$B$9))))</f>
        <v/>
      </c>
      <c r="BN350" s="100" t="str">
        <f aca="false">IF($BL350&lt;&gt;Constants!$B$4,"",IF(NOT($AL350),0,MIN(Constants!$B$35,$BF350)))</f>
        <v/>
      </c>
      <c r="BO350" s="100" t="str">
        <f aca="false">IF($BL350&lt;&gt;Constants!$B$4,"",IF(NOT($AL350),0,IF($AW350,Constants!$B$18,IF($AV350,Constants!$B$17,0))))</f>
        <v/>
      </c>
      <c r="BP350" s="100" t="str">
        <f aca="false">IF($BL350&lt;&gt;Constants!$B$4,"",IF(NOT($AL350),0,Constants!$B$19*($AK350+$AX350+$AY350+$AZ350)))</f>
        <v/>
      </c>
      <c r="BQ350" s="100" t="str">
        <f aca="false">IF($BL350&lt;&gt;Constants!$B$4,"",IF(OR(NOT($AL350),NOT(ISNUMBER($BA350))),0,CHOOSE($BA350,Constants!$B$13,Constants!$B$14,Constants!$B$15,Constants!$B$16)))</f>
        <v/>
      </c>
      <c r="BR350" s="100" t="str">
        <f aca="false">IF($BL350&lt;&gt;Constants!$B$4,"",IF(NOT($AL350),0,Constants!$B$20*$BB350))</f>
        <v/>
      </c>
      <c r="BS350" s="100" t="str">
        <f aca="false">IF($BL350&lt;&gt;Constants!$B$4,"",IF(AND($AL350,$BD350,$BE350),Constants!$B$22,0))</f>
        <v/>
      </c>
      <c r="BT350" s="100" t="str">
        <f aca="false">IF($BL350&lt;&gt;Constants!$B$4,"",IF(OR(NOT($AL350),NOT($BD350)),0,IF($BJ350&gt;=2*$AH$9,0,Constants!$B$23*INT(ROUND(MIN($BJ350,$AH$9),6)))))</f>
        <v/>
      </c>
      <c r="BU350" s="100" t="str">
        <f aca="false">IF($BL350&lt;&gt;Constants!$B$4,"",IF(NOT($AL350),0,Constants!$B$24*INT(ROUND(MIN($BC350,$AH$9),6))))</f>
        <v/>
      </c>
      <c r="BV350" s="100" t="str">
        <f aca="false">IF($BL350&lt;&gt;Constants!$B$4,"",IF(AND($AL350,$BN350=0),Constants!$B$25,0))</f>
        <v/>
      </c>
      <c r="BW350" s="100" t="str">
        <f aca="false">IF($BL350&lt;&gt;Constants!$B$4,"",MIN(Constants!$B$29,MAX(0,Constants!$B$27*Constants!$B$28*INT(ROUND((Constants!$B$26-$AN350)/Constants!$B$28,6))))+MIN(Constants!$B$29,MAX(0,Constants!$B$27*Constants!$B$28*INT(ROUND((Constants!$B$26-$AO350)/Constants!$B$28,6))))+MIN(Constants!$B$29,MAX(0,Constants!$B$27*Constants!$B$28*INT(ROUND((Constants!$B$26-$AP350)/Constants!$B$28,6)))))</f>
        <v/>
      </c>
      <c r="BX350" s="100" t="str">
        <f aca="false">IF($BL350&lt;&gt;Constants!$B$4,"",IF(NOT($AL350),0,Constants!$B$31*INT(ROUND(MAX(0,MIN($BJ350,2*$AH$9)-$AH$9),6))))</f>
        <v/>
      </c>
      <c r="BY350" s="100" t="str">
        <f aca="false">IF($BL350&lt;&gt;Constants!$B$4,"",Constants!$B$32*(($AN350&gt;Constants!$B$26)+($AO350&gt;Constants!$B$26)+($AP350&gt;Constants!$B$26)))</f>
        <v/>
      </c>
      <c r="BZ350" s="100" t="str">
        <f aca="false">IF($BL350&lt;&gt;Constants!$B$4,"",IF(OR(NOT($AL350),$AQ350),0,Constants!$B$33))</f>
        <v/>
      </c>
      <c r="CA350" s="100" t="str">
        <f aca="false">IF($BL350&lt;&gt;Constants!$B$4,"",Constants!$B$34*$BN350)</f>
        <v/>
      </c>
      <c r="CB350" s="100" t="str">
        <f aca="false">IF($BL350&lt;&gt;Constants!$B$4,"",IF(OR(NOT($AL350),$BH350),0,Constants!$B$36))</f>
        <v/>
      </c>
      <c r="CC350" s="100" t="str">
        <f aca="false">IF($BL350&lt;&gt;Constants!$B$4,"",IF(OR(NOT($AL350),$BG350),0,Constants!$B$37))</f>
        <v/>
      </c>
      <c r="CD350" s="100" t="str">
        <f aca="false">IF($BL350&lt;&gt;Constants!$B$4,"",SUM($BX350:$CC350))</f>
        <v/>
      </c>
      <c r="CE350" s="100" t="str">
        <f aca="false">IF(ISBLANK($C350),"",IF($BL350&lt;&gt;Constants!$B$4,$BL350,SUM($BO350:$BW350)-$CD350))</f>
        <v/>
      </c>
      <c r="CF350" s="100" t="str">
        <f aca="false">IF(ISBLANK($C350),"",IF($BL350&lt;&gt;Constants!$B$4,$BL350,RANK($CE350,$CE$9:$CE$508)))</f>
        <v/>
      </c>
      <c r="CG350" s="100" t="str">
        <f aca="false">IF(ISBLANK($C350),"",IF($BL350&lt;&gt;Constants!$B$4,$BL350,COUNTIFS($BM$9:$BM$508,"&lt;"&amp;$BM350)+COUNTIFS($BM$9:$BM$508,$BM350,$CF$9:$CF$508,"&lt;"&amp;$CF350)+1))</f>
        <v/>
      </c>
      <c r="CH350" s="100" t="str">
        <f aca="false">IF(ISBLANK($C350),"",IF($BL350&lt;&gt;Constants!$B$4,$BL350,RANK($CD350,$CD$9:$CD$508,1)))</f>
        <v/>
      </c>
      <c r="CI350" s="100" t="str">
        <f aca="false">IF($BL350&lt;&gt;Constants!$B$4,"",$AN350+$AO350+$AP350)</f>
        <v/>
      </c>
      <c r="CJ350" s="100" t="str">
        <f aca="false">IF(ISBLANK($C350),"",IF($BL350&lt;&gt;Constants!$B$4,$BL350,RANK($CI350,$CI$9:$CI$508,1)))</f>
        <v/>
      </c>
      <c r="CK350" s="100" t="str">
        <f aca="false">IF(ISBLANK($C350),"",IF($BL350&lt;&gt;Constants!$B$4,$BL350,COUNTIFS($BM$9:$BM$508,"&lt;"&amp;$BM350)+COUNTIFS($BM$9:$BM$508,$BM350,$CF$9:$CF$508,"&lt;"&amp;$CF350)+COUNTIFS($BM$9:$BM$508,$BM350,$CF$9:$CF$508,$CF350,$CH$9:$CH$508,"&lt;"&amp;$CH350)+COUNTIFS($BM$9:$BM$508,$BM350,$CF$9:$CF$508,$CF350,$CH$9:$CH$508,$CH350,$CJ$9:$CJ$508,"&lt;"&amp;$CJ350)+1))</f>
        <v/>
      </c>
      <c r="CL350" s="100" t="str">
        <f aca="false">IF(ISBLANK($C350),"",IF($BL350&lt;&gt;Constants!$B$4,$BL350,$CG350-$CK350))</f>
        <v/>
      </c>
      <c r="CM350" s="100" t="str">
        <f aca="false">IF(ISBLANK($C350),"",IF(NOT($AL350),"",IF(ISBLANK($D$7),$CM$5,IF(NOT(ISNUMBER($D$7)),$CM$6,""))))</f>
        <v/>
      </c>
      <c r="CN350" s="100" t="str">
        <f aca="false">IF(ISBLANK($C350),"",OR($AN350="",$AO350="",$AP350=""))</f>
        <v/>
      </c>
      <c r="CO350" s="100" t="str">
        <f aca="false">IF(ISBLANK($C350),"",AND($AL350,$BA350=""))</f>
        <v/>
      </c>
      <c r="CP350" s="100" t="str">
        <f aca="false">IF(ISBLANK($C350),"",AND($AL350,$BB350=""))</f>
        <v/>
      </c>
      <c r="CQ350" s="100" t="str">
        <f aca="false">IF(ISBLANK($C350),"",AND($AL350,$BC350=""))</f>
        <v/>
      </c>
      <c r="CR350" s="100" t="str">
        <f aca="false">IF(ISBLANK($C350),"",AND($AL350,$BF350=""))</f>
        <v/>
      </c>
      <c r="CS350" s="100" t="str">
        <f aca="false">IF(ISBLANK($C350),"",AND($AL350,$BJ350=""))</f>
        <v/>
      </c>
      <c r="CT350" s="101"/>
      <c r="CU350" s="102"/>
      <c r="CV350" s="103" t="str">
        <f aca="false">IF(ISBLANK($C350),"",IF($BL350=Constants!$B$8,$CM350,""))</f>
        <v/>
      </c>
      <c r="CW350" s="102" t="str">
        <f aca="false">IF(ISBLANK($C350),"",IF($BL350&lt;&gt;Constants!$B$4,"",$BO350+$BP350))</f>
        <v/>
      </c>
      <c r="CX350" s="104" t="str">
        <f aca="false">IF(ISBLANK($C350),"",IF($BL350&lt;&gt;Constants!$B$4,"",$BQ350+$BR350+$BS350))</f>
        <v/>
      </c>
      <c r="CY350" s="104" t="str">
        <f aca="false">IF(ISBLANK($C350),"",IF($BL350&lt;&gt;Constants!$B$4,"",$BT350))</f>
        <v/>
      </c>
      <c r="CZ350" s="104" t="str">
        <f aca="false">IF(ISBLANK($C350),"",IF($BL350&lt;&gt;Constants!$B$4,"",$BU350+$BV350))</f>
        <v/>
      </c>
      <c r="DA350" s="104" t="str">
        <f aca="false">IF(ISBLANK($C350),"",IF($BL350&lt;&gt;Constants!$B$4,"",$BW350))</f>
        <v/>
      </c>
      <c r="DB350" s="104" t="str">
        <f aca="false">IF(ISBLANK($C350),"",IF($BL350&lt;&gt;Constants!$B$4,"",-$CD350))</f>
        <v/>
      </c>
      <c r="DC350" s="103" t="str">
        <f aca="false">IF(ISBLANK($C350),"",$CE350)</f>
        <v/>
      </c>
      <c r="DD350" s="105" t="str">
        <f aca="false">IF(ISBLANK($C350),"",$BM350)</f>
        <v/>
      </c>
      <c r="DE350" s="104" t="str">
        <f aca="false">IF(ISBLANK($C350),"",$CL350)</f>
        <v/>
      </c>
      <c r="DF350" s="104" t="str">
        <f aca="false">IF(ISBLANK($C350),"",$CK350)</f>
        <v/>
      </c>
      <c r="DG350" s="106" t="str">
        <f aca="false">IF(ISBLANK($C350),"",IF($DF350=Constants!$B$7,COUNTA($C$9:$C$508)+2,IF($DF350=Constants!$B$6,COUNTA($C$9:$C$508)+1,IF($DF350=Constants!$B$5,COUNTA($C$9:$C$508),$DF350))))</f>
        <v/>
      </c>
      <c r="DH350" s="7"/>
      <c r="DI350" s="107" t="n">
        <f aca="false">IF(OR(ISNUMBER($DF350),$DF350=Constants!$B$7,$DF350=Constants!$B$5,$DF350=Constants!$B$6),1,0)</f>
        <v>0</v>
      </c>
      <c r="DJ350" s="107" t="n">
        <v>342</v>
      </c>
      <c r="DK350" s="107" t="str">
        <f aca="false">IF(ISBLANK($C350),"",IF(ISNUMBER($DG350),$DG350+ROW($B350)/1000,""))</f>
        <v/>
      </c>
      <c r="DL350" s="107" t="str">
        <f aca="false">IF(ISNUMBER($DK350),RANK($DK350,$DK$9:$DK$508,1),"")</f>
        <v/>
      </c>
      <c r="DM350" s="107" t="str">
        <f aca="false">IF(ISBLANK($C350),"",$B350)</f>
        <v/>
      </c>
      <c r="DN350" s="107" t="str">
        <f aca="false">IF(ISBLANK($C350),"",$C350)</f>
        <v/>
      </c>
      <c r="DO350" s="107" t="str">
        <f aca="false">IF(ISBLANK($C350),"",$D350)</f>
        <v/>
      </c>
      <c r="DP350" s="108" t="str">
        <f aca="false">$DD350</f>
        <v/>
      </c>
      <c r="DQ350" s="109" t="str">
        <f aca="false">$DC350</f>
        <v/>
      </c>
      <c r="DR350" s="107" t="str">
        <f aca="false">IF(ISBLANK($C350),"",$DF350)</f>
        <v/>
      </c>
      <c r="DS350" s="110" t="str">
        <f aca="false">IF($DJ350&gt;$DI$8,"",VLOOKUP($DJ350,$DL$9:$DR$508,7,FALSE()))</f>
        <v/>
      </c>
      <c r="DT350" s="111" t="str">
        <f aca="false">IF($DJ350&gt;$DI$8,"",VLOOKUP($DJ350,$DL$9:$DR$508,2,FALSE()))</f>
        <v/>
      </c>
      <c r="DU350" s="111" t="str">
        <f aca="false">IF($DJ350&gt;$DI$8,"",VLOOKUP($DJ350,$DL$9:$DR$508,3,FALSE()))</f>
        <v/>
      </c>
      <c r="DV350" s="111" t="str">
        <f aca="false">IF($DJ350&gt;$DI$8,"",VLOOKUP($DJ350,$DL$9:$DR$508,4,FALSE()))</f>
        <v/>
      </c>
      <c r="DW350" s="111" t="str">
        <f aca="false">IF($DJ350&gt;$DI$8,"",VLOOKUP($DJ350,$DL$9:$DR$508,5,FALSE()))</f>
        <v/>
      </c>
      <c r="DX350" s="112" t="str">
        <f aca="false">IF($DJ350&gt;$DI$8,"",VLOOKUP($DJ350,$DL$9:$DR$508,6,FALSE()))</f>
        <v/>
      </c>
      <c r="DY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88"/>
      <c r="N351" s="88"/>
      <c r="O351" s="134"/>
      <c r="P351" s="134"/>
      <c r="Q351" s="88"/>
      <c r="R351" s="88"/>
      <c r="S351" s="88"/>
      <c r="T351" s="88"/>
      <c r="U351" s="134"/>
      <c r="V351" s="88"/>
      <c r="W351" s="70"/>
      <c r="X351" s="88"/>
      <c r="Y351" s="88"/>
      <c r="Z351" s="70"/>
      <c r="AA351" s="70"/>
      <c r="AB351" s="88"/>
      <c r="AC351" s="88"/>
      <c r="AD351" s="88"/>
      <c r="AE351" s="71"/>
      <c r="AF351" s="88"/>
      <c r="AG351" s="73"/>
      <c r="AH351" s="74"/>
      <c r="AI351" s="74"/>
      <c r="AJ351" s="74" t="str">
        <f aca="false">IF(ISBLANK($C351),"",IF($E351=Constants!$B$2,TRUE(),IF($E351=Constants!$B$3,FALSE(),TRUE())))</f>
        <v/>
      </c>
      <c r="AK351" s="74" t="str">
        <f aca="false">IF(ISBLANK($C351),"",IF($F351=Constants!$B$2,TRUE(),IF($F351=Constants!$B$3,FALSE(),FALSE())))</f>
        <v/>
      </c>
      <c r="AL351" s="74" t="str">
        <f aca="false">IF(ISBLANK($C351),"",IF($G351=Constants!$B$2,TRUE(),IF($G351=Constants!$B$3,FALSE(),TRUE())))</f>
        <v/>
      </c>
      <c r="AM351" s="74" t="str">
        <f aca="false">IF(ISBLANK($C351),"",IF($H351=Constants!$B$2,TRUE(),IF($H351=Constants!$B$3,FALSE(),TRUE())))</f>
        <v/>
      </c>
      <c r="AN351" s="74" t="str">
        <f aca="false">IF(ISBLANK($C351),"",IF(ISNUMBER($I351),IF($I351&gt;=0,$I351,""),""))</f>
        <v/>
      </c>
      <c r="AO351" s="74" t="str">
        <f aca="false">IF(ISBLANK($C351),"",IF(ISNUMBER($J351),IF($J351&gt;=0,$J351,""),""))</f>
        <v/>
      </c>
      <c r="AP351" s="74" t="str">
        <f aca="false">IF(ISBLANK($C351),"",IF(ISNUMBER($K351),IF($K351&gt;=0,$K351,""),""))</f>
        <v/>
      </c>
      <c r="AQ351" s="74" t="str">
        <f aca="false">IF(ISBLANK($C351),"",IF($L351=Constants!$B$2,TRUE(),IF($L351=Constants!$B$3,FALSE(),TRUE())))</f>
        <v/>
      </c>
      <c r="AR351" s="74" t="str">
        <f aca="false">IF(ISBLANK($C351),"",IF($M351=Constants!$B$2,TRUE(),IF($M351=Constants!$B$3,FALSE(),TRUE())))</f>
        <v/>
      </c>
      <c r="AS351" s="74" t="str">
        <f aca="false">IF(ISBLANK($C351),"",IF($N351=Constants!$B$2,TRUE(),IF($N351=Constants!$B$3,FALSE(),FALSE())))</f>
        <v/>
      </c>
      <c r="AT351" s="74" t="str">
        <f aca="false">IF(ISBLANK($C351),"",IF($O351=Constants!$B$2,TRUE(),IF($O351=Constants!$B$3,FALSE(),TRUE())))</f>
        <v/>
      </c>
      <c r="AU351" s="74" t="str">
        <f aca="false">IF(ISBLANK($C351),"",IF($P351=Constants!$B$2,TRUE(),IF($P351=Constants!$B$3,FALSE(),TRUE())))</f>
        <v/>
      </c>
      <c r="AV351" s="74" t="str">
        <f aca="false">IF(ISBLANK($C351),"",IF($Q351=Constants!$B$2,TRUE(),IF($Q351=Constants!$B$3,FALSE(),FALSE())))</f>
        <v/>
      </c>
      <c r="AW351" s="74" t="str">
        <f aca="false">IF(ISBLANK($C351),"",IF($R351=Constants!$B$2,TRUE(),IF($R351=Constants!$B$3,FALSE(),FALSE())))</f>
        <v/>
      </c>
      <c r="AX351" s="74" t="str">
        <f aca="false">IF(ISBLANK($C351),"",IF($S351=Constants!$B$2,TRUE(),IF($S351=Constants!$B$3,FALSE(),FALSE())))</f>
        <v/>
      </c>
      <c r="AY351" s="74" t="str">
        <f aca="false">IF(ISBLANK($C351),"",IF($T351=Constants!$B$2,TRUE(),IF($T351=Constants!$B$3,FALSE(),FALSE())))</f>
        <v/>
      </c>
      <c r="AZ351" s="74" t="str">
        <f aca="false">IF(ISBLANK($C351),"",IF($U351=Constants!$B$2,TRUE(),IF($U351=Constants!$B$3,FALSE(),FALSE())))</f>
        <v/>
      </c>
      <c r="BA351" s="74" t="str">
        <f aca="false">IF(ISBLANK($C351),"",IF(OR($V351&amp;""="1",$V351&amp;""="2",$V351&amp;""="3",$V351&amp;""="4"),VALUE($V351&amp;""),IF($V351=Constants!$B$12,Constants!$B$12,"")))</f>
        <v/>
      </c>
      <c r="BB351" s="74" t="str">
        <f aca="false">IF(ISBLANK($C351),"",IF(ISBLANK($W351),0,IF(ISNUMBER($W351),IF(AND($W351&gt;=0,$W351&lt;=Constants!$B$21,$W351=INT($W351)),$W351,""),"")))</f>
        <v/>
      </c>
      <c r="BC351" s="74" t="str">
        <f aca="false">IF(ISBLANK($C351),"",IF(ISBLANK($X351),0,IF(ISNUMBER($X351),IF($X351&gt;=0,$X351,""),"")))</f>
        <v/>
      </c>
      <c r="BD351" s="74" t="str">
        <f aca="false">IF(ISBLANK($C351),"",IF($Y351=Constants!$B$2,TRUE(),IF($Y351=Constants!$B$3,FALSE(),TRUE())))</f>
        <v/>
      </c>
      <c r="BE351" s="74" t="str">
        <f aca="false">IF(ISBLANK($C351),"",IF($Z351=Constants!$B$2,TRUE(),IF($Z351=Constants!$B$3,FALSE(),FALSE())))</f>
        <v/>
      </c>
      <c r="BF351" s="74" t="str">
        <f aca="false">IF(ISBLANK($C351),"",IF(ISBLANK($AA351),0,IF(ISNUMBER($AA351),IF(AND($AA351&gt;=0,$AA351&lt;=Constants!$B$35,$AA351=INT($AA351)),$AA351,""),"")))</f>
        <v/>
      </c>
      <c r="BG351" s="74" t="str">
        <f aca="false">IF(ISBLANK($C351),"",IF($AB351=Constants!$B$2,TRUE(),IF($AB351=Constants!$B$3,FALSE(),TRUE())))</f>
        <v/>
      </c>
      <c r="BH351" s="74" t="str">
        <f aca="false">IF(ISBLANK($C351),"",IF($AC351=Constants!$B$2,TRUE(),IF($AC351=Constants!$B$3,FALSE(),TRUE())))</f>
        <v/>
      </c>
      <c r="BI351" s="74" t="str">
        <f aca="false">IF(ISBLANK($C351),"",IF($AD351=Constants!$B$2,TRUE(),IF($AD351=Constants!$B$3,FALSE(),TRUE())))</f>
        <v/>
      </c>
      <c r="BJ351" s="74" t="str">
        <f aca="false">IF(ISBLANK($C351),"",IF(ISNUMBER($AE351),IF($AE351&gt;=0,$AE351,""),""))</f>
        <v/>
      </c>
      <c r="BK351" s="74" t="str">
        <f aca="false">IF(ISBLANK($C351),"",IF($AF351=Constants!$B$2,TRUE(),IF($AF351=Constants!$B$3,FALSE(),FALSE())))</f>
        <v/>
      </c>
      <c r="BL351" s="73" t="str">
        <f aca="false">IF(ISBLANK($C351),"",IF($BK351,Constants!$B$7,IF(COUNTA($E351:$AE351)=0,Constants!$B$6,IF(OR(COUNTA($G351:$AE351)=0,NOT($AM351),$AS351),Constants!$B$5,IF(OR($CM351&lt;&gt;"",$CN351,$CO351,$CP351,$CQ351,$CR351,$CS351),Constants!$B$8,Constants!$B$4)))))</f>
        <v/>
      </c>
      <c r="BM351" s="74" t="str">
        <f aca="false">IF(ISBLANK($C351),"",IF($BL351&lt;&gt;Constants!$B$4,$BL351,IF(OR(NOT($AJ351),NOT($AL351),NOT($AT351)),Constants!$B$11,IF(OR(NOT($AR351),NOT($AU351),NOT($BI351),MAX($AN351,$AO351,$AP351)&gt;Constants!$B$30),Constants!$B$10,Constants!$B$9))))</f>
        <v/>
      </c>
      <c r="BN351" s="74" t="str">
        <f aca="false">IF($BL351&lt;&gt;Constants!$B$4,"",IF(NOT($AL351),0,MIN(Constants!$B$35,$BF351)))</f>
        <v/>
      </c>
      <c r="BO351" s="74" t="str">
        <f aca="false">IF($BL351&lt;&gt;Constants!$B$4,"",IF(NOT($AL351),0,IF($AW351,Constants!$B$18,IF($AV351,Constants!$B$17,0))))</f>
        <v/>
      </c>
      <c r="BP351" s="74" t="str">
        <f aca="false">IF($BL351&lt;&gt;Constants!$B$4,"",IF(NOT($AL351),0,Constants!$B$19*($AK351+$AX351+$AY351+$AZ351)))</f>
        <v/>
      </c>
      <c r="BQ351" s="74" t="str">
        <f aca="false">IF($BL351&lt;&gt;Constants!$B$4,"",IF(OR(NOT($AL351),NOT(ISNUMBER($BA351))),0,CHOOSE($BA351,Constants!$B$13,Constants!$B$14,Constants!$B$15,Constants!$B$16)))</f>
        <v/>
      </c>
      <c r="BR351" s="74" t="str">
        <f aca="false">IF($BL351&lt;&gt;Constants!$B$4,"",IF(NOT($AL351),0,Constants!$B$20*$BB351))</f>
        <v/>
      </c>
      <c r="BS351" s="74" t="str">
        <f aca="false">IF($BL351&lt;&gt;Constants!$B$4,"",IF(AND($AL351,$BD351,$BE351),Constants!$B$22,0))</f>
        <v/>
      </c>
      <c r="BT351" s="74" t="str">
        <f aca="false">IF($BL351&lt;&gt;Constants!$B$4,"",IF(OR(NOT($AL351),NOT($BD351)),0,IF($BJ351&gt;=2*$AH$9,0,Constants!$B$23*INT(ROUND(MIN($BJ351,$AH$9),6)))))</f>
        <v/>
      </c>
      <c r="BU351" s="74" t="str">
        <f aca="false">IF($BL351&lt;&gt;Constants!$B$4,"",IF(NOT($AL351),0,Constants!$B$24*INT(ROUND(MIN($BC351,$AH$9),6))))</f>
        <v/>
      </c>
      <c r="BV351" s="74" t="str">
        <f aca="false">IF($BL351&lt;&gt;Constants!$B$4,"",IF(AND($AL351,$BN351=0),Constants!$B$25,0))</f>
        <v/>
      </c>
      <c r="BW351" s="74" t="str">
        <f aca="false">IF($BL351&lt;&gt;Constants!$B$4,"",MIN(Constants!$B$29,MAX(0,Constants!$B$27*Constants!$B$28*INT(ROUND((Constants!$B$26-$AN351)/Constants!$B$28,6))))+MIN(Constants!$B$29,MAX(0,Constants!$B$27*Constants!$B$28*INT(ROUND((Constants!$B$26-$AO351)/Constants!$B$28,6))))+MIN(Constants!$B$29,MAX(0,Constants!$B$27*Constants!$B$28*INT(ROUND((Constants!$B$26-$AP351)/Constants!$B$28,6)))))</f>
        <v/>
      </c>
      <c r="BX351" s="74" t="str">
        <f aca="false">IF($BL351&lt;&gt;Constants!$B$4,"",IF(NOT($AL351),0,Constants!$B$31*INT(ROUND(MAX(0,MIN($BJ351,2*$AH$9)-$AH$9),6))))</f>
        <v/>
      </c>
      <c r="BY351" s="74" t="str">
        <f aca="false">IF($BL351&lt;&gt;Constants!$B$4,"",Constants!$B$32*(($AN351&gt;Constants!$B$26)+($AO351&gt;Constants!$B$26)+($AP351&gt;Constants!$B$26)))</f>
        <v/>
      </c>
      <c r="BZ351" s="74" t="str">
        <f aca="false">IF($BL351&lt;&gt;Constants!$B$4,"",IF(OR(NOT($AL351),$AQ351),0,Constants!$B$33))</f>
        <v/>
      </c>
      <c r="CA351" s="74" t="str">
        <f aca="false">IF($BL351&lt;&gt;Constants!$B$4,"",Constants!$B$34*$BN351)</f>
        <v/>
      </c>
      <c r="CB351" s="74" t="str">
        <f aca="false">IF($BL351&lt;&gt;Constants!$B$4,"",IF(OR(NOT($AL351),$BH351),0,Constants!$B$36))</f>
        <v/>
      </c>
      <c r="CC351" s="74" t="str">
        <f aca="false">IF($BL351&lt;&gt;Constants!$B$4,"",IF(OR(NOT($AL351),$BG351),0,Constants!$B$37))</f>
        <v/>
      </c>
      <c r="CD351" s="74" t="str">
        <f aca="false">IF($BL351&lt;&gt;Constants!$B$4,"",SUM($BX351:$CC351))</f>
        <v/>
      </c>
      <c r="CE351" s="74" t="str">
        <f aca="false">IF(ISBLANK($C351),"",IF($BL351&lt;&gt;Constants!$B$4,$BL351,SUM($BO351:$BW351)-$CD351))</f>
        <v/>
      </c>
      <c r="CF351" s="74" t="str">
        <f aca="false">IF(ISBLANK($C351),"",IF($BL351&lt;&gt;Constants!$B$4,$BL351,RANK($CE351,$CE$9:$CE$508)))</f>
        <v/>
      </c>
      <c r="CG351" s="74" t="str">
        <f aca="false">IF(ISBLANK($C351),"",IF($BL351&lt;&gt;Constants!$B$4,$BL351,COUNTIFS($BM$9:$BM$508,"&lt;"&amp;$BM351)+COUNTIFS($BM$9:$BM$508,$BM351,$CF$9:$CF$508,"&lt;"&amp;$CF351)+1))</f>
        <v/>
      </c>
      <c r="CH351" s="74" t="str">
        <f aca="false">IF(ISBLANK($C351),"",IF($BL351&lt;&gt;Constants!$B$4,$BL351,RANK($CD351,$CD$9:$CD$508,1)))</f>
        <v/>
      </c>
      <c r="CI351" s="74" t="str">
        <f aca="false">IF($BL351&lt;&gt;Constants!$B$4,"",$AN351+$AO351+$AP351)</f>
        <v/>
      </c>
      <c r="CJ351" s="74" t="str">
        <f aca="false">IF(ISBLANK($C351),"",IF($BL351&lt;&gt;Constants!$B$4,$BL351,RANK($CI351,$CI$9:$CI$508,1)))</f>
        <v/>
      </c>
      <c r="CK351" s="74" t="str">
        <f aca="false">IF(ISBLANK($C351),"",IF($BL351&lt;&gt;Constants!$B$4,$BL351,COUNTIFS($BM$9:$BM$508,"&lt;"&amp;$BM351)+COUNTIFS($BM$9:$BM$508,$BM351,$CF$9:$CF$508,"&lt;"&amp;$CF351)+COUNTIFS($BM$9:$BM$508,$BM351,$CF$9:$CF$508,$CF351,$CH$9:$CH$508,"&lt;"&amp;$CH351)+COUNTIFS($BM$9:$BM$508,$BM351,$CF$9:$CF$508,$CF351,$CH$9:$CH$508,$CH351,$CJ$9:$CJ$508,"&lt;"&amp;$CJ351)+1))</f>
        <v/>
      </c>
      <c r="CL351" s="74" t="str">
        <f aca="false">IF(ISBLANK($C351),"",IF($BL351&lt;&gt;Constants!$B$4,$BL351,$CG351-$CK351))</f>
        <v/>
      </c>
      <c r="CM351" s="74" t="str">
        <f aca="false">IF(ISBLANK($C351),"",IF(NOT($AL351),"",IF(ISBLANK($D$7),$CM$5,IF(NOT(ISNUMBER($D$7)),$CM$6,""))))</f>
        <v/>
      </c>
      <c r="CN351" s="74" t="str">
        <f aca="false">IF(ISBLANK($C351),"",OR($AN351="",$AO351="",$AP351=""))</f>
        <v/>
      </c>
      <c r="CO351" s="74" t="str">
        <f aca="false">IF(ISBLANK($C351),"",AND($AL351,$BA351=""))</f>
        <v/>
      </c>
      <c r="CP351" s="74" t="str">
        <f aca="false">IF(ISBLANK($C351),"",AND($AL351,$BB351=""))</f>
        <v/>
      </c>
      <c r="CQ351" s="74" t="str">
        <f aca="false">IF(ISBLANK($C351),"",AND($AL351,$BC351=""))</f>
        <v/>
      </c>
      <c r="CR351" s="74" t="str">
        <f aca="false">IF(ISBLANK($C351),"",AND($AL351,$BF351=""))</f>
        <v/>
      </c>
      <c r="CS351" s="74" t="str">
        <f aca="false">IF(ISBLANK($C351),"",AND($AL351,$BJ351=""))</f>
        <v/>
      </c>
      <c r="CT351" s="75"/>
      <c r="CU351" s="76"/>
      <c r="CV351" s="79" t="str">
        <f aca="false">IF(ISBLANK($C351),"",IF($BL351=Constants!$B$8,$CM351,""))</f>
        <v/>
      </c>
      <c r="CW351" s="76" t="str">
        <f aca="false">IF(ISBLANK($C351),"",IF($BL351&lt;&gt;Constants!$B$4,"",$BO351+$BP351))</f>
        <v/>
      </c>
      <c r="CX351" s="78" t="str">
        <f aca="false">IF(ISBLANK($C351),"",IF($BL351&lt;&gt;Constants!$B$4,"",$BQ351+$BR351+$BS351))</f>
        <v/>
      </c>
      <c r="CY351" s="78" t="str">
        <f aca="false">IF(ISBLANK($C351),"",IF($BL351&lt;&gt;Constants!$B$4,"",$BT351))</f>
        <v/>
      </c>
      <c r="CZ351" s="78" t="str">
        <f aca="false">IF(ISBLANK($C351),"",IF($BL351&lt;&gt;Constants!$B$4,"",$BU351+$BV351))</f>
        <v/>
      </c>
      <c r="DA351" s="78" t="str">
        <f aca="false">IF(ISBLANK($C351),"",IF($BL351&lt;&gt;Constants!$B$4,"",$BW351))</f>
        <v/>
      </c>
      <c r="DB351" s="78" t="str">
        <f aca="false">IF(ISBLANK($C351),"",IF($BL351&lt;&gt;Constants!$B$4,"",-$CD351))</f>
        <v/>
      </c>
      <c r="DC351" s="79" t="str">
        <f aca="false">IF(ISBLANK($C351),"",$CE351)</f>
        <v/>
      </c>
      <c r="DD351" s="80" t="str">
        <f aca="false">IF(ISBLANK($C351),"",$BM351)</f>
        <v/>
      </c>
      <c r="DE351" s="78" t="str">
        <f aca="false">IF(ISBLANK($C351),"",$CL351)</f>
        <v/>
      </c>
      <c r="DF351" s="78" t="str">
        <f aca="false">IF(ISBLANK($C351),"",$CK351)</f>
        <v/>
      </c>
      <c r="DG351" s="81" t="str">
        <f aca="false">IF(ISBLANK($C351),"",IF($DF351=Constants!$B$7,COUNTA($C$9:$C$508)+2,IF($DF351=Constants!$B$6,COUNTA($C$9:$C$508)+1,IF($DF351=Constants!$B$5,COUNTA($C$9:$C$508),$DF351))))</f>
        <v/>
      </c>
      <c r="DH351" s="7"/>
      <c r="DI351" s="82" t="n">
        <f aca="false">IF(OR(ISNUMBER($DF351),$DF351=Constants!$B$7,$DF351=Constants!$B$5,$DF351=Constants!$B$6),1,0)</f>
        <v>0</v>
      </c>
      <c r="DJ351" s="82" t="n">
        <v>343</v>
      </c>
      <c r="DK351" s="82" t="str">
        <f aca="false">IF(ISBLANK($C351),"",IF(ISNUMBER($DG351),$DG351+ROW($B351)/1000,""))</f>
        <v/>
      </c>
      <c r="DL351" s="82" t="str">
        <f aca="false">IF(ISNUMBER($DK351),RANK($DK351,$DK$9:$DK$508,1),"")</f>
        <v/>
      </c>
      <c r="DM351" s="82" t="str">
        <f aca="false">IF(ISBLANK($C351),"",$B351)</f>
        <v/>
      </c>
      <c r="DN351" s="82" t="str">
        <f aca="false">IF(ISBLANK($C351),"",$C351)</f>
        <v/>
      </c>
      <c r="DO351" s="82" t="str">
        <f aca="false">IF(ISBLANK($C351),"",$D351)</f>
        <v/>
      </c>
      <c r="DP351" s="83" t="str">
        <f aca="false">$DD351</f>
        <v/>
      </c>
      <c r="DQ351" s="84" t="str">
        <f aca="false">$DC351</f>
        <v/>
      </c>
      <c r="DR351" s="82" t="str">
        <f aca="false">IF(ISBLANK($C351),"",$DF351)</f>
        <v/>
      </c>
      <c r="DS351" s="85" t="str">
        <f aca="false">IF($DJ351&gt;$DI$8,"",VLOOKUP($DJ351,$DL$9:$DR$508,7,FALSE()))</f>
        <v/>
      </c>
      <c r="DT351" s="86" t="str">
        <f aca="false">IF($DJ351&gt;$DI$8,"",VLOOKUP($DJ351,$DL$9:$DR$508,2,FALSE()))</f>
        <v/>
      </c>
      <c r="DU351" s="86" t="str">
        <f aca="false">IF($DJ351&gt;$DI$8,"",VLOOKUP($DJ351,$DL$9:$DR$508,3,FALSE()))</f>
        <v/>
      </c>
      <c r="DV351" s="86" t="str">
        <f aca="false">IF($DJ351&gt;$DI$8,"",VLOOKUP($DJ351,$DL$9:$DR$508,4,FALSE()))</f>
        <v/>
      </c>
      <c r="DW351" s="86" t="str">
        <f aca="false">IF($DJ351&gt;$DI$8,"",VLOOKUP($DJ351,$DL$9:$DR$508,5,FALSE()))</f>
        <v/>
      </c>
      <c r="DX351" s="87" t="str">
        <f aca="false">IF($DJ351&gt;$DI$8,"",VLOOKUP($DJ351,$DL$9:$DR$508,6,FALSE()))</f>
        <v/>
      </c>
      <c r="DY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88"/>
      <c r="N352" s="88"/>
      <c r="O352" s="134"/>
      <c r="P352" s="134"/>
      <c r="Q352" s="88"/>
      <c r="R352" s="88"/>
      <c r="S352" s="88"/>
      <c r="T352" s="88"/>
      <c r="U352" s="134"/>
      <c r="V352" s="88"/>
      <c r="W352" s="70"/>
      <c r="X352" s="88"/>
      <c r="Y352" s="88"/>
      <c r="Z352" s="70"/>
      <c r="AA352" s="70"/>
      <c r="AB352" s="88"/>
      <c r="AC352" s="88"/>
      <c r="AD352" s="88"/>
      <c r="AE352" s="71"/>
      <c r="AF352" s="88"/>
      <c r="AG352" s="73"/>
      <c r="AH352" s="74"/>
      <c r="AI352" s="74"/>
      <c r="AJ352" s="74" t="str">
        <f aca="false">IF(ISBLANK($C352),"",IF($E352=Constants!$B$2,TRUE(),IF($E352=Constants!$B$3,FALSE(),TRUE())))</f>
        <v/>
      </c>
      <c r="AK352" s="74" t="str">
        <f aca="false">IF(ISBLANK($C352),"",IF($F352=Constants!$B$2,TRUE(),IF($F352=Constants!$B$3,FALSE(),FALSE())))</f>
        <v/>
      </c>
      <c r="AL352" s="74" t="str">
        <f aca="false">IF(ISBLANK($C352),"",IF($G352=Constants!$B$2,TRUE(),IF($G352=Constants!$B$3,FALSE(),TRUE())))</f>
        <v/>
      </c>
      <c r="AM352" s="74" t="str">
        <f aca="false">IF(ISBLANK($C352),"",IF($H352=Constants!$B$2,TRUE(),IF($H352=Constants!$B$3,FALSE(),TRUE())))</f>
        <v/>
      </c>
      <c r="AN352" s="74" t="str">
        <f aca="false">IF(ISBLANK($C352),"",IF(ISNUMBER($I352),IF($I352&gt;=0,$I352,""),""))</f>
        <v/>
      </c>
      <c r="AO352" s="74" t="str">
        <f aca="false">IF(ISBLANK($C352),"",IF(ISNUMBER($J352),IF($J352&gt;=0,$J352,""),""))</f>
        <v/>
      </c>
      <c r="AP352" s="74" t="str">
        <f aca="false">IF(ISBLANK($C352),"",IF(ISNUMBER($K352),IF($K352&gt;=0,$K352,""),""))</f>
        <v/>
      </c>
      <c r="AQ352" s="74" t="str">
        <f aca="false">IF(ISBLANK($C352),"",IF($L352=Constants!$B$2,TRUE(),IF($L352=Constants!$B$3,FALSE(),TRUE())))</f>
        <v/>
      </c>
      <c r="AR352" s="74" t="str">
        <f aca="false">IF(ISBLANK($C352),"",IF($M352=Constants!$B$2,TRUE(),IF($M352=Constants!$B$3,FALSE(),TRUE())))</f>
        <v/>
      </c>
      <c r="AS352" s="74" t="str">
        <f aca="false">IF(ISBLANK($C352),"",IF($N352=Constants!$B$2,TRUE(),IF($N352=Constants!$B$3,FALSE(),FALSE())))</f>
        <v/>
      </c>
      <c r="AT352" s="74" t="str">
        <f aca="false">IF(ISBLANK($C352),"",IF($O352=Constants!$B$2,TRUE(),IF($O352=Constants!$B$3,FALSE(),TRUE())))</f>
        <v/>
      </c>
      <c r="AU352" s="74" t="str">
        <f aca="false">IF(ISBLANK($C352),"",IF($P352=Constants!$B$2,TRUE(),IF($P352=Constants!$B$3,FALSE(),TRUE())))</f>
        <v/>
      </c>
      <c r="AV352" s="74" t="str">
        <f aca="false">IF(ISBLANK($C352),"",IF($Q352=Constants!$B$2,TRUE(),IF($Q352=Constants!$B$3,FALSE(),FALSE())))</f>
        <v/>
      </c>
      <c r="AW352" s="74" t="str">
        <f aca="false">IF(ISBLANK($C352),"",IF($R352=Constants!$B$2,TRUE(),IF($R352=Constants!$B$3,FALSE(),FALSE())))</f>
        <v/>
      </c>
      <c r="AX352" s="74" t="str">
        <f aca="false">IF(ISBLANK($C352),"",IF($S352=Constants!$B$2,TRUE(),IF($S352=Constants!$B$3,FALSE(),FALSE())))</f>
        <v/>
      </c>
      <c r="AY352" s="74" t="str">
        <f aca="false">IF(ISBLANK($C352),"",IF($T352=Constants!$B$2,TRUE(),IF($T352=Constants!$B$3,FALSE(),FALSE())))</f>
        <v/>
      </c>
      <c r="AZ352" s="74" t="str">
        <f aca="false">IF(ISBLANK($C352),"",IF($U352=Constants!$B$2,TRUE(),IF($U352=Constants!$B$3,FALSE(),FALSE())))</f>
        <v/>
      </c>
      <c r="BA352" s="74" t="str">
        <f aca="false">IF(ISBLANK($C352),"",IF(OR($V352&amp;""="1",$V352&amp;""="2",$V352&amp;""="3",$V352&amp;""="4"),VALUE($V352&amp;""),IF($V352=Constants!$B$12,Constants!$B$12,"")))</f>
        <v/>
      </c>
      <c r="BB352" s="74" t="str">
        <f aca="false">IF(ISBLANK($C352),"",IF(ISBLANK($W352),0,IF(ISNUMBER($W352),IF(AND($W352&gt;=0,$W352&lt;=Constants!$B$21,$W352=INT($W352)),$W352,""),"")))</f>
        <v/>
      </c>
      <c r="BC352" s="74" t="str">
        <f aca="false">IF(ISBLANK($C352),"",IF(ISBLANK($X352),0,IF(ISNUMBER($X352),IF($X352&gt;=0,$X352,""),"")))</f>
        <v/>
      </c>
      <c r="BD352" s="74" t="str">
        <f aca="false">IF(ISBLANK($C352),"",IF($Y352=Constants!$B$2,TRUE(),IF($Y352=Constants!$B$3,FALSE(),TRUE())))</f>
        <v/>
      </c>
      <c r="BE352" s="74" t="str">
        <f aca="false">IF(ISBLANK($C352),"",IF($Z352=Constants!$B$2,TRUE(),IF($Z352=Constants!$B$3,FALSE(),FALSE())))</f>
        <v/>
      </c>
      <c r="BF352" s="74" t="str">
        <f aca="false">IF(ISBLANK($C352),"",IF(ISBLANK($AA352),0,IF(ISNUMBER($AA352),IF(AND($AA352&gt;=0,$AA352&lt;=Constants!$B$35,$AA352=INT($AA352)),$AA352,""),"")))</f>
        <v/>
      </c>
      <c r="BG352" s="74" t="str">
        <f aca="false">IF(ISBLANK($C352),"",IF($AB352=Constants!$B$2,TRUE(),IF($AB352=Constants!$B$3,FALSE(),TRUE())))</f>
        <v/>
      </c>
      <c r="BH352" s="74" t="str">
        <f aca="false">IF(ISBLANK($C352),"",IF($AC352=Constants!$B$2,TRUE(),IF($AC352=Constants!$B$3,FALSE(),TRUE())))</f>
        <v/>
      </c>
      <c r="BI352" s="74" t="str">
        <f aca="false">IF(ISBLANK($C352),"",IF($AD352=Constants!$B$2,TRUE(),IF($AD352=Constants!$B$3,FALSE(),TRUE())))</f>
        <v/>
      </c>
      <c r="BJ352" s="74" t="str">
        <f aca="false">IF(ISBLANK($C352),"",IF(ISNUMBER($AE352),IF($AE352&gt;=0,$AE352,""),""))</f>
        <v/>
      </c>
      <c r="BK352" s="74" t="str">
        <f aca="false">IF(ISBLANK($C352),"",IF($AF352=Constants!$B$2,TRUE(),IF($AF352=Constants!$B$3,FALSE(),FALSE())))</f>
        <v/>
      </c>
      <c r="BL352" s="73" t="str">
        <f aca="false">IF(ISBLANK($C352),"",IF($BK352,Constants!$B$7,IF(COUNTA($E352:$AE352)=0,Constants!$B$6,IF(OR(COUNTA($G352:$AE352)=0,NOT($AM352),$AS352),Constants!$B$5,IF(OR($CM352&lt;&gt;"",$CN352,$CO352,$CP352,$CQ352,$CR352,$CS352),Constants!$B$8,Constants!$B$4)))))</f>
        <v/>
      </c>
      <c r="BM352" s="74" t="str">
        <f aca="false">IF(ISBLANK($C352),"",IF($BL352&lt;&gt;Constants!$B$4,$BL352,IF(OR(NOT($AJ352),NOT($AL352),NOT($AT352)),Constants!$B$11,IF(OR(NOT($AR352),NOT($AU352),NOT($BI352),MAX($AN352,$AO352,$AP352)&gt;Constants!$B$30),Constants!$B$10,Constants!$B$9))))</f>
        <v/>
      </c>
      <c r="BN352" s="74" t="str">
        <f aca="false">IF($BL352&lt;&gt;Constants!$B$4,"",IF(NOT($AL352),0,MIN(Constants!$B$35,$BF352)))</f>
        <v/>
      </c>
      <c r="BO352" s="74" t="str">
        <f aca="false">IF($BL352&lt;&gt;Constants!$B$4,"",IF(NOT($AL352),0,IF($AW352,Constants!$B$18,IF($AV352,Constants!$B$17,0))))</f>
        <v/>
      </c>
      <c r="BP352" s="74" t="str">
        <f aca="false">IF($BL352&lt;&gt;Constants!$B$4,"",IF(NOT($AL352),0,Constants!$B$19*($AK352+$AX352+$AY352+$AZ352)))</f>
        <v/>
      </c>
      <c r="BQ352" s="74" t="str">
        <f aca="false">IF($BL352&lt;&gt;Constants!$B$4,"",IF(OR(NOT($AL352),NOT(ISNUMBER($BA352))),0,CHOOSE($BA352,Constants!$B$13,Constants!$B$14,Constants!$B$15,Constants!$B$16)))</f>
        <v/>
      </c>
      <c r="BR352" s="74" t="str">
        <f aca="false">IF($BL352&lt;&gt;Constants!$B$4,"",IF(NOT($AL352),0,Constants!$B$20*$BB352))</f>
        <v/>
      </c>
      <c r="BS352" s="74" t="str">
        <f aca="false">IF($BL352&lt;&gt;Constants!$B$4,"",IF(AND($AL352,$BD352,$BE352),Constants!$B$22,0))</f>
        <v/>
      </c>
      <c r="BT352" s="74" t="str">
        <f aca="false">IF($BL352&lt;&gt;Constants!$B$4,"",IF(OR(NOT($AL352),NOT($BD352)),0,IF($BJ352&gt;=2*$AH$9,0,Constants!$B$23*INT(ROUND(MIN($BJ352,$AH$9),6)))))</f>
        <v/>
      </c>
      <c r="BU352" s="74" t="str">
        <f aca="false">IF($BL352&lt;&gt;Constants!$B$4,"",IF(NOT($AL352),0,Constants!$B$24*INT(ROUND(MIN($BC352,$AH$9),6))))</f>
        <v/>
      </c>
      <c r="BV352" s="74" t="str">
        <f aca="false">IF($BL352&lt;&gt;Constants!$B$4,"",IF(AND($AL352,$BN352=0),Constants!$B$25,0))</f>
        <v/>
      </c>
      <c r="BW352" s="74" t="str">
        <f aca="false">IF($BL352&lt;&gt;Constants!$B$4,"",MIN(Constants!$B$29,MAX(0,Constants!$B$27*Constants!$B$28*INT(ROUND((Constants!$B$26-$AN352)/Constants!$B$28,6))))+MIN(Constants!$B$29,MAX(0,Constants!$B$27*Constants!$B$28*INT(ROUND((Constants!$B$26-$AO352)/Constants!$B$28,6))))+MIN(Constants!$B$29,MAX(0,Constants!$B$27*Constants!$B$28*INT(ROUND((Constants!$B$26-$AP352)/Constants!$B$28,6)))))</f>
        <v/>
      </c>
      <c r="BX352" s="74" t="str">
        <f aca="false">IF($BL352&lt;&gt;Constants!$B$4,"",IF(NOT($AL352),0,Constants!$B$31*INT(ROUND(MAX(0,MIN($BJ352,2*$AH$9)-$AH$9),6))))</f>
        <v/>
      </c>
      <c r="BY352" s="74" t="str">
        <f aca="false">IF($BL352&lt;&gt;Constants!$B$4,"",Constants!$B$32*(($AN352&gt;Constants!$B$26)+($AO352&gt;Constants!$B$26)+($AP352&gt;Constants!$B$26)))</f>
        <v/>
      </c>
      <c r="BZ352" s="74" t="str">
        <f aca="false">IF($BL352&lt;&gt;Constants!$B$4,"",IF(OR(NOT($AL352),$AQ352),0,Constants!$B$33))</f>
        <v/>
      </c>
      <c r="CA352" s="74" t="str">
        <f aca="false">IF($BL352&lt;&gt;Constants!$B$4,"",Constants!$B$34*$BN352)</f>
        <v/>
      </c>
      <c r="CB352" s="74" t="str">
        <f aca="false">IF($BL352&lt;&gt;Constants!$B$4,"",IF(OR(NOT($AL352),$BH352),0,Constants!$B$36))</f>
        <v/>
      </c>
      <c r="CC352" s="74" t="str">
        <f aca="false">IF($BL352&lt;&gt;Constants!$B$4,"",IF(OR(NOT($AL352),$BG352),0,Constants!$B$37))</f>
        <v/>
      </c>
      <c r="CD352" s="74" t="str">
        <f aca="false">IF($BL352&lt;&gt;Constants!$B$4,"",SUM($BX352:$CC352))</f>
        <v/>
      </c>
      <c r="CE352" s="74" t="str">
        <f aca="false">IF(ISBLANK($C352),"",IF($BL352&lt;&gt;Constants!$B$4,$BL352,SUM($BO352:$BW352)-$CD352))</f>
        <v/>
      </c>
      <c r="CF352" s="74" t="str">
        <f aca="false">IF(ISBLANK($C352),"",IF($BL352&lt;&gt;Constants!$B$4,$BL352,RANK($CE352,$CE$9:$CE$508)))</f>
        <v/>
      </c>
      <c r="CG352" s="74" t="str">
        <f aca="false">IF(ISBLANK($C352),"",IF($BL352&lt;&gt;Constants!$B$4,$BL352,COUNTIFS($BM$9:$BM$508,"&lt;"&amp;$BM352)+COUNTIFS($BM$9:$BM$508,$BM352,$CF$9:$CF$508,"&lt;"&amp;$CF352)+1))</f>
        <v/>
      </c>
      <c r="CH352" s="74" t="str">
        <f aca="false">IF(ISBLANK($C352),"",IF($BL352&lt;&gt;Constants!$B$4,$BL352,RANK($CD352,$CD$9:$CD$508,1)))</f>
        <v/>
      </c>
      <c r="CI352" s="74" t="str">
        <f aca="false">IF($BL352&lt;&gt;Constants!$B$4,"",$AN352+$AO352+$AP352)</f>
        <v/>
      </c>
      <c r="CJ352" s="74" t="str">
        <f aca="false">IF(ISBLANK($C352),"",IF($BL352&lt;&gt;Constants!$B$4,$BL352,RANK($CI352,$CI$9:$CI$508,1)))</f>
        <v/>
      </c>
      <c r="CK352" s="74" t="str">
        <f aca="false">IF(ISBLANK($C352),"",IF($BL352&lt;&gt;Constants!$B$4,$BL352,COUNTIFS($BM$9:$BM$508,"&lt;"&amp;$BM352)+COUNTIFS($BM$9:$BM$508,$BM352,$CF$9:$CF$508,"&lt;"&amp;$CF352)+COUNTIFS($BM$9:$BM$508,$BM352,$CF$9:$CF$508,$CF352,$CH$9:$CH$508,"&lt;"&amp;$CH352)+COUNTIFS($BM$9:$BM$508,$BM352,$CF$9:$CF$508,$CF352,$CH$9:$CH$508,$CH352,$CJ$9:$CJ$508,"&lt;"&amp;$CJ352)+1))</f>
        <v/>
      </c>
      <c r="CL352" s="74" t="str">
        <f aca="false">IF(ISBLANK($C352),"",IF($BL352&lt;&gt;Constants!$B$4,$BL352,$CG352-$CK352))</f>
        <v/>
      </c>
      <c r="CM352" s="74" t="str">
        <f aca="false">IF(ISBLANK($C352),"",IF(NOT($AL352),"",IF(ISBLANK($D$7),$CM$5,IF(NOT(ISNUMBER($D$7)),$CM$6,""))))</f>
        <v/>
      </c>
      <c r="CN352" s="74" t="str">
        <f aca="false">IF(ISBLANK($C352),"",OR($AN352="",$AO352="",$AP352=""))</f>
        <v/>
      </c>
      <c r="CO352" s="74" t="str">
        <f aca="false">IF(ISBLANK($C352),"",AND($AL352,$BA352=""))</f>
        <v/>
      </c>
      <c r="CP352" s="74" t="str">
        <f aca="false">IF(ISBLANK($C352),"",AND($AL352,$BB352=""))</f>
        <v/>
      </c>
      <c r="CQ352" s="74" t="str">
        <f aca="false">IF(ISBLANK($C352),"",AND($AL352,$BC352=""))</f>
        <v/>
      </c>
      <c r="CR352" s="74" t="str">
        <f aca="false">IF(ISBLANK($C352),"",AND($AL352,$BF352=""))</f>
        <v/>
      </c>
      <c r="CS352" s="74" t="str">
        <f aca="false">IF(ISBLANK($C352),"",AND($AL352,$BJ352=""))</f>
        <v/>
      </c>
      <c r="CT352" s="75"/>
      <c r="CU352" s="76"/>
      <c r="CV352" s="79" t="str">
        <f aca="false">IF(ISBLANK($C352),"",IF($BL352=Constants!$B$8,$CM352,""))</f>
        <v/>
      </c>
      <c r="CW352" s="76" t="str">
        <f aca="false">IF(ISBLANK($C352),"",IF($BL352&lt;&gt;Constants!$B$4,"",$BO352+$BP352))</f>
        <v/>
      </c>
      <c r="CX352" s="78" t="str">
        <f aca="false">IF(ISBLANK($C352),"",IF($BL352&lt;&gt;Constants!$B$4,"",$BQ352+$BR352+$BS352))</f>
        <v/>
      </c>
      <c r="CY352" s="78" t="str">
        <f aca="false">IF(ISBLANK($C352),"",IF($BL352&lt;&gt;Constants!$B$4,"",$BT352))</f>
        <v/>
      </c>
      <c r="CZ352" s="78" t="str">
        <f aca="false">IF(ISBLANK($C352),"",IF($BL352&lt;&gt;Constants!$B$4,"",$BU352+$BV352))</f>
        <v/>
      </c>
      <c r="DA352" s="78" t="str">
        <f aca="false">IF(ISBLANK($C352),"",IF($BL352&lt;&gt;Constants!$B$4,"",$BW352))</f>
        <v/>
      </c>
      <c r="DB352" s="78" t="str">
        <f aca="false">IF(ISBLANK($C352),"",IF($BL352&lt;&gt;Constants!$B$4,"",-$CD352))</f>
        <v/>
      </c>
      <c r="DC352" s="79" t="str">
        <f aca="false">IF(ISBLANK($C352),"",$CE352)</f>
        <v/>
      </c>
      <c r="DD352" s="80" t="str">
        <f aca="false">IF(ISBLANK($C352),"",$BM352)</f>
        <v/>
      </c>
      <c r="DE352" s="78" t="str">
        <f aca="false">IF(ISBLANK($C352),"",$CL352)</f>
        <v/>
      </c>
      <c r="DF352" s="78" t="str">
        <f aca="false">IF(ISBLANK($C352),"",$CK352)</f>
        <v/>
      </c>
      <c r="DG352" s="81" t="str">
        <f aca="false">IF(ISBLANK($C352),"",IF($DF352=Constants!$B$7,COUNTA($C$9:$C$508)+2,IF($DF352=Constants!$B$6,COUNTA($C$9:$C$508)+1,IF($DF352=Constants!$B$5,COUNTA($C$9:$C$508),$DF352))))</f>
        <v/>
      </c>
      <c r="DH352" s="7"/>
      <c r="DI352" s="82" t="n">
        <f aca="false">IF(OR(ISNUMBER($DF352),$DF352=Constants!$B$7,$DF352=Constants!$B$5,$DF352=Constants!$B$6),1,0)</f>
        <v>0</v>
      </c>
      <c r="DJ352" s="82" t="n">
        <v>344</v>
      </c>
      <c r="DK352" s="82" t="str">
        <f aca="false">IF(ISBLANK($C352),"",IF(ISNUMBER($DG352),$DG352+ROW($B352)/1000,""))</f>
        <v/>
      </c>
      <c r="DL352" s="82" t="str">
        <f aca="false">IF(ISNUMBER($DK352),RANK($DK352,$DK$9:$DK$508,1),"")</f>
        <v/>
      </c>
      <c r="DM352" s="82" t="str">
        <f aca="false">IF(ISBLANK($C352),"",$B352)</f>
        <v/>
      </c>
      <c r="DN352" s="82" t="str">
        <f aca="false">IF(ISBLANK($C352),"",$C352)</f>
        <v/>
      </c>
      <c r="DO352" s="82" t="str">
        <f aca="false">IF(ISBLANK($C352),"",$D352)</f>
        <v/>
      </c>
      <c r="DP352" s="83" t="str">
        <f aca="false">$DD352</f>
        <v/>
      </c>
      <c r="DQ352" s="84" t="str">
        <f aca="false">$DC352</f>
        <v/>
      </c>
      <c r="DR352" s="82" t="str">
        <f aca="false">IF(ISBLANK($C352),"",$DF352)</f>
        <v/>
      </c>
      <c r="DS352" s="85" t="str">
        <f aca="false">IF($DJ352&gt;$DI$8,"",VLOOKUP($DJ352,$DL$9:$DR$508,7,FALSE()))</f>
        <v/>
      </c>
      <c r="DT352" s="86" t="str">
        <f aca="false">IF($DJ352&gt;$DI$8,"",VLOOKUP($DJ352,$DL$9:$DR$508,2,FALSE()))</f>
        <v/>
      </c>
      <c r="DU352" s="86" t="str">
        <f aca="false">IF($DJ352&gt;$DI$8,"",VLOOKUP($DJ352,$DL$9:$DR$508,3,FALSE()))</f>
        <v/>
      </c>
      <c r="DV352" s="86" t="str">
        <f aca="false">IF($DJ352&gt;$DI$8,"",VLOOKUP($DJ352,$DL$9:$DR$508,4,FALSE()))</f>
        <v/>
      </c>
      <c r="DW352" s="86" t="str">
        <f aca="false">IF($DJ352&gt;$DI$8,"",VLOOKUP($DJ352,$DL$9:$DR$508,5,FALSE()))</f>
        <v/>
      </c>
      <c r="DX352" s="87" t="str">
        <f aca="false">IF($DJ352&gt;$DI$8,"",VLOOKUP($DJ352,$DL$9:$DR$508,6,FALSE()))</f>
        <v/>
      </c>
      <c r="DY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88"/>
      <c r="N353" s="88"/>
      <c r="O353" s="134"/>
      <c r="P353" s="134"/>
      <c r="Q353" s="88"/>
      <c r="R353" s="88"/>
      <c r="S353" s="88"/>
      <c r="T353" s="88"/>
      <c r="U353" s="134"/>
      <c r="V353" s="88"/>
      <c r="W353" s="70"/>
      <c r="X353" s="88"/>
      <c r="Y353" s="88"/>
      <c r="Z353" s="70"/>
      <c r="AA353" s="70"/>
      <c r="AB353" s="88"/>
      <c r="AC353" s="88"/>
      <c r="AD353" s="88"/>
      <c r="AE353" s="71"/>
      <c r="AF353" s="88"/>
      <c r="AG353" s="73"/>
      <c r="AH353" s="74"/>
      <c r="AI353" s="74"/>
      <c r="AJ353" s="74" t="str">
        <f aca="false">IF(ISBLANK($C353),"",IF($E353=Constants!$B$2,TRUE(),IF($E353=Constants!$B$3,FALSE(),TRUE())))</f>
        <v/>
      </c>
      <c r="AK353" s="74" t="str">
        <f aca="false">IF(ISBLANK($C353),"",IF($F353=Constants!$B$2,TRUE(),IF($F353=Constants!$B$3,FALSE(),FALSE())))</f>
        <v/>
      </c>
      <c r="AL353" s="74" t="str">
        <f aca="false">IF(ISBLANK($C353),"",IF($G353=Constants!$B$2,TRUE(),IF($G353=Constants!$B$3,FALSE(),TRUE())))</f>
        <v/>
      </c>
      <c r="AM353" s="74" t="str">
        <f aca="false">IF(ISBLANK($C353),"",IF($H353=Constants!$B$2,TRUE(),IF($H353=Constants!$B$3,FALSE(),TRUE())))</f>
        <v/>
      </c>
      <c r="AN353" s="74" t="str">
        <f aca="false">IF(ISBLANK($C353),"",IF(ISNUMBER($I353),IF($I353&gt;=0,$I353,""),""))</f>
        <v/>
      </c>
      <c r="AO353" s="74" t="str">
        <f aca="false">IF(ISBLANK($C353),"",IF(ISNUMBER($J353),IF($J353&gt;=0,$J353,""),""))</f>
        <v/>
      </c>
      <c r="AP353" s="74" t="str">
        <f aca="false">IF(ISBLANK($C353),"",IF(ISNUMBER($K353),IF($K353&gt;=0,$K353,""),""))</f>
        <v/>
      </c>
      <c r="AQ353" s="74" t="str">
        <f aca="false">IF(ISBLANK($C353),"",IF($L353=Constants!$B$2,TRUE(),IF($L353=Constants!$B$3,FALSE(),TRUE())))</f>
        <v/>
      </c>
      <c r="AR353" s="74" t="str">
        <f aca="false">IF(ISBLANK($C353),"",IF($M353=Constants!$B$2,TRUE(),IF($M353=Constants!$B$3,FALSE(),TRUE())))</f>
        <v/>
      </c>
      <c r="AS353" s="74" t="str">
        <f aca="false">IF(ISBLANK($C353),"",IF($N353=Constants!$B$2,TRUE(),IF($N353=Constants!$B$3,FALSE(),FALSE())))</f>
        <v/>
      </c>
      <c r="AT353" s="74" t="str">
        <f aca="false">IF(ISBLANK($C353),"",IF($O353=Constants!$B$2,TRUE(),IF($O353=Constants!$B$3,FALSE(),TRUE())))</f>
        <v/>
      </c>
      <c r="AU353" s="74" t="str">
        <f aca="false">IF(ISBLANK($C353),"",IF($P353=Constants!$B$2,TRUE(),IF($P353=Constants!$B$3,FALSE(),TRUE())))</f>
        <v/>
      </c>
      <c r="AV353" s="74" t="str">
        <f aca="false">IF(ISBLANK($C353),"",IF($Q353=Constants!$B$2,TRUE(),IF($Q353=Constants!$B$3,FALSE(),FALSE())))</f>
        <v/>
      </c>
      <c r="AW353" s="74" t="str">
        <f aca="false">IF(ISBLANK($C353),"",IF($R353=Constants!$B$2,TRUE(),IF($R353=Constants!$B$3,FALSE(),FALSE())))</f>
        <v/>
      </c>
      <c r="AX353" s="74" t="str">
        <f aca="false">IF(ISBLANK($C353),"",IF($S353=Constants!$B$2,TRUE(),IF($S353=Constants!$B$3,FALSE(),FALSE())))</f>
        <v/>
      </c>
      <c r="AY353" s="74" t="str">
        <f aca="false">IF(ISBLANK($C353),"",IF($T353=Constants!$B$2,TRUE(),IF($T353=Constants!$B$3,FALSE(),FALSE())))</f>
        <v/>
      </c>
      <c r="AZ353" s="74" t="str">
        <f aca="false">IF(ISBLANK($C353),"",IF($U353=Constants!$B$2,TRUE(),IF($U353=Constants!$B$3,FALSE(),FALSE())))</f>
        <v/>
      </c>
      <c r="BA353" s="74" t="str">
        <f aca="false">IF(ISBLANK($C353),"",IF(OR($V353&amp;""="1",$V353&amp;""="2",$V353&amp;""="3",$V353&amp;""="4"),VALUE($V353&amp;""),IF($V353=Constants!$B$12,Constants!$B$12,"")))</f>
        <v/>
      </c>
      <c r="BB353" s="74" t="str">
        <f aca="false">IF(ISBLANK($C353),"",IF(ISBLANK($W353),0,IF(ISNUMBER($W353),IF(AND($W353&gt;=0,$W353&lt;=Constants!$B$21,$W353=INT($W353)),$W353,""),"")))</f>
        <v/>
      </c>
      <c r="BC353" s="74" t="str">
        <f aca="false">IF(ISBLANK($C353),"",IF(ISBLANK($X353),0,IF(ISNUMBER($X353),IF($X353&gt;=0,$X353,""),"")))</f>
        <v/>
      </c>
      <c r="BD353" s="74" t="str">
        <f aca="false">IF(ISBLANK($C353),"",IF($Y353=Constants!$B$2,TRUE(),IF($Y353=Constants!$B$3,FALSE(),TRUE())))</f>
        <v/>
      </c>
      <c r="BE353" s="74" t="str">
        <f aca="false">IF(ISBLANK($C353),"",IF($Z353=Constants!$B$2,TRUE(),IF($Z353=Constants!$B$3,FALSE(),FALSE())))</f>
        <v/>
      </c>
      <c r="BF353" s="74" t="str">
        <f aca="false">IF(ISBLANK($C353),"",IF(ISBLANK($AA353),0,IF(ISNUMBER($AA353),IF(AND($AA353&gt;=0,$AA353&lt;=Constants!$B$35,$AA353=INT($AA353)),$AA353,""),"")))</f>
        <v/>
      </c>
      <c r="BG353" s="74" t="str">
        <f aca="false">IF(ISBLANK($C353),"",IF($AB353=Constants!$B$2,TRUE(),IF($AB353=Constants!$B$3,FALSE(),TRUE())))</f>
        <v/>
      </c>
      <c r="BH353" s="74" t="str">
        <f aca="false">IF(ISBLANK($C353),"",IF($AC353=Constants!$B$2,TRUE(),IF($AC353=Constants!$B$3,FALSE(),TRUE())))</f>
        <v/>
      </c>
      <c r="BI353" s="74" t="str">
        <f aca="false">IF(ISBLANK($C353),"",IF($AD353=Constants!$B$2,TRUE(),IF($AD353=Constants!$B$3,FALSE(),TRUE())))</f>
        <v/>
      </c>
      <c r="BJ353" s="74" t="str">
        <f aca="false">IF(ISBLANK($C353),"",IF(ISNUMBER($AE353),IF($AE353&gt;=0,$AE353,""),""))</f>
        <v/>
      </c>
      <c r="BK353" s="74" t="str">
        <f aca="false">IF(ISBLANK($C353),"",IF($AF353=Constants!$B$2,TRUE(),IF($AF353=Constants!$B$3,FALSE(),FALSE())))</f>
        <v/>
      </c>
      <c r="BL353" s="73" t="str">
        <f aca="false">IF(ISBLANK($C353),"",IF($BK353,Constants!$B$7,IF(COUNTA($E353:$AE353)=0,Constants!$B$6,IF(OR(COUNTA($G353:$AE353)=0,NOT($AM353),$AS353),Constants!$B$5,IF(OR($CM353&lt;&gt;"",$CN353,$CO353,$CP353,$CQ353,$CR353,$CS353),Constants!$B$8,Constants!$B$4)))))</f>
        <v/>
      </c>
      <c r="BM353" s="74" t="str">
        <f aca="false">IF(ISBLANK($C353),"",IF($BL353&lt;&gt;Constants!$B$4,$BL353,IF(OR(NOT($AJ353),NOT($AL353),NOT($AT353)),Constants!$B$11,IF(OR(NOT($AR353),NOT($AU353),NOT($BI353),MAX($AN353,$AO353,$AP353)&gt;Constants!$B$30),Constants!$B$10,Constants!$B$9))))</f>
        <v/>
      </c>
      <c r="BN353" s="74" t="str">
        <f aca="false">IF($BL353&lt;&gt;Constants!$B$4,"",IF(NOT($AL353),0,MIN(Constants!$B$35,$BF353)))</f>
        <v/>
      </c>
      <c r="BO353" s="74" t="str">
        <f aca="false">IF($BL353&lt;&gt;Constants!$B$4,"",IF(NOT($AL353),0,IF($AW353,Constants!$B$18,IF($AV353,Constants!$B$17,0))))</f>
        <v/>
      </c>
      <c r="BP353" s="74" t="str">
        <f aca="false">IF($BL353&lt;&gt;Constants!$B$4,"",IF(NOT($AL353),0,Constants!$B$19*($AK353+$AX353+$AY353+$AZ353)))</f>
        <v/>
      </c>
      <c r="BQ353" s="74" t="str">
        <f aca="false">IF($BL353&lt;&gt;Constants!$B$4,"",IF(OR(NOT($AL353),NOT(ISNUMBER($BA353))),0,CHOOSE($BA353,Constants!$B$13,Constants!$B$14,Constants!$B$15,Constants!$B$16)))</f>
        <v/>
      </c>
      <c r="BR353" s="74" t="str">
        <f aca="false">IF($BL353&lt;&gt;Constants!$B$4,"",IF(NOT($AL353),0,Constants!$B$20*$BB353))</f>
        <v/>
      </c>
      <c r="BS353" s="74" t="str">
        <f aca="false">IF($BL353&lt;&gt;Constants!$B$4,"",IF(AND($AL353,$BD353,$BE353),Constants!$B$22,0))</f>
        <v/>
      </c>
      <c r="BT353" s="74" t="str">
        <f aca="false">IF($BL353&lt;&gt;Constants!$B$4,"",IF(OR(NOT($AL353),NOT($BD353)),0,IF($BJ353&gt;=2*$AH$9,0,Constants!$B$23*INT(ROUND(MIN($BJ353,$AH$9),6)))))</f>
        <v/>
      </c>
      <c r="BU353" s="74" t="str">
        <f aca="false">IF($BL353&lt;&gt;Constants!$B$4,"",IF(NOT($AL353),0,Constants!$B$24*INT(ROUND(MIN($BC353,$AH$9),6))))</f>
        <v/>
      </c>
      <c r="BV353" s="74" t="str">
        <f aca="false">IF($BL353&lt;&gt;Constants!$B$4,"",IF(AND($AL353,$BN353=0),Constants!$B$25,0))</f>
        <v/>
      </c>
      <c r="BW353" s="74" t="str">
        <f aca="false">IF($BL353&lt;&gt;Constants!$B$4,"",MIN(Constants!$B$29,MAX(0,Constants!$B$27*Constants!$B$28*INT(ROUND((Constants!$B$26-$AN353)/Constants!$B$28,6))))+MIN(Constants!$B$29,MAX(0,Constants!$B$27*Constants!$B$28*INT(ROUND((Constants!$B$26-$AO353)/Constants!$B$28,6))))+MIN(Constants!$B$29,MAX(0,Constants!$B$27*Constants!$B$28*INT(ROUND((Constants!$B$26-$AP353)/Constants!$B$28,6)))))</f>
        <v/>
      </c>
      <c r="BX353" s="74" t="str">
        <f aca="false">IF($BL353&lt;&gt;Constants!$B$4,"",IF(NOT($AL353),0,Constants!$B$31*INT(ROUND(MAX(0,MIN($BJ353,2*$AH$9)-$AH$9),6))))</f>
        <v/>
      </c>
      <c r="BY353" s="74" t="str">
        <f aca="false">IF($BL353&lt;&gt;Constants!$B$4,"",Constants!$B$32*(($AN353&gt;Constants!$B$26)+($AO353&gt;Constants!$B$26)+($AP353&gt;Constants!$B$26)))</f>
        <v/>
      </c>
      <c r="BZ353" s="74" t="str">
        <f aca="false">IF($BL353&lt;&gt;Constants!$B$4,"",IF(OR(NOT($AL353),$AQ353),0,Constants!$B$33))</f>
        <v/>
      </c>
      <c r="CA353" s="74" t="str">
        <f aca="false">IF($BL353&lt;&gt;Constants!$B$4,"",Constants!$B$34*$BN353)</f>
        <v/>
      </c>
      <c r="CB353" s="74" t="str">
        <f aca="false">IF($BL353&lt;&gt;Constants!$B$4,"",IF(OR(NOT($AL353),$BH353),0,Constants!$B$36))</f>
        <v/>
      </c>
      <c r="CC353" s="74" t="str">
        <f aca="false">IF($BL353&lt;&gt;Constants!$B$4,"",IF(OR(NOT($AL353),$BG353),0,Constants!$B$37))</f>
        <v/>
      </c>
      <c r="CD353" s="74" t="str">
        <f aca="false">IF($BL353&lt;&gt;Constants!$B$4,"",SUM($BX353:$CC353))</f>
        <v/>
      </c>
      <c r="CE353" s="74" t="str">
        <f aca="false">IF(ISBLANK($C353),"",IF($BL353&lt;&gt;Constants!$B$4,$BL353,SUM($BO353:$BW353)-$CD353))</f>
        <v/>
      </c>
      <c r="CF353" s="74" t="str">
        <f aca="false">IF(ISBLANK($C353),"",IF($BL353&lt;&gt;Constants!$B$4,$BL353,RANK($CE353,$CE$9:$CE$508)))</f>
        <v/>
      </c>
      <c r="CG353" s="74" t="str">
        <f aca="false">IF(ISBLANK($C353),"",IF($BL353&lt;&gt;Constants!$B$4,$BL353,COUNTIFS($BM$9:$BM$508,"&lt;"&amp;$BM353)+COUNTIFS($BM$9:$BM$508,$BM353,$CF$9:$CF$508,"&lt;"&amp;$CF353)+1))</f>
        <v/>
      </c>
      <c r="CH353" s="74" t="str">
        <f aca="false">IF(ISBLANK($C353),"",IF($BL353&lt;&gt;Constants!$B$4,$BL353,RANK($CD353,$CD$9:$CD$508,1)))</f>
        <v/>
      </c>
      <c r="CI353" s="74" t="str">
        <f aca="false">IF($BL353&lt;&gt;Constants!$B$4,"",$AN353+$AO353+$AP353)</f>
        <v/>
      </c>
      <c r="CJ353" s="74" t="str">
        <f aca="false">IF(ISBLANK($C353),"",IF($BL353&lt;&gt;Constants!$B$4,$BL353,RANK($CI353,$CI$9:$CI$508,1)))</f>
        <v/>
      </c>
      <c r="CK353" s="74" t="str">
        <f aca="false">IF(ISBLANK($C353),"",IF($BL353&lt;&gt;Constants!$B$4,$BL353,COUNTIFS($BM$9:$BM$508,"&lt;"&amp;$BM353)+COUNTIFS($BM$9:$BM$508,$BM353,$CF$9:$CF$508,"&lt;"&amp;$CF353)+COUNTIFS($BM$9:$BM$508,$BM353,$CF$9:$CF$508,$CF353,$CH$9:$CH$508,"&lt;"&amp;$CH353)+COUNTIFS($BM$9:$BM$508,$BM353,$CF$9:$CF$508,$CF353,$CH$9:$CH$508,$CH353,$CJ$9:$CJ$508,"&lt;"&amp;$CJ353)+1))</f>
        <v/>
      </c>
      <c r="CL353" s="74" t="str">
        <f aca="false">IF(ISBLANK($C353),"",IF($BL353&lt;&gt;Constants!$B$4,$BL353,$CG353-$CK353))</f>
        <v/>
      </c>
      <c r="CM353" s="74" t="str">
        <f aca="false">IF(ISBLANK($C353),"",IF(NOT($AL353),"",IF(ISBLANK($D$7),$CM$5,IF(NOT(ISNUMBER($D$7)),$CM$6,""))))</f>
        <v/>
      </c>
      <c r="CN353" s="74" t="str">
        <f aca="false">IF(ISBLANK($C353),"",OR($AN353="",$AO353="",$AP353=""))</f>
        <v/>
      </c>
      <c r="CO353" s="74" t="str">
        <f aca="false">IF(ISBLANK($C353),"",AND($AL353,$BA353=""))</f>
        <v/>
      </c>
      <c r="CP353" s="74" t="str">
        <f aca="false">IF(ISBLANK($C353),"",AND($AL353,$BB353=""))</f>
        <v/>
      </c>
      <c r="CQ353" s="74" t="str">
        <f aca="false">IF(ISBLANK($C353),"",AND($AL353,$BC353=""))</f>
        <v/>
      </c>
      <c r="CR353" s="74" t="str">
        <f aca="false">IF(ISBLANK($C353),"",AND($AL353,$BF353=""))</f>
        <v/>
      </c>
      <c r="CS353" s="74" t="str">
        <f aca="false">IF(ISBLANK($C353),"",AND($AL353,$BJ353=""))</f>
        <v/>
      </c>
      <c r="CT353" s="75"/>
      <c r="CU353" s="76"/>
      <c r="CV353" s="79" t="str">
        <f aca="false">IF(ISBLANK($C353),"",IF($BL353=Constants!$B$8,$CM353,""))</f>
        <v/>
      </c>
      <c r="CW353" s="76" t="str">
        <f aca="false">IF(ISBLANK($C353),"",IF($BL353&lt;&gt;Constants!$B$4,"",$BO353+$BP353))</f>
        <v/>
      </c>
      <c r="CX353" s="78" t="str">
        <f aca="false">IF(ISBLANK($C353),"",IF($BL353&lt;&gt;Constants!$B$4,"",$BQ353+$BR353+$BS353))</f>
        <v/>
      </c>
      <c r="CY353" s="78" t="str">
        <f aca="false">IF(ISBLANK($C353),"",IF($BL353&lt;&gt;Constants!$B$4,"",$BT353))</f>
        <v/>
      </c>
      <c r="CZ353" s="78" t="str">
        <f aca="false">IF(ISBLANK($C353),"",IF($BL353&lt;&gt;Constants!$B$4,"",$BU353+$BV353))</f>
        <v/>
      </c>
      <c r="DA353" s="78" t="str">
        <f aca="false">IF(ISBLANK($C353),"",IF($BL353&lt;&gt;Constants!$B$4,"",$BW353))</f>
        <v/>
      </c>
      <c r="DB353" s="78" t="str">
        <f aca="false">IF(ISBLANK($C353),"",IF($BL353&lt;&gt;Constants!$B$4,"",-$CD353))</f>
        <v/>
      </c>
      <c r="DC353" s="79" t="str">
        <f aca="false">IF(ISBLANK($C353),"",$CE353)</f>
        <v/>
      </c>
      <c r="DD353" s="80" t="str">
        <f aca="false">IF(ISBLANK($C353),"",$BM353)</f>
        <v/>
      </c>
      <c r="DE353" s="78" t="str">
        <f aca="false">IF(ISBLANK($C353),"",$CL353)</f>
        <v/>
      </c>
      <c r="DF353" s="78" t="str">
        <f aca="false">IF(ISBLANK($C353),"",$CK353)</f>
        <v/>
      </c>
      <c r="DG353" s="81" t="str">
        <f aca="false">IF(ISBLANK($C353),"",IF($DF353=Constants!$B$7,COUNTA($C$9:$C$508)+2,IF($DF353=Constants!$B$6,COUNTA($C$9:$C$508)+1,IF($DF353=Constants!$B$5,COUNTA($C$9:$C$508),$DF353))))</f>
        <v/>
      </c>
      <c r="DH353" s="7"/>
      <c r="DI353" s="82" t="n">
        <f aca="false">IF(OR(ISNUMBER($DF353),$DF353=Constants!$B$7,$DF353=Constants!$B$5,$DF353=Constants!$B$6),1,0)</f>
        <v>0</v>
      </c>
      <c r="DJ353" s="82" t="n">
        <v>345</v>
      </c>
      <c r="DK353" s="82" t="str">
        <f aca="false">IF(ISBLANK($C353),"",IF(ISNUMBER($DG353),$DG353+ROW($B353)/1000,""))</f>
        <v/>
      </c>
      <c r="DL353" s="82" t="str">
        <f aca="false">IF(ISNUMBER($DK353),RANK($DK353,$DK$9:$DK$508,1),"")</f>
        <v/>
      </c>
      <c r="DM353" s="82" t="str">
        <f aca="false">IF(ISBLANK($C353),"",$B353)</f>
        <v/>
      </c>
      <c r="DN353" s="82" t="str">
        <f aca="false">IF(ISBLANK($C353),"",$C353)</f>
        <v/>
      </c>
      <c r="DO353" s="82" t="str">
        <f aca="false">IF(ISBLANK($C353),"",$D353)</f>
        <v/>
      </c>
      <c r="DP353" s="83" t="str">
        <f aca="false">$DD353</f>
        <v/>
      </c>
      <c r="DQ353" s="84" t="str">
        <f aca="false">$DC353</f>
        <v/>
      </c>
      <c r="DR353" s="82" t="str">
        <f aca="false">IF(ISBLANK($C353),"",$DF353)</f>
        <v/>
      </c>
      <c r="DS353" s="85" t="str">
        <f aca="false">IF($DJ353&gt;$DI$8,"",VLOOKUP($DJ353,$DL$9:$DR$508,7,FALSE()))</f>
        <v/>
      </c>
      <c r="DT353" s="86" t="str">
        <f aca="false">IF($DJ353&gt;$DI$8,"",VLOOKUP($DJ353,$DL$9:$DR$508,2,FALSE()))</f>
        <v/>
      </c>
      <c r="DU353" s="86" t="str">
        <f aca="false">IF($DJ353&gt;$DI$8,"",VLOOKUP($DJ353,$DL$9:$DR$508,3,FALSE()))</f>
        <v/>
      </c>
      <c r="DV353" s="86" t="str">
        <f aca="false">IF($DJ353&gt;$DI$8,"",VLOOKUP($DJ353,$DL$9:$DR$508,4,FALSE()))</f>
        <v/>
      </c>
      <c r="DW353" s="86" t="str">
        <f aca="false">IF($DJ353&gt;$DI$8,"",VLOOKUP($DJ353,$DL$9:$DR$508,5,FALSE()))</f>
        <v/>
      </c>
      <c r="DX353" s="87" t="str">
        <f aca="false">IF($DJ353&gt;$DI$8,"",VLOOKUP($DJ353,$DL$9:$DR$508,6,FALSE()))</f>
        <v/>
      </c>
      <c r="DY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130"/>
      <c r="N354" s="130"/>
      <c r="O354" s="135"/>
      <c r="P354" s="135"/>
      <c r="Q354" s="130"/>
      <c r="R354" s="130"/>
      <c r="S354" s="130"/>
      <c r="T354" s="130"/>
      <c r="U354" s="135"/>
      <c r="V354" s="130"/>
      <c r="W354" s="96"/>
      <c r="X354" s="130"/>
      <c r="Y354" s="130"/>
      <c r="Z354" s="96"/>
      <c r="AA354" s="96"/>
      <c r="AB354" s="130"/>
      <c r="AC354" s="130"/>
      <c r="AD354" s="130"/>
      <c r="AE354" s="97"/>
      <c r="AF354" s="130"/>
      <c r="AG354" s="99"/>
      <c r="AH354" s="100"/>
      <c r="AI354" s="100"/>
      <c r="AJ354" s="100" t="str">
        <f aca="false">IF(ISBLANK($C354),"",IF($E354=Constants!$B$2,TRUE(),IF($E354=Constants!$B$3,FALSE(),TRUE())))</f>
        <v/>
      </c>
      <c r="AK354" s="100" t="str">
        <f aca="false">IF(ISBLANK($C354),"",IF($F354=Constants!$B$2,TRUE(),IF($F354=Constants!$B$3,FALSE(),FALSE())))</f>
        <v/>
      </c>
      <c r="AL354" s="100" t="str">
        <f aca="false">IF(ISBLANK($C354),"",IF($G354=Constants!$B$2,TRUE(),IF($G354=Constants!$B$3,FALSE(),TRUE())))</f>
        <v/>
      </c>
      <c r="AM354" s="100" t="str">
        <f aca="false">IF(ISBLANK($C354),"",IF($H354=Constants!$B$2,TRUE(),IF($H354=Constants!$B$3,FALSE(),TRUE())))</f>
        <v/>
      </c>
      <c r="AN354" s="100" t="str">
        <f aca="false">IF(ISBLANK($C354),"",IF(ISNUMBER($I354),IF($I354&gt;=0,$I354,""),""))</f>
        <v/>
      </c>
      <c r="AO354" s="100" t="str">
        <f aca="false">IF(ISBLANK($C354),"",IF(ISNUMBER($J354),IF($J354&gt;=0,$J354,""),""))</f>
        <v/>
      </c>
      <c r="AP354" s="100" t="str">
        <f aca="false">IF(ISBLANK($C354),"",IF(ISNUMBER($K354),IF($K354&gt;=0,$K354,""),""))</f>
        <v/>
      </c>
      <c r="AQ354" s="100" t="str">
        <f aca="false">IF(ISBLANK($C354),"",IF($L354=Constants!$B$2,TRUE(),IF($L354=Constants!$B$3,FALSE(),TRUE())))</f>
        <v/>
      </c>
      <c r="AR354" s="100" t="str">
        <f aca="false">IF(ISBLANK($C354),"",IF($M354=Constants!$B$2,TRUE(),IF($M354=Constants!$B$3,FALSE(),TRUE())))</f>
        <v/>
      </c>
      <c r="AS354" s="100" t="str">
        <f aca="false">IF(ISBLANK($C354),"",IF($N354=Constants!$B$2,TRUE(),IF($N354=Constants!$B$3,FALSE(),FALSE())))</f>
        <v/>
      </c>
      <c r="AT354" s="100" t="str">
        <f aca="false">IF(ISBLANK($C354),"",IF($O354=Constants!$B$2,TRUE(),IF($O354=Constants!$B$3,FALSE(),TRUE())))</f>
        <v/>
      </c>
      <c r="AU354" s="100" t="str">
        <f aca="false">IF(ISBLANK($C354),"",IF($P354=Constants!$B$2,TRUE(),IF($P354=Constants!$B$3,FALSE(),TRUE())))</f>
        <v/>
      </c>
      <c r="AV354" s="100" t="str">
        <f aca="false">IF(ISBLANK($C354),"",IF($Q354=Constants!$B$2,TRUE(),IF($Q354=Constants!$B$3,FALSE(),FALSE())))</f>
        <v/>
      </c>
      <c r="AW354" s="100" t="str">
        <f aca="false">IF(ISBLANK($C354),"",IF($R354=Constants!$B$2,TRUE(),IF($R354=Constants!$B$3,FALSE(),FALSE())))</f>
        <v/>
      </c>
      <c r="AX354" s="100" t="str">
        <f aca="false">IF(ISBLANK($C354),"",IF($S354=Constants!$B$2,TRUE(),IF($S354=Constants!$B$3,FALSE(),FALSE())))</f>
        <v/>
      </c>
      <c r="AY354" s="100" t="str">
        <f aca="false">IF(ISBLANK($C354),"",IF($T354=Constants!$B$2,TRUE(),IF($T354=Constants!$B$3,FALSE(),FALSE())))</f>
        <v/>
      </c>
      <c r="AZ354" s="100" t="str">
        <f aca="false">IF(ISBLANK($C354),"",IF($U354=Constants!$B$2,TRUE(),IF($U354=Constants!$B$3,FALSE(),FALSE())))</f>
        <v/>
      </c>
      <c r="BA354" s="100" t="str">
        <f aca="false">IF(ISBLANK($C354),"",IF(OR($V354&amp;""="1",$V354&amp;""="2",$V354&amp;""="3",$V354&amp;""="4"),VALUE($V354&amp;""),IF($V354=Constants!$B$12,Constants!$B$12,"")))</f>
        <v/>
      </c>
      <c r="BB354" s="100" t="str">
        <f aca="false">IF(ISBLANK($C354),"",IF(ISBLANK($W354),0,IF(ISNUMBER($W354),IF(AND($W354&gt;=0,$W354&lt;=Constants!$B$21,$W354=INT($W354)),$W354,""),"")))</f>
        <v/>
      </c>
      <c r="BC354" s="100" t="str">
        <f aca="false">IF(ISBLANK($C354),"",IF(ISBLANK($X354),0,IF(ISNUMBER($X354),IF($X354&gt;=0,$X354,""),"")))</f>
        <v/>
      </c>
      <c r="BD354" s="100" t="str">
        <f aca="false">IF(ISBLANK($C354),"",IF($Y354=Constants!$B$2,TRUE(),IF($Y354=Constants!$B$3,FALSE(),TRUE())))</f>
        <v/>
      </c>
      <c r="BE354" s="100" t="str">
        <f aca="false">IF(ISBLANK($C354),"",IF($Z354=Constants!$B$2,TRUE(),IF($Z354=Constants!$B$3,FALSE(),FALSE())))</f>
        <v/>
      </c>
      <c r="BF354" s="100" t="str">
        <f aca="false">IF(ISBLANK($C354),"",IF(ISBLANK($AA354),0,IF(ISNUMBER($AA354),IF(AND($AA354&gt;=0,$AA354&lt;=Constants!$B$35,$AA354=INT($AA354)),$AA354,""),"")))</f>
        <v/>
      </c>
      <c r="BG354" s="100" t="str">
        <f aca="false">IF(ISBLANK($C354),"",IF($AB354=Constants!$B$2,TRUE(),IF($AB354=Constants!$B$3,FALSE(),TRUE())))</f>
        <v/>
      </c>
      <c r="BH354" s="100" t="str">
        <f aca="false">IF(ISBLANK($C354),"",IF($AC354=Constants!$B$2,TRUE(),IF($AC354=Constants!$B$3,FALSE(),TRUE())))</f>
        <v/>
      </c>
      <c r="BI354" s="100" t="str">
        <f aca="false">IF(ISBLANK($C354),"",IF($AD354=Constants!$B$2,TRUE(),IF($AD354=Constants!$B$3,FALSE(),TRUE())))</f>
        <v/>
      </c>
      <c r="BJ354" s="100" t="str">
        <f aca="false">IF(ISBLANK($C354),"",IF(ISNUMBER($AE354),IF($AE354&gt;=0,$AE354,""),""))</f>
        <v/>
      </c>
      <c r="BK354" s="100" t="str">
        <f aca="false">IF(ISBLANK($C354),"",IF($AF354=Constants!$B$2,TRUE(),IF($AF354=Constants!$B$3,FALSE(),FALSE())))</f>
        <v/>
      </c>
      <c r="BL354" s="99" t="str">
        <f aca="false">IF(ISBLANK($C354),"",IF($BK354,Constants!$B$7,IF(COUNTA($E354:$AE354)=0,Constants!$B$6,IF(OR(COUNTA($G354:$AE354)=0,NOT($AM354),$AS354),Constants!$B$5,IF(OR($CM354&lt;&gt;"",$CN354,$CO354,$CP354,$CQ354,$CR354,$CS354),Constants!$B$8,Constants!$B$4)))))</f>
        <v/>
      </c>
      <c r="BM354" s="100" t="str">
        <f aca="false">IF(ISBLANK($C354),"",IF($BL354&lt;&gt;Constants!$B$4,$BL354,IF(OR(NOT($AJ354),NOT($AL354),NOT($AT354)),Constants!$B$11,IF(OR(NOT($AR354),NOT($AU354),NOT($BI354),MAX($AN354,$AO354,$AP354)&gt;Constants!$B$30),Constants!$B$10,Constants!$B$9))))</f>
        <v/>
      </c>
      <c r="BN354" s="100" t="str">
        <f aca="false">IF($BL354&lt;&gt;Constants!$B$4,"",IF(NOT($AL354),0,MIN(Constants!$B$35,$BF354)))</f>
        <v/>
      </c>
      <c r="BO354" s="100" t="str">
        <f aca="false">IF($BL354&lt;&gt;Constants!$B$4,"",IF(NOT($AL354),0,IF($AW354,Constants!$B$18,IF($AV354,Constants!$B$17,0))))</f>
        <v/>
      </c>
      <c r="BP354" s="100" t="str">
        <f aca="false">IF($BL354&lt;&gt;Constants!$B$4,"",IF(NOT($AL354),0,Constants!$B$19*($AK354+$AX354+$AY354+$AZ354)))</f>
        <v/>
      </c>
      <c r="BQ354" s="100" t="str">
        <f aca="false">IF($BL354&lt;&gt;Constants!$B$4,"",IF(OR(NOT($AL354),NOT(ISNUMBER($BA354))),0,CHOOSE($BA354,Constants!$B$13,Constants!$B$14,Constants!$B$15,Constants!$B$16)))</f>
        <v/>
      </c>
      <c r="BR354" s="100" t="str">
        <f aca="false">IF($BL354&lt;&gt;Constants!$B$4,"",IF(NOT($AL354),0,Constants!$B$20*$BB354))</f>
        <v/>
      </c>
      <c r="BS354" s="100" t="str">
        <f aca="false">IF($BL354&lt;&gt;Constants!$B$4,"",IF(AND($AL354,$BD354,$BE354),Constants!$B$22,0))</f>
        <v/>
      </c>
      <c r="BT354" s="100" t="str">
        <f aca="false">IF($BL354&lt;&gt;Constants!$B$4,"",IF(OR(NOT($AL354),NOT($BD354)),0,IF($BJ354&gt;=2*$AH$9,0,Constants!$B$23*INT(ROUND(MIN($BJ354,$AH$9),6)))))</f>
        <v/>
      </c>
      <c r="BU354" s="100" t="str">
        <f aca="false">IF($BL354&lt;&gt;Constants!$B$4,"",IF(NOT($AL354),0,Constants!$B$24*INT(ROUND(MIN($BC354,$AH$9),6))))</f>
        <v/>
      </c>
      <c r="BV354" s="100" t="str">
        <f aca="false">IF($BL354&lt;&gt;Constants!$B$4,"",IF(AND($AL354,$BN354=0),Constants!$B$25,0))</f>
        <v/>
      </c>
      <c r="BW354" s="100" t="str">
        <f aca="false">IF($BL354&lt;&gt;Constants!$B$4,"",MIN(Constants!$B$29,MAX(0,Constants!$B$27*Constants!$B$28*INT(ROUND((Constants!$B$26-$AN354)/Constants!$B$28,6))))+MIN(Constants!$B$29,MAX(0,Constants!$B$27*Constants!$B$28*INT(ROUND((Constants!$B$26-$AO354)/Constants!$B$28,6))))+MIN(Constants!$B$29,MAX(0,Constants!$B$27*Constants!$B$28*INT(ROUND((Constants!$B$26-$AP354)/Constants!$B$28,6)))))</f>
        <v/>
      </c>
      <c r="BX354" s="100" t="str">
        <f aca="false">IF($BL354&lt;&gt;Constants!$B$4,"",IF(NOT($AL354),0,Constants!$B$31*INT(ROUND(MAX(0,MIN($BJ354,2*$AH$9)-$AH$9),6))))</f>
        <v/>
      </c>
      <c r="BY354" s="100" t="str">
        <f aca="false">IF($BL354&lt;&gt;Constants!$B$4,"",Constants!$B$32*(($AN354&gt;Constants!$B$26)+($AO354&gt;Constants!$B$26)+($AP354&gt;Constants!$B$26)))</f>
        <v/>
      </c>
      <c r="BZ354" s="100" t="str">
        <f aca="false">IF($BL354&lt;&gt;Constants!$B$4,"",IF(OR(NOT($AL354),$AQ354),0,Constants!$B$33))</f>
        <v/>
      </c>
      <c r="CA354" s="100" t="str">
        <f aca="false">IF($BL354&lt;&gt;Constants!$B$4,"",Constants!$B$34*$BN354)</f>
        <v/>
      </c>
      <c r="CB354" s="100" t="str">
        <f aca="false">IF($BL354&lt;&gt;Constants!$B$4,"",IF(OR(NOT($AL354),$BH354),0,Constants!$B$36))</f>
        <v/>
      </c>
      <c r="CC354" s="100" t="str">
        <f aca="false">IF($BL354&lt;&gt;Constants!$B$4,"",IF(OR(NOT($AL354),$BG354),0,Constants!$B$37))</f>
        <v/>
      </c>
      <c r="CD354" s="100" t="str">
        <f aca="false">IF($BL354&lt;&gt;Constants!$B$4,"",SUM($BX354:$CC354))</f>
        <v/>
      </c>
      <c r="CE354" s="100" t="str">
        <f aca="false">IF(ISBLANK($C354),"",IF($BL354&lt;&gt;Constants!$B$4,$BL354,SUM($BO354:$BW354)-$CD354))</f>
        <v/>
      </c>
      <c r="CF354" s="100" t="str">
        <f aca="false">IF(ISBLANK($C354),"",IF($BL354&lt;&gt;Constants!$B$4,$BL354,RANK($CE354,$CE$9:$CE$508)))</f>
        <v/>
      </c>
      <c r="CG354" s="100" t="str">
        <f aca="false">IF(ISBLANK($C354),"",IF($BL354&lt;&gt;Constants!$B$4,$BL354,COUNTIFS($BM$9:$BM$508,"&lt;"&amp;$BM354)+COUNTIFS($BM$9:$BM$508,$BM354,$CF$9:$CF$508,"&lt;"&amp;$CF354)+1))</f>
        <v/>
      </c>
      <c r="CH354" s="100" t="str">
        <f aca="false">IF(ISBLANK($C354),"",IF($BL354&lt;&gt;Constants!$B$4,$BL354,RANK($CD354,$CD$9:$CD$508,1)))</f>
        <v/>
      </c>
      <c r="CI354" s="100" t="str">
        <f aca="false">IF($BL354&lt;&gt;Constants!$B$4,"",$AN354+$AO354+$AP354)</f>
        <v/>
      </c>
      <c r="CJ354" s="100" t="str">
        <f aca="false">IF(ISBLANK($C354),"",IF($BL354&lt;&gt;Constants!$B$4,$BL354,RANK($CI354,$CI$9:$CI$508,1)))</f>
        <v/>
      </c>
      <c r="CK354" s="100" t="str">
        <f aca="false">IF(ISBLANK($C354),"",IF($BL354&lt;&gt;Constants!$B$4,$BL354,COUNTIFS($BM$9:$BM$508,"&lt;"&amp;$BM354)+COUNTIFS($BM$9:$BM$508,$BM354,$CF$9:$CF$508,"&lt;"&amp;$CF354)+COUNTIFS($BM$9:$BM$508,$BM354,$CF$9:$CF$508,$CF354,$CH$9:$CH$508,"&lt;"&amp;$CH354)+COUNTIFS($BM$9:$BM$508,$BM354,$CF$9:$CF$508,$CF354,$CH$9:$CH$508,$CH354,$CJ$9:$CJ$508,"&lt;"&amp;$CJ354)+1))</f>
        <v/>
      </c>
      <c r="CL354" s="100" t="str">
        <f aca="false">IF(ISBLANK($C354),"",IF($BL354&lt;&gt;Constants!$B$4,$BL354,$CG354-$CK354))</f>
        <v/>
      </c>
      <c r="CM354" s="100" t="str">
        <f aca="false">IF(ISBLANK($C354),"",IF(NOT($AL354),"",IF(ISBLANK($D$7),$CM$5,IF(NOT(ISNUMBER($D$7)),$CM$6,""))))</f>
        <v/>
      </c>
      <c r="CN354" s="100" t="str">
        <f aca="false">IF(ISBLANK($C354),"",OR($AN354="",$AO354="",$AP354=""))</f>
        <v/>
      </c>
      <c r="CO354" s="100" t="str">
        <f aca="false">IF(ISBLANK($C354),"",AND($AL354,$BA354=""))</f>
        <v/>
      </c>
      <c r="CP354" s="100" t="str">
        <f aca="false">IF(ISBLANK($C354),"",AND($AL354,$BB354=""))</f>
        <v/>
      </c>
      <c r="CQ354" s="100" t="str">
        <f aca="false">IF(ISBLANK($C354),"",AND($AL354,$BC354=""))</f>
        <v/>
      </c>
      <c r="CR354" s="100" t="str">
        <f aca="false">IF(ISBLANK($C354),"",AND($AL354,$BF354=""))</f>
        <v/>
      </c>
      <c r="CS354" s="100" t="str">
        <f aca="false">IF(ISBLANK($C354),"",AND($AL354,$BJ354=""))</f>
        <v/>
      </c>
      <c r="CT354" s="101"/>
      <c r="CU354" s="102"/>
      <c r="CV354" s="103" t="str">
        <f aca="false">IF(ISBLANK($C354),"",IF($BL354=Constants!$B$8,$CM354,""))</f>
        <v/>
      </c>
      <c r="CW354" s="102" t="str">
        <f aca="false">IF(ISBLANK($C354),"",IF($BL354&lt;&gt;Constants!$B$4,"",$BO354+$BP354))</f>
        <v/>
      </c>
      <c r="CX354" s="104" t="str">
        <f aca="false">IF(ISBLANK($C354),"",IF($BL354&lt;&gt;Constants!$B$4,"",$BQ354+$BR354+$BS354))</f>
        <v/>
      </c>
      <c r="CY354" s="104" t="str">
        <f aca="false">IF(ISBLANK($C354),"",IF($BL354&lt;&gt;Constants!$B$4,"",$BT354))</f>
        <v/>
      </c>
      <c r="CZ354" s="104" t="str">
        <f aca="false">IF(ISBLANK($C354),"",IF($BL354&lt;&gt;Constants!$B$4,"",$BU354+$BV354))</f>
        <v/>
      </c>
      <c r="DA354" s="104" t="str">
        <f aca="false">IF(ISBLANK($C354),"",IF($BL354&lt;&gt;Constants!$B$4,"",$BW354))</f>
        <v/>
      </c>
      <c r="DB354" s="104" t="str">
        <f aca="false">IF(ISBLANK($C354),"",IF($BL354&lt;&gt;Constants!$B$4,"",-$CD354))</f>
        <v/>
      </c>
      <c r="DC354" s="103" t="str">
        <f aca="false">IF(ISBLANK($C354),"",$CE354)</f>
        <v/>
      </c>
      <c r="DD354" s="105" t="str">
        <f aca="false">IF(ISBLANK($C354),"",$BM354)</f>
        <v/>
      </c>
      <c r="DE354" s="104" t="str">
        <f aca="false">IF(ISBLANK($C354),"",$CL354)</f>
        <v/>
      </c>
      <c r="DF354" s="104" t="str">
        <f aca="false">IF(ISBLANK($C354),"",$CK354)</f>
        <v/>
      </c>
      <c r="DG354" s="106" t="str">
        <f aca="false">IF(ISBLANK($C354),"",IF($DF354=Constants!$B$7,COUNTA($C$9:$C$508)+2,IF($DF354=Constants!$B$6,COUNTA($C$9:$C$508)+1,IF($DF354=Constants!$B$5,COUNTA($C$9:$C$508),$DF354))))</f>
        <v/>
      </c>
      <c r="DH354" s="7"/>
      <c r="DI354" s="107" t="n">
        <f aca="false">IF(OR(ISNUMBER($DF354),$DF354=Constants!$B$7,$DF354=Constants!$B$5,$DF354=Constants!$B$6),1,0)</f>
        <v>0</v>
      </c>
      <c r="DJ354" s="107" t="n">
        <v>346</v>
      </c>
      <c r="DK354" s="107" t="str">
        <f aca="false">IF(ISBLANK($C354),"",IF(ISNUMBER($DG354),$DG354+ROW($B354)/1000,""))</f>
        <v/>
      </c>
      <c r="DL354" s="107" t="str">
        <f aca="false">IF(ISNUMBER($DK354),RANK($DK354,$DK$9:$DK$508,1),"")</f>
        <v/>
      </c>
      <c r="DM354" s="107" t="str">
        <f aca="false">IF(ISBLANK($C354),"",$B354)</f>
        <v/>
      </c>
      <c r="DN354" s="107" t="str">
        <f aca="false">IF(ISBLANK($C354),"",$C354)</f>
        <v/>
      </c>
      <c r="DO354" s="107" t="str">
        <f aca="false">IF(ISBLANK($C354),"",$D354)</f>
        <v/>
      </c>
      <c r="DP354" s="108" t="str">
        <f aca="false">$DD354</f>
        <v/>
      </c>
      <c r="DQ354" s="109" t="str">
        <f aca="false">$DC354</f>
        <v/>
      </c>
      <c r="DR354" s="107" t="str">
        <f aca="false">IF(ISBLANK($C354),"",$DF354)</f>
        <v/>
      </c>
      <c r="DS354" s="110" t="str">
        <f aca="false">IF($DJ354&gt;$DI$8,"",VLOOKUP($DJ354,$DL$9:$DR$508,7,FALSE()))</f>
        <v/>
      </c>
      <c r="DT354" s="111" t="str">
        <f aca="false">IF($DJ354&gt;$DI$8,"",VLOOKUP($DJ354,$DL$9:$DR$508,2,FALSE()))</f>
        <v/>
      </c>
      <c r="DU354" s="111" t="str">
        <f aca="false">IF($DJ354&gt;$DI$8,"",VLOOKUP($DJ354,$DL$9:$DR$508,3,FALSE()))</f>
        <v/>
      </c>
      <c r="DV354" s="111" t="str">
        <f aca="false">IF($DJ354&gt;$DI$8,"",VLOOKUP($DJ354,$DL$9:$DR$508,4,FALSE()))</f>
        <v/>
      </c>
      <c r="DW354" s="111" t="str">
        <f aca="false">IF($DJ354&gt;$DI$8,"",VLOOKUP($DJ354,$DL$9:$DR$508,5,FALSE()))</f>
        <v/>
      </c>
      <c r="DX354" s="112" t="str">
        <f aca="false">IF($DJ354&gt;$DI$8,"",VLOOKUP($DJ354,$DL$9:$DR$508,6,FALSE()))</f>
        <v/>
      </c>
      <c r="DY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130"/>
      <c r="N355" s="130"/>
      <c r="O355" s="135"/>
      <c r="P355" s="135"/>
      <c r="Q355" s="130"/>
      <c r="R355" s="130"/>
      <c r="S355" s="130"/>
      <c r="T355" s="130"/>
      <c r="U355" s="135"/>
      <c r="V355" s="130"/>
      <c r="W355" s="96"/>
      <c r="X355" s="130"/>
      <c r="Y355" s="130"/>
      <c r="Z355" s="96"/>
      <c r="AA355" s="96"/>
      <c r="AB355" s="130"/>
      <c r="AC355" s="130"/>
      <c r="AD355" s="130"/>
      <c r="AE355" s="97"/>
      <c r="AF355" s="130"/>
      <c r="AG355" s="99"/>
      <c r="AH355" s="100"/>
      <c r="AI355" s="100"/>
      <c r="AJ355" s="100" t="str">
        <f aca="false">IF(ISBLANK($C355),"",IF($E355=Constants!$B$2,TRUE(),IF($E355=Constants!$B$3,FALSE(),TRUE())))</f>
        <v/>
      </c>
      <c r="AK355" s="100" t="str">
        <f aca="false">IF(ISBLANK($C355),"",IF($F355=Constants!$B$2,TRUE(),IF($F355=Constants!$B$3,FALSE(),FALSE())))</f>
        <v/>
      </c>
      <c r="AL355" s="100" t="str">
        <f aca="false">IF(ISBLANK($C355),"",IF($G355=Constants!$B$2,TRUE(),IF($G355=Constants!$B$3,FALSE(),TRUE())))</f>
        <v/>
      </c>
      <c r="AM355" s="100" t="str">
        <f aca="false">IF(ISBLANK($C355),"",IF($H355=Constants!$B$2,TRUE(),IF($H355=Constants!$B$3,FALSE(),TRUE())))</f>
        <v/>
      </c>
      <c r="AN355" s="100" t="str">
        <f aca="false">IF(ISBLANK($C355),"",IF(ISNUMBER($I355),IF($I355&gt;=0,$I355,""),""))</f>
        <v/>
      </c>
      <c r="AO355" s="100" t="str">
        <f aca="false">IF(ISBLANK($C355),"",IF(ISNUMBER($J355),IF($J355&gt;=0,$J355,""),""))</f>
        <v/>
      </c>
      <c r="AP355" s="100" t="str">
        <f aca="false">IF(ISBLANK($C355),"",IF(ISNUMBER($K355),IF($K355&gt;=0,$K355,""),""))</f>
        <v/>
      </c>
      <c r="AQ355" s="100" t="str">
        <f aca="false">IF(ISBLANK($C355),"",IF($L355=Constants!$B$2,TRUE(),IF($L355=Constants!$B$3,FALSE(),TRUE())))</f>
        <v/>
      </c>
      <c r="AR355" s="100" t="str">
        <f aca="false">IF(ISBLANK($C355),"",IF($M355=Constants!$B$2,TRUE(),IF($M355=Constants!$B$3,FALSE(),TRUE())))</f>
        <v/>
      </c>
      <c r="AS355" s="100" t="str">
        <f aca="false">IF(ISBLANK($C355),"",IF($N355=Constants!$B$2,TRUE(),IF($N355=Constants!$B$3,FALSE(),FALSE())))</f>
        <v/>
      </c>
      <c r="AT355" s="100" t="str">
        <f aca="false">IF(ISBLANK($C355),"",IF($O355=Constants!$B$2,TRUE(),IF($O355=Constants!$B$3,FALSE(),TRUE())))</f>
        <v/>
      </c>
      <c r="AU355" s="100" t="str">
        <f aca="false">IF(ISBLANK($C355),"",IF($P355=Constants!$B$2,TRUE(),IF($P355=Constants!$B$3,FALSE(),TRUE())))</f>
        <v/>
      </c>
      <c r="AV355" s="100" t="str">
        <f aca="false">IF(ISBLANK($C355),"",IF($Q355=Constants!$B$2,TRUE(),IF($Q355=Constants!$B$3,FALSE(),FALSE())))</f>
        <v/>
      </c>
      <c r="AW355" s="100" t="str">
        <f aca="false">IF(ISBLANK($C355),"",IF($R355=Constants!$B$2,TRUE(),IF($R355=Constants!$B$3,FALSE(),FALSE())))</f>
        <v/>
      </c>
      <c r="AX355" s="100" t="str">
        <f aca="false">IF(ISBLANK($C355),"",IF($S355=Constants!$B$2,TRUE(),IF($S355=Constants!$B$3,FALSE(),FALSE())))</f>
        <v/>
      </c>
      <c r="AY355" s="100" t="str">
        <f aca="false">IF(ISBLANK($C355),"",IF($T355=Constants!$B$2,TRUE(),IF($T355=Constants!$B$3,FALSE(),FALSE())))</f>
        <v/>
      </c>
      <c r="AZ355" s="100" t="str">
        <f aca="false">IF(ISBLANK($C355),"",IF($U355=Constants!$B$2,TRUE(),IF($U355=Constants!$B$3,FALSE(),FALSE())))</f>
        <v/>
      </c>
      <c r="BA355" s="100" t="str">
        <f aca="false">IF(ISBLANK($C355),"",IF(OR($V355&amp;""="1",$V355&amp;""="2",$V355&amp;""="3",$V355&amp;""="4"),VALUE($V355&amp;""),IF($V355=Constants!$B$12,Constants!$B$12,"")))</f>
        <v/>
      </c>
      <c r="BB355" s="100" t="str">
        <f aca="false">IF(ISBLANK($C355),"",IF(ISBLANK($W355),0,IF(ISNUMBER($W355),IF(AND($W355&gt;=0,$W355&lt;=Constants!$B$21,$W355=INT($W355)),$W355,""),"")))</f>
        <v/>
      </c>
      <c r="BC355" s="100" t="str">
        <f aca="false">IF(ISBLANK($C355),"",IF(ISBLANK($X355),0,IF(ISNUMBER($X355),IF($X355&gt;=0,$X355,""),"")))</f>
        <v/>
      </c>
      <c r="BD355" s="100" t="str">
        <f aca="false">IF(ISBLANK($C355),"",IF($Y355=Constants!$B$2,TRUE(),IF($Y355=Constants!$B$3,FALSE(),TRUE())))</f>
        <v/>
      </c>
      <c r="BE355" s="100" t="str">
        <f aca="false">IF(ISBLANK($C355),"",IF($Z355=Constants!$B$2,TRUE(),IF($Z355=Constants!$B$3,FALSE(),FALSE())))</f>
        <v/>
      </c>
      <c r="BF355" s="100" t="str">
        <f aca="false">IF(ISBLANK($C355),"",IF(ISBLANK($AA355),0,IF(ISNUMBER($AA355),IF(AND($AA355&gt;=0,$AA355&lt;=Constants!$B$35,$AA355=INT($AA355)),$AA355,""),"")))</f>
        <v/>
      </c>
      <c r="BG355" s="100" t="str">
        <f aca="false">IF(ISBLANK($C355),"",IF($AB355=Constants!$B$2,TRUE(),IF($AB355=Constants!$B$3,FALSE(),TRUE())))</f>
        <v/>
      </c>
      <c r="BH355" s="100" t="str">
        <f aca="false">IF(ISBLANK($C355),"",IF($AC355=Constants!$B$2,TRUE(),IF($AC355=Constants!$B$3,FALSE(),TRUE())))</f>
        <v/>
      </c>
      <c r="BI355" s="100" t="str">
        <f aca="false">IF(ISBLANK($C355),"",IF($AD355=Constants!$B$2,TRUE(),IF($AD355=Constants!$B$3,FALSE(),TRUE())))</f>
        <v/>
      </c>
      <c r="BJ355" s="100" t="str">
        <f aca="false">IF(ISBLANK($C355),"",IF(ISNUMBER($AE355),IF($AE355&gt;=0,$AE355,""),""))</f>
        <v/>
      </c>
      <c r="BK355" s="100" t="str">
        <f aca="false">IF(ISBLANK($C355),"",IF($AF355=Constants!$B$2,TRUE(),IF($AF355=Constants!$B$3,FALSE(),FALSE())))</f>
        <v/>
      </c>
      <c r="BL355" s="99" t="str">
        <f aca="false">IF(ISBLANK($C355),"",IF($BK355,Constants!$B$7,IF(COUNTA($E355:$AE355)=0,Constants!$B$6,IF(OR(COUNTA($G355:$AE355)=0,NOT($AM355),$AS355),Constants!$B$5,IF(OR($CM355&lt;&gt;"",$CN355,$CO355,$CP355,$CQ355,$CR355,$CS355),Constants!$B$8,Constants!$B$4)))))</f>
        <v/>
      </c>
      <c r="BM355" s="100" t="str">
        <f aca="false">IF(ISBLANK($C355),"",IF($BL355&lt;&gt;Constants!$B$4,$BL355,IF(OR(NOT($AJ355),NOT($AL355),NOT($AT355)),Constants!$B$11,IF(OR(NOT($AR355),NOT($AU355),NOT($BI355),MAX($AN355,$AO355,$AP355)&gt;Constants!$B$30),Constants!$B$10,Constants!$B$9))))</f>
        <v/>
      </c>
      <c r="BN355" s="100" t="str">
        <f aca="false">IF($BL355&lt;&gt;Constants!$B$4,"",IF(NOT($AL355),0,MIN(Constants!$B$35,$BF355)))</f>
        <v/>
      </c>
      <c r="BO355" s="100" t="str">
        <f aca="false">IF($BL355&lt;&gt;Constants!$B$4,"",IF(NOT($AL355),0,IF($AW355,Constants!$B$18,IF($AV355,Constants!$B$17,0))))</f>
        <v/>
      </c>
      <c r="BP355" s="100" t="str">
        <f aca="false">IF($BL355&lt;&gt;Constants!$B$4,"",IF(NOT($AL355),0,Constants!$B$19*($AK355+$AX355+$AY355+$AZ355)))</f>
        <v/>
      </c>
      <c r="BQ355" s="100" t="str">
        <f aca="false">IF($BL355&lt;&gt;Constants!$B$4,"",IF(OR(NOT($AL355),NOT(ISNUMBER($BA355))),0,CHOOSE($BA355,Constants!$B$13,Constants!$B$14,Constants!$B$15,Constants!$B$16)))</f>
        <v/>
      </c>
      <c r="BR355" s="100" t="str">
        <f aca="false">IF($BL355&lt;&gt;Constants!$B$4,"",IF(NOT($AL355),0,Constants!$B$20*$BB355))</f>
        <v/>
      </c>
      <c r="BS355" s="100" t="str">
        <f aca="false">IF($BL355&lt;&gt;Constants!$B$4,"",IF(AND($AL355,$BD355,$BE355),Constants!$B$22,0))</f>
        <v/>
      </c>
      <c r="BT355" s="100" t="str">
        <f aca="false">IF($BL355&lt;&gt;Constants!$B$4,"",IF(OR(NOT($AL355),NOT($BD355)),0,IF($BJ355&gt;=2*$AH$9,0,Constants!$B$23*INT(ROUND(MIN($BJ355,$AH$9),6)))))</f>
        <v/>
      </c>
      <c r="BU355" s="100" t="str">
        <f aca="false">IF($BL355&lt;&gt;Constants!$B$4,"",IF(NOT($AL355),0,Constants!$B$24*INT(ROUND(MIN($BC355,$AH$9),6))))</f>
        <v/>
      </c>
      <c r="BV355" s="100" t="str">
        <f aca="false">IF($BL355&lt;&gt;Constants!$B$4,"",IF(AND($AL355,$BN355=0),Constants!$B$25,0))</f>
        <v/>
      </c>
      <c r="BW355" s="100" t="str">
        <f aca="false">IF($BL355&lt;&gt;Constants!$B$4,"",MIN(Constants!$B$29,MAX(0,Constants!$B$27*Constants!$B$28*INT(ROUND((Constants!$B$26-$AN355)/Constants!$B$28,6))))+MIN(Constants!$B$29,MAX(0,Constants!$B$27*Constants!$B$28*INT(ROUND((Constants!$B$26-$AO355)/Constants!$B$28,6))))+MIN(Constants!$B$29,MAX(0,Constants!$B$27*Constants!$B$28*INT(ROUND((Constants!$B$26-$AP355)/Constants!$B$28,6)))))</f>
        <v/>
      </c>
      <c r="BX355" s="100" t="str">
        <f aca="false">IF($BL355&lt;&gt;Constants!$B$4,"",IF(NOT($AL355),0,Constants!$B$31*INT(ROUND(MAX(0,MIN($BJ355,2*$AH$9)-$AH$9),6))))</f>
        <v/>
      </c>
      <c r="BY355" s="100" t="str">
        <f aca="false">IF($BL355&lt;&gt;Constants!$B$4,"",Constants!$B$32*(($AN355&gt;Constants!$B$26)+($AO355&gt;Constants!$B$26)+($AP355&gt;Constants!$B$26)))</f>
        <v/>
      </c>
      <c r="BZ355" s="100" t="str">
        <f aca="false">IF($BL355&lt;&gt;Constants!$B$4,"",IF(OR(NOT($AL355),$AQ355),0,Constants!$B$33))</f>
        <v/>
      </c>
      <c r="CA355" s="100" t="str">
        <f aca="false">IF($BL355&lt;&gt;Constants!$B$4,"",Constants!$B$34*$BN355)</f>
        <v/>
      </c>
      <c r="CB355" s="100" t="str">
        <f aca="false">IF($BL355&lt;&gt;Constants!$B$4,"",IF(OR(NOT($AL355),$BH355),0,Constants!$B$36))</f>
        <v/>
      </c>
      <c r="CC355" s="100" t="str">
        <f aca="false">IF($BL355&lt;&gt;Constants!$B$4,"",IF(OR(NOT($AL355),$BG355),0,Constants!$B$37))</f>
        <v/>
      </c>
      <c r="CD355" s="100" t="str">
        <f aca="false">IF($BL355&lt;&gt;Constants!$B$4,"",SUM($BX355:$CC355))</f>
        <v/>
      </c>
      <c r="CE355" s="100" t="str">
        <f aca="false">IF(ISBLANK($C355),"",IF($BL355&lt;&gt;Constants!$B$4,$BL355,SUM($BO355:$BW355)-$CD355))</f>
        <v/>
      </c>
      <c r="CF355" s="100" t="str">
        <f aca="false">IF(ISBLANK($C355),"",IF($BL355&lt;&gt;Constants!$B$4,$BL355,RANK($CE355,$CE$9:$CE$508)))</f>
        <v/>
      </c>
      <c r="CG355" s="100" t="str">
        <f aca="false">IF(ISBLANK($C355),"",IF($BL355&lt;&gt;Constants!$B$4,$BL355,COUNTIFS($BM$9:$BM$508,"&lt;"&amp;$BM355)+COUNTIFS($BM$9:$BM$508,$BM355,$CF$9:$CF$508,"&lt;"&amp;$CF355)+1))</f>
        <v/>
      </c>
      <c r="CH355" s="100" t="str">
        <f aca="false">IF(ISBLANK($C355),"",IF($BL355&lt;&gt;Constants!$B$4,$BL355,RANK($CD355,$CD$9:$CD$508,1)))</f>
        <v/>
      </c>
      <c r="CI355" s="100" t="str">
        <f aca="false">IF($BL355&lt;&gt;Constants!$B$4,"",$AN355+$AO355+$AP355)</f>
        <v/>
      </c>
      <c r="CJ355" s="100" t="str">
        <f aca="false">IF(ISBLANK($C355),"",IF($BL355&lt;&gt;Constants!$B$4,$BL355,RANK($CI355,$CI$9:$CI$508,1)))</f>
        <v/>
      </c>
      <c r="CK355" s="100" t="str">
        <f aca="false">IF(ISBLANK($C355),"",IF($BL355&lt;&gt;Constants!$B$4,$BL355,COUNTIFS($BM$9:$BM$508,"&lt;"&amp;$BM355)+COUNTIFS($BM$9:$BM$508,$BM355,$CF$9:$CF$508,"&lt;"&amp;$CF355)+COUNTIFS($BM$9:$BM$508,$BM355,$CF$9:$CF$508,$CF355,$CH$9:$CH$508,"&lt;"&amp;$CH355)+COUNTIFS($BM$9:$BM$508,$BM355,$CF$9:$CF$508,$CF355,$CH$9:$CH$508,$CH355,$CJ$9:$CJ$508,"&lt;"&amp;$CJ355)+1))</f>
        <v/>
      </c>
      <c r="CL355" s="100" t="str">
        <f aca="false">IF(ISBLANK($C355),"",IF($BL355&lt;&gt;Constants!$B$4,$BL355,$CG355-$CK355))</f>
        <v/>
      </c>
      <c r="CM355" s="100" t="str">
        <f aca="false">IF(ISBLANK($C355),"",IF(NOT($AL355),"",IF(ISBLANK($D$7),$CM$5,IF(NOT(ISNUMBER($D$7)),$CM$6,""))))</f>
        <v/>
      </c>
      <c r="CN355" s="100" t="str">
        <f aca="false">IF(ISBLANK($C355),"",OR($AN355="",$AO355="",$AP355=""))</f>
        <v/>
      </c>
      <c r="CO355" s="100" t="str">
        <f aca="false">IF(ISBLANK($C355),"",AND($AL355,$BA355=""))</f>
        <v/>
      </c>
      <c r="CP355" s="100" t="str">
        <f aca="false">IF(ISBLANK($C355),"",AND($AL355,$BB355=""))</f>
        <v/>
      </c>
      <c r="CQ355" s="100" t="str">
        <f aca="false">IF(ISBLANK($C355),"",AND($AL355,$BC355=""))</f>
        <v/>
      </c>
      <c r="CR355" s="100" t="str">
        <f aca="false">IF(ISBLANK($C355),"",AND($AL355,$BF355=""))</f>
        <v/>
      </c>
      <c r="CS355" s="100" t="str">
        <f aca="false">IF(ISBLANK($C355),"",AND($AL355,$BJ355=""))</f>
        <v/>
      </c>
      <c r="CT355" s="101"/>
      <c r="CU355" s="102"/>
      <c r="CV355" s="103" t="str">
        <f aca="false">IF(ISBLANK($C355),"",IF($BL355=Constants!$B$8,$CM355,""))</f>
        <v/>
      </c>
      <c r="CW355" s="102" t="str">
        <f aca="false">IF(ISBLANK($C355),"",IF($BL355&lt;&gt;Constants!$B$4,"",$BO355+$BP355))</f>
        <v/>
      </c>
      <c r="CX355" s="104" t="str">
        <f aca="false">IF(ISBLANK($C355),"",IF($BL355&lt;&gt;Constants!$B$4,"",$BQ355+$BR355+$BS355))</f>
        <v/>
      </c>
      <c r="CY355" s="104" t="str">
        <f aca="false">IF(ISBLANK($C355),"",IF($BL355&lt;&gt;Constants!$B$4,"",$BT355))</f>
        <v/>
      </c>
      <c r="CZ355" s="104" t="str">
        <f aca="false">IF(ISBLANK($C355),"",IF($BL355&lt;&gt;Constants!$B$4,"",$BU355+$BV355))</f>
        <v/>
      </c>
      <c r="DA355" s="104" t="str">
        <f aca="false">IF(ISBLANK($C355),"",IF($BL355&lt;&gt;Constants!$B$4,"",$BW355))</f>
        <v/>
      </c>
      <c r="DB355" s="104" t="str">
        <f aca="false">IF(ISBLANK($C355),"",IF($BL355&lt;&gt;Constants!$B$4,"",-$CD355))</f>
        <v/>
      </c>
      <c r="DC355" s="103" t="str">
        <f aca="false">IF(ISBLANK($C355),"",$CE355)</f>
        <v/>
      </c>
      <c r="DD355" s="105" t="str">
        <f aca="false">IF(ISBLANK($C355),"",$BM355)</f>
        <v/>
      </c>
      <c r="DE355" s="104" t="str">
        <f aca="false">IF(ISBLANK($C355),"",$CL355)</f>
        <v/>
      </c>
      <c r="DF355" s="104" t="str">
        <f aca="false">IF(ISBLANK($C355),"",$CK355)</f>
        <v/>
      </c>
      <c r="DG355" s="106" t="str">
        <f aca="false">IF(ISBLANK($C355),"",IF($DF355=Constants!$B$7,COUNTA($C$9:$C$508)+2,IF($DF355=Constants!$B$6,COUNTA($C$9:$C$508)+1,IF($DF355=Constants!$B$5,COUNTA($C$9:$C$508),$DF355))))</f>
        <v/>
      </c>
      <c r="DH355" s="7"/>
      <c r="DI355" s="107" t="n">
        <f aca="false">IF(OR(ISNUMBER($DF355),$DF355=Constants!$B$7,$DF355=Constants!$B$5,$DF355=Constants!$B$6),1,0)</f>
        <v>0</v>
      </c>
      <c r="DJ355" s="107" t="n">
        <v>347</v>
      </c>
      <c r="DK355" s="107" t="str">
        <f aca="false">IF(ISBLANK($C355),"",IF(ISNUMBER($DG355),$DG355+ROW($B355)/1000,""))</f>
        <v/>
      </c>
      <c r="DL355" s="107" t="str">
        <f aca="false">IF(ISNUMBER($DK355),RANK($DK355,$DK$9:$DK$508,1),"")</f>
        <v/>
      </c>
      <c r="DM355" s="107" t="str">
        <f aca="false">IF(ISBLANK($C355),"",$B355)</f>
        <v/>
      </c>
      <c r="DN355" s="107" t="str">
        <f aca="false">IF(ISBLANK($C355),"",$C355)</f>
        <v/>
      </c>
      <c r="DO355" s="107" t="str">
        <f aca="false">IF(ISBLANK($C355),"",$D355)</f>
        <v/>
      </c>
      <c r="DP355" s="108" t="str">
        <f aca="false">$DD355</f>
        <v/>
      </c>
      <c r="DQ355" s="109" t="str">
        <f aca="false">$DC355</f>
        <v/>
      </c>
      <c r="DR355" s="107" t="str">
        <f aca="false">IF(ISBLANK($C355),"",$DF355)</f>
        <v/>
      </c>
      <c r="DS355" s="110" t="str">
        <f aca="false">IF($DJ355&gt;$DI$8,"",VLOOKUP($DJ355,$DL$9:$DR$508,7,FALSE()))</f>
        <v/>
      </c>
      <c r="DT355" s="111" t="str">
        <f aca="false">IF($DJ355&gt;$DI$8,"",VLOOKUP($DJ355,$DL$9:$DR$508,2,FALSE()))</f>
        <v/>
      </c>
      <c r="DU355" s="111" t="str">
        <f aca="false">IF($DJ355&gt;$DI$8,"",VLOOKUP($DJ355,$DL$9:$DR$508,3,FALSE()))</f>
        <v/>
      </c>
      <c r="DV355" s="111" t="str">
        <f aca="false">IF($DJ355&gt;$DI$8,"",VLOOKUP($DJ355,$DL$9:$DR$508,4,FALSE()))</f>
        <v/>
      </c>
      <c r="DW355" s="111" t="str">
        <f aca="false">IF($DJ355&gt;$DI$8,"",VLOOKUP($DJ355,$DL$9:$DR$508,5,FALSE()))</f>
        <v/>
      </c>
      <c r="DX355" s="112" t="str">
        <f aca="false">IF($DJ355&gt;$DI$8,"",VLOOKUP($DJ355,$DL$9:$DR$508,6,FALSE()))</f>
        <v/>
      </c>
      <c r="DY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130"/>
      <c r="N356" s="130"/>
      <c r="O356" s="135"/>
      <c r="P356" s="135"/>
      <c r="Q356" s="130"/>
      <c r="R356" s="130"/>
      <c r="S356" s="130"/>
      <c r="T356" s="130"/>
      <c r="U356" s="135"/>
      <c r="V356" s="130"/>
      <c r="W356" s="96"/>
      <c r="X356" s="130"/>
      <c r="Y356" s="130"/>
      <c r="Z356" s="96"/>
      <c r="AA356" s="96"/>
      <c r="AB356" s="130"/>
      <c r="AC356" s="130"/>
      <c r="AD356" s="130"/>
      <c r="AE356" s="97"/>
      <c r="AF356" s="130"/>
      <c r="AG356" s="99"/>
      <c r="AH356" s="100"/>
      <c r="AI356" s="100"/>
      <c r="AJ356" s="100" t="str">
        <f aca="false">IF(ISBLANK($C356),"",IF($E356=Constants!$B$2,TRUE(),IF($E356=Constants!$B$3,FALSE(),TRUE())))</f>
        <v/>
      </c>
      <c r="AK356" s="100" t="str">
        <f aca="false">IF(ISBLANK($C356),"",IF($F356=Constants!$B$2,TRUE(),IF($F356=Constants!$B$3,FALSE(),FALSE())))</f>
        <v/>
      </c>
      <c r="AL356" s="100" t="str">
        <f aca="false">IF(ISBLANK($C356),"",IF($G356=Constants!$B$2,TRUE(),IF($G356=Constants!$B$3,FALSE(),TRUE())))</f>
        <v/>
      </c>
      <c r="AM356" s="100" t="str">
        <f aca="false">IF(ISBLANK($C356),"",IF($H356=Constants!$B$2,TRUE(),IF($H356=Constants!$B$3,FALSE(),TRUE())))</f>
        <v/>
      </c>
      <c r="AN356" s="100" t="str">
        <f aca="false">IF(ISBLANK($C356),"",IF(ISNUMBER($I356),IF($I356&gt;=0,$I356,""),""))</f>
        <v/>
      </c>
      <c r="AO356" s="100" t="str">
        <f aca="false">IF(ISBLANK($C356),"",IF(ISNUMBER($J356),IF($J356&gt;=0,$J356,""),""))</f>
        <v/>
      </c>
      <c r="AP356" s="100" t="str">
        <f aca="false">IF(ISBLANK($C356),"",IF(ISNUMBER($K356),IF($K356&gt;=0,$K356,""),""))</f>
        <v/>
      </c>
      <c r="AQ356" s="100" t="str">
        <f aca="false">IF(ISBLANK($C356),"",IF($L356=Constants!$B$2,TRUE(),IF($L356=Constants!$B$3,FALSE(),TRUE())))</f>
        <v/>
      </c>
      <c r="AR356" s="100" t="str">
        <f aca="false">IF(ISBLANK($C356),"",IF($M356=Constants!$B$2,TRUE(),IF($M356=Constants!$B$3,FALSE(),TRUE())))</f>
        <v/>
      </c>
      <c r="AS356" s="100" t="str">
        <f aca="false">IF(ISBLANK($C356),"",IF($N356=Constants!$B$2,TRUE(),IF($N356=Constants!$B$3,FALSE(),FALSE())))</f>
        <v/>
      </c>
      <c r="AT356" s="100" t="str">
        <f aca="false">IF(ISBLANK($C356),"",IF($O356=Constants!$B$2,TRUE(),IF($O356=Constants!$B$3,FALSE(),TRUE())))</f>
        <v/>
      </c>
      <c r="AU356" s="100" t="str">
        <f aca="false">IF(ISBLANK($C356),"",IF($P356=Constants!$B$2,TRUE(),IF($P356=Constants!$B$3,FALSE(),TRUE())))</f>
        <v/>
      </c>
      <c r="AV356" s="100" t="str">
        <f aca="false">IF(ISBLANK($C356),"",IF($Q356=Constants!$B$2,TRUE(),IF($Q356=Constants!$B$3,FALSE(),FALSE())))</f>
        <v/>
      </c>
      <c r="AW356" s="100" t="str">
        <f aca="false">IF(ISBLANK($C356),"",IF($R356=Constants!$B$2,TRUE(),IF($R356=Constants!$B$3,FALSE(),FALSE())))</f>
        <v/>
      </c>
      <c r="AX356" s="100" t="str">
        <f aca="false">IF(ISBLANK($C356),"",IF($S356=Constants!$B$2,TRUE(),IF($S356=Constants!$B$3,FALSE(),FALSE())))</f>
        <v/>
      </c>
      <c r="AY356" s="100" t="str">
        <f aca="false">IF(ISBLANK($C356),"",IF($T356=Constants!$B$2,TRUE(),IF($T356=Constants!$B$3,FALSE(),FALSE())))</f>
        <v/>
      </c>
      <c r="AZ356" s="100" t="str">
        <f aca="false">IF(ISBLANK($C356),"",IF($U356=Constants!$B$2,TRUE(),IF($U356=Constants!$B$3,FALSE(),FALSE())))</f>
        <v/>
      </c>
      <c r="BA356" s="100" t="str">
        <f aca="false">IF(ISBLANK($C356),"",IF(OR($V356&amp;""="1",$V356&amp;""="2",$V356&amp;""="3",$V356&amp;""="4"),VALUE($V356&amp;""),IF($V356=Constants!$B$12,Constants!$B$12,"")))</f>
        <v/>
      </c>
      <c r="BB356" s="100" t="str">
        <f aca="false">IF(ISBLANK($C356),"",IF(ISBLANK($W356),0,IF(ISNUMBER($W356),IF(AND($W356&gt;=0,$W356&lt;=Constants!$B$21,$W356=INT($W356)),$W356,""),"")))</f>
        <v/>
      </c>
      <c r="BC356" s="100" t="str">
        <f aca="false">IF(ISBLANK($C356),"",IF(ISBLANK($X356),0,IF(ISNUMBER($X356),IF($X356&gt;=0,$X356,""),"")))</f>
        <v/>
      </c>
      <c r="BD356" s="100" t="str">
        <f aca="false">IF(ISBLANK($C356),"",IF($Y356=Constants!$B$2,TRUE(),IF($Y356=Constants!$B$3,FALSE(),TRUE())))</f>
        <v/>
      </c>
      <c r="BE356" s="100" t="str">
        <f aca="false">IF(ISBLANK($C356),"",IF($Z356=Constants!$B$2,TRUE(),IF($Z356=Constants!$B$3,FALSE(),FALSE())))</f>
        <v/>
      </c>
      <c r="BF356" s="100" t="str">
        <f aca="false">IF(ISBLANK($C356),"",IF(ISBLANK($AA356),0,IF(ISNUMBER($AA356),IF(AND($AA356&gt;=0,$AA356&lt;=Constants!$B$35,$AA356=INT($AA356)),$AA356,""),"")))</f>
        <v/>
      </c>
      <c r="BG356" s="100" t="str">
        <f aca="false">IF(ISBLANK($C356),"",IF($AB356=Constants!$B$2,TRUE(),IF($AB356=Constants!$B$3,FALSE(),TRUE())))</f>
        <v/>
      </c>
      <c r="BH356" s="100" t="str">
        <f aca="false">IF(ISBLANK($C356),"",IF($AC356=Constants!$B$2,TRUE(),IF($AC356=Constants!$B$3,FALSE(),TRUE())))</f>
        <v/>
      </c>
      <c r="BI356" s="100" t="str">
        <f aca="false">IF(ISBLANK($C356),"",IF($AD356=Constants!$B$2,TRUE(),IF($AD356=Constants!$B$3,FALSE(),TRUE())))</f>
        <v/>
      </c>
      <c r="BJ356" s="100" t="str">
        <f aca="false">IF(ISBLANK($C356),"",IF(ISNUMBER($AE356),IF($AE356&gt;=0,$AE356,""),""))</f>
        <v/>
      </c>
      <c r="BK356" s="100" t="str">
        <f aca="false">IF(ISBLANK($C356),"",IF($AF356=Constants!$B$2,TRUE(),IF($AF356=Constants!$B$3,FALSE(),FALSE())))</f>
        <v/>
      </c>
      <c r="BL356" s="99" t="str">
        <f aca="false">IF(ISBLANK($C356),"",IF($BK356,Constants!$B$7,IF(COUNTA($E356:$AE356)=0,Constants!$B$6,IF(OR(COUNTA($G356:$AE356)=0,NOT($AM356),$AS356),Constants!$B$5,IF(OR($CM356&lt;&gt;"",$CN356,$CO356,$CP356,$CQ356,$CR356,$CS356),Constants!$B$8,Constants!$B$4)))))</f>
        <v/>
      </c>
      <c r="BM356" s="100" t="str">
        <f aca="false">IF(ISBLANK($C356),"",IF($BL356&lt;&gt;Constants!$B$4,$BL356,IF(OR(NOT($AJ356),NOT($AL356),NOT($AT356)),Constants!$B$11,IF(OR(NOT($AR356),NOT($AU356),NOT($BI356),MAX($AN356,$AO356,$AP356)&gt;Constants!$B$30),Constants!$B$10,Constants!$B$9))))</f>
        <v/>
      </c>
      <c r="BN356" s="100" t="str">
        <f aca="false">IF($BL356&lt;&gt;Constants!$B$4,"",IF(NOT($AL356),0,MIN(Constants!$B$35,$BF356)))</f>
        <v/>
      </c>
      <c r="BO356" s="100" t="str">
        <f aca="false">IF($BL356&lt;&gt;Constants!$B$4,"",IF(NOT($AL356),0,IF($AW356,Constants!$B$18,IF($AV356,Constants!$B$17,0))))</f>
        <v/>
      </c>
      <c r="BP356" s="100" t="str">
        <f aca="false">IF($BL356&lt;&gt;Constants!$B$4,"",IF(NOT($AL356),0,Constants!$B$19*($AK356+$AX356+$AY356+$AZ356)))</f>
        <v/>
      </c>
      <c r="BQ356" s="100" t="str">
        <f aca="false">IF($BL356&lt;&gt;Constants!$B$4,"",IF(OR(NOT($AL356),NOT(ISNUMBER($BA356))),0,CHOOSE($BA356,Constants!$B$13,Constants!$B$14,Constants!$B$15,Constants!$B$16)))</f>
        <v/>
      </c>
      <c r="BR356" s="100" t="str">
        <f aca="false">IF($BL356&lt;&gt;Constants!$B$4,"",IF(NOT($AL356),0,Constants!$B$20*$BB356))</f>
        <v/>
      </c>
      <c r="BS356" s="100" t="str">
        <f aca="false">IF($BL356&lt;&gt;Constants!$B$4,"",IF(AND($AL356,$BD356,$BE356),Constants!$B$22,0))</f>
        <v/>
      </c>
      <c r="BT356" s="100" t="str">
        <f aca="false">IF($BL356&lt;&gt;Constants!$B$4,"",IF(OR(NOT($AL356),NOT($BD356)),0,IF($BJ356&gt;=2*$AH$9,0,Constants!$B$23*INT(ROUND(MIN($BJ356,$AH$9),6)))))</f>
        <v/>
      </c>
      <c r="BU356" s="100" t="str">
        <f aca="false">IF($BL356&lt;&gt;Constants!$B$4,"",IF(NOT($AL356),0,Constants!$B$24*INT(ROUND(MIN($BC356,$AH$9),6))))</f>
        <v/>
      </c>
      <c r="BV356" s="100" t="str">
        <f aca="false">IF($BL356&lt;&gt;Constants!$B$4,"",IF(AND($AL356,$BN356=0),Constants!$B$25,0))</f>
        <v/>
      </c>
      <c r="BW356" s="100" t="str">
        <f aca="false">IF($BL356&lt;&gt;Constants!$B$4,"",MIN(Constants!$B$29,MAX(0,Constants!$B$27*Constants!$B$28*INT(ROUND((Constants!$B$26-$AN356)/Constants!$B$28,6))))+MIN(Constants!$B$29,MAX(0,Constants!$B$27*Constants!$B$28*INT(ROUND((Constants!$B$26-$AO356)/Constants!$B$28,6))))+MIN(Constants!$B$29,MAX(0,Constants!$B$27*Constants!$B$28*INT(ROUND((Constants!$B$26-$AP356)/Constants!$B$28,6)))))</f>
        <v/>
      </c>
      <c r="BX356" s="100" t="str">
        <f aca="false">IF($BL356&lt;&gt;Constants!$B$4,"",IF(NOT($AL356),0,Constants!$B$31*INT(ROUND(MAX(0,MIN($BJ356,2*$AH$9)-$AH$9),6))))</f>
        <v/>
      </c>
      <c r="BY356" s="100" t="str">
        <f aca="false">IF($BL356&lt;&gt;Constants!$B$4,"",Constants!$B$32*(($AN356&gt;Constants!$B$26)+($AO356&gt;Constants!$B$26)+($AP356&gt;Constants!$B$26)))</f>
        <v/>
      </c>
      <c r="BZ356" s="100" t="str">
        <f aca="false">IF($BL356&lt;&gt;Constants!$B$4,"",IF(OR(NOT($AL356),$AQ356),0,Constants!$B$33))</f>
        <v/>
      </c>
      <c r="CA356" s="100" t="str">
        <f aca="false">IF($BL356&lt;&gt;Constants!$B$4,"",Constants!$B$34*$BN356)</f>
        <v/>
      </c>
      <c r="CB356" s="100" t="str">
        <f aca="false">IF($BL356&lt;&gt;Constants!$B$4,"",IF(OR(NOT($AL356),$BH356),0,Constants!$B$36))</f>
        <v/>
      </c>
      <c r="CC356" s="100" t="str">
        <f aca="false">IF($BL356&lt;&gt;Constants!$B$4,"",IF(OR(NOT($AL356),$BG356),0,Constants!$B$37))</f>
        <v/>
      </c>
      <c r="CD356" s="100" t="str">
        <f aca="false">IF($BL356&lt;&gt;Constants!$B$4,"",SUM($BX356:$CC356))</f>
        <v/>
      </c>
      <c r="CE356" s="100" t="str">
        <f aca="false">IF(ISBLANK($C356),"",IF($BL356&lt;&gt;Constants!$B$4,$BL356,SUM($BO356:$BW356)-$CD356))</f>
        <v/>
      </c>
      <c r="CF356" s="100" t="str">
        <f aca="false">IF(ISBLANK($C356),"",IF($BL356&lt;&gt;Constants!$B$4,$BL356,RANK($CE356,$CE$9:$CE$508)))</f>
        <v/>
      </c>
      <c r="CG356" s="100" t="str">
        <f aca="false">IF(ISBLANK($C356),"",IF($BL356&lt;&gt;Constants!$B$4,$BL356,COUNTIFS($BM$9:$BM$508,"&lt;"&amp;$BM356)+COUNTIFS($BM$9:$BM$508,$BM356,$CF$9:$CF$508,"&lt;"&amp;$CF356)+1))</f>
        <v/>
      </c>
      <c r="CH356" s="100" t="str">
        <f aca="false">IF(ISBLANK($C356),"",IF($BL356&lt;&gt;Constants!$B$4,$BL356,RANK($CD356,$CD$9:$CD$508,1)))</f>
        <v/>
      </c>
      <c r="CI356" s="100" t="str">
        <f aca="false">IF($BL356&lt;&gt;Constants!$B$4,"",$AN356+$AO356+$AP356)</f>
        <v/>
      </c>
      <c r="CJ356" s="100" t="str">
        <f aca="false">IF(ISBLANK($C356),"",IF($BL356&lt;&gt;Constants!$B$4,$BL356,RANK($CI356,$CI$9:$CI$508,1)))</f>
        <v/>
      </c>
      <c r="CK356" s="100" t="str">
        <f aca="false">IF(ISBLANK($C356),"",IF($BL356&lt;&gt;Constants!$B$4,$BL356,COUNTIFS($BM$9:$BM$508,"&lt;"&amp;$BM356)+COUNTIFS($BM$9:$BM$508,$BM356,$CF$9:$CF$508,"&lt;"&amp;$CF356)+COUNTIFS($BM$9:$BM$508,$BM356,$CF$9:$CF$508,$CF356,$CH$9:$CH$508,"&lt;"&amp;$CH356)+COUNTIFS($BM$9:$BM$508,$BM356,$CF$9:$CF$508,$CF356,$CH$9:$CH$508,$CH356,$CJ$9:$CJ$508,"&lt;"&amp;$CJ356)+1))</f>
        <v/>
      </c>
      <c r="CL356" s="100" t="str">
        <f aca="false">IF(ISBLANK($C356),"",IF($BL356&lt;&gt;Constants!$B$4,$BL356,$CG356-$CK356))</f>
        <v/>
      </c>
      <c r="CM356" s="100" t="str">
        <f aca="false">IF(ISBLANK($C356),"",IF(NOT($AL356),"",IF(ISBLANK($D$7),$CM$5,IF(NOT(ISNUMBER($D$7)),$CM$6,""))))</f>
        <v/>
      </c>
      <c r="CN356" s="100" t="str">
        <f aca="false">IF(ISBLANK($C356),"",OR($AN356="",$AO356="",$AP356=""))</f>
        <v/>
      </c>
      <c r="CO356" s="100" t="str">
        <f aca="false">IF(ISBLANK($C356),"",AND($AL356,$BA356=""))</f>
        <v/>
      </c>
      <c r="CP356" s="100" t="str">
        <f aca="false">IF(ISBLANK($C356),"",AND($AL356,$BB356=""))</f>
        <v/>
      </c>
      <c r="CQ356" s="100" t="str">
        <f aca="false">IF(ISBLANK($C356),"",AND($AL356,$BC356=""))</f>
        <v/>
      </c>
      <c r="CR356" s="100" t="str">
        <f aca="false">IF(ISBLANK($C356),"",AND($AL356,$BF356=""))</f>
        <v/>
      </c>
      <c r="CS356" s="100" t="str">
        <f aca="false">IF(ISBLANK($C356),"",AND($AL356,$BJ356=""))</f>
        <v/>
      </c>
      <c r="CT356" s="101"/>
      <c r="CU356" s="102"/>
      <c r="CV356" s="103" t="str">
        <f aca="false">IF(ISBLANK($C356),"",IF($BL356=Constants!$B$8,$CM356,""))</f>
        <v/>
      </c>
      <c r="CW356" s="102" t="str">
        <f aca="false">IF(ISBLANK($C356),"",IF($BL356&lt;&gt;Constants!$B$4,"",$BO356+$BP356))</f>
        <v/>
      </c>
      <c r="CX356" s="104" t="str">
        <f aca="false">IF(ISBLANK($C356),"",IF($BL356&lt;&gt;Constants!$B$4,"",$BQ356+$BR356+$BS356))</f>
        <v/>
      </c>
      <c r="CY356" s="104" t="str">
        <f aca="false">IF(ISBLANK($C356),"",IF($BL356&lt;&gt;Constants!$B$4,"",$BT356))</f>
        <v/>
      </c>
      <c r="CZ356" s="104" t="str">
        <f aca="false">IF(ISBLANK($C356),"",IF($BL356&lt;&gt;Constants!$B$4,"",$BU356+$BV356))</f>
        <v/>
      </c>
      <c r="DA356" s="104" t="str">
        <f aca="false">IF(ISBLANK($C356),"",IF($BL356&lt;&gt;Constants!$B$4,"",$BW356))</f>
        <v/>
      </c>
      <c r="DB356" s="104" t="str">
        <f aca="false">IF(ISBLANK($C356),"",IF($BL356&lt;&gt;Constants!$B$4,"",-$CD356))</f>
        <v/>
      </c>
      <c r="DC356" s="103" t="str">
        <f aca="false">IF(ISBLANK($C356),"",$CE356)</f>
        <v/>
      </c>
      <c r="DD356" s="105" t="str">
        <f aca="false">IF(ISBLANK($C356),"",$BM356)</f>
        <v/>
      </c>
      <c r="DE356" s="104" t="str">
        <f aca="false">IF(ISBLANK($C356),"",$CL356)</f>
        <v/>
      </c>
      <c r="DF356" s="104" t="str">
        <f aca="false">IF(ISBLANK($C356),"",$CK356)</f>
        <v/>
      </c>
      <c r="DG356" s="106" t="str">
        <f aca="false">IF(ISBLANK($C356),"",IF($DF356=Constants!$B$7,COUNTA($C$9:$C$508)+2,IF($DF356=Constants!$B$6,COUNTA($C$9:$C$508)+1,IF($DF356=Constants!$B$5,COUNTA($C$9:$C$508),$DF356))))</f>
        <v/>
      </c>
      <c r="DH356" s="7"/>
      <c r="DI356" s="107" t="n">
        <f aca="false">IF(OR(ISNUMBER($DF356),$DF356=Constants!$B$7,$DF356=Constants!$B$5,$DF356=Constants!$B$6),1,0)</f>
        <v>0</v>
      </c>
      <c r="DJ356" s="107" t="n">
        <v>348</v>
      </c>
      <c r="DK356" s="107" t="str">
        <f aca="false">IF(ISBLANK($C356),"",IF(ISNUMBER($DG356),$DG356+ROW($B356)/1000,""))</f>
        <v/>
      </c>
      <c r="DL356" s="107" t="str">
        <f aca="false">IF(ISNUMBER($DK356),RANK($DK356,$DK$9:$DK$508,1),"")</f>
        <v/>
      </c>
      <c r="DM356" s="107" t="str">
        <f aca="false">IF(ISBLANK($C356),"",$B356)</f>
        <v/>
      </c>
      <c r="DN356" s="107" t="str">
        <f aca="false">IF(ISBLANK($C356),"",$C356)</f>
        <v/>
      </c>
      <c r="DO356" s="107" t="str">
        <f aca="false">IF(ISBLANK($C356),"",$D356)</f>
        <v/>
      </c>
      <c r="DP356" s="108" t="str">
        <f aca="false">$DD356</f>
        <v/>
      </c>
      <c r="DQ356" s="109" t="str">
        <f aca="false">$DC356</f>
        <v/>
      </c>
      <c r="DR356" s="107" t="str">
        <f aca="false">IF(ISBLANK($C356),"",$DF356)</f>
        <v/>
      </c>
      <c r="DS356" s="110" t="str">
        <f aca="false">IF($DJ356&gt;$DI$8,"",VLOOKUP($DJ356,$DL$9:$DR$508,7,FALSE()))</f>
        <v/>
      </c>
      <c r="DT356" s="111" t="str">
        <f aca="false">IF($DJ356&gt;$DI$8,"",VLOOKUP($DJ356,$DL$9:$DR$508,2,FALSE()))</f>
        <v/>
      </c>
      <c r="DU356" s="111" t="str">
        <f aca="false">IF($DJ356&gt;$DI$8,"",VLOOKUP($DJ356,$DL$9:$DR$508,3,FALSE()))</f>
        <v/>
      </c>
      <c r="DV356" s="111" t="str">
        <f aca="false">IF($DJ356&gt;$DI$8,"",VLOOKUP($DJ356,$DL$9:$DR$508,4,FALSE()))</f>
        <v/>
      </c>
      <c r="DW356" s="111" t="str">
        <f aca="false">IF($DJ356&gt;$DI$8,"",VLOOKUP($DJ356,$DL$9:$DR$508,5,FALSE()))</f>
        <v/>
      </c>
      <c r="DX356" s="112" t="str">
        <f aca="false">IF($DJ356&gt;$DI$8,"",VLOOKUP($DJ356,$DL$9:$DR$508,6,FALSE()))</f>
        <v/>
      </c>
      <c r="DY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88"/>
      <c r="N357" s="88"/>
      <c r="O357" s="134"/>
      <c r="P357" s="134"/>
      <c r="Q357" s="88"/>
      <c r="R357" s="88"/>
      <c r="S357" s="88"/>
      <c r="T357" s="88"/>
      <c r="U357" s="134"/>
      <c r="V357" s="88"/>
      <c r="W357" s="70"/>
      <c r="X357" s="88"/>
      <c r="Y357" s="88"/>
      <c r="Z357" s="70"/>
      <c r="AA357" s="70"/>
      <c r="AB357" s="88"/>
      <c r="AC357" s="88"/>
      <c r="AD357" s="88"/>
      <c r="AE357" s="71"/>
      <c r="AF357" s="88"/>
      <c r="AG357" s="73"/>
      <c r="AH357" s="74"/>
      <c r="AI357" s="74"/>
      <c r="AJ357" s="74" t="str">
        <f aca="false">IF(ISBLANK($C357),"",IF($E357=Constants!$B$2,TRUE(),IF($E357=Constants!$B$3,FALSE(),TRUE())))</f>
        <v/>
      </c>
      <c r="AK357" s="74" t="str">
        <f aca="false">IF(ISBLANK($C357),"",IF($F357=Constants!$B$2,TRUE(),IF($F357=Constants!$B$3,FALSE(),FALSE())))</f>
        <v/>
      </c>
      <c r="AL357" s="74" t="str">
        <f aca="false">IF(ISBLANK($C357),"",IF($G357=Constants!$B$2,TRUE(),IF($G357=Constants!$B$3,FALSE(),TRUE())))</f>
        <v/>
      </c>
      <c r="AM357" s="74" t="str">
        <f aca="false">IF(ISBLANK($C357),"",IF($H357=Constants!$B$2,TRUE(),IF($H357=Constants!$B$3,FALSE(),TRUE())))</f>
        <v/>
      </c>
      <c r="AN357" s="74" t="str">
        <f aca="false">IF(ISBLANK($C357),"",IF(ISNUMBER($I357),IF($I357&gt;=0,$I357,""),""))</f>
        <v/>
      </c>
      <c r="AO357" s="74" t="str">
        <f aca="false">IF(ISBLANK($C357),"",IF(ISNUMBER($J357),IF($J357&gt;=0,$J357,""),""))</f>
        <v/>
      </c>
      <c r="AP357" s="74" t="str">
        <f aca="false">IF(ISBLANK($C357),"",IF(ISNUMBER($K357),IF($K357&gt;=0,$K357,""),""))</f>
        <v/>
      </c>
      <c r="AQ357" s="74" t="str">
        <f aca="false">IF(ISBLANK($C357),"",IF($L357=Constants!$B$2,TRUE(),IF($L357=Constants!$B$3,FALSE(),TRUE())))</f>
        <v/>
      </c>
      <c r="AR357" s="74" t="str">
        <f aca="false">IF(ISBLANK($C357),"",IF($M357=Constants!$B$2,TRUE(),IF($M357=Constants!$B$3,FALSE(),TRUE())))</f>
        <v/>
      </c>
      <c r="AS357" s="74" t="str">
        <f aca="false">IF(ISBLANK($C357),"",IF($N357=Constants!$B$2,TRUE(),IF($N357=Constants!$B$3,FALSE(),FALSE())))</f>
        <v/>
      </c>
      <c r="AT357" s="74" t="str">
        <f aca="false">IF(ISBLANK($C357),"",IF($O357=Constants!$B$2,TRUE(),IF($O357=Constants!$B$3,FALSE(),TRUE())))</f>
        <v/>
      </c>
      <c r="AU357" s="74" t="str">
        <f aca="false">IF(ISBLANK($C357),"",IF($P357=Constants!$B$2,TRUE(),IF($P357=Constants!$B$3,FALSE(),TRUE())))</f>
        <v/>
      </c>
      <c r="AV357" s="74" t="str">
        <f aca="false">IF(ISBLANK($C357),"",IF($Q357=Constants!$B$2,TRUE(),IF($Q357=Constants!$B$3,FALSE(),FALSE())))</f>
        <v/>
      </c>
      <c r="AW357" s="74" t="str">
        <f aca="false">IF(ISBLANK($C357),"",IF($R357=Constants!$B$2,TRUE(),IF($R357=Constants!$B$3,FALSE(),FALSE())))</f>
        <v/>
      </c>
      <c r="AX357" s="74" t="str">
        <f aca="false">IF(ISBLANK($C357),"",IF($S357=Constants!$B$2,TRUE(),IF($S357=Constants!$B$3,FALSE(),FALSE())))</f>
        <v/>
      </c>
      <c r="AY357" s="74" t="str">
        <f aca="false">IF(ISBLANK($C357),"",IF($T357=Constants!$B$2,TRUE(),IF($T357=Constants!$B$3,FALSE(),FALSE())))</f>
        <v/>
      </c>
      <c r="AZ357" s="74" t="str">
        <f aca="false">IF(ISBLANK($C357),"",IF($U357=Constants!$B$2,TRUE(),IF($U357=Constants!$B$3,FALSE(),FALSE())))</f>
        <v/>
      </c>
      <c r="BA357" s="74" t="str">
        <f aca="false">IF(ISBLANK($C357),"",IF(OR($V357&amp;""="1",$V357&amp;""="2",$V357&amp;""="3",$V357&amp;""="4"),VALUE($V357&amp;""),IF($V357=Constants!$B$12,Constants!$B$12,"")))</f>
        <v/>
      </c>
      <c r="BB357" s="74" t="str">
        <f aca="false">IF(ISBLANK($C357),"",IF(ISBLANK($W357),0,IF(ISNUMBER($W357),IF(AND($W357&gt;=0,$W357&lt;=Constants!$B$21,$W357=INT($W357)),$W357,""),"")))</f>
        <v/>
      </c>
      <c r="BC357" s="74" t="str">
        <f aca="false">IF(ISBLANK($C357),"",IF(ISBLANK($X357),0,IF(ISNUMBER($X357),IF($X357&gt;=0,$X357,""),"")))</f>
        <v/>
      </c>
      <c r="BD357" s="74" t="str">
        <f aca="false">IF(ISBLANK($C357),"",IF($Y357=Constants!$B$2,TRUE(),IF($Y357=Constants!$B$3,FALSE(),TRUE())))</f>
        <v/>
      </c>
      <c r="BE357" s="74" t="str">
        <f aca="false">IF(ISBLANK($C357),"",IF($Z357=Constants!$B$2,TRUE(),IF($Z357=Constants!$B$3,FALSE(),FALSE())))</f>
        <v/>
      </c>
      <c r="BF357" s="74" t="str">
        <f aca="false">IF(ISBLANK($C357),"",IF(ISBLANK($AA357),0,IF(ISNUMBER($AA357),IF(AND($AA357&gt;=0,$AA357&lt;=Constants!$B$35,$AA357=INT($AA357)),$AA357,""),"")))</f>
        <v/>
      </c>
      <c r="BG357" s="74" t="str">
        <f aca="false">IF(ISBLANK($C357),"",IF($AB357=Constants!$B$2,TRUE(),IF($AB357=Constants!$B$3,FALSE(),TRUE())))</f>
        <v/>
      </c>
      <c r="BH357" s="74" t="str">
        <f aca="false">IF(ISBLANK($C357),"",IF($AC357=Constants!$B$2,TRUE(),IF($AC357=Constants!$B$3,FALSE(),TRUE())))</f>
        <v/>
      </c>
      <c r="BI357" s="74" t="str">
        <f aca="false">IF(ISBLANK($C357),"",IF($AD357=Constants!$B$2,TRUE(),IF($AD357=Constants!$B$3,FALSE(),TRUE())))</f>
        <v/>
      </c>
      <c r="BJ357" s="74" t="str">
        <f aca="false">IF(ISBLANK($C357),"",IF(ISNUMBER($AE357),IF($AE357&gt;=0,$AE357,""),""))</f>
        <v/>
      </c>
      <c r="BK357" s="74" t="str">
        <f aca="false">IF(ISBLANK($C357),"",IF($AF357=Constants!$B$2,TRUE(),IF($AF357=Constants!$B$3,FALSE(),FALSE())))</f>
        <v/>
      </c>
      <c r="BL357" s="73" t="str">
        <f aca="false">IF(ISBLANK($C357),"",IF($BK357,Constants!$B$7,IF(COUNTA($E357:$AE357)=0,Constants!$B$6,IF(OR(COUNTA($G357:$AE357)=0,NOT($AM357),$AS357),Constants!$B$5,IF(OR($CM357&lt;&gt;"",$CN357,$CO357,$CP357,$CQ357,$CR357,$CS357),Constants!$B$8,Constants!$B$4)))))</f>
        <v/>
      </c>
      <c r="BM357" s="74" t="str">
        <f aca="false">IF(ISBLANK($C357),"",IF($BL357&lt;&gt;Constants!$B$4,$BL357,IF(OR(NOT($AJ357),NOT($AL357),NOT($AT357)),Constants!$B$11,IF(OR(NOT($AR357),NOT($AU357),NOT($BI357),MAX($AN357,$AO357,$AP357)&gt;Constants!$B$30),Constants!$B$10,Constants!$B$9))))</f>
        <v/>
      </c>
      <c r="BN357" s="74" t="str">
        <f aca="false">IF($BL357&lt;&gt;Constants!$B$4,"",IF(NOT($AL357),0,MIN(Constants!$B$35,$BF357)))</f>
        <v/>
      </c>
      <c r="BO357" s="74" t="str">
        <f aca="false">IF($BL357&lt;&gt;Constants!$B$4,"",IF(NOT($AL357),0,IF($AW357,Constants!$B$18,IF($AV357,Constants!$B$17,0))))</f>
        <v/>
      </c>
      <c r="BP357" s="74" t="str">
        <f aca="false">IF($BL357&lt;&gt;Constants!$B$4,"",IF(NOT($AL357),0,Constants!$B$19*($AK357+$AX357+$AY357+$AZ357)))</f>
        <v/>
      </c>
      <c r="BQ357" s="74" t="str">
        <f aca="false">IF($BL357&lt;&gt;Constants!$B$4,"",IF(OR(NOT($AL357),NOT(ISNUMBER($BA357))),0,CHOOSE($BA357,Constants!$B$13,Constants!$B$14,Constants!$B$15,Constants!$B$16)))</f>
        <v/>
      </c>
      <c r="BR357" s="74" t="str">
        <f aca="false">IF($BL357&lt;&gt;Constants!$B$4,"",IF(NOT($AL357),0,Constants!$B$20*$BB357))</f>
        <v/>
      </c>
      <c r="BS357" s="74" t="str">
        <f aca="false">IF($BL357&lt;&gt;Constants!$B$4,"",IF(AND($AL357,$BD357,$BE357),Constants!$B$22,0))</f>
        <v/>
      </c>
      <c r="BT357" s="74" t="str">
        <f aca="false">IF($BL357&lt;&gt;Constants!$B$4,"",IF(OR(NOT($AL357),NOT($BD357)),0,IF($BJ357&gt;=2*$AH$9,0,Constants!$B$23*INT(ROUND(MIN($BJ357,$AH$9),6)))))</f>
        <v/>
      </c>
      <c r="BU357" s="74" t="str">
        <f aca="false">IF($BL357&lt;&gt;Constants!$B$4,"",IF(NOT($AL357),0,Constants!$B$24*INT(ROUND(MIN($BC357,$AH$9),6))))</f>
        <v/>
      </c>
      <c r="BV357" s="74" t="str">
        <f aca="false">IF($BL357&lt;&gt;Constants!$B$4,"",IF(AND($AL357,$BN357=0),Constants!$B$25,0))</f>
        <v/>
      </c>
      <c r="BW357" s="74" t="str">
        <f aca="false">IF($BL357&lt;&gt;Constants!$B$4,"",MIN(Constants!$B$29,MAX(0,Constants!$B$27*Constants!$B$28*INT(ROUND((Constants!$B$26-$AN357)/Constants!$B$28,6))))+MIN(Constants!$B$29,MAX(0,Constants!$B$27*Constants!$B$28*INT(ROUND((Constants!$B$26-$AO357)/Constants!$B$28,6))))+MIN(Constants!$B$29,MAX(0,Constants!$B$27*Constants!$B$28*INT(ROUND((Constants!$B$26-$AP357)/Constants!$B$28,6)))))</f>
        <v/>
      </c>
      <c r="BX357" s="74" t="str">
        <f aca="false">IF($BL357&lt;&gt;Constants!$B$4,"",IF(NOT($AL357),0,Constants!$B$31*INT(ROUND(MAX(0,MIN($BJ357,2*$AH$9)-$AH$9),6))))</f>
        <v/>
      </c>
      <c r="BY357" s="74" t="str">
        <f aca="false">IF($BL357&lt;&gt;Constants!$B$4,"",Constants!$B$32*(($AN357&gt;Constants!$B$26)+($AO357&gt;Constants!$B$26)+($AP357&gt;Constants!$B$26)))</f>
        <v/>
      </c>
      <c r="BZ357" s="74" t="str">
        <f aca="false">IF($BL357&lt;&gt;Constants!$B$4,"",IF(OR(NOT($AL357),$AQ357),0,Constants!$B$33))</f>
        <v/>
      </c>
      <c r="CA357" s="74" t="str">
        <f aca="false">IF($BL357&lt;&gt;Constants!$B$4,"",Constants!$B$34*$BN357)</f>
        <v/>
      </c>
      <c r="CB357" s="74" t="str">
        <f aca="false">IF($BL357&lt;&gt;Constants!$B$4,"",IF(OR(NOT($AL357),$BH357),0,Constants!$B$36))</f>
        <v/>
      </c>
      <c r="CC357" s="74" t="str">
        <f aca="false">IF($BL357&lt;&gt;Constants!$B$4,"",IF(OR(NOT($AL357),$BG357),0,Constants!$B$37))</f>
        <v/>
      </c>
      <c r="CD357" s="74" t="str">
        <f aca="false">IF($BL357&lt;&gt;Constants!$B$4,"",SUM($BX357:$CC357))</f>
        <v/>
      </c>
      <c r="CE357" s="74" t="str">
        <f aca="false">IF(ISBLANK($C357),"",IF($BL357&lt;&gt;Constants!$B$4,$BL357,SUM($BO357:$BW357)-$CD357))</f>
        <v/>
      </c>
      <c r="CF357" s="74" t="str">
        <f aca="false">IF(ISBLANK($C357),"",IF($BL357&lt;&gt;Constants!$B$4,$BL357,RANK($CE357,$CE$9:$CE$508)))</f>
        <v/>
      </c>
      <c r="CG357" s="74" t="str">
        <f aca="false">IF(ISBLANK($C357),"",IF($BL357&lt;&gt;Constants!$B$4,$BL357,COUNTIFS($BM$9:$BM$508,"&lt;"&amp;$BM357)+COUNTIFS($BM$9:$BM$508,$BM357,$CF$9:$CF$508,"&lt;"&amp;$CF357)+1))</f>
        <v/>
      </c>
      <c r="CH357" s="74" t="str">
        <f aca="false">IF(ISBLANK($C357),"",IF($BL357&lt;&gt;Constants!$B$4,$BL357,RANK($CD357,$CD$9:$CD$508,1)))</f>
        <v/>
      </c>
      <c r="CI357" s="74" t="str">
        <f aca="false">IF($BL357&lt;&gt;Constants!$B$4,"",$AN357+$AO357+$AP357)</f>
        <v/>
      </c>
      <c r="CJ357" s="74" t="str">
        <f aca="false">IF(ISBLANK($C357),"",IF($BL357&lt;&gt;Constants!$B$4,$BL357,RANK($CI357,$CI$9:$CI$508,1)))</f>
        <v/>
      </c>
      <c r="CK357" s="74" t="str">
        <f aca="false">IF(ISBLANK($C357),"",IF($BL357&lt;&gt;Constants!$B$4,$BL357,COUNTIFS($BM$9:$BM$508,"&lt;"&amp;$BM357)+COUNTIFS($BM$9:$BM$508,$BM357,$CF$9:$CF$508,"&lt;"&amp;$CF357)+COUNTIFS($BM$9:$BM$508,$BM357,$CF$9:$CF$508,$CF357,$CH$9:$CH$508,"&lt;"&amp;$CH357)+COUNTIFS($BM$9:$BM$508,$BM357,$CF$9:$CF$508,$CF357,$CH$9:$CH$508,$CH357,$CJ$9:$CJ$508,"&lt;"&amp;$CJ357)+1))</f>
        <v/>
      </c>
      <c r="CL357" s="74" t="str">
        <f aca="false">IF(ISBLANK($C357),"",IF($BL357&lt;&gt;Constants!$B$4,$BL357,$CG357-$CK357))</f>
        <v/>
      </c>
      <c r="CM357" s="74" t="str">
        <f aca="false">IF(ISBLANK($C357),"",IF(NOT($AL357),"",IF(ISBLANK($D$7),$CM$5,IF(NOT(ISNUMBER($D$7)),$CM$6,""))))</f>
        <v/>
      </c>
      <c r="CN357" s="74" t="str">
        <f aca="false">IF(ISBLANK($C357),"",OR($AN357="",$AO357="",$AP357=""))</f>
        <v/>
      </c>
      <c r="CO357" s="74" t="str">
        <f aca="false">IF(ISBLANK($C357),"",AND($AL357,$BA357=""))</f>
        <v/>
      </c>
      <c r="CP357" s="74" t="str">
        <f aca="false">IF(ISBLANK($C357),"",AND($AL357,$BB357=""))</f>
        <v/>
      </c>
      <c r="CQ357" s="74" t="str">
        <f aca="false">IF(ISBLANK($C357),"",AND($AL357,$BC357=""))</f>
        <v/>
      </c>
      <c r="CR357" s="74" t="str">
        <f aca="false">IF(ISBLANK($C357),"",AND($AL357,$BF357=""))</f>
        <v/>
      </c>
      <c r="CS357" s="74" t="str">
        <f aca="false">IF(ISBLANK($C357),"",AND($AL357,$BJ357=""))</f>
        <v/>
      </c>
      <c r="CT357" s="75"/>
      <c r="CU357" s="76"/>
      <c r="CV357" s="79" t="str">
        <f aca="false">IF(ISBLANK($C357),"",IF($BL357=Constants!$B$8,$CM357,""))</f>
        <v/>
      </c>
      <c r="CW357" s="76" t="str">
        <f aca="false">IF(ISBLANK($C357),"",IF($BL357&lt;&gt;Constants!$B$4,"",$BO357+$BP357))</f>
        <v/>
      </c>
      <c r="CX357" s="78" t="str">
        <f aca="false">IF(ISBLANK($C357),"",IF($BL357&lt;&gt;Constants!$B$4,"",$BQ357+$BR357+$BS357))</f>
        <v/>
      </c>
      <c r="CY357" s="78" t="str">
        <f aca="false">IF(ISBLANK($C357),"",IF($BL357&lt;&gt;Constants!$B$4,"",$BT357))</f>
        <v/>
      </c>
      <c r="CZ357" s="78" t="str">
        <f aca="false">IF(ISBLANK($C357),"",IF($BL357&lt;&gt;Constants!$B$4,"",$BU357+$BV357))</f>
        <v/>
      </c>
      <c r="DA357" s="78" t="str">
        <f aca="false">IF(ISBLANK($C357),"",IF($BL357&lt;&gt;Constants!$B$4,"",$BW357))</f>
        <v/>
      </c>
      <c r="DB357" s="78" t="str">
        <f aca="false">IF(ISBLANK($C357),"",IF($BL357&lt;&gt;Constants!$B$4,"",-$CD357))</f>
        <v/>
      </c>
      <c r="DC357" s="79" t="str">
        <f aca="false">IF(ISBLANK($C357),"",$CE357)</f>
        <v/>
      </c>
      <c r="DD357" s="80" t="str">
        <f aca="false">IF(ISBLANK($C357),"",$BM357)</f>
        <v/>
      </c>
      <c r="DE357" s="78" t="str">
        <f aca="false">IF(ISBLANK($C357),"",$CL357)</f>
        <v/>
      </c>
      <c r="DF357" s="78" t="str">
        <f aca="false">IF(ISBLANK($C357),"",$CK357)</f>
        <v/>
      </c>
      <c r="DG357" s="81" t="str">
        <f aca="false">IF(ISBLANK($C357),"",IF($DF357=Constants!$B$7,COUNTA($C$9:$C$508)+2,IF($DF357=Constants!$B$6,COUNTA($C$9:$C$508)+1,IF($DF357=Constants!$B$5,COUNTA($C$9:$C$508),$DF357))))</f>
        <v/>
      </c>
      <c r="DH357" s="7"/>
      <c r="DI357" s="82" t="n">
        <f aca="false">IF(OR(ISNUMBER($DF357),$DF357=Constants!$B$7,$DF357=Constants!$B$5,$DF357=Constants!$B$6),1,0)</f>
        <v>0</v>
      </c>
      <c r="DJ357" s="82" t="n">
        <v>349</v>
      </c>
      <c r="DK357" s="82" t="str">
        <f aca="false">IF(ISBLANK($C357),"",IF(ISNUMBER($DG357),$DG357+ROW($B357)/1000,""))</f>
        <v/>
      </c>
      <c r="DL357" s="82" t="str">
        <f aca="false">IF(ISNUMBER($DK357),RANK($DK357,$DK$9:$DK$508,1),"")</f>
        <v/>
      </c>
      <c r="DM357" s="82" t="str">
        <f aca="false">IF(ISBLANK($C357),"",$B357)</f>
        <v/>
      </c>
      <c r="DN357" s="82" t="str">
        <f aca="false">IF(ISBLANK($C357),"",$C357)</f>
        <v/>
      </c>
      <c r="DO357" s="82" t="str">
        <f aca="false">IF(ISBLANK($C357),"",$D357)</f>
        <v/>
      </c>
      <c r="DP357" s="83" t="str">
        <f aca="false">$DD357</f>
        <v/>
      </c>
      <c r="DQ357" s="84" t="str">
        <f aca="false">$DC357</f>
        <v/>
      </c>
      <c r="DR357" s="82" t="str">
        <f aca="false">IF(ISBLANK($C357),"",$DF357)</f>
        <v/>
      </c>
      <c r="DS357" s="85" t="str">
        <f aca="false">IF($DJ357&gt;$DI$8,"",VLOOKUP($DJ357,$DL$9:$DR$508,7,FALSE()))</f>
        <v/>
      </c>
      <c r="DT357" s="86" t="str">
        <f aca="false">IF($DJ357&gt;$DI$8,"",VLOOKUP($DJ357,$DL$9:$DR$508,2,FALSE()))</f>
        <v/>
      </c>
      <c r="DU357" s="86" t="str">
        <f aca="false">IF($DJ357&gt;$DI$8,"",VLOOKUP($DJ357,$DL$9:$DR$508,3,FALSE()))</f>
        <v/>
      </c>
      <c r="DV357" s="86" t="str">
        <f aca="false">IF($DJ357&gt;$DI$8,"",VLOOKUP($DJ357,$DL$9:$DR$508,4,FALSE()))</f>
        <v/>
      </c>
      <c r="DW357" s="86" t="str">
        <f aca="false">IF($DJ357&gt;$DI$8,"",VLOOKUP($DJ357,$DL$9:$DR$508,5,FALSE()))</f>
        <v/>
      </c>
      <c r="DX357" s="87" t="str">
        <f aca="false">IF($DJ357&gt;$DI$8,"",VLOOKUP($DJ357,$DL$9:$DR$508,6,FALSE()))</f>
        <v/>
      </c>
      <c r="DY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88"/>
      <c r="N358" s="88"/>
      <c r="O358" s="134"/>
      <c r="P358" s="134"/>
      <c r="Q358" s="88"/>
      <c r="R358" s="88"/>
      <c r="S358" s="88"/>
      <c r="T358" s="88"/>
      <c r="U358" s="134"/>
      <c r="V358" s="88"/>
      <c r="W358" s="70"/>
      <c r="X358" s="88"/>
      <c r="Y358" s="88"/>
      <c r="Z358" s="70"/>
      <c r="AA358" s="70"/>
      <c r="AB358" s="88"/>
      <c r="AC358" s="88"/>
      <c r="AD358" s="88"/>
      <c r="AE358" s="71"/>
      <c r="AF358" s="88"/>
      <c r="AG358" s="73"/>
      <c r="AH358" s="74"/>
      <c r="AI358" s="74"/>
      <c r="AJ358" s="74" t="str">
        <f aca="false">IF(ISBLANK($C358),"",IF($E358=Constants!$B$2,TRUE(),IF($E358=Constants!$B$3,FALSE(),TRUE())))</f>
        <v/>
      </c>
      <c r="AK358" s="74" t="str">
        <f aca="false">IF(ISBLANK($C358),"",IF($F358=Constants!$B$2,TRUE(),IF($F358=Constants!$B$3,FALSE(),FALSE())))</f>
        <v/>
      </c>
      <c r="AL358" s="74" t="str">
        <f aca="false">IF(ISBLANK($C358),"",IF($G358=Constants!$B$2,TRUE(),IF($G358=Constants!$B$3,FALSE(),TRUE())))</f>
        <v/>
      </c>
      <c r="AM358" s="74" t="str">
        <f aca="false">IF(ISBLANK($C358),"",IF($H358=Constants!$B$2,TRUE(),IF($H358=Constants!$B$3,FALSE(),TRUE())))</f>
        <v/>
      </c>
      <c r="AN358" s="74" t="str">
        <f aca="false">IF(ISBLANK($C358),"",IF(ISNUMBER($I358),IF($I358&gt;=0,$I358,""),""))</f>
        <v/>
      </c>
      <c r="AO358" s="74" t="str">
        <f aca="false">IF(ISBLANK($C358),"",IF(ISNUMBER($J358),IF($J358&gt;=0,$J358,""),""))</f>
        <v/>
      </c>
      <c r="AP358" s="74" t="str">
        <f aca="false">IF(ISBLANK($C358),"",IF(ISNUMBER($K358),IF($K358&gt;=0,$K358,""),""))</f>
        <v/>
      </c>
      <c r="AQ358" s="74" t="str">
        <f aca="false">IF(ISBLANK($C358),"",IF($L358=Constants!$B$2,TRUE(),IF($L358=Constants!$B$3,FALSE(),TRUE())))</f>
        <v/>
      </c>
      <c r="AR358" s="74" t="str">
        <f aca="false">IF(ISBLANK($C358),"",IF($M358=Constants!$B$2,TRUE(),IF($M358=Constants!$B$3,FALSE(),TRUE())))</f>
        <v/>
      </c>
      <c r="AS358" s="74" t="str">
        <f aca="false">IF(ISBLANK($C358),"",IF($N358=Constants!$B$2,TRUE(),IF($N358=Constants!$B$3,FALSE(),FALSE())))</f>
        <v/>
      </c>
      <c r="AT358" s="74" t="str">
        <f aca="false">IF(ISBLANK($C358),"",IF($O358=Constants!$B$2,TRUE(),IF($O358=Constants!$B$3,FALSE(),TRUE())))</f>
        <v/>
      </c>
      <c r="AU358" s="74" t="str">
        <f aca="false">IF(ISBLANK($C358),"",IF($P358=Constants!$B$2,TRUE(),IF($P358=Constants!$B$3,FALSE(),TRUE())))</f>
        <v/>
      </c>
      <c r="AV358" s="74" t="str">
        <f aca="false">IF(ISBLANK($C358),"",IF($Q358=Constants!$B$2,TRUE(),IF($Q358=Constants!$B$3,FALSE(),FALSE())))</f>
        <v/>
      </c>
      <c r="AW358" s="74" t="str">
        <f aca="false">IF(ISBLANK($C358),"",IF($R358=Constants!$B$2,TRUE(),IF($R358=Constants!$B$3,FALSE(),FALSE())))</f>
        <v/>
      </c>
      <c r="AX358" s="74" t="str">
        <f aca="false">IF(ISBLANK($C358),"",IF($S358=Constants!$B$2,TRUE(),IF($S358=Constants!$B$3,FALSE(),FALSE())))</f>
        <v/>
      </c>
      <c r="AY358" s="74" t="str">
        <f aca="false">IF(ISBLANK($C358),"",IF($T358=Constants!$B$2,TRUE(),IF($T358=Constants!$B$3,FALSE(),FALSE())))</f>
        <v/>
      </c>
      <c r="AZ358" s="74" t="str">
        <f aca="false">IF(ISBLANK($C358),"",IF($U358=Constants!$B$2,TRUE(),IF($U358=Constants!$B$3,FALSE(),FALSE())))</f>
        <v/>
      </c>
      <c r="BA358" s="74" t="str">
        <f aca="false">IF(ISBLANK($C358),"",IF(OR($V358&amp;""="1",$V358&amp;""="2",$V358&amp;""="3",$V358&amp;""="4"),VALUE($V358&amp;""),IF($V358=Constants!$B$12,Constants!$B$12,"")))</f>
        <v/>
      </c>
      <c r="BB358" s="74" t="str">
        <f aca="false">IF(ISBLANK($C358),"",IF(ISBLANK($W358),0,IF(ISNUMBER($W358),IF(AND($W358&gt;=0,$W358&lt;=Constants!$B$21,$W358=INT($W358)),$W358,""),"")))</f>
        <v/>
      </c>
      <c r="BC358" s="74" t="str">
        <f aca="false">IF(ISBLANK($C358),"",IF(ISBLANK($X358),0,IF(ISNUMBER($X358),IF($X358&gt;=0,$X358,""),"")))</f>
        <v/>
      </c>
      <c r="BD358" s="74" t="str">
        <f aca="false">IF(ISBLANK($C358),"",IF($Y358=Constants!$B$2,TRUE(),IF($Y358=Constants!$B$3,FALSE(),TRUE())))</f>
        <v/>
      </c>
      <c r="BE358" s="74" t="str">
        <f aca="false">IF(ISBLANK($C358),"",IF($Z358=Constants!$B$2,TRUE(),IF($Z358=Constants!$B$3,FALSE(),FALSE())))</f>
        <v/>
      </c>
      <c r="BF358" s="74" t="str">
        <f aca="false">IF(ISBLANK($C358),"",IF(ISBLANK($AA358),0,IF(ISNUMBER($AA358),IF(AND($AA358&gt;=0,$AA358&lt;=Constants!$B$35,$AA358=INT($AA358)),$AA358,""),"")))</f>
        <v/>
      </c>
      <c r="BG358" s="74" t="str">
        <f aca="false">IF(ISBLANK($C358),"",IF($AB358=Constants!$B$2,TRUE(),IF($AB358=Constants!$B$3,FALSE(),TRUE())))</f>
        <v/>
      </c>
      <c r="BH358" s="74" t="str">
        <f aca="false">IF(ISBLANK($C358),"",IF($AC358=Constants!$B$2,TRUE(),IF($AC358=Constants!$B$3,FALSE(),TRUE())))</f>
        <v/>
      </c>
      <c r="BI358" s="74" t="str">
        <f aca="false">IF(ISBLANK($C358),"",IF($AD358=Constants!$B$2,TRUE(),IF($AD358=Constants!$B$3,FALSE(),TRUE())))</f>
        <v/>
      </c>
      <c r="BJ358" s="74" t="str">
        <f aca="false">IF(ISBLANK($C358),"",IF(ISNUMBER($AE358),IF($AE358&gt;=0,$AE358,""),""))</f>
        <v/>
      </c>
      <c r="BK358" s="74" t="str">
        <f aca="false">IF(ISBLANK($C358),"",IF($AF358=Constants!$B$2,TRUE(),IF($AF358=Constants!$B$3,FALSE(),FALSE())))</f>
        <v/>
      </c>
      <c r="BL358" s="73" t="str">
        <f aca="false">IF(ISBLANK($C358),"",IF($BK358,Constants!$B$7,IF(COUNTA($E358:$AE358)=0,Constants!$B$6,IF(OR(COUNTA($G358:$AE358)=0,NOT($AM358),$AS358),Constants!$B$5,IF(OR($CM358&lt;&gt;"",$CN358,$CO358,$CP358,$CQ358,$CR358,$CS358),Constants!$B$8,Constants!$B$4)))))</f>
        <v/>
      </c>
      <c r="BM358" s="74" t="str">
        <f aca="false">IF(ISBLANK($C358),"",IF($BL358&lt;&gt;Constants!$B$4,$BL358,IF(OR(NOT($AJ358),NOT($AL358),NOT($AT358)),Constants!$B$11,IF(OR(NOT($AR358),NOT($AU358),NOT($BI358),MAX($AN358,$AO358,$AP358)&gt;Constants!$B$30),Constants!$B$10,Constants!$B$9))))</f>
        <v/>
      </c>
      <c r="BN358" s="74" t="str">
        <f aca="false">IF($BL358&lt;&gt;Constants!$B$4,"",IF(NOT($AL358),0,MIN(Constants!$B$35,$BF358)))</f>
        <v/>
      </c>
      <c r="BO358" s="74" t="str">
        <f aca="false">IF($BL358&lt;&gt;Constants!$B$4,"",IF(NOT($AL358),0,IF($AW358,Constants!$B$18,IF($AV358,Constants!$B$17,0))))</f>
        <v/>
      </c>
      <c r="BP358" s="74" t="str">
        <f aca="false">IF($BL358&lt;&gt;Constants!$B$4,"",IF(NOT($AL358),0,Constants!$B$19*($AK358+$AX358+$AY358+$AZ358)))</f>
        <v/>
      </c>
      <c r="BQ358" s="74" t="str">
        <f aca="false">IF($BL358&lt;&gt;Constants!$B$4,"",IF(OR(NOT($AL358),NOT(ISNUMBER($BA358))),0,CHOOSE($BA358,Constants!$B$13,Constants!$B$14,Constants!$B$15,Constants!$B$16)))</f>
        <v/>
      </c>
      <c r="BR358" s="74" t="str">
        <f aca="false">IF($BL358&lt;&gt;Constants!$B$4,"",IF(NOT($AL358),0,Constants!$B$20*$BB358))</f>
        <v/>
      </c>
      <c r="BS358" s="74" t="str">
        <f aca="false">IF($BL358&lt;&gt;Constants!$B$4,"",IF(AND($AL358,$BD358,$BE358),Constants!$B$22,0))</f>
        <v/>
      </c>
      <c r="BT358" s="74" t="str">
        <f aca="false">IF($BL358&lt;&gt;Constants!$B$4,"",IF(OR(NOT($AL358),NOT($BD358)),0,IF($BJ358&gt;=2*$AH$9,0,Constants!$B$23*INT(ROUND(MIN($BJ358,$AH$9),6)))))</f>
        <v/>
      </c>
      <c r="BU358" s="74" t="str">
        <f aca="false">IF($BL358&lt;&gt;Constants!$B$4,"",IF(NOT($AL358),0,Constants!$B$24*INT(ROUND(MIN($BC358,$AH$9),6))))</f>
        <v/>
      </c>
      <c r="BV358" s="74" t="str">
        <f aca="false">IF($BL358&lt;&gt;Constants!$B$4,"",IF(AND($AL358,$BN358=0),Constants!$B$25,0))</f>
        <v/>
      </c>
      <c r="BW358" s="74" t="str">
        <f aca="false">IF($BL358&lt;&gt;Constants!$B$4,"",MIN(Constants!$B$29,MAX(0,Constants!$B$27*Constants!$B$28*INT(ROUND((Constants!$B$26-$AN358)/Constants!$B$28,6))))+MIN(Constants!$B$29,MAX(0,Constants!$B$27*Constants!$B$28*INT(ROUND((Constants!$B$26-$AO358)/Constants!$B$28,6))))+MIN(Constants!$B$29,MAX(0,Constants!$B$27*Constants!$B$28*INT(ROUND((Constants!$B$26-$AP358)/Constants!$B$28,6)))))</f>
        <v/>
      </c>
      <c r="BX358" s="74" t="str">
        <f aca="false">IF($BL358&lt;&gt;Constants!$B$4,"",IF(NOT($AL358),0,Constants!$B$31*INT(ROUND(MAX(0,MIN($BJ358,2*$AH$9)-$AH$9),6))))</f>
        <v/>
      </c>
      <c r="BY358" s="74" t="str">
        <f aca="false">IF($BL358&lt;&gt;Constants!$B$4,"",Constants!$B$32*(($AN358&gt;Constants!$B$26)+($AO358&gt;Constants!$B$26)+($AP358&gt;Constants!$B$26)))</f>
        <v/>
      </c>
      <c r="BZ358" s="74" t="str">
        <f aca="false">IF($BL358&lt;&gt;Constants!$B$4,"",IF(OR(NOT($AL358),$AQ358),0,Constants!$B$33))</f>
        <v/>
      </c>
      <c r="CA358" s="74" t="str">
        <f aca="false">IF($BL358&lt;&gt;Constants!$B$4,"",Constants!$B$34*$BN358)</f>
        <v/>
      </c>
      <c r="CB358" s="74" t="str">
        <f aca="false">IF($BL358&lt;&gt;Constants!$B$4,"",IF(OR(NOT($AL358),$BH358),0,Constants!$B$36))</f>
        <v/>
      </c>
      <c r="CC358" s="74" t="str">
        <f aca="false">IF($BL358&lt;&gt;Constants!$B$4,"",IF(OR(NOT($AL358),$BG358),0,Constants!$B$37))</f>
        <v/>
      </c>
      <c r="CD358" s="74" t="str">
        <f aca="false">IF($BL358&lt;&gt;Constants!$B$4,"",SUM($BX358:$CC358))</f>
        <v/>
      </c>
      <c r="CE358" s="74" t="str">
        <f aca="false">IF(ISBLANK($C358),"",IF($BL358&lt;&gt;Constants!$B$4,$BL358,SUM($BO358:$BW358)-$CD358))</f>
        <v/>
      </c>
      <c r="CF358" s="74" t="str">
        <f aca="false">IF(ISBLANK($C358),"",IF($BL358&lt;&gt;Constants!$B$4,$BL358,RANK($CE358,$CE$9:$CE$508)))</f>
        <v/>
      </c>
      <c r="CG358" s="74" t="str">
        <f aca="false">IF(ISBLANK($C358),"",IF($BL358&lt;&gt;Constants!$B$4,$BL358,COUNTIFS($BM$9:$BM$508,"&lt;"&amp;$BM358)+COUNTIFS($BM$9:$BM$508,$BM358,$CF$9:$CF$508,"&lt;"&amp;$CF358)+1))</f>
        <v/>
      </c>
      <c r="CH358" s="74" t="str">
        <f aca="false">IF(ISBLANK($C358),"",IF($BL358&lt;&gt;Constants!$B$4,$BL358,RANK($CD358,$CD$9:$CD$508,1)))</f>
        <v/>
      </c>
      <c r="CI358" s="74" t="str">
        <f aca="false">IF($BL358&lt;&gt;Constants!$B$4,"",$AN358+$AO358+$AP358)</f>
        <v/>
      </c>
      <c r="CJ358" s="74" t="str">
        <f aca="false">IF(ISBLANK($C358),"",IF($BL358&lt;&gt;Constants!$B$4,$BL358,RANK($CI358,$CI$9:$CI$508,1)))</f>
        <v/>
      </c>
      <c r="CK358" s="74" t="str">
        <f aca="false">IF(ISBLANK($C358),"",IF($BL358&lt;&gt;Constants!$B$4,$BL358,COUNTIFS($BM$9:$BM$508,"&lt;"&amp;$BM358)+COUNTIFS($BM$9:$BM$508,$BM358,$CF$9:$CF$508,"&lt;"&amp;$CF358)+COUNTIFS($BM$9:$BM$508,$BM358,$CF$9:$CF$508,$CF358,$CH$9:$CH$508,"&lt;"&amp;$CH358)+COUNTIFS($BM$9:$BM$508,$BM358,$CF$9:$CF$508,$CF358,$CH$9:$CH$508,$CH358,$CJ$9:$CJ$508,"&lt;"&amp;$CJ358)+1))</f>
        <v/>
      </c>
      <c r="CL358" s="74" t="str">
        <f aca="false">IF(ISBLANK($C358),"",IF($BL358&lt;&gt;Constants!$B$4,$BL358,$CG358-$CK358))</f>
        <v/>
      </c>
      <c r="CM358" s="74" t="str">
        <f aca="false">IF(ISBLANK($C358),"",IF(NOT($AL358),"",IF(ISBLANK($D$7),$CM$5,IF(NOT(ISNUMBER($D$7)),$CM$6,""))))</f>
        <v/>
      </c>
      <c r="CN358" s="74" t="str">
        <f aca="false">IF(ISBLANK($C358),"",OR($AN358="",$AO358="",$AP358=""))</f>
        <v/>
      </c>
      <c r="CO358" s="74" t="str">
        <f aca="false">IF(ISBLANK($C358),"",AND($AL358,$BA358=""))</f>
        <v/>
      </c>
      <c r="CP358" s="74" t="str">
        <f aca="false">IF(ISBLANK($C358),"",AND($AL358,$BB358=""))</f>
        <v/>
      </c>
      <c r="CQ358" s="74" t="str">
        <f aca="false">IF(ISBLANK($C358),"",AND($AL358,$BC358=""))</f>
        <v/>
      </c>
      <c r="CR358" s="74" t="str">
        <f aca="false">IF(ISBLANK($C358),"",AND($AL358,$BF358=""))</f>
        <v/>
      </c>
      <c r="CS358" s="74" t="str">
        <f aca="false">IF(ISBLANK($C358),"",AND($AL358,$BJ358=""))</f>
        <v/>
      </c>
      <c r="CT358" s="75"/>
      <c r="CU358" s="76"/>
      <c r="CV358" s="79" t="str">
        <f aca="false">IF(ISBLANK($C358),"",IF($BL358=Constants!$B$8,$CM358,""))</f>
        <v/>
      </c>
      <c r="CW358" s="76" t="str">
        <f aca="false">IF(ISBLANK($C358),"",IF($BL358&lt;&gt;Constants!$B$4,"",$BO358+$BP358))</f>
        <v/>
      </c>
      <c r="CX358" s="78" t="str">
        <f aca="false">IF(ISBLANK($C358),"",IF($BL358&lt;&gt;Constants!$B$4,"",$BQ358+$BR358+$BS358))</f>
        <v/>
      </c>
      <c r="CY358" s="78" t="str">
        <f aca="false">IF(ISBLANK($C358),"",IF($BL358&lt;&gt;Constants!$B$4,"",$BT358))</f>
        <v/>
      </c>
      <c r="CZ358" s="78" t="str">
        <f aca="false">IF(ISBLANK($C358),"",IF($BL358&lt;&gt;Constants!$B$4,"",$BU358+$BV358))</f>
        <v/>
      </c>
      <c r="DA358" s="78" t="str">
        <f aca="false">IF(ISBLANK($C358),"",IF($BL358&lt;&gt;Constants!$B$4,"",$BW358))</f>
        <v/>
      </c>
      <c r="DB358" s="78" t="str">
        <f aca="false">IF(ISBLANK($C358),"",IF($BL358&lt;&gt;Constants!$B$4,"",-$CD358))</f>
        <v/>
      </c>
      <c r="DC358" s="79" t="str">
        <f aca="false">IF(ISBLANK($C358),"",$CE358)</f>
        <v/>
      </c>
      <c r="DD358" s="80" t="str">
        <f aca="false">IF(ISBLANK($C358),"",$BM358)</f>
        <v/>
      </c>
      <c r="DE358" s="78" t="str">
        <f aca="false">IF(ISBLANK($C358),"",$CL358)</f>
        <v/>
      </c>
      <c r="DF358" s="78" t="str">
        <f aca="false">IF(ISBLANK($C358),"",$CK358)</f>
        <v/>
      </c>
      <c r="DG358" s="81" t="str">
        <f aca="false">IF(ISBLANK($C358),"",IF($DF358=Constants!$B$7,COUNTA($C$9:$C$508)+2,IF($DF358=Constants!$B$6,COUNTA($C$9:$C$508)+1,IF($DF358=Constants!$B$5,COUNTA($C$9:$C$508),$DF358))))</f>
        <v/>
      </c>
      <c r="DH358" s="7"/>
      <c r="DI358" s="82" t="n">
        <f aca="false">IF(OR(ISNUMBER($DF358),$DF358=Constants!$B$7,$DF358=Constants!$B$5,$DF358=Constants!$B$6),1,0)</f>
        <v>0</v>
      </c>
      <c r="DJ358" s="82" t="n">
        <v>350</v>
      </c>
      <c r="DK358" s="82" t="str">
        <f aca="false">IF(ISBLANK($C358),"",IF(ISNUMBER($DG358),$DG358+ROW($B358)/1000,""))</f>
        <v/>
      </c>
      <c r="DL358" s="82" t="str">
        <f aca="false">IF(ISNUMBER($DK358),RANK($DK358,$DK$9:$DK$508,1),"")</f>
        <v/>
      </c>
      <c r="DM358" s="82" t="str">
        <f aca="false">IF(ISBLANK($C358),"",$B358)</f>
        <v/>
      </c>
      <c r="DN358" s="82" t="str">
        <f aca="false">IF(ISBLANK($C358),"",$C358)</f>
        <v/>
      </c>
      <c r="DO358" s="82" t="str">
        <f aca="false">IF(ISBLANK($C358),"",$D358)</f>
        <v/>
      </c>
      <c r="DP358" s="83" t="str">
        <f aca="false">$DD358</f>
        <v/>
      </c>
      <c r="DQ358" s="84" t="str">
        <f aca="false">$DC358</f>
        <v/>
      </c>
      <c r="DR358" s="82" t="str">
        <f aca="false">IF(ISBLANK($C358),"",$DF358)</f>
        <v/>
      </c>
      <c r="DS358" s="85" t="str">
        <f aca="false">IF($DJ358&gt;$DI$8,"",VLOOKUP($DJ358,$DL$9:$DR$508,7,FALSE()))</f>
        <v/>
      </c>
      <c r="DT358" s="86" t="str">
        <f aca="false">IF($DJ358&gt;$DI$8,"",VLOOKUP($DJ358,$DL$9:$DR$508,2,FALSE()))</f>
        <v/>
      </c>
      <c r="DU358" s="86" t="str">
        <f aca="false">IF($DJ358&gt;$DI$8,"",VLOOKUP($DJ358,$DL$9:$DR$508,3,FALSE()))</f>
        <v/>
      </c>
      <c r="DV358" s="86" t="str">
        <f aca="false">IF($DJ358&gt;$DI$8,"",VLOOKUP($DJ358,$DL$9:$DR$508,4,FALSE()))</f>
        <v/>
      </c>
      <c r="DW358" s="86" t="str">
        <f aca="false">IF($DJ358&gt;$DI$8,"",VLOOKUP($DJ358,$DL$9:$DR$508,5,FALSE()))</f>
        <v/>
      </c>
      <c r="DX358" s="87" t="str">
        <f aca="false">IF($DJ358&gt;$DI$8,"",VLOOKUP($DJ358,$DL$9:$DR$508,6,FALSE()))</f>
        <v/>
      </c>
      <c r="DY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88"/>
      <c r="N359" s="88"/>
      <c r="O359" s="134"/>
      <c r="P359" s="134"/>
      <c r="Q359" s="88"/>
      <c r="R359" s="88"/>
      <c r="S359" s="88"/>
      <c r="T359" s="88"/>
      <c r="U359" s="134"/>
      <c r="V359" s="88"/>
      <c r="W359" s="70"/>
      <c r="X359" s="88"/>
      <c r="Y359" s="88"/>
      <c r="Z359" s="70"/>
      <c r="AA359" s="70"/>
      <c r="AB359" s="88"/>
      <c r="AC359" s="88"/>
      <c r="AD359" s="88"/>
      <c r="AE359" s="71"/>
      <c r="AF359" s="88"/>
      <c r="AG359" s="73"/>
      <c r="AH359" s="74"/>
      <c r="AI359" s="74"/>
      <c r="AJ359" s="74" t="str">
        <f aca="false">IF(ISBLANK($C359),"",IF($E359=Constants!$B$2,TRUE(),IF($E359=Constants!$B$3,FALSE(),TRUE())))</f>
        <v/>
      </c>
      <c r="AK359" s="74" t="str">
        <f aca="false">IF(ISBLANK($C359),"",IF($F359=Constants!$B$2,TRUE(),IF($F359=Constants!$B$3,FALSE(),FALSE())))</f>
        <v/>
      </c>
      <c r="AL359" s="74" t="str">
        <f aca="false">IF(ISBLANK($C359),"",IF($G359=Constants!$B$2,TRUE(),IF($G359=Constants!$B$3,FALSE(),TRUE())))</f>
        <v/>
      </c>
      <c r="AM359" s="74" t="str">
        <f aca="false">IF(ISBLANK($C359),"",IF($H359=Constants!$B$2,TRUE(),IF($H359=Constants!$B$3,FALSE(),TRUE())))</f>
        <v/>
      </c>
      <c r="AN359" s="74" t="str">
        <f aca="false">IF(ISBLANK($C359),"",IF(ISNUMBER($I359),IF($I359&gt;=0,$I359,""),""))</f>
        <v/>
      </c>
      <c r="AO359" s="74" t="str">
        <f aca="false">IF(ISBLANK($C359),"",IF(ISNUMBER($J359),IF($J359&gt;=0,$J359,""),""))</f>
        <v/>
      </c>
      <c r="AP359" s="74" t="str">
        <f aca="false">IF(ISBLANK($C359),"",IF(ISNUMBER($K359),IF($K359&gt;=0,$K359,""),""))</f>
        <v/>
      </c>
      <c r="AQ359" s="74" t="str">
        <f aca="false">IF(ISBLANK($C359),"",IF($L359=Constants!$B$2,TRUE(),IF($L359=Constants!$B$3,FALSE(),TRUE())))</f>
        <v/>
      </c>
      <c r="AR359" s="74" t="str">
        <f aca="false">IF(ISBLANK($C359),"",IF($M359=Constants!$B$2,TRUE(),IF($M359=Constants!$B$3,FALSE(),TRUE())))</f>
        <v/>
      </c>
      <c r="AS359" s="74" t="str">
        <f aca="false">IF(ISBLANK($C359),"",IF($N359=Constants!$B$2,TRUE(),IF($N359=Constants!$B$3,FALSE(),FALSE())))</f>
        <v/>
      </c>
      <c r="AT359" s="74" t="str">
        <f aca="false">IF(ISBLANK($C359),"",IF($O359=Constants!$B$2,TRUE(),IF($O359=Constants!$B$3,FALSE(),TRUE())))</f>
        <v/>
      </c>
      <c r="AU359" s="74" t="str">
        <f aca="false">IF(ISBLANK($C359),"",IF($P359=Constants!$B$2,TRUE(),IF($P359=Constants!$B$3,FALSE(),TRUE())))</f>
        <v/>
      </c>
      <c r="AV359" s="74" t="str">
        <f aca="false">IF(ISBLANK($C359),"",IF($Q359=Constants!$B$2,TRUE(),IF($Q359=Constants!$B$3,FALSE(),FALSE())))</f>
        <v/>
      </c>
      <c r="AW359" s="74" t="str">
        <f aca="false">IF(ISBLANK($C359),"",IF($R359=Constants!$B$2,TRUE(),IF($R359=Constants!$B$3,FALSE(),FALSE())))</f>
        <v/>
      </c>
      <c r="AX359" s="74" t="str">
        <f aca="false">IF(ISBLANK($C359),"",IF($S359=Constants!$B$2,TRUE(),IF($S359=Constants!$B$3,FALSE(),FALSE())))</f>
        <v/>
      </c>
      <c r="AY359" s="74" t="str">
        <f aca="false">IF(ISBLANK($C359),"",IF($T359=Constants!$B$2,TRUE(),IF($T359=Constants!$B$3,FALSE(),FALSE())))</f>
        <v/>
      </c>
      <c r="AZ359" s="74" t="str">
        <f aca="false">IF(ISBLANK($C359),"",IF($U359=Constants!$B$2,TRUE(),IF($U359=Constants!$B$3,FALSE(),FALSE())))</f>
        <v/>
      </c>
      <c r="BA359" s="74" t="str">
        <f aca="false">IF(ISBLANK($C359),"",IF(OR($V359&amp;""="1",$V359&amp;""="2",$V359&amp;""="3",$V359&amp;""="4"),VALUE($V359&amp;""),IF($V359=Constants!$B$12,Constants!$B$12,"")))</f>
        <v/>
      </c>
      <c r="BB359" s="74" t="str">
        <f aca="false">IF(ISBLANK($C359),"",IF(ISBLANK($W359),0,IF(ISNUMBER($W359),IF(AND($W359&gt;=0,$W359&lt;=Constants!$B$21,$W359=INT($W359)),$W359,""),"")))</f>
        <v/>
      </c>
      <c r="BC359" s="74" t="str">
        <f aca="false">IF(ISBLANK($C359),"",IF(ISBLANK($X359),0,IF(ISNUMBER($X359),IF($X359&gt;=0,$X359,""),"")))</f>
        <v/>
      </c>
      <c r="BD359" s="74" t="str">
        <f aca="false">IF(ISBLANK($C359),"",IF($Y359=Constants!$B$2,TRUE(),IF($Y359=Constants!$B$3,FALSE(),TRUE())))</f>
        <v/>
      </c>
      <c r="BE359" s="74" t="str">
        <f aca="false">IF(ISBLANK($C359),"",IF($Z359=Constants!$B$2,TRUE(),IF($Z359=Constants!$B$3,FALSE(),FALSE())))</f>
        <v/>
      </c>
      <c r="BF359" s="74" t="str">
        <f aca="false">IF(ISBLANK($C359),"",IF(ISBLANK($AA359),0,IF(ISNUMBER($AA359),IF(AND($AA359&gt;=0,$AA359&lt;=Constants!$B$35,$AA359=INT($AA359)),$AA359,""),"")))</f>
        <v/>
      </c>
      <c r="BG359" s="74" t="str">
        <f aca="false">IF(ISBLANK($C359),"",IF($AB359=Constants!$B$2,TRUE(),IF($AB359=Constants!$B$3,FALSE(),TRUE())))</f>
        <v/>
      </c>
      <c r="BH359" s="74" t="str">
        <f aca="false">IF(ISBLANK($C359),"",IF($AC359=Constants!$B$2,TRUE(),IF($AC359=Constants!$B$3,FALSE(),TRUE())))</f>
        <v/>
      </c>
      <c r="BI359" s="74" t="str">
        <f aca="false">IF(ISBLANK($C359),"",IF($AD359=Constants!$B$2,TRUE(),IF($AD359=Constants!$B$3,FALSE(),TRUE())))</f>
        <v/>
      </c>
      <c r="BJ359" s="74" t="str">
        <f aca="false">IF(ISBLANK($C359),"",IF(ISNUMBER($AE359),IF($AE359&gt;=0,$AE359,""),""))</f>
        <v/>
      </c>
      <c r="BK359" s="74" t="str">
        <f aca="false">IF(ISBLANK($C359),"",IF($AF359=Constants!$B$2,TRUE(),IF($AF359=Constants!$B$3,FALSE(),FALSE())))</f>
        <v/>
      </c>
      <c r="BL359" s="73" t="str">
        <f aca="false">IF(ISBLANK($C359),"",IF($BK359,Constants!$B$7,IF(COUNTA($E359:$AE359)=0,Constants!$B$6,IF(OR(COUNTA($G359:$AE359)=0,NOT($AM359),$AS359),Constants!$B$5,IF(OR($CM359&lt;&gt;"",$CN359,$CO359,$CP359,$CQ359,$CR359,$CS359),Constants!$B$8,Constants!$B$4)))))</f>
        <v/>
      </c>
      <c r="BM359" s="74" t="str">
        <f aca="false">IF(ISBLANK($C359),"",IF($BL359&lt;&gt;Constants!$B$4,$BL359,IF(OR(NOT($AJ359),NOT($AL359),NOT($AT359)),Constants!$B$11,IF(OR(NOT($AR359),NOT($AU359),NOT($BI359),MAX($AN359,$AO359,$AP359)&gt;Constants!$B$30),Constants!$B$10,Constants!$B$9))))</f>
        <v/>
      </c>
      <c r="BN359" s="74" t="str">
        <f aca="false">IF($BL359&lt;&gt;Constants!$B$4,"",IF(NOT($AL359),0,MIN(Constants!$B$35,$BF359)))</f>
        <v/>
      </c>
      <c r="BO359" s="74" t="str">
        <f aca="false">IF($BL359&lt;&gt;Constants!$B$4,"",IF(NOT($AL359),0,IF($AW359,Constants!$B$18,IF($AV359,Constants!$B$17,0))))</f>
        <v/>
      </c>
      <c r="BP359" s="74" t="str">
        <f aca="false">IF($BL359&lt;&gt;Constants!$B$4,"",IF(NOT($AL359),0,Constants!$B$19*($AK359+$AX359+$AY359+$AZ359)))</f>
        <v/>
      </c>
      <c r="BQ359" s="74" t="str">
        <f aca="false">IF($BL359&lt;&gt;Constants!$B$4,"",IF(OR(NOT($AL359),NOT(ISNUMBER($BA359))),0,CHOOSE($BA359,Constants!$B$13,Constants!$B$14,Constants!$B$15,Constants!$B$16)))</f>
        <v/>
      </c>
      <c r="BR359" s="74" t="str">
        <f aca="false">IF($BL359&lt;&gt;Constants!$B$4,"",IF(NOT($AL359),0,Constants!$B$20*$BB359))</f>
        <v/>
      </c>
      <c r="BS359" s="74" t="str">
        <f aca="false">IF($BL359&lt;&gt;Constants!$B$4,"",IF(AND($AL359,$BD359,$BE359),Constants!$B$22,0))</f>
        <v/>
      </c>
      <c r="BT359" s="74" t="str">
        <f aca="false">IF($BL359&lt;&gt;Constants!$B$4,"",IF(OR(NOT($AL359),NOT($BD359)),0,IF($BJ359&gt;=2*$AH$9,0,Constants!$B$23*INT(ROUND(MIN($BJ359,$AH$9),6)))))</f>
        <v/>
      </c>
      <c r="BU359" s="74" t="str">
        <f aca="false">IF($BL359&lt;&gt;Constants!$B$4,"",IF(NOT($AL359),0,Constants!$B$24*INT(ROUND(MIN($BC359,$AH$9),6))))</f>
        <v/>
      </c>
      <c r="BV359" s="74" t="str">
        <f aca="false">IF($BL359&lt;&gt;Constants!$B$4,"",IF(AND($AL359,$BN359=0),Constants!$B$25,0))</f>
        <v/>
      </c>
      <c r="BW359" s="74" t="str">
        <f aca="false">IF($BL359&lt;&gt;Constants!$B$4,"",MIN(Constants!$B$29,MAX(0,Constants!$B$27*Constants!$B$28*INT(ROUND((Constants!$B$26-$AN359)/Constants!$B$28,6))))+MIN(Constants!$B$29,MAX(0,Constants!$B$27*Constants!$B$28*INT(ROUND((Constants!$B$26-$AO359)/Constants!$B$28,6))))+MIN(Constants!$B$29,MAX(0,Constants!$B$27*Constants!$B$28*INT(ROUND((Constants!$B$26-$AP359)/Constants!$B$28,6)))))</f>
        <v/>
      </c>
      <c r="BX359" s="74" t="str">
        <f aca="false">IF($BL359&lt;&gt;Constants!$B$4,"",IF(NOT($AL359),0,Constants!$B$31*INT(ROUND(MAX(0,MIN($BJ359,2*$AH$9)-$AH$9),6))))</f>
        <v/>
      </c>
      <c r="BY359" s="74" t="str">
        <f aca="false">IF($BL359&lt;&gt;Constants!$B$4,"",Constants!$B$32*(($AN359&gt;Constants!$B$26)+($AO359&gt;Constants!$B$26)+($AP359&gt;Constants!$B$26)))</f>
        <v/>
      </c>
      <c r="BZ359" s="74" t="str">
        <f aca="false">IF($BL359&lt;&gt;Constants!$B$4,"",IF(OR(NOT($AL359),$AQ359),0,Constants!$B$33))</f>
        <v/>
      </c>
      <c r="CA359" s="74" t="str">
        <f aca="false">IF($BL359&lt;&gt;Constants!$B$4,"",Constants!$B$34*$BN359)</f>
        <v/>
      </c>
      <c r="CB359" s="74" t="str">
        <f aca="false">IF($BL359&lt;&gt;Constants!$B$4,"",IF(OR(NOT($AL359),$BH359),0,Constants!$B$36))</f>
        <v/>
      </c>
      <c r="CC359" s="74" t="str">
        <f aca="false">IF($BL359&lt;&gt;Constants!$B$4,"",IF(OR(NOT($AL359),$BG359),0,Constants!$B$37))</f>
        <v/>
      </c>
      <c r="CD359" s="74" t="str">
        <f aca="false">IF($BL359&lt;&gt;Constants!$B$4,"",SUM($BX359:$CC359))</f>
        <v/>
      </c>
      <c r="CE359" s="74" t="str">
        <f aca="false">IF(ISBLANK($C359),"",IF($BL359&lt;&gt;Constants!$B$4,$BL359,SUM($BO359:$BW359)-$CD359))</f>
        <v/>
      </c>
      <c r="CF359" s="74" t="str">
        <f aca="false">IF(ISBLANK($C359),"",IF($BL359&lt;&gt;Constants!$B$4,$BL359,RANK($CE359,$CE$9:$CE$508)))</f>
        <v/>
      </c>
      <c r="CG359" s="74" t="str">
        <f aca="false">IF(ISBLANK($C359),"",IF($BL359&lt;&gt;Constants!$B$4,$BL359,COUNTIFS($BM$9:$BM$508,"&lt;"&amp;$BM359)+COUNTIFS($BM$9:$BM$508,$BM359,$CF$9:$CF$508,"&lt;"&amp;$CF359)+1))</f>
        <v/>
      </c>
      <c r="CH359" s="74" t="str">
        <f aca="false">IF(ISBLANK($C359),"",IF($BL359&lt;&gt;Constants!$B$4,$BL359,RANK($CD359,$CD$9:$CD$508,1)))</f>
        <v/>
      </c>
      <c r="CI359" s="74" t="str">
        <f aca="false">IF($BL359&lt;&gt;Constants!$B$4,"",$AN359+$AO359+$AP359)</f>
        <v/>
      </c>
      <c r="CJ359" s="74" t="str">
        <f aca="false">IF(ISBLANK($C359),"",IF($BL359&lt;&gt;Constants!$B$4,$BL359,RANK($CI359,$CI$9:$CI$508,1)))</f>
        <v/>
      </c>
      <c r="CK359" s="74" t="str">
        <f aca="false">IF(ISBLANK($C359),"",IF($BL359&lt;&gt;Constants!$B$4,$BL359,COUNTIFS($BM$9:$BM$508,"&lt;"&amp;$BM359)+COUNTIFS($BM$9:$BM$508,$BM359,$CF$9:$CF$508,"&lt;"&amp;$CF359)+COUNTIFS($BM$9:$BM$508,$BM359,$CF$9:$CF$508,$CF359,$CH$9:$CH$508,"&lt;"&amp;$CH359)+COUNTIFS($BM$9:$BM$508,$BM359,$CF$9:$CF$508,$CF359,$CH$9:$CH$508,$CH359,$CJ$9:$CJ$508,"&lt;"&amp;$CJ359)+1))</f>
        <v/>
      </c>
      <c r="CL359" s="74" t="str">
        <f aca="false">IF(ISBLANK($C359),"",IF($BL359&lt;&gt;Constants!$B$4,$BL359,$CG359-$CK359))</f>
        <v/>
      </c>
      <c r="CM359" s="74" t="str">
        <f aca="false">IF(ISBLANK($C359),"",IF(NOT($AL359),"",IF(ISBLANK($D$7),$CM$5,IF(NOT(ISNUMBER($D$7)),$CM$6,""))))</f>
        <v/>
      </c>
      <c r="CN359" s="74" t="str">
        <f aca="false">IF(ISBLANK($C359),"",OR($AN359="",$AO359="",$AP359=""))</f>
        <v/>
      </c>
      <c r="CO359" s="74" t="str">
        <f aca="false">IF(ISBLANK($C359),"",AND($AL359,$BA359=""))</f>
        <v/>
      </c>
      <c r="CP359" s="74" t="str">
        <f aca="false">IF(ISBLANK($C359),"",AND($AL359,$BB359=""))</f>
        <v/>
      </c>
      <c r="CQ359" s="74" t="str">
        <f aca="false">IF(ISBLANK($C359),"",AND($AL359,$BC359=""))</f>
        <v/>
      </c>
      <c r="CR359" s="74" t="str">
        <f aca="false">IF(ISBLANK($C359),"",AND($AL359,$BF359=""))</f>
        <v/>
      </c>
      <c r="CS359" s="74" t="str">
        <f aca="false">IF(ISBLANK($C359),"",AND($AL359,$BJ359=""))</f>
        <v/>
      </c>
      <c r="CT359" s="75"/>
      <c r="CU359" s="76"/>
      <c r="CV359" s="79" t="str">
        <f aca="false">IF(ISBLANK($C359),"",IF($BL359=Constants!$B$8,$CM359,""))</f>
        <v/>
      </c>
      <c r="CW359" s="76" t="str">
        <f aca="false">IF(ISBLANK($C359),"",IF($BL359&lt;&gt;Constants!$B$4,"",$BO359+$BP359))</f>
        <v/>
      </c>
      <c r="CX359" s="78" t="str">
        <f aca="false">IF(ISBLANK($C359),"",IF($BL359&lt;&gt;Constants!$B$4,"",$BQ359+$BR359+$BS359))</f>
        <v/>
      </c>
      <c r="CY359" s="78" t="str">
        <f aca="false">IF(ISBLANK($C359),"",IF($BL359&lt;&gt;Constants!$B$4,"",$BT359))</f>
        <v/>
      </c>
      <c r="CZ359" s="78" t="str">
        <f aca="false">IF(ISBLANK($C359),"",IF($BL359&lt;&gt;Constants!$B$4,"",$BU359+$BV359))</f>
        <v/>
      </c>
      <c r="DA359" s="78" t="str">
        <f aca="false">IF(ISBLANK($C359),"",IF($BL359&lt;&gt;Constants!$B$4,"",$BW359))</f>
        <v/>
      </c>
      <c r="DB359" s="78" t="str">
        <f aca="false">IF(ISBLANK($C359),"",IF($BL359&lt;&gt;Constants!$B$4,"",-$CD359))</f>
        <v/>
      </c>
      <c r="DC359" s="79" t="str">
        <f aca="false">IF(ISBLANK($C359),"",$CE359)</f>
        <v/>
      </c>
      <c r="DD359" s="80" t="str">
        <f aca="false">IF(ISBLANK($C359),"",$BM359)</f>
        <v/>
      </c>
      <c r="DE359" s="78" t="str">
        <f aca="false">IF(ISBLANK($C359),"",$CL359)</f>
        <v/>
      </c>
      <c r="DF359" s="78" t="str">
        <f aca="false">IF(ISBLANK($C359),"",$CK359)</f>
        <v/>
      </c>
      <c r="DG359" s="81" t="str">
        <f aca="false">IF(ISBLANK($C359),"",IF($DF359=Constants!$B$7,COUNTA($C$9:$C$508)+2,IF($DF359=Constants!$B$6,COUNTA($C$9:$C$508)+1,IF($DF359=Constants!$B$5,COUNTA($C$9:$C$508),$DF359))))</f>
        <v/>
      </c>
      <c r="DH359" s="7"/>
      <c r="DI359" s="82" t="n">
        <f aca="false">IF(OR(ISNUMBER($DF359),$DF359=Constants!$B$7,$DF359=Constants!$B$5,$DF359=Constants!$B$6),1,0)</f>
        <v>0</v>
      </c>
      <c r="DJ359" s="82" t="n">
        <v>351</v>
      </c>
      <c r="DK359" s="82" t="str">
        <f aca="false">IF(ISBLANK($C359),"",IF(ISNUMBER($DG359),$DG359+ROW($B359)/1000,""))</f>
        <v/>
      </c>
      <c r="DL359" s="82" t="str">
        <f aca="false">IF(ISNUMBER($DK359),RANK($DK359,$DK$9:$DK$508,1),"")</f>
        <v/>
      </c>
      <c r="DM359" s="82" t="str">
        <f aca="false">IF(ISBLANK($C359),"",$B359)</f>
        <v/>
      </c>
      <c r="DN359" s="82" t="str">
        <f aca="false">IF(ISBLANK($C359),"",$C359)</f>
        <v/>
      </c>
      <c r="DO359" s="82" t="str">
        <f aca="false">IF(ISBLANK($C359),"",$D359)</f>
        <v/>
      </c>
      <c r="DP359" s="83" t="str">
        <f aca="false">$DD359</f>
        <v/>
      </c>
      <c r="DQ359" s="84" t="str">
        <f aca="false">$DC359</f>
        <v/>
      </c>
      <c r="DR359" s="82" t="str">
        <f aca="false">IF(ISBLANK($C359),"",$DF359)</f>
        <v/>
      </c>
      <c r="DS359" s="85" t="str">
        <f aca="false">IF($DJ359&gt;$DI$8,"",VLOOKUP($DJ359,$DL$9:$DR$508,7,FALSE()))</f>
        <v/>
      </c>
      <c r="DT359" s="86" t="str">
        <f aca="false">IF($DJ359&gt;$DI$8,"",VLOOKUP($DJ359,$DL$9:$DR$508,2,FALSE()))</f>
        <v/>
      </c>
      <c r="DU359" s="86" t="str">
        <f aca="false">IF($DJ359&gt;$DI$8,"",VLOOKUP($DJ359,$DL$9:$DR$508,3,FALSE()))</f>
        <v/>
      </c>
      <c r="DV359" s="86" t="str">
        <f aca="false">IF($DJ359&gt;$DI$8,"",VLOOKUP($DJ359,$DL$9:$DR$508,4,FALSE()))</f>
        <v/>
      </c>
      <c r="DW359" s="86" t="str">
        <f aca="false">IF($DJ359&gt;$DI$8,"",VLOOKUP($DJ359,$DL$9:$DR$508,5,FALSE()))</f>
        <v/>
      </c>
      <c r="DX359" s="87" t="str">
        <f aca="false">IF($DJ359&gt;$DI$8,"",VLOOKUP($DJ359,$DL$9:$DR$508,6,FALSE()))</f>
        <v/>
      </c>
      <c r="DY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130"/>
      <c r="N360" s="130"/>
      <c r="O360" s="135"/>
      <c r="P360" s="135"/>
      <c r="Q360" s="130"/>
      <c r="R360" s="130"/>
      <c r="S360" s="130"/>
      <c r="T360" s="130"/>
      <c r="U360" s="135"/>
      <c r="V360" s="130"/>
      <c r="W360" s="96"/>
      <c r="X360" s="130"/>
      <c r="Y360" s="130"/>
      <c r="Z360" s="96"/>
      <c r="AA360" s="96"/>
      <c r="AB360" s="130"/>
      <c r="AC360" s="130"/>
      <c r="AD360" s="130"/>
      <c r="AE360" s="97"/>
      <c r="AF360" s="130"/>
      <c r="AG360" s="99"/>
      <c r="AH360" s="100"/>
      <c r="AI360" s="100"/>
      <c r="AJ360" s="100" t="str">
        <f aca="false">IF(ISBLANK($C360),"",IF($E360=Constants!$B$2,TRUE(),IF($E360=Constants!$B$3,FALSE(),TRUE())))</f>
        <v/>
      </c>
      <c r="AK360" s="100" t="str">
        <f aca="false">IF(ISBLANK($C360),"",IF($F360=Constants!$B$2,TRUE(),IF($F360=Constants!$B$3,FALSE(),FALSE())))</f>
        <v/>
      </c>
      <c r="AL360" s="100" t="str">
        <f aca="false">IF(ISBLANK($C360),"",IF($G360=Constants!$B$2,TRUE(),IF($G360=Constants!$B$3,FALSE(),TRUE())))</f>
        <v/>
      </c>
      <c r="AM360" s="100" t="str">
        <f aca="false">IF(ISBLANK($C360),"",IF($H360=Constants!$B$2,TRUE(),IF($H360=Constants!$B$3,FALSE(),TRUE())))</f>
        <v/>
      </c>
      <c r="AN360" s="100" t="str">
        <f aca="false">IF(ISBLANK($C360),"",IF(ISNUMBER($I360),IF($I360&gt;=0,$I360,""),""))</f>
        <v/>
      </c>
      <c r="AO360" s="100" t="str">
        <f aca="false">IF(ISBLANK($C360),"",IF(ISNUMBER($J360),IF($J360&gt;=0,$J360,""),""))</f>
        <v/>
      </c>
      <c r="AP360" s="100" t="str">
        <f aca="false">IF(ISBLANK($C360),"",IF(ISNUMBER($K360),IF($K360&gt;=0,$K360,""),""))</f>
        <v/>
      </c>
      <c r="AQ360" s="100" t="str">
        <f aca="false">IF(ISBLANK($C360),"",IF($L360=Constants!$B$2,TRUE(),IF($L360=Constants!$B$3,FALSE(),TRUE())))</f>
        <v/>
      </c>
      <c r="AR360" s="100" t="str">
        <f aca="false">IF(ISBLANK($C360),"",IF($M360=Constants!$B$2,TRUE(),IF($M360=Constants!$B$3,FALSE(),TRUE())))</f>
        <v/>
      </c>
      <c r="AS360" s="100" t="str">
        <f aca="false">IF(ISBLANK($C360),"",IF($N360=Constants!$B$2,TRUE(),IF($N360=Constants!$B$3,FALSE(),FALSE())))</f>
        <v/>
      </c>
      <c r="AT360" s="100" t="str">
        <f aca="false">IF(ISBLANK($C360),"",IF($O360=Constants!$B$2,TRUE(),IF($O360=Constants!$B$3,FALSE(),TRUE())))</f>
        <v/>
      </c>
      <c r="AU360" s="100" t="str">
        <f aca="false">IF(ISBLANK($C360),"",IF($P360=Constants!$B$2,TRUE(),IF($P360=Constants!$B$3,FALSE(),TRUE())))</f>
        <v/>
      </c>
      <c r="AV360" s="100" t="str">
        <f aca="false">IF(ISBLANK($C360),"",IF($Q360=Constants!$B$2,TRUE(),IF($Q360=Constants!$B$3,FALSE(),FALSE())))</f>
        <v/>
      </c>
      <c r="AW360" s="100" t="str">
        <f aca="false">IF(ISBLANK($C360),"",IF($R360=Constants!$B$2,TRUE(),IF($R360=Constants!$B$3,FALSE(),FALSE())))</f>
        <v/>
      </c>
      <c r="AX360" s="100" t="str">
        <f aca="false">IF(ISBLANK($C360),"",IF($S360=Constants!$B$2,TRUE(),IF($S360=Constants!$B$3,FALSE(),FALSE())))</f>
        <v/>
      </c>
      <c r="AY360" s="100" t="str">
        <f aca="false">IF(ISBLANK($C360),"",IF($T360=Constants!$B$2,TRUE(),IF($T360=Constants!$B$3,FALSE(),FALSE())))</f>
        <v/>
      </c>
      <c r="AZ360" s="100" t="str">
        <f aca="false">IF(ISBLANK($C360),"",IF($U360=Constants!$B$2,TRUE(),IF($U360=Constants!$B$3,FALSE(),FALSE())))</f>
        <v/>
      </c>
      <c r="BA360" s="100" t="str">
        <f aca="false">IF(ISBLANK($C360),"",IF(OR($V360&amp;""="1",$V360&amp;""="2",$V360&amp;""="3",$V360&amp;""="4"),VALUE($V360&amp;""),IF($V360=Constants!$B$12,Constants!$B$12,"")))</f>
        <v/>
      </c>
      <c r="BB360" s="100" t="str">
        <f aca="false">IF(ISBLANK($C360),"",IF(ISBLANK($W360),0,IF(ISNUMBER($W360),IF(AND($W360&gt;=0,$W360&lt;=Constants!$B$21,$W360=INT($W360)),$W360,""),"")))</f>
        <v/>
      </c>
      <c r="BC360" s="100" t="str">
        <f aca="false">IF(ISBLANK($C360),"",IF(ISBLANK($X360),0,IF(ISNUMBER($X360),IF($X360&gt;=0,$X360,""),"")))</f>
        <v/>
      </c>
      <c r="BD360" s="100" t="str">
        <f aca="false">IF(ISBLANK($C360),"",IF($Y360=Constants!$B$2,TRUE(),IF($Y360=Constants!$B$3,FALSE(),TRUE())))</f>
        <v/>
      </c>
      <c r="BE360" s="100" t="str">
        <f aca="false">IF(ISBLANK($C360),"",IF($Z360=Constants!$B$2,TRUE(),IF($Z360=Constants!$B$3,FALSE(),FALSE())))</f>
        <v/>
      </c>
      <c r="BF360" s="100" t="str">
        <f aca="false">IF(ISBLANK($C360),"",IF(ISBLANK($AA360),0,IF(ISNUMBER($AA360),IF(AND($AA360&gt;=0,$AA360&lt;=Constants!$B$35,$AA360=INT($AA360)),$AA360,""),"")))</f>
        <v/>
      </c>
      <c r="BG360" s="100" t="str">
        <f aca="false">IF(ISBLANK($C360),"",IF($AB360=Constants!$B$2,TRUE(),IF($AB360=Constants!$B$3,FALSE(),TRUE())))</f>
        <v/>
      </c>
      <c r="BH360" s="100" t="str">
        <f aca="false">IF(ISBLANK($C360),"",IF($AC360=Constants!$B$2,TRUE(),IF($AC360=Constants!$B$3,FALSE(),TRUE())))</f>
        <v/>
      </c>
      <c r="BI360" s="100" t="str">
        <f aca="false">IF(ISBLANK($C360),"",IF($AD360=Constants!$B$2,TRUE(),IF($AD360=Constants!$B$3,FALSE(),TRUE())))</f>
        <v/>
      </c>
      <c r="BJ360" s="100" t="str">
        <f aca="false">IF(ISBLANK($C360),"",IF(ISNUMBER($AE360),IF($AE360&gt;=0,$AE360,""),""))</f>
        <v/>
      </c>
      <c r="BK360" s="100" t="str">
        <f aca="false">IF(ISBLANK($C360),"",IF($AF360=Constants!$B$2,TRUE(),IF($AF360=Constants!$B$3,FALSE(),FALSE())))</f>
        <v/>
      </c>
      <c r="BL360" s="99" t="str">
        <f aca="false">IF(ISBLANK($C360),"",IF($BK360,Constants!$B$7,IF(COUNTA($E360:$AE360)=0,Constants!$B$6,IF(OR(COUNTA($G360:$AE360)=0,NOT($AM360),$AS360),Constants!$B$5,IF(OR($CM360&lt;&gt;"",$CN360,$CO360,$CP360,$CQ360,$CR360,$CS360),Constants!$B$8,Constants!$B$4)))))</f>
        <v/>
      </c>
      <c r="BM360" s="100" t="str">
        <f aca="false">IF(ISBLANK($C360),"",IF($BL360&lt;&gt;Constants!$B$4,$BL360,IF(OR(NOT($AJ360),NOT($AL360),NOT($AT360)),Constants!$B$11,IF(OR(NOT($AR360),NOT($AU360),NOT($BI360),MAX($AN360,$AO360,$AP360)&gt;Constants!$B$30),Constants!$B$10,Constants!$B$9))))</f>
        <v/>
      </c>
      <c r="BN360" s="100" t="str">
        <f aca="false">IF($BL360&lt;&gt;Constants!$B$4,"",IF(NOT($AL360),0,MIN(Constants!$B$35,$BF360)))</f>
        <v/>
      </c>
      <c r="BO360" s="100" t="str">
        <f aca="false">IF($BL360&lt;&gt;Constants!$B$4,"",IF(NOT($AL360),0,IF($AW360,Constants!$B$18,IF($AV360,Constants!$B$17,0))))</f>
        <v/>
      </c>
      <c r="BP360" s="100" t="str">
        <f aca="false">IF($BL360&lt;&gt;Constants!$B$4,"",IF(NOT($AL360),0,Constants!$B$19*($AK360+$AX360+$AY360+$AZ360)))</f>
        <v/>
      </c>
      <c r="BQ360" s="100" t="str">
        <f aca="false">IF($BL360&lt;&gt;Constants!$B$4,"",IF(OR(NOT($AL360),NOT(ISNUMBER($BA360))),0,CHOOSE($BA360,Constants!$B$13,Constants!$B$14,Constants!$B$15,Constants!$B$16)))</f>
        <v/>
      </c>
      <c r="BR360" s="100" t="str">
        <f aca="false">IF($BL360&lt;&gt;Constants!$B$4,"",IF(NOT($AL360),0,Constants!$B$20*$BB360))</f>
        <v/>
      </c>
      <c r="BS360" s="100" t="str">
        <f aca="false">IF($BL360&lt;&gt;Constants!$B$4,"",IF(AND($AL360,$BD360,$BE360),Constants!$B$22,0))</f>
        <v/>
      </c>
      <c r="BT360" s="100" t="str">
        <f aca="false">IF($BL360&lt;&gt;Constants!$B$4,"",IF(OR(NOT($AL360),NOT($BD360)),0,IF($BJ360&gt;=2*$AH$9,0,Constants!$B$23*INT(ROUND(MIN($BJ360,$AH$9),6)))))</f>
        <v/>
      </c>
      <c r="BU360" s="100" t="str">
        <f aca="false">IF($BL360&lt;&gt;Constants!$B$4,"",IF(NOT($AL360),0,Constants!$B$24*INT(ROUND(MIN($BC360,$AH$9),6))))</f>
        <v/>
      </c>
      <c r="BV360" s="100" t="str">
        <f aca="false">IF($BL360&lt;&gt;Constants!$B$4,"",IF(AND($AL360,$BN360=0),Constants!$B$25,0))</f>
        <v/>
      </c>
      <c r="BW360" s="100" t="str">
        <f aca="false">IF($BL360&lt;&gt;Constants!$B$4,"",MIN(Constants!$B$29,MAX(0,Constants!$B$27*Constants!$B$28*INT(ROUND((Constants!$B$26-$AN360)/Constants!$B$28,6))))+MIN(Constants!$B$29,MAX(0,Constants!$B$27*Constants!$B$28*INT(ROUND((Constants!$B$26-$AO360)/Constants!$B$28,6))))+MIN(Constants!$B$29,MAX(0,Constants!$B$27*Constants!$B$28*INT(ROUND((Constants!$B$26-$AP360)/Constants!$B$28,6)))))</f>
        <v/>
      </c>
      <c r="BX360" s="100" t="str">
        <f aca="false">IF($BL360&lt;&gt;Constants!$B$4,"",IF(NOT($AL360),0,Constants!$B$31*INT(ROUND(MAX(0,MIN($BJ360,2*$AH$9)-$AH$9),6))))</f>
        <v/>
      </c>
      <c r="BY360" s="100" t="str">
        <f aca="false">IF($BL360&lt;&gt;Constants!$B$4,"",Constants!$B$32*(($AN360&gt;Constants!$B$26)+($AO360&gt;Constants!$B$26)+($AP360&gt;Constants!$B$26)))</f>
        <v/>
      </c>
      <c r="BZ360" s="100" t="str">
        <f aca="false">IF($BL360&lt;&gt;Constants!$B$4,"",IF(OR(NOT($AL360),$AQ360),0,Constants!$B$33))</f>
        <v/>
      </c>
      <c r="CA360" s="100" t="str">
        <f aca="false">IF($BL360&lt;&gt;Constants!$B$4,"",Constants!$B$34*$BN360)</f>
        <v/>
      </c>
      <c r="CB360" s="100" t="str">
        <f aca="false">IF($BL360&lt;&gt;Constants!$B$4,"",IF(OR(NOT($AL360),$BH360),0,Constants!$B$36))</f>
        <v/>
      </c>
      <c r="CC360" s="100" t="str">
        <f aca="false">IF($BL360&lt;&gt;Constants!$B$4,"",IF(OR(NOT($AL360),$BG360),0,Constants!$B$37))</f>
        <v/>
      </c>
      <c r="CD360" s="100" t="str">
        <f aca="false">IF($BL360&lt;&gt;Constants!$B$4,"",SUM($BX360:$CC360))</f>
        <v/>
      </c>
      <c r="CE360" s="100" t="str">
        <f aca="false">IF(ISBLANK($C360),"",IF($BL360&lt;&gt;Constants!$B$4,$BL360,SUM($BO360:$BW360)-$CD360))</f>
        <v/>
      </c>
      <c r="CF360" s="100" t="str">
        <f aca="false">IF(ISBLANK($C360),"",IF($BL360&lt;&gt;Constants!$B$4,$BL360,RANK($CE360,$CE$9:$CE$508)))</f>
        <v/>
      </c>
      <c r="CG360" s="100" t="str">
        <f aca="false">IF(ISBLANK($C360),"",IF($BL360&lt;&gt;Constants!$B$4,$BL360,COUNTIFS($BM$9:$BM$508,"&lt;"&amp;$BM360)+COUNTIFS($BM$9:$BM$508,$BM360,$CF$9:$CF$508,"&lt;"&amp;$CF360)+1))</f>
        <v/>
      </c>
      <c r="CH360" s="100" t="str">
        <f aca="false">IF(ISBLANK($C360),"",IF($BL360&lt;&gt;Constants!$B$4,$BL360,RANK($CD360,$CD$9:$CD$508,1)))</f>
        <v/>
      </c>
      <c r="CI360" s="100" t="str">
        <f aca="false">IF($BL360&lt;&gt;Constants!$B$4,"",$AN360+$AO360+$AP360)</f>
        <v/>
      </c>
      <c r="CJ360" s="100" t="str">
        <f aca="false">IF(ISBLANK($C360),"",IF($BL360&lt;&gt;Constants!$B$4,$BL360,RANK($CI360,$CI$9:$CI$508,1)))</f>
        <v/>
      </c>
      <c r="CK360" s="100" t="str">
        <f aca="false">IF(ISBLANK($C360),"",IF($BL360&lt;&gt;Constants!$B$4,$BL360,COUNTIFS($BM$9:$BM$508,"&lt;"&amp;$BM360)+COUNTIFS($BM$9:$BM$508,$BM360,$CF$9:$CF$508,"&lt;"&amp;$CF360)+COUNTIFS($BM$9:$BM$508,$BM360,$CF$9:$CF$508,$CF360,$CH$9:$CH$508,"&lt;"&amp;$CH360)+COUNTIFS($BM$9:$BM$508,$BM360,$CF$9:$CF$508,$CF360,$CH$9:$CH$508,$CH360,$CJ$9:$CJ$508,"&lt;"&amp;$CJ360)+1))</f>
        <v/>
      </c>
      <c r="CL360" s="100" t="str">
        <f aca="false">IF(ISBLANK($C360),"",IF($BL360&lt;&gt;Constants!$B$4,$BL360,$CG360-$CK360))</f>
        <v/>
      </c>
      <c r="CM360" s="100" t="str">
        <f aca="false">IF(ISBLANK($C360),"",IF(NOT($AL360),"",IF(ISBLANK($D$7),$CM$5,IF(NOT(ISNUMBER($D$7)),$CM$6,""))))</f>
        <v/>
      </c>
      <c r="CN360" s="100" t="str">
        <f aca="false">IF(ISBLANK($C360),"",OR($AN360="",$AO360="",$AP360=""))</f>
        <v/>
      </c>
      <c r="CO360" s="100" t="str">
        <f aca="false">IF(ISBLANK($C360),"",AND($AL360,$BA360=""))</f>
        <v/>
      </c>
      <c r="CP360" s="100" t="str">
        <f aca="false">IF(ISBLANK($C360),"",AND($AL360,$BB360=""))</f>
        <v/>
      </c>
      <c r="CQ360" s="100" t="str">
        <f aca="false">IF(ISBLANK($C360),"",AND($AL360,$BC360=""))</f>
        <v/>
      </c>
      <c r="CR360" s="100" t="str">
        <f aca="false">IF(ISBLANK($C360),"",AND($AL360,$BF360=""))</f>
        <v/>
      </c>
      <c r="CS360" s="100" t="str">
        <f aca="false">IF(ISBLANK($C360),"",AND($AL360,$BJ360=""))</f>
        <v/>
      </c>
      <c r="CT360" s="101"/>
      <c r="CU360" s="102"/>
      <c r="CV360" s="103" t="str">
        <f aca="false">IF(ISBLANK($C360),"",IF($BL360=Constants!$B$8,$CM360,""))</f>
        <v/>
      </c>
      <c r="CW360" s="102" t="str">
        <f aca="false">IF(ISBLANK($C360),"",IF($BL360&lt;&gt;Constants!$B$4,"",$BO360+$BP360))</f>
        <v/>
      </c>
      <c r="CX360" s="104" t="str">
        <f aca="false">IF(ISBLANK($C360),"",IF($BL360&lt;&gt;Constants!$B$4,"",$BQ360+$BR360+$BS360))</f>
        <v/>
      </c>
      <c r="CY360" s="104" t="str">
        <f aca="false">IF(ISBLANK($C360),"",IF($BL360&lt;&gt;Constants!$B$4,"",$BT360))</f>
        <v/>
      </c>
      <c r="CZ360" s="104" t="str">
        <f aca="false">IF(ISBLANK($C360),"",IF($BL360&lt;&gt;Constants!$B$4,"",$BU360+$BV360))</f>
        <v/>
      </c>
      <c r="DA360" s="104" t="str">
        <f aca="false">IF(ISBLANK($C360),"",IF($BL360&lt;&gt;Constants!$B$4,"",$BW360))</f>
        <v/>
      </c>
      <c r="DB360" s="104" t="str">
        <f aca="false">IF(ISBLANK($C360),"",IF($BL360&lt;&gt;Constants!$B$4,"",-$CD360))</f>
        <v/>
      </c>
      <c r="DC360" s="103" t="str">
        <f aca="false">IF(ISBLANK($C360),"",$CE360)</f>
        <v/>
      </c>
      <c r="DD360" s="105" t="str">
        <f aca="false">IF(ISBLANK($C360),"",$BM360)</f>
        <v/>
      </c>
      <c r="DE360" s="104" t="str">
        <f aca="false">IF(ISBLANK($C360),"",$CL360)</f>
        <v/>
      </c>
      <c r="DF360" s="104" t="str">
        <f aca="false">IF(ISBLANK($C360),"",$CK360)</f>
        <v/>
      </c>
      <c r="DG360" s="106" t="str">
        <f aca="false">IF(ISBLANK($C360),"",IF($DF360=Constants!$B$7,COUNTA($C$9:$C$508)+2,IF($DF360=Constants!$B$6,COUNTA($C$9:$C$508)+1,IF($DF360=Constants!$B$5,COUNTA($C$9:$C$508),$DF360))))</f>
        <v/>
      </c>
      <c r="DH360" s="7"/>
      <c r="DI360" s="107" t="n">
        <f aca="false">IF(OR(ISNUMBER($DF360),$DF360=Constants!$B$7,$DF360=Constants!$B$5,$DF360=Constants!$B$6),1,0)</f>
        <v>0</v>
      </c>
      <c r="DJ360" s="107" t="n">
        <v>352</v>
      </c>
      <c r="DK360" s="107" t="str">
        <f aca="false">IF(ISBLANK($C360),"",IF(ISNUMBER($DG360),$DG360+ROW($B360)/1000,""))</f>
        <v/>
      </c>
      <c r="DL360" s="107" t="str">
        <f aca="false">IF(ISNUMBER($DK360),RANK($DK360,$DK$9:$DK$508,1),"")</f>
        <v/>
      </c>
      <c r="DM360" s="107" t="str">
        <f aca="false">IF(ISBLANK($C360),"",$B360)</f>
        <v/>
      </c>
      <c r="DN360" s="107" t="str">
        <f aca="false">IF(ISBLANK($C360),"",$C360)</f>
        <v/>
      </c>
      <c r="DO360" s="107" t="str">
        <f aca="false">IF(ISBLANK($C360),"",$D360)</f>
        <v/>
      </c>
      <c r="DP360" s="108" t="str">
        <f aca="false">$DD360</f>
        <v/>
      </c>
      <c r="DQ360" s="109" t="str">
        <f aca="false">$DC360</f>
        <v/>
      </c>
      <c r="DR360" s="107" t="str">
        <f aca="false">IF(ISBLANK($C360),"",$DF360)</f>
        <v/>
      </c>
      <c r="DS360" s="110" t="str">
        <f aca="false">IF($DJ360&gt;$DI$8,"",VLOOKUP($DJ360,$DL$9:$DR$508,7,FALSE()))</f>
        <v/>
      </c>
      <c r="DT360" s="111" t="str">
        <f aca="false">IF($DJ360&gt;$DI$8,"",VLOOKUP($DJ360,$DL$9:$DR$508,2,FALSE()))</f>
        <v/>
      </c>
      <c r="DU360" s="111" t="str">
        <f aca="false">IF($DJ360&gt;$DI$8,"",VLOOKUP($DJ360,$DL$9:$DR$508,3,FALSE()))</f>
        <v/>
      </c>
      <c r="DV360" s="111" t="str">
        <f aca="false">IF($DJ360&gt;$DI$8,"",VLOOKUP($DJ360,$DL$9:$DR$508,4,FALSE()))</f>
        <v/>
      </c>
      <c r="DW360" s="111" t="str">
        <f aca="false">IF($DJ360&gt;$DI$8,"",VLOOKUP($DJ360,$DL$9:$DR$508,5,FALSE()))</f>
        <v/>
      </c>
      <c r="DX360" s="112" t="str">
        <f aca="false">IF($DJ360&gt;$DI$8,"",VLOOKUP($DJ360,$DL$9:$DR$508,6,FALSE()))</f>
        <v/>
      </c>
      <c r="DY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130"/>
      <c r="N361" s="130"/>
      <c r="O361" s="135"/>
      <c r="P361" s="135"/>
      <c r="Q361" s="130"/>
      <c r="R361" s="130"/>
      <c r="S361" s="130"/>
      <c r="T361" s="130"/>
      <c r="U361" s="135"/>
      <c r="V361" s="130"/>
      <c r="W361" s="96"/>
      <c r="X361" s="130"/>
      <c r="Y361" s="130"/>
      <c r="Z361" s="96"/>
      <c r="AA361" s="96"/>
      <c r="AB361" s="130"/>
      <c r="AC361" s="130"/>
      <c r="AD361" s="130"/>
      <c r="AE361" s="97"/>
      <c r="AF361" s="130"/>
      <c r="AG361" s="99"/>
      <c r="AH361" s="100"/>
      <c r="AI361" s="100"/>
      <c r="AJ361" s="100" t="str">
        <f aca="false">IF(ISBLANK($C361),"",IF($E361=Constants!$B$2,TRUE(),IF($E361=Constants!$B$3,FALSE(),TRUE())))</f>
        <v/>
      </c>
      <c r="AK361" s="100" t="str">
        <f aca="false">IF(ISBLANK($C361),"",IF($F361=Constants!$B$2,TRUE(),IF($F361=Constants!$B$3,FALSE(),FALSE())))</f>
        <v/>
      </c>
      <c r="AL361" s="100" t="str">
        <f aca="false">IF(ISBLANK($C361),"",IF($G361=Constants!$B$2,TRUE(),IF($G361=Constants!$B$3,FALSE(),TRUE())))</f>
        <v/>
      </c>
      <c r="AM361" s="100" t="str">
        <f aca="false">IF(ISBLANK($C361),"",IF($H361=Constants!$B$2,TRUE(),IF($H361=Constants!$B$3,FALSE(),TRUE())))</f>
        <v/>
      </c>
      <c r="AN361" s="100" t="str">
        <f aca="false">IF(ISBLANK($C361),"",IF(ISNUMBER($I361),IF($I361&gt;=0,$I361,""),""))</f>
        <v/>
      </c>
      <c r="AO361" s="100" t="str">
        <f aca="false">IF(ISBLANK($C361),"",IF(ISNUMBER($J361),IF($J361&gt;=0,$J361,""),""))</f>
        <v/>
      </c>
      <c r="AP361" s="100" t="str">
        <f aca="false">IF(ISBLANK($C361),"",IF(ISNUMBER($K361),IF($K361&gt;=0,$K361,""),""))</f>
        <v/>
      </c>
      <c r="AQ361" s="100" t="str">
        <f aca="false">IF(ISBLANK($C361),"",IF($L361=Constants!$B$2,TRUE(),IF($L361=Constants!$B$3,FALSE(),TRUE())))</f>
        <v/>
      </c>
      <c r="AR361" s="100" t="str">
        <f aca="false">IF(ISBLANK($C361),"",IF($M361=Constants!$B$2,TRUE(),IF($M361=Constants!$B$3,FALSE(),TRUE())))</f>
        <v/>
      </c>
      <c r="AS361" s="100" t="str">
        <f aca="false">IF(ISBLANK($C361),"",IF($N361=Constants!$B$2,TRUE(),IF($N361=Constants!$B$3,FALSE(),FALSE())))</f>
        <v/>
      </c>
      <c r="AT361" s="100" t="str">
        <f aca="false">IF(ISBLANK($C361),"",IF($O361=Constants!$B$2,TRUE(),IF($O361=Constants!$B$3,FALSE(),TRUE())))</f>
        <v/>
      </c>
      <c r="AU361" s="100" t="str">
        <f aca="false">IF(ISBLANK($C361),"",IF($P361=Constants!$B$2,TRUE(),IF($P361=Constants!$B$3,FALSE(),TRUE())))</f>
        <v/>
      </c>
      <c r="AV361" s="100" t="str">
        <f aca="false">IF(ISBLANK($C361),"",IF($Q361=Constants!$B$2,TRUE(),IF($Q361=Constants!$B$3,FALSE(),FALSE())))</f>
        <v/>
      </c>
      <c r="AW361" s="100" t="str">
        <f aca="false">IF(ISBLANK($C361),"",IF($R361=Constants!$B$2,TRUE(),IF($R361=Constants!$B$3,FALSE(),FALSE())))</f>
        <v/>
      </c>
      <c r="AX361" s="100" t="str">
        <f aca="false">IF(ISBLANK($C361),"",IF($S361=Constants!$B$2,TRUE(),IF($S361=Constants!$B$3,FALSE(),FALSE())))</f>
        <v/>
      </c>
      <c r="AY361" s="100" t="str">
        <f aca="false">IF(ISBLANK($C361),"",IF($T361=Constants!$B$2,TRUE(),IF($T361=Constants!$B$3,FALSE(),FALSE())))</f>
        <v/>
      </c>
      <c r="AZ361" s="100" t="str">
        <f aca="false">IF(ISBLANK($C361),"",IF($U361=Constants!$B$2,TRUE(),IF($U361=Constants!$B$3,FALSE(),FALSE())))</f>
        <v/>
      </c>
      <c r="BA361" s="100" t="str">
        <f aca="false">IF(ISBLANK($C361),"",IF(OR($V361&amp;""="1",$V361&amp;""="2",$V361&amp;""="3",$V361&amp;""="4"),VALUE($V361&amp;""),IF($V361=Constants!$B$12,Constants!$B$12,"")))</f>
        <v/>
      </c>
      <c r="BB361" s="100" t="str">
        <f aca="false">IF(ISBLANK($C361),"",IF(ISBLANK($W361),0,IF(ISNUMBER($W361),IF(AND($W361&gt;=0,$W361&lt;=Constants!$B$21,$W361=INT($W361)),$W361,""),"")))</f>
        <v/>
      </c>
      <c r="BC361" s="100" t="str">
        <f aca="false">IF(ISBLANK($C361),"",IF(ISBLANK($X361),0,IF(ISNUMBER($X361),IF($X361&gt;=0,$X361,""),"")))</f>
        <v/>
      </c>
      <c r="BD361" s="100" t="str">
        <f aca="false">IF(ISBLANK($C361),"",IF($Y361=Constants!$B$2,TRUE(),IF($Y361=Constants!$B$3,FALSE(),TRUE())))</f>
        <v/>
      </c>
      <c r="BE361" s="100" t="str">
        <f aca="false">IF(ISBLANK($C361),"",IF($Z361=Constants!$B$2,TRUE(),IF($Z361=Constants!$B$3,FALSE(),FALSE())))</f>
        <v/>
      </c>
      <c r="BF361" s="100" t="str">
        <f aca="false">IF(ISBLANK($C361),"",IF(ISBLANK($AA361),0,IF(ISNUMBER($AA361),IF(AND($AA361&gt;=0,$AA361&lt;=Constants!$B$35,$AA361=INT($AA361)),$AA361,""),"")))</f>
        <v/>
      </c>
      <c r="BG361" s="100" t="str">
        <f aca="false">IF(ISBLANK($C361),"",IF($AB361=Constants!$B$2,TRUE(),IF($AB361=Constants!$B$3,FALSE(),TRUE())))</f>
        <v/>
      </c>
      <c r="BH361" s="100" t="str">
        <f aca="false">IF(ISBLANK($C361),"",IF($AC361=Constants!$B$2,TRUE(),IF($AC361=Constants!$B$3,FALSE(),TRUE())))</f>
        <v/>
      </c>
      <c r="BI361" s="100" t="str">
        <f aca="false">IF(ISBLANK($C361),"",IF($AD361=Constants!$B$2,TRUE(),IF($AD361=Constants!$B$3,FALSE(),TRUE())))</f>
        <v/>
      </c>
      <c r="BJ361" s="100" t="str">
        <f aca="false">IF(ISBLANK($C361),"",IF(ISNUMBER($AE361),IF($AE361&gt;=0,$AE361,""),""))</f>
        <v/>
      </c>
      <c r="BK361" s="100" t="str">
        <f aca="false">IF(ISBLANK($C361),"",IF($AF361=Constants!$B$2,TRUE(),IF($AF361=Constants!$B$3,FALSE(),FALSE())))</f>
        <v/>
      </c>
      <c r="BL361" s="99" t="str">
        <f aca="false">IF(ISBLANK($C361),"",IF($BK361,Constants!$B$7,IF(COUNTA($E361:$AE361)=0,Constants!$B$6,IF(OR(COUNTA($G361:$AE361)=0,NOT($AM361),$AS361),Constants!$B$5,IF(OR($CM361&lt;&gt;"",$CN361,$CO361,$CP361,$CQ361,$CR361,$CS361),Constants!$B$8,Constants!$B$4)))))</f>
        <v/>
      </c>
      <c r="BM361" s="100" t="str">
        <f aca="false">IF(ISBLANK($C361),"",IF($BL361&lt;&gt;Constants!$B$4,$BL361,IF(OR(NOT($AJ361),NOT($AL361),NOT($AT361)),Constants!$B$11,IF(OR(NOT($AR361),NOT($AU361),NOT($BI361),MAX($AN361,$AO361,$AP361)&gt;Constants!$B$30),Constants!$B$10,Constants!$B$9))))</f>
        <v/>
      </c>
      <c r="BN361" s="100" t="str">
        <f aca="false">IF($BL361&lt;&gt;Constants!$B$4,"",IF(NOT($AL361),0,MIN(Constants!$B$35,$BF361)))</f>
        <v/>
      </c>
      <c r="BO361" s="100" t="str">
        <f aca="false">IF($BL361&lt;&gt;Constants!$B$4,"",IF(NOT($AL361),0,IF($AW361,Constants!$B$18,IF($AV361,Constants!$B$17,0))))</f>
        <v/>
      </c>
      <c r="BP361" s="100" t="str">
        <f aca="false">IF($BL361&lt;&gt;Constants!$B$4,"",IF(NOT($AL361),0,Constants!$B$19*($AK361+$AX361+$AY361+$AZ361)))</f>
        <v/>
      </c>
      <c r="BQ361" s="100" t="str">
        <f aca="false">IF($BL361&lt;&gt;Constants!$B$4,"",IF(OR(NOT($AL361),NOT(ISNUMBER($BA361))),0,CHOOSE($BA361,Constants!$B$13,Constants!$B$14,Constants!$B$15,Constants!$B$16)))</f>
        <v/>
      </c>
      <c r="BR361" s="100" t="str">
        <f aca="false">IF($BL361&lt;&gt;Constants!$B$4,"",IF(NOT($AL361),0,Constants!$B$20*$BB361))</f>
        <v/>
      </c>
      <c r="BS361" s="100" t="str">
        <f aca="false">IF($BL361&lt;&gt;Constants!$B$4,"",IF(AND($AL361,$BD361,$BE361),Constants!$B$22,0))</f>
        <v/>
      </c>
      <c r="BT361" s="100" t="str">
        <f aca="false">IF($BL361&lt;&gt;Constants!$B$4,"",IF(OR(NOT($AL361),NOT($BD361)),0,IF($BJ361&gt;=2*$AH$9,0,Constants!$B$23*INT(ROUND(MIN($BJ361,$AH$9),6)))))</f>
        <v/>
      </c>
      <c r="BU361" s="100" t="str">
        <f aca="false">IF($BL361&lt;&gt;Constants!$B$4,"",IF(NOT($AL361),0,Constants!$B$24*INT(ROUND(MIN($BC361,$AH$9),6))))</f>
        <v/>
      </c>
      <c r="BV361" s="100" t="str">
        <f aca="false">IF($BL361&lt;&gt;Constants!$B$4,"",IF(AND($AL361,$BN361=0),Constants!$B$25,0))</f>
        <v/>
      </c>
      <c r="BW361" s="100" t="str">
        <f aca="false">IF($BL361&lt;&gt;Constants!$B$4,"",MIN(Constants!$B$29,MAX(0,Constants!$B$27*Constants!$B$28*INT(ROUND((Constants!$B$26-$AN361)/Constants!$B$28,6))))+MIN(Constants!$B$29,MAX(0,Constants!$B$27*Constants!$B$28*INT(ROUND((Constants!$B$26-$AO361)/Constants!$B$28,6))))+MIN(Constants!$B$29,MAX(0,Constants!$B$27*Constants!$B$28*INT(ROUND((Constants!$B$26-$AP361)/Constants!$B$28,6)))))</f>
        <v/>
      </c>
      <c r="BX361" s="100" t="str">
        <f aca="false">IF($BL361&lt;&gt;Constants!$B$4,"",IF(NOT($AL361),0,Constants!$B$31*INT(ROUND(MAX(0,MIN($BJ361,2*$AH$9)-$AH$9),6))))</f>
        <v/>
      </c>
      <c r="BY361" s="100" t="str">
        <f aca="false">IF($BL361&lt;&gt;Constants!$B$4,"",Constants!$B$32*(($AN361&gt;Constants!$B$26)+($AO361&gt;Constants!$B$26)+($AP361&gt;Constants!$B$26)))</f>
        <v/>
      </c>
      <c r="BZ361" s="100" t="str">
        <f aca="false">IF($BL361&lt;&gt;Constants!$B$4,"",IF(OR(NOT($AL361),$AQ361),0,Constants!$B$33))</f>
        <v/>
      </c>
      <c r="CA361" s="100" t="str">
        <f aca="false">IF($BL361&lt;&gt;Constants!$B$4,"",Constants!$B$34*$BN361)</f>
        <v/>
      </c>
      <c r="CB361" s="100" t="str">
        <f aca="false">IF($BL361&lt;&gt;Constants!$B$4,"",IF(OR(NOT($AL361),$BH361),0,Constants!$B$36))</f>
        <v/>
      </c>
      <c r="CC361" s="100" t="str">
        <f aca="false">IF($BL361&lt;&gt;Constants!$B$4,"",IF(OR(NOT($AL361),$BG361),0,Constants!$B$37))</f>
        <v/>
      </c>
      <c r="CD361" s="100" t="str">
        <f aca="false">IF($BL361&lt;&gt;Constants!$B$4,"",SUM($BX361:$CC361))</f>
        <v/>
      </c>
      <c r="CE361" s="100" t="str">
        <f aca="false">IF(ISBLANK($C361),"",IF($BL361&lt;&gt;Constants!$B$4,$BL361,SUM($BO361:$BW361)-$CD361))</f>
        <v/>
      </c>
      <c r="CF361" s="100" t="str">
        <f aca="false">IF(ISBLANK($C361),"",IF($BL361&lt;&gt;Constants!$B$4,$BL361,RANK($CE361,$CE$9:$CE$508)))</f>
        <v/>
      </c>
      <c r="CG361" s="100" t="str">
        <f aca="false">IF(ISBLANK($C361),"",IF($BL361&lt;&gt;Constants!$B$4,$BL361,COUNTIFS($BM$9:$BM$508,"&lt;"&amp;$BM361)+COUNTIFS($BM$9:$BM$508,$BM361,$CF$9:$CF$508,"&lt;"&amp;$CF361)+1))</f>
        <v/>
      </c>
      <c r="CH361" s="100" t="str">
        <f aca="false">IF(ISBLANK($C361),"",IF($BL361&lt;&gt;Constants!$B$4,$BL361,RANK($CD361,$CD$9:$CD$508,1)))</f>
        <v/>
      </c>
      <c r="CI361" s="100" t="str">
        <f aca="false">IF($BL361&lt;&gt;Constants!$B$4,"",$AN361+$AO361+$AP361)</f>
        <v/>
      </c>
      <c r="CJ361" s="100" t="str">
        <f aca="false">IF(ISBLANK($C361),"",IF($BL361&lt;&gt;Constants!$B$4,$BL361,RANK($CI361,$CI$9:$CI$508,1)))</f>
        <v/>
      </c>
      <c r="CK361" s="100" t="str">
        <f aca="false">IF(ISBLANK($C361),"",IF($BL361&lt;&gt;Constants!$B$4,$BL361,COUNTIFS($BM$9:$BM$508,"&lt;"&amp;$BM361)+COUNTIFS($BM$9:$BM$508,$BM361,$CF$9:$CF$508,"&lt;"&amp;$CF361)+COUNTIFS($BM$9:$BM$508,$BM361,$CF$9:$CF$508,$CF361,$CH$9:$CH$508,"&lt;"&amp;$CH361)+COUNTIFS($BM$9:$BM$508,$BM361,$CF$9:$CF$508,$CF361,$CH$9:$CH$508,$CH361,$CJ$9:$CJ$508,"&lt;"&amp;$CJ361)+1))</f>
        <v/>
      </c>
      <c r="CL361" s="100" t="str">
        <f aca="false">IF(ISBLANK($C361),"",IF($BL361&lt;&gt;Constants!$B$4,$BL361,$CG361-$CK361))</f>
        <v/>
      </c>
      <c r="CM361" s="100" t="str">
        <f aca="false">IF(ISBLANK($C361),"",IF(NOT($AL361),"",IF(ISBLANK($D$7),$CM$5,IF(NOT(ISNUMBER($D$7)),$CM$6,""))))</f>
        <v/>
      </c>
      <c r="CN361" s="100" t="str">
        <f aca="false">IF(ISBLANK($C361),"",OR($AN361="",$AO361="",$AP361=""))</f>
        <v/>
      </c>
      <c r="CO361" s="100" t="str">
        <f aca="false">IF(ISBLANK($C361),"",AND($AL361,$BA361=""))</f>
        <v/>
      </c>
      <c r="CP361" s="100" t="str">
        <f aca="false">IF(ISBLANK($C361),"",AND($AL361,$BB361=""))</f>
        <v/>
      </c>
      <c r="CQ361" s="100" t="str">
        <f aca="false">IF(ISBLANK($C361),"",AND($AL361,$BC361=""))</f>
        <v/>
      </c>
      <c r="CR361" s="100" t="str">
        <f aca="false">IF(ISBLANK($C361),"",AND($AL361,$BF361=""))</f>
        <v/>
      </c>
      <c r="CS361" s="100" t="str">
        <f aca="false">IF(ISBLANK($C361),"",AND($AL361,$BJ361=""))</f>
        <v/>
      </c>
      <c r="CT361" s="101"/>
      <c r="CU361" s="102"/>
      <c r="CV361" s="103" t="str">
        <f aca="false">IF(ISBLANK($C361),"",IF($BL361=Constants!$B$8,$CM361,""))</f>
        <v/>
      </c>
      <c r="CW361" s="102" t="str">
        <f aca="false">IF(ISBLANK($C361),"",IF($BL361&lt;&gt;Constants!$B$4,"",$BO361+$BP361))</f>
        <v/>
      </c>
      <c r="CX361" s="104" t="str">
        <f aca="false">IF(ISBLANK($C361),"",IF($BL361&lt;&gt;Constants!$B$4,"",$BQ361+$BR361+$BS361))</f>
        <v/>
      </c>
      <c r="CY361" s="104" t="str">
        <f aca="false">IF(ISBLANK($C361),"",IF($BL361&lt;&gt;Constants!$B$4,"",$BT361))</f>
        <v/>
      </c>
      <c r="CZ361" s="104" t="str">
        <f aca="false">IF(ISBLANK($C361),"",IF($BL361&lt;&gt;Constants!$B$4,"",$BU361+$BV361))</f>
        <v/>
      </c>
      <c r="DA361" s="104" t="str">
        <f aca="false">IF(ISBLANK($C361),"",IF($BL361&lt;&gt;Constants!$B$4,"",$BW361))</f>
        <v/>
      </c>
      <c r="DB361" s="104" t="str">
        <f aca="false">IF(ISBLANK($C361),"",IF($BL361&lt;&gt;Constants!$B$4,"",-$CD361))</f>
        <v/>
      </c>
      <c r="DC361" s="103" t="str">
        <f aca="false">IF(ISBLANK($C361),"",$CE361)</f>
        <v/>
      </c>
      <c r="DD361" s="105" t="str">
        <f aca="false">IF(ISBLANK($C361),"",$BM361)</f>
        <v/>
      </c>
      <c r="DE361" s="104" t="str">
        <f aca="false">IF(ISBLANK($C361),"",$CL361)</f>
        <v/>
      </c>
      <c r="DF361" s="104" t="str">
        <f aca="false">IF(ISBLANK($C361),"",$CK361)</f>
        <v/>
      </c>
      <c r="DG361" s="106" t="str">
        <f aca="false">IF(ISBLANK($C361),"",IF($DF361=Constants!$B$7,COUNTA($C$9:$C$508)+2,IF($DF361=Constants!$B$6,COUNTA($C$9:$C$508)+1,IF($DF361=Constants!$B$5,COUNTA($C$9:$C$508),$DF361))))</f>
        <v/>
      </c>
      <c r="DH361" s="7"/>
      <c r="DI361" s="107" t="n">
        <f aca="false">IF(OR(ISNUMBER($DF361),$DF361=Constants!$B$7,$DF361=Constants!$B$5,$DF361=Constants!$B$6),1,0)</f>
        <v>0</v>
      </c>
      <c r="DJ361" s="107" t="n">
        <v>353</v>
      </c>
      <c r="DK361" s="107" t="str">
        <f aca="false">IF(ISBLANK($C361),"",IF(ISNUMBER($DG361),$DG361+ROW($B361)/1000,""))</f>
        <v/>
      </c>
      <c r="DL361" s="107" t="str">
        <f aca="false">IF(ISNUMBER($DK361),RANK($DK361,$DK$9:$DK$508,1),"")</f>
        <v/>
      </c>
      <c r="DM361" s="107" t="str">
        <f aca="false">IF(ISBLANK($C361),"",$B361)</f>
        <v/>
      </c>
      <c r="DN361" s="107" t="str">
        <f aca="false">IF(ISBLANK($C361),"",$C361)</f>
        <v/>
      </c>
      <c r="DO361" s="107" t="str">
        <f aca="false">IF(ISBLANK($C361),"",$D361)</f>
        <v/>
      </c>
      <c r="DP361" s="108" t="str">
        <f aca="false">$DD361</f>
        <v/>
      </c>
      <c r="DQ361" s="109" t="str">
        <f aca="false">$DC361</f>
        <v/>
      </c>
      <c r="DR361" s="107" t="str">
        <f aca="false">IF(ISBLANK($C361),"",$DF361)</f>
        <v/>
      </c>
      <c r="DS361" s="110" t="str">
        <f aca="false">IF($DJ361&gt;$DI$8,"",VLOOKUP($DJ361,$DL$9:$DR$508,7,FALSE()))</f>
        <v/>
      </c>
      <c r="DT361" s="111" t="str">
        <f aca="false">IF($DJ361&gt;$DI$8,"",VLOOKUP($DJ361,$DL$9:$DR$508,2,FALSE()))</f>
        <v/>
      </c>
      <c r="DU361" s="111" t="str">
        <f aca="false">IF($DJ361&gt;$DI$8,"",VLOOKUP($DJ361,$DL$9:$DR$508,3,FALSE()))</f>
        <v/>
      </c>
      <c r="DV361" s="111" t="str">
        <f aca="false">IF($DJ361&gt;$DI$8,"",VLOOKUP($DJ361,$DL$9:$DR$508,4,FALSE()))</f>
        <v/>
      </c>
      <c r="DW361" s="111" t="str">
        <f aca="false">IF($DJ361&gt;$DI$8,"",VLOOKUP($DJ361,$DL$9:$DR$508,5,FALSE()))</f>
        <v/>
      </c>
      <c r="DX361" s="112" t="str">
        <f aca="false">IF($DJ361&gt;$DI$8,"",VLOOKUP($DJ361,$DL$9:$DR$508,6,FALSE()))</f>
        <v/>
      </c>
      <c r="DY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130"/>
      <c r="N362" s="130"/>
      <c r="O362" s="135"/>
      <c r="P362" s="135"/>
      <c r="Q362" s="130"/>
      <c r="R362" s="130"/>
      <c r="S362" s="130"/>
      <c r="T362" s="130"/>
      <c r="U362" s="135"/>
      <c r="V362" s="130"/>
      <c r="W362" s="96"/>
      <c r="X362" s="130"/>
      <c r="Y362" s="130"/>
      <c r="Z362" s="96"/>
      <c r="AA362" s="96"/>
      <c r="AB362" s="130"/>
      <c r="AC362" s="130"/>
      <c r="AD362" s="130"/>
      <c r="AE362" s="97"/>
      <c r="AF362" s="130"/>
      <c r="AG362" s="99"/>
      <c r="AH362" s="100"/>
      <c r="AI362" s="100"/>
      <c r="AJ362" s="100" t="str">
        <f aca="false">IF(ISBLANK($C362),"",IF($E362=Constants!$B$2,TRUE(),IF($E362=Constants!$B$3,FALSE(),TRUE())))</f>
        <v/>
      </c>
      <c r="AK362" s="100" t="str">
        <f aca="false">IF(ISBLANK($C362),"",IF($F362=Constants!$B$2,TRUE(),IF($F362=Constants!$B$3,FALSE(),FALSE())))</f>
        <v/>
      </c>
      <c r="AL362" s="100" t="str">
        <f aca="false">IF(ISBLANK($C362),"",IF($G362=Constants!$B$2,TRUE(),IF($G362=Constants!$B$3,FALSE(),TRUE())))</f>
        <v/>
      </c>
      <c r="AM362" s="100" t="str">
        <f aca="false">IF(ISBLANK($C362),"",IF($H362=Constants!$B$2,TRUE(),IF($H362=Constants!$B$3,FALSE(),TRUE())))</f>
        <v/>
      </c>
      <c r="AN362" s="100" t="str">
        <f aca="false">IF(ISBLANK($C362),"",IF(ISNUMBER($I362),IF($I362&gt;=0,$I362,""),""))</f>
        <v/>
      </c>
      <c r="AO362" s="100" t="str">
        <f aca="false">IF(ISBLANK($C362),"",IF(ISNUMBER($J362),IF($J362&gt;=0,$J362,""),""))</f>
        <v/>
      </c>
      <c r="AP362" s="100" t="str">
        <f aca="false">IF(ISBLANK($C362),"",IF(ISNUMBER($K362),IF($K362&gt;=0,$K362,""),""))</f>
        <v/>
      </c>
      <c r="AQ362" s="100" t="str">
        <f aca="false">IF(ISBLANK($C362),"",IF($L362=Constants!$B$2,TRUE(),IF($L362=Constants!$B$3,FALSE(),TRUE())))</f>
        <v/>
      </c>
      <c r="AR362" s="100" t="str">
        <f aca="false">IF(ISBLANK($C362),"",IF($M362=Constants!$B$2,TRUE(),IF($M362=Constants!$B$3,FALSE(),TRUE())))</f>
        <v/>
      </c>
      <c r="AS362" s="100" t="str">
        <f aca="false">IF(ISBLANK($C362),"",IF($N362=Constants!$B$2,TRUE(),IF($N362=Constants!$B$3,FALSE(),FALSE())))</f>
        <v/>
      </c>
      <c r="AT362" s="100" t="str">
        <f aca="false">IF(ISBLANK($C362),"",IF($O362=Constants!$B$2,TRUE(),IF($O362=Constants!$B$3,FALSE(),TRUE())))</f>
        <v/>
      </c>
      <c r="AU362" s="100" t="str">
        <f aca="false">IF(ISBLANK($C362),"",IF($P362=Constants!$B$2,TRUE(),IF($P362=Constants!$B$3,FALSE(),TRUE())))</f>
        <v/>
      </c>
      <c r="AV362" s="100" t="str">
        <f aca="false">IF(ISBLANK($C362),"",IF($Q362=Constants!$B$2,TRUE(),IF($Q362=Constants!$B$3,FALSE(),FALSE())))</f>
        <v/>
      </c>
      <c r="AW362" s="100" t="str">
        <f aca="false">IF(ISBLANK($C362),"",IF($R362=Constants!$B$2,TRUE(),IF($R362=Constants!$B$3,FALSE(),FALSE())))</f>
        <v/>
      </c>
      <c r="AX362" s="100" t="str">
        <f aca="false">IF(ISBLANK($C362),"",IF($S362=Constants!$B$2,TRUE(),IF($S362=Constants!$B$3,FALSE(),FALSE())))</f>
        <v/>
      </c>
      <c r="AY362" s="100" t="str">
        <f aca="false">IF(ISBLANK($C362),"",IF($T362=Constants!$B$2,TRUE(),IF($T362=Constants!$B$3,FALSE(),FALSE())))</f>
        <v/>
      </c>
      <c r="AZ362" s="100" t="str">
        <f aca="false">IF(ISBLANK($C362),"",IF($U362=Constants!$B$2,TRUE(),IF($U362=Constants!$B$3,FALSE(),FALSE())))</f>
        <v/>
      </c>
      <c r="BA362" s="100" t="str">
        <f aca="false">IF(ISBLANK($C362),"",IF(OR($V362&amp;""="1",$V362&amp;""="2",$V362&amp;""="3",$V362&amp;""="4"),VALUE($V362&amp;""),IF($V362=Constants!$B$12,Constants!$B$12,"")))</f>
        <v/>
      </c>
      <c r="BB362" s="100" t="str">
        <f aca="false">IF(ISBLANK($C362),"",IF(ISBLANK($W362),0,IF(ISNUMBER($W362),IF(AND($W362&gt;=0,$W362&lt;=Constants!$B$21,$W362=INT($W362)),$W362,""),"")))</f>
        <v/>
      </c>
      <c r="BC362" s="100" t="str">
        <f aca="false">IF(ISBLANK($C362),"",IF(ISBLANK($X362),0,IF(ISNUMBER($X362),IF($X362&gt;=0,$X362,""),"")))</f>
        <v/>
      </c>
      <c r="BD362" s="100" t="str">
        <f aca="false">IF(ISBLANK($C362),"",IF($Y362=Constants!$B$2,TRUE(),IF($Y362=Constants!$B$3,FALSE(),TRUE())))</f>
        <v/>
      </c>
      <c r="BE362" s="100" t="str">
        <f aca="false">IF(ISBLANK($C362),"",IF($Z362=Constants!$B$2,TRUE(),IF($Z362=Constants!$B$3,FALSE(),FALSE())))</f>
        <v/>
      </c>
      <c r="BF362" s="100" t="str">
        <f aca="false">IF(ISBLANK($C362),"",IF(ISBLANK($AA362),0,IF(ISNUMBER($AA362),IF(AND($AA362&gt;=0,$AA362&lt;=Constants!$B$35,$AA362=INT($AA362)),$AA362,""),"")))</f>
        <v/>
      </c>
      <c r="BG362" s="100" t="str">
        <f aca="false">IF(ISBLANK($C362),"",IF($AB362=Constants!$B$2,TRUE(),IF($AB362=Constants!$B$3,FALSE(),TRUE())))</f>
        <v/>
      </c>
      <c r="BH362" s="100" t="str">
        <f aca="false">IF(ISBLANK($C362),"",IF($AC362=Constants!$B$2,TRUE(),IF($AC362=Constants!$B$3,FALSE(),TRUE())))</f>
        <v/>
      </c>
      <c r="BI362" s="100" t="str">
        <f aca="false">IF(ISBLANK($C362),"",IF($AD362=Constants!$B$2,TRUE(),IF($AD362=Constants!$B$3,FALSE(),TRUE())))</f>
        <v/>
      </c>
      <c r="BJ362" s="100" t="str">
        <f aca="false">IF(ISBLANK($C362),"",IF(ISNUMBER($AE362),IF($AE362&gt;=0,$AE362,""),""))</f>
        <v/>
      </c>
      <c r="BK362" s="100" t="str">
        <f aca="false">IF(ISBLANK($C362),"",IF($AF362=Constants!$B$2,TRUE(),IF($AF362=Constants!$B$3,FALSE(),FALSE())))</f>
        <v/>
      </c>
      <c r="BL362" s="99" t="str">
        <f aca="false">IF(ISBLANK($C362),"",IF($BK362,Constants!$B$7,IF(COUNTA($E362:$AE362)=0,Constants!$B$6,IF(OR(COUNTA($G362:$AE362)=0,NOT($AM362),$AS362),Constants!$B$5,IF(OR($CM362&lt;&gt;"",$CN362,$CO362,$CP362,$CQ362,$CR362,$CS362),Constants!$B$8,Constants!$B$4)))))</f>
        <v/>
      </c>
      <c r="BM362" s="100" t="str">
        <f aca="false">IF(ISBLANK($C362),"",IF($BL362&lt;&gt;Constants!$B$4,$BL362,IF(OR(NOT($AJ362),NOT($AL362),NOT($AT362)),Constants!$B$11,IF(OR(NOT($AR362),NOT($AU362),NOT($BI362),MAX($AN362,$AO362,$AP362)&gt;Constants!$B$30),Constants!$B$10,Constants!$B$9))))</f>
        <v/>
      </c>
      <c r="BN362" s="100" t="str">
        <f aca="false">IF($BL362&lt;&gt;Constants!$B$4,"",IF(NOT($AL362),0,MIN(Constants!$B$35,$BF362)))</f>
        <v/>
      </c>
      <c r="BO362" s="100" t="str">
        <f aca="false">IF($BL362&lt;&gt;Constants!$B$4,"",IF(NOT($AL362),0,IF($AW362,Constants!$B$18,IF($AV362,Constants!$B$17,0))))</f>
        <v/>
      </c>
      <c r="BP362" s="100" t="str">
        <f aca="false">IF($BL362&lt;&gt;Constants!$B$4,"",IF(NOT($AL362),0,Constants!$B$19*($AK362+$AX362+$AY362+$AZ362)))</f>
        <v/>
      </c>
      <c r="BQ362" s="100" t="str">
        <f aca="false">IF($BL362&lt;&gt;Constants!$B$4,"",IF(OR(NOT($AL362),NOT(ISNUMBER($BA362))),0,CHOOSE($BA362,Constants!$B$13,Constants!$B$14,Constants!$B$15,Constants!$B$16)))</f>
        <v/>
      </c>
      <c r="BR362" s="100" t="str">
        <f aca="false">IF($BL362&lt;&gt;Constants!$B$4,"",IF(NOT($AL362),0,Constants!$B$20*$BB362))</f>
        <v/>
      </c>
      <c r="BS362" s="100" t="str">
        <f aca="false">IF($BL362&lt;&gt;Constants!$B$4,"",IF(AND($AL362,$BD362,$BE362),Constants!$B$22,0))</f>
        <v/>
      </c>
      <c r="BT362" s="100" t="str">
        <f aca="false">IF($BL362&lt;&gt;Constants!$B$4,"",IF(OR(NOT($AL362),NOT($BD362)),0,IF($BJ362&gt;=2*$AH$9,0,Constants!$B$23*INT(ROUND(MIN($BJ362,$AH$9),6)))))</f>
        <v/>
      </c>
      <c r="BU362" s="100" t="str">
        <f aca="false">IF($BL362&lt;&gt;Constants!$B$4,"",IF(NOT($AL362),0,Constants!$B$24*INT(ROUND(MIN($BC362,$AH$9),6))))</f>
        <v/>
      </c>
      <c r="BV362" s="100" t="str">
        <f aca="false">IF($BL362&lt;&gt;Constants!$B$4,"",IF(AND($AL362,$BN362=0),Constants!$B$25,0))</f>
        <v/>
      </c>
      <c r="BW362" s="100" t="str">
        <f aca="false">IF($BL362&lt;&gt;Constants!$B$4,"",MIN(Constants!$B$29,MAX(0,Constants!$B$27*Constants!$B$28*INT(ROUND((Constants!$B$26-$AN362)/Constants!$B$28,6))))+MIN(Constants!$B$29,MAX(0,Constants!$B$27*Constants!$B$28*INT(ROUND((Constants!$B$26-$AO362)/Constants!$B$28,6))))+MIN(Constants!$B$29,MAX(0,Constants!$B$27*Constants!$B$28*INT(ROUND((Constants!$B$26-$AP362)/Constants!$B$28,6)))))</f>
        <v/>
      </c>
      <c r="BX362" s="100" t="str">
        <f aca="false">IF($BL362&lt;&gt;Constants!$B$4,"",IF(NOT($AL362),0,Constants!$B$31*INT(ROUND(MAX(0,MIN($BJ362,2*$AH$9)-$AH$9),6))))</f>
        <v/>
      </c>
      <c r="BY362" s="100" t="str">
        <f aca="false">IF($BL362&lt;&gt;Constants!$B$4,"",Constants!$B$32*(($AN362&gt;Constants!$B$26)+($AO362&gt;Constants!$B$26)+($AP362&gt;Constants!$B$26)))</f>
        <v/>
      </c>
      <c r="BZ362" s="100" t="str">
        <f aca="false">IF($BL362&lt;&gt;Constants!$B$4,"",IF(OR(NOT($AL362),$AQ362),0,Constants!$B$33))</f>
        <v/>
      </c>
      <c r="CA362" s="100" t="str">
        <f aca="false">IF($BL362&lt;&gt;Constants!$B$4,"",Constants!$B$34*$BN362)</f>
        <v/>
      </c>
      <c r="CB362" s="100" t="str">
        <f aca="false">IF($BL362&lt;&gt;Constants!$B$4,"",IF(OR(NOT($AL362),$BH362),0,Constants!$B$36))</f>
        <v/>
      </c>
      <c r="CC362" s="100" t="str">
        <f aca="false">IF($BL362&lt;&gt;Constants!$B$4,"",IF(OR(NOT($AL362),$BG362),0,Constants!$B$37))</f>
        <v/>
      </c>
      <c r="CD362" s="100" t="str">
        <f aca="false">IF($BL362&lt;&gt;Constants!$B$4,"",SUM($BX362:$CC362))</f>
        <v/>
      </c>
      <c r="CE362" s="100" t="str">
        <f aca="false">IF(ISBLANK($C362),"",IF($BL362&lt;&gt;Constants!$B$4,$BL362,SUM($BO362:$BW362)-$CD362))</f>
        <v/>
      </c>
      <c r="CF362" s="100" t="str">
        <f aca="false">IF(ISBLANK($C362),"",IF($BL362&lt;&gt;Constants!$B$4,$BL362,RANK($CE362,$CE$9:$CE$508)))</f>
        <v/>
      </c>
      <c r="CG362" s="100" t="str">
        <f aca="false">IF(ISBLANK($C362),"",IF($BL362&lt;&gt;Constants!$B$4,$BL362,COUNTIFS($BM$9:$BM$508,"&lt;"&amp;$BM362)+COUNTIFS($BM$9:$BM$508,$BM362,$CF$9:$CF$508,"&lt;"&amp;$CF362)+1))</f>
        <v/>
      </c>
      <c r="CH362" s="100" t="str">
        <f aca="false">IF(ISBLANK($C362),"",IF($BL362&lt;&gt;Constants!$B$4,$BL362,RANK($CD362,$CD$9:$CD$508,1)))</f>
        <v/>
      </c>
      <c r="CI362" s="100" t="str">
        <f aca="false">IF($BL362&lt;&gt;Constants!$B$4,"",$AN362+$AO362+$AP362)</f>
        <v/>
      </c>
      <c r="CJ362" s="100" t="str">
        <f aca="false">IF(ISBLANK($C362),"",IF($BL362&lt;&gt;Constants!$B$4,$BL362,RANK($CI362,$CI$9:$CI$508,1)))</f>
        <v/>
      </c>
      <c r="CK362" s="100" t="str">
        <f aca="false">IF(ISBLANK($C362),"",IF($BL362&lt;&gt;Constants!$B$4,$BL362,COUNTIFS($BM$9:$BM$508,"&lt;"&amp;$BM362)+COUNTIFS($BM$9:$BM$508,$BM362,$CF$9:$CF$508,"&lt;"&amp;$CF362)+COUNTIFS($BM$9:$BM$508,$BM362,$CF$9:$CF$508,$CF362,$CH$9:$CH$508,"&lt;"&amp;$CH362)+COUNTIFS($BM$9:$BM$508,$BM362,$CF$9:$CF$508,$CF362,$CH$9:$CH$508,$CH362,$CJ$9:$CJ$508,"&lt;"&amp;$CJ362)+1))</f>
        <v/>
      </c>
      <c r="CL362" s="100" t="str">
        <f aca="false">IF(ISBLANK($C362),"",IF($BL362&lt;&gt;Constants!$B$4,$BL362,$CG362-$CK362))</f>
        <v/>
      </c>
      <c r="CM362" s="100" t="str">
        <f aca="false">IF(ISBLANK($C362),"",IF(NOT($AL362),"",IF(ISBLANK($D$7),$CM$5,IF(NOT(ISNUMBER($D$7)),$CM$6,""))))</f>
        <v/>
      </c>
      <c r="CN362" s="100" t="str">
        <f aca="false">IF(ISBLANK($C362),"",OR($AN362="",$AO362="",$AP362=""))</f>
        <v/>
      </c>
      <c r="CO362" s="100" t="str">
        <f aca="false">IF(ISBLANK($C362),"",AND($AL362,$BA362=""))</f>
        <v/>
      </c>
      <c r="CP362" s="100" t="str">
        <f aca="false">IF(ISBLANK($C362),"",AND($AL362,$BB362=""))</f>
        <v/>
      </c>
      <c r="CQ362" s="100" t="str">
        <f aca="false">IF(ISBLANK($C362),"",AND($AL362,$BC362=""))</f>
        <v/>
      </c>
      <c r="CR362" s="100" t="str">
        <f aca="false">IF(ISBLANK($C362),"",AND($AL362,$BF362=""))</f>
        <v/>
      </c>
      <c r="CS362" s="100" t="str">
        <f aca="false">IF(ISBLANK($C362),"",AND($AL362,$BJ362=""))</f>
        <v/>
      </c>
      <c r="CT362" s="101"/>
      <c r="CU362" s="102"/>
      <c r="CV362" s="103" t="str">
        <f aca="false">IF(ISBLANK($C362),"",IF($BL362=Constants!$B$8,$CM362,""))</f>
        <v/>
      </c>
      <c r="CW362" s="102" t="str">
        <f aca="false">IF(ISBLANK($C362),"",IF($BL362&lt;&gt;Constants!$B$4,"",$BO362+$BP362))</f>
        <v/>
      </c>
      <c r="CX362" s="104" t="str">
        <f aca="false">IF(ISBLANK($C362),"",IF($BL362&lt;&gt;Constants!$B$4,"",$BQ362+$BR362+$BS362))</f>
        <v/>
      </c>
      <c r="CY362" s="104" t="str">
        <f aca="false">IF(ISBLANK($C362),"",IF($BL362&lt;&gt;Constants!$B$4,"",$BT362))</f>
        <v/>
      </c>
      <c r="CZ362" s="104" t="str">
        <f aca="false">IF(ISBLANK($C362),"",IF($BL362&lt;&gt;Constants!$B$4,"",$BU362+$BV362))</f>
        <v/>
      </c>
      <c r="DA362" s="104" t="str">
        <f aca="false">IF(ISBLANK($C362),"",IF($BL362&lt;&gt;Constants!$B$4,"",$BW362))</f>
        <v/>
      </c>
      <c r="DB362" s="104" t="str">
        <f aca="false">IF(ISBLANK($C362),"",IF($BL362&lt;&gt;Constants!$B$4,"",-$CD362))</f>
        <v/>
      </c>
      <c r="DC362" s="103" t="str">
        <f aca="false">IF(ISBLANK($C362),"",$CE362)</f>
        <v/>
      </c>
      <c r="DD362" s="105" t="str">
        <f aca="false">IF(ISBLANK($C362),"",$BM362)</f>
        <v/>
      </c>
      <c r="DE362" s="104" t="str">
        <f aca="false">IF(ISBLANK($C362),"",$CL362)</f>
        <v/>
      </c>
      <c r="DF362" s="104" t="str">
        <f aca="false">IF(ISBLANK($C362),"",$CK362)</f>
        <v/>
      </c>
      <c r="DG362" s="106" t="str">
        <f aca="false">IF(ISBLANK($C362),"",IF($DF362=Constants!$B$7,COUNTA($C$9:$C$508)+2,IF($DF362=Constants!$B$6,COUNTA($C$9:$C$508)+1,IF($DF362=Constants!$B$5,COUNTA($C$9:$C$508),$DF362))))</f>
        <v/>
      </c>
      <c r="DH362" s="7"/>
      <c r="DI362" s="107" t="n">
        <f aca="false">IF(OR(ISNUMBER($DF362),$DF362=Constants!$B$7,$DF362=Constants!$B$5,$DF362=Constants!$B$6),1,0)</f>
        <v>0</v>
      </c>
      <c r="DJ362" s="107" t="n">
        <v>354</v>
      </c>
      <c r="DK362" s="107" t="str">
        <f aca="false">IF(ISBLANK($C362),"",IF(ISNUMBER($DG362),$DG362+ROW($B362)/1000,""))</f>
        <v/>
      </c>
      <c r="DL362" s="107" t="str">
        <f aca="false">IF(ISNUMBER($DK362),RANK($DK362,$DK$9:$DK$508,1),"")</f>
        <v/>
      </c>
      <c r="DM362" s="107" t="str">
        <f aca="false">IF(ISBLANK($C362),"",$B362)</f>
        <v/>
      </c>
      <c r="DN362" s="107" t="str">
        <f aca="false">IF(ISBLANK($C362),"",$C362)</f>
        <v/>
      </c>
      <c r="DO362" s="107" t="str">
        <f aca="false">IF(ISBLANK($C362),"",$D362)</f>
        <v/>
      </c>
      <c r="DP362" s="108" t="str">
        <f aca="false">$DD362</f>
        <v/>
      </c>
      <c r="DQ362" s="109" t="str">
        <f aca="false">$DC362</f>
        <v/>
      </c>
      <c r="DR362" s="107" t="str">
        <f aca="false">IF(ISBLANK($C362),"",$DF362)</f>
        <v/>
      </c>
      <c r="DS362" s="110" t="str">
        <f aca="false">IF($DJ362&gt;$DI$8,"",VLOOKUP($DJ362,$DL$9:$DR$508,7,FALSE()))</f>
        <v/>
      </c>
      <c r="DT362" s="111" t="str">
        <f aca="false">IF($DJ362&gt;$DI$8,"",VLOOKUP($DJ362,$DL$9:$DR$508,2,FALSE()))</f>
        <v/>
      </c>
      <c r="DU362" s="111" t="str">
        <f aca="false">IF($DJ362&gt;$DI$8,"",VLOOKUP($DJ362,$DL$9:$DR$508,3,FALSE()))</f>
        <v/>
      </c>
      <c r="DV362" s="111" t="str">
        <f aca="false">IF($DJ362&gt;$DI$8,"",VLOOKUP($DJ362,$DL$9:$DR$508,4,FALSE()))</f>
        <v/>
      </c>
      <c r="DW362" s="111" t="str">
        <f aca="false">IF($DJ362&gt;$DI$8,"",VLOOKUP($DJ362,$DL$9:$DR$508,5,FALSE()))</f>
        <v/>
      </c>
      <c r="DX362" s="112" t="str">
        <f aca="false">IF($DJ362&gt;$DI$8,"",VLOOKUP($DJ362,$DL$9:$DR$508,6,FALSE()))</f>
        <v/>
      </c>
      <c r="DY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88"/>
      <c r="N363" s="88"/>
      <c r="O363" s="134"/>
      <c r="P363" s="134"/>
      <c r="Q363" s="88"/>
      <c r="R363" s="88"/>
      <c r="S363" s="88"/>
      <c r="T363" s="88"/>
      <c r="U363" s="134"/>
      <c r="V363" s="88"/>
      <c r="W363" s="70"/>
      <c r="X363" s="88"/>
      <c r="Y363" s="88"/>
      <c r="Z363" s="70"/>
      <c r="AA363" s="70"/>
      <c r="AB363" s="88"/>
      <c r="AC363" s="88"/>
      <c r="AD363" s="88"/>
      <c r="AE363" s="71"/>
      <c r="AF363" s="88"/>
      <c r="AG363" s="73"/>
      <c r="AH363" s="74"/>
      <c r="AI363" s="74"/>
      <c r="AJ363" s="74" t="str">
        <f aca="false">IF(ISBLANK($C363),"",IF($E363=Constants!$B$2,TRUE(),IF($E363=Constants!$B$3,FALSE(),TRUE())))</f>
        <v/>
      </c>
      <c r="AK363" s="74" t="str">
        <f aca="false">IF(ISBLANK($C363),"",IF($F363=Constants!$B$2,TRUE(),IF($F363=Constants!$B$3,FALSE(),FALSE())))</f>
        <v/>
      </c>
      <c r="AL363" s="74" t="str">
        <f aca="false">IF(ISBLANK($C363),"",IF($G363=Constants!$B$2,TRUE(),IF($G363=Constants!$B$3,FALSE(),TRUE())))</f>
        <v/>
      </c>
      <c r="AM363" s="74" t="str">
        <f aca="false">IF(ISBLANK($C363),"",IF($H363=Constants!$B$2,TRUE(),IF($H363=Constants!$B$3,FALSE(),TRUE())))</f>
        <v/>
      </c>
      <c r="AN363" s="74" t="str">
        <f aca="false">IF(ISBLANK($C363),"",IF(ISNUMBER($I363),IF($I363&gt;=0,$I363,""),""))</f>
        <v/>
      </c>
      <c r="AO363" s="74" t="str">
        <f aca="false">IF(ISBLANK($C363),"",IF(ISNUMBER($J363),IF($J363&gt;=0,$J363,""),""))</f>
        <v/>
      </c>
      <c r="AP363" s="74" t="str">
        <f aca="false">IF(ISBLANK($C363),"",IF(ISNUMBER($K363),IF($K363&gt;=0,$K363,""),""))</f>
        <v/>
      </c>
      <c r="AQ363" s="74" t="str">
        <f aca="false">IF(ISBLANK($C363),"",IF($L363=Constants!$B$2,TRUE(),IF($L363=Constants!$B$3,FALSE(),TRUE())))</f>
        <v/>
      </c>
      <c r="AR363" s="74" t="str">
        <f aca="false">IF(ISBLANK($C363),"",IF($M363=Constants!$B$2,TRUE(),IF($M363=Constants!$B$3,FALSE(),TRUE())))</f>
        <v/>
      </c>
      <c r="AS363" s="74" t="str">
        <f aca="false">IF(ISBLANK($C363),"",IF($N363=Constants!$B$2,TRUE(),IF($N363=Constants!$B$3,FALSE(),FALSE())))</f>
        <v/>
      </c>
      <c r="AT363" s="74" t="str">
        <f aca="false">IF(ISBLANK($C363),"",IF($O363=Constants!$B$2,TRUE(),IF($O363=Constants!$B$3,FALSE(),TRUE())))</f>
        <v/>
      </c>
      <c r="AU363" s="74" t="str">
        <f aca="false">IF(ISBLANK($C363),"",IF($P363=Constants!$B$2,TRUE(),IF($P363=Constants!$B$3,FALSE(),TRUE())))</f>
        <v/>
      </c>
      <c r="AV363" s="74" t="str">
        <f aca="false">IF(ISBLANK($C363),"",IF($Q363=Constants!$B$2,TRUE(),IF($Q363=Constants!$B$3,FALSE(),FALSE())))</f>
        <v/>
      </c>
      <c r="AW363" s="74" t="str">
        <f aca="false">IF(ISBLANK($C363),"",IF($R363=Constants!$B$2,TRUE(),IF($R363=Constants!$B$3,FALSE(),FALSE())))</f>
        <v/>
      </c>
      <c r="AX363" s="74" t="str">
        <f aca="false">IF(ISBLANK($C363),"",IF($S363=Constants!$B$2,TRUE(),IF($S363=Constants!$B$3,FALSE(),FALSE())))</f>
        <v/>
      </c>
      <c r="AY363" s="74" t="str">
        <f aca="false">IF(ISBLANK($C363),"",IF($T363=Constants!$B$2,TRUE(),IF($T363=Constants!$B$3,FALSE(),FALSE())))</f>
        <v/>
      </c>
      <c r="AZ363" s="74" t="str">
        <f aca="false">IF(ISBLANK($C363),"",IF($U363=Constants!$B$2,TRUE(),IF($U363=Constants!$B$3,FALSE(),FALSE())))</f>
        <v/>
      </c>
      <c r="BA363" s="74" t="str">
        <f aca="false">IF(ISBLANK($C363),"",IF(OR($V363&amp;""="1",$V363&amp;""="2",$V363&amp;""="3",$V363&amp;""="4"),VALUE($V363&amp;""),IF($V363=Constants!$B$12,Constants!$B$12,"")))</f>
        <v/>
      </c>
      <c r="BB363" s="74" t="str">
        <f aca="false">IF(ISBLANK($C363),"",IF(ISBLANK($W363),0,IF(ISNUMBER($W363),IF(AND($W363&gt;=0,$W363&lt;=Constants!$B$21,$W363=INT($W363)),$W363,""),"")))</f>
        <v/>
      </c>
      <c r="BC363" s="74" t="str">
        <f aca="false">IF(ISBLANK($C363),"",IF(ISBLANK($X363),0,IF(ISNUMBER($X363),IF($X363&gt;=0,$X363,""),"")))</f>
        <v/>
      </c>
      <c r="BD363" s="74" t="str">
        <f aca="false">IF(ISBLANK($C363),"",IF($Y363=Constants!$B$2,TRUE(),IF($Y363=Constants!$B$3,FALSE(),TRUE())))</f>
        <v/>
      </c>
      <c r="BE363" s="74" t="str">
        <f aca="false">IF(ISBLANK($C363),"",IF($Z363=Constants!$B$2,TRUE(),IF($Z363=Constants!$B$3,FALSE(),FALSE())))</f>
        <v/>
      </c>
      <c r="BF363" s="74" t="str">
        <f aca="false">IF(ISBLANK($C363),"",IF(ISBLANK($AA363),0,IF(ISNUMBER($AA363),IF(AND($AA363&gt;=0,$AA363&lt;=Constants!$B$35,$AA363=INT($AA363)),$AA363,""),"")))</f>
        <v/>
      </c>
      <c r="BG363" s="74" t="str">
        <f aca="false">IF(ISBLANK($C363),"",IF($AB363=Constants!$B$2,TRUE(),IF($AB363=Constants!$B$3,FALSE(),TRUE())))</f>
        <v/>
      </c>
      <c r="BH363" s="74" t="str">
        <f aca="false">IF(ISBLANK($C363),"",IF($AC363=Constants!$B$2,TRUE(),IF($AC363=Constants!$B$3,FALSE(),TRUE())))</f>
        <v/>
      </c>
      <c r="BI363" s="74" t="str">
        <f aca="false">IF(ISBLANK($C363),"",IF($AD363=Constants!$B$2,TRUE(),IF($AD363=Constants!$B$3,FALSE(),TRUE())))</f>
        <v/>
      </c>
      <c r="BJ363" s="74" t="str">
        <f aca="false">IF(ISBLANK($C363),"",IF(ISNUMBER($AE363),IF($AE363&gt;=0,$AE363,""),""))</f>
        <v/>
      </c>
      <c r="BK363" s="74" t="str">
        <f aca="false">IF(ISBLANK($C363),"",IF($AF363=Constants!$B$2,TRUE(),IF($AF363=Constants!$B$3,FALSE(),FALSE())))</f>
        <v/>
      </c>
      <c r="BL363" s="73" t="str">
        <f aca="false">IF(ISBLANK($C363),"",IF($BK363,Constants!$B$7,IF(COUNTA($E363:$AE363)=0,Constants!$B$6,IF(OR(COUNTA($G363:$AE363)=0,NOT($AM363),$AS363),Constants!$B$5,IF(OR($CM363&lt;&gt;"",$CN363,$CO363,$CP363,$CQ363,$CR363,$CS363),Constants!$B$8,Constants!$B$4)))))</f>
        <v/>
      </c>
      <c r="BM363" s="74" t="str">
        <f aca="false">IF(ISBLANK($C363),"",IF($BL363&lt;&gt;Constants!$B$4,$BL363,IF(OR(NOT($AJ363),NOT($AL363),NOT($AT363)),Constants!$B$11,IF(OR(NOT($AR363),NOT($AU363),NOT($BI363),MAX($AN363,$AO363,$AP363)&gt;Constants!$B$30),Constants!$B$10,Constants!$B$9))))</f>
        <v/>
      </c>
      <c r="BN363" s="74" t="str">
        <f aca="false">IF($BL363&lt;&gt;Constants!$B$4,"",IF(NOT($AL363),0,MIN(Constants!$B$35,$BF363)))</f>
        <v/>
      </c>
      <c r="BO363" s="74" t="str">
        <f aca="false">IF($BL363&lt;&gt;Constants!$B$4,"",IF(NOT($AL363),0,IF($AW363,Constants!$B$18,IF($AV363,Constants!$B$17,0))))</f>
        <v/>
      </c>
      <c r="BP363" s="74" t="str">
        <f aca="false">IF($BL363&lt;&gt;Constants!$B$4,"",IF(NOT($AL363),0,Constants!$B$19*($AK363+$AX363+$AY363+$AZ363)))</f>
        <v/>
      </c>
      <c r="BQ363" s="74" t="str">
        <f aca="false">IF($BL363&lt;&gt;Constants!$B$4,"",IF(OR(NOT($AL363),NOT(ISNUMBER($BA363))),0,CHOOSE($BA363,Constants!$B$13,Constants!$B$14,Constants!$B$15,Constants!$B$16)))</f>
        <v/>
      </c>
      <c r="BR363" s="74" t="str">
        <f aca="false">IF($BL363&lt;&gt;Constants!$B$4,"",IF(NOT($AL363),0,Constants!$B$20*$BB363))</f>
        <v/>
      </c>
      <c r="BS363" s="74" t="str">
        <f aca="false">IF($BL363&lt;&gt;Constants!$B$4,"",IF(AND($AL363,$BD363,$BE363),Constants!$B$22,0))</f>
        <v/>
      </c>
      <c r="BT363" s="74" t="str">
        <f aca="false">IF($BL363&lt;&gt;Constants!$B$4,"",IF(OR(NOT($AL363),NOT($BD363)),0,IF($BJ363&gt;=2*$AH$9,0,Constants!$B$23*INT(ROUND(MIN($BJ363,$AH$9),6)))))</f>
        <v/>
      </c>
      <c r="BU363" s="74" t="str">
        <f aca="false">IF($BL363&lt;&gt;Constants!$B$4,"",IF(NOT($AL363),0,Constants!$B$24*INT(ROUND(MIN($BC363,$AH$9),6))))</f>
        <v/>
      </c>
      <c r="BV363" s="74" t="str">
        <f aca="false">IF($BL363&lt;&gt;Constants!$B$4,"",IF(AND($AL363,$BN363=0),Constants!$B$25,0))</f>
        <v/>
      </c>
      <c r="BW363" s="74" t="str">
        <f aca="false">IF($BL363&lt;&gt;Constants!$B$4,"",MIN(Constants!$B$29,MAX(0,Constants!$B$27*Constants!$B$28*INT(ROUND((Constants!$B$26-$AN363)/Constants!$B$28,6))))+MIN(Constants!$B$29,MAX(0,Constants!$B$27*Constants!$B$28*INT(ROUND((Constants!$B$26-$AO363)/Constants!$B$28,6))))+MIN(Constants!$B$29,MAX(0,Constants!$B$27*Constants!$B$28*INT(ROUND((Constants!$B$26-$AP363)/Constants!$B$28,6)))))</f>
        <v/>
      </c>
      <c r="BX363" s="74" t="str">
        <f aca="false">IF($BL363&lt;&gt;Constants!$B$4,"",IF(NOT($AL363),0,Constants!$B$31*INT(ROUND(MAX(0,MIN($BJ363,2*$AH$9)-$AH$9),6))))</f>
        <v/>
      </c>
      <c r="BY363" s="74" t="str">
        <f aca="false">IF($BL363&lt;&gt;Constants!$B$4,"",Constants!$B$32*(($AN363&gt;Constants!$B$26)+($AO363&gt;Constants!$B$26)+($AP363&gt;Constants!$B$26)))</f>
        <v/>
      </c>
      <c r="BZ363" s="74" t="str">
        <f aca="false">IF($BL363&lt;&gt;Constants!$B$4,"",IF(OR(NOT($AL363),$AQ363),0,Constants!$B$33))</f>
        <v/>
      </c>
      <c r="CA363" s="74" t="str">
        <f aca="false">IF($BL363&lt;&gt;Constants!$B$4,"",Constants!$B$34*$BN363)</f>
        <v/>
      </c>
      <c r="CB363" s="74" t="str">
        <f aca="false">IF($BL363&lt;&gt;Constants!$B$4,"",IF(OR(NOT($AL363),$BH363),0,Constants!$B$36))</f>
        <v/>
      </c>
      <c r="CC363" s="74" t="str">
        <f aca="false">IF($BL363&lt;&gt;Constants!$B$4,"",IF(OR(NOT($AL363),$BG363),0,Constants!$B$37))</f>
        <v/>
      </c>
      <c r="CD363" s="74" t="str">
        <f aca="false">IF($BL363&lt;&gt;Constants!$B$4,"",SUM($BX363:$CC363))</f>
        <v/>
      </c>
      <c r="CE363" s="74" t="str">
        <f aca="false">IF(ISBLANK($C363),"",IF($BL363&lt;&gt;Constants!$B$4,$BL363,SUM($BO363:$BW363)-$CD363))</f>
        <v/>
      </c>
      <c r="CF363" s="74" t="str">
        <f aca="false">IF(ISBLANK($C363),"",IF($BL363&lt;&gt;Constants!$B$4,$BL363,RANK($CE363,$CE$9:$CE$508)))</f>
        <v/>
      </c>
      <c r="CG363" s="74" t="str">
        <f aca="false">IF(ISBLANK($C363),"",IF($BL363&lt;&gt;Constants!$B$4,$BL363,COUNTIFS($BM$9:$BM$508,"&lt;"&amp;$BM363)+COUNTIFS($BM$9:$BM$508,$BM363,$CF$9:$CF$508,"&lt;"&amp;$CF363)+1))</f>
        <v/>
      </c>
      <c r="CH363" s="74" t="str">
        <f aca="false">IF(ISBLANK($C363),"",IF($BL363&lt;&gt;Constants!$B$4,$BL363,RANK($CD363,$CD$9:$CD$508,1)))</f>
        <v/>
      </c>
      <c r="CI363" s="74" t="str">
        <f aca="false">IF($BL363&lt;&gt;Constants!$B$4,"",$AN363+$AO363+$AP363)</f>
        <v/>
      </c>
      <c r="CJ363" s="74" t="str">
        <f aca="false">IF(ISBLANK($C363),"",IF($BL363&lt;&gt;Constants!$B$4,$BL363,RANK($CI363,$CI$9:$CI$508,1)))</f>
        <v/>
      </c>
      <c r="CK363" s="74" t="str">
        <f aca="false">IF(ISBLANK($C363),"",IF($BL363&lt;&gt;Constants!$B$4,$BL363,COUNTIFS($BM$9:$BM$508,"&lt;"&amp;$BM363)+COUNTIFS($BM$9:$BM$508,$BM363,$CF$9:$CF$508,"&lt;"&amp;$CF363)+COUNTIFS($BM$9:$BM$508,$BM363,$CF$9:$CF$508,$CF363,$CH$9:$CH$508,"&lt;"&amp;$CH363)+COUNTIFS($BM$9:$BM$508,$BM363,$CF$9:$CF$508,$CF363,$CH$9:$CH$508,$CH363,$CJ$9:$CJ$508,"&lt;"&amp;$CJ363)+1))</f>
        <v/>
      </c>
      <c r="CL363" s="74" t="str">
        <f aca="false">IF(ISBLANK($C363),"",IF($BL363&lt;&gt;Constants!$B$4,$BL363,$CG363-$CK363))</f>
        <v/>
      </c>
      <c r="CM363" s="74" t="str">
        <f aca="false">IF(ISBLANK($C363),"",IF(NOT($AL363),"",IF(ISBLANK($D$7),$CM$5,IF(NOT(ISNUMBER($D$7)),$CM$6,""))))</f>
        <v/>
      </c>
      <c r="CN363" s="74" t="str">
        <f aca="false">IF(ISBLANK($C363),"",OR($AN363="",$AO363="",$AP363=""))</f>
        <v/>
      </c>
      <c r="CO363" s="74" t="str">
        <f aca="false">IF(ISBLANK($C363),"",AND($AL363,$BA363=""))</f>
        <v/>
      </c>
      <c r="CP363" s="74" t="str">
        <f aca="false">IF(ISBLANK($C363),"",AND($AL363,$BB363=""))</f>
        <v/>
      </c>
      <c r="CQ363" s="74" t="str">
        <f aca="false">IF(ISBLANK($C363),"",AND($AL363,$BC363=""))</f>
        <v/>
      </c>
      <c r="CR363" s="74" t="str">
        <f aca="false">IF(ISBLANK($C363),"",AND($AL363,$BF363=""))</f>
        <v/>
      </c>
      <c r="CS363" s="74" t="str">
        <f aca="false">IF(ISBLANK($C363),"",AND($AL363,$BJ363=""))</f>
        <v/>
      </c>
      <c r="CT363" s="75"/>
      <c r="CU363" s="76"/>
      <c r="CV363" s="79" t="str">
        <f aca="false">IF(ISBLANK($C363),"",IF($BL363=Constants!$B$8,$CM363,""))</f>
        <v/>
      </c>
      <c r="CW363" s="76" t="str">
        <f aca="false">IF(ISBLANK($C363),"",IF($BL363&lt;&gt;Constants!$B$4,"",$BO363+$BP363))</f>
        <v/>
      </c>
      <c r="CX363" s="78" t="str">
        <f aca="false">IF(ISBLANK($C363),"",IF($BL363&lt;&gt;Constants!$B$4,"",$BQ363+$BR363+$BS363))</f>
        <v/>
      </c>
      <c r="CY363" s="78" t="str">
        <f aca="false">IF(ISBLANK($C363),"",IF($BL363&lt;&gt;Constants!$B$4,"",$BT363))</f>
        <v/>
      </c>
      <c r="CZ363" s="78" t="str">
        <f aca="false">IF(ISBLANK($C363),"",IF($BL363&lt;&gt;Constants!$B$4,"",$BU363+$BV363))</f>
        <v/>
      </c>
      <c r="DA363" s="78" t="str">
        <f aca="false">IF(ISBLANK($C363),"",IF($BL363&lt;&gt;Constants!$B$4,"",$BW363))</f>
        <v/>
      </c>
      <c r="DB363" s="78" t="str">
        <f aca="false">IF(ISBLANK($C363),"",IF($BL363&lt;&gt;Constants!$B$4,"",-$CD363))</f>
        <v/>
      </c>
      <c r="DC363" s="79" t="str">
        <f aca="false">IF(ISBLANK($C363),"",$CE363)</f>
        <v/>
      </c>
      <c r="DD363" s="80" t="str">
        <f aca="false">IF(ISBLANK($C363),"",$BM363)</f>
        <v/>
      </c>
      <c r="DE363" s="78" t="str">
        <f aca="false">IF(ISBLANK($C363),"",$CL363)</f>
        <v/>
      </c>
      <c r="DF363" s="78" t="str">
        <f aca="false">IF(ISBLANK($C363),"",$CK363)</f>
        <v/>
      </c>
      <c r="DG363" s="81" t="str">
        <f aca="false">IF(ISBLANK($C363),"",IF($DF363=Constants!$B$7,COUNTA($C$9:$C$508)+2,IF($DF363=Constants!$B$6,COUNTA($C$9:$C$508)+1,IF($DF363=Constants!$B$5,COUNTA($C$9:$C$508),$DF363))))</f>
        <v/>
      </c>
      <c r="DH363" s="7"/>
      <c r="DI363" s="82" t="n">
        <f aca="false">IF(OR(ISNUMBER($DF363),$DF363=Constants!$B$7,$DF363=Constants!$B$5,$DF363=Constants!$B$6),1,0)</f>
        <v>0</v>
      </c>
      <c r="DJ363" s="82" t="n">
        <v>355</v>
      </c>
      <c r="DK363" s="82" t="str">
        <f aca="false">IF(ISBLANK($C363),"",IF(ISNUMBER($DG363),$DG363+ROW($B363)/1000,""))</f>
        <v/>
      </c>
      <c r="DL363" s="82" t="str">
        <f aca="false">IF(ISNUMBER($DK363),RANK($DK363,$DK$9:$DK$508,1),"")</f>
        <v/>
      </c>
      <c r="DM363" s="82" t="str">
        <f aca="false">IF(ISBLANK($C363),"",$B363)</f>
        <v/>
      </c>
      <c r="DN363" s="82" t="str">
        <f aca="false">IF(ISBLANK($C363),"",$C363)</f>
        <v/>
      </c>
      <c r="DO363" s="82" t="str">
        <f aca="false">IF(ISBLANK($C363),"",$D363)</f>
        <v/>
      </c>
      <c r="DP363" s="83" t="str">
        <f aca="false">$DD363</f>
        <v/>
      </c>
      <c r="DQ363" s="84" t="str">
        <f aca="false">$DC363</f>
        <v/>
      </c>
      <c r="DR363" s="82" t="str">
        <f aca="false">IF(ISBLANK($C363),"",$DF363)</f>
        <v/>
      </c>
      <c r="DS363" s="85" t="str">
        <f aca="false">IF($DJ363&gt;$DI$8,"",VLOOKUP($DJ363,$DL$9:$DR$508,7,FALSE()))</f>
        <v/>
      </c>
      <c r="DT363" s="86" t="str">
        <f aca="false">IF($DJ363&gt;$DI$8,"",VLOOKUP($DJ363,$DL$9:$DR$508,2,FALSE()))</f>
        <v/>
      </c>
      <c r="DU363" s="86" t="str">
        <f aca="false">IF($DJ363&gt;$DI$8,"",VLOOKUP($DJ363,$DL$9:$DR$508,3,FALSE()))</f>
        <v/>
      </c>
      <c r="DV363" s="86" t="str">
        <f aca="false">IF($DJ363&gt;$DI$8,"",VLOOKUP($DJ363,$DL$9:$DR$508,4,FALSE()))</f>
        <v/>
      </c>
      <c r="DW363" s="86" t="str">
        <f aca="false">IF($DJ363&gt;$DI$8,"",VLOOKUP($DJ363,$DL$9:$DR$508,5,FALSE()))</f>
        <v/>
      </c>
      <c r="DX363" s="87" t="str">
        <f aca="false">IF($DJ363&gt;$DI$8,"",VLOOKUP($DJ363,$DL$9:$DR$508,6,FALSE()))</f>
        <v/>
      </c>
      <c r="DY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88"/>
      <c r="N364" s="88"/>
      <c r="O364" s="134"/>
      <c r="P364" s="134"/>
      <c r="Q364" s="88"/>
      <c r="R364" s="88"/>
      <c r="S364" s="88"/>
      <c r="T364" s="88"/>
      <c r="U364" s="134"/>
      <c r="V364" s="88"/>
      <c r="W364" s="70"/>
      <c r="X364" s="88"/>
      <c r="Y364" s="88"/>
      <c r="Z364" s="70"/>
      <c r="AA364" s="70"/>
      <c r="AB364" s="88"/>
      <c r="AC364" s="88"/>
      <c r="AD364" s="88"/>
      <c r="AE364" s="71"/>
      <c r="AF364" s="88"/>
      <c r="AG364" s="73"/>
      <c r="AH364" s="74"/>
      <c r="AI364" s="74"/>
      <c r="AJ364" s="74" t="str">
        <f aca="false">IF(ISBLANK($C364),"",IF($E364=Constants!$B$2,TRUE(),IF($E364=Constants!$B$3,FALSE(),TRUE())))</f>
        <v/>
      </c>
      <c r="AK364" s="74" t="str">
        <f aca="false">IF(ISBLANK($C364),"",IF($F364=Constants!$B$2,TRUE(),IF($F364=Constants!$B$3,FALSE(),FALSE())))</f>
        <v/>
      </c>
      <c r="AL364" s="74" t="str">
        <f aca="false">IF(ISBLANK($C364),"",IF($G364=Constants!$B$2,TRUE(),IF($G364=Constants!$B$3,FALSE(),TRUE())))</f>
        <v/>
      </c>
      <c r="AM364" s="74" t="str">
        <f aca="false">IF(ISBLANK($C364),"",IF($H364=Constants!$B$2,TRUE(),IF($H364=Constants!$B$3,FALSE(),TRUE())))</f>
        <v/>
      </c>
      <c r="AN364" s="74" t="str">
        <f aca="false">IF(ISBLANK($C364),"",IF(ISNUMBER($I364),IF($I364&gt;=0,$I364,""),""))</f>
        <v/>
      </c>
      <c r="AO364" s="74" t="str">
        <f aca="false">IF(ISBLANK($C364),"",IF(ISNUMBER($J364),IF($J364&gt;=0,$J364,""),""))</f>
        <v/>
      </c>
      <c r="AP364" s="74" t="str">
        <f aca="false">IF(ISBLANK($C364),"",IF(ISNUMBER($K364),IF($K364&gt;=0,$K364,""),""))</f>
        <v/>
      </c>
      <c r="AQ364" s="74" t="str">
        <f aca="false">IF(ISBLANK($C364),"",IF($L364=Constants!$B$2,TRUE(),IF($L364=Constants!$B$3,FALSE(),TRUE())))</f>
        <v/>
      </c>
      <c r="AR364" s="74" t="str">
        <f aca="false">IF(ISBLANK($C364),"",IF($M364=Constants!$B$2,TRUE(),IF($M364=Constants!$B$3,FALSE(),TRUE())))</f>
        <v/>
      </c>
      <c r="AS364" s="74" t="str">
        <f aca="false">IF(ISBLANK($C364),"",IF($N364=Constants!$B$2,TRUE(),IF($N364=Constants!$B$3,FALSE(),FALSE())))</f>
        <v/>
      </c>
      <c r="AT364" s="74" t="str">
        <f aca="false">IF(ISBLANK($C364),"",IF($O364=Constants!$B$2,TRUE(),IF($O364=Constants!$B$3,FALSE(),TRUE())))</f>
        <v/>
      </c>
      <c r="AU364" s="74" t="str">
        <f aca="false">IF(ISBLANK($C364),"",IF($P364=Constants!$B$2,TRUE(),IF($P364=Constants!$B$3,FALSE(),TRUE())))</f>
        <v/>
      </c>
      <c r="AV364" s="74" t="str">
        <f aca="false">IF(ISBLANK($C364),"",IF($Q364=Constants!$B$2,TRUE(),IF($Q364=Constants!$B$3,FALSE(),FALSE())))</f>
        <v/>
      </c>
      <c r="AW364" s="74" t="str">
        <f aca="false">IF(ISBLANK($C364),"",IF($R364=Constants!$B$2,TRUE(),IF($R364=Constants!$B$3,FALSE(),FALSE())))</f>
        <v/>
      </c>
      <c r="AX364" s="74" t="str">
        <f aca="false">IF(ISBLANK($C364),"",IF($S364=Constants!$B$2,TRUE(),IF($S364=Constants!$B$3,FALSE(),FALSE())))</f>
        <v/>
      </c>
      <c r="AY364" s="74" t="str">
        <f aca="false">IF(ISBLANK($C364),"",IF($T364=Constants!$B$2,TRUE(),IF($T364=Constants!$B$3,FALSE(),FALSE())))</f>
        <v/>
      </c>
      <c r="AZ364" s="74" t="str">
        <f aca="false">IF(ISBLANK($C364),"",IF($U364=Constants!$B$2,TRUE(),IF($U364=Constants!$B$3,FALSE(),FALSE())))</f>
        <v/>
      </c>
      <c r="BA364" s="74" t="str">
        <f aca="false">IF(ISBLANK($C364),"",IF(OR($V364&amp;""="1",$V364&amp;""="2",$V364&amp;""="3",$V364&amp;""="4"),VALUE($V364&amp;""),IF($V364=Constants!$B$12,Constants!$B$12,"")))</f>
        <v/>
      </c>
      <c r="BB364" s="74" t="str">
        <f aca="false">IF(ISBLANK($C364),"",IF(ISBLANK($W364),0,IF(ISNUMBER($W364),IF(AND($W364&gt;=0,$W364&lt;=Constants!$B$21,$W364=INT($W364)),$W364,""),"")))</f>
        <v/>
      </c>
      <c r="BC364" s="74" t="str">
        <f aca="false">IF(ISBLANK($C364),"",IF(ISBLANK($X364),0,IF(ISNUMBER($X364),IF($X364&gt;=0,$X364,""),"")))</f>
        <v/>
      </c>
      <c r="BD364" s="74" t="str">
        <f aca="false">IF(ISBLANK($C364),"",IF($Y364=Constants!$B$2,TRUE(),IF($Y364=Constants!$B$3,FALSE(),TRUE())))</f>
        <v/>
      </c>
      <c r="BE364" s="74" t="str">
        <f aca="false">IF(ISBLANK($C364),"",IF($Z364=Constants!$B$2,TRUE(),IF($Z364=Constants!$B$3,FALSE(),FALSE())))</f>
        <v/>
      </c>
      <c r="BF364" s="74" t="str">
        <f aca="false">IF(ISBLANK($C364),"",IF(ISBLANK($AA364),0,IF(ISNUMBER($AA364),IF(AND($AA364&gt;=0,$AA364&lt;=Constants!$B$35,$AA364=INT($AA364)),$AA364,""),"")))</f>
        <v/>
      </c>
      <c r="BG364" s="74" t="str">
        <f aca="false">IF(ISBLANK($C364),"",IF($AB364=Constants!$B$2,TRUE(),IF($AB364=Constants!$B$3,FALSE(),TRUE())))</f>
        <v/>
      </c>
      <c r="BH364" s="74" t="str">
        <f aca="false">IF(ISBLANK($C364),"",IF($AC364=Constants!$B$2,TRUE(),IF($AC364=Constants!$B$3,FALSE(),TRUE())))</f>
        <v/>
      </c>
      <c r="BI364" s="74" t="str">
        <f aca="false">IF(ISBLANK($C364),"",IF($AD364=Constants!$B$2,TRUE(),IF($AD364=Constants!$B$3,FALSE(),TRUE())))</f>
        <v/>
      </c>
      <c r="BJ364" s="74" t="str">
        <f aca="false">IF(ISBLANK($C364),"",IF(ISNUMBER($AE364),IF($AE364&gt;=0,$AE364,""),""))</f>
        <v/>
      </c>
      <c r="BK364" s="74" t="str">
        <f aca="false">IF(ISBLANK($C364),"",IF($AF364=Constants!$B$2,TRUE(),IF($AF364=Constants!$B$3,FALSE(),FALSE())))</f>
        <v/>
      </c>
      <c r="BL364" s="73" t="str">
        <f aca="false">IF(ISBLANK($C364),"",IF($BK364,Constants!$B$7,IF(COUNTA($E364:$AE364)=0,Constants!$B$6,IF(OR(COUNTA($G364:$AE364)=0,NOT($AM364),$AS364),Constants!$B$5,IF(OR($CM364&lt;&gt;"",$CN364,$CO364,$CP364,$CQ364,$CR364,$CS364),Constants!$B$8,Constants!$B$4)))))</f>
        <v/>
      </c>
      <c r="BM364" s="74" t="str">
        <f aca="false">IF(ISBLANK($C364),"",IF($BL364&lt;&gt;Constants!$B$4,$BL364,IF(OR(NOT($AJ364),NOT($AL364),NOT($AT364)),Constants!$B$11,IF(OR(NOT($AR364),NOT($AU364),NOT($BI364),MAX($AN364,$AO364,$AP364)&gt;Constants!$B$30),Constants!$B$10,Constants!$B$9))))</f>
        <v/>
      </c>
      <c r="BN364" s="74" t="str">
        <f aca="false">IF($BL364&lt;&gt;Constants!$B$4,"",IF(NOT($AL364),0,MIN(Constants!$B$35,$BF364)))</f>
        <v/>
      </c>
      <c r="BO364" s="74" t="str">
        <f aca="false">IF($BL364&lt;&gt;Constants!$B$4,"",IF(NOT($AL364),0,IF($AW364,Constants!$B$18,IF($AV364,Constants!$B$17,0))))</f>
        <v/>
      </c>
      <c r="BP364" s="74" t="str">
        <f aca="false">IF($BL364&lt;&gt;Constants!$B$4,"",IF(NOT($AL364),0,Constants!$B$19*($AK364+$AX364+$AY364+$AZ364)))</f>
        <v/>
      </c>
      <c r="BQ364" s="74" t="str">
        <f aca="false">IF($BL364&lt;&gt;Constants!$B$4,"",IF(OR(NOT($AL364),NOT(ISNUMBER($BA364))),0,CHOOSE($BA364,Constants!$B$13,Constants!$B$14,Constants!$B$15,Constants!$B$16)))</f>
        <v/>
      </c>
      <c r="BR364" s="74" t="str">
        <f aca="false">IF($BL364&lt;&gt;Constants!$B$4,"",IF(NOT($AL364),0,Constants!$B$20*$BB364))</f>
        <v/>
      </c>
      <c r="BS364" s="74" t="str">
        <f aca="false">IF($BL364&lt;&gt;Constants!$B$4,"",IF(AND($AL364,$BD364,$BE364),Constants!$B$22,0))</f>
        <v/>
      </c>
      <c r="BT364" s="74" t="str">
        <f aca="false">IF($BL364&lt;&gt;Constants!$B$4,"",IF(OR(NOT($AL364),NOT($BD364)),0,IF($BJ364&gt;=2*$AH$9,0,Constants!$B$23*INT(ROUND(MIN($BJ364,$AH$9),6)))))</f>
        <v/>
      </c>
      <c r="BU364" s="74" t="str">
        <f aca="false">IF($BL364&lt;&gt;Constants!$B$4,"",IF(NOT($AL364),0,Constants!$B$24*INT(ROUND(MIN($BC364,$AH$9),6))))</f>
        <v/>
      </c>
      <c r="BV364" s="74" t="str">
        <f aca="false">IF($BL364&lt;&gt;Constants!$B$4,"",IF(AND($AL364,$BN364=0),Constants!$B$25,0))</f>
        <v/>
      </c>
      <c r="BW364" s="74" t="str">
        <f aca="false">IF($BL364&lt;&gt;Constants!$B$4,"",MIN(Constants!$B$29,MAX(0,Constants!$B$27*Constants!$B$28*INT(ROUND((Constants!$B$26-$AN364)/Constants!$B$28,6))))+MIN(Constants!$B$29,MAX(0,Constants!$B$27*Constants!$B$28*INT(ROUND((Constants!$B$26-$AO364)/Constants!$B$28,6))))+MIN(Constants!$B$29,MAX(0,Constants!$B$27*Constants!$B$28*INT(ROUND((Constants!$B$26-$AP364)/Constants!$B$28,6)))))</f>
        <v/>
      </c>
      <c r="BX364" s="74" t="str">
        <f aca="false">IF($BL364&lt;&gt;Constants!$B$4,"",IF(NOT($AL364),0,Constants!$B$31*INT(ROUND(MAX(0,MIN($BJ364,2*$AH$9)-$AH$9),6))))</f>
        <v/>
      </c>
      <c r="BY364" s="74" t="str">
        <f aca="false">IF($BL364&lt;&gt;Constants!$B$4,"",Constants!$B$32*(($AN364&gt;Constants!$B$26)+($AO364&gt;Constants!$B$26)+($AP364&gt;Constants!$B$26)))</f>
        <v/>
      </c>
      <c r="BZ364" s="74" t="str">
        <f aca="false">IF($BL364&lt;&gt;Constants!$B$4,"",IF(OR(NOT($AL364),$AQ364),0,Constants!$B$33))</f>
        <v/>
      </c>
      <c r="CA364" s="74" t="str">
        <f aca="false">IF($BL364&lt;&gt;Constants!$B$4,"",Constants!$B$34*$BN364)</f>
        <v/>
      </c>
      <c r="CB364" s="74" t="str">
        <f aca="false">IF($BL364&lt;&gt;Constants!$B$4,"",IF(OR(NOT($AL364),$BH364),0,Constants!$B$36))</f>
        <v/>
      </c>
      <c r="CC364" s="74" t="str">
        <f aca="false">IF($BL364&lt;&gt;Constants!$B$4,"",IF(OR(NOT($AL364),$BG364),0,Constants!$B$37))</f>
        <v/>
      </c>
      <c r="CD364" s="74" t="str">
        <f aca="false">IF($BL364&lt;&gt;Constants!$B$4,"",SUM($BX364:$CC364))</f>
        <v/>
      </c>
      <c r="CE364" s="74" t="str">
        <f aca="false">IF(ISBLANK($C364),"",IF($BL364&lt;&gt;Constants!$B$4,$BL364,SUM($BO364:$BW364)-$CD364))</f>
        <v/>
      </c>
      <c r="CF364" s="74" t="str">
        <f aca="false">IF(ISBLANK($C364),"",IF($BL364&lt;&gt;Constants!$B$4,$BL364,RANK($CE364,$CE$9:$CE$508)))</f>
        <v/>
      </c>
      <c r="CG364" s="74" t="str">
        <f aca="false">IF(ISBLANK($C364),"",IF($BL364&lt;&gt;Constants!$B$4,$BL364,COUNTIFS($BM$9:$BM$508,"&lt;"&amp;$BM364)+COUNTIFS($BM$9:$BM$508,$BM364,$CF$9:$CF$508,"&lt;"&amp;$CF364)+1))</f>
        <v/>
      </c>
      <c r="CH364" s="74" t="str">
        <f aca="false">IF(ISBLANK($C364),"",IF($BL364&lt;&gt;Constants!$B$4,$BL364,RANK($CD364,$CD$9:$CD$508,1)))</f>
        <v/>
      </c>
      <c r="CI364" s="74" t="str">
        <f aca="false">IF($BL364&lt;&gt;Constants!$B$4,"",$AN364+$AO364+$AP364)</f>
        <v/>
      </c>
      <c r="CJ364" s="74" t="str">
        <f aca="false">IF(ISBLANK($C364),"",IF($BL364&lt;&gt;Constants!$B$4,$BL364,RANK($CI364,$CI$9:$CI$508,1)))</f>
        <v/>
      </c>
      <c r="CK364" s="74" t="str">
        <f aca="false">IF(ISBLANK($C364),"",IF($BL364&lt;&gt;Constants!$B$4,$BL364,COUNTIFS($BM$9:$BM$508,"&lt;"&amp;$BM364)+COUNTIFS($BM$9:$BM$508,$BM364,$CF$9:$CF$508,"&lt;"&amp;$CF364)+COUNTIFS($BM$9:$BM$508,$BM364,$CF$9:$CF$508,$CF364,$CH$9:$CH$508,"&lt;"&amp;$CH364)+COUNTIFS($BM$9:$BM$508,$BM364,$CF$9:$CF$508,$CF364,$CH$9:$CH$508,$CH364,$CJ$9:$CJ$508,"&lt;"&amp;$CJ364)+1))</f>
        <v/>
      </c>
      <c r="CL364" s="74" t="str">
        <f aca="false">IF(ISBLANK($C364),"",IF($BL364&lt;&gt;Constants!$B$4,$BL364,$CG364-$CK364))</f>
        <v/>
      </c>
      <c r="CM364" s="74" t="str">
        <f aca="false">IF(ISBLANK($C364),"",IF(NOT($AL364),"",IF(ISBLANK($D$7),$CM$5,IF(NOT(ISNUMBER($D$7)),$CM$6,""))))</f>
        <v/>
      </c>
      <c r="CN364" s="74" t="str">
        <f aca="false">IF(ISBLANK($C364),"",OR($AN364="",$AO364="",$AP364=""))</f>
        <v/>
      </c>
      <c r="CO364" s="74" t="str">
        <f aca="false">IF(ISBLANK($C364),"",AND($AL364,$BA364=""))</f>
        <v/>
      </c>
      <c r="CP364" s="74" t="str">
        <f aca="false">IF(ISBLANK($C364),"",AND($AL364,$BB364=""))</f>
        <v/>
      </c>
      <c r="CQ364" s="74" t="str">
        <f aca="false">IF(ISBLANK($C364),"",AND($AL364,$BC364=""))</f>
        <v/>
      </c>
      <c r="CR364" s="74" t="str">
        <f aca="false">IF(ISBLANK($C364),"",AND($AL364,$BF364=""))</f>
        <v/>
      </c>
      <c r="CS364" s="74" t="str">
        <f aca="false">IF(ISBLANK($C364),"",AND($AL364,$BJ364=""))</f>
        <v/>
      </c>
      <c r="CT364" s="75"/>
      <c r="CU364" s="76"/>
      <c r="CV364" s="79" t="str">
        <f aca="false">IF(ISBLANK($C364),"",IF($BL364=Constants!$B$8,$CM364,""))</f>
        <v/>
      </c>
      <c r="CW364" s="76" t="str">
        <f aca="false">IF(ISBLANK($C364),"",IF($BL364&lt;&gt;Constants!$B$4,"",$BO364+$BP364))</f>
        <v/>
      </c>
      <c r="CX364" s="78" t="str">
        <f aca="false">IF(ISBLANK($C364),"",IF($BL364&lt;&gt;Constants!$B$4,"",$BQ364+$BR364+$BS364))</f>
        <v/>
      </c>
      <c r="CY364" s="78" t="str">
        <f aca="false">IF(ISBLANK($C364),"",IF($BL364&lt;&gt;Constants!$B$4,"",$BT364))</f>
        <v/>
      </c>
      <c r="CZ364" s="78" t="str">
        <f aca="false">IF(ISBLANK($C364),"",IF($BL364&lt;&gt;Constants!$B$4,"",$BU364+$BV364))</f>
        <v/>
      </c>
      <c r="DA364" s="78" t="str">
        <f aca="false">IF(ISBLANK($C364),"",IF($BL364&lt;&gt;Constants!$B$4,"",$BW364))</f>
        <v/>
      </c>
      <c r="DB364" s="78" t="str">
        <f aca="false">IF(ISBLANK($C364),"",IF($BL364&lt;&gt;Constants!$B$4,"",-$CD364))</f>
        <v/>
      </c>
      <c r="DC364" s="79" t="str">
        <f aca="false">IF(ISBLANK($C364),"",$CE364)</f>
        <v/>
      </c>
      <c r="DD364" s="80" t="str">
        <f aca="false">IF(ISBLANK($C364),"",$BM364)</f>
        <v/>
      </c>
      <c r="DE364" s="78" t="str">
        <f aca="false">IF(ISBLANK($C364),"",$CL364)</f>
        <v/>
      </c>
      <c r="DF364" s="78" t="str">
        <f aca="false">IF(ISBLANK($C364),"",$CK364)</f>
        <v/>
      </c>
      <c r="DG364" s="81" t="str">
        <f aca="false">IF(ISBLANK($C364),"",IF($DF364=Constants!$B$7,COUNTA($C$9:$C$508)+2,IF($DF364=Constants!$B$6,COUNTA($C$9:$C$508)+1,IF($DF364=Constants!$B$5,COUNTA($C$9:$C$508),$DF364))))</f>
        <v/>
      </c>
      <c r="DH364" s="7"/>
      <c r="DI364" s="82" t="n">
        <f aca="false">IF(OR(ISNUMBER($DF364),$DF364=Constants!$B$7,$DF364=Constants!$B$5,$DF364=Constants!$B$6),1,0)</f>
        <v>0</v>
      </c>
      <c r="DJ364" s="82" t="n">
        <v>356</v>
      </c>
      <c r="DK364" s="82" t="str">
        <f aca="false">IF(ISBLANK($C364),"",IF(ISNUMBER($DG364),$DG364+ROW($B364)/1000,""))</f>
        <v/>
      </c>
      <c r="DL364" s="82" t="str">
        <f aca="false">IF(ISNUMBER($DK364),RANK($DK364,$DK$9:$DK$508,1),"")</f>
        <v/>
      </c>
      <c r="DM364" s="82" t="str">
        <f aca="false">IF(ISBLANK($C364),"",$B364)</f>
        <v/>
      </c>
      <c r="DN364" s="82" t="str">
        <f aca="false">IF(ISBLANK($C364),"",$C364)</f>
        <v/>
      </c>
      <c r="DO364" s="82" t="str">
        <f aca="false">IF(ISBLANK($C364),"",$D364)</f>
        <v/>
      </c>
      <c r="DP364" s="83" t="str">
        <f aca="false">$DD364</f>
        <v/>
      </c>
      <c r="DQ364" s="84" t="str">
        <f aca="false">$DC364</f>
        <v/>
      </c>
      <c r="DR364" s="82" t="str">
        <f aca="false">IF(ISBLANK($C364),"",$DF364)</f>
        <v/>
      </c>
      <c r="DS364" s="85" t="str">
        <f aca="false">IF($DJ364&gt;$DI$8,"",VLOOKUP($DJ364,$DL$9:$DR$508,7,FALSE()))</f>
        <v/>
      </c>
      <c r="DT364" s="86" t="str">
        <f aca="false">IF($DJ364&gt;$DI$8,"",VLOOKUP($DJ364,$DL$9:$DR$508,2,FALSE()))</f>
        <v/>
      </c>
      <c r="DU364" s="86" t="str">
        <f aca="false">IF($DJ364&gt;$DI$8,"",VLOOKUP($DJ364,$DL$9:$DR$508,3,FALSE()))</f>
        <v/>
      </c>
      <c r="DV364" s="86" t="str">
        <f aca="false">IF($DJ364&gt;$DI$8,"",VLOOKUP($DJ364,$DL$9:$DR$508,4,FALSE()))</f>
        <v/>
      </c>
      <c r="DW364" s="86" t="str">
        <f aca="false">IF($DJ364&gt;$DI$8,"",VLOOKUP($DJ364,$DL$9:$DR$508,5,FALSE()))</f>
        <v/>
      </c>
      <c r="DX364" s="87" t="str">
        <f aca="false">IF($DJ364&gt;$DI$8,"",VLOOKUP($DJ364,$DL$9:$DR$508,6,FALSE()))</f>
        <v/>
      </c>
      <c r="DY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88"/>
      <c r="N365" s="88"/>
      <c r="O365" s="134"/>
      <c r="P365" s="134"/>
      <c r="Q365" s="88"/>
      <c r="R365" s="88"/>
      <c r="S365" s="88"/>
      <c r="T365" s="88"/>
      <c r="U365" s="134"/>
      <c r="V365" s="88"/>
      <c r="W365" s="70"/>
      <c r="X365" s="88"/>
      <c r="Y365" s="88"/>
      <c r="Z365" s="70"/>
      <c r="AA365" s="70"/>
      <c r="AB365" s="88"/>
      <c r="AC365" s="88"/>
      <c r="AD365" s="88"/>
      <c r="AE365" s="71"/>
      <c r="AF365" s="88"/>
      <c r="AG365" s="73"/>
      <c r="AH365" s="74"/>
      <c r="AI365" s="74"/>
      <c r="AJ365" s="74" t="str">
        <f aca="false">IF(ISBLANK($C365),"",IF($E365=Constants!$B$2,TRUE(),IF($E365=Constants!$B$3,FALSE(),TRUE())))</f>
        <v/>
      </c>
      <c r="AK365" s="74" t="str">
        <f aca="false">IF(ISBLANK($C365),"",IF($F365=Constants!$B$2,TRUE(),IF($F365=Constants!$B$3,FALSE(),FALSE())))</f>
        <v/>
      </c>
      <c r="AL365" s="74" t="str">
        <f aca="false">IF(ISBLANK($C365),"",IF($G365=Constants!$B$2,TRUE(),IF($G365=Constants!$B$3,FALSE(),TRUE())))</f>
        <v/>
      </c>
      <c r="AM365" s="74" t="str">
        <f aca="false">IF(ISBLANK($C365),"",IF($H365=Constants!$B$2,TRUE(),IF($H365=Constants!$B$3,FALSE(),TRUE())))</f>
        <v/>
      </c>
      <c r="AN365" s="74" t="str">
        <f aca="false">IF(ISBLANK($C365),"",IF(ISNUMBER($I365),IF($I365&gt;=0,$I365,""),""))</f>
        <v/>
      </c>
      <c r="AO365" s="74" t="str">
        <f aca="false">IF(ISBLANK($C365),"",IF(ISNUMBER($J365),IF($J365&gt;=0,$J365,""),""))</f>
        <v/>
      </c>
      <c r="AP365" s="74" t="str">
        <f aca="false">IF(ISBLANK($C365),"",IF(ISNUMBER($K365),IF($K365&gt;=0,$K365,""),""))</f>
        <v/>
      </c>
      <c r="AQ365" s="74" t="str">
        <f aca="false">IF(ISBLANK($C365),"",IF($L365=Constants!$B$2,TRUE(),IF($L365=Constants!$B$3,FALSE(),TRUE())))</f>
        <v/>
      </c>
      <c r="AR365" s="74" t="str">
        <f aca="false">IF(ISBLANK($C365),"",IF($M365=Constants!$B$2,TRUE(),IF($M365=Constants!$B$3,FALSE(),TRUE())))</f>
        <v/>
      </c>
      <c r="AS365" s="74" t="str">
        <f aca="false">IF(ISBLANK($C365),"",IF($N365=Constants!$B$2,TRUE(),IF($N365=Constants!$B$3,FALSE(),FALSE())))</f>
        <v/>
      </c>
      <c r="AT365" s="74" t="str">
        <f aca="false">IF(ISBLANK($C365),"",IF($O365=Constants!$B$2,TRUE(),IF($O365=Constants!$B$3,FALSE(),TRUE())))</f>
        <v/>
      </c>
      <c r="AU365" s="74" t="str">
        <f aca="false">IF(ISBLANK($C365),"",IF($P365=Constants!$B$2,TRUE(),IF($P365=Constants!$B$3,FALSE(),TRUE())))</f>
        <v/>
      </c>
      <c r="AV365" s="74" t="str">
        <f aca="false">IF(ISBLANK($C365),"",IF($Q365=Constants!$B$2,TRUE(),IF($Q365=Constants!$B$3,FALSE(),FALSE())))</f>
        <v/>
      </c>
      <c r="AW365" s="74" t="str">
        <f aca="false">IF(ISBLANK($C365),"",IF($R365=Constants!$B$2,TRUE(),IF($R365=Constants!$B$3,FALSE(),FALSE())))</f>
        <v/>
      </c>
      <c r="AX365" s="74" t="str">
        <f aca="false">IF(ISBLANK($C365),"",IF($S365=Constants!$B$2,TRUE(),IF($S365=Constants!$B$3,FALSE(),FALSE())))</f>
        <v/>
      </c>
      <c r="AY365" s="74" t="str">
        <f aca="false">IF(ISBLANK($C365),"",IF($T365=Constants!$B$2,TRUE(),IF($T365=Constants!$B$3,FALSE(),FALSE())))</f>
        <v/>
      </c>
      <c r="AZ365" s="74" t="str">
        <f aca="false">IF(ISBLANK($C365),"",IF($U365=Constants!$B$2,TRUE(),IF($U365=Constants!$B$3,FALSE(),FALSE())))</f>
        <v/>
      </c>
      <c r="BA365" s="74" t="str">
        <f aca="false">IF(ISBLANK($C365),"",IF(OR($V365&amp;""="1",$V365&amp;""="2",$V365&amp;""="3",$V365&amp;""="4"),VALUE($V365&amp;""),IF($V365=Constants!$B$12,Constants!$B$12,"")))</f>
        <v/>
      </c>
      <c r="BB365" s="74" t="str">
        <f aca="false">IF(ISBLANK($C365),"",IF(ISBLANK($W365),0,IF(ISNUMBER($W365),IF(AND($W365&gt;=0,$W365&lt;=Constants!$B$21,$W365=INT($W365)),$W365,""),"")))</f>
        <v/>
      </c>
      <c r="BC365" s="74" t="str">
        <f aca="false">IF(ISBLANK($C365),"",IF(ISBLANK($X365),0,IF(ISNUMBER($X365),IF($X365&gt;=0,$X365,""),"")))</f>
        <v/>
      </c>
      <c r="BD365" s="74" t="str">
        <f aca="false">IF(ISBLANK($C365),"",IF($Y365=Constants!$B$2,TRUE(),IF($Y365=Constants!$B$3,FALSE(),TRUE())))</f>
        <v/>
      </c>
      <c r="BE365" s="74" t="str">
        <f aca="false">IF(ISBLANK($C365),"",IF($Z365=Constants!$B$2,TRUE(),IF($Z365=Constants!$B$3,FALSE(),FALSE())))</f>
        <v/>
      </c>
      <c r="BF365" s="74" t="str">
        <f aca="false">IF(ISBLANK($C365),"",IF(ISBLANK($AA365),0,IF(ISNUMBER($AA365),IF(AND($AA365&gt;=0,$AA365&lt;=Constants!$B$35,$AA365=INT($AA365)),$AA365,""),"")))</f>
        <v/>
      </c>
      <c r="BG365" s="74" t="str">
        <f aca="false">IF(ISBLANK($C365),"",IF($AB365=Constants!$B$2,TRUE(),IF($AB365=Constants!$B$3,FALSE(),TRUE())))</f>
        <v/>
      </c>
      <c r="BH365" s="74" t="str">
        <f aca="false">IF(ISBLANK($C365),"",IF($AC365=Constants!$B$2,TRUE(),IF($AC365=Constants!$B$3,FALSE(),TRUE())))</f>
        <v/>
      </c>
      <c r="BI365" s="74" t="str">
        <f aca="false">IF(ISBLANK($C365),"",IF($AD365=Constants!$B$2,TRUE(),IF($AD365=Constants!$B$3,FALSE(),TRUE())))</f>
        <v/>
      </c>
      <c r="BJ365" s="74" t="str">
        <f aca="false">IF(ISBLANK($C365),"",IF(ISNUMBER($AE365),IF($AE365&gt;=0,$AE365,""),""))</f>
        <v/>
      </c>
      <c r="BK365" s="74" t="str">
        <f aca="false">IF(ISBLANK($C365),"",IF($AF365=Constants!$B$2,TRUE(),IF($AF365=Constants!$B$3,FALSE(),FALSE())))</f>
        <v/>
      </c>
      <c r="BL365" s="73" t="str">
        <f aca="false">IF(ISBLANK($C365),"",IF($BK365,Constants!$B$7,IF(COUNTA($E365:$AE365)=0,Constants!$B$6,IF(OR(COUNTA($G365:$AE365)=0,NOT($AM365),$AS365),Constants!$B$5,IF(OR($CM365&lt;&gt;"",$CN365,$CO365,$CP365,$CQ365,$CR365,$CS365),Constants!$B$8,Constants!$B$4)))))</f>
        <v/>
      </c>
      <c r="BM365" s="74" t="str">
        <f aca="false">IF(ISBLANK($C365),"",IF($BL365&lt;&gt;Constants!$B$4,$BL365,IF(OR(NOT($AJ365),NOT($AL365),NOT($AT365)),Constants!$B$11,IF(OR(NOT($AR365),NOT($AU365),NOT($BI365),MAX($AN365,$AO365,$AP365)&gt;Constants!$B$30),Constants!$B$10,Constants!$B$9))))</f>
        <v/>
      </c>
      <c r="BN365" s="74" t="str">
        <f aca="false">IF($BL365&lt;&gt;Constants!$B$4,"",IF(NOT($AL365),0,MIN(Constants!$B$35,$BF365)))</f>
        <v/>
      </c>
      <c r="BO365" s="74" t="str">
        <f aca="false">IF($BL365&lt;&gt;Constants!$B$4,"",IF(NOT($AL365),0,IF($AW365,Constants!$B$18,IF($AV365,Constants!$B$17,0))))</f>
        <v/>
      </c>
      <c r="BP365" s="74" t="str">
        <f aca="false">IF($BL365&lt;&gt;Constants!$B$4,"",IF(NOT($AL365),0,Constants!$B$19*($AK365+$AX365+$AY365+$AZ365)))</f>
        <v/>
      </c>
      <c r="BQ365" s="74" t="str">
        <f aca="false">IF($BL365&lt;&gt;Constants!$B$4,"",IF(OR(NOT($AL365),NOT(ISNUMBER($BA365))),0,CHOOSE($BA365,Constants!$B$13,Constants!$B$14,Constants!$B$15,Constants!$B$16)))</f>
        <v/>
      </c>
      <c r="BR365" s="74" t="str">
        <f aca="false">IF($BL365&lt;&gt;Constants!$B$4,"",IF(NOT($AL365),0,Constants!$B$20*$BB365))</f>
        <v/>
      </c>
      <c r="BS365" s="74" t="str">
        <f aca="false">IF($BL365&lt;&gt;Constants!$B$4,"",IF(AND($AL365,$BD365,$BE365),Constants!$B$22,0))</f>
        <v/>
      </c>
      <c r="BT365" s="74" t="str">
        <f aca="false">IF($BL365&lt;&gt;Constants!$B$4,"",IF(OR(NOT($AL365),NOT($BD365)),0,IF($BJ365&gt;=2*$AH$9,0,Constants!$B$23*INT(ROUND(MIN($BJ365,$AH$9),6)))))</f>
        <v/>
      </c>
      <c r="BU365" s="74" t="str">
        <f aca="false">IF($BL365&lt;&gt;Constants!$B$4,"",IF(NOT($AL365),0,Constants!$B$24*INT(ROUND(MIN($BC365,$AH$9),6))))</f>
        <v/>
      </c>
      <c r="BV365" s="74" t="str">
        <f aca="false">IF($BL365&lt;&gt;Constants!$B$4,"",IF(AND($AL365,$BN365=0),Constants!$B$25,0))</f>
        <v/>
      </c>
      <c r="BW365" s="74" t="str">
        <f aca="false">IF($BL365&lt;&gt;Constants!$B$4,"",MIN(Constants!$B$29,MAX(0,Constants!$B$27*Constants!$B$28*INT(ROUND((Constants!$B$26-$AN365)/Constants!$B$28,6))))+MIN(Constants!$B$29,MAX(0,Constants!$B$27*Constants!$B$28*INT(ROUND((Constants!$B$26-$AO365)/Constants!$B$28,6))))+MIN(Constants!$B$29,MAX(0,Constants!$B$27*Constants!$B$28*INT(ROUND((Constants!$B$26-$AP365)/Constants!$B$28,6)))))</f>
        <v/>
      </c>
      <c r="BX365" s="74" t="str">
        <f aca="false">IF($BL365&lt;&gt;Constants!$B$4,"",IF(NOT($AL365),0,Constants!$B$31*INT(ROUND(MAX(0,MIN($BJ365,2*$AH$9)-$AH$9),6))))</f>
        <v/>
      </c>
      <c r="BY365" s="74" t="str">
        <f aca="false">IF($BL365&lt;&gt;Constants!$B$4,"",Constants!$B$32*(($AN365&gt;Constants!$B$26)+($AO365&gt;Constants!$B$26)+($AP365&gt;Constants!$B$26)))</f>
        <v/>
      </c>
      <c r="BZ365" s="74" t="str">
        <f aca="false">IF($BL365&lt;&gt;Constants!$B$4,"",IF(OR(NOT($AL365),$AQ365),0,Constants!$B$33))</f>
        <v/>
      </c>
      <c r="CA365" s="74" t="str">
        <f aca="false">IF($BL365&lt;&gt;Constants!$B$4,"",Constants!$B$34*$BN365)</f>
        <v/>
      </c>
      <c r="CB365" s="74" t="str">
        <f aca="false">IF($BL365&lt;&gt;Constants!$B$4,"",IF(OR(NOT($AL365),$BH365),0,Constants!$B$36))</f>
        <v/>
      </c>
      <c r="CC365" s="74" t="str">
        <f aca="false">IF($BL365&lt;&gt;Constants!$B$4,"",IF(OR(NOT($AL365),$BG365),0,Constants!$B$37))</f>
        <v/>
      </c>
      <c r="CD365" s="74" t="str">
        <f aca="false">IF($BL365&lt;&gt;Constants!$B$4,"",SUM($BX365:$CC365))</f>
        <v/>
      </c>
      <c r="CE365" s="74" t="str">
        <f aca="false">IF(ISBLANK($C365),"",IF($BL365&lt;&gt;Constants!$B$4,$BL365,SUM($BO365:$BW365)-$CD365))</f>
        <v/>
      </c>
      <c r="CF365" s="74" t="str">
        <f aca="false">IF(ISBLANK($C365),"",IF($BL365&lt;&gt;Constants!$B$4,$BL365,RANK($CE365,$CE$9:$CE$508)))</f>
        <v/>
      </c>
      <c r="CG365" s="74" t="str">
        <f aca="false">IF(ISBLANK($C365),"",IF($BL365&lt;&gt;Constants!$B$4,$BL365,COUNTIFS($BM$9:$BM$508,"&lt;"&amp;$BM365)+COUNTIFS($BM$9:$BM$508,$BM365,$CF$9:$CF$508,"&lt;"&amp;$CF365)+1))</f>
        <v/>
      </c>
      <c r="CH365" s="74" t="str">
        <f aca="false">IF(ISBLANK($C365),"",IF($BL365&lt;&gt;Constants!$B$4,$BL365,RANK($CD365,$CD$9:$CD$508,1)))</f>
        <v/>
      </c>
      <c r="CI365" s="74" t="str">
        <f aca="false">IF($BL365&lt;&gt;Constants!$B$4,"",$AN365+$AO365+$AP365)</f>
        <v/>
      </c>
      <c r="CJ365" s="74" t="str">
        <f aca="false">IF(ISBLANK($C365),"",IF($BL365&lt;&gt;Constants!$B$4,$BL365,RANK($CI365,$CI$9:$CI$508,1)))</f>
        <v/>
      </c>
      <c r="CK365" s="74" t="str">
        <f aca="false">IF(ISBLANK($C365),"",IF($BL365&lt;&gt;Constants!$B$4,$BL365,COUNTIFS($BM$9:$BM$508,"&lt;"&amp;$BM365)+COUNTIFS($BM$9:$BM$508,$BM365,$CF$9:$CF$508,"&lt;"&amp;$CF365)+COUNTIFS($BM$9:$BM$508,$BM365,$CF$9:$CF$508,$CF365,$CH$9:$CH$508,"&lt;"&amp;$CH365)+COUNTIFS($BM$9:$BM$508,$BM365,$CF$9:$CF$508,$CF365,$CH$9:$CH$508,$CH365,$CJ$9:$CJ$508,"&lt;"&amp;$CJ365)+1))</f>
        <v/>
      </c>
      <c r="CL365" s="74" t="str">
        <f aca="false">IF(ISBLANK($C365),"",IF($BL365&lt;&gt;Constants!$B$4,$BL365,$CG365-$CK365))</f>
        <v/>
      </c>
      <c r="CM365" s="74" t="str">
        <f aca="false">IF(ISBLANK($C365),"",IF(NOT($AL365),"",IF(ISBLANK($D$7),$CM$5,IF(NOT(ISNUMBER($D$7)),$CM$6,""))))</f>
        <v/>
      </c>
      <c r="CN365" s="74" t="str">
        <f aca="false">IF(ISBLANK($C365),"",OR($AN365="",$AO365="",$AP365=""))</f>
        <v/>
      </c>
      <c r="CO365" s="74" t="str">
        <f aca="false">IF(ISBLANK($C365),"",AND($AL365,$BA365=""))</f>
        <v/>
      </c>
      <c r="CP365" s="74" t="str">
        <f aca="false">IF(ISBLANK($C365),"",AND($AL365,$BB365=""))</f>
        <v/>
      </c>
      <c r="CQ365" s="74" t="str">
        <f aca="false">IF(ISBLANK($C365),"",AND($AL365,$BC365=""))</f>
        <v/>
      </c>
      <c r="CR365" s="74" t="str">
        <f aca="false">IF(ISBLANK($C365),"",AND($AL365,$BF365=""))</f>
        <v/>
      </c>
      <c r="CS365" s="74" t="str">
        <f aca="false">IF(ISBLANK($C365),"",AND($AL365,$BJ365=""))</f>
        <v/>
      </c>
      <c r="CT365" s="75"/>
      <c r="CU365" s="76"/>
      <c r="CV365" s="79" t="str">
        <f aca="false">IF(ISBLANK($C365),"",IF($BL365=Constants!$B$8,$CM365,""))</f>
        <v/>
      </c>
      <c r="CW365" s="76" t="str">
        <f aca="false">IF(ISBLANK($C365),"",IF($BL365&lt;&gt;Constants!$B$4,"",$BO365+$BP365))</f>
        <v/>
      </c>
      <c r="CX365" s="78" t="str">
        <f aca="false">IF(ISBLANK($C365),"",IF($BL365&lt;&gt;Constants!$B$4,"",$BQ365+$BR365+$BS365))</f>
        <v/>
      </c>
      <c r="CY365" s="78" t="str">
        <f aca="false">IF(ISBLANK($C365),"",IF($BL365&lt;&gt;Constants!$B$4,"",$BT365))</f>
        <v/>
      </c>
      <c r="CZ365" s="78" t="str">
        <f aca="false">IF(ISBLANK($C365),"",IF($BL365&lt;&gt;Constants!$B$4,"",$BU365+$BV365))</f>
        <v/>
      </c>
      <c r="DA365" s="78" t="str">
        <f aca="false">IF(ISBLANK($C365),"",IF($BL365&lt;&gt;Constants!$B$4,"",$BW365))</f>
        <v/>
      </c>
      <c r="DB365" s="78" t="str">
        <f aca="false">IF(ISBLANK($C365),"",IF($BL365&lt;&gt;Constants!$B$4,"",-$CD365))</f>
        <v/>
      </c>
      <c r="DC365" s="79" t="str">
        <f aca="false">IF(ISBLANK($C365),"",$CE365)</f>
        <v/>
      </c>
      <c r="DD365" s="80" t="str">
        <f aca="false">IF(ISBLANK($C365),"",$BM365)</f>
        <v/>
      </c>
      <c r="DE365" s="78" t="str">
        <f aca="false">IF(ISBLANK($C365),"",$CL365)</f>
        <v/>
      </c>
      <c r="DF365" s="78" t="str">
        <f aca="false">IF(ISBLANK($C365),"",$CK365)</f>
        <v/>
      </c>
      <c r="DG365" s="81" t="str">
        <f aca="false">IF(ISBLANK($C365),"",IF($DF365=Constants!$B$7,COUNTA($C$9:$C$508)+2,IF($DF365=Constants!$B$6,COUNTA($C$9:$C$508)+1,IF($DF365=Constants!$B$5,COUNTA($C$9:$C$508),$DF365))))</f>
        <v/>
      </c>
      <c r="DH365" s="7"/>
      <c r="DI365" s="82" t="n">
        <f aca="false">IF(OR(ISNUMBER($DF365),$DF365=Constants!$B$7,$DF365=Constants!$B$5,$DF365=Constants!$B$6),1,0)</f>
        <v>0</v>
      </c>
      <c r="DJ365" s="82" t="n">
        <v>357</v>
      </c>
      <c r="DK365" s="82" t="str">
        <f aca="false">IF(ISBLANK($C365),"",IF(ISNUMBER($DG365),$DG365+ROW($B365)/1000,""))</f>
        <v/>
      </c>
      <c r="DL365" s="82" t="str">
        <f aca="false">IF(ISNUMBER($DK365),RANK($DK365,$DK$9:$DK$508,1),"")</f>
        <v/>
      </c>
      <c r="DM365" s="82" t="str">
        <f aca="false">IF(ISBLANK($C365),"",$B365)</f>
        <v/>
      </c>
      <c r="DN365" s="82" t="str">
        <f aca="false">IF(ISBLANK($C365),"",$C365)</f>
        <v/>
      </c>
      <c r="DO365" s="82" t="str">
        <f aca="false">IF(ISBLANK($C365),"",$D365)</f>
        <v/>
      </c>
      <c r="DP365" s="83" t="str">
        <f aca="false">$DD365</f>
        <v/>
      </c>
      <c r="DQ365" s="84" t="str">
        <f aca="false">$DC365</f>
        <v/>
      </c>
      <c r="DR365" s="82" t="str">
        <f aca="false">IF(ISBLANK($C365),"",$DF365)</f>
        <v/>
      </c>
      <c r="DS365" s="85" t="str">
        <f aca="false">IF($DJ365&gt;$DI$8,"",VLOOKUP($DJ365,$DL$9:$DR$508,7,FALSE()))</f>
        <v/>
      </c>
      <c r="DT365" s="86" t="str">
        <f aca="false">IF($DJ365&gt;$DI$8,"",VLOOKUP($DJ365,$DL$9:$DR$508,2,FALSE()))</f>
        <v/>
      </c>
      <c r="DU365" s="86" t="str">
        <f aca="false">IF($DJ365&gt;$DI$8,"",VLOOKUP($DJ365,$DL$9:$DR$508,3,FALSE()))</f>
        <v/>
      </c>
      <c r="DV365" s="86" t="str">
        <f aca="false">IF($DJ365&gt;$DI$8,"",VLOOKUP($DJ365,$DL$9:$DR$508,4,FALSE()))</f>
        <v/>
      </c>
      <c r="DW365" s="86" t="str">
        <f aca="false">IF($DJ365&gt;$DI$8,"",VLOOKUP($DJ365,$DL$9:$DR$508,5,FALSE()))</f>
        <v/>
      </c>
      <c r="DX365" s="87" t="str">
        <f aca="false">IF($DJ365&gt;$DI$8,"",VLOOKUP($DJ365,$DL$9:$DR$508,6,FALSE()))</f>
        <v/>
      </c>
      <c r="DY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130"/>
      <c r="N366" s="130"/>
      <c r="O366" s="135"/>
      <c r="P366" s="135"/>
      <c r="Q366" s="130"/>
      <c r="R366" s="130"/>
      <c r="S366" s="130"/>
      <c r="T366" s="130"/>
      <c r="U366" s="135"/>
      <c r="V366" s="130"/>
      <c r="W366" s="96"/>
      <c r="X366" s="130"/>
      <c r="Y366" s="130"/>
      <c r="Z366" s="96"/>
      <c r="AA366" s="96"/>
      <c r="AB366" s="130"/>
      <c r="AC366" s="130"/>
      <c r="AD366" s="130"/>
      <c r="AE366" s="97"/>
      <c r="AF366" s="130"/>
      <c r="AG366" s="99"/>
      <c r="AH366" s="100"/>
      <c r="AI366" s="100"/>
      <c r="AJ366" s="100" t="str">
        <f aca="false">IF(ISBLANK($C366),"",IF($E366=Constants!$B$2,TRUE(),IF($E366=Constants!$B$3,FALSE(),TRUE())))</f>
        <v/>
      </c>
      <c r="AK366" s="100" t="str">
        <f aca="false">IF(ISBLANK($C366),"",IF($F366=Constants!$B$2,TRUE(),IF($F366=Constants!$B$3,FALSE(),FALSE())))</f>
        <v/>
      </c>
      <c r="AL366" s="100" t="str">
        <f aca="false">IF(ISBLANK($C366),"",IF($G366=Constants!$B$2,TRUE(),IF($G366=Constants!$B$3,FALSE(),TRUE())))</f>
        <v/>
      </c>
      <c r="AM366" s="100" t="str">
        <f aca="false">IF(ISBLANK($C366),"",IF($H366=Constants!$B$2,TRUE(),IF($H366=Constants!$B$3,FALSE(),TRUE())))</f>
        <v/>
      </c>
      <c r="AN366" s="100" t="str">
        <f aca="false">IF(ISBLANK($C366),"",IF(ISNUMBER($I366),IF($I366&gt;=0,$I366,""),""))</f>
        <v/>
      </c>
      <c r="AO366" s="100" t="str">
        <f aca="false">IF(ISBLANK($C366),"",IF(ISNUMBER($J366),IF($J366&gt;=0,$J366,""),""))</f>
        <v/>
      </c>
      <c r="AP366" s="100" t="str">
        <f aca="false">IF(ISBLANK($C366),"",IF(ISNUMBER($K366),IF($K366&gt;=0,$K366,""),""))</f>
        <v/>
      </c>
      <c r="AQ366" s="100" t="str">
        <f aca="false">IF(ISBLANK($C366),"",IF($L366=Constants!$B$2,TRUE(),IF($L366=Constants!$B$3,FALSE(),TRUE())))</f>
        <v/>
      </c>
      <c r="AR366" s="100" t="str">
        <f aca="false">IF(ISBLANK($C366),"",IF($M366=Constants!$B$2,TRUE(),IF($M366=Constants!$B$3,FALSE(),TRUE())))</f>
        <v/>
      </c>
      <c r="AS366" s="100" t="str">
        <f aca="false">IF(ISBLANK($C366),"",IF($N366=Constants!$B$2,TRUE(),IF($N366=Constants!$B$3,FALSE(),FALSE())))</f>
        <v/>
      </c>
      <c r="AT366" s="100" t="str">
        <f aca="false">IF(ISBLANK($C366),"",IF($O366=Constants!$B$2,TRUE(),IF($O366=Constants!$B$3,FALSE(),TRUE())))</f>
        <v/>
      </c>
      <c r="AU366" s="100" t="str">
        <f aca="false">IF(ISBLANK($C366),"",IF($P366=Constants!$B$2,TRUE(),IF($P366=Constants!$B$3,FALSE(),TRUE())))</f>
        <v/>
      </c>
      <c r="AV366" s="100" t="str">
        <f aca="false">IF(ISBLANK($C366),"",IF($Q366=Constants!$B$2,TRUE(),IF($Q366=Constants!$B$3,FALSE(),FALSE())))</f>
        <v/>
      </c>
      <c r="AW366" s="100" t="str">
        <f aca="false">IF(ISBLANK($C366),"",IF($R366=Constants!$B$2,TRUE(),IF($R366=Constants!$B$3,FALSE(),FALSE())))</f>
        <v/>
      </c>
      <c r="AX366" s="100" t="str">
        <f aca="false">IF(ISBLANK($C366),"",IF($S366=Constants!$B$2,TRUE(),IF($S366=Constants!$B$3,FALSE(),FALSE())))</f>
        <v/>
      </c>
      <c r="AY366" s="100" t="str">
        <f aca="false">IF(ISBLANK($C366),"",IF($T366=Constants!$B$2,TRUE(),IF($T366=Constants!$B$3,FALSE(),FALSE())))</f>
        <v/>
      </c>
      <c r="AZ366" s="100" t="str">
        <f aca="false">IF(ISBLANK($C366),"",IF($U366=Constants!$B$2,TRUE(),IF($U366=Constants!$B$3,FALSE(),FALSE())))</f>
        <v/>
      </c>
      <c r="BA366" s="100" t="str">
        <f aca="false">IF(ISBLANK($C366),"",IF(OR($V366&amp;""="1",$V366&amp;""="2",$V366&amp;""="3",$V366&amp;""="4"),VALUE($V366&amp;""),IF($V366=Constants!$B$12,Constants!$B$12,"")))</f>
        <v/>
      </c>
      <c r="BB366" s="100" t="str">
        <f aca="false">IF(ISBLANK($C366),"",IF(ISBLANK($W366),0,IF(ISNUMBER($W366),IF(AND($W366&gt;=0,$W366&lt;=Constants!$B$21,$W366=INT($W366)),$W366,""),"")))</f>
        <v/>
      </c>
      <c r="BC366" s="100" t="str">
        <f aca="false">IF(ISBLANK($C366),"",IF(ISBLANK($X366),0,IF(ISNUMBER($X366),IF($X366&gt;=0,$X366,""),"")))</f>
        <v/>
      </c>
      <c r="BD366" s="100" t="str">
        <f aca="false">IF(ISBLANK($C366),"",IF($Y366=Constants!$B$2,TRUE(),IF($Y366=Constants!$B$3,FALSE(),TRUE())))</f>
        <v/>
      </c>
      <c r="BE366" s="100" t="str">
        <f aca="false">IF(ISBLANK($C366),"",IF($Z366=Constants!$B$2,TRUE(),IF($Z366=Constants!$B$3,FALSE(),FALSE())))</f>
        <v/>
      </c>
      <c r="BF366" s="100" t="str">
        <f aca="false">IF(ISBLANK($C366),"",IF(ISBLANK($AA366),0,IF(ISNUMBER($AA366),IF(AND($AA366&gt;=0,$AA366&lt;=Constants!$B$35,$AA366=INT($AA366)),$AA366,""),"")))</f>
        <v/>
      </c>
      <c r="BG366" s="100" t="str">
        <f aca="false">IF(ISBLANK($C366),"",IF($AB366=Constants!$B$2,TRUE(),IF($AB366=Constants!$B$3,FALSE(),TRUE())))</f>
        <v/>
      </c>
      <c r="BH366" s="100" t="str">
        <f aca="false">IF(ISBLANK($C366),"",IF($AC366=Constants!$B$2,TRUE(),IF($AC366=Constants!$B$3,FALSE(),TRUE())))</f>
        <v/>
      </c>
      <c r="BI366" s="100" t="str">
        <f aca="false">IF(ISBLANK($C366),"",IF($AD366=Constants!$B$2,TRUE(),IF($AD366=Constants!$B$3,FALSE(),TRUE())))</f>
        <v/>
      </c>
      <c r="BJ366" s="100" t="str">
        <f aca="false">IF(ISBLANK($C366),"",IF(ISNUMBER($AE366),IF($AE366&gt;=0,$AE366,""),""))</f>
        <v/>
      </c>
      <c r="BK366" s="100" t="str">
        <f aca="false">IF(ISBLANK($C366),"",IF($AF366=Constants!$B$2,TRUE(),IF($AF366=Constants!$B$3,FALSE(),FALSE())))</f>
        <v/>
      </c>
      <c r="BL366" s="99" t="str">
        <f aca="false">IF(ISBLANK($C366),"",IF($BK366,Constants!$B$7,IF(COUNTA($E366:$AE366)=0,Constants!$B$6,IF(OR(COUNTA($G366:$AE366)=0,NOT($AM366),$AS366),Constants!$B$5,IF(OR($CM366&lt;&gt;"",$CN366,$CO366,$CP366,$CQ366,$CR366,$CS366),Constants!$B$8,Constants!$B$4)))))</f>
        <v/>
      </c>
      <c r="BM366" s="100" t="str">
        <f aca="false">IF(ISBLANK($C366),"",IF($BL366&lt;&gt;Constants!$B$4,$BL366,IF(OR(NOT($AJ366),NOT($AL366),NOT($AT366)),Constants!$B$11,IF(OR(NOT($AR366),NOT($AU366),NOT($BI366),MAX($AN366,$AO366,$AP366)&gt;Constants!$B$30),Constants!$B$10,Constants!$B$9))))</f>
        <v/>
      </c>
      <c r="BN366" s="100" t="str">
        <f aca="false">IF($BL366&lt;&gt;Constants!$B$4,"",IF(NOT($AL366),0,MIN(Constants!$B$35,$BF366)))</f>
        <v/>
      </c>
      <c r="BO366" s="100" t="str">
        <f aca="false">IF($BL366&lt;&gt;Constants!$B$4,"",IF(NOT($AL366),0,IF($AW366,Constants!$B$18,IF($AV366,Constants!$B$17,0))))</f>
        <v/>
      </c>
      <c r="BP366" s="100" t="str">
        <f aca="false">IF($BL366&lt;&gt;Constants!$B$4,"",IF(NOT($AL366),0,Constants!$B$19*($AK366+$AX366+$AY366+$AZ366)))</f>
        <v/>
      </c>
      <c r="BQ366" s="100" t="str">
        <f aca="false">IF($BL366&lt;&gt;Constants!$B$4,"",IF(OR(NOT($AL366),NOT(ISNUMBER($BA366))),0,CHOOSE($BA366,Constants!$B$13,Constants!$B$14,Constants!$B$15,Constants!$B$16)))</f>
        <v/>
      </c>
      <c r="BR366" s="100" t="str">
        <f aca="false">IF($BL366&lt;&gt;Constants!$B$4,"",IF(NOT($AL366),0,Constants!$B$20*$BB366))</f>
        <v/>
      </c>
      <c r="BS366" s="100" t="str">
        <f aca="false">IF($BL366&lt;&gt;Constants!$B$4,"",IF(AND($AL366,$BD366,$BE366),Constants!$B$22,0))</f>
        <v/>
      </c>
      <c r="BT366" s="100" t="str">
        <f aca="false">IF($BL366&lt;&gt;Constants!$B$4,"",IF(OR(NOT($AL366),NOT($BD366)),0,IF($BJ366&gt;=2*$AH$9,0,Constants!$B$23*INT(ROUND(MIN($BJ366,$AH$9),6)))))</f>
        <v/>
      </c>
      <c r="BU366" s="100" t="str">
        <f aca="false">IF($BL366&lt;&gt;Constants!$B$4,"",IF(NOT($AL366),0,Constants!$B$24*INT(ROUND(MIN($BC366,$AH$9),6))))</f>
        <v/>
      </c>
      <c r="BV366" s="100" t="str">
        <f aca="false">IF($BL366&lt;&gt;Constants!$B$4,"",IF(AND($AL366,$BN366=0),Constants!$B$25,0))</f>
        <v/>
      </c>
      <c r="BW366" s="100" t="str">
        <f aca="false">IF($BL366&lt;&gt;Constants!$B$4,"",MIN(Constants!$B$29,MAX(0,Constants!$B$27*Constants!$B$28*INT(ROUND((Constants!$B$26-$AN366)/Constants!$B$28,6))))+MIN(Constants!$B$29,MAX(0,Constants!$B$27*Constants!$B$28*INT(ROUND((Constants!$B$26-$AO366)/Constants!$B$28,6))))+MIN(Constants!$B$29,MAX(0,Constants!$B$27*Constants!$B$28*INT(ROUND((Constants!$B$26-$AP366)/Constants!$B$28,6)))))</f>
        <v/>
      </c>
      <c r="BX366" s="100" t="str">
        <f aca="false">IF($BL366&lt;&gt;Constants!$B$4,"",IF(NOT($AL366),0,Constants!$B$31*INT(ROUND(MAX(0,MIN($BJ366,2*$AH$9)-$AH$9),6))))</f>
        <v/>
      </c>
      <c r="BY366" s="100" t="str">
        <f aca="false">IF($BL366&lt;&gt;Constants!$B$4,"",Constants!$B$32*(($AN366&gt;Constants!$B$26)+($AO366&gt;Constants!$B$26)+($AP366&gt;Constants!$B$26)))</f>
        <v/>
      </c>
      <c r="BZ366" s="100" t="str">
        <f aca="false">IF($BL366&lt;&gt;Constants!$B$4,"",IF(OR(NOT($AL366),$AQ366),0,Constants!$B$33))</f>
        <v/>
      </c>
      <c r="CA366" s="100" t="str">
        <f aca="false">IF($BL366&lt;&gt;Constants!$B$4,"",Constants!$B$34*$BN366)</f>
        <v/>
      </c>
      <c r="CB366" s="100" t="str">
        <f aca="false">IF($BL366&lt;&gt;Constants!$B$4,"",IF(OR(NOT($AL366),$BH366),0,Constants!$B$36))</f>
        <v/>
      </c>
      <c r="CC366" s="100" t="str">
        <f aca="false">IF($BL366&lt;&gt;Constants!$B$4,"",IF(OR(NOT($AL366),$BG366),0,Constants!$B$37))</f>
        <v/>
      </c>
      <c r="CD366" s="100" t="str">
        <f aca="false">IF($BL366&lt;&gt;Constants!$B$4,"",SUM($BX366:$CC366))</f>
        <v/>
      </c>
      <c r="CE366" s="100" t="str">
        <f aca="false">IF(ISBLANK($C366),"",IF($BL366&lt;&gt;Constants!$B$4,$BL366,SUM($BO366:$BW366)-$CD366))</f>
        <v/>
      </c>
      <c r="CF366" s="100" t="str">
        <f aca="false">IF(ISBLANK($C366),"",IF($BL366&lt;&gt;Constants!$B$4,$BL366,RANK($CE366,$CE$9:$CE$508)))</f>
        <v/>
      </c>
      <c r="CG366" s="100" t="str">
        <f aca="false">IF(ISBLANK($C366),"",IF($BL366&lt;&gt;Constants!$B$4,$BL366,COUNTIFS($BM$9:$BM$508,"&lt;"&amp;$BM366)+COUNTIFS($BM$9:$BM$508,$BM366,$CF$9:$CF$508,"&lt;"&amp;$CF366)+1))</f>
        <v/>
      </c>
      <c r="CH366" s="100" t="str">
        <f aca="false">IF(ISBLANK($C366),"",IF($BL366&lt;&gt;Constants!$B$4,$BL366,RANK($CD366,$CD$9:$CD$508,1)))</f>
        <v/>
      </c>
      <c r="CI366" s="100" t="str">
        <f aca="false">IF($BL366&lt;&gt;Constants!$B$4,"",$AN366+$AO366+$AP366)</f>
        <v/>
      </c>
      <c r="CJ366" s="100" t="str">
        <f aca="false">IF(ISBLANK($C366),"",IF($BL366&lt;&gt;Constants!$B$4,$BL366,RANK($CI366,$CI$9:$CI$508,1)))</f>
        <v/>
      </c>
      <c r="CK366" s="100" t="str">
        <f aca="false">IF(ISBLANK($C366),"",IF($BL366&lt;&gt;Constants!$B$4,$BL366,COUNTIFS($BM$9:$BM$508,"&lt;"&amp;$BM366)+COUNTIFS($BM$9:$BM$508,$BM366,$CF$9:$CF$508,"&lt;"&amp;$CF366)+COUNTIFS($BM$9:$BM$508,$BM366,$CF$9:$CF$508,$CF366,$CH$9:$CH$508,"&lt;"&amp;$CH366)+COUNTIFS($BM$9:$BM$508,$BM366,$CF$9:$CF$508,$CF366,$CH$9:$CH$508,$CH366,$CJ$9:$CJ$508,"&lt;"&amp;$CJ366)+1))</f>
        <v/>
      </c>
      <c r="CL366" s="100" t="str">
        <f aca="false">IF(ISBLANK($C366),"",IF($BL366&lt;&gt;Constants!$B$4,$BL366,$CG366-$CK366))</f>
        <v/>
      </c>
      <c r="CM366" s="100" t="str">
        <f aca="false">IF(ISBLANK($C366),"",IF(NOT($AL366),"",IF(ISBLANK($D$7),$CM$5,IF(NOT(ISNUMBER($D$7)),$CM$6,""))))</f>
        <v/>
      </c>
      <c r="CN366" s="100" t="str">
        <f aca="false">IF(ISBLANK($C366),"",OR($AN366="",$AO366="",$AP366=""))</f>
        <v/>
      </c>
      <c r="CO366" s="100" t="str">
        <f aca="false">IF(ISBLANK($C366),"",AND($AL366,$BA366=""))</f>
        <v/>
      </c>
      <c r="CP366" s="100" t="str">
        <f aca="false">IF(ISBLANK($C366),"",AND($AL366,$BB366=""))</f>
        <v/>
      </c>
      <c r="CQ366" s="100" t="str">
        <f aca="false">IF(ISBLANK($C366),"",AND($AL366,$BC366=""))</f>
        <v/>
      </c>
      <c r="CR366" s="100" t="str">
        <f aca="false">IF(ISBLANK($C366),"",AND($AL366,$BF366=""))</f>
        <v/>
      </c>
      <c r="CS366" s="100" t="str">
        <f aca="false">IF(ISBLANK($C366),"",AND($AL366,$BJ366=""))</f>
        <v/>
      </c>
      <c r="CT366" s="101"/>
      <c r="CU366" s="102"/>
      <c r="CV366" s="103" t="str">
        <f aca="false">IF(ISBLANK($C366),"",IF($BL366=Constants!$B$8,$CM366,""))</f>
        <v/>
      </c>
      <c r="CW366" s="102" t="str">
        <f aca="false">IF(ISBLANK($C366),"",IF($BL366&lt;&gt;Constants!$B$4,"",$BO366+$BP366))</f>
        <v/>
      </c>
      <c r="CX366" s="104" t="str">
        <f aca="false">IF(ISBLANK($C366),"",IF($BL366&lt;&gt;Constants!$B$4,"",$BQ366+$BR366+$BS366))</f>
        <v/>
      </c>
      <c r="CY366" s="104" t="str">
        <f aca="false">IF(ISBLANK($C366),"",IF($BL366&lt;&gt;Constants!$B$4,"",$BT366))</f>
        <v/>
      </c>
      <c r="CZ366" s="104" t="str">
        <f aca="false">IF(ISBLANK($C366),"",IF($BL366&lt;&gt;Constants!$B$4,"",$BU366+$BV366))</f>
        <v/>
      </c>
      <c r="DA366" s="104" t="str">
        <f aca="false">IF(ISBLANK($C366),"",IF($BL366&lt;&gt;Constants!$B$4,"",$BW366))</f>
        <v/>
      </c>
      <c r="DB366" s="104" t="str">
        <f aca="false">IF(ISBLANK($C366),"",IF($BL366&lt;&gt;Constants!$B$4,"",-$CD366))</f>
        <v/>
      </c>
      <c r="DC366" s="103" t="str">
        <f aca="false">IF(ISBLANK($C366),"",$CE366)</f>
        <v/>
      </c>
      <c r="DD366" s="105" t="str">
        <f aca="false">IF(ISBLANK($C366),"",$BM366)</f>
        <v/>
      </c>
      <c r="DE366" s="104" t="str">
        <f aca="false">IF(ISBLANK($C366),"",$CL366)</f>
        <v/>
      </c>
      <c r="DF366" s="104" t="str">
        <f aca="false">IF(ISBLANK($C366),"",$CK366)</f>
        <v/>
      </c>
      <c r="DG366" s="106" t="str">
        <f aca="false">IF(ISBLANK($C366),"",IF($DF366=Constants!$B$7,COUNTA($C$9:$C$508)+2,IF($DF366=Constants!$B$6,COUNTA($C$9:$C$508)+1,IF($DF366=Constants!$B$5,COUNTA($C$9:$C$508),$DF366))))</f>
        <v/>
      </c>
      <c r="DH366" s="7"/>
      <c r="DI366" s="107" t="n">
        <f aca="false">IF(OR(ISNUMBER($DF366),$DF366=Constants!$B$7,$DF366=Constants!$B$5,$DF366=Constants!$B$6),1,0)</f>
        <v>0</v>
      </c>
      <c r="DJ366" s="107" t="n">
        <v>358</v>
      </c>
      <c r="DK366" s="107" t="str">
        <f aca="false">IF(ISBLANK($C366),"",IF(ISNUMBER($DG366),$DG366+ROW($B366)/1000,""))</f>
        <v/>
      </c>
      <c r="DL366" s="107" t="str">
        <f aca="false">IF(ISNUMBER($DK366),RANK($DK366,$DK$9:$DK$508,1),"")</f>
        <v/>
      </c>
      <c r="DM366" s="107" t="str">
        <f aca="false">IF(ISBLANK($C366),"",$B366)</f>
        <v/>
      </c>
      <c r="DN366" s="107" t="str">
        <f aca="false">IF(ISBLANK($C366),"",$C366)</f>
        <v/>
      </c>
      <c r="DO366" s="107" t="str">
        <f aca="false">IF(ISBLANK($C366),"",$D366)</f>
        <v/>
      </c>
      <c r="DP366" s="108" t="str">
        <f aca="false">$DD366</f>
        <v/>
      </c>
      <c r="DQ366" s="109" t="str">
        <f aca="false">$DC366</f>
        <v/>
      </c>
      <c r="DR366" s="107" t="str">
        <f aca="false">IF(ISBLANK($C366),"",$DF366)</f>
        <v/>
      </c>
      <c r="DS366" s="110" t="str">
        <f aca="false">IF($DJ366&gt;$DI$8,"",VLOOKUP($DJ366,$DL$9:$DR$508,7,FALSE()))</f>
        <v/>
      </c>
      <c r="DT366" s="111" t="str">
        <f aca="false">IF($DJ366&gt;$DI$8,"",VLOOKUP($DJ366,$DL$9:$DR$508,2,FALSE()))</f>
        <v/>
      </c>
      <c r="DU366" s="111" t="str">
        <f aca="false">IF($DJ366&gt;$DI$8,"",VLOOKUP($DJ366,$DL$9:$DR$508,3,FALSE()))</f>
        <v/>
      </c>
      <c r="DV366" s="111" t="str">
        <f aca="false">IF($DJ366&gt;$DI$8,"",VLOOKUP($DJ366,$DL$9:$DR$508,4,FALSE()))</f>
        <v/>
      </c>
      <c r="DW366" s="111" t="str">
        <f aca="false">IF($DJ366&gt;$DI$8,"",VLOOKUP($DJ366,$DL$9:$DR$508,5,FALSE()))</f>
        <v/>
      </c>
      <c r="DX366" s="112" t="str">
        <f aca="false">IF($DJ366&gt;$DI$8,"",VLOOKUP($DJ366,$DL$9:$DR$508,6,FALSE()))</f>
        <v/>
      </c>
      <c r="DY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130"/>
      <c r="N367" s="130"/>
      <c r="O367" s="135"/>
      <c r="P367" s="135"/>
      <c r="Q367" s="130"/>
      <c r="R367" s="130"/>
      <c r="S367" s="130"/>
      <c r="T367" s="130"/>
      <c r="U367" s="135"/>
      <c r="V367" s="130"/>
      <c r="W367" s="96"/>
      <c r="X367" s="130"/>
      <c r="Y367" s="130"/>
      <c r="Z367" s="96"/>
      <c r="AA367" s="96"/>
      <c r="AB367" s="130"/>
      <c r="AC367" s="130"/>
      <c r="AD367" s="130"/>
      <c r="AE367" s="97"/>
      <c r="AF367" s="130"/>
      <c r="AG367" s="99"/>
      <c r="AH367" s="100"/>
      <c r="AI367" s="100"/>
      <c r="AJ367" s="100" t="str">
        <f aca="false">IF(ISBLANK($C367),"",IF($E367=Constants!$B$2,TRUE(),IF($E367=Constants!$B$3,FALSE(),TRUE())))</f>
        <v/>
      </c>
      <c r="AK367" s="100" t="str">
        <f aca="false">IF(ISBLANK($C367),"",IF($F367=Constants!$B$2,TRUE(),IF($F367=Constants!$B$3,FALSE(),FALSE())))</f>
        <v/>
      </c>
      <c r="AL367" s="100" t="str">
        <f aca="false">IF(ISBLANK($C367),"",IF($G367=Constants!$B$2,TRUE(),IF($G367=Constants!$B$3,FALSE(),TRUE())))</f>
        <v/>
      </c>
      <c r="AM367" s="100" t="str">
        <f aca="false">IF(ISBLANK($C367),"",IF($H367=Constants!$B$2,TRUE(),IF($H367=Constants!$B$3,FALSE(),TRUE())))</f>
        <v/>
      </c>
      <c r="AN367" s="100" t="str">
        <f aca="false">IF(ISBLANK($C367),"",IF(ISNUMBER($I367),IF($I367&gt;=0,$I367,""),""))</f>
        <v/>
      </c>
      <c r="AO367" s="100" t="str">
        <f aca="false">IF(ISBLANK($C367),"",IF(ISNUMBER($J367),IF($J367&gt;=0,$J367,""),""))</f>
        <v/>
      </c>
      <c r="AP367" s="100" t="str">
        <f aca="false">IF(ISBLANK($C367),"",IF(ISNUMBER($K367),IF($K367&gt;=0,$K367,""),""))</f>
        <v/>
      </c>
      <c r="AQ367" s="100" t="str">
        <f aca="false">IF(ISBLANK($C367),"",IF($L367=Constants!$B$2,TRUE(),IF($L367=Constants!$B$3,FALSE(),TRUE())))</f>
        <v/>
      </c>
      <c r="AR367" s="100" t="str">
        <f aca="false">IF(ISBLANK($C367),"",IF($M367=Constants!$B$2,TRUE(),IF($M367=Constants!$B$3,FALSE(),TRUE())))</f>
        <v/>
      </c>
      <c r="AS367" s="100" t="str">
        <f aca="false">IF(ISBLANK($C367),"",IF($N367=Constants!$B$2,TRUE(),IF($N367=Constants!$B$3,FALSE(),FALSE())))</f>
        <v/>
      </c>
      <c r="AT367" s="100" t="str">
        <f aca="false">IF(ISBLANK($C367),"",IF($O367=Constants!$B$2,TRUE(),IF($O367=Constants!$B$3,FALSE(),TRUE())))</f>
        <v/>
      </c>
      <c r="AU367" s="100" t="str">
        <f aca="false">IF(ISBLANK($C367),"",IF($P367=Constants!$B$2,TRUE(),IF($P367=Constants!$B$3,FALSE(),TRUE())))</f>
        <v/>
      </c>
      <c r="AV367" s="100" t="str">
        <f aca="false">IF(ISBLANK($C367),"",IF($Q367=Constants!$B$2,TRUE(),IF($Q367=Constants!$B$3,FALSE(),FALSE())))</f>
        <v/>
      </c>
      <c r="AW367" s="100" t="str">
        <f aca="false">IF(ISBLANK($C367),"",IF($R367=Constants!$B$2,TRUE(),IF($R367=Constants!$B$3,FALSE(),FALSE())))</f>
        <v/>
      </c>
      <c r="AX367" s="100" t="str">
        <f aca="false">IF(ISBLANK($C367),"",IF($S367=Constants!$B$2,TRUE(),IF($S367=Constants!$B$3,FALSE(),FALSE())))</f>
        <v/>
      </c>
      <c r="AY367" s="100" t="str">
        <f aca="false">IF(ISBLANK($C367),"",IF($T367=Constants!$B$2,TRUE(),IF($T367=Constants!$B$3,FALSE(),FALSE())))</f>
        <v/>
      </c>
      <c r="AZ367" s="100" t="str">
        <f aca="false">IF(ISBLANK($C367),"",IF($U367=Constants!$B$2,TRUE(),IF($U367=Constants!$B$3,FALSE(),FALSE())))</f>
        <v/>
      </c>
      <c r="BA367" s="100" t="str">
        <f aca="false">IF(ISBLANK($C367),"",IF(OR($V367&amp;""="1",$V367&amp;""="2",$V367&amp;""="3",$V367&amp;""="4"),VALUE($V367&amp;""),IF($V367=Constants!$B$12,Constants!$B$12,"")))</f>
        <v/>
      </c>
      <c r="BB367" s="100" t="str">
        <f aca="false">IF(ISBLANK($C367),"",IF(ISBLANK($W367),0,IF(ISNUMBER($W367),IF(AND($W367&gt;=0,$W367&lt;=Constants!$B$21,$W367=INT($W367)),$W367,""),"")))</f>
        <v/>
      </c>
      <c r="BC367" s="100" t="str">
        <f aca="false">IF(ISBLANK($C367),"",IF(ISBLANK($X367),0,IF(ISNUMBER($X367),IF($X367&gt;=0,$X367,""),"")))</f>
        <v/>
      </c>
      <c r="BD367" s="100" t="str">
        <f aca="false">IF(ISBLANK($C367),"",IF($Y367=Constants!$B$2,TRUE(),IF($Y367=Constants!$B$3,FALSE(),TRUE())))</f>
        <v/>
      </c>
      <c r="BE367" s="100" t="str">
        <f aca="false">IF(ISBLANK($C367),"",IF($Z367=Constants!$B$2,TRUE(),IF($Z367=Constants!$B$3,FALSE(),FALSE())))</f>
        <v/>
      </c>
      <c r="BF367" s="100" t="str">
        <f aca="false">IF(ISBLANK($C367),"",IF(ISBLANK($AA367),0,IF(ISNUMBER($AA367),IF(AND($AA367&gt;=0,$AA367&lt;=Constants!$B$35,$AA367=INT($AA367)),$AA367,""),"")))</f>
        <v/>
      </c>
      <c r="BG367" s="100" t="str">
        <f aca="false">IF(ISBLANK($C367),"",IF($AB367=Constants!$B$2,TRUE(),IF($AB367=Constants!$B$3,FALSE(),TRUE())))</f>
        <v/>
      </c>
      <c r="BH367" s="100" t="str">
        <f aca="false">IF(ISBLANK($C367),"",IF($AC367=Constants!$B$2,TRUE(),IF($AC367=Constants!$B$3,FALSE(),TRUE())))</f>
        <v/>
      </c>
      <c r="BI367" s="100" t="str">
        <f aca="false">IF(ISBLANK($C367),"",IF($AD367=Constants!$B$2,TRUE(),IF($AD367=Constants!$B$3,FALSE(),TRUE())))</f>
        <v/>
      </c>
      <c r="BJ367" s="100" t="str">
        <f aca="false">IF(ISBLANK($C367),"",IF(ISNUMBER($AE367),IF($AE367&gt;=0,$AE367,""),""))</f>
        <v/>
      </c>
      <c r="BK367" s="100" t="str">
        <f aca="false">IF(ISBLANK($C367),"",IF($AF367=Constants!$B$2,TRUE(),IF($AF367=Constants!$B$3,FALSE(),FALSE())))</f>
        <v/>
      </c>
      <c r="BL367" s="99" t="str">
        <f aca="false">IF(ISBLANK($C367),"",IF($BK367,Constants!$B$7,IF(COUNTA($E367:$AE367)=0,Constants!$B$6,IF(OR(COUNTA($G367:$AE367)=0,NOT($AM367),$AS367),Constants!$B$5,IF(OR($CM367&lt;&gt;"",$CN367,$CO367,$CP367,$CQ367,$CR367,$CS367),Constants!$B$8,Constants!$B$4)))))</f>
        <v/>
      </c>
      <c r="BM367" s="100" t="str">
        <f aca="false">IF(ISBLANK($C367),"",IF($BL367&lt;&gt;Constants!$B$4,$BL367,IF(OR(NOT($AJ367),NOT($AL367),NOT($AT367)),Constants!$B$11,IF(OR(NOT($AR367),NOT($AU367),NOT($BI367),MAX($AN367,$AO367,$AP367)&gt;Constants!$B$30),Constants!$B$10,Constants!$B$9))))</f>
        <v/>
      </c>
      <c r="BN367" s="100" t="str">
        <f aca="false">IF($BL367&lt;&gt;Constants!$B$4,"",IF(NOT($AL367),0,MIN(Constants!$B$35,$BF367)))</f>
        <v/>
      </c>
      <c r="BO367" s="100" t="str">
        <f aca="false">IF($BL367&lt;&gt;Constants!$B$4,"",IF(NOT($AL367),0,IF($AW367,Constants!$B$18,IF($AV367,Constants!$B$17,0))))</f>
        <v/>
      </c>
      <c r="BP367" s="100" t="str">
        <f aca="false">IF($BL367&lt;&gt;Constants!$B$4,"",IF(NOT($AL367),0,Constants!$B$19*($AK367+$AX367+$AY367+$AZ367)))</f>
        <v/>
      </c>
      <c r="BQ367" s="100" t="str">
        <f aca="false">IF($BL367&lt;&gt;Constants!$B$4,"",IF(OR(NOT($AL367),NOT(ISNUMBER($BA367))),0,CHOOSE($BA367,Constants!$B$13,Constants!$B$14,Constants!$B$15,Constants!$B$16)))</f>
        <v/>
      </c>
      <c r="BR367" s="100" t="str">
        <f aca="false">IF($BL367&lt;&gt;Constants!$B$4,"",IF(NOT($AL367),0,Constants!$B$20*$BB367))</f>
        <v/>
      </c>
      <c r="BS367" s="100" t="str">
        <f aca="false">IF($BL367&lt;&gt;Constants!$B$4,"",IF(AND($AL367,$BD367,$BE367),Constants!$B$22,0))</f>
        <v/>
      </c>
      <c r="BT367" s="100" t="str">
        <f aca="false">IF($BL367&lt;&gt;Constants!$B$4,"",IF(OR(NOT($AL367),NOT($BD367)),0,IF($BJ367&gt;=2*$AH$9,0,Constants!$B$23*INT(ROUND(MIN($BJ367,$AH$9),6)))))</f>
        <v/>
      </c>
      <c r="BU367" s="100" t="str">
        <f aca="false">IF($BL367&lt;&gt;Constants!$B$4,"",IF(NOT($AL367),0,Constants!$B$24*INT(ROUND(MIN($BC367,$AH$9),6))))</f>
        <v/>
      </c>
      <c r="BV367" s="100" t="str">
        <f aca="false">IF($BL367&lt;&gt;Constants!$B$4,"",IF(AND($AL367,$BN367=0),Constants!$B$25,0))</f>
        <v/>
      </c>
      <c r="BW367" s="100" t="str">
        <f aca="false">IF($BL367&lt;&gt;Constants!$B$4,"",MIN(Constants!$B$29,MAX(0,Constants!$B$27*Constants!$B$28*INT(ROUND((Constants!$B$26-$AN367)/Constants!$B$28,6))))+MIN(Constants!$B$29,MAX(0,Constants!$B$27*Constants!$B$28*INT(ROUND((Constants!$B$26-$AO367)/Constants!$B$28,6))))+MIN(Constants!$B$29,MAX(0,Constants!$B$27*Constants!$B$28*INT(ROUND((Constants!$B$26-$AP367)/Constants!$B$28,6)))))</f>
        <v/>
      </c>
      <c r="BX367" s="100" t="str">
        <f aca="false">IF($BL367&lt;&gt;Constants!$B$4,"",IF(NOT($AL367),0,Constants!$B$31*INT(ROUND(MAX(0,MIN($BJ367,2*$AH$9)-$AH$9),6))))</f>
        <v/>
      </c>
      <c r="BY367" s="100" t="str">
        <f aca="false">IF($BL367&lt;&gt;Constants!$B$4,"",Constants!$B$32*(($AN367&gt;Constants!$B$26)+($AO367&gt;Constants!$B$26)+($AP367&gt;Constants!$B$26)))</f>
        <v/>
      </c>
      <c r="BZ367" s="100" t="str">
        <f aca="false">IF($BL367&lt;&gt;Constants!$B$4,"",IF(OR(NOT($AL367),$AQ367),0,Constants!$B$33))</f>
        <v/>
      </c>
      <c r="CA367" s="100" t="str">
        <f aca="false">IF($BL367&lt;&gt;Constants!$B$4,"",Constants!$B$34*$BN367)</f>
        <v/>
      </c>
      <c r="CB367" s="100" t="str">
        <f aca="false">IF($BL367&lt;&gt;Constants!$B$4,"",IF(OR(NOT($AL367),$BH367),0,Constants!$B$36))</f>
        <v/>
      </c>
      <c r="CC367" s="100" t="str">
        <f aca="false">IF($BL367&lt;&gt;Constants!$B$4,"",IF(OR(NOT($AL367),$BG367),0,Constants!$B$37))</f>
        <v/>
      </c>
      <c r="CD367" s="100" t="str">
        <f aca="false">IF($BL367&lt;&gt;Constants!$B$4,"",SUM($BX367:$CC367))</f>
        <v/>
      </c>
      <c r="CE367" s="100" t="str">
        <f aca="false">IF(ISBLANK($C367),"",IF($BL367&lt;&gt;Constants!$B$4,$BL367,SUM($BO367:$BW367)-$CD367))</f>
        <v/>
      </c>
      <c r="CF367" s="100" t="str">
        <f aca="false">IF(ISBLANK($C367),"",IF($BL367&lt;&gt;Constants!$B$4,$BL367,RANK($CE367,$CE$9:$CE$508)))</f>
        <v/>
      </c>
      <c r="CG367" s="100" t="str">
        <f aca="false">IF(ISBLANK($C367),"",IF($BL367&lt;&gt;Constants!$B$4,$BL367,COUNTIFS($BM$9:$BM$508,"&lt;"&amp;$BM367)+COUNTIFS($BM$9:$BM$508,$BM367,$CF$9:$CF$508,"&lt;"&amp;$CF367)+1))</f>
        <v/>
      </c>
      <c r="CH367" s="100" t="str">
        <f aca="false">IF(ISBLANK($C367),"",IF($BL367&lt;&gt;Constants!$B$4,$BL367,RANK($CD367,$CD$9:$CD$508,1)))</f>
        <v/>
      </c>
      <c r="CI367" s="100" t="str">
        <f aca="false">IF($BL367&lt;&gt;Constants!$B$4,"",$AN367+$AO367+$AP367)</f>
        <v/>
      </c>
      <c r="CJ367" s="100" t="str">
        <f aca="false">IF(ISBLANK($C367),"",IF($BL367&lt;&gt;Constants!$B$4,$BL367,RANK($CI367,$CI$9:$CI$508,1)))</f>
        <v/>
      </c>
      <c r="CK367" s="100" t="str">
        <f aca="false">IF(ISBLANK($C367),"",IF($BL367&lt;&gt;Constants!$B$4,$BL367,COUNTIFS($BM$9:$BM$508,"&lt;"&amp;$BM367)+COUNTIFS($BM$9:$BM$508,$BM367,$CF$9:$CF$508,"&lt;"&amp;$CF367)+COUNTIFS($BM$9:$BM$508,$BM367,$CF$9:$CF$508,$CF367,$CH$9:$CH$508,"&lt;"&amp;$CH367)+COUNTIFS($BM$9:$BM$508,$BM367,$CF$9:$CF$508,$CF367,$CH$9:$CH$508,$CH367,$CJ$9:$CJ$508,"&lt;"&amp;$CJ367)+1))</f>
        <v/>
      </c>
      <c r="CL367" s="100" t="str">
        <f aca="false">IF(ISBLANK($C367),"",IF($BL367&lt;&gt;Constants!$B$4,$BL367,$CG367-$CK367))</f>
        <v/>
      </c>
      <c r="CM367" s="100" t="str">
        <f aca="false">IF(ISBLANK($C367),"",IF(NOT($AL367),"",IF(ISBLANK($D$7),$CM$5,IF(NOT(ISNUMBER($D$7)),$CM$6,""))))</f>
        <v/>
      </c>
      <c r="CN367" s="100" t="str">
        <f aca="false">IF(ISBLANK($C367),"",OR($AN367="",$AO367="",$AP367=""))</f>
        <v/>
      </c>
      <c r="CO367" s="100" t="str">
        <f aca="false">IF(ISBLANK($C367),"",AND($AL367,$BA367=""))</f>
        <v/>
      </c>
      <c r="CP367" s="100" t="str">
        <f aca="false">IF(ISBLANK($C367),"",AND($AL367,$BB367=""))</f>
        <v/>
      </c>
      <c r="CQ367" s="100" t="str">
        <f aca="false">IF(ISBLANK($C367),"",AND($AL367,$BC367=""))</f>
        <v/>
      </c>
      <c r="CR367" s="100" t="str">
        <f aca="false">IF(ISBLANK($C367),"",AND($AL367,$BF367=""))</f>
        <v/>
      </c>
      <c r="CS367" s="100" t="str">
        <f aca="false">IF(ISBLANK($C367),"",AND($AL367,$BJ367=""))</f>
        <v/>
      </c>
      <c r="CT367" s="101"/>
      <c r="CU367" s="102"/>
      <c r="CV367" s="103" t="str">
        <f aca="false">IF(ISBLANK($C367),"",IF($BL367=Constants!$B$8,$CM367,""))</f>
        <v/>
      </c>
      <c r="CW367" s="102" t="str">
        <f aca="false">IF(ISBLANK($C367),"",IF($BL367&lt;&gt;Constants!$B$4,"",$BO367+$BP367))</f>
        <v/>
      </c>
      <c r="CX367" s="104" t="str">
        <f aca="false">IF(ISBLANK($C367),"",IF($BL367&lt;&gt;Constants!$B$4,"",$BQ367+$BR367+$BS367))</f>
        <v/>
      </c>
      <c r="CY367" s="104" t="str">
        <f aca="false">IF(ISBLANK($C367),"",IF($BL367&lt;&gt;Constants!$B$4,"",$BT367))</f>
        <v/>
      </c>
      <c r="CZ367" s="104" t="str">
        <f aca="false">IF(ISBLANK($C367),"",IF($BL367&lt;&gt;Constants!$B$4,"",$BU367+$BV367))</f>
        <v/>
      </c>
      <c r="DA367" s="104" t="str">
        <f aca="false">IF(ISBLANK($C367),"",IF($BL367&lt;&gt;Constants!$B$4,"",$BW367))</f>
        <v/>
      </c>
      <c r="DB367" s="104" t="str">
        <f aca="false">IF(ISBLANK($C367),"",IF($BL367&lt;&gt;Constants!$B$4,"",-$CD367))</f>
        <v/>
      </c>
      <c r="DC367" s="103" t="str">
        <f aca="false">IF(ISBLANK($C367),"",$CE367)</f>
        <v/>
      </c>
      <c r="DD367" s="105" t="str">
        <f aca="false">IF(ISBLANK($C367),"",$BM367)</f>
        <v/>
      </c>
      <c r="DE367" s="104" t="str">
        <f aca="false">IF(ISBLANK($C367),"",$CL367)</f>
        <v/>
      </c>
      <c r="DF367" s="104" t="str">
        <f aca="false">IF(ISBLANK($C367),"",$CK367)</f>
        <v/>
      </c>
      <c r="DG367" s="106" t="str">
        <f aca="false">IF(ISBLANK($C367),"",IF($DF367=Constants!$B$7,COUNTA($C$9:$C$508)+2,IF($DF367=Constants!$B$6,COUNTA($C$9:$C$508)+1,IF($DF367=Constants!$B$5,COUNTA($C$9:$C$508),$DF367))))</f>
        <v/>
      </c>
      <c r="DH367" s="7"/>
      <c r="DI367" s="107" t="n">
        <f aca="false">IF(OR(ISNUMBER($DF367),$DF367=Constants!$B$7,$DF367=Constants!$B$5,$DF367=Constants!$B$6),1,0)</f>
        <v>0</v>
      </c>
      <c r="DJ367" s="107" t="n">
        <v>359</v>
      </c>
      <c r="DK367" s="107" t="str">
        <f aca="false">IF(ISBLANK($C367),"",IF(ISNUMBER($DG367),$DG367+ROW($B367)/1000,""))</f>
        <v/>
      </c>
      <c r="DL367" s="107" t="str">
        <f aca="false">IF(ISNUMBER($DK367),RANK($DK367,$DK$9:$DK$508,1),"")</f>
        <v/>
      </c>
      <c r="DM367" s="107" t="str">
        <f aca="false">IF(ISBLANK($C367),"",$B367)</f>
        <v/>
      </c>
      <c r="DN367" s="107" t="str">
        <f aca="false">IF(ISBLANK($C367),"",$C367)</f>
        <v/>
      </c>
      <c r="DO367" s="107" t="str">
        <f aca="false">IF(ISBLANK($C367),"",$D367)</f>
        <v/>
      </c>
      <c r="DP367" s="108" t="str">
        <f aca="false">$DD367</f>
        <v/>
      </c>
      <c r="DQ367" s="109" t="str">
        <f aca="false">$DC367</f>
        <v/>
      </c>
      <c r="DR367" s="107" t="str">
        <f aca="false">IF(ISBLANK($C367),"",$DF367)</f>
        <v/>
      </c>
      <c r="DS367" s="110" t="str">
        <f aca="false">IF($DJ367&gt;$DI$8,"",VLOOKUP($DJ367,$DL$9:$DR$508,7,FALSE()))</f>
        <v/>
      </c>
      <c r="DT367" s="111" t="str">
        <f aca="false">IF($DJ367&gt;$DI$8,"",VLOOKUP($DJ367,$DL$9:$DR$508,2,FALSE()))</f>
        <v/>
      </c>
      <c r="DU367" s="111" t="str">
        <f aca="false">IF($DJ367&gt;$DI$8,"",VLOOKUP($DJ367,$DL$9:$DR$508,3,FALSE()))</f>
        <v/>
      </c>
      <c r="DV367" s="111" t="str">
        <f aca="false">IF($DJ367&gt;$DI$8,"",VLOOKUP($DJ367,$DL$9:$DR$508,4,FALSE()))</f>
        <v/>
      </c>
      <c r="DW367" s="111" t="str">
        <f aca="false">IF($DJ367&gt;$DI$8,"",VLOOKUP($DJ367,$DL$9:$DR$508,5,FALSE()))</f>
        <v/>
      </c>
      <c r="DX367" s="112" t="str">
        <f aca="false">IF($DJ367&gt;$DI$8,"",VLOOKUP($DJ367,$DL$9:$DR$508,6,FALSE()))</f>
        <v/>
      </c>
      <c r="DY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130"/>
      <c r="N368" s="130"/>
      <c r="O368" s="135"/>
      <c r="P368" s="135"/>
      <c r="Q368" s="130"/>
      <c r="R368" s="130"/>
      <c r="S368" s="130"/>
      <c r="T368" s="130"/>
      <c r="U368" s="135"/>
      <c r="V368" s="130"/>
      <c r="W368" s="96"/>
      <c r="X368" s="130"/>
      <c r="Y368" s="130"/>
      <c r="Z368" s="96"/>
      <c r="AA368" s="96"/>
      <c r="AB368" s="130"/>
      <c r="AC368" s="130"/>
      <c r="AD368" s="130"/>
      <c r="AE368" s="97"/>
      <c r="AF368" s="130"/>
      <c r="AG368" s="99"/>
      <c r="AH368" s="100"/>
      <c r="AI368" s="100"/>
      <c r="AJ368" s="100" t="str">
        <f aca="false">IF(ISBLANK($C368),"",IF($E368=Constants!$B$2,TRUE(),IF($E368=Constants!$B$3,FALSE(),TRUE())))</f>
        <v/>
      </c>
      <c r="AK368" s="100" t="str">
        <f aca="false">IF(ISBLANK($C368),"",IF($F368=Constants!$B$2,TRUE(),IF($F368=Constants!$B$3,FALSE(),FALSE())))</f>
        <v/>
      </c>
      <c r="AL368" s="100" t="str">
        <f aca="false">IF(ISBLANK($C368),"",IF($G368=Constants!$B$2,TRUE(),IF($G368=Constants!$B$3,FALSE(),TRUE())))</f>
        <v/>
      </c>
      <c r="AM368" s="100" t="str">
        <f aca="false">IF(ISBLANK($C368),"",IF($H368=Constants!$B$2,TRUE(),IF($H368=Constants!$B$3,FALSE(),TRUE())))</f>
        <v/>
      </c>
      <c r="AN368" s="100" t="str">
        <f aca="false">IF(ISBLANK($C368),"",IF(ISNUMBER($I368),IF($I368&gt;=0,$I368,""),""))</f>
        <v/>
      </c>
      <c r="AO368" s="100" t="str">
        <f aca="false">IF(ISBLANK($C368),"",IF(ISNUMBER($J368),IF($J368&gt;=0,$J368,""),""))</f>
        <v/>
      </c>
      <c r="AP368" s="100" t="str">
        <f aca="false">IF(ISBLANK($C368),"",IF(ISNUMBER($K368),IF($K368&gt;=0,$K368,""),""))</f>
        <v/>
      </c>
      <c r="AQ368" s="100" t="str">
        <f aca="false">IF(ISBLANK($C368),"",IF($L368=Constants!$B$2,TRUE(),IF($L368=Constants!$B$3,FALSE(),TRUE())))</f>
        <v/>
      </c>
      <c r="AR368" s="100" t="str">
        <f aca="false">IF(ISBLANK($C368),"",IF($M368=Constants!$B$2,TRUE(),IF($M368=Constants!$B$3,FALSE(),TRUE())))</f>
        <v/>
      </c>
      <c r="AS368" s="100" t="str">
        <f aca="false">IF(ISBLANK($C368),"",IF($N368=Constants!$B$2,TRUE(),IF($N368=Constants!$B$3,FALSE(),FALSE())))</f>
        <v/>
      </c>
      <c r="AT368" s="100" t="str">
        <f aca="false">IF(ISBLANK($C368),"",IF($O368=Constants!$B$2,TRUE(),IF($O368=Constants!$B$3,FALSE(),TRUE())))</f>
        <v/>
      </c>
      <c r="AU368" s="100" t="str">
        <f aca="false">IF(ISBLANK($C368),"",IF($P368=Constants!$B$2,TRUE(),IF($P368=Constants!$B$3,FALSE(),TRUE())))</f>
        <v/>
      </c>
      <c r="AV368" s="100" t="str">
        <f aca="false">IF(ISBLANK($C368),"",IF($Q368=Constants!$B$2,TRUE(),IF($Q368=Constants!$B$3,FALSE(),FALSE())))</f>
        <v/>
      </c>
      <c r="AW368" s="100" t="str">
        <f aca="false">IF(ISBLANK($C368),"",IF($R368=Constants!$B$2,TRUE(),IF($R368=Constants!$B$3,FALSE(),FALSE())))</f>
        <v/>
      </c>
      <c r="AX368" s="100" t="str">
        <f aca="false">IF(ISBLANK($C368),"",IF($S368=Constants!$B$2,TRUE(),IF($S368=Constants!$B$3,FALSE(),FALSE())))</f>
        <v/>
      </c>
      <c r="AY368" s="100" t="str">
        <f aca="false">IF(ISBLANK($C368),"",IF($T368=Constants!$B$2,TRUE(),IF($T368=Constants!$B$3,FALSE(),FALSE())))</f>
        <v/>
      </c>
      <c r="AZ368" s="100" t="str">
        <f aca="false">IF(ISBLANK($C368),"",IF($U368=Constants!$B$2,TRUE(),IF($U368=Constants!$B$3,FALSE(),FALSE())))</f>
        <v/>
      </c>
      <c r="BA368" s="100" t="str">
        <f aca="false">IF(ISBLANK($C368),"",IF(OR($V368&amp;""="1",$V368&amp;""="2",$V368&amp;""="3",$V368&amp;""="4"),VALUE($V368&amp;""),IF($V368=Constants!$B$12,Constants!$B$12,"")))</f>
        <v/>
      </c>
      <c r="BB368" s="100" t="str">
        <f aca="false">IF(ISBLANK($C368),"",IF(ISBLANK($W368),0,IF(ISNUMBER($W368),IF(AND($W368&gt;=0,$W368&lt;=Constants!$B$21,$W368=INT($W368)),$W368,""),"")))</f>
        <v/>
      </c>
      <c r="BC368" s="100" t="str">
        <f aca="false">IF(ISBLANK($C368),"",IF(ISBLANK($X368),0,IF(ISNUMBER($X368),IF($X368&gt;=0,$X368,""),"")))</f>
        <v/>
      </c>
      <c r="BD368" s="100" t="str">
        <f aca="false">IF(ISBLANK($C368),"",IF($Y368=Constants!$B$2,TRUE(),IF($Y368=Constants!$B$3,FALSE(),TRUE())))</f>
        <v/>
      </c>
      <c r="BE368" s="100" t="str">
        <f aca="false">IF(ISBLANK($C368),"",IF($Z368=Constants!$B$2,TRUE(),IF($Z368=Constants!$B$3,FALSE(),FALSE())))</f>
        <v/>
      </c>
      <c r="BF368" s="100" t="str">
        <f aca="false">IF(ISBLANK($C368),"",IF(ISBLANK($AA368),0,IF(ISNUMBER($AA368),IF(AND($AA368&gt;=0,$AA368&lt;=Constants!$B$35,$AA368=INT($AA368)),$AA368,""),"")))</f>
        <v/>
      </c>
      <c r="BG368" s="100" t="str">
        <f aca="false">IF(ISBLANK($C368),"",IF($AB368=Constants!$B$2,TRUE(),IF($AB368=Constants!$B$3,FALSE(),TRUE())))</f>
        <v/>
      </c>
      <c r="BH368" s="100" t="str">
        <f aca="false">IF(ISBLANK($C368),"",IF($AC368=Constants!$B$2,TRUE(),IF($AC368=Constants!$B$3,FALSE(),TRUE())))</f>
        <v/>
      </c>
      <c r="BI368" s="100" t="str">
        <f aca="false">IF(ISBLANK($C368),"",IF($AD368=Constants!$B$2,TRUE(),IF($AD368=Constants!$B$3,FALSE(),TRUE())))</f>
        <v/>
      </c>
      <c r="BJ368" s="100" t="str">
        <f aca="false">IF(ISBLANK($C368),"",IF(ISNUMBER($AE368),IF($AE368&gt;=0,$AE368,""),""))</f>
        <v/>
      </c>
      <c r="BK368" s="100" t="str">
        <f aca="false">IF(ISBLANK($C368),"",IF($AF368=Constants!$B$2,TRUE(),IF($AF368=Constants!$B$3,FALSE(),FALSE())))</f>
        <v/>
      </c>
      <c r="BL368" s="99" t="str">
        <f aca="false">IF(ISBLANK($C368),"",IF($BK368,Constants!$B$7,IF(COUNTA($E368:$AE368)=0,Constants!$B$6,IF(OR(COUNTA($G368:$AE368)=0,NOT($AM368),$AS368),Constants!$B$5,IF(OR($CM368&lt;&gt;"",$CN368,$CO368,$CP368,$CQ368,$CR368,$CS368),Constants!$B$8,Constants!$B$4)))))</f>
        <v/>
      </c>
      <c r="BM368" s="100" t="str">
        <f aca="false">IF(ISBLANK($C368),"",IF($BL368&lt;&gt;Constants!$B$4,$BL368,IF(OR(NOT($AJ368),NOT($AL368),NOT($AT368)),Constants!$B$11,IF(OR(NOT($AR368),NOT($AU368),NOT($BI368),MAX($AN368,$AO368,$AP368)&gt;Constants!$B$30),Constants!$B$10,Constants!$B$9))))</f>
        <v/>
      </c>
      <c r="BN368" s="100" t="str">
        <f aca="false">IF($BL368&lt;&gt;Constants!$B$4,"",IF(NOT($AL368),0,MIN(Constants!$B$35,$BF368)))</f>
        <v/>
      </c>
      <c r="BO368" s="100" t="str">
        <f aca="false">IF($BL368&lt;&gt;Constants!$B$4,"",IF(NOT($AL368),0,IF($AW368,Constants!$B$18,IF($AV368,Constants!$B$17,0))))</f>
        <v/>
      </c>
      <c r="BP368" s="100" t="str">
        <f aca="false">IF($BL368&lt;&gt;Constants!$B$4,"",IF(NOT($AL368),0,Constants!$B$19*($AK368+$AX368+$AY368+$AZ368)))</f>
        <v/>
      </c>
      <c r="BQ368" s="100" t="str">
        <f aca="false">IF($BL368&lt;&gt;Constants!$B$4,"",IF(OR(NOT($AL368),NOT(ISNUMBER($BA368))),0,CHOOSE($BA368,Constants!$B$13,Constants!$B$14,Constants!$B$15,Constants!$B$16)))</f>
        <v/>
      </c>
      <c r="BR368" s="100" t="str">
        <f aca="false">IF($BL368&lt;&gt;Constants!$B$4,"",IF(NOT($AL368),0,Constants!$B$20*$BB368))</f>
        <v/>
      </c>
      <c r="BS368" s="100" t="str">
        <f aca="false">IF($BL368&lt;&gt;Constants!$B$4,"",IF(AND($AL368,$BD368,$BE368),Constants!$B$22,0))</f>
        <v/>
      </c>
      <c r="BT368" s="100" t="str">
        <f aca="false">IF($BL368&lt;&gt;Constants!$B$4,"",IF(OR(NOT($AL368),NOT($BD368)),0,IF($BJ368&gt;=2*$AH$9,0,Constants!$B$23*INT(ROUND(MIN($BJ368,$AH$9),6)))))</f>
        <v/>
      </c>
      <c r="BU368" s="100" t="str">
        <f aca="false">IF($BL368&lt;&gt;Constants!$B$4,"",IF(NOT($AL368),0,Constants!$B$24*INT(ROUND(MIN($BC368,$AH$9),6))))</f>
        <v/>
      </c>
      <c r="BV368" s="100" t="str">
        <f aca="false">IF($BL368&lt;&gt;Constants!$B$4,"",IF(AND($AL368,$BN368=0),Constants!$B$25,0))</f>
        <v/>
      </c>
      <c r="BW368" s="100" t="str">
        <f aca="false">IF($BL368&lt;&gt;Constants!$B$4,"",MIN(Constants!$B$29,MAX(0,Constants!$B$27*Constants!$B$28*INT(ROUND((Constants!$B$26-$AN368)/Constants!$B$28,6))))+MIN(Constants!$B$29,MAX(0,Constants!$B$27*Constants!$B$28*INT(ROUND((Constants!$B$26-$AO368)/Constants!$B$28,6))))+MIN(Constants!$B$29,MAX(0,Constants!$B$27*Constants!$B$28*INT(ROUND((Constants!$B$26-$AP368)/Constants!$B$28,6)))))</f>
        <v/>
      </c>
      <c r="BX368" s="100" t="str">
        <f aca="false">IF($BL368&lt;&gt;Constants!$B$4,"",IF(NOT($AL368),0,Constants!$B$31*INT(ROUND(MAX(0,MIN($BJ368,2*$AH$9)-$AH$9),6))))</f>
        <v/>
      </c>
      <c r="BY368" s="100" t="str">
        <f aca="false">IF($BL368&lt;&gt;Constants!$B$4,"",Constants!$B$32*(($AN368&gt;Constants!$B$26)+($AO368&gt;Constants!$B$26)+($AP368&gt;Constants!$B$26)))</f>
        <v/>
      </c>
      <c r="BZ368" s="100" t="str">
        <f aca="false">IF($BL368&lt;&gt;Constants!$B$4,"",IF(OR(NOT($AL368),$AQ368),0,Constants!$B$33))</f>
        <v/>
      </c>
      <c r="CA368" s="100" t="str">
        <f aca="false">IF($BL368&lt;&gt;Constants!$B$4,"",Constants!$B$34*$BN368)</f>
        <v/>
      </c>
      <c r="CB368" s="100" t="str">
        <f aca="false">IF($BL368&lt;&gt;Constants!$B$4,"",IF(OR(NOT($AL368),$BH368),0,Constants!$B$36))</f>
        <v/>
      </c>
      <c r="CC368" s="100" t="str">
        <f aca="false">IF($BL368&lt;&gt;Constants!$B$4,"",IF(OR(NOT($AL368),$BG368),0,Constants!$B$37))</f>
        <v/>
      </c>
      <c r="CD368" s="100" t="str">
        <f aca="false">IF($BL368&lt;&gt;Constants!$B$4,"",SUM($BX368:$CC368))</f>
        <v/>
      </c>
      <c r="CE368" s="100" t="str">
        <f aca="false">IF(ISBLANK($C368),"",IF($BL368&lt;&gt;Constants!$B$4,$BL368,SUM($BO368:$BW368)-$CD368))</f>
        <v/>
      </c>
      <c r="CF368" s="100" t="str">
        <f aca="false">IF(ISBLANK($C368),"",IF($BL368&lt;&gt;Constants!$B$4,$BL368,RANK($CE368,$CE$9:$CE$508)))</f>
        <v/>
      </c>
      <c r="CG368" s="100" t="str">
        <f aca="false">IF(ISBLANK($C368),"",IF($BL368&lt;&gt;Constants!$B$4,$BL368,COUNTIFS($BM$9:$BM$508,"&lt;"&amp;$BM368)+COUNTIFS($BM$9:$BM$508,$BM368,$CF$9:$CF$508,"&lt;"&amp;$CF368)+1))</f>
        <v/>
      </c>
      <c r="CH368" s="100" t="str">
        <f aca="false">IF(ISBLANK($C368),"",IF($BL368&lt;&gt;Constants!$B$4,$BL368,RANK($CD368,$CD$9:$CD$508,1)))</f>
        <v/>
      </c>
      <c r="CI368" s="100" t="str">
        <f aca="false">IF($BL368&lt;&gt;Constants!$B$4,"",$AN368+$AO368+$AP368)</f>
        <v/>
      </c>
      <c r="CJ368" s="100" t="str">
        <f aca="false">IF(ISBLANK($C368),"",IF($BL368&lt;&gt;Constants!$B$4,$BL368,RANK($CI368,$CI$9:$CI$508,1)))</f>
        <v/>
      </c>
      <c r="CK368" s="100" t="str">
        <f aca="false">IF(ISBLANK($C368),"",IF($BL368&lt;&gt;Constants!$B$4,$BL368,COUNTIFS($BM$9:$BM$508,"&lt;"&amp;$BM368)+COUNTIFS($BM$9:$BM$508,$BM368,$CF$9:$CF$508,"&lt;"&amp;$CF368)+COUNTIFS($BM$9:$BM$508,$BM368,$CF$9:$CF$508,$CF368,$CH$9:$CH$508,"&lt;"&amp;$CH368)+COUNTIFS($BM$9:$BM$508,$BM368,$CF$9:$CF$508,$CF368,$CH$9:$CH$508,$CH368,$CJ$9:$CJ$508,"&lt;"&amp;$CJ368)+1))</f>
        <v/>
      </c>
      <c r="CL368" s="100" t="str">
        <f aca="false">IF(ISBLANK($C368),"",IF($BL368&lt;&gt;Constants!$B$4,$BL368,$CG368-$CK368))</f>
        <v/>
      </c>
      <c r="CM368" s="100" t="str">
        <f aca="false">IF(ISBLANK($C368),"",IF(NOT($AL368),"",IF(ISBLANK($D$7),$CM$5,IF(NOT(ISNUMBER($D$7)),$CM$6,""))))</f>
        <v/>
      </c>
      <c r="CN368" s="100" t="str">
        <f aca="false">IF(ISBLANK($C368),"",OR($AN368="",$AO368="",$AP368=""))</f>
        <v/>
      </c>
      <c r="CO368" s="100" t="str">
        <f aca="false">IF(ISBLANK($C368),"",AND($AL368,$BA368=""))</f>
        <v/>
      </c>
      <c r="CP368" s="100" t="str">
        <f aca="false">IF(ISBLANK($C368),"",AND($AL368,$BB368=""))</f>
        <v/>
      </c>
      <c r="CQ368" s="100" t="str">
        <f aca="false">IF(ISBLANK($C368),"",AND($AL368,$BC368=""))</f>
        <v/>
      </c>
      <c r="CR368" s="100" t="str">
        <f aca="false">IF(ISBLANK($C368),"",AND($AL368,$BF368=""))</f>
        <v/>
      </c>
      <c r="CS368" s="100" t="str">
        <f aca="false">IF(ISBLANK($C368),"",AND($AL368,$BJ368=""))</f>
        <v/>
      </c>
      <c r="CT368" s="101"/>
      <c r="CU368" s="102"/>
      <c r="CV368" s="103" t="str">
        <f aca="false">IF(ISBLANK($C368),"",IF($BL368=Constants!$B$8,$CM368,""))</f>
        <v/>
      </c>
      <c r="CW368" s="102" t="str">
        <f aca="false">IF(ISBLANK($C368),"",IF($BL368&lt;&gt;Constants!$B$4,"",$BO368+$BP368))</f>
        <v/>
      </c>
      <c r="CX368" s="104" t="str">
        <f aca="false">IF(ISBLANK($C368),"",IF($BL368&lt;&gt;Constants!$B$4,"",$BQ368+$BR368+$BS368))</f>
        <v/>
      </c>
      <c r="CY368" s="104" t="str">
        <f aca="false">IF(ISBLANK($C368),"",IF($BL368&lt;&gt;Constants!$B$4,"",$BT368))</f>
        <v/>
      </c>
      <c r="CZ368" s="104" t="str">
        <f aca="false">IF(ISBLANK($C368),"",IF($BL368&lt;&gt;Constants!$B$4,"",$BU368+$BV368))</f>
        <v/>
      </c>
      <c r="DA368" s="104" t="str">
        <f aca="false">IF(ISBLANK($C368),"",IF($BL368&lt;&gt;Constants!$B$4,"",$BW368))</f>
        <v/>
      </c>
      <c r="DB368" s="104" t="str">
        <f aca="false">IF(ISBLANK($C368),"",IF($BL368&lt;&gt;Constants!$B$4,"",-$CD368))</f>
        <v/>
      </c>
      <c r="DC368" s="103" t="str">
        <f aca="false">IF(ISBLANK($C368),"",$CE368)</f>
        <v/>
      </c>
      <c r="DD368" s="105" t="str">
        <f aca="false">IF(ISBLANK($C368),"",$BM368)</f>
        <v/>
      </c>
      <c r="DE368" s="104" t="str">
        <f aca="false">IF(ISBLANK($C368),"",$CL368)</f>
        <v/>
      </c>
      <c r="DF368" s="104" t="str">
        <f aca="false">IF(ISBLANK($C368),"",$CK368)</f>
        <v/>
      </c>
      <c r="DG368" s="106" t="str">
        <f aca="false">IF(ISBLANK($C368),"",IF($DF368=Constants!$B$7,COUNTA($C$9:$C$508)+2,IF($DF368=Constants!$B$6,COUNTA($C$9:$C$508)+1,IF($DF368=Constants!$B$5,COUNTA($C$9:$C$508),$DF368))))</f>
        <v/>
      </c>
      <c r="DH368" s="7"/>
      <c r="DI368" s="107" t="n">
        <f aca="false">IF(OR(ISNUMBER($DF368),$DF368=Constants!$B$7,$DF368=Constants!$B$5,$DF368=Constants!$B$6),1,0)</f>
        <v>0</v>
      </c>
      <c r="DJ368" s="107" t="n">
        <v>360</v>
      </c>
      <c r="DK368" s="107" t="str">
        <f aca="false">IF(ISBLANK($C368),"",IF(ISNUMBER($DG368),$DG368+ROW($B368)/1000,""))</f>
        <v/>
      </c>
      <c r="DL368" s="107" t="str">
        <f aca="false">IF(ISNUMBER($DK368),RANK($DK368,$DK$9:$DK$508,1),"")</f>
        <v/>
      </c>
      <c r="DM368" s="107" t="str">
        <f aca="false">IF(ISBLANK($C368),"",$B368)</f>
        <v/>
      </c>
      <c r="DN368" s="107" t="str">
        <f aca="false">IF(ISBLANK($C368),"",$C368)</f>
        <v/>
      </c>
      <c r="DO368" s="107" t="str">
        <f aca="false">IF(ISBLANK($C368),"",$D368)</f>
        <v/>
      </c>
      <c r="DP368" s="108" t="str">
        <f aca="false">$DD368</f>
        <v/>
      </c>
      <c r="DQ368" s="109" t="str">
        <f aca="false">$DC368</f>
        <v/>
      </c>
      <c r="DR368" s="107" t="str">
        <f aca="false">IF(ISBLANK($C368),"",$DF368)</f>
        <v/>
      </c>
      <c r="DS368" s="110" t="str">
        <f aca="false">IF($DJ368&gt;$DI$8,"",VLOOKUP($DJ368,$DL$9:$DR$508,7,FALSE()))</f>
        <v/>
      </c>
      <c r="DT368" s="111" t="str">
        <f aca="false">IF($DJ368&gt;$DI$8,"",VLOOKUP($DJ368,$DL$9:$DR$508,2,FALSE()))</f>
        <v/>
      </c>
      <c r="DU368" s="111" t="str">
        <f aca="false">IF($DJ368&gt;$DI$8,"",VLOOKUP($DJ368,$DL$9:$DR$508,3,FALSE()))</f>
        <v/>
      </c>
      <c r="DV368" s="111" t="str">
        <f aca="false">IF($DJ368&gt;$DI$8,"",VLOOKUP($DJ368,$DL$9:$DR$508,4,FALSE()))</f>
        <v/>
      </c>
      <c r="DW368" s="111" t="str">
        <f aca="false">IF($DJ368&gt;$DI$8,"",VLOOKUP($DJ368,$DL$9:$DR$508,5,FALSE()))</f>
        <v/>
      </c>
      <c r="DX368" s="112" t="str">
        <f aca="false">IF($DJ368&gt;$DI$8,"",VLOOKUP($DJ368,$DL$9:$DR$508,6,FALSE()))</f>
        <v/>
      </c>
      <c r="DY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88"/>
      <c r="N369" s="88"/>
      <c r="O369" s="134"/>
      <c r="P369" s="134"/>
      <c r="Q369" s="88"/>
      <c r="R369" s="88"/>
      <c r="S369" s="88"/>
      <c r="T369" s="88"/>
      <c r="U369" s="134"/>
      <c r="V369" s="88"/>
      <c r="W369" s="70"/>
      <c r="X369" s="88"/>
      <c r="Y369" s="88"/>
      <c r="Z369" s="70"/>
      <c r="AA369" s="70"/>
      <c r="AB369" s="88"/>
      <c r="AC369" s="88"/>
      <c r="AD369" s="88"/>
      <c r="AE369" s="71"/>
      <c r="AF369" s="88"/>
      <c r="AG369" s="73"/>
      <c r="AH369" s="74"/>
      <c r="AI369" s="74"/>
      <c r="AJ369" s="74" t="str">
        <f aca="false">IF(ISBLANK($C369),"",IF($E369=Constants!$B$2,TRUE(),IF($E369=Constants!$B$3,FALSE(),TRUE())))</f>
        <v/>
      </c>
      <c r="AK369" s="74" t="str">
        <f aca="false">IF(ISBLANK($C369),"",IF($F369=Constants!$B$2,TRUE(),IF($F369=Constants!$B$3,FALSE(),FALSE())))</f>
        <v/>
      </c>
      <c r="AL369" s="74" t="str">
        <f aca="false">IF(ISBLANK($C369),"",IF($G369=Constants!$B$2,TRUE(),IF($G369=Constants!$B$3,FALSE(),TRUE())))</f>
        <v/>
      </c>
      <c r="AM369" s="74" t="str">
        <f aca="false">IF(ISBLANK($C369),"",IF($H369=Constants!$B$2,TRUE(),IF($H369=Constants!$B$3,FALSE(),TRUE())))</f>
        <v/>
      </c>
      <c r="AN369" s="74" t="str">
        <f aca="false">IF(ISBLANK($C369),"",IF(ISNUMBER($I369),IF($I369&gt;=0,$I369,""),""))</f>
        <v/>
      </c>
      <c r="AO369" s="74" t="str">
        <f aca="false">IF(ISBLANK($C369),"",IF(ISNUMBER($J369),IF($J369&gt;=0,$J369,""),""))</f>
        <v/>
      </c>
      <c r="AP369" s="74" t="str">
        <f aca="false">IF(ISBLANK($C369),"",IF(ISNUMBER($K369),IF($K369&gt;=0,$K369,""),""))</f>
        <v/>
      </c>
      <c r="AQ369" s="74" t="str">
        <f aca="false">IF(ISBLANK($C369),"",IF($L369=Constants!$B$2,TRUE(),IF($L369=Constants!$B$3,FALSE(),TRUE())))</f>
        <v/>
      </c>
      <c r="AR369" s="74" t="str">
        <f aca="false">IF(ISBLANK($C369),"",IF($M369=Constants!$B$2,TRUE(),IF($M369=Constants!$B$3,FALSE(),TRUE())))</f>
        <v/>
      </c>
      <c r="AS369" s="74" t="str">
        <f aca="false">IF(ISBLANK($C369),"",IF($N369=Constants!$B$2,TRUE(),IF($N369=Constants!$B$3,FALSE(),FALSE())))</f>
        <v/>
      </c>
      <c r="AT369" s="74" t="str">
        <f aca="false">IF(ISBLANK($C369),"",IF($O369=Constants!$B$2,TRUE(),IF($O369=Constants!$B$3,FALSE(),TRUE())))</f>
        <v/>
      </c>
      <c r="AU369" s="74" t="str">
        <f aca="false">IF(ISBLANK($C369),"",IF($P369=Constants!$B$2,TRUE(),IF($P369=Constants!$B$3,FALSE(),TRUE())))</f>
        <v/>
      </c>
      <c r="AV369" s="74" t="str">
        <f aca="false">IF(ISBLANK($C369),"",IF($Q369=Constants!$B$2,TRUE(),IF($Q369=Constants!$B$3,FALSE(),FALSE())))</f>
        <v/>
      </c>
      <c r="AW369" s="74" t="str">
        <f aca="false">IF(ISBLANK($C369),"",IF($R369=Constants!$B$2,TRUE(),IF($R369=Constants!$B$3,FALSE(),FALSE())))</f>
        <v/>
      </c>
      <c r="AX369" s="74" t="str">
        <f aca="false">IF(ISBLANK($C369),"",IF($S369=Constants!$B$2,TRUE(),IF($S369=Constants!$B$3,FALSE(),FALSE())))</f>
        <v/>
      </c>
      <c r="AY369" s="74" t="str">
        <f aca="false">IF(ISBLANK($C369),"",IF($T369=Constants!$B$2,TRUE(),IF($T369=Constants!$B$3,FALSE(),FALSE())))</f>
        <v/>
      </c>
      <c r="AZ369" s="74" t="str">
        <f aca="false">IF(ISBLANK($C369),"",IF($U369=Constants!$B$2,TRUE(),IF($U369=Constants!$B$3,FALSE(),FALSE())))</f>
        <v/>
      </c>
      <c r="BA369" s="74" t="str">
        <f aca="false">IF(ISBLANK($C369),"",IF(OR($V369&amp;""="1",$V369&amp;""="2",$V369&amp;""="3",$V369&amp;""="4"),VALUE($V369&amp;""),IF($V369=Constants!$B$12,Constants!$B$12,"")))</f>
        <v/>
      </c>
      <c r="BB369" s="74" t="str">
        <f aca="false">IF(ISBLANK($C369),"",IF(ISBLANK($W369),0,IF(ISNUMBER($W369),IF(AND($W369&gt;=0,$W369&lt;=Constants!$B$21,$W369=INT($W369)),$W369,""),"")))</f>
        <v/>
      </c>
      <c r="BC369" s="74" t="str">
        <f aca="false">IF(ISBLANK($C369),"",IF(ISBLANK($X369),0,IF(ISNUMBER($X369),IF($X369&gt;=0,$X369,""),"")))</f>
        <v/>
      </c>
      <c r="BD369" s="74" t="str">
        <f aca="false">IF(ISBLANK($C369),"",IF($Y369=Constants!$B$2,TRUE(),IF($Y369=Constants!$B$3,FALSE(),TRUE())))</f>
        <v/>
      </c>
      <c r="BE369" s="74" t="str">
        <f aca="false">IF(ISBLANK($C369),"",IF($Z369=Constants!$B$2,TRUE(),IF($Z369=Constants!$B$3,FALSE(),FALSE())))</f>
        <v/>
      </c>
      <c r="BF369" s="74" t="str">
        <f aca="false">IF(ISBLANK($C369),"",IF(ISBLANK($AA369),0,IF(ISNUMBER($AA369),IF(AND($AA369&gt;=0,$AA369&lt;=Constants!$B$35,$AA369=INT($AA369)),$AA369,""),"")))</f>
        <v/>
      </c>
      <c r="BG369" s="74" t="str">
        <f aca="false">IF(ISBLANK($C369),"",IF($AB369=Constants!$B$2,TRUE(),IF($AB369=Constants!$B$3,FALSE(),TRUE())))</f>
        <v/>
      </c>
      <c r="BH369" s="74" t="str">
        <f aca="false">IF(ISBLANK($C369),"",IF($AC369=Constants!$B$2,TRUE(),IF($AC369=Constants!$B$3,FALSE(),TRUE())))</f>
        <v/>
      </c>
      <c r="BI369" s="74" t="str">
        <f aca="false">IF(ISBLANK($C369),"",IF($AD369=Constants!$B$2,TRUE(),IF($AD369=Constants!$B$3,FALSE(),TRUE())))</f>
        <v/>
      </c>
      <c r="BJ369" s="74" t="str">
        <f aca="false">IF(ISBLANK($C369),"",IF(ISNUMBER($AE369),IF($AE369&gt;=0,$AE369,""),""))</f>
        <v/>
      </c>
      <c r="BK369" s="74" t="str">
        <f aca="false">IF(ISBLANK($C369),"",IF($AF369=Constants!$B$2,TRUE(),IF($AF369=Constants!$B$3,FALSE(),FALSE())))</f>
        <v/>
      </c>
      <c r="BL369" s="73" t="str">
        <f aca="false">IF(ISBLANK($C369),"",IF($BK369,Constants!$B$7,IF(COUNTA($E369:$AE369)=0,Constants!$B$6,IF(OR(COUNTA($G369:$AE369)=0,NOT($AM369),$AS369),Constants!$B$5,IF(OR($CM369&lt;&gt;"",$CN369,$CO369,$CP369,$CQ369,$CR369,$CS369),Constants!$B$8,Constants!$B$4)))))</f>
        <v/>
      </c>
      <c r="BM369" s="74" t="str">
        <f aca="false">IF(ISBLANK($C369),"",IF($BL369&lt;&gt;Constants!$B$4,$BL369,IF(OR(NOT($AJ369),NOT($AL369),NOT($AT369)),Constants!$B$11,IF(OR(NOT($AR369),NOT($AU369),NOT($BI369),MAX($AN369,$AO369,$AP369)&gt;Constants!$B$30),Constants!$B$10,Constants!$B$9))))</f>
        <v/>
      </c>
      <c r="BN369" s="74" t="str">
        <f aca="false">IF($BL369&lt;&gt;Constants!$B$4,"",IF(NOT($AL369),0,MIN(Constants!$B$35,$BF369)))</f>
        <v/>
      </c>
      <c r="BO369" s="74" t="str">
        <f aca="false">IF($BL369&lt;&gt;Constants!$B$4,"",IF(NOT($AL369),0,IF($AW369,Constants!$B$18,IF($AV369,Constants!$B$17,0))))</f>
        <v/>
      </c>
      <c r="BP369" s="74" t="str">
        <f aca="false">IF($BL369&lt;&gt;Constants!$B$4,"",IF(NOT($AL369),0,Constants!$B$19*($AK369+$AX369+$AY369+$AZ369)))</f>
        <v/>
      </c>
      <c r="BQ369" s="74" t="str">
        <f aca="false">IF($BL369&lt;&gt;Constants!$B$4,"",IF(OR(NOT($AL369),NOT(ISNUMBER($BA369))),0,CHOOSE($BA369,Constants!$B$13,Constants!$B$14,Constants!$B$15,Constants!$B$16)))</f>
        <v/>
      </c>
      <c r="BR369" s="74" t="str">
        <f aca="false">IF($BL369&lt;&gt;Constants!$B$4,"",IF(NOT($AL369),0,Constants!$B$20*$BB369))</f>
        <v/>
      </c>
      <c r="BS369" s="74" t="str">
        <f aca="false">IF($BL369&lt;&gt;Constants!$B$4,"",IF(AND($AL369,$BD369,$BE369),Constants!$B$22,0))</f>
        <v/>
      </c>
      <c r="BT369" s="74" t="str">
        <f aca="false">IF($BL369&lt;&gt;Constants!$B$4,"",IF(OR(NOT($AL369),NOT($BD369)),0,IF($BJ369&gt;=2*$AH$9,0,Constants!$B$23*INT(ROUND(MIN($BJ369,$AH$9),6)))))</f>
        <v/>
      </c>
      <c r="BU369" s="74" t="str">
        <f aca="false">IF($BL369&lt;&gt;Constants!$B$4,"",IF(NOT($AL369),0,Constants!$B$24*INT(ROUND(MIN($BC369,$AH$9),6))))</f>
        <v/>
      </c>
      <c r="BV369" s="74" t="str">
        <f aca="false">IF($BL369&lt;&gt;Constants!$B$4,"",IF(AND($AL369,$BN369=0),Constants!$B$25,0))</f>
        <v/>
      </c>
      <c r="BW369" s="74" t="str">
        <f aca="false">IF($BL369&lt;&gt;Constants!$B$4,"",MIN(Constants!$B$29,MAX(0,Constants!$B$27*Constants!$B$28*INT(ROUND((Constants!$B$26-$AN369)/Constants!$B$28,6))))+MIN(Constants!$B$29,MAX(0,Constants!$B$27*Constants!$B$28*INT(ROUND((Constants!$B$26-$AO369)/Constants!$B$28,6))))+MIN(Constants!$B$29,MAX(0,Constants!$B$27*Constants!$B$28*INT(ROUND((Constants!$B$26-$AP369)/Constants!$B$28,6)))))</f>
        <v/>
      </c>
      <c r="BX369" s="74" t="str">
        <f aca="false">IF($BL369&lt;&gt;Constants!$B$4,"",IF(NOT($AL369),0,Constants!$B$31*INT(ROUND(MAX(0,MIN($BJ369,2*$AH$9)-$AH$9),6))))</f>
        <v/>
      </c>
      <c r="BY369" s="74" t="str">
        <f aca="false">IF($BL369&lt;&gt;Constants!$B$4,"",Constants!$B$32*(($AN369&gt;Constants!$B$26)+($AO369&gt;Constants!$B$26)+($AP369&gt;Constants!$B$26)))</f>
        <v/>
      </c>
      <c r="BZ369" s="74" t="str">
        <f aca="false">IF($BL369&lt;&gt;Constants!$B$4,"",IF(OR(NOT($AL369),$AQ369),0,Constants!$B$33))</f>
        <v/>
      </c>
      <c r="CA369" s="74" t="str">
        <f aca="false">IF($BL369&lt;&gt;Constants!$B$4,"",Constants!$B$34*$BN369)</f>
        <v/>
      </c>
      <c r="CB369" s="74" t="str">
        <f aca="false">IF($BL369&lt;&gt;Constants!$B$4,"",IF(OR(NOT($AL369),$BH369),0,Constants!$B$36))</f>
        <v/>
      </c>
      <c r="CC369" s="74" t="str">
        <f aca="false">IF($BL369&lt;&gt;Constants!$B$4,"",IF(OR(NOT($AL369),$BG369),0,Constants!$B$37))</f>
        <v/>
      </c>
      <c r="CD369" s="74" t="str">
        <f aca="false">IF($BL369&lt;&gt;Constants!$B$4,"",SUM($BX369:$CC369))</f>
        <v/>
      </c>
      <c r="CE369" s="74" t="str">
        <f aca="false">IF(ISBLANK($C369),"",IF($BL369&lt;&gt;Constants!$B$4,$BL369,SUM($BO369:$BW369)-$CD369))</f>
        <v/>
      </c>
      <c r="CF369" s="74" t="str">
        <f aca="false">IF(ISBLANK($C369),"",IF($BL369&lt;&gt;Constants!$B$4,$BL369,RANK($CE369,$CE$9:$CE$508)))</f>
        <v/>
      </c>
      <c r="CG369" s="74" t="str">
        <f aca="false">IF(ISBLANK($C369),"",IF($BL369&lt;&gt;Constants!$B$4,$BL369,COUNTIFS($BM$9:$BM$508,"&lt;"&amp;$BM369)+COUNTIFS($BM$9:$BM$508,$BM369,$CF$9:$CF$508,"&lt;"&amp;$CF369)+1))</f>
        <v/>
      </c>
      <c r="CH369" s="74" t="str">
        <f aca="false">IF(ISBLANK($C369),"",IF($BL369&lt;&gt;Constants!$B$4,$BL369,RANK($CD369,$CD$9:$CD$508,1)))</f>
        <v/>
      </c>
      <c r="CI369" s="74" t="str">
        <f aca="false">IF($BL369&lt;&gt;Constants!$B$4,"",$AN369+$AO369+$AP369)</f>
        <v/>
      </c>
      <c r="CJ369" s="74" t="str">
        <f aca="false">IF(ISBLANK($C369),"",IF($BL369&lt;&gt;Constants!$B$4,$BL369,RANK($CI369,$CI$9:$CI$508,1)))</f>
        <v/>
      </c>
      <c r="CK369" s="74" t="str">
        <f aca="false">IF(ISBLANK($C369),"",IF($BL369&lt;&gt;Constants!$B$4,$BL369,COUNTIFS($BM$9:$BM$508,"&lt;"&amp;$BM369)+COUNTIFS($BM$9:$BM$508,$BM369,$CF$9:$CF$508,"&lt;"&amp;$CF369)+COUNTIFS($BM$9:$BM$508,$BM369,$CF$9:$CF$508,$CF369,$CH$9:$CH$508,"&lt;"&amp;$CH369)+COUNTIFS($BM$9:$BM$508,$BM369,$CF$9:$CF$508,$CF369,$CH$9:$CH$508,$CH369,$CJ$9:$CJ$508,"&lt;"&amp;$CJ369)+1))</f>
        <v/>
      </c>
      <c r="CL369" s="74" t="str">
        <f aca="false">IF(ISBLANK($C369),"",IF($BL369&lt;&gt;Constants!$B$4,$BL369,$CG369-$CK369))</f>
        <v/>
      </c>
      <c r="CM369" s="74" t="str">
        <f aca="false">IF(ISBLANK($C369),"",IF(NOT($AL369),"",IF(ISBLANK($D$7),$CM$5,IF(NOT(ISNUMBER($D$7)),$CM$6,""))))</f>
        <v/>
      </c>
      <c r="CN369" s="74" t="str">
        <f aca="false">IF(ISBLANK($C369),"",OR($AN369="",$AO369="",$AP369=""))</f>
        <v/>
      </c>
      <c r="CO369" s="74" t="str">
        <f aca="false">IF(ISBLANK($C369),"",AND($AL369,$BA369=""))</f>
        <v/>
      </c>
      <c r="CP369" s="74" t="str">
        <f aca="false">IF(ISBLANK($C369),"",AND($AL369,$BB369=""))</f>
        <v/>
      </c>
      <c r="CQ369" s="74" t="str">
        <f aca="false">IF(ISBLANK($C369),"",AND($AL369,$BC369=""))</f>
        <v/>
      </c>
      <c r="CR369" s="74" t="str">
        <f aca="false">IF(ISBLANK($C369),"",AND($AL369,$BF369=""))</f>
        <v/>
      </c>
      <c r="CS369" s="74" t="str">
        <f aca="false">IF(ISBLANK($C369),"",AND($AL369,$BJ369=""))</f>
        <v/>
      </c>
      <c r="CT369" s="75"/>
      <c r="CU369" s="76"/>
      <c r="CV369" s="79" t="str">
        <f aca="false">IF(ISBLANK($C369),"",IF($BL369=Constants!$B$8,$CM369,""))</f>
        <v/>
      </c>
      <c r="CW369" s="76" t="str">
        <f aca="false">IF(ISBLANK($C369),"",IF($BL369&lt;&gt;Constants!$B$4,"",$BO369+$BP369))</f>
        <v/>
      </c>
      <c r="CX369" s="78" t="str">
        <f aca="false">IF(ISBLANK($C369),"",IF($BL369&lt;&gt;Constants!$B$4,"",$BQ369+$BR369+$BS369))</f>
        <v/>
      </c>
      <c r="CY369" s="78" t="str">
        <f aca="false">IF(ISBLANK($C369),"",IF($BL369&lt;&gt;Constants!$B$4,"",$BT369))</f>
        <v/>
      </c>
      <c r="CZ369" s="78" t="str">
        <f aca="false">IF(ISBLANK($C369),"",IF($BL369&lt;&gt;Constants!$B$4,"",$BU369+$BV369))</f>
        <v/>
      </c>
      <c r="DA369" s="78" t="str">
        <f aca="false">IF(ISBLANK($C369),"",IF($BL369&lt;&gt;Constants!$B$4,"",$BW369))</f>
        <v/>
      </c>
      <c r="DB369" s="78" t="str">
        <f aca="false">IF(ISBLANK($C369),"",IF($BL369&lt;&gt;Constants!$B$4,"",-$CD369))</f>
        <v/>
      </c>
      <c r="DC369" s="79" t="str">
        <f aca="false">IF(ISBLANK($C369),"",$CE369)</f>
        <v/>
      </c>
      <c r="DD369" s="80" t="str">
        <f aca="false">IF(ISBLANK($C369),"",$BM369)</f>
        <v/>
      </c>
      <c r="DE369" s="78" t="str">
        <f aca="false">IF(ISBLANK($C369),"",$CL369)</f>
        <v/>
      </c>
      <c r="DF369" s="78" t="str">
        <f aca="false">IF(ISBLANK($C369),"",$CK369)</f>
        <v/>
      </c>
      <c r="DG369" s="81" t="str">
        <f aca="false">IF(ISBLANK($C369),"",IF($DF369=Constants!$B$7,COUNTA($C$9:$C$508)+2,IF($DF369=Constants!$B$6,COUNTA($C$9:$C$508)+1,IF($DF369=Constants!$B$5,COUNTA($C$9:$C$508),$DF369))))</f>
        <v/>
      </c>
      <c r="DH369" s="7"/>
      <c r="DI369" s="82" t="n">
        <f aca="false">IF(OR(ISNUMBER($DF369),$DF369=Constants!$B$7,$DF369=Constants!$B$5,$DF369=Constants!$B$6),1,0)</f>
        <v>0</v>
      </c>
      <c r="DJ369" s="82" t="n">
        <v>361</v>
      </c>
      <c r="DK369" s="82" t="str">
        <f aca="false">IF(ISBLANK($C369),"",IF(ISNUMBER($DG369),$DG369+ROW($B369)/1000,""))</f>
        <v/>
      </c>
      <c r="DL369" s="82" t="str">
        <f aca="false">IF(ISNUMBER($DK369),RANK($DK369,$DK$9:$DK$508,1),"")</f>
        <v/>
      </c>
      <c r="DM369" s="82" t="str">
        <f aca="false">IF(ISBLANK($C369),"",$B369)</f>
        <v/>
      </c>
      <c r="DN369" s="82" t="str">
        <f aca="false">IF(ISBLANK($C369),"",$C369)</f>
        <v/>
      </c>
      <c r="DO369" s="82" t="str">
        <f aca="false">IF(ISBLANK($C369),"",$D369)</f>
        <v/>
      </c>
      <c r="DP369" s="83" t="str">
        <f aca="false">$DD369</f>
        <v/>
      </c>
      <c r="DQ369" s="84" t="str">
        <f aca="false">$DC369</f>
        <v/>
      </c>
      <c r="DR369" s="82" t="str">
        <f aca="false">IF(ISBLANK($C369),"",$DF369)</f>
        <v/>
      </c>
      <c r="DS369" s="85" t="str">
        <f aca="false">IF($DJ369&gt;$DI$8,"",VLOOKUP($DJ369,$DL$9:$DR$508,7,FALSE()))</f>
        <v/>
      </c>
      <c r="DT369" s="86" t="str">
        <f aca="false">IF($DJ369&gt;$DI$8,"",VLOOKUP($DJ369,$DL$9:$DR$508,2,FALSE()))</f>
        <v/>
      </c>
      <c r="DU369" s="86" t="str">
        <f aca="false">IF($DJ369&gt;$DI$8,"",VLOOKUP($DJ369,$DL$9:$DR$508,3,FALSE()))</f>
        <v/>
      </c>
      <c r="DV369" s="86" t="str">
        <f aca="false">IF($DJ369&gt;$DI$8,"",VLOOKUP($DJ369,$DL$9:$DR$508,4,FALSE()))</f>
        <v/>
      </c>
      <c r="DW369" s="86" t="str">
        <f aca="false">IF($DJ369&gt;$DI$8,"",VLOOKUP($DJ369,$DL$9:$DR$508,5,FALSE()))</f>
        <v/>
      </c>
      <c r="DX369" s="87" t="str">
        <f aca="false">IF($DJ369&gt;$DI$8,"",VLOOKUP($DJ369,$DL$9:$DR$508,6,FALSE()))</f>
        <v/>
      </c>
      <c r="DY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88"/>
      <c r="N370" s="88"/>
      <c r="O370" s="134"/>
      <c r="P370" s="134"/>
      <c r="Q370" s="88"/>
      <c r="R370" s="88"/>
      <c r="S370" s="88"/>
      <c r="T370" s="88"/>
      <c r="U370" s="134"/>
      <c r="V370" s="88"/>
      <c r="W370" s="70"/>
      <c r="X370" s="88"/>
      <c r="Y370" s="88"/>
      <c r="Z370" s="70"/>
      <c r="AA370" s="70"/>
      <c r="AB370" s="88"/>
      <c r="AC370" s="88"/>
      <c r="AD370" s="88"/>
      <c r="AE370" s="71"/>
      <c r="AF370" s="88"/>
      <c r="AG370" s="73"/>
      <c r="AH370" s="74"/>
      <c r="AI370" s="74"/>
      <c r="AJ370" s="74" t="str">
        <f aca="false">IF(ISBLANK($C370),"",IF($E370=Constants!$B$2,TRUE(),IF($E370=Constants!$B$3,FALSE(),TRUE())))</f>
        <v/>
      </c>
      <c r="AK370" s="74" t="str">
        <f aca="false">IF(ISBLANK($C370),"",IF($F370=Constants!$B$2,TRUE(),IF($F370=Constants!$B$3,FALSE(),FALSE())))</f>
        <v/>
      </c>
      <c r="AL370" s="74" t="str">
        <f aca="false">IF(ISBLANK($C370),"",IF($G370=Constants!$B$2,TRUE(),IF($G370=Constants!$B$3,FALSE(),TRUE())))</f>
        <v/>
      </c>
      <c r="AM370" s="74" t="str">
        <f aca="false">IF(ISBLANK($C370),"",IF($H370=Constants!$B$2,TRUE(),IF($H370=Constants!$B$3,FALSE(),TRUE())))</f>
        <v/>
      </c>
      <c r="AN370" s="74" t="str">
        <f aca="false">IF(ISBLANK($C370),"",IF(ISNUMBER($I370),IF($I370&gt;=0,$I370,""),""))</f>
        <v/>
      </c>
      <c r="AO370" s="74" t="str">
        <f aca="false">IF(ISBLANK($C370),"",IF(ISNUMBER($J370),IF($J370&gt;=0,$J370,""),""))</f>
        <v/>
      </c>
      <c r="AP370" s="74" t="str">
        <f aca="false">IF(ISBLANK($C370),"",IF(ISNUMBER($K370),IF($K370&gt;=0,$K370,""),""))</f>
        <v/>
      </c>
      <c r="AQ370" s="74" t="str">
        <f aca="false">IF(ISBLANK($C370),"",IF($L370=Constants!$B$2,TRUE(),IF($L370=Constants!$B$3,FALSE(),TRUE())))</f>
        <v/>
      </c>
      <c r="AR370" s="74" t="str">
        <f aca="false">IF(ISBLANK($C370),"",IF($M370=Constants!$B$2,TRUE(),IF($M370=Constants!$B$3,FALSE(),TRUE())))</f>
        <v/>
      </c>
      <c r="AS370" s="74" t="str">
        <f aca="false">IF(ISBLANK($C370),"",IF($N370=Constants!$B$2,TRUE(),IF($N370=Constants!$B$3,FALSE(),FALSE())))</f>
        <v/>
      </c>
      <c r="AT370" s="74" t="str">
        <f aca="false">IF(ISBLANK($C370),"",IF($O370=Constants!$B$2,TRUE(),IF($O370=Constants!$B$3,FALSE(),TRUE())))</f>
        <v/>
      </c>
      <c r="AU370" s="74" t="str">
        <f aca="false">IF(ISBLANK($C370),"",IF($P370=Constants!$B$2,TRUE(),IF($P370=Constants!$B$3,FALSE(),TRUE())))</f>
        <v/>
      </c>
      <c r="AV370" s="74" t="str">
        <f aca="false">IF(ISBLANK($C370),"",IF($Q370=Constants!$B$2,TRUE(),IF($Q370=Constants!$B$3,FALSE(),FALSE())))</f>
        <v/>
      </c>
      <c r="AW370" s="74" t="str">
        <f aca="false">IF(ISBLANK($C370),"",IF($R370=Constants!$B$2,TRUE(),IF($R370=Constants!$B$3,FALSE(),FALSE())))</f>
        <v/>
      </c>
      <c r="AX370" s="74" t="str">
        <f aca="false">IF(ISBLANK($C370),"",IF($S370=Constants!$B$2,TRUE(),IF($S370=Constants!$B$3,FALSE(),FALSE())))</f>
        <v/>
      </c>
      <c r="AY370" s="74" t="str">
        <f aca="false">IF(ISBLANK($C370),"",IF($T370=Constants!$B$2,TRUE(),IF($T370=Constants!$B$3,FALSE(),FALSE())))</f>
        <v/>
      </c>
      <c r="AZ370" s="74" t="str">
        <f aca="false">IF(ISBLANK($C370),"",IF($U370=Constants!$B$2,TRUE(),IF($U370=Constants!$B$3,FALSE(),FALSE())))</f>
        <v/>
      </c>
      <c r="BA370" s="74" t="str">
        <f aca="false">IF(ISBLANK($C370),"",IF(OR($V370&amp;""="1",$V370&amp;""="2",$V370&amp;""="3",$V370&amp;""="4"),VALUE($V370&amp;""),IF($V370=Constants!$B$12,Constants!$B$12,"")))</f>
        <v/>
      </c>
      <c r="BB370" s="74" t="str">
        <f aca="false">IF(ISBLANK($C370),"",IF(ISBLANK($W370),0,IF(ISNUMBER($W370),IF(AND($W370&gt;=0,$W370&lt;=Constants!$B$21,$W370=INT($W370)),$W370,""),"")))</f>
        <v/>
      </c>
      <c r="BC370" s="74" t="str">
        <f aca="false">IF(ISBLANK($C370),"",IF(ISBLANK($X370),0,IF(ISNUMBER($X370),IF($X370&gt;=0,$X370,""),"")))</f>
        <v/>
      </c>
      <c r="BD370" s="74" t="str">
        <f aca="false">IF(ISBLANK($C370),"",IF($Y370=Constants!$B$2,TRUE(),IF($Y370=Constants!$B$3,FALSE(),TRUE())))</f>
        <v/>
      </c>
      <c r="BE370" s="74" t="str">
        <f aca="false">IF(ISBLANK($C370),"",IF($Z370=Constants!$B$2,TRUE(),IF($Z370=Constants!$B$3,FALSE(),FALSE())))</f>
        <v/>
      </c>
      <c r="BF370" s="74" t="str">
        <f aca="false">IF(ISBLANK($C370),"",IF(ISBLANK($AA370),0,IF(ISNUMBER($AA370),IF(AND($AA370&gt;=0,$AA370&lt;=Constants!$B$35,$AA370=INT($AA370)),$AA370,""),"")))</f>
        <v/>
      </c>
      <c r="BG370" s="74" t="str">
        <f aca="false">IF(ISBLANK($C370),"",IF($AB370=Constants!$B$2,TRUE(),IF($AB370=Constants!$B$3,FALSE(),TRUE())))</f>
        <v/>
      </c>
      <c r="BH370" s="74" t="str">
        <f aca="false">IF(ISBLANK($C370),"",IF($AC370=Constants!$B$2,TRUE(),IF($AC370=Constants!$B$3,FALSE(),TRUE())))</f>
        <v/>
      </c>
      <c r="BI370" s="74" t="str">
        <f aca="false">IF(ISBLANK($C370),"",IF($AD370=Constants!$B$2,TRUE(),IF($AD370=Constants!$B$3,FALSE(),TRUE())))</f>
        <v/>
      </c>
      <c r="BJ370" s="74" t="str">
        <f aca="false">IF(ISBLANK($C370),"",IF(ISNUMBER($AE370),IF($AE370&gt;=0,$AE370,""),""))</f>
        <v/>
      </c>
      <c r="BK370" s="74" t="str">
        <f aca="false">IF(ISBLANK($C370),"",IF($AF370=Constants!$B$2,TRUE(),IF($AF370=Constants!$B$3,FALSE(),FALSE())))</f>
        <v/>
      </c>
      <c r="BL370" s="73" t="str">
        <f aca="false">IF(ISBLANK($C370),"",IF($BK370,Constants!$B$7,IF(COUNTA($E370:$AE370)=0,Constants!$B$6,IF(OR(COUNTA($G370:$AE370)=0,NOT($AM370),$AS370),Constants!$B$5,IF(OR($CM370&lt;&gt;"",$CN370,$CO370,$CP370,$CQ370,$CR370,$CS370),Constants!$B$8,Constants!$B$4)))))</f>
        <v/>
      </c>
      <c r="BM370" s="74" t="str">
        <f aca="false">IF(ISBLANK($C370),"",IF($BL370&lt;&gt;Constants!$B$4,$BL370,IF(OR(NOT($AJ370),NOT($AL370),NOT($AT370)),Constants!$B$11,IF(OR(NOT($AR370),NOT($AU370),NOT($BI370),MAX($AN370,$AO370,$AP370)&gt;Constants!$B$30),Constants!$B$10,Constants!$B$9))))</f>
        <v/>
      </c>
      <c r="BN370" s="74" t="str">
        <f aca="false">IF($BL370&lt;&gt;Constants!$B$4,"",IF(NOT($AL370),0,MIN(Constants!$B$35,$BF370)))</f>
        <v/>
      </c>
      <c r="BO370" s="74" t="str">
        <f aca="false">IF($BL370&lt;&gt;Constants!$B$4,"",IF(NOT($AL370),0,IF($AW370,Constants!$B$18,IF($AV370,Constants!$B$17,0))))</f>
        <v/>
      </c>
      <c r="BP370" s="74" t="str">
        <f aca="false">IF($BL370&lt;&gt;Constants!$B$4,"",IF(NOT($AL370),0,Constants!$B$19*($AK370+$AX370+$AY370+$AZ370)))</f>
        <v/>
      </c>
      <c r="BQ370" s="74" t="str">
        <f aca="false">IF($BL370&lt;&gt;Constants!$B$4,"",IF(OR(NOT($AL370),NOT(ISNUMBER($BA370))),0,CHOOSE($BA370,Constants!$B$13,Constants!$B$14,Constants!$B$15,Constants!$B$16)))</f>
        <v/>
      </c>
      <c r="BR370" s="74" t="str">
        <f aca="false">IF($BL370&lt;&gt;Constants!$B$4,"",IF(NOT($AL370),0,Constants!$B$20*$BB370))</f>
        <v/>
      </c>
      <c r="BS370" s="74" t="str">
        <f aca="false">IF($BL370&lt;&gt;Constants!$B$4,"",IF(AND($AL370,$BD370,$BE370),Constants!$B$22,0))</f>
        <v/>
      </c>
      <c r="BT370" s="74" t="str">
        <f aca="false">IF($BL370&lt;&gt;Constants!$B$4,"",IF(OR(NOT($AL370),NOT($BD370)),0,IF($BJ370&gt;=2*$AH$9,0,Constants!$B$23*INT(ROUND(MIN($BJ370,$AH$9),6)))))</f>
        <v/>
      </c>
      <c r="BU370" s="74" t="str">
        <f aca="false">IF($BL370&lt;&gt;Constants!$B$4,"",IF(NOT($AL370),0,Constants!$B$24*INT(ROUND(MIN($BC370,$AH$9),6))))</f>
        <v/>
      </c>
      <c r="BV370" s="74" t="str">
        <f aca="false">IF($BL370&lt;&gt;Constants!$B$4,"",IF(AND($AL370,$BN370=0),Constants!$B$25,0))</f>
        <v/>
      </c>
      <c r="BW370" s="74" t="str">
        <f aca="false">IF($BL370&lt;&gt;Constants!$B$4,"",MIN(Constants!$B$29,MAX(0,Constants!$B$27*Constants!$B$28*INT(ROUND((Constants!$B$26-$AN370)/Constants!$B$28,6))))+MIN(Constants!$B$29,MAX(0,Constants!$B$27*Constants!$B$28*INT(ROUND((Constants!$B$26-$AO370)/Constants!$B$28,6))))+MIN(Constants!$B$29,MAX(0,Constants!$B$27*Constants!$B$28*INT(ROUND((Constants!$B$26-$AP370)/Constants!$B$28,6)))))</f>
        <v/>
      </c>
      <c r="BX370" s="74" t="str">
        <f aca="false">IF($BL370&lt;&gt;Constants!$B$4,"",IF(NOT($AL370),0,Constants!$B$31*INT(ROUND(MAX(0,MIN($BJ370,2*$AH$9)-$AH$9),6))))</f>
        <v/>
      </c>
      <c r="BY370" s="74" t="str">
        <f aca="false">IF($BL370&lt;&gt;Constants!$B$4,"",Constants!$B$32*(($AN370&gt;Constants!$B$26)+($AO370&gt;Constants!$B$26)+($AP370&gt;Constants!$B$26)))</f>
        <v/>
      </c>
      <c r="BZ370" s="74" t="str">
        <f aca="false">IF($BL370&lt;&gt;Constants!$B$4,"",IF(OR(NOT($AL370),$AQ370),0,Constants!$B$33))</f>
        <v/>
      </c>
      <c r="CA370" s="74" t="str">
        <f aca="false">IF($BL370&lt;&gt;Constants!$B$4,"",Constants!$B$34*$BN370)</f>
        <v/>
      </c>
      <c r="CB370" s="74" t="str">
        <f aca="false">IF($BL370&lt;&gt;Constants!$B$4,"",IF(OR(NOT($AL370),$BH370),0,Constants!$B$36))</f>
        <v/>
      </c>
      <c r="CC370" s="74" t="str">
        <f aca="false">IF($BL370&lt;&gt;Constants!$B$4,"",IF(OR(NOT($AL370),$BG370),0,Constants!$B$37))</f>
        <v/>
      </c>
      <c r="CD370" s="74" t="str">
        <f aca="false">IF($BL370&lt;&gt;Constants!$B$4,"",SUM($BX370:$CC370))</f>
        <v/>
      </c>
      <c r="CE370" s="74" t="str">
        <f aca="false">IF(ISBLANK($C370),"",IF($BL370&lt;&gt;Constants!$B$4,$BL370,SUM($BO370:$BW370)-$CD370))</f>
        <v/>
      </c>
      <c r="CF370" s="74" t="str">
        <f aca="false">IF(ISBLANK($C370),"",IF($BL370&lt;&gt;Constants!$B$4,$BL370,RANK($CE370,$CE$9:$CE$508)))</f>
        <v/>
      </c>
      <c r="CG370" s="74" t="str">
        <f aca="false">IF(ISBLANK($C370),"",IF($BL370&lt;&gt;Constants!$B$4,$BL370,COUNTIFS($BM$9:$BM$508,"&lt;"&amp;$BM370)+COUNTIFS($BM$9:$BM$508,$BM370,$CF$9:$CF$508,"&lt;"&amp;$CF370)+1))</f>
        <v/>
      </c>
      <c r="CH370" s="74" t="str">
        <f aca="false">IF(ISBLANK($C370),"",IF($BL370&lt;&gt;Constants!$B$4,$BL370,RANK($CD370,$CD$9:$CD$508,1)))</f>
        <v/>
      </c>
      <c r="CI370" s="74" t="str">
        <f aca="false">IF($BL370&lt;&gt;Constants!$B$4,"",$AN370+$AO370+$AP370)</f>
        <v/>
      </c>
      <c r="CJ370" s="74" t="str">
        <f aca="false">IF(ISBLANK($C370),"",IF($BL370&lt;&gt;Constants!$B$4,$BL370,RANK($CI370,$CI$9:$CI$508,1)))</f>
        <v/>
      </c>
      <c r="CK370" s="74" t="str">
        <f aca="false">IF(ISBLANK($C370),"",IF($BL370&lt;&gt;Constants!$B$4,$BL370,COUNTIFS($BM$9:$BM$508,"&lt;"&amp;$BM370)+COUNTIFS($BM$9:$BM$508,$BM370,$CF$9:$CF$508,"&lt;"&amp;$CF370)+COUNTIFS($BM$9:$BM$508,$BM370,$CF$9:$CF$508,$CF370,$CH$9:$CH$508,"&lt;"&amp;$CH370)+COUNTIFS($BM$9:$BM$508,$BM370,$CF$9:$CF$508,$CF370,$CH$9:$CH$508,$CH370,$CJ$9:$CJ$508,"&lt;"&amp;$CJ370)+1))</f>
        <v/>
      </c>
      <c r="CL370" s="74" t="str">
        <f aca="false">IF(ISBLANK($C370),"",IF($BL370&lt;&gt;Constants!$B$4,$BL370,$CG370-$CK370))</f>
        <v/>
      </c>
      <c r="CM370" s="74" t="str">
        <f aca="false">IF(ISBLANK($C370),"",IF(NOT($AL370),"",IF(ISBLANK($D$7),$CM$5,IF(NOT(ISNUMBER($D$7)),$CM$6,""))))</f>
        <v/>
      </c>
      <c r="CN370" s="74" t="str">
        <f aca="false">IF(ISBLANK($C370),"",OR($AN370="",$AO370="",$AP370=""))</f>
        <v/>
      </c>
      <c r="CO370" s="74" t="str">
        <f aca="false">IF(ISBLANK($C370),"",AND($AL370,$BA370=""))</f>
        <v/>
      </c>
      <c r="CP370" s="74" t="str">
        <f aca="false">IF(ISBLANK($C370),"",AND($AL370,$BB370=""))</f>
        <v/>
      </c>
      <c r="CQ370" s="74" t="str">
        <f aca="false">IF(ISBLANK($C370),"",AND($AL370,$BC370=""))</f>
        <v/>
      </c>
      <c r="CR370" s="74" t="str">
        <f aca="false">IF(ISBLANK($C370),"",AND($AL370,$BF370=""))</f>
        <v/>
      </c>
      <c r="CS370" s="74" t="str">
        <f aca="false">IF(ISBLANK($C370),"",AND($AL370,$BJ370=""))</f>
        <v/>
      </c>
      <c r="CT370" s="75"/>
      <c r="CU370" s="76"/>
      <c r="CV370" s="79" t="str">
        <f aca="false">IF(ISBLANK($C370),"",IF($BL370=Constants!$B$8,$CM370,""))</f>
        <v/>
      </c>
      <c r="CW370" s="76" t="str">
        <f aca="false">IF(ISBLANK($C370),"",IF($BL370&lt;&gt;Constants!$B$4,"",$BO370+$BP370))</f>
        <v/>
      </c>
      <c r="CX370" s="78" t="str">
        <f aca="false">IF(ISBLANK($C370),"",IF($BL370&lt;&gt;Constants!$B$4,"",$BQ370+$BR370+$BS370))</f>
        <v/>
      </c>
      <c r="CY370" s="78" t="str">
        <f aca="false">IF(ISBLANK($C370),"",IF($BL370&lt;&gt;Constants!$B$4,"",$BT370))</f>
        <v/>
      </c>
      <c r="CZ370" s="78" t="str">
        <f aca="false">IF(ISBLANK($C370),"",IF($BL370&lt;&gt;Constants!$B$4,"",$BU370+$BV370))</f>
        <v/>
      </c>
      <c r="DA370" s="78" t="str">
        <f aca="false">IF(ISBLANK($C370),"",IF($BL370&lt;&gt;Constants!$B$4,"",$BW370))</f>
        <v/>
      </c>
      <c r="DB370" s="78" t="str">
        <f aca="false">IF(ISBLANK($C370),"",IF($BL370&lt;&gt;Constants!$B$4,"",-$CD370))</f>
        <v/>
      </c>
      <c r="DC370" s="79" t="str">
        <f aca="false">IF(ISBLANK($C370),"",$CE370)</f>
        <v/>
      </c>
      <c r="DD370" s="80" t="str">
        <f aca="false">IF(ISBLANK($C370),"",$BM370)</f>
        <v/>
      </c>
      <c r="DE370" s="78" t="str">
        <f aca="false">IF(ISBLANK($C370),"",$CL370)</f>
        <v/>
      </c>
      <c r="DF370" s="78" t="str">
        <f aca="false">IF(ISBLANK($C370),"",$CK370)</f>
        <v/>
      </c>
      <c r="DG370" s="81" t="str">
        <f aca="false">IF(ISBLANK($C370),"",IF($DF370=Constants!$B$7,COUNTA($C$9:$C$508)+2,IF($DF370=Constants!$B$6,COUNTA($C$9:$C$508)+1,IF($DF370=Constants!$B$5,COUNTA($C$9:$C$508),$DF370))))</f>
        <v/>
      </c>
      <c r="DH370" s="7"/>
      <c r="DI370" s="82" t="n">
        <f aca="false">IF(OR(ISNUMBER($DF370),$DF370=Constants!$B$7,$DF370=Constants!$B$5,$DF370=Constants!$B$6),1,0)</f>
        <v>0</v>
      </c>
      <c r="DJ370" s="82" t="n">
        <v>362</v>
      </c>
      <c r="DK370" s="82" t="str">
        <f aca="false">IF(ISBLANK($C370),"",IF(ISNUMBER($DG370),$DG370+ROW($B370)/1000,""))</f>
        <v/>
      </c>
      <c r="DL370" s="82" t="str">
        <f aca="false">IF(ISNUMBER($DK370),RANK($DK370,$DK$9:$DK$508,1),"")</f>
        <v/>
      </c>
      <c r="DM370" s="82" t="str">
        <f aca="false">IF(ISBLANK($C370),"",$B370)</f>
        <v/>
      </c>
      <c r="DN370" s="82" t="str">
        <f aca="false">IF(ISBLANK($C370),"",$C370)</f>
        <v/>
      </c>
      <c r="DO370" s="82" t="str">
        <f aca="false">IF(ISBLANK($C370),"",$D370)</f>
        <v/>
      </c>
      <c r="DP370" s="83" t="str">
        <f aca="false">$DD370</f>
        <v/>
      </c>
      <c r="DQ370" s="84" t="str">
        <f aca="false">$DC370</f>
        <v/>
      </c>
      <c r="DR370" s="82" t="str">
        <f aca="false">IF(ISBLANK($C370),"",$DF370)</f>
        <v/>
      </c>
      <c r="DS370" s="85" t="str">
        <f aca="false">IF($DJ370&gt;$DI$8,"",VLOOKUP($DJ370,$DL$9:$DR$508,7,FALSE()))</f>
        <v/>
      </c>
      <c r="DT370" s="86" t="str">
        <f aca="false">IF($DJ370&gt;$DI$8,"",VLOOKUP($DJ370,$DL$9:$DR$508,2,FALSE()))</f>
        <v/>
      </c>
      <c r="DU370" s="86" t="str">
        <f aca="false">IF($DJ370&gt;$DI$8,"",VLOOKUP($DJ370,$DL$9:$DR$508,3,FALSE()))</f>
        <v/>
      </c>
      <c r="DV370" s="86" t="str">
        <f aca="false">IF($DJ370&gt;$DI$8,"",VLOOKUP($DJ370,$DL$9:$DR$508,4,FALSE()))</f>
        <v/>
      </c>
      <c r="DW370" s="86" t="str">
        <f aca="false">IF($DJ370&gt;$DI$8,"",VLOOKUP($DJ370,$DL$9:$DR$508,5,FALSE()))</f>
        <v/>
      </c>
      <c r="DX370" s="87" t="str">
        <f aca="false">IF($DJ370&gt;$DI$8,"",VLOOKUP($DJ370,$DL$9:$DR$508,6,FALSE()))</f>
        <v/>
      </c>
      <c r="DY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88"/>
      <c r="N371" s="88"/>
      <c r="O371" s="134"/>
      <c r="P371" s="134"/>
      <c r="Q371" s="88"/>
      <c r="R371" s="88"/>
      <c r="S371" s="88"/>
      <c r="T371" s="88"/>
      <c r="U371" s="134"/>
      <c r="V371" s="88"/>
      <c r="W371" s="70"/>
      <c r="X371" s="88"/>
      <c r="Y371" s="88"/>
      <c r="Z371" s="70"/>
      <c r="AA371" s="70"/>
      <c r="AB371" s="88"/>
      <c r="AC371" s="88"/>
      <c r="AD371" s="88"/>
      <c r="AE371" s="71"/>
      <c r="AF371" s="88"/>
      <c r="AG371" s="73"/>
      <c r="AH371" s="74"/>
      <c r="AI371" s="74"/>
      <c r="AJ371" s="74" t="str">
        <f aca="false">IF(ISBLANK($C371),"",IF($E371=Constants!$B$2,TRUE(),IF($E371=Constants!$B$3,FALSE(),TRUE())))</f>
        <v/>
      </c>
      <c r="AK371" s="74" t="str">
        <f aca="false">IF(ISBLANK($C371),"",IF($F371=Constants!$B$2,TRUE(),IF($F371=Constants!$B$3,FALSE(),FALSE())))</f>
        <v/>
      </c>
      <c r="AL371" s="74" t="str">
        <f aca="false">IF(ISBLANK($C371),"",IF($G371=Constants!$B$2,TRUE(),IF($G371=Constants!$B$3,FALSE(),TRUE())))</f>
        <v/>
      </c>
      <c r="AM371" s="74" t="str">
        <f aca="false">IF(ISBLANK($C371),"",IF($H371=Constants!$B$2,TRUE(),IF($H371=Constants!$B$3,FALSE(),TRUE())))</f>
        <v/>
      </c>
      <c r="AN371" s="74" t="str">
        <f aca="false">IF(ISBLANK($C371),"",IF(ISNUMBER($I371),IF($I371&gt;=0,$I371,""),""))</f>
        <v/>
      </c>
      <c r="AO371" s="74" t="str">
        <f aca="false">IF(ISBLANK($C371),"",IF(ISNUMBER($J371),IF($J371&gt;=0,$J371,""),""))</f>
        <v/>
      </c>
      <c r="AP371" s="74" t="str">
        <f aca="false">IF(ISBLANK($C371),"",IF(ISNUMBER($K371),IF($K371&gt;=0,$K371,""),""))</f>
        <v/>
      </c>
      <c r="AQ371" s="74" t="str">
        <f aca="false">IF(ISBLANK($C371),"",IF($L371=Constants!$B$2,TRUE(),IF($L371=Constants!$B$3,FALSE(),TRUE())))</f>
        <v/>
      </c>
      <c r="AR371" s="74" t="str">
        <f aca="false">IF(ISBLANK($C371),"",IF($M371=Constants!$B$2,TRUE(),IF($M371=Constants!$B$3,FALSE(),TRUE())))</f>
        <v/>
      </c>
      <c r="AS371" s="74" t="str">
        <f aca="false">IF(ISBLANK($C371),"",IF($N371=Constants!$B$2,TRUE(),IF($N371=Constants!$B$3,FALSE(),FALSE())))</f>
        <v/>
      </c>
      <c r="AT371" s="74" t="str">
        <f aca="false">IF(ISBLANK($C371),"",IF($O371=Constants!$B$2,TRUE(),IF($O371=Constants!$B$3,FALSE(),TRUE())))</f>
        <v/>
      </c>
      <c r="AU371" s="74" t="str">
        <f aca="false">IF(ISBLANK($C371),"",IF($P371=Constants!$B$2,TRUE(),IF($P371=Constants!$B$3,FALSE(),TRUE())))</f>
        <v/>
      </c>
      <c r="AV371" s="74" t="str">
        <f aca="false">IF(ISBLANK($C371),"",IF($Q371=Constants!$B$2,TRUE(),IF($Q371=Constants!$B$3,FALSE(),FALSE())))</f>
        <v/>
      </c>
      <c r="AW371" s="74" t="str">
        <f aca="false">IF(ISBLANK($C371),"",IF($R371=Constants!$B$2,TRUE(),IF($R371=Constants!$B$3,FALSE(),FALSE())))</f>
        <v/>
      </c>
      <c r="AX371" s="74" t="str">
        <f aca="false">IF(ISBLANK($C371),"",IF($S371=Constants!$B$2,TRUE(),IF($S371=Constants!$B$3,FALSE(),FALSE())))</f>
        <v/>
      </c>
      <c r="AY371" s="74" t="str">
        <f aca="false">IF(ISBLANK($C371),"",IF($T371=Constants!$B$2,TRUE(),IF($T371=Constants!$B$3,FALSE(),FALSE())))</f>
        <v/>
      </c>
      <c r="AZ371" s="74" t="str">
        <f aca="false">IF(ISBLANK($C371),"",IF($U371=Constants!$B$2,TRUE(),IF($U371=Constants!$B$3,FALSE(),FALSE())))</f>
        <v/>
      </c>
      <c r="BA371" s="74" t="str">
        <f aca="false">IF(ISBLANK($C371),"",IF(OR($V371&amp;""="1",$V371&amp;""="2",$V371&amp;""="3",$V371&amp;""="4"),VALUE($V371&amp;""),IF($V371=Constants!$B$12,Constants!$B$12,"")))</f>
        <v/>
      </c>
      <c r="BB371" s="74" t="str">
        <f aca="false">IF(ISBLANK($C371),"",IF(ISBLANK($W371),0,IF(ISNUMBER($W371),IF(AND($W371&gt;=0,$W371&lt;=Constants!$B$21,$W371=INT($W371)),$W371,""),"")))</f>
        <v/>
      </c>
      <c r="BC371" s="74" t="str">
        <f aca="false">IF(ISBLANK($C371),"",IF(ISBLANK($X371),0,IF(ISNUMBER($X371),IF($X371&gt;=0,$X371,""),"")))</f>
        <v/>
      </c>
      <c r="BD371" s="74" t="str">
        <f aca="false">IF(ISBLANK($C371),"",IF($Y371=Constants!$B$2,TRUE(),IF($Y371=Constants!$B$3,FALSE(),TRUE())))</f>
        <v/>
      </c>
      <c r="BE371" s="74" t="str">
        <f aca="false">IF(ISBLANK($C371),"",IF($Z371=Constants!$B$2,TRUE(),IF($Z371=Constants!$B$3,FALSE(),FALSE())))</f>
        <v/>
      </c>
      <c r="BF371" s="74" t="str">
        <f aca="false">IF(ISBLANK($C371),"",IF(ISBLANK($AA371),0,IF(ISNUMBER($AA371),IF(AND($AA371&gt;=0,$AA371&lt;=Constants!$B$35,$AA371=INT($AA371)),$AA371,""),"")))</f>
        <v/>
      </c>
      <c r="BG371" s="74" t="str">
        <f aca="false">IF(ISBLANK($C371),"",IF($AB371=Constants!$B$2,TRUE(),IF($AB371=Constants!$B$3,FALSE(),TRUE())))</f>
        <v/>
      </c>
      <c r="BH371" s="74" t="str">
        <f aca="false">IF(ISBLANK($C371),"",IF($AC371=Constants!$B$2,TRUE(),IF($AC371=Constants!$B$3,FALSE(),TRUE())))</f>
        <v/>
      </c>
      <c r="BI371" s="74" t="str">
        <f aca="false">IF(ISBLANK($C371),"",IF($AD371=Constants!$B$2,TRUE(),IF($AD371=Constants!$B$3,FALSE(),TRUE())))</f>
        <v/>
      </c>
      <c r="BJ371" s="74" t="str">
        <f aca="false">IF(ISBLANK($C371),"",IF(ISNUMBER($AE371),IF($AE371&gt;=0,$AE371,""),""))</f>
        <v/>
      </c>
      <c r="BK371" s="74" t="str">
        <f aca="false">IF(ISBLANK($C371),"",IF($AF371=Constants!$B$2,TRUE(),IF($AF371=Constants!$B$3,FALSE(),FALSE())))</f>
        <v/>
      </c>
      <c r="BL371" s="73" t="str">
        <f aca="false">IF(ISBLANK($C371),"",IF($BK371,Constants!$B$7,IF(COUNTA($E371:$AE371)=0,Constants!$B$6,IF(OR(COUNTA($G371:$AE371)=0,NOT($AM371),$AS371),Constants!$B$5,IF(OR($CM371&lt;&gt;"",$CN371,$CO371,$CP371,$CQ371,$CR371,$CS371),Constants!$B$8,Constants!$B$4)))))</f>
        <v/>
      </c>
      <c r="BM371" s="74" t="str">
        <f aca="false">IF(ISBLANK($C371),"",IF($BL371&lt;&gt;Constants!$B$4,$BL371,IF(OR(NOT($AJ371),NOT($AL371),NOT($AT371)),Constants!$B$11,IF(OR(NOT($AR371),NOT($AU371),NOT($BI371),MAX($AN371,$AO371,$AP371)&gt;Constants!$B$30),Constants!$B$10,Constants!$B$9))))</f>
        <v/>
      </c>
      <c r="BN371" s="74" t="str">
        <f aca="false">IF($BL371&lt;&gt;Constants!$B$4,"",IF(NOT($AL371),0,MIN(Constants!$B$35,$BF371)))</f>
        <v/>
      </c>
      <c r="BO371" s="74" t="str">
        <f aca="false">IF($BL371&lt;&gt;Constants!$B$4,"",IF(NOT($AL371),0,IF($AW371,Constants!$B$18,IF($AV371,Constants!$B$17,0))))</f>
        <v/>
      </c>
      <c r="BP371" s="74" t="str">
        <f aca="false">IF($BL371&lt;&gt;Constants!$B$4,"",IF(NOT($AL371),0,Constants!$B$19*($AK371+$AX371+$AY371+$AZ371)))</f>
        <v/>
      </c>
      <c r="BQ371" s="74" t="str">
        <f aca="false">IF($BL371&lt;&gt;Constants!$B$4,"",IF(OR(NOT($AL371),NOT(ISNUMBER($BA371))),0,CHOOSE($BA371,Constants!$B$13,Constants!$B$14,Constants!$B$15,Constants!$B$16)))</f>
        <v/>
      </c>
      <c r="BR371" s="74" t="str">
        <f aca="false">IF($BL371&lt;&gt;Constants!$B$4,"",IF(NOT($AL371),0,Constants!$B$20*$BB371))</f>
        <v/>
      </c>
      <c r="BS371" s="74" t="str">
        <f aca="false">IF($BL371&lt;&gt;Constants!$B$4,"",IF(AND($AL371,$BD371,$BE371),Constants!$B$22,0))</f>
        <v/>
      </c>
      <c r="BT371" s="74" t="str">
        <f aca="false">IF($BL371&lt;&gt;Constants!$B$4,"",IF(OR(NOT($AL371),NOT($BD371)),0,IF($BJ371&gt;=2*$AH$9,0,Constants!$B$23*INT(ROUND(MIN($BJ371,$AH$9),6)))))</f>
        <v/>
      </c>
      <c r="BU371" s="74" t="str">
        <f aca="false">IF($BL371&lt;&gt;Constants!$B$4,"",IF(NOT($AL371),0,Constants!$B$24*INT(ROUND(MIN($BC371,$AH$9),6))))</f>
        <v/>
      </c>
      <c r="BV371" s="74" t="str">
        <f aca="false">IF($BL371&lt;&gt;Constants!$B$4,"",IF(AND($AL371,$BN371=0),Constants!$B$25,0))</f>
        <v/>
      </c>
      <c r="BW371" s="74" t="str">
        <f aca="false">IF($BL371&lt;&gt;Constants!$B$4,"",MIN(Constants!$B$29,MAX(0,Constants!$B$27*Constants!$B$28*INT(ROUND((Constants!$B$26-$AN371)/Constants!$B$28,6))))+MIN(Constants!$B$29,MAX(0,Constants!$B$27*Constants!$B$28*INT(ROUND((Constants!$B$26-$AO371)/Constants!$B$28,6))))+MIN(Constants!$B$29,MAX(0,Constants!$B$27*Constants!$B$28*INT(ROUND((Constants!$B$26-$AP371)/Constants!$B$28,6)))))</f>
        <v/>
      </c>
      <c r="BX371" s="74" t="str">
        <f aca="false">IF($BL371&lt;&gt;Constants!$B$4,"",IF(NOT($AL371),0,Constants!$B$31*INT(ROUND(MAX(0,MIN($BJ371,2*$AH$9)-$AH$9),6))))</f>
        <v/>
      </c>
      <c r="BY371" s="74" t="str">
        <f aca="false">IF($BL371&lt;&gt;Constants!$B$4,"",Constants!$B$32*(($AN371&gt;Constants!$B$26)+($AO371&gt;Constants!$B$26)+($AP371&gt;Constants!$B$26)))</f>
        <v/>
      </c>
      <c r="BZ371" s="74" t="str">
        <f aca="false">IF($BL371&lt;&gt;Constants!$B$4,"",IF(OR(NOT($AL371),$AQ371),0,Constants!$B$33))</f>
        <v/>
      </c>
      <c r="CA371" s="74" t="str">
        <f aca="false">IF($BL371&lt;&gt;Constants!$B$4,"",Constants!$B$34*$BN371)</f>
        <v/>
      </c>
      <c r="CB371" s="74" t="str">
        <f aca="false">IF($BL371&lt;&gt;Constants!$B$4,"",IF(OR(NOT($AL371),$BH371),0,Constants!$B$36))</f>
        <v/>
      </c>
      <c r="CC371" s="74" t="str">
        <f aca="false">IF($BL371&lt;&gt;Constants!$B$4,"",IF(OR(NOT($AL371),$BG371),0,Constants!$B$37))</f>
        <v/>
      </c>
      <c r="CD371" s="74" t="str">
        <f aca="false">IF($BL371&lt;&gt;Constants!$B$4,"",SUM($BX371:$CC371))</f>
        <v/>
      </c>
      <c r="CE371" s="74" t="str">
        <f aca="false">IF(ISBLANK($C371),"",IF($BL371&lt;&gt;Constants!$B$4,$BL371,SUM($BO371:$BW371)-$CD371))</f>
        <v/>
      </c>
      <c r="CF371" s="74" t="str">
        <f aca="false">IF(ISBLANK($C371),"",IF($BL371&lt;&gt;Constants!$B$4,$BL371,RANK($CE371,$CE$9:$CE$508)))</f>
        <v/>
      </c>
      <c r="CG371" s="74" t="str">
        <f aca="false">IF(ISBLANK($C371),"",IF($BL371&lt;&gt;Constants!$B$4,$BL371,COUNTIFS($BM$9:$BM$508,"&lt;"&amp;$BM371)+COUNTIFS($BM$9:$BM$508,$BM371,$CF$9:$CF$508,"&lt;"&amp;$CF371)+1))</f>
        <v/>
      </c>
      <c r="CH371" s="74" t="str">
        <f aca="false">IF(ISBLANK($C371),"",IF($BL371&lt;&gt;Constants!$B$4,$BL371,RANK($CD371,$CD$9:$CD$508,1)))</f>
        <v/>
      </c>
      <c r="CI371" s="74" t="str">
        <f aca="false">IF($BL371&lt;&gt;Constants!$B$4,"",$AN371+$AO371+$AP371)</f>
        <v/>
      </c>
      <c r="CJ371" s="74" t="str">
        <f aca="false">IF(ISBLANK($C371),"",IF($BL371&lt;&gt;Constants!$B$4,$BL371,RANK($CI371,$CI$9:$CI$508,1)))</f>
        <v/>
      </c>
      <c r="CK371" s="74" t="str">
        <f aca="false">IF(ISBLANK($C371),"",IF($BL371&lt;&gt;Constants!$B$4,$BL371,COUNTIFS($BM$9:$BM$508,"&lt;"&amp;$BM371)+COUNTIFS($BM$9:$BM$508,$BM371,$CF$9:$CF$508,"&lt;"&amp;$CF371)+COUNTIFS($BM$9:$BM$508,$BM371,$CF$9:$CF$508,$CF371,$CH$9:$CH$508,"&lt;"&amp;$CH371)+COUNTIFS($BM$9:$BM$508,$BM371,$CF$9:$CF$508,$CF371,$CH$9:$CH$508,$CH371,$CJ$9:$CJ$508,"&lt;"&amp;$CJ371)+1))</f>
        <v/>
      </c>
      <c r="CL371" s="74" t="str">
        <f aca="false">IF(ISBLANK($C371),"",IF($BL371&lt;&gt;Constants!$B$4,$BL371,$CG371-$CK371))</f>
        <v/>
      </c>
      <c r="CM371" s="74" t="str">
        <f aca="false">IF(ISBLANK($C371),"",IF(NOT($AL371),"",IF(ISBLANK($D$7),$CM$5,IF(NOT(ISNUMBER($D$7)),$CM$6,""))))</f>
        <v/>
      </c>
      <c r="CN371" s="74" t="str">
        <f aca="false">IF(ISBLANK($C371),"",OR($AN371="",$AO371="",$AP371=""))</f>
        <v/>
      </c>
      <c r="CO371" s="74" t="str">
        <f aca="false">IF(ISBLANK($C371),"",AND($AL371,$BA371=""))</f>
        <v/>
      </c>
      <c r="CP371" s="74" t="str">
        <f aca="false">IF(ISBLANK($C371),"",AND($AL371,$BB371=""))</f>
        <v/>
      </c>
      <c r="CQ371" s="74" t="str">
        <f aca="false">IF(ISBLANK($C371),"",AND($AL371,$BC371=""))</f>
        <v/>
      </c>
      <c r="CR371" s="74" t="str">
        <f aca="false">IF(ISBLANK($C371),"",AND($AL371,$BF371=""))</f>
        <v/>
      </c>
      <c r="CS371" s="74" t="str">
        <f aca="false">IF(ISBLANK($C371),"",AND($AL371,$BJ371=""))</f>
        <v/>
      </c>
      <c r="CT371" s="75"/>
      <c r="CU371" s="76"/>
      <c r="CV371" s="79" t="str">
        <f aca="false">IF(ISBLANK($C371),"",IF($BL371=Constants!$B$8,$CM371,""))</f>
        <v/>
      </c>
      <c r="CW371" s="76" t="str">
        <f aca="false">IF(ISBLANK($C371),"",IF($BL371&lt;&gt;Constants!$B$4,"",$BO371+$BP371))</f>
        <v/>
      </c>
      <c r="CX371" s="78" t="str">
        <f aca="false">IF(ISBLANK($C371),"",IF($BL371&lt;&gt;Constants!$B$4,"",$BQ371+$BR371+$BS371))</f>
        <v/>
      </c>
      <c r="CY371" s="78" t="str">
        <f aca="false">IF(ISBLANK($C371),"",IF($BL371&lt;&gt;Constants!$B$4,"",$BT371))</f>
        <v/>
      </c>
      <c r="CZ371" s="78" t="str">
        <f aca="false">IF(ISBLANK($C371),"",IF($BL371&lt;&gt;Constants!$B$4,"",$BU371+$BV371))</f>
        <v/>
      </c>
      <c r="DA371" s="78" t="str">
        <f aca="false">IF(ISBLANK($C371),"",IF($BL371&lt;&gt;Constants!$B$4,"",$BW371))</f>
        <v/>
      </c>
      <c r="DB371" s="78" t="str">
        <f aca="false">IF(ISBLANK($C371),"",IF($BL371&lt;&gt;Constants!$B$4,"",-$CD371))</f>
        <v/>
      </c>
      <c r="DC371" s="79" t="str">
        <f aca="false">IF(ISBLANK($C371),"",$CE371)</f>
        <v/>
      </c>
      <c r="DD371" s="80" t="str">
        <f aca="false">IF(ISBLANK($C371),"",$BM371)</f>
        <v/>
      </c>
      <c r="DE371" s="78" t="str">
        <f aca="false">IF(ISBLANK($C371),"",$CL371)</f>
        <v/>
      </c>
      <c r="DF371" s="78" t="str">
        <f aca="false">IF(ISBLANK($C371),"",$CK371)</f>
        <v/>
      </c>
      <c r="DG371" s="81" t="str">
        <f aca="false">IF(ISBLANK($C371),"",IF($DF371=Constants!$B$7,COUNTA($C$9:$C$508)+2,IF($DF371=Constants!$B$6,COUNTA($C$9:$C$508)+1,IF($DF371=Constants!$B$5,COUNTA($C$9:$C$508),$DF371))))</f>
        <v/>
      </c>
      <c r="DH371" s="7"/>
      <c r="DI371" s="82" t="n">
        <f aca="false">IF(OR(ISNUMBER($DF371),$DF371=Constants!$B$7,$DF371=Constants!$B$5,$DF371=Constants!$B$6),1,0)</f>
        <v>0</v>
      </c>
      <c r="DJ371" s="82" t="n">
        <v>363</v>
      </c>
      <c r="DK371" s="82" t="str">
        <f aca="false">IF(ISBLANK($C371),"",IF(ISNUMBER($DG371),$DG371+ROW($B371)/1000,""))</f>
        <v/>
      </c>
      <c r="DL371" s="82" t="str">
        <f aca="false">IF(ISNUMBER($DK371),RANK($DK371,$DK$9:$DK$508,1),"")</f>
        <v/>
      </c>
      <c r="DM371" s="82" t="str">
        <f aca="false">IF(ISBLANK($C371),"",$B371)</f>
        <v/>
      </c>
      <c r="DN371" s="82" t="str">
        <f aca="false">IF(ISBLANK($C371),"",$C371)</f>
        <v/>
      </c>
      <c r="DO371" s="82" t="str">
        <f aca="false">IF(ISBLANK($C371),"",$D371)</f>
        <v/>
      </c>
      <c r="DP371" s="83" t="str">
        <f aca="false">$DD371</f>
        <v/>
      </c>
      <c r="DQ371" s="84" t="str">
        <f aca="false">$DC371</f>
        <v/>
      </c>
      <c r="DR371" s="82" t="str">
        <f aca="false">IF(ISBLANK($C371),"",$DF371)</f>
        <v/>
      </c>
      <c r="DS371" s="85" t="str">
        <f aca="false">IF($DJ371&gt;$DI$8,"",VLOOKUP($DJ371,$DL$9:$DR$508,7,FALSE()))</f>
        <v/>
      </c>
      <c r="DT371" s="86" t="str">
        <f aca="false">IF($DJ371&gt;$DI$8,"",VLOOKUP($DJ371,$DL$9:$DR$508,2,FALSE()))</f>
        <v/>
      </c>
      <c r="DU371" s="86" t="str">
        <f aca="false">IF($DJ371&gt;$DI$8,"",VLOOKUP($DJ371,$DL$9:$DR$508,3,FALSE()))</f>
        <v/>
      </c>
      <c r="DV371" s="86" t="str">
        <f aca="false">IF($DJ371&gt;$DI$8,"",VLOOKUP($DJ371,$DL$9:$DR$508,4,FALSE()))</f>
        <v/>
      </c>
      <c r="DW371" s="86" t="str">
        <f aca="false">IF($DJ371&gt;$DI$8,"",VLOOKUP($DJ371,$DL$9:$DR$508,5,FALSE()))</f>
        <v/>
      </c>
      <c r="DX371" s="87" t="str">
        <f aca="false">IF($DJ371&gt;$DI$8,"",VLOOKUP($DJ371,$DL$9:$DR$508,6,FALSE()))</f>
        <v/>
      </c>
      <c r="DY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130"/>
      <c r="N372" s="130"/>
      <c r="O372" s="135"/>
      <c r="P372" s="135"/>
      <c r="Q372" s="130"/>
      <c r="R372" s="130"/>
      <c r="S372" s="130"/>
      <c r="T372" s="130"/>
      <c r="U372" s="135"/>
      <c r="V372" s="130"/>
      <c r="W372" s="96"/>
      <c r="X372" s="130"/>
      <c r="Y372" s="130"/>
      <c r="Z372" s="96"/>
      <c r="AA372" s="96"/>
      <c r="AB372" s="130"/>
      <c r="AC372" s="130"/>
      <c r="AD372" s="130"/>
      <c r="AE372" s="97"/>
      <c r="AF372" s="130"/>
      <c r="AG372" s="99"/>
      <c r="AH372" s="100"/>
      <c r="AI372" s="100"/>
      <c r="AJ372" s="100" t="str">
        <f aca="false">IF(ISBLANK($C372),"",IF($E372=Constants!$B$2,TRUE(),IF($E372=Constants!$B$3,FALSE(),TRUE())))</f>
        <v/>
      </c>
      <c r="AK372" s="100" t="str">
        <f aca="false">IF(ISBLANK($C372),"",IF($F372=Constants!$B$2,TRUE(),IF($F372=Constants!$B$3,FALSE(),FALSE())))</f>
        <v/>
      </c>
      <c r="AL372" s="100" t="str">
        <f aca="false">IF(ISBLANK($C372),"",IF($G372=Constants!$B$2,TRUE(),IF($G372=Constants!$B$3,FALSE(),TRUE())))</f>
        <v/>
      </c>
      <c r="AM372" s="100" t="str">
        <f aca="false">IF(ISBLANK($C372),"",IF($H372=Constants!$B$2,TRUE(),IF($H372=Constants!$B$3,FALSE(),TRUE())))</f>
        <v/>
      </c>
      <c r="AN372" s="100" t="str">
        <f aca="false">IF(ISBLANK($C372),"",IF(ISNUMBER($I372),IF($I372&gt;=0,$I372,""),""))</f>
        <v/>
      </c>
      <c r="AO372" s="100" t="str">
        <f aca="false">IF(ISBLANK($C372),"",IF(ISNUMBER($J372),IF($J372&gt;=0,$J372,""),""))</f>
        <v/>
      </c>
      <c r="AP372" s="100" t="str">
        <f aca="false">IF(ISBLANK($C372),"",IF(ISNUMBER($K372),IF($K372&gt;=0,$K372,""),""))</f>
        <v/>
      </c>
      <c r="AQ372" s="100" t="str">
        <f aca="false">IF(ISBLANK($C372),"",IF($L372=Constants!$B$2,TRUE(),IF($L372=Constants!$B$3,FALSE(),TRUE())))</f>
        <v/>
      </c>
      <c r="AR372" s="100" t="str">
        <f aca="false">IF(ISBLANK($C372),"",IF($M372=Constants!$B$2,TRUE(),IF($M372=Constants!$B$3,FALSE(),TRUE())))</f>
        <v/>
      </c>
      <c r="AS372" s="100" t="str">
        <f aca="false">IF(ISBLANK($C372),"",IF($N372=Constants!$B$2,TRUE(),IF($N372=Constants!$B$3,FALSE(),FALSE())))</f>
        <v/>
      </c>
      <c r="AT372" s="100" t="str">
        <f aca="false">IF(ISBLANK($C372),"",IF($O372=Constants!$B$2,TRUE(),IF($O372=Constants!$B$3,FALSE(),TRUE())))</f>
        <v/>
      </c>
      <c r="AU372" s="100" t="str">
        <f aca="false">IF(ISBLANK($C372),"",IF($P372=Constants!$B$2,TRUE(),IF($P372=Constants!$B$3,FALSE(),TRUE())))</f>
        <v/>
      </c>
      <c r="AV372" s="100" t="str">
        <f aca="false">IF(ISBLANK($C372),"",IF($Q372=Constants!$B$2,TRUE(),IF($Q372=Constants!$B$3,FALSE(),FALSE())))</f>
        <v/>
      </c>
      <c r="AW372" s="100" t="str">
        <f aca="false">IF(ISBLANK($C372),"",IF($R372=Constants!$B$2,TRUE(),IF($R372=Constants!$B$3,FALSE(),FALSE())))</f>
        <v/>
      </c>
      <c r="AX372" s="100" t="str">
        <f aca="false">IF(ISBLANK($C372),"",IF($S372=Constants!$B$2,TRUE(),IF($S372=Constants!$B$3,FALSE(),FALSE())))</f>
        <v/>
      </c>
      <c r="AY372" s="100" t="str">
        <f aca="false">IF(ISBLANK($C372),"",IF($T372=Constants!$B$2,TRUE(),IF($T372=Constants!$B$3,FALSE(),FALSE())))</f>
        <v/>
      </c>
      <c r="AZ372" s="100" t="str">
        <f aca="false">IF(ISBLANK($C372),"",IF($U372=Constants!$B$2,TRUE(),IF($U372=Constants!$B$3,FALSE(),FALSE())))</f>
        <v/>
      </c>
      <c r="BA372" s="100" t="str">
        <f aca="false">IF(ISBLANK($C372),"",IF(OR($V372&amp;""="1",$V372&amp;""="2",$V372&amp;""="3",$V372&amp;""="4"),VALUE($V372&amp;""),IF($V372=Constants!$B$12,Constants!$B$12,"")))</f>
        <v/>
      </c>
      <c r="BB372" s="100" t="str">
        <f aca="false">IF(ISBLANK($C372),"",IF(ISBLANK($W372),0,IF(ISNUMBER($W372),IF(AND($W372&gt;=0,$W372&lt;=Constants!$B$21,$W372=INT($W372)),$W372,""),"")))</f>
        <v/>
      </c>
      <c r="BC372" s="100" t="str">
        <f aca="false">IF(ISBLANK($C372),"",IF(ISBLANK($X372),0,IF(ISNUMBER($X372),IF($X372&gt;=0,$X372,""),"")))</f>
        <v/>
      </c>
      <c r="BD372" s="100" t="str">
        <f aca="false">IF(ISBLANK($C372),"",IF($Y372=Constants!$B$2,TRUE(),IF($Y372=Constants!$B$3,FALSE(),TRUE())))</f>
        <v/>
      </c>
      <c r="BE372" s="100" t="str">
        <f aca="false">IF(ISBLANK($C372),"",IF($Z372=Constants!$B$2,TRUE(),IF($Z372=Constants!$B$3,FALSE(),FALSE())))</f>
        <v/>
      </c>
      <c r="BF372" s="100" t="str">
        <f aca="false">IF(ISBLANK($C372),"",IF(ISBLANK($AA372),0,IF(ISNUMBER($AA372),IF(AND($AA372&gt;=0,$AA372&lt;=Constants!$B$35,$AA372=INT($AA372)),$AA372,""),"")))</f>
        <v/>
      </c>
      <c r="BG372" s="100" t="str">
        <f aca="false">IF(ISBLANK($C372),"",IF($AB372=Constants!$B$2,TRUE(),IF($AB372=Constants!$B$3,FALSE(),TRUE())))</f>
        <v/>
      </c>
      <c r="BH372" s="100" t="str">
        <f aca="false">IF(ISBLANK($C372),"",IF($AC372=Constants!$B$2,TRUE(),IF($AC372=Constants!$B$3,FALSE(),TRUE())))</f>
        <v/>
      </c>
      <c r="BI372" s="100" t="str">
        <f aca="false">IF(ISBLANK($C372),"",IF($AD372=Constants!$B$2,TRUE(),IF($AD372=Constants!$B$3,FALSE(),TRUE())))</f>
        <v/>
      </c>
      <c r="BJ372" s="100" t="str">
        <f aca="false">IF(ISBLANK($C372),"",IF(ISNUMBER($AE372),IF($AE372&gt;=0,$AE372,""),""))</f>
        <v/>
      </c>
      <c r="BK372" s="100" t="str">
        <f aca="false">IF(ISBLANK($C372),"",IF($AF372=Constants!$B$2,TRUE(),IF($AF372=Constants!$B$3,FALSE(),FALSE())))</f>
        <v/>
      </c>
      <c r="BL372" s="99" t="str">
        <f aca="false">IF(ISBLANK($C372),"",IF($BK372,Constants!$B$7,IF(COUNTA($E372:$AE372)=0,Constants!$B$6,IF(OR(COUNTA($G372:$AE372)=0,NOT($AM372),$AS372),Constants!$B$5,IF(OR($CM372&lt;&gt;"",$CN372,$CO372,$CP372,$CQ372,$CR372,$CS372),Constants!$B$8,Constants!$B$4)))))</f>
        <v/>
      </c>
      <c r="BM372" s="100" t="str">
        <f aca="false">IF(ISBLANK($C372),"",IF($BL372&lt;&gt;Constants!$B$4,$BL372,IF(OR(NOT($AJ372),NOT($AL372),NOT($AT372)),Constants!$B$11,IF(OR(NOT($AR372),NOT($AU372),NOT($BI372),MAX($AN372,$AO372,$AP372)&gt;Constants!$B$30),Constants!$B$10,Constants!$B$9))))</f>
        <v/>
      </c>
      <c r="BN372" s="100" t="str">
        <f aca="false">IF($BL372&lt;&gt;Constants!$B$4,"",IF(NOT($AL372),0,MIN(Constants!$B$35,$BF372)))</f>
        <v/>
      </c>
      <c r="BO372" s="100" t="str">
        <f aca="false">IF($BL372&lt;&gt;Constants!$B$4,"",IF(NOT($AL372),0,IF($AW372,Constants!$B$18,IF($AV372,Constants!$B$17,0))))</f>
        <v/>
      </c>
      <c r="BP372" s="100" t="str">
        <f aca="false">IF($BL372&lt;&gt;Constants!$B$4,"",IF(NOT($AL372),0,Constants!$B$19*($AK372+$AX372+$AY372+$AZ372)))</f>
        <v/>
      </c>
      <c r="BQ372" s="100" t="str">
        <f aca="false">IF($BL372&lt;&gt;Constants!$B$4,"",IF(OR(NOT($AL372),NOT(ISNUMBER($BA372))),0,CHOOSE($BA372,Constants!$B$13,Constants!$B$14,Constants!$B$15,Constants!$B$16)))</f>
        <v/>
      </c>
      <c r="BR372" s="100" t="str">
        <f aca="false">IF($BL372&lt;&gt;Constants!$B$4,"",IF(NOT($AL372),0,Constants!$B$20*$BB372))</f>
        <v/>
      </c>
      <c r="BS372" s="100" t="str">
        <f aca="false">IF($BL372&lt;&gt;Constants!$B$4,"",IF(AND($AL372,$BD372,$BE372),Constants!$B$22,0))</f>
        <v/>
      </c>
      <c r="BT372" s="100" t="str">
        <f aca="false">IF($BL372&lt;&gt;Constants!$B$4,"",IF(OR(NOT($AL372),NOT($BD372)),0,IF($BJ372&gt;=2*$AH$9,0,Constants!$B$23*INT(ROUND(MIN($BJ372,$AH$9),6)))))</f>
        <v/>
      </c>
      <c r="BU372" s="100" t="str">
        <f aca="false">IF($BL372&lt;&gt;Constants!$B$4,"",IF(NOT($AL372),0,Constants!$B$24*INT(ROUND(MIN($BC372,$AH$9),6))))</f>
        <v/>
      </c>
      <c r="BV372" s="100" t="str">
        <f aca="false">IF($BL372&lt;&gt;Constants!$B$4,"",IF(AND($AL372,$BN372=0),Constants!$B$25,0))</f>
        <v/>
      </c>
      <c r="BW372" s="100" t="str">
        <f aca="false">IF($BL372&lt;&gt;Constants!$B$4,"",MIN(Constants!$B$29,MAX(0,Constants!$B$27*Constants!$B$28*INT(ROUND((Constants!$B$26-$AN372)/Constants!$B$28,6))))+MIN(Constants!$B$29,MAX(0,Constants!$B$27*Constants!$B$28*INT(ROUND((Constants!$B$26-$AO372)/Constants!$B$28,6))))+MIN(Constants!$B$29,MAX(0,Constants!$B$27*Constants!$B$28*INT(ROUND((Constants!$B$26-$AP372)/Constants!$B$28,6)))))</f>
        <v/>
      </c>
      <c r="BX372" s="100" t="str">
        <f aca="false">IF($BL372&lt;&gt;Constants!$B$4,"",IF(NOT($AL372),0,Constants!$B$31*INT(ROUND(MAX(0,MIN($BJ372,2*$AH$9)-$AH$9),6))))</f>
        <v/>
      </c>
      <c r="BY372" s="100" t="str">
        <f aca="false">IF($BL372&lt;&gt;Constants!$B$4,"",Constants!$B$32*(($AN372&gt;Constants!$B$26)+($AO372&gt;Constants!$B$26)+($AP372&gt;Constants!$B$26)))</f>
        <v/>
      </c>
      <c r="BZ372" s="100" t="str">
        <f aca="false">IF($BL372&lt;&gt;Constants!$B$4,"",IF(OR(NOT($AL372),$AQ372),0,Constants!$B$33))</f>
        <v/>
      </c>
      <c r="CA372" s="100" t="str">
        <f aca="false">IF($BL372&lt;&gt;Constants!$B$4,"",Constants!$B$34*$BN372)</f>
        <v/>
      </c>
      <c r="CB372" s="100" t="str">
        <f aca="false">IF($BL372&lt;&gt;Constants!$B$4,"",IF(OR(NOT($AL372),$BH372),0,Constants!$B$36))</f>
        <v/>
      </c>
      <c r="CC372" s="100" t="str">
        <f aca="false">IF($BL372&lt;&gt;Constants!$B$4,"",IF(OR(NOT($AL372),$BG372),0,Constants!$B$37))</f>
        <v/>
      </c>
      <c r="CD372" s="100" t="str">
        <f aca="false">IF($BL372&lt;&gt;Constants!$B$4,"",SUM($BX372:$CC372))</f>
        <v/>
      </c>
      <c r="CE372" s="100" t="str">
        <f aca="false">IF(ISBLANK($C372),"",IF($BL372&lt;&gt;Constants!$B$4,$BL372,SUM($BO372:$BW372)-$CD372))</f>
        <v/>
      </c>
      <c r="CF372" s="100" t="str">
        <f aca="false">IF(ISBLANK($C372),"",IF($BL372&lt;&gt;Constants!$B$4,$BL372,RANK($CE372,$CE$9:$CE$508)))</f>
        <v/>
      </c>
      <c r="CG372" s="100" t="str">
        <f aca="false">IF(ISBLANK($C372),"",IF($BL372&lt;&gt;Constants!$B$4,$BL372,COUNTIFS($BM$9:$BM$508,"&lt;"&amp;$BM372)+COUNTIFS($BM$9:$BM$508,$BM372,$CF$9:$CF$508,"&lt;"&amp;$CF372)+1))</f>
        <v/>
      </c>
      <c r="CH372" s="100" t="str">
        <f aca="false">IF(ISBLANK($C372),"",IF($BL372&lt;&gt;Constants!$B$4,$BL372,RANK($CD372,$CD$9:$CD$508,1)))</f>
        <v/>
      </c>
      <c r="CI372" s="100" t="str">
        <f aca="false">IF($BL372&lt;&gt;Constants!$B$4,"",$AN372+$AO372+$AP372)</f>
        <v/>
      </c>
      <c r="CJ372" s="100" t="str">
        <f aca="false">IF(ISBLANK($C372),"",IF($BL372&lt;&gt;Constants!$B$4,$BL372,RANK($CI372,$CI$9:$CI$508,1)))</f>
        <v/>
      </c>
      <c r="CK372" s="100" t="str">
        <f aca="false">IF(ISBLANK($C372),"",IF($BL372&lt;&gt;Constants!$B$4,$BL372,COUNTIFS($BM$9:$BM$508,"&lt;"&amp;$BM372)+COUNTIFS($BM$9:$BM$508,$BM372,$CF$9:$CF$508,"&lt;"&amp;$CF372)+COUNTIFS($BM$9:$BM$508,$BM372,$CF$9:$CF$508,$CF372,$CH$9:$CH$508,"&lt;"&amp;$CH372)+COUNTIFS($BM$9:$BM$508,$BM372,$CF$9:$CF$508,$CF372,$CH$9:$CH$508,$CH372,$CJ$9:$CJ$508,"&lt;"&amp;$CJ372)+1))</f>
        <v/>
      </c>
      <c r="CL372" s="100" t="str">
        <f aca="false">IF(ISBLANK($C372),"",IF($BL372&lt;&gt;Constants!$B$4,$BL372,$CG372-$CK372))</f>
        <v/>
      </c>
      <c r="CM372" s="100" t="str">
        <f aca="false">IF(ISBLANK($C372),"",IF(NOT($AL372),"",IF(ISBLANK($D$7),$CM$5,IF(NOT(ISNUMBER($D$7)),$CM$6,""))))</f>
        <v/>
      </c>
      <c r="CN372" s="100" t="str">
        <f aca="false">IF(ISBLANK($C372),"",OR($AN372="",$AO372="",$AP372=""))</f>
        <v/>
      </c>
      <c r="CO372" s="100" t="str">
        <f aca="false">IF(ISBLANK($C372),"",AND($AL372,$BA372=""))</f>
        <v/>
      </c>
      <c r="CP372" s="100" t="str">
        <f aca="false">IF(ISBLANK($C372),"",AND($AL372,$BB372=""))</f>
        <v/>
      </c>
      <c r="CQ372" s="100" t="str">
        <f aca="false">IF(ISBLANK($C372),"",AND($AL372,$BC372=""))</f>
        <v/>
      </c>
      <c r="CR372" s="100" t="str">
        <f aca="false">IF(ISBLANK($C372),"",AND($AL372,$BF372=""))</f>
        <v/>
      </c>
      <c r="CS372" s="100" t="str">
        <f aca="false">IF(ISBLANK($C372),"",AND($AL372,$BJ372=""))</f>
        <v/>
      </c>
      <c r="CT372" s="101"/>
      <c r="CU372" s="102"/>
      <c r="CV372" s="103" t="str">
        <f aca="false">IF(ISBLANK($C372),"",IF($BL372=Constants!$B$8,$CM372,""))</f>
        <v/>
      </c>
      <c r="CW372" s="102" t="str">
        <f aca="false">IF(ISBLANK($C372),"",IF($BL372&lt;&gt;Constants!$B$4,"",$BO372+$BP372))</f>
        <v/>
      </c>
      <c r="CX372" s="104" t="str">
        <f aca="false">IF(ISBLANK($C372),"",IF($BL372&lt;&gt;Constants!$B$4,"",$BQ372+$BR372+$BS372))</f>
        <v/>
      </c>
      <c r="CY372" s="104" t="str">
        <f aca="false">IF(ISBLANK($C372),"",IF($BL372&lt;&gt;Constants!$B$4,"",$BT372))</f>
        <v/>
      </c>
      <c r="CZ372" s="104" t="str">
        <f aca="false">IF(ISBLANK($C372),"",IF($BL372&lt;&gt;Constants!$B$4,"",$BU372+$BV372))</f>
        <v/>
      </c>
      <c r="DA372" s="104" t="str">
        <f aca="false">IF(ISBLANK($C372),"",IF($BL372&lt;&gt;Constants!$B$4,"",$BW372))</f>
        <v/>
      </c>
      <c r="DB372" s="104" t="str">
        <f aca="false">IF(ISBLANK($C372),"",IF($BL372&lt;&gt;Constants!$B$4,"",-$CD372))</f>
        <v/>
      </c>
      <c r="DC372" s="103" t="str">
        <f aca="false">IF(ISBLANK($C372),"",$CE372)</f>
        <v/>
      </c>
      <c r="DD372" s="105" t="str">
        <f aca="false">IF(ISBLANK($C372),"",$BM372)</f>
        <v/>
      </c>
      <c r="DE372" s="104" t="str">
        <f aca="false">IF(ISBLANK($C372),"",$CL372)</f>
        <v/>
      </c>
      <c r="DF372" s="104" t="str">
        <f aca="false">IF(ISBLANK($C372),"",$CK372)</f>
        <v/>
      </c>
      <c r="DG372" s="106" t="str">
        <f aca="false">IF(ISBLANK($C372),"",IF($DF372=Constants!$B$7,COUNTA($C$9:$C$508)+2,IF($DF372=Constants!$B$6,COUNTA($C$9:$C$508)+1,IF($DF372=Constants!$B$5,COUNTA($C$9:$C$508),$DF372))))</f>
        <v/>
      </c>
      <c r="DH372" s="7"/>
      <c r="DI372" s="107" t="n">
        <f aca="false">IF(OR(ISNUMBER($DF372),$DF372=Constants!$B$7,$DF372=Constants!$B$5,$DF372=Constants!$B$6),1,0)</f>
        <v>0</v>
      </c>
      <c r="DJ372" s="107" t="n">
        <v>364</v>
      </c>
      <c r="DK372" s="107" t="str">
        <f aca="false">IF(ISBLANK($C372),"",IF(ISNUMBER($DG372),$DG372+ROW($B372)/1000,""))</f>
        <v/>
      </c>
      <c r="DL372" s="107" t="str">
        <f aca="false">IF(ISNUMBER($DK372),RANK($DK372,$DK$9:$DK$508,1),"")</f>
        <v/>
      </c>
      <c r="DM372" s="107" t="str">
        <f aca="false">IF(ISBLANK($C372),"",$B372)</f>
        <v/>
      </c>
      <c r="DN372" s="107" t="str">
        <f aca="false">IF(ISBLANK($C372),"",$C372)</f>
        <v/>
      </c>
      <c r="DO372" s="107" t="str">
        <f aca="false">IF(ISBLANK($C372),"",$D372)</f>
        <v/>
      </c>
      <c r="DP372" s="108" t="str">
        <f aca="false">$DD372</f>
        <v/>
      </c>
      <c r="DQ372" s="109" t="str">
        <f aca="false">$DC372</f>
        <v/>
      </c>
      <c r="DR372" s="107" t="str">
        <f aca="false">IF(ISBLANK($C372),"",$DF372)</f>
        <v/>
      </c>
      <c r="DS372" s="110" t="str">
        <f aca="false">IF($DJ372&gt;$DI$8,"",VLOOKUP($DJ372,$DL$9:$DR$508,7,FALSE()))</f>
        <v/>
      </c>
      <c r="DT372" s="111" t="str">
        <f aca="false">IF($DJ372&gt;$DI$8,"",VLOOKUP($DJ372,$DL$9:$DR$508,2,FALSE()))</f>
        <v/>
      </c>
      <c r="DU372" s="111" t="str">
        <f aca="false">IF($DJ372&gt;$DI$8,"",VLOOKUP($DJ372,$DL$9:$DR$508,3,FALSE()))</f>
        <v/>
      </c>
      <c r="DV372" s="111" t="str">
        <f aca="false">IF($DJ372&gt;$DI$8,"",VLOOKUP($DJ372,$DL$9:$DR$508,4,FALSE()))</f>
        <v/>
      </c>
      <c r="DW372" s="111" t="str">
        <f aca="false">IF($DJ372&gt;$DI$8,"",VLOOKUP($DJ372,$DL$9:$DR$508,5,FALSE()))</f>
        <v/>
      </c>
      <c r="DX372" s="112" t="str">
        <f aca="false">IF($DJ372&gt;$DI$8,"",VLOOKUP($DJ372,$DL$9:$DR$508,6,FALSE()))</f>
        <v/>
      </c>
      <c r="DY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130"/>
      <c r="N373" s="130"/>
      <c r="O373" s="135"/>
      <c r="P373" s="135"/>
      <c r="Q373" s="130"/>
      <c r="R373" s="130"/>
      <c r="S373" s="130"/>
      <c r="T373" s="130"/>
      <c r="U373" s="135"/>
      <c r="V373" s="130"/>
      <c r="W373" s="96"/>
      <c r="X373" s="130"/>
      <c r="Y373" s="130"/>
      <c r="Z373" s="96"/>
      <c r="AA373" s="96"/>
      <c r="AB373" s="130"/>
      <c r="AC373" s="130"/>
      <c r="AD373" s="130"/>
      <c r="AE373" s="97"/>
      <c r="AF373" s="130"/>
      <c r="AG373" s="99"/>
      <c r="AH373" s="100"/>
      <c r="AI373" s="100"/>
      <c r="AJ373" s="100" t="str">
        <f aca="false">IF(ISBLANK($C373),"",IF($E373=Constants!$B$2,TRUE(),IF($E373=Constants!$B$3,FALSE(),TRUE())))</f>
        <v/>
      </c>
      <c r="AK373" s="100" t="str">
        <f aca="false">IF(ISBLANK($C373),"",IF($F373=Constants!$B$2,TRUE(),IF($F373=Constants!$B$3,FALSE(),FALSE())))</f>
        <v/>
      </c>
      <c r="AL373" s="100" t="str">
        <f aca="false">IF(ISBLANK($C373),"",IF($G373=Constants!$B$2,TRUE(),IF($G373=Constants!$B$3,FALSE(),TRUE())))</f>
        <v/>
      </c>
      <c r="AM373" s="100" t="str">
        <f aca="false">IF(ISBLANK($C373),"",IF($H373=Constants!$B$2,TRUE(),IF($H373=Constants!$B$3,FALSE(),TRUE())))</f>
        <v/>
      </c>
      <c r="AN373" s="100" t="str">
        <f aca="false">IF(ISBLANK($C373),"",IF(ISNUMBER($I373),IF($I373&gt;=0,$I373,""),""))</f>
        <v/>
      </c>
      <c r="AO373" s="100" t="str">
        <f aca="false">IF(ISBLANK($C373),"",IF(ISNUMBER($J373),IF($J373&gt;=0,$J373,""),""))</f>
        <v/>
      </c>
      <c r="AP373" s="100" t="str">
        <f aca="false">IF(ISBLANK($C373),"",IF(ISNUMBER($K373),IF($K373&gt;=0,$K373,""),""))</f>
        <v/>
      </c>
      <c r="AQ373" s="100" t="str">
        <f aca="false">IF(ISBLANK($C373),"",IF($L373=Constants!$B$2,TRUE(),IF($L373=Constants!$B$3,FALSE(),TRUE())))</f>
        <v/>
      </c>
      <c r="AR373" s="100" t="str">
        <f aca="false">IF(ISBLANK($C373),"",IF($M373=Constants!$B$2,TRUE(),IF($M373=Constants!$B$3,FALSE(),TRUE())))</f>
        <v/>
      </c>
      <c r="AS373" s="100" t="str">
        <f aca="false">IF(ISBLANK($C373),"",IF($N373=Constants!$B$2,TRUE(),IF($N373=Constants!$B$3,FALSE(),FALSE())))</f>
        <v/>
      </c>
      <c r="AT373" s="100" t="str">
        <f aca="false">IF(ISBLANK($C373),"",IF($O373=Constants!$B$2,TRUE(),IF($O373=Constants!$B$3,FALSE(),TRUE())))</f>
        <v/>
      </c>
      <c r="AU373" s="100" t="str">
        <f aca="false">IF(ISBLANK($C373),"",IF($P373=Constants!$B$2,TRUE(),IF($P373=Constants!$B$3,FALSE(),TRUE())))</f>
        <v/>
      </c>
      <c r="AV373" s="100" t="str">
        <f aca="false">IF(ISBLANK($C373),"",IF($Q373=Constants!$B$2,TRUE(),IF($Q373=Constants!$B$3,FALSE(),FALSE())))</f>
        <v/>
      </c>
      <c r="AW373" s="100" t="str">
        <f aca="false">IF(ISBLANK($C373),"",IF($R373=Constants!$B$2,TRUE(),IF($R373=Constants!$B$3,FALSE(),FALSE())))</f>
        <v/>
      </c>
      <c r="AX373" s="100" t="str">
        <f aca="false">IF(ISBLANK($C373),"",IF($S373=Constants!$B$2,TRUE(),IF($S373=Constants!$B$3,FALSE(),FALSE())))</f>
        <v/>
      </c>
      <c r="AY373" s="100" t="str">
        <f aca="false">IF(ISBLANK($C373),"",IF($T373=Constants!$B$2,TRUE(),IF($T373=Constants!$B$3,FALSE(),FALSE())))</f>
        <v/>
      </c>
      <c r="AZ373" s="100" t="str">
        <f aca="false">IF(ISBLANK($C373),"",IF($U373=Constants!$B$2,TRUE(),IF($U373=Constants!$B$3,FALSE(),FALSE())))</f>
        <v/>
      </c>
      <c r="BA373" s="100" t="str">
        <f aca="false">IF(ISBLANK($C373),"",IF(OR($V373&amp;""="1",$V373&amp;""="2",$V373&amp;""="3",$V373&amp;""="4"),VALUE($V373&amp;""),IF($V373=Constants!$B$12,Constants!$B$12,"")))</f>
        <v/>
      </c>
      <c r="BB373" s="100" t="str">
        <f aca="false">IF(ISBLANK($C373),"",IF(ISBLANK($W373),0,IF(ISNUMBER($W373),IF(AND($W373&gt;=0,$W373&lt;=Constants!$B$21,$W373=INT($W373)),$W373,""),"")))</f>
        <v/>
      </c>
      <c r="BC373" s="100" t="str">
        <f aca="false">IF(ISBLANK($C373),"",IF(ISBLANK($X373),0,IF(ISNUMBER($X373),IF($X373&gt;=0,$X373,""),"")))</f>
        <v/>
      </c>
      <c r="BD373" s="100" t="str">
        <f aca="false">IF(ISBLANK($C373),"",IF($Y373=Constants!$B$2,TRUE(),IF($Y373=Constants!$B$3,FALSE(),TRUE())))</f>
        <v/>
      </c>
      <c r="BE373" s="100" t="str">
        <f aca="false">IF(ISBLANK($C373),"",IF($Z373=Constants!$B$2,TRUE(),IF($Z373=Constants!$B$3,FALSE(),FALSE())))</f>
        <v/>
      </c>
      <c r="BF373" s="100" t="str">
        <f aca="false">IF(ISBLANK($C373),"",IF(ISBLANK($AA373),0,IF(ISNUMBER($AA373),IF(AND($AA373&gt;=0,$AA373&lt;=Constants!$B$35,$AA373=INT($AA373)),$AA373,""),"")))</f>
        <v/>
      </c>
      <c r="BG373" s="100" t="str">
        <f aca="false">IF(ISBLANK($C373),"",IF($AB373=Constants!$B$2,TRUE(),IF($AB373=Constants!$B$3,FALSE(),TRUE())))</f>
        <v/>
      </c>
      <c r="BH373" s="100" t="str">
        <f aca="false">IF(ISBLANK($C373),"",IF($AC373=Constants!$B$2,TRUE(),IF($AC373=Constants!$B$3,FALSE(),TRUE())))</f>
        <v/>
      </c>
      <c r="BI373" s="100" t="str">
        <f aca="false">IF(ISBLANK($C373),"",IF($AD373=Constants!$B$2,TRUE(),IF($AD373=Constants!$B$3,FALSE(),TRUE())))</f>
        <v/>
      </c>
      <c r="BJ373" s="100" t="str">
        <f aca="false">IF(ISBLANK($C373),"",IF(ISNUMBER($AE373),IF($AE373&gt;=0,$AE373,""),""))</f>
        <v/>
      </c>
      <c r="BK373" s="100" t="str">
        <f aca="false">IF(ISBLANK($C373),"",IF($AF373=Constants!$B$2,TRUE(),IF($AF373=Constants!$B$3,FALSE(),FALSE())))</f>
        <v/>
      </c>
      <c r="BL373" s="99" t="str">
        <f aca="false">IF(ISBLANK($C373),"",IF($BK373,Constants!$B$7,IF(COUNTA($E373:$AE373)=0,Constants!$B$6,IF(OR(COUNTA($G373:$AE373)=0,NOT($AM373),$AS373),Constants!$B$5,IF(OR($CM373&lt;&gt;"",$CN373,$CO373,$CP373,$CQ373,$CR373,$CS373),Constants!$B$8,Constants!$B$4)))))</f>
        <v/>
      </c>
      <c r="BM373" s="100" t="str">
        <f aca="false">IF(ISBLANK($C373),"",IF($BL373&lt;&gt;Constants!$B$4,$BL373,IF(OR(NOT($AJ373),NOT($AL373),NOT($AT373)),Constants!$B$11,IF(OR(NOT($AR373),NOT($AU373),NOT($BI373),MAX($AN373,$AO373,$AP373)&gt;Constants!$B$30),Constants!$B$10,Constants!$B$9))))</f>
        <v/>
      </c>
      <c r="BN373" s="100" t="str">
        <f aca="false">IF($BL373&lt;&gt;Constants!$B$4,"",IF(NOT($AL373),0,MIN(Constants!$B$35,$BF373)))</f>
        <v/>
      </c>
      <c r="BO373" s="100" t="str">
        <f aca="false">IF($BL373&lt;&gt;Constants!$B$4,"",IF(NOT($AL373),0,IF($AW373,Constants!$B$18,IF($AV373,Constants!$B$17,0))))</f>
        <v/>
      </c>
      <c r="BP373" s="100" t="str">
        <f aca="false">IF($BL373&lt;&gt;Constants!$B$4,"",IF(NOT($AL373),0,Constants!$B$19*($AK373+$AX373+$AY373+$AZ373)))</f>
        <v/>
      </c>
      <c r="BQ373" s="100" t="str">
        <f aca="false">IF($BL373&lt;&gt;Constants!$B$4,"",IF(OR(NOT($AL373),NOT(ISNUMBER($BA373))),0,CHOOSE($BA373,Constants!$B$13,Constants!$B$14,Constants!$B$15,Constants!$B$16)))</f>
        <v/>
      </c>
      <c r="BR373" s="100" t="str">
        <f aca="false">IF($BL373&lt;&gt;Constants!$B$4,"",IF(NOT($AL373),0,Constants!$B$20*$BB373))</f>
        <v/>
      </c>
      <c r="BS373" s="100" t="str">
        <f aca="false">IF($BL373&lt;&gt;Constants!$B$4,"",IF(AND($AL373,$BD373,$BE373),Constants!$B$22,0))</f>
        <v/>
      </c>
      <c r="BT373" s="100" t="str">
        <f aca="false">IF($BL373&lt;&gt;Constants!$B$4,"",IF(OR(NOT($AL373),NOT($BD373)),0,IF($BJ373&gt;=2*$AH$9,0,Constants!$B$23*INT(ROUND(MIN($BJ373,$AH$9),6)))))</f>
        <v/>
      </c>
      <c r="BU373" s="100" t="str">
        <f aca="false">IF($BL373&lt;&gt;Constants!$B$4,"",IF(NOT($AL373),0,Constants!$B$24*INT(ROUND(MIN($BC373,$AH$9),6))))</f>
        <v/>
      </c>
      <c r="BV373" s="100" t="str">
        <f aca="false">IF($BL373&lt;&gt;Constants!$B$4,"",IF(AND($AL373,$BN373=0),Constants!$B$25,0))</f>
        <v/>
      </c>
      <c r="BW373" s="100" t="str">
        <f aca="false">IF($BL373&lt;&gt;Constants!$B$4,"",MIN(Constants!$B$29,MAX(0,Constants!$B$27*Constants!$B$28*INT(ROUND((Constants!$B$26-$AN373)/Constants!$B$28,6))))+MIN(Constants!$B$29,MAX(0,Constants!$B$27*Constants!$B$28*INT(ROUND((Constants!$B$26-$AO373)/Constants!$B$28,6))))+MIN(Constants!$B$29,MAX(0,Constants!$B$27*Constants!$B$28*INT(ROUND((Constants!$B$26-$AP373)/Constants!$B$28,6)))))</f>
        <v/>
      </c>
      <c r="BX373" s="100" t="str">
        <f aca="false">IF($BL373&lt;&gt;Constants!$B$4,"",IF(NOT($AL373),0,Constants!$B$31*INT(ROUND(MAX(0,MIN($BJ373,2*$AH$9)-$AH$9),6))))</f>
        <v/>
      </c>
      <c r="BY373" s="100" t="str">
        <f aca="false">IF($BL373&lt;&gt;Constants!$B$4,"",Constants!$B$32*(($AN373&gt;Constants!$B$26)+($AO373&gt;Constants!$B$26)+($AP373&gt;Constants!$B$26)))</f>
        <v/>
      </c>
      <c r="BZ373" s="100" t="str">
        <f aca="false">IF($BL373&lt;&gt;Constants!$B$4,"",IF(OR(NOT($AL373),$AQ373),0,Constants!$B$33))</f>
        <v/>
      </c>
      <c r="CA373" s="100" t="str">
        <f aca="false">IF($BL373&lt;&gt;Constants!$B$4,"",Constants!$B$34*$BN373)</f>
        <v/>
      </c>
      <c r="CB373" s="100" t="str">
        <f aca="false">IF($BL373&lt;&gt;Constants!$B$4,"",IF(OR(NOT($AL373),$BH373),0,Constants!$B$36))</f>
        <v/>
      </c>
      <c r="CC373" s="100" t="str">
        <f aca="false">IF($BL373&lt;&gt;Constants!$B$4,"",IF(OR(NOT($AL373),$BG373),0,Constants!$B$37))</f>
        <v/>
      </c>
      <c r="CD373" s="100" t="str">
        <f aca="false">IF($BL373&lt;&gt;Constants!$B$4,"",SUM($BX373:$CC373))</f>
        <v/>
      </c>
      <c r="CE373" s="100" t="str">
        <f aca="false">IF(ISBLANK($C373),"",IF($BL373&lt;&gt;Constants!$B$4,$BL373,SUM($BO373:$BW373)-$CD373))</f>
        <v/>
      </c>
      <c r="CF373" s="100" t="str">
        <f aca="false">IF(ISBLANK($C373),"",IF($BL373&lt;&gt;Constants!$B$4,$BL373,RANK($CE373,$CE$9:$CE$508)))</f>
        <v/>
      </c>
      <c r="CG373" s="100" t="str">
        <f aca="false">IF(ISBLANK($C373),"",IF($BL373&lt;&gt;Constants!$B$4,$BL373,COUNTIFS($BM$9:$BM$508,"&lt;"&amp;$BM373)+COUNTIFS($BM$9:$BM$508,$BM373,$CF$9:$CF$508,"&lt;"&amp;$CF373)+1))</f>
        <v/>
      </c>
      <c r="CH373" s="100" t="str">
        <f aca="false">IF(ISBLANK($C373),"",IF($BL373&lt;&gt;Constants!$B$4,$BL373,RANK($CD373,$CD$9:$CD$508,1)))</f>
        <v/>
      </c>
      <c r="CI373" s="100" t="str">
        <f aca="false">IF($BL373&lt;&gt;Constants!$B$4,"",$AN373+$AO373+$AP373)</f>
        <v/>
      </c>
      <c r="CJ373" s="100" t="str">
        <f aca="false">IF(ISBLANK($C373),"",IF($BL373&lt;&gt;Constants!$B$4,$BL373,RANK($CI373,$CI$9:$CI$508,1)))</f>
        <v/>
      </c>
      <c r="CK373" s="100" t="str">
        <f aca="false">IF(ISBLANK($C373),"",IF($BL373&lt;&gt;Constants!$B$4,$BL373,COUNTIFS($BM$9:$BM$508,"&lt;"&amp;$BM373)+COUNTIFS($BM$9:$BM$508,$BM373,$CF$9:$CF$508,"&lt;"&amp;$CF373)+COUNTIFS($BM$9:$BM$508,$BM373,$CF$9:$CF$508,$CF373,$CH$9:$CH$508,"&lt;"&amp;$CH373)+COUNTIFS($BM$9:$BM$508,$BM373,$CF$9:$CF$508,$CF373,$CH$9:$CH$508,$CH373,$CJ$9:$CJ$508,"&lt;"&amp;$CJ373)+1))</f>
        <v/>
      </c>
      <c r="CL373" s="100" t="str">
        <f aca="false">IF(ISBLANK($C373),"",IF($BL373&lt;&gt;Constants!$B$4,$BL373,$CG373-$CK373))</f>
        <v/>
      </c>
      <c r="CM373" s="100" t="str">
        <f aca="false">IF(ISBLANK($C373),"",IF(NOT($AL373),"",IF(ISBLANK($D$7),$CM$5,IF(NOT(ISNUMBER($D$7)),$CM$6,""))))</f>
        <v/>
      </c>
      <c r="CN373" s="100" t="str">
        <f aca="false">IF(ISBLANK($C373),"",OR($AN373="",$AO373="",$AP373=""))</f>
        <v/>
      </c>
      <c r="CO373" s="100" t="str">
        <f aca="false">IF(ISBLANK($C373),"",AND($AL373,$BA373=""))</f>
        <v/>
      </c>
      <c r="CP373" s="100" t="str">
        <f aca="false">IF(ISBLANK($C373),"",AND($AL373,$BB373=""))</f>
        <v/>
      </c>
      <c r="CQ373" s="100" t="str">
        <f aca="false">IF(ISBLANK($C373),"",AND($AL373,$BC373=""))</f>
        <v/>
      </c>
      <c r="CR373" s="100" t="str">
        <f aca="false">IF(ISBLANK($C373),"",AND($AL373,$BF373=""))</f>
        <v/>
      </c>
      <c r="CS373" s="100" t="str">
        <f aca="false">IF(ISBLANK($C373),"",AND($AL373,$BJ373=""))</f>
        <v/>
      </c>
      <c r="CT373" s="101"/>
      <c r="CU373" s="102"/>
      <c r="CV373" s="103" t="str">
        <f aca="false">IF(ISBLANK($C373),"",IF($BL373=Constants!$B$8,$CM373,""))</f>
        <v/>
      </c>
      <c r="CW373" s="102" t="str">
        <f aca="false">IF(ISBLANK($C373),"",IF($BL373&lt;&gt;Constants!$B$4,"",$BO373+$BP373))</f>
        <v/>
      </c>
      <c r="CX373" s="104" t="str">
        <f aca="false">IF(ISBLANK($C373),"",IF($BL373&lt;&gt;Constants!$B$4,"",$BQ373+$BR373+$BS373))</f>
        <v/>
      </c>
      <c r="CY373" s="104" t="str">
        <f aca="false">IF(ISBLANK($C373),"",IF($BL373&lt;&gt;Constants!$B$4,"",$BT373))</f>
        <v/>
      </c>
      <c r="CZ373" s="104" t="str">
        <f aca="false">IF(ISBLANK($C373),"",IF($BL373&lt;&gt;Constants!$B$4,"",$BU373+$BV373))</f>
        <v/>
      </c>
      <c r="DA373" s="104" t="str">
        <f aca="false">IF(ISBLANK($C373),"",IF($BL373&lt;&gt;Constants!$B$4,"",$BW373))</f>
        <v/>
      </c>
      <c r="DB373" s="104" t="str">
        <f aca="false">IF(ISBLANK($C373),"",IF($BL373&lt;&gt;Constants!$B$4,"",-$CD373))</f>
        <v/>
      </c>
      <c r="DC373" s="103" t="str">
        <f aca="false">IF(ISBLANK($C373),"",$CE373)</f>
        <v/>
      </c>
      <c r="DD373" s="105" t="str">
        <f aca="false">IF(ISBLANK($C373),"",$BM373)</f>
        <v/>
      </c>
      <c r="DE373" s="104" t="str">
        <f aca="false">IF(ISBLANK($C373),"",$CL373)</f>
        <v/>
      </c>
      <c r="DF373" s="104" t="str">
        <f aca="false">IF(ISBLANK($C373),"",$CK373)</f>
        <v/>
      </c>
      <c r="DG373" s="106" t="str">
        <f aca="false">IF(ISBLANK($C373),"",IF($DF373=Constants!$B$7,COUNTA($C$9:$C$508)+2,IF($DF373=Constants!$B$6,COUNTA($C$9:$C$508)+1,IF($DF373=Constants!$B$5,COUNTA($C$9:$C$508),$DF373))))</f>
        <v/>
      </c>
      <c r="DH373" s="7"/>
      <c r="DI373" s="107" t="n">
        <f aca="false">IF(OR(ISNUMBER($DF373),$DF373=Constants!$B$7,$DF373=Constants!$B$5,$DF373=Constants!$B$6),1,0)</f>
        <v>0</v>
      </c>
      <c r="DJ373" s="107" t="n">
        <v>365</v>
      </c>
      <c r="DK373" s="107" t="str">
        <f aca="false">IF(ISBLANK($C373),"",IF(ISNUMBER($DG373),$DG373+ROW($B373)/1000,""))</f>
        <v/>
      </c>
      <c r="DL373" s="107" t="str">
        <f aca="false">IF(ISNUMBER($DK373),RANK($DK373,$DK$9:$DK$508,1),"")</f>
        <v/>
      </c>
      <c r="DM373" s="107" t="str">
        <f aca="false">IF(ISBLANK($C373),"",$B373)</f>
        <v/>
      </c>
      <c r="DN373" s="107" t="str">
        <f aca="false">IF(ISBLANK($C373),"",$C373)</f>
        <v/>
      </c>
      <c r="DO373" s="107" t="str">
        <f aca="false">IF(ISBLANK($C373),"",$D373)</f>
        <v/>
      </c>
      <c r="DP373" s="108" t="str">
        <f aca="false">$DD373</f>
        <v/>
      </c>
      <c r="DQ373" s="109" t="str">
        <f aca="false">$DC373</f>
        <v/>
      </c>
      <c r="DR373" s="107" t="str">
        <f aca="false">IF(ISBLANK($C373),"",$DF373)</f>
        <v/>
      </c>
      <c r="DS373" s="110" t="str">
        <f aca="false">IF($DJ373&gt;$DI$8,"",VLOOKUP($DJ373,$DL$9:$DR$508,7,FALSE()))</f>
        <v/>
      </c>
      <c r="DT373" s="111" t="str">
        <f aca="false">IF($DJ373&gt;$DI$8,"",VLOOKUP($DJ373,$DL$9:$DR$508,2,FALSE()))</f>
        <v/>
      </c>
      <c r="DU373" s="111" t="str">
        <f aca="false">IF($DJ373&gt;$DI$8,"",VLOOKUP($DJ373,$DL$9:$DR$508,3,FALSE()))</f>
        <v/>
      </c>
      <c r="DV373" s="111" t="str">
        <f aca="false">IF($DJ373&gt;$DI$8,"",VLOOKUP($DJ373,$DL$9:$DR$508,4,FALSE()))</f>
        <v/>
      </c>
      <c r="DW373" s="111" t="str">
        <f aca="false">IF($DJ373&gt;$DI$8,"",VLOOKUP($DJ373,$DL$9:$DR$508,5,FALSE()))</f>
        <v/>
      </c>
      <c r="DX373" s="112" t="str">
        <f aca="false">IF($DJ373&gt;$DI$8,"",VLOOKUP($DJ373,$DL$9:$DR$508,6,FALSE()))</f>
        <v/>
      </c>
      <c r="DY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130"/>
      <c r="N374" s="130"/>
      <c r="O374" s="135"/>
      <c r="P374" s="135"/>
      <c r="Q374" s="130"/>
      <c r="R374" s="130"/>
      <c r="S374" s="130"/>
      <c r="T374" s="130"/>
      <c r="U374" s="135"/>
      <c r="V374" s="130"/>
      <c r="W374" s="96"/>
      <c r="X374" s="130"/>
      <c r="Y374" s="130"/>
      <c r="Z374" s="96"/>
      <c r="AA374" s="96"/>
      <c r="AB374" s="130"/>
      <c r="AC374" s="130"/>
      <c r="AD374" s="130"/>
      <c r="AE374" s="97"/>
      <c r="AF374" s="130"/>
      <c r="AG374" s="99"/>
      <c r="AH374" s="100"/>
      <c r="AI374" s="100"/>
      <c r="AJ374" s="100" t="str">
        <f aca="false">IF(ISBLANK($C374),"",IF($E374=Constants!$B$2,TRUE(),IF($E374=Constants!$B$3,FALSE(),TRUE())))</f>
        <v/>
      </c>
      <c r="AK374" s="100" t="str">
        <f aca="false">IF(ISBLANK($C374),"",IF($F374=Constants!$B$2,TRUE(),IF($F374=Constants!$B$3,FALSE(),FALSE())))</f>
        <v/>
      </c>
      <c r="AL374" s="100" t="str">
        <f aca="false">IF(ISBLANK($C374),"",IF($G374=Constants!$B$2,TRUE(),IF($G374=Constants!$B$3,FALSE(),TRUE())))</f>
        <v/>
      </c>
      <c r="AM374" s="100" t="str">
        <f aca="false">IF(ISBLANK($C374),"",IF($H374=Constants!$B$2,TRUE(),IF($H374=Constants!$B$3,FALSE(),TRUE())))</f>
        <v/>
      </c>
      <c r="AN374" s="100" t="str">
        <f aca="false">IF(ISBLANK($C374),"",IF(ISNUMBER($I374),IF($I374&gt;=0,$I374,""),""))</f>
        <v/>
      </c>
      <c r="AO374" s="100" t="str">
        <f aca="false">IF(ISBLANK($C374),"",IF(ISNUMBER($J374),IF($J374&gt;=0,$J374,""),""))</f>
        <v/>
      </c>
      <c r="AP374" s="100" t="str">
        <f aca="false">IF(ISBLANK($C374),"",IF(ISNUMBER($K374),IF($K374&gt;=0,$K374,""),""))</f>
        <v/>
      </c>
      <c r="AQ374" s="100" t="str">
        <f aca="false">IF(ISBLANK($C374),"",IF($L374=Constants!$B$2,TRUE(),IF($L374=Constants!$B$3,FALSE(),TRUE())))</f>
        <v/>
      </c>
      <c r="AR374" s="100" t="str">
        <f aca="false">IF(ISBLANK($C374),"",IF($M374=Constants!$B$2,TRUE(),IF($M374=Constants!$B$3,FALSE(),TRUE())))</f>
        <v/>
      </c>
      <c r="AS374" s="100" t="str">
        <f aca="false">IF(ISBLANK($C374),"",IF($N374=Constants!$B$2,TRUE(),IF($N374=Constants!$B$3,FALSE(),FALSE())))</f>
        <v/>
      </c>
      <c r="AT374" s="100" t="str">
        <f aca="false">IF(ISBLANK($C374),"",IF($O374=Constants!$B$2,TRUE(),IF($O374=Constants!$B$3,FALSE(),TRUE())))</f>
        <v/>
      </c>
      <c r="AU374" s="100" t="str">
        <f aca="false">IF(ISBLANK($C374),"",IF($P374=Constants!$B$2,TRUE(),IF($P374=Constants!$B$3,FALSE(),TRUE())))</f>
        <v/>
      </c>
      <c r="AV374" s="100" t="str">
        <f aca="false">IF(ISBLANK($C374),"",IF($Q374=Constants!$B$2,TRUE(),IF($Q374=Constants!$B$3,FALSE(),FALSE())))</f>
        <v/>
      </c>
      <c r="AW374" s="100" t="str">
        <f aca="false">IF(ISBLANK($C374),"",IF($R374=Constants!$B$2,TRUE(),IF($R374=Constants!$B$3,FALSE(),FALSE())))</f>
        <v/>
      </c>
      <c r="AX374" s="100" t="str">
        <f aca="false">IF(ISBLANK($C374),"",IF($S374=Constants!$B$2,TRUE(),IF($S374=Constants!$B$3,FALSE(),FALSE())))</f>
        <v/>
      </c>
      <c r="AY374" s="100" t="str">
        <f aca="false">IF(ISBLANK($C374),"",IF($T374=Constants!$B$2,TRUE(),IF($T374=Constants!$B$3,FALSE(),FALSE())))</f>
        <v/>
      </c>
      <c r="AZ374" s="100" t="str">
        <f aca="false">IF(ISBLANK($C374),"",IF($U374=Constants!$B$2,TRUE(),IF($U374=Constants!$B$3,FALSE(),FALSE())))</f>
        <v/>
      </c>
      <c r="BA374" s="100" t="str">
        <f aca="false">IF(ISBLANK($C374),"",IF(OR($V374&amp;""="1",$V374&amp;""="2",$V374&amp;""="3",$V374&amp;""="4"),VALUE($V374&amp;""),IF($V374=Constants!$B$12,Constants!$B$12,"")))</f>
        <v/>
      </c>
      <c r="BB374" s="100" t="str">
        <f aca="false">IF(ISBLANK($C374),"",IF(ISBLANK($W374),0,IF(ISNUMBER($W374),IF(AND($W374&gt;=0,$W374&lt;=Constants!$B$21,$W374=INT($W374)),$W374,""),"")))</f>
        <v/>
      </c>
      <c r="BC374" s="100" t="str">
        <f aca="false">IF(ISBLANK($C374),"",IF(ISBLANK($X374),0,IF(ISNUMBER($X374),IF($X374&gt;=0,$X374,""),"")))</f>
        <v/>
      </c>
      <c r="BD374" s="100" t="str">
        <f aca="false">IF(ISBLANK($C374),"",IF($Y374=Constants!$B$2,TRUE(),IF($Y374=Constants!$B$3,FALSE(),TRUE())))</f>
        <v/>
      </c>
      <c r="BE374" s="100" t="str">
        <f aca="false">IF(ISBLANK($C374),"",IF($Z374=Constants!$B$2,TRUE(),IF($Z374=Constants!$B$3,FALSE(),FALSE())))</f>
        <v/>
      </c>
      <c r="BF374" s="100" t="str">
        <f aca="false">IF(ISBLANK($C374),"",IF(ISBLANK($AA374),0,IF(ISNUMBER($AA374),IF(AND($AA374&gt;=0,$AA374&lt;=Constants!$B$35,$AA374=INT($AA374)),$AA374,""),"")))</f>
        <v/>
      </c>
      <c r="BG374" s="100" t="str">
        <f aca="false">IF(ISBLANK($C374),"",IF($AB374=Constants!$B$2,TRUE(),IF($AB374=Constants!$B$3,FALSE(),TRUE())))</f>
        <v/>
      </c>
      <c r="BH374" s="100" t="str">
        <f aca="false">IF(ISBLANK($C374),"",IF($AC374=Constants!$B$2,TRUE(),IF($AC374=Constants!$B$3,FALSE(),TRUE())))</f>
        <v/>
      </c>
      <c r="BI374" s="100" t="str">
        <f aca="false">IF(ISBLANK($C374),"",IF($AD374=Constants!$B$2,TRUE(),IF($AD374=Constants!$B$3,FALSE(),TRUE())))</f>
        <v/>
      </c>
      <c r="BJ374" s="100" t="str">
        <f aca="false">IF(ISBLANK($C374),"",IF(ISNUMBER($AE374),IF($AE374&gt;=0,$AE374,""),""))</f>
        <v/>
      </c>
      <c r="BK374" s="100" t="str">
        <f aca="false">IF(ISBLANK($C374),"",IF($AF374=Constants!$B$2,TRUE(),IF($AF374=Constants!$B$3,FALSE(),FALSE())))</f>
        <v/>
      </c>
      <c r="BL374" s="99" t="str">
        <f aca="false">IF(ISBLANK($C374),"",IF($BK374,Constants!$B$7,IF(COUNTA($E374:$AE374)=0,Constants!$B$6,IF(OR(COUNTA($G374:$AE374)=0,NOT($AM374),$AS374),Constants!$B$5,IF(OR($CM374&lt;&gt;"",$CN374,$CO374,$CP374,$CQ374,$CR374,$CS374),Constants!$B$8,Constants!$B$4)))))</f>
        <v/>
      </c>
      <c r="BM374" s="100" t="str">
        <f aca="false">IF(ISBLANK($C374),"",IF($BL374&lt;&gt;Constants!$B$4,$BL374,IF(OR(NOT($AJ374),NOT($AL374),NOT($AT374)),Constants!$B$11,IF(OR(NOT($AR374),NOT($AU374),NOT($BI374),MAX($AN374,$AO374,$AP374)&gt;Constants!$B$30),Constants!$B$10,Constants!$B$9))))</f>
        <v/>
      </c>
      <c r="BN374" s="100" t="str">
        <f aca="false">IF($BL374&lt;&gt;Constants!$B$4,"",IF(NOT($AL374),0,MIN(Constants!$B$35,$BF374)))</f>
        <v/>
      </c>
      <c r="BO374" s="100" t="str">
        <f aca="false">IF($BL374&lt;&gt;Constants!$B$4,"",IF(NOT($AL374),0,IF($AW374,Constants!$B$18,IF($AV374,Constants!$B$17,0))))</f>
        <v/>
      </c>
      <c r="BP374" s="100" t="str">
        <f aca="false">IF($BL374&lt;&gt;Constants!$B$4,"",IF(NOT($AL374),0,Constants!$B$19*($AK374+$AX374+$AY374+$AZ374)))</f>
        <v/>
      </c>
      <c r="BQ374" s="100" t="str">
        <f aca="false">IF($BL374&lt;&gt;Constants!$B$4,"",IF(OR(NOT($AL374),NOT(ISNUMBER($BA374))),0,CHOOSE($BA374,Constants!$B$13,Constants!$B$14,Constants!$B$15,Constants!$B$16)))</f>
        <v/>
      </c>
      <c r="BR374" s="100" t="str">
        <f aca="false">IF($BL374&lt;&gt;Constants!$B$4,"",IF(NOT($AL374),0,Constants!$B$20*$BB374))</f>
        <v/>
      </c>
      <c r="BS374" s="100" t="str">
        <f aca="false">IF($BL374&lt;&gt;Constants!$B$4,"",IF(AND($AL374,$BD374,$BE374),Constants!$B$22,0))</f>
        <v/>
      </c>
      <c r="BT374" s="100" t="str">
        <f aca="false">IF($BL374&lt;&gt;Constants!$B$4,"",IF(OR(NOT($AL374),NOT($BD374)),0,IF($BJ374&gt;=2*$AH$9,0,Constants!$B$23*INT(ROUND(MIN($BJ374,$AH$9),6)))))</f>
        <v/>
      </c>
      <c r="BU374" s="100" t="str">
        <f aca="false">IF($BL374&lt;&gt;Constants!$B$4,"",IF(NOT($AL374),0,Constants!$B$24*INT(ROUND(MIN($BC374,$AH$9),6))))</f>
        <v/>
      </c>
      <c r="BV374" s="100" t="str">
        <f aca="false">IF($BL374&lt;&gt;Constants!$B$4,"",IF(AND($AL374,$BN374=0),Constants!$B$25,0))</f>
        <v/>
      </c>
      <c r="BW374" s="100" t="str">
        <f aca="false">IF($BL374&lt;&gt;Constants!$B$4,"",MIN(Constants!$B$29,MAX(0,Constants!$B$27*Constants!$B$28*INT(ROUND((Constants!$B$26-$AN374)/Constants!$B$28,6))))+MIN(Constants!$B$29,MAX(0,Constants!$B$27*Constants!$B$28*INT(ROUND((Constants!$B$26-$AO374)/Constants!$B$28,6))))+MIN(Constants!$B$29,MAX(0,Constants!$B$27*Constants!$B$28*INT(ROUND((Constants!$B$26-$AP374)/Constants!$B$28,6)))))</f>
        <v/>
      </c>
      <c r="BX374" s="100" t="str">
        <f aca="false">IF($BL374&lt;&gt;Constants!$B$4,"",IF(NOT($AL374),0,Constants!$B$31*INT(ROUND(MAX(0,MIN($BJ374,2*$AH$9)-$AH$9),6))))</f>
        <v/>
      </c>
      <c r="BY374" s="100" t="str">
        <f aca="false">IF($BL374&lt;&gt;Constants!$B$4,"",Constants!$B$32*(($AN374&gt;Constants!$B$26)+($AO374&gt;Constants!$B$26)+($AP374&gt;Constants!$B$26)))</f>
        <v/>
      </c>
      <c r="BZ374" s="100" t="str">
        <f aca="false">IF($BL374&lt;&gt;Constants!$B$4,"",IF(OR(NOT($AL374),$AQ374),0,Constants!$B$33))</f>
        <v/>
      </c>
      <c r="CA374" s="100" t="str">
        <f aca="false">IF($BL374&lt;&gt;Constants!$B$4,"",Constants!$B$34*$BN374)</f>
        <v/>
      </c>
      <c r="CB374" s="100" t="str">
        <f aca="false">IF($BL374&lt;&gt;Constants!$B$4,"",IF(OR(NOT($AL374),$BH374),0,Constants!$B$36))</f>
        <v/>
      </c>
      <c r="CC374" s="100" t="str">
        <f aca="false">IF($BL374&lt;&gt;Constants!$B$4,"",IF(OR(NOT($AL374),$BG374),0,Constants!$B$37))</f>
        <v/>
      </c>
      <c r="CD374" s="100" t="str">
        <f aca="false">IF($BL374&lt;&gt;Constants!$B$4,"",SUM($BX374:$CC374))</f>
        <v/>
      </c>
      <c r="CE374" s="100" t="str">
        <f aca="false">IF(ISBLANK($C374),"",IF($BL374&lt;&gt;Constants!$B$4,$BL374,SUM($BO374:$BW374)-$CD374))</f>
        <v/>
      </c>
      <c r="CF374" s="100" t="str">
        <f aca="false">IF(ISBLANK($C374),"",IF($BL374&lt;&gt;Constants!$B$4,$BL374,RANK($CE374,$CE$9:$CE$508)))</f>
        <v/>
      </c>
      <c r="CG374" s="100" t="str">
        <f aca="false">IF(ISBLANK($C374),"",IF($BL374&lt;&gt;Constants!$B$4,$BL374,COUNTIFS($BM$9:$BM$508,"&lt;"&amp;$BM374)+COUNTIFS($BM$9:$BM$508,$BM374,$CF$9:$CF$508,"&lt;"&amp;$CF374)+1))</f>
        <v/>
      </c>
      <c r="CH374" s="100" t="str">
        <f aca="false">IF(ISBLANK($C374),"",IF($BL374&lt;&gt;Constants!$B$4,$BL374,RANK($CD374,$CD$9:$CD$508,1)))</f>
        <v/>
      </c>
      <c r="CI374" s="100" t="str">
        <f aca="false">IF($BL374&lt;&gt;Constants!$B$4,"",$AN374+$AO374+$AP374)</f>
        <v/>
      </c>
      <c r="CJ374" s="100" t="str">
        <f aca="false">IF(ISBLANK($C374),"",IF($BL374&lt;&gt;Constants!$B$4,$BL374,RANK($CI374,$CI$9:$CI$508,1)))</f>
        <v/>
      </c>
      <c r="CK374" s="100" t="str">
        <f aca="false">IF(ISBLANK($C374),"",IF($BL374&lt;&gt;Constants!$B$4,$BL374,COUNTIFS($BM$9:$BM$508,"&lt;"&amp;$BM374)+COUNTIFS($BM$9:$BM$508,$BM374,$CF$9:$CF$508,"&lt;"&amp;$CF374)+COUNTIFS($BM$9:$BM$508,$BM374,$CF$9:$CF$508,$CF374,$CH$9:$CH$508,"&lt;"&amp;$CH374)+COUNTIFS($BM$9:$BM$508,$BM374,$CF$9:$CF$508,$CF374,$CH$9:$CH$508,$CH374,$CJ$9:$CJ$508,"&lt;"&amp;$CJ374)+1))</f>
        <v/>
      </c>
      <c r="CL374" s="100" t="str">
        <f aca="false">IF(ISBLANK($C374),"",IF($BL374&lt;&gt;Constants!$B$4,$BL374,$CG374-$CK374))</f>
        <v/>
      </c>
      <c r="CM374" s="100" t="str">
        <f aca="false">IF(ISBLANK($C374),"",IF(NOT($AL374),"",IF(ISBLANK($D$7),$CM$5,IF(NOT(ISNUMBER($D$7)),$CM$6,""))))</f>
        <v/>
      </c>
      <c r="CN374" s="100" t="str">
        <f aca="false">IF(ISBLANK($C374),"",OR($AN374="",$AO374="",$AP374=""))</f>
        <v/>
      </c>
      <c r="CO374" s="100" t="str">
        <f aca="false">IF(ISBLANK($C374),"",AND($AL374,$BA374=""))</f>
        <v/>
      </c>
      <c r="CP374" s="100" t="str">
        <f aca="false">IF(ISBLANK($C374),"",AND($AL374,$BB374=""))</f>
        <v/>
      </c>
      <c r="CQ374" s="100" t="str">
        <f aca="false">IF(ISBLANK($C374),"",AND($AL374,$BC374=""))</f>
        <v/>
      </c>
      <c r="CR374" s="100" t="str">
        <f aca="false">IF(ISBLANK($C374),"",AND($AL374,$BF374=""))</f>
        <v/>
      </c>
      <c r="CS374" s="100" t="str">
        <f aca="false">IF(ISBLANK($C374),"",AND($AL374,$BJ374=""))</f>
        <v/>
      </c>
      <c r="CT374" s="101"/>
      <c r="CU374" s="102"/>
      <c r="CV374" s="103" t="str">
        <f aca="false">IF(ISBLANK($C374),"",IF($BL374=Constants!$B$8,$CM374,""))</f>
        <v/>
      </c>
      <c r="CW374" s="102" t="str">
        <f aca="false">IF(ISBLANK($C374),"",IF($BL374&lt;&gt;Constants!$B$4,"",$BO374+$BP374))</f>
        <v/>
      </c>
      <c r="CX374" s="104" t="str">
        <f aca="false">IF(ISBLANK($C374),"",IF($BL374&lt;&gt;Constants!$B$4,"",$BQ374+$BR374+$BS374))</f>
        <v/>
      </c>
      <c r="CY374" s="104" t="str">
        <f aca="false">IF(ISBLANK($C374),"",IF($BL374&lt;&gt;Constants!$B$4,"",$BT374))</f>
        <v/>
      </c>
      <c r="CZ374" s="104" t="str">
        <f aca="false">IF(ISBLANK($C374),"",IF($BL374&lt;&gt;Constants!$B$4,"",$BU374+$BV374))</f>
        <v/>
      </c>
      <c r="DA374" s="104" t="str">
        <f aca="false">IF(ISBLANK($C374),"",IF($BL374&lt;&gt;Constants!$B$4,"",$BW374))</f>
        <v/>
      </c>
      <c r="DB374" s="104" t="str">
        <f aca="false">IF(ISBLANK($C374),"",IF($BL374&lt;&gt;Constants!$B$4,"",-$CD374))</f>
        <v/>
      </c>
      <c r="DC374" s="103" t="str">
        <f aca="false">IF(ISBLANK($C374),"",$CE374)</f>
        <v/>
      </c>
      <c r="DD374" s="105" t="str">
        <f aca="false">IF(ISBLANK($C374),"",$BM374)</f>
        <v/>
      </c>
      <c r="DE374" s="104" t="str">
        <f aca="false">IF(ISBLANK($C374),"",$CL374)</f>
        <v/>
      </c>
      <c r="DF374" s="104" t="str">
        <f aca="false">IF(ISBLANK($C374),"",$CK374)</f>
        <v/>
      </c>
      <c r="DG374" s="106" t="str">
        <f aca="false">IF(ISBLANK($C374),"",IF($DF374=Constants!$B$7,COUNTA($C$9:$C$508)+2,IF($DF374=Constants!$B$6,COUNTA($C$9:$C$508)+1,IF($DF374=Constants!$B$5,COUNTA($C$9:$C$508),$DF374))))</f>
        <v/>
      </c>
      <c r="DH374" s="7"/>
      <c r="DI374" s="107" t="n">
        <f aca="false">IF(OR(ISNUMBER($DF374),$DF374=Constants!$B$7,$DF374=Constants!$B$5,$DF374=Constants!$B$6),1,0)</f>
        <v>0</v>
      </c>
      <c r="DJ374" s="107" t="n">
        <v>366</v>
      </c>
      <c r="DK374" s="107" t="str">
        <f aca="false">IF(ISBLANK($C374),"",IF(ISNUMBER($DG374),$DG374+ROW($B374)/1000,""))</f>
        <v/>
      </c>
      <c r="DL374" s="107" t="str">
        <f aca="false">IF(ISNUMBER($DK374),RANK($DK374,$DK$9:$DK$508,1),"")</f>
        <v/>
      </c>
      <c r="DM374" s="107" t="str">
        <f aca="false">IF(ISBLANK($C374),"",$B374)</f>
        <v/>
      </c>
      <c r="DN374" s="107" t="str">
        <f aca="false">IF(ISBLANK($C374),"",$C374)</f>
        <v/>
      </c>
      <c r="DO374" s="107" t="str">
        <f aca="false">IF(ISBLANK($C374),"",$D374)</f>
        <v/>
      </c>
      <c r="DP374" s="108" t="str">
        <f aca="false">$DD374</f>
        <v/>
      </c>
      <c r="DQ374" s="109" t="str">
        <f aca="false">$DC374</f>
        <v/>
      </c>
      <c r="DR374" s="107" t="str">
        <f aca="false">IF(ISBLANK($C374),"",$DF374)</f>
        <v/>
      </c>
      <c r="DS374" s="110" t="str">
        <f aca="false">IF($DJ374&gt;$DI$8,"",VLOOKUP($DJ374,$DL$9:$DR$508,7,FALSE()))</f>
        <v/>
      </c>
      <c r="DT374" s="111" t="str">
        <f aca="false">IF($DJ374&gt;$DI$8,"",VLOOKUP($DJ374,$DL$9:$DR$508,2,FALSE()))</f>
        <v/>
      </c>
      <c r="DU374" s="111" t="str">
        <f aca="false">IF($DJ374&gt;$DI$8,"",VLOOKUP($DJ374,$DL$9:$DR$508,3,FALSE()))</f>
        <v/>
      </c>
      <c r="DV374" s="111" t="str">
        <f aca="false">IF($DJ374&gt;$DI$8,"",VLOOKUP($DJ374,$DL$9:$DR$508,4,FALSE()))</f>
        <v/>
      </c>
      <c r="DW374" s="111" t="str">
        <f aca="false">IF($DJ374&gt;$DI$8,"",VLOOKUP($DJ374,$DL$9:$DR$508,5,FALSE()))</f>
        <v/>
      </c>
      <c r="DX374" s="112" t="str">
        <f aca="false">IF($DJ374&gt;$DI$8,"",VLOOKUP($DJ374,$DL$9:$DR$508,6,FALSE()))</f>
        <v/>
      </c>
      <c r="DY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88"/>
      <c r="N375" s="88"/>
      <c r="O375" s="134"/>
      <c r="P375" s="134"/>
      <c r="Q375" s="88"/>
      <c r="R375" s="88"/>
      <c r="S375" s="88"/>
      <c r="T375" s="88"/>
      <c r="U375" s="134"/>
      <c r="V375" s="88"/>
      <c r="W375" s="70"/>
      <c r="X375" s="88"/>
      <c r="Y375" s="88"/>
      <c r="Z375" s="70"/>
      <c r="AA375" s="70"/>
      <c r="AB375" s="88"/>
      <c r="AC375" s="88"/>
      <c r="AD375" s="88"/>
      <c r="AE375" s="71"/>
      <c r="AF375" s="88"/>
      <c r="AG375" s="73"/>
      <c r="AH375" s="74"/>
      <c r="AI375" s="74"/>
      <c r="AJ375" s="74" t="str">
        <f aca="false">IF(ISBLANK($C375),"",IF($E375=Constants!$B$2,TRUE(),IF($E375=Constants!$B$3,FALSE(),TRUE())))</f>
        <v/>
      </c>
      <c r="AK375" s="74" t="str">
        <f aca="false">IF(ISBLANK($C375),"",IF($F375=Constants!$B$2,TRUE(),IF($F375=Constants!$B$3,FALSE(),FALSE())))</f>
        <v/>
      </c>
      <c r="AL375" s="74" t="str">
        <f aca="false">IF(ISBLANK($C375),"",IF($G375=Constants!$B$2,TRUE(),IF($G375=Constants!$B$3,FALSE(),TRUE())))</f>
        <v/>
      </c>
      <c r="AM375" s="74" t="str">
        <f aca="false">IF(ISBLANK($C375),"",IF($H375=Constants!$B$2,TRUE(),IF($H375=Constants!$B$3,FALSE(),TRUE())))</f>
        <v/>
      </c>
      <c r="AN375" s="74" t="str">
        <f aca="false">IF(ISBLANK($C375),"",IF(ISNUMBER($I375),IF($I375&gt;=0,$I375,""),""))</f>
        <v/>
      </c>
      <c r="AO375" s="74" t="str">
        <f aca="false">IF(ISBLANK($C375),"",IF(ISNUMBER($J375),IF($J375&gt;=0,$J375,""),""))</f>
        <v/>
      </c>
      <c r="AP375" s="74" t="str">
        <f aca="false">IF(ISBLANK($C375),"",IF(ISNUMBER($K375),IF($K375&gt;=0,$K375,""),""))</f>
        <v/>
      </c>
      <c r="AQ375" s="74" t="str">
        <f aca="false">IF(ISBLANK($C375),"",IF($L375=Constants!$B$2,TRUE(),IF($L375=Constants!$B$3,FALSE(),TRUE())))</f>
        <v/>
      </c>
      <c r="AR375" s="74" t="str">
        <f aca="false">IF(ISBLANK($C375),"",IF($M375=Constants!$B$2,TRUE(),IF($M375=Constants!$B$3,FALSE(),TRUE())))</f>
        <v/>
      </c>
      <c r="AS375" s="74" t="str">
        <f aca="false">IF(ISBLANK($C375),"",IF($N375=Constants!$B$2,TRUE(),IF($N375=Constants!$B$3,FALSE(),FALSE())))</f>
        <v/>
      </c>
      <c r="AT375" s="74" t="str">
        <f aca="false">IF(ISBLANK($C375),"",IF($O375=Constants!$B$2,TRUE(),IF($O375=Constants!$B$3,FALSE(),TRUE())))</f>
        <v/>
      </c>
      <c r="AU375" s="74" t="str">
        <f aca="false">IF(ISBLANK($C375),"",IF($P375=Constants!$B$2,TRUE(),IF($P375=Constants!$B$3,FALSE(),TRUE())))</f>
        <v/>
      </c>
      <c r="AV375" s="74" t="str">
        <f aca="false">IF(ISBLANK($C375),"",IF($Q375=Constants!$B$2,TRUE(),IF($Q375=Constants!$B$3,FALSE(),FALSE())))</f>
        <v/>
      </c>
      <c r="AW375" s="74" t="str">
        <f aca="false">IF(ISBLANK($C375),"",IF($R375=Constants!$B$2,TRUE(),IF($R375=Constants!$B$3,FALSE(),FALSE())))</f>
        <v/>
      </c>
      <c r="AX375" s="74" t="str">
        <f aca="false">IF(ISBLANK($C375),"",IF($S375=Constants!$B$2,TRUE(),IF($S375=Constants!$B$3,FALSE(),FALSE())))</f>
        <v/>
      </c>
      <c r="AY375" s="74" t="str">
        <f aca="false">IF(ISBLANK($C375),"",IF($T375=Constants!$B$2,TRUE(),IF($T375=Constants!$B$3,FALSE(),FALSE())))</f>
        <v/>
      </c>
      <c r="AZ375" s="74" t="str">
        <f aca="false">IF(ISBLANK($C375),"",IF($U375=Constants!$B$2,TRUE(),IF($U375=Constants!$B$3,FALSE(),FALSE())))</f>
        <v/>
      </c>
      <c r="BA375" s="74" t="str">
        <f aca="false">IF(ISBLANK($C375),"",IF(OR($V375&amp;""="1",$V375&amp;""="2",$V375&amp;""="3",$V375&amp;""="4"),VALUE($V375&amp;""),IF($V375=Constants!$B$12,Constants!$B$12,"")))</f>
        <v/>
      </c>
      <c r="BB375" s="74" t="str">
        <f aca="false">IF(ISBLANK($C375),"",IF(ISBLANK($W375),0,IF(ISNUMBER($W375),IF(AND($W375&gt;=0,$W375&lt;=Constants!$B$21,$W375=INT($W375)),$W375,""),"")))</f>
        <v/>
      </c>
      <c r="BC375" s="74" t="str">
        <f aca="false">IF(ISBLANK($C375),"",IF(ISBLANK($X375),0,IF(ISNUMBER($X375),IF($X375&gt;=0,$X375,""),"")))</f>
        <v/>
      </c>
      <c r="BD375" s="74" t="str">
        <f aca="false">IF(ISBLANK($C375),"",IF($Y375=Constants!$B$2,TRUE(),IF($Y375=Constants!$B$3,FALSE(),TRUE())))</f>
        <v/>
      </c>
      <c r="BE375" s="74" t="str">
        <f aca="false">IF(ISBLANK($C375),"",IF($Z375=Constants!$B$2,TRUE(),IF($Z375=Constants!$B$3,FALSE(),FALSE())))</f>
        <v/>
      </c>
      <c r="BF375" s="74" t="str">
        <f aca="false">IF(ISBLANK($C375),"",IF(ISBLANK($AA375),0,IF(ISNUMBER($AA375),IF(AND($AA375&gt;=0,$AA375&lt;=Constants!$B$35,$AA375=INT($AA375)),$AA375,""),"")))</f>
        <v/>
      </c>
      <c r="BG375" s="74" t="str">
        <f aca="false">IF(ISBLANK($C375),"",IF($AB375=Constants!$B$2,TRUE(),IF($AB375=Constants!$B$3,FALSE(),TRUE())))</f>
        <v/>
      </c>
      <c r="BH375" s="74" t="str">
        <f aca="false">IF(ISBLANK($C375),"",IF($AC375=Constants!$B$2,TRUE(),IF($AC375=Constants!$B$3,FALSE(),TRUE())))</f>
        <v/>
      </c>
      <c r="BI375" s="74" t="str">
        <f aca="false">IF(ISBLANK($C375),"",IF($AD375=Constants!$B$2,TRUE(),IF($AD375=Constants!$B$3,FALSE(),TRUE())))</f>
        <v/>
      </c>
      <c r="BJ375" s="74" t="str">
        <f aca="false">IF(ISBLANK($C375),"",IF(ISNUMBER($AE375),IF($AE375&gt;=0,$AE375,""),""))</f>
        <v/>
      </c>
      <c r="BK375" s="74" t="str">
        <f aca="false">IF(ISBLANK($C375),"",IF($AF375=Constants!$B$2,TRUE(),IF($AF375=Constants!$B$3,FALSE(),FALSE())))</f>
        <v/>
      </c>
      <c r="BL375" s="73" t="str">
        <f aca="false">IF(ISBLANK($C375),"",IF($BK375,Constants!$B$7,IF(COUNTA($E375:$AE375)=0,Constants!$B$6,IF(OR(COUNTA($G375:$AE375)=0,NOT($AM375),$AS375),Constants!$B$5,IF(OR($CM375&lt;&gt;"",$CN375,$CO375,$CP375,$CQ375,$CR375,$CS375),Constants!$B$8,Constants!$B$4)))))</f>
        <v/>
      </c>
      <c r="BM375" s="74" t="str">
        <f aca="false">IF(ISBLANK($C375),"",IF($BL375&lt;&gt;Constants!$B$4,$BL375,IF(OR(NOT($AJ375),NOT($AL375),NOT($AT375)),Constants!$B$11,IF(OR(NOT($AR375),NOT($AU375),NOT($BI375),MAX($AN375,$AO375,$AP375)&gt;Constants!$B$30),Constants!$B$10,Constants!$B$9))))</f>
        <v/>
      </c>
      <c r="BN375" s="74" t="str">
        <f aca="false">IF($BL375&lt;&gt;Constants!$B$4,"",IF(NOT($AL375),0,MIN(Constants!$B$35,$BF375)))</f>
        <v/>
      </c>
      <c r="BO375" s="74" t="str">
        <f aca="false">IF($BL375&lt;&gt;Constants!$B$4,"",IF(NOT($AL375),0,IF($AW375,Constants!$B$18,IF($AV375,Constants!$B$17,0))))</f>
        <v/>
      </c>
      <c r="BP375" s="74" t="str">
        <f aca="false">IF($BL375&lt;&gt;Constants!$B$4,"",IF(NOT($AL375),0,Constants!$B$19*($AK375+$AX375+$AY375+$AZ375)))</f>
        <v/>
      </c>
      <c r="BQ375" s="74" t="str">
        <f aca="false">IF($BL375&lt;&gt;Constants!$B$4,"",IF(OR(NOT($AL375),NOT(ISNUMBER($BA375))),0,CHOOSE($BA375,Constants!$B$13,Constants!$B$14,Constants!$B$15,Constants!$B$16)))</f>
        <v/>
      </c>
      <c r="BR375" s="74" t="str">
        <f aca="false">IF($BL375&lt;&gt;Constants!$B$4,"",IF(NOT($AL375),0,Constants!$B$20*$BB375))</f>
        <v/>
      </c>
      <c r="BS375" s="74" t="str">
        <f aca="false">IF($BL375&lt;&gt;Constants!$B$4,"",IF(AND($AL375,$BD375,$BE375),Constants!$B$22,0))</f>
        <v/>
      </c>
      <c r="BT375" s="74" t="str">
        <f aca="false">IF($BL375&lt;&gt;Constants!$B$4,"",IF(OR(NOT($AL375),NOT($BD375)),0,IF($BJ375&gt;=2*$AH$9,0,Constants!$B$23*INT(ROUND(MIN($BJ375,$AH$9),6)))))</f>
        <v/>
      </c>
      <c r="BU375" s="74" t="str">
        <f aca="false">IF($BL375&lt;&gt;Constants!$B$4,"",IF(NOT($AL375),0,Constants!$B$24*INT(ROUND(MIN($BC375,$AH$9),6))))</f>
        <v/>
      </c>
      <c r="BV375" s="74" t="str">
        <f aca="false">IF($BL375&lt;&gt;Constants!$B$4,"",IF(AND($AL375,$BN375=0),Constants!$B$25,0))</f>
        <v/>
      </c>
      <c r="BW375" s="74" t="str">
        <f aca="false">IF($BL375&lt;&gt;Constants!$B$4,"",MIN(Constants!$B$29,MAX(0,Constants!$B$27*Constants!$B$28*INT(ROUND((Constants!$B$26-$AN375)/Constants!$B$28,6))))+MIN(Constants!$B$29,MAX(0,Constants!$B$27*Constants!$B$28*INT(ROUND((Constants!$B$26-$AO375)/Constants!$B$28,6))))+MIN(Constants!$B$29,MAX(0,Constants!$B$27*Constants!$B$28*INT(ROUND((Constants!$B$26-$AP375)/Constants!$B$28,6)))))</f>
        <v/>
      </c>
      <c r="BX375" s="74" t="str">
        <f aca="false">IF($BL375&lt;&gt;Constants!$B$4,"",IF(NOT($AL375),0,Constants!$B$31*INT(ROUND(MAX(0,MIN($BJ375,2*$AH$9)-$AH$9),6))))</f>
        <v/>
      </c>
      <c r="BY375" s="74" t="str">
        <f aca="false">IF($BL375&lt;&gt;Constants!$B$4,"",Constants!$B$32*(($AN375&gt;Constants!$B$26)+($AO375&gt;Constants!$B$26)+($AP375&gt;Constants!$B$26)))</f>
        <v/>
      </c>
      <c r="BZ375" s="74" t="str">
        <f aca="false">IF($BL375&lt;&gt;Constants!$B$4,"",IF(OR(NOT($AL375),$AQ375),0,Constants!$B$33))</f>
        <v/>
      </c>
      <c r="CA375" s="74" t="str">
        <f aca="false">IF($BL375&lt;&gt;Constants!$B$4,"",Constants!$B$34*$BN375)</f>
        <v/>
      </c>
      <c r="CB375" s="74" t="str">
        <f aca="false">IF($BL375&lt;&gt;Constants!$B$4,"",IF(OR(NOT($AL375),$BH375),0,Constants!$B$36))</f>
        <v/>
      </c>
      <c r="CC375" s="74" t="str">
        <f aca="false">IF($BL375&lt;&gt;Constants!$B$4,"",IF(OR(NOT($AL375),$BG375),0,Constants!$B$37))</f>
        <v/>
      </c>
      <c r="CD375" s="74" t="str">
        <f aca="false">IF($BL375&lt;&gt;Constants!$B$4,"",SUM($BX375:$CC375))</f>
        <v/>
      </c>
      <c r="CE375" s="74" t="str">
        <f aca="false">IF(ISBLANK($C375),"",IF($BL375&lt;&gt;Constants!$B$4,$BL375,SUM($BO375:$BW375)-$CD375))</f>
        <v/>
      </c>
      <c r="CF375" s="74" t="str">
        <f aca="false">IF(ISBLANK($C375),"",IF($BL375&lt;&gt;Constants!$B$4,$BL375,RANK($CE375,$CE$9:$CE$508)))</f>
        <v/>
      </c>
      <c r="CG375" s="74" t="str">
        <f aca="false">IF(ISBLANK($C375),"",IF($BL375&lt;&gt;Constants!$B$4,$BL375,COUNTIFS($BM$9:$BM$508,"&lt;"&amp;$BM375)+COUNTIFS($BM$9:$BM$508,$BM375,$CF$9:$CF$508,"&lt;"&amp;$CF375)+1))</f>
        <v/>
      </c>
      <c r="CH375" s="74" t="str">
        <f aca="false">IF(ISBLANK($C375),"",IF($BL375&lt;&gt;Constants!$B$4,$BL375,RANK($CD375,$CD$9:$CD$508,1)))</f>
        <v/>
      </c>
      <c r="CI375" s="74" t="str">
        <f aca="false">IF($BL375&lt;&gt;Constants!$B$4,"",$AN375+$AO375+$AP375)</f>
        <v/>
      </c>
      <c r="CJ375" s="74" t="str">
        <f aca="false">IF(ISBLANK($C375),"",IF($BL375&lt;&gt;Constants!$B$4,$BL375,RANK($CI375,$CI$9:$CI$508,1)))</f>
        <v/>
      </c>
      <c r="CK375" s="74" t="str">
        <f aca="false">IF(ISBLANK($C375),"",IF($BL375&lt;&gt;Constants!$B$4,$BL375,COUNTIFS($BM$9:$BM$508,"&lt;"&amp;$BM375)+COUNTIFS($BM$9:$BM$508,$BM375,$CF$9:$CF$508,"&lt;"&amp;$CF375)+COUNTIFS($BM$9:$BM$508,$BM375,$CF$9:$CF$508,$CF375,$CH$9:$CH$508,"&lt;"&amp;$CH375)+COUNTIFS($BM$9:$BM$508,$BM375,$CF$9:$CF$508,$CF375,$CH$9:$CH$508,$CH375,$CJ$9:$CJ$508,"&lt;"&amp;$CJ375)+1))</f>
        <v/>
      </c>
      <c r="CL375" s="74" t="str">
        <f aca="false">IF(ISBLANK($C375),"",IF($BL375&lt;&gt;Constants!$B$4,$BL375,$CG375-$CK375))</f>
        <v/>
      </c>
      <c r="CM375" s="74" t="str">
        <f aca="false">IF(ISBLANK($C375),"",IF(NOT($AL375),"",IF(ISBLANK($D$7),$CM$5,IF(NOT(ISNUMBER($D$7)),$CM$6,""))))</f>
        <v/>
      </c>
      <c r="CN375" s="74" t="str">
        <f aca="false">IF(ISBLANK($C375),"",OR($AN375="",$AO375="",$AP375=""))</f>
        <v/>
      </c>
      <c r="CO375" s="74" t="str">
        <f aca="false">IF(ISBLANK($C375),"",AND($AL375,$BA375=""))</f>
        <v/>
      </c>
      <c r="CP375" s="74" t="str">
        <f aca="false">IF(ISBLANK($C375),"",AND($AL375,$BB375=""))</f>
        <v/>
      </c>
      <c r="CQ375" s="74" t="str">
        <f aca="false">IF(ISBLANK($C375),"",AND($AL375,$BC375=""))</f>
        <v/>
      </c>
      <c r="CR375" s="74" t="str">
        <f aca="false">IF(ISBLANK($C375),"",AND($AL375,$BF375=""))</f>
        <v/>
      </c>
      <c r="CS375" s="74" t="str">
        <f aca="false">IF(ISBLANK($C375),"",AND($AL375,$BJ375=""))</f>
        <v/>
      </c>
      <c r="CT375" s="75"/>
      <c r="CU375" s="76"/>
      <c r="CV375" s="79" t="str">
        <f aca="false">IF(ISBLANK($C375),"",IF($BL375=Constants!$B$8,$CM375,""))</f>
        <v/>
      </c>
      <c r="CW375" s="76" t="str">
        <f aca="false">IF(ISBLANK($C375),"",IF($BL375&lt;&gt;Constants!$B$4,"",$BO375+$BP375))</f>
        <v/>
      </c>
      <c r="CX375" s="78" t="str">
        <f aca="false">IF(ISBLANK($C375),"",IF($BL375&lt;&gt;Constants!$B$4,"",$BQ375+$BR375+$BS375))</f>
        <v/>
      </c>
      <c r="CY375" s="78" t="str">
        <f aca="false">IF(ISBLANK($C375),"",IF($BL375&lt;&gt;Constants!$B$4,"",$BT375))</f>
        <v/>
      </c>
      <c r="CZ375" s="78" t="str">
        <f aca="false">IF(ISBLANK($C375),"",IF($BL375&lt;&gt;Constants!$B$4,"",$BU375+$BV375))</f>
        <v/>
      </c>
      <c r="DA375" s="78" t="str">
        <f aca="false">IF(ISBLANK($C375),"",IF($BL375&lt;&gt;Constants!$B$4,"",$BW375))</f>
        <v/>
      </c>
      <c r="DB375" s="78" t="str">
        <f aca="false">IF(ISBLANK($C375),"",IF($BL375&lt;&gt;Constants!$B$4,"",-$CD375))</f>
        <v/>
      </c>
      <c r="DC375" s="79" t="str">
        <f aca="false">IF(ISBLANK($C375),"",$CE375)</f>
        <v/>
      </c>
      <c r="DD375" s="80" t="str">
        <f aca="false">IF(ISBLANK($C375),"",$BM375)</f>
        <v/>
      </c>
      <c r="DE375" s="78" t="str">
        <f aca="false">IF(ISBLANK($C375),"",$CL375)</f>
        <v/>
      </c>
      <c r="DF375" s="78" t="str">
        <f aca="false">IF(ISBLANK($C375),"",$CK375)</f>
        <v/>
      </c>
      <c r="DG375" s="81" t="str">
        <f aca="false">IF(ISBLANK($C375),"",IF($DF375=Constants!$B$7,COUNTA($C$9:$C$508)+2,IF($DF375=Constants!$B$6,COUNTA($C$9:$C$508)+1,IF($DF375=Constants!$B$5,COUNTA($C$9:$C$508),$DF375))))</f>
        <v/>
      </c>
      <c r="DH375" s="7"/>
      <c r="DI375" s="82" t="n">
        <f aca="false">IF(OR(ISNUMBER($DF375),$DF375=Constants!$B$7,$DF375=Constants!$B$5,$DF375=Constants!$B$6),1,0)</f>
        <v>0</v>
      </c>
      <c r="DJ375" s="82" t="n">
        <v>367</v>
      </c>
      <c r="DK375" s="82" t="str">
        <f aca="false">IF(ISBLANK($C375),"",IF(ISNUMBER($DG375),$DG375+ROW($B375)/1000,""))</f>
        <v/>
      </c>
      <c r="DL375" s="82" t="str">
        <f aca="false">IF(ISNUMBER($DK375),RANK($DK375,$DK$9:$DK$508,1),"")</f>
        <v/>
      </c>
      <c r="DM375" s="82" t="str">
        <f aca="false">IF(ISBLANK($C375),"",$B375)</f>
        <v/>
      </c>
      <c r="DN375" s="82" t="str">
        <f aca="false">IF(ISBLANK($C375),"",$C375)</f>
        <v/>
      </c>
      <c r="DO375" s="82" t="str">
        <f aca="false">IF(ISBLANK($C375),"",$D375)</f>
        <v/>
      </c>
      <c r="DP375" s="83" t="str">
        <f aca="false">$DD375</f>
        <v/>
      </c>
      <c r="DQ375" s="84" t="str">
        <f aca="false">$DC375</f>
        <v/>
      </c>
      <c r="DR375" s="82" t="str">
        <f aca="false">IF(ISBLANK($C375),"",$DF375)</f>
        <v/>
      </c>
      <c r="DS375" s="85" t="str">
        <f aca="false">IF($DJ375&gt;$DI$8,"",VLOOKUP($DJ375,$DL$9:$DR$508,7,FALSE()))</f>
        <v/>
      </c>
      <c r="DT375" s="86" t="str">
        <f aca="false">IF($DJ375&gt;$DI$8,"",VLOOKUP($DJ375,$DL$9:$DR$508,2,FALSE()))</f>
        <v/>
      </c>
      <c r="DU375" s="86" t="str">
        <f aca="false">IF($DJ375&gt;$DI$8,"",VLOOKUP($DJ375,$DL$9:$DR$508,3,FALSE()))</f>
        <v/>
      </c>
      <c r="DV375" s="86" t="str">
        <f aca="false">IF($DJ375&gt;$DI$8,"",VLOOKUP($DJ375,$DL$9:$DR$508,4,FALSE()))</f>
        <v/>
      </c>
      <c r="DW375" s="86" t="str">
        <f aca="false">IF($DJ375&gt;$DI$8,"",VLOOKUP($DJ375,$DL$9:$DR$508,5,FALSE()))</f>
        <v/>
      </c>
      <c r="DX375" s="87" t="str">
        <f aca="false">IF($DJ375&gt;$DI$8,"",VLOOKUP($DJ375,$DL$9:$DR$508,6,FALSE()))</f>
        <v/>
      </c>
      <c r="DY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88"/>
      <c r="N376" s="88"/>
      <c r="O376" s="134"/>
      <c r="P376" s="134"/>
      <c r="Q376" s="88"/>
      <c r="R376" s="88"/>
      <c r="S376" s="88"/>
      <c r="T376" s="88"/>
      <c r="U376" s="134"/>
      <c r="V376" s="88"/>
      <c r="W376" s="70"/>
      <c r="X376" s="88"/>
      <c r="Y376" s="88"/>
      <c r="Z376" s="70"/>
      <c r="AA376" s="70"/>
      <c r="AB376" s="88"/>
      <c r="AC376" s="88"/>
      <c r="AD376" s="88"/>
      <c r="AE376" s="71"/>
      <c r="AF376" s="88"/>
      <c r="AG376" s="73"/>
      <c r="AH376" s="74"/>
      <c r="AI376" s="74"/>
      <c r="AJ376" s="74" t="str">
        <f aca="false">IF(ISBLANK($C376),"",IF($E376=Constants!$B$2,TRUE(),IF($E376=Constants!$B$3,FALSE(),TRUE())))</f>
        <v/>
      </c>
      <c r="AK376" s="74" t="str">
        <f aca="false">IF(ISBLANK($C376),"",IF($F376=Constants!$B$2,TRUE(),IF($F376=Constants!$B$3,FALSE(),FALSE())))</f>
        <v/>
      </c>
      <c r="AL376" s="74" t="str">
        <f aca="false">IF(ISBLANK($C376),"",IF($G376=Constants!$B$2,TRUE(),IF($G376=Constants!$B$3,FALSE(),TRUE())))</f>
        <v/>
      </c>
      <c r="AM376" s="74" t="str">
        <f aca="false">IF(ISBLANK($C376),"",IF($H376=Constants!$B$2,TRUE(),IF($H376=Constants!$B$3,FALSE(),TRUE())))</f>
        <v/>
      </c>
      <c r="AN376" s="74" t="str">
        <f aca="false">IF(ISBLANK($C376),"",IF(ISNUMBER($I376),IF($I376&gt;=0,$I376,""),""))</f>
        <v/>
      </c>
      <c r="AO376" s="74" t="str">
        <f aca="false">IF(ISBLANK($C376),"",IF(ISNUMBER($J376),IF($J376&gt;=0,$J376,""),""))</f>
        <v/>
      </c>
      <c r="AP376" s="74" t="str">
        <f aca="false">IF(ISBLANK($C376),"",IF(ISNUMBER($K376),IF($K376&gt;=0,$K376,""),""))</f>
        <v/>
      </c>
      <c r="AQ376" s="74" t="str">
        <f aca="false">IF(ISBLANK($C376),"",IF($L376=Constants!$B$2,TRUE(),IF($L376=Constants!$B$3,FALSE(),TRUE())))</f>
        <v/>
      </c>
      <c r="AR376" s="74" t="str">
        <f aca="false">IF(ISBLANK($C376),"",IF($M376=Constants!$B$2,TRUE(),IF($M376=Constants!$B$3,FALSE(),TRUE())))</f>
        <v/>
      </c>
      <c r="AS376" s="74" t="str">
        <f aca="false">IF(ISBLANK($C376),"",IF($N376=Constants!$B$2,TRUE(),IF($N376=Constants!$B$3,FALSE(),FALSE())))</f>
        <v/>
      </c>
      <c r="AT376" s="74" t="str">
        <f aca="false">IF(ISBLANK($C376),"",IF($O376=Constants!$B$2,TRUE(),IF($O376=Constants!$B$3,FALSE(),TRUE())))</f>
        <v/>
      </c>
      <c r="AU376" s="74" t="str">
        <f aca="false">IF(ISBLANK($C376),"",IF($P376=Constants!$B$2,TRUE(),IF($P376=Constants!$B$3,FALSE(),TRUE())))</f>
        <v/>
      </c>
      <c r="AV376" s="74" t="str">
        <f aca="false">IF(ISBLANK($C376),"",IF($Q376=Constants!$B$2,TRUE(),IF($Q376=Constants!$B$3,FALSE(),FALSE())))</f>
        <v/>
      </c>
      <c r="AW376" s="74" t="str">
        <f aca="false">IF(ISBLANK($C376),"",IF($R376=Constants!$B$2,TRUE(),IF($R376=Constants!$B$3,FALSE(),FALSE())))</f>
        <v/>
      </c>
      <c r="AX376" s="74" t="str">
        <f aca="false">IF(ISBLANK($C376),"",IF($S376=Constants!$B$2,TRUE(),IF($S376=Constants!$B$3,FALSE(),FALSE())))</f>
        <v/>
      </c>
      <c r="AY376" s="74" t="str">
        <f aca="false">IF(ISBLANK($C376),"",IF($T376=Constants!$B$2,TRUE(),IF($T376=Constants!$B$3,FALSE(),FALSE())))</f>
        <v/>
      </c>
      <c r="AZ376" s="74" t="str">
        <f aca="false">IF(ISBLANK($C376),"",IF($U376=Constants!$B$2,TRUE(),IF($U376=Constants!$B$3,FALSE(),FALSE())))</f>
        <v/>
      </c>
      <c r="BA376" s="74" t="str">
        <f aca="false">IF(ISBLANK($C376),"",IF(OR($V376&amp;""="1",$V376&amp;""="2",$V376&amp;""="3",$V376&amp;""="4"),VALUE($V376&amp;""),IF($V376=Constants!$B$12,Constants!$B$12,"")))</f>
        <v/>
      </c>
      <c r="BB376" s="74" t="str">
        <f aca="false">IF(ISBLANK($C376),"",IF(ISBLANK($W376),0,IF(ISNUMBER($W376),IF(AND($W376&gt;=0,$W376&lt;=Constants!$B$21,$W376=INT($W376)),$W376,""),"")))</f>
        <v/>
      </c>
      <c r="BC376" s="74" t="str">
        <f aca="false">IF(ISBLANK($C376),"",IF(ISBLANK($X376),0,IF(ISNUMBER($X376),IF($X376&gt;=0,$X376,""),"")))</f>
        <v/>
      </c>
      <c r="BD376" s="74" t="str">
        <f aca="false">IF(ISBLANK($C376),"",IF($Y376=Constants!$B$2,TRUE(),IF($Y376=Constants!$B$3,FALSE(),TRUE())))</f>
        <v/>
      </c>
      <c r="BE376" s="74" t="str">
        <f aca="false">IF(ISBLANK($C376),"",IF($Z376=Constants!$B$2,TRUE(),IF($Z376=Constants!$B$3,FALSE(),FALSE())))</f>
        <v/>
      </c>
      <c r="BF376" s="74" t="str">
        <f aca="false">IF(ISBLANK($C376),"",IF(ISBLANK($AA376),0,IF(ISNUMBER($AA376),IF(AND($AA376&gt;=0,$AA376&lt;=Constants!$B$35,$AA376=INT($AA376)),$AA376,""),"")))</f>
        <v/>
      </c>
      <c r="BG376" s="74" t="str">
        <f aca="false">IF(ISBLANK($C376),"",IF($AB376=Constants!$B$2,TRUE(),IF($AB376=Constants!$B$3,FALSE(),TRUE())))</f>
        <v/>
      </c>
      <c r="BH376" s="74" t="str">
        <f aca="false">IF(ISBLANK($C376),"",IF($AC376=Constants!$B$2,TRUE(),IF($AC376=Constants!$B$3,FALSE(),TRUE())))</f>
        <v/>
      </c>
      <c r="BI376" s="74" t="str">
        <f aca="false">IF(ISBLANK($C376),"",IF($AD376=Constants!$B$2,TRUE(),IF($AD376=Constants!$B$3,FALSE(),TRUE())))</f>
        <v/>
      </c>
      <c r="BJ376" s="74" t="str">
        <f aca="false">IF(ISBLANK($C376),"",IF(ISNUMBER($AE376),IF($AE376&gt;=0,$AE376,""),""))</f>
        <v/>
      </c>
      <c r="BK376" s="74" t="str">
        <f aca="false">IF(ISBLANK($C376),"",IF($AF376=Constants!$B$2,TRUE(),IF($AF376=Constants!$B$3,FALSE(),FALSE())))</f>
        <v/>
      </c>
      <c r="BL376" s="73" t="str">
        <f aca="false">IF(ISBLANK($C376),"",IF($BK376,Constants!$B$7,IF(COUNTA($E376:$AE376)=0,Constants!$B$6,IF(OR(COUNTA($G376:$AE376)=0,NOT($AM376),$AS376),Constants!$B$5,IF(OR($CM376&lt;&gt;"",$CN376,$CO376,$CP376,$CQ376,$CR376,$CS376),Constants!$B$8,Constants!$B$4)))))</f>
        <v/>
      </c>
      <c r="BM376" s="74" t="str">
        <f aca="false">IF(ISBLANK($C376),"",IF($BL376&lt;&gt;Constants!$B$4,$BL376,IF(OR(NOT($AJ376),NOT($AL376),NOT($AT376)),Constants!$B$11,IF(OR(NOT($AR376),NOT($AU376),NOT($BI376),MAX($AN376,$AO376,$AP376)&gt;Constants!$B$30),Constants!$B$10,Constants!$B$9))))</f>
        <v/>
      </c>
      <c r="BN376" s="74" t="str">
        <f aca="false">IF($BL376&lt;&gt;Constants!$B$4,"",IF(NOT($AL376),0,MIN(Constants!$B$35,$BF376)))</f>
        <v/>
      </c>
      <c r="BO376" s="74" t="str">
        <f aca="false">IF($BL376&lt;&gt;Constants!$B$4,"",IF(NOT($AL376),0,IF($AW376,Constants!$B$18,IF($AV376,Constants!$B$17,0))))</f>
        <v/>
      </c>
      <c r="BP376" s="74" t="str">
        <f aca="false">IF($BL376&lt;&gt;Constants!$B$4,"",IF(NOT($AL376),0,Constants!$B$19*($AK376+$AX376+$AY376+$AZ376)))</f>
        <v/>
      </c>
      <c r="BQ376" s="74" t="str">
        <f aca="false">IF($BL376&lt;&gt;Constants!$B$4,"",IF(OR(NOT($AL376),NOT(ISNUMBER($BA376))),0,CHOOSE($BA376,Constants!$B$13,Constants!$B$14,Constants!$B$15,Constants!$B$16)))</f>
        <v/>
      </c>
      <c r="BR376" s="74" t="str">
        <f aca="false">IF($BL376&lt;&gt;Constants!$B$4,"",IF(NOT($AL376),0,Constants!$B$20*$BB376))</f>
        <v/>
      </c>
      <c r="BS376" s="74" t="str">
        <f aca="false">IF($BL376&lt;&gt;Constants!$B$4,"",IF(AND($AL376,$BD376,$BE376),Constants!$B$22,0))</f>
        <v/>
      </c>
      <c r="BT376" s="74" t="str">
        <f aca="false">IF($BL376&lt;&gt;Constants!$B$4,"",IF(OR(NOT($AL376),NOT($BD376)),0,IF($BJ376&gt;=2*$AH$9,0,Constants!$B$23*INT(ROUND(MIN($BJ376,$AH$9),6)))))</f>
        <v/>
      </c>
      <c r="BU376" s="74" t="str">
        <f aca="false">IF($BL376&lt;&gt;Constants!$B$4,"",IF(NOT($AL376),0,Constants!$B$24*INT(ROUND(MIN($BC376,$AH$9),6))))</f>
        <v/>
      </c>
      <c r="BV376" s="74" t="str">
        <f aca="false">IF($BL376&lt;&gt;Constants!$B$4,"",IF(AND($AL376,$BN376=0),Constants!$B$25,0))</f>
        <v/>
      </c>
      <c r="BW376" s="74" t="str">
        <f aca="false">IF($BL376&lt;&gt;Constants!$B$4,"",MIN(Constants!$B$29,MAX(0,Constants!$B$27*Constants!$B$28*INT(ROUND((Constants!$B$26-$AN376)/Constants!$B$28,6))))+MIN(Constants!$B$29,MAX(0,Constants!$B$27*Constants!$B$28*INT(ROUND((Constants!$B$26-$AO376)/Constants!$B$28,6))))+MIN(Constants!$B$29,MAX(0,Constants!$B$27*Constants!$B$28*INT(ROUND((Constants!$B$26-$AP376)/Constants!$B$28,6)))))</f>
        <v/>
      </c>
      <c r="BX376" s="74" t="str">
        <f aca="false">IF($BL376&lt;&gt;Constants!$B$4,"",IF(NOT($AL376),0,Constants!$B$31*INT(ROUND(MAX(0,MIN($BJ376,2*$AH$9)-$AH$9),6))))</f>
        <v/>
      </c>
      <c r="BY376" s="74" t="str">
        <f aca="false">IF($BL376&lt;&gt;Constants!$B$4,"",Constants!$B$32*(($AN376&gt;Constants!$B$26)+($AO376&gt;Constants!$B$26)+($AP376&gt;Constants!$B$26)))</f>
        <v/>
      </c>
      <c r="BZ376" s="74" t="str">
        <f aca="false">IF($BL376&lt;&gt;Constants!$B$4,"",IF(OR(NOT($AL376),$AQ376),0,Constants!$B$33))</f>
        <v/>
      </c>
      <c r="CA376" s="74" t="str">
        <f aca="false">IF($BL376&lt;&gt;Constants!$B$4,"",Constants!$B$34*$BN376)</f>
        <v/>
      </c>
      <c r="CB376" s="74" t="str">
        <f aca="false">IF($BL376&lt;&gt;Constants!$B$4,"",IF(OR(NOT($AL376),$BH376),0,Constants!$B$36))</f>
        <v/>
      </c>
      <c r="CC376" s="74" t="str">
        <f aca="false">IF($BL376&lt;&gt;Constants!$B$4,"",IF(OR(NOT($AL376),$BG376),0,Constants!$B$37))</f>
        <v/>
      </c>
      <c r="CD376" s="74" t="str">
        <f aca="false">IF($BL376&lt;&gt;Constants!$B$4,"",SUM($BX376:$CC376))</f>
        <v/>
      </c>
      <c r="CE376" s="74" t="str">
        <f aca="false">IF(ISBLANK($C376),"",IF($BL376&lt;&gt;Constants!$B$4,$BL376,SUM($BO376:$BW376)-$CD376))</f>
        <v/>
      </c>
      <c r="CF376" s="74" t="str">
        <f aca="false">IF(ISBLANK($C376),"",IF($BL376&lt;&gt;Constants!$B$4,$BL376,RANK($CE376,$CE$9:$CE$508)))</f>
        <v/>
      </c>
      <c r="CG376" s="74" t="str">
        <f aca="false">IF(ISBLANK($C376),"",IF($BL376&lt;&gt;Constants!$B$4,$BL376,COUNTIFS($BM$9:$BM$508,"&lt;"&amp;$BM376)+COUNTIFS($BM$9:$BM$508,$BM376,$CF$9:$CF$508,"&lt;"&amp;$CF376)+1))</f>
        <v/>
      </c>
      <c r="CH376" s="74" t="str">
        <f aca="false">IF(ISBLANK($C376),"",IF($BL376&lt;&gt;Constants!$B$4,$BL376,RANK($CD376,$CD$9:$CD$508,1)))</f>
        <v/>
      </c>
      <c r="CI376" s="74" t="str">
        <f aca="false">IF($BL376&lt;&gt;Constants!$B$4,"",$AN376+$AO376+$AP376)</f>
        <v/>
      </c>
      <c r="CJ376" s="74" t="str">
        <f aca="false">IF(ISBLANK($C376),"",IF($BL376&lt;&gt;Constants!$B$4,$BL376,RANK($CI376,$CI$9:$CI$508,1)))</f>
        <v/>
      </c>
      <c r="CK376" s="74" t="str">
        <f aca="false">IF(ISBLANK($C376),"",IF($BL376&lt;&gt;Constants!$B$4,$BL376,COUNTIFS($BM$9:$BM$508,"&lt;"&amp;$BM376)+COUNTIFS($BM$9:$BM$508,$BM376,$CF$9:$CF$508,"&lt;"&amp;$CF376)+COUNTIFS($BM$9:$BM$508,$BM376,$CF$9:$CF$508,$CF376,$CH$9:$CH$508,"&lt;"&amp;$CH376)+COUNTIFS($BM$9:$BM$508,$BM376,$CF$9:$CF$508,$CF376,$CH$9:$CH$508,$CH376,$CJ$9:$CJ$508,"&lt;"&amp;$CJ376)+1))</f>
        <v/>
      </c>
      <c r="CL376" s="74" t="str">
        <f aca="false">IF(ISBLANK($C376),"",IF($BL376&lt;&gt;Constants!$B$4,$BL376,$CG376-$CK376))</f>
        <v/>
      </c>
      <c r="CM376" s="74" t="str">
        <f aca="false">IF(ISBLANK($C376),"",IF(NOT($AL376),"",IF(ISBLANK($D$7),$CM$5,IF(NOT(ISNUMBER($D$7)),$CM$6,""))))</f>
        <v/>
      </c>
      <c r="CN376" s="74" t="str">
        <f aca="false">IF(ISBLANK($C376),"",OR($AN376="",$AO376="",$AP376=""))</f>
        <v/>
      </c>
      <c r="CO376" s="74" t="str">
        <f aca="false">IF(ISBLANK($C376),"",AND($AL376,$BA376=""))</f>
        <v/>
      </c>
      <c r="CP376" s="74" t="str">
        <f aca="false">IF(ISBLANK($C376),"",AND($AL376,$BB376=""))</f>
        <v/>
      </c>
      <c r="CQ376" s="74" t="str">
        <f aca="false">IF(ISBLANK($C376),"",AND($AL376,$BC376=""))</f>
        <v/>
      </c>
      <c r="CR376" s="74" t="str">
        <f aca="false">IF(ISBLANK($C376),"",AND($AL376,$BF376=""))</f>
        <v/>
      </c>
      <c r="CS376" s="74" t="str">
        <f aca="false">IF(ISBLANK($C376),"",AND($AL376,$BJ376=""))</f>
        <v/>
      </c>
      <c r="CT376" s="75"/>
      <c r="CU376" s="76"/>
      <c r="CV376" s="79" t="str">
        <f aca="false">IF(ISBLANK($C376),"",IF($BL376=Constants!$B$8,$CM376,""))</f>
        <v/>
      </c>
      <c r="CW376" s="76" t="str">
        <f aca="false">IF(ISBLANK($C376),"",IF($BL376&lt;&gt;Constants!$B$4,"",$BO376+$BP376))</f>
        <v/>
      </c>
      <c r="CX376" s="78" t="str">
        <f aca="false">IF(ISBLANK($C376),"",IF($BL376&lt;&gt;Constants!$B$4,"",$BQ376+$BR376+$BS376))</f>
        <v/>
      </c>
      <c r="CY376" s="78" t="str">
        <f aca="false">IF(ISBLANK($C376),"",IF($BL376&lt;&gt;Constants!$B$4,"",$BT376))</f>
        <v/>
      </c>
      <c r="CZ376" s="78" t="str">
        <f aca="false">IF(ISBLANK($C376),"",IF($BL376&lt;&gt;Constants!$B$4,"",$BU376+$BV376))</f>
        <v/>
      </c>
      <c r="DA376" s="78" t="str">
        <f aca="false">IF(ISBLANK($C376),"",IF($BL376&lt;&gt;Constants!$B$4,"",$BW376))</f>
        <v/>
      </c>
      <c r="DB376" s="78" t="str">
        <f aca="false">IF(ISBLANK($C376),"",IF($BL376&lt;&gt;Constants!$B$4,"",-$CD376))</f>
        <v/>
      </c>
      <c r="DC376" s="79" t="str">
        <f aca="false">IF(ISBLANK($C376),"",$CE376)</f>
        <v/>
      </c>
      <c r="DD376" s="80" t="str">
        <f aca="false">IF(ISBLANK($C376),"",$BM376)</f>
        <v/>
      </c>
      <c r="DE376" s="78" t="str">
        <f aca="false">IF(ISBLANK($C376),"",$CL376)</f>
        <v/>
      </c>
      <c r="DF376" s="78" t="str">
        <f aca="false">IF(ISBLANK($C376),"",$CK376)</f>
        <v/>
      </c>
      <c r="DG376" s="81" t="str">
        <f aca="false">IF(ISBLANK($C376),"",IF($DF376=Constants!$B$7,COUNTA($C$9:$C$508)+2,IF($DF376=Constants!$B$6,COUNTA($C$9:$C$508)+1,IF($DF376=Constants!$B$5,COUNTA($C$9:$C$508),$DF376))))</f>
        <v/>
      </c>
      <c r="DH376" s="7"/>
      <c r="DI376" s="82" t="n">
        <f aca="false">IF(OR(ISNUMBER($DF376),$DF376=Constants!$B$7,$DF376=Constants!$B$5,$DF376=Constants!$B$6),1,0)</f>
        <v>0</v>
      </c>
      <c r="DJ376" s="82" t="n">
        <v>368</v>
      </c>
      <c r="DK376" s="82" t="str">
        <f aca="false">IF(ISBLANK($C376),"",IF(ISNUMBER($DG376),$DG376+ROW($B376)/1000,""))</f>
        <v/>
      </c>
      <c r="DL376" s="82" t="str">
        <f aca="false">IF(ISNUMBER($DK376),RANK($DK376,$DK$9:$DK$508,1),"")</f>
        <v/>
      </c>
      <c r="DM376" s="82" t="str">
        <f aca="false">IF(ISBLANK($C376),"",$B376)</f>
        <v/>
      </c>
      <c r="DN376" s="82" t="str">
        <f aca="false">IF(ISBLANK($C376),"",$C376)</f>
        <v/>
      </c>
      <c r="DO376" s="82" t="str">
        <f aca="false">IF(ISBLANK($C376),"",$D376)</f>
        <v/>
      </c>
      <c r="DP376" s="83" t="str">
        <f aca="false">$DD376</f>
        <v/>
      </c>
      <c r="DQ376" s="84" t="str">
        <f aca="false">$DC376</f>
        <v/>
      </c>
      <c r="DR376" s="82" t="str">
        <f aca="false">IF(ISBLANK($C376),"",$DF376)</f>
        <v/>
      </c>
      <c r="DS376" s="85" t="str">
        <f aca="false">IF($DJ376&gt;$DI$8,"",VLOOKUP($DJ376,$DL$9:$DR$508,7,FALSE()))</f>
        <v/>
      </c>
      <c r="DT376" s="86" t="str">
        <f aca="false">IF($DJ376&gt;$DI$8,"",VLOOKUP($DJ376,$DL$9:$DR$508,2,FALSE()))</f>
        <v/>
      </c>
      <c r="DU376" s="86" t="str">
        <f aca="false">IF($DJ376&gt;$DI$8,"",VLOOKUP($DJ376,$DL$9:$DR$508,3,FALSE()))</f>
        <v/>
      </c>
      <c r="DV376" s="86" t="str">
        <f aca="false">IF($DJ376&gt;$DI$8,"",VLOOKUP($DJ376,$DL$9:$DR$508,4,FALSE()))</f>
        <v/>
      </c>
      <c r="DW376" s="86" t="str">
        <f aca="false">IF($DJ376&gt;$DI$8,"",VLOOKUP($DJ376,$DL$9:$DR$508,5,FALSE()))</f>
        <v/>
      </c>
      <c r="DX376" s="87" t="str">
        <f aca="false">IF($DJ376&gt;$DI$8,"",VLOOKUP($DJ376,$DL$9:$DR$508,6,FALSE()))</f>
        <v/>
      </c>
      <c r="DY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88"/>
      <c r="N377" s="88"/>
      <c r="O377" s="134"/>
      <c r="P377" s="134"/>
      <c r="Q377" s="88"/>
      <c r="R377" s="88"/>
      <c r="S377" s="88"/>
      <c r="T377" s="88"/>
      <c r="U377" s="134"/>
      <c r="V377" s="88"/>
      <c r="W377" s="70"/>
      <c r="X377" s="88"/>
      <c r="Y377" s="88"/>
      <c r="Z377" s="70"/>
      <c r="AA377" s="70"/>
      <c r="AB377" s="88"/>
      <c r="AC377" s="88"/>
      <c r="AD377" s="88"/>
      <c r="AE377" s="71"/>
      <c r="AF377" s="88"/>
      <c r="AG377" s="73"/>
      <c r="AH377" s="74"/>
      <c r="AI377" s="74"/>
      <c r="AJ377" s="74" t="str">
        <f aca="false">IF(ISBLANK($C377),"",IF($E377=Constants!$B$2,TRUE(),IF($E377=Constants!$B$3,FALSE(),TRUE())))</f>
        <v/>
      </c>
      <c r="AK377" s="74" t="str">
        <f aca="false">IF(ISBLANK($C377),"",IF($F377=Constants!$B$2,TRUE(),IF($F377=Constants!$B$3,FALSE(),FALSE())))</f>
        <v/>
      </c>
      <c r="AL377" s="74" t="str">
        <f aca="false">IF(ISBLANK($C377),"",IF($G377=Constants!$B$2,TRUE(),IF($G377=Constants!$B$3,FALSE(),TRUE())))</f>
        <v/>
      </c>
      <c r="AM377" s="74" t="str">
        <f aca="false">IF(ISBLANK($C377),"",IF($H377=Constants!$B$2,TRUE(),IF($H377=Constants!$B$3,FALSE(),TRUE())))</f>
        <v/>
      </c>
      <c r="AN377" s="74" t="str">
        <f aca="false">IF(ISBLANK($C377),"",IF(ISNUMBER($I377),IF($I377&gt;=0,$I377,""),""))</f>
        <v/>
      </c>
      <c r="AO377" s="74" t="str">
        <f aca="false">IF(ISBLANK($C377),"",IF(ISNUMBER($J377),IF($J377&gt;=0,$J377,""),""))</f>
        <v/>
      </c>
      <c r="AP377" s="74" t="str">
        <f aca="false">IF(ISBLANK($C377),"",IF(ISNUMBER($K377),IF($K377&gt;=0,$K377,""),""))</f>
        <v/>
      </c>
      <c r="AQ377" s="74" t="str">
        <f aca="false">IF(ISBLANK($C377),"",IF($L377=Constants!$B$2,TRUE(),IF($L377=Constants!$B$3,FALSE(),TRUE())))</f>
        <v/>
      </c>
      <c r="AR377" s="74" t="str">
        <f aca="false">IF(ISBLANK($C377),"",IF($M377=Constants!$B$2,TRUE(),IF($M377=Constants!$B$3,FALSE(),TRUE())))</f>
        <v/>
      </c>
      <c r="AS377" s="74" t="str">
        <f aca="false">IF(ISBLANK($C377),"",IF($N377=Constants!$B$2,TRUE(),IF($N377=Constants!$B$3,FALSE(),FALSE())))</f>
        <v/>
      </c>
      <c r="AT377" s="74" t="str">
        <f aca="false">IF(ISBLANK($C377),"",IF($O377=Constants!$B$2,TRUE(),IF($O377=Constants!$B$3,FALSE(),TRUE())))</f>
        <v/>
      </c>
      <c r="AU377" s="74" t="str">
        <f aca="false">IF(ISBLANK($C377),"",IF($P377=Constants!$B$2,TRUE(),IF($P377=Constants!$B$3,FALSE(),TRUE())))</f>
        <v/>
      </c>
      <c r="AV377" s="74" t="str">
        <f aca="false">IF(ISBLANK($C377),"",IF($Q377=Constants!$B$2,TRUE(),IF($Q377=Constants!$B$3,FALSE(),FALSE())))</f>
        <v/>
      </c>
      <c r="AW377" s="74" t="str">
        <f aca="false">IF(ISBLANK($C377),"",IF($R377=Constants!$B$2,TRUE(),IF($R377=Constants!$B$3,FALSE(),FALSE())))</f>
        <v/>
      </c>
      <c r="AX377" s="74" t="str">
        <f aca="false">IF(ISBLANK($C377),"",IF($S377=Constants!$B$2,TRUE(),IF($S377=Constants!$B$3,FALSE(),FALSE())))</f>
        <v/>
      </c>
      <c r="AY377" s="74" t="str">
        <f aca="false">IF(ISBLANK($C377),"",IF($T377=Constants!$B$2,TRUE(),IF($T377=Constants!$B$3,FALSE(),FALSE())))</f>
        <v/>
      </c>
      <c r="AZ377" s="74" t="str">
        <f aca="false">IF(ISBLANK($C377),"",IF($U377=Constants!$B$2,TRUE(),IF($U377=Constants!$B$3,FALSE(),FALSE())))</f>
        <v/>
      </c>
      <c r="BA377" s="74" t="str">
        <f aca="false">IF(ISBLANK($C377),"",IF(OR($V377&amp;""="1",$V377&amp;""="2",$V377&amp;""="3",$V377&amp;""="4"),VALUE($V377&amp;""),IF($V377=Constants!$B$12,Constants!$B$12,"")))</f>
        <v/>
      </c>
      <c r="BB377" s="74" t="str">
        <f aca="false">IF(ISBLANK($C377),"",IF(ISBLANK($W377),0,IF(ISNUMBER($W377),IF(AND($W377&gt;=0,$W377&lt;=Constants!$B$21,$W377=INT($W377)),$W377,""),"")))</f>
        <v/>
      </c>
      <c r="BC377" s="74" t="str">
        <f aca="false">IF(ISBLANK($C377),"",IF(ISBLANK($X377),0,IF(ISNUMBER($X377),IF($X377&gt;=0,$X377,""),"")))</f>
        <v/>
      </c>
      <c r="BD377" s="74" t="str">
        <f aca="false">IF(ISBLANK($C377),"",IF($Y377=Constants!$B$2,TRUE(),IF($Y377=Constants!$B$3,FALSE(),TRUE())))</f>
        <v/>
      </c>
      <c r="BE377" s="74" t="str">
        <f aca="false">IF(ISBLANK($C377),"",IF($Z377=Constants!$B$2,TRUE(),IF($Z377=Constants!$B$3,FALSE(),FALSE())))</f>
        <v/>
      </c>
      <c r="BF377" s="74" t="str">
        <f aca="false">IF(ISBLANK($C377),"",IF(ISBLANK($AA377),0,IF(ISNUMBER($AA377),IF(AND($AA377&gt;=0,$AA377&lt;=Constants!$B$35,$AA377=INT($AA377)),$AA377,""),"")))</f>
        <v/>
      </c>
      <c r="BG377" s="74" t="str">
        <f aca="false">IF(ISBLANK($C377),"",IF($AB377=Constants!$B$2,TRUE(),IF($AB377=Constants!$B$3,FALSE(),TRUE())))</f>
        <v/>
      </c>
      <c r="BH377" s="74" t="str">
        <f aca="false">IF(ISBLANK($C377),"",IF($AC377=Constants!$B$2,TRUE(),IF($AC377=Constants!$B$3,FALSE(),TRUE())))</f>
        <v/>
      </c>
      <c r="BI377" s="74" t="str">
        <f aca="false">IF(ISBLANK($C377),"",IF($AD377=Constants!$B$2,TRUE(),IF($AD377=Constants!$B$3,FALSE(),TRUE())))</f>
        <v/>
      </c>
      <c r="BJ377" s="74" t="str">
        <f aca="false">IF(ISBLANK($C377),"",IF(ISNUMBER($AE377),IF($AE377&gt;=0,$AE377,""),""))</f>
        <v/>
      </c>
      <c r="BK377" s="74" t="str">
        <f aca="false">IF(ISBLANK($C377),"",IF($AF377=Constants!$B$2,TRUE(),IF($AF377=Constants!$B$3,FALSE(),FALSE())))</f>
        <v/>
      </c>
      <c r="BL377" s="73" t="str">
        <f aca="false">IF(ISBLANK($C377),"",IF($BK377,Constants!$B$7,IF(COUNTA($E377:$AE377)=0,Constants!$B$6,IF(OR(COUNTA($G377:$AE377)=0,NOT($AM377),$AS377),Constants!$B$5,IF(OR($CM377&lt;&gt;"",$CN377,$CO377,$CP377,$CQ377,$CR377,$CS377),Constants!$B$8,Constants!$B$4)))))</f>
        <v/>
      </c>
      <c r="BM377" s="74" t="str">
        <f aca="false">IF(ISBLANK($C377),"",IF($BL377&lt;&gt;Constants!$B$4,$BL377,IF(OR(NOT($AJ377),NOT($AL377),NOT($AT377)),Constants!$B$11,IF(OR(NOT($AR377),NOT($AU377),NOT($BI377),MAX($AN377,$AO377,$AP377)&gt;Constants!$B$30),Constants!$B$10,Constants!$B$9))))</f>
        <v/>
      </c>
      <c r="BN377" s="74" t="str">
        <f aca="false">IF($BL377&lt;&gt;Constants!$B$4,"",IF(NOT($AL377),0,MIN(Constants!$B$35,$BF377)))</f>
        <v/>
      </c>
      <c r="BO377" s="74" t="str">
        <f aca="false">IF($BL377&lt;&gt;Constants!$B$4,"",IF(NOT($AL377),0,IF($AW377,Constants!$B$18,IF($AV377,Constants!$B$17,0))))</f>
        <v/>
      </c>
      <c r="BP377" s="74" t="str">
        <f aca="false">IF($BL377&lt;&gt;Constants!$B$4,"",IF(NOT($AL377),0,Constants!$B$19*($AK377+$AX377+$AY377+$AZ377)))</f>
        <v/>
      </c>
      <c r="BQ377" s="74" t="str">
        <f aca="false">IF($BL377&lt;&gt;Constants!$B$4,"",IF(OR(NOT($AL377),NOT(ISNUMBER($BA377))),0,CHOOSE($BA377,Constants!$B$13,Constants!$B$14,Constants!$B$15,Constants!$B$16)))</f>
        <v/>
      </c>
      <c r="BR377" s="74" t="str">
        <f aca="false">IF($BL377&lt;&gt;Constants!$B$4,"",IF(NOT($AL377),0,Constants!$B$20*$BB377))</f>
        <v/>
      </c>
      <c r="BS377" s="74" t="str">
        <f aca="false">IF($BL377&lt;&gt;Constants!$B$4,"",IF(AND($AL377,$BD377,$BE377),Constants!$B$22,0))</f>
        <v/>
      </c>
      <c r="BT377" s="74" t="str">
        <f aca="false">IF($BL377&lt;&gt;Constants!$B$4,"",IF(OR(NOT($AL377),NOT($BD377)),0,IF($BJ377&gt;=2*$AH$9,0,Constants!$B$23*INT(ROUND(MIN($BJ377,$AH$9),6)))))</f>
        <v/>
      </c>
      <c r="BU377" s="74" t="str">
        <f aca="false">IF($BL377&lt;&gt;Constants!$B$4,"",IF(NOT($AL377),0,Constants!$B$24*INT(ROUND(MIN($BC377,$AH$9),6))))</f>
        <v/>
      </c>
      <c r="BV377" s="74" t="str">
        <f aca="false">IF($BL377&lt;&gt;Constants!$B$4,"",IF(AND($AL377,$BN377=0),Constants!$B$25,0))</f>
        <v/>
      </c>
      <c r="BW377" s="74" t="str">
        <f aca="false">IF($BL377&lt;&gt;Constants!$B$4,"",MIN(Constants!$B$29,MAX(0,Constants!$B$27*Constants!$B$28*INT(ROUND((Constants!$B$26-$AN377)/Constants!$B$28,6))))+MIN(Constants!$B$29,MAX(0,Constants!$B$27*Constants!$B$28*INT(ROUND((Constants!$B$26-$AO377)/Constants!$B$28,6))))+MIN(Constants!$B$29,MAX(0,Constants!$B$27*Constants!$B$28*INT(ROUND((Constants!$B$26-$AP377)/Constants!$B$28,6)))))</f>
        <v/>
      </c>
      <c r="BX377" s="74" t="str">
        <f aca="false">IF($BL377&lt;&gt;Constants!$B$4,"",IF(NOT($AL377),0,Constants!$B$31*INT(ROUND(MAX(0,MIN($BJ377,2*$AH$9)-$AH$9),6))))</f>
        <v/>
      </c>
      <c r="BY377" s="74" t="str">
        <f aca="false">IF($BL377&lt;&gt;Constants!$B$4,"",Constants!$B$32*(($AN377&gt;Constants!$B$26)+($AO377&gt;Constants!$B$26)+($AP377&gt;Constants!$B$26)))</f>
        <v/>
      </c>
      <c r="BZ377" s="74" t="str">
        <f aca="false">IF($BL377&lt;&gt;Constants!$B$4,"",IF(OR(NOT($AL377),$AQ377),0,Constants!$B$33))</f>
        <v/>
      </c>
      <c r="CA377" s="74" t="str">
        <f aca="false">IF($BL377&lt;&gt;Constants!$B$4,"",Constants!$B$34*$BN377)</f>
        <v/>
      </c>
      <c r="CB377" s="74" t="str">
        <f aca="false">IF($BL377&lt;&gt;Constants!$B$4,"",IF(OR(NOT($AL377),$BH377),0,Constants!$B$36))</f>
        <v/>
      </c>
      <c r="CC377" s="74" t="str">
        <f aca="false">IF($BL377&lt;&gt;Constants!$B$4,"",IF(OR(NOT($AL377),$BG377),0,Constants!$B$37))</f>
        <v/>
      </c>
      <c r="CD377" s="74" t="str">
        <f aca="false">IF($BL377&lt;&gt;Constants!$B$4,"",SUM($BX377:$CC377))</f>
        <v/>
      </c>
      <c r="CE377" s="74" t="str">
        <f aca="false">IF(ISBLANK($C377),"",IF($BL377&lt;&gt;Constants!$B$4,$BL377,SUM($BO377:$BW377)-$CD377))</f>
        <v/>
      </c>
      <c r="CF377" s="74" t="str">
        <f aca="false">IF(ISBLANK($C377),"",IF($BL377&lt;&gt;Constants!$B$4,$BL377,RANK($CE377,$CE$9:$CE$508)))</f>
        <v/>
      </c>
      <c r="CG377" s="74" t="str">
        <f aca="false">IF(ISBLANK($C377),"",IF($BL377&lt;&gt;Constants!$B$4,$BL377,COUNTIFS($BM$9:$BM$508,"&lt;"&amp;$BM377)+COUNTIFS($BM$9:$BM$508,$BM377,$CF$9:$CF$508,"&lt;"&amp;$CF377)+1))</f>
        <v/>
      </c>
      <c r="CH377" s="74" t="str">
        <f aca="false">IF(ISBLANK($C377),"",IF($BL377&lt;&gt;Constants!$B$4,$BL377,RANK($CD377,$CD$9:$CD$508,1)))</f>
        <v/>
      </c>
      <c r="CI377" s="74" t="str">
        <f aca="false">IF($BL377&lt;&gt;Constants!$B$4,"",$AN377+$AO377+$AP377)</f>
        <v/>
      </c>
      <c r="CJ377" s="74" t="str">
        <f aca="false">IF(ISBLANK($C377),"",IF($BL377&lt;&gt;Constants!$B$4,$BL377,RANK($CI377,$CI$9:$CI$508,1)))</f>
        <v/>
      </c>
      <c r="CK377" s="74" t="str">
        <f aca="false">IF(ISBLANK($C377),"",IF($BL377&lt;&gt;Constants!$B$4,$BL377,COUNTIFS($BM$9:$BM$508,"&lt;"&amp;$BM377)+COUNTIFS($BM$9:$BM$508,$BM377,$CF$9:$CF$508,"&lt;"&amp;$CF377)+COUNTIFS($BM$9:$BM$508,$BM377,$CF$9:$CF$508,$CF377,$CH$9:$CH$508,"&lt;"&amp;$CH377)+COUNTIFS($BM$9:$BM$508,$BM377,$CF$9:$CF$508,$CF377,$CH$9:$CH$508,$CH377,$CJ$9:$CJ$508,"&lt;"&amp;$CJ377)+1))</f>
        <v/>
      </c>
      <c r="CL377" s="74" t="str">
        <f aca="false">IF(ISBLANK($C377),"",IF($BL377&lt;&gt;Constants!$B$4,$BL377,$CG377-$CK377))</f>
        <v/>
      </c>
      <c r="CM377" s="74" t="str">
        <f aca="false">IF(ISBLANK($C377),"",IF(NOT($AL377),"",IF(ISBLANK($D$7),$CM$5,IF(NOT(ISNUMBER($D$7)),$CM$6,""))))</f>
        <v/>
      </c>
      <c r="CN377" s="74" t="str">
        <f aca="false">IF(ISBLANK($C377),"",OR($AN377="",$AO377="",$AP377=""))</f>
        <v/>
      </c>
      <c r="CO377" s="74" t="str">
        <f aca="false">IF(ISBLANK($C377),"",AND($AL377,$BA377=""))</f>
        <v/>
      </c>
      <c r="CP377" s="74" t="str">
        <f aca="false">IF(ISBLANK($C377),"",AND($AL377,$BB377=""))</f>
        <v/>
      </c>
      <c r="CQ377" s="74" t="str">
        <f aca="false">IF(ISBLANK($C377),"",AND($AL377,$BC377=""))</f>
        <v/>
      </c>
      <c r="CR377" s="74" t="str">
        <f aca="false">IF(ISBLANK($C377),"",AND($AL377,$BF377=""))</f>
        <v/>
      </c>
      <c r="CS377" s="74" t="str">
        <f aca="false">IF(ISBLANK($C377),"",AND($AL377,$BJ377=""))</f>
        <v/>
      </c>
      <c r="CT377" s="75"/>
      <c r="CU377" s="76"/>
      <c r="CV377" s="79" t="str">
        <f aca="false">IF(ISBLANK($C377),"",IF($BL377=Constants!$B$8,$CM377,""))</f>
        <v/>
      </c>
      <c r="CW377" s="76" t="str">
        <f aca="false">IF(ISBLANK($C377),"",IF($BL377&lt;&gt;Constants!$B$4,"",$BO377+$BP377))</f>
        <v/>
      </c>
      <c r="CX377" s="78" t="str">
        <f aca="false">IF(ISBLANK($C377),"",IF($BL377&lt;&gt;Constants!$B$4,"",$BQ377+$BR377+$BS377))</f>
        <v/>
      </c>
      <c r="CY377" s="78" t="str">
        <f aca="false">IF(ISBLANK($C377),"",IF($BL377&lt;&gt;Constants!$B$4,"",$BT377))</f>
        <v/>
      </c>
      <c r="CZ377" s="78" t="str">
        <f aca="false">IF(ISBLANK($C377),"",IF($BL377&lt;&gt;Constants!$B$4,"",$BU377+$BV377))</f>
        <v/>
      </c>
      <c r="DA377" s="78" t="str">
        <f aca="false">IF(ISBLANK($C377),"",IF($BL377&lt;&gt;Constants!$B$4,"",$BW377))</f>
        <v/>
      </c>
      <c r="DB377" s="78" t="str">
        <f aca="false">IF(ISBLANK($C377),"",IF($BL377&lt;&gt;Constants!$B$4,"",-$CD377))</f>
        <v/>
      </c>
      <c r="DC377" s="79" t="str">
        <f aca="false">IF(ISBLANK($C377),"",$CE377)</f>
        <v/>
      </c>
      <c r="DD377" s="80" t="str">
        <f aca="false">IF(ISBLANK($C377),"",$BM377)</f>
        <v/>
      </c>
      <c r="DE377" s="78" t="str">
        <f aca="false">IF(ISBLANK($C377),"",$CL377)</f>
        <v/>
      </c>
      <c r="DF377" s="78" t="str">
        <f aca="false">IF(ISBLANK($C377),"",$CK377)</f>
        <v/>
      </c>
      <c r="DG377" s="81" t="str">
        <f aca="false">IF(ISBLANK($C377),"",IF($DF377=Constants!$B$7,COUNTA($C$9:$C$508)+2,IF($DF377=Constants!$B$6,COUNTA($C$9:$C$508)+1,IF($DF377=Constants!$B$5,COUNTA($C$9:$C$508),$DF377))))</f>
        <v/>
      </c>
      <c r="DH377" s="7"/>
      <c r="DI377" s="82" t="n">
        <f aca="false">IF(OR(ISNUMBER($DF377),$DF377=Constants!$B$7,$DF377=Constants!$B$5,$DF377=Constants!$B$6),1,0)</f>
        <v>0</v>
      </c>
      <c r="DJ377" s="82" t="n">
        <v>369</v>
      </c>
      <c r="DK377" s="82" t="str">
        <f aca="false">IF(ISBLANK($C377),"",IF(ISNUMBER($DG377),$DG377+ROW($B377)/1000,""))</f>
        <v/>
      </c>
      <c r="DL377" s="82" t="str">
        <f aca="false">IF(ISNUMBER($DK377),RANK($DK377,$DK$9:$DK$508,1),"")</f>
        <v/>
      </c>
      <c r="DM377" s="82" t="str">
        <f aca="false">IF(ISBLANK($C377),"",$B377)</f>
        <v/>
      </c>
      <c r="DN377" s="82" t="str">
        <f aca="false">IF(ISBLANK($C377),"",$C377)</f>
        <v/>
      </c>
      <c r="DO377" s="82" t="str">
        <f aca="false">IF(ISBLANK($C377),"",$D377)</f>
        <v/>
      </c>
      <c r="DP377" s="83" t="str">
        <f aca="false">$DD377</f>
        <v/>
      </c>
      <c r="DQ377" s="84" t="str">
        <f aca="false">$DC377</f>
        <v/>
      </c>
      <c r="DR377" s="82" t="str">
        <f aca="false">IF(ISBLANK($C377),"",$DF377)</f>
        <v/>
      </c>
      <c r="DS377" s="85" t="str">
        <f aca="false">IF($DJ377&gt;$DI$8,"",VLOOKUP($DJ377,$DL$9:$DR$508,7,FALSE()))</f>
        <v/>
      </c>
      <c r="DT377" s="86" t="str">
        <f aca="false">IF($DJ377&gt;$DI$8,"",VLOOKUP($DJ377,$DL$9:$DR$508,2,FALSE()))</f>
        <v/>
      </c>
      <c r="DU377" s="86" t="str">
        <f aca="false">IF($DJ377&gt;$DI$8,"",VLOOKUP($DJ377,$DL$9:$DR$508,3,FALSE()))</f>
        <v/>
      </c>
      <c r="DV377" s="86" t="str">
        <f aca="false">IF($DJ377&gt;$DI$8,"",VLOOKUP($DJ377,$DL$9:$DR$508,4,FALSE()))</f>
        <v/>
      </c>
      <c r="DW377" s="86" t="str">
        <f aca="false">IF($DJ377&gt;$DI$8,"",VLOOKUP($DJ377,$DL$9:$DR$508,5,FALSE()))</f>
        <v/>
      </c>
      <c r="DX377" s="87" t="str">
        <f aca="false">IF($DJ377&gt;$DI$8,"",VLOOKUP($DJ377,$DL$9:$DR$508,6,FALSE()))</f>
        <v/>
      </c>
      <c r="DY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130"/>
      <c r="N378" s="130"/>
      <c r="O378" s="135"/>
      <c r="P378" s="135"/>
      <c r="Q378" s="130"/>
      <c r="R378" s="130"/>
      <c r="S378" s="130"/>
      <c r="T378" s="130"/>
      <c r="U378" s="135"/>
      <c r="V378" s="130"/>
      <c r="W378" s="96"/>
      <c r="X378" s="130"/>
      <c r="Y378" s="130"/>
      <c r="Z378" s="96"/>
      <c r="AA378" s="96"/>
      <c r="AB378" s="130"/>
      <c r="AC378" s="130"/>
      <c r="AD378" s="130"/>
      <c r="AE378" s="97"/>
      <c r="AF378" s="130"/>
      <c r="AG378" s="99"/>
      <c r="AH378" s="100"/>
      <c r="AI378" s="100"/>
      <c r="AJ378" s="100" t="str">
        <f aca="false">IF(ISBLANK($C378),"",IF($E378=Constants!$B$2,TRUE(),IF($E378=Constants!$B$3,FALSE(),TRUE())))</f>
        <v/>
      </c>
      <c r="AK378" s="100" t="str">
        <f aca="false">IF(ISBLANK($C378),"",IF($F378=Constants!$B$2,TRUE(),IF($F378=Constants!$B$3,FALSE(),FALSE())))</f>
        <v/>
      </c>
      <c r="AL378" s="100" t="str">
        <f aca="false">IF(ISBLANK($C378),"",IF($G378=Constants!$B$2,TRUE(),IF($G378=Constants!$B$3,FALSE(),TRUE())))</f>
        <v/>
      </c>
      <c r="AM378" s="100" t="str">
        <f aca="false">IF(ISBLANK($C378),"",IF($H378=Constants!$B$2,TRUE(),IF($H378=Constants!$B$3,FALSE(),TRUE())))</f>
        <v/>
      </c>
      <c r="AN378" s="100" t="str">
        <f aca="false">IF(ISBLANK($C378),"",IF(ISNUMBER($I378),IF($I378&gt;=0,$I378,""),""))</f>
        <v/>
      </c>
      <c r="AO378" s="100" t="str">
        <f aca="false">IF(ISBLANK($C378),"",IF(ISNUMBER($J378),IF($J378&gt;=0,$J378,""),""))</f>
        <v/>
      </c>
      <c r="AP378" s="100" t="str">
        <f aca="false">IF(ISBLANK($C378),"",IF(ISNUMBER($K378),IF($K378&gt;=0,$K378,""),""))</f>
        <v/>
      </c>
      <c r="AQ378" s="100" t="str">
        <f aca="false">IF(ISBLANK($C378),"",IF($L378=Constants!$B$2,TRUE(),IF($L378=Constants!$B$3,FALSE(),TRUE())))</f>
        <v/>
      </c>
      <c r="AR378" s="100" t="str">
        <f aca="false">IF(ISBLANK($C378),"",IF($M378=Constants!$B$2,TRUE(),IF($M378=Constants!$B$3,FALSE(),TRUE())))</f>
        <v/>
      </c>
      <c r="AS378" s="100" t="str">
        <f aca="false">IF(ISBLANK($C378),"",IF($N378=Constants!$B$2,TRUE(),IF($N378=Constants!$B$3,FALSE(),FALSE())))</f>
        <v/>
      </c>
      <c r="AT378" s="100" t="str">
        <f aca="false">IF(ISBLANK($C378),"",IF($O378=Constants!$B$2,TRUE(),IF($O378=Constants!$B$3,FALSE(),TRUE())))</f>
        <v/>
      </c>
      <c r="AU378" s="100" t="str">
        <f aca="false">IF(ISBLANK($C378),"",IF($P378=Constants!$B$2,TRUE(),IF($P378=Constants!$B$3,FALSE(),TRUE())))</f>
        <v/>
      </c>
      <c r="AV378" s="100" t="str">
        <f aca="false">IF(ISBLANK($C378),"",IF($Q378=Constants!$B$2,TRUE(),IF($Q378=Constants!$B$3,FALSE(),FALSE())))</f>
        <v/>
      </c>
      <c r="AW378" s="100" t="str">
        <f aca="false">IF(ISBLANK($C378),"",IF($R378=Constants!$B$2,TRUE(),IF($R378=Constants!$B$3,FALSE(),FALSE())))</f>
        <v/>
      </c>
      <c r="AX378" s="100" t="str">
        <f aca="false">IF(ISBLANK($C378),"",IF($S378=Constants!$B$2,TRUE(),IF($S378=Constants!$B$3,FALSE(),FALSE())))</f>
        <v/>
      </c>
      <c r="AY378" s="100" t="str">
        <f aca="false">IF(ISBLANK($C378),"",IF($T378=Constants!$B$2,TRUE(),IF($T378=Constants!$B$3,FALSE(),FALSE())))</f>
        <v/>
      </c>
      <c r="AZ378" s="100" t="str">
        <f aca="false">IF(ISBLANK($C378),"",IF($U378=Constants!$B$2,TRUE(),IF($U378=Constants!$B$3,FALSE(),FALSE())))</f>
        <v/>
      </c>
      <c r="BA378" s="100" t="str">
        <f aca="false">IF(ISBLANK($C378),"",IF(OR($V378&amp;""="1",$V378&amp;""="2",$V378&amp;""="3",$V378&amp;""="4"),VALUE($V378&amp;""),IF($V378=Constants!$B$12,Constants!$B$12,"")))</f>
        <v/>
      </c>
      <c r="BB378" s="100" t="str">
        <f aca="false">IF(ISBLANK($C378),"",IF(ISBLANK($W378),0,IF(ISNUMBER($W378),IF(AND($W378&gt;=0,$W378&lt;=Constants!$B$21,$W378=INT($W378)),$W378,""),"")))</f>
        <v/>
      </c>
      <c r="BC378" s="100" t="str">
        <f aca="false">IF(ISBLANK($C378),"",IF(ISBLANK($X378),0,IF(ISNUMBER($X378),IF($X378&gt;=0,$X378,""),"")))</f>
        <v/>
      </c>
      <c r="BD378" s="100" t="str">
        <f aca="false">IF(ISBLANK($C378),"",IF($Y378=Constants!$B$2,TRUE(),IF($Y378=Constants!$B$3,FALSE(),TRUE())))</f>
        <v/>
      </c>
      <c r="BE378" s="100" t="str">
        <f aca="false">IF(ISBLANK($C378),"",IF($Z378=Constants!$B$2,TRUE(),IF($Z378=Constants!$B$3,FALSE(),FALSE())))</f>
        <v/>
      </c>
      <c r="BF378" s="100" t="str">
        <f aca="false">IF(ISBLANK($C378),"",IF(ISBLANK($AA378),0,IF(ISNUMBER($AA378),IF(AND($AA378&gt;=0,$AA378&lt;=Constants!$B$35,$AA378=INT($AA378)),$AA378,""),"")))</f>
        <v/>
      </c>
      <c r="BG378" s="100" t="str">
        <f aca="false">IF(ISBLANK($C378),"",IF($AB378=Constants!$B$2,TRUE(),IF($AB378=Constants!$B$3,FALSE(),TRUE())))</f>
        <v/>
      </c>
      <c r="BH378" s="100" t="str">
        <f aca="false">IF(ISBLANK($C378),"",IF($AC378=Constants!$B$2,TRUE(),IF($AC378=Constants!$B$3,FALSE(),TRUE())))</f>
        <v/>
      </c>
      <c r="BI378" s="100" t="str">
        <f aca="false">IF(ISBLANK($C378),"",IF($AD378=Constants!$B$2,TRUE(),IF($AD378=Constants!$B$3,FALSE(),TRUE())))</f>
        <v/>
      </c>
      <c r="BJ378" s="100" t="str">
        <f aca="false">IF(ISBLANK($C378),"",IF(ISNUMBER($AE378),IF($AE378&gt;=0,$AE378,""),""))</f>
        <v/>
      </c>
      <c r="BK378" s="100" t="str">
        <f aca="false">IF(ISBLANK($C378),"",IF($AF378=Constants!$B$2,TRUE(),IF($AF378=Constants!$B$3,FALSE(),FALSE())))</f>
        <v/>
      </c>
      <c r="BL378" s="99" t="str">
        <f aca="false">IF(ISBLANK($C378),"",IF($BK378,Constants!$B$7,IF(COUNTA($E378:$AE378)=0,Constants!$B$6,IF(OR(COUNTA($G378:$AE378)=0,NOT($AM378),$AS378),Constants!$B$5,IF(OR($CM378&lt;&gt;"",$CN378,$CO378,$CP378,$CQ378,$CR378,$CS378),Constants!$B$8,Constants!$B$4)))))</f>
        <v/>
      </c>
      <c r="BM378" s="100" t="str">
        <f aca="false">IF(ISBLANK($C378),"",IF($BL378&lt;&gt;Constants!$B$4,$BL378,IF(OR(NOT($AJ378),NOT($AL378),NOT($AT378)),Constants!$B$11,IF(OR(NOT($AR378),NOT($AU378),NOT($BI378),MAX($AN378,$AO378,$AP378)&gt;Constants!$B$30),Constants!$B$10,Constants!$B$9))))</f>
        <v/>
      </c>
      <c r="BN378" s="100" t="str">
        <f aca="false">IF($BL378&lt;&gt;Constants!$B$4,"",IF(NOT($AL378),0,MIN(Constants!$B$35,$BF378)))</f>
        <v/>
      </c>
      <c r="BO378" s="100" t="str">
        <f aca="false">IF($BL378&lt;&gt;Constants!$B$4,"",IF(NOT($AL378),0,IF($AW378,Constants!$B$18,IF($AV378,Constants!$B$17,0))))</f>
        <v/>
      </c>
      <c r="BP378" s="100" t="str">
        <f aca="false">IF($BL378&lt;&gt;Constants!$B$4,"",IF(NOT($AL378),0,Constants!$B$19*($AK378+$AX378+$AY378+$AZ378)))</f>
        <v/>
      </c>
      <c r="BQ378" s="100" t="str">
        <f aca="false">IF($BL378&lt;&gt;Constants!$B$4,"",IF(OR(NOT($AL378),NOT(ISNUMBER($BA378))),0,CHOOSE($BA378,Constants!$B$13,Constants!$B$14,Constants!$B$15,Constants!$B$16)))</f>
        <v/>
      </c>
      <c r="BR378" s="100" t="str">
        <f aca="false">IF($BL378&lt;&gt;Constants!$B$4,"",IF(NOT($AL378),0,Constants!$B$20*$BB378))</f>
        <v/>
      </c>
      <c r="BS378" s="100" t="str">
        <f aca="false">IF($BL378&lt;&gt;Constants!$B$4,"",IF(AND($AL378,$BD378,$BE378),Constants!$B$22,0))</f>
        <v/>
      </c>
      <c r="BT378" s="100" t="str">
        <f aca="false">IF($BL378&lt;&gt;Constants!$B$4,"",IF(OR(NOT($AL378),NOT($BD378)),0,IF($BJ378&gt;=2*$AH$9,0,Constants!$B$23*INT(ROUND(MIN($BJ378,$AH$9),6)))))</f>
        <v/>
      </c>
      <c r="BU378" s="100" t="str">
        <f aca="false">IF($BL378&lt;&gt;Constants!$B$4,"",IF(NOT($AL378),0,Constants!$B$24*INT(ROUND(MIN($BC378,$AH$9),6))))</f>
        <v/>
      </c>
      <c r="BV378" s="100" t="str">
        <f aca="false">IF($BL378&lt;&gt;Constants!$B$4,"",IF(AND($AL378,$BN378=0),Constants!$B$25,0))</f>
        <v/>
      </c>
      <c r="BW378" s="100" t="str">
        <f aca="false">IF($BL378&lt;&gt;Constants!$B$4,"",MIN(Constants!$B$29,MAX(0,Constants!$B$27*Constants!$B$28*INT(ROUND((Constants!$B$26-$AN378)/Constants!$B$28,6))))+MIN(Constants!$B$29,MAX(0,Constants!$B$27*Constants!$B$28*INT(ROUND((Constants!$B$26-$AO378)/Constants!$B$28,6))))+MIN(Constants!$B$29,MAX(0,Constants!$B$27*Constants!$B$28*INT(ROUND((Constants!$B$26-$AP378)/Constants!$B$28,6)))))</f>
        <v/>
      </c>
      <c r="BX378" s="100" t="str">
        <f aca="false">IF($BL378&lt;&gt;Constants!$B$4,"",IF(NOT($AL378),0,Constants!$B$31*INT(ROUND(MAX(0,MIN($BJ378,2*$AH$9)-$AH$9),6))))</f>
        <v/>
      </c>
      <c r="BY378" s="100" t="str">
        <f aca="false">IF($BL378&lt;&gt;Constants!$B$4,"",Constants!$B$32*(($AN378&gt;Constants!$B$26)+($AO378&gt;Constants!$B$26)+($AP378&gt;Constants!$B$26)))</f>
        <v/>
      </c>
      <c r="BZ378" s="100" t="str">
        <f aca="false">IF($BL378&lt;&gt;Constants!$B$4,"",IF(OR(NOT($AL378),$AQ378),0,Constants!$B$33))</f>
        <v/>
      </c>
      <c r="CA378" s="100" t="str">
        <f aca="false">IF($BL378&lt;&gt;Constants!$B$4,"",Constants!$B$34*$BN378)</f>
        <v/>
      </c>
      <c r="CB378" s="100" t="str">
        <f aca="false">IF($BL378&lt;&gt;Constants!$B$4,"",IF(OR(NOT($AL378),$BH378),0,Constants!$B$36))</f>
        <v/>
      </c>
      <c r="CC378" s="100" t="str">
        <f aca="false">IF($BL378&lt;&gt;Constants!$B$4,"",IF(OR(NOT($AL378),$BG378),0,Constants!$B$37))</f>
        <v/>
      </c>
      <c r="CD378" s="100" t="str">
        <f aca="false">IF($BL378&lt;&gt;Constants!$B$4,"",SUM($BX378:$CC378))</f>
        <v/>
      </c>
      <c r="CE378" s="100" t="str">
        <f aca="false">IF(ISBLANK($C378),"",IF($BL378&lt;&gt;Constants!$B$4,$BL378,SUM($BO378:$BW378)-$CD378))</f>
        <v/>
      </c>
      <c r="CF378" s="100" t="str">
        <f aca="false">IF(ISBLANK($C378),"",IF($BL378&lt;&gt;Constants!$B$4,$BL378,RANK($CE378,$CE$9:$CE$508)))</f>
        <v/>
      </c>
      <c r="CG378" s="100" t="str">
        <f aca="false">IF(ISBLANK($C378),"",IF($BL378&lt;&gt;Constants!$B$4,$BL378,COUNTIFS($BM$9:$BM$508,"&lt;"&amp;$BM378)+COUNTIFS($BM$9:$BM$508,$BM378,$CF$9:$CF$508,"&lt;"&amp;$CF378)+1))</f>
        <v/>
      </c>
      <c r="CH378" s="100" t="str">
        <f aca="false">IF(ISBLANK($C378),"",IF($BL378&lt;&gt;Constants!$B$4,$BL378,RANK($CD378,$CD$9:$CD$508,1)))</f>
        <v/>
      </c>
      <c r="CI378" s="100" t="str">
        <f aca="false">IF($BL378&lt;&gt;Constants!$B$4,"",$AN378+$AO378+$AP378)</f>
        <v/>
      </c>
      <c r="CJ378" s="100" t="str">
        <f aca="false">IF(ISBLANK($C378),"",IF($BL378&lt;&gt;Constants!$B$4,$BL378,RANK($CI378,$CI$9:$CI$508,1)))</f>
        <v/>
      </c>
      <c r="CK378" s="100" t="str">
        <f aca="false">IF(ISBLANK($C378),"",IF($BL378&lt;&gt;Constants!$B$4,$BL378,COUNTIFS($BM$9:$BM$508,"&lt;"&amp;$BM378)+COUNTIFS($BM$9:$BM$508,$BM378,$CF$9:$CF$508,"&lt;"&amp;$CF378)+COUNTIFS($BM$9:$BM$508,$BM378,$CF$9:$CF$508,$CF378,$CH$9:$CH$508,"&lt;"&amp;$CH378)+COUNTIFS($BM$9:$BM$508,$BM378,$CF$9:$CF$508,$CF378,$CH$9:$CH$508,$CH378,$CJ$9:$CJ$508,"&lt;"&amp;$CJ378)+1))</f>
        <v/>
      </c>
      <c r="CL378" s="100" t="str">
        <f aca="false">IF(ISBLANK($C378),"",IF($BL378&lt;&gt;Constants!$B$4,$BL378,$CG378-$CK378))</f>
        <v/>
      </c>
      <c r="CM378" s="100" t="str">
        <f aca="false">IF(ISBLANK($C378),"",IF(NOT($AL378),"",IF(ISBLANK($D$7),$CM$5,IF(NOT(ISNUMBER($D$7)),$CM$6,""))))</f>
        <v/>
      </c>
      <c r="CN378" s="100" t="str">
        <f aca="false">IF(ISBLANK($C378),"",OR($AN378="",$AO378="",$AP378=""))</f>
        <v/>
      </c>
      <c r="CO378" s="100" t="str">
        <f aca="false">IF(ISBLANK($C378),"",AND($AL378,$BA378=""))</f>
        <v/>
      </c>
      <c r="CP378" s="100" t="str">
        <f aca="false">IF(ISBLANK($C378),"",AND($AL378,$BB378=""))</f>
        <v/>
      </c>
      <c r="CQ378" s="100" t="str">
        <f aca="false">IF(ISBLANK($C378),"",AND($AL378,$BC378=""))</f>
        <v/>
      </c>
      <c r="CR378" s="100" t="str">
        <f aca="false">IF(ISBLANK($C378),"",AND($AL378,$BF378=""))</f>
        <v/>
      </c>
      <c r="CS378" s="100" t="str">
        <f aca="false">IF(ISBLANK($C378),"",AND($AL378,$BJ378=""))</f>
        <v/>
      </c>
      <c r="CT378" s="101"/>
      <c r="CU378" s="102"/>
      <c r="CV378" s="103" t="str">
        <f aca="false">IF(ISBLANK($C378),"",IF($BL378=Constants!$B$8,$CM378,""))</f>
        <v/>
      </c>
      <c r="CW378" s="102" t="str">
        <f aca="false">IF(ISBLANK($C378),"",IF($BL378&lt;&gt;Constants!$B$4,"",$BO378+$BP378))</f>
        <v/>
      </c>
      <c r="CX378" s="104" t="str">
        <f aca="false">IF(ISBLANK($C378),"",IF($BL378&lt;&gt;Constants!$B$4,"",$BQ378+$BR378+$BS378))</f>
        <v/>
      </c>
      <c r="CY378" s="104" t="str">
        <f aca="false">IF(ISBLANK($C378),"",IF($BL378&lt;&gt;Constants!$B$4,"",$BT378))</f>
        <v/>
      </c>
      <c r="CZ378" s="104" t="str">
        <f aca="false">IF(ISBLANK($C378),"",IF($BL378&lt;&gt;Constants!$B$4,"",$BU378+$BV378))</f>
        <v/>
      </c>
      <c r="DA378" s="104" t="str">
        <f aca="false">IF(ISBLANK($C378),"",IF($BL378&lt;&gt;Constants!$B$4,"",$BW378))</f>
        <v/>
      </c>
      <c r="DB378" s="104" t="str">
        <f aca="false">IF(ISBLANK($C378),"",IF($BL378&lt;&gt;Constants!$B$4,"",-$CD378))</f>
        <v/>
      </c>
      <c r="DC378" s="103" t="str">
        <f aca="false">IF(ISBLANK($C378),"",$CE378)</f>
        <v/>
      </c>
      <c r="DD378" s="105" t="str">
        <f aca="false">IF(ISBLANK($C378),"",$BM378)</f>
        <v/>
      </c>
      <c r="DE378" s="104" t="str">
        <f aca="false">IF(ISBLANK($C378),"",$CL378)</f>
        <v/>
      </c>
      <c r="DF378" s="104" t="str">
        <f aca="false">IF(ISBLANK($C378),"",$CK378)</f>
        <v/>
      </c>
      <c r="DG378" s="106" t="str">
        <f aca="false">IF(ISBLANK($C378),"",IF($DF378=Constants!$B$7,COUNTA($C$9:$C$508)+2,IF($DF378=Constants!$B$6,COUNTA($C$9:$C$508)+1,IF($DF378=Constants!$B$5,COUNTA($C$9:$C$508),$DF378))))</f>
        <v/>
      </c>
      <c r="DH378" s="7"/>
      <c r="DI378" s="107" t="n">
        <f aca="false">IF(OR(ISNUMBER($DF378),$DF378=Constants!$B$7,$DF378=Constants!$B$5,$DF378=Constants!$B$6),1,0)</f>
        <v>0</v>
      </c>
      <c r="DJ378" s="107" t="n">
        <v>370</v>
      </c>
      <c r="DK378" s="107" t="str">
        <f aca="false">IF(ISBLANK($C378),"",IF(ISNUMBER($DG378),$DG378+ROW($B378)/1000,""))</f>
        <v/>
      </c>
      <c r="DL378" s="107" t="str">
        <f aca="false">IF(ISNUMBER($DK378),RANK($DK378,$DK$9:$DK$508,1),"")</f>
        <v/>
      </c>
      <c r="DM378" s="107" t="str">
        <f aca="false">IF(ISBLANK($C378),"",$B378)</f>
        <v/>
      </c>
      <c r="DN378" s="107" t="str">
        <f aca="false">IF(ISBLANK($C378),"",$C378)</f>
        <v/>
      </c>
      <c r="DO378" s="107" t="str">
        <f aca="false">IF(ISBLANK($C378),"",$D378)</f>
        <v/>
      </c>
      <c r="DP378" s="108" t="str">
        <f aca="false">$DD378</f>
        <v/>
      </c>
      <c r="DQ378" s="109" t="str">
        <f aca="false">$DC378</f>
        <v/>
      </c>
      <c r="DR378" s="107" t="str">
        <f aca="false">IF(ISBLANK($C378),"",$DF378)</f>
        <v/>
      </c>
      <c r="DS378" s="110" t="str">
        <f aca="false">IF($DJ378&gt;$DI$8,"",VLOOKUP($DJ378,$DL$9:$DR$508,7,FALSE()))</f>
        <v/>
      </c>
      <c r="DT378" s="111" t="str">
        <f aca="false">IF($DJ378&gt;$DI$8,"",VLOOKUP($DJ378,$DL$9:$DR$508,2,FALSE()))</f>
        <v/>
      </c>
      <c r="DU378" s="111" t="str">
        <f aca="false">IF($DJ378&gt;$DI$8,"",VLOOKUP($DJ378,$DL$9:$DR$508,3,FALSE()))</f>
        <v/>
      </c>
      <c r="DV378" s="111" t="str">
        <f aca="false">IF($DJ378&gt;$DI$8,"",VLOOKUP($DJ378,$DL$9:$DR$508,4,FALSE()))</f>
        <v/>
      </c>
      <c r="DW378" s="111" t="str">
        <f aca="false">IF($DJ378&gt;$DI$8,"",VLOOKUP($DJ378,$DL$9:$DR$508,5,FALSE()))</f>
        <v/>
      </c>
      <c r="DX378" s="112" t="str">
        <f aca="false">IF($DJ378&gt;$DI$8,"",VLOOKUP($DJ378,$DL$9:$DR$508,6,FALSE()))</f>
        <v/>
      </c>
      <c r="DY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130"/>
      <c r="N379" s="130"/>
      <c r="O379" s="135"/>
      <c r="P379" s="135"/>
      <c r="Q379" s="130"/>
      <c r="R379" s="130"/>
      <c r="S379" s="130"/>
      <c r="T379" s="130"/>
      <c r="U379" s="135"/>
      <c r="V379" s="130"/>
      <c r="W379" s="96"/>
      <c r="X379" s="130"/>
      <c r="Y379" s="130"/>
      <c r="Z379" s="96"/>
      <c r="AA379" s="96"/>
      <c r="AB379" s="130"/>
      <c r="AC379" s="130"/>
      <c r="AD379" s="130"/>
      <c r="AE379" s="97"/>
      <c r="AF379" s="130"/>
      <c r="AG379" s="99"/>
      <c r="AH379" s="100"/>
      <c r="AI379" s="100"/>
      <c r="AJ379" s="100" t="str">
        <f aca="false">IF(ISBLANK($C379),"",IF($E379=Constants!$B$2,TRUE(),IF($E379=Constants!$B$3,FALSE(),TRUE())))</f>
        <v/>
      </c>
      <c r="AK379" s="100" t="str">
        <f aca="false">IF(ISBLANK($C379),"",IF($F379=Constants!$B$2,TRUE(),IF($F379=Constants!$B$3,FALSE(),FALSE())))</f>
        <v/>
      </c>
      <c r="AL379" s="100" t="str">
        <f aca="false">IF(ISBLANK($C379),"",IF($G379=Constants!$B$2,TRUE(),IF($G379=Constants!$B$3,FALSE(),TRUE())))</f>
        <v/>
      </c>
      <c r="AM379" s="100" t="str">
        <f aca="false">IF(ISBLANK($C379),"",IF($H379=Constants!$B$2,TRUE(),IF($H379=Constants!$B$3,FALSE(),TRUE())))</f>
        <v/>
      </c>
      <c r="AN379" s="100" t="str">
        <f aca="false">IF(ISBLANK($C379),"",IF(ISNUMBER($I379),IF($I379&gt;=0,$I379,""),""))</f>
        <v/>
      </c>
      <c r="AO379" s="100" t="str">
        <f aca="false">IF(ISBLANK($C379),"",IF(ISNUMBER($J379),IF($J379&gt;=0,$J379,""),""))</f>
        <v/>
      </c>
      <c r="AP379" s="100" t="str">
        <f aca="false">IF(ISBLANK($C379),"",IF(ISNUMBER($K379),IF($K379&gt;=0,$K379,""),""))</f>
        <v/>
      </c>
      <c r="AQ379" s="100" t="str">
        <f aca="false">IF(ISBLANK($C379),"",IF($L379=Constants!$B$2,TRUE(),IF($L379=Constants!$B$3,FALSE(),TRUE())))</f>
        <v/>
      </c>
      <c r="AR379" s="100" t="str">
        <f aca="false">IF(ISBLANK($C379),"",IF($M379=Constants!$B$2,TRUE(),IF($M379=Constants!$B$3,FALSE(),TRUE())))</f>
        <v/>
      </c>
      <c r="AS379" s="100" t="str">
        <f aca="false">IF(ISBLANK($C379),"",IF($N379=Constants!$B$2,TRUE(),IF($N379=Constants!$B$3,FALSE(),FALSE())))</f>
        <v/>
      </c>
      <c r="AT379" s="100" t="str">
        <f aca="false">IF(ISBLANK($C379),"",IF($O379=Constants!$B$2,TRUE(),IF($O379=Constants!$B$3,FALSE(),TRUE())))</f>
        <v/>
      </c>
      <c r="AU379" s="100" t="str">
        <f aca="false">IF(ISBLANK($C379),"",IF($P379=Constants!$B$2,TRUE(),IF($P379=Constants!$B$3,FALSE(),TRUE())))</f>
        <v/>
      </c>
      <c r="AV379" s="100" t="str">
        <f aca="false">IF(ISBLANK($C379),"",IF($Q379=Constants!$B$2,TRUE(),IF($Q379=Constants!$B$3,FALSE(),FALSE())))</f>
        <v/>
      </c>
      <c r="AW379" s="100" t="str">
        <f aca="false">IF(ISBLANK($C379),"",IF($R379=Constants!$B$2,TRUE(),IF($R379=Constants!$B$3,FALSE(),FALSE())))</f>
        <v/>
      </c>
      <c r="AX379" s="100" t="str">
        <f aca="false">IF(ISBLANK($C379),"",IF($S379=Constants!$B$2,TRUE(),IF($S379=Constants!$B$3,FALSE(),FALSE())))</f>
        <v/>
      </c>
      <c r="AY379" s="100" t="str">
        <f aca="false">IF(ISBLANK($C379),"",IF($T379=Constants!$B$2,TRUE(),IF($T379=Constants!$B$3,FALSE(),FALSE())))</f>
        <v/>
      </c>
      <c r="AZ379" s="100" t="str">
        <f aca="false">IF(ISBLANK($C379),"",IF($U379=Constants!$B$2,TRUE(),IF($U379=Constants!$B$3,FALSE(),FALSE())))</f>
        <v/>
      </c>
      <c r="BA379" s="100" t="str">
        <f aca="false">IF(ISBLANK($C379),"",IF(OR($V379&amp;""="1",$V379&amp;""="2",$V379&amp;""="3",$V379&amp;""="4"),VALUE($V379&amp;""),IF($V379=Constants!$B$12,Constants!$B$12,"")))</f>
        <v/>
      </c>
      <c r="BB379" s="100" t="str">
        <f aca="false">IF(ISBLANK($C379),"",IF(ISBLANK($W379),0,IF(ISNUMBER($W379),IF(AND($W379&gt;=0,$W379&lt;=Constants!$B$21,$W379=INT($W379)),$W379,""),"")))</f>
        <v/>
      </c>
      <c r="BC379" s="100" t="str">
        <f aca="false">IF(ISBLANK($C379),"",IF(ISBLANK($X379),0,IF(ISNUMBER($X379),IF($X379&gt;=0,$X379,""),"")))</f>
        <v/>
      </c>
      <c r="BD379" s="100" t="str">
        <f aca="false">IF(ISBLANK($C379),"",IF($Y379=Constants!$B$2,TRUE(),IF($Y379=Constants!$B$3,FALSE(),TRUE())))</f>
        <v/>
      </c>
      <c r="BE379" s="100" t="str">
        <f aca="false">IF(ISBLANK($C379),"",IF($Z379=Constants!$B$2,TRUE(),IF($Z379=Constants!$B$3,FALSE(),FALSE())))</f>
        <v/>
      </c>
      <c r="BF379" s="100" t="str">
        <f aca="false">IF(ISBLANK($C379),"",IF(ISBLANK($AA379),0,IF(ISNUMBER($AA379),IF(AND($AA379&gt;=0,$AA379&lt;=Constants!$B$35,$AA379=INT($AA379)),$AA379,""),"")))</f>
        <v/>
      </c>
      <c r="BG379" s="100" t="str">
        <f aca="false">IF(ISBLANK($C379),"",IF($AB379=Constants!$B$2,TRUE(),IF($AB379=Constants!$B$3,FALSE(),TRUE())))</f>
        <v/>
      </c>
      <c r="BH379" s="100" t="str">
        <f aca="false">IF(ISBLANK($C379),"",IF($AC379=Constants!$B$2,TRUE(),IF($AC379=Constants!$B$3,FALSE(),TRUE())))</f>
        <v/>
      </c>
      <c r="BI379" s="100" t="str">
        <f aca="false">IF(ISBLANK($C379),"",IF($AD379=Constants!$B$2,TRUE(),IF($AD379=Constants!$B$3,FALSE(),TRUE())))</f>
        <v/>
      </c>
      <c r="BJ379" s="100" t="str">
        <f aca="false">IF(ISBLANK($C379),"",IF(ISNUMBER($AE379),IF($AE379&gt;=0,$AE379,""),""))</f>
        <v/>
      </c>
      <c r="BK379" s="100" t="str">
        <f aca="false">IF(ISBLANK($C379),"",IF($AF379=Constants!$B$2,TRUE(),IF($AF379=Constants!$B$3,FALSE(),FALSE())))</f>
        <v/>
      </c>
      <c r="BL379" s="99" t="str">
        <f aca="false">IF(ISBLANK($C379),"",IF($BK379,Constants!$B$7,IF(COUNTA($E379:$AE379)=0,Constants!$B$6,IF(OR(COUNTA($G379:$AE379)=0,NOT($AM379),$AS379),Constants!$B$5,IF(OR($CM379&lt;&gt;"",$CN379,$CO379,$CP379,$CQ379,$CR379,$CS379),Constants!$B$8,Constants!$B$4)))))</f>
        <v/>
      </c>
      <c r="BM379" s="100" t="str">
        <f aca="false">IF(ISBLANK($C379),"",IF($BL379&lt;&gt;Constants!$B$4,$BL379,IF(OR(NOT($AJ379),NOT($AL379),NOT($AT379)),Constants!$B$11,IF(OR(NOT($AR379),NOT($AU379),NOT($BI379),MAX($AN379,$AO379,$AP379)&gt;Constants!$B$30),Constants!$B$10,Constants!$B$9))))</f>
        <v/>
      </c>
      <c r="BN379" s="100" t="str">
        <f aca="false">IF($BL379&lt;&gt;Constants!$B$4,"",IF(NOT($AL379),0,MIN(Constants!$B$35,$BF379)))</f>
        <v/>
      </c>
      <c r="BO379" s="100" t="str">
        <f aca="false">IF($BL379&lt;&gt;Constants!$B$4,"",IF(NOT($AL379),0,IF($AW379,Constants!$B$18,IF($AV379,Constants!$B$17,0))))</f>
        <v/>
      </c>
      <c r="BP379" s="100" t="str">
        <f aca="false">IF($BL379&lt;&gt;Constants!$B$4,"",IF(NOT($AL379),0,Constants!$B$19*($AK379+$AX379+$AY379+$AZ379)))</f>
        <v/>
      </c>
      <c r="BQ379" s="100" t="str">
        <f aca="false">IF($BL379&lt;&gt;Constants!$B$4,"",IF(OR(NOT($AL379),NOT(ISNUMBER($BA379))),0,CHOOSE($BA379,Constants!$B$13,Constants!$B$14,Constants!$B$15,Constants!$B$16)))</f>
        <v/>
      </c>
      <c r="BR379" s="100" t="str">
        <f aca="false">IF($BL379&lt;&gt;Constants!$B$4,"",IF(NOT($AL379),0,Constants!$B$20*$BB379))</f>
        <v/>
      </c>
      <c r="BS379" s="100" t="str">
        <f aca="false">IF($BL379&lt;&gt;Constants!$B$4,"",IF(AND($AL379,$BD379,$BE379),Constants!$B$22,0))</f>
        <v/>
      </c>
      <c r="BT379" s="100" t="str">
        <f aca="false">IF($BL379&lt;&gt;Constants!$B$4,"",IF(OR(NOT($AL379),NOT($BD379)),0,IF($BJ379&gt;=2*$AH$9,0,Constants!$B$23*INT(ROUND(MIN($BJ379,$AH$9),6)))))</f>
        <v/>
      </c>
      <c r="BU379" s="100" t="str">
        <f aca="false">IF($BL379&lt;&gt;Constants!$B$4,"",IF(NOT($AL379),0,Constants!$B$24*INT(ROUND(MIN($BC379,$AH$9),6))))</f>
        <v/>
      </c>
      <c r="BV379" s="100" t="str">
        <f aca="false">IF($BL379&lt;&gt;Constants!$B$4,"",IF(AND($AL379,$BN379=0),Constants!$B$25,0))</f>
        <v/>
      </c>
      <c r="BW379" s="100" t="str">
        <f aca="false">IF($BL379&lt;&gt;Constants!$B$4,"",MIN(Constants!$B$29,MAX(0,Constants!$B$27*Constants!$B$28*INT(ROUND((Constants!$B$26-$AN379)/Constants!$B$28,6))))+MIN(Constants!$B$29,MAX(0,Constants!$B$27*Constants!$B$28*INT(ROUND((Constants!$B$26-$AO379)/Constants!$B$28,6))))+MIN(Constants!$B$29,MAX(0,Constants!$B$27*Constants!$B$28*INT(ROUND((Constants!$B$26-$AP379)/Constants!$B$28,6)))))</f>
        <v/>
      </c>
      <c r="BX379" s="100" t="str">
        <f aca="false">IF($BL379&lt;&gt;Constants!$B$4,"",IF(NOT($AL379),0,Constants!$B$31*INT(ROUND(MAX(0,MIN($BJ379,2*$AH$9)-$AH$9),6))))</f>
        <v/>
      </c>
      <c r="BY379" s="100" t="str">
        <f aca="false">IF($BL379&lt;&gt;Constants!$B$4,"",Constants!$B$32*(($AN379&gt;Constants!$B$26)+($AO379&gt;Constants!$B$26)+($AP379&gt;Constants!$B$26)))</f>
        <v/>
      </c>
      <c r="BZ379" s="100" t="str">
        <f aca="false">IF($BL379&lt;&gt;Constants!$B$4,"",IF(OR(NOT($AL379),$AQ379),0,Constants!$B$33))</f>
        <v/>
      </c>
      <c r="CA379" s="100" t="str">
        <f aca="false">IF($BL379&lt;&gt;Constants!$B$4,"",Constants!$B$34*$BN379)</f>
        <v/>
      </c>
      <c r="CB379" s="100" t="str">
        <f aca="false">IF($BL379&lt;&gt;Constants!$B$4,"",IF(OR(NOT($AL379),$BH379),0,Constants!$B$36))</f>
        <v/>
      </c>
      <c r="CC379" s="100" t="str">
        <f aca="false">IF($BL379&lt;&gt;Constants!$B$4,"",IF(OR(NOT($AL379),$BG379),0,Constants!$B$37))</f>
        <v/>
      </c>
      <c r="CD379" s="100" t="str">
        <f aca="false">IF($BL379&lt;&gt;Constants!$B$4,"",SUM($BX379:$CC379))</f>
        <v/>
      </c>
      <c r="CE379" s="100" t="str">
        <f aca="false">IF(ISBLANK($C379),"",IF($BL379&lt;&gt;Constants!$B$4,$BL379,SUM($BO379:$BW379)-$CD379))</f>
        <v/>
      </c>
      <c r="CF379" s="100" t="str">
        <f aca="false">IF(ISBLANK($C379),"",IF($BL379&lt;&gt;Constants!$B$4,$BL379,RANK($CE379,$CE$9:$CE$508)))</f>
        <v/>
      </c>
      <c r="CG379" s="100" t="str">
        <f aca="false">IF(ISBLANK($C379),"",IF($BL379&lt;&gt;Constants!$B$4,$BL379,COUNTIFS($BM$9:$BM$508,"&lt;"&amp;$BM379)+COUNTIFS($BM$9:$BM$508,$BM379,$CF$9:$CF$508,"&lt;"&amp;$CF379)+1))</f>
        <v/>
      </c>
      <c r="CH379" s="100" t="str">
        <f aca="false">IF(ISBLANK($C379),"",IF($BL379&lt;&gt;Constants!$B$4,$BL379,RANK($CD379,$CD$9:$CD$508,1)))</f>
        <v/>
      </c>
      <c r="CI379" s="100" t="str">
        <f aca="false">IF($BL379&lt;&gt;Constants!$B$4,"",$AN379+$AO379+$AP379)</f>
        <v/>
      </c>
      <c r="CJ379" s="100" t="str">
        <f aca="false">IF(ISBLANK($C379),"",IF($BL379&lt;&gt;Constants!$B$4,$BL379,RANK($CI379,$CI$9:$CI$508,1)))</f>
        <v/>
      </c>
      <c r="CK379" s="100" t="str">
        <f aca="false">IF(ISBLANK($C379),"",IF($BL379&lt;&gt;Constants!$B$4,$BL379,COUNTIFS($BM$9:$BM$508,"&lt;"&amp;$BM379)+COUNTIFS($BM$9:$BM$508,$BM379,$CF$9:$CF$508,"&lt;"&amp;$CF379)+COUNTIFS($BM$9:$BM$508,$BM379,$CF$9:$CF$508,$CF379,$CH$9:$CH$508,"&lt;"&amp;$CH379)+COUNTIFS($BM$9:$BM$508,$BM379,$CF$9:$CF$508,$CF379,$CH$9:$CH$508,$CH379,$CJ$9:$CJ$508,"&lt;"&amp;$CJ379)+1))</f>
        <v/>
      </c>
      <c r="CL379" s="100" t="str">
        <f aca="false">IF(ISBLANK($C379),"",IF($BL379&lt;&gt;Constants!$B$4,$BL379,$CG379-$CK379))</f>
        <v/>
      </c>
      <c r="CM379" s="100" t="str">
        <f aca="false">IF(ISBLANK($C379),"",IF(NOT($AL379),"",IF(ISBLANK($D$7),$CM$5,IF(NOT(ISNUMBER($D$7)),$CM$6,""))))</f>
        <v/>
      </c>
      <c r="CN379" s="100" t="str">
        <f aca="false">IF(ISBLANK($C379),"",OR($AN379="",$AO379="",$AP379=""))</f>
        <v/>
      </c>
      <c r="CO379" s="100" t="str">
        <f aca="false">IF(ISBLANK($C379),"",AND($AL379,$BA379=""))</f>
        <v/>
      </c>
      <c r="CP379" s="100" t="str">
        <f aca="false">IF(ISBLANK($C379),"",AND($AL379,$BB379=""))</f>
        <v/>
      </c>
      <c r="CQ379" s="100" t="str">
        <f aca="false">IF(ISBLANK($C379),"",AND($AL379,$BC379=""))</f>
        <v/>
      </c>
      <c r="CR379" s="100" t="str">
        <f aca="false">IF(ISBLANK($C379),"",AND($AL379,$BF379=""))</f>
        <v/>
      </c>
      <c r="CS379" s="100" t="str">
        <f aca="false">IF(ISBLANK($C379),"",AND($AL379,$BJ379=""))</f>
        <v/>
      </c>
      <c r="CT379" s="101"/>
      <c r="CU379" s="102"/>
      <c r="CV379" s="103" t="str">
        <f aca="false">IF(ISBLANK($C379),"",IF($BL379=Constants!$B$8,$CM379,""))</f>
        <v/>
      </c>
      <c r="CW379" s="102" t="str">
        <f aca="false">IF(ISBLANK($C379),"",IF($BL379&lt;&gt;Constants!$B$4,"",$BO379+$BP379))</f>
        <v/>
      </c>
      <c r="CX379" s="104" t="str">
        <f aca="false">IF(ISBLANK($C379),"",IF($BL379&lt;&gt;Constants!$B$4,"",$BQ379+$BR379+$BS379))</f>
        <v/>
      </c>
      <c r="CY379" s="104" t="str">
        <f aca="false">IF(ISBLANK($C379),"",IF($BL379&lt;&gt;Constants!$B$4,"",$BT379))</f>
        <v/>
      </c>
      <c r="CZ379" s="104" t="str">
        <f aca="false">IF(ISBLANK($C379),"",IF($BL379&lt;&gt;Constants!$B$4,"",$BU379+$BV379))</f>
        <v/>
      </c>
      <c r="DA379" s="104" t="str">
        <f aca="false">IF(ISBLANK($C379),"",IF($BL379&lt;&gt;Constants!$B$4,"",$BW379))</f>
        <v/>
      </c>
      <c r="DB379" s="104" t="str">
        <f aca="false">IF(ISBLANK($C379),"",IF($BL379&lt;&gt;Constants!$B$4,"",-$CD379))</f>
        <v/>
      </c>
      <c r="DC379" s="103" t="str">
        <f aca="false">IF(ISBLANK($C379),"",$CE379)</f>
        <v/>
      </c>
      <c r="DD379" s="105" t="str">
        <f aca="false">IF(ISBLANK($C379),"",$BM379)</f>
        <v/>
      </c>
      <c r="DE379" s="104" t="str">
        <f aca="false">IF(ISBLANK($C379),"",$CL379)</f>
        <v/>
      </c>
      <c r="DF379" s="104" t="str">
        <f aca="false">IF(ISBLANK($C379),"",$CK379)</f>
        <v/>
      </c>
      <c r="DG379" s="106" t="str">
        <f aca="false">IF(ISBLANK($C379),"",IF($DF379=Constants!$B$7,COUNTA($C$9:$C$508)+2,IF($DF379=Constants!$B$6,COUNTA($C$9:$C$508)+1,IF($DF379=Constants!$B$5,COUNTA($C$9:$C$508),$DF379))))</f>
        <v/>
      </c>
      <c r="DH379" s="7"/>
      <c r="DI379" s="107" t="n">
        <f aca="false">IF(OR(ISNUMBER($DF379),$DF379=Constants!$B$7,$DF379=Constants!$B$5,$DF379=Constants!$B$6),1,0)</f>
        <v>0</v>
      </c>
      <c r="DJ379" s="107" t="n">
        <v>371</v>
      </c>
      <c r="DK379" s="107" t="str">
        <f aca="false">IF(ISBLANK($C379),"",IF(ISNUMBER($DG379),$DG379+ROW($B379)/1000,""))</f>
        <v/>
      </c>
      <c r="DL379" s="107" t="str">
        <f aca="false">IF(ISNUMBER($DK379),RANK($DK379,$DK$9:$DK$508,1),"")</f>
        <v/>
      </c>
      <c r="DM379" s="107" t="str">
        <f aca="false">IF(ISBLANK($C379),"",$B379)</f>
        <v/>
      </c>
      <c r="DN379" s="107" t="str">
        <f aca="false">IF(ISBLANK($C379),"",$C379)</f>
        <v/>
      </c>
      <c r="DO379" s="107" t="str">
        <f aca="false">IF(ISBLANK($C379),"",$D379)</f>
        <v/>
      </c>
      <c r="DP379" s="108" t="str">
        <f aca="false">$DD379</f>
        <v/>
      </c>
      <c r="DQ379" s="109" t="str">
        <f aca="false">$DC379</f>
        <v/>
      </c>
      <c r="DR379" s="107" t="str">
        <f aca="false">IF(ISBLANK($C379),"",$DF379)</f>
        <v/>
      </c>
      <c r="DS379" s="110" t="str">
        <f aca="false">IF($DJ379&gt;$DI$8,"",VLOOKUP($DJ379,$DL$9:$DR$508,7,FALSE()))</f>
        <v/>
      </c>
      <c r="DT379" s="111" t="str">
        <f aca="false">IF($DJ379&gt;$DI$8,"",VLOOKUP($DJ379,$DL$9:$DR$508,2,FALSE()))</f>
        <v/>
      </c>
      <c r="DU379" s="111" t="str">
        <f aca="false">IF($DJ379&gt;$DI$8,"",VLOOKUP($DJ379,$DL$9:$DR$508,3,FALSE()))</f>
        <v/>
      </c>
      <c r="DV379" s="111" t="str">
        <f aca="false">IF($DJ379&gt;$DI$8,"",VLOOKUP($DJ379,$DL$9:$DR$508,4,FALSE()))</f>
        <v/>
      </c>
      <c r="DW379" s="111" t="str">
        <f aca="false">IF($DJ379&gt;$DI$8,"",VLOOKUP($DJ379,$DL$9:$DR$508,5,FALSE()))</f>
        <v/>
      </c>
      <c r="DX379" s="112" t="str">
        <f aca="false">IF($DJ379&gt;$DI$8,"",VLOOKUP($DJ379,$DL$9:$DR$508,6,FALSE()))</f>
        <v/>
      </c>
      <c r="DY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130"/>
      <c r="N380" s="130"/>
      <c r="O380" s="135"/>
      <c r="P380" s="135"/>
      <c r="Q380" s="130"/>
      <c r="R380" s="130"/>
      <c r="S380" s="130"/>
      <c r="T380" s="130"/>
      <c r="U380" s="135"/>
      <c r="V380" s="130"/>
      <c r="W380" s="96"/>
      <c r="X380" s="130"/>
      <c r="Y380" s="130"/>
      <c r="Z380" s="96"/>
      <c r="AA380" s="96"/>
      <c r="AB380" s="130"/>
      <c r="AC380" s="130"/>
      <c r="AD380" s="130"/>
      <c r="AE380" s="97"/>
      <c r="AF380" s="130"/>
      <c r="AG380" s="99"/>
      <c r="AH380" s="100"/>
      <c r="AI380" s="100"/>
      <c r="AJ380" s="100" t="str">
        <f aca="false">IF(ISBLANK($C380),"",IF($E380=Constants!$B$2,TRUE(),IF($E380=Constants!$B$3,FALSE(),TRUE())))</f>
        <v/>
      </c>
      <c r="AK380" s="100" t="str">
        <f aca="false">IF(ISBLANK($C380),"",IF($F380=Constants!$B$2,TRUE(),IF($F380=Constants!$B$3,FALSE(),FALSE())))</f>
        <v/>
      </c>
      <c r="AL380" s="100" t="str">
        <f aca="false">IF(ISBLANK($C380),"",IF($G380=Constants!$B$2,TRUE(),IF($G380=Constants!$B$3,FALSE(),TRUE())))</f>
        <v/>
      </c>
      <c r="AM380" s="100" t="str">
        <f aca="false">IF(ISBLANK($C380),"",IF($H380=Constants!$B$2,TRUE(),IF($H380=Constants!$B$3,FALSE(),TRUE())))</f>
        <v/>
      </c>
      <c r="AN380" s="100" t="str">
        <f aca="false">IF(ISBLANK($C380),"",IF(ISNUMBER($I380),IF($I380&gt;=0,$I380,""),""))</f>
        <v/>
      </c>
      <c r="AO380" s="100" t="str">
        <f aca="false">IF(ISBLANK($C380),"",IF(ISNUMBER($J380),IF($J380&gt;=0,$J380,""),""))</f>
        <v/>
      </c>
      <c r="AP380" s="100" t="str">
        <f aca="false">IF(ISBLANK($C380),"",IF(ISNUMBER($K380),IF($K380&gt;=0,$K380,""),""))</f>
        <v/>
      </c>
      <c r="AQ380" s="100" t="str">
        <f aca="false">IF(ISBLANK($C380),"",IF($L380=Constants!$B$2,TRUE(),IF($L380=Constants!$B$3,FALSE(),TRUE())))</f>
        <v/>
      </c>
      <c r="AR380" s="100" t="str">
        <f aca="false">IF(ISBLANK($C380),"",IF($M380=Constants!$B$2,TRUE(),IF($M380=Constants!$B$3,FALSE(),TRUE())))</f>
        <v/>
      </c>
      <c r="AS380" s="100" t="str">
        <f aca="false">IF(ISBLANK($C380),"",IF($N380=Constants!$B$2,TRUE(),IF($N380=Constants!$B$3,FALSE(),FALSE())))</f>
        <v/>
      </c>
      <c r="AT380" s="100" t="str">
        <f aca="false">IF(ISBLANK($C380),"",IF($O380=Constants!$B$2,TRUE(),IF($O380=Constants!$B$3,FALSE(),TRUE())))</f>
        <v/>
      </c>
      <c r="AU380" s="100" t="str">
        <f aca="false">IF(ISBLANK($C380),"",IF($P380=Constants!$B$2,TRUE(),IF($P380=Constants!$B$3,FALSE(),TRUE())))</f>
        <v/>
      </c>
      <c r="AV380" s="100" t="str">
        <f aca="false">IF(ISBLANK($C380),"",IF($Q380=Constants!$B$2,TRUE(),IF($Q380=Constants!$B$3,FALSE(),FALSE())))</f>
        <v/>
      </c>
      <c r="AW380" s="100" t="str">
        <f aca="false">IF(ISBLANK($C380),"",IF($R380=Constants!$B$2,TRUE(),IF($R380=Constants!$B$3,FALSE(),FALSE())))</f>
        <v/>
      </c>
      <c r="AX380" s="100" t="str">
        <f aca="false">IF(ISBLANK($C380),"",IF($S380=Constants!$B$2,TRUE(),IF($S380=Constants!$B$3,FALSE(),FALSE())))</f>
        <v/>
      </c>
      <c r="AY380" s="100" t="str">
        <f aca="false">IF(ISBLANK($C380),"",IF($T380=Constants!$B$2,TRUE(),IF($T380=Constants!$B$3,FALSE(),FALSE())))</f>
        <v/>
      </c>
      <c r="AZ380" s="100" t="str">
        <f aca="false">IF(ISBLANK($C380),"",IF($U380=Constants!$B$2,TRUE(),IF($U380=Constants!$B$3,FALSE(),FALSE())))</f>
        <v/>
      </c>
      <c r="BA380" s="100" t="str">
        <f aca="false">IF(ISBLANK($C380),"",IF(OR($V380&amp;""="1",$V380&amp;""="2",$V380&amp;""="3",$V380&amp;""="4"),VALUE($V380&amp;""),IF($V380=Constants!$B$12,Constants!$B$12,"")))</f>
        <v/>
      </c>
      <c r="BB380" s="100" t="str">
        <f aca="false">IF(ISBLANK($C380),"",IF(ISBLANK($W380),0,IF(ISNUMBER($W380),IF(AND($W380&gt;=0,$W380&lt;=Constants!$B$21,$W380=INT($W380)),$W380,""),"")))</f>
        <v/>
      </c>
      <c r="BC380" s="100" t="str">
        <f aca="false">IF(ISBLANK($C380),"",IF(ISBLANK($X380),0,IF(ISNUMBER($X380),IF($X380&gt;=0,$X380,""),"")))</f>
        <v/>
      </c>
      <c r="BD380" s="100" t="str">
        <f aca="false">IF(ISBLANK($C380),"",IF($Y380=Constants!$B$2,TRUE(),IF($Y380=Constants!$B$3,FALSE(),TRUE())))</f>
        <v/>
      </c>
      <c r="BE380" s="100" t="str">
        <f aca="false">IF(ISBLANK($C380),"",IF($Z380=Constants!$B$2,TRUE(),IF($Z380=Constants!$B$3,FALSE(),FALSE())))</f>
        <v/>
      </c>
      <c r="BF380" s="100" t="str">
        <f aca="false">IF(ISBLANK($C380),"",IF(ISBLANK($AA380),0,IF(ISNUMBER($AA380),IF(AND($AA380&gt;=0,$AA380&lt;=Constants!$B$35,$AA380=INT($AA380)),$AA380,""),"")))</f>
        <v/>
      </c>
      <c r="BG380" s="100" t="str">
        <f aca="false">IF(ISBLANK($C380),"",IF($AB380=Constants!$B$2,TRUE(),IF($AB380=Constants!$B$3,FALSE(),TRUE())))</f>
        <v/>
      </c>
      <c r="BH380" s="100" t="str">
        <f aca="false">IF(ISBLANK($C380),"",IF($AC380=Constants!$B$2,TRUE(),IF($AC380=Constants!$B$3,FALSE(),TRUE())))</f>
        <v/>
      </c>
      <c r="BI380" s="100" t="str">
        <f aca="false">IF(ISBLANK($C380),"",IF($AD380=Constants!$B$2,TRUE(),IF($AD380=Constants!$B$3,FALSE(),TRUE())))</f>
        <v/>
      </c>
      <c r="BJ380" s="100" t="str">
        <f aca="false">IF(ISBLANK($C380),"",IF(ISNUMBER($AE380),IF($AE380&gt;=0,$AE380,""),""))</f>
        <v/>
      </c>
      <c r="BK380" s="100" t="str">
        <f aca="false">IF(ISBLANK($C380),"",IF($AF380=Constants!$B$2,TRUE(),IF($AF380=Constants!$B$3,FALSE(),FALSE())))</f>
        <v/>
      </c>
      <c r="BL380" s="99" t="str">
        <f aca="false">IF(ISBLANK($C380),"",IF($BK380,Constants!$B$7,IF(COUNTA($E380:$AE380)=0,Constants!$B$6,IF(OR(COUNTA($G380:$AE380)=0,NOT($AM380),$AS380),Constants!$B$5,IF(OR($CM380&lt;&gt;"",$CN380,$CO380,$CP380,$CQ380,$CR380,$CS380),Constants!$B$8,Constants!$B$4)))))</f>
        <v/>
      </c>
      <c r="BM380" s="100" t="str">
        <f aca="false">IF(ISBLANK($C380),"",IF($BL380&lt;&gt;Constants!$B$4,$BL380,IF(OR(NOT($AJ380),NOT($AL380),NOT($AT380)),Constants!$B$11,IF(OR(NOT($AR380),NOT($AU380),NOT($BI380),MAX($AN380,$AO380,$AP380)&gt;Constants!$B$30),Constants!$B$10,Constants!$B$9))))</f>
        <v/>
      </c>
      <c r="BN380" s="100" t="str">
        <f aca="false">IF($BL380&lt;&gt;Constants!$B$4,"",IF(NOT($AL380),0,MIN(Constants!$B$35,$BF380)))</f>
        <v/>
      </c>
      <c r="BO380" s="100" t="str">
        <f aca="false">IF($BL380&lt;&gt;Constants!$B$4,"",IF(NOT($AL380),0,IF($AW380,Constants!$B$18,IF($AV380,Constants!$B$17,0))))</f>
        <v/>
      </c>
      <c r="BP380" s="100" t="str">
        <f aca="false">IF($BL380&lt;&gt;Constants!$B$4,"",IF(NOT($AL380),0,Constants!$B$19*($AK380+$AX380+$AY380+$AZ380)))</f>
        <v/>
      </c>
      <c r="BQ380" s="100" t="str">
        <f aca="false">IF($BL380&lt;&gt;Constants!$B$4,"",IF(OR(NOT($AL380),NOT(ISNUMBER($BA380))),0,CHOOSE($BA380,Constants!$B$13,Constants!$B$14,Constants!$B$15,Constants!$B$16)))</f>
        <v/>
      </c>
      <c r="BR380" s="100" t="str">
        <f aca="false">IF($BL380&lt;&gt;Constants!$B$4,"",IF(NOT($AL380),0,Constants!$B$20*$BB380))</f>
        <v/>
      </c>
      <c r="BS380" s="100" t="str">
        <f aca="false">IF($BL380&lt;&gt;Constants!$B$4,"",IF(AND($AL380,$BD380,$BE380),Constants!$B$22,0))</f>
        <v/>
      </c>
      <c r="BT380" s="100" t="str">
        <f aca="false">IF($BL380&lt;&gt;Constants!$B$4,"",IF(OR(NOT($AL380),NOT($BD380)),0,IF($BJ380&gt;=2*$AH$9,0,Constants!$B$23*INT(ROUND(MIN($BJ380,$AH$9),6)))))</f>
        <v/>
      </c>
      <c r="BU380" s="100" t="str">
        <f aca="false">IF($BL380&lt;&gt;Constants!$B$4,"",IF(NOT($AL380),0,Constants!$B$24*INT(ROUND(MIN($BC380,$AH$9),6))))</f>
        <v/>
      </c>
      <c r="BV380" s="100" t="str">
        <f aca="false">IF($BL380&lt;&gt;Constants!$B$4,"",IF(AND($AL380,$BN380=0),Constants!$B$25,0))</f>
        <v/>
      </c>
      <c r="BW380" s="100" t="str">
        <f aca="false">IF($BL380&lt;&gt;Constants!$B$4,"",MIN(Constants!$B$29,MAX(0,Constants!$B$27*Constants!$B$28*INT(ROUND((Constants!$B$26-$AN380)/Constants!$B$28,6))))+MIN(Constants!$B$29,MAX(0,Constants!$B$27*Constants!$B$28*INT(ROUND((Constants!$B$26-$AO380)/Constants!$B$28,6))))+MIN(Constants!$B$29,MAX(0,Constants!$B$27*Constants!$B$28*INT(ROUND((Constants!$B$26-$AP380)/Constants!$B$28,6)))))</f>
        <v/>
      </c>
      <c r="BX380" s="100" t="str">
        <f aca="false">IF($BL380&lt;&gt;Constants!$B$4,"",IF(NOT($AL380),0,Constants!$B$31*INT(ROUND(MAX(0,MIN($BJ380,2*$AH$9)-$AH$9),6))))</f>
        <v/>
      </c>
      <c r="BY380" s="100" t="str">
        <f aca="false">IF($BL380&lt;&gt;Constants!$B$4,"",Constants!$B$32*(($AN380&gt;Constants!$B$26)+($AO380&gt;Constants!$B$26)+($AP380&gt;Constants!$B$26)))</f>
        <v/>
      </c>
      <c r="BZ380" s="100" t="str">
        <f aca="false">IF($BL380&lt;&gt;Constants!$B$4,"",IF(OR(NOT($AL380),$AQ380),0,Constants!$B$33))</f>
        <v/>
      </c>
      <c r="CA380" s="100" t="str">
        <f aca="false">IF($BL380&lt;&gt;Constants!$B$4,"",Constants!$B$34*$BN380)</f>
        <v/>
      </c>
      <c r="CB380" s="100" t="str">
        <f aca="false">IF($BL380&lt;&gt;Constants!$B$4,"",IF(OR(NOT($AL380),$BH380),0,Constants!$B$36))</f>
        <v/>
      </c>
      <c r="CC380" s="100" t="str">
        <f aca="false">IF($BL380&lt;&gt;Constants!$B$4,"",IF(OR(NOT($AL380),$BG380),0,Constants!$B$37))</f>
        <v/>
      </c>
      <c r="CD380" s="100" t="str">
        <f aca="false">IF($BL380&lt;&gt;Constants!$B$4,"",SUM($BX380:$CC380))</f>
        <v/>
      </c>
      <c r="CE380" s="100" t="str">
        <f aca="false">IF(ISBLANK($C380),"",IF($BL380&lt;&gt;Constants!$B$4,$BL380,SUM($BO380:$BW380)-$CD380))</f>
        <v/>
      </c>
      <c r="CF380" s="100" t="str">
        <f aca="false">IF(ISBLANK($C380),"",IF($BL380&lt;&gt;Constants!$B$4,$BL380,RANK($CE380,$CE$9:$CE$508)))</f>
        <v/>
      </c>
      <c r="CG380" s="100" t="str">
        <f aca="false">IF(ISBLANK($C380),"",IF($BL380&lt;&gt;Constants!$B$4,$BL380,COUNTIFS($BM$9:$BM$508,"&lt;"&amp;$BM380)+COUNTIFS($BM$9:$BM$508,$BM380,$CF$9:$CF$508,"&lt;"&amp;$CF380)+1))</f>
        <v/>
      </c>
      <c r="CH380" s="100" t="str">
        <f aca="false">IF(ISBLANK($C380),"",IF($BL380&lt;&gt;Constants!$B$4,$BL380,RANK($CD380,$CD$9:$CD$508,1)))</f>
        <v/>
      </c>
      <c r="CI380" s="100" t="str">
        <f aca="false">IF($BL380&lt;&gt;Constants!$B$4,"",$AN380+$AO380+$AP380)</f>
        <v/>
      </c>
      <c r="CJ380" s="100" t="str">
        <f aca="false">IF(ISBLANK($C380),"",IF($BL380&lt;&gt;Constants!$B$4,$BL380,RANK($CI380,$CI$9:$CI$508,1)))</f>
        <v/>
      </c>
      <c r="CK380" s="100" t="str">
        <f aca="false">IF(ISBLANK($C380),"",IF($BL380&lt;&gt;Constants!$B$4,$BL380,COUNTIFS($BM$9:$BM$508,"&lt;"&amp;$BM380)+COUNTIFS($BM$9:$BM$508,$BM380,$CF$9:$CF$508,"&lt;"&amp;$CF380)+COUNTIFS($BM$9:$BM$508,$BM380,$CF$9:$CF$508,$CF380,$CH$9:$CH$508,"&lt;"&amp;$CH380)+COUNTIFS($BM$9:$BM$508,$BM380,$CF$9:$CF$508,$CF380,$CH$9:$CH$508,$CH380,$CJ$9:$CJ$508,"&lt;"&amp;$CJ380)+1))</f>
        <v/>
      </c>
      <c r="CL380" s="100" t="str">
        <f aca="false">IF(ISBLANK($C380),"",IF($BL380&lt;&gt;Constants!$B$4,$BL380,$CG380-$CK380))</f>
        <v/>
      </c>
      <c r="CM380" s="100" t="str">
        <f aca="false">IF(ISBLANK($C380),"",IF(NOT($AL380),"",IF(ISBLANK($D$7),$CM$5,IF(NOT(ISNUMBER($D$7)),$CM$6,""))))</f>
        <v/>
      </c>
      <c r="CN380" s="100" t="str">
        <f aca="false">IF(ISBLANK($C380),"",OR($AN380="",$AO380="",$AP380=""))</f>
        <v/>
      </c>
      <c r="CO380" s="100" t="str">
        <f aca="false">IF(ISBLANK($C380),"",AND($AL380,$BA380=""))</f>
        <v/>
      </c>
      <c r="CP380" s="100" t="str">
        <f aca="false">IF(ISBLANK($C380),"",AND($AL380,$BB380=""))</f>
        <v/>
      </c>
      <c r="CQ380" s="100" t="str">
        <f aca="false">IF(ISBLANK($C380),"",AND($AL380,$BC380=""))</f>
        <v/>
      </c>
      <c r="CR380" s="100" t="str">
        <f aca="false">IF(ISBLANK($C380),"",AND($AL380,$BF380=""))</f>
        <v/>
      </c>
      <c r="CS380" s="100" t="str">
        <f aca="false">IF(ISBLANK($C380),"",AND($AL380,$BJ380=""))</f>
        <v/>
      </c>
      <c r="CT380" s="101"/>
      <c r="CU380" s="102"/>
      <c r="CV380" s="103" t="str">
        <f aca="false">IF(ISBLANK($C380),"",IF($BL380=Constants!$B$8,$CM380,""))</f>
        <v/>
      </c>
      <c r="CW380" s="102" t="str">
        <f aca="false">IF(ISBLANK($C380),"",IF($BL380&lt;&gt;Constants!$B$4,"",$BO380+$BP380))</f>
        <v/>
      </c>
      <c r="CX380" s="104" t="str">
        <f aca="false">IF(ISBLANK($C380),"",IF($BL380&lt;&gt;Constants!$B$4,"",$BQ380+$BR380+$BS380))</f>
        <v/>
      </c>
      <c r="CY380" s="104" t="str">
        <f aca="false">IF(ISBLANK($C380),"",IF($BL380&lt;&gt;Constants!$B$4,"",$BT380))</f>
        <v/>
      </c>
      <c r="CZ380" s="104" t="str">
        <f aca="false">IF(ISBLANK($C380),"",IF($BL380&lt;&gt;Constants!$B$4,"",$BU380+$BV380))</f>
        <v/>
      </c>
      <c r="DA380" s="104" t="str">
        <f aca="false">IF(ISBLANK($C380),"",IF($BL380&lt;&gt;Constants!$B$4,"",$BW380))</f>
        <v/>
      </c>
      <c r="DB380" s="104" t="str">
        <f aca="false">IF(ISBLANK($C380),"",IF($BL380&lt;&gt;Constants!$B$4,"",-$CD380))</f>
        <v/>
      </c>
      <c r="DC380" s="103" t="str">
        <f aca="false">IF(ISBLANK($C380),"",$CE380)</f>
        <v/>
      </c>
      <c r="DD380" s="105" t="str">
        <f aca="false">IF(ISBLANK($C380),"",$BM380)</f>
        <v/>
      </c>
      <c r="DE380" s="104" t="str">
        <f aca="false">IF(ISBLANK($C380),"",$CL380)</f>
        <v/>
      </c>
      <c r="DF380" s="104" t="str">
        <f aca="false">IF(ISBLANK($C380),"",$CK380)</f>
        <v/>
      </c>
      <c r="DG380" s="106" t="str">
        <f aca="false">IF(ISBLANK($C380),"",IF($DF380=Constants!$B$7,COUNTA($C$9:$C$508)+2,IF($DF380=Constants!$B$6,COUNTA($C$9:$C$508)+1,IF($DF380=Constants!$B$5,COUNTA($C$9:$C$508),$DF380))))</f>
        <v/>
      </c>
      <c r="DH380" s="7"/>
      <c r="DI380" s="107" t="n">
        <f aca="false">IF(OR(ISNUMBER($DF380),$DF380=Constants!$B$7,$DF380=Constants!$B$5,$DF380=Constants!$B$6),1,0)</f>
        <v>0</v>
      </c>
      <c r="DJ380" s="107" t="n">
        <v>372</v>
      </c>
      <c r="DK380" s="107" t="str">
        <f aca="false">IF(ISBLANK($C380),"",IF(ISNUMBER($DG380),$DG380+ROW($B380)/1000,""))</f>
        <v/>
      </c>
      <c r="DL380" s="107" t="str">
        <f aca="false">IF(ISNUMBER($DK380),RANK($DK380,$DK$9:$DK$508,1),"")</f>
        <v/>
      </c>
      <c r="DM380" s="107" t="str">
        <f aca="false">IF(ISBLANK($C380),"",$B380)</f>
        <v/>
      </c>
      <c r="DN380" s="107" t="str">
        <f aca="false">IF(ISBLANK($C380),"",$C380)</f>
        <v/>
      </c>
      <c r="DO380" s="107" t="str">
        <f aca="false">IF(ISBLANK($C380),"",$D380)</f>
        <v/>
      </c>
      <c r="DP380" s="108" t="str">
        <f aca="false">$DD380</f>
        <v/>
      </c>
      <c r="DQ380" s="109" t="str">
        <f aca="false">$DC380</f>
        <v/>
      </c>
      <c r="DR380" s="107" t="str">
        <f aca="false">IF(ISBLANK($C380),"",$DF380)</f>
        <v/>
      </c>
      <c r="DS380" s="110" t="str">
        <f aca="false">IF($DJ380&gt;$DI$8,"",VLOOKUP($DJ380,$DL$9:$DR$508,7,FALSE()))</f>
        <v/>
      </c>
      <c r="DT380" s="111" t="str">
        <f aca="false">IF($DJ380&gt;$DI$8,"",VLOOKUP($DJ380,$DL$9:$DR$508,2,FALSE()))</f>
        <v/>
      </c>
      <c r="DU380" s="111" t="str">
        <f aca="false">IF($DJ380&gt;$DI$8,"",VLOOKUP($DJ380,$DL$9:$DR$508,3,FALSE()))</f>
        <v/>
      </c>
      <c r="DV380" s="111" t="str">
        <f aca="false">IF($DJ380&gt;$DI$8,"",VLOOKUP($DJ380,$DL$9:$DR$508,4,FALSE()))</f>
        <v/>
      </c>
      <c r="DW380" s="111" t="str">
        <f aca="false">IF($DJ380&gt;$DI$8,"",VLOOKUP($DJ380,$DL$9:$DR$508,5,FALSE()))</f>
        <v/>
      </c>
      <c r="DX380" s="112" t="str">
        <f aca="false">IF($DJ380&gt;$DI$8,"",VLOOKUP($DJ380,$DL$9:$DR$508,6,FALSE()))</f>
        <v/>
      </c>
      <c r="DY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88"/>
      <c r="N381" s="88"/>
      <c r="O381" s="134"/>
      <c r="P381" s="134"/>
      <c r="Q381" s="88"/>
      <c r="R381" s="88"/>
      <c r="S381" s="88"/>
      <c r="T381" s="88"/>
      <c r="U381" s="134"/>
      <c r="V381" s="88"/>
      <c r="W381" s="70"/>
      <c r="X381" s="88"/>
      <c r="Y381" s="88"/>
      <c r="Z381" s="70"/>
      <c r="AA381" s="70"/>
      <c r="AB381" s="88"/>
      <c r="AC381" s="88"/>
      <c r="AD381" s="88"/>
      <c r="AE381" s="71"/>
      <c r="AF381" s="88"/>
      <c r="AG381" s="73"/>
      <c r="AH381" s="74"/>
      <c r="AI381" s="74"/>
      <c r="AJ381" s="74" t="str">
        <f aca="false">IF(ISBLANK($C381),"",IF($E381=Constants!$B$2,TRUE(),IF($E381=Constants!$B$3,FALSE(),TRUE())))</f>
        <v/>
      </c>
      <c r="AK381" s="74" t="str">
        <f aca="false">IF(ISBLANK($C381),"",IF($F381=Constants!$B$2,TRUE(),IF($F381=Constants!$B$3,FALSE(),FALSE())))</f>
        <v/>
      </c>
      <c r="AL381" s="74" t="str">
        <f aca="false">IF(ISBLANK($C381),"",IF($G381=Constants!$B$2,TRUE(),IF($G381=Constants!$B$3,FALSE(),TRUE())))</f>
        <v/>
      </c>
      <c r="AM381" s="74" t="str">
        <f aca="false">IF(ISBLANK($C381),"",IF($H381=Constants!$B$2,TRUE(),IF($H381=Constants!$B$3,FALSE(),TRUE())))</f>
        <v/>
      </c>
      <c r="AN381" s="74" t="str">
        <f aca="false">IF(ISBLANK($C381),"",IF(ISNUMBER($I381),IF($I381&gt;=0,$I381,""),""))</f>
        <v/>
      </c>
      <c r="AO381" s="74" t="str">
        <f aca="false">IF(ISBLANK($C381),"",IF(ISNUMBER($J381),IF($J381&gt;=0,$J381,""),""))</f>
        <v/>
      </c>
      <c r="AP381" s="74" t="str">
        <f aca="false">IF(ISBLANK($C381),"",IF(ISNUMBER($K381),IF($K381&gt;=0,$K381,""),""))</f>
        <v/>
      </c>
      <c r="AQ381" s="74" t="str">
        <f aca="false">IF(ISBLANK($C381),"",IF($L381=Constants!$B$2,TRUE(),IF($L381=Constants!$B$3,FALSE(),TRUE())))</f>
        <v/>
      </c>
      <c r="AR381" s="74" t="str">
        <f aca="false">IF(ISBLANK($C381),"",IF($M381=Constants!$B$2,TRUE(),IF($M381=Constants!$B$3,FALSE(),TRUE())))</f>
        <v/>
      </c>
      <c r="AS381" s="74" t="str">
        <f aca="false">IF(ISBLANK($C381),"",IF($N381=Constants!$B$2,TRUE(),IF($N381=Constants!$B$3,FALSE(),FALSE())))</f>
        <v/>
      </c>
      <c r="AT381" s="74" t="str">
        <f aca="false">IF(ISBLANK($C381),"",IF($O381=Constants!$B$2,TRUE(),IF($O381=Constants!$B$3,FALSE(),TRUE())))</f>
        <v/>
      </c>
      <c r="AU381" s="74" t="str">
        <f aca="false">IF(ISBLANK($C381),"",IF($P381=Constants!$B$2,TRUE(),IF($P381=Constants!$B$3,FALSE(),TRUE())))</f>
        <v/>
      </c>
      <c r="AV381" s="74" t="str">
        <f aca="false">IF(ISBLANK($C381),"",IF($Q381=Constants!$B$2,TRUE(),IF($Q381=Constants!$B$3,FALSE(),FALSE())))</f>
        <v/>
      </c>
      <c r="AW381" s="74" t="str">
        <f aca="false">IF(ISBLANK($C381),"",IF($R381=Constants!$B$2,TRUE(),IF($R381=Constants!$B$3,FALSE(),FALSE())))</f>
        <v/>
      </c>
      <c r="AX381" s="74" t="str">
        <f aca="false">IF(ISBLANK($C381),"",IF($S381=Constants!$B$2,TRUE(),IF($S381=Constants!$B$3,FALSE(),FALSE())))</f>
        <v/>
      </c>
      <c r="AY381" s="74" t="str">
        <f aca="false">IF(ISBLANK($C381),"",IF($T381=Constants!$B$2,TRUE(),IF($T381=Constants!$B$3,FALSE(),FALSE())))</f>
        <v/>
      </c>
      <c r="AZ381" s="74" t="str">
        <f aca="false">IF(ISBLANK($C381),"",IF($U381=Constants!$B$2,TRUE(),IF($U381=Constants!$B$3,FALSE(),FALSE())))</f>
        <v/>
      </c>
      <c r="BA381" s="74" t="str">
        <f aca="false">IF(ISBLANK($C381),"",IF(OR($V381&amp;""="1",$V381&amp;""="2",$V381&amp;""="3",$V381&amp;""="4"),VALUE($V381&amp;""),IF($V381=Constants!$B$12,Constants!$B$12,"")))</f>
        <v/>
      </c>
      <c r="BB381" s="74" t="str">
        <f aca="false">IF(ISBLANK($C381),"",IF(ISBLANK($W381),0,IF(ISNUMBER($W381),IF(AND($W381&gt;=0,$W381&lt;=Constants!$B$21,$W381=INT($W381)),$W381,""),"")))</f>
        <v/>
      </c>
      <c r="BC381" s="74" t="str">
        <f aca="false">IF(ISBLANK($C381),"",IF(ISBLANK($X381),0,IF(ISNUMBER($X381),IF($X381&gt;=0,$X381,""),"")))</f>
        <v/>
      </c>
      <c r="BD381" s="74" t="str">
        <f aca="false">IF(ISBLANK($C381),"",IF($Y381=Constants!$B$2,TRUE(),IF($Y381=Constants!$B$3,FALSE(),TRUE())))</f>
        <v/>
      </c>
      <c r="BE381" s="74" t="str">
        <f aca="false">IF(ISBLANK($C381),"",IF($Z381=Constants!$B$2,TRUE(),IF($Z381=Constants!$B$3,FALSE(),FALSE())))</f>
        <v/>
      </c>
      <c r="BF381" s="74" t="str">
        <f aca="false">IF(ISBLANK($C381),"",IF(ISBLANK($AA381),0,IF(ISNUMBER($AA381),IF(AND($AA381&gt;=0,$AA381&lt;=Constants!$B$35,$AA381=INT($AA381)),$AA381,""),"")))</f>
        <v/>
      </c>
      <c r="BG381" s="74" t="str">
        <f aca="false">IF(ISBLANK($C381),"",IF($AB381=Constants!$B$2,TRUE(),IF($AB381=Constants!$B$3,FALSE(),TRUE())))</f>
        <v/>
      </c>
      <c r="BH381" s="74" t="str">
        <f aca="false">IF(ISBLANK($C381),"",IF($AC381=Constants!$B$2,TRUE(),IF($AC381=Constants!$B$3,FALSE(),TRUE())))</f>
        <v/>
      </c>
      <c r="BI381" s="74" t="str">
        <f aca="false">IF(ISBLANK($C381),"",IF($AD381=Constants!$B$2,TRUE(),IF($AD381=Constants!$B$3,FALSE(),TRUE())))</f>
        <v/>
      </c>
      <c r="BJ381" s="74" t="str">
        <f aca="false">IF(ISBLANK($C381),"",IF(ISNUMBER($AE381),IF($AE381&gt;=0,$AE381,""),""))</f>
        <v/>
      </c>
      <c r="BK381" s="74" t="str">
        <f aca="false">IF(ISBLANK($C381),"",IF($AF381=Constants!$B$2,TRUE(),IF($AF381=Constants!$B$3,FALSE(),FALSE())))</f>
        <v/>
      </c>
      <c r="BL381" s="73" t="str">
        <f aca="false">IF(ISBLANK($C381),"",IF($BK381,Constants!$B$7,IF(COUNTA($E381:$AE381)=0,Constants!$B$6,IF(OR(COUNTA($G381:$AE381)=0,NOT($AM381),$AS381),Constants!$B$5,IF(OR($CM381&lt;&gt;"",$CN381,$CO381,$CP381,$CQ381,$CR381,$CS381),Constants!$B$8,Constants!$B$4)))))</f>
        <v/>
      </c>
      <c r="BM381" s="74" t="str">
        <f aca="false">IF(ISBLANK($C381),"",IF($BL381&lt;&gt;Constants!$B$4,$BL381,IF(OR(NOT($AJ381),NOT($AL381),NOT($AT381)),Constants!$B$11,IF(OR(NOT($AR381),NOT($AU381),NOT($BI381),MAX($AN381,$AO381,$AP381)&gt;Constants!$B$30),Constants!$B$10,Constants!$B$9))))</f>
        <v/>
      </c>
      <c r="BN381" s="74" t="str">
        <f aca="false">IF($BL381&lt;&gt;Constants!$B$4,"",IF(NOT($AL381),0,MIN(Constants!$B$35,$BF381)))</f>
        <v/>
      </c>
      <c r="BO381" s="74" t="str">
        <f aca="false">IF($BL381&lt;&gt;Constants!$B$4,"",IF(NOT($AL381),0,IF($AW381,Constants!$B$18,IF($AV381,Constants!$B$17,0))))</f>
        <v/>
      </c>
      <c r="BP381" s="74" t="str">
        <f aca="false">IF($BL381&lt;&gt;Constants!$B$4,"",IF(NOT($AL381),0,Constants!$B$19*($AK381+$AX381+$AY381+$AZ381)))</f>
        <v/>
      </c>
      <c r="BQ381" s="74" t="str">
        <f aca="false">IF($BL381&lt;&gt;Constants!$B$4,"",IF(OR(NOT($AL381),NOT(ISNUMBER($BA381))),0,CHOOSE($BA381,Constants!$B$13,Constants!$B$14,Constants!$B$15,Constants!$B$16)))</f>
        <v/>
      </c>
      <c r="BR381" s="74" t="str">
        <f aca="false">IF($BL381&lt;&gt;Constants!$B$4,"",IF(NOT($AL381),0,Constants!$B$20*$BB381))</f>
        <v/>
      </c>
      <c r="BS381" s="74" t="str">
        <f aca="false">IF($BL381&lt;&gt;Constants!$B$4,"",IF(AND($AL381,$BD381,$BE381),Constants!$B$22,0))</f>
        <v/>
      </c>
      <c r="BT381" s="74" t="str">
        <f aca="false">IF($BL381&lt;&gt;Constants!$B$4,"",IF(OR(NOT($AL381),NOT($BD381)),0,IF($BJ381&gt;=2*$AH$9,0,Constants!$B$23*INT(ROUND(MIN($BJ381,$AH$9),6)))))</f>
        <v/>
      </c>
      <c r="BU381" s="74" t="str">
        <f aca="false">IF($BL381&lt;&gt;Constants!$B$4,"",IF(NOT($AL381),0,Constants!$B$24*INT(ROUND(MIN($BC381,$AH$9),6))))</f>
        <v/>
      </c>
      <c r="BV381" s="74" t="str">
        <f aca="false">IF($BL381&lt;&gt;Constants!$B$4,"",IF(AND($AL381,$BN381=0),Constants!$B$25,0))</f>
        <v/>
      </c>
      <c r="BW381" s="74" t="str">
        <f aca="false">IF($BL381&lt;&gt;Constants!$B$4,"",MIN(Constants!$B$29,MAX(0,Constants!$B$27*Constants!$B$28*INT(ROUND((Constants!$B$26-$AN381)/Constants!$B$28,6))))+MIN(Constants!$B$29,MAX(0,Constants!$B$27*Constants!$B$28*INT(ROUND((Constants!$B$26-$AO381)/Constants!$B$28,6))))+MIN(Constants!$B$29,MAX(0,Constants!$B$27*Constants!$B$28*INT(ROUND((Constants!$B$26-$AP381)/Constants!$B$28,6)))))</f>
        <v/>
      </c>
      <c r="BX381" s="74" t="str">
        <f aca="false">IF($BL381&lt;&gt;Constants!$B$4,"",IF(NOT($AL381),0,Constants!$B$31*INT(ROUND(MAX(0,MIN($BJ381,2*$AH$9)-$AH$9),6))))</f>
        <v/>
      </c>
      <c r="BY381" s="74" t="str">
        <f aca="false">IF($BL381&lt;&gt;Constants!$B$4,"",Constants!$B$32*(($AN381&gt;Constants!$B$26)+($AO381&gt;Constants!$B$26)+($AP381&gt;Constants!$B$26)))</f>
        <v/>
      </c>
      <c r="BZ381" s="74" t="str">
        <f aca="false">IF($BL381&lt;&gt;Constants!$B$4,"",IF(OR(NOT($AL381),$AQ381),0,Constants!$B$33))</f>
        <v/>
      </c>
      <c r="CA381" s="74" t="str">
        <f aca="false">IF($BL381&lt;&gt;Constants!$B$4,"",Constants!$B$34*$BN381)</f>
        <v/>
      </c>
      <c r="CB381" s="74" t="str">
        <f aca="false">IF($BL381&lt;&gt;Constants!$B$4,"",IF(OR(NOT($AL381),$BH381),0,Constants!$B$36))</f>
        <v/>
      </c>
      <c r="CC381" s="74" t="str">
        <f aca="false">IF($BL381&lt;&gt;Constants!$B$4,"",IF(OR(NOT($AL381),$BG381),0,Constants!$B$37))</f>
        <v/>
      </c>
      <c r="CD381" s="74" t="str">
        <f aca="false">IF($BL381&lt;&gt;Constants!$B$4,"",SUM($BX381:$CC381))</f>
        <v/>
      </c>
      <c r="CE381" s="74" t="str">
        <f aca="false">IF(ISBLANK($C381),"",IF($BL381&lt;&gt;Constants!$B$4,$BL381,SUM($BO381:$BW381)-$CD381))</f>
        <v/>
      </c>
      <c r="CF381" s="74" t="str">
        <f aca="false">IF(ISBLANK($C381),"",IF($BL381&lt;&gt;Constants!$B$4,$BL381,RANK($CE381,$CE$9:$CE$508)))</f>
        <v/>
      </c>
      <c r="CG381" s="74" t="str">
        <f aca="false">IF(ISBLANK($C381),"",IF($BL381&lt;&gt;Constants!$B$4,$BL381,COUNTIFS($BM$9:$BM$508,"&lt;"&amp;$BM381)+COUNTIFS($BM$9:$BM$508,$BM381,$CF$9:$CF$508,"&lt;"&amp;$CF381)+1))</f>
        <v/>
      </c>
      <c r="CH381" s="74" t="str">
        <f aca="false">IF(ISBLANK($C381),"",IF($BL381&lt;&gt;Constants!$B$4,$BL381,RANK($CD381,$CD$9:$CD$508,1)))</f>
        <v/>
      </c>
      <c r="CI381" s="74" t="str">
        <f aca="false">IF($BL381&lt;&gt;Constants!$B$4,"",$AN381+$AO381+$AP381)</f>
        <v/>
      </c>
      <c r="CJ381" s="74" t="str">
        <f aca="false">IF(ISBLANK($C381),"",IF($BL381&lt;&gt;Constants!$B$4,$BL381,RANK($CI381,$CI$9:$CI$508,1)))</f>
        <v/>
      </c>
      <c r="CK381" s="74" t="str">
        <f aca="false">IF(ISBLANK($C381),"",IF($BL381&lt;&gt;Constants!$B$4,$BL381,COUNTIFS($BM$9:$BM$508,"&lt;"&amp;$BM381)+COUNTIFS($BM$9:$BM$508,$BM381,$CF$9:$CF$508,"&lt;"&amp;$CF381)+COUNTIFS($BM$9:$BM$508,$BM381,$CF$9:$CF$508,$CF381,$CH$9:$CH$508,"&lt;"&amp;$CH381)+COUNTIFS($BM$9:$BM$508,$BM381,$CF$9:$CF$508,$CF381,$CH$9:$CH$508,$CH381,$CJ$9:$CJ$508,"&lt;"&amp;$CJ381)+1))</f>
        <v/>
      </c>
      <c r="CL381" s="74" t="str">
        <f aca="false">IF(ISBLANK($C381),"",IF($BL381&lt;&gt;Constants!$B$4,$BL381,$CG381-$CK381))</f>
        <v/>
      </c>
      <c r="CM381" s="74" t="str">
        <f aca="false">IF(ISBLANK($C381),"",IF(NOT($AL381),"",IF(ISBLANK($D$7),$CM$5,IF(NOT(ISNUMBER($D$7)),$CM$6,""))))</f>
        <v/>
      </c>
      <c r="CN381" s="74" t="str">
        <f aca="false">IF(ISBLANK($C381),"",OR($AN381="",$AO381="",$AP381=""))</f>
        <v/>
      </c>
      <c r="CO381" s="74" t="str">
        <f aca="false">IF(ISBLANK($C381),"",AND($AL381,$BA381=""))</f>
        <v/>
      </c>
      <c r="CP381" s="74" t="str">
        <f aca="false">IF(ISBLANK($C381),"",AND($AL381,$BB381=""))</f>
        <v/>
      </c>
      <c r="CQ381" s="74" t="str">
        <f aca="false">IF(ISBLANK($C381),"",AND($AL381,$BC381=""))</f>
        <v/>
      </c>
      <c r="CR381" s="74" t="str">
        <f aca="false">IF(ISBLANK($C381),"",AND($AL381,$BF381=""))</f>
        <v/>
      </c>
      <c r="CS381" s="74" t="str">
        <f aca="false">IF(ISBLANK($C381),"",AND($AL381,$BJ381=""))</f>
        <v/>
      </c>
      <c r="CT381" s="75"/>
      <c r="CU381" s="76"/>
      <c r="CV381" s="79" t="str">
        <f aca="false">IF(ISBLANK($C381),"",IF($BL381=Constants!$B$8,$CM381,""))</f>
        <v/>
      </c>
      <c r="CW381" s="76" t="str">
        <f aca="false">IF(ISBLANK($C381),"",IF($BL381&lt;&gt;Constants!$B$4,"",$BO381+$BP381))</f>
        <v/>
      </c>
      <c r="CX381" s="78" t="str">
        <f aca="false">IF(ISBLANK($C381),"",IF($BL381&lt;&gt;Constants!$B$4,"",$BQ381+$BR381+$BS381))</f>
        <v/>
      </c>
      <c r="CY381" s="78" t="str">
        <f aca="false">IF(ISBLANK($C381),"",IF($BL381&lt;&gt;Constants!$B$4,"",$BT381))</f>
        <v/>
      </c>
      <c r="CZ381" s="78" t="str">
        <f aca="false">IF(ISBLANK($C381),"",IF($BL381&lt;&gt;Constants!$B$4,"",$BU381+$BV381))</f>
        <v/>
      </c>
      <c r="DA381" s="78" t="str">
        <f aca="false">IF(ISBLANK($C381),"",IF($BL381&lt;&gt;Constants!$B$4,"",$BW381))</f>
        <v/>
      </c>
      <c r="DB381" s="78" t="str">
        <f aca="false">IF(ISBLANK($C381),"",IF($BL381&lt;&gt;Constants!$B$4,"",-$CD381))</f>
        <v/>
      </c>
      <c r="DC381" s="79" t="str">
        <f aca="false">IF(ISBLANK($C381),"",$CE381)</f>
        <v/>
      </c>
      <c r="DD381" s="80" t="str">
        <f aca="false">IF(ISBLANK($C381),"",$BM381)</f>
        <v/>
      </c>
      <c r="DE381" s="78" t="str">
        <f aca="false">IF(ISBLANK($C381),"",$CL381)</f>
        <v/>
      </c>
      <c r="DF381" s="78" t="str">
        <f aca="false">IF(ISBLANK($C381),"",$CK381)</f>
        <v/>
      </c>
      <c r="DG381" s="81" t="str">
        <f aca="false">IF(ISBLANK($C381),"",IF($DF381=Constants!$B$7,COUNTA($C$9:$C$508)+2,IF($DF381=Constants!$B$6,COUNTA($C$9:$C$508)+1,IF($DF381=Constants!$B$5,COUNTA($C$9:$C$508),$DF381))))</f>
        <v/>
      </c>
      <c r="DH381" s="7"/>
      <c r="DI381" s="82" t="n">
        <f aca="false">IF(OR(ISNUMBER($DF381),$DF381=Constants!$B$7,$DF381=Constants!$B$5,$DF381=Constants!$B$6),1,0)</f>
        <v>0</v>
      </c>
      <c r="DJ381" s="82" t="n">
        <v>373</v>
      </c>
      <c r="DK381" s="82" t="str">
        <f aca="false">IF(ISBLANK($C381),"",IF(ISNUMBER($DG381),$DG381+ROW($B381)/1000,""))</f>
        <v/>
      </c>
      <c r="DL381" s="82" t="str">
        <f aca="false">IF(ISNUMBER($DK381),RANK($DK381,$DK$9:$DK$508,1),"")</f>
        <v/>
      </c>
      <c r="DM381" s="82" t="str">
        <f aca="false">IF(ISBLANK($C381),"",$B381)</f>
        <v/>
      </c>
      <c r="DN381" s="82" t="str">
        <f aca="false">IF(ISBLANK($C381),"",$C381)</f>
        <v/>
      </c>
      <c r="DO381" s="82" t="str">
        <f aca="false">IF(ISBLANK($C381),"",$D381)</f>
        <v/>
      </c>
      <c r="DP381" s="83" t="str">
        <f aca="false">$DD381</f>
        <v/>
      </c>
      <c r="DQ381" s="84" t="str">
        <f aca="false">$DC381</f>
        <v/>
      </c>
      <c r="DR381" s="82" t="str">
        <f aca="false">IF(ISBLANK($C381),"",$DF381)</f>
        <v/>
      </c>
      <c r="DS381" s="85" t="str">
        <f aca="false">IF($DJ381&gt;$DI$8,"",VLOOKUP($DJ381,$DL$9:$DR$508,7,FALSE()))</f>
        <v/>
      </c>
      <c r="DT381" s="86" t="str">
        <f aca="false">IF($DJ381&gt;$DI$8,"",VLOOKUP($DJ381,$DL$9:$DR$508,2,FALSE()))</f>
        <v/>
      </c>
      <c r="DU381" s="86" t="str">
        <f aca="false">IF($DJ381&gt;$DI$8,"",VLOOKUP($DJ381,$DL$9:$DR$508,3,FALSE()))</f>
        <v/>
      </c>
      <c r="DV381" s="86" t="str">
        <f aca="false">IF($DJ381&gt;$DI$8,"",VLOOKUP($DJ381,$DL$9:$DR$508,4,FALSE()))</f>
        <v/>
      </c>
      <c r="DW381" s="86" t="str">
        <f aca="false">IF($DJ381&gt;$DI$8,"",VLOOKUP($DJ381,$DL$9:$DR$508,5,FALSE()))</f>
        <v/>
      </c>
      <c r="DX381" s="87" t="str">
        <f aca="false">IF($DJ381&gt;$DI$8,"",VLOOKUP($DJ381,$DL$9:$DR$508,6,FALSE()))</f>
        <v/>
      </c>
      <c r="DY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88"/>
      <c r="N382" s="88"/>
      <c r="O382" s="134"/>
      <c r="P382" s="134"/>
      <c r="Q382" s="88"/>
      <c r="R382" s="88"/>
      <c r="S382" s="88"/>
      <c r="T382" s="88"/>
      <c r="U382" s="134"/>
      <c r="V382" s="88"/>
      <c r="W382" s="70"/>
      <c r="X382" s="88"/>
      <c r="Y382" s="88"/>
      <c r="Z382" s="70"/>
      <c r="AA382" s="70"/>
      <c r="AB382" s="88"/>
      <c r="AC382" s="88"/>
      <c r="AD382" s="88"/>
      <c r="AE382" s="71"/>
      <c r="AF382" s="88"/>
      <c r="AG382" s="73"/>
      <c r="AH382" s="74"/>
      <c r="AI382" s="74"/>
      <c r="AJ382" s="74" t="str">
        <f aca="false">IF(ISBLANK($C382),"",IF($E382=Constants!$B$2,TRUE(),IF($E382=Constants!$B$3,FALSE(),TRUE())))</f>
        <v/>
      </c>
      <c r="AK382" s="74" t="str">
        <f aca="false">IF(ISBLANK($C382),"",IF($F382=Constants!$B$2,TRUE(),IF($F382=Constants!$B$3,FALSE(),FALSE())))</f>
        <v/>
      </c>
      <c r="AL382" s="74" t="str">
        <f aca="false">IF(ISBLANK($C382),"",IF($G382=Constants!$B$2,TRUE(),IF($G382=Constants!$B$3,FALSE(),TRUE())))</f>
        <v/>
      </c>
      <c r="AM382" s="74" t="str">
        <f aca="false">IF(ISBLANK($C382),"",IF($H382=Constants!$B$2,TRUE(),IF($H382=Constants!$B$3,FALSE(),TRUE())))</f>
        <v/>
      </c>
      <c r="AN382" s="74" t="str">
        <f aca="false">IF(ISBLANK($C382),"",IF(ISNUMBER($I382),IF($I382&gt;=0,$I382,""),""))</f>
        <v/>
      </c>
      <c r="AO382" s="74" t="str">
        <f aca="false">IF(ISBLANK($C382),"",IF(ISNUMBER($J382),IF($J382&gt;=0,$J382,""),""))</f>
        <v/>
      </c>
      <c r="AP382" s="74" t="str">
        <f aca="false">IF(ISBLANK($C382),"",IF(ISNUMBER($K382),IF($K382&gt;=0,$K382,""),""))</f>
        <v/>
      </c>
      <c r="AQ382" s="74" t="str">
        <f aca="false">IF(ISBLANK($C382),"",IF($L382=Constants!$B$2,TRUE(),IF($L382=Constants!$B$3,FALSE(),TRUE())))</f>
        <v/>
      </c>
      <c r="AR382" s="74" t="str">
        <f aca="false">IF(ISBLANK($C382),"",IF($M382=Constants!$B$2,TRUE(),IF($M382=Constants!$B$3,FALSE(),TRUE())))</f>
        <v/>
      </c>
      <c r="AS382" s="74" t="str">
        <f aca="false">IF(ISBLANK($C382),"",IF($N382=Constants!$B$2,TRUE(),IF($N382=Constants!$B$3,FALSE(),FALSE())))</f>
        <v/>
      </c>
      <c r="AT382" s="74" t="str">
        <f aca="false">IF(ISBLANK($C382),"",IF($O382=Constants!$B$2,TRUE(),IF($O382=Constants!$B$3,FALSE(),TRUE())))</f>
        <v/>
      </c>
      <c r="AU382" s="74" t="str">
        <f aca="false">IF(ISBLANK($C382),"",IF($P382=Constants!$B$2,TRUE(),IF($P382=Constants!$B$3,FALSE(),TRUE())))</f>
        <v/>
      </c>
      <c r="AV382" s="74" t="str">
        <f aca="false">IF(ISBLANK($C382),"",IF($Q382=Constants!$B$2,TRUE(),IF($Q382=Constants!$B$3,FALSE(),FALSE())))</f>
        <v/>
      </c>
      <c r="AW382" s="74" t="str">
        <f aca="false">IF(ISBLANK($C382),"",IF($R382=Constants!$B$2,TRUE(),IF($R382=Constants!$B$3,FALSE(),FALSE())))</f>
        <v/>
      </c>
      <c r="AX382" s="74" t="str">
        <f aca="false">IF(ISBLANK($C382),"",IF($S382=Constants!$B$2,TRUE(),IF($S382=Constants!$B$3,FALSE(),FALSE())))</f>
        <v/>
      </c>
      <c r="AY382" s="74" t="str">
        <f aca="false">IF(ISBLANK($C382),"",IF($T382=Constants!$B$2,TRUE(),IF($T382=Constants!$B$3,FALSE(),FALSE())))</f>
        <v/>
      </c>
      <c r="AZ382" s="74" t="str">
        <f aca="false">IF(ISBLANK($C382),"",IF($U382=Constants!$B$2,TRUE(),IF($U382=Constants!$B$3,FALSE(),FALSE())))</f>
        <v/>
      </c>
      <c r="BA382" s="74" t="str">
        <f aca="false">IF(ISBLANK($C382),"",IF(OR($V382&amp;""="1",$V382&amp;""="2",$V382&amp;""="3",$V382&amp;""="4"),VALUE($V382&amp;""),IF($V382=Constants!$B$12,Constants!$B$12,"")))</f>
        <v/>
      </c>
      <c r="BB382" s="74" t="str">
        <f aca="false">IF(ISBLANK($C382),"",IF(ISBLANK($W382),0,IF(ISNUMBER($W382),IF(AND($W382&gt;=0,$W382&lt;=Constants!$B$21,$W382=INT($W382)),$W382,""),"")))</f>
        <v/>
      </c>
      <c r="BC382" s="74" t="str">
        <f aca="false">IF(ISBLANK($C382),"",IF(ISBLANK($X382),0,IF(ISNUMBER($X382),IF($X382&gt;=0,$X382,""),"")))</f>
        <v/>
      </c>
      <c r="BD382" s="74" t="str">
        <f aca="false">IF(ISBLANK($C382),"",IF($Y382=Constants!$B$2,TRUE(),IF($Y382=Constants!$B$3,FALSE(),TRUE())))</f>
        <v/>
      </c>
      <c r="BE382" s="74" t="str">
        <f aca="false">IF(ISBLANK($C382),"",IF($Z382=Constants!$B$2,TRUE(),IF($Z382=Constants!$B$3,FALSE(),FALSE())))</f>
        <v/>
      </c>
      <c r="BF382" s="74" t="str">
        <f aca="false">IF(ISBLANK($C382),"",IF(ISBLANK($AA382),0,IF(ISNUMBER($AA382),IF(AND($AA382&gt;=0,$AA382&lt;=Constants!$B$35,$AA382=INT($AA382)),$AA382,""),"")))</f>
        <v/>
      </c>
      <c r="BG382" s="74" t="str">
        <f aca="false">IF(ISBLANK($C382),"",IF($AB382=Constants!$B$2,TRUE(),IF($AB382=Constants!$B$3,FALSE(),TRUE())))</f>
        <v/>
      </c>
      <c r="BH382" s="74" t="str">
        <f aca="false">IF(ISBLANK($C382),"",IF($AC382=Constants!$B$2,TRUE(),IF($AC382=Constants!$B$3,FALSE(),TRUE())))</f>
        <v/>
      </c>
      <c r="BI382" s="74" t="str">
        <f aca="false">IF(ISBLANK($C382),"",IF($AD382=Constants!$B$2,TRUE(),IF($AD382=Constants!$B$3,FALSE(),TRUE())))</f>
        <v/>
      </c>
      <c r="BJ382" s="74" t="str">
        <f aca="false">IF(ISBLANK($C382),"",IF(ISNUMBER($AE382),IF($AE382&gt;=0,$AE382,""),""))</f>
        <v/>
      </c>
      <c r="BK382" s="74" t="str">
        <f aca="false">IF(ISBLANK($C382),"",IF($AF382=Constants!$B$2,TRUE(),IF($AF382=Constants!$B$3,FALSE(),FALSE())))</f>
        <v/>
      </c>
      <c r="BL382" s="73" t="str">
        <f aca="false">IF(ISBLANK($C382),"",IF($BK382,Constants!$B$7,IF(COUNTA($E382:$AE382)=0,Constants!$B$6,IF(OR(COUNTA($G382:$AE382)=0,NOT($AM382),$AS382),Constants!$B$5,IF(OR($CM382&lt;&gt;"",$CN382,$CO382,$CP382,$CQ382,$CR382,$CS382),Constants!$B$8,Constants!$B$4)))))</f>
        <v/>
      </c>
      <c r="BM382" s="74" t="str">
        <f aca="false">IF(ISBLANK($C382),"",IF($BL382&lt;&gt;Constants!$B$4,$BL382,IF(OR(NOT($AJ382),NOT($AL382),NOT($AT382)),Constants!$B$11,IF(OR(NOT($AR382),NOT($AU382),NOT($BI382),MAX($AN382,$AO382,$AP382)&gt;Constants!$B$30),Constants!$B$10,Constants!$B$9))))</f>
        <v/>
      </c>
      <c r="BN382" s="74" t="str">
        <f aca="false">IF($BL382&lt;&gt;Constants!$B$4,"",IF(NOT($AL382),0,MIN(Constants!$B$35,$BF382)))</f>
        <v/>
      </c>
      <c r="BO382" s="74" t="str">
        <f aca="false">IF($BL382&lt;&gt;Constants!$B$4,"",IF(NOT($AL382),0,IF($AW382,Constants!$B$18,IF($AV382,Constants!$B$17,0))))</f>
        <v/>
      </c>
      <c r="BP382" s="74" t="str">
        <f aca="false">IF($BL382&lt;&gt;Constants!$B$4,"",IF(NOT($AL382),0,Constants!$B$19*($AK382+$AX382+$AY382+$AZ382)))</f>
        <v/>
      </c>
      <c r="BQ382" s="74" t="str">
        <f aca="false">IF($BL382&lt;&gt;Constants!$B$4,"",IF(OR(NOT($AL382),NOT(ISNUMBER($BA382))),0,CHOOSE($BA382,Constants!$B$13,Constants!$B$14,Constants!$B$15,Constants!$B$16)))</f>
        <v/>
      </c>
      <c r="BR382" s="74" t="str">
        <f aca="false">IF($BL382&lt;&gt;Constants!$B$4,"",IF(NOT($AL382),0,Constants!$B$20*$BB382))</f>
        <v/>
      </c>
      <c r="BS382" s="74" t="str">
        <f aca="false">IF($BL382&lt;&gt;Constants!$B$4,"",IF(AND($AL382,$BD382,$BE382),Constants!$B$22,0))</f>
        <v/>
      </c>
      <c r="BT382" s="74" t="str">
        <f aca="false">IF($BL382&lt;&gt;Constants!$B$4,"",IF(OR(NOT($AL382),NOT($BD382)),0,IF($BJ382&gt;=2*$AH$9,0,Constants!$B$23*INT(ROUND(MIN($BJ382,$AH$9),6)))))</f>
        <v/>
      </c>
      <c r="BU382" s="74" t="str">
        <f aca="false">IF($BL382&lt;&gt;Constants!$B$4,"",IF(NOT($AL382),0,Constants!$B$24*INT(ROUND(MIN($BC382,$AH$9),6))))</f>
        <v/>
      </c>
      <c r="BV382" s="74" t="str">
        <f aca="false">IF($BL382&lt;&gt;Constants!$B$4,"",IF(AND($AL382,$BN382=0),Constants!$B$25,0))</f>
        <v/>
      </c>
      <c r="BW382" s="74" t="str">
        <f aca="false">IF($BL382&lt;&gt;Constants!$B$4,"",MIN(Constants!$B$29,MAX(0,Constants!$B$27*Constants!$B$28*INT(ROUND((Constants!$B$26-$AN382)/Constants!$B$28,6))))+MIN(Constants!$B$29,MAX(0,Constants!$B$27*Constants!$B$28*INT(ROUND((Constants!$B$26-$AO382)/Constants!$B$28,6))))+MIN(Constants!$B$29,MAX(0,Constants!$B$27*Constants!$B$28*INT(ROUND((Constants!$B$26-$AP382)/Constants!$B$28,6)))))</f>
        <v/>
      </c>
      <c r="BX382" s="74" t="str">
        <f aca="false">IF($BL382&lt;&gt;Constants!$B$4,"",IF(NOT($AL382),0,Constants!$B$31*INT(ROUND(MAX(0,MIN($BJ382,2*$AH$9)-$AH$9),6))))</f>
        <v/>
      </c>
      <c r="BY382" s="74" t="str">
        <f aca="false">IF($BL382&lt;&gt;Constants!$B$4,"",Constants!$B$32*(($AN382&gt;Constants!$B$26)+($AO382&gt;Constants!$B$26)+($AP382&gt;Constants!$B$26)))</f>
        <v/>
      </c>
      <c r="BZ382" s="74" t="str">
        <f aca="false">IF($BL382&lt;&gt;Constants!$B$4,"",IF(OR(NOT($AL382),$AQ382),0,Constants!$B$33))</f>
        <v/>
      </c>
      <c r="CA382" s="74" t="str">
        <f aca="false">IF($BL382&lt;&gt;Constants!$B$4,"",Constants!$B$34*$BN382)</f>
        <v/>
      </c>
      <c r="CB382" s="74" t="str">
        <f aca="false">IF($BL382&lt;&gt;Constants!$B$4,"",IF(OR(NOT($AL382),$BH382),0,Constants!$B$36))</f>
        <v/>
      </c>
      <c r="CC382" s="74" t="str">
        <f aca="false">IF($BL382&lt;&gt;Constants!$B$4,"",IF(OR(NOT($AL382),$BG382),0,Constants!$B$37))</f>
        <v/>
      </c>
      <c r="CD382" s="74" t="str">
        <f aca="false">IF($BL382&lt;&gt;Constants!$B$4,"",SUM($BX382:$CC382))</f>
        <v/>
      </c>
      <c r="CE382" s="74" t="str">
        <f aca="false">IF(ISBLANK($C382),"",IF($BL382&lt;&gt;Constants!$B$4,$BL382,SUM($BO382:$BW382)-$CD382))</f>
        <v/>
      </c>
      <c r="CF382" s="74" t="str">
        <f aca="false">IF(ISBLANK($C382),"",IF($BL382&lt;&gt;Constants!$B$4,$BL382,RANK($CE382,$CE$9:$CE$508)))</f>
        <v/>
      </c>
      <c r="CG382" s="74" t="str">
        <f aca="false">IF(ISBLANK($C382),"",IF($BL382&lt;&gt;Constants!$B$4,$BL382,COUNTIFS($BM$9:$BM$508,"&lt;"&amp;$BM382)+COUNTIFS($BM$9:$BM$508,$BM382,$CF$9:$CF$508,"&lt;"&amp;$CF382)+1))</f>
        <v/>
      </c>
      <c r="CH382" s="74" t="str">
        <f aca="false">IF(ISBLANK($C382),"",IF($BL382&lt;&gt;Constants!$B$4,$BL382,RANK($CD382,$CD$9:$CD$508,1)))</f>
        <v/>
      </c>
      <c r="CI382" s="74" t="str">
        <f aca="false">IF($BL382&lt;&gt;Constants!$B$4,"",$AN382+$AO382+$AP382)</f>
        <v/>
      </c>
      <c r="CJ382" s="74" t="str">
        <f aca="false">IF(ISBLANK($C382),"",IF($BL382&lt;&gt;Constants!$B$4,$BL382,RANK($CI382,$CI$9:$CI$508,1)))</f>
        <v/>
      </c>
      <c r="CK382" s="74" t="str">
        <f aca="false">IF(ISBLANK($C382),"",IF($BL382&lt;&gt;Constants!$B$4,$BL382,COUNTIFS($BM$9:$BM$508,"&lt;"&amp;$BM382)+COUNTIFS($BM$9:$BM$508,$BM382,$CF$9:$CF$508,"&lt;"&amp;$CF382)+COUNTIFS($BM$9:$BM$508,$BM382,$CF$9:$CF$508,$CF382,$CH$9:$CH$508,"&lt;"&amp;$CH382)+COUNTIFS($BM$9:$BM$508,$BM382,$CF$9:$CF$508,$CF382,$CH$9:$CH$508,$CH382,$CJ$9:$CJ$508,"&lt;"&amp;$CJ382)+1))</f>
        <v/>
      </c>
      <c r="CL382" s="74" t="str">
        <f aca="false">IF(ISBLANK($C382),"",IF($BL382&lt;&gt;Constants!$B$4,$BL382,$CG382-$CK382))</f>
        <v/>
      </c>
      <c r="CM382" s="74" t="str">
        <f aca="false">IF(ISBLANK($C382),"",IF(NOT($AL382),"",IF(ISBLANK($D$7),$CM$5,IF(NOT(ISNUMBER($D$7)),$CM$6,""))))</f>
        <v/>
      </c>
      <c r="CN382" s="74" t="str">
        <f aca="false">IF(ISBLANK($C382),"",OR($AN382="",$AO382="",$AP382=""))</f>
        <v/>
      </c>
      <c r="CO382" s="74" t="str">
        <f aca="false">IF(ISBLANK($C382),"",AND($AL382,$BA382=""))</f>
        <v/>
      </c>
      <c r="CP382" s="74" t="str">
        <f aca="false">IF(ISBLANK($C382),"",AND($AL382,$BB382=""))</f>
        <v/>
      </c>
      <c r="CQ382" s="74" t="str">
        <f aca="false">IF(ISBLANK($C382),"",AND($AL382,$BC382=""))</f>
        <v/>
      </c>
      <c r="CR382" s="74" t="str">
        <f aca="false">IF(ISBLANK($C382),"",AND($AL382,$BF382=""))</f>
        <v/>
      </c>
      <c r="CS382" s="74" t="str">
        <f aca="false">IF(ISBLANK($C382),"",AND($AL382,$BJ382=""))</f>
        <v/>
      </c>
      <c r="CT382" s="75"/>
      <c r="CU382" s="76"/>
      <c r="CV382" s="79" t="str">
        <f aca="false">IF(ISBLANK($C382),"",IF($BL382=Constants!$B$8,$CM382,""))</f>
        <v/>
      </c>
      <c r="CW382" s="76" t="str">
        <f aca="false">IF(ISBLANK($C382),"",IF($BL382&lt;&gt;Constants!$B$4,"",$BO382+$BP382))</f>
        <v/>
      </c>
      <c r="CX382" s="78" t="str">
        <f aca="false">IF(ISBLANK($C382),"",IF($BL382&lt;&gt;Constants!$B$4,"",$BQ382+$BR382+$BS382))</f>
        <v/>
      </c>
      <c r="CY382" s="78" t="str">
        <f aca="false">IF(ISBLANK($C382),"",IF($BL382&lt;&gt;Constants!$B$4,"",$BT382))</f>
        <v/>
      </c>
      <c r="CZ382" s="78" t="str">
        <f aca="false">IF(ISBLANK($C382),"",IF($BL382&lt;&gt;Constants!$B$4,"",$BU382+$BV382))</f>
        <v/>
      </c>
      <c r="DA382" s="78" t="str">
        <f aca="false">IF(ISBLANK($C382),"",IF($BL382&lt;&gt;Constants!$B$4,"",$BW382))</f>
        <v/>
      </c>
      <c r="DB382" s="78" t="str">
        <f aca="false">IF(ISBLANK($C382),"",IF($BL382&lt;&gt;Constants!$B$4,"",-$CD382))</f>
        <v/>
      </c>
      <c r="DC382" s="79" t="str">
        <f aca="false">IF(ISBLANK($C382),"",$CE382)</f>
        <v/>
      </c>
      <c r="DD382" s="80" t="str">
        <f aca="false">IF(ISBLANK($C382),"",$BM382)</f>
        <v/>
      </c>
      <c r="DE382" s="78" t="str">
        <f aca="false">IF(ISBLANK($C382),"",$CL382)</f>
        <v/>
      </c>
      <c r="DF382" s="78" t="str">
        <f aca="false">IF(ISBLANK($C382),"",$CK382)</f>
        <v/>
      </c>
      <c r="DG382" s="81" t="str">
        <f aca="false">IF(ISBLANK($C382),"",IF($DF382=Constants!$B$7,COUNTA($C$9:$C$508)+2,IF($DF382=Constants!$B$6,COUNTA($C$9:$C$508)+1,IF($DF382=Constants!$B$5,COUNTA($C$9:$C$508),$DF382))))</f>
        <v/>
      </c>
      <c r="DH382" s="7"/>
      <c r="DI382" s="82" t="n">
        <f aca="false">IF(OR(ISNUMBER($DF382),$DF382=Constants!$B$7,$DF382=Constants!$B$5,$DF382=Constants!$B$6),1,0)</f>
        <v>0</v>
      </c>
      <c r="DJ382" s="82" t="n">
        <v>374</v>
      </c>
      <c r="DK382" s="82" t="str">
        <f aca="false">IF(ISBLANK($C382),"",IF(ISNUMBER($DG382),$DG382+ROW($B382)/1000,""))</f>
        <v/>
      </c>
      <c r="DL382" s="82" t="str">
        <f aca="false">IF(ISNUMBER($DK382),RANK($DK382,$DK$9:$DK$508,1),"")</f>
        <v/>
      </c>
      <c r="DM382" s="82" t="str">
        <f aca="false">IF(ISBLANK($C382),"",$B382)</f>
        <v/>
      </c>
      <c r="DN382" s="82" t="str">
        <f aca="false">IF(ISBLANK($C382),"",$C382)</f>
        <v/>
      </c>
      <c r="DO382" s="82" t="str">
        <f aca="false">IF(ISBLANK($C382),"",$D382)</f>
        <v/>
      </c>
      <c r="DP382" s="83" t="str">
        <f aca="false">$DD382</f>
        <v/>
      </c>
      <c r="DQ382" s="84" t="str">
        <f aca="false">$DC382</f>
        <v/>
      </c>
      <c r="DR382" s="82" t="str">
        <f aca="false">IF(ISBLANK($C382),"",$DF382)</f>
        <v/>
      </c>
      <c r="DS382" s="85" t="str">
        <f aca="false">IF($DJ382&gt;$DI$8,"",VLOOKUP($DJ382,$DL$9:$DR$508,7,FALSE()))</f>
        <v/>
      </c>
      <c r="DT382" s="86" t="str">
        <f aca="false">IF($DJ382&gt;$DI$8,"",VLOOKUP($DJ382,$DL$9:$DR$508,2,FALSE()))</f>
        <v/>
      </c>
      <c r="DU382" s="86" t="str">
        <f aca="false">IF($DJ382&gt;$DI$8,"",VLOOKUP($DJ382,$DL$9:$DR$508,3,FALSE()))</f>
        <v/>
      </c>
      <c r="DV382" s="86" t="str">
        <f aca="false">IF($DJ382&gt;$DI$8,"",VLOOKUP($DJ382,$DL$9:$DR$508,4,FALSE()))</f>
        <v/>
      </c>
      <c r="DW382" s="86" t="str">
        <f aca="false">IF($DJ382&gt;$DI$8,"",VLOOKUP($DJ382,$DL$9:$DR$508,5,FALSE()))</f>
        <v/>
      </c>
      <c r="DX382" s="87" t="str">
        <f aca="false">IF($DJ382&gt;$DI$8,"",VLOOKUP($DJ382,$DL$9:$DR$508,6,FALSE()))</f>
        <v/>
      </c>
      <c r="DY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88"/>
      <c r="N383" s="88"/>
      <c r="O383" s="134"/>
      <c r="P383" s="134"/>
      <c r="Q383" s="88"/>
      <c r="R383" s="88"/>
      <c r="S383" s="88"/>
      <c r="T383" s="88"/>
      <c r="U383" s="134"/>
      <c r="V383" s="88"/>
      <c r="W383" s="70"/>
      <c r="X383" s="88"/>
      <c r="Y383" s="88"/>
      <c r="Z383" s="70"/>
      <c r="AA383" s="70"/>
      <c r="AB383" s="88"/>
      <c r="AC383" s="88"/>
      <c r="AD383" s="88"/>
      <c r="AE383" s="71"/>
      <c r="AF383" s="88"/>
      <c r="AG383" s="73"/>
      <c r="AH383" s="74"/>
      <c r="AI383" s="74"/>
      <c r="AJ383" s="74" t="str">
        <f aca="false">IF(ISBLANK($C383),"",IF($E383=Constants!$B$2,TRUE(),IF($E383=Constants!$B$3,FALSE(),TRUE())))</f>
        <v/>
      </c>
      <c r="AK383" s="74" t="str">
        <f aca="false">IF(ISBLANK($C383),"",IF($F383=Constants!$B$2,TRUE(),IF($F383=Constants!$B$3,FALSE(),FALSE())))</f>
        <v/>
      </c>
      <c r="AL383" s="74" t="str">
        <f aca="false">IF(ISBLANK($C383),"",IF($G383=Constants!$B$2,TRUE(),IF($G383=Constants!$B$3,FALSE(),TRUE())))</f>
        <v/>
      </c>
      <c r="AM383" s="74" t="str">
        <f aca="false">IF(ISBLANK($C383),"",IF($H383=Constants!$B$2,TRUE(),IF($H383=Constants!$B$3,FALSE(),TRUE())))</f>
        <v/>
      </c>
      <c r="AN383" s="74" t="str">
        <f aca="false">IF(ISBLANK($C383),"",IF(ISNUMBER($I383),IF($I383&gt;=0,$I383,""),""))</f>
        <v/>
      </c>
      <c r="AO383" s="74" t="str">
        <f aca="false">IF(ISBLANK($C383),"",IF(ISNUMBER($J383),IF($J383&gt;=0,$J383,""),""))</f>
        <v/>
      </c>
      <c r="AP383" s="74" t="str">
        <f aca="false">IF(ISBLANK($C383),"",IF(ISNUMBER($K383),IF($K383&gt;=0,$K383,""),""))</f>
        <v/>
      </c>
      <c r="AQ383" s="74" t="str">
        <f aca="false">IF(ISBLANK($C383),"",IF($L383=Constants!$B$2,TRUE(),IF($L383=Constants!$B$3,FALSE(),TRUE())))</f>
        <v/>
      </c>
      <c r="AR383" s="74" t="str">
        <f aca="false">IF(ISBLANK($C383),"",IF($M383=Constants!$B$2,TRUE(),IF($M383=Constants!$B$3,FALSE(),TRUE())))</f>
        <v/>
      </c>
      <c r="AS383" s="74" t="str">
        <f aca="false">IF(ISBLANK($C383),"",IF($N383=Constants!$B$2,TRUE(),IF($N383=Constants!$B$3,FALSE(),FALSE())))</f>
        <v/>
      </c>
      <c r="AT383" s="74" t="str">
        <f aca="false">IF(ISBLANK($C383),"",IF($O383=Constants!$B$2,TRUE(),IF($O383=Constants!$B$3,FALSE(),TRUE())))</f>
        <v/>
      </c>
      <c r="AU383" s="74" t="str">
        <f aca="false">IF(ISBLANK($C383),"",IF($P383=Constants!$B$2,TRUE(),IF($P383=Constants!$B$3,FALSE(),TRUE())))</f>
        <v/>
      </c>
      <c r="AV383" s="74" t="str">
        <f aca="false">IF(ISBLANK($C383),"",IF($Q383=Constants!$B$2,TRUE(),IF($Q383=Constants!$B$3,FALSE(),FALSE())))</f>
        <v/>
      </c>
      <c r="AW383" s="74" t="str">
        <f aca="false">IF(ISBLANK($C383),"",IF($R383=Constants!$B$2,TRUE(),IF($R383=Constants!$B$3,FALSE(),FALSE())))</f>
        <v/>
      </c>
      <c r="AX383" s="74" t="str">
        <f aca="false">IF(ISBLANK($C383),"",IF($S383=Constants!$B$2,TRUE(),IF($S383=Constants!$B$3,FALSE(),FALSE())))</f>
        <v/>
      </c>
      <c r="AY383" s="74" t="str">
        <f aca="false">IF(ISBLANK($C383),"",IF($T383=Constants!$B$2,TRUE(),IF($T383=Constants!$B$3,FALSE(),FALSE())))</f>
        <v/>
      </c>
      <c r="AZ383" s="74" t="str">
        <f aca="false">IF(ISBLANK($C383),"",IF($U383=Constants!$B$2,TRUE(),IF($U383=Constants!$B$3,FALSE(),FALSE())))</f>
        <v/>
      </c>
      <c r="BA383" s="74" t="str">
        <f aca="false">IF(ISBLANK($C383),"",IF(OR($V383&amp;""="1",$V383&amp;""="2",$V383&amp;""="3",$V383&amp;""="4"),VALUE($V383&amp;""),IF($V383=Constants!$B$12,Constants!$B$12,"")))</f>
        <v/>
      </c>
      <c r="BB383" s="74" t="str">
        <f aca="false">IF(ISBLANK($C383),"",IF(ISBLANK($W383),0,IF(ISNUMBER($W383),IF(AND($W383&gt;=0,$W383&lt;=Constants!$B$21,$W383=INT($W383)),$W383,""),"")))</f>
        <v/>
      </c>
      <c r="BC383" s="74" t="str">
        <f aca="false">IF(ISBLANK($C383),"",IF(ISBLANK($X383),0,IF(ISNUMBER($X383),IF($X383&gt;=0,$X383,""),"")))</f>
        <v/>
      </c>
      <c r="BD383" s="74" t="str">
        <f aca="false">IF(ISBLANK($C383),"",IF($Y383=Constants!$B$2,TRUE(),IF($Y383=Constants!$B$3,FALSE(),TRUE())))</f>
        <v/>
      </c>
      <c r="BE383" s="74" t="str">
        <f aca="false">IF(ISBLANK($C383),"",IF($Z383=Constants!$B$2,TRUE(),IF($Z383=Constants!$B$3,FALSE(),FALSE())))</f>
        <v/>
      </c>
      <c r="BF383" s="74" t="str">
        <f aca="false">IF(ISBLANK($C383),"",IF(ISBLANK($AA383),0,IF(ISNUMBER($AA383),IF(AND($AA383&gt;=0,$AA383&lt;=Constants!$B$35,$AA383=INT($AA383)),$AA383,""),"")))</f>
        <v/>
      </c>
      <c r="BG383" s="74" t="str">
        <f aca="false">IF(ISBLANK($C383),"",IF($AB383=Constants!$B$2,TRUE(),IF($AB383=Constants!$B$3,FALSE(),TRUE())))</f>
        <v/>
      </c>
      <c r="BH383" s="74" t="str">
        <f aca="false">IF(ISBLANK($C383),"",IF($AC383=Constants!$B$2,TRUE(),IF($AC383=Constants!$B$3,FALSE(),TRUE())))</f>
        <v/>
      </c>
      <c r="BI383" s="74" t="str">
        <f aca="false">IF(ISBLANK($C383),"",IF($AD383=Constants!$B$2,TRUE(),IF($AD383=Constants!$B$3,FALSE(),TRUE())))</f>
        <v/>
      </c>
      <c r="BJ383" s="74" t="str">
        <f aca="false">IF(ISBLANK($C383),"",IF(ISNUMBER($AE383),IF($AE383&gt;=0,$AE383,""),""))</f>
        <v/>
      </c>
      <c r="BK383" s="74" t="str">
        <f aca="false">IF(ISBLANK($C383),"",IF($AF383=Constants!$B$2,TRUE(),IF($AF383=Constants!$B$3,FALSE(),FALSE())))</f>
        <v/>
      </c>
      <c r="BL383" s="73" t="str">
        <f aca="false">IF(ISBLANK($C383),"",IF($BK383,Constants!$B$7,IF(COUNTA($E383:$AE383)=0,Constants!$B$6,IF(OR(COUNTA($G383:$AE383)=0,NOT($AM383),$AS383),Constants!$B$5,IF(OR($CM383&lt;&gt;"",$CN383,$CO383,$CP383,$CQ383,$CR383,$CS383),Constants!$B$8,Constants!$B$4)))))</f>
        <v/>
      </c>
      <c r="BM383" s="74" t="str">
        <f aca="false">IF(ISBLANK($C383),"",IF($BL383&lt;&gt;Constants!$B$4,$BL383,IF(OR(NOT($AJ383),NOT($AL383),NOT($AT383)),Constants!$B$11,IF(OR(NOT($AR383),NOT($AU383),NOT($BI383),MAX($AN383,$AO383,$AP383)&gt;Constants!$B$30),Constants!$B$10,Constants!$B$9))))</f>
        <v/>
      </c>
      <c r="BN383" s="74" t="str">
        <f aca="false">IF($BL383&lt;&gt;Constants!$B$4,"",IF(NOT($AL383),0,MIN(Constants!$B$35,$BF383)))</f>
        <v/>
      </c>
      <c r="BO383" s="74" t="str">
        <f aca="false">IF($BL383&lt;&gt;Constants!$B$4,"",IF(NOT($AL383),0,IF($AW383,Constants!$B$18,IF($AV383,Constants!$B$17,0))))</f>
        <v/>
      </c>
      <c r="BP383" s="74" t="str">
        <f aca="false">IF($BL383&lt;&gt;Constants!$B$4,"",IF(NOT($AL383),0,Constants!$B$19*($AK383+$AX383+$AY383+$AZ383)))</f>
        <v/>
      </c>
      <c r="BQ383" s="74" t="str">
        <f aca="false">IF($BL383&lt;&gt;Constants!$B$4,"",IF(OR(NOT($AL383),NOT(ISNUMBER($BA383))),0,CHOOSE($BA383,Constants!$B$13,Constants!$B$14,Constants!$B$15,Constants!$B$16)))</f>
        <v/>
      </c>
      <c r="BR383" s="74" t="str">
        <f aca="false">IF($BL383&lt;&gt;Constants!$B$4,"",IF(NOT($AL383),0,Constants!$B$20*$BB383))</f>
        <v/>
      </c>
      <c r="BS383" s="74" t="str">
        <f aca="false">IF($BL383&lt;&gt;Constants!$B$4,"",IF(AND($AL383,$BD383,$BE383),Constants!$B$22,0))</f>
        <v/>
      </c>
      <c r="BT383" s="74" t="str">
        <f aca="false">IF($BL383&lt;&gt;Constants!$B$4,"",IF(OR(NOT($AL383),NOT($BD383)),0,IF($BJ383&gt;=2*$AH$9,0,Constants!$B$23*INT(ROUND(MIN($BJ383,$AH$9),6)))))</f>
        <v/>
      </c>
      <c r="BU383" s="74" t="str">
        <f aca="false">IF($BL383&lt;&gt;Constants!$B$4,"",IF(NOT($AL383),0,Constants!$B$24*INT(ROUND(MIN($BC383,$AH$9),6))))</f>
        <v/>
      </c>
      <c r="BV383" s="74" t="str">
        <f aca="false">IF($BL383&lt;&gt;Constants!$B$4,"",IF(AND($AL383,$BN383=0),Constants!$B$25,0))</f>
        <v/>
      </c>
      <c r="BW383" s="74" t="str">
        <f aca="false">IF($BL383&lt;&gt;Constants!$B$4,"",MIN(Constants!$B$29,MAX(0,Constants!$B$27*Constants!$B$28*INT(ROUND((Constants!$B$26-$AN383)/Constants!$B$28,6))))+MIN(Constants!$B$29,MAX(0,Constants!$B$27*Constants!$B$28*INT(ROUND((Constants!$B$26-$AO383)/Constants!$B$28,6))))+MIN(Constants!$B$29,MAX(0,Constants!$B$27*Constants!$B$28*INT(ROUND((Constants!$B$26-$AP383)/Constants!$B$28,6)))))</f>
        <v/>
      </c>
      <c r="BX383" s="74" t="str">
        <f aca="false">IF($BL383&lt;&gt;Constants!$B$4,"",IF(NOT($AL383),0,Constants!$B$31*INT(ROUND(MAX(0,MIN($BJ383,2*$AH$9)-$AH$9),6))))</f>
        <v/>
      </c>
      <c r="BY383" s="74" t="str">
        <f aca="false">IF($BL383&lt;&gt;Constants!$B$4,"",Constants!$B$32*(($AN383&gt;Constants!$B$26)+($AO383&gt;Constants!$B$26)+($AP383&gt;Constants!$B$26)))</f>
        <v/>
      </c>
      <c r="BZ383" s="74" t="str">
        <f aca="false">IF($BL383&lt;&gt;Constants!$B$4,"",IF(OR(NOT($AL383),$AQ383),0,Constants!$B$33))</f>
        <v/>
      </c>
      <c r="CA383" s="74" t="str">
        <f aca="false">IF($BL383&lt;&gt;Constants!$B$4,"",Constants!$B$34*$BN383)</f>
        <v/>
      </c>
      <c r="CB383" s="74" t="str">
        <f aca="false">IF($BL383&lt;&gt;Constants!$B$4,"",IF(OR(NOT($AL383),$BH383),0,Constants!$B$36))</f>
        <v/>
      </c>
      <c r="CC383" s="74" t="str">
        <f aca="false">IF($BL383&lt;&gt;Constants!$B$4,"",IF(OR(NOT($AL383),$BG383),0,Constants!$B$37))</f>
        <v/>
      </c>
      <c r="CD383" s="74" t="str">
        <f aca="false">IF($BL383&lt;&gt;Constants!$B$4,"",SUM($BX383:$CC383))</f>
        <v/>
      </c>
      <c r="CE383" s="74" t="str">
        <f aca="false">IF(ISBLANK($C383),"",IF($BL383&lt;&gt;Constants!$B$4,$BL383,SUM($BO383:$BW383)-$CD383))</f>
        <v/>
      </c>
      <c r="CF383" s="74" t="str">
        <f aca="false">IF(ISBLANK($C383),"",IF($BL383&lt;&gt;Constants!$B$4,$BL383,RANK($CE383,$CE$9:$CE$508)))</f>
        <v/>
      </c>
      <c r="CG383" s="74" t="str">
        <f aca="false">IF(ISBLANK($C383),"",IF($BL383&lt;&gt;Constants!$B$4,$BL383,COUNTIFS($BM$9:$BM$508,"&lt;"&amp;$BM383)+COUNTIFS($BM$9:$BM$508,$BM383,$CF$9:$CF$508,"&lt;"&amp;$CF383)+1))</f>
        <v/>
      </c>
      <c r="CH383" s="74" t="str">
        <f aca="false">IF(ISBLANK($C383),"",IF($BL383&lt;&gt;Constants!$B$4,$BL383,RANK($CD383,$CD$9:$CD$508,1)))</f>
        <v/>
      </c>
      <c r="CI383" s="74" t="str">
        <f aca="false">IF($BL383&lt;&gt;Constants!$B$4,"",$AN383+$AO383+$AP383)</f>
        <v/>
      </c>
      <c r="CJ383" s="74" t="str">
        <f aca="false">IF(ISBLANK($C383),"",IF($BL383&lt;&gt;Constants!$B$4,$BL383,RANK($CI383,$CI$9:$CI$508,1)))</f>
        <v/>
      </c>
      <c r="CK383" s="74" t="str">
        <f aca="false">IF(ISBLANK($C383),"",IF($BL383&lt;&gt;Constants!$B$4,$BL383,COUNTIFS($BM$9:$BM$508,"&lt;"&amp;$BM383)+COUNTIFS($BM$9:$BM$508,$BM383,$CF$9:$CF$508,"&lt;"&amp;$CF383)+COUNTIFS($BM$9:$BM$508,$BM383,$CF$9:$CF$508,$CF383,$CH$9:$CH$508,"&lt;"&amp;$CH383)+COUNTIFS($BM$9:$BM$508,$BM383,$CF$9:$CF$508,$CF383,$CH$9:$CH$508,$CH383,$CJ$9:$CJ$508,"&lt;"&amp;$CJ383)+1))</f>
        <v/>
      </c>
      <c r="CL383" s="74" t="str">
        <f aca="false">IF(ISBLANK($C383),"",IF($BL383&lt;&gt;Constants!$B$4,$BL383,$CG383-$CK383))</f>
        <v/>
      </c>
      <c r="CM383" s="74" t="str">
        <f aca="false">IF(ISBLANK($C383),"",IF(NOT($AL383),"",IF(ISBLANK($D$7),$CM$5,IF(NOT(ISNUMBER($D$7)),$CM$6,""))))</f>
        <v/>
      </c>
      <c r="CN383" s="74" t="str">
        <f aca="false">IF(ISBLANK($C383),"",OR($AN383="",$AO383="",$AP383=""))</f>
        <v/>
      </c>
      <c r="CO383" s="74" t="str">
        <f aca="false">IF(ISBLANK($C383),"",AND($AL383,$BA383=""))</f>
        <v/>
      </c>
      <c r="CP383" s="74" t="str">
        <f aca="false">IF(ISBLANK($C383),"",AND($AL383,$BB383=""))</f>
        <v/>
      </c>
      <c r="CQ383" s="74" t="str">
        <f aca="false">IF(ISBLANK($C383),"",AND($AL383,$BC383=""))</f>
        <v/>
      </c>
      <c r="CR383" s="74" t="str">
        <f aca="false">IF(ISBLANK($C383),"",AND($AL383,$BF383=""))</f>
        <v/>
      </c>
      <c r="CS383" s="74" t="str">
        <f aca="false">IF(ISBLANK($C383),"",AND($AL383,$BJ383=""))</f>
        <v/>
      </c>
      <c r="CT383" s="75"/>
      <c r="CU383" s="76"/>
      <c r="CV383" s="79" t="str">
        <f aca="false">IF(ISBLANK($C383),"",IF($BL383=Constants!$B$8,$CM383,""))</f>
        <v/>
      </c>
      <c r="CW383" s="76" t="str">
        <f aca="false">IF(ISBLANK($C383),"",IF($BL383&lt;&gt;Constants!$B$4,"",$BO383+$BP383))</f>
        <v/>
      </c>
      <c r="CX383" s="78" t="str">
        <f aca="false">IF(ISBLANK($C383),"",IF($BL383&lt;&gt;Constants!$B$4,"",$BQ383+$BR383+$BS383))</f>
        <v/>
      </c>
      <c r="CY383" s="78" t="str">
        <f aca="false">IF(ISBLANK($C383),"",IF($BL383&lt;&gt;Constants!$B$4,"",$BT383))</f>
        <v/>
      </c>
      <c r="CZ383" s="78" t="str">
        <f aca="false">IF(ISBLANK($C383),"",IF($BL383&lt;&gt;Constants!$B$4,"",$BU383+$BV383))</f>
        <v/>
      </c>
      <c r="DA383" s="78" t="str">
        <f aca="false">IF(ISBLANK($C383),"",IF($BL383&lt;&gt;Constants!$B$4,"",$BW383))</f>
        <v/>
      </c>
      <c r="DB383" s="78" t="str">
        <f aca="false">IF(ISBLANK($C383),"",IF($BL383&lt;&gt;Constants!$B$4,"",-$CD383))</f>
        <v/>
      </c>
      <c r="DC383" s="79" t="str">
        <f aca="false">IF(ISBLANK($C383),"",$CE383)</f>
        <v/>
      </c>
      <c r="DD383" s="80" t="str">
        <f aca="false">IF(ISBLANK($C383),"",$BM383)</f>
        <v/>
      </c>
      <c r="DE383" s="78" t="str">
        <f aca="false">IF(ISBLANK($C383),"",$CL383)</f>
        <v/>
      </c>
      <c r="DF383" s="78" t="str">
        <f aca="false">IF(ISBLANK($C383),"",$CK383)</f>
        <v/>
      </c>
      <c r="DG383" s="81" t="str">
        <f aca="false">IF(ISBLANK($C383),"",IF($DF383=Constants!$B$7,COUNTA($C$9:$C$508)+2,IF($DF383=Constants!$B$6,COUNTA($C$9:$C$508)+1,IF($DF383=Constants!$B$5,COUNTA($C$9:$C$508),$DF383))))</f>
        <v/>
      </c>
      <c r="DH383" s="7"/>
      <c r="DI383" s="82" t="n">
        <f aca="false">IF(OR(ISNUMBER($DF383),$DF383=Constants!$B$7,$DF383=Constants!$B$5,$DF383=Constants!$B$6),1,0)</f>
        <v>0</v>
      </c>
      <c r="DJ383" s="82" t="n">
        <v>375</v>
      </c>
      <c r="DK383" s="82" t="str">
        <f aca="false">IF(ISBLANK($C383),"",IF(ISNUMBER($DG383),$DG383+ROW($B383)/1000,""))</f>
        <v/>
      </c>
      <c r="DL383" s="82" t="str">
        <f aca="false">IF(ISNUMBER($DK383),RANK($DK383,$DK$9:$DK$508,1),"")</f>
        <v/>
      </c>
      <c r="DM383" s="82" t="str">
        <f aca="false">IF(ISBLANK($C383),"",$B383)</f>
        <v/>
      </c>
      <c r="DN383" s="82" t="str">
        <f aca="false">IF(ISBLANK($C383),"",$C383)</f>
        <v/>
      </c>
      <c r="DO383" s="82" t="str">
        <f aca="false">IF(ISBLANK($C383),"",$D383)</f>
        <v/>
      </c>
      <c r="DP383" s="83" t="str">
        <f aca="false">$DD383</f>
        <v/>
      </c>
      <c r="DQ383" s="84" t="str">
        <f aca="false">$DC383</f>
        <v/>
      </c>
      <c r="DR383" s="82" t="str">
        <f aca="false">IF(ISBLANK($C383),"",$DF383)</f>
        <v/>
      </c>
      <c r="DS383" s="85" t="str">
        <f aca="false">IF($DJ383&gt;$DI$8,"",VLOOKUP($DJ383,$DL$9:$DR$508,7,FALSE()))</f>
        <v/>
      </c>
      <c r="DT383" s="86" t="str">
        <f aca="false">IF($DJ383&gt;$DI$8,"",VLOOKUP($DJ383,$DL$9:$DR$508,2,FALSE()))</f>
        <v/>
      </c>
      <c r="DU383" s="86" t="str">
        <f aca="false">IF($DJ383&gt;$DI$8,"",VLOOKUP($DJ383,$DL$9:$DR$508,3,FALSE()))</f>
        <v/>
      </c>
      <c r="DV383" s="86" t="str">
        <f aca="false">IF($DJ383&gt;$DI$8,"",VLOOKUP($DJ383,$DL$9:$DR$508,4,FALSE()))</f>
        <v/>
      </c>
      <c r="DW383" s="86" t="str">
        <f aca="false">IF($DJ383&gt;$DI$8,"",VLOOKUP($DJ383,$DL$9:$DR$508,5,FALSE()))</f>
        <v/>
      </c>
      <c r="DX383" s="87" t="str">
        <f aca="false">IF($DJ383&gt;$DI$8,"",VLOOKUP($DJ383,$DL$9:$DR$508,6,FALSE()))</f>
        <v/>
      </c>
      <c r="DY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130"/>
      <c r="N384" s="130"/>
      <c r="O384" s="135"/>
      <c r="P384" s="135"/>
      <c r="Q384" s="130"/>
      <c r="R384" s="130"/>
      <c r="S384" s="130"/>
      <c r="T384" s="130"/>
      <c r="U384" s="135"/>
      <c r="V384" s="130"/>
      <c r="W384" s="96"/>
      <c r="X384" s="130"/>
      <c r="Y384" s="130"/>
      <c r="Z384" s="96"/>
      <c r="AA384" s="96"/>
      <c r="AB384" s="130"/>
      <c r="AC384" s="130"/>
      <c r="AD384" s="130"/>
      <c r="AE384" s="97"/>
      <c r="AF384" s="130"/>
      <c r="AG384" s="99"/>
      <c r="AH384" s="100"/>
      <c r="AI384" s="100"/>
      <c r="AJ384" s="100" t="str">
        <f aca="false">IF(ISBLANK($C384),"",IF($E384=Constants!$B$2,TRUE(),IF($E384=Constants!$B$3,FALSE(),TRUE())))</f>
        <v/>
      </c>
      <c r="AK384" s="100" t="str">
        <f aca="false">IF(ISBLANK($C384),"",IF($F384=Constants!$B$2,TRUE(),IF($F384=Constants!$B$3,FALSE(),FALSE())))</f>
        <v/>
      </c>
      <c r="AL384" s="100" t="str">
        <f aca="false">IF(ISBLANK($C384),"",IF($G384=Constants!$B$2,TRUE(),IF($G384=Constants!$B$3,FALSE(),TRUE())))</f>
        <v/>
      </c>
      <c r="AM384" s="100" t="str">
        <f aca="false">IF(ISBLANK($C384),"",IF($H384=Constants!$B$2,TRUE(),IF($H384=Constants!$B$3,FALSE(),TRUE())))</f>
        <v/>
      </c>
      <c r="AN384" s="100" t="str">
        <f aca="false">IF(ISBLANK($C384),"",IF(ISNUMBER($I384),IF($I384&gt;=0,$I384,""),""))</f>
        <v/>
      </c>
      <c r="AO384" s="100" t="str">
        <f aca="false">IF(ISBLANK($C384),"",IF(ISNUMBER($J384),IF($J384&gt;=0,$J384,""),""))</f>
        <v/>
      </c>
      <c r="AP384" s="100" t="str">
        <f aca="false">IF(ISBLANK($C384),"",IF(ISNUMBER($K384),IF($K384&gt;=0,$K384,""),""))</f>
        <v/>
      </c>
      <c r="AQ384" s="100" t="str">
        <f aca="false">IF(ISBLANK($C384),"",IF($L384=Constants!$B$2,TRUE(),IF($L384=Constants!$B$3,FALSE(),TRUE())))</f>
        <v/>
      </c>
      <c r="AR384" s="100" t="str">
        <f aca="false">IF(ISBLANK($C384),"",IF($M384=Constants!$B$2,TRUE(),IF($M384=Constants!$B$3,FALSE(),TRUE())))</f>
        <v/>
      </c>
      <c r="AS384" s="100" t="str">
        <f aca="false">IF(ISBLANK($C384),"",IF($N384=Constants!$B$2,TRUE(),IF($N384=Constants!$B$3,FALSE(),FALSE())))</f>
        <v/>
      </c>
      <c r="AT384" s="100" t="str">
        <f aca="false">IF(ISBLANK($C384),"",IF($O384=Constants!$B$2,TRUE(),IF($O384=Constants!$B$3,FALSE(),TRUE())))</f>
        <v/>
      </c>
      <c r="AU384" s="100" t="str">
        <f aca="false">IF(ISBLANK($C384),"",IF($P384=Constants!$B$2,TRUE(),IF($P384=Constants!$B$3,FALSE(),TRUE())))</f>
        <v/>
      </c>
      <c r="AV384" s="100" t="str">
        <f aca="false">IF(ISBLANK($C384),"",IF($Q384=Constants!$B$2,TRUE(),IF($Q384=Constants!$B$3,FALSE(),FALSE())))</f>
        <v/>
      </c>
      <c r="AW384" s="100" t="str">
        <f aca="false">IF(ISBLANK($C384),"",IF($R384=Constants!$B$2,TRUE(),IF($R384=Constants!$B$3,FALSE(),FALSE())))</f>
        <v/>
      </c>
      <c r="AX384" s="100" t="str">
        <f aca="false">IF(ISBLANK($C384),"",IF($S384=Constants!$B$2,TRUE(),IF($S384=Constants!$B$3,FALSE(),FALSE())))</f>
        <v/>
      </c>
      <c r="AY384" s="100" t="str">
        <f aca="false">IF(ISBLANK($C384),"",IF($T384=Constants!$B$2,TRUE(),IF($T384=Constants!$B$3,FALSE(),FALSE())))</f>
        <v/>
      </c>
      <c r="AZ384" s="100" t="str">
        <f aca="false">IF(ISBLANK($C384),"",IF($U384=Constants!$B$2,TRUE(),IF($U384=Constants!$B$3,FALSE(),FALSE())))</f>
        <v/>
      </c>
      <c r="BA384" s="100" t="str">
        <f aca="false">IF(ISBLANK($C384),"",IF(OR($V384&amp;""="1",$V384&amp;""="2",$V384&amp;""="3",$V384&amp;""="4"),VALUE($V384&amp;""),IF($V384=Constants!$B$12,Constants!$B$12,"")))</f>
        <v/>
      </c>
      <c r="BB384" s="100" t="str">
        <f aca="false">IF(ISBLANK($C384),"",IF(ISBLANK($W384),0,IF(ISNUMBER($W384),IF(AND($W384&gt;=0,$W384&lt;=Constants!$B$21,$W384=INT($W384)),$W384,""),"")))</f>
        <v/>
      </c>
      <c r="BC384" s="100" t="str">
        <f aca="false">IF(ISBLANK($C384),"",IF(ISBLANK($X384),0,IF(ISNUMBER($X384),IF($X384&gt;=0,$X384,""),"")))</f>
        <v/>
      </c>
      <c r="BD384" s="100" t="str">
        <f aca="false">IF(ISBLANK($C384),"",IF($Y384=Constants!$B$2,TRUE(),IF($Y384=Constants!$B$3,FALSE(),TRUE())))</f>
        <v/>
      </c>
      <c r="BE384" s="100" t="str">
        <f aca="false">IF(ISBLANK($C384),"",IF($Z384=Constants!$B$2,TRUE(),IF($Z384=Constants!$B$3,FALSE(),FALSE())))</f>
        <v/>
      </c>
      <c r="BF384" s="100" t="str">
        <f aca="false">IF(ISBLANK($C384),"",IF(ISBLANK($AA384),0,IF(ISNUMBER($AA384),IF(AND($AA384&gt;=0,$AA384&lt;=Constants!$B$35,$AA384=INT($AA384)),$AA384,""),"")))</f>
        <v/>
      </c>
      <c r="BG384" s="100" t="str">
        <f aca="false">IF(ISBLANK($C384),"",IF($AB384=Constants!$B$2,TRUE(),IF($AB384=Constants!$B$3,FALSE(),TRUE())))</f>
        <v/>
      </c>
      <c r="BH384" s="100" t="str">
        <f aca="false">IF(ISBLANK($C384),"",IF($AC384=Constants!$B$2,TRUE(),IF($AC384=Constants!$B$3,FALSE(),TRUE())))</f>
        <v/>
      </c>
      <c r="BI384" s="100" t="str">
        <f aca="false">IF(ISBLANK($C384),"",IF($AD384=Constants!$B$2,TRUE(),IF($AD384=Constants!$B$3,FALSE(),TRUE())))</f>
        <v/>
      </c>
      <c r="BJ384" s="100" t="str">
        <f aca="false">IF(ISBLANK($C384),"",IF(ISNUMBER($AE384),IF($AE384&gt;=0,$AE384,""),""))</f>
        <v/>
      </c>
      <c r="BK384" s="100" t="str">
        <f aca="false">IF(ISBLANK($C384),"",IF($AF384=Constants!$B$2,TRUE(),IF($AF384=Constants!$B$3,FALSE(),FALSE())))</f>
        <v/>
      </c>
      <c r="BL384" s="99" t="str">
        <f aca="false">IF(ISBLANK($C384),"",IF($BK384,Constants!$B$7,IF(COUNTA($E384:$AE384)=0,Constants!$B$6,IF(OR(COUNTA($G384:$AE384)=0,NOT($AM384),$AS384),Constants!$B$5,IF(OR($CM384&lt;&gt;"",$CN384,$CO384,$CP384,$CQ384,$CR384,$CS384),Constants!$B$8,Constants!$B$4)))))</f>
        <v/>
      </c>
      <c r="BM384" s="100" t="str">
        <f aca="false">IF(ISBLANK($C384),"",IF($BL384&lt;&gt;Constants!$B$4,$BL384,IF(OR(NOT($AJ384),NOT($AL384),NOT($AT384)),Constants!$B$11,IF(OR(NOT($AR384),NOT($AU384),NOT($BI384),MAX($AN384,$AO384,$AP384)&gt;Constants!$B$30),Constants!$B$10,Constants!$B$9))))</f>
        <v/>
      </c>
      <c r="BN384" s="100" t="str">
        <f aca="false">IF($BL384&lt;&gt;Constants!$B$4,"",IF(NOT($AL384),0,MIN(Constants!$B$35,$BF384)))</f>
        <v/>
      </c>
      <c r="BO384" s="100" t="str">
        <f aca="false">IF($BL384&lt;&gt;Constants!$B$4,"",IF(NOT($AL384),0,IF($AW384,Constants!$B$18,IF($AV384,Constants!$B$17,0))))</f>
        <v/>
      </c>
      <c r="BP384" s="100" t="str">
        <f aca="false">IF($BL384&lt;&gt;Constants!$B$4,"",IF(NOT($AL384),0,Constants!$B$19*($AK384+$AX384+$AY384+$AZ384)))</f>
        <v/>
      </c>
      <c r="BQ384" s="100" t="str">
        <f aca="false">IF($BL384&lt;&gt;Constants!$B$4,"",IF(OR(NOT($AL384),NOT(ISNUMBER($BA384))),0,CHOOSE($BA384,Constants!$B$13,Constants!$B$14,Constants!$B$15,Constants!$B$16)))</f>
        <v/>
      </c>
      <c r="BR384" s="100" t="str">
        <f aca="false">IF($BL384&lt;&gt;Constants!$B$4,"",IF(NOT($AL384),0,Constants!$B$20*$BB384))</f>
        <v/>
      </c>
      <c r="BS384" s="100" t="str">
        <f aca="false">IF($BL384&lt;&gt;Constants!$B$4,"",IF(AND($AL384,$BD384,$BE384),Constants!$B$22,0))</f>
        <v/>
      </c>
      <c r="BT384" s="100" t="str">
        <f aca="false">IF($BL384&lt;&gt;Constants!$B$4,"",IF(OR(NOT($AL384),NOT($BD384)),0,IF($BJ384&gt;=2*$AH$9,0,Constants!$B$23*INT(ROUND(MIN($BJ384,$AH$9),6)))))</f>
        <v/>
      </c>
      <c r="BU384" s="100" t="str">
        <f aca="false">IF($BL384&lt;&gt;Constants!$B$4,"",IF(NOT($AL384),0,Constants!$B$24*INT(ROUND(MIN($BC384,$AH$9),6))))</f>
        <v/>
      </c>
      <c r="BV384" s="100" t="str">
        <f aca="false">IF($BL384&lt;&gt;Constants!$B$4,"",IF(AND($AL384,$BN384=0),Constants!$B$25,0))</f>
        <v/>
      </c>
      <c r="BW384" s="100" t="str">
        <f aca="false">IF($BL384&lt;&gt;Constants!$B$4,"",MIN(Constants!$B$29,MAX(0,Constants!$B$27*Constants!$B$28*INT(ROUND((Constants!$B$26-$AN384)/Constants!$B$28,6))))+MIN(Constants!$B$29,MAX(0,Constants!$B$27*Constants!$B$28*INT(ROUND((Constants!$B$26-$AO384)/Constants!$B$28,6))))+MIN(Constants!$B$29,MAX(0,Constants!$B$27*Constants!$B$28*INT(ROUND((Constants!$B$26-$AP384)/Constants!$B$28,6)))))</f>
        <v/>
      </c>
      <c r="BX384" s="100" t="str">
        <f aca="false">IF($BL384&lt;&gt;Constants!$B$4,"",IF(NOT($AL384),0,Constants!$B$31*INT(ROUND(MAX(0,MIN($BJ384,2*$AH$9)-$AH$9),6))))</f>
        <v/>
      </c>
      <c r="BY384" s="100" t="str">
        <f aca="false">IF($BL384&lt;&gt;Constants!$B$4,"",Constants!$B$32*(($AN384&gt;Constants!$B$26)+($AO384&gt;Constants!$B$26)+($AP384&gt;Constants!$B$26)))</f>
        <v/>
      </c>
      <c r="BZ384" s="100" t="str">
        <f aca="false">IF($BL384&lt;&gt;Constants!$B$4,"",IF(OR(NOT($AL384),$AQ384),0,Constants!$B$33))</f>
        <v/>
      </c>
      <c r="CA384" s="100" t="str">
        <f aca="false">IF($BL384&lt;&gt;Constants!$B$4,"",Constants!$B$34*$BN384)</f>
        <v/>
      </c>
      <c r="CB384" s="100" t="str">
        <f aca="false">IF($BL384&lt;&gt;Constants!$B$4,"",IF(OR(NOT($AL384),$BH384),0,Constants!$B$36))</f>
        <v/>
      </c>
      <c r="CC384" s="100" t="str">
        <f aca="false">IF($BL384&lt;&gt;Constants!$B$4,"",IF(OR(NOT($AL384),$BG384),0,Constants!$B$37))</f>
        <v/>
      </c>
      <c r="CD384" s="100" t="str">
        <f aca="false">IF($BL384&lt;&gt;Constants!$B$4,"",SUM($BX384:$CC384))</f>
        <v/>
      </c>
      <c r="CE384" s="100" t="str">
        <f aca="false">IF(ISBLANK($C384),"",IF($BL384&lt;&gt;Constants!$B$4,$BL384,SUM($BO384:$BW384)-$CD384))</f>
        <v/>
      </c>
      <c r="CF384" s="100" t="str">
        <f aca="false">IF(ISBLANK($C384),"",IF($BL384&lt;&gt;Constants!$B$4,$BL384,RANK($CE384,$CE$9:$CE$508)))</f>
        <v/>
      </c>
      <c r="CG384" s="100" t="str">
        <f aca="false">IF(ISBLANK($C384),"",IF($BL384&lt;&gt;Constants!$B$4,$BL384,COUNTIFS($BM$9:$BM$508,"&lt;"&amp;$BM384)+COUNTIFS($BM$9:$BM$508,$BM384,$CF$9:$CF$508,"&lt;"&amp;$CF384)+1))</f>
        <v/>
      </c>
      <c r="CH384" s="100" t="str">
        <f aca="false">IF(ISBLANK($C384),"",IF($BL384&lt;&gt;Constants!$B$4,$BL384,RANK($CD384,$CD$9:$CD$508,1)))</f>
        <v/>
      </c>
      <c r="CI384" s="100" t="str">
        <f aca="false">IF($BL384&lt;&gt;Constants!$B$4,"",$AN384+$AO384+$AP384)</f>
        <v/>
      </c>
      <c r="CJ384" s="100" t="str">
        <f aca="false">IF(ISBLANK($C384),"",IF($BL384&lt;&gt;Constants!$B$4,$BL384,RANK($CI384,$CI$9:$CI$508,1)))</f>
        <v/>
      </c>
      <c r="CK384" s="100" t="str">
        <f aca="false">IF(ISBLANK($C384),"",IF($BL384&lt;&gt;Constants!$B$4,$BL384,COUNTIFS($BM$9:$BM$508,"&lt;"&amp;$BM384)+COUNTIFS($BM$9:$BM$508,$BM384,$CF$9:$CF$508,"&lt;"&amp;$CF384)+COUNTIFS($BM$9:$BM$508,$BM384,$CF$9:$CF$508,$CF384,$CH$9:$CH$508,"&lt;"&amp;$CH384)+COUNTIFS($BM$9:$BM$508,$BM384,$CF$9:$CF$508,$CF384,$CH$9:$CH$508,$CH384,$CJ$9:$CJ$508,"&lt;"&amp;$CJ384)+1))</f>
        <v/>
      </c>
      <c r="CL384" s="100" t="str">
        <f aca="false">IF(ISBLANK($C384),"",IF($BL384&lt;&gt;Constants!$B$4,$BL384,$CG384-$CK384))</f>
        <v/>
      </c>
      <c r="CM384" s="100" t="str">
        <f aca="false">IF(ISBLANK($C384),"",IF(NOT($AL384),"",IF(ISBLANK($D$7),$CM$5,IF(NOT(ISNUMBER($D$7)),$CM$6,""))))</f>
        <v/>
      </c>
      <c r="CN384" s="100" t="str">
        <f aca="false">IF(ISBLANK($C384),"",OR($AN384="",$AO384="",$AP384=""))</f>
        <v/>
      </c>
      <c r="CO384" s="100" t="str">
        <f aca="false">IF(ISBLANK($C384),"",AND($AL384,$BA384=""))</f>
        <v/>
      </c>
      <c r="CP384" s="100" t="str">
        <f aca="false">IF(ISBLANK($C384),"",AND($AL384,$BB384=""))</f>
        <v/>
      </c>
      <c r="CQ384" s="100" t="str">
        <f aca="false">IF(ISBLANK($C384),"",AND($AL384,$BC384=""))</f>
        <v/>
      </c>
      <c r="CR384" s="100" t="str">
        <f aca="false">IF(ISBLANK($C384),"",AND($AL384,$BF384=""))</f>
        <v/>
      </c>
      <c r="CS384" s="100" t="str">
        <f aca="false">IF(ISBLANK($C384),"",AND($AL384,$BJ384=""))</f>
        <v/>
      </c>
      <c r="CT384" s="101"/>
      <c r="CU384" s="102"/>
      <c r="CV384" s="103" t="str">
        <f aca="false">IF(ISBLANK($C384),"",IF($BL384=Constants!$B$8,$CM384,""))</f>
        <v/>
      </c>
      <c r="CW384" s="102" t="str">
        <f aca="false">IF(ISBLANK($C384),"",IF($BL384&lt;&gt;Constants!$B$4,"",$BO384+$BP384))</f>
        <v/>
      </c>
      <c r="CX384" s="104" t="str">
        <f aca="false">IF(ISBLANK($C384),"",IF($BL384&lt;&gt;Constants!$B$4,"",$BQ384+$BR384+$BS384))</f>
        <v/>
      </c>
      <c r="CY384" s="104" t="str">
        <f aca="false">IF(ISBLANK($C384),"",IF($BL384&lt;&gt;Constants!$B$4,"",$BT384))</f>
        <v/>
      </c>
      <c r="CZ384" s="104" t="str">
        <f aca="false">IF(ISBLANK($C384),"",IF($BL384&lt;&gt;Constants!$B$4,"",$BU384+$BV384))</f>
        <v/>
      </c>
      <c r="DA384" s="104" t="str">
        <f aca="false">IF(ISBLANK($C384),"",IF($BL384&lt;&gt;Constants!$B$4,"",$BW384))</f>
        <v/>
      </c>
      <c r="DB384" s="104" t="str">
        <f aca="false">IF(ISBLANK($C384),"",IF($BL384&lt;&gt;Constants!$B$4,"",-$CD384))</f>
        <v/>
      </c>
      <c r="DC384" s="103" t="str">
        <f aca="false">IF(ISBLANK($C384),"",$CE384)</f>
        <v/>
      </c>
      <c r="DD384" s="105" t="str">
        <f aca="false">IF(ISBLANK($C384),"",$BM384)</f>
        <v/>
      </c>
      <c r="DE384" s="104" t="str">
        <f aca="false">IF(ISBLANK($C384),"",$CL384)</f>
        <v/>
      </c>
      <c r="DF384" s="104" t="str">
        <f aca="false">IF(ISBLANK($C384),"",$CK384)</f>
        <v/>
      </c>
      <c r="DG384" s="106" t="str">
        <f aca="false">IF(ISBLANK($C384),"",IF($DF384=Constants!$B$7,COUNTA($C$9:$C$508)+2,IF($DF384=Constants!$B$6,COUNTA($C$9:$C$508)+1,IF($DF384=Constants!$B$5,COUNTA($C$9:$C$508),$DF384))))</f>
        <v/>
      </c>
      <c r="DH384" s="7"/>
      <c r="DI384" s="107" t="n">
        <f aca="false">IF(OR(ISNUMBER($DF384),$DF384=Constants!$B$7,$DF384=Constants!$B$5,$DF384=Constants!$B$6),1,0)</f>
        <v>0</v>
      </c>
      <c r="DJ384" s="107" t="n">
        <v>376</v>
      </c>
      <c r="DK384" s="107" t="str">
        <f aca="false">IF(ISBLANK($C384),"",IF(ISNUMBER($DG384),$DG384+ROW($B384)/1000,""))</f>
        <v/>
      </c>
      <c r="DL384" s="107" t="str">
        <f aca="false">IF(ISNUMBER($DK384),RANK($DK384,$DK$9:$DK$508,1),"")</f>
        <v/>
      </c>
      <c r="DM384" s="107" t="str">
        <f aca="false">IF(ISBLANK($C384),"",$B384)</f>
        <v/>
      </c>
      <c r="DN384" s="107" t="str">
        <f aca="false">IF(ISBLANK($C384),"",$C384)</f>
        <v/>
      </c>
      <c r="DO384" s="107" t="str">
        <f aca="false">IF(ISBLANK($C384),"",$D384)</f>
        <v/>
      </c>
      <c r="DP384" s="108" t="str">
        <f aca="false">$DD384</f>
        <v/>
      </c>
      <c r="DQ384" s="109" t="str">
        <f aca="false">$DC384</f>
        <v/>
      </c>
      <c r="DR384" s="107" t="str">
        <f aca="false">IF(ISBLANK($C384),"",$DF384)</f>
        <v/>
      </c>
      <c r="DS384" s="110" t="str">
        <f aca="false">IF($DJ384&gt;$DI$8,"",VLOOKUP($DJ384,$DL$9:$DR$508,7,FALSE()))</f>
        <v/>
      </c>
      <c r="DT384" s="111" t="str">
        <f aca="false">IF($DJ384&gt;$DI$8,"",VLOOKUP($DJ384,$DL$9:$DR$508,2,FALSE()))</f>
        <v/>
      </c>
      <c r="DU384" s="111" t="str">
        <f aca="false">IF($DJ384&gt;$DI$8,"",VLOOKUP($DJ384,$DL$9:$DR$508,3,FALSE()))</f>
        <v/>
      </c>
      <c r="DV384" s="111" t="str">
        <f aca="false">IF($DJ384&gt;$DI$8,"",VLOOKUP($DJ384,$DL$9:$DR$508,4,FALSE()))</f>
        <v/>
      </c>
      <c r="DW384" s="111" t="str">
        <f aca="false">IF($DJ384&gt;$DI$8,"",VLOOKUP($DJ384,$DL$9:$DR$508,5,FALSE()))</f>
        <v/>
      </c>
      <c r="DX384" s="112" t="str">
        <f aca="false">IF($DJ384&gt;$DI$8,"",VLOOKUP($DJ384,$DL$9:$DR$508,6,FALSE()))</f>
        <v/>
      </c>
      <c r="DY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130"/>
      <c r="N385" s="130"/>
      <c r="O385" s="135"/>
      <c r="P385" s="135"/>
      <c r="Q385" s="130"/>
      <c r="R385" s="130"/>
      <c r="S385" s="130"/>
      <c r="T385" s="130"/>
      <c r="U385" s="135"/>
      <c r="V385" s="130"/>
      <c r="W385" s="96"/>
      <c r="X385" s="130"/>
      <c r="Y385" s="130"/>
      <c r="Z385" s="96"/>
      <c r="AA385" s="96"/>
      <c r="AB385" s="130"/>
      <c r="AC385" s="130"/>
      <c r="AD385" s="130"/>
      <c r="AE385" s="97"/>
      <c r="AF385" s="130"/>
      <c r="AG385" s="99"/>
      <c r="AH385" s="100"/>
      <c r="AI385" s="100"/>
      <c r="AJ385" s="100" t="str">
        <f aca="false">IF(ISBLANK($C385),"",IF($E385=Constants!$B$2,TRUE(),IF($E385=Constants!$B$3,FALSE(),TRUE())))</f>
        <v/>
      </c>
      <c r="AK385" s="100" t="str">
        <f aca="false">IF(ISBLANK($C385),"",IF($F385=Constants!$B$2,TRUE(),IF($F385=Constants!$B$3,FALSE(),FALSE())))</f>
        <v/>
      </c>
      <c r="AL385" s="100" t="str">
        <f aca="false">IF(ISBLANK($C385),"",IF($G385=Constants!$B$2,TRUE(),IF($G385=Constants!$B$3,FALSE(),TRUE())))</f>
        <v/>
      </c>
      <c r="AM385" s="100" t="str">
        <f aca="false">IF(ISBLANK($C385),"",IF($H385=Constants!$B$2,TRUE(),IF($H385=Constants!$B$3,FALSE(),TRUE())))</f>
        <v/>
      </c>
      <c r="AN385" s="100" t="str">
        <f aca="false">IF(ISBLANK($C385),"",IF(ISNUMBER($I385),IF($I385&gt;=0,$I385,""),""))</f>
        <v/>
      </c>
      <c r="AO385" s="100" t="str">
        <f aca="false">IF(ISBLANK($C385),"",IF(ISNUMBER($J385),IF($J385&gt;=0,$J385,""),""))</f>
        <v/>
      </c>
      <c r="AP385" s="100" t="str">
        <f aca="false">IF(ISBLANK($C385),"",IF(ISNUMBER($K385),IF($K385&gt;=0,$K385,""),""))</f>
        <v/>
      </c>
      <c r="AQ385" s="100" t="str">
        <f aca="false">IF(ISBLANK($C385),"",IF($L385=Constants!$B$2,TRUE(),IF($L385=Constants!$B$3,FALSE(),TRUE())))</f>
        <v/>
      </c>
      <c r="AR385" s="100" t="str">
        <f aca="false">IF(ISBLANK($C385),"",IF($M385=Constants!$B$2,TRUE(),IF($M385=Constants!$B$3,FALSE(),TRUE())))</f>
        <v/>
      </c>
      <c r="AS385" s="100" t="str">
        <f aca="false">IF(ISBLANK($C385),"",IF($N385=Constants!$B$2,TRUE(),IF($N385=Constants!$B$3,FALSE(),FALSE())))</f>
        <v/>
      </c>
      <c r="AT385" s="100" t="str">
        <f aca="false">IF(ISBLANK($C385),"",IF($O385=Constants!$B$2,TRUE(),IF($O385=Constants!$B$3,FALSE(),TRUE())))</f>
        <v/>
      </c>
      <c r="AU385" s="100" t="str">
        <f aca="false">IF(ISBLANK($C385),"",IF($P385=Constants!$B$2,TRUE(),IF($P385=Constants!$B$3,FALSE(),TRUE())))</f>
        <v/>
      </c>
      <c r="AV385" s="100" t="str">
        <f aca="false">IF(ISBLANK($C385),"",IF($Q385=Constants!$B$2,TRUE(),IF($Q385=Constants!$B$3,FALSE(),FALSE())))</f>
        <v/>
      </c>
      <c r="AW385" s="100" t="str">
        <f aca="false">IF(ISBLANK($C385),"",IF($R385=Constants!$B$2,TRUE(),IF($R385=Constants!$B$3,FALSE(),FALSE())))</f>
        <v/>
      </c>
      <c r="AX385" s="100" t="str">
        <f aca="false">IF(ISBLANK($C385),"",IF($S385=Constants!$B$2,TRUE(),IF($S385=Constants!$B$3,FALSE(),FALSE())))</f>
        <v/>
      </c>
      <c r="AY385" s="100" t="str">
        <f aca="false">IF(ISBLANK($C385),"",IF($T385=Constants!$B$2,TRUE(),IF($T385=Constants!$B$3,FALSE(),FALSE())))</f>
        <v/>
      </c>
      <c r="AZ385" s="100" t="str">
        <f aca="false">IF(ISBLANK($C385),"",IF($U385=Constants!$B$2,TRUE(),IF($U385=Constants!$B$3,FALSE(),FALSE())))</f>
        <v/>
      </c>
      <c r="BA385" s="100" t="str">
        <f aca="false">IF(ISBLANK($C385),"",IF(OR($V385&amp;""="1",$V385&amp;""="2",$V385&amp;""="3",$V385&amp;""="4"),VALUE($V385&amp;""),IF($V385=Constants!$B$12,Constants!$B$12,"")))</f>
        <v/>
      </c>
      <c r="BB385" s="100" t="str">
        <f aca="false">IF(ISBLANK($C385),"",IF(ISBLANK($W385),0,IF(ISNUMBER($W385),IF(AND($W385&gt;=0,$W385&lt;=Constants!$B$21,$W385=INT($W385)),$W385,""),"")))</f>
        <v/>
      </c>
      <c r="BC385" s="100" t="str">
        <f aca="false">IF(ISBLANK($C385),"",IF(ISBLANK($X385),0,IF(ISNUMBER($X385),IF($X385&gt;=0,$X385,""),"")))</f>
        <v/>
      </c>
      <c r="BD385" s="100" t="str">
        <f aca="false">IF(ISBLANK($C385),"",IF($Y385=Constants!$B$2,TRUE(),IF($Y385=Constants!$B$3,FALSE(),TRUE())))</f>
        <v/>
      </c>
      <c r="BE385" s="100" t="str">
        <f aca="false">IF(ISBLANK($C385),"",IF($Z385=Constants!$B$2,TRUE(),IF($Z385=Constants!$B$3,FALSE(),FALSE())))</f>
        <v/>
      </c>
      <c r="BF385" s="100" t="str">
        <f aca="false">IF(ISBLANK($C385),"",IF(ISBLANK($AA385),0,IF(ISNUMBER($AA385),IF(AND($AA385&gt;=0,$AA385&lt;=Constants!$B$35,$AA385=INT($AA385)),$AA385,""),"")))</f>
        <v/>
      </c>
      <c r="BG385" s="100" t="str">
        <f aca="false">IF(ISBLANK($C385),"",IF($AB385=Constants!$B$2,TRUE(),IF($AB385=Constants!$B$3,FALSE(),TRUE())))</f>
        <v/>
      </c>
      <c r="BH385" s="100" t="str">
        <f aca="false">IF(ISBLANK($C385),"",IF($AC385=Constants!$B$2,TRUE(),IF($AC385=Constants!$B$3,FALSE(),TRUE())))</f>
        <v/>
      </c>
      <c r="BI385" s="100" t="str">
        <f aca="false">IF(ISBLANK($C385),"",IF($AD385=Constants!$B$2,TRUE(),IF($AD385=Constants!$B$3,FALSE(),TRUE())))</f>
        <v/>
      </c>
      <c r="BJ385" s="100" t="str">
        <f aca="false">IF(ISBLANK($C385),"",IF(ISNUMBER($AE385),IF($AE385&gt;=0,$AE385,""),""))</f>
        <v/>
      </c>
      <c r="BK385" s="100" t="str">
        <f aca="false">IF(ISBLANK($C385),"",IF($AF385=Constants!$B$2,TRUE(),IF($AF385=Constants!$B$3,FALSE(),FALSE())))</f>
        <v/>
      </c>
      <c r="BL385" s="99" t="str">
        <f aca="false">IF(ISBLANK($C385),"",IF($BK385,Constants!$B$7,IF(COUNTA($E385:$AE385)=0,Constants!$B$6,IF(OR(COUNTA($G385:$AE385)=0,NOT($AM385),$AS385),Constants!$B$5,IF(OR($CM385&lt;&gt;"",$CN385,$CO385,$CP385,$CQ385,$CR385,$CS385),Constants!$B$8,Constants!$B$4)))))</f>
        <v/>
      </c>
      <c r="BM385" s="100" t="str">
        <f aca="false">IF(ISBLANK($C385),"",IF($BL385&lt;&gt;Constants!$B$4,$BL385,IF(OR(NOT($AJ385),NOT($AL385),NOT($AT385)),Constants!$B$11,IF(OR(NOT($AR385),NOT($AU385),NOT($BI385),MAX($AN385,$AO385,$AP385)&gt;Constants!$B$30),Constants!$B$10,Constants!$B$9))))</f>
        <v/>
      </c>
      <c r="BN385" s="100" t="str">
        <f aca="false">IF($BL385&lt;&gt;Constants!$B$4,"",IF(NOT($AL385),0,MIN(Constants!$B$35,$BF385)))</f>
        <v/>
      </c>
      <c r="BO385" s="100" t="str">
        <f aca="false">IF($BL385&lt;&gt;Constants!$B$4,"",IF(NOT($AL385),0,IF($AW385,Constants!$B$18,IF($AV385,Constants!$B$17,0))))</f>
        <v/>
      </c>
      <c r="BP385" s="100" t="str">
        <f aca="false">IF($BL385&lt;&gt;Constants!$B$4,"",IF(NOT($AL385),0,Constants!$B$19*($AK385+$AX385+$AY385+$AZ385)))</f>
        <v/>
      </c>
      <c r="BQ385" s="100" t="str">
        <f aca="false">IF($BL385&lt;&gt;Constants!$B$4,"",IF(OR(NOT($AL385),NOT(ISNUMBER($BA385))),0,CHOOSE($BA385,Constants!$B$13,Constants!$B$14,Constants!$B$15,Constants!$B$16)))</f>
        <v/>
      </c>
      <c r="BR385" s="100" t="str">
        <f aca="false">IF($BL385&lt;&gt;Constants!$B$4,"",IF(NOT($AL385),0,Constants!$B$20*$BB385))</f>
        <v/>
      </c>
      <c r="BS385" s="100" t="str">
        <f aca="false">IF($BL385&lt;&gt;Constants!$B$4,"",IF(AND($AL385,$BD385,$BE385),Constants!$B$22,0))</f>
        <v/>
      </c>
      <c r="BT385" s="100" t="str">
        <f aca="false">IF($BL385&lt;&gt;Constants!$B$4,"",IF(OR(NOT($AL385),NOT($BD385)),0,IF($BJ385&gt;=2*$AH$9,0,Constants!$B$23*INT(ROUND(MIN($BJ385,$AH$9),6)))))</f>
        <v/>
      </c>
      <c r="BU385" s="100" t="str">
        <f aca="false">IF($BL385&lt;&gt;Constants!$B$4,"",IF(NOT($AL385),0,Constants!$B$24*INT(ROUND(MIN($BC385,$AH$9),6))))</f>
        <v/>
      </c>
      <c r="BV385" s="100" t="str">
        <f aca="false">IF($BL385&lt;&gt;Constants!$B$4,"",IF(AND($AL385,$BN385=0),Constants!$B$25,0))</f>
        <v/>
      </c>
      <c r="BW385" s="100" t="str">
        <f aca="false">IF($BL385&lt;&gt;Constants!$B$4,"",MIN(Constants!$B$29,MAX(0,Constants!$B$27*Constants!$B$28*INT(ROUND((Constants!$B$26-$AN385)/Constants!$B$28,6))))+MIN(Constants!$B$29,MAX(0,Constants!$B$27*Constants!$B$28*INT(ROUND((Constants!$B$26-$AO385)/Constants!$B$28,6))))+MIN(Constants!$B$29,MAX(0,Constants!$B$27*Constants!$B$28*INT(ROUND((Constants!$B$26-$AP385)/Constants!$B$28,6)))))</f>
        <v/>
      </c>
      <c r="BX385" s="100" t="str">
        <f aca="false">IF($BL385&lt;&gt;Constants!$B$4,"",IF(NOT($AL385),0,Constants!$B$31*INT(ROUND(MAX(0,MIN($BJ385,2*$AH$9)-$AH$9),6))))</f>
        <v/>
      </c>
      <c r="BY385" s="100" t="str">
        <f aca="false">IF($BL385&lt;&gt;Constants!$B$4,"",Constants!$B$32*(($AN385&gt;Constants!$B$26)+($AO385&gt;Constants!$B$26)+($AP385&gt;Constants!$B$26)))</f>
        <v/>
      </c>
      <c r="BZ385" s="100" t="str">
        <f aca="false">IF($BL385&lt;&gt;Constants!$B$4,"",IF(OR(NOT($AL385),$AQ385),0,Constants!$B$33))</f>
        <v/>
      </c>
      <c r="CA385" s="100" t="str">
        <f aca="false">IF($BL385&lt;&gt;Constants!$B$4,"",Constants!$B$34*$BN385)</f>
        <v/>
      </c>
      <c r="CB385" s="100" t="str">
        <f aca="false">IF($BL385&lt;&gt;Constants!$B$4,"",IF(OR(NOT($AL385),$BH385),0,Constants!$B$36))</f>
        <v/>
      </c>
      <c r="CC385" s="100" t="str">
        <f aca="false">IF($BL385&lt;&gt;Constants!$B$4,"",IF(OR(NOT($AL385),$BG385),0,Constants!$B$37))</f>
        <v/>
      </c>
      <c r="CD385" s="100" t="str">
        <f aca="false">IF($BL385&lt;&gt;Constants!$B$4,"",SUM($BX385:$CC385))</f>
        <v/>
      </c>
      <c r="CE385" s="100" t="str">
        <f aca="false">IF(ISBLANK($C385),"",IF($BL385&lt;&gt;Constants!$B$4,$BL385,SUM($BO385:$BW385)-$CD385))</f>
        <v/>
      </c>
      <c r="CF385" s="100" t="str">
        <f aca="false">IF(ISBLANK($C385),"",IF($BL385&lt;&gt;Constants!$B$4,$BL385,RANK($CE385,$CE$9:$CE$508)))</f>
        <v/>
      </c>
      <c r="CG385" s="100" t="str">
        <f aca="false">IF(ISBLANK($C385),"",IF($BL385&lt;&gt;Constants!$B$4,$BL385,COUNTIFS($BM$9:$BM$508,"&lt;"&amp;$BM385)+COUNTIFS($BM$9:$BM$508,$BM385,$CF$9:$CF$508,"&lt;"&amp;$CF385)+1))</f>
        <v/>
      </c>
      <c r="CH385" s="100" t="str">
        <f aca="false">IF(ISBLANK($C385),"",IF($BL385&lt;&gt;Constants!$B$4,$BL385,RANK($CD385,$CD$9:$CD$508,1)))</f>
        <v/>
      </c>
      <c r="CI385" s="100" t="str">
        <f aca="false">IF($BL385&lt;&gt;Constants!$B$4,"",$AN385+$AO385+$AP385)</f>
        <v/>
      </c>
      <c r="CJ385" s="100" t="str">
        <f aca="false">IF(ISBLANK($C385),"",IF($BL385&lt;&gt;Constants!$B$4,$BL385,RANK($CI385,$CI$9:$CI$508,1)))</f>
        <v/>
      </c>
      <c r="CK385" s="100" t="str">
        <f aca="false">IF(ISBLANK($C385),"",IF($BL385&lt;&gt;Constants!$B$4,$BL385,COUNTIFS($BM$9:$BM$508,"&lt;"&amp;$BM385)+COUNTIFS($BM$9:$BM$508,$BM385,$CF$9:$CF$508,"&lt;"&amp;$CF385)+COUNTIFS($BM$9:$BM$508,$BM385,$CF$9:$CF$508,$CF385,$CH$9:$CH$508,"&lt;"&amp;$CH385)+COUNTIFS($BM$9:$BM$508,$BM385,$CF$9:$CF$508,$CF385,$CH$9:$CH$508,$CH385,$CJ$9:$CJ$508,"&lt;"&amp;$CJ385)+1))</f>
        <v/>
      </c>
      <c r="CL385" s="100" t="str">
        <f aca="false">IF(ISBLANK($C385),"",IF($BL385&lt;&gt;Constants!$B$4,$BL385,$CG385-$CK385))</f>
        <v/>
      </c>
      <c r="CM385" s="100" t="str">
        <f aca="false">IF(ISBLANK($C385),"",IF(NOT($AL385),"",IF(ISBLANK($D$7),$CM$5,IF(NOT(ISNUMBER($D$7)),$CM$6,""))))</f>
        <v/>
      </c>
      <c r="CN385" s="100" t="str">
        <f aca="false">IF(ISBLANK($C385),"",OR($AN385="",$AO385="",$AP385=""))</f>
        <v/>
      </c>
      <c r="CO385" s="100" t="str">
        <f aca="false">IF(ISBLANK($C385),"",AND($AL385,$BA385=""))</f>
        <v/>
      </c>
      <c r="CP385" s="100" t="str">
        <f aca="false">IF(ISBLANK($C385),"",AND($AL385,$BB385=""))</f>
        <v/>
      </c>
      <c r="CQ385" s="100" t="str">
        <f aca="false">IF(ISBLANK($C385),"",AND($AL385,$BC385=""))</f>
        <v/>
      </c>
      <c r="CR385" s="100" t="str">
        <f aca="false">IF(ISBLANK($C385),"",AND($AL385,$BF385=""))</f>
        <v/>
      </c>
      <c r="CS385" s="100" t="str">
        <f aca="false">IF(ISBLANK($C385),"",AND($AL385,$BJ385=""))</f>
        <v/>
      </c>
      <c r="CT385" s="101"/>
      <c r="CU385" s="102"/>
      <c r="CV385" s="103" t="str">
        <f aca="false">IF(ISBLANK($C385),"",IF($BL385=Constants!$B$8,$CM385,""))</f>
        <v/>
      </c>
      <c r="CW385" s="102" t="str">
        <f aca="false">IF(ISBLANK($C385),"",IF($BL385&lt;&gt;Constants!$B$4,"",$BO385+$BP385))</f>
        <v/>
      </c>
      <c r="CX385" s="104" t="str">
        <f aca="false">IF(ISBLANK($C385),"",IF($BL385&lt;&gt;Constants!$B$4,"",$BQ385+$BR385+$BS385))</f>
        <v/>
      </c>
      <c r="CY385" s="104" t="str">
        <f aca="false">IF(ISBLANK($C385),"",IF($BL385&lt;&gt;Constants!$B$4,"",$BT385))</f>
        <v/>
      </c>
      <c r="CZ385" s="104" t="str">
        <f aca="false">IF(ISBLANK($C385),"",IF($BL385&lt;&gt;Constants!$B$4,"",$BU385+$BV385))</f>
        <v/>
      </c>
      <c r="DA385" s="104" t="str">
        <f aca="false">IF(ISBLANK($C385),"",IF($BL385&lt;&gt;Constants!$B$4,"",$BW385))</f>
        <v/>
      </c>
      <c r="DB385" s="104" t="str">
        <f aca="false">IF(ISBLANK($C385),"",IF($BL385&lt;&gt;Constants!$B$4,"",-$CD385))</f>
        <v/>
      </c>
      <c r="DC385" s="103" t="str">
        <f aca="false">IF(ISBLANK($C385),"",$CE385)</f>
        <v/>
      </c>
      <c r="DD385" s="105" t="str">
        <f aca="false">IF(ISBLANK($C385),"",$BM385)</f>
        <v/>
      </c>
      <c r="DE385" s="104" t="str">
        <f aca="false">IF(ISBLANK($C385),"",$CL385)</f>
        <v/>
      </c>
      <c r="DF385" s="104" t="str">
        <f aca="false">IF(ISBLANK($C385),"",$CK385)</f>
        <v/>
      </c>
      <c r="DG385" s="106" t="str">
        <f aca="false">IF(ISBLANK($C385),"",IF($DF385=Constants!$B$7,COUNTA($C$9:$C$508)+2,IF($DF385=Constants!$B$6,COUNTA($C$9:$C$508)+1,IF($DF385=Constants!$B$5,COUNTA($C$9:$C$508),$DF385))))</f>
        <v/>
      </c>
      <c r="DH385" s="7"/>
      <c r="DI385" s="107" t="n">
        <f aca="false">IF(OR(ISNUMBER($DF385),$DF385=Constants!$B$7,$DF385=Constants!$B$5,$DF385=Constants!$B$6),1,0)</f>
        <v>0</v>
      </c>
      <c r="DJ385" s="107" t="n">
        <v>377</v>
      </c>
      <c r="DK385" s="107" t="str">
        <f aca="false">IF(ISBLANK($C385),"",IF(ISNUMBER($DG385),$DG385+ROW($B385)/1000,""))</f>
        <v/>
      </c>
      <c r="DL385" s="107" t="str">
        <f aca="false">IF(ISNUMBER($DK385),RANK($DK385,$DK$9:$DK$508,1),"")</f>
        <v/>
      </c>
      <c r="DM385" s="107" t="str">
        <f aca="false">IF(ISBLANK($C385),"",$B385)</f>
        <v/>
      </c>
      <c r="DN385" s="107" t="str">
        <f aca="false">IF(ISBLANK($C385),"",$C385)</f>
        <v/>
      </c>
      <c r="DO385" s="107" t="str">
        <f aca="false">IF(ISBLANK($C385),"",$D385)</f>
        <v/>
      </c>
      <c r="DP385" s="108" t="str">
        <f aca="false">$DD385</f>
        <v/>
      </c>
      <c r="DQ385" s="109" t="str">
        <f aca="false">$DC385</f>
        <v/>
      </c>
      <c r="DR385" s="107" t="str">
        <f aca="false">IF(ISBLANK($C385),"",$DF385)</f>
        <v/>
      </c>
      <c r="DS385" s="110" t="str">
        <f aca="false">IF($DJ385&gt;$DI$8,"",VLOOKUP($DJ385,$DL$9:$DR$508,7,FALSE()))</f>
        <v/>
      </c>
      <c r="DT385" s="111" t="str">
        <f aca="false">IF($DJ385&gt;$DI$8,"",VLOOKUP($DJ385,$DL$9:$DR$508,2,FALSE()))</f>
        <v/>
      </c>
      <c r="DU385" s="111" t="str">
        <f aca="false">IF($DJ385&gt;$DI$8,"",VLOOKUP($DJ385,$DL$9:$DR$508,3,FALSE()))</f>
        <v/>
      </c>
      <c r="DV385" s="111" t="str">
        <f aca="false">IF($DJ385&gt;$DI$8,"",VLOOKUP($DJ385,$DL$9:$DR$508,4,FALSE()))</f>
        <v/>
      </c>
      <c r="DW385" s="111" t="str">
        <f aca="false">IF($DJ385&gt;$DI$8,"",VLOOKUP($DJ385,$DL$9:$DR$508,5,FALSE()))</f>
        <v/>
      </c>
      <c r="DX385" s="112" t="str">
        <f aca="false">IF($DJ385&gt;$DI$8,"",VLOOKUP($DJ385,$DL$9:$DR$508,6,FALSE()))</f>
        <v/>
      </c>
      <c r="DY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130"/>
      <c r="N386" s="130"/>
      <c r="O386" s="135"/>
      <c r="P386" s="135"/>
      <c r="Q386" s="130"/>
      <c r="R386" s="130"/>
      <c r="S386" s="130"/>
      <c r="T386" s="130"/>
      <c r="U386" s="135"/>
      <c r="V386" s="130"/>
      <c r="W386" s="96"/>
      <c r="X386" s="130"/>
      <c r="Y386" s="130"/>
      <c r="Z386" s="96"/>
      <c r="AA386" s="96"/>
      <c r="AB386" s="130"/>
      <c r="AC386" s="130"/>
      <c r="AD386" s="130"/>
      <c r="AE386" s="97"/>
      <c r="AF386" s="130"/>
      <c r="AG386" s="99"/>
      <c r="AH386" s="100"/>
      <c r="AI386" s="100"/>
      <c r="AJ386" s="100" t="str">
        <f aca="false">IF(ISBLANK($C386),"",IF($E386=Constants!$B$2,TRUE(),IF($E386=Constants!$B$3,FALSE(),TRUE())))</f>
        <v/>
      </c>
      <c r="AK386" s="100" t="str">
        <f aca="false">IF(ISBLANK($C386),"",IF($F386=Constants!$B$2,TRUE(),IF($F386=Constants!$B$3,FALSE(),FALSE())))</f>
        <v/>
      </c>
      <c r="AL386" s="100" t="str">
        <f aca="false">IF(ISBLANK($C386),"",IF($G386=Constants!$B$2,TRUE(),IF($G386=Constants!$B$3,FALSE(),TRUE())))</f>
        <v/>
      </c>
      <c r="AM386" s="100" t="str">
        <f aca="false">IF(ISBLANK($C386),"",IF($H386=Constants!$B$2,TRUE(),IF($H386=Constants!$B$3,FALSE(),TRUE())))</f>
        <v/>
      </c>
      <c r="AN386" s="100" t="str">
        <f aca="false">IF(ISBLANK($C386),"",IF(ISNUMBER($I386),IF($I386&gt;=0,$I386,""),""))</f>
        <v/>
      </c>
      <c r="AO386" s="100" t="str">
        <f aca="false">IF(ISBLANK($C386),"",IF(ISNUMBER($J386),IF($J386&gt;=0,$J386,""),""))</f>
        <v/>
      </c>
      <c r="AP386" s="100" t="str">
        <f aca="false">IF(ISBLANK($C386),"",IF(ISNUMBER($K386),IF($K386&gt;=0,$K386,""),""))</f>
        <v/>
      </c>
      <c r="AQ386" s="100" t="str">
        <f aca="false">IF(ISBLANK($C386),"",IF($L386=Constants!$B$2,TRUE(),IF($L386=Constants!$B$3,FALSE(),TRUE())))</f>
        <v/>
      </c>
      <c r="AR386" s="100" t="str">
        <f aca="false">IF(ISBLANK($C386),"",IF($M386=Constants!$B$2,TRUE(),IF($M386=Constants!$B$3,FALSE(),TRUE())))</f>
        <v/>
      </c>
      <c r="AS386" s="100" t="str">
        <f aca="false">IF(ISBLANK($C386),"",IF($N386=Constants!$B$2,TRUE(),IF($N386=Constants!$B$3,FALSE(),FALSE())))</f>
        <v/>
      </c>
      <c r="AT386" s="100" t="str">
        <f aca="false">IF(ISBLANK($C386),"",IF($O386=Constants!$B$2,TRUE(),IF($O386=Constants!$B$3,FALSE(),TRUE())))</f>
        <v/>
      </c>
      <c r="AU386" s="100" t="str">
        <f aca="false">IF(ISBLANK($C386),"",IF($P386=Constants!$B$2,TRUE(),IF($P386=Constants!$B$3,FALSE(),TRUE())))</f>
        <v/>
      </c>
      <c r="AV386" s="100" t="str">
        <f aca="false">IF(ISBLANK($C386),"",IF($Q386=Constants!$B$2,TRUE(),IF($Q386=Constants!$B$3,FALSE(),FALSE())))</f>
        <v/>
      </c>
      <c r="AW386" s="100" t="str">
        <f aca="false">IF(ISBLANK($C386),"",IF($R386=Constants!$B$2,TRUE(),IF($R386=Constants!$B$3,FALSE(),FALSE())))</f>
        <v/>
      </c>
      <c r="AX386" s="100" t="str">
        <f aca="false">IF(ISBLANK($C386),"",IF($S386=Constants!$B$2,TRUE(),IF($S386=Constants!$B$3,FALSE(),FALSE())))</f>
        <v/>
      </c>
      <c r="AY386" s="100" t="str">
        <f aca="false">IF(ISBLANK($C386),"",IF($T386=Constants!$B$2,TRUE(),IF($T386=Constants!$B$3,FALSE(),FALSE())))</f>
        <v/>
      </c>
      <c r="AZ386" s="100" t="str">
        <f aca="false">IF(ISBLANK($C386),"",IF($U386=Constants!$B$2,TRUE(),IF($U386=Constants!$B$3,FALSE(),FALSE())))</f>
        <v/>
      </c>
      <c r="BA386" s="100" t="str">
        <f aca="false">IF(ISBLANK($C386),"",IF(OR($V386&amp;""="1",$V386&amp;""="2",$V386&amp;""="3",$V386&amp;""="4"),VALUE($V386&amp;""),IF($V386=Constants!$B$12,Constants!$B$12,"")))</f>
        <v/>
      </c>
      <c r="BB386" s="100" t="str">
        <f aca="false">IF(ISBLANK($C386),"",IF(ISBLANK($W386),0,IF(ISNUMBER($W386),IF(AND($W386&gt;=0,$W386&lt;=Constants!$B$21,$W386=INT($W386)),$W386,""),"")))</f>
        <v/>
      </c>
      <c r="BC386" s="100" t="str">
        <f aca="false">IF(ISBLANK($C386),"",IF(ISBLANK($X386),0,IF(ISNUMBER($X386),IF($X386&gt;=0,$X386,""),"")))</f>
        <v/>
      </c>
      <c r="BD386" s="100" t="str">
        <f aca="false">IF(ISBLANK($C386),"",IF($Y386=Constants!$B$2,TRUE(),IF($Y386=Constants!$B$3,FALSE(),TRUE())))</f>
        <v/>
      </c>
      <c r="BE386" s="100" t="str">
        <f aca="false">IF(ISBLANK($C386),"",IF($Z386=Constants!$B$2,TRUE(),IF($Z386=Constants!$B$3,FALSE(),FALSE())))</f>
        <v/>
      </c>
      <c r="BF386" s="100" t="str">
        <f aca="false">IF(ISBLANK($C386),"",IF(ISBLANK($AA386),0,IF(ISNUMBER($AA386),IF(AND($AA386&gt;=0,$AA386&lt;=Constants!$B$35,$AA386=INT($AA386)),$AA386,""),"")))</f>
        <v/>
      </c>
      <c r="BG386" s="100" t="str">
        <f aca="false">IF(ISBLANK($C386),"",IF($AB386=Constants!$B$2,TRUE(),IF($AB386=Constants!$B$3,FALSE(),TRUE())))</f>
        <v/>
      </c>
      <c r="BH386" s="100" t="str">
        <f aca="false">IF(ISBLANK($C386),"",IF($AC386=Constants!$B$2,TRUE(),IF($AC386=Constants!$B$3,FALSE(),TRUE())))</f>
        <v/>
      </c>
      <c r="BI386" s="100" t="str">
        <f aca="false">IF(ISBLANK($C386),"",IF($AD386=Constants!$B$2,TRUE(),IF($AD386=Constants!$B$3,FALSE(),TRUE())))</f>
        <v/>
      </c>
      <c r="BJ386" s="100" t="str">
        <f aca="false">IF(ISBLANK($C386),"",IF(ISNUMBER($AE386),IF($AE386&gt;=0,$AE386,""),""))</f>
        <v/>
      </c>
      <c r="BK386" s="100" t="str">
        <f aca="false">IF(ISBLANK($C386),"",IF($AF386=Constants!$B$2,TRUE(),IF($AF386=Constants!$B$3,FALSE(),FALSE())))</f>
        <v/>
      </c>
      <c r="BL386" s="99" t="str">
        <f aca="false">IF(ISBLANK($C386),"",IF($BK386,Constants!$B$7,IF(COUNTA($E386:$AE386)=0,Constants!$B$6,IF(OR(COUNTA($G386:$AE386)=0,NOT($AM386),$AS386),Constants!$B$5,IF(OR($CM386&lt;&gt;"",$CN386,$CO386,$CP386,$CQ386,$CR386,$CS386),Constants!$B$8,Constants!$B$4)))))</f>
        <v/>
      </c>
      <c r="BM386" s="100" t="str">
        <f aca="false">IF(ISBLANK($C386),"",IF($BL386&lt;&gt;Constants!$B$4,$BL386,IF(OR(NOT($AJ386),NOT($AL386),NOT($AT386)),Constants!$B$11,IF(OR(NOT($AR386),NOT($AU386),NOT($BI386),MAX($AN386,$AO386,$AP386)&gt;Constants!$B$30),Constants!$B$10,Constants!$B$9))))</f>
        <v/>
      </c>
      <c r="BN386" s="100" t="str">
        <f aca="false">IF($BL386&lt;&gt;Constants!$B$4,"",IF(NOT($AL386),0,MIN(Constants!$B$35,$BF386)))</f>
        <v/>
      </c>
      <c r="BO386" s="100" t="str">
        <f aca="false">IF($BL386&lt;&gt;Constants!$B$4,"",IF(NOT($AL386),0,IF($AW386,Constants!$B$18,IF($AV386,Constants!$B$17,0))))</f>
        <v/>
      </c>
      <c r="BP386" s="100" t="str">
        <f aca="false">IF($BL386&lt;&gt;Constants!$B$4,"",IF(NOT($AL386),0,Constants!$B$19*($AK386+$AX386+$AY386+$AZ386)))</f>
        <v/>
      </c>
      <c r="BQ386" s="100" t="str">
        <f aca="false">IF($BL386&lt;&gt;Constants!$B$4,"",IF(OR(NOT($AL386),NOT(ISNUMBER($BA386))),0,CHOOSE($BA386,Constants!$B$13,Constants!$B$14,Constants!$B$15,Constants!$B$16)))</f>
        <v/>
      </c>
      <c r="BR386" s="100" t="str">
        <f aca="false">IF($BL386&lt;&gt;Constants!$B$4,"",IF(NOT($AL386),0,Constants!$B$20*$BB386))</f>
        <v/>
      </c>
      <c r="BS386" s="100" t="str">
        <f aca="false">IF($BL386&lt;&gt;Constants!$B$4,"",IF(AND($AL386,$BD386,$BE386),Constants!$B$22,0))</f>
        <v/>
      </c>
      <c r="BT386" s="100" t="str">
        <f aca="false">IF($BL386&lt;&gt;Constants!$B$4,"",IF(OR(NOT($AL386),NOT($BD386)),0,IF($BJ386&gt;=2*$AH$9,0,Constants!$B$23*INT(ROUND(MIN($BJ386,$AH$9),6)))))</f>
        <v/>
      </c>
      <c r="BU386" s="100" t="str">
        <f aca="false">IF($BL386&lt;&gt;Constants!$B$4,"",IF(NOT($AL386),0,Constants!$B$24*INT(ROUND(MIN($BC386,$AH$9),6))))</f>
        <v/>
      </c>
      <c r="BV386" s="100" t="str">
        <f aca="false">IF($BL386&lt;&gt;Constants!$B$4,"",IF(AND($AL386,$BN386=0),Constants!$B$25,0))</f>
        <v/>
      </c>
      <c r="BW386" s="100" t="str">
        <f aca="false">IF($BL386&lt;&gt;Constants!$B$4,"",MIN(Constants!$B$29,MAX(0,Constants!$B$27*Constants!$B$28*INT(ROUND((Constants!$B$26-$AN386)/Constants!$B$28,6))))+MIN(Constants!$B$29,MAX(0,Constants!$B$27*Constants!$B$28*INT(ROUND((Constants!$B$26-$AO386)/Constants!$B$28,6))))+MIN(Constants!$B$29,MAX(0,Constants!$B$27*Constants!$B$28*INT(ROUND((Constants!$B$26-$AP386)/Constants!$B$28,6)))))</f>
        <v/>
      </c>
      <c r="BX386" s="100" t="str">
        <f aca="false">IF($BL386&lt;&gt;Constants!$B$4,"",IF(NOT($AL386),0,Constants!$B$31*INT(ROUND(MAX(0,MIN($BJ386,2*$AH$9)-$AH$9),6))))</f>
        <v/>
      </c>
      <c r="BY386" s="100" t="str">
        <f aca="false">IF($BL386&lt;&gt;Constants!$B$4,"",Constants!$B$32*(($AN386&gt;Constants!$B$26)+($AO386&gt;Constants!$B$26)+($AP386&gt;Constants!$B$26)))</f>
        <v/>
      </c>
      <c r="BZ386" s="100" t="str">
        <f aca="false">IF($BL386&lt;&gt;Constants!$B$4,"",IF(OR(NOT($AL386),$AQ386),0,Constants!$B$33))</f>
        <v/>
      </c>
      <c r="CA386" s="100" t="str">
        <f aca="false">IF($BL386&lt;&gt;Constants!$B$4,"",Constants!$B$34*$BN386)</f>
        <v/>
      </c>
      <c r="CB386" s="100" t="str">
        <f aca="false">IF($BL386&lt;&gt;Constants!$B$4,"",IF(OR(NOT($AL386),$BH386),0,Constants!$B$36))</f>
        <v/>
      </c>
      <c r="CC386" s="100" t="str">
        <f aca="false">IF($BL386&lt;&gt;Constants!$B$4,"",IF(OR(NOT($AL386),$BG386),0,Constants!$B$37))</f>
        <v/>
      </c>
      <c r="CD386" s="100" t="str">
        <f aca="false">IF($BL386&lt;&gt;Constants!$B$4,"",SUM($BX386:$CC386))</f>
        <v/>
      </c>
      <c r="CE386" s="100" t="str">
        <f aca="false">IF(ISBLANK($C386),"",IF($BL386&lt;&gt;Constants!$B$4,$BL386,SUM($BO386:$BW386)-$CD386))</f>
        <v/>
      </c>
      <c r="CF386" s="100" t="str">
        <f aca="false">IF(ISBLANK($C386),"",IF($BL386&lt;&gt;Constants!$B$4,$BL386,RANK($CE386,$CE$9:$CE$508)))</f>
        <v/>
      </c>
      <c r="CG386" s="100" t="str">
        <f aca="false">IF(ISBLANK($C386),"",IF($BL386&lt;&gt;Constants!$B$4,$BL386,COUNTIFS($BM$9:$BM$508,"&lt;"&amp;$BM386)+COUNTIFS($BM$9:$BM$508,$BM386,$CF$9:$CF$508,"&lt;"&amp;$CF386)+1))</f>
        <v/>
      </c>
      <c r="CH386" s="100" t="str">
        <f aca="false">IF(ISBLANK($C386),"",IF($BL386&lt;&gt;Constants!$B$4,$BL386,RANK($CD386,$CD$9:$CD$508,1)))</f>
        <v/>
      </c>
      <c r="CI386" s="100" t="str">
        <f aca="false">IF($BL386&lt;&gt;Constants!$B$4,"",$AN386+$AO386+$AP386)</f>
        <v/>
      </c>
      <c r="CJ386" s="100" t="str">
        <f aca="false">IF(ISBLANK($C386),"",IF($BL386&lt;&gt;Constants!$B$4,$BL386,RANK($CI386,$CI$9:$CI$508,1)))</f>
        <v/>
      </c>
      <c r="CK386" s="100" t="str">
        <f aca="false">IF(ISBLANK($C386),"",IF($BL386&lt;&gt;Constants!$B$4,$BL386,COUNTIFS($BM$9:$BM$508,"&lt;"&amp;$BM386)+COUNTIFS($BM$9:$BM$508,$BM386,$CF$9:$CF$508,"&lt;"&amp;$CF386)+COUNTIFS($BM$9:$BM$508,$BM386,$CF$9:$CF$508,$CF386,$CH$9:$CH$508,"&lt;"&amp;$CH386)+COUNTIFS($BM$9:$BM$508,$BM386,$CF$9:$CF$508,$CF386,$CH$9:$CH$508,$CH386,$CJ$9:$CJ$508,"&lt;"&amp;$CJ386)+1))</f>
        <v/>
      </c>
      <c r="CL386" s="100" t="str">
        <f aca="false">IF(ISBLANK($C386),"",IF($BL386&lt;&gt;Constants!$B$4,$BL386,$CG386-$CK386))</f>
        <v/>
      </c>
      <c r="CM386" s="100" t="str">
        <f aca="false">IF(ISBLANK($C386),"",IF(NOT($AL386),"",IF(ISBLANK($D$7),$CM$5,IF(NOT(ISNUMBER($D$7)),$CM$6,""))))</f>
        <v/>
      </c>
      <c r="CN386" s="100" t="str">
        <f aca="false">IF(ISBLANK($C386),"",OR($AN386="",$AO386="",$AP386=""))</f>
        <v/>
      </c>
      <c r="CO386" s="100" t="str">
        <f aca="false">IF(ISBLANK($C386),"",AND($AL386,$BA386=""))</f>
        <v/>
      </c>
      <c r="CP386" s="100" t="str">
        <f aca="false">IF(ISBLANK($C386),"",AND($AL386,$BB386=""))</f>
        <v/>
      </c>
      <c r="CQ386" s="100" t="str">
        <f aca="false">IF(ISBLANK($C386),"",AND($AL386,$BC386=""))</f>
        <v/>
      </c>
      <c r="CR386" s="100" t="str">
        <f aca="false">IF(ISBLANK($C386),"",AND($AL386,$BF386=""))</f>
        <v/>
      </c>
      <c r="CS386" s="100" t="str">
        <f aca="false">IF(ISBLANK($C386),"",AND($AL386,$BJ386=""))</f>
        <v/>
      </c>
      <c r="CT386" s="101"/>
      <c r="CU386" s="102"/>
      <c r="CV386" s="103" t="str">
        <f aca="false">IF(ISBLANK($C386),"",IF($BL386=Constants!$B$8,$CM386,""))</f>
        <v/>
      </c>
      <c r="CW386" s="102" t="str">
        <f aca="false">IF(ISBLANK($C386),"",IF($BL386&lt;&gt;Constants!$B$4,"",$BO386+$BP386))</f>
        <v/>
      </c>
      <c r="CX386" s="104" t="str">
        <f aca="false">IF(ISBLANK($C386),"",IF($BL386&lt;&gt;Constants!$B$4,"",$BQ386+$BR386+$BS386))</f>
        <v/>
      </c>
      <c r="CY386" s="104" t="str">
        <f aca="false">IF(ISBLANK($C386),"",IF($BL386&lt;&gt;Constants!$B$4,"",$BT386))</f>
        <v/>
      </c>
      <c r="CZ386" s="104" t="str">
        <f aca="false">IF(ISBLANK($C386),"",IF($BL386&lt;&gt;Constants!$B$4,"",$BU386+$BV386))</f>
        <v/>
      </c>
      <c r="DA386" s="104" t="str">
        <f aca="false">IF(ISBLANK($C386),"",IF($BL386&lt;&gt;Constants!$B$4,"",$BW386))</f>
        <v/>
      </c>
      <c r="DB386" s="104" t="str">
        <f aca="false">IF(ISBLANK($C386),"",IF($BL386&lt;&gt;Constants!$B$4,"",-$CD386))</f>
        <v/>
      </c>
      <c r="DC386" s="103" t="str">
        <f aca="false">IF(ISBLANK($C386),"",$CE386)</f>
        <v/>
      </c>
      <c r="DD386" s="105" t="str">
        <f aca="false">IF(ISBLANK($C386),"",$BM386)</f>
        <v/>
      </c>
      <c r="DE386" s="104" t="str">
        <f aca="false">IF(ISBLANK($C386),"",$CL386)</f>
        <v/>
      </c>
      <c r="DF386" s="104" t="str">
        <f aca="false">IF(ISBLANK($C386),"",$CK386)</f>
        <v/>
      </c>
      <c r="DG386" s="106" t="str">
        <f aca="false">IF(ISBLANK($C386),"",IF($DF386=Constants!$B$7,COUNTA($C$9:$C$508)+2,IF($DF386=Constants!$B$6,COUNTA($C$9:$C$508)+1,IF($DF386=Constants!$B$5,COUNTA($C$9:$C$508),$DF386))))</f>
        <v/>
      </c>
      <c r="DH386" s="7"/>
      <c r="DI386" s="107" t="n">
        <f aca="false">IF(OR(ISNUMBER($DF386),$DF386=Constants!$B$7,$DF386=Constants!$B$5,$DF386=Constants!$B$6),1,0)</f>
        <v>0</v>
      </c>
      <c r="DJ386" s="107" t="n">
        <v>378</v>
      </c>
      <c r="DK386" s="107" t="str">
        <f aca="false">IF(ISBLANK($C386),"",IF(ISNUMBER($DG386),$DG386+ROW($B386)/1000,""))</f>
        <v/>
      </c>
      <c r="DL386" s="107" t="str">
        <f aca="false">IF(ISNUMBER($DK386),RANK($DK386,$DK$9:$DK$508,1),"")</f>
        <v/>
      </c>
      <c r="DM386" s="107" t="str">
        <f aca="false">IF(ISBLANK($C386),"",$B386)</f>
        <v/>
      </c>
      <c r="DN386" s="107" t="str">
        <f aca="false">IF(ISBLANK($C386),"",$C386)</f>
        <v/>
      </c>
      <c r="DO386" s="107" t="str">
        <f aca="false">IF(ISBLANK($C386),"",$D386)</f>
        <v/>
      </c>
      <c r="DP386" s="108" t="str">
        <f aca="false">$DD386</f>
        <v/>
      </c>
      <c r="DQ386" s="109" t="str">
        <f aca="false">$DC386</f>
        <v/>
      </c>
      <c r="DR386" s="107" t="str">
        <f aca="false">IF(ISBLANK($C386),"",$DF386)</f>
        <v/>
      </c>
      <c r="DS386" s="110" t="str">
        <f aca="false">IF($DJ386&gt;$DI$8,"",VLOOKUP($DJ386,$DL$9:$DR$508,7,FALSE()))</f>
        <v/>
      </c>
      <c r="DT386" s="111" t="str">
        <f aca="false">IF($DJ386&gt;$DI$8,"",VLOOKUP($DJ386,$DL$9:$DR$508,2,FALSE()))</f>
        <v/>
      </c>
      <c r="DU386" s="111" t="str">
        <f aca="false">IF($DJ386&gt;$DI$8,"",VLOOKUP($DJ386,$DL$9:$DR$508,3,FALSE()))</f>
        <v/>
      </c>
      <c r="DV386" s="111" t="str">
        <f aca="false">IF($DJ386&gt;$DI$8,"",VLOOKUP($DJ386,$DL$9:$DR$508,4,FALSE()))</f>
        <v/>
      </c>
      <c r="DW386" s="111" t="str">
        <f aca="false">IF($DJ386&gt;$DI$8,"",VLOOKUP($DJ386,$DL$9:$DR$508,5,FALSE()))</f>
        <v/>
      </c>
      <c r="DX386" s="112" t="str">
        <f aca="false">IF($DJ386&gt;$DI$8,"",VLOOKUP($DJ386,$DL$9:$DR$508,6,FALSE()))</f>
        <v/>
      </c>
      <c r="DY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88"/>
      <c r="N387" s="88"/>
      <c r="O387" s="134"/>
      <c r="P387" s="134"/>
      <c r="Q387" s="88"/>
      <c r="R387" s="88"/>
      <c r="S387" s="88"/>
      <c r="T387" s="88"/>
      <c r="U387" s="134"/>
      <c r="V387" s="88"/>
      <c r="W387" s="70"/>
      <c r="X387" s="88"/>
      <c r="Y387" s="88"/>
      <c r="Z387" s="70"/>
      <c r="AA387" s="70"/>
      <c r="AB387" s="88"/>
      <c r="AC387" s="88"/>
      <c r="AD387" s="88"/>
      <c r="AE387" s="71"/>
      <c r="AF387" s="88"/>
      <c r="AG387" s="73"/>
      <c r="AH387" s="74"/>
      <c r="AI387" s="74"/>
      <c r="AJ387" s="74" t="str">
        <f aca="false">IF(ISBLANK($C387),"",IF($E387=Constants!$B$2,TRUE(),IF($E387=Constants!$B$3,FALSE(),TRUE())))</f>
        <v/>
      </c>
      <c r="AK387" s="74" t="str">
        <f aca="false">IF(ISBLANK($C387),"",IF($F387=Constants!$B$2,TRUE(),IF($F387=Constants!$B$3,FALSE(),FALSE())))</f>
        <v/>
      </c>
      <c r="AL387" s="74" t="str">
        <f aca="false">IF(ISBLANK($C387),"",IF($G387=Constants!$B$2,TRUE(),IF($G387=Constants!$B$3,FALSE(),TRUE())))</f>
        <v/>
      </c>
      <c r="AM387" s="74" t="str">
        <f aca="false">IF(ISBLANK($C387),"",IF($H387=Constants!$B$2,TRUE(),IF($H387=Constants!$B$3,FALSE(),TRUE())))</f>
        <v/>
      </c>
      <c r="AN387" s="74" t="str">
        <f aca="false">IF(ISBLANK($C387),"",IF(ISNUMBER($I387),IF($I387&gt;=0,$I387,""),""))</f>
        <v/>
      </c>
      <c r="AO387" s="74" t="str">
        <f aca="false">IF(ISBLANK($C387),"",IF(ISNUMBER($J387),IF($J387&gt;=0,$J387,""),""))</f>
        <v/>
      </c>
      <c r="AP387" s="74" t="str">
        <f aca="false">IF(ISBLANK($C387),"",IF(ISNUMBER($K387),IF($K387&gt;=0,$K387,""),""))</f>
        <v/>
      </c>
      <c r="AQ387" s="74" t="str">
        <f aca="false">IF(ISBLANK($C387),"",IF($L387=Constants!$B$2,TRUE(),IF($L387=Constants!$B$3,FALSE(),TRUE())))</f>
        <v/>
      </c>
      <c r="AR387" s="74" t="str">
        <f aca="false">IF(ISBLANK($C387),"",IF($M387=Constants!$B$2,TRUE(),IF($M387=Constants!$B$3,FALSE(),TRUE())))</f>
        <v/>
      </c>
      <c r="AS387" s="74" t="str">
        <f aca="false">IF(ISBLANK($C387),"",IF($N387=Constants!$B$2,TRUE(),IF($N387=Constants!$B$3,FALSE(),FALSE())))</f>
        <v/>
      </c>
      <c r="AT387" s="74" t="str">
        <f aca="false">IF(ISBLANK($C387),"",IF($O387=Constants!$B$2,TRUE(),IF($O387=Constants!$B$3,FALSE(),TRUE())))</f>
        <v/>
      </c>
      <c r="AU387" s="74" t="str">
        <f aca="false">IF(ISBLANK($C387),"",IF($P387=Constants!$B$2,TRUE(),IF($P387=Constants!$B$3,FALSE(),TRUE())))</f>
        <v/>
      </c>
      <c r="AV387" s="74" t="str">
        <f aca="false">IF(ISBLANK($C387),"",IF($Q387=Constants!$B$2,TRUE(),IF($Q387=Constants!$B$3,FALSE(),FALSE())))</f>
        <v/>
      </c>
      <c r="AW387" s="74" t="str">
        <f aca="false">IF(ISBLANK($C387),"",IF($R387=Constants!$B$2,TRUE(),IF($R387=Constants!$B$3,FALSE(),FALSE())))</f>
        <v/>
      </c>
      <c r="AX387" s="74" t="str">
        <f aca="false">IF(ISBLANK($C387),"",IF($S387=Constants!$B$2,TRUE(),IF($S387=Constants!$B$3,FALSE(),FALSE())))</f>
        <v/>
      </c>
      <c r="AY387" s="74" t="str">
        <f aca="false">IF(ISBLANK($C387),"",IF($T387=Constants!$B$2,TRUE(),IF($T387=Constants!$B$3,FALSE(),FALSE())))</f>
        <v/>
      </c>
      <c r="AZ387" s="74" t="str">
        <f aca="false">IF(ISBLANK($C387),"",IF($U387=Constants!$B$2,TRUE(),IF($U387=Constants!$B$3,FALSE(),FALSE())))</f>
        <v/>
      </c>
      <c r="BA387" s="74" t="str">
        <f aca="false">IF(ISBLANK($C387),"",IF(OR($V387&amp;""="1",$V387&amp;""="2",$V387&amp;""="3",$V387&amp;""="4"),VALUE($V387&amp;""),IF($V387=Constants!$B$12,Constants!$B$12,"")))</f>
        <v/>
      </c>
      <c r="BB387" s="74" t="str">
        <f aca="false">IF(ISBLANK($C387),"",IF(ISBLANK($W387),0,IF(ISNUMBER($W387),IF(AND($W387&gt;=0,$W387&lt;=Constants!$B$21,$W387=INT($W387)),$W387,""),"")))</f>
        <v/>
      </c>
      <c r="BC387" s="74" t="str">
        <f aca="false">IF(ISBLANK($C387),"",IF(ISBLANK($X387),0,IF(ISNUMBER($X387),IF($X387&gt;=0,$X387,""),"")))</f>
        <v/>
      </c>
      <c r="BD387" s="74" t="str">
        <f aca="false">IF(ISBLANK($C387),"",IF($Y387=Constants!$B$2,TRUE(),IF($Y387=Constants!$B$3,FALSE(),TRUE())))</f>
        <v/>
      </c>
      <c r="BE387" s="74" t="str">
        <f aca="false">IF(ISBLANK($C387),"",IF($Z387=Constants!$B$2,TRUE(),IF($Z387=Constants!$B$3,FALSE(),FALSE())))</f>
        <v/>
      </c>
      <c r="BF387" s="74" t="str">
        <f aca="false">IF(ISBLANK($C387),"",IF(ISBLANK($AA387),0,IF(ISNUMBER($AA387),IF(AND($AA387&gt;=0,$AA387&lt;=Constants!$B$35,$AA387=INT($AA387)),$AA387,""),"")))</f>
        <v/>
      </c>
      <c r="BG387" s="74" t="str">
        <f aca="false">IF(ISBLANK($C387),"",IF($AB387=Constants!$B$2,TRUE(),IF($AB387=Constants!$B$3,FALSE(),TRUE())))</f>
        <v/>
      </c>
      <c r="BH387" s="74" t="str">
        <f aca="false">IF(ISBLANK($C387),"",IF($AC387=Constants!$B$2,TRUE(),IF($AC387=Constants!$B$3,FALSE(),TRUE())))</f>
        <v/>
      </c>
      <c r="BI387" s="74" t="str">
        <f aca="false">IF(ISBLANK($C387),"",IF($AD387=Constants!$B$2,TRUE(),IF($AD387=Constants!$B$3,FALSE(),TRUE())))</f>
        <v/>
      </c>
      <c r="BJ387" s="74" t="str">
        <f aca="false">IF(ISBLANK($C387),"",IF(ISNUMBER($AE387),IF($AE387&gt;=0,$AE387,""),""))</f>
        <v/>
      </c>
      <c r="BK387" s="74" t="str">
        <f aca="false">IF(ISBLANK($C387),"",IF($AF387=Constants!$B$2,TRUE(),IF($AF387=Constants!$B$3,FALSE(),FALSE())))</f>
        <v/>
      </c>
      <c r="BL387" s="73" t="str">
        <f aca="false">IF(ISBLANK($C387),"",IF($BK387,Constants!$B$7,IF(COUNTA($E387:$AE387)=0,Constants!$B$6,IF(OR(COUNTA($G387:$AE387)=0,NOT($AM387),$AS387),Constants!$B$5,IF(OR($CM387&lt;&gt;"",$CN387,$CO387,$CP387,$CQ387,$CR387,$CS387),Constants!$B$8,Constants!$B$4)))))</f>
        <v/>
      </c>
      <c r="BM387" s="74" t="str">
        <f aca="false">IF(ISBLANK($C387),"",IF($BL387&lt;&gt;Constants!$B$4,$BL387,IF(OR(NOT($AJ387),NOT($AL387),NOT($AT387)),Constants!$B$11,IF(OR(NOT($AR387),NOT($AU387),NOT($BI387),MAX($AN387,$AO387,$AP387)&gt;Constants!$B$30),Constants!$B$10,Constants!$B$9))))</f>
        <v/>
      </c>
      <c r="BN387" s="74" t="str">
        <f aca="false">IF($BL387&lt;&gt;Constants!$B$4,"",IF(NOT($AL387),0,MIN(Constants!$B$35,$BF387)))</f>
        <v/>
      </c>
      <c r="BO387" s="74" t="str">
        <f aca="false">IF($BL387&lt;&gt;Constants!$B$4,"",IF(NOT($AL387),0,IF($AW387,Constants!$B$18,IF($AV387,Constants!$B$17,0))))</f>
        <v/>
      </c>
      <c r="BP387" s="74" t="str">
        <f aca="false">IF($BL387&lt;&gt;Constants!$B$4,"",IF(NOT($AL387),0,Constants!$B$19*($AK387+$AX387+$AY387+$AZ387)))</f>
        <v/>
      </c>
      <c r="BQ387" s="74" t="str">
        <f aca="false">IF($BL387&lt;&gt;Constants!$B$4,"",IF(OR(NOT($AL387),NOT(ISNUMBER($BA387))),0,CHOOSE($BA387,Constants!$B$13,Constants!$B$14,Constants!$B$15,Constants!$B$16)))</f>
        <v/>
      </c>
      <c r="BR387" s="74" t="str">
        <f aca="false">IF($BL387&lt;&gt;Constants!$B$4,"",IF(NOT($AL387),0,Constants!$B$20*$BB387))</f>
        <v/>
      </c>
      <c r="BS387" s="74" t="str">
        <f aca="false">IF($BL387&lt;&gt;Constants!$B$4,"",IF(AND($AL387,$BD387,$BE387),Constants!$B$22,0))</f>
        <v/>
      </c>
      <c r="BT387" s="74" t="str">
        <f aca="false">IF($BL387&lt;&gt;Constants!$B$4,"",IF(OR(NOT($AL387),NOT($BD387)),0,IF($BJ387&gt;=2*$AH$9,0,Constants!$B$23*INT(ROUND(MIN($BJ387,$AH$9),6)))))</f>
        <v/>
      </c>
      <c r="BU387" s="74" t="str">
        <f aca="false">IF($BL387&lt;&gt;Constants!$B$4,"",IF(NOT($AL387),0,Constants!$B$24*INT(ROUND(MIN($BC387,$AH$9),6))))</f>
        <v/>
      </c>
      <c r="BV387" s="74" t="str">
        <f aca="false">IF($BL387&lt;&gt;Constants!$B$4,"",IF(AND($AL387,$BN387=0),Constants!$B$25,0))</f>
        <v/>
      </c>
      <c r="BW387" s="74" t="str">
        <f aca="false">IF($BL387&lt;&gt;Constants!$B$4,"",MIN(Constants!$B$29,MAX(0,Constants!$B$27*Constants!$B$28*INT(ROUND((Constants!$B$26-$AN387)/Constants!$B$28,6))))+MIN(Constants!$B$29,MAX(0,Constants!$B$27*Constants!$B$28*INT(ROUND((Constants!$B$26-$AO387)/Constants!$B$28,6))))+MIN(Constants!$B$29,MAX(0,Constants!$B$27*Constants!$B$28*INT(ROUND((Constants!$B$26-$AP387)/Constants!$B$28,6)))))</f>
        <v/>
      </c>
      <c r="BX387" s="74" t="str">
        <f aca="false">IF($BL387&lt;&gt;Constants!$B$4,"",IF(NOT($AL387),0,Constants!$B$31*INT(ROUND(MAX(0,MIN($BJ387,2*$AH$9)-$AH$9),6))))</f>
        <v/>
      </c>
      <c r="BY387" s="74" t="str">
        <f aca="false">IF($BL387&lt;&gt;Constants!$B$4,"",Constants!$B$32*(($AN387&gt;Constants!$B$26)+($AO387&gt;Constants!$B$26)+($AP387&gt;Constants!$B$26)))</f>
        <v/>
      </c>
      <c r="BZ387" s="74" t="str">
        <f aca="false">IF($BL387&lt;&gt;Constants!$B$4,"",IF(OR(NOT($AL387),$AQ387),0,Constants!$B$33))</f>
        <v/>
      </c>
      <c r="CA387" s="74" t="str">
        <f aca="false">IF($BL387&lt;&gt;Constants!$B$4,"",Constants!$B$34*$BN387)</f>
        <v/>
      </c>
      <c r="CB387" s="74" t="str">
        <f aca="false">IF($BL387&lt;&gt;Constants!$B$4,"",IF(OR(NOT($AL387),$BH387),0,Constants!$B$36))</f>
        <v/>
      </c>
      <c r="CC387" s="74" t="str">
        <f aca="false">IF($BL387&lt;&gt;Constants!$B$4,"",IF(OR(NOT($AL387),$BG387),0,Constants!$B$37))</f>
        <v/>
      </c>
      <c r="CD387" s="74" t="str">
        <f aca="false">IF($BL387&lt;&gt;Constants!$B$4,"",SUM($BX387:$CC387))</f>
        <v/>
      </c>
      <c r="CE387" s="74" t="str">
        <f aca="false">IF(ISBLANK($C387),"",IF($BL387&lt;&gt;Constants!$B$4,$BL387,SUM($BO387:$BW387)-$CD387))</f>
        <v/>
      </c>
      <c r="CF387" s="74" t="str">
        <f aca="false">IF(ISBLANK($C387),"",IF($BL387&lt;&gt;Constants!$B$4,$BL387,RANK($CE387,$CE$9:$CE$508)))</f>
        <v/>
      </c>
      <c r="CG387" s="74" t="str">
        <f aca="false">IF(ISBLANK($C387),"",IF($BL387&lt;&gt;Constants!$B$4,$BL387,COUNTIFS($BM$9:$BM$508,"&lt;"&amp;$BM387)+COUNTIFS($BM$9:$BM$508,$BM387,$CF$9:$CF$508,"&lt;"&amp;$CF387)+1))</f>
        <v/>
      </c>
      <c r="CH387" s="74" t="str">
        <f aca="false">IF(ISBLANK($C387),"",IF($BL387&lt;&gt;Constants!$B$4,$BL387,RANK($CD387,$CD$9:$CD$508,1)))</f>
        <v/>
      </c>
      <c r="CI387" s="74" t="str">
        <f aca="false">IF($BL387&lt;&gt;Constants!$B$4,"",$AN387+$AO387+$AP387)</f>
        <v/>
      </c>
      <c r="CJ387" s="74" t="str">
        <f aca="false">IF(ISBLANK($C387),"",IF($BL387&lt;&gt;Constants!$B$4,$BL387,RANK($CI387,$CI$9:$CI$508,1)))</f>
        <v/>
      </c>
      <c r="CK387" s="74" t="str">
        <f aca="false">IF(ISBLANK($C387),"",IF($BL387&lt;&gt;Constants!$B$4,$BL387,COUNTIFS($BM$9:$BM$508,"&lt;"&amp;$BM387)+COUNTIFS($BM$9:$BM$508,$BM387,$CF$9:$CF$508,"&lt;"&amp;$CF387)+COUNTIFS($BM$9:$BM$508,$BM387,$CF$9:$CF$508,$CF387,$CH$9:$CH$508,"&lt;"&amp;$CH387)+COUNTIFS($BM$9:$BM$508,$BM387,$CF$9:$CF$508,$CF387,$CH$9:$CH$508,$CH387,$CJ$9:$CJ$508,"&lt;"&amp;$CJ387)+1))</f>
        <v/>
      </c>
      <c r="CL387" s="74" t="str">
        <f aca="false">IF(ISBLANK($C387),"",IF($BL387&lt;&gt;Constants!$B$4,$BL387,$CG387-$CK387))</f>
        <v/>
      </c>
      <c r="CM387" s="74" t="str">
        <f aca="false">IF(ISBLANK($C387),"",IF(NOT($AL387),"",IF(ISBLANK($D$7),$CM$5,IF(NOT(ISNUMBER($D$7)),$CM$6,""))))</f>
        <v/>
      </c>
      <c r="CN387" s="74" t="str">
        <f aca="false">IF(ISBLANK($C387),"",OR($AN387="",$AO387="",$AP387=""))</f>
        <v/>
      </c>
      <c r="CO387" s="74" t="str">
        <f aca="false">IF(ISBLANK($C387),"",AND($AL387,$BA387=""))</f>
        <v/>
      </c>
      <c r="CP387" s="74" t="str">
        <f aca="false">IF(ISBLANK($C387),"",AND($AL387,$BB387=""))</f>
        <v/>
      </c>
      <c r="CQ387" s="74" t="str">
        <f aca="false">IF(ISBLANK($C387),"",AND($AL387,$BC387=""))</f>
        <v/>
      </c>
      <c r="CR387" s="74" t="str">
        <f aca="false">IF(ISBLANK($C387),"",AND($AL387,$BF387=""))</f>
        <v/>
      </c>
      <c r="CS387" s="74" t="str">
        <f aca="false">IF(ISBLANK($C387),"",AND($AL387,$BJ387=""))</f>
        <v/>
      </c>
      <c r="CT387" s="75"/>
      <c r="CU387" s="76"/>
      <c r="CV387" s="79" t="str">
        <f aca="false">IF(ISBLANK($C387),"",IF($BL387=Constants!$B$8,$CM387,""))</f>
        <v/>
      </c>
      <c r="CW387" s="76" t="str">
        <f aca="false">IF(ISBLANK($C387),"",IF($BL387&lt;&gt;Constants!$B$4,"",$BO387+$BP387))</f>
        <v/>
      </c>
      <c r="CX387" s="78" t="str">
        <f aca="false">IF(ISBLANK($C387),"",IF($BL387&lt;&gt;Constants!$B$4,"",$BQ387+$BR387+$BS387))</f>
        <v/>
      </c>
      <c r="CY387" s="78" t="str">
        <f aca="false">IF(ISBLANK($C387),"",IF($BL387&lt;&gt;Constants!$B$4,"",$BT387))</f>
        <v/>
      </c>
      <c r="CZ387" s="78" t="str">
        <f aca="false">IF(ISBLANK($C387),"",IF($BL387&lt;&gt;Constants!$B$4,"",$BU387+$BV387))</f>
        <v/>
      </c>
      <c r="DA387" s="78" t="str">
        <f aca="false">IF(ISBLANK($C387),"",IF($BL387&lt;&gt;Constants!$B$4,"",$BW387))</f>
        <v/>
      </c>
      <c r="DB387" s="78" t="str">
        <f aca="false">IF(ISBLANK($C387),"",IF($BL387&lt;&gt;Constants!$B$4,"",-$CD387))</f>
        <v/>
      </c>
      <c r="DC387" s="79" t="str">
        <f aca="false">IF(ISBLANK($C387),"",$CE387)</f>
        <v/>
      </c>
      <c r="DD387" s="80" t="str">
        <f aca="false">IF(ISBLANK($C387),"",$BM387)</f>
        <v/>
      </c>
      <c r="DE387" s="78" t="str">
        <f aca="false">IF(ISBLANK($C387),"",$CL387)</f>
        <v/>
      </c>
      <c r="DF387" s="78" t="str">
        <f aca="false">IF(ISBLANK($C387),"",$CK387)</f>
        <v/>
      </c>
      <c r="DG387" s="81" t="str">
        <f aca="false">IF(ISBLANK($C387),"",IF($DF387=Constants!$B$7,COUNTA($C$9:$C$508)+2,IF($DF387=Constants!$B$6,COUNTA($C$9:$C$508)+1,IF($DF387=Constants!$B$5,COUNTA($C$9:$C$508),$DF387))))</f>
        <v/>
      </c>
      <c r="DH387" s="7"/>
      <c r="DI387" s="82" t="n">
        <f aca="false">IF(OR(ISNUMBER($DF387),$DF387=Constants!$B$7,$DF387=Constants!$B$5,$DF387=Constants!$B$6),1,0)</f>
        <v>0</v>
      </c>
      <c r="DJ387" s="82" t="n">
        <v>379</v>
      </c>
      <c r="DK387" s="82" t="str">
        <f aca="false">IF(ISBLANK($C387),"",IF(ISNUMBER($DG387),$DG387+ROW($B387)/1000,""))</f>
        <v/>
      </c>
      <c r="DL387" s="82" t="str">
        <f aca="false">IF(ISNUMBER($DK387),RANK($DK387,$DK$9:$DK$508,1),"")</f>
        <v/>
      </c>
      <c r="DM387" s="82" t="str">
        <f aca="false">IF(ISBLANK($C387),"",$B387)</f>
        <v/>
      </c>
      <c r="DN387" s="82" t="str">
        <f aca="false">IF(ISBLANK($C387),"",$C387)</f>
        <v/>
      </c>
      <c r="DO387" s="82" t="str">
        <f aca="false">IF(ISBLANK($C387),"",$D387)</f>
        <v/>
      </c>
      <c r="DP387" s="83" t="str">
        <f aca="false">$DD387</f>
        <v/>
      </c>
      <c r="DQ387" s="84" t="str">
        <f aca="false">$DC387</f>
        <v/>
      </c>
      <c r="DR387" s="82" t="str">
        <f aca="false">IF(ISBLANK($C387),"",$DF387)</f>
        <v/>
      </c>
      <c r="DS387" s="85" t="str">
        <f aca="false">IF($DJ387&gt;$DI$8,"",VLOOKUP($DJ387,$DL$9:$DR$508,7,FALSE()))</f>
        <v/>
      </c>
      <c r="DT387" s="86" t="str">
        <f aca="false">IF($DJ387&gt;$DI$8,"",VLOOKUP($DJ387,$DL$9:$DR$508,2,FALSE()))</f>
        <v/>
      </c>
      <c r="DU387" s="86" t="str">
        <f aca="false">IF($DJ387&gt;$DI$8,"",VLOOKUP($DJ387,$DL$9:$DR$508,3,FALSE()))</f>
        <v/>
      </c>
      <c r="DV387" s="86" t="str">
        <f aca="false">IF($DJ387&gt;$DI$8,"",VLOOKUP($DJ387,$DL$9:$DR$508,4,FALSE()))</f>
        <v/>
      </c>
      <c r="DW387" s="86" t="str">
        <f aca="false">IF($DJ387&gt;$DI$8,"",VLOOKUP($DJ387,$DL$9:$DR$508,5,FALSE()))</f>
        <v/>
      </c>
      <c r="DX387" s="87" t="str">
        <f aca="false">IF($DJ387&gt;$DI$8,"",VLOOKUP($DJ387,$DL$9:$DR$508,6,FALSE()))</f>
        <v/>
      </c>
      <c r="DY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88"/>
      <c r="N388" s="88"/>
      <c r="O388" s="134"/>
      <c r="P388" s="134"/>
      <c r="Q388" s="88"/>
      <c r="R388" s="88"/>
      <c r="S388" s="88"/>
      <c r="T388" s="88"/>
      <c r="U388" s="134"/>
      <c r="V388" s="88"/>
      <c r="W388" s="70"/>
      <c r="X388" s="88"/>
      <c r="Y388" s="88"/>
      <c r="Z388" s="70"/>
      <c r="AA388" s="70"/>
      <c r="AB388" s="88"/>
      <c r="AC388" s="88"/>
      <c r="AD388" s="88"/>
      <c r="AE388" s="71"/>
      <c r="AF388" s="88"/>
      <c r="AG388" s="73"/>
      <c r="AH388" s="74"/>
      <c r="AI388" s="74"/>
      <c r="AJ388" s="74" t="str">
        <f aca="false">IF(ISBLANK($C388),"",IF($E388=Constants!$B$2,TRUE(),IF($E388=Constants!$B$3,FALSE(),TRUE())))</f>
        <v/>
      </c>
      <c r="AK388" s="74" t="str">
        <f aca="false">IF(ISBLANK($C388),"",IF($F388=Constants!$B$2,TRUE(),IF($F388=Constants!$B$3,FALSE(),FALSE())))</f>
        <v/>
      </c>
      <c r="AL388" s="74" t="str">
        <f aca="false">IF(ISBLANK($C388),"",IF($G388=Constants!$B$2,TRUE(),IF($G388=Constants!$B$3,FALSE(),TRUE())))</f>
        <v/>
      </c>
      <c r="AM388" s="74" t="str">
        <f aca="false">IF(ISBLANK($C388),"",IF($H388=Constants!$B$2,TRUE(),IF($H388=Constants!$B$3,FALSE(),TRUE())))</f>
        <v/>
      </c>
      <c r="AN388" s="74" t="str">
        <f aca="false">IF(ISBLANK($C388),"",IF(ISNUMBER($I388),IF($I388&gt;=0,$I388,""),""))</f>
        <v/>
      </c>
      <c r="AO388" s="74" t="str">
        <f aca="false">IF(ISBLANK($C388),"",IF(ISNUMBER($J388),IF($J388&gt;=0,$J388,""),""))</f>
        <v/>
      </c>
      <c r="AP388" s="74" t="str">
        <f aca="false">IF(ISBLANK($C388),"",IF(ISNUMBER($K388),IF($K388&gt;=0,$K388,""),""))</f>
        <v/>
      </c>
      <c r="AQ388" s="74" t="str">
        <f aca="false">IF(ISBLANK($C388),"",IF($L388=Constants!$B$2,TRUE(),IF($L388=Constants!$B$3,FALSE(),TRUE())))</f>
        <v/>
      </c>
      <c r="AR388" s="74" t="str">
        <f aca="false">IF(ISBLANK($C388),"",IF($M388=Constants!$B$2,TRUE(),IF($M388=Constants!$B$3,FALSE(),TRUE())))</f>
        <v/>
      </c>
      <c r="AS388" s="74" t="str">
        <f aca="false">IF(ISBLANK($C388),"",IF($N388=Constants!$B$2,TRUE(),IF($N388=Constants!$B$3,FALSE(),FALSE())))</f>
        <v/>
      </c>
      <c r="AT388" s="74" t="str">
        <f aca="false">IF(ISBLANK($C388),"",IF($O388=Constants!$B$2,TRUE(),IF($O388=Constants!$B$3,FALSE(),TRUE())))</f>
        <v/>
      </c>
      <c r="AU388" s="74" t="str">
        <f aca="false">IF(ISBLANK($C388),"",IF($P388=Constants!$B$2,TRUE(),IF($P388=Constants!$B$3,FALSE(),TRUE())))</f>
        <v/>
      </c>
      <c r="AV388" s="74" t="str">
        <f aca="false">IF(ISBLANK($C388),"",IF($Q388=Constants!$B$2,TRUE(),IF($Q388=Constants!$B$3,FALSE(),FALSE())))</f>
        <v/>
      </c>
      <c r="AW388" s="74" t="str">
        <f aca="false">IF(ISBLANK($C388),"",IF($R388=Constants!$B$2,TRUE(),IF($R388=Constants!$B$3,FALSE(),FALSE())))</f>
        <v/>
      </c>
      <c r="AX388" s="74" t="str">
        <f aca="false">IF(ISBLANK($C388),"",IF($S388=Constants!$B$2,TRUE(),IF($S388=Constants!$B$3,FALSE(),FALSE())))</f>
        <v/>
      </c>
      <c r="AY388" s="74" t="str">
        <f aca="false">IF(ISBLANK($C388),"",IF($T388=Constants!$B$2,TRUE(),IF($T388=Constants!$B$3,FALSE(),FALSE())))</f>
        <v/>
      </c>
      <c r="AZ388" s="74" t="str">
        <f aca="false">IF(ISBLANK($C388),"",IF($U388=Constants!$B$2,TRUE(),IF($U388=Constants!$B$3,FALSE(),FALSE())))</f>
        <v/>
      </c>
      <c r="BA388" s="74" t="str">
        <f aca="false">IF(ISBLANK($C388),"",IF(OR($V388&amp;""="1",$V388&amp;""="2",$V388&amp;""="3",$V388&amp;""="4"),VALUE($V388&amp;""),IF($V388=Constants!$B$12,Constants!$B$12,"")))</f>
        <v/>
      </c>
      <c r="BB388" s="74" t="str">
        <f aca="false">IF(ISBLANK($C388),"",IF(ISBLANK($W388),0,IF(ISNUMBER($W388),IF(AND($W388&gt;=0,$W388&lt;=Constants!$B$21,$W388=INT($W388)),$W388,""),"")))</f>
        <v/>
      </c>
      <c r="BC388" s="74" t="str">
        <f aca="false">IF(ISBLANK($C388),"",IF(ISBLANK($X388),0,IF(ISNUMBER($X388),IF($X388&gt;=0,$X388,""),"")))</f>
        <v/>
      </c>
      <c r="BD388" s="74" t="str">
        <f aca="false">IF(ISBLANK($C388),"",IF($Y388=Constants!$B$2,TRUE(),IF($Y388=Constants!$B$3,FALSE(),TRUE())))</f>
        <v/>
      </c>
      <c r="BE388" s="74" t="str">
        <f aca="false">IF(ISBLANK($C388),"",IF($Z388=Constants!$B$2,TRUE(),IF($Z388=Constants!$B$3,FALSE(),FALSE())))</f>
        <v/>
      </c>
      <c r="BF388" s="74" t="str">
        <f aca="false">IF(ISBLANK($C388),"",IF(ISBLANK($AA388),0,IF(ISNUMBER($AA388),IF(AND($AA388&gt;=0,$AA388&lt;=Constants!$B$35,$AA388=INT($AA388)),$AA388,""),"")))</f>
        <v/>
      </c>
      <c r="BG388" s="74" t="str">
        <f aca="false">IF(ISBLANK($C388),"",IF($AB388=Constants!$B$2,TRUE(),IF($AB388=Constants!$B$3,FALSE(),TRUE())))</f>
        <v/>
      </c>
      <c r="BH388" s="74" t="str">
        <f aca="false">IF(ISBLANK($C388),"",IF($AC388=Constants!$B$2,TRUE(),IF($AC388=Constants!$B$3,FALSE(),TRUE())))</f>
        <v/>
      </c>
      <c r="BI388" s="74" t="str">
        <f aca="false">IF(ISBLANK($C388),"",IF($AD388=Constants!$B$2,TRUE(),IF($AD388=Constants!$B$3,FALSE(),TRUE())))</f>
        <v/>
      </c>
      <c r="BJ388" s="74" t="str">
        <f aca="false">IF(ISBLANK($C388),"",IF(ISNUMBER($AE388),IF($AE388&gt;=0,$AE388,""),""))</f>
        <v/>
      </c>
      <c r="BK388" s="74" t="str">
        <f aca="false">IF(ISBLANK($C388),"",IF($AF388=Constants!$B$2,TRUE(),IF($AF388=Constants!$B$3,FALSE(),FALSE())))</f>
        <v/>
      </c>
      <c r="BL388" s="73" t="str">
        <f aca="false">IF(ISBLANK($C388),"",IF($BK388,Constants!$B$7,IF(COUNTA($E388:$AE388)=0,Constants!$B$6,IF(OR(COUNTA($G388:$AE388)=0,NOT($AM388),$AS388),Constants!$B$5,IF(OR($CM388&lt;&gt;"",$CN388,$CO388,$CP388,$CQ388,$CR388,$CS388),Constants!$B$8,Constants!$B$4)))))</f>
        <v/>
      </c>
      <c r="BM388" s="74" t="str">
        <f aca="false">IF(ISBLANK($C388),"",IF($BL388&lt;&gt;Constants!$B$4,$BL388,IF(OR(NOT($AJ388),NOT($AL388),NOT($AT388)),Constants!$B$11,IF(OR(NOT($AR388),NOT($AU388),NOT($BI388),MAX($AN388,$AO388,$AP388)&gt;Constants!$B$30),Constants!$B$10,Constants!$B$9))))</f>
        <v/>
      </c>
      <c r="BN388" s="74" t="str">
        <f aca="false">IF($BL388&lt;&gt;Constants!$B$4,"",IF(NOT($AL388),0,MIN(Constants!$B$35,$BF388)))</f>
        <v/>
      </c>
      <c r="BO388" s="74" t="str">
        <f aca="false">IF($BL388&lt;&gt;Constants!$B$4,"",IF(NOT($AL388),0,IF($AW388,Constants!$B$18,IF($AV388,Constants!$B$17,0))))</f>
        <v/>
      </c>
      <c r="BP388" s="74" t="str">
        <f aca="false">IF($BL388&lt;&gt;Constants!$B$4,"",IF(NOT($AL388),0,Constants!$B$19*($AK388+$AX388+$AY388+$AZ388)))</f>
        <v/>
      </c>
      <c r="BQ388" s="74" t="str">
        <f aca="false">IF($BL388&lt;&gt;Constants!$B$4,"",IF(OR(NOT($AL388),NOT(ISNUMBER($BA388))),0,CHOOSE($BA388,Constants!$B$13,Constants!$B$14,Constants!$B$15,Constants!$B$16)))</f>
        <v/>
      </c>
      <c r="BR388" s="74" t="str">
        <f aca="false">IF($BL388&lt;&gt;Constants!$B$4,"",IF(NOT($AL388),0,Constants!$B$20*$BB388))</f>
        <v/>
      </c>
      <c r="BS388" s="74" t="str">
        <f aca="false">IF($BL388&lt;&gt;Constants!$B$4,"",IF(AND($AL388,$BD388,$BE388),Constants!$B$22,0))</f>
        <v/>
      </c>
      <c r="BT388" s="74" t="str">
        <f aca="false">IF($BL388&lt;&gt;Constants!$B$4,"",IF(OR(NOT($AL388),NOT($BD388)),0,IF($BJ388&gt;=2*$AH$9,0,Constants!$B$23*INT(ROUND(MIN($BJ388,$AH$9),6)))))</f>
        <v/>
      </c>
      <c r="BU388" s="74" t="str">
        <f aca="false">IF($BL388&lt;&gt;Constants!$B$4,"",IF(NOT($AL388),0,Constants!$B$24*INT(ROUND(MIN($BC388,$AH$9),6))))</f>
        <v/>
      </c>
      <c r="BV388" s="74" t="str">
        <f aca="false">IF($BL388&lt;&gt;Constants!$B$4,"",IF(AND($AL388,$BN388=0),Constants!$B$25,0))</f>
        <v/>
      </c>
      <c r="BW388" s="74" t="str">
        <f aca="false">IF($BL388&lt;&gt;Constants!$B$4,"",MIN(Constants!$B$29,MAX(0,Constants!$B$27*Constants!$B$28*INT(ROUND((Constants!$B$26-$AN388)/Constants!$B$28,6))))+MIN(Constants!$B$29,MAX(0,Constants!$B$27*Constants!$B$28*INT(ROUND((Constants!$B$26-$AO388)/Constants!$B$28,6))))+MIN(Constants!$B$29,MAX(0,Constants!$B$27*Constants!$B$28*INT(ROUND((Constants!$B$26-$AP388)/Constants!$B$28,6)))))</f>
        <v/>
      </c>
      <c r="BX388" s="74" t="str">
        <f aca="false">IF($BL388&lt;&gt;Constants!$B$4,"",IF(NOT($AL388),0,Constants!$B$31*INT(ROUND(MAX(0,MIN($BJ388,2*$AH$9)-$AH$9),6))))</f>
        <v/>
      </c>
      <c r="BY388" s="74" t="str">
        <f aca="false">IF($BL388&lt;&gt;Constants!$B$4,"",Constants!$B$32*(($AN388&gt;Constants!$B$26)+($AO388&gt;Constants!$B$26)+($AP388&gt;Constants!$B$26)))</f>
        <v/>
      </c>
      <c r="BZ388" s="74" t="str">
        <f aca="false">IF($BL388&lt;&gt;Constants!$B$4,"",IF(OR(NOT($AL388),$AQ388),0,Constants!$B$33))</f>
        <v/>
      </c>
      <c r="CA388" s="74" t="str">
        <f aca="false">IF($BL388&lt;&gt;Constants!$B$4,"",Constants!$B$34*$BN388)</f>
        <v/>
      </c>
      <c r="CB388" s="74" t="str">
        <f aca="false">IF($BL388&lt;&gt;Constants!$B$4,"",IF(OR(NOT($AL388),$BH388),0,Constants!$B$36))</f>
        <v/>
      </c>
      <c r="CC388" s="74" t="str">
        <f aca="false">IF($BL388&lt;&gt;Constants!$B$4,"",IF(OR(NOT($AL388),$BG388),0,Constants!$B$37))</f>
        <v/>
      </c>
      <c r="CD388" s="74" t="str">
        <f aca="false">IF($BL388&lt;&gt;Constants!$B$4,"",SUM($BX388:$CC388))</f>
        <v/>
      </c>
      <c r="CE388" s="74" t="str">
        <f aca="false">IF(ISBLANK($C388),"",IF($BL388&lt;&gt;Constants!$B$4,$BL388,SUM($BO388:$BW388)-$CD388))</f>
        <v/>
      </c>
      <c r="CF388" s="74" t="str">
        <f aca="false">IF(ISBLANK($C388),"",IF($BL388&lt;&gt;Constants!$B$4,$BL388,RANK($CE388,$CE$9:$CE$508)))</f>
        <v/>
      </c>
      <c r="CG388" s="74" t="str">
        <f aca="false">IF(ISBLANK($C388),"",IF($BL388&lt;&gt;Constants!$B$4,$BL388,COUNTIFS($BM$9:$BM$508,"&lt;"&amp;$BM388)+COUNTIFS($BM$9:$BM$508,$BM388,$CF$9:$CF$508,"&lt;"&amp;$CF388)+1))</f>
        <v/>
      </c>
      <c r="CH388" s="74" t="str">
        <f aca="false">IF(ISBLANK($C388),"",IF($BL388&lt;&gt;Constants!$B$4,$BL388,RANK($CD388,$CD$9:$CD$508,1)))</f>
        <v/>
      </c>
      <c r="CI388" s="74" t="str">
        <f aca="false">IF($BL388&lt;&gt;Constants!$B$4,"",$AN388+$AO388+$AP388)</f>
        <v/>
      </c>
      <c r="CJ388" s="74" t="str">
        <f aca="false">IF(ISBLANK($C388),"",IF($BL388&lt;&gt;Constants!$B$4,$BL388,RANK($CI388,$CI$9:$CI$508,1)))</f>
        <v/>
      </c>
      <c r="CK388" s="74" t="str">
        <f aca="false">IF(ISBLANK($C388),"",IF($BL388&lt;&gt;Constants!$B$4,$BL388,COUNTIFS($BM$9:$BM$508,"&lt;"&amp;$BM388)+COUNTIFS($BM$9:$BM$508,$BM388,$CF$9:$CF$508,"&lt;"&amp;$CF388)+COUNTIFS($BM$9:$BM$508,$BM388,$CF$9:$CF$508,$CF388,$CH$9:$CH$508,"&lt;"&amp;$CH388)+COUNTIFS($BM$9:$BM$508,$BM388,$CF$9:$CF$508,$CF388,$CH$9:$CH$508,$CH388,$CJ$9:$CJ$508,"&lt;"&amp;$CJ388)+1))</f>
        <v/>
      </c>
      <c r="CL388" s="74" t="str">
        <f aca="false">IF(ISBLANK($C388),"",IF($BL388&lt;&gt;Constants!$B$4,$BL388,$CG388-$CK388))</f>
        <v/>
      </c>
      <c r="CM388" s="74" t="str">
        <f aca="false">IF(ISBLANK($C388),"",IF(NOT($AL388),"",IF(ISBLANK($D$7),$CM$5,IF(NOT(ISNUMBER($D$7)),$CM$6,""))))</f>
        <v/>
      </c>
      <c r="CN388" s="74" t="str">
        <f aca="false">IF(ISBLANK($C388),"",OR($AN388="",$AO388="",$AP388=""))</f>
        <v/>
      </c>
      <c r="CO388" s="74" t="str">
        <f aca="false">IF(ISBLANK($C388),"",AND($AL388,$BA388=""))</f>
        <v/>
      </c>
      <c r="CP388" s="74" t="str">
        <f aca="false">IF(ISBLANK($C388),"",AND($AL388,$BB388=""))</f>
        <v/>
      </c>
      <c r="CQ388" s="74" t="str">
        <f aca="false">IF(ISBLANK($C388),"",AND($AL388,$BC388=""))</f>
        <v/>
      </c>
      <c r="CR388" s="74" t="str">
        <f aca="false">IF(ISBLANK($C388),"",AND($AL388,$BF388=""))</f>
        <v/>
      </c>
      <c r="CS388" s="74" t="str">
        <f aca="false">IF(ISBLANK($C388),"",AND($AL388,$BJ388=""))</f>
        <v/>
      </c>
      <c r="CT388" s="75"/>
      <c r="CU388" s="76"/>
      <c r="CV388" s="79" t="str">
        <f aca="false">IF(ISBLANK($C388),"",IF($BL388=Constants!$B$8,$CM388,""))</f>
        <v/>
      </c>
      <c r="CW388" s="76" t="str">
        <f aca="false">IF(ISBLANK($C388),"",IF($BL388&lt;&gt;Constants!$B$4,"",$BO388+$BP388))</f>
        <v/>
      </c>
      <c r="CX388" s="78" t="str">
        <f aca="false">IF(ISBLANK($C388),"",IF($BL388&lt;&gt;Constants!$B$4,"",$BQ388+$BR388+$BS388))</f>
        <v/>
      </c>
      <c r="CY388" s="78" t="str">
        <f aca="false">IF(ISBLANK($C388),"",IF($BL388&lt;&gt;Constants!$B$4,"",$BT388))</f>
        <v/>
      </c>
      <c r="CZ388" s="78" t="str">
        <f aca="false">IF(ISBLANK($C388),"",IF($BL388&lt;&gt;Constants!$B$4,"",$BU388+$BV388))</f>
        <v/>
      </c>
      <c r="DA388" s="78" t="str">
        <f aca="false">IF(ISBLANK($C388),"",IF($BL388&lt;&gt;Constants!$B$4,"",$BW388))</f>
        <v/>
      </c>
      <c r="DB388" s="78" t="str">
        <f aca="false">IF(ISBLANK($C388),"",IF($BL388&lt;&gt;Constants!$B$4,"",-$CD388))</f>
        <v/>
      </c>
      <c r="DC388" s="79" t="str">
        <f aca="false">IF(ISBLANK($C388),"",$CE388)</f>
        <v/>
      </c>
      <c r="DD388" s="80" t="str">
        <f aca="false">IF(ISBLANK($C388),"",$BM388)</f>
        <v/>
      </c>
      <c r="DE388" s="78" t="str">
        <f aca="false">IF(ISBLANK($C388),"",$CL388)</f>
        <v/>
      </c>
      <c r="DF388" s="78" t="str">
        <f aca="false">IF(ISBLANK($C388),"",$CK388)</f>
        <v/>
      </c>
      <c r="DG388" s="81" t="str">
        <f aca="false">IF(ISBLANK($C388),"",IF($DF388=Constants!$B$7,COUNTA($C$9:$C$508)+2,IF($DF388=Constants!$B$6,COUNTA($C$9:$C$508)+1,IF($DF388=Constants!$B$5,COUNTA($C$9:$C$508),$DF388))))</f>
        <v/>
      </c>
      <c r="DH388" s="7"/>
      <c r="DI388" s="82" t="n">
        <f aca="false">IF(OR(ISNUMBER($DF388),$DF388=Constants!$B$7,$DF388=Constants!$B$5,$DF388=Constants!$B$6),1,0)</f>
        <v>0</v>
      </c>
      <c r="DJ388" s="82" t="n">
        <v>380</v>
      </c>
      <c r="DK388" s="82" t="str">
        <f aca="false">IF(ISBLANK($C388),"",IF(ISNUMBER($DG388),$DG388+ROW($B388)/1000,""))</f>
        <v/>
      </c>
      <c r="DL388" s="82" t="str">
        <f aca="false">IF(ISNUMBER($DK388),RANK($DK388,$DK$9:$DK$508,1),"")</f>
        <v/>
      </c>
      <c r="DM388" s="82" t="str">
        <f aca="false">IF(ISBLANK($C388),"",$B388)</f>
        <v/>
      </c>
      <c r="DN388" s="82" t="str">
        <f aca="false">IF(ISBLANK($C388),"",$C388)</f>
        <v/>
      </c>
      <c r="DO388" s="82" t="str">
        <f aca="false">IF(ISBLANK($C388),"",$D388)</f>
        <v/>
      </c>
      <c r="DP388" s="83" t="str">
        <f aca="false">$DD388</f>
        <v/>
      </c>
      <c r="DQ388" s="84" t="str">
        <f aca="false">$DC388</f>
        <v/>
      </c>
      <c r="DR388" s="82" t="str">
        <f aca="false">IF(ISBLANK($C388),"",$DF388)</f>
        <v/>
      </c>
      <c r="DS388" s="85" t="str">
        <f aca="false">IF($DJ388&gt;$DI$8,"",VLOOKUP($DJ388,$DL$9:$DR$508,7,FALSE()))</f>
        <v/>
      </c>
      <c r="DT388" s="86" t="str">
        <f aca="false">IF($DJ388&gt;$DI$8,"",VLOOKUP($DJ388,$DL$9:$DR$508,2,FALSE()))</f>
        <v/>
      </c>
      <c r="DU388" s="86" t="str">
        <f aca="false">IF($DJ388&gt;$DI$8,"",VLOOKUP($DJ388,$DL$9:$DR$508,3,FALSE()))</f>
        <v/>
      </c>
      <c r="DV388" s="86" t="str">
        <f aca="false">IF($DJ388&gt;$DI$8,"",VLOOKUP($DJ388,$DL$9:$DR$508,4,FALSE()))</f>
        <v/>
      </c>
      <c r="DW388" s="86" t="str">
        <f aca="false">IF($DJ388&gt;$DI$8,"",VLOOKUP($DJ388,$DL$9:$DR$508,5,FALSE()))</f>
        <v/>
      </c>
      <c r="DX388" s="87" t="str">
        <f aca="false">IF($DJ388&gt;$DI$8,"",VLOOKUP($DJ388,$DL$9:$DR$508,6,FALSE()))</f>
        <v/>
      </c>
      <c r="DY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88"/>
      <c r="N389" s="88"/>
      <c r="O389" s="134"/>
      <c r="P389" s="134"/>
      <c r="Q389" s="88"/>
      <c r="R389" s="88"/>
      <c r="S389" s="88"/>
      <c r="T389" s="88"/>
      <c r="U389" s="134"/>
      <c r="V389" s="88"/>
      <c r="W389" s="70"/>
      <c r="X389" s="88"/>
      <c r="Y389" s="88"/>
      <c r="Z389" s="70"/>
      <c r="AA389" s="70"/>
      <c r="AB389" s="88"/>
      <c r="AC389" s="88"/>
      <c r="AD389" s="88"/>
      <c r="AE389" s="71"/>
      <c r="AF389" s="88"/>
      <c r="AG389" s="73"/>
      <c r="AH389" s="74"/>
      <c r="AI389" s="74"/>
      <c r="AJ389" s="74" t="str">
        <f aca="false">IF(ISBLANK($C389),"",IF($E389=Constants!$B$2,TRUE(),IF($E389=Constants!$B$3,FALSE(),TRUE())))</f>
        <v/>
      </c>
      <c r="AK389" s="74" t="str">
        <f aca="false">IF(ISBLANK($C389),"",IF($F389=Constants!$B$2,TRUE(),IF($F389=Constants!$B$3,FALSE(),FALSE())))</f>
        <v/>
      </c>
      <c r="AL389" s="74" t="str">
        <f aca="false">IF(ISBLANK($C389),"",IF($G389=Constants!$B$2,TRUE(),IF($G389=Constants!$B$3,FALSE(),TRUE())))</f>
        <v/>
      </c>
      <c r="AM389" s="74" t="str">
        <f aca="false">IF(ISBLANK($C389),"",IF($H389=Constants!$B$2,TRUE(),IF($H389=Constants!$B$3,FALSE(),TRUE())))</f>
        <v/>
      </c>
      <c r="AN389" s="74" t="str">
        <f aca="false">IF(ISBLANK($C389),"",IF(ISNUMBER($I389),IF($I389&gt;=0,$I389,""),""))</f>
        <v/>
      </c>
      <c r="AO389" s="74" t="str">
        <f aca="false">IF(ISBLANK($C389),"",IF(ISNUMBER($J389),IF($J389&gt;=0,$J389,""),""))</f>
        <v/>
      </c>
      <c r="AP389" s="74" t="str">
        <f aca="false">IF(ISBLANK($C389),"",IF(ISNUMBER($K389),IF($K389&gt;=0,$K389,""),""))</f>
        <v/>
      </c>
      <c r="AQ389" s="74" t="str">
        <f aca="false">IF(ISBLANK($C389),"",IF($L389=Constants!$B$2,TRUE(),IF($L389=Constants!$B$3,FALSE(),TRUE())))</f>
        <v/>
      </c>
      <c r="AR389" s="74" t="str">
        <f aca="false">IF(ISBLANK($C389),"",IF($M389=Constants!$B$2,TRUE(),IF($M389=Constants!$B$3,FALSE(),TRUE())))</f>
        <v/>
      </c>
      <c r="AS389" s="74" t="str">
        <f aca="false">IF(ISBLANK($C389),"",IF($N389=Constants!$B$2,TRUE(),IF($N389=Constants!$B$3,FALSE(),FALSE())))</f>
        <v/>
      </c>
      <c r="AT389" s="74" t="str">
        <f aca="false">IF(ISBLANK($C389),"",IF($O389=Constants!$B$2,TRUE(),IF($O389=Constants!$B$3,FALSE(),TRUE())))</f>
        <v/>
      </c>
      <c r="AU389" s="74" t="str">
        <f aca="false">IF(ISBLANK($C389),"",IF($P389=Constants!$B$2,TRUE(),IF($P389=Constants!$B$3,FALSE(),TRUE())))</f>
        <v/>
      </c>
      <c r="AV389" s="74" t="str">
        <f aca="false">IF(ISBLANK($C389),"",IF($Q389=Constants!$B$2,TRUE(),IF($Q389=Constants!$B$3,FALSE(),FALSE())))</f>
        <v/>
      </c>
      <c r="AW389" s="74" t="str">
        <f aca="false">IF(ISBLANK($C389),"",IF($R389=Constants!$B$2,TRUE(),IF($R389=Constants!$B$3,FALSE(),FALSE())))</f>
        <v/>
      </c>
      <c r="AX389" s="74" t="str">
        <f aca="false">IF(ISBLANK($C389),"",IF($S389=Constants!$B$2,TRUE(),IF($S389=Constants!$B$3,FALSE(),FALSE())))</f>
        <v/>
      </c>
      <c r="AY389" s="74" t="str">
        <f aca="false">IF(ISBLANK($C389),"",IF($T389=Constants!$B$2,TRUE(),IF($T389=Constants!$B$3,FALSE(),FALSE())))</f>
        <v/>
      </c>
      <c r="AZ389" s="74" t="str">
        <f aca="false">IF(ISBLANK($C389),"",IF($U389=Constants!$B$2,TRUE(),IF($U389=Constants!$B$3,FALSE(),FALSE())))</f>
        <v/>
      </c>
      <c r="BA389" s="74" t="str">
        <f aca="false">IF(ISBLANK($C389),"",IF(OR($V389&amp;""="1",$V389&amp;""="2",$V389&amp;""="3",$V389&amp;""="4"),VALUE($V389&amp;""),IF($V389=Constants!$B$12,Constants!$B$12,"")))</f>
        <v/>
      </c>
      <c r="BB389" s="74" t="str">
        <f aca="false">IF(ISBLANK($C389),"",IF(ISBLANK($W389),0,IF(ISNUMBER($W389),IF(AND($W389&gt;=0,$W389&lt;=Constants!$B$21,$W389=INT($W389)),$W389,""),"")))</f>
        <v/>
      </c>
      <c r="BC389" s="74" t="str">
        <f aca="false">IF(ISBLANK($C389),"",IF(ISBLANK($X389),0,IF(ISNUMBER($X389),IF($X389&gt;=0,$X389,""),"")))</f>
        <v/>
      </c>
      <c r="BD389" s="74" t="str">
        <f aca="false">IF(ISBLANK($C389),"",IF($Y389=Constants!$B$2,TRUE(),IF($Y389=Constants!$B$3,FALSE(),TRUE())))</f>
        <v/>
      </c>
      <c r="BE389" s="74" t="str">
        <f aca="false">IF(ISBLANK($C389),"",IF($Z389=Constants!$B$2,TRUE(),IF($Z389=Constants!$B$3,FALSE(),FALSE())))</f>
        <v/>
      </c>
      <c r="BF389" s="74" t="str">
        <f aca="false">IF(ISBLANK($C389),"",IF(ISBLANK($AA389),0,IF(ISNUMBER($AA389),IF(AND($AA389&gt;=0,$AA389&lt;=Constants!$B$35,$AA389=INT($AA389)),$AA389,""),"")))</f>
        <v/>
      </c>
      <c r="BG389" s="74" t="str">
        <f aca="false">IF(ISBLANK($C389),"",IF($AB389=Constants!$B$2,TRUE(),IF($AB389=Constants!$B$3,FALSE(),TRUE())))</f>
        <v/>
      </c>
      <c r="BH389" s="74" t="str">
        <f aca="false">IF(ISBLANK($C389),"",IF($AC389=Constants!$B$2,TRUE(),IF($AC389=Constants!$B$3,FALSE(),TRUE())))</f>
        <v/>
      </c>
      <c r="BI389" s="74" t="str">
        <f aca="false">IF(ISBLANK($C389),"",IF($AD389=Constants!$B$2,TRUE(),IF($AD389=Constants!$B$3,FALSE(),TRUE())))</f>
        <v/>
      </c>
      <c r="BJ389" s="74" t="str">
        <f aca="false">IF(ISBLANK($C389),"",IF(ISNUMBER($AE389),IF($AE389&gt;=0,$AE389,""),""))</f>
        <v/>
      </c>
      <c r="BK389" s="74" t="str">
        <f aca="false">IF(ISBLANK($C389),"",IF($AF389=Constants!$B$2,TRUE(),IF($AF389=Constants!$B$3,FALSE(),FALSE())))</f>
        <v/>
      </c>
      <c r="BL389" s="73" t="str">
        <f aca="false">IF(ISBLANK($C389),"",IF($BK389,Constants!$B$7,IF(COUNTA($E389:$AE389)=0,Constants!$B$6,IF(OR(COUNTA($G389:$AE389)=0,NOT($AM389),$AS389),Constants!$B$5,IF(OR($CM389&lt;&gt;"",$CN389,$CO389,$CP389,$CQ389,$CR389,$CS389),Constants!$B$8,Constants!$B$4)))))</f>
        <v/>
      </c>
      <c r="BM389" s="74" t="str">
        <f aca="false">IF(ISBLANK($C389),"",IF($BL389&lt;&gt;Constants!$B$4,$BL389,IF(OR(NOT($AJ389),NOT($AL389),NOT($AT389)),Constants!$B$11,IF(OR(NOT($AR389),NOT($AU389),NOT($BI389),MAX($AN389,$AO389,$AP389)&gt;Constants!$B$30),Constants!$B$10,Constants!$B$9))))</f>
        <v/>
      </c>
      <c r="BN389" s="74" t="str">
        <f aca="false">IF($BL389&lt;&gt;Constants!$B$4,"",IF(NOT($AL389),0,MIN(Constants!$B$35,$BF389)))</f>
        <v/>
      </c>
      <c r="BO389" s="74" t="str">
        <f aca="false">IF($BL389&lt;&gt;Constants!$B$4,"",IF(NOT($AL389),0,IF($AW389,Constants!$B$18,IF($AV389,Constants!$B$17,0))))</f>
        <v/>
      </c>
      <c r="BP389" s="74" t="str">
        <f aca="false">IF($BL389&lt;&gt;Constants!$B$4,"",IF(NOT($AL389),0,Constants!$B$19*($AK389+$AX389+$AY389+$AZ389)))</f>
        <v/>
      </c>
      <c r="BQ389" s="74" t="str">
        <f aca="false">IF($BL389&lt;&gt;Constants!$B$4,"",IF(OR(NOT($AL389),NOT(ISNUMBER($BA389))),0,CHOOSE($BA389,Constants!$B$13,Constants!$B$14,Constants!$B$15,Constants!$B$16)))</f>
        <v/>
      </c>
      <c r="BR389" s="74" t="str">
        <f aca="false">IF($BL389&lt;&gt;Constants!$B$4,"",IF(NOT($AL389),0,Constants!$B$20*$BB389))</f>
        <v/>
      </c>
      <c r="BS389" s="74" t="str">
        <f aca="false">IF($BL389&lt;&gt;Constants!$B$4,"",IF(AND($AL389,$BD389,$BE389),Constants!$B$22,0))</f>
        <v/>
      </c>
      <c r="BT389" s="74" t="str">
        <f aca="false">IF($BL389&lt;&gt;Constants!$B$4,"",IF(OR(NOT($AL389),NOT($BD389)),0,IF($BJ389&gt;=2*$AH$9,0,Constants!$B$23*INT(ROUND(MIN($BJ389,$AH$9),6)))))</f>
        <v/>
      </c>
      <c r="BU389" s="74" t="str">
        <f aca="false">IF($BL389&lt;&gt;Constants!$B$4,"",IF(NOT($AL389),0,Constants!$B$24*INT(ROUND(MIN($BC389,$AH$9),6))))</f>
        <v/>
      </c>
      <c r="BV389" s="74" t="str">
        <f aca="false">IF($BL389&lt;&gt;Constants!$B$4,"",IF(AND($AL389,$BN389=0),Constants!$B$25,0))</f>
        <v/>
      </c>
      <c r="BW389" s="74" t="str">
        <f aca="false">IF($BL389&lt;&gt;Constants!$B$4,"",MIN(Constants!$B$29,MAX(0,Constants!$B$27*Constants!$B$28*INT(ROUND((Constants!$B$26-$AN389)/Constants!$B$28,6))))+MIN(Constants!$B$29,MAX(0,Constants!$B$27*Constants!$B$28*INT(ROUND((Constants!$B$26-$AO389)/Constants!$B$28,6))))+MIN(Constants!$B$29,MAX(0,Constants!$B$27*Constants!$B$28*INT(ROUND((Constants!$B$26-$AP389)/Constants!$B$28,6)))))</f>
        <v/>
      </c>
      <c r="BX389" s="74" t="str">
        <f aca="false">IF($BL389&lt;&gt;Constants!$B$4,"",IF(NOT($AL389),0,Constants!$B$31*INT(ROUND(MAX(0,MIN($BJ389,2*$AH$9)-$AH$9),6))))</f>
        <v/>
      </c>
      <c r="BY389" s="74" t="str">
        <f aca="false">IF($BL389&lt;&gt;Constants!$B$4,"",Constants!$B$32*(($AN389&gt;Constants!$B$26)+($AO389&gt;Constants!$B$26)+($AP389&gt;Constants!$B$26)))</f>
        <v/>
      </c>
      <c r="BZ389" s="74" t="str">
        <f aca="false">IF($BL389&lt;&gt;Constants!$B$4,"",IF(OR(NOT($AL389),$AQ389),0,Constants!$B$33))</f>
        <v/>
      </c>
      <c r="CA389" s="74" t="str">
        <f aca="false">IF($BL389&lt;&gt;Constants!$B$4,"",Constants!$B$34*$BN389)</f>
        <v/>
      </c>
      <c r="CB389" s="74" t="str">
        <f aca="false">IF($BL389&lt;&gt;Constants!$B$4,"",IF(OR(NOT($AL389),$BH389),0,Constants!$B$36))</f>
        <v/>
      </c>
      <c r="CC389" s="74" t="str">
        <f aca="false">IF($BL389&lt;&gt;Constants!$B$4,"",IF(OR(NOT($AL389),$BG389),0,Constants!$B$37))</f>
        <v/>
      </c>
      <c r="CD389" s="74" t="str">
        <f aca="false">IF($BL389&lt;&gt;Constants!$B$4,"",SUM($BX389:$CC389))</f>
        <v/>
      </c>
      <c r="CE389" s="74" t="str">
        <f aca="false">IF(ISBLANK($C389),"",IF($BL389&lt;&gt;Constants!$B$4,$BL389,SUM($BO389:$BW389)-$CD389))</f>
        <v/>
      </c>
      <c r="CF389" s="74" t="str">
        <f aca="false">IF(ISBLANK($C389),"",IF($BL389&lt;&gt;Constants!$B$4,$BL389,RANK($CE389,$CE$9:$CE$508)))</f>
        <v/>
      </c>
      <c r="CG389" s="74" t="str">
        <f aca="false">IF(ISBLANK($C389),"",IF($BL389&lt;&gt;Constants!$B$4,$BL389,COUNTIFS($BM$9:$BM$508,"&lt;"&amp;$BM389)+COUNTIFS($BM$9:$BM$508,$BM389,$CF$9:$CF$508,"&lt;"&amp;$CF389)+1))</f>
        <v/>
      </c>
      <c r="CH389" s="74" t="str">
        <f aca="false">IF(ISBLANK($C389),"",IF($BL389&lt;&gt;Constants!$B$4,$BL389,RANK($CD389,$CD$9:$CD$508,1)))</f>
        <v/>
      </c>
      <c r="CI389" s="74" t="str">
        <f aca="false">IF($BL389&lt;&gt;Constants!$B$4,"",$AN389+$AO389+$AP389)</f>
        <v/>
      </c>
      <c r="CJ389" s="74" t="str">
        <f aca="false">IF(ISBLANK($C389),"",IF($BL389&lt;&gt;Constants!$B$4,$BL389,RANK($CI389,$CI$9:$CI$508,1)))</f>
        <v/>
      </c>
      <c r="CK389" s="74" t="str">
        <f aca="false">IF(ISBLANK($C389),"",IF($BL389&lt;&gt;Constants!$B$4,$BL389,COUNTIFS($BM$9:$BM$508,"&lt;"&amp;$BM389)+COUNTIFS($BM$9:$BM$508,$BM389,$CF$9:$CF$508,"&lt;"&amp;$CF389)+COUNTIFS($BM$9:$BM$508,$BM389,$CF$9:$CF$508,$CF389,$CH$9:$CH$508,"&lt;"&amp;$CH389)+COUNTIFS($BM$9:$BM$508,$BM389,$CF$9:$CF$508,$CF389,$CH$9:$CH$508,$CH389,$CJ$9:$CJ$508,"&lt;"&amp;$CJ389)+1))</f>
        <v/>
      </c>
      <c r="CL389" s="74" t="str">
        <f aca="false">IF(ISBLANK($C389),"",IF($BL389&lt;&gt;Constants!$B$4,$BL389,$CG389-$CK389))</f>
        <v/>
      </c>
      <c r="CM389" s="74" t="str">
        <f aca="false">IF(ISBLANK($C389),"",IF(NOT($AL389),"",IF(ISBLANK($D$7),$CM$5,IF(NOT(ISNUMBER($D$7)),$CM$6,""))))</f>
        <v/>
      </c>
      <c r="CN389" s="74" t="str">
        <f aca="false">IF(ISBLANK($C389),"",OR($AN389="",$AO389="",$AP389=""))</f>
        <v/>
      </c>
      <c r="CO389" s="74" t="str">
        <f aca="false">IF(ISBLANK($C389),"",AND($AL389,$BA389=""))</f>
        <v/>
      </c>
      <c r="CP389" s="74" t="str">
        <f aca="false">IF(ISBLANK($C389),"",AND($AL389,$BB389=""))</f>
        <v/>
      </c>
      <c r="CQ389" s="74" t="str">
        <f aca="false">IF(ISBLANK($C389),"",AND($AL389,$BC389=""))</f>
        <v/>
      </c>
      <c r="CR389" s="74" t="str">
        <f aca="false">IF(ISBLANK($C389),"",AND($AL389,$BF389=""))</f>
        <v/>
      </c>
      <c r="CS389" s="74" t="str">
        <f aca="false">IF(ISBLANK($C389),"",AND($AL389,$BJ389=""))</f>
        <v/>
      </c>
      <c r="CT389" s="75"/>
      <c r="CU389" s="76"/>
      <c r="CV389" s="79" t="str">
        <f aca="false">IF(ISBLANK($C389),"",IF($BL389=Constants!$B$8,$CM389,""))</f>
        <v/>
      </c>
      <c r="CW389" s="76" t="str">
        <f aca="false">IF(ISBLANK($C389),"",IF($BL389&lt;&gt;Constants!$B$4,"",$BO389+$BP389))</f>
        <v/>
      </c>
      <c r="CX389" s="78" t="str">
        <f aca="false">IF(ISBLANK($C389),"",IF($BL389&lt;&gt;Constants!$B$4,"",$BQ389+$BR389+$BS389))</f>
        <v/>
      </c>
      <c r="CY389" s="78" t="str">
        <f aca="false">IF(ISBLANK($C389),"",IF($BL389&lt;&gt;Constants!$B$4,"",$BT389))</f>
        <v/>
      </c>
      <c r="CZ389" s="78" t="str">
        <f aca="false">IF(ISBLANK($C389),"",IF($BL389&lt;&gt;Constants!$B$4,"",$BU389+$BV389))</f>
        <v/>
      </c>
      <c r="DA389" s="78" t="str">
        <f aca="false">IF(ISBLANK($C389),"",IF($BL389&lt;&gt;Constants!$B$4,"",$BW389))</f>
        <v/>
      </c>
      <c r="DB389" s="78" t="str">
        <f aca="false">IF(ISBLANK($C389),"",IF($BL389&lt;&gt;Constants!$B$4,"",-$CD389))</f>
        <v/>
      </c>
      <c r="DC389" s="79" t="str">
        <f aca="false">IF(ISBLANK($C389),"",$CE389)</f>
        <v/>
      </c>
      <c r="DD389" s="80" t="str">
        <f aca="false">IF(ISBLANK($C389),"",$BM389)</f>
        <v/>
      </c>
      <c r="DE389" s="78" t="str">
        <f aca="false">IF(ISBLANK($C389),"",$CL389)</f>
        <v/>
      </c>
      <c r="DF389" s="78" t="str">
        <f aca="false">IF(ISBLANK($C389),"",$CK389)</f>
        <v/>
      </c>
      <c r="DG389" s="81" t="str">
        <f aca="false">IF(ISBLANK($C389),"",IF($DF389=Constants!$B$7,COUNTA($C$9:$C$508)+2,IF($DF389=Constants!$B$6,COUNTA($C$9:$C$508)+1,IF($DF389=Constants!$B$5,COUNTA($C$9:$C$508),$DF389))))</f>
        <v/>
      </c>
      <c r="DH389" s="7"/>
      <c r="DI389" s="82" t="n">
        <f aca="false">IF(OR(ISNUMBER($DF389),$DF389=Constants!$B$7,$DF389=Constants!$B$5,$DF389=Constants!$B$6),1,0)</f>
        <v>0</v>
      </c>
      <c r="DJ389" s="82" t="n">
        <v>381</v>
      </c>
      <c r="DK389" s="82" t="str">
        <f aca="false">IF(ISBLANK($C389),"",IF(ISNUMBER($DG389),$DG389+ROW($B389)/1000,""))</f>
        <v/>
      </c>
      <c r="DL389" s="82" t="str">
        <f aca="false">IF(ISNUMBER($DK389),RANK($DK389,$DK$9:$DK$508,1),"")</f>
        <v/>
      </c>
      <c r="DM389" s="82" t="str">
        <f aca="false">IF(ISBLANK($C389),"",$B389)</f>
        <v/>
      </c>
      <c r="DN389" s="82" t="str">
        <f aca="false">IF(ISBLANK($C389),"",$C389)</f>
        <v/>
      </c>
      <c r="DO389" s="82" t="str">
        <f aca="false">IF(ISBLANK($C389),"",$D389)</f>
        <v/>
      </c>
      <c r="DP389" s="83" t="str">
        <f aca="false">$DD389</f>
        <v/>
      </c>
      <c r="DQ389" s="84" t="str">
        <f aca="false">$DC389</f>
        <v/>
      </c>
      <c r="DR389" s="82" t="str">
        <f aca="false">IF(ISBLANK($C389),"",$DF389)</f>
        <v/>
      </c>
      <c r="DS389" s="85" t="str">
        <f aca="false">IF($DJ389&gt;$DI$8,"",VLOOKUP($DJ389,$DL$9:$DR$508,7,FALSE()))</f>
        <v/>
      </c>
      <c r="DT389" s="86" t="str">
        <f aca="false">IF($DJ389&gt;$DI$8,"",VLOOKUP($DJ389,$DL$9:$DR$508,2,FALSE()))</f>
        <v/>
      </c>
      <c r="DU389" s="86" t="str">
        <f aca="false">IF($DJ389&gt;$DI$8,"",VLOOKUP($DJ389,$DL$9:$DR$508,3,FALSE()))</f>
        <v/>
      </c>
      <c r="DV389" s="86" t="str">
        <f aca="false">IF($DJ389&gt;$DI$8,"",VLOOKUP($DJ389,$DL$9:$DR$508,4,FALSE()))</f>
        <v/>
      </c>
      <c r="DW389" s="86" t="str">
        <f aca="false">IF($DJ389&gt;$DI$8,"",VLOOKUP($DJ389,$DL$9:$DR$508,5,FALSE()))</f>
        <v/>
      </c>
      <c r="DX389" s="87" t="str">
        <f aca="false">IF($DJ389&gt;$DI$8,"",VLOOKUP($DJ389,$DL$9:$DR$508,6,FALSE()))</f>
        <v/>
      </c>
      <c r="DY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130"/>
      <c r="N390" s="130"/>
      <c r="O390" s="135"/>
      <c r="P390" s="135"/>
      <c r="Q390" s="130"/>
      <c r="R390" s="130"/>
      <c r="S390" s="130"/>
      <c r="T390" s="130"/>
      <c r="U390" s="135"/>
      <c r="V390" s="130"/>
      <c r="W390" s="96"/>
      <c r="X390" s="130"/>
      <c r="Y390" s="130"/>
      <c r="Z390" s="96"/>
      <c r="AA390" s="96"/>
      <c r="AB390" s="130"/>
      <c r="AC390" s="130"/>
      <c r="AD390" s="130"/>
      <c r="AE390" s="97"/>
      <c r="AF390" s="130"/>
      <c r="AG390" s="99"/>
      <c r="AH390" s="100"/>
      <c r="AI390" s="100"/>
      <c r="AJ390" s="100" t="str">
        <f aca="false">IF(ISBLANK($C390),"",IF($E390=Constants!$B$2,TRUE(),IF($E390=Constants!$B$3,FALSE(),TRUE())))</f>
        <v/>
      </c>
      <c r="AK390" s="100" t="str">
        <f aca="false">IF(ISBLANK($C390),"",IF($F390=Constants!$B$2,TRUE(),IF($F390=Constants!$B$3,FALSE(),FALSE())))</f>
        <v/>
      </c>
      <c r="AL390" s="100" t="str">
        <f aca="false">IF(ISBLANK($C390),"",IF($G390=Constants!$B$2,TRUE(),IF($G390=Constants!$B$3,FALSE(),TRUE())))</f>
        <v/>
      </c>
      <c r="AM390" s="100" t="str">
        <f aca="false">IF(ISBLANK($C390),"",IF($H390=Constants!$B$2,TRUE(),IF($H390=Constants!$B$3,FALSE(),TRUE())))</f>
        <v/>
      </c>
      <c r="AN390" s="100" t="str">
        <f aca="false">IF(ISBLANK($C390),"",IF(ISNUMBER($I390),IF($I390&gt;=0,$I390,""),""))</f>
        <v/>
      </c>
      <c r="AO390" s="100" t="str">
        <f aca="false">IF(ISBLANK($C390),"",IF(ISNUMBER($J390),IF($J390&gt;=0,$J390,""),""))</f>
        <v/>
      </c>
      <c r="AP390" s="100" t="str">
        <f aca="false">IF(ISBLANK($C390),"",IF(ISNUMBER($K390),IF($K390&gt;=0,$K390,""),""))</f>
        <v/>
      </c>
      <c r="AQ390" s="100" t="str">
        <f aca="false">IF(ISBLANK($C390),"",IF($L390=Constants!$B$2,TRUE(),IF($L390=Constants!$B$3,FALSE(),TRUE())))</f>
        <v/>
      </c>
      <c r="AR390" s="100" t="str">
        <f aca="false">IF(ISBLANK($C390),"",IF($M390=Constants!$B$2,TRUE(),IF($M390=Constants!$B$3,FALSE(),TRUE())))</f>
        <v/>
      </c>
      <c r="AS390" s="100" t="str">
        <f aca="false">IF(ISBLANK($C390),"",IF($N390=Constants!$B$2,TRUE(),IF($N390=Constants!$B$3,FALSE(),FALSE())))</f>
        <v/>
      </c>
      <c r="AT390" s="100" t="str">
        <f aca="false">IF(ISBLANK($C390),"",IF($O390=Constants!$B$2,TRUE(),IF($O390=Constants!$B$3,FALSE(),TRUE())))</f>
        <v/>
      </c>
      <c r="AU390" s="100" t="str">
        <f aca="false">IF(ISBLANK($C390),"",IF($P390=Constants!$B$2,TRUE(),IF($P390=Constants!$B$3,FALSE(),TRUE())))</f>
        <v/>
      </c>
      <c r="AV390" s="100" t="str">
        <f aca="false">IF(ISBLANK($C390),"",IF($Q390=Constants!$B$2,TRUE(),IF($Q390=Constants!$B$3,FALSE(),FALSE())))</f>
        <v/>
      </c>
      <c r="AW390" s="100" t="str">
        <f aca="false">IF(ISBLANK($C390),"",IF($R390=Constants!$B$2,TRUE(),IF($R390=Constants!$B$3,FALSE(),FALSE())))</f>
        <v/>
      </c>
      <c r="AX390" s="100" t="str">
        <f aca="false">IF(ISBLANK($C390),"",IF($S390=Constants!$B$2,TRUE(),IF($S390=Constants!$B$3,FALSE(),FALSE())))</f>
        <v/>
      </c>
      <c r="AY390" s="100" t="str">
        <f aca="false">IF(ISBLANK($C390),"",IF($T390=Constants!$B$2,TRUE(),IF($T390=Constants!$B$3,FALSE(),FALSE())))</f>
        <v/>
      </c>
      <c r="AZ390" s="100" t="str">
        <f aca="false">IF(ISBLANK($C390),"",IF($U390=Constants!$B$2,TRUE(),IF($U390=Constants!$B$3,FALSE(),FALSE())))</f>
        <v/>
      </c>
      <c r="BA390" s="100" t="str">
        <f aca="false">IF(ISBLANK($C390),"",IF(OR($V390&amp;""="1",$V390&amp;""="2",$V390&amp;""="3",$V390&amp;""="4"),VALUE($V390&amp;""),IF($V390=Constants!$B$12,Constants!$B$12,"")))</f>
        <v/>
      </c>
      <c r="BB390" s="100" t="str">
        <f aca="false">IF(ISBLANK($C390),"",IF(ISBLANK($W390),0,IF(ISNUMBER($W390),IF(AND($W390&gt;=0,$W390&lt;=Constants!$B$21,$W390=INT($W390)),$W390,""),"")))</f>
        <v/>
      </c>
      <c r="BC390" s="100" t="str">
        <f aca="false">IF(ISBLANK($C390),"",IF(ISBLANK($X390),0,IF(ISNUMBER($X390),IF($X390&gt;=0,$X390,""),"")))</f>
        <v/>
      </c>
      <c r="BD390" s="100" t="str">
        <f aca="false">IF(ISBLANK($C390),"",IF($Y390=Constants!$B$2,TRUE(),IF($Y390=Constants!$B$3,FALSE(),TRUE())))</f>
        <v/>
      </c>
      <c r="BE390" s="100" t="str">
        <f aca="false">IF(ISBLANK($C390),"",IF($Z390=Constants!$B$2,TRUE(),IF($Z390=Constants!$B$3,FALSE(),FALSE())))</f>
        <v/>
      </c>
      <c r="BF390" s="100" t="str">
        <f aca="false">IF(ISBLANK($C390),"",IF(ISBLANK($AA390),0,IF(ISNUMBER($AA390),IF(AND($AA390&gt;=0,$AA390&lt;=Constants!$B$35,$AA390=INT($AA390)),$AA390,""),"")))</f>
        <v/>
      </c>
      <c r="BG390" s="100" t="str">
        <f aca="false">IF(ISBLANK($C390),"",IF($AB390=Constants!$B$2,TRUE(),IF($AB390=Constants!$B$3,FALSE(),TRUE())))</f>
        <v/>
      </c>
      <c r="BH390" s="100" t="str">
        <f aca="false">IF(ISBLANK($C390),"",IF($AC390=Constants!$B$2,TRUE(),IF($AC390=Constants!$B$3,FALSE(),TRUE())))</f>
        <v/>
      </c>
      <c r="BI390" s="100" t="str">
        <f aca="false">IF(ISBLANK($C390),"",IF($AD390=Constants!$B$2,TRUE(),IF($AD390=Constants!$B$3,FALSE(),TRUE())))</f>
        <v/>
      </c>
      <c r="BJ390" s="100" t="str">
        <f aca="false">IF(ISBLANK($C390),"",IF(ISNUMBER($AE390),IF($AE390&gt;=0,$AE390,""),""))</f>
        <v/>
      </c>
      <c r="BK390" s="100" t="str">
        <f aca="false">IF(ISBLANK($C390),"",IF($AF390=Constants!$B$2,TRUE(),IF($AF390=Constants!$B$3,FALSE(),FALSE())))</f>
        <v/>
      </c>
      <c r="BL390" s="99" t="str">
        <f aca="false">IF(ISBLANK($C390),"",IF($BK390,Constants!$B$7,IF(COUNTA($E390:$AE390)=0,Constants!$B$6,IF(OR(COUNTA($G390:$AE390)=0,NOT($AM390),$AS390),Constants!$B$5,IF(OR($CM390&lt;&gt;"",$CN390,$CO390,$CP390,$CQ390,$CR390,$CS390),Constants!$B$8,Constants!$B$4)))))</f>
        <v/>
      </c>
      <c r="BM390" s="100" t="str">
        <f aca="false">IF(ISBLANK($C390),"",IF($BL390&lt;&gt;Constants!$B$4,$BL390,IF(OR(NOT($AJ390),NOT($AL390),NOT($AT390)),Constants!$B$11,IF(OR(NOT($AR390),NOT($AU390),NOT($BI390),MAX($AN390,$AO390,$AP390)&gt;Constants!$B$30),Constants!$B$10,Constants!$B$9))))</f>
        <v/>
      </c>
      <c r="BN390" s="100" t="str">
        <f aca="false">IF($BL390&lt;&gt;Constants!$B$4,"",IF(NOT($AL390),0,MIN(Constants!$B$35,$BF390)))</f>
        <v/>
      </c>
      <c r="BO390" s="100" t="str">
        <f aca="false">IF($BL390&lt;&gt;Constants!$B$4,"",IF(NOT($AL390),0,IF($AW390,Constants!$B$18,IF($AV390,Constants!$B$17,0))))</f>
        <v/>
      </c>
      <c r="BP390" s="100" t="str">
        <f aca="false">IF($BL390&lt;&gt;Constants!$B$4,"",IF(NOT($AL390),0,Constants!$B$19*($AK390+$AX390+$AY390+$AZ390)))</f>
        <v/>
      </c>
      <c r="BQ390" s="100" t="str">
        <f aca="false">IF($BL390&lt;&gt;Constants!$B$4,"",IF(OR(NOT($AL390),NOT(ISNUMBER($BA390))),0,CHOOSE($BA390,Constants!$B$13,Constants!$B$14,Constants!$B$15,Constants!$B$16)))</f>
        <v/>
      </c>
      <c r="BR390" s="100" t="str">
        <f aca="false">IF($BL390&lt;&gt;Constants!$B$4,"",IF(NOT($AL390),0,Constants!$B$20*$BB390))</f>
        <v/>
      </c>
      <c r="BS390" s="100" t="str">
        <f aca="false">IF($BL390&lt;&gt;Constants!$B$4,"",IF(AND($AL390,$BD390,$BE390),Constants!$B$22,0))</f>
        <v/>
      </c>
      <c r="BT390" s="100" t="str">
        <f aca="false">IF($BL390&lt;&gt;Constants!$B$4,"",IF(OR(NOT($AL390),NOT($BD390)),0,IF($BJ390&gt;=2*$AH$9,0,Constants!$B$23*INT(ROUND(MIN($BJ390,$AH$9),6)))))</f>
        <v/>
      </c>
      <c r="BU390" s="100" t="str">
        <f aca="false">IF($BL390&lt;&gt;Constants!$B$4,"",IF(NOT($AL390),0,Constants!$B$24*INT(ROUND(MIN($BC390,$AH$9),6))))</f>
        <v/>
      </c>
      <c r="BV390" s="100" t="str">
        <f aca="false">IF($BL390&lt;&gt;Constants!$B$4,"",IF(AND($AL390,$BN390=0),Constants!$B$25,0))</f>
        <v/>
      </c>
      <c r="BW390" s="100" t="str">
        <f aca="false">IF($BL390&lt;&gt;Constants!$B$4,"",MIN(Constants!$B$29,MAX(0,Constants!$B$27*Constants!$B$28*INT(ROUND((Constants!$B$26-$AN390)/Constants!$B$28,6))))+MIN(Constants!$B$29,MAX(0,Constants!$B$27*Constants!$B$28*INT(ROUND((Constants!$B$26-$AO390)/Constants!$B$28,6))))+MIN(Constants!$B$29,MAX(0,Constants!$B$27*Constants!$B$28*INT(ROUND((Constants!$B$26-$AP390)/Constants!$B$28,6)))))</f>
        <v/>
      </c>
      <c r="BX390" s="100" t="str">
        <f aca="false">IF($BL390&lt;&gt;Constants!$B$4,"",IF(NOT($AL390),0,Constants!$B$31*INT(ROUND(MAX(0,MIN($BJ390,2*$AH$9)-$AH$9),6))))</f>
        <v/>
      </c>
      <c r="BY390" s="100" t="str">
        <f aca="false">IF($BL390&lt;&gt;Constants!$B$4,"",Constants!$B$32*(($AN390&gt;Constants!$B$26)+($AO390&gt;Constants!$B$26)+($AP390&gt;Constants!$B$26)))</f>
        <v/>
      </c>
      <c r="BZ390" s="100" t="str">
        <f aca="false">IF($BL390&lt;&gt;Constants!$B$4,"",IF(OR(NOT($AL390),$AQ390),0,Constants!$B$33))</f>
        <v/>
      </c>
      <c r="CA390" s="100" t="str">
        <f aca="false">IF($BL390&lt;&gt;Constants!$B$4,"",Constants!$B$34*$BN390)</f>
        <v/>
      </c>
      <c r="CB390" s="100" t="str">
        <f aca="false">IF($BL390&lt;&gt;Constants!$B$4,"",IF(OR(NOT($AL390),$BH390),0,Constants!$B$36))</f>
        <v/>
      </c>
      <c r="CC390" s="100" t="str">
        <f aca="false">IF($BL390&lt;&gt;Constants!$B$4,"",IF(OR(NOT($AL390),$BG390),0,Constants!$B$37))</f>
        <v/>
      </c>
      <c r="CD390" s="100" t="str">
        <f aca="false">IF($BL390&lt;&gt;Constants!$B$4,"",SUM($BX390:$CC390))</f>
        <v/>
      </c>
      <c r="CE390" s="100" t="str">
        <f aca="false">IF(ISBLANK($C390),"",IF($BL390&lt;&gt;Constants!$B$4,$BL390,SUM($BO390:$BW390)-$CD390))</f>
        <v/>
      </c>
      <c r="CF390" s="100" t="str">
        <f aca="false">IF(ISBLANK($C390),"",IF($BL390&lt;&gt;Constants!$B$4,$BL390,RANK($CE390,$CE$9:$CE$508)))</f>
        <v/>
      </c>
      <c r="CG390" s="100" t="str">
        <f aca="false">IF(ISBLANK($C390),"",IF($BL390&lt;&gt;Constants!$B$4,$BL390,COUNTIFS($BM$9:$BM$508,"&lt;"&amp;$BM390)+COUNTIFS($BM$9:$BM$508,$BM390,$CF$9:$CF$508,"&lt;"&amp;$CF390)+1))</f>
        <v/>
      </c>
      <c r="CH390" s="100" t="str">
        <f aca="false">IF(ISBLANK($C390),"",IF($BL390&lt;&gt;Constants!$B$4,$BL390,RANK($CD390,$CD$9:$CD$508,1)))</f>
        <v/>
      </c>
      <c r="CI390" s="100" t="str">
        <f aca="false">IF($BL390&lt;&gt;Constants!$B$4,"",$AN390+$AO390+$AP390)</f>
        <v/>
      </c>
      <c r="CJ390" s="100" t="str">
        <f aca="false">IF(ISBLANK($C390),"",IF($BL390&lt;&gt;Constants!$B$4,$BL390,RANK($CI390,$CI$9:$CI$508,1)))</f>
        <v/>
      </c>
      <c r="CK390" s="100" t="str">
        <f aca="false">IF(ISBLANK($C390),"",IF($BL390&lt;&gt;Constants!$B$4,$BL390,COUNTIFS($BM$9:$BM$508,"&lt;"&amp;$BM390)+COUNTIFS($BM$9:$BM$508,$BM390,$CF$9:$CF$508,"&lt;"&amp;$CF390)+COUNTIFS($BM$9:$BM$508,$BM390,$CF$9:$CF$508,$CF390,$CH$9:$CH$508,"&lt;"&amp;$CH390)+COUNTIFS($BM$9:$BM$508,$BM390,$CF$9:$CF$508,$CF390,$CH$9:$CH$508,$CH390,$CJ$9:$CJ$508,"&lt;"&amp;$CJ390)+1))</f>
        <v/>
      </c>
      <c r="CL390" s="100" t="str">
        <f aca="false">IF(ISBLANK($C390),"",IF($BL390&lt;&gt;Constants!$B$4,$BL390,$CG390-$CK390))</f>
        <v/>
      </c>
      <c r="CM390" s="100" t="str">
        <f aca="false">IF(ISBLANK($C390),"",IF(NOT($AL390),"",IF(ISBLANK($D$7),$CM$5,IF(NOT(ISNUMBER($D$7)),$CM$6,""))))</f>
        <v/>
      </c>
      <c r="CN390" s="100" t="str">
        <f aca="false">IF(ISBLANK($C390),"",OR($AN390="",$AO390="",$AP390=""))</f>
        <v/>
      </c>
      <c r="CO390" s="100" t="str">
        <f aca="false">IF(ISBLANK($C390),"",AND($AL390,$BA390=""))</f>
        <v/>
      </c>
      <c r="CP390" s="100" t="str">
        <f aca="false">IF(ISBLANK($C390),"",AND($AL390,$BB390=""))</f>
        <v/>
      </c>
      <c r="CQ390" s="100" t="str">
        <f aca="false">IF(ISBLANK($C390),"",AND($AL390,$BC390=""))</f>
        <v/>
      </c>
      <c r="CR390" s="100" t="str">
        <f aca="false">IF(ISBLANK($C390),"",AND($AL390,$BF390=""))</f>
        <v/>
      </c>
      <c r="CS390" s="100" t="str">
        <f aca="false">IF(ISBLANK($C390),"",AND($AL390,$BJ390=""))</f>
        <v/>
      </c>
      <c r="CT390" s="101"/>
      <c r="CU390" s="102"/>
      <c r="CV390" s="103" t="str">
        <f aca="false">IF(ISBLANK($C390),"",IF($BL390=Constants!$B$8,$CM390,""))</f>
        <v/>
      </c>
      <c r="CW390" s="102" t="str">
        <f aca="false">IF(ISBLANK($C390),"",IF($BL390&lt;&gt;Constants!$B$4,"",$BO390+$BP390))</f>
        <v/>
      </c>
      <c r="CX390" s="104" t="str">
        <f aca="false">IF(ISBLANK($C390),"",IF($BL390&lt;&gt;Constants!$B$4,"",$BQ390+$BR390+$BS390))</f>
        <v/>
      </c>
      <c r="CY390" s="104" t="str">
        <f aca="false">IF(ISBLANK($C390),"",IF($BL390&lt;&gt;Constants!$B$4,"",$BT390))</f>
        <v/>
      </c>
      <c r="CZ390" s="104" t="str">
        <f aca="false">IF(ISBLANK($C390),"",IF($BL390&lt;&gt;Constants!$B$4,"",$BU390+$BV390))</f>
        <v/>
      </c>
      <c r="DA390" s="104" t="str">
        <f aca="false">IF(ISBLANK($C390),"",IF($BL390&lt;&gt;Constants!$B$4,"",$BW390))</f>
        <v/>
      </c>
      <c r="DB390" s="104" t="str">
        <f aca="false">IF(ISBLANK($C390),"",IF($BL390&lt;&gt;Constants!$B$4,"",-$CD390))</f>
        <v/>
      </c>
      <c r="DC390" s="103" t="str">
        <f aca="false">IF(ISBLANK($C390),"",$CE390)</f>
        <v/>
      </c>
      <c r="DD390" s="105" t="str">
        <f aca="false">IF(ISBLANK($C390),"",$BM390)</f>
        <v/>
      </c>
      <c r="DE390" s="104" t="str">
        <f aca="false">IF(ISBLANK($C390),"",$CL390)</f>
        <v/>
      </c>
      <c r="DF390" s="104" t="str">
        <f aca="false">IF(ISBLANK($C390),"",$CK390)</f>
        <v/>
      </c>
      <c r="DG390" s="106" t="str">
        <f aca="false">IF(ISBLANK($C390),"",IF($DF390=Constants!$B$7,COUNTA($C$9:$C$508)+2,IF($DF390=Constants!$B$6,COUNTA($C$9:$C$508)+1,IF($DF390=Constants!$B$5,COUNTA($C$9:$C$508),$DF390))))</f>
        <v/>
      </c>
      <c r="DH390" s="7"/>
      <c r="DI390" s="107" t="n">
        <f aca="false">IF(OR(ISNUMBER($DF390),$DF390=Constants!$B$7,$DF390=Constants!$B$5,$DF390=Constants!$B$6),1,0)</f>
        <v>0</v>
      </c>
      <c r="DJ390" s="107" t="n">
        <v>382</v>
      </c>
      <c r="DK390" s="107" t="str">
        <f aca="false">IF(ISBLANK($C390),"",IF(ISNUMBER($DG390),$DG390+ROW($B390)/1000,""))</f>
        <v/>
      </c>
      <c r="DL390" s="107" t="str">
        <f aca="false">IF(ISNUMBER($DK390),RANK($DK390,$DK$9:$DK$508,1),"")</f>
        <v/>
      </c>
      <c r="DM390" s="107" t="str">
        <f aca="false">IF(ISBLANK($C390),"",$B390)</f>
        <v/>
      </c>
      <c r="DN390" s="107" t="str">
        <f aca="false">IF(ISBLANK($C390),"",$C390)</f>
        <v/>
      </c>
      <c r="DO390" s="107" t="str">
        <f aca="false">IF(ISBLANK($C390),"",$D390)</f>
        <v/>
      </c>
      <c r="DP390" s="108" t="str">
        <f aca="false">$DD390</f>
        <v/>
      </c>
      <c r="DQ390" s="109" t="str">
        <f aca="false">$DC390</f>
        <v/>
      </c>
      <c r="DR390" s="107" t="str">
        <f aca="false">IF(ISBLANK($C390),"",$DF390)</f>
        <v/>
      </c>
      <c r="DS390" s="110" t="str">
        <f aca="false">IF($DJ390&gt;$DI$8,"",VLOOKUP($DJ390,$DL$9:$DR$508,7,FALSE()))</f>
        <v/>
      </c>
      <c r="DT390" s="111" t="str">
        <f aca="false">IF($DJ390&gt;$DI$8,"",VLOOKUP($DJ390,$DL$9:$DR$508,2,FALSE()))</f>
        <v/>
      </c>
      <c r="DU390" s="111" t="str">
        <f aca="false">IF($DJ390&gt;$DI$8,"",VLOOKUP($DJ390,$DL$9:$DR$508,3,FALSE()))</f>
        <v/>
      </c>
      <c r="DV390" s="111" t="str">
        <f aca="false">IF($DJ390&gt;$DI$8,"",VLOOKUP($DJ390,$DL$9:$DR$508,4,FALSE()))</f>
        <v/>
      </c>
      <c r="DW390" s="111" t="str">
        <f aca="false">IF($DJ390&gt;$DI$8,"",VLOOKUP($DJ390,$DL$9:$DR$508,5,FALSE()))</f>
        <v/>
      </c>
      <c r="DX390" s="112" t="str">
        <f aca="false">IF($DJ390&gt;$DI$8,"",VLOOKUP($DJ390,$DL$9:$DR$508,6,FALSE()))</f>
        <v/>
      </c>
      <c r="DY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130"/>
      <c r="N391" s="130"/>
      <c r="O391" s="135"/>
      <c r="P391" s="135"/>
      <c r="Q391" s="130"/>
      <c r="R391" s="130"/>
      <c r="S391" s="130"/>
      <c r="T391" s="130"/>
      <c r="U391" s="135"/>
      <c r="V391" s="130"/>
      <c r="W391" s="96"/>
      <c r="X391" s="130"/>
      <c r="Y391" s="130"/>
      <c r="Z391" s="96"/>
      <c r="AA391" s="96"/>
      <c r="AB391" s="130"/>
      <c r="AC391" s="130"/>
      <c r="AD391" s="130"/>
      <c r="AE391" s="97"/>
      <c r="AF391" s="130"/>
      <c r="AG391" s="99"/>
      <c r="AH391" s="100"/>
      <c r="AI391" s="100"/>
      <c r="AJ391" s="100" t="str">
        <f aca="false">IF(ISBLANK($C391),"",IF($E391=Constants!$B$2,TRUE(),IF($E391=Constants!$B$3,FALSE(),TRUE())))</f>
        <v/>
      </c>
      <c r="AK391" s="100" t="str">
        <f aca="false">IF(ISBLANK($C391),"",IF($F391=Constants!$B$2,TRUE(),IF($F391=Constants!$B$3,FALSE(),FALSE())))</f>
        <v/>
      </c>
      <c r="AL391" s="100" t="str">
        <f aca="false">IF(ISBLANK($C391),"",IF($G391=Constants!$B$2,TRUE(),IF($G391=Constants!$B$3,FALSE(),TRUE())))</f>
        <v/>
      </c>
      <c r="AM391" s="100" t="str">
        <f aca="false">IF(ISBLANK($C391),"",IF($H391=Constants!$B$2,TRUE(),IF($H391=Constants!$B$3,FALSE(),TRUE())))</f>
        <v/>
      </c>
      <c r="AN391" s="100" t="str">
        <f aca="false">IF(ISBLANK($C391),"",IF(ISNUMBER($I391),IF($I391&gt;=0,$I391,""),""))</f>
        <v/>
      </c>
      <c r="AO391" s="100" t="str">
        <f aca="false">IF(ISBLANK($C391),"",IF(ISNUMBER($J391),IF($J391&gt;=0,$J391,""),""))</f>
        <v/>
      </c>
      <c r="AP391" s="100" t="str">
        <f aca="false">IF(ISBLANK($C391),"",IF(ISNUMBER($K391),IF($K391&gt;=0,$K391,""),""))</f>
        <v/>
      </c>
      <c r="AQ391" s="100" t="str">
        <f aca="false">IF(ISBLANK($C391),"",IF($L391=Constants!$B$2,TRUE(),IF($L391=Constants!$B$3,FALSE(),TRUE())))</f>
        <v/>
      </c>
      <c r="AR391" s="100" t="str">
        <f aca="false">IF(ISBLANK($C391),"",IF($M391=Constants!$B$2,TRUE(),IF($M391=Constants!$B$3,FALSE(),TRUE())))</f>
        <v/>
      </c>
      <c r="AS391" s="100" t="str">
        <f aca="false">IF(ISBLANK($C391),"",IF($N391=Constants!$B$2,TRUE(),IF($N391=Constants!$B$3,FALSE(),FALSE())))</f>
        <v/>
      </c>
      <c r="AT391" s="100" t="str">
        <f aca="false">IF(ISBLANK($C391),"",IF($O391=Constants!$B$2,TRUE(),IF($O391=Constants!$B$3,FALSE(),TRUE())))</f>
        <v/>
      </c>
      <c r="AU391" s="100" t="str">
        <f aca="false">IF(ISBLANK($C391),"",IF($P391=Constants!$B$2,TRUE(),IF($P391=Constants!$B$3,FALSE(),TRUE())))</f>
        <v/>
      </c>
      <c r="AV391" s="100" t="str">
        <f aca="false">IF(ISBLANK($C391),"",IF($Q391=Constants!$B$2,TRUE(),IF($Q391=Constants!$B$3,FALSE(),FALSE())))</f>
        <v/>
      </c>
      <c r="AW391" s="100" t="str">
        <f aca="false">IF(ISBLANK($C391),"",IF($R391=Constants!$B$2,TRUE(),IF($R391=Constants!$B$3,FALSE(),FALSE())))</f>
        <v/>
      </c>
      <c r="AX391" s="100" t="str">
        <f aca="false">IF(ISBLANK($C391),"",IF($S391=Constants!$B$2,TRUE(),IF($S391=Constants!$B$3,FALSE(),FALSE())))</f>
        <v/>
      </c>
      <c r="AY391" s="100" t="str">
        <f aca="false">IF(ISBLANK($C391),"",IF($T391=Constants!$B$2,TRUE(),IF($T391=Constants!$B$3,FALSE(),FALSE())))</f>
        <v/>
      </c>
      <c r="AZ391" s="100" t="str">
        <f aca="false">IF(ISBLANK($C391),"",IF($U391=Constants!$B$2,TRUE(),IF($U391=Constants!$B$3,FALSE(),FALSE())))</f>
        <v/>
      </c>
      <c r="BA391" s="100" t="str">
        <f aca="false">IF(ISBLANK($C391),"",IF(OR($V391&amp;""="1",$V391&amp;""="2",$V391&amp;""="3",$V391&amp;""="4"),VALUE($V391&amp;""),IF($V391=Constants!$B$12,Constants!$B$12,"")))</f>
        <v/>
      </c>
      <c r="BB391" s="100" t="str">
        <f aca="false">IF(ISBLANK($C391),"",IF(ISBLANK($W391),0,IF(ISNUMBER($W391),IF(AND($W391&gt;=0,$W391&lt;=Constants!$B$21,$W391=INT($W391)),$W391,""),"")))</f>
        <v/>
      </c>
      <c r="BC391" s="100" t="str">
        <f aca="false">IF(ISBLANK($C391),"",IF(ISBLANK($X391),0,IF(ISNUMBER($X391),IF($X391&gt;=0,$X391,""),"")))</f>
        <v/>
      </c>
      <c r="BD391" s="100" t="str">
        <f aca="false">IF(ISBLANK($C391),"",IF($Y391=Constants!$B$2,TRUE(),IF($Y391=Constants!$B$3,FALSE(),TRUE())))</f>
        <v/>
      </c>
      <c r="BE391" s="100" t="str">
        <f aca="false">IF(ISBLANK($C391),"",IF($Z391=Constants!$B$2,TRUE(),IF($Z391=Constants!$B$3,FALSE(),FALSE())))</f>
        <v/>
      </c>
      <c r="BF391" s="100" t="str">
        <f aca="false">IF(ISBLANK($C391),"",IF(ISBLANK($AA391),0,IF(ISNUMBER($AA391),IF(AND($AA391&gt;=0,$AA391&lt;=Constants!$B$35,$AA391=INT($AA391)),$AA391,""),"")))</f>
        <v/>
      </c>
      <c r="BG391" s="100" t="str">
        <f aca="false">IF(ISBLANK($C391),"",IF($AB391=Constants!$B$2,TRUE(),IF($AB391=Constants!$B$3,FALSE(),TRUE())))</f>
        <v/>
      </c>
      <c r="BH391" s="100" t="str">
        <f aca="false">IF(ISBLANK($C391),"",IF($AC391=Constants!$B$2,TRUE(),IF($AC391=Constants!$B$3,FALSE(),TRUE())))</f>
        <v/>
      </c>
      <c r="BI391" s="100" t="str">
        <f aca="false">IF(ISBLANK($C391),"",IF($AD391=Constants!$B$2,TRUE(),IF($AD391=Constants!$B$3,FALSE(),TRUE())))</f>
        <v/>
      </c>
      <c r="BJ391" s="100" t="str">
        <f aca="false">IF(ISBLANK($C391),"",IF(ISNUMBER($AE391),IF($AE391&gt;=0,$AE391,""),""))</f>
        <v/>
      </c>
      <c r="BK391" s="100" t="str">
        <f aca="false">IF(ISBLANK($C391),"",IF($AF391=Constants!$B$2,TRUE(),IF($AF391=Constants!$B$3,FALSE(),FALSE())))</f>
        <v/>
      </c>
      <c r="BL391" s="99" t="str">
        <f aca="false">IF(ISBLANK($C391),"",IF($BK391,Constants!$B$7,IF(COUNTA($E391:$AE391)=0,Constants!$B$6,IF(OR(COUNTA($G391:$AE391)=0,NOT($AM391),$AS391),Constants!$B$5,IF(OR($CM391&lt;&gt;"",$CN391,$CO391,$CP391,$CQ391,$CR391,$CS391),Constants!$B$8,Constants!$B$4)))))</f>
        <v/>
      </c>
      <c r="BM391" s="100" t="str">
        <f aca="false">IF(ISBLANK($C391),"",IF($BL391&lt;&gt;Constants!$B$4,$BL391,IF(OR(NOT($AJ391),NOT($AL391),NOT($AT391)),Constants!$B$11,IF(OR(NOT($AR391),NOT($AU391),NOT($BI391),MAX($AN391,$AO391,$AP391)&gt;Constants!$B$30),Constants!$B$10,Constants!$B$9))))</f>
        <v/>
      </c>
      <c r="BN391" s="100" t="str">
        <f aca="false">IF($BL391&lt;&gt;Constants!$B$4,"",IF(NOT($AL391),0,MIN(Constants!$B$35,$BF391)))</f>
        <v/>
      </c>
      <c r="BO391" s="100" t="str">
        <f aca="false">IF($BL391&lt;&gt;Constants!$B$4,"",IF(NOT($AL391),0,IF($AW391,Constants!$B$18,IF($AV391,Constants!$B$17,0))))</f>
        <v/>
      </c>
      <c r="BP391" s="100" t="str">
        <f aca="false">IF($BL391&lt;&gt;Constants!$B$4,"",IF(NOT($AL391),0,Constants!$B$19*($AK391+$AX391+$AY391+$AZ391)))</f>
        <v/>
      </c>
      <c r="BQ391" s="100" t="str">
        <f aca="false">IF($BL391&lt;&gt;Constants!$B$4,"",IF(OR(NOT($AL391),NOT(ISNUMBER($BA391))),0,CHOOSE($BA391,Constants!$B$13,Constants!$B$14,Constants!$B$15,Constants!$B$16)))</f>
        <v/>
      </c>
      <c r="BR391" s="100" t="str">
        <f aca="false">IF($BL391&lt;&gt;Constants!$B$4,"",IF(NOT($AL391),0,Constants!$B$20*$BB391))</f>
        <v/>
      </c>
      <c r="BS391" s="100" t="str">
        <f aca="false">IF($BL391&lt;&gt;Constants!$B$4,"",IF(AND($AL391,$BD391,$BE391),Constants!$B$22,0))</f>
        <v/>
      </c>
      <c r="BT391" s="100" t="str">
        <f aca="false">IF($BL391&lt;&gt;Constants!$B$4,"",IF(OR(NOT($AL391),NOT($BD391)),0,IF($BJ391&gt;=2*$AH$9,0,Constants!$B$23*INT(ROUND(MIN($BJ391,$AH$9),6)))))</f>
        <v/>
      </c>
      <c r="BU391" s="100" t="str">
        <f aca="false">IF($BL391&lt;&gt;Constants!$B$4,"",IF(NOT($AL391),0,Constants!$B$24*INT(ROUND(MIN($BC391,$AH$9),6))))</f>
        <v/>
      </c>
      <c r="BV391" s="100" t="str">
        <f aca="false">IF($BL391&lt;&gt;Constants!$B$4,"",IF(AND($AL391,$BN391=0),Constants!$B$25,0))</f>
        <v/>
      </c>
      <c r="BW391" s="100" t="str">
        <f aca="false">IF($BL391&lt;&gt;Constants!$B$4,"",MIN(Constants!$B$29,MAX(0,Constants!$B$27*Constants!$B$28*INT(ROUND((Constants!$B$26-$AN391)/Constants!$B$28,6))))+MIN(Constants!$B$29,MAX(0,Constants!$B$27*Constants!$B$28*INT(ROUND((Constants!$B$26-$AO391)/Constants!$B$28,6))))+MIN(Constants!$B$29,MAX(0,Constants!$B$27*Constants!$B$28*INT(ROUND((Constants!$B$26-$AP391)/Constants!$B$28,6)))))</f>
        <v/>
      </c>
      <c r="BX391" s="100" t="str">
        <f aca="false">IF($BL391&lt;&gt;Constants!$B$4,"",IF(NOT($AL391),0,Constants!$B$31*INT(ROUND(MAX(0,MIN($BJ391,2*$AH$9)-$AH$9),6))))</f>
        <v/>
      </c>
      <c r="BY391" s="100" t="str">
        <f aca="false">IF($BL391&lt;&gt;Constants!$B$4,"",Constants!$B$32*(($AN391&gt;Constants!$B$26)+($AO391&gt;Constants!$B$26)+($AP391&gt;Constants!$B$26)))</f>
        <v/>
      </c>
      <c r="BZ391" s="100" t="str">
        <f aca="false">IF($BL391&lt;&gt;Constants!$B$4,"",IF(OR(NOT($AL391),$AQ391),0,Constants!$B$33))</f>
        <v/>
      </c>
      <c r="CA391" s="100" t="str">
        <f aca="false">IF($BL391&lt;&gt;Constants!$B$4,"",Constants!$B$34*$BN391)</f>
        <v/>
      </c>
      <c r="CB391" s="100" t="str">
        <f aca="false">IF($BL391&lt;&gt;Constants!$B$4,"",IF(OR(NOT($AL391),$BH391),0,Constants!$B$36))</f>
        <v/>
      </c>
      <c r="CC391" s="100" t="str">
        <f aca="false">IF($BL391&lt;&gt;Constants!$B$4,"",IF(OR(NOT($AL391),$BG391),0,Constants!$B$37))</f>
        <v/>
      </c>
      <c r="CD391" s="100" t="str">
        <f aca="false">IF($BL391&lt;&gt;Constants!$B$4,"",SUM($BX391:$CC391))</f>
        <v/>
      </c>
      <c r="CE391" s="100" t="str">
        <f aca="false">IF(ISBLANK($C391),"",IF($BL391&lt;&gt;Constants!$B$4,$BL391,SUM($BO391:$BW391)-$CD391))</f>
        <v/>
      </c>
      <c r="CF391" s="100" t="str">
        <f aca="false">IF(ISBLANK($C391),"",IF($BL391&lt;&gt;Constants!$B$4,$BL391,RANK($CE391,$CE$9:$CE$508)))</f>
        <v/>
      </c>
      <c r="CG391" s="100" t="str">
        <f aca="false">IF(ISBLANK($C391),"",IF($BL391&lt;&gt;Constants!$B$4,$BL391,COUNTIFS($BM$9:$BM$508,"&lt;"&amp;$BM391)+COUNTIFS($BM$9:$BM$508,$BM391,$CF$9:$CF$508,"&lt;"&amp;$CF391)+1))</f>
        <v/>
      </c>
      <c r="CH391" s="100" t="str">
        <f aca="false">IF(ISBLANK($C391),"",IF($BL391&lt;&gt;Constants!$B$4,$BL391,RANK($CD391,$CD$9:$CD$508,1)))</f>
        <v/>
      </c>
      <c r="CI391" s="100" t="str">
        <f aca="false">IF($BL391&lt;&gt;Constants!$B$4,"",$AN391+$AO391+$AP391)</f>
        <v/>
      </c>
      <c r="CJ391" s="100" t="str">
        <f aca="false">IF(ISBLANK($C391),"",IF($BL391&lt;&gt;Constants!$B$4,$BL391,RANK($CI391,$CI$9:$CI$508,1)))</f>
        <v/>
      </c>
      <c r="CK391" s="100" t="str">
        <f aca="false">IF(ISBLANK($C391),"",IF($BL391&lt;&gt;Constants!$B$4,$BL391,COUNTIFS($BM$9:$BM$508,"&lt;"&amp;$BM391)+COUNTIFS($BM$9:$BM$508,$BM391,$CF$9:$CF$508,"&lt;"&amp;$CF391)+COUNTIFS($BM$9:$BM$508,$BM391,$CF$9:$CF$508,$CF391,$CH$9:$CH$508,"&lt;"&amp;$CH391)+COUNTIFS($BM$9:$BM$508,$BM391,$CF$9:$CF$508,$CF391,$CH$9:$CH$508,$CH391,$CJ$9:$CJ$508,"&lt;"&amp;$CJ391)+1))</f>
        <v/>
      </c>
      <c r="CL391" s="100" t="str">
        <f aca="false">IF(ISBLANK($C391),"",IF($BL391&lt;&gt;Constants!$B$4,$BL391,$CG391-$CK391))</f>
        <v/>
      </c>
      <c r="CM391" s="100" t="str">
        <f aca="false">IF(ISBLANK($C391),"",IF(NOT($AL391),"",IF(ISBLANK($D$7),$CM$5,IF(NOT(ISNUMBER($D$7)),$CM$6,""))))</f>
        <v/>
      </c>
      <c r="CN391" s="100" t="str">
        <f aca="false">IF(ISBLANK($C391),"",OR($AN391="",$AO391="",$AP391=""))</f>
        <v/>
      </c>
      <c r="CO391" s="100" t="str">
        <f aca="false">IF(ISBLANK($C391),"",AND($AL391,$BA391=""))</f>
        <v/>
      </c>
      <c r="CP391" s="100" t="str">
        <f aca="false">IF(ISBLANK($C391),"",AND($AL391,$BB391=""))</f>
        <v/>
      </c>
      <c r="CQ391" s="100" t="str">
        <f aca="false">IF(ISBLANK($C391),"",AND($AL391,$BC391=""))</f>
        <v/>
      </c>
      <c r="CR391" s="100" t="str">
        <f aca="false">IF(ISBLANK($C391),"",AND($AL391,$BF391=""))</f>
        <v/>
      </c>
      <c r="CS391" s="100" t="str">
        <f aca="false">IF(ISBLANK($C391),"",AND($AL391,$BJ391=""))</f>
        <v/>
      </c>
      <c r="CT391" s="101"/>
      <c r="CU391" s="102"/>
      <c r="CV391" s="103" t="str">
        <f aca="false">IF(ISBLANK($C391),"",IF($BL391=Constants!$B$8,$CM391,""))</f>
        <v/>
      </c>
      <c r="CW391" s="102" t="str">
        <f aca="false">IF(ISBLANK($C391),"",IF($BL391&lt;&gt;Constants!$B$4,"",$BO391+$BP391))</f>
        <v/>
      </c>
      <c r="CX391" s="104" t="str">
        <f aca="false">IF(ISBLANK($C391),"",IF($BL391&lt;&gt;Constants!$B$4,"",$BQ391+$BR391+$BS391))</f>
        <v/>
      </c>
      <c r="CY391" s="104" t="str">
        <f aca="false">IF(ISBLANK($C391),"",IF($BL391&lt;&gt;Constants!$B$4,"",$BT391))</f>
        <v/>
      </c>
      <c r="CZ391" s="104" t="str">
        <f aca="false">IF(ISBLANK($C391),"",IF($BL391&lt;&gt;Constants!$B$4,"",$BU391+$BV391))</f>
        <v/>
      </c>
      <c r="DA391" s="104" t="str">
        <f aca="false">IF(ISBLANK($C391),"",IF($BL391&lt;&gt;Constants!$B$4,"",$BW391))</f>
        <v/>
      </c>
      <c r="DB391" s="104" t="str">
        <f aca="false">IF(ISBLANK($C391),"",IF($BL391&lt;&gt;Constants!$B$4,"",-$CD391))</f>
        <v/>
      </c>
      <c r="DC391" s="103" t="str">
        <f aca="false">IF(ISBLANK($C391),"",$CE391)</f>
        <v/>
      </c>
      <c r="DD391" s="105" t="str">
        <f aca="false">IF(ISBLANK($C391),"",$BM391)</f>
        <v/>
      </c>
      <c r="DE391" s="104" t="str">
        <f aca="false">IF(ISBLANK($C391),"",$CL391)</f>
        <v/>
      </c>
      <c r="DF391" s="104" t="str">
        <f aca="false">IF(ISBLANK($C391),"",$CK391)</f>
        <v/>
      </c>
      <c r="DG391" s="106" t="str">
        <f aca="false">IF(ISBLANK($C391),"",IF($DF391=Constants!$B$7,COUNTA($C$9:$C$508)+2,IF($DF391=Constants!$B$6,COUNTA($C$9:$C$508)+1,IF($DF391=Constants!$B$5,COUNTA($C$9:$C$508),$DF391))))</f>
        <v/>
      </c>
      <c r="DH391" s="7"/>
      <c r="DI391" s="107" t="n">
        <f aca="false">IF(OR(ISNUMBER($DF391),$DF391=Constants!$B$7,$DF391=Constants!$B$5,$DF391=Constants!$B$6),1,0)</f>
        <v>0</v>
      </c>
      <c r="DJ391" s="107" t="n">
        <v>383</v>
      </c>
      <c r="DK391" s="107" t="str">
        <f aca="false">IF(ISBLANK($C391),"",IF(ISNUMBER($DG391),$DG391+ROW($B391)/1000,""))</f>
        <v/>
      </c>
      <c r="DL391" s="107" t="str">
        <f aca="false">IF(ISNUMBER($DK391),RANK($DK391,$DK$9:$DK$508,1),"")</f>
        <v/>
      </c>
      <c r="DM391" s="107" t="str">
        <f aca="false">IF(ISBLANK($C391),"",$B391)</f>
        <v/>
      </c>
      <c r="DN391" s="107" t="str">
        <f aca="false">IF(ISBLANK($C391),"",$C391)</f>
        <v/>
      </c>
      <c r="DO391" s="107" t="str">
        <f aca="false">IF(ISBLANK($C391),"",$D391)</f>
        <v/>
      </c>
      <c r="DP391" s="108" t="str">
        <f aca="false">$DD391</f>
        <v/>
      </c>
      <c r="DQ391" s="109" t="str">
        <f aca="false">$DC391</f>
        <v/>
      </c>
      <c r="DR391" s="107" t="str">
        <f aca="false">IF(ISBLANK($C391),"",$DF391)</f>
        <v/>
      </c>
      <c r="DS391" s="110" t="str">
        <f aca="false">IF($DJ391&gt;$DI$8,"",VLOOKUP($DJ391,$DL$9:$DR$508,7,FALSE()))</f>
        <v/>
      </c>
      <c r="DT391" s="111" t="str">
        <f aca="false">IF($DJ391&gt;$DI$8,"",VLOOKUP($DJ391,$DL$9:$DR$508,2,FALSE()))</f>
        <v/>
      </c>
      <c r="DU391" s="111" t="str">
        <f aca="false">IF($DJ391&gt;$DI$8,"",VLOOKUP($DJ391,$DL$9:$DR$508,3,FALSE()))</f>
        <v/>
      </c>
      <c r="DV391" s="111" t="str">
        <f aca="false">IF($DJ391&gt;$DI$8,"",VLOOKUP($DJ391,$DL$9:$DR$508,4,FALSE()))</f>
        <v/>
      </c>
      <c r="DW391" s="111" t="str">
        <f aca="false">IF($DJ391&gt;$DI$8,"",VLOOKUP($DJ391,$DL$9:$DR$508,5,FALSE()))</f>
        <v/>
      </c>
      <c r="DX391" s="112" t="str">
        <f aca="false">IF($DJ391&gt;$DI$8,"",VLOOKUP($DJ391,$DL$9:$DR$508,6,FALSE()))</f>
        <v/>
      </c>
      <c r="DY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130"/>
      <c r="N392" s="130"/>
      <c r="O392" s="135"/>
      <c r="P392" s="135"/>
      <c r="Q392" s="130"/>
      <c r="R392" s="130"/>
      <c r="S392" s="130"/>
      <c r="T392" s="130"/>
      <c r="U392" s="135"/>
      <c r="V392" s="130"/>
      <c r="W392" s="96"/>
      <c r="X392" s="130"/>
      <c r="Y392" s="130"/>
      <c r="Z392" s="96"/>
      <c r="AA392" s="96"/>
      <c r="AB392" s="130"/>
      <c r="AC392" s="130"/>
      <c r="AD392" s="130"/>
      <c r="AE392" s="97"/>
      <c r="AF392" s="130"/>
      <c r="AG392" s="99"/>
      <c r="AH392" s="100"/>
      <c r="AI392" s="100"/>
      <c r="AJ392" s="100" t="str">
        <f aca="false">IF(ISBLANK($C392),"",IF($E392=Constants!$B$2,TRUE(),IF($E392=Constants!$B$3,FALSE(),TRUE())))</f>
        <v/>
      </c>
      <c r="AK392" s="100" t="str">
        <f aca="false">IF(ISBLANK($C392),"",IF($F392=Constants!$B$2,TRUE(),IF($F392=Constants!$B$3,FALSE(),FALSE())))</f>
        <v/>
      </c>
      <c r="AL392" s="100" t="str">
        <f aca="false">IF(ISBLANK($C392),"",IF($G392=Constants!$B$2,TRUE(),IF($G392=Constants!$B$3,FALSE(),TRUE())))</f>
        <v/>
      </c>
      <c r="AM392" s="100" t="str">
        <f aca="false">IF(ISBLANK($C392),"",IF($H392=Constants!$B$2,TRUE(),IF($H392=Constants!$B$3,FALSE(),TRUE())))</f>
        <v/>
      </c>
      <c r="AN392" s="100" t="str">
        <f aca="false">IF(ISBLANK($C392),"",IF(ISNUMBER($I392),IF($I392&gt;=0,$I392,""),""))</f>
        <v/>
      </c>
      <c r="AO392" s="100" t="str">
        <f aca="false">IF(ISBLANK($C392),"",IF(ISNUMBER($J392),IF($J392&gt;=0,$J392,""),""))</f>
        <v/>
      </c>
      <c r="AP392" s="100" t="str">
        <f aca="false">IF(ISBLANK($C392),"",IF(ISNUMBER($K392),IF($K392&gt;=0,$K392,""),""))</f>
        <v/>
      </c>
      <c r="AQ392" s="100" t="str">
        <f aca="false">IF(ISBLANK($C392),"",IF($L392=Constants!$B$2,TRUE(),IF($L392=Constants!$B$3,FALSE(),TRUE())))</f>
        <v/>
      </c>
      <c r="AR392" s="100" t="str">
        <f aca="false">IF(ISBLANK($C392),"",IF($M392=Constants!$B$2,TRUE(),IF($M392=Constants!$B$3,FALSE(),TRUE())))</f>
        <v/>
      </c>
      <c r="AS392" s="100" t="str">
        <f aca="false">IF(ISBLANK($C392),"",IF($N392=Constants!$B$2,TRUE(),IF($N392=Constants!$B$3,FALSE(),FALSE())))</f>
        <v/>
      </c>
      <c r="AT392" s="100" t="str">
        <f aca="false">IF(ISBLANK($C392),"",IF($O392=Constants!$B$2,TRUE(),IF($O392=Constants!$B$3,FALSE(),TRUE())))</f>
        <v/>
      </c>
      <c r="AU392" s="100" t="str">
        <f aca="false">IF(ISBLANK($C392),"",IF($P392=Constants!$B$2,TRUE(),IF($P392=Constants!$B$3,FALSE(),TRUE())))</f>
        <v/>
      </c>
      <c r="AV392" s="100" t="str">
        <f aca="false">IF(ISBLANK($C392),"",IF($Q392=Constants!$B$2,TRUE(),IF($Q392=Constants!$B$3,FALSE(),FALSE())))</f>
        <v/>
      </c>
      <c r="AW392" s="100" t="str">
        <f aca="false">IF(ISBLANK($C392),"",IF($R392=Constants!$B$2,TRUE(),IF($R392=Constants!$B$3,FALSE(),FALSE())))</f>
        <v/>
      </c>
      <c r="AX392" s="100" t="str">
        <f aca="false">IF(ISBLANK($C392),"",IF($S392=Constants!$B$2,TRUE(),IF($S392=Constants!$B$3,FALSE(),FALSE())))</f>
        <v/>
      </c>
      <c r="AY392" s="100" t="str">
        <f aca="false">IF(ISBLANK($C392),"",IF($T392=Constants!$B$2,TRUE(),IF($T392=Constants!$B$3,FALSE(),FALSE())))</f>
        <v/>
      </c>
      <c r="AZ392" s="100" t="str">
        <f aca="false">IF(ISBLANK($C392),"",IF($U392=Constants!$B$2,TRUE(),IF($U392=Constants!$B$3,FALSE(),FALSE())))</f>
        <v/>
      </c>
      <c r="BA392" s="100" t="str">
        <f aca="false">IF(ISBLANK($C392),"",IF(OR($V392&amp;""="1",$V392&amp;""="2",$V392&amp;""="3",$V392&amp;""="4"),VALUE($V392&amp;""),IF($V392=Constants!$B$12,Constants!$B$12,"")))</f>
        <v/>
      </c>
      <c r="BB392" s="100" t="str">
        <f aca="false">IF(ISBLANK($C392),"",IF(ISBLANK($W392),0,IF(ISNUMBER($W392),IF(AND($W392&gt;=0,$W392&lt;=Constants!$B$21,$W392=INT($W392)),$W392,""),"")))</f>
        <v/>
      </c>
      <c r="BC392" s="100" t="str">
        <f aca="false">IF(ISBLANK($C392),"",IF(ISBLANK($X392),0,IF(ISNUMBER($X392),IF($X392&gt;=0,$X392,""),"")))</f>
        <v/>
      </c>
      <c r="BD392" s="100" t="str">
        <f aca="false">IF(ISBLANK($C392),"",IF($Y392=Constants!$B$2,TRUE(),IF($Y392=Constants!$B$3,FALSE(),TRUE())))</f>
        <v/>
      </c>
      <c r="BE392" s="100" t="str">
        <f aca="false">IF(ISBLANK($C392),"",IF($Z392=Constants!$B$2,TRUE(),IF($Z392=Constants!$B$3,FALSE(),FALSE())))</f>
        <v/>
      </c>
      <c r="BF392" s="100" t="str">
        <f aca="false">IF(ISBLANK($C392),"",IF(ISBLANK($AA392),0,IF(ISNUMBER($AA392),IF(AND($AA392&gt;=0,$AA392&lt;=Constants!$B$35,$AA392=INT($AA392)),$AA392,""),"")))</f>
        <v/>
      </c>
      <c r="BG392" s="100" t="str">
        <f aca="false">IF(ISBLANK($C392),"",IF($AB392=Constants!$B$2,TRUE(),IF($AB392=Constants!$B$3,FALSE(),TRUE())))</f>
        <v/>
      </c>
      <c r="BH392" s="100" t="str">
        <f aca="false">IF(ISBLANK($C392),"",IF($AC392=Constants!$B$2,TRUE(),IF($AC392=Constants!$B$3,FALSE(),TRUE())))</f>
        <v/>
      </c>
      <c r="BI392" s="100" t="str">
        <f aca="false">IF(ISBLANK($C392),"",IF($AD392=Constants!$B$2,TRUE(),IF($AD392=Constants!$B$3,FALSE(),TRUE())))</f>
        <v/>
      </c>
      <c r="BJ392" s="100" t="str">
        <f aca="false">IF(ISBLANK($C392),"",IF(ISNUMBER($AE392),IF($AE392&gt;=0,$AE392,""),""))</f>
        <v/>
      </c>
      <c r="BK392" s="100" t="str">
        <f aca="false">IF(ISBLANK($C392),"",IF($AF392=Constants!$B$2,TRUE(),IF($AF392=Constants!$B$3,FALSE(),FALSE())))</f>
        <v/>
      </c>
      <c r="BL392" s="99" t="str">
        <f aca="false">IF(ISBLANK($C392),"",IF($BK392,Constants!$B$7,IF(COUNTA($E392:$AE392)=0,Constants!$B$6,IF(OR(COUNTA($G392:$AE392)=0,NOT($AM392),$AS392),Constants!$B$5,IF(OR($CM392&lt;&gt;"",$CN392,$CO392,$CP392,$CQ392,$CR392,$CS392),Constants!$B$8,Constants!$B$4)))))</f>
        <v/>
      </c>
      <c r="BM392" s="100" t="str">
        <f aca="false">IF(ISBLANK($C392),"",IF($BL392&lt;&gt;Constants!$B$4,$BL392,IF(OR(NOT($AJ392),NOT($AL392),NOT($AT392)),Constants!$B$11,IF(OR(NOT($AR392),NOT($AU392),NOT($BI392),MAX($AN392,$AO392,$AP392)&gt;Constants!$B$30),Constants!$B$10,Constants!$B$9))))</f>
        <v/>
      </c>
      <c r="BN392" s="100" t="str">
        <f aca="false">IF($BL392&lt;&gt;Constants!$B$4,"",IF(NOT($AL392),0,MIN(Constants!$B$35,$BF392)))</f>
        <v/>
      </c>
      <c r="BO392" s="100" t="str">
        <f aca="false">IF($BL392&lt;&gt;Constants!$B$4,"",IF(NOT($AL392),0,IF($AW392,Constants!$B$18,IF($AV392,Constants!$B$17,0))))</f>
        <v/>
      </c>
      <c r="BP392" s="100" t="str">
        <f aca="false">IF($BL392&lt;&gt;Constants!$B$4,"",IF(NOT($AL392),0,Constants!$B$19*($AK392+$AX392+$AY392+$AZ392)))</f>
        <v/>
      </c>
      <c r="BQ392" s="100" t="str">
        <f aca="false">IF($BL392&lt;&gt;Constants!$B$4,"",IF(OR(NOT($AL392),NOT(ISNUMBER($BA392))),0,CHOOSE($BA392,Constants!$B$13,Constants!$B$14,Constants!$B$15,Constants!$B$16)))</f>
        <v/>
      </c>
      <c r="BR392" s="100" t="str">
        <f aca="false">IF($BL392&lt;&gt;Constants!$B$4,"",IF(NOT($AL392),0,Constants!$B$20*$BB392))</f>
        <v/>
      </c>
      <c r="BS392" s="100" t="str">
        <f aca="false">IF($BL392&lt;&gt;Constants!$B$4,"",IF(AND($AL392,$BD392,$BE392),Constants!$B$22,0))</f>
        <v/>
      </c>
      <c r="BT392" s="100" t="str">
        <f aca="false">IF($BL392&lt;&gt;Constants!$B$4,"",IF(OR(NOT($AL392),NOT($BD392)),0,IF($BJ392&gt;=2*$AH$9,0,Constants!$B$23*INT(ROUND(MIN($BJ392,$AH$9),6)))))</f>
        <v/>
      </c>
      <c r="BU392" s="100" t="str">
        <f aca="false">IF($BL392&lt;&gt;Constants!$B$4,"",IF(NOT($AL392),0,Constants!$B$24*INT(ROUND(MIN($BC392,$AH$9),6))))</f>
        <v/>
      </c>
      <c r="BV392" s="100" t="str">
        <f aca="false">IF($BL392&lt;&gt;Constants!$B$4,"",IF(AND($AL392,$BN392=0),Constants!$B$25,0))</f>
        <v/>
      </c>
      <c r="BW392" s="100" t="str">
        <f aca="false">IF($BL392&lt;&gt;Constants!$B$4,"",MIN(Constants!$B$29,MAX(0,Constants!$B$27*Constants!$B$28*INT(ROUND((Constants!$B$26-$AN392)/Constants!$B$28,6))))+MIN(Constants!$B$29,MAX(0,Constants!$B$27*Constants!$B$28*INT(ROUND((Constants!$B$26-$AO392)/Constants!$B$28,6))))+MIN(Constants!$B$29,MAX(0,Constants!$B$27*Constants!$B$28*INT(ROUND((Constants!$B$26-$AP392)/Constants!$B$28,6)))))</f>
        <v/>
      </c>
      <c r="BX392" s="100" t="str">
        <f aca="false">IF($BL392&lt;&gt;Constants!$B$4,"",IF(NOT($AL392),0,Constants!$B$31*INT(ROUND(MAX(0,MIN($BJ392,2*$AH$9)-$AH$9),6))))</f>
        <v/>
      </c>
      <c r="BY392" s="100" t="str">
        <f aca="false">IF($BL392&lt;&gt;Constants!$B$4,"",Constants!$B$32*(($AN392&gt;Constants!$B$26)+($AO392&gt;Constants!$B$26)+($AP392&gt;Constants!$B$26)))</f>
        <v/>
      </c>
      <c r="BZ392" s="100" t="str">
        <f aca="false">IF($BL392&lt;&gt;Constants!$B$4,"",IF(OR(NOT($AL392),$AQ392),0,Constants!$B$33))</f>
        <v/>
      </c>
      <c r="CA392" s="100" t="str">
        <f aca="false">IF($BL392&lt;&gt;Constants!$B$4,"",Constants!$B$34*$BN392)</f>
        <v/>
      </c>
      <c r="CB392" s="100" t="str">
        <f aca="false">IF($BL392&lt;&gt;Constants!$B$4,"",IF(OR(NOT($AL392),$BH392),0,Constants!$B$36))</f>
        <v/>
      </c>
      <c r="CC392" s="100" t="str">
        <f aca="false">IF($BL392&lt;&gt;Constants!$B$4,"",IF(OR(NOT($AL392),$BG392),0,Constants!$B$37))</f>
        <v/>
      </c>
      <c r="CD392" s="100" t="str">
        <f aca="false">IF($BL392&lt;&gt;Constants!$B$4,"",SUM($BX392:$CC392))</f>
        <v/>
      </c>
      <c r="CE392" s="100" t="str">
        <f aca="false">IF(ISBLANK($C392),"",IF($BL392&lt;&gt;Constants!$B$4,$BL392,SUM($BO392:$BW392)-$CD392))</f>
        <v/>
      </c>
      <c r="CF392" s="100" t="str">
        <f aca="false">IF(ISBLANK($C392),"",IF($BL392&lt;&gt;Constants!$B$4,$BL392,RANK($CE392,$CE$9:$CE$508)))</f>
        <v/>
      </c>
      <c r="CG392" s="100" t="str">
        <f aca="false">IF(ISBLANK($C392),"",IF($BL392&lt;&gt;Constants!$B$4,$BL392,COUNTIFS($BM$9:$BM$508,"&lt;"&amp;$BM392)+COUNTIFS($BM$9:$BM$508,$BM392,$CF$9:$CF$508,"&lt;"&amp;$CF392)+1))</f>
        <v/>
      </c>
      <c r="CH392" s="100" t="str">
        <f aca="false">IF(ISBLANK($C392),"",IF($BL392&lt;&gt;Constants!$B$4,$BL392,RANK($CD392,$CD$9:$CD$508,1)))</f>
        <v/>
      </c>
      <c r="CI392" s="100" t="str">
        <f aca="false">IF($BL392&lt;&gt;Constants!$B$4,"",$AN392+$AO392+$AP392)</f>
        <v/>
      </c>
      <c r="CJ392" s="100" t="str">
        <f aca="false">IF(ISBLANK($C392),"",IF($BL392&lt;&gt;Constants!$B$4,$BL392,RANK($CI392,$CI$9:$CI$508,1)))</f>
        <v/>
      </c>
      <c r="CK392" s="100" t="str">
        <f aca="false">IF(ISBLANK($C392),"",IF($BL392&lt;&gt;Constants!$B$4,$BL392,COUNTIFS($BM$9:$BM$508,"&lt;"&amp;$BM392)+COUNTIFS($BM$9:$BM$508,$BM392,$CF$9:$CF$508,"&lt;"&amp;$CF392)+COUNTIFS($BM$9:$BM$508,$BM392,$CF$9:$CF$508,$CF392,$CH$9:$CH$508,"&lt;"&amp;$CH392)+COUNTIFS($BM$9:$BM$508,$BM392,$CF$9:$CF$508,$CF392,$CH$9:$CH$508,$CH392,$CJ$9:$CJ$508,"&lt;"&amp;$CJ392)+1))</f>
        <v/>
      </c>
      <c r="CL392" s="100" t="str">
        <f aca="false">IF(ISBLANK($C392),"",IF($BL392&lt;&gt;Constants!$B$4,$BL392,$CG392-$CK392))</f>
        <v/>
      </c>
      <c r="CM392" s="100" t="str">
        <f aca="false">IF(ISBLANK($C392),"",IF(NOT($AL392),"",IF(ISBLANK($D$7),$CM$5,IF(NOT(ISNUMBER($D$7)),$CM$6,""))))</f>
        <v/>
      </c>
      <c r="CN392" s="100" t="str">
        <f aca="false">IF(ISBLANK($C392),"",OR($AN392="",$AO392="",$AP392=""))</f>
        <v/>
      </c>
      <c r="CO392" s="100" t="str">
        <f aca="false">IF(ISBLANK($C392),"",AND($AL392,$BA392=""))</f>
        <v/>
      </c>
      <c r="CP392" s="100" t="str">
        <f aca="false">IF(ISBLANK($C392),"",AND($AL392,$BB392=""))</f>
        <v/>
      </c>
      <c r="CQ392" s="100" t="str">
        <f aca="false">IF(ISBLANK($C392),"",AND($AL392,$BC392=""))</f>
        <v/>
      </c>
      <c r="CR392" s="100" t="str">
        <f aca="false">IF(ISBLANK($C392),"",AND($AL392,$BF392=""))</f>
        <v/>
      </c>
      <c r="CS392" s="100" t="str">
        <f aca="false">IF(ISBLANK($C392),"",AND($AL392,$BJ392=""))</f>
        <v/>
      </c>
      <c r="CT392" s="101"/>
      <c r="CU392" s="102"/>
      <c r="CV392" s="103" t="str">
        <f aca="false">IF(ISBLANK($C392),"",IF($BL392=Constants!$B$8,$CM392,""))</f>
        <v/>
      </c>
      <c r="CW392" s="102" t="str">
        <f aca="false">IF(ISBLANK($C392),"",IF($BL392&lt;&gt;Constants!$B$4,"",$BO392+$BP392))</f>
        <v/>
      </c>
      <c r="CX392" s="104" t="str">
        <f aca="false">IF(ISBLANK($C392),"",IF($BL392&lt;&gt;Constants!$B$4,"",$BQ392+$BR392+$BS392))</f>
        <v/>
      </c>
      <c r="CY392" s="104" t="str">
        <f aca="false">IF(ISBLANK($C392),"",IF($BL392&lt;&gt;Constants!$B$4,"",$BT392))</f>
        <v/>
      </c>
      <c r="CZ392" s="104" t="str">
        <f aca="false">IF(ISBLANK($C392),"",IF($BL392&lt;&gt;Constants!$B$4,"",$BU392+$BV392))</f>
        <v/>
      </c>
      <c r="DA392" s="104" t="str">
        <f aca="false">IF(ISBLANK($C392),"",IF($BL392&lt;&gt;Constants!$B$4,"",$BW392))</f>
        <v/>
      </c>
      <c r="DB392" s="104" t="str">
        <f aca="false">IF(ISBLANK($C392),"",IF($BL392&lt;&gt;Constants!$B$4,"",-$CD392))</f>
        <v/>
      </c>
      <c r="DC392" s="103" t="str">
        <f aca="false">IF(ISBLANK($C392),"",$CE392)</f>
        <v/>
      </c>
      <c r="DD392" s="105" t="str">
        <f aca="false">IF(ISBLANK($C392),"",$BM392)</f>
        <v/>
      </c>
      <c r="DE392" s="104" t="str">
        <f aca="false">IF(ISBLANK($C392),"",$CL392)</f>
        <v/>
      </c>
      <c r="DF392" s="104" t="str">
        <f aca="false">IF(ISBLANK($C392),"",$CK392)</f>
        <v/>
      </c>
      <c r="DG392" s="106" t="str">
        <f aca="false">IF(ISBLANK($C392),"",IF($DF392=Constants!$B$7,COUNTA($C$9:$C$508)+2,IF($DF392=Constants!$B$6,COUNTA($C$9:$C$508)+1,IF($DF392=Constants!$B$5,COUNTA($C$9:$C$508),$DF392))))</f>
        <v/>
      </c>
      <c r="DH392" s="7"/>
      <c r="DI392" s="107" t="n">
        <f aca="false">IF(OR(ISNUMBER($DF392),$DF392=Constants!$B$7,$DF392=Constants!$B$5,$DF392=Constants!$B$6),1,0)</f>
        <v>0</v>
      </c>
      <c r="DJ392" s="107" t="n">
        <v>384</v>
      </c>
      <c r="DK392" s="107" t="str">
        <f aca="false">IF(ISBLANK($C392),"",IF(ISNUMBER($DG392),$DG392+ROW($B392)/1000,""))</f>
        <v/>
      </c>
      <c r="DL392" s="107" t="str">
        <f aca="false">IF(ISNUMBER($DK392),RANK($DK392,$DK$9:$DK$508,1),"")</f>
        <v/>
      </c>
      <c r="DM392" s="107" t="str">
        <f aca="false">IF(ISBLANK($C392),"",$B392)</f>
        <v/>
      </c>
      <c r="DN392" s="107" t="str">
        <f aca="false">IF(ISBLANK($C392),"",$C392)</f>
        <v/>
      </c>
      <c r="DO392" s="107" t="str">
        <f aca="false">IF(ISBLANK($C392),"",$D392)</f>
        <v/>
      </c>
      <c r="DP392" s="108" t="str">
        <f aca="false">$DD392</f>
        <v/>
      </c>
      <c r="DQ392" s="109" t="str">
        <f aca="false">$DC392</f>
        <v/>
      </c>
      <c r="DR392" s="107" t="str">
        <f aca="false">IF(ISBLANK($C392),"",$DF392)</f>
        <v/>
      </c>
      <c r="DS392" s="110" t="str">
        <f aca="false">IF($DJ392&gt;$DI$8,"",VLOOKUP($DJ392,$DL$9:$DR$508,7,FALSE()))</f>
        <v/>
      </c>
      <c r="DT392" s="111" t="str">
        <f aca="false">IF($DJ392&gt;$DI$8,"",VLOOKUP($DJ392,$DL$9:$DR$508,2,FALSE()))</f>
        <v/>
      </c>
      <c r="DU392" s="111" t="str">
        <f aca="false">IF($DJ392&gt;$DI$8,"",VLOOKUP($DJ392,$DL$9:$DR$508,3,FALSE()))</f>
        <v/>
      </c>
      <c r="DV392" s="111" t="str">
        <f aca="false">IF($DJ392&gt;$DI$8,"",VLOOKUP($DJ392,$DL$9:$DR$508,4,FALSE()))</f>
        <v/>
      </c>
      <c r="DW392" s="111" t="str">
        <f aca="false">IF($DJ392&gt;$DI$8,"",VLOOKUP($DJ392,$DL$9:$DR$508,5,FALSE()))</f>
        <v/>
      </c>
      <c r="DX392" s="112" t="str">
        <f aca="false">IF($DJ392&gt;$DI$8,"",VLOOKUP($DJ392,$DL$9:$DR$508,6,FALSE()))</f>
        <v/>
      </c>
      <c r="DY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88"/>
      <c r="N393" s="88"/>
      <c r="O393" s="134"/>
      <c r="P393" s="134"/>
      <c r="Q393" s="88"/>
      <c r="R393" s="88"/>
      <c r="S393" s="88"/>
      <c r="T393" s="88"/>
      <c r="U393" s="134"/>
      <c r="V393" s="88"/>
      <c r="W393" s="70"/>
      <c r="X393" s="88"/>
      <c r="Y393" s="88"/>
      <c r="Z393" s="70"/>
      <c r="AA393" s="70"/>
      <c r="AB393" s="88"/>
      <c r="AC393" s="88"/>
      <c r="AD393" s="88"/>
      <c r="AE393" s="71"/>
      <c r="AF393" s="88"/>
      <c r="AG393" s="73"/>
      <c r="AH393" s="74"/>
      <c r="AI393" s="74"/>
      <c r="AJ393" s="74" t="str">
        <f aca="false">IF(ISBLANK($C393),"",IF($E393=Constants!$B$2,TRUE(),IF($E393=Constants!$B$3,FALSE(),TRUE())))</f>
        <v/>
      </c>
      <c r="AK393" s="74" t="str">
        <f aca="false">IF(ISBLANK($C393),"",IF($F393=Constants!$B$2,TRUE(),IF($F393=Constants!$B$3,FALSE(),FALSE())))</f>
        <v/>
      </c>
      <c r="AL393" s="74" t="str">
        <f aca="false">IF(ISBLANK($C393),"",IF($G393=Constants!$B$2,TRUE(),IF($G393=Constants!$B$3,FALSE(),TRUE())))</f>
        <v/>
      </c>
      <c r="AM393" s="74" t="str">
        <f aca="false">IF(ISBLANK($C393),"",IF($H393=Constants!$B$2,TRUE(),IF($H393=Constants!$B$3,FALSE(),TRUE())))</f>
        <v/>
      </c>
      <c r="AN393" s="74" t="str">
        <f aca="false">IF(ISBLANK($C393),"",IF(ISNUMBER($I393),IF($I393&gt;=0,$I393,""),""))</f>
        <v/>
      </c>
      <c r="AO393" s="74" t="str">
        <f aca="false">IF(ISBLANK($C393),"",IF(ISNUMBER($J393),IF($J393&gt;=0,$J393,""),""))</f>
        <v/>
      </c>
      <c r="AP393" s="74" t="str">
        <f aca="false">IF(ISBLANK($C393),"",IF(ISNUMBER($K393),IF($K393&gt;=0,$K393,""),""))</f>
        <v/>
      </c>
      <c r="AQ393" s="74" t="str">
        <f aca="false">IF(ISBLANK($C393),"",IF($L393=Constants!$B$2,TRUE(),IF($L393=Constants!$B$3,FALSE(),TRUE())))</f>
        <v/>
      </c>
      <c r="AR393" s="74" t="str">
        <f aca="false">IF(ISBLANK($C393),"",IF($M393=Constants!$B$2,TRUE(),IF($M393=Constants!$B$3,FALSE(),TRUE())))</f>
        <v/>
      </c>
      <c r="AS393" s="74" t="str">
        <f aca="false">IF(ISBLANK($C393),"",IF($N393=Constants!$B$2,TRUE(),IF($N393=Constants!$B$3,FALSE(),FALSE())))</f>
        <v/>
      </c>
      <c r="AT393" s="74" t="str">
        <f aca="false">IF(ISBLANK($C393),"",IF($O393=Constants!$B$2,TRUE(),IF($O393=Constants!$B$3,FALSE(),TRUE())))</f>
        <v/>
      </c>
      <c r="AU393" s="74" t="str">
        <f aca="false">IF(ISBLANK($C393),"",IF($P393=Constants!$B$2,TRUE(),IF($P393=Constants!$B$3,FALSE(),TRUE())))</f>
        <v/>
      </c>
      <c r="AV393" s="74" t="str">
        <f aca="false">IF(ISBLANK($C393),"",IF($Q393=Constants!$B$2,TRUE(),IF($Q393=Constants!$B$3,FALSE(),FALSE())))</f>
        <v/>
      </c>
      <c r="AW393" s="74" t="str">
        <f aca="false">IF(ISBLANK($C393),"",IF($R393=Constants!$B$2,TRUE(),IF($R393=Constants!$B$3,FALSE(),FALSE())))</f>
        <v/>
      </c>
      <c r="AX393" s="74" t="str">
        <f aca="false">IF(ISBLANK($C393),"",IF($S393=Constants!$B$2,TRUE(),IF($S393=Constants!$B$3,FALSE(),FALSE())))</f>
        <v/>
      </c>
      <c r="AY393" s="74" t="str">
        <f aca="false">IF(ISBLANK($C393),"",IF($T393=Constants!$B$2,TRUE(),IF($T393=Constants!$B$3,FALSE(),FALSE())))</f>
        <v/>
      </c>
      <c r="AZ393" s="74" t="str">
        <f aca="false">IF(ISBLANK($C393),"",IF($U393=Constants!$B$2,TRUE(),IF($U393=Constants!$B$3,FALSE(),FALSE())))</f>
        <v/>
      </c>
      <c r="BA393" s="74" t="str">
        <f aca="false">IF(ISBLANK($C393),"",IF(OR($V393&amp;""="1",$V393&amp;""="2",$V393&amp;""="3",$V393&amp;""="4"),VALUE($V393&amp;""),IF($V393=Constants!$B$12,Constants!$B$12,"")))</f>
        <v/>
      </c>
      <c r="BB393" s="74" t="str">
        <f aca="false">IF(ISBLANK($C393),"",IF(ISBLANK($W393),0,IF(ISNUMBER($W393),IF(AND($W393&gt;=0,$W393&lt;=Constants!$B$21,$W393=INT($W393)),$W393,""),"")))</f>
        <v/>
      </c>
      <c r="BC393" s="74" t="str">
        <f aca="false">IF(ISBLANK($C393),"",IF(ISBLANK($X393),0,IF(ISNUMBER($X393),IF($X393&gt;=0,$X393,""),"")))</f>
        <v/>
      </c>
      <c r="BD393" s="74" t="str">
        <f aca="false">IF(ISBLANK($C393),"",IF($Y393=Constants!$B$2,TRUE(),IF($Y393=Constants!$B$3,FALSE(),TRUE())))</f>
        <v/>
      </c>
      <c r="BE393" s="74" t="str">
        <f aca="false">IF(ISBLANK($C393),"",IF($Z393=Constants!$B$2,TRUE(),IF($Z393=Constants!$B$3,FALSE(),FALSE())))</f>
        <v/>
      </c>
      <c r="BF393" s="74" t="str">
        <f aca="false">IF(ISBLANK($C393),"",IF(ISBLANK($AA393),0,IF(ISNUMBER($AA393),IF(AND($AA393&gt;=0,$AA393&lt;=Constants!$B$35,$AA393=INT($AA393)),$AA393,""),"")))</f>
        <v/>
      </c>
      <c r="BG393" s="74" t="str">
        <f aca="false">IF(ISBLANK($C393),"",IF($AB393=Constants!$B$2,TRUE(),IF($AB393=Constants!$B$3,FALSE(),TRUE())))</f>
        <v/>
      </c>
      <c r="BH393" s="74" t="str">
        <f aca="false">IF(ISBLANK($C393),"",IF($AC393=Constants!$B$2,TRUE(),IF($AC393=Constants!$B$3,FALSE(),TRUE())))</f>
        <v/>
      </c>
      <c r="BI393" s="74" t="str">
        <f aca="false">IF(ISBLANK($C393),"",IF($AD393=Constants!$B$2,TRUE(),IF($AD393=Constants!$B$3,FALSE(),TRUE())))</f>
        <v/>
      </c>
      <c r="BJ393" s="74" t="str">
        <f aca="false">IF(ISBLANK($C393),"",IF(ISNUMBER($AE393),IF($AE393&gt;=0,$AE393,""),""))</f>
        <v/>
      </c>
      <c r="BK393" s="74" t="str">
        <f aca="false">IF(ISBLANK($C393),"",IF($AF393=Constants!$B$2,TRUE(),IF($AF393=Constants!$B$3,FALSE(),FALSE())))</f>
        <v/>
      </c>
      <c r="BL393" s="73" t="str">
        <f aca="false">IF(ISBLANK($C393),"",IF($BK393,Constants!$B$7,IF(COUNTA($E393:$AE393)=0,Constants!$B$6,IF(OR(COUNTA($G393:$AE393)=0,NOT($AM393),$AS393),Constants!$B$5,IF(OR($CM393&lt;&gt;"",$CN393,$CO393,$CP393,$CQ393,$CR393,$CS393),Constants!$B$8,Constants!$B$4)))))</f>
        <v/>
      </c>
      <c r="BM393" s="74" t="str">
        <f aca="false">IF(ISBLANK($C393),"",IF($BL393&lt;&gt;Constants!$B$4,$BL393,IF(OR(NOT($AJ393),NOT($AL393),NOT($AT393)),Constants!$B$11,IF(OR(NOT($AR393),NOT($AU393),NOT($BI393),MAX($AN393,$AO393,$AP393)&gt;Constants!$B$30),Constants!$B$10,Constants!$B$9))))</f>
        <v/>
      </c>
      <c r="BN393" s="74" t="str">
        <f aca="false">IF($BL393&lt;&gt;Constants!$B$4,"",IF(NOT($AL393),0,MIN(Constants!$B$35,$BF393)))</f>
        <v/>
      </c>
      <c r="BO393" s="74" t="str">
        <f aca="false">IF($BL393&lt;&gt;Constants!$B$4,"",IF(NOT($AL393),0,IF($AW393,Constants!$B$18,IF($AV393,Constants!$B$17,0))))</f>
        <v/>
      </c>
      <c r="BP393" s="74" t="str">
        <f aca="false">IF($BL393&lt;&gt;Constants!$B$4,"",IF(NOT($AL393),0,Constants!$B$19*($AK393+$AX393+$AY393+$AZ393)))</f>
        <v/>
      </c>
      <c r="BQ393" s="74" t="str">
        <f aca="false">IF($BL393&lt;&gt;Constants!$B$4,"",IF(OR(NOT($AL393),NOT(ISNUMBER($BA393))),0,CHOOSE($BA393,Constants!$B$13,Constants!$B$14,Constants!$B$15,Constants!$B$16)))</f>
        <v/>
      </c>
      <c r="BR393" s="74" t="str">
        <f aca="false">IF($BL393&lt;&gt;Constants!$B$4,"",IF(NOT($AL393),0,Constants!$B$20*$BB393))</f>
        <v/>
      </c>
      <c r="BS393" s="74" t="str">
        <f aca="false">IF($BL393&lt;&gt;Constants!$B$4,"",IF(AND($AL393,$BD393,$BE393),Constants!$B$22,0))</f>
        <v/>
      </c>
      <c r="BT393" s="74" t="str">
        <f aca="false">IF($BL393&lt;&gt;Constants!$B$4,"",IF(OR(NOT($AL393),NOT($BD393)),0,IF($BJ393&gt;=2*$AH$9,0,Constants!$B$23*INT(ROUND(MIN($BJ393,$AH$9),6)))))</f>
        <v/>
      </c>
      <c r="BU393" s="74" t="str">
        <f aca="false">IF($BL393&lt;&gt;Constants!$B$4,"",IF(NOT($AL393),0,Constants!$B$24*INT(ROUND(MIN($BC393,$AH$9),6))))</f>
        <v/>
      </c>
      <c r="BV393" s="74" t="str">
        <f aca="false">IF($BL393&lt;&gt;Constants!$B$4,"",IF(AND($AL393,$BN393=0),Constants!$B$25,0))</f>
        <v/>
      </c>
      <c r="BW393" s="74" t="str">
        <f aca="false">IF($BL393&lt;&gt;Constants!$B$4,"",MIN(Constants!$B$29,MAX(0,Constants!$B$27*Constants!$B$28*INT(ROUND((Constants!$B$26-$AN393)/Constants!$B$28,6))))+MIN(Constants!$B$29,MAX(0,Constants!$B$27*Constants!$B$28*INT(ROUND((Constants!$B$26-$AO393)/Constants!$B$28,6))))+MIN(Constants!$B$29,MAX(0,Constants!$B$27*Constants!$B$28*INT(ROUND((Constants!$B$26-$AP393)/Constants!$B$28,6)))))</f>
        <v/>
      </c>
      <c r="BX393" s="74" t="str">
        <f aca="false">IF($BL393&lt;&gt;Constants!$B$4,"",IF(NOT($AL393),0,Constants!$B$31*INT(ROUND(MAX(0,MIN($BJ393,2*$AH$9)-$AH$9),6))))</f>
        <v/>
      </c>
      <c r="BY393" s="74" t="str">
        <f aca="false">IF($BL393&lt;&gt;Constants!$B$4,"",Constants!$B$32*(($AN393&gt;Constants!$B$26)+($AO393&gt;Constants!$B$26)+($AP393&gt;Constants!$B$26)))</f>
        <v/>
      </c>
      <c r="BZ393" s="74" t="str">
        <f aca="false">IF($BL393&lt;&gt;Constants!$B$4,"",IF(OR(NOT($AL393),$AQ393),0,Constants!$B$33))</f>
        <v/>
      </c>
      <c r="CA393" s="74" t="str">
        <f aca="false">IF($BL393&lt;&gt;Constants!$B$4,"",Constants!$B$34*$BN393)</f>
        <v/>
      </c>
      <c r="CB393" s="74" t="str">
        <f aca="false">IF($BL393&lt;&gt;Constants!$B$4,"",IF(OR(NOT($AL393),$BH393),0,Constants!$B$36))</f>
        <v/>
      </c>
      <c r="CC393" s="74" t="str">
        <f aca="false">IF($BL393&lt;&gt;Constants!$B$4,"",IF(OR(NOT($AL393),$BG393),0,Constants!$B$37))</f>
        <v/>
      </c>
      <c r="CD393" s="74" t="str">
        <f aca="false">IF($BL393&lt;&gt;Constants!$B$4,"",SUM($BX393:$CC393))</f>
        <v/>
      </c>
      <c r="CE393" s="74" t="str">
        <f aca="false">IF(ISBLANK($C393),"",IF($BL393&lt;&gt;Constants!$B$4,$BL393,SUM($BO393:$BW393)-$CD393))</f>
        <v/>
      </c>
      <c r="CF393" s="74" t="str">
        <f aca="false">IF(ISBLANK($C393),"",IF($BL393&lt;&gt;Constants!$B$4,$BL393,RANK($CE393,$CE$9:$CE$508)))</f>
        <v/>
      </c>
      <c r="CG393" s="74" t="str">
        <f aca="false">IF(ISBLANK($C393),"",IF($BL393&lt;&gt;Constants!$B$4,$BL393,COUNTIFS($BM$9:$BM$508,"&lt;"&amp;$BM393)+COUNTIFS($BM$9:$BM$508,$BM393,$CF$9:$CF$508,"&lt;"&amp;$CF393)+1))</f>
        <v/>
      </c>
      <c r="CH393" s="74" t="str">
        <f aca="false">IF(ISBLANK($C393),"",IF($BL393&lt;&gt;Constants!$B$4,$BL393,RANK($CD393,$CD$9:$CD$508,1)))</f>
        <v/>
      </c>
      <c r="CI393" s="74" t="str">
        <f aca="false">IF($BL393&lt;&gt;Constants!$B$4,"",$AN393+$AO393+$AP393)</f>
        <v/>
      </c>
      <c r="CJ393" s="74" t="str">
        <f aca="false">IF(ISBLANK($C393),"",IF($BL393&lt;&gt;Constants!$B$4,$BL393,RANK($CI393,$CI$9:$CI$508,1)))</f>
        <v/>
      </c>
      <c r="CK393" s="74" t="str">
        <f aca="false">IF(ISBLANK($C393),"",IF($BL393&lt;&gt;Constants!$B$4,$BL393,COUNTIFS($BM$9:$BM$508,"&lt;"&amp;$BM393)+COUNTIFS($BM$9:$BM$508,$BM393,$CF$9:$CF$508,"&lt;"&amp;$CF393)+COUNTIFS($BM$9:$BM$508,$BM393,$CF$9:$CF$508,$CF393,$CH$9:$CH$508,"&lt;"&amp;$CH393)+COUNTIFS($BM$9:$BM$508,$BM393,$CF$9:$CF$508,$CF393,$CH$9:$CH$508,$CH393,$CJ$9:$CJ$508,"&lt;"&amp;$CJ393)+1))</f>
        <v/>
      </c>
      <c r="CL393" s="74" t="str">
        <f aca="false">IF(ISBLANK($C393),"",IF($BL393&lt;&gt;Constants!$B$4,$BL393,$CG393-$CK393))</f>
        <v/>
      </c>
      <c r="CM393" s="74" t="str">
        <f aca="false">IF(ISBLANK($C393),"",IF(NOT($AL393),"",IF(ISBLANK($D$7),$CM$5,IF(NOT(ISNUMBER($D$7)),$CM$6,""))))</f>
        <v/>
      </c>
      <c r="CN393" s="74" t="str">
        <f aca="false">IF(ISBLANK($C393),"",OR($AN393="",$AO393="",$AP393=""))</f>
        <v/>
      </c>
      <c r="CO393" s="74" t="str">
        <f aca="false">IF(ISBLANK($C393),"",AND($AL393,$BA393=""))</f>
        <v/>
      </c>
      <c r="CP393" s="74" t="str">
        <f aca="false">IF(ISBLANK($C393),"",AND($AL393,$BB393=""))</f>
        <v/>
      </c>
      <c r="CQ393" s="74" t="str">
        <f aca="false">IF(ISBLANK($C393),"",AND($AL393,$BC393=""))</f>
        <v/>
      </c>
      <c r="CR393" s="74" t="str">
        <f aca="false">IF(ISBLANK($C393),"",AND($AL393,$BF393=""))</f>
        <v/>
      </c>
      <c r="CS393" s="74" t="str">
        <f aca="false">IF(ISBLANK($C393),"",AND($AL393,$BJ393=""))</f>
        <v/>
      </c>
      <c r="CT393" s="75"/>
      <c r="CU393" s="76"/>
      <c r="CV393" s="79" t="str">
        <f aca="false">IF(ISBLANK($C393),"",IF($BL393=Constants!$B$8,$CM393,""))</f>
        <v/>
      </c>
      <c r="CW393" s="76" t="str">
        <f aca="false">IF(ISBLANK($C393),"",IF($BL393&lt;&gt;Constants!$B$4,"",$BO393+$BP393))</f>
        <v/>
      </c>
      <c r="CX393" s="78" t="str">
        <f aca="false">IF(ISBLANK($C393),"",IF($BL393&lt;&gt;Constants!$B$4,"",$BQ393+$BR393+$BS393))</f>
        <v/>
      </c>
      <c r="CY393" s="78" t="str">
        <f aca="false">IF(ISBLANK($C393),"",IF($BL393&lt;&gt;Constants!$B$4,"",$BT393))</f>
        <v/>
      </c>
      <c r="CZ393" s="78" t="str">
        <f aca="false">IF(ISBLANK($C393),"",IF($BL393&lt;&gt;Constants!$B$4,"",$BU393+$BV393))</f>
        <v/>
      </c>
      <c r="DA393" s="78" t="str">
        <f aca="false">IF(ISBLANK($C393),"",IF($BL393&lt;&gt;Constants!$B$4,"",$BW393))</f>
        <v/>
      </c>
      <c r="DB393" s="78" t="str">
        <f aca="false">IF(ISBLANK($C393),"",IF($BL393&lt;&gt;Constants!$B$4,"",-$CD393))</f>
        <v/>
      </c>
      <c r="DC393" s="79" t="str">
        <f aca="false">IF(ISBLANK($C393),"",$CE393)</f>
        <v/>
      </c>
      <c r="DD393" s="80" t="str">
        <f aca="false">IF(ISBLANK($C393),"",$BM393)</f>
        <v/>
      </c>
      <c r="DE393" s="78" t="str">
        <f aca="false">IF(ISBLANK($C393),"",$CL393)</f>
        <v/>
      </c>
      <c r="DF393" s="78" t="str">
        <f aca="false">IF(ISBLANK($C393),"",$CK393)</f>
        <v/>
      </c>
      <c r="DG393" s="81" t="str">
        <f aca="false">IF(ISBLANK($C393),"",IF($DF393=Constants!$B$7,COUNTA($C$9:$C$508)+2,IF($DF393=Constants!$B$6,COUNTA($C$9:$C$508)+1,IF($DF393=Constants!$B$5,COUNTA($C$9:$C$508),$DF393))))</f>
        <v/>
      </c>
      <c r="DH393" s="7"/>
      <c r="DI393" s="82" t="n">
        <f aca="false">IF(OR(ISNUMBER($DF393),$DF393=Constants!$B$7,$DF393=Constants!$B$5,$DF393=Constants!$B$6),1,0)</f>
        <v>0</v>
      </c>
      <c r="DJ393" s="82" t="n">
        <v>385</v>
      </c>
      <c r="DK393" s="82" t="str">
        <f aca="false">IF(ISBLANK($C393),"",IF(ISNUMBER($DG393),$DG393+ROW($B393)/1000,""))</f>
        <v/>
      </c>
      <c r="DL393" s="82" t="str">
        <f aca="false">IF(ISNUMBER($DK393),RANK($DK393,$DK$9:$DK$508,1),"")</f>
        <v/>
      </c>
      <c r="DM393" s="82" t="str">
        <f aca="false">IF(ISBLANK($C393),"",$B393)</f>
        <v/>
      </c>
      <c r="DN393" s="82" t="str">
        <f aca="false">IF(ISBLANK($C393),"",$C393)</f>
        <v/>
      </c>
      <c r="DO393" s="82" t="str">
        <f aca="false">IF(ISBLANK($C393),"",$D393)</f>
        <v/>
      </c>
      <c r="DP393" s="83" t="str">
        <f aca="false">$DD393</f>
        <v/>
      </c>
      <c r="DQ393" s="84" t="str">
        <f aca="false">$DC393</f>
        <v/>
      </c>
      <c r="DR393" s="82" t="str">
        <f aca="false">IF(ISBLANK($C393),"",$DF393)</f>
        <v/>
      </c>
      <c r="DS393" s="85" t="str">
        <f aca="false">IF($DJ393&gt;$DI$8,"",VLOOKUP($DJ393,$DL$9:$DR$508,7,FALSE()))</f>
        <v/>
      </c>
      <c r="DT393" s="86" t="str">
        <f aca="false">IF($DJ393&gt;$DI$8,"",VLOOKUP($DJ393,$DL$9:$DR$508,2,FALSE()))</f>
        <v/>
      </c>
      <c r="DU393" s="86" t="str">
        <f aca="false">IF($DJ393&gt;$DI$8,"",VLOOKUP($DJ393,$DL$9:$DR$508,3,FALSE()))</f>
        <v/>
      </c>
      <c r="DV393" s="86" t="str">
        <f aca="false">IF($DJ393&gt;$DI$8,"",VLOOKUP($DJ393,$DL$9:$DR$508,4,FALSE()))</f>
        <v/>
      </c>
      <c r="DW393" s="86" t="str">
        <f aca="false">IF($DJ393&gt;$DI$8,"",VLOOKUP($DJ393,$DL$9:$DR$508,5,FALSE()))</f>
        <v/>
      </c>
      <c r="DX393" s="87" t="str">
        <f aca="false">IF($DJ393&gt;$DI$8,"",VLOOKUP($DJ393,$DL$9:$DR$508,6,FALSE()))</f>
        <v/>
      </c>
      <c r="DY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88"/>
      <c r="N394" s="88"/>
      <c r="O394" s="134"/>
      <c r="P394" s="134"/>
      <c r="Q394" s="88"/>
      <c r="R394" s="88"/>
      <c r="S394" s="88"/>
      <c r="T394" s="88"/>
      <c r="U394" s="134"/>
      <c r="V394" s="88"/>
      <c r="W394" s="70"/>
      <c r="X394" s="88"/>
      <c r="Y394" s="88"/>
      <c r="Z394" s="70"/>
      <c r="AA394" s="70"/>
      <c r="AB394" s="88"/>
      <c r="AC394" s="88"/>
      <c r="AD394" s="88"/>
      <c r="AE394" s="71"/>
      <c r="AF394" s="88"/>
      <c r="AG394" s="73"/>
      <c r="AH394" s="74"/>
      <c r="AI394" s="74"/>
      <c r="AJ394" s="74" t="str">
        <f aca="false">IF(ISBLANK($C394),"",IF($E394=Constants!$B$2,TRUE(),IF($E394=Constants!$B$3,FALSE(),TRUE())))</f>
        <v/>
      </c>
      <c r="AK394" s="74" t="str">
        <f aca="false">IF(ISBLANK($C394),"",IF($F394=Constants!$B$2,TRUE(),IF($F394=Constants!$B$3,FALSE(),FALSE())))</f>
        <v/>
      </c>
      <c r="AL394" s="74" t="str">
        <f aca="false">IF(ISBLANK($C394),"",IF($G394=Constants!$B$2,TRUE(),IF($G394=Constants!$B$3,FALSE(),TRUE())))</f>
        <v/>
      </c>
      <c r="AM394" s="74" t="str">
        <f aca="false">IF(ISBLANK($C394),"",IF($H394=Constants!$B$2,TRUE(),IF($H394=Constants!$B$3,FALSE(),TRUE())))</f>
        <v/>
      </c>
      <c r="AN394" s="74" t="str">
        <f aca="false">IF(ISBLANK($C394),"",IF(ISNUMBER($I394),IF($I394&gt;=0,$I394,""),""))</f>
        <v/>
      </c>
      <c r="AO394" s="74" t="str">
        <f aca="false">IF(ISBLANK($C394),"",IF(ISNUMBER($J394),IF($J394&gt;=0,$J394,""),""))</f>
        <v/>
      </c>
      <c r="AP394" s="74" t="str">
        <f aca="false">IF(ISBLANK($C394),"",IF(ISNUMBER($K394),IF($K394&gt;=0,$K394,""),""))</f>
        <v/>
      </c>
      <c r="AQ394" s="74" t="str">
        <f aca="false">IF(ISBLANK($C394),"",IF($L394=Constants!$B$2,TRUE(),IF($L394=Constants!$B$3,FALSE(),TRUE())))</f>
        <v/>
      </c>
      <c r="AR394" s="74" t="str">
        <f aca="false">IF(ISBLANK($C394),"",IF($M394=Constants!$B$2,TRUE(),IF($M394=Constants!$B$3,FALSE(),TRUE())))</f>
        <v/>
      </c>
      <c r="AS394" s="74" t="str">
        <f aca="false">IF(ISBLANK($C394),"",IF($N394=Constants!$B$2,TRUE(),IF($N394=Constants!$B$3,FALSE(),FALSE())))</f>
        <v/>
      </c>
      <c r="AT394" s="74" t="str">
        <f aca="false">IF(ISBLANK($C394),"",IF($O394=Constants!$B$2,TRUE(),IF($O394=Constants!$B$3,FALSE(),TRUE())))</f>
        <v/>
      </c>
      <c r="AU394" s="74" t="str">
        <f aca="false">IF(ISBLANK($C394),"",IF($P394=Constants!$B$2,TRUE(),IF($P394=Constants!$B$3,FALSE(),TRUE())))</f>
        <v/>
      </c>
      <c r="AV394" s="74" t="str">
        <f aca="false">IF(ISBLANK($C394),"",IF($Q394=Constants!$B$2,TRUE(),IF($Q394=Constants!$B$3,FALSE(),FALSE())))</f>
        <v/>
      </c>
      <c r="AW394" s="74" t="str">
        <f aca="false">IF(ISBLANK($C394),"",IF($R394=Constants!$B$2,TRUE(),IF($R394=Constants!$B$3,FALSE(),FALSE())))</f>
        <v/>
      </c>
      <c r="AX394" s="74" t="str">
        <f aca="false">IF(ISBLANK($C394),"",IF($S394=Constants!$B$2,TRUE(),IF($S394=Constants!$B$3,FALSE(),FALSE())))</f>
        <v/>
      </c>
      <c r="AY394" s="74" t="str">
        <f aca="false">IF(ISBLANK($C394),"",IF($T394=Constants!$B$2,TRUE(),IF($T394=Constants!$B$3,FALSE(),FALSE())))</f>
        <v/>
      </c>
      <c r="AZ394" s="74" t="str">
        <f aca="false">IF(ISBLANK($C394),"",IF($U394=Constants!$B$2,TRUE(),IF($U394=Constants!$B$3,FALSE(),FALSE())))</f>
        <v/>
      </c>
      <c r="BA394" s="74" t="str">
        <f aca="false">IF(ISBLANK($C394),"",IF(OR($V394&amp;""="1",$V394&amp;""="2",$V394&amp;""="3",$V394&amp;""="4"),VALUE($V394&amp;""),IF($V394=Constants!$B$12,Constants!$B$12,"")))</f>
        <v/>
      </c>
      <c r="BB394" s="74" t="str">
        <f aca="false">IF(ISBLANK($C394),"",IF(ISBLANK($W394),0,IF(ISNUMBER($W394),IF(AND($W394&gt;=0,$W394&lt;=Constants!$B$21,$W394=INT($W394)),$W394,""),"")))</f>
        <v/>
      </c>
      <c r="BC394" s="74" t="str">
        <f aca="false">IF(ISBLANK($C394),"",IF(ISBLANK($X394),0,IF(ISNUMBER($X394),IF($X394&gt;=0,$X394,""),"")))</f>
        <v/>
      </c>
      <c r="BD394" s="74" t="str">
        <f aca="false">IF(ISBLANK($C394),"",IF($Y394=Constants!$B$2,TRUE(),IF($Y394=Constants!$B$3,FALSE(),TRUE())))</f>
        <v/>
      </c>
      <c r="BE394" s="74" t="str">
        <f aca="false">IF(ISBLANK($C394),"",IF($Z394=Constants!$B$2,TRUE(),IF($Z394=Constants!$B$3,FALSE(),FALSE())))</f>
        <v/>
      </c>
      <c r="BF394" s="74" t="str">
        <f aca="false">IF(ISBLANK($C394),"",IF(ISBLANK($AA394),0,IF(ISNUMBER($AA394),IF(AND($AA394&gt;=0,$AA394&lt;=Constants!$B$35,$AA394=INT($AA394)),$AA394,""),"")))</f>
        <v/>
      </c>
      <c r="BG394" s="74" t="str">
        <f aca="false">IF(ISBLANK($C394),"",IF($AB394=Constants!$B$2,TRUE(),IF($AB394=Constants!$B$3,FALSE(),TRUE())))</f>
        <v/>
      </c>
      <c r="BH394" s="74" t="str">
        <f aca="false">IF(ISBLANK($C394),"",IF($AC394=Constants!$B$2,TRUE(),IF($AC394=Constants!$B$3,FALSE(),TRUE())))</f>
        <v/>
      </c>
      <c r="BI394" s="74" t="str">
        <f aca="false">IF(ISBLANK($C394),"",IF($AD394=Constants!$B$2,TRUE(),IF($AD394=Constants!$B$3,FALSE(),TRUE())))</f>
        <v/>
      </c>
      <c r="BJ394" s="74" t="str">
        <f aca="false">IF(ISBLANK($C394),"",IF(ISNUMBER($AE394),IF($AE394&gt;=0,$AE394,""),""))</f>
        <v/>
      </c>
      <c r="BK394" s="74" t="str">
        <f aca="false">IF(ISBLANK($C394),"",IF($AF394=Constants!$B$2,TRUE(),IF($AF394=Constants!$B$3,FALSE(),FALSE())))</f>
        <v/>
      </c>
      <c r="BL394" s="73" t="str">
        <f aca="false">IF(ISBLANK($C394),"",IF($BK394,Constants!$B$7,IF(COUNTA($E394:$AE394)=0,Constants!$B$6,IF(OR(COUNTA($G394:$AE394)=0,NOT($AM394),$AS394),Constants!$B$5,IF(OR($CM394&lt;&gt;"",$CN394,$CO394,$CP394,$CQ394,$CR394,$CS394),Constants!$B$8,Constants!$B$4)))))</f>
        <v/>
      </c>
      <c r="BM394" s="74" t="str">
        <f aca="false">IF(ISBLANK($C394),"",IF($BL394&lt;&gt;Constants!$B$4,$BL394,IF(OR(NOT($AJ394),NOT($AL394),NOT($AT394)),Constants!$B$11,IF(OR(NOT($AR394),NOT($AU394),NOT($BI394),MAX($AN394,$AO394,$AP394)&gt;Constants!$B$30),Constants!$B$10,Constants!$B$9))))</f>
        <v/>
      </c>
      <c r="BN394" s="74" t="str">
        <f aca="false">IF($BL394&lt;&gt;Constants!$B$4,"",IF(NOT($AL394),0,MIN(Constants!$B$35,$BF394)))</f>
        <v/>
      </c>
      <c r="BO394" s="74" t="str">
        <f aca="false">IF($BL394&lt;&gt;Constants!$B$4,"",IF(NOT($AL394),0,IF($AW394,Constants!$B$18,IF($AV394,Constants!$B$17,0))))</f>
        <v/>
      </c>
      <c r="BP394" s="74" t="str">
        <f aca="false">IF($BL394&lt;&gt;Constants!$B$4,"",IF(NOT($AL394),0,Constants!$B$19*($AK394+$AX394+$AY394+$AZ394)))</f>
        <v/>
      </c>
      <c r="BQ394" s="74" t="str">
        <f aca="false">IF($BL394&lt;&gt;Constants!$B$4,"",IF(OR(NOT($AL394),NOT(ISNUMBER($BA394))),0,CHOOSE($BA394,Constants!$B$13,Constants!$B$14,Constants!$B$15,Constants!$B$16)))</f>
        <v/>
      </c>
      <c r="BR394" s="74" t="str">
        <f aca="false">IF($BL394&lt;&gt;Constants!$B$4,"",IF(NOT($AL394),0,Constants!$B$20*$BB394))</f>
        <v/>
      </c>
      <c r="BS394" s="74" t="str">
        <f aca="false">IF($BL394&lt;&gt;Constants!$B$4,"",IF(AND($AL394,$BD394,$BE394),Constants!$B$22,0))</f>
        <v/>
      </c>
      <c r="BT394" s="74" t="str">
        <f aca="false">IF($BL394&lt;&gt;Constants!$B$4,"",IF(OR(NOT($AL394),NOT($BD394)),0,IF($BJ394&gt;=2*$AH$9,0,Constants!$B$23*INT(ROUND(MIN($BJ394,$AH$9),6)))))</f>
        <v/>
      </c>
      <c r="BU394" s="74" t="str">
        <f aca="false">IF($BL394&lt;&gt;Constants!$B$4,"",IF(NOT($AL394),0,Constants!$B$24*INT(ROUND(MIN($BC394,$AH$9),6))))</f>
        <v/>
      </c>
      <c r="BV394" s="74" t="str">
        <f aca="false">IF($BL394&lt;&gt;Constants!$B$4,"",IF(AND($AL394,$BN394=0),Constants!$B$25,0))</f>
        <v/>
      </c>
      <c r="BW394" s="74" t="str">
        <f aca="false">IF($BL394&lt;&gt;Constants!$B$4,"",MIN(Constants!$B$29,MAX(0,Constants!$B$27*Constants!$B$28*INT(ROUND((Constants!$B$26-$AN394)/Constants!$B$28,6))))+MIN(Constants!$B$29,MAX(0,Constants!$B$27*Constants!$B$28*INT(ROUND((Constants!$B$26-$AO394)/Constants!$B$28,6))))+MIN(Constants!$B$29,MAX(0,Constants!$B$27*Constants!$B$28*INT(ROUND((Constants!$B$26-$AP394)/Constants!$B$28,6)))))</f>
        <v/>
      </c>
      <c r="BX394" s="74" t="str">
        <f aca="false">IF($BL394&lt;&gt;Constants!$B$4,"",IF(NOT($AL394),0,Constants!$B$31*INT(ROUND(MAX(0,MIN($BJ394,2*$AH$9)-$AH$9),6))))</f>
        <v/>
      </c>
      <c r="BY394" s="74" t="str">
        <f aca="false">IF($BL394&lt;&gt;Constants!$B$4,"",Constants!$B$32*(($AN394&gt;Constants!$B$26)+($AO394&gt;Constants!$B$26)+($AP394&gt;Constants!$B$26)))</f>
        <v/>
      </c>
      <c r="BZ394" s="74" t="str">
        <f aca="false">IF($BL394&lt;&gt;Constants!$B$4,"",IF(OR(NOT($AL394),$AQ394),0,Constants!$B$33))</f>
        <v/>
      </c>
      <c r="CA394" s="74" t="str">
        <f aca="false">IF($BL394&lt;&gt;Constants!$B$4,"",Constants!$B$34*$BN394)</f>
        <v/>
      </c>
      <c r="CB394" s="74" t="str">
        <f aca="false">IF($BL394&lt;&gt;Constants!$B$4,"",IF(OR(NOT($AL394),$BH394),0,Constants!$B$36))</f>
        <v/>
      </c>
      <c r="CC394" s="74" t="str">
        <f aca="false">IF($BL394&lt;&gt;Constants!$B$4,"",IF(OR(NOT($AL394),$BG394),0,Constants!$B$37))</f>
        <v/>
      </c>
      <c r="CD394" s="74" t="str">
        <f aca="false">IF($BL394&lt;&gt;Constants!$B$4,"",SUM($BX394:$CC394))</f>
        <v/>
      </c>
      <c r="CE394" s="74" t="str">
        <f aca="false">IF(ISBLANK($C394),"",IF($BL394&lt;&gt;Constants!$B$4,$BL394,SUM($BO394:$BW394)-$CD394))</f>
        <v/>
      </c>
      <c r="CF394" s="74" t="str">
        <f aca="false">IF(ISBLANK($C394),"",IF($BL394&lt;&gt;Constants!$B$4,$BL394,RANK($CE394,$CE$9:$CE$508)))</f>
        <v/>
      </c>
      <c r="CG394" s="74" t="str">
        <f aca="false">IF(ISBLANK($C394),"",IF($BL394&lt;&gt;Constants!$B$4,$BL394,COUNTIFS($BM$9:$BM$508,"&lt;"&amp;$BM394)+COUNTIFS($BM$9:$BM$508,$BM394,$CF$9:$CF$508,"&lt;"&amp;$CF394)+1))</f>
        <v/>
      </c>
      <c r="CH394" s="74" t="str">
        <f aca="false">IF(ISBLANK($C394),"",IF($BL394&lt;&gt;Constants!$B$4,$BL394,RANK($CD394,$CD$9:$CD$508,1)))</f>
        <v/>
      </c>
      <c r="CI394" s="74" t="str">
        <f aca="false">IF($BL394&lt;&gt;Constants!$B$4,"",$AN394+$AO394+$AP394)</f>
        <v/>
      </c>
      <c r="CJ394" s="74" t="str">
        <f aca="false">IF(ISBLANK($C394),"",IF($BL394&lt;&gt;Constants!$B$4,$BL394,RANK($CI394,$CI$9:$CI$508,1)))</f>
        <v/>
      </c>
      <c r="CK394" s="74" t="str">
        <f aca="false">IF(ISBLANK($C394),"",IF($BL394&lt;&gt;Constants!$B$4,$BL394,COUNTIFS($BM$9:$BM$508,"&lt;"&amp;$BM394)+COUNTIFS($BM$9:$BM$508,$BM394,$CF$9:$CF$508,"&lt;"&amp;$CF394)+COUNTIFS($BM$9:$BM$508,$BM394,$CF$9:$CF$508,$CF394,$CH$9:$CH$508,"&lt;"&amp;$CH394)+COUNTIFS($BM$9:$BM$508,$BM394,$CF$9:$CF$508,$CF394,$CH$9:$CH$508,$CH394,$CJ$9:$CJ$508,"&lt;"&amp;$CJ394)+1))</f>
        <v/>
      </c>
      <c r="CL394" s="74" t="str">
        <f aca="false">IF(ISBLANK($C394),"",IF($BL394&lt;&gt;Constants!$B$4,$BL394,$CG394-$CK394))</f>
        <v/>
      </c>
      <c r="CM394" s="74" t="str">
        <f aca="false">IF(ISBLANK($C394),"",IF(NOT($AL394),"",IF(ISBLANK($D$7),$CM$5,IF(NOT(ISNUMBER($D$7)),$CM$6,""))))</f>
        <v/>
      </c>
      <c r="CN394" s="74" t="str">
        <f aca="false">IF(ISBLANK($C394),"",OR($AN394="",$AO394="",$AP394=""))</f>
        <v/>
      </c>
      <c r="CO394" s="74" t="str">
        <f aca="false">IF(ISBLANK($C394),"",AND($AL394,$BA394=""))</f>
        <v/>
      </c>
      <c r="CP394" s="74" t="str">
        <f aca="false">IF(ISBLANK($C394),"",AND($AL394,$BB394=""))</f>
        <v/>
      </c>
      <c r="CQ394" s="74" t="str">
        <f aca="false">IF(ISBLANK($C394),"",AND($AL394,$BC394=""))</f>
        <v/>
      </c>
      <c r="CR394" s="74" t="str">
        <f aca="false">IF(ISBLANK($C394),"",AND($AL394,$BF394=""))</f>
        <v/>
      </c>
      <c r="CS394" s="74" t="str">
        <f aca="false">IF(ISBLANK($C394),"",AND($AL394,$BJ394=""))</f>
        <v/>
      </c>
      <c r="CT394" s="75"/>
      <c r="CU394" s="76"/>
      <c r="CV394" s="79" t="str">
        <f aca="false">IF(ISBLANK($C394),"",IF($BL394=Constants!$B$8,$CM394,""))</f>
        <v/>
      </c>
      <c r="CW394" s="76" t="str">
        <f aca="false">IF(ISBLANK($C394),"",IF($BL394&lt;&gt;Constants!$B$4,"",$BO394+$BP394))</f>
        <v/>
      </c>
      <c r="CX394" s="78" t="str">
        <f aca="false">IF(ISBLANK($C394),"",IF($BL394&lt;&gt;Constants!$B$4,"",$BQ394+$BR394+$BS394))</f>
        <v/>
      </c>
      <c r="CY394" s="78" t="str">
        <f aca="false">IF(ISBLANK($C394),"",IF($BL394&lt;&gt;Constants!$B$4,"",$BT394))</f>
        <v/>
      </c>
      <c r="CZ394" s="78" t="str">
        <f aca="false">IF(ISBLANK($C394),"",IF($BL394&lt;&gt;Constants!$B$4,"",$BU394+$BV394))</f>
        <v/>
      </c>
      <c r="DA394" s="78" t="str">
        <f aca="false">IF(ISBLANK($C394),"",IF($BL394&lt;&gt;Constants!$B$4,"",$BW394))</f>
        <v/>
      </c>
      <c r="DB394" s="78" t="str">
        <f aca="false">IF(ISBLANK($C394),"",IF($BL394&lt;&gt;Constants!$B$4,"",-$CD394))</f>
        <v/>
      </c>
      <c r="DC394" s="79" t="str">
        <f aca="false">IF(ISBLANK($C394),"",$CE394)</f>
        <v/>
      </c>
      <c r="DD394" s="80" t="str">
        <f aca="false">IF(ISBLANK($C394),"",$BM394)</f>
        <v/>
      </c>
      <c r="DE394" s="78" t="str">
        <f aca="false">IF(ISBLANK($C394),"",$CL394)</f>
        <v/>
      </c>
      <c r="DF394" s="78" t="str">
        <f aca="false">IF(ISBLANK($C394),"",$CK394)</f>
        <v/>
      </c>
      <c r="DG394" s="81" t="str">
        <f aca="false">IF(ISBLANK($C394),"",IF($DF394=Constants!$B$7,COUNTA($C$9:$C$508)+2,IF($DF394=Constants!$B$6,COUNTA($C$9:$C$508)+1,IF($DF394=Constants!$B$5,COUNTA($C$9:$C$508),$DF394))))</f>
        <v/>
      </c>
      <c r="DH394" s="7"/>
      <c r="DI394" s="82" t="n">
        <f aca="false">IF(OR(ISNUMBER($DF394),$DF394=Constants!$B$7,$DF394=Constants!$B$5,$DF394=Constants!$B$6),1,0)</f>
        <v>0</v>
      </c>
      <c r="DJ394" s="82" t="n">
        <v>386</v>
      </c>
      <c r="DK394" s="82" t="str">
        <f aca="false">IF(ISBLANK($C394),"",IF(ISNUMBER($DG394),$DG394+ROW($B394)/1000,""))</f>
        <v/>
      </c>
      <c r="DL394" s="82" t="str">
        <f aca="false">IF(ISNUMBER($DK394),RANK($DK394,$DK$9:$DK$508,1),"")</f>
        <v/>
      </c>
      <c r="DM394" s="82" t="str">
        <f aca="false">IF(ISBLANK($C394),"",$B394)</f>
        <v/>
      </c>
      <c r="DN394" s="82" t="str">
        <f aca="false">IF(ISBLANK($C394),"",$C394)</f>
        <v/>
      </c>
      <c r="DO394" s="82" t="str">
        <f aca="false">IF(ISBLANK($C394),"",$D394)</f>
        <v/>
      </c>
      <c r="DP394" s="83" t="str">
        <f aca="false">$DD394</f>
        <v/>
      </c>
      <c r="DQ394" s="84" t="str">
        <f aca="false">$DC394</f>
        <v/>
      </c>
      <c r="DR394" s="82" t="str">
        <f aca="false">IF(ISBLANK($C394),"",$DF394)</f>
        <v/>
      </c>
      <c r="DS394" s="85" t="str">
        <f aca="false">IF($DJ394&gt;$DI$8,"",VLOOKUP($DJ394,$DL$9:$DR$508,7,FALSE()))</f>
        <v/>
      </c>
      <c r="DT394" s="86" t="str">
        <f aca="false">IF($DJ394&gt;$DI$8,"",VLOOKUP($DJ394,$DL$9:$DR$508,2,FALSE()))</f>
        <v/>
      </c>
      <c r="DU394" s="86" t="str">
        <f aca="false">IF($DJ394&gt;$DI$8,"",VLOOKUP($DJ394,$DL$9:$DR$508,3,FALSE()))</f>
        <v/>
      </c>
      <c r="DV394" s="86" t="str">
        <f aca="false">IF($DJ394&gt;$DI$8,"",VLOOKUP($DJ394,$DL$9:$DR$508,4,FALSE()))</f>
        <v/>
      </c>
      <c r="DW394" s="86" t="str">
        <f aca="false">IF($DJ394&gt;$DI$8,"",VLOOKUP($DJ394,$DL$9:$DR$508,5,FALSE()))</f>
        <v/>
      </c>
      <c r="DX394" s="87" t="str">
        <f aca="false">IF($DJ394&gt;$DI$8,"",VLOOKUP($DJ394,$DL$9:$DR$508,6,FALSE()))</f>
        <v/>
      </c>
      <c r="DY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88"/>
      <c r="N395" s="88"/>
      <c r="O395" s="134"/>
      <c r="P395" s="134"/>
      <c r="Q395" s="88"/>
      <c r="R395" s="88"/>
      <c r="S395" s="88"/>
      <c r="T395" s="88"/>
      <c r="U395" s="134"/>
      <c r="V395" s="88"/>
      <c r="W395" s="70"/>
      <c r="X395" s="88"/>
      <c r="Y395" s="88"/>
      <c r="Z395" s="70"/>
      <c r="AA395" s="70"/>
      <c r="AB395" s="88"/>
      <c r="AC395" s="88"/>
      <c r="AD395" s="88"/>
      <c r="AE395" s="71"/>
      <c r="AF395" s="88"/>
      <c r="AG395" s="73"/>
      <c r="AH395" s="74"/>
      <c r="AI395" s="74"/>
      <c r="AJ395" s="74" t="str">
        <f aca="false">IF(ISBLANK($C395),"",IF($E395=Constants!$B$2,TRUE(),IF($E395=Constants!$B$3,FALSE(),TRUE())))</f>
        <v/>
      </c>
      <c r="AK395" s="74" t="str">
        <f aca="false">IF(ISBLANK($C395),"",IF($F395=Constants!$B$2,TRUE(),IF($F395=Constants!$B$3,FALSE(),FALSE())))</f>
        <v/>
      </c>
      <c r="AL395" s="74" t="str">
        <f aca="false">IF(ISBLANK($C395),"",IF($G395=Constants!$B$2,TRUE(),IF($G395=Constants!$B$3,FALSE(),TRUE())))</f>
        <v/>
      </c>
      <c r="AM395" s="74" t="str">
        <f aca="false">IF(ISBLANK($C395),"",IF($H395=Constants!$B$2,TRUE(),IF($H395=Constants!$B$3,FALSE(),TRUE())))</f>
        <v/>
      </c>
      <c r="AN395" s="74" t="str">
        <f aca="false">IF(ISBLANK($C395),"",IF(ISNUMBER($I395),IF($I395&gt;=0,$I395,""),""))</f>
        <v/>
      </c>
      <c r="AO395" s="74" t="str">
        <f aca="false">IF(ISBLANK($C395),"",IF(ISNUMBER($J395),IF($J395&gt;=0,$J395,""),""))</f>
        <v/>
      </c>
      <c r="AP395" s="74" t="str">
        <f aca="false">IF(ISBLANK($C395),"",IF(ISNUMBER($K395),IF($K395&gt;=0,$K395,""),""))</f>
        <v/>
      </c>
      <c r="AQ395" s="74" t="str">
        <f aca="false">IF(ISBLANK($C395),"",IF($L395=Constants!$B$2,TRUE(),IF($L395=Constants!$B$3,FALSE(),TRUE())))</f>
        <v/>
      </c>
      <c r="AR395" s="74" t="str">
        <f aca="false">IF(ISBLANK($C395),"",IF($M395=Constants!$B$2,TRUE(),IF($M395=Constants!$B$3,FALSE(),TRUE())))</f>
        <v/>
      </c>
      <c r="AS395" s="74" t="str">
        <f aca="false">IF(ISBLANK($C395),"",IF($N395=Constants!$B$2,TRUE(),IF($N395=Constants!$B$3,FALSE(),FALSE())))</f>
        <v/>
      </c>
      <c r="AT395" s="74" t="str">
        <f aca="false">IF(ISBLANK($C395),"",IF($O395=Constants!$B$2,TRUE(),IF($O395=Constants!$B$3,FALSE(),TRUE())))</f>
        <v/>
      </c>
      <c r="AU395" s="74" t="str">
        <f aca="false">IF(ISBLANK($C395),"",IF($P395=Constants!$B$2,TRUE(),IF($P395=Constants!$B$3,FALSE(),TRUE())))</f>
        <v/>
      </c>
      <c r="AV395" s="74" t="str">
        <f aca="false">IF(ISBLANK($C395),"",IF($Q395=Constants!$B$2,TRUE(),IF($Q395=Constants!$B$3,FALSE(),FALSE())))</f>
        <v/>
      </c>
      <c r="AW395" s="74" t="str">
        <f aca="false">IF(ISBLANK($C395),"",IF($R395=Constants!$B$2,TRUE(),IF($R395=Constants!$B$3,FALSE(),FALSE())))</f>
        <v/>
      </c>
      <c r="AX395" s="74" t="str">
        <f aca="false">IF(ISBLANK($C395),"",IF($S395=Constants!$B$2,TRUE(),IF($S395=Constants!$B$3,FALSE(),FALSE())))</f>
        <v/>
      </c>
      <c r="AY395" s="74" t="str">
        <f aca="false">IF(ISBLANK($C395),"",IF($T395=Constants!$B$2,TRUE(),IF($T395=Constants!$B$3,FALSE(),FALSE())))</f>
        <v/>
      </c>
      <c r="AZ395" s="74" t="str">
        <f aca="false">IF(ISBLANK($C395),"",IF($U395=Constants!$B$2,TRUE(),IF($U395=Constants!$B$3,FALSE(),FALSE())))</f>
        <v/>
      </c>
      <c r="BA395" s="74" t="str">
        <f aca="false">IF(ISBLANK($C395),"",IF(OR($V395&amp;""="1",$V395&amp;""="2",$V395&amp;""="3",$V395&amp;""="4"),VALUE($V395&amp;""),IF($V395=Constants!$B$12,Constants!$B$12,"")))</f>
        <v/>
      </c>
      <c r="BB395" s="74" t="str">
        <f aca="false">IF(ISBLANK($C395),"",IF(ISBLANK($W395),0,IF(ISNUMBER($W395),IF(AND($W395&gt;=0,$W395&lt;=Constants!$B$21,$W395=INT($W395)),$W395,""),"")))</f>
        <v/>
      </c>
      <c r="BC395" s="74" t="str">
        <f aca="false">IF(ISBLANK($C395),"",IF(ISBLANK($X395),0,IF(ISNUMBER($X395),IF($X395&gt;=0,$X395,""),"")))</f>
        <v/>
      </c>
      <c r="BD395" s="74" t="str">
        <f aca="false">IF(ISBLANK($C395),"",IF($Y395=Constants!$B$2,TRUE(),IF($Y395=Constants!$B$3,FALSE(),TRUE())))</f>
        <v/>
      </c>
      <c r="BE395" s="74" t="str">
        <f aca="false">IF(ISBLANK($C395),"",IF($Z395=Constants!$B$2,TRUE(),IF($Z395=Constants!$B$3,FALSE(),FALSE())))</f>
        <v/>
      </c>
      <c r="BF395" s="74" t="str">
        <f aca="false">IF(ISBLANK($C395),"",IF(ISBLANK($AA395),0,IF(ISNUMBER($AA395),IF(AND($AA395&gt;=0,$AA395&lt;=Constants!$B$35,$AA395=INT($AA395)),$AA395,""),"")))</f>
        <v/>
      </c>
      <c r="BG395" s="74" t="str">
        <f aca="false">IF(ISBLANK($C395),"",IF($AB395=Constants!$B$2,TRUE(),IF($AB395=Constants!$B$3,FALSE(),TRUE())))</f>
        <v/>
      </c>
      <c r="BH395" s="74" t="str">
        <f aca="false">IF(ISBLANK($C395),"",IF($AC395=Constants!$B$2,TRUE(),IF($AC395=Constants!$B$3,FALSE(),TRUE())))</f>
        <v/>
      </c>
      <c r="BI395" s="74" t="str">
        <f aca="false">IF(ISBLANK($C395),"",IF($AD395=Constants!$B$2,TRUE(),IF($AD395=Constants!$B$3,FALSE(),TRUE())))</f>
        <v/>
      </c>
      <c r="BJ395" s="74" t="str">
        <f aca="false">IF(ISBLANK($C395),"",IF(ISNUMBER($AE395),IF($AE395&gt;=0,$AE395,""),""))</f>
        <v/>
      </c>
      <c r="BK395" s="74" t="str">
        <f aca="false">IF(ISBLANK($C395),"",IF($AF395=Constants!$B$2,TRUE(),IF($AF395=Constants!$B$3,FALSE(),FALSE())))</f>
        <v/>
      </c>
      <c r="BL395" s="73" t="str">
        <f aca="false">IF(ISBLANK($C395),"",IF($BK395,Constants!$B$7,IF(COUNTA($E395:$AE395)=0,Constants!$B$6,IF(OR(COUNTA($G395:$AE395)=0,NOT($AM395),$AS395),Constants!$B$5,IF(OR($CM395&lt;&gt;"",$CN395,$CO395,$CP395,$CQ395,$CR395,$CS395),Constants!$B$8,Constants!$B$4)))))</f>
        <v/>
      </c>
      <c r="BM395" s="74" t="str">
        <f aca="false">IF(ISBLANK($C395),"",IF($BL395&lt;&gt;Constants!$B$4,$BL395,IF(OR(NOT($AJ395),NOT($AL395),NOT($AT395)),Constants!$B$11,IF(OR(NOT($AR395),NOT($AU395),NOT($BI395),MAX($AN395,$AO395,$AP395)&gt;Constants!$B$30),Constants!$B$10,Constants!$B$9))))</f>
        <v/>
      </c>
      <c r="BN395" s="74" t="str">
        <f aca="false">IF($BL395&lt;&gt;Constants!$B$4,"",IF(NOT($AL395),0,MIN(Constants!$B$35,$BF395)))</f>
        <v/>
      </c>
      <c r="BO395" s="74" t="str">
        <f aca="false">IF($BL395&lt;&gt;Constants!$B$4,"",IF(NOT($AL395),0,IF($AW395,Constants!$B$18,IF($AV395,Constants!$B$17,0))))</f>
        <v/>
      </c>
      <c r="BP395" s="74" t="str">
        <f aca="false">IF($BL395&lt;&gt;Constants!$B$4,"",IF(NOT($AL395),0,Constants!$B$19*($AK395+$AX395+$AY395+$AZ395)))</f>
        <v/>
      </c>
      <c r="BQ395" s="74" t="str">
        <f aca="false">IF($BL395&lt;&gt;Constants!$B$4,"",IF(OR(NOT($AL395),NOT(ISNUMBER($BA395))),0,CHOOSE($BA395,Constants!$B$13,Constants!$B$14,Constants!$B$15,Constants!$B$16)))</f>
        <v/>
      </c>
      <c r="BR395" s="74" t="str">
        <f aca="false">IF($BL395&lt;&gt;Constants!$B$4,"",IF(NOT($AL395),0,Constants!$B$20*$BB395))</f>
        <v/>
      </c>
      <c r="BS395" s="74" t="str">
        <f aca="false">IF($BL395&lt;&gt;Constants!$B$4,"",IF(AND($AL395,$BD395,$BE395),Constants!$B$22,0))</f>
        <v/>
      </c>
      <c r="BT395" s="74" t="str">
        <f aca="false">IF($BL395&lt;&gt;Constants!$B$4,"",IF(OR(NOT($AL395),NOT($BD395)),0,IF($BJ395&gt;=2*$AH$9,0,Constants!$B$23*INT(ROUND(MIN($BJ395,$AH$9),6)))))</f>
        <v/>
      </c>
      <c r="BU395" s="74" t="str">
        <f aca="false">IF($BL395&lt;&gt;Constants!$B$4,"",IF(NOT($AL395),0,Constants!$B$24*INT(ROUND(MIN($BC395,$AH$9),6))))</f>
        <v/>
      </c>
      <c r="BV395" s="74" t="str">
        <f aca="false">IF($BL395&lt;&gt;Constants!$B$4,"",IF(AND($AL395,$BN395=0),Constants!$B$25,0))</f>
        <v/>
      </c>
      <c r="BW395" s="74" t="str">
        <f aca="false">IF($BL395&lt;&gt;Constants!$B$4,"",MIN(Constants!$B$29,MAX(0,Constants!$B$27*Constants!$B$28*INT(ROUND((Constants!$B$26-$AN395)/Constants!$B$28,6))))+MIN(Constants!$B$29,MAX(0,Constants!$B$27*Constants!$B$28*INT(ROUND((Constants!$B$26-$AO395)/Constants!$B$28,6))))+MIN(Constants!$B$29,MAX(0,Constants!$B$27*Constants!$B$28*INT(ROUND((Constants!$B$26-$AP395)/Constants!$B$28,6)))))</f>
        <v/>
      </c>
      <c r="BX395" s="74" t="str">
        <f aca="false">IF($BL395&lt;&gt;Constants!$B$4,"",IF(NOT($AL395),0,Constants!$B$31*INT(ROUND(MAX(0,MIN($BJ395,2*$AH$9)-$AH$9),6))))</f>
        <v/>
      </c>
      <c r="BY395" s="74" t="str">
        <f aca="false">IF($BL395&lt;&gt;Constants!$B$4,"",Constants!$B$32*(($AN395&gt;Constants!$B$26)+($AO395&gt;Constants!$B$26)+($AP395&gt;Constants!$B$26)))</f>
        <v/>
      </c>
      <c r="BZ395" s="74" t="str">
        <f aca="false">IF($BL395&lt;&gt;Constants!$B$4,"",IF(OR(NOT($AL395),$AQ395),0,Constants!$B$33))</f>
        <v/>
      </c>
      <c r="CA395" s="74" t="str">
        <f aca="false">IF($BL395&lt;&gt;Constants!$B$4,"",Constants!$B$34*$BN395)</f>
        <v/>
      </c>
      <c r="CB395" s="74" t="str">
        <f aca="false">IF($BL395&lt;&gt;Constants!$B$4,"",IF(OR(NOT($AL395),$BH395),0,Constants!$B$36))</f>
        <v/>
      </c>
      <c r="CC395" s="74" t="str">
        <f aca="false">IF($BL395&lt;&gt;Constants!$B$4,"",IF(OR(NOT($AL395),$BG395),0,Constants!$B$37))</f>
        <v/>
      </c>
      <c r="CD395" s="74" t="str">
        <f aca="false">IF($BL395&lt;&gt;Constants!$B$4,"",SUM($BX395:$CC395))</f>
        <v/>
      </c>
      <c r="CE395" s="74" t="str">
        <f aca="false">IF(ISBLANK($C395),"",IF($BL395&lt;&gt;Constants!$B$4,$BL395,SUM($BO395:$BW395)-$CD395))</f>
        <v/>
      </c>
      <c r="CF395" s="74" t="str">
        <f aca="false">IF(ISBLANK($C395),"",IF($BL395&lt;&gt;Constants!$B$4,$BL395,RANK($CE395,$CE$9:$CE$508)))</f>
        <v/>
      </c>
      <c r="CG395" s="74" t="str">
        <f aca="false">IF(ISBLANK($C395),"",IF($BL395&lt;&gt;Constants!$B$4,$BL395,COUNTIFS($BM$9:$BM$508,"&lt;"&amp;$BM395)+COUNTIFS($BM$9:$BM$508,$BM395,$CF$9:$CF$508,"&lt;"&amp;$CF395)+1))</f>
        <v/>
      </c>
      <c r="CH395" s="74" t="str">
        <f aca="false">IF(ISBLANK($C395),"",IF($BL395&lt;&gt;Constants!$B$4,$BL395,RANK($CD395,$CD$9:$CD$508,1)))</f>
        <v/>
      </c>
      <c r="CI395" s="74" t="str">
        <f aca="false">IF($BL395&lt;&gt;Constants!$B$4,"",$AN395+$AO395+$AP395)</f>
        <v/>
      </c>
      <c r="CJ395" s="74" t="str">
        <f aca="false">IF(ISBLANK($C395),"",IF($BL395&lt;&gt;Constants!$B$4,$BL395,RANK($CI395,$CI$9:$CI$508,1)))</f>
        <v/>
      </c>
      <c r="CK395" s="74" t="str">
        <f aca="false">IF(ISBLANK($C395),"",IF($BL395&lt;&gt;Constants!$B$4,$BL395,COUNTIFS($BM$9:$BM$508,"&lt;"&amp;$BM395)+COUNTIFS($BM$9:$BM$508,$BM395,$CF$9:$CF$508,"&lt;"&amp;$CF395)+COUNTIFS($BM$9:$BM$508,$BM395,$CF$9:$CF$508,$CF395,$CH$9:$CH$508,"&lt;"&amp;$CH395)+COUNTIFS($BM$9:$BM$508,$BM395,$CF$9:$CF$508,$CF395,$CH$9:$CH$508,$CH395,$CJ$9:$CJ$508,"&lt;"&amp;$CJ395)+1))</f>
        <v/>
      </c>
      <c r="CL395" s="74" t="str">
        <f aca="false">IF(ISBLANK($C395),"",IF($BL395&lt;&gt;Constants!$B$4,$BL395,$CG395-$CK395))</f>
        <v/>
      </c>
      <c r="CM395" s="74" t="str">
        <f aca="false">IF(ISBLANK($C395),"",IF(NOT($AL395),"",IF(ISBLANK($D$7),$CM$5,IF(NOT(ISNUMBER($D$7)),$CM$6,""))))</f>
        <v/>
      </c>
      <c r="CN395" s="74" t="str">
        <f aca="false">IF(ISBLANK($C395),"",OR($AN395="",$AO395="",$AP395=""))</f>
        <v/>
      </c>
      <c r="CO395" s="74" t="str">
        <f aca="false">IF(ISBLANK($C395),"",AND($AL395,$BA395=""))</f>
        <v/>
      </c>
      <c r="CP395" s="74" t="str">
        <f aca="false">IF(ISBLANK($C395),"",AND($AL395,$BB395=""))</f>
        <v/>
      </c>
      <c r="CQ395" s="74" t="str">
        <f aca="false">IF(ISBLANK($C395),"",AND($AL395,$BC395=""))</f>
        <v/>
      </c>
      <c r="CR395" s="74" t="str">
        <f aca="false">IF(ISBLANK($C395),"",AND($AL395,$BF395=""))</f>
        <v/>
      </c>
      <c r="CS395" s="74" t="str">
        <f aca="false">IF(ISBLANK($C395),"",AND($AL395,$BJ395=""))</f>
        <v/>
      </c>
      <c r="CT395" s="75"/>
      <c r="CU395" s="76"/>
      <c r="CV395" s="79" t="str">
        <f aca="false">IF(ISBLANK($C395),"",IF($BL395=Constants!$B$8,$CM395,""))</f>
        <v/>
      </c>
      <c r="CW395" s="76" t="str">
        <f aca="false">IF(ISBLANK($C395),"",IF($BL395&lt;&gt;Constants!$B$4,"",$BO395+$BP395))</f>
        <v/>
      </c>
      <c r="CX395" s="78" t="str">
        <f aca="false">IF(ISBLANK($C395),"",IF($BL395&lt;&gt;Constants!$B$4,"",$BQ395+$BR395+$BS395))</f>
        <v/>
      </c>
      <c r="CY395" s="78" t="str">
        <f aca="false">IF(ISBLANK($C395),"",IF($BL395&lt;&gt;Constants!$B$4,"",$BT395))</f>
        <v/>
      </c>
      <c r="CZ395" s="78" t="str">
        <f aca="false">IF(ISBLANK($C395),"",IF($BL395&lt;&gt;Constants!$B$4,"",$BU395+$BV395))</f>
        <v/>
      </c>
      <c r="DA395" s="78" t="str">
        <f aca="false">IF(ISBLANK($C395),"",IF($BL395&lt;&gt;Constants!$B$4,"",$BW395))</f>
        <v/>
      </c>
      <c r="DB395" s="78" t="str">
        <f aca="false">IF(ISBLANK($C395),"",IF($BL395&lt;&gt;Constants!$B$4,"",-$CD395))</f>
        <v/>
      </c>
      <c r="DC395" s="79" t="str">
        <f aca="false">IF(ISBLANK($C395),"",$CE395)</f>
        <v/>
      </c>
      <c r="DD395" s="80" t="str">
        <f aca="false">IF(ISBLANK($C395),"",$BM395)</f>
        <v/>
      </c>
      <c r="DE395" s="78" t="str">
        <f aca="false">IF(ISBLANK($C395),"",$CL395)</f>
        <v/>
      </c>
      <c r="DF395" s="78" t="str">
        <f aca="false">IF(ISBLANK($C395),"",$CK395)</f>
        <v/>
      </c>
      <c r="DG395" s="81" t="str">
        <f aca="false">IF(ISBLANK($C395),"",IF($DF395=Constants!$B$7,COUNTA($C$9:$C$508)+2,IF($DF395=Constants!$B$6,COUNTA($C$9:$C$508)+1,IF($DF395=Constants!$B$5,COUNTA($C$9:$C$508),$DF395))))</f>
        <v/>
      </c>
      <c r="DH395" s="7"/>
      <c r="DI395" s="82" t="n">
        <f aca="false">IF(OR(ISNUMBER($DF395),$DF395=Constants!$B$7,$DF395=Constants!$B$5,$DF395=Constants!$B$6),1,0)</f>
        <v>0</v>
      </c>
      <c r="DJ395" s="82" t="n">
        <v>387</v>
      </c>
      <c r="DK395" s="82" t="str">
        <f aca="false">IF(ISBLANK($C395),"",IF(ISNUMBER($DG395),$DG395+ROW($B395)/1000,""))</f>
        <v/>
      </c>
      <c r="DL395" s="82" t="str">
        <f aca="false">IF(ISNUMBER($DK395),RANK($DK395,$DK$9:$DK$508,1),"")</f>
        <v/>
      </c>
      <c r="DM395" s="82" t="str">
        <f aca="false">IF(ISBLANK($C395),"",$B395)</f>
        <v/>
      </c>
      <c r="DN395" s="82" t="str">
        <f aca="false">IF(ISBLANK($C395),"",$C395)</f>
        <v/>
      </c>
      <c r="DO395" s="82" t="str">
        <f aca="false">IF(ISBLANK($C395),"",$D395)</f>
        <v/>
      </c>
      <c r="DP395" s="83" t="str">
        <f aca="false">$DD395</f>
        <v/>
      </c>
      <c r="DQ395" s="84" t="str">
        <f aca="false">$DC395</f>
        <v/>
      </c>
      <c r="DR395" s="82" t="str">
        <f aca="false">IF(ISBLANK($C395),"",$DF395)</f>
        <v/>
      </c>
      <c r="DS395" s="85" t="str">
        <f aca="false">IF($DJ395&gt;$DI$8,"",VLOOKUP($DJ395,$DL$9:$DR$508,7,FALSE()))</f>
        <v/>
      </c>
      <c r="DT395" s="86" t="str">
        <f aca="false">IF($DJ395&gt;$DI$8,"",VLOOKUP($DJ395,$DL$9:$DR$508,2,FALSE()))</f>
        <v/>
      </c>
      <c r="DU395" s="86" t="str">
        <f aca="false">IF($DJ395&gt;$DI$8,"",VLOOKUP($DJ395,$DL$9:$DR$508,3,FALSE()))</f>
        <v/>
      </c>
      <c r="DV395" s="86" t="str">
        <f aca="false">IF($DJ395&gt;$DI$8,"",VLOOKUP($DJ395,$DL$9:$DR$508,4,FALSE()))</f>
        <v/>
      </c>
      <c r="DW395" s="86" t="str">
        <f aca="false">IF($DJ395&gt;$DI$8,"",VLOOKUP($DJ395,$DL$9:$DR$508,5,FALSE()))</f>
        <v/>
      </c>
      <c r="DX395" s="87" t="str">
        <f aca="false">IF($DJ395&gt;$DI$8,"",VLOOKUP($DJ395,$DL$9:$DR$508,6,FALSE()))</f>
        <v/>
      </c>
      <c r="DY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130"/>
      <c r="N396" s="130"/>
      <c r="O396" s="135"/>
      <c r="P396" s="135"/>
      <c r="Q396" s="130"/>
      <c r="R396" s="130"/>
      <c r="S396" s="130"/>
      <c r="T396" s="130"/>
      <c r="U396" s="135"/>
      <c r="V396" s="130"/>
      <c r="W396" s="96"/>
      <c r="X396" s="130"/>
      <c r="Y396" s="130"/>
      <c r="Z396" s="96"/>
      <c r="AA396" s="96"/>
      <c r="AB396" s="130"/>
      <c r="AC396" s="130"/>
      <c r="AD396" s="130"/>
      <c r="AE396" s="97"/>
      <c r="AF396" s="130"/>
      <c r="AG396" s="99"/>
      <c r="AH396" s="100"/>
      <c r="AI396" s="100"/>
      <c r="AJ396" s="100" t="str">
        <f aca="false">IF(ISBLANK($C396),"",IF($E396=Constants!$B$2,TRUE(),IF($E396=Constants!$B$3,FALSE(),TRUE())))</f>
        <v/>
      </c>
      <c r="AK396" s="100" t="str">
        <f aca="false">IF(ISBLANK($C396),"",IF($F396=Constants!$B$2,TRUE(),IF($F396=Constants!$B$3,FALSE(),FALSE())))</f>
        <v/>
      </c>
      <c r="AL396" s="100" t="str">
        <f aca="false">IF(ISBLANK($C396),"",IF($G396=Constants!$B$2,TRUE(),IF($G396=Constants!$B$3,FALSE(),TRUE())))</f>
        <v/>
      </c>
      <c r="AM396" s="100" t="str">
        <f aca="false">IF(ISBLANK($C396),"",IF($H396=Constants!$B$2,TRUE(),IF($H396=Constants!$B$3,FALSE(),TRUE())))</f>
        <v/>
      </c>
      <c r="AN396" s="100" t="str">
        <f aca="false">IF(ISBLANK($C396),"",IF(ISNUMBER($I396),IF($I396&gt;=0,$I396,""),""))</f>
        <v/>
      </c>
      <c r="AO396" s="100" t="str">
        <f aca="false">IF(ISBLANK($C396),"",IF(ISNUMBER($J396),IF($J396&gt;=0,$J396,""),""))</f>
        <v/>
      </c>
      <c r="AP396" s="100" t="str">
        <f aca="false">IF(ISBLANK($C396),"",IF(ISNUMBER($K396),IF($K396&gt;=0,$K396,""),""))</f>
        <v/>
      </c>
      <c r="AQ396" s="100" t="str">
        <f aca="false">IF(ISBLANK($C396),"",IF($L396=Constants!$B$2,TRUE(),IF($L396=Constants!$B$3,FALSE(),TRUE())))</f>
        <v/>
      </c>
      <c r="AR396" s="100" t="str">
        <f aca="false">IF(ISBLANK($C396),"",IF($M396=Constants!$B$2,TRUE(),IF($M396=Constants!$B$3,FALSE(),TRUE())))</f>
        <v/>
      </c>
      <c r="AS396" s="100" t="str">
        <f aca="false">IF(ISBLANK($C396),"",IF($N396=Constants!$B$2,TRUE(),IF($N396=Constants!$B$3,FALSE(),FALSE())))</f>
        <v/>
      </c>
      <c r="AT396" s="100" t="str">
        <f aca="false">IF(ISBLANK($C396),"",IF($O396=Constants!$B$2,TRUE(),IF($O396=Constants!$B$3,FALSE(),TRUE())))</f>
        <v/>
      </c>
      <c r="AU396" s="100" t="str">
        <f aca="false">IF(ISBLANK($C396),"",IF($P396=Constants!$B$2,TRUE(),IF($P396=Constants!$B$3,FALSE(),TRUE())))</f>
        <v/>
      </c>
      <c r="AV396" s="100" t="str">
        <f aca="false">IF(ISBLANK($C396),"",IF($Q396=Constants!$B$2,TRUE(),IF($Q396=Constants!$B$3,FALSE(),FALSE())))</f>
        <v/>
      </c>
      <c r="AW396" s="100" t="str">
        <f aca="false">IF(ISBLANK($C396),"",IF($R396=Constants!$B$2,TRUE(),IF($R396=Constants!$B$3,FALSE(),FALSE())))</f>
        <v/>
      </c>
      <c r="AX396" s="100" t="str">
        <f aca="false">IF(ISBLANK($C396),"",IF($S396=Constants!$B$2,TRUE(),IF($S396=Constants!$B$3,FALSE(),FALSE())))</f>
        <v/>
      </c>
      <c r="AY396" s="100" t="str">
        <f aca="false">IF(ISBLANK($C396),"",IF($T396=Constants!$B$2,TRUE(),IF($T396=Constants!$B$3,FALSE(),FALSE())))</f>
        <v/>
      </c>
      <c r="AZ396" s="100" t="str">
        <f aca="false">IF(ISBLANK($C396),"",IF($U396=Constants!$B$2,TRUE(),IF($U396=Constants!$B$3,FALSE(),FALSE())))</f>
        <v/>
      </c>
      <c r="BA396" s="100" t="str">
        <f aca="false">IF(ISBLANK($C396),"",IF(OR($V396&amp;""="1",$V396&amp;""="2",$V396&amp;""="3",$V396&amp;""="4"),VALUE($V396&amp;""),IF($V396=Constants!$B$12,Constants!$B$12,"")))</f>
        <v/>
      </c>
      <c r="BB396" s="100" t="str">
        <f aca="false">IF(ISBLANK($C396),"",IF(ISBLANK($W396),0,IF(ISNUMBER($W396),IF(AND($W396&gt;=0,$W396&lt;=Constants!$B$21,$W396=INT($W396)),$W396,""),"")))</f>
        <v/>
      </c>
      <c r="BC396" s="100" t="str">
        <f aca="false">IF(ISBLANK($C396),"",IF(ISBLANK($X396),0,IF(ISNUMBER($X396),IF($X396&gt;=0,$X396,""),"")))</f>
        <v/>
      </c>
      <c r="BD396" s="100" t="str">
        <f aca="false">IF(ISBLANK($C396),"",IF($Y396=Constants!$B$2,TRUE(),IF($Y396=Constants!$B$3,FALSE(),TRUE())))</f>
        <v/>
      </c>
      <c r="BE396" s="100" t="str">
        <f aca="false">IF(ISBLANK($C396),"",IF($Z396=Constants!$B$2,TRUE(),IF($Z396=Constants!$B$3,FALSE(),FALSE())))</f>
        <v/>
      </c>
      <c r="BF396" s="100" t="str">
        <f aca="false">IF(ISBLANK($C396),"",IF(ISBLANK($AA396),0,IF(ISNUMBER($AA396),IF(AND($AA396&gt;=0,$AA396&lt;=Constants!$B$35,$AA396=INT($AA396)),$AA396,""),"")))</f>
        <v/>
      </c>
      <c r="BG396" s="100" t="str">
        <f aca="false">IF(ISBLANK($C396),"",IF($AB396=Constants!$B$2,TRUE(),IF($AB396=Constants!$B$3,FALSE(),TRUE())))</f>
        <v/>
      </c>
      <c r="BH396" s="100" t="str">
        <f aca="false">IF(ISBLANK($C396),"",IF($AC396=Constants!$B$2,TRUE(),IF($AC396=Constants!$B$3,FALSE(),TRUE())))</f>
        <v/>
      </c>
      <c r="BI396" s="100" t="str">
        <f aca="false">IF(ISBLANK($C396),"",IF($AD396=Constants!$B$2,TRUE(),IF($AD396=Constants!$B$3,FALSE(),TRUE())))</f>
        <v/>
      </c>
      <c r="BJ396" s="100" t="str">
        <f aca="false">IF(ISBLANK($C396),"",IF(ISNUMBER($AE396),IF($AE396&gt;=0,$AE396,""),""))</f>
        <v/>
      </c>
      <c r="BK396" s="100" t="str">
        <f aca="false">IF(ISBLANK($C396),"",IF($AF396=Constants!$B$2,TRUE(),IF($AF396=Constants!$B$3,FALSE(),FALSE())))</f>
        <v/>
      </c>
      <c r="BL396" s="99" t="str">
        <f aca="false">IF(ISBLANK($C396),"",IF($BK396,Constants!$B$7,IF(COUNTA($E396:$AE396)=0,Constants!$B$6,IF(OR(COUNTA($G396:$AE396)=0,NOT($AM396),$AS396),Constants!$B$5,IF(OR($CM396&lt;&gt;"",$CN396,$CO396,$CP396,$CQ396,$CR396,$CS396),Constants!$B$8,Constants!$B$4)))))</f>
        <v/>
      </c>
      <c r="BM396" s="100" t="str">
        <f aca="false">IF(ISBLANK($C396),"",IF($BL396&lt;&gt;Constants!$B$4,$BL396,IF(OR(NOT($AJ396),NOT($AL396),NOT($AT396)),Constants!$B$11,IF(OR(NOT($AR396),NOT($AU396),NOT($BI396),MAX($AN396,$AO396,$AP396)&gt;Constants!$B$30),Constants!$B$10,Constants!$B$9))))</f>
        <v/>
      </c>
      <c r="BN396" s="100" t="str">
        <f aca="false">IF($BL396&lt;&gt;Constants!$B$4,"",IF(NOT($AL396),0,MIN(Constants!$B$35,$BF396)))</f>
        <v/>
      </c>
      <c r="BO396" s="100" t="str">
        <f aca="false">IF($BL396&lt;&gt;Constants!$B$4,"",IF(NOT($AL396),0,IF($AW396,Constants!$B$18,IF($AV396,Constants!$B$17,0))))</f>
        <v/>
      </c>
      <c r="BP396" s="100" t="str">
        <f aca="false">IF($BL396&lt;&gt;Constants!$B$4,"",IF(NOT($AL396),0,Constants!$B$19*($AK396+$AX396+$AY396+$AZ396)))</f>
        <v/>
      </c>
      <c r="BQ396" s="100" t="str">
        <f aca="false">IF($BL396&lt;&gt;Constants!$B$4,"",IF(OR(NOT($AL396),NOT(ISNUMBER($BA396))),0,CHOOSE($BA396,Constants!$B$13,Constants!$B$14,Constants!$B$15,Constants!$B$16)))</f>
        <v/>
      </c>
      <c r="BR396" s="100" t="str">
        <f aca="false">IF($BL396&lt;&gt;Constants!$B$4,"",IF(NOT($AL396),0,Constants!$B$20*$BB396))</f>
        <v/>
      </c>
      <c r="BS396" s="100" t="str">
        <f aca="false">IF($BL396&lt;&gt;Constants!$B$4,"",IF(AND($AL396,$BD396,$BE396),Constants!$B$22,0))</f>
        <v/>
      </c>
      <c r="BT396" s="100" t="str">
        <f aca="false">IF($BL396&lt;&gt;Constants!$B$4,"",IF(OR(NOT($AL396),NOT($BD396)),0,IF($BJ396&gt;=2*$AH$9,0,Constants!$B$23*INT(ROUND(MIN($BJ396,$AH$9),6)))))</f>
        <v/>
      </c>
      <c r="BU396" s="100" t="str">
        <f aca="false">IF($BL396&lt;&gt;Constants!$B$4,"",IF(NOT($AL396),0,Constants!$B$24*INT(ROUND(MIN($BC396,$AH$9),6))))</f>
        <v/>
      </c>
      <c r="BV396" s="100" t="str">
        <f aca="false">IF($BL396&lt;&gt;Constants!$B$4,"",IF(AND($AL396,$BN396=0),Constants!$B$25,0))</f>
        <v/>
      </c>
      <c r="BW396" s="100" t="str">
        <f aca="false">IF($BL396&lt;&gt;Constants!$B$4,"",MIN(Constants!$B$29,MAX(0,Constants!$B$27*Constants!$B$28*INT(ROUND((Constants!$B$26-$AN396)/Constants!$B$28,6))))+MIN(Constants!$B$29,MAX(0,Constants!$B$27*Constants!$B$28*INT(ROUND((Constants!$B$26-$AO396)/Constants!$B$28,6))))+MIN(Constants!$B$29,MAX(0,Constants!$B$27*Constants!$B$28*INT(ROUND((Constants!$B$26-$AP396)/Constants!$B$28,6)))))</f>
        <v/>
      </c>
      <c r="BX396" s="100" t="str">
        <f aca="false">IF($BL396&lt;&gt;Constants!$B$4,"",IF(NOT($AL396),0,Constants!$B$31*INT(ROUND(MAX(0,MIN($BJ396,2*$AH$9)-$AH$9),6))))</f>
        <v/>
      </c>
      <c r="BY396" s="100" t="str">
        <f aca="false">IF($BL396&lt;&gt;Constants!$B$4,"",Constants!$B$32*(($AN396&gt;Constants!$B$26)+($AO396&gt;Constants!$B$26)+($AP396&gt;Constants!$B$26)))</f>
        <v/>
      </c>
      <c r="BZ396" s="100" t="str">
        <f aca="false">IF($BL396&lt;&gt;Constants!$B$4,"",IF(OR(NOT($AL396),$AQ396),0,Constants!$B$33))</f>
        <v/>
      </c>
      <c r="CA396" s="100" t="str">
        <f aca="false">IF($BL396&lt;&gt;Constants!$B$4,"",Constants!$B$34*$BN396)</f>
        <v/>
      </c>
      <c r="CB396" s="100" t="str">
        <f aca="false">IF($BL396&lt;&gt;Constants!$B$4,"",IF(OR(NOT($AL396),$BH396),0,Constants!$B$36))</f>
        <v/>
      </c>
      <c r="CC396" s="100" t="str">
        <f aca="false">IF($BL396&lt;&gt;Constants!$B$4,"",IF(OR(NOT($AL396),$BG396),0,Constants!$B$37))</f>
        <v/>
      </c>
      <c r="CD396" s="100" t="str">
        <f aca="false">IF($BL396&lt;&gt;Constants!$B$4,"",SUM($BX396:$CC396))</f>
        <v/>
      </c>
      <c r="CE396" s="100" t="str">
        <f aca="false">IF(ISBLANK($C396),"",IF($BL396&lt;&gt;Constants!$B$4,$BL396,SUM($BO396:$BW396)-$CD396))</f>
        <v/>
      </c>
      <c r="CF396" s="100" t="str">
        <f aca="false">IF(ISBLANK($C396),"",IF($BL396&lt;&gt;Constants!$B$4,$BL396,RANK($CE396,$CE$9:$CE$508)))</f>
        <v/>
      </c>
      <c r="CG396" s="100" t="str">
        <f aca="false">IF(ISBLANK($C396),"",IF($BL396&lt;&gt;Constants!$B$4,$BL396,COUNTIFS($BM$9:$BM$508,"&lt;"&amp;$BM396)+COUNTIFS($BM$9:$BM$508,$BM396,$CF$9:$CF$508,"&lt;"&amp;$CF396)+1))</f>
        <v/>
      </c>
      <c r="CH396" s="100" t="str">
        <f aca="false">IF(ISBLANK($C396),"",IF($BL396&lt;&gt;Constants!$B$4,$BL396,RANK($CD396,$CD$9:$CD$508,1)))</f>
        <v/>
      </c>
      <c r="CI396" s="100" t="str">
        <f aca="false">IF($BL396&lt;&gt;Constants!$B$4,"",$AN396+$AO396+$AP396)</f>
        <v/>
      </c>
      <c r="CJ396" s="100" t="str">
        <f aca="false">IF(ISBLANK($C396),"",IF($BL396&lt;&gt;Constants!$B$4,$BL396,RANK($CI396,$CI$9:$CI$508,1)))</f>
        <v/>
      </c>
      <c r="CK396" s="100" t="str">
        <f aca="false">IF(ISBLANK($C396),"",IF($BL396&lt;&gt;Constants!$B$4,$BL396,COUNTIFS($BM$9:$BM$508,"&lt;"&amp;$BM396)+COUNTIFS($BM$9:$BM$508,$BM396,$CF$9:$CF$508,"&lt;"&amp;$CF396)+COUNTIFS($BM$9:$BM$508,$BM396,$CF$9:$CF$508,$CF396,$CH$9:$CH$508,"&lt;"&amp;$CH396)+COUNTIFS($BM$9:$BM$508,$BM396,$CF$9:$CF$508,$CF396,$CH$9:$CH$508,$CH396,$CJ$9:$CJ$508,"&lt;"&amp;$CJ396)+1))</f>
        <v/>
      </c>
      <c r="CL396" s="100" t="str">
        <f aca="false">IF(ISBLANK($C396),"",IF($BL396&lt;&gt;Constants!$B$4,$BL396,$CG396-$CK396))</f>
        <v/>
      </c>
      <c r="CM396" s="100" t="str">
        <f aca="false">IF(ISBLANK($C396),"",IF(NOT($AL396),"",IF(ISBLANK($D$7),$CM$5,IF(NOT(ISNUMBER($D$7)),$CM$6,""))))</f>
        <v/>
      </c>
      <c r="CN396" s="100" t="str">
        <f aca="false">IF(ISBLANK($C396),"",OR($AN396="",$AO396="",$AP396=""))</f>
        <v/>
      </c>
      <c r="CO396" s="100" t="str">
        <f aca="false">IF(ISBLANK($C396),"",AND($AL396,$BA396=""))</f>
        <v/>
      </c>
      <c r="CP396" s="100" t="str">
        <f aca="false">IF(ISBLANK($C396),"",AND($AL396,$BB396=""))</f>
        <v/>
      </c>
      <c r="CQ396" s="100" t="str">
        <f aca="false">IF(ISBLANK($C396),"",AND($AL396,$BC396=""))</f>
        <v/>
      </c>
      <c r="CR396" s="100" t="str">
        <f aca="false">IF(ISBLANK($C396),"",AND($AL396,$BF396=""))</f>
        <v/>
      </c>
      <c r="CS396" s="100" t="str">
        <f aca="false">IF(ISBLANK($C396),"",AND($AL396,$BJ396=""))</f>
        <v/>
      </c>
      <c r="CT396" s="101"/>
      <c r="CU396" s="102"/>
      <c r="CV396" s="103" t="str">
        <f aca="false">IF(ISBLANK($C396),"",IF($BL396=Constants!$B$8,$CM396,""))</f>
        <v/>
      </c>
      <c r="CW396" s="102" t="str">
        <f aca="false">IF(ISBLANK($C396),"",IF($BL396&lt;&gt;Constants!$B$4,"",$BO396+$BP396))</f>
        <v/>
      </c>
      <c r="CX396" s="104" t="str">
        <f aca="false">IF(ISBLANK($C396),"",IF($BL396&lt;&gt;Constants!$B$4,"",$BQ396+$BR396+$BS396))</f>
        <v/>
      </c>
      <c r="CY396" s="104" t="str">
        <f aca="false">IF(ISBLANK($C396),"",IF($BL396&lt;&gt;Constants!$B$4,"",$BT396))</f>
        <v/>
      </c>
      <c r="CZ396" s="104" t="str">
        <f aca="false">IF(ISBLANK($C396),"",IF($BL396&lt;&gt;Constants!$B$4,"",$BU396+$BV396))</f>
        <v/>
      </c>
      <c r="DA396" s="104" t="str">
        <f aca="false">IF(ISBLANK($C396),"",IF($BL396&lt;&gt;Constants!$B$4,"",$BW396))</f>
        <v/>
      </c>
      <c r="DB396" s="104" t="str">
        <f aca="false">IF(ISBLANK($C396),"",IF($BL396&lt;&gt;Constants!$B$4,"",-$CD396))</f>
        <v/>
      </c>
      <c r="DC396" s="103" t="str">
        <f aca="false">IF(ISBLANK($C396),"",$CE396)</f>
        <v/>
      </c>
      <c r="DD396" s="105" t="str">
        <f aca="false">IF(ISBLANK($C396),"",$BM396)</f>
        <v/>
      </c>
      <c r="DE396" s="104" t="str">
        <f aca="false">IF(ISBLANK($C396),"",$CL396)</f>
        <v/>
      </c>
      <c r="DF396" s="104" t="str">
        <f aca="false">IF(ISBLANK($C396),"",$CK396)</f>
        <v/>
      </c>
      <c r="DG396" s="106" t="str">
        <f aca="false">IF(ISBLANK($C396),"",IF($DF396=Constants!$B$7,COUNTA($C$9:$C$508)+2,IF($DF396=Constants!$B$6,COUNTA($C$9:$C$508)+1,IF($DF396=Constants!$B$5,COUNTA($C$9:$C$508),$DF396))))</f>
        <v/>
      </c>
      <c r="DH396" s="7"/>
      <c r="DI396" s="107" t="n">
        <f aca="false">IF(OR(ISNUMBER($DF396),$DF396=Constants!$B$7,$DF396=Constants!$B$5,$DF396=Constants!$B$6),1,0)</f>
        <v>0</v>
      </c>
      <c r="DJ396" s="107" t="n">
        <v>388</v>
      </c>
      <c r="DK396" s="107" t="str">
        <f aca="false">IF(ISBLANK($C396),"",IF(ISNUMBER($DG396),$DG396+ROW($B396)/1000,""))</f>
        <v/>
      </c>
      <c r="DL396" s="107" t="str">
        <f aca="false">IF(ISNUMBER($DK396),RANK($DK396,$DK$9:$DK$508,1),"")</f>
        <v/>
      </c>
      <c r="DM396" s="107" t="str">
        <f aca="false">IF(ISBLANK($C396),"",$B396)</f>
        <v/>
      </c>
      <c r="DN396" s="107" t="str">
        <f aca="false">IF(ISBLANK($C396),"",$C396)</f>
        <v/>
      </c>
      <c r="DO396" s="107" t="str">
        <f aca="false">IF(ISBLANK($C396),"",$D396)</f>
        <v/>
      </c>
      <c r="DP396" s="108" t="str">
        <f aca="false">$DD396</f>
        <v/>
      </c>
      <c r="DQ396" s="109" t="str">
        <f aca="false">$DC396</f>
        <v/>
      </c>
      <c r="DR396" s="107" t="str">
        <f aca="false">IF(ISBLANK($C396),"",$DF396)</f>
        <v/>
      </c>
      <c r="DS396" s="110" t="str">
        <f aca="false">IF($DJ396&gt;$DI$8,"",VLOOKUP($DJ396,$DL$9:$DR$508,7,FALSE()))</f>
        <v/>
      </c>
      <c r="DT396" s="111" t="str">
        <f aca="false">IF($DJ396&gt;$DI$8,"",VLOOKUP($DJ396,$DL$9:$DR$508,2,FALSE()))</f>
        <v/>
      </c>
      <c r="DU396" s="111" t="str">
        <f aca="false">IF($DJ396&gt;$DI$8,"",VLOOKUP($DJ396,$DL$9:$DR$508,3,FALSE()))</f>
        <v/>
      </c>
      <c r="DV396" s="111" t="str">
        <f aca="false">IF($DJ396&gt;$DI$8,"",VLOOKUP($DJ396,$DL$9:$DR$508,4,FALSE()))</f>
        <v/>
      </c>
      <c r="DW396" s="111" t="str">
        <f aca="false">IF($DJ396&gt;$DI$8,"",VLOOKUP($DJ396,$DL$9:$DR$508,5,FALSE()))</f>
        <v/>
      </c>
      <c r="DX396" s="112" t="str">
        <f aca="false">IF($DJ396&gt;$DI$8,"",VLOOKUP($DJ396,$DL$9:$DR$508,6,FALSE()))</f>
        <v/>
      </c>
      <c r="DY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130"/>
      <c r="N397" s="130"/>
      <c r="O397" s="135"/>
      <c r="P397" s="135"/>
      <c r="Q397" s="130"/>
      <c r="R397" s="130"/>
      <c r="S397" s="130"/>
      <c r="T397" s="130"/>
      <c r="U397" s="135"/>
      <c r="V397" s="130"/>
      <c r="W397" s="96"/>
      <c r="X397" s="130"/>
      <c r="Y397" s="130"/>
      <c r="Z397" s="96"/>
      <c r="AA397" s="96"/>
      <c r="AB397" s="130"/>
      <c r="AC397" s="130"/>
      <c r="AD397" s="130"/>
      <c r="AE397" s="97"/>
      <c r="AF397" s="130"/>
      <c r="AG397" s="99"/>
      <c r="AH397" s="100"/>
      <c r="AI397" s="100"/>
      <c r="AJ397" s="100" t="str">
        <f aca="false">IF(ISBLANK($C397),"",IF($E397=Constants!$B$2,TRUE(),IF($E397=Constants!$B$3,FALSE(),TRUE())))</f>
        <v/>
      </c>
      <c r="AK397" s="100" t="str">
        <f aca="false">IF(ISBLANK($C397),"",IF($F397=Constants!$B$2,TRUE(),IF($F397=Constants!$B$3,FALSE(),FALSE())))</f>
        <v/>
      </c>
      <c r="AL397" s="100" t="str">
        <f aca="false">IF(ISBLANK($C397),"",IF($G397=Constants!$B$2,TRUE(),IF($G397=Constants!$B$3,FALSE(),TRUE())))</f>
        <v/>
      </c>
      <c r="AM397" s="100" t="str">
        <f aca="false">IF(ISBLANK($C397),"",IF($H397=Constants!$B$2,TRUE(),IF($H397=Constants!$B$3,FALSE(),TRUE())))</f>
        <v/>
      </c>
      <c r="AN397" s="100" t="str">
        <f aca="false">IF(ISBLANK($C397),"",IF(ISNUMBER($I397),IF($I397&gt;=0,$I397,""),""))</f>
        <v/>
      </c>
      <c r="AO397" s="100" t="str">
        <f aca="false">IF(ISBLANK($C397),"",IF(ISNUMBER($J397),IF($J397&gt;=0,$J397,""),""))</f>
        <v/>
      </c>
      <c r="AP397" s="100" t="str">
        <f aca="false">IF(ISBLANK($C397),"",IF(ISNUMBER($K397),IF($K397&gt;=0,$K397,""),""))</f>
        <v/>
      </c>
      <c r="AQ397" s="100" t="str">
        <f aca="false">IF(ISBLANK($C397),"",IF($L397=Constants!$B$2,TRUE(),IF($L397=Constants!$B$3,FALSE(),TRUE())))</f>
        <v/>
      </c>
      <c r="AR397" s="100" t="str">
        <f aca="false">IF(ISBLANK($C397),"",IF($M397=Constants!$B$2,TRUE(),IF($M397=Constants!$B$3,FALSE(),TRUE())))</f>
        <v/>
      </c>
      <c r="AS397" s="100" t="str">
        <f aca="false">IF(ISBLANK($C397),"",IF($N397=Constants!$B$2,TRUE(),IF($N397=Constants!$B$3,FALSE(),FALSE())))</f>
        <v/>
      </c>
      <c r="AT397" s="100" t="str">
        <f aca="false">IF(ISBLANK($C397),"",IF($O397=Constants!$B$2,TRUE(),IF($O397=Constants!$B$3,FALSE(),TRUE())))</f>
        <v/>
      </c>
      <c r="AU397" s="100" t="str">
        <f aca="false">IF(ISBLANK($C397),"",IF($P397=Constants!$B$2,TRUE(),IF($P397=Constants!$B$3,FALSE(),TRUE())))</f>
        <v/>
      </c>
      <c r="AV397" s="100" t="str">
        <f aca="false">IF(ISBLANK($C397),"",IF($Q397=Constants!$B$2,TRUE(),IF($Q397=Constants!$B$3,FALSE(),FALSE())))</f>
        <v/>
      </c>
      <c r="AW397" s="100" t="str">
        <f aca="false">IF(ISBLANK($C397),"",IF($R397=Constants!$B$2,TRUE(),IF($R397=Constants!$B$3,FALSE(),FALSE())))</f>
        <v/>
      </c>
      <c r="AX397" s="100" t="str">
        <f aca="false">IF(ISBLANK($C397),"",IF($S397=Constants!$B$2,TRUE(),IF($S397=Constants!$B$3,FALSE(),FALSE())))</f>
        <v/>
      </c>
      <c r="AY397" s="100" t="str">
        <f aca="false">IF(ISBLANK($C397),"",IF($T397=Constants!$B$2,TRUE(),IF($T397=Constants!$B$3,FALSE(),FALSE())))</f>
        <v/>
      </c>
      <c r="AZ397" s="100" t="str">
        <f aca="false">IF(ISBLANK($C397),"",IF($U397=Constants!$B$2,TRUE(),IF($U397=Constants!$B$3,FALSE(),FALSE())))</f>
        <v/>
      </c>
      <c r="BA397" s="100" t="str">
        <f aca="false">IF(ISBLANK($C397),"",IF(OR($V397&amp;""="1",$V397&amp;""="2",$V397&amp;""="3",$V397&amp;""="4"),VALUE($V397&amp;""),IF($V397=Constants!$B$12,Constants!$B$12,"")))</f>
        <v/>
      </c>
      <c r="BB397" s="100" t="str">
        <f aca="false">IF(ISBLANK($C397),"",IF(ISBLANK($W397),0,IF(ISNUMBER($W397),IF(AND($W397&gt;=0,$W397&lt;=Constants!$B$21,$W397=INT($W397)),$W397,""),"")))</f>
        <v/>
      </c>
      <c r="BC397" s="100" t="str">
        <f aca="false">IF(ISBLANK($C397),"",IF(ISBLANK($X397),0,IF(ISNUMBER($X397),IF($X397&gt;=0,$X397,""),"")))</f>
        <v/>
      </c>
      <c r="BD397" s="100" t="str">
        <f aca="false">IF(ISBLANK($C397),"",IF($Y397=Constants!$B$2,TRUE(),IF($Y397=Constants!$B$3,FALSE(),TRUE())))</f>
        <v/>
      </c>
      <c r="BE397" s="100" t="str">
        <f aca="false">IF(ISBLANK($C397),"",IF($Z397=Constants!$B$2,TRUE(),IF($Z397=Constants!$B$3,FALSE(),FALSE())))</f>
        <v/>
      </c>
      <c r="BF397" s="100" t="str">
        <f aca="false">IF(ISBLANK($C397),"",IF(ISBLANK($AA397),0,IF(ISNUMBER($AA397),IF(AND($AA397&gt;=0,$AA397&lt;=Constants!$B$35,$AA397=INT($AA397)),$AA397,""),"")))</f>
        <v/>
      </c>
      <c r="BG397" s="100" t="str">
        <f aca="false">IF(ISBLANK($C397),"",IF($AB397=Constants!$B$2,TRUE(),IF($AB397=Constants!$B$3,FALSE(),TRUE())))</f>
        <v/>
      </c>
      <c r="BH397" s="100" t="str">
        <f aca="false">IF(ISBLANK($C397),"",IF($AC397=Constants!$B$2,TRUE(),IF($AC397=Constants!$B$3,FALSE(),TRUE())))</f>
        <v/>
      </c>
      <c r="BI397" s="100" t="str">
        <f aca="false">IF(ISBLANK($C397),"",IF($AD397=Constants!$B$2,TRUE(),IF($AD397=Constants!$B$3,FALSE(),TRUE())))</f>
        <v/>
      </c>
      <c r="BJ397" s="100" t="str">
        <f aca="false">IF(ISBLANK($C397),"",IF(ISNUMBER($AE397),IF($AE397&gt;=0,$AE397,""),""))</f>
        <v/>
      </c>
      <c r="BK397" s="100" t="str">
        <f aca="false">IF(ISBLANK($C397),"",IF($AF397=Constants!$B$2,TRUE(),IF($AF397=Constants!$B$3,FALSE(),FALSE())))</f>
        <v/>
      </c>
      <c r="BL397" s="99" t="str">
        <f aca="false">IF(ISBLANK($C397),"",IF($BK397,Constants!$B$7,IF(COUNTA($E397:$AE397)=0,Constants!$B$6,IF(OR(COUNTA($G397:$AE397)=0,NOT($AM397),$AS397),Constants!$B$5,IF(OR($CM397&lt;&gt;"",$CN397,$CO397,$CP397,$CQ397,$CR397,$CS397),Constants!$B$8,Constants!$B$4)))))</f>
        <v/>
      </c>
      <c r="BM397" s="100" t="str">
        <f aca="false">IF(ISBLANK($C397),"",IF($BL397&lt;&gt;Constants!$B$4,$BL397,IF(OR(NOT($AJ397),NOT($AL397),NOT($AT397)),Constants!$B$11,IF(OR(NOT($AR397),NOT($AU397),NOT($BI397),MAX($AN397,$AO397,$AP397)&gt;Constants!$B$30),Constants!$B$10,Constants!$B$9))))</f>
        <v/>
      </c>
      <c r="BN397" s="100" t="str">
        <f aca="false">IF($BL397&lt;&gt;Constants!$B$4,"",IF(NOT($AL397),0,MIN(Constants!$B$35,$BF397)))</f>
        <v/>
      </c>
      <c r="BO397" s="100" t="str">
        <f aca="false">IF($BL397&lt;&gt;Constants!$B$4,"",IF(NOT($AL397),0,IF($AW397,Constants!$B$18,IF($AV397,Constants!$B$17,0))))</f>
        <v/>
      </c>
      <c r="BP397" s="100" t="str">
        <f aca="false">IF($BL397&lt;&gt;Constants!$B$4,"",IF(NOT($AL397),0,Constants!$B$19*($AK397+$AX397+$AY397+$AZ397)))</f>
        <v/>
      </c>
      <c r="BQ397" s="100" t="str">
        <f aca="false">IF($BL397&lt;&gt;Constants!$B$4,"",IF(OR(NOT($AL397),NOT(ISNUMBER($BA397))),0,CHOOSE($BA397,Constants!$B$13,Constants!$B$14,Constants!$B$15,Constants!$B$16)))</f>
        <v/>
      </c>
      <c r="BR397" s="100" t="str">
        <f aca="false">IF($BL397&lt;&gt;Constants!$B$4,"",IF(NOT($AL397),0,Constants!$B$20*$BB397))</f>
        <v/>
      </c>
      <c r="BS397" s="100" t="str">
        <f aca="false">IF($BL397&lt;&gt;Constants!$B$4,"",IF(AND($AL397,$BD397,$BE397),Constants!$B$22,0))</f>
        <v/>
      </c>
      <c r="BT397" s="100" t="str">
        <f aca="false">IF($BL397&lt;&gt;Constants!$B$4,"",IF(OR(NOT($AL397),NOT($BD397)),0,IF($BJ397&gt;=2*$AH$9,0,Constants!$B$23*INT(ROUND(MIN($BJ397,$AH$9),6)))))</f>
        <v/>
      </c>
      <c r="BU397" s="100" t="str">
        <f aca="false">IF($BL397&lt;&gt;Constants!$B$4,"",IF(NOT($AL397),0,Constants!$B$24*INT(ROUND(MIN($BC397,$AH$9),6))))</f>
        <v/>
      </c>
      <c r="BV397" s="100" t="str">
        <f aca="false">IF($BL397&lt;&gt;Constants!$B$4,"",IF(AND($AL397,$BN397=0),Constants!$B$25,0))</f>
        <v/>
      </c>
      <c r="BW397" s="100" t="str">
        <f aca="false">IF($BL397&lt;&gt;Constants!$B$4,"",MIN(Constants!$B$29,MAX(0,Constants!$B$27*Constants!$B$28*INT(ROUND((Constants!$B$26-$AN397)/Constants!$B$28,6))))+MIN(Constants!$B$29,MAX(0,Constants!$B$27*Constants!$B$28*INT(ROUND((Constants!$B$26-$AO397)/Constants!$B$28,6))))+MIN(Constants!$B$29,MAX(0,Constants!$B$27*Constants!$B$28*INT(ROUND((Constants!$B$26-$AP397)/Constants!$B$28,6)))))</f>
        <v/>
      </c>
      <c r="BX397" s="100" t="str">
        <f aca="false">IF($BL397&lt;&gt;Constants!$B$4,"",IF(NOT($AL397),0,Constants!$B$31*INT(ROUND(MAX(0,MIN($BJ397,2*$AH$9)-$AH$9),6))))</f>
        <v/>
      </c>
      <c r="BY397" s="100" t="str">
        <f aca="false">IF($BL397&lt;&gt;Constants!$B$4,"",Constants!$B$32*(($AN397&gt;Constants!$B$26)+($AO397&gt;Constants!$B$26)+($AP397&gt;Constants!$B$26)))</f>
        <v/>
      </c>
      <c r="BZ397" s="100" t="str">
        <f aca="false">IF($BL397&lt;&gt;Constants!$B$4,"",IF(OR(NOT($AL397),$AQ397),0,Constants!$B$33))</f>
        <v/>
      </c>
      <c r="CA397" s="100" t="str">
        <f aca="false">IF($BL397&lt;&gt;Constants!$B$4,"",Constants!$B$34*$BN397)</f>
        <v/>
      </c>
      <c r="CB397" s="100" t="str">
        <f aca="false">IF($BL397&lt;&gt;Constants!$B$4,"",IF(OR(NOT($AL397),$BH397),0,Constants!$B$36))</f>
        <v/>
      </c>
      <c r="CC397" s="100" t="str">
        <f aca="false">IF($BL397&lt;&gt;Constants!$B$4,"",IF(OR(NOT($AL397),$BG397),0,Constants!$B$37))</f>
        <v/>
      </c>
      <c r="CD397" s="100" t="str">
        <f aca="false">IF($BL397&lt;&gt;Constants!$B$4,"",SUM($BX397:$CC397))</f>
        <v/>
      </c>
      <c r="CE397" s="100" t="str">
        <f aca="false">IF(ISBLANK($C397),"",IF($BL397&lt;&gt;Constants!$B$4,$BL397,SUM($BO397:$BW397)-$CD397))</f>
        <v/>
      </c>
      <c r="CF397" s="100" t="str">
        <f aca="false">IF(ISBLANK($C397),"",IF($BL397&lt;&gt;Constants!$B$4,$BL397,RANK($CE397,$CE$9:$CE$508)))</f>
        <v/>
      </c>
      <c r="CG397" s="100" t="str">
        <f aca="false">IF(ISBLANK($C397),"",IF($BL397&lt;&gt;Constants!$B$4,$BL397,COUNTIFS($BM$9:$BM$508,"&lt;"&amp;$BM397)+COUNTIFS($BM$9:$BM$508,$BM397,$CF$9:$CF$508,"&lt;"&amp;$CF397)+1))</f>
        <v/>
      </c>
      <c r="CH397" s="100" t="str">
        <f aca="false">IF(ISBLANK($C397),"",IF($BL397&lt;&gt;Constants!$B$4,$BL397,RANK($CD397,$CD$9:$CD$508,1)))</f>
        <v/>
      </c>
      <c r="CI397" s="100" t="str">
        <f aca="false">IF($BL397&lt;&gt;Constants!$B$4,"",$AN397+$AO397+$AP397)</f>
        <v/>
      </c>
      <c r="CJ397" s="100" t="str">
        <f aca="false">IF(ISBLANK($C397),"",IF($BL397&lt;&gt;Constants!$B$4,$BL397,RANK($CI397,$CI$9:$CI$508,1)))</f>
        <v/>
      </c>
      <c r="CK397" s="100" t="str">
        <f aca="false">IF(ISBLANK($C397),"",IF($BL397&lt;&gt;Constants!$B$4,$BL397,COUNTIFS($BM$9:$BM$508,"&lt;"&amp;$BM397)+COUNTIFS($BM$9:$BM$508,$BM397,$CF$9:$CF$508,"&lt;"&amp;$CF397)+COUNTIFS($BM$9:$BM$508,$BM397,$CF$9:$CF$508,$CF397,$CH$9:$CH$508,"&lt;"&amp;$CH397)+COUNTIFS($BM$9:$BM$508,$BM397,$CF$9:$CF$508,$CF397,$CH$9:$CH$508,$CH397,$CJ$9:$CJ$508,"&lt;"&amp;$CJ397)+1))</f>
        <v/>
      </c>
      <c r="CL397" s="100" t="str">
        <f aca="false">IF(ISBLANK($C397),"",IF($BL397&lt;&gt;Constants!$B$4,$BL397,$CG397-$CK397))</f>
        <v/>
      </c>
      <c r="CM397" s="100" t="str">
        <f aca="false">IF(ISBLANK($C397),"",IF(NOT($AL397),"",IF(ISBLANK($D$7),$CM$5,IF(NOT(ISNUMBER($D$7)),$CM$6,""))))</f>
        <v/>
      </c>
      <c r="CN397" s="100" t="str">
        <f aca="false">IF(ISBLANK($C397),"",OR($AN397="",$AO397="",$AP397=""))</f>
        <v/>
      </c>
      <c r="CO397" s="100" t="str">
        <f aca="false">IF(ISBLANK($C397),"",AND($AL397,$BA397=""))</f>
        <v/>
      </c>
      <c r="CP397" s="100" t="str">
        <f aca="false">IF(ISBLANK($C397),"",AND($AL397,$BB397=""))</f>
        <v/>
      </c>
      <c r="CQ397" s="100" t="str">
        <f aca="false">IF(ISBLANK($C397),"",AND($AL397,$BC397=""))</f>
        <v/>
      </c>
      <c r="CR397" s="100" t="str">
        <f aca="false">IF(ISBLANK($C397),"",AND($AL397,$BF397=""))</f>
        <v/>
      </c>
      <c r="CS397" s="100" t="str">
        <f aca="false">IF(ISBLANK($C397),"",AND($AL397,$BJ397=""))</f>
        <v/>
      </c>
      <c r="CT397" s="101"/>
      <c r="CU397" s="102"/>
      <c r="CV397" s="103" t="str">
        <f aca="false">IF(ISBLANK($C397),"",IF($BL397=Constants!$B$8,$CM397,""))</f>
        <v/>
      </c>
      <c r="CW397" s="102" t="str">
        <f aca="false">IF(ISBLANK($C397),"",IF($BL397&lt;&gt;Constants!$B$4,"",$BO397+$BP397))</f>
        <v/>
      </c>
      <c r="CX397" s="104" t="str">
        <f aca="false">IF(ISBLANK($C397),"",IF($BL397&lt;&gt;Constants!$B$4,"",$BQ397+$BR397+$BS397))</f>
        <v/>
      </c>
      <c r="CY397" s="104" t="str">
        <f aca="false">IF(ISBLANK($C397),"",IF($BL397&lt;&gt;Constants!$B$4,"",$BT397))</f>
        <v/>
      </c>
      <c r="CZ397" s="104" t="str">
        <f aca="false">IF(ISBLANK($C397),"",IF($BL397&lt;&gt;Constants!$B$4,"",$BU397+$BV397))</f>
        <v/>
      </c>
      <c r="DA397" s="104" t="str">
        <f aca="false">IF(ISBLANK($C397),"",IF($BL397&lt;&gt;Constants!$B$4,"",$BW397))</f>
        <v/>
      </c>
      <c r="DB397" s="104" t="str">
        <f aca="false">IF(ISBLANK($C397),"",IF($BL397&lt;&gt;Constants!$B$4,"",-$CD397))</f>
        <v/>
      </c>
      <c r="DC397" s="103" t="str">
        <f aca="false">IF(ISBLANK($C397),"",$CE397)</f>
        <v/>
      </c>
      <c r="DD397" s="105" t="str">
        <f aca="false">IF(ISBLANK($C397),"",$BM397)</f>
        <v/>
      </c>
      <c r="DE397" s="104" t="str">
        <f aca="false">IF(ISBLANK($C397),"",$CL397)</f>
        <v/>
      </c>
      <c r="DF397" s="104" t="str">
        <f aca="false">IF(ISBLANK($C397),"",$CK397)</f>
        <v/>
      </c>
      <c r="DG397" s="106" t="str">
        <f aca="false">IF(ISBLANK($C397),"",IF($DF397=Constants!$B$7,COUNTA($C$9:$C$508)+2,IF($DF397=Constants!$B$6,COUNTA($C$9:$C$508)+1,IF($DF397=Constants!$B$5,COUNTA($C$9:$C$508),$DF397))))</f>
        <v/>
      </c>
      <c r="DH397" s="7"/>
      <c r="DI397" s="107" t="n">
        <f aca="false">IF(OR(ISNUMBER($DF397),$DF397=Constants!$B$7,$DF397=Constants!$B$5,$DF397=Constants!$B$6),1,0)</f>
        <v>0</v>
      </c>
      <c r="DJ397" s="107" t="n">
        <v>389</v>
      </c>
      <c r="DK397" s="107" t="str">
        <f aca="false">IF(ISBLANK($C397),"",IF(ISNUMBER($DG397),$DG397+ROW($B397)/1000,""))</f>
        <v/>
      </c>
      <c r="DL397" s="107" t="str">
        <f aca="false">IF(ISNUMBER($DK397),RANK($DK397,$DK$9:$DK$508,1),"")</f>
        <v/>
      </c>
      <c r="DM397" s="107" t="str">
        <f aca="false">IF(ISBLANK($C397),"",$B397)</f>
        <v/>
      </c>
      <c r="DN397" s="107" t="str">
        <f aca="false">IF(ISBLANK($C397),"",$C397)</f>
        <v/>
      </c>
      <c r="DO397" s="107" t="str">
        <f aca="false">IF(ISBLANK($C397),"",$D397)</f>
        <v/>
      </c>
      <c r="DP397" s="108" t="str">
        <f aca="false">$DD397</f>
        <v/>
      </c>
      <c r="DQ397" s="109" t="str">
        <f aca="false">$DC397</f>
        <v/>
      </c>
      <c r="DR397" s="107" t="str">
        <f aca="false">IF(ISBLANK($C397),"",$DF397)</f>
        <v/>
      </c>
      <c r="DS397" s="110" t="str">
        <f aca="false">IF($DJ397&gt;$DI$8,"",VLOOKUP($DJ397,$DL$9:$DR$508,7,FALSE()))</f>
        <v/>
      </c>
      <c r="DT397" s="111" t="str">
        <f aca="false">IF($DJ397&gt;$DI$8,"",VLOOKUP($DJ397,$DL$9:$DR$508,2,FALSE()))</f>
        <v/>
      </c>
      <c r="DU397" s="111" t="str">
        <f aca="false">IF($DJ397&gt;$DI$8,"",VLOOKUP($DJ397,$DL$9:$DR$508,3,FALSE()))</f>
        <v/>
      </c>
      <c r="DV397" s="111" t="str">
        <f aca="false">IF($DJ397&gt;$DI$8,"",VLOOKUP($DJ397,$DL$9:$DR$508,4,FALSE()))</f>
        <v/>
      </c>
      <c r="DW397" s="111" t="str">
        <f aca="false">IF($DJ397&gt;$DI$8,"",VLOOKUP($DJ397,$DL$9:$DR$508,5,FALSE()))</f>
        <v/>
      </c>
      <c r="DX397" s="112" t="str">
        <f aca="false">IF($DJ397&gt;$DI$8,"",VLOOKUP($DJ397,$DL$9:$DR$508,6,FALSE()))</f>
        <v/>
      </c>
      <c r="DY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130"/>
      <c r="N398" s="130"/>
      <c r="O398" s="135"/>
      <c r="P398" s="135"/>
      <c r="Q398" s="130"/>
      <c r="R398" s="130"/>
      <c r="S398" s="130"/>
      <c r="T398" s="130"/>
      <c r="U398" s="135"/>
      <c r="V398" s="130"/>
      <c r="W398" s="96"/>
      <c r="X398" s="130"/>
      <c r="Y398" s="130"/>
      <c r="Z398" s="96"/>
      <c r="AA398" s="96"/>
      <c r="AB398" s="130"/>
      <c r="AC398" s="130"/>
      <c r="AD398" s="130"/>
      <c r="AE398" s="97"/>
      <c r="AF398" s="130"/>
      <c r="AG398" s="99"/>
      <c r="AH398" s="100"/>
      <c r="AI398" s="100"/>
      <c r="AJ398" s="100" t="str">
        <f aca="false">IF(ISBLANK($C398),"",IF($E398=Constants!$B$2,TRUE(),IF($E398=Constants!$B$3,FALSE(),TRUE())))</f>
        <v/>
      </c>
      <c r="AK398" s="100" t="str">
        <f aca="false">IF(ISBLANK($C398),"",IF($F398=Constants!$B$2,TRUE(),IF($F398=Constants!$B$3,FALSE(),FALSE())))</f>
        <v/>
      </c>
      <c r="AL398" s="100" t="str">
        <f aca="false">IF(ISBLANK($C398),"",IF($G398=Constants!$B$2,TRUE(),IF($G398=Constants!$B$3,FALSE(),TRUE())))</f>
        <v/>
      </c>
      <c r="AM398" s="100" t="str">
        <f aca="false">IF(ISBLANK($C398),"",IF($H398=Constants!$B$2,TRUE(),IF($H398=Constants!$B$3,FALSE(),TRUE())))</f>
        <v/>
      </c>
      <c r="AN398" s="100" t="str">
        <f aca="false">IF(ISBLANK($C398),"",IF(ISNUMBER($I398),IF($I398&gt;=0,$I398,""),""))</f>
        <v/>
      </c>
      <c r="AO398" s="100" t="str">
        <f aca="false">IF(ISBLANK($C398),"",IF(ISNUMBER($J398),IF($J398&gt;=0,$J398,""),""))</f>
        <v/>
      </c>
      <c r="AP398" s="100" t="str">
        <f aca="false">IF(ISBLANK($C398),"",IF(ISNUMBER($K398),IF($K398&gt;=0,$K398,""),""))</f>
        <v/>
      </c>
      <c r="AQ398" s="100" t="str">
        <f aca="false">IF(ISBLANK($C398),"",IF($L398=Constants!$B$2,TRUE(),IF($L398=Constants!$B$3,FALSE(),TRUE())))</f>
        <v/>
      </c>
      <c r="AR398" s="100" t="str">
        <f aca="false">IF(ISBLANK($C398),"",IF($M398=Constants!$B$2,TRUE(),IF($M398=Constants!$B$3,FALSE(),TRUE())))</f>
        <v/>
      </c>
      <c r="AS398" s="100" t="str">
        <f aca="false">IF(ISBLANK($C398),"",IF($N398=Constants!$B$2,TRUE(),IF($N398=Constants!$B$3,FALSE(),FALSE())))</f>
        <v/>
      </c>
      <c r="AT398" s="100" t="str">
        <f aca="false">IF(ISBLANK($C398),"",IF($O398=Constants!$B$2,TRUE(),IF($O398=Constants!$B$3,FALSE(),TRUE())))</f>
        <v/>
      </c>
      <c r="AU398" s="100" t="str">
        <f aca="false">IF(ISBLANK($C398),"",IF($P398=Constants!$B$2,TRUE(),IF($P398=Constants!$B$3,FALSE(),TRUE())))</f>
        <v/>
      </c>
      <c r="AV398" s="100" t="str">
        <f aca="false">IF(ISBLANK($C398),"",IF($Q398=Constants!$B$2,TRUE(),IF($Q398=Constants!$B$3,FALSE(),FALSE())))</f>
        <v/>
      </c>
      <c r="AW398" s="100" t="str">
        <f aca="false">IF(ISBLANK($C398),"",IF($R398=Constants!$B$2,TRUE(),IF($R398=Constants!$B$3,FALSE(),FALSE())))</f>
        <v/>
      </c>
      <c r="AX398" s="100" t="str">
        <f aca="false">IF(ISBLANK($C398),"",IF($S398=Constants!$B$2,TRUE(),IF($S398=Constants!$B$3,FALSE(),FALSE())))</f>
        <v/>
      </c>
      <c r="AY398" s="100" t="str">
        <f aca="false">IF(ISBLANK($C398),"",IF($T398=Constants!$B$2,TRUE(),IF($T398=Constants!$B$3,FALSE(),FALSE())))</f>
        <v/>
      </c>
      <c r="AZ398" s="100" t="str">
        <f aca="false">IF(ISBLANK($C398),"",IF($U398=Constants!$B$2,TRUE(),IF($U398=Constants!$B$3,FALSE(),FALSE())))</f>
        <v/>
      </c>
      <c r="BA398" s="100" t="str">
        <f aca="false">IF(ISBLANK($C398),"",IF(OR($V398&amp;""="1",$V398&amp;""="2",$V398&amp;""="3",$V398&amp;""="4"),VALUE($V398&amp;""),IF($V398=Constants!$B$12,Constants!$B$12,"")))</f>
        <v/>
      </c>
      <c r="BB398" s="100" t="str">
        <f aca="false">IF(ISBLANK($C398),"",IF(ISBLANK($W398),0,IF(ISNUMBER($W398),IF(AND($W398&gt;=0,$W398&lt;=Constants!$B$21,$W398=INT($W398)),$W398,""),"")))</f>
        <v/>
      </c>
      <c r="BC398" s="100" t="str">
        <f aca="false">IF(ISBLANK($C398),"",IF(ISBLANK($X398),0,IF(ISNUMBER($X398),IF($X398&gt;=0,$X398,""),"")))</f>
        <v/>
      </c>
      <c r="BD398" s="100" t="str">
        <f aca="false">IF(ISBLANK($C398),"",IF($Y398=Constants!$B$2,TRUE(),IF($Y398=Constants!$B$3,FALSE(),TRUE())))</f>
        <v/>
      </c>
      <c r="BE398" s="100" t="str">
        <f aca="false">IF(ISBLANK($C398),"",IF($Z398=Constants!$B$2,TRUE(),IF($Z398=Constants!$B$3,FALSE(),FALSE())))</f>
        <v/>
      </c>
      <c r="BF398" s="100" t="str">
        <f aca="false">IF(ISBLANK($C398),"",IF(ISBLANK($AA398),0,IF(ISNUMBER($AA398),IF(AND($AA398&gt;=0,$AA398&lt;=Constants!$B$35,$AA398=INT($AA398)),$AA398,""),"")))</f>
        <v/>
      </c>
      <c r="BG398" s="100" t="str">
        <f aca="false">IF(ISBLANK($C398),"",IF($AB398=Constants!$B$2,TRUE(),IF($AB398=Constants!$B$3,FALSE(),TRUE())))</f>
        <v/>
      </c>
      <c r="BH398" s="100" t="str">
        <f aca="false">IF(ISBLANK($C398),"",IF($AC398=Constants!$B$2,TRUE(),IF($AC398=Constants!$B$3,FALSE(),TRUE())))</f>
        <v/>
      </c>
      <c r="BI398" s="100" t="str">
        <f aca="false">IF(ISBLANK($C398),"",IF($AD398=Constants!$B$2,TRUE(),IF($AD398=Constants!$B$3,FALSE(),TRUE())))</f>
        <v/>
      </c>
      <c r="BJ398" s="100" t="str">
        <f aca="false">IF(ISBLANK($C398),"",IF(ISNUMBER($AE398),IF($AE398&gt;=0,$AE398,""),""))</f>
        <v/>
      </c>
      <c r="BK398" s="100" t="str">
        <f aca="false">IF(ISBLANK($C398),"",IF($AF398=Constants!$B$2,TRUE(),IF($AF398=Constants!$B$3,FALSE(),FALSE())))</f>
        <v/>
      </c>
      <c r="BL398" s="99" t="str">
        <f aca="false">IF(ISBLANK($C398),"",IF($BK398,Constants!$B$7,IF(COUNTA($E398:$AE398)=0,Constants!$B$6,IF(OR(COUNTA($G398:$AE398)=0,NOT($AM398),$AS398),Constants!$B$5,IF(OR($CM398&lt;&gt;"",$CN398,$CO398,$CP398,$CQ398,$CR398,$CS398),Constants!$B$8,Constants!$B$4)))))</f>
        <v/>
      </c>
      <c r="BM398" s="100" t="str">
        <f aca="false">IF(ISBLANK($C398),"",IF($BL398&lt;&gt;Constants!$B$4,$BL398,IF(OR(NOT($AJ398),NOT($AL398),NOT($AT398)),Constants!$B$11,IF(OR(NOT($AR398),NOT($AU398),NOT($BI398),MAX($AN398,$AO398,$AP398)&gt;Constants!$B$30),Constants!$B$10,Constants!$B$9))))</f>
        <v/>
      </c>
      <c r="BN398" s="100" t="str">
        <f aca="false">IF($BL398&lt;&gt;Constants!$B$4,"",IF(NOT($AL398),0,MIN(Constants!$B$35,$BF398)))</f>
        <v/>
      </c>
      <c r="BO398" s="100" t="str">
        <f aca="false">IF($BL398&lt;&gt;Constants!$B$4,"",IF(NOT($AL398),0,IF($AW398,Constants!$B$18,IF($AV398,Constants!$B$17,0))))</f>
        <v/>
      </c>
      <c r="BP398" s="100" t="str">
        <f aca="false">IF($BL398&lt;&gt;Constants!$B$4,"",IF(NOT($AL398),0,Constants!$B$19*($AK398+$AX398+$AY398+$AZ398)))</f>
        <v/>
      </c>
      <c r="BQ398" s="100" t="str">
        <f aca="false">IF($BL398&lt;&gt;Constants!$B$4,"",IF(OR(NOT($AL398),NOT(ISNUMBER($BA398))),0,CHOOSE($BA398,Constants!$B$13,Constants!$B$14,Constants!$B$15,Constants!$B$16)))</f>
        <v/>
      </c>
      <c r="BR398" s="100" t="str">
        <f aca="false">IF($BL398&lt;&gt;Constants!$B$4,"",IF(NOT($AL398),0,Constants!$B$20*$BB398))</f>
        <v/>
      </c>
      <c r="BS398" s="100" t="str">
        <f aca="false">IF($BL398&lt;&gt;Constants!$B$4,"",IF(AND($AL398,$BD398,$BE398),Constants!$B$22,0))</f>
        <v/>
      </c>
      <c r="BT398" s="100" t="str">
        <f aca="false">IF($BL398&lt;&gt;Constants!$B$4,"",IF(OR(NOT($AL398),NOT($BD398)),0,IF($BJ398&gt;=2*$AH$9,0,Constants!$B$23*INT(ROUND(MIN($BJ398,$AH$9),6)))))</f>
        <v/>
      </c>
      <c r="BU398" s="100" t="str">
        <f aca="false">IF($BL398&lt;&gt;Constants!$B$4,"",IF(NOT($AL398),0,Constants!$B$24*INT(ROUND(MIN($BC398,$AH$9),6))))</f>
        <v/>
      </c>
      <c r="BV398" s="100" t="str">
        <f aca="false">IF($BL398&lt;&gt;Constants!$B$4,"",IF(AND($AL398,$BN398=0),Constants!$B$25,0))</f>
        <v/>
      </c>
      <c r="BW398" s="100" t="str">
        <f aca="false">IF($BL398&lt;&gt;Constants!$B$4,"",MIN(Constants!$B$29,MAX(0,Constants!$B$27*Constants!$B$28*INT(ROUND((Constants!$B$26-$AN398)/Constants!$B$28,6))))+MIN(Constants!$B$29,MAX(0,Constants!$B$27*Constants!$B$28*INT(ROUND((Constants!$B$26-$AO398)/Constants!$B$28,6))))+MIN(Constants!$B$29,MAX(0,Constants!$B$27*Constants!$B$28*INT(ROUND((Constants!$B$26-$AP398)/Constants!$B$28,6)))))</f>
        <v/>
      </c>
      <c r="BX398" s="100" t="str">
        <f aca="false">IF($BL398&lt;&gt;Constants!$B$4,"",IF(NOT($AL398),0,Constants!$B$31*INT(ROUND(MAX(0,MIN($BJ398,2*$AH$9)-$AH$9),6))))</f>
        <v/>
      </c>
      <c r="BY398" s="100" t="str">
        <f aca="false">IF($BL398&lt;&gt;Constants!$B$4,"",Constants!$B$32*(($AN398&gt;Constants!$B$26)+($AO398&gt;Constants!$B$26)+($AP398&gt;Constants!$B$26)))</f>
        <v/>
      </c>
      <c r="BZ398" s="100" t="str">
        <f aca="false">IF($BL398&lt;&gt;Constants!$B$4,"",IF(OR(NOT($AL398),$AQ398),0,Constants!$B$33))</f>
        <v/>
      </c>
      <c r="CA398" s="100" t="str">
        <f aca="false">IF($BL398&lt;&gt;Constants!$B$4,"",Constants!$B$34*$BN398)</f>
        <v/>
      </c>
      <c r="CB398" s="100" t="str">
        <f aca="false">IF($BL398&lt;&gt;Constants!$B$4,"",IF(OR(NOT($AL398),$BH398),0,Constants!$B$36))</f>
        <v/>
      </c>
      <c r="CC398" s="100" t="str">
        <f aca="false">IF($BL398&lt;&gt;Constants!$B$4,"",IF(OR(NOT($AL398),$BG398),0,Constants!$B$37))</f>
        <v/>
      </c>
      <c r="CD398" s="100" t="str">
        <f aca="false">IF($BL398&lt;&gt;Constants!$B$4,"",SUM($BX398:$CC398))</f>
        <v/>
      </c>
      <c r="CE398" s="100" t="str">
        <f aca="false">IF(ISBLANK($C398),"",IF($BL398&lt;&gt;Constants!$B$4,$BL398,SUM($BO398:$BW398)-$CD398))</f>
        <v/>
      </c>
      <c r="CF398" s="100" t="str">
        <f aca="false">IF(ISBLANK($C398),"",IF($BL398&lt;&gt;Constants!$B$4,$BL398,RANK($CE398,$CE$9:$CE$508)))</f>
        <v/>
      </c>
      <c r="CG398" s="100" t="str">
        <f aca="false">IF(ISBLANK($C398),"",IF($BL398&lt;&gt;Constants!$B$4,$BL398,COUNTIFS($BM$9:$BM$508,"&lt;"&amp;$BM398)+COUNTIFS($BM$9:$BM$508,$BM398,$CF$9:$CF$508,"&lt;"&amp;$CF398)+1))</f>
        <v/>
      </c>
      <c r="CH398" s="100" t="str">
        <f aca="false">IF(ISBLANK($C398),"",IF($BL398&lt;&gt;Constants!$B$4,$BL398,RANK($CD398,$CD$9:$CD$508,1)))</f>
        <v/>
      </c>
      <c r="CI398" s="100" t="str">
        <f aca="false">IF($BL398&lt;&gt;Constants!$B$4,"",$AN398+$AO398+$AP398)</f>
        <v/>
      </c>
      <c r="CJ398" s="100" t="str">
        <f aca="false">IF(ISBLANK($C398),"",IF($BL398&lt;&gt;Constants!$B$4,$BL398,RANK($CI398,$CI$9:$CI$508,1)))</f>
        <v/>
      </c>
      <c r="CK398" s="100" t="str">
        <f aca="false">IF(ISBLANK($C398),"",IF($BL398&lt;&gt;Constants!$B$4,$BL398,COUNTIFS($BM$9:$BM$508,"&lt;"&amp;$BM398)+COUNTIFS($BM$9:$BM$508,$BM398,$CF$9:$CF$508,"&lt;"&amp;$CF398)+COUNTIFS($BM$9:$BM$508,$BM398,$CF$9:$CF$508,$CF398,$CH$9:$CH$508,"&lt;"&amp;$CH398)+COUNTIFS($BM$9:$BM$508,$BM398,$CF$9:$CF$508,$CF398,$CH$9:$CH$508,$CH398,$CJ$9:$CJ$508,"&lt;"&amp;$CJ398)+1))</f>
        <v/>
      </c>
      <c r="CL398" s="100" t="str">
        <f aca="false">IF(ISBLANK($C398),"",IF($BL398&lt;&gt;Constants!$B$4,$BL398,$CG398-$CK398))</f>
        <v/>
      </c>
      <c r="CM398" s="100" t="str">
        <f aca="false">IF(ISBLANK($C398),"",IF(NOT($AL398),"",IF(ISBLANK($D$7),$CM$5,IF(NOT(ISNUMBER($D$7)),$CM$6,""))))</f>
        <v/>
      </c>
      <c r="CN398" s="100" t="str">
        <f aca="false">IF(ISBLANK($C398),"",OR($AN398="",$AO398="",$AP398=""))</f>
        <v/>
      </c>
      <c r="CO398" s="100" t="str">
        <f aca="false">IF(ISBLANK($C398),"",AND($AL398,$BA398=""))</f>
        <v/>
      </c>
      <c r="CP398" s="100" t="str">
        <f aca="false">IF(ISBLANK($C398),"",AND($AL398,$BB398=""))</f>
        <v/>
      </c>
      <c r="CQ398" s="100" t="str">
        <f aca="false">IF(ISBLANK($C398),"",AND($AL398,$BC398=""))</f>
        <v/>
      </c>
      <c r="CR398" s="100" t="str">
        <f aca="false">IF(ISBLANK($C398),"",AND($AL398,$BF398=""))</f>
        <v/>
      </c>
      <c r="CS398" s="100" t="str">
        <f aca="false">IF(ISBLANK($C398),"",AND($AL398,$BJ398=""))</f>
        <v/>
      </c>
      <c r="CT398" s="101"/>
      <c r="CU398" s="102"/>
      <c r="CV398" s="103" t="str">
        <f aca="false">IF(ISBLANK($C398),"",IF($BL398=Constants!$B$8,$CM398,""))</f>
        <v/>
      </c>
      <c r="CW398" s="102" t="str">
        <f aca="false">IF(ISBLANK($C398),"",IF($BL398&lt;&gt;Constants!$B$4,"",$BO398+$BP398))</f>
        <v/>
      </c>
      <c r="CX398" s="104" t="str">
        <f aca="false">IF(ISBLANK($C398),"",IF($BL398&lt;&gt;Constants!$B$4,"",$BQ398+$BR398+$BS398))</f>
        <v/>
      </c>
      <c r="CY398" s="104" t="str">
        <f aca="false">IF(ISBLANK($C398),"",IF($BL398&lt;&gt;Constants!$B$4,"",$BT398))</f>
        <v/>
      </c>
      <c r="CZ398" s="104" t="str">
        <f aca="false">IF(ISBLANK($C398),"",IF($BL398&lt;&gt;Constants!$B$4,"",$BU398+$BV398))</f>
        <v/>
      </c>
      <c r="DA398" s="104" t="str">
        <f aca="false">IF(ISBLANK($C398),"",IF($BL398&lt;&gt;Constants!$B$4,"",$BW398))</f>
        <v/>
      </c>
      <c r="DB398" s="104" t="str">
        <f aca="false">IF(ISBLANK($C398),"",IF($BL398&lt;&gt;Constants!$B$4,"",-$CD398))</f>
        <v/>
      </c>
      <c r="DC398" s="103" t="str">
        <f aca="false">IF(ISBLANK($C398),"",$CE398)</f>
        <v/>
      </c>
      <c r="DD398" s="105" t="str">
        <f aca="false">IF(ISBLANK($C398),"",$BM398)</f>
        <v/>
      </c>
      <c r="DE398" s="104" t="str">
        <f aca="false">IF(ISBLANK($C398),"",$CL398)</f>
        <v/>
      </c>
      <c r="DF398" s="104" t="str">
        <f aca="false">IF(ISBLANK($C398),"",$CK398)</f>
        <v/>
      </c>
      <c r="DG398" s="106" t="str">
        <f aca="false">IF(ISBLANK($C398),"",IF($DF398=Constants!$B$7,COUNTA($C$9:$C$508)+2,IF($DF398=Constants!$B$6,COUNTA($C$9:$C$508)+1,IF($DF398=Constants!$B$5,COUNTA($C$9:$C$508),$DF398))))</f>
        <v/>
      </c>
      <c r="DH398" s="7"/>
      <c r="DI398" s="107" t="n">
        <f aca="false">IF(OR(ISNUMBER($DF398),$DF398=Constants!$B$7,$DF398=Constants!$B$5,$DF398=Constants!$B$6),1,0)</f>
        <v>0</v>
      </c>
      <c r="DJ398" s="107" t="n">
        <v>390</v>
      </c>
      <c r="DK398" s="107" t="str">
        <f aca="false">IF(ISBLANK($C398),"",IF(ISNUMBER($DG398),$DG398+ROW($B398)/1000,""))</f>
        <v/>
      </c>
      <c r="DL398" s="107" t="str">
        <f aca="false">IF(ISNUMBER($DK398),RANK($DK398,$DK$9:$DK$508,1),"")</f>
        <v/>
      </c>
      <c r="DM398" s="107" t="str">
        <f aca="false">IF(ISBLANK($C398),"",$B398)</f>
        <v/>
      </c>
      <c r="DN398" s="107" t="str">
        <f aca="false">IF(ISBLANK($C398),"",$C398)</f>
        <v/>
      </c>
      <c r="DO398" s="107" t="str">
        <f aca="false">IF(ISBLANK($C398),"",$D398)</f>
        <v/>
      </c>
      <c r="DP398" s="108" t="str">
        <f aca="false">$DD398</f>
        <v/>
      </c>
      <c r="DQ398" s="109" t="str">
        <f aca="false">$DC398</f>
        <v/>
      </c>
      <c r="DR398" s="107" t="str">
        <f aca="false">IF(ISBLANK($C398),"",$DF398)</f>
        <v/>
      </c>
      <c r="DS398" s="110" t="str">
        <f aca="false">IF($DJ398&gt;$DI$8,"",VLOOKUP($DJ398,$DL$9:$DR$508,7,FALSE()))</f>
        <v/>
      </c>
      <c r="DT398" s="111" t="str">
        <f aca="false">IF($DJ398&gt;$DI$8,"",VLOOKUP($DJ398,$DL$9:$DR$508,2,FALSE()))</f>
        <v/>
      </c>
      <c r="DU398" s="111" t="str">
        <f aca="false">IF($DJ398&gt;$DI$8,"",VLOOKUP($DJ398,$DL$9:$DR$508,3,FALSE()))</f>
        <v/>
      </c>
      <c r="DV398" s="111" t="str">
        <f aca="false">IF($DJ398&gt;$DI$8,"",VLOOKUP($DJ398,$DL$9:$DR$508,4,FALSE()))</f>
        <v/>
      </c>
      <c r="DW398" s="111" t="str">
        <f aca="false">IF($DJ398&gt;$DI$8,"",VLOOKUP($DJ398,$DL$9:$DR$508,5,FALSE()))</f>
        <v/>
      </c>
      <c r="DX398" s="112" t="str">
        <f aca="false">IF($DJ398&gt;$DI$8,"",VLOOKUP($DJ398,$DL$9:$DR$508,6,FALSE()))</f>
        <v/>
      </c>
      <c r="DY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88"/>
      <c r="N399" s="88"/>
      <c r="O399" s="134"/>
      <c r="P399" s="134"/>
      <c r="Q399" s="88"/>
      <c r="R399" s="88"/>
      <c r="S399" s="88"/>
      <c r="T399" s="88"/>
      <c r="U399" s="134"/>
      <c r="V399" s="88"/>
      <c r="W399" s="70"/>
      <c r="X399" s="88"/>
      <c r="Y399" s="88"/>
      <c r="Z399" s="70"/>
      <c r="AA399" s="70"/>
      <c r="AB399" s="88"/>
      <c r="AC399" s="88"/>
      <c r="AD399" s="88"/>
      <c r="AE399" s="71"/>
      <c r="AF399" s="88"/>
      <c r="AG399" s="73"/>
      <c r="AH399" s="74"/>
      <c r="AI399" s="74"/>
      <c r="AJ399" s="74" t="str">
        <f aca="false">IF(ISBLANK($C399),"",IF($E399=Constants!$B$2,TRUE(),IF($E399=Constants!$B$3,FALSE(),TRUE())))</f>
        <v/>
      </c>
      <c r="AK399" s="74" t="str">
        <f aca="false">IF(ISBLANK($C399),"",IF($F399=Constants!$B$2,TRUE(),IF($F399=Constants!$B$3,FALSE(),FALSE())))</f>
        <v/>
      </c>
      <c r="AL399" s="74" t="str">
        <f aca="false">IF(ISBLANK($C399),"",IF($G399=Constants!$B$2,TRUE(),IF($G399=Constants!$B$3,FALSE(),TRUE())))</f>
        <v/>
      </c>
      <c r="AM399" s="74" t="str">
        <f aca="false">IF(ISBLANK($C399),"",IF($H399=Constants!$B$2,TRUE(),IF($H399=Constants!$B$3,FALSE(),TRUE())))</f>
        <v/>
      </c>
      <c r="AN399" s="74" t="str">
        <f aca="false">IF(ISBLANK($C399),"",IF(ISNUMBER($I399),IF($I399&gt;=0,$I399,""),""))</f>
        <v/>
      </c>
      <c r="AO399" s="74" t="str">
        <f aca="false">IF(ISBLANK($C399),"",IF(ISNUMBER($J399),IF($J399&gt;=0,$J399,""),""))</f>
        <v/>
      </c>
      <c r="AP399" s="74" t="str">
        <f aca="false">IF(ISBLANK($C399),"",IF(ISNUMBER($K399),IF($K399&gt;=0,$K399,""),""))</f>
        <v/>
      </c>
      <c r="AQ399" s="74" t="str">
        <f aca="false">IF(ISBLANK($C399),"",IF($L399=Constants!$B$2,TRUE(),IF($L399=Constants!$B$3,FALSE(),TRUE())))</f>
        <v/>
      </c>
      <c r="AR399" s="74" t="str">
        <f aca="false">IF(ISBLANK($C399),"",IF($M399=Constants!$B$2,TRUE(),IF($M399=Constants!$B$3,FALSE(),TRUE())))</f>
        <v/>
      </c>
      <c r="AS399" s="74" t="str">
        <f aca="false">IF(ISBLANK($C399),"",IF($N399=Constants!$B$2,TRUE(),IF($N399=Constants!$B$3,FALSE(),FALSE())))</f>
        <v/>
      </c>
      <c r="AT399" s="74" t="str">
        <f aca="false">IF(ISBLANK($C399),"",IF($O399=Constants!$B$2,TRUE(),IF($O399=Constants!$B$3,FALSE(),TRUE())))</f>
        <v/>
      </c>
      <c r="AU399" s="74" t="str">
        <f aca="false">IF(ISBLANK($C399),"",IF($P399=Constants!$B$2,TRUE(),IF($P399=Constants!$B$3,FALSE(),TRUE())))</f>
        <v/>
      </c>
      <c r="AV399" s="74" t="str">
        <f aca="false">IF(ISBLANK($C399),"",IF($Q399=Constants!$B$2,TRUE(),IF($Q399=Constants!$B$3,FALSE(),FALSE())))</f>
        <v/>
      </c>
      <c r="AW399" s="74" t="str">
        <f aca="false">IF(ISBLANK($C399),"",IF($R399=Constants!$B$2,TRUE(),IF($R399=Constants!$B$3,FALSE(),FALSE())))</f>
        <v/>
      </c>
      <c r="AX399" s="74" t="str">
        <f aca="false">IF(ISBLANK($C399),"",IF($S399=Constants!$B$2,TRUE(),IF($S399=Constants!$B$3,FALSE(),FALSE())))</f>
        <v/>
      </c>
      <c r="AY399" s="74" t="str">
        <f aca="false">IF(ISBLANK($C399),"",IF($T399=Constants!$B$2,TRUE(),IF($T399=Constants!$B$3,FALSE(),FALSE())))</f>
        <v/>
      </c>
      <c r="AZ399" s="74" t="str">
        <f aca="false">IF(ISBLANK($C399),"",IF($U399=Constants!$B$2,TRUE(),IF($U399=Constants!$B$3,FALSE(),FALSE())))</f>
        <v/>
      </c>
      <c r="BA399" s="74" t="str">
        <f aca="false">IF(ISBLANK($C399),"",IF(OR($V399&amp;""="1",$V399&amp;""="2",$V399&amp;""="3",$V399&amp;""="4"),VALUE($V399&amp;""),IF($V399=Constants!$B$12,Constants!$B$12,"")))</f>
        <v/>
      </c>
      <c r="BB399" s="74" t="str">
        <f aca="false">IF(ISBLANK($C399),"",IF(ISBLANK($W399),0,IF(ISNUMBER($W399),IF(AND($W399&gt;=0,$W399&lt;=Constants!$B$21,$W399=INT($W399)),$W399,""),"")))</f>
        <v/>
      </c>
      <c r="BC399" s="74" t="str">
        <f aca="false">IF(ISBLANK($C399),"",IF(ISBLANK($X399),0,IF(ISNUMBER($X399),IF($X399&gt;=0,$X399,""),"")))</f>
        <v/>
      </c>
      <c r="BD399" s="74" t="str">
        <f aca="false">IF(ISBLANK($C399),"",IF($Y399=Constants!$B$2,TRUE(),IF($Y399=Constants!$B$3,FALSE(),TRUE())))</f>
        <v/>
      </c>
      <c r="BE399" s="74" t="str">
        <f aca="false">IF(ISBLANK($C399),"",IF($Z399=Constants!$B$2,TRUE(),IF($Z399=Constants!$B$3,FALSE(),FALSE())))</f>
        <v/>
      </c>
      <c r="BF399" s="74" t="str">
        <f aca="false">IF(ISBLANK($C399),"",IF(ISBLANK($AA399),0,IF(ISNUMBER($AA399),IF(AND($AA399&gt;=0,$AA399&lt;=Constants!$B$35,$AA399=INT($AA399)),$AA399,""),"")))</f>
        <v/>
      </c>
      <c r="BG399" s="74" t="str">
        <f aca="false">IF(ISBLANK($C399),"",IF($AB399=Constants!$B$2,TRUE(),IF($AB399=Constants!$B$3,FALSE(),TRUE())))</f>
        <v/>
      </c>
      <c r="BH399" s="74" t="str">
        <f aca="false">IF(ISBLANK($C399),"",IF($AC399=Constants!$B$2,TRUE(),IF($AC399=Constants!$B$3,FALSE(),TRUE())))</f>
        <v/>
      </c>
      <c r="BI399" s="74" t="str">
        <f aca="false">IF(ISBLANK($C399),"",IF($AD399=Constants!$B$2,TRUE(),IF($AD399=Constants!$B$3,FALSE(),TRUE())))</f>
        <v/>
      </c>
      <c r="BJ399" s="74" t="str">
        <f aca="false">IF(ISBLANK($C399),"",IF(ISNUMBER($AE399),IF($AE399&gt;=0,$AE399,""),""))</f>
        <v/>
      </c>
      <c r="BK399" s="74" t="str">
        <f aca="false">IF(ISBLANK($C399),"",IF($AF399=Constants!$B$2,TRUE(),IF($AF399=Constants!$B$3,FALSE(),FALSE())))</f>
        <v/>
      </c>
      <c r="BL399" s="73" t="str">
        <f aca="false">IF(ISBLANK($C399),"",IF($BK399,Constants!$B$7,IF(COUNTA($E399:$AE399)=0,Constants!$B$6,IF(OR(COUNTA($G399:$AE399)=0,NOT($AM399),$AS399),Constants!$B$5,IF(OR($CM399&lt;&gt;"",$CN399,$CO399,$CP399,$CQ399,$CR399,$CS399),Constants!$B$8,Constants!$B$4)))))</f>
        <v/>
      </c>
      <c r="BM399" s="74" t="str">
        <f aca="false">IF(ISBLANK($C399),"",IF($BL399&lt;&gt;Constants!$B$4,$BL399,IF(OR(NOT($AJ399),NOT($AL399),NOT($AT399)),Constants!$B$11,IF(OR(NOT($AR399),NOT($AU399),NOT($BI399),MAX($AN399,$AO399,$AP399)&gt;Constants!$B$30),Constants!$B$10,Constants!$B$9))))</f>
        <v/>
      </c>
      <c r="BN399" s="74" t="str">
        <f aca="false">IF($BL399&lt;&gt;Constants!$B$4,"",IF(NOT($AL399),0,MIN(Constants!$B$35,$BF399)))</f>
        <v/>
      </c>
      <c r="BO399" s="74" t="str">
        <f aca="false">IF($BL399&lt;&gt;Constants!$B$4,"",IF(NOT($AL399),0,IF($AW399,Constants!$B$18,IF($AV399,Constants!$B$17,0))))</f>
        <v/>
      </c>
      <c r="BP399" s="74" t="str">
        <f aca="false">IF($BL399&lt;&gt;Constants!$B$4,"",IF(NOT($AL399),0,Constants!$B$19*($AK399+$AX399+$AY399+$AZ399)))</f>
        <v/>
      </c>
      <c r="BQ399" s="74" t="str">
        <f aca="false">IF($BL399&lt;&gt;Constants!$B$4,"",IF(OR(NOT($AL399),NOT(ISNUMBER($BA399))),0,CHOOSE($BA399,Constants!$B$13,Constants!$B$14,Constants!$B$15,Constants!$B$16)))</f>
        <v/>
      </c>
      <c r="BR399" s="74" t="str">
        <f aca="false">IF($BL399&lt;&gt;Constants!$B$4,"",IF(NOT($AL399),0,Constants!$B$20*$BB399))</f>
        <v/>
      </c>
      <c r="BS399" s="74" t="str">
        <f aca="false">IF($BL399&lt;&gt;Constants!$B$4,"",IF(AND($AL399,$BD399,$BE399),Constants!$B$22,0))</f>
        <v/>
      </c>
      <c r="BT399" s="74" t="str">
        <f aca="false">IF($BL399&lt;&gt;Constants!$B$4,"",IF(OR(NOT($AL399),NOT($BD399)),0,IF($BJ399&gt;=2*$AH$9,0,Constants!$B$23*INT(ROUND(MIN($BJ399,$AH$9),6)))))</f>
        <v/>
      </c>
      <c r="BU399" s="74" t="str">
        <f aca="false">IF($BL399&lt;&gt;Constants!$B$4,"",IF(NOT($AL399),0,Constants!$B$24*INT(ROUND(MIN($BC399,$AH$9),6))))</f>
        <v/>
      </c>
      <c r="BV399" s="74" t="str">
        <f aca="false">IF($BL399&lt;&gt;Constants!$B$4,"",IF(AND($AL399,$BN399=0),Constants!$B$25,0))</f>
        <v/>
      </c>
      <c r="BW399" s="74" t="str">
        <f aca="false">IF($BL399&lt;&gt;Constants!$B$4,"",MIN(Constants!$B$29,MAX(0,Constants!$B$27*Constants!$B$28*INT(ROUND((Constants!$B$26-$AN399)/Constants!$B$28,6))))+MIN(Constants!$B$29,MAX(0,Constants!$B$27*Constants!$B$28*INT(ROUND((Constants!$B$26-$AO399)/Constants!$B$28,6))))+MIN(Constants!$B$29,MAX(0,Constants!$B$27*Constants!$B$28*INT(ROUND((Constants!$B$26-$AP399)/Constants!$B$28,6)))))</f>
        <v/>
      </c>
      <c r="BX399" s="74" t="str">
        <f aca="false">IF($BL399&lt;&gt;Constants!$B$4,"",IF(NOT($AL399),0,Constants!$B$31*INT(ROUND(MAX(0,MIN($BJ399,2*$AH$9)-$AH$9),6))))</f>
        <v/>
      </c>
      <c r="BY399" s="74" t="str">
        <f aca="false">IF($BL399&lt;&gt;Constants!$B$4,"",Constants!$B$32*(($AN399&gt;Constants!$B$26)+($AO399&gt;Constants!$B$26)+($AP399&gt;Constants!$B$26)))</f>
        <v/>
      </c>
      <c r="BZ399" s="74" t="str">
        <f aca="false">IF($BL399&lt;&gt;Constants!$B$4,"",IF(OR(NOT($AL399),$AQ399),0,Constants!$B$33))</f>
        <v/>
      </c>
      <c r="CA399" s="74" t="str">
        <f aca="false">IF($BL399&lt;&gt;Constants!$B$4,"",Constants!$B$34*$BN399)</f>
        <v/>
      </c>
      <c r="CB399" s="74" t="str">
        <f aca="false">IF($BL399&lt;&gt;Constants!$B$4,"",IF(OR(NOT($AL399),$BH399),0,Constants!$B$36))</f>
        <v/>
      </c>
      <c r="CC399" s="74" t="str">
        <f aca="false">IF($BL399&lt;&gt;Constants!$B$4,"",IF(OR(NOT($AL399),$BG399),0,Constants!$B$37))</f>
        <v/>
      </c>
      <c r="CD399" s="74" t="str">
        <f aca="false">IF($BL399&lt;&gt;Constants!$B$4,"",SUM($BX399:$CC399))</f>
        <v/>
      </c>
      <c r="CE399" s="74" t="str">
        <f aca="false">IF(ISBLANK($C399),"",IF($BL399&lt;&gt;Constants!$B$4,$BL399,SUM($BO399:$BW399)-$CD399))</f>
        <v/>
      </c>
      <c r="CF399" s="74" t="str">
        <f aca="false">IF(ISBLANK($C399),"",IF($BL399&lt;&gt;Constants!$B$4,$BL399,RANK($CE399,$CE$9:$CE$508)))</f>
        <v/>
      </c>
      <c r="CG399" s="74" t="str">
        <f aca="false">IF(ISBLANK($C399),"",IF($BL399&lt;&gt;Constants!$B$4,$BL399,COUNTIFS($BM$9:$BM$508,"&lt;"&amp;$BM399)+COUNTIFS($BM$9:$BM$508,$BM399,$CF$9:$CF$508,"&lt;"&amp;$CF399)+1))</f>
        <v/>
      </c>
      <c r="CH399" s="74" t="str">
        <f aca="false">IF(ISBLANK($C399),"",IF($BL399&lt;&gt;Constants!$B$4,$BL399,RANK($CD399,$CD$9:$CD$508,1)))</f>
        <v/>
      </c>
      <c r="CI399" s="74" t="str">
        <f aca="false">IF($BL399&lt;&gt;Constants!$B$4,"",$AN399+$AO399+$AP399)</f>
        <v/>
      </c>
      <c r="CJ399" s="74" t="str">
        <f aca="false">IF(ISBLANK($C399),"",IF($BL399&lt;&gt;Constants!$B$4,$BL399,RANK($CI399,$CI$9:$CI$508,1)))</f>
        <v/>
      </c>
      <c r="CK399" s="74" t="str">
        <f aca="false">IF(ISBLANK($C399),"",IF($BL399&lt;&gt;Constants!$B$4,$BL399,COUNTIFS($BM$9:$BM$508,"&lt;"&amp;$BM399)+COUNTIFS($BM$9:$BM$508,$BM399,$CF$9:$CF$508,"&lt;"&amp;$CF399)+COUNTIFS($BM$9:$BM$508,$BM399,$CF$9:$CF$508,$CF399,$CH$9:$CH$508,"&lt;"&amp;$CH399)+COUNTIFS($BM$9:$BM$508,$BM399,$CF$9:$CF$508,$CF399,$CH$9:$CH$508,$CH399,$CJ$9:$CJ$508,"&lt;"&amp;$CJ399)+1))</f>
        <v/>
      </c>
      <c r="CL399" s="74" t="str">
        <f aca="false">IF(ISBLANK($C399),"",IF($BL399&lt;&gt;Constants!$B$4,$BL399,$CG399-$CK399))</f>
        <v/>
      </c>
      <c r="CM399" s="74" t="str">
        <f aca="false">IF(ISBLANK($C399),"",IF(NOT($AL399),"",IF(ISBLANK($D$7),$CM$5,IF(NOT(ISNUMBER($D$7)),$CM$6,""))))</f>
        <v/>
      </c>
      <c r="CN399" s="74" t="str">
        <f aca="false">IF(ISBLANK($C399),"",OR($AN399="",$AO399="",$AP399=""))</f>
        <v/>
      </c>
      <c r="CO399" s="74" t="str">
        <f aca="false">IF(ISBLANK($C399),"",AND($AL399,$BA399=""))</f>
        <v/>
      </c>
      <c r="CP399" s="74" t="str">
        <f aca="false">IF(ISBLANK($C399),"",AND($AL399,$BB399=""))</f>
        <v/>
      </c>
      <c r="CQ399" s="74" t="str">
        <f aca="false">IF(ISBLANK($C399),"",AND($AL399,$BC399=""))</f>
        <v/>
      </c>
      <c r="CR399" s="74" t="str">
        <f aca="false">IF(ISBLANK($C399),"",AND($AL399,$BF399=""))</f>
        <v/>
      </c>
      <c r="CS399" s="74" t="str">
        <f aca="false">IF(ISBLANK($C399),"",AND($AL399,$BJ399=""))</f>
        <v/>
      </c>
      <c r="CT399" s="75"/>
      <c r="CU399" s="76"/>
      <c r="CV399" s="79" t="str">
        <f aca="false">IF(ISBLANK($C399),"",IF($BL399=Constants!$B$8,$CM399,""))</f>
        <v/>
      </c>
      <c r="CW399" s="76" t="str">
        <f aca="false">IF(ISBLANK($C399),"",IF($BL399&lt;&gt;Constants!$B$4,"",$BO399+$BP399))</f>
        <v/>
      </c>
      <c r="CX399" s="78" t="str">
        <f aca="false">IF(ISBLANK($C399),"",IF($BL399&lt;&gt;Constants!$B$4,"",$BQ399+$BR399+$BS399))</f>
        <v/>
      </c>
      <c r="CY399" s="78" t="str">
        <f aca="false">IF(ISBLANK($C399),"",IF($BL399&lt;&gt;Constants!$B$4,"",$BT399))</f>
        <v/>
      </c>
      <c r="CZ399" s="78" t="str">
        <f aca="false">IF(ISBLANK($C399),"",IF($BL399&lt;&gt;Constants!$B$4,"",$BU399+$BV399))</f>
        <v/>
      </c>
      <c r="DA399" s="78" t="str">
        <f aca="false">IF(ISBLANK($C399),"",IF($BL399&lt;&gt;Constants!$B$4,"",$BW399))</f>
        <v/>
      </c>
      <c r="DB399" s="78" t="str">
        <f aca="false">IF(ISBLANK($C399),"",IF($BL399&lt;&gt;Constants!$B$4,"",-$CD399))</f>
        <v/>
      </c>
      <c r="DC399" s="79" t="str">
        <f aca="false">IF(ISBLANK($C399),"",$CE399)</f>
        <v/>
      </c>
      <c r="DD399" s="80" t="str">
        <f aca="false">IF(ISBLANK($C399),"",$BM399)</f>
        <v/>
      </c>
      <c r="DE399" s="78" t="str">
        <f aca="false">IF(ISBLANK($C399),"",$CL399)</f>
        <v/>
      </c>
      <c r="DF399" s="78" t="str">
        <f aca="false">IF(ISBLANK($C399),"",$CK399)</f>
        <v/>
      </c>
      <c r="DG399" s="81" t="str">
        <f aca="false">IF(ISBLANK($C399),"",IF($DF399=Constants!$B$7,COUNTA($C$9:$C$508)+2,IF($DF399=Constants!$B$6,COUNTA($C$9:$C$508)+1,IF($DF399=Constants!$B$5,COUNTA($C$9:$C$508),$DF399))))</f>
        <v/>
      </c>
      <c r="DH399" s="7"/>
      <c r="DI399" s="82" t="n">
        <f aca="false">IF(OR(ISNUMBER($DF399),$DF399=Constants!$B$7,$DF399=Constants!$B$5,$DF399=Constants!$B$6),1,0)</f>
        <v>0</v>
      </c>
      <c r="DJ399" s="82" t="n">
        <v>391</v>
      </c>
      <c r="DK399" s="82" t="str">
        <f aca="false">IF(ISBLANK($C399),"",IF(ISNUMBER($DG399),$DG399+ROW($B399)/1000,""))</f>
        <v/>
      </c>
      <c r="DL399" s="82" t="str">
        <f aca="false">IF(ISNUMBER($DK399),RANK($DK399,$DK$9:$DK$508,1),"")</f>
        <v/>
      </c>
      <c r="DM399" s="82" t="str">
        <f aca="false">IF(ISBLANK($C399),"",$B399)</f>
        <v/>
      </c>
      <c r="DN399" s="82" t="str">
        <f aca="false">IF(ISBLANK($C399),"",$C399)</f>
        <v/>
      </c>
      <c r="DO399" s="82" t="str">
        <f aca="false">IF(ISBLANK($C399),"",$D399)</f>
        <v/>
      </c>
      <c r="DP399" s="83" t="str">
        <f aca="false">$DD399</f>
        <v/>
      </c>
      <c r="DQ399" s="84" t="str">
        <f aca="false">$DC399</f>
        <v/>
      </c>
      <c r="DR399" s="82" t="str">
        <f aca="false">IF(ISBLANK($C399),"",$DF399)</f>
        <v/>
      </c>
      <c r="DS399" s="85" t="str">
        <f aca="false">IF($DJ399&gt;$DI$8,"",VLOOKUP($DJ399,$DL$9:$DR$508,7,FALSE()))</f>
        <v/>
      </c>
      <c r="DT399" s="86" t="str">
        <f aca="false">IF($DJ399&gt;$DI$8,"",VLOOKUP($DJ399,$DL$9:$DR$508,2,FALSE()))</f>
        <v/>
      </c>
      <c r="DU399" s="86" t="str">
        <f aca="false">IF($DJ399&gt;$DI$8,"",VLOOKUP($DJ399,$DL$9:$DR$508,3,FALSE()))</f>
        <v/>
      </c>
      <c r="DV399" s="86" t="str">
        <f aca="false">IF($DJ399&gt;$DI$8,"",VLOOKUP($DJ399,$DL$9:$DR$508,4,FALSE()))</f>
        <v/>
      </c>
      <c r="DW399" s="86" t="str">
        <f aca="false">IF($DJ399&gt;$DI$8,"",VLOOKUP($DJ399,$DL$9:$DR$508,5,FALSE()))</f>
        <v/>
      </c>
      <c r="DX399" s="87" t="str">
        <f aca="false">IF($DJ399&gt;$DI$8,"",VLOOKUP($DJ399,$DL$9:$DR$508,6,FALSE()))</f>
        <v/>
      </c>
      <c r="DY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88"/>
      <c r="N400" s="88"/>
      <c r="O400" s="134"/>
      <c r="P400" s="134"/>
      <c r="Q400" s="88"/>
      <c r="R400" s="88"/>
      <c r="S400" s="88"/>
      <c r="T400" s="88"/>
      <c r="U400" s="134"/>
      <c r="V400" s="88"/>
      <c r="W400" s="70"/>
      <c r="X400" s="88"/>
      <c r="Y400" s="88"/>
      <c r="Z400" s="70"/>
      <c r="AA400" s="70"/>
      <c r="AB400" s="88"/>
      <c r="AC400" s="88"/>
      <c r="AD400" s="88"/>
      <c r="AE400" s="71"/>
      <c r="AF400" s="88"/>
      <c r="AG400" s="73"/>
      <c r="AH400" s="74"/>
      <c r="AI400" s="74"/>
      <c r="AJ400" s="74" t="str">
        <f aca="false">IF(ISBLANK($C400),"",IF($E400=Constants!$B$2,TRUE(),IF($E400=Constants!$B$3,FALSE(),TRUE())))</f>
        <v/>
      </c>
      <c r="AK400" s="74" t="str">
        <f aca="false">IF(ISBLANK($C400),"",IF($F400=Constants!$B$2,TRUE(),IF($F400=Constants!$B$3,FALSE(),FALSE())))</f>
        <v/>
      </c>
      <c r="AL400" s="74" t="str">
        <f aca="false">IF(ISBLANK($C400),"",IF($G400=Constants!$B$2,TRUE(),IF($G400=Constants!$B$3,FALSE(),TRUE())))</f>
        <v/>
      </c>
      <c r="AM400" s="74" t="str">
        <f aca="false">IF(ISBLANK($C400),"",IF($H400=Constants!$B$2,TRUE(),IF($H400=Constants!$B$3,FALSE(),TRUE())))</f>
        <v/>
      </c>
      <c r="AN400" s="74" t="str">
        <f aca="false">IF(ISBLANK($C400),"",IF(ISNUMBER($I400),IF($I400&gt;=0,$I400,""),""))</f>
        <v/>
      </c>
      <c r="AO400" s="74" t="str">
        <f aca="false">IF(ISBLANK($C400),"",IF(ISNUMBER($J400),IF($J400&gt;=0,$J400,""),""))</f>
        <v/>
      </c>
      <c r="AP400" s="74" t="str">
        <f aca="false">IF(ISBLANK($C400),"",IF(ISNUMBER($K400),IF($K400&gt;=0,$K400,""),""))</f>
        <v/>
      </c>
      <c r="AQ400" s="74" t="str">
        <f aca="false">IF(ISBLANK($C400),"",IF($L400=Constants!$B$2,TRUE(),IF($L400=Constants!$B$3,FALSE(),TRUE())))</f>
        <v/>
      </c>
      <c r="AR400" s="74" t="str">
        <f aca="false">IF(ISBLANK($C400),"",IF($M400=Constants!$B$2,TRUE(),IF($M400=Constants!$B$3,FALSE(),TRUE())))</f>
        <v/>
      </c>
      <c r="AS400" s="74" t="str">
        <f aca="false">IF(ISBLANK($C400),"",IF($N400=Constants!$B$2,TRUE(),IF($N400=Constants!$B$3,FALSE(),FALSE())))</f>
        <v/>
      </c>
      <c r="AT400" s="74" t="str">
        <f aca="false">IF(ISBLANK($C400),"",IF($O400=Constants!$B$2,TRUE(),IF($O400=Constants!$B$3,FALSE(),TRUE())))</f>
        <v/>
      </c>
      <c r="AU400" s="74" t="str">
        <f aca="false">IF(ISBLANK($C400),"",IF($P400=Constants!$B$2,TRUE(),IF($P400=Constants!$B$3,FALSE(),TRUE())))</f>
        <v/>
      </c>
      <c r="AV400" s="74" t="str">
        <f aca="false">IF(ISBLANK($C400),"",IF($Q400=Constants!$B$2,TRUE(),IF($Q400=Constants!$B$3,FALSE(),FALSE())))</f>
        <v/>
      </c>
      <c r="AW400" s="74" t="str">
        <f aca="false">IF(ISBLANK($C400),"",IF($R400=Constants!$B$2,TRUE(),IF($R400=Constants!$B$3,FALSE(),FALSE())))</f>
        <v/>
      </c>
      <c r="AX400" s="74" t="str">
        <f aca="false">IF(ISBLANK($C400),"",IF($S400=Constants!$B$2,TRUE(),IF($S400=Constants!$B$3,FALSE(),FALSE())))</f>
        <v/>
      </c>
      <c r="AY400" s="74" t="str">
        <f aca="false">IF(ISBLANK($C400),"",IF($T400=Constants!$B$2,TRUE(),IF($T400=Constants!$B$3,FALSE(),FALSE())))</f>
        <v/>
      </c>
      <c r="AZ400" s="74" t="str">
        <f aca="false">IF(ISBLANK($C400),"",IF($U400=Constants!$B$2,TRUE(),IF($U400=Constants!$B$3,FALSE(),FALSE())))</f>
        <v/>
      </c>
      <c r="BA400" s="74" t="str">
        <f aca="false">IF(ISBLANK($C400),"",IF(OR($V400&amp;""="1",$V400&amp;""="2",$V400&amp;""="3",$V400&amp;""="4"),VALUE($V400&amp;""),IF($V400=Constants!$B$12,Constants!$B$12,"")))</f>
        <v/>
      </c>
      <c r="BB400" s="74" t="str">
        <f aca="false">IF(ISBLANK($C400),"",IF(ISBLANK($W400),0,IF(ISNUMBER($W400),IF(AND($W400&gt;=0,$W400&lt;=Constants!$B$21,$W400=INT($W400)),$W400,""),"")))</f>
        <v/>
      </c>
      <c r="BC400" s="74" t="str">
        <f aca="false">IF(ISBLANK($C400),"",IF(ISBLANK($X400),0,IF(ISNUMBER($X400),IF($X400&gt;=0,$X400,""),"")))</f>
        <v/>
      </c>
      <c r="BD400" s="74" t="str">
        <f aca="false">IF(ISBLANK($C400),"",IF($Y400=Constants!$B$2,TRUE(),IF($Y400=Constants!$B$3,FALSE(),TRUE())))</f>
        <v/>
      </c>
      <c r="BE400" s="74" t="str">
        <f aca="false">IF(ISBLANK($C400),"",IF($Z400=Constants!$B$2,TRUE(),IF($Z400=Constants!$B$3,FALSE(),FALSE())))</f>
        <v/>
      </c>
      <c r="BF400" s="74" t="str">
        <f aca="false">IF(ISBLANK($C400),"",IF(ISBLANK($AA400),0,IF(ISNUMBER($AA400),IF(AND($AA400&gt;=0,$AA400&lt;=Constants!$B$35,$AA400=INT($AA400)),$AA400,""),"")))</f>
        <v/>
      </c>
      <c r="BG400" s="74" t="str">
        <f aca="false">IF(ISBLANK($C400),"",IF($AB400=Constants!$B$2,TRUE(),IF($AB400=Constants!$B$3,FALSE(),TRUE())))</f>
        <v/>
      </c>
      <c r="BH400" s="74" t="str">
        <f aca="false">IF(ISBLANK($C400),"",IF($AC400=Constants!$B$2,TRUE(),IF($AC400=Constants!$B$3,FALSE(),TRUE())))</f>
        <v/>
      </c>
      <c r="BI400" s="74" t="str">
        <f aca="false">IF(ISBLANK($C400),"",IF($AD400=Constants!$B$2,TRUE(),IF($AD400=Constants!$B$3,FALSE(),TRUE())))</f>
        <v/>
      </c>
      <c r="BJ400" s="74" t="str">
        <f aca="false">IF(ISBLANK($C400),"",IF(ISNUMBER($AE400),IF($AE400&gt;=0,$AE400,""),""))</f>
        <v/>
      </c>
      <c r="BK400" s="74" t="str">
        <f aca="false">IF(ISBLANK($C400),"",IF($AF400=Constants!$B$2,TRUE(),IF($AF400=Constants!$B$3,FALSE(),FALSE())))</f>
        <v/>
      </c>
      <c r="BL400" s="73" t="str">
        <f aca="false">IF(ISBLANK($C400),"",IF($BK400,Constants!$B$7,IF(COUNTA($E400:$AE400)=0,Constants!$B$6,IF(OR(COUNTA($G400:$AE400)=0,NOT($AM400),$AS400),Constants!$B$5,IF(OR($CM400&lt;&gt;"",$CN400,$CO400,$CP400,$CQ400,$CR400,$CS400),Constants!$B$8,Constants!$B$4)))))</f>
        <v/>
      </c>
      <c r="BM400" s="74" t="str">
        <f aca="false">IF(ISBLANK($C400),"",IF($BL400&lt;&gt;Constants!$B$4,$BL400,IF(OR(NOT($AJ400),NOT($AL400),NOT($AT400)),Constants!$B$11,IF(OR(NOT($AR400),NOT($AU400),NOT($BI400),MAX($AN400,$AO400,$AP400)&gt;Constants!$B$30),Constants!$B$10,Constants!$B$9))))</f>
        <v/>
      </c>
      <c r="BN400" s="74" t="str">
        <f aca="false">IF($BL400&lt;&gt;Constants!$B$4,"",IF(NOT($AL400),0,MIN(Constants!$B$35,$BF400)))</f>
        <v/>
      </c>
      <c r="BO400" s="74" t="str">
        <f aca="false">IF($BL400&lt;&gt;Constants!$B$4,"",IF(NOT($AL400),0,IF($AW400,Constants!$B$18,IF($AV400,Constants!$B$17,0))))</f>
        <v/>
      </c>
      <c r="BP400" s="74" t="str">
        <f aca="false">IF($BL400&lt;&gt;Constants!$B$4,"",IF(NOT($AL400),0,Constants!$B$19*($AK400+$AX400+$AY400+$AZ400)))</f>
        <v/>
      </c>
      <c r="BQ400" s="74" t="str">
        <f aca="false">IF($BL400&lt;&gt;Constants!$B$4,"",IF(OR(NOT($AL400),NOT(ISNUMBER($BA400))),0,CHOOSE($BA400,Constants!$B$13,Constants!$B$14,Constants!$B$15,Constants!$B$16)))</f>
        <v/>
      </c>
      <c r="BR400" s="74" t="str">
        <f aca="false">IF($BL400&lt;&gt;Constants!$B$4,"",IF(NOT($AL400),0,Constants!$B$20*$BB400))</f>
        <v/>
      </c>
      <c r="BS400" s="74" t="str">
        <f aca="false">IF($BL400&lt;&gt;Constants!$B$4,"",IF(AND($AL400,$BD400,$BE400),Constants!$B$22,0))</f>
        <v/>
      </c>
      <c r="BT400" s="74" t="str">
        <f aca="false">IF($BL400&lt;&gt;Constants!$B$4,"",IF(OR(NOT($AL400),NOT($BD400)),0,IF($BJ400&gt;=2*$AH$9,0,Constants!$B$23*INT(ROUND(MIN($BJ400,$AH$9),6)))))</f>
        <v/>
      </c>
      <c r="BU400" s="74" t="str">
        <f aca="false">IF($BL400&lt;&gt;Constants!$B$4,"",IF(NOT($AL400),0,Constants!$B$24*INT(ROUND(MIN($BC400,$AH$9),6))))</f>
        <v/>
      </c>
      <c r="BV400" s="74" t="str">
        <f aca="false">IF($BL400&lt;&gt;Constants!$B$4,"",IF(AND($AL400,$BN400=0),Constants!$B$25,0))</f>
        <v/>
      </c>
      <c r="BW400" s="74" t="str">
        <f aca="false">IF($BL400&lt;&gt;Constants!$B$4,"",MIN(Constants!$B$29,MAX(0,Constants!$B$27*Constants!$B$28*INT(ROUND((Constants!$B$26-$AN400)/Constants!$B$28,6))))+MIN(Constants!$B$29,MAX(0,Constants!$B$27*Constants!$B$28*INT(ROUND((Constants!$B$26-$AO400)/Constants!$B$28,6))))+MIN(Constants!$B$29,MAX(0,Constants!$B$27*Constants!$B$28*INT(ROUND((Constants!$B$26-$AP400)/Constants!$B$28,6)))))</f>
        <v/>
      </c>
      <c r="BX400" s="74" t="str">
        <f aca="false">IF($BL400&lt;&gt;Constants!$B$4,"",IF(NOT($AL400),0,Constants!$B$31*INT(ROUND(MAX(0,MIN($BJ400,2*$AH$9)-$AH$9),6))))</f>
        <v/>
      </c>
      <c r="BY400" s="74" t="str">
        <f aca="false">IF($BL400&lt;&gt;Constants!$B$4,"",Constants!$B$32*(($AN400&gt;Constants!$B$26)+($AO400&gt;Constants!$B$26)+($AP400&gt;Constants!$B$26)))</f>
        <v/>
      </c>
      <c r="BZ400" s="74" t="str">
        <f aca="false">IF($BL400&lt;&gt;Constants!$B$4,"",IF(OR(NOT($AL400),$AQ400),0,Constants!$B$33))</f>
        <v/>
      </c>
      <c r="CA400" s="74" t="str">
        <f aca="false">IF($BL400&lt;&gt;Constants!$B$4,"",Constants!$B$34*$BN400)</f>
        <v/>
      </c>
      <c r="CB400" s="74" t="str">
        <f aca="false">IF($BL400&lt;&gt;Constants!$B$4,"",IF(OR(NOT($AL400),$BH400),0,Constants!$B$36))</f>
        <v/>
      </c>
      <c r="CC400" s="74" t="str">
        <f aca="false">IF($BL400&lt;&gt;Constants!$B$4,"",IF(OR(NOT($AL400),$BG400),0,Constants!$B$37))</f>
        <v/>
      </c>
      <c r="CD400" s="74" t="str">
        <f aca="false">IF($BL400&lt;&gt;Constants!$B$4,"",SUM($BX400:$CC400))</f>
        <v/>
      </c>
      <c r="CE400" s="74" t="str">
        <f aca="false">IF(ISBLANK($C400),"",IF($BL400&lt;&gt;Constants!$B$4,$BL400,SUM($BO400:$BW400)-$CD400))</f>
        <v/>
      </c>
      <c r="CF400" s="74" t="str">
        <f aca="false">IF(ISBLANK($C400),"",IF($BL400&lt;&gt;Constants!$B$4,$BL400,RANK($CE400,$CE$9:$CE$508)))</f>
        <v/>
      </c>
      <c r="CG400" s="74" t="str">
        <f aca="false">IF(ISBLANK($C400),"",IF($BL400&lt;&gt;Constants!$B$4,$BL400,COUNTIFS($BM$9:$BM$508,"&lt;"&amp;$BM400)+COUNTIFS($BM$9:$BM$508,$BM400,$CF$9:$CF$508,"&lt;"&amp;$CF400)+1))</f>
        <v/>
      </c>
      <c r="CH400" s="74" t="str">
        <f aca="false">IF(ISBLANK($C400),"",IF($BL400&lt;&gt;Constants!$B$4,$BL400,RANK($CD400,$CD$9:$CD$508,1)))</f>
        <v/>
      </c>
      <c r="CI400" s="74" t="str">
        <f aca="false">IF($BL400&lt;&gt;Constants!$B$4,"",$AN400+$AO400+$AP400)</f>
        <v/>
      </c>
      <c r="CJ400" s="74" t="str">
        <f aca="false">IF(ISBLANK($C400),"",IF($BL400&lt;&gt;Constants!$B$4,$BL400,RANK($CI400,$CI$9:$CI$508,1)))</f>
        <v/>
      </c>
      <c r="CK400" s="74" t="str">
        <f aca="false">IF(ISBLANK($C400),"",IF($BL400&lt;&gt;Constants!$B$4,$BL400,COUNTIFS($BM$9:$BM$508,"&lt;"&amp;$BM400)+COUNTIFS($BM$9:$BM$508,$BM400,$CF$9:$CF$508,"&lt;"&amp;$CF400)+COUNTIFS($BM$9:$BM$508,$BM400,$CF$9:$CF$508,$CF400,$CH$9:$CH$508,"&lt;"&amp;$CH400)+COUNTIFS($BM$9:$BM$508,$BM400,$CF$9:$CF$508,$CF400,$CH$9:$CH$508,$CH400,$CJ$9:$CJ$508,"&lt;"&amp;$CJ400)+1))</f>
        <v/>
      </c>
      <c r="CL400" s="74" t="str">
        <f aca="false">IF(ISBLANK($C400),"",IF($BL400&lt;&gt;Constants!$B$4,$BL400,$CG400-$CK400))</f>
        <v/>
      </c>
      <c r="CM400" s="74" t="str">
        <f aca="false">IF(ISBLANK($C400),"",IF(NOT($AL400),"",IF(ISBLANK($D$7),$CM$5,IF(NOT(ISNUMBER($D$7)),$CM$6,""))))</f>
        <v/>
      </c>
      <c r="CN400" s="74" t="str">
        <f aca="false">IF(ISBLANK($C400),"",OR($AN400="",$AO400="",$AP400=""))</f>
        <v/>
      </c>
      <c r="CO400" s="74" t="str">
        <f aca="false">IF(ISBLANK($C400),"",AND($AL400,$BA400=""))</f>
        <v/>
      </c>
      <c r="CP400" s="74" t="str">
        <f aca="false">IF(ISBLANK($C400),"",AND($AL400,$BB400=""))</f>
        <v/>
      </c>
      <c r="CQ400" s="74" t="str">
        <f aca="false">IF(ISBLANK($C400),"",AND($AL400,$BC400=""))</f>
        <v/>
      </c>
      <c r="CR400" s="74" t="str">
        <f aca="false">IF(ISBLANK($C400),"",AND($AL400,$BF400=""))</f>
        <v/>
      </c>
      <c r="CS400" s="74" t="str">
        <f aca="false">IF(ISBLANK($C400),"",AND($AL400,$BJ400=""))</f>
        <v/>
      </c>
      <c r="CT400" s="75"/>
      <c r="CU400" s="76"/>
      <c r="CV400" s="79" t="str">
        <f aca="false">IF(ISBLANK($C400),"",IF($BL400=Constants!$B$8,$CM400,""))</f>
        <v/>
      </c>
      <c r="CW400" s="76" t="str">
        <f aca="false">IF(ISBLANK($C400),"",IF($BL400&lt;&gt;Constants!$B$4,"",$BO400+$BP400))</f>
        <v/>
      </c>
      <c r="CX400" s="78" t="str">
        <f aca="false">IF(ISBLANK($C400),"",IF($BL400&lt;&gt;Constants!$B$4,"",$BQ400+$BR400+$BS400))</f>
        <v/>
      </c>
      <c r="CY400" s="78" t="str">
        <f aca="false">IF(ISBLANK($C400),"",IF($BL400&lt;&gt;Constants!$B$4,"",$BT400))</f>
        <v/>
      </c>
      <c r="CZ400" s="78" t="str">
        <f aca="false">IF(ISBLANK($C400),"",IF($BL400&lt;&gt;Constants!$B$4,"",$BU400+$BV400))</f>
        <v/>
      </c>
      <c r="DA400" s="78" t="str">
        <f aca="false">IF(ISBLANK($C400),"",IF($BL400&lt;&gt;Constants!$B$4,"",$BW400))</f>
        <v/>
      </c>
      <c r="DB400" s="78" t="str">
        <f aca="false">IF(ISBLANK($C400),"",IF($BL400&lt;&gt;Constants!$B$4,"",-$CD400))</f>
        <v/>
      </c>
      <c r="DC400" s="79" t="str">
        <f aca="false">IF(ISBLANK($C400),"",$CE400)</f>
        <v/>
      </c>
      <c r="DD400" s="80" t="str">
        <f aca="false">IF(ISBLANK($C400),"",$BM400)</f>
        <v/>
      </c>
      <c r="DE400" s="78" t="str">
        <f aca="false">IF(ISBLANK($C400),"",$CL400)</f>
        <v/>
      </c>
      <c r="DF400" s="78" t="str">
        <f aca="false">IF(ISBLANK($C400),"",$CK400)</f>
        <v/>
      </c>
      <c r="DG400" s="81" t="str">
        <f aca="false">IF(ISBLANK($C400),"",IF($DF400=Constants!$B$7,COUNTA($C$9:$C$508)+2,IF($DF400=Constants!$B$6,COUNTA($C$9:$C$508)+1,IF($DF400=Constants!$B$5,COUNTA($C$9:$C$508),$DF400))))</f>
        <v/>
      </c>
      <c r="DH400" s="7"/>
      <c r="DI400" s="82" t="n">
        <f aca="false">IF(OR(ISNUMBER($DF400),$DF400=Constants!$B$7,$DF400=Constants!$B$5,$DF400=Constants!$B$6),1,0)</f>
        <v>0</v>
      </c>
      <c r="DJ400" s="82" t="n">
        <v>392</v>
      </c>
      <c r="DK400" s="82" t="str">
        <f aca="false">IF(ISBLANK($C400),"",IF(ISNUMBER($DG400),$DG400+ROW($B400)/1000,""))</f>
        <v/>
      </c>
      <c r="DL400" s="82" t="str">
        <f aca="false">IF(ISNUMBER($DK400),RANK($DK400,$DK$9:$DK$508,1),"")</f>
        <v/>
      </c>
      <c r="DM400" s="82" t="str">
        <f aca="false">IF(ISBLANK($C400),"",$B400)</f>
        <v/>
      </c>
      <c r="DN400" s="82" t="str">
        <f aca="false">IF(ISBLANK($C400),"",$C400)</f>
        <v/>
      </c>
      <c r="DO400" s="82" t="str">
        <f aca="false">IF(ISBLANK($C400),"",$D400)</f>
        <v/>
      </c>
      <c r="DP400" s="83" t="str">
        <f aca="false">$DD400</f>
        <v/>
      </c>
      <c r="DQ400" s="84" t="str">
        <f aca="false">$DC400</f>
        <v/>
      </c>
      <c r="DR400" s="82" t="str">
        <f aca="false">IF(ISBLANK($C400),"",$DF400)</f>
        <v/>
      </c>
      <c r="DS400" s="85" t="str">
        <f aca="false">IF($DJ400&gt;$DI$8,"",VLOOKUP($DJ400,$DL$9:$DR$508,7,FALSE()))</f>
        <v/>
      </c>
      <c r="DT400" s="86" t="str">
        <f aca="false">IF($DJ400&gt;$DI$8,"",VLOOKUP($DJ400,$DL$9:$DR$508,2,FALSE()))</f>
        <v/>
      </c>
      <c r="DU400" s="86" t="str">
        <f aca="false">IF($DJ400&gt;$DI$8,"",VLOOKUP($DJ400,$DL$9:$DR$508,3,FALSE()))</f>
        <v/>
      </c>
      <c r="DV400" s="86" t="str">
        <f aca="false">IF($DJ400&gt;$DI$8,"",VLOOKUP($DJ400,$DL$9:$DR$508,4,FALSE()))</f>
        <v/>
      </c>
      <c r="DW400" s="86" t="str">
        <f aca="false">IF($DJ400&gt;$DI$8,"",VLOOKUP($DJ400,$DL$9:$DR$508,5,FALSE()))</f>
        <v/>
      </c>
      <c r="DX400" s="87" t="str">
        <f aca="false">IF($DJ400&gt;$DI$8,"",VLOOKUP($DJ400,$DL$9:$DR$508,6,FALSE()))</f>
        <v/>
      </c>
      <c r="DY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88"/>
      <c r="N401" s="88"/>
      <c r="O401" s="134"/>
      <c r="P401" s="134"/>
      <c r="Q401" s="88"/>
      <c r="R401" s="88"/>
      <c r="S401" s="88"/>
      <c r="T401" s="88"/>
      <c r="U401" s="134"/>
      <c r="V401" s="88"/>
      <c r="W401" s="70"/>
      <c r="X401" s="88"/>
      <c r="Y401" s="88"/>
      <c r="Z401" s="70"/>
      <c r="AA401" s="70"/>
      <c r="AB401" s="88"/>
      <c r="AC401" s="88"/>
      <c r="AD401" s="88"/>
      <c r="AE401" s="71"/>
      <c r="AF401" s="88"/>
      <c r="AG401" s="73"/>
      <c r="AH401" s="74"/>
      <c r="AI401" s="74"/>
      <c r="AJ401" s="74" t="str">
        <f aca="false">IF(ISBLANK($C401),"",IF($E401=Constants!$B$2,TRUE(),IF($E401=Constants!$B$3,FALSE(),TRUE())))</f>
        <v/>
      </c>
      <c r="AK401" s="74" t="str">
        <f aca="false">IF(ISBLANK($C401),"",IF($F401=Constants!$B$2,TRUE(),IF($F401=Constants!$B$3,FALSE(),FALSE())))</f>
        <v/>
      </c>
      <c r="AL401" s="74" t="str">
        <f aca="false">IF(ISBLANK($C401),"",IF($G401=Constants!$B$2,TRUE(),IF($G401=Constants!$B$3,FALSE(),TRUE())))</f>
        <v/>
      </c>
      <c r="AM401" s="74" t="str">
        <f aca="false">IF(ISBLANK($C401),"",IF($H401=Constants!$B$2,TRUE(),IF($H401=Constants!$B$3,FALSE(),TRUE())))</f>
        <v/>
      </c>
      <c r="AN401" s="74" t="str">
        <f aca="false">IF(ISBLANK($C401),"",IF(ISNUMBER($I401),IF($I401&gt;=0,$I401,""),""))</f>
        <v/>
      </c>
      <c r="AO401" s="74" t="str">
        <f aca="false">IF(ISBLANK($C401),"",IF(ISNUMBER($J401),IF($J401&gt;=0,$J401,""),""))</f>
        <v/>
      </c>
      <c r="AP401" s="74" t="str">
        <f aca="false">IF(ISBLANK($C401),"",IF(ISNUMBER($K401),IF($K401&gt;=0,$K401,""),""))</f>
        <v/>
      </c>
      <c r="AQ401" s="74" t="str">
        <f aca="false">IF(ISBLANK($C401),"",IF($L401=Constants!$B$2,TRUE(),IF($L401=Constants!$B$3,FALSE(),TRUE())))</f>
        <v/>
      </c>
      <c r="AR401" s="74" t="str">
        <f aca="false">IF(ISBLANK($C401),"",IF($M401=Constants!$B$2,TRUE(),IF($M401=Constants!$B$3,FALSE(),TRUE())))</f>
        <v/>
      </c>
      <c r="AS401" s="74" t="str">
        <f aca="false">IF(ISBLANK($C401),"",IF($N401=Constants!$B$2,TRUE(),IF($N401=Constants!$B$3,FALSE(),FALSE())))</f>
        <v/>
      </c>
      <c r="AT401" s="74" t="str">
        <f aca="false">IF(ISBLANK($C401),"",IF($O401=Constants!$B$2,TRUE(),IF($O401=Constants!$B$3,FALSE(),TRUE())))</f>
        <v/>
      </c>
      <c r="AU401" s="74" t="str">
        <f aca="false">IF(ISBLANK($C401),"",IF($P401=Constants!$B$2,TRUE(),IF($P401=Constants!$B$3,FALSE(),TRUE())))</f>
        <v/>
      </c>
      <c r="AV401" s="74" t="str">
        <f aca="false">IF(ISBLANK($C401),"",IF($Q401=Constants!$B$2,TRUE(),IF($Q401=Constants!$B$3,FALSE(),FALSE())))</f>
        <v/>
      </c>
      <c r="AW401" s="74" t="str">
        <f aca="false">IF(ISBLANK($C401),"",IF($R401=Constants!$B$2,TRUE(),IF($R401=Constants!$B$3,FALSE(),FALSE())))</f>
        <v/>
      </c>
      <c r="AX401" s="74" t="str">
        <f aca="false">IF(ISBLANK($C401),"",IF($S401=Constants!$B$2,TRUE(),IF($S401=Constants!$B$3,FALSE(),FALSE())))</f>
        <v/>
      </c>
      <c r="AY401" s="74" t="str">
        <f aca="false">IF(ISBLANK($C401),"",IF($T401=Constants!$B$2,TRUE(),IF($T401=Constants!$B$3,FALSE(),FALSE())))</f>
        <v/>
      </c>
      <c r="AZ401" s="74" t="str">
        <f aca="false">IF(ISBLANK($C401),"",IF($U401=Constants!$B$2,TRUE(),IF($U401=Constants!$B$3,FALSE(),FALSE())))</f>
        <v/>
      </c>
      <c r="BA401" s="74" t="str">
        <f aca="false">IF(ISBLANK($C401),"",IF(OR($V401&amp;""="1",$V401&amp;""="2",$V401&amp;""="3",$V401&amp;""="4"),VALUE($V401&amp;""),IF($V401=Constants!$B$12,Constants!$B$12,"")))</f>
        <v/>
      </c>
      <c r="BB401" s="74" t="str">
        <f aca="false">IF(ISBLANK($C401),"",IF(ISBLANK($W401),0,IF(ISNUMBER($W401),IF(AND($W401&gt;=0,$W401&lt;=Constants!$B$21,$W401=INT($W401)),$W401,""),"")))</f>
        <v/>
      </c>
      <c r="BC401" s="74" t="str">
        <f aca="false">IF(ISBLANK($C401),"",IF(ISBLANK($X401),0,IF(ISNUMBER($X401),IF($X401&gt;=0,$X401,""),"")))</f>
        <v/>
      </c>
      <c r="BD401" s="74" t="str">
        <f aca="false">IF(ISBLANK($C401),"",IF($Y401=Constants!$B$2,TRUE(),IF($Y401=Constants!$B$3,FALSE(),TRUE())))</f>
        <v/>
      </c>
      <c r="BE401" s="74" t="str">
        <f aca="false">IF(ISBLANK($C401),"",IF($Z401=Constants!$B$2,TRUE(),IF($Z401=Constants!$B$3,FALSE(),FALSE())))</f>
        <v/>
      </c>
      <c r="BF401" s="74" t="str">
        <f aca="false">IF(ISBLANK($C401),"",IF(ISBLANK($AA401),0,IF(ISNUMBER($AA401),IF(AND($AA401&gt;=0,$AA401&lt;=Constants!$B$35,$AA401=INT($AA401)),$AA401,""),"")))</f>
        <v/>
      </c>
      <c r="BG401" s="74" t="str">
        <f aca="false">IF(ISBLANK($C401),"",IF($AB401=Constants!$B$2,TRUE(),IF($AB401=Constants!$B$3,FALSE(),TRUE())))</f>
        <v/>
      </c>
      <c r="BH401" s="74" t="str">
        <f aca="false">IF(ISBLANK($C401),"",IF($AC401=Constants!$B$2,TRUE(),IF($AC401=Constants!$B$3,FALSE(),TRUE())))</f>
        <v/>
      </c>
      <c r="BI401" s="74" t="str">
        <f aca="false">IF(ISBLANK($C401),"",IF($AD401=Constants!$B$2,TRUE(),IF($AD401=Constants!$B$3,FALSE(),TRUE())))</f>
        <v/>
      </c>
      <c r="BJ401" s="74" t="str">
        <f aca="false">IF(ISBLANK($C401),"",IF(ISNUMBER($AE401),IF($AE401&gt;=0,$AE401,""),""))</f>
        <v/>
      </c>
      <c r="BK401" s="74" t="str">
        <f aca="false">IF(ISBLANK($C401),"",IF($AF401=Constants!$B$2,TRUE(),IF($AF401=Constants!$B$3,FALSE(),FALSE())))</f>
        <v/>
      </c>
      <c r="BL401" s="73" t="str">
        <f aca="false">IF(ISBLANK($C401),"",IF($BK401,Constants!$B$7,IF(COUNTA($E401:$AE401)=0,Constants!$B$6,IF(OR(COUNTA($G401:$AE401)=0,NOT($AM401),$AS401),Constants!$B$5,IF(OR($CM401&lt;&gt;"",$CN401,$CO401,$CP401,$CQ401,$CR401,$CS401),Constants!$B$8,Constants!$B$4)))))</f>
        <v/>
      </c>
      <c r="BM401" s="74" t="str">
        <f aca="false">IF(ISBLANK($C401),"",IF($BL401&lt;&gt;Constants!$B$4,$BL401,IF(OR(NOT($AJ401),NOT($AL401),NOT($AT401)),Constants!$B$11,IF(OR(NOT($AR401),NOT($AU401),NOT($BI401),MAX($AN401,$AO401,$AP401)&gt;Constants!$B$30),Constants!$B$10,Constants!$B$9))))</f>
        <v/>
      </c>
      <c r="BN401" s="74" t="str">
        <f aca="false">IF($BL401&lt;&gt;Constants!$B$4,"",IF(NOT($AL401),0,MIN(Constants!$B$35,$BF401)))</f>
        <v/>
      </c>
      <c r="BO401" s="74" t="str">
        <f aca="false">IF($BL401&lt;&gt;Constants!$B$4,"",IF(NOT($AL401),0,IF($AW401,Constants!$B$18,IF($AV401,Constants!$B$17,0))))</f>
        <v/>
      </c>
      <c r="BP401" s="74" t="str">
        <f aca="false">IF($BL401&lt;&gt;Constants!$B$4,"",IF(NOT($AL401),0,Constants!$B$19*($AK401+$AX401+$AY401+$AZ401)))</f>
        <v/>
      </c>
      <c r="BQ401" s="74" t="str">
        <f aca="false">IF($BL401&lt;&gt;Constants!$B$4,"",IF(OR(NOT($AL401),NOT(ISNUMBER($BA401))),0,CHOOSE($BA401,Constants!$B$13,Constants!$B$14,Constants!$B$15,Constants!$B$16)))</f>
        <v/>
      </c>
      <c r="BR401" s="74" t="str">
        <f aca="false">IF($BL401&lt;&gt;Constants!$B$4,"",IF(NOT($AL401),0,Constants!$B$20*$BB401))</f>
        <v/>
      </c>
      <c r="BS401" s="74" t="str">
        <f aca="false">IF($BL401&lt;&gt;Constants!$B$4,"",IF(AND($AL401,$BD401,$BE401),Constants!$B$22,0))</f>
        <v/>
      </c>
      <c r="BT401" s="74" t="str">
        <f aca="false">IF($BL401&lt;&gt;Constants!$B$4,"",IF(OR(NOT($AL401),NOT($BD401)),0,IF($BJ401&gt;=2*$AH$9,0,Constants!$B$23*INT(ROUND(MIN($BJ401,$AH$9),6)))))</f>
        <v/>
      </c>
      <c r="BU401" s="74" t="str">
        <f aca="false">IF($BL401&lt;&gt;Constants!$B$4,"",IF(NOT($AL401),0,Constants!$B$24*INT(ROUND(MIN($BC401,$AH$9),6))))</f>
        <v/>
      </c>
      <c r="BV401" s="74" t="str">
        <f aca="false">IF($BL401&lt;&gt;Constants!$B$4,"",IF(AND($AL401,$BN401=0),Constants!$B$25,0))</f>
        <v/>
      </c>
      <c r="BW401" s="74" t="str">
        <f aca="false">IF($BL401&lt;&gt;Constants!$B$4,"",MIN(Constants!$B$29,MAX(0,Constants!$B$27*Constants!$B$28*INT(ROUND((Constants!$B$26-$AN401)/Constants!$B$28,6))))+MIN(Constants!$B$29,MAX(0,Constants!$B$27*Constants!$B$28*INT(ROUND((Constants!$B$26-$AO401)/Constants!$B$28,6))))+MIN(Constants!$B$29,MAX(0,Constants!$B$27*Constants!$B$28*INT(ROUND((Constants!$B$26-$AP401)/Constants!$B$28,6)))))</f>
        <v/>
      </c>
      <c r="BX401" s="74" t="str">
        <f aca="false">IF($BL401&lt;&gt;Constants!$B$4,"",IF(NOT($AL401),0,Constants!$B$31*INT(ROUND(MAX(0,MIN($BJ401,2*$AH$9)-$AH$9),6))))</f>
        <v/>
      </c>
      <c r="BY401" s="74" t="str">
        <f aca="false">IF($BL401&lt;&gt;Constants!$B$4,"",Constants!$B$32*(($AN401&gt;Constants!$B$26)+($AO401&gt;Constants!$B$26)+($AP401&gt;Constants!$B$26)))</f>
        <v/>
      </c>
      <c r="BZ401" s="74" t="str">
        <f aca="false">IF($BL401&lt;&gt;Constants!$B$4,"",IF(OR(NOT($AL401),$AQ401),0,Constants!$B$33))</f>
        <v/>
      </c>
      <c r="CA401" s="74" t="str">
        <f aca="false">IF($BL401&lt;&gt;Constants!$B$4,"",Constants!$B$34*$BN401)</f>
        <v/>
      </c>
      <c r="CB401" s="74" t="str">
        <f aca="false">IF($BL401&lt;&gt;Constants!$B$4,"",IF(OR(NOT($AL401),$BH401),0,Constants!$B$36))</f>
        <v/>
      </c>
      <c r="CC401" s="74" t="str">
        <f aca="false">IF($BL401&lt;&gt;Constants!$B$4,"",IF(OR(NOT($AL401),$BG401),0,Constants!$B$37))</f>
        <v/>
      </c>
      <c r="CD401" s="74" t="str">
        <f aca="false">IF($BL401&lt;&gt;Constants!$B$4,"",SUM($BX401:$CC401))</f>
        <v/>
      </c>
      <c r="CE401" s="74" t="str">
        <f aca="false">IF(ISBLANK($C401),"",IF($BL401&lt;&gt;Constants!$B$4,$BL401,SUM($BO401:$BW401)-$CD401))</f>
        <v/>
      </c>
      <c r="CF401" s="74" t="str">
        <f aca="false">IF(ISBLANK($C401),"",IF($BL401&lt;&gt;Constants!$B$4,$BL401,RANK($CE401,$CE$9:$CE$508)))</f>
        <v/>
      </c>
      <c r="CG401" s="74" t="str">
        <f aca="false">IF(ISBLANK($C401),"",IF($BL401&lt;&gt;Constants!$B$4,$BL401,COUNTIFS($BM$9:$BM$508,"&lt;"&amp;$BM401)+COUNTIFS($BM$9:$BM$508,$BM401,$CF$9:$CF$508,"&lt;"&amp;$CF401)+1))</f>
        <v/>
      </c>
      <c r="CH401" s="74" t="str">
        <f aca="false">IF(ISBLANK($C401),"",IF($BL401&lt;&gt;Constants!$B$4,$BL401,RANK($CD401,$CD$9:$CD$508,1)))</f>
        <v/>
      </c>
      <c r="CI401" s="74" t="str">
        <f aca="false">IF($BL401&lt;&gt;Constants!$B$4,"",$AN401+$AO401+$AP401)</f>
        <v/>
      </c>
      <c r="CJ401" s="74" t="str">
        <f aca="false">IF(ISBLANK($C401),"",IF($BL401&lt;&gt;Constants!$B$4,$BL401,RANK($CI401,$CI$9:$CI$508,1)))</f>
        <v/>
      </c>
      <c r="CK401" s="74" t="str">
        <f aca="false">IF(ISBLANK($C401),"",IF($BL401&lt;&gt;Constants!$B$4,$BL401,COUNTIFS($BM$9:$BM$508,"&lt;"&amp;$BM401)+COUNTIFS($BM$9:$BM$508,$BM401,$CF$9:$CF$508,"&lt;"&amp;$CF401)+COUNTIFS($BM$9:$BM$508,$BM401,$CF$9:$CF$508,$CF401,$CH$9:$CH$508,"&lt;"&amp;$CH401)+COUNTIFS($BM$9:$BM$508,$BM401,$CF$9:$CF$508,$CF401,$CH$9:$CH$508,$CH401,$CJ$9:$CJ$508,"&lt;"&amp;$CJ401)+1))</f>
        <v/>
      </c>
      <c r="CL401" s="74" t="str">
        <f aca="false">IF(ISBLANK($C401),"",IF($BL401&lt;&gt;Constants!$B$4,$BL401,$CG401-$CK401))</f>
        <v/>
      </c>
      <c r="CM401" s="74" t="str">
        <f aca="false">IF(ISBLANK($C401),"",IF(NOT($AL401),"",IF(ISBLANK($D$7),$CM$5,IF(NOT(ISNUMBER($D$7)),$CM$6,""))))</f>
        <v/>
      </c>
      <c r="CN401" s="74" t="str">
        <f aca="false">IF(ISBLANK($C401),"",OR($AN401="",$AO401="",$AP401=""))</f>
        <v/>
      </c>
      <c r="CO401" s="74" t="str">
        <f aca="false">IF(ISBLANK($C401),"",AND($AL401,$BA401=""))</f>
        <v/>
      </c>
      <c r="CP401" s="74" t="str">
        <f aca="false">IF(ISBLANK($C401),"",AND($AL401,$BB401=""))</f>
        <v/>
      </c>
      <c r="CQ401" s="74" t="str">
        <f aca="false">IF(ISBLANK($C401),"",AND($AL401,$BC401=""))</f>
        <v/>
      </c>
      <c r="CR401" s="74" t="str">
        <f aca="false">IF(ISBLANK($C401),"",AND($AL401,$BF401=""))</f>
        <v/>
      </c>
      <c r="CS401" s="74" t="str">
        <f aca="false">IF(ISBLANK($C401),"",AND($AL401,$BJ401=""))</f>
        <v/>
      </c>
      <c r="CT401" s="75"/>
      <c r="CU401" s="76"/>
      <c r="CV401" s="79" t="str">
        <f aca="false">IF(ISBLANK($C401),"",IF($BL401=Constants!$B$8,$CM401,""))</f>
        <v/>
      </c>
      <c r="CW401" s="76" t="str">
        <f aca="false">IF(ISBLANK($C401),"",IF($BL401&lt;&gt;Constants!$B$4,"",$BO401+$BP401))</f>
        <v/>
      </c>
      <c r="CX401" s="78" t="str">
        <f aca="false">IF(ISBLANK($C401),"",IF($BL401&lt;&gt;Constants!$B$4,"",$BQ401+$BR401+$BS401))</f>
        <v/>
      </c>
      <c r="CY401" s="78" t="str">
        <f aca="false">IF(ISBLANK($C401),"",IF($BL401&lt;&gt;Constants!$B$4,"",$BT401))</f>
        <v/>
      </c>
      <c r="CZ401" s="78" t="str">
        <f aca="false">IF(ISBLANK($C401),"",IF($BL401&lt;&gt;Constants!$B$4,"",$BU401+$BV401))</f>
        <v/>
      </c>
      <c r="DA401" s="78" t="str">
        <f aca="false">IF(ISBLANK($C401),"",IF($BL401&lt;&gt;Constants!$B$4,"",$BW401))</f>
        <v/>
      </c>
      <c r="DB401" s="78" t="str">
        <f aca="false">IF(ISBLANK($C401),"",IF($BL401&lt;&gt;Constants!$B$4,"",-$CD401))</f>
        <v/>
      </c>
      <c r="DC401" s="79" t="str">
        <f aca="false">IF(ISBLANK($C401),"",$CE401)</f>
        <v/>
      </c>
      <c r="DD401" s="80" t="str">
        <f aca="false">IF(ISBLANK($C401),"",$BM401)</f>
        <v/>
      </c>
      <c r="DE401" s="78" t="str">
        <f aca="false">IF(ISBLANK($C401),"",$CL401)</f>
        <v/>
      </c>
      <c r="DF401" s="78" t="str">
        <f aca="false">IF(ISBLANK($C401),"",$CK401)</f>
        <v/>
      </c>
      <c r="DG401" s="81" t="str">
        <f aca="false">IF(ISBLANK($C401),"",IF($DF401=Constants!$B$7,COUNTA($C$9:$C$508)+2,IF($DF401=Constants!$B$6,COUNTA($C$9:$C$508)+1,IF($DF401=Constants!$B$5,COUNTA($C$9:$C$508),$DF401))))</f>
        <v/>
      </c>
      <c r="DH401" s="7"/>
      <c r="DI401" s="82" t="n">
        <f aca="false">IF(OR(ISNUMBER($DF401),$DF401=Constants!$B$7,$DF401=Constants!$B$5,$DF401=Constants!$B$6),1,0)</f>
        <v>0</v>
      </c>
      <c r="DJ401" s="82" t="n">
        <v>393</v>
      </c>
      <c r="DK401" s="82" t="str">
        <f aca="false">IF(ISBLANK($C401),"",IF(ISNUMBER($DG401),$DG401+ROW($B401)/1000,""))</f>
        <v/>
      </c>
      <c r="DL401" s="82" t="str">
        <f aca="false">IF(ISNUMBER($DK401),RANK($DK401,$DK$9:$DK$508,1),"")</f>
        <v/>
      </c>
      <c r="DM401" s="82" t="str">
        <f aca="false">IF(ISBLANK($C401),"",$B401)</f>
        <v/>
      </c>
      <c r="DN401" s="82" t="str">
        <f aca="false">IF(ISBLANK($C401),"",$C401)</f>
        <v/>
      </c>
      <c r="DO401" s="82" t="str">
        <f aca="false">IF(ISBLANK($C401),"",$D401)</f>
        <v/>
      </c>
      <c r="DP401" s="83" t="str">
        <f aca="false">$DD401</f>
        <v/>
      </c>
      <c r="DQ401" s="84" t="str">
        <f aca="false">$DC401</f>
        <v/>
      </c>
      <c r="DR401" s="82" t="str">
        <f aca="false">IF(ISBLANK($C401),"",$DF401)</f>
        <v/>
      </c>
      <c r="DS401" s="85" t="str">
        <f aca="false">IF($DJ401&gt;$DI$8,"",VLOOKUP($DJ401,$DL$9:$DR$508,7,FALSE()))</f>
        <v/>
      </c>
      <c r="DT401" s="86" t="str">
        <f aca="false">IF($DJ401&gt;$DI$8,"",VLOOKUP($DJ401,$DL$9:$DR$508,2,FALSE()))</f>
        <v/>
      </c>
      <c r="DU401" s="86" t="str">
        <f aca="false">IF($DJ401&gt;$DI$8,"",VLOOKUP($DJ401,$DL$9:$DR$508,3,FALSE()))</f>
        <v/>
      </c>
      <c r="DV401" s="86" t="str">
        <f aca="false">IF($DJ401&gt;$DI$8,"",VLOOKUP($DJ401,$DL$9:$DR$508,4,FALSE()))</f>
        <v/>
      </c>
      <c r="DW401" s="86" t="str">
        <f aca="false">IF($DJ401&gt;$DI$8,"",VLOOKUP($DJ401,$DL$9:$DR$508,5,FALSE()))</f>
        <v/>
      </c>
      <c r="DX401" s="87" t="str">
        <f aca="false">IF($DJ401&gt;$DI$8,"",VLOOKUP($DJ401,$DL$9:$DR$508,6,FALSE()))</f>
        <v/>
      </c>
      <c r="DY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130"/>
      <c r="N402" s="130"/>
      <c r="O402" s="135"/>
      <c r="P402" s="135"/>
      <c r="Q402" s="130"/>
      <c r="R402" s="130"/>
      <c r="S402" s="130"/>
      <c r="T402" s="130"/>
      <c r="U402" s="135"/>
      <c r="V402" s="130"/>
      <c r="W402" s="96"/>
      <c r="X402" s="130"/>
      <c r="Y402" s="130"/>
      <c r="Z402" s="96"/>
      <c r="AA402" s="96"/>
      <c r="AB402" s="130"/>
      <c r="AC402" s="130"/>
      <c r="AD402" s="130"/>
      <c r="AE402" s="97"/>
      <c r="AF402" s="130"/>
      <c r="AG402" s="99"/>
      <c r="AH402" s="100"/>
      <c r="AI402" s="100"/>
      <c r="AJ402" s="100" t="str">
        <f aca="false">IF(ISBLANK($C402),"",IF($E402=Constants!$B$2,TRUE(),IF($E402=Constants!$B$3,FALSE(),TRUE())))</f>
        <v/>
      </c>
      <c r="AK402" s="100" t="str">
        <f aca="false">IF(ISBLANK($C402),"",IF($F402=Constants!$B$2,TRUE(),IF($F402=Constants!$B$3,FALSE(),FALSE())))</f>
        <v/>
      </c>
      <c r="AL402" s="100" t="str">
        <f aca="false">IF(ISBLANK($C402),"",IF($G402=Constants!$B$2,TRUE(),IF($G402=Constants!$B$3,FALSE(),TRUE())))</f>
        <v/>
      </c>
      <c r="AM402" s="100" t="str">
        <f aca="false">IF(ISBLANK($C402),"",IF($H402=Constants!$B$2,TRUE(),IF($H402=Constants!$B$3,FALSE(),TRUE())))</f>
        <v/>
      </c>
      <c r="AN402" s="100" t="str">
        <f aca="false">IF(ISBLANK($C402),"",IF(ISNUMBER($I402),IF($I402&gt;=0,$I402,""),""))</f>
        <v/>
      </c>
      <c r="AO402" s="100" t="str">
        <f aca="false">IF(ISBLANK($C402),"",IF(ISNUMBER($J402),IF($J402&gt;=0,$J402,""),""))</f>
        <v/>
      </c>
      <c r="AP402" s="100" t="str">
        <f aca="false">IF(ISBLANK($C402),"",IF(ISNUMBER($K402),IF($K402&gt;=0,$K402,""),""))</f>
        <v/>
      </c>
      <c r="AQ402" s="100" t="str">
        <f aca="false">IF(ISBLANK($C402),"",IF($L402=Constants!$B$2,TRUE(),IF($L402=Constants!$B$3,FALSE(),TRUE())))</f>
        <v/>
      </c>
      <c r="AR402" s="100" t="str">
        <f aca="false">IF(ISBLANK($C402),"",IF($M402=Constants!$B$2,TRUE(),IF($M402=Constants!$B$3,FALSE(),TRUE())))</f>
        <v/>
      </c>
      <c r="AS402" s="100" t="str">
        <f aca="false">IF(ISBLANK($C402),"",IF($N402=Constants!$B$2,TRUE(),IF($N402=Constants!$B$3,FALSE(),FALSE())))</f>
        <v/>
      </c>
      <c r="AT402" s="100" t="str">
        <f aca="false">IF(ISBLANK($C402),"",IF($O402=Constants!$B$2,TRUE(),IF($O402=Constants!$B$3,FALSE(),TRUE())))</f>
        <v/>
      </c>
      <c r="AU402" s="100" t="str">
        <f aca="false">IF(ISBLANK($C402),"",IF($P402=Constants!$B$2,TRUE(),IF($P402=Constants!$B$3,FALSE(),TRUE())))</f>
        <v/>
      </c>
      <c r="AV402" s="100" t="str">
        <f aca="false">IF(ISBLANK($C402),"",IF($Q402=Constants!$B$2,TRUE(),IF($Q402=Constants!$B$3,FALSE(),FALSE())))</f>
        <v/>
      </c>
      <c r="AW402" s="100" t="str">
        <f aca="false">IF(ISBLANK($C402),"",IF($R402=Constants!$B$2,TRUE(),IF($R402=Constants!$B$3,FALSE(),FALSE())))</f>
        <v/>
      </c>
      <c r="AX402" s="100" t="str">
        <f aca="false">IF(ISBLANK($C402),"",IF($S402=Constants!$B$2,TRUE(),IF($S402=Constants!$B$3,FALSE(),FALSE())))</f>
        <v/>
      </c>
      <c r="AY402" s="100" t="str">
        <f aca="false">IF(ISBLANK($C402),"",IF($T402=Constants!$B$2,TRUE(),IF($T402=Constants!$B$3,FALSE(),FALSE())))</f>
        <v/>
      </c>
      <c r="AZ402" s="100" t="str">
        <f aca="false">IF(ISBLANK($C402),"",IF($U402=Constants!$B$2,TRUE(),IF($U402=Constants!$B$3,FALSE(),FALSE())))</f>
        <v/>
      </c>
      <c r="BA402" s="100" t="str">
        <f aca="false">IF(ISBLANK($C402),"",IF(OR($V402&amp;""="1",$V402&amp;""="2",$V402&amp;""="3",$V402&amp;""="4"),VALUE($V402&amp;""),IF($V402=Constants!$B$12,Constants!$B$12,"")))</f>
        <v/>
      </c>
      <c r="BB402" s="100" t="str">
        <f aca="false">IF(ISBLANK($C402),"",IF(ISBLANK($W402),0,IF(ISNUMBER($W402),IF(AND($W402&gt;=0,$W402&lt;=Constants!$B$21,$W402=INT($W402)),$W402,""),"")))</f>
        <v/>
      </c>
      <c r="BC402" s="100" t="str">
        <f aca="false">IF(ISBLANK($C402),"",IF(ISBLANK($X402),0,IF(ISNUMBER($X402),IF($X402&gt;=0,$X402,""),"")))</f>
        <v/>
      </c>
      <c r="BD402" s="100" t="str">
        <f aca="false">IF(ISBLANK($C402),"",IF($Y402=Constants!$B$2,TRUE(),IF($Y402=Constants!$B$3,FALSE(),TRUE())))</f>
        <v/>
      </c>
      <c r="BE402" s="100" t="str">
        <f aca="false">IF(ISBLANK($C402),"",IF($Z402=Constants!$B$2,TRUE(),IF($Z402=Constants!$B$3,FALSE(),FALSE())))</f>
        <v/>
      </c>
      <c r="BF402" s="100" t="str">
        <f aca="false">IF(ISBLANK($C402),"",IF(ISBLANK($AA402),0,IF(ISNUMBER($AA402),IF(AND($AA402&gt;=0,$AA402&lt;=Constants!$B$35,$AA402=INT($AA402)),$AA402,""),"")))</f>
        <v/>
      </c>
      <c r="BG402" s="100" t="str">
        <f aca="false">IF(ISBLANK($C402),"",IF($AB402=Constants!$B$2,TRUE(),IF($AB402=Constants!$B$3,FALSE(),TRUE())))</f>
        <v/>
      </c>
      <c r="BH402" s="100" t="str">
        <f aca="false">IF(ISBLANK($C402),"",IF($AC402=Constants!$B$2,TRUE(),IF($AC402=Constants!$B$3,FALSE(),TRUE())))</f>
        <v/>
      </c>
      <c r="BI402" s="100" t="str">
        <f aca="false">IF(ISBLANK($C402),"",IF($AD402=Constants!$B$2,TRUE(),IF($AD402=Constants!$B$3,FALSE(),TRUE())))</f>
        <v/>
      </c>
      <c r="BJ402" s="100" t="str">
        <f aca="false">IF(ISBLANK($C402),"",IF(ISNUMBER($AE402),IF($AE402&gt;=0,$AE402,""),""))</f>
        <v/>
      </c>
      <c r="BK402" s="100" t="str">
        <f aca="false">IF(ISBLANK($C402),"",IF($AF402=Constants!$B$2,TRUE(),IF($AF402=Constants!$B$3,FALSE(),FALSE())))</f>
        <v/>
      </c>
      <c r="BL402" s="99" t="str">
        <f aca="false">IF(ISBLANK($C402),"",IF($BK402,Constants!$B$7,IF(COUNTA($E402:$AE402)=0,Constants!$B$6,IF(OR(COUNTA($G402:$AE402)=0,NOT($AM402),$AS402),Constants!$B$5,IF(OR($CM402&lt;&gt;"",$CN402,$CO402,$CP402,$CQ402,$CR402,$CS402),Constants!$B$8,Constants!$B$4)))))</f>
        <v/>
      </c>
      <c r="BM402" s="100" t="str">
        <f aca="false">IF(ISBLANK($C402),"",IF($BL402&lt;&gt;Constants!$B$4,$BL402,IF(OR(NOT($AJ402),NOT($AL402),NOT($AT402)),Constants!$B$11,IF(OR(NOT($AR402),NOT($AU402),NOT($BI402),MAX($AN402,$AO402,$AP402)&gt;Constants!$B$30),Constants!$B$10,Constants!$B$9))))</f>
        <v/>
      </c>
      <c r="BN402" s="100" t="str">
        <f aca="false">IF($BL402&lt;&gt;Constants!$B$4,"",IF(NOT($AL402),0,MIN(Constants!$B$35,$BF402)))</f>
        <v/>
      </c>
      <c r="BO402" s="100" t="str">
        <f aca="false">IF($BL402&lt;&gt;Constants!$B$4,"",IF(NOT($AL402),0,IF($AW402,Constants!$B$18,IF($AV402,Constants!$B$17,0))))</f>
        <v/>
      </c>
      <c r="BP402" s="100" t="str">
        <f aca="false">IF($BL402&lt;&gt;Constants!$B$4,"",IF(NOT($AL402),0,Constants!$B$19*($AK402+$AX402+$AY402+$AZ402)))</f>
        <v/>
      </c>
      <c r="BQ402" s="100" t="str">
        <f aca="false">IF($BL402&lt;&gt;Constants!$B$4,"",IF(OR(NOT($AL402),NOT(ISNUMBER($BA402))),0,CHOOSE($BA402,Constants!$B$13,Constants!$B$14,Constants!$B$15,Constants!$B$16)))</f>
        <v/>
      </c>
      <c r="BR402" s="100" t="str">
        <f aca="false">IF($BL402&lt;&gt;Constants!$B$4,"",IF(NOT($AL402),0,Constants!$B$20*$BB402))</f>
        <v/>
      </c>
      <c r="BS402" s="100" t="str">
        <f aca="false">IF($BL402&lt;&gt;Constants!$B$4,"",IF(AND($AL402,$BD402,$BE402),Constants!$B$22,0))</f>
        <v/>
      </c>
      <c r="BT402" s="100" t="str">
        <f aca="false">IF($BL402&lt;&gt;Constants!$B$4,"",IF(OR(NOT($AL402),NOT($BD402)),0,IF($BJ402&gt;=2*$AH$9,0,Constants!$B$23*INT(ROUND(MIN($BJ402,$AH$9),6)))))</f>
        <v/>
      </c>
      <c r="BU402" s="100" t="str">
        <f aca="false">IF($BL402&lt;&gt;Constants!$B$4,"",IF(NOT($AL402),0,Constants!$B$24*INT(ROUND(MIN($BC402,$AH$9),6))))</f>
        <v/>
      </c>
      <c r="BV402" s="100" t="str">
        <f aca="false">IF($BL402&lt;&gt;Constants!$B$4,"",IF(AND($AL402,$BN402=0),Constants!$B$25,0))</f>
        <v/>
      </c>
      <c r="BW402" s="100" t="str">
        <f aca="false">IF($BL402&lt;&gt;Constants!$B$4,"",MIN(Constants!$B$29,MAX(0,Constants!$B$27*Constants!$B$28*INT(ROUND((Constants!$B$26-$AN402)/Constants!$B$28,6))))+MIN(Constants!$B$29,MAX(0,Constants!$B$27*Constants!$B$28*INT(ROUND((Constants!$B$26-$AO402)/Constants!$B$28,6))))+MIN(Constants!$B$29,MAX(0,Constants!$B$27*Constants!$B$28*INT(ROUND((Constants!$B$26-$AP402)/Constants!$B$28,6)))))</f>
        <v/>
      </c>
      <c r="BX402" s="100" t="str">
        <f aca="false">IF($BL402&lt;&gt;Constants!$B$4,"",IF(NOT($AL402),0,Constants!$B$31*INT(ROUND(MAX(0,MIN($BJ402,2*$AH$9)-$AH$9),6))))</f>
        <v/>
      </c>
      <c r="BY402" s="100" t="str">
        <f aca="false">IF($BL402&lt;&gt;Constants!$B$4,"",Constants!$B$32*(($AN402&gt;Constants!$B$26)+($AO402&gt;Constants!$B$26)+($AP402&gt;Constants!$B$26)))</f>
        <v/>
      </c>
      <c r="BZ402" s="100" t="str">
        <f aca="false">IF($BL402&lt;&gt;Constants!$B$4,"",IF(OR(NOT($AL402),$AQ402),0,Constants!$B$33))</f>
        <v/>
      </c>
      <c r="CA402" s="100" t="str">
        <f aca="false">IF($BL402&lt;&gt;Constants!$B$4,"",Constants!$B$34*$BN402)</f>
        <v/>
      </c>
      <c r="CB402" s="100" t="str">
        <f aca="false">IF($BL402&lt;&gt;Constants!$B$4,"",IF(OR(NOT($AL402),$BH402),0,Constants!$B$36))</f>
        <v/>
      </c>
      <c r="CC402" s="100" t="str">
        <f aca="false">IF($BL402&lt;&gt;Constants!$B$4,"",IF(OR(NOT($AL402),$BG402),0,Constants!$B$37))</f>
        <v/>
      </c>
      <c r="CD402" s="100" t="str">
        <f aca="false">IF($BL402&lt;&gt;Constants!$B$4,"",SUM($BX402:$CC402))</f>
        <v/>
      </c>
      <c r="CE402" s="100" t="str">
        <f aca="false">IF(ISBLANK($C402),"",IF($BL402&lt;&gt;Constants!$B$4,$BL402,SUM($BO402:$BW402)-$CD402))</f>
        <v/>
      </c>
      <c r="CF402" s="100" t="str">
        <f aca="false">IF(ISBLANK($C402),"",IF($BL402&lt;&gt;Constants!$B$4,$BL402,RANK($CE402,$CE$9:$CE$508)))</f>
        <v/>
      </c>
      <c r="CG402" s="100" t="str">
        <f aca="false">IF(ISBLANK($C402),"",IF($BL402&lt;&gt;Constants!$B$4,$BL402,COUNTIFS($BM$9:$BM$508,"&lt;"&amp;$BM402)+COUNTIFS($BM$9:$BM$508,$BM402,$CF$9:$CF$508,"&lt;"&amp;$CF402)+1))</f>
        <v/>
      </c>
      <c r="CH402" s="100" t="str">
        <f aca="false">IF(ISBLANK($C402),"",IF($BL402&lt;&gt;Constants!$B$4,$BL402,RANK($CD402,$CD$9:$CD$508,1)))</f>
        <v/>
      </c>
      <c r="CI402" s="100" t="str">
        <f aca="false">IF($BL402&lt;&gt;Constants!$B$4,"",$AN402+$AO402+$AP402)</f>
        <v/>
      </c>
      <c r="CJ402" s="100" t="str">
        <f aca="false">IF(ISBLANK($C402),"",IF($BL402&lt;&gt;Constants!$B$4,$BL402,RANK($CI402,$CI$9:$CI$508,1)))</f>
        <v/>
      </c>
      <c r="CK402" s="100" t="str">
        <f aca="false">IF(ISBLANK($C402),"",IF($BL402&lt;&gt;Constants!$B$4,$BL402,COUNTIFS($BM$9:$BM$508,"&lt;"&amp;$BM402)+COUNTIFS($BM$9:$BM$508,$BM402,$CF$9:$CF$508,"&lt;"&amp;$CF402)+COUNTIFS($BM$9:$BM$508,$BM402,$CF$9:$CF$508,$CF402,$CH$9:$CH$508,"&lt;"&amp;$CH402)+COUNTIFS($BM$9:$BM$508,$BM402,$CF$9:$CF$508,$CF402,$CH$9:$CH$508,$CH402,$CJ$9:$CJ$508,"&lt;"&amp;$CJ402)+1))</f>
        <v/>
      </c>
      <c r="CL402" s="100" t="str">
        <f aca="false">IF(ISBLANK($C402),"",IF($BL402&lt;&gt;Constants!$B$4,$BL402,$CG402-$CK402))</f>
        <v/>
      </c>
      <c r="CM402" s="100" t="str">
        <f aca="false">IF(ISBLANK($C402),"",IF(NOT($AL402),"",IF(ISBLANK($D$7),$CM$5,IF(NOT(ISNUMBER($D$7)),$CM$6,""))))</f>
        <v/>
      </c>
      <c r="CN402" s="100" t="str">
        <f aca="false">IF(ISBLANK($C402),"",OR($AN402="",$AO402="",$AP402=""))</f>
        <v/>
      </c>
      <c r="CO402" s="100" t="str">
        <f aca="false">IF(ISBLANK($C402),"",AND($AL402,$BA402=""))</f>
        <v/>
      </c>
      <c r="CP402" s="100" t="str">
        <f aca="false">IF(ISBLANK($C402),"",AND($AL402,$BB402=""))</f>
        <v/>
      </c>
      <c r="CQ402" s="100" t="str">
        <f aca="false">IF(ISBLANK($C402),"",AND($AL402,$BC402=""))</f>
        <v/>
      </c>
      <c r="CR402" s="100" t="str">
        <f aca="false">IF(ISBLANK($C402),"",AND($AL402,$BF402=""))</f>
        <v/>
      </c>
      <c r="CS402" s="100" t="str">
        <f aca="false">IF(ISBLANK($C402),"",AND($AL402,$BJ402=""))</f>
        <v/>
      </c>
      <c r="CT402" s="101"/>
      <c r="CU402" s="102"/>
      <c r="CV402" s="103" t="str">
        <f aca="false">IF(ISBLANK($C402),"",IF($BL402=Constants!$B$8,$CM402,""))</f>
        <v/>
      </c>
      <c r="CW402" s="102" t="str">
        <f aca="false">IF(ISBLANK($C402),"",IF($BL402&lt;&gt;Constants!$B$4,"",$BO402+$BP402))</f>
        <v/>
      </c>
      <c r="CX402" s="104" t="str">
        <f aca="false">IF(ISBLANK($C402),"",IF($BL402&lt;&gt;Constants!$B$4,"",$BQ402+$BR402+$BS402))</f>
        <v/>
      </c>
      <c r="CY402" s="104" t="str">
        <f aca="false">IF(ISBLANK($C402),"",IF($BL402&lt;&gt;Constants!$B$4,"",$BT402))</f>
        <v/>
      </c>
      <c r="CZ402" s="104" t="str">
        <f aca="false">IF(ISBLANK($C402),"",IF($BL402&lt;&gt;Constants!$B$4,"",$BU402+$BV402))</f>
        <v/>
      </c>
      <c r="DA402" s="104" t="str">
        <f aca="false">IF(ISBLANK($C402),"",IF($BL402&lt;&gt;Constants!$B$4,"",$BW402))</f>
        <v/>
      </c>
      <c r="DB402" s="104" t="str">
        <f aca="false">IF(ISBLANK($C402),"",IF($BL402&lt;&gt;Constants!$B$4,"",-$CD402))</f>
        <v/>
      </c>
      <c r="DC402" s="103" t="str">
        <f aca="false">IF(ISBLANK($C402),"",$CE402)</f>
        <v/>
      </c>
      <c r="DD402" s="105" t="str">
        <f aca="false">IF(ISBLANK($C402),"",$BM402)</f>
        <v/>
      </c>
      <c r="DE402" s="104" t="str">
        <f aca="false">IF(ISBLANK($C402),"",$CL402)</f>
        <v/>
      </c>
      <c r="DF402" s="104" t="str">
        <f aca="false">IF(ISBLANK($C402),"",$CK402)</f>
        <v/>
      </c>
      <c r="DG402" s="106" t="str">
        <f aca="false">IF(ISBLANK($C402),"",IF($DF402=Constants!$B$7,COUNTA($C$9:$C$508)+2,IF($DF402=Constants!$B$6,COUNTA($C$9:$C$508)+1,IF($DF402=Constants!$B$5,COUNTA($C$9:$C$508),$DF402))))</f>
        <v/>
      </c>
      <c r="DH402" s="7"/>
      <c r="DI402" s="107" t="n">
        <f aca="false">IF(OR(ISNUMBER($DF402),$DF402=Constants!$B$7,$DF402=Constants!$B$5,$DF402=Constants!$B$6),1,0)</f>
        <v>0</v>
      </c>
      <c r="DJ402" s="107" t="n">
        <v>394</v>
      </c>
      <c r="DK402" s="107" t="str">
        <f aca="false">IF(ISBLANK($C402),"",IF(ISNUMBER($DG402),$DG402+ROW($B402)/1000,""))</f>
        <v/>
      </c>
      <c r="DL402" s="107" t="str">
        <f aca="false">IF(ISNUMBER($DK402),RANK($DK402,$DK$9:$DK$508,1),"")</f>
        <v/>
      </c>
      <c r="DM402" s="107" t="str">
        <f aca="false">IF(ISBLANK($C402),"",$B402)</f>
        <v/>
      </c>
      <c r="DN402" s="107" t="str">
        <f aca="false">IF(ISBLANK($C402),"",$C402)</f>
        <v/>
      </c>
      <c r="DO402" s="107" t="str">
        <f aca="false">IF(ISBLANK($C402),"",$D402)</f>
        <v/>
      </c>
      <c r="DP402" s="108" t="str">
        <f aca="false">$DD402</f>
        <v/>
      </c>
      <c r="DQ402" s="109" t="str">
        <f aca="false">$DC402</f>
        <v/>
      </c>
      <c r="DR402" s="107" t="str">
        <f aca="false">IF(ISBLANK($C402),"",$DF402)</f>
        <v/>
      </c>
      <c r="DS402" s="110" t="str">
        <f aca="false">IF($DJ402&gt;$DI$8,"",VLOOKUP($DJ402,$DL$9:$DR$508,7,FALSE()))</f>
        <v/>
      </c>
      <c r="DT402" s="111" t="str">
        <f aca="false">IF($DJ402&gt;$DI$8,"",VLOOKUP($DJ402,$DL$9:$DR$508,2,FALSE()))</f>
        <v/>
      </c>
      <c r="DU402" s="111" t="str">
        <f aca="false">IF($DJ402&gt;$DI$8,"",VLOOKUP($DJ402,$DL$9:$DR$508,3,FALSE()))</f>
        <v/>
      </c>
      <c r="DV402" s="111" t="str">
        <f aca="false">IF($DJ402&gt;$DI$8,"",VLOOKUP($DJ402,$DL$9:$DR$508,4,FALSE()))</f>
        <v/>
      </c>
      <c r="DW402" s="111" t="str">
        <f aca="false">IF($DJ402&gt;$DI$8,"",VLOOKUP($DJ402,$DL$9:$DR$508,5,FALSE()))</f>
        <v/>
      </c>
      <c r="DX402" s="112" t="str">
        <f aca="false">IF($DJ402&gt;$DI$8,"",VLOOKUP($DJ402,$DL$9:$DR$508,6,FALSE()))</f>
        <v/>
      </c>
      <c r="DY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130"/>
      <c r="N403" s="130"/>
      <c r="O403" s="135"/>
      <c r="P403" s="135"/>
      <c r="Q403" s="130"/>
      <c r="R403" s="130"/>
      <c r="S403" s="130"/>
      <c r="T403" s="130"/>
      <c r="U403" s="135"/>
      <c r="V403" s="130"/>
      <c r="W403" s="96"/>
      <c r="X403" s="130"/>
      <c r="Y403" s="130"/>
      <c r="Z403" s="96"/>
      <c r="AA403" s="96"/>
      <c r="AB403" s="130"/>
      <c r="AC403" s="130"/>
      <c r="AD403" s="130"/>
      <c r="AE403" s="97"/>
      <c r="AF403" s="130"/>
      <c r="AG403" s="99"/>
      <c r="AH403" s="100"/>
      <c r="AI403" s="100"/>
      <c r="AJ403" s="100" t="str">
        <f aca="false">IF(ISBLANK($C403),"",IF($E403=Constants!$B$2,TRUE(),IF($E403=Constants!$B$3,FALSE(),TRUE())))</f>
        <v/>
      </c>
      <c r="AK403" s="100" t="str">
        <f aca="false">IF(ISBLANK($C403),"",IF($F403=Constants!$B$2,TRUE(),IF($F403=Constants!$B$3,FALSE(),FALSE())))</f>
        <v/>
      </c>
      <c r="AL403" s="100" t="str">
        <f aca="false">IF(ISBLANK($C403),"",IF($G403=Constants!$B$2,TRUE(),IF($G403=Constants!$B$3,FALSE(),TRUE())))</f>
        <v/>
      </c>
      <c r="AM403" s="100" t="str">
        <f aca="false">IF(ISBLANK($C403),"",IF($H403=Constants!$B$2,TRUE(),IF($H403=Constants!$B$3,FALSE(),TRUE())))</f>
        <v/>
      </c>
      <c r="AN403" s="100" t="str">
        <f aca="false">IF(ISBLANK($C403),"",IF(ISNUMBER($I403),IF($I403&gt;=0,$I403,""),""))</f>
        <v/>
      </c>
      <c r="AO403" s="100" t="str">
        <f aca="false">IF(ISBLANK($C403),"",IF(ISNUMBER($J403),IF($J403&gt;=0,$J403,""),""))</f>
        <v/>
      </c>
      <c r="AP403" s="100" t="str">
        <f aca="false">IF(ISBLANK($C403),"",IF(ISNUMBER($K403),IF($K403&gt;=0,$K403,""),""))</f>
        <v/>
      </c>
      <c r="AQ403" s="100" t="str">
        <f aca="false">IF(ISBLANK($C403),"",IF($L403=Constants!$B$2,TRUE(),IF($L403=Constants!$B$3,FALSE(),TRUE())))</f>
        <v/>
      </c>
      <c r="AR403" s="100" t="str">
        <f aca="false">IF(ISBLANK($C403),"",IF($M403=Constants!$B$2,TRUE(),IF($M403=Constants!$B$3,FALSE(),TRUE())))</f>
        <v/>
      </c>
      <c r="AS403" s="100" t="str">
        <f aca="false">IF(ISBLANK($C403),"",IF($N403=Constants!$B$2,TRUE(),IF($N403=Constants!$B$3,FALSE(),FALSE())))</f>
        <v/>
      </c>
      <c r="AT403" s="100" t="str">
        <f aca="false">IF(ISBLANK($C403),"",IF($O403=Constants!$B$2,TRUE(),IF($O403=Constants!$B$3,FALSE(),TRUE())))</f>
        <v/>
      </c>
      <c r="AU403" s="100" t="str">
        <f aca="false">IF(ISBLANK($C403),"",IF($P403=Constants!$B$2,TRUE(),IF($P403=Constants!$B$3,FALSE(),TRUE())))</f>
        <v/>
      </c>
      <c r="AV403" s="100" t="str">
        <f aca="false">IF(ISBLANK($C403),"",IF($Q403=Constants!$B$2,TRUE(),IF($Q403=Constants!$B$3,FALSE(),FALSE())))</f>
        <v/>
      </c>
      <c r="AW403" s="100" t="str">
        <f aca="false">IF(ISBLANK($C403),"",IF($R403=Constants!$B$2,TRUE(),IF($R403=Constants!$B$3,FALSE(),FALSE())))</f>
        <v/>
      </c>
      <c r="AX403" s="100" t="str">
        <f aca="false">IF(ISBLANK($C403),"",IF($S403=Constants!$B$2,TRUE(),IF($S403=Constants!$B$3,FALSE(),FALSE())))</f>
        <v/>
      </c>
      <c r="AY403" s="100" t="str">
        <f aca="false">IF(ISBLANK($C403),"",IF($T403=Constants!$B$2,TRUE(),IF($T403=Constants!$B$3,FALSE(),FALSE())))</f>
        <v/>
      </c>
      <c r="AZ403" s="100" t="str">
        <f aca="false">IF(ISBLANK($C403),"",IF($U403=Constants!$B$2,TRUE(),IF($U403=Constants!$B$3,FALSE(),FALSE())))</f>
        <v/>
      </c>
      <c r="BA403" s="100" t="str">
        <f aca="false">IF(ISBLANK($C403),"",IF(OR($V403&amp;""="1",$V403&amp;""="2",$V403&amp;""="3",$V403&amp;""="4"),VALUE($V403&amp;""),IF($V403=Constants!$B$12,Constants!$B$12,"")))</f>
        <v/>
      </c>
      <c r="BB403" s="100" t="str">
        <f aca="false">IF(ISBLANK($C403),"",IF(ISBLANK($W403),0,IF(ISNUMBER($W403),IF(AND($W403&gt;=0,$W403&lt;=Constants!$B$21,$W403=INT($W403)),$W403,""),"")))</f>
        <v/>
      </c>
      <c r="BC403" s="100" t="str">
        <f aca="false">IF(ISBLANK($C403),"",IF(ISBLANK($X403),0,IF(ISNUMBER($X403),IF($X403&gt;=0,$X403,""),"")))</f>
        <v/>
      </c>
      <c r="BD403" s="100" t="str">
        <f aca="false">IF(ISBLANK($C403),"",IF($Y403=Constants!$B$2,TRUE(),IF($Y403=Constants!$B$3,FALSE(),TRUE())))</f>
        <v/>
      </c>
      <c r="BE403" s="100" t="str">
        <f aca="false">IF(ISBLANK($C403),"",IF($Z403=Constants!$B$2,TRUE(),IF($Z403=Constants!$B$3,FALSE(),FALSE())))</f>
        <v/>
      </c>
      <c r="BF403" s="100" t="str">
        <f aca="false">IF(ISBLANK($C403),"",IF(ISBLANK($AA403),0,IF(ISNUMBER($AA403),IF(AND($AA403&gt;=0,$AA403&lt;=Constants!$B$35,$AA403=INT($AA403)),$AA403,""),"")))</f>
        <v/>
      </c>
      <c r="BG403" s="100" t="str">
        <f aca="false">IF(ISBLANK($C403),"",IF($AB403=Constants!$B$2,TRUE(),IF($AB403=Constants!$B$3,FALSE(),TRUE())))</f>
        <v/>
      </c>
      <c r="BH403" s="100" t="str">
        <f aca="false">IF(ISBLANK($C403),"",IF($AC403=Constants!$B$2,TRUE(),IF($AC403=Constants!$B$3,FALSE(),TRUE())))</f>
        <v/>
      </c>
      <c r="BI403" s="100" t="str">
        <f aca="false">IF(ISBLANK($C403),"",IF($AD403=Constants!$B$2,TRUE(),IF($AD403=Constants!$B$3,FALSE(),TRUE())))</f>
        <v/>
      </c>
      <c r="BJ403" s="100" t="str">
        <f aca="false">IF(ISBLANK($C403),"",IF(ISNUMBER($AE403),IF($AE403&gt;=0,$AE403,""),""))</f>
        <v/>
      </c>
      <c r="BK403" s="100" t="str">
        <f aca="false">IF(ISBLANK($C403),"",IF($AF403=Constants!$B$2,TRUE(),IF($AF403=Constants!$B$3,FALSE(),FALSE())))</f>
        <v/>
      </c>
      <c r="BL403" s="99" t="str">
        <f aca="false">IF(ISBLANK($C403),"",IF($BK403,Constants!$B$7,IF(COUNTA($E403:$AE403)=0,Constants!$B$6,IF(OR(COUNTA($G403:$AE403)=0,NOT($AM403),$AS403),Constants!$B$5,IF(OR($CM403&lt;&gt;"",$CN403,$CO403,$CP403,$CQ403,$CR403,$CS403),Constants!$B$8,Constants!$B$4)))))</f>
        <v/>
      </c>
      <c r="BM403" s="100" t="str">
        <f aca="false">IF(ISBLANK($C403),"",IF($BL403&lt;&gt;Constants!$B$4,$BL403,IF(OR(NOT($AJ403),NOT($AL403),NOT($AT403)),Constants!$B$11,IF(OR(NOT($AR403),NOT($AU403),NOT($BI403),MAX($AN403,$AO403,$AP403)&gt;Constants!$B$30),Constants!$B$10,Constants!$B$9))))</f>
        <v/>
      </c>
      <c r="BN403" s="100" t="str">
        <f aca="false">IF($BL403&lt;&gt;Constants!$B$4,"",IF(NOT($AL403),0,MIN(Constants!$B$35,$BF403)))</f>
        <v/>
      </c>
      <c r="BO403" s="100" t="str">
        <f aca="false">IF($BL403&lt;&gt;Constants!$B$4,"",IF(NOT($AL403),0,IF($AW403,Constants!$B$18,IF($AV403,Constants!$B$17,0))))</f>
        <v/>
      </c>
      <c r="BP403" s="100" t="str">
        <f aca="false">IF($BL403&lt;&gt;Constants!$B$4,"",IF(NOT($AL403),0,Constants!$B$19*($AK403+$AX403+$AY403+$AZ403)))</f>
        <v/>
      </c>
      <c r="BQ403" s="100" t="str">
        <f aca="false">IF($BL403&lt;&gt;Constants!$B$4,"",IF(OR(NOT($AL403),NOT(ISNUMBER($BA403))),0,CHOOSE($BA403,Constants!$B$13,Constants!$B$14,Constants!$B$15,Constants!$B$16)))</f>
        <v/>
      </c>
      <c r="BR403" s="100" t="str">
        <f aca="false">IF($BL403&lt;&gt;Constants!$B$4,"",IF(NOT($AL403),0,Constants!$B$20*$BB403))</f>
        <v/>
      </c>
      <c r="BS403" s="100" t="str">
        <f aca="false">IF($BL403&lt;&gt;Constants!$B$4,"",IF(AND($AL403,$BD403,$BE403),Constants!$B$22,0))</f>
        <v/>
      </c>
      <c r="BT403" s="100" t="str">
        <f aca="false">IF($BL403&lt;&gt;Constants!$B$4,"",IF(OR(NOT($AL403),NOT($BD403)),0,IF($BJ403&gt;=2*$AH$9,0,Constants!$B$23*INT(ROUND(MIN($BJ403,$AH$9),6)))))</f>
        <v/>
      </c>
      <c r="BU403" s="100" t="str">
        <f aca="false">IF($BL403&lt;&gt;Constants!$B$4,"",IF(NOT($AL403),0,Constants!$B$24*INT(ROUND(MIN($BC403,$AH$9),6))))</f>
        <v/>
      </c>
      <c r="BV403" s="100" t="str">
        <f aca="false">IF($BL403&lt;&gt;Constants!$B$4,"",IF(AND($AL403,$BN403=0),Constants!$B$25,0))</f>
        <v/>
      </c>
      <c r="BW403" s="100" t="str">
        <f aca="false">IF($BL403&lt;&gt;Constants!$B$4,"",MIN(Constants!$B$29,MAX(0,Constants!$B$27*Constants!$B$28*INT(ROUND((Constants!$B$26-$AN403)/Constants!$B$28,6))))+MIN(Constants!$B$29,MAX(0,Constants!$B$27*Constants!$B$28*INT(ROUND((Constants!$B$26-$AO403)/Constants!$B$28,6))))+MIN(Constants!$B$29,MAX(0,Constants!$B$27*Constants!$B$28*INT(ROUND((Constants!$B$26-$AP403)/Constants!$B$28,6)))))</f>
        <v/>
      </c>
      <c r="BX403" s="100" t="str">
        <f aca="false">IF($BL403&lt;&gt;Constants!$B$4,"",IF(NOT($AL403),0,Constants!$B$31*INT(ROUND(MAX(0,MIN($BJ403,2*$AH$9)-$AH$9),6))))</f>
        <v/>
      </c>
      <c r="BY403" s="100" t="str">
        <f aca="false">IF($BL403&lt;&gt;Constants!$B$4,"",Constants!$B$32*(($AN403&gt;Constants!$B$26)+($AO403&gt;Constants!$B$26)+($AP403&gt;Constants!$B$26)))</f>
        <v/>
      </c>
      <c r="BZ403" s="100" t="str">
        <f aca="false">IF($BL403&lt;&gt;Constants!$B$4,"",IF(OR(NOT($AL403),$AQ403),0,Constants!$B$33))</f>
        <v/>
      </c>
      <c r="CA403" s="100" t="str">
        <f aca="false">IF($BL403&lt;&gt;Constants!$B$4,"",Constants!$B$34*$BN403)</f>
        <v/>
      </c>
      <c r="CB403" s="100" t="str">
        <f aca="false">IF($BL403&lt;&gt;Constants!$B$4,"",IF(OR(NOT($AL403),$BH403),0,Constants!$B$36))</f>
        <v/>
      </c>
      <c r="CC403" s="100" t="str">
        <f aca="false">IF($BL403&lt;&gt;Constants!$B$4,"",IF(OR(NOT($AL403),$BG403),0,Constants!$B$37))</f>
        <v/>
      </c>
      <c r="CD403" s="100" t="str">
        <f aca="false">IF($BL403&lt;&gt;Constants!$B$4,"",SUM($BX403:$CC403))</f>
        <v/>
      </c>
      <c r="CE403" s="100" t="str">
        <f aca="false">IF(ISBLANK($C403),"",IF($BL403&lt;&gt;Constants!$B$4,$BL403,SUM($BO403:$BW403)-$CD403))</f>
        <v/>
      </c>
      <c r="CF403" s="100" t="str">
        <f aca="false">IF(ISBLANK($C403),"",IF($BL403&lt;&gt;Constants!$B$4,$BL403,RANK($CE403,$CE$9:$CE$508)))</f>
        <v/>
      </c>
      <c r="CG403" s="100" t="str">
        <f aca="false">IF(ISBLANK($C403),"",IF($BL403&lt;&gt;Constants!$B$4,$BL403,COUNTIFS($BM$9:$BM$508,"&lt;"&amp;$BM403)+COUNTIFS($BM$9:$BM$508,$BM403,$CF$9:$CF$508,"&lt;"&amp;$CF403)+1))</f>
        <v/>
      </c>
      <c r="CH403" s="100" t="str">
        <f aca="false">IF(ISBLANK($C403),"",IF($BL403&lt;&gt;Constants!$B$4,$BL403,RANK($CD403,$CD$9:$CD$508,1)))</f>
        <v/>
      </c>
      <c r="CI403" s="100" t="str">
        <f aca="false">IF($BL403&lt;&gt;Constants!$B$4,"",$AN403+$AO403+$AP403)</f>
        <v/>
      </c>
      <c r="CJ403" s="100" t="str">
        <f aca="false">IF(ISBLANK($C403),"",IF($BL403&lt;&gt;Constants!$B$4,$BL403,RANK($CI403,$CI$9:$CI$508,1)))</f>
        <v/>
      </c>
      <c r="CK403" s="100" t="str">
        <f aca="false">IF(ISBLANK($C403),"",IF($BL403&lt;&gt;Constants!$B$4,$BL403,COUNTIFS($BM$9:$BM$508,"&lt;"&amp;$BM403)+COUNTIFS($BM$9:$BM$508,$BM403,$CF$9:$CF$508,"&lt;"&amp;$CF403)+COUNTIFS($BM$9:$BM$508,$BM403,$CF$9:$CF$508,$CF403,$CH$9:$CH$508,"&lt;"&amp;$CH403)+COUNTIFS($BM$9:$BM$508,$BM403,$CF$9:$CF$508,$CF403,$CH$9:$CH$508,$CH403,$CJ$9:$CJ$508,"&lt;"&amp;$CJ403)+1))</f>
        <v/>
      </c>
      <c r="CL403" s="100" t="str">
        <f aca="false">IF(ISBLANK($C403),"",IF($BL403&lt;&gt;Constants!$B$4,$BL403,$CG403-$CK403))</f>
        <v/>
      </c>
      <c r="CM403" s="100" t="str">
        <f aca="false">IF(ISBLANK($C403),"",IF(NOT($AL403),"",IF(ISBLANK($D$7),$CM$5,IF(NOT(ISNUMBER($D$7)),$CM$6,""))))</f>
        <v/>
      </c>
      <c r="CN403" s="100" t="str">
        <f aca="false">IF(ISBLANK($C403),"",OR($AN403="",$AO403="",$AP403=""))</f>
        <v/>
      </c>
      <c r="CO403" s="100" t="str">
        <f aca="false">IF(ISBLANK($C403),"",AND($AL403,$BA403=""))</f>
        <v/>
      </c>
      <c r="CP403" s="100" t="str">
        <f aca="false">IF(ISBLANK($C403),"",AND($AL403,$BB403=""))</f>
        <v/>
      </c>
      <c r="CQ403" s="100" t="str">
        <f aca="false">IF(ISBLANK($C403),"",AND($AL403,$BC403=""))</f>
        <v/>
      </c>
      <c r="CR403" s="100" t="str">
        <f aca="false">IF(ISBLANK($C403),"",AND($AL403,$BF403=""))</f>
        <v/>
      </c>
      <c r="CS403" s="100" t="str">
        <f aca="false">IF(ISBLANK($C403),"",AND($AL403,$BJ403=""))</f>
        <v/>
      </c>
      <c r="CT403" s="101"/>
      <c r="CU403" s="102"/>
      <c r="CV403" s="103" t="str">
        <f aca="false">IF(ISBLANK($C403),"",IF($BL403=Constants!$B$8,$CM403,""))</f>
        <v/>
      </c>
      <c r="CW403" s="102" t="str">
        <f aca="false">IF(ISBLANK($C403),"",IF($BL403&lt;&gt;Constants!$B$4,"",$BO403+$BP403))</f>
        <v/>
      </c>
      <c r="CX403" s="104" t="str">
        <f aca="false">IF(ISBLANK($C403),"",IF($BL403&lt;&gt;Constants!$B$4,"",$BQ403+$BR403+$BS403))</f>
        <v/>
      </c>
      <c r="CY403" s="104" t="str">
        <f aca="false">IF(ISBLANK($C403),"",IF($BL403&lt;&gt;Constants!$B$4,"",$BT403))</f>
        <v/>
      </c>
      <c r="CZ403" s="104" t="str">
        <f aca="false">IF(ISBLANK($C403),"",IF($BL403&lt;&gt;Constants!$B$4,"",$BU403+$BV403))</f>
        <v/>
      </c>
      <c r="DA403" s="104" t="str">
        <f aca="false">IF(ISBLANK($C403),"",IF($BL403&lt;&gt;Constants!$B$4,"",$BW403))</f>
        <v/>
      </c>
      <c r="DB403" s="104" t="str">
        <f aca="false">IF(ISBLANK($C403),"",IF($BL403&lt;&gt;Constants!$B$4,"",-$CD403))</f>
        <v/>
      </c>
      <c r="DC403" s="103" t="str">
        <f aca="false">IF(ISBLANK($C403),"",$CE403)</f>
        <v/>
      </c>
      <c r="DD403" s="105" t="str">
        <f aca="false">IF(ISBLANK($C403),"",$BM403)</f>
        <v/>
      </c>
      <c r="DE403" s="104" t="str">
        <f aca="false">IF(ISBLANK($C403),"",$CL403)</f>
        <v/>
      </c>
      <c r="DF403" s="104" t="str">
        <f aca="false">IF(ISBLANK($C403),"",$CK403)</f>
        <v/>
      </c>
      <c r="DG403" s="106" t="str">
        <f aca="false">IF(ISBLANK($C403),"",IF($DF403=Constants!$B$7,COUNTA($C$9:$C$508)+2,IF($DF403=Constants!$B$6,COUNTA($C$9:$C$508)+1,IF($DF403=Constants!$B$5,COUNTA($C$9:$C$508),$DF403))))</f>
        <v/>
      </c>
      <c r="DH403" s="7"/>
      <c r="DI403" s="107" t="n">
        <f aca="false">IF(OR(ISNUMBER($DF403),$DF403=Constants!$B$7,$DF403=Constants!$B$5,$DF403=Constants!$B$6),1,0)</f>
        <v>0</v>
      </c>
      <c r="DJ403" s="107" t="n">
        <v>395</v>
      </c>
      <c r="DK403" s="107" t="str">
        <f aca="false">IF(ISBLANK($C403),"",IF(ISNUMBER($DG403),$DG403+ROW($B403)/1000,""))</f>
        <v/>
      </c>
      <c r="DL403" s="107" t="str">
        <f aca="false">IF(ISNUMBER($DK403),RANK($DK403,$DK$9:$DK$508,1),"")</f>
        <v/>
      </c>
      <c r="DM403" s="107" t="str">
        <f aca="false">IF(ISBLANK($C403),"",$B403)</f>
        <v/>
      </c>
      <c r="DN403" s="107" t="str">
        <f aca="false">IF(ISBLANK($C403),"",$C403)</f>
        <v/>
      </c>
      <c r="DO403" s="107" t="str">
        <f aca="false">IF(ISBLANK($C403),"",$D403)</f>
        <v/>
      </c>
      <c r="DP403" s="108" t="str">
        <f aca="false">$DD403</f>
        <v/>
      </c>
      <c r="DQ403" s="109" t="str">
        <f aca="false">$DC403</f>
        <v/>
      </c>
      <c r="DR403" s="107" t="str">
        <f aca="false">IF(ISBLANK($C403),"",$DF403)</f>
        <v/>
      </c>
      <c r="DS403" s="110" t="str">
        <f aca="false">IF($DJ403&gt;$DI$8,"",VLOOKUP($DJ403,$DL$9:$DR$508,7,FALSE()))</f>
        <v/>
      </c>
      <c r="DT403" s="111" t="str">
        <f aca="false">IF($DJ403&gt;$DI$8,"",VLOOKUP($DJ403,$DL$9:$DR$508,2,FALSE()))</f>
        <v/>
      </c>
      <c r="DU403" s="111" t="str">
        <f aca="false">IF($DJ403&gt;$DI$8,"",VLOOKUP($DJ403,$DL$9:$DR$508,3,FALSE()))</f>
        <v/>
      </c>
      <c r="DV403" s="111" t="str">
        <f aca="false">IF($DJ403&gt;$DI$8,"",VLOOKUP($DJ403,$DL$9:$DR$508,4,FALSE()))</f>
        <v/>
      </c>
      <c r="DW403" s="111" t="str">
        <f aca="false">IF($DJ403&gt;$DI$8,"",VLOOKUP($DJ403,$DL$9:$DR$508,5,FALSE()))</f>
        <v/>
      </c>
      <c r="DX403" s="112" t="str">
        <f aca="false">IF($DJ403&gt;$DI$8,"",VLOOKUP($DJ403,$DL$9:$DR$508,6,FALSE()))</f>
        <v/>
      </c>
      <c r="DY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130"/>
      <c r="N404" s="130"/>
      <c r="O404" s="135"/>
      <c r="P404" s="135"/>
      <c r="Q404" s="130"/>
      <c r="R404" s="130"/>
      <c r="S404" s="130"/>
      <c r="T404" s="130"/>
      <c r="U404" s="135"/>
      <c r="V404" s="130"/>
      <c r="W404" s="96"/>
      <c r="X404" s="130"/>
      <c r="Y404" s="130"/>
      <c r="Z404" s="96"/>
      <c r="AA404" s="96"/>
      <c r="AB404" s="130"/>
      <c r="AC404" s="130"/>
      <c r="AD404" s="130"/>
      <c r="AE404" s="97"/>
      <c r="AF404" s="130"/>
      <c r="AG404" s="99"/>
      <c r="AH404" s="100"/>
      <c r="AI404" s="100"/>
      <c r="AJ404" s="100" t="str">
        <f aca="false">IF(ISBLANK($C404),"",IF($E404=Constants!$B$2,TRUE(),IF($E404=Constants!$B$3,FALSE(),TRUE())))</f>
        <v/>
      </c>
      <c r="AK404" s="100" t="str">
        <f aca="false">IF(ISBLANK($C404),"",IF($F404=Constants!$B$2,TRUE(),IF($F404=Constants!$B$3,FALSE(),FALSE())))</f>
        <v/>
      </c>
      <c r="AL404" s="100" t="str">
        <f aca="false">IF(ISBLANK($C404),"",IF($G404=Constants!$B$2,TRUE(),IF($G404=Constants!$B$3,FALSE(),TRUE())))</f>
        <v/>
      </c>
      <c r="AM404" s="100" t="str">
        <f aca="false">IF(ISBLANK($C404),"",IF($H404=Constants!$B$2,TRUE(),IF($H404=Constants!$B$3,FALSE(),TRUE())))</f>
        <v/>
      </c>
      <c r="AN404" s="100" t="str">
        <f aca="false">IF(ISBLANK($C404),"",IF(ISNUMBER($I404),IF($I404&gt;=0,$I404,""),""))</f>
        <v/>
      </c>
      <c r="AO404" s="100" t="str">
        <f aca="false">IF(ISBLANK($C404),"",IF(ISNUMBER($J404),IF($J404&gt;=0,$J404,""),""))</f>
        <v/>
      </c>
      <c r="AP404" s="100" t="str">
        <f aca="false">IF(ISBLANK($C404),"",IF(ISNUMBER($K404),IF($K404&gt;=0,$K404,""),""))</f>
        <v/>
      </c>
      <c r="AQ404" s="100" t="str">
        <f aca="false">IF(ISBLANK($C404),"",IF($L404=Constants!$B$2,TRUE(),IF($L404=Constants!$B$3,FALSE(),TRUE())))</f>
        <v/>
      </c>
      <c r="AR404" s="100" t="str">
        <f aca="false">IF(ISBLANK($C404),"",IF($M404=Constants!$B$2,TRUE(),IF($M404=Constants!$B$3,FALSE(),TRUE())))</f>
        <v/>
      </c>
      <c r="AS404" s="100" t="str">
        <f aca="false">IF(ISBLANK($C404),"",IF($N404=Constants!$B$2,TRUE(),IF($N404=Constants!$B$3,FALSE(),FALSE())))</f>
        <v/>
      </c>
      <c r="AT404" s="100" t="str">
        <f aca="false">IF(ISBLANK($C404),"",IF($O404=Constants!$B$2,TRUE(),IF($O404=Constants!$B$3,FALSE(),TRUE())))</f>
        <v/>
      </c>
      <c r="AU404" s="100" t="str">
        <f aca="false">IF(ISBLANK($C404),"",IF($P404=Constants!$B$2,TRUE(),IF($P404=Constants!$B$3,FALSE(),TRUE())))</f>
        <v/>
      </c>
      <c r="AV404" s="100" t="str">
        <f aca="false">IF(ISBLANK($C404),"",IF($Q404=Constants!$B$2,TRUE(),IF($Q404=Constants!$B$3,FALSE(),FALSE())))</f>
        <v/>
      </c>
      <c r="AW404" s="100" t="str">
        <f aca="false">IF(ISBLANK($C404),"",IF($R404=Constants!$B$2,TRUE(),IF($R404=Constants!$B$3,FALSE(),FALSE())))</f>
        <v/>
      </c>
      <c r="AX404" s="100" t="str">
        <f aca="false">IF(ISBLANK($C404),"",IF($S404=Constants!$B$2,TRUE(),IF($S404=Constants!$B$3,FALSE(),FALSE())))</f>
        <v/>
      </c>
      <c r="AY404" s="100" t="str">
        <f aca="false">IF(ISBLANK($C404),"",IF($T404=Constants!$B$2,TRUE(),IF($T404=Constants!$B$3,FALSE(),FALSE())))</f>
        <v/>
      </c>
      <c r="AZ404" s="100" t="str">
        <f aca="false">IF(ISBLANK($C404),"",IF($U404=Constants!$B$2,TRUE(),IF($U404=Constants!$B$3,FALSE(),FALSE())))</f>
        <v/>
      </c>
      <c r="BA404" s="100" t="str">
        <f aca="false">IF(ISBLANK($C404),"",IF(OR($V404&amp;""="1",$V404&amp;""="2",$V404&amp;""="3",$V404&amp;""="4"),VALUE($V404&amp;""),IF($V404=Constants!$B$12,Constants!$B$12,"")))</f>
        <v/>
      </c>
      <c r="BB404" s="100" t="str">
        <f aca="false">IF(ISBLANK($C404),"",IF(ISBLANK($W404),0,IF(ISNUMBER($W404),IF(AND($W404&gt;=0,$W404&lt;=Constants!$B$21,$W404=INT($W404)),$W404,""),"")))</f>
        <v/>
      </c>
      <c r="BC404" s="100" t="str">
        <f aca="false">IF(ISBLANK($C404),"",IF(ISBLANK($X404),0,IF(ISNUMBER($X404),IF($X404&gt;=0,$X404,""),"")))</f>
        <v/>
      </c>
      <c r="BD404" s="100" t="str">
        <f aca="false">IF(ISBLANK($C404),"",IF($Y404=Constants!$B$2,TRUE(),IF($Y404=Constants!$B$3,FALSE(),TRUE())))</f>
        <v/>
      </c>
      <c r="BE404" s="100" t="str">
        <f aca="false">IF(ISBLANK($C404),"",IF($Z404=Constants!$B$2,TRUE(),IF($Z404=Constants!$B$3,FALSE(),FALSE())))</f>
        <v/>
      </c>
      <c r="BF404" s="100" t="str">
        <f aca="false">IF(ISBLANK($C404),"",IF(ISBLANK($AA404),0,IF(ISNUMBER($AA404),IF(AND($AA404&gt;=0,$AA404&lt;=Constants!$B$35,$AA404=INT($AA404)),$AA404,""),"")))</f>
        <v/>
      </c>
      <c r="BG404" s="100" t="str">
        <f aca="false">IF(ISBLANK($C404),"",IF($AB404=Constants!$B$2,TRUE(),IF($AB404=Constants!$B$3,FALSE(),TRUE())))</f>
        <v/>
      </c>
      <c r="BH404" s="100" t="str">
        <f aca="false">IF(ISBLANK($C404),"",IF($AC404=Constants!$B$2,TRUE(),IF($AC404=Constants!$B$3,FALSE(),TRUE())))</f>
        <v/>
      </c>
      <c r="BI404" s="100" t="str">
        <f aca="false">IF(ISBLANK($C404),"",IF($AD404=Constants!$B$2,TRUE(),IF($AD404=Constants!$B$3,FALSE(),TRUE())))</f>
        <v/>
      </c>
      <c r="BJ404" s="100" t="str">
        <f aca="false">IF(ISBLANK($C404),"",IF(ISNUMBER($AE404),IF($AE404&gt;=0,$AE404,""),""))</f>
        <v/>
      </c>
      <c r="BK404" s="100" t="str">
        <f aca="false">IF(ISBLANK($C404),"",IF($AF404=Constants!$B$2,TRUE(),IF($AF404=Constants!$B$3,FALSE(),FALSE())))</f>
        <v/>
      </c>
      <c r="BL404" s="99" t="str">
        <f aca="false">IF(ISBLANK($C404),"",IF($BK404,Constants!$B$7,IF(COUNTA($E404:$AE404)=0,Constants!$B$6,IF(OR(COUNTA($G404:$AE404)=0,NOT($AM404),$AS404),Constants!$B$5,IF(OR($CM404&lt;&gt;"",$CN404,$CO404,$CP404,$CQ404,$CR404,$CS404),Constants!$B$8,Constants!$B$4)))))</f>
        <v/>
      </c>
      <c r="BM404" s="100" t="str">
        <f aca="false">IF(ISBLANK($C404),"",IF($BL404&lt;&gt;Constants!$B$4,$BL404,IF(OR(NOT($AJ404),NOT($AL404),NOT($AT404)),Constants!$B$11,IF(OR(NOT($AR404),NOT($AU404),NOT($BI404),MAX($AN404,$AO404,$AP404)&gt;Constants!$B$30),Constants!$B$10,Constants!$B$9))))</f>
        <v/>
      </c>
      <c r="BN404" s="100" t="str">
        <f aca="false">IF($BL404&lt;&gt;Constants!$B$4,"",IF(NOT($AL404),0,MIN(Constants!$B$35,$BF404)))</f>
        <v/>
      </c>
      <c r="BO404" s="100" t="str">
        <f aca="false">IF($BL404&lt;&gt;Constants!$B$4,"",IF(NOT($AL404),0,IF($AW404,Constants!$B$18,IF($AV404,Constants!$B$17,0))))</f>
        <v/>
      </c>
      <c r="BP404" s="100" t="str">
        <f aca="false">IF($BL404&lt;&gt;Constants!$B$4,"",IF(NOT($AL404),0,Constants!$B$19*($AK404+$AX404+$AY404+$AZ404)))</f>
        <v/>
      </c>
      <c r="BQ404" s="100" t="str">
        <f aca="false">IF($BL404&lt;&gt;Constants!$B$4,"",IF(OR(NOT($AL404),NOT(ISNUMBER($BA404))),0,CHOOSE($BA404,Constants!$B$13,Constants!$B$14,Constants!$B$15,Constants!$B$16)))</f>
        <v/>
      </c>
      <c r="BR404" s="100" t="str">
        <f aca="false">IF($BL404&lt;&gt;Constants!$B$4,"",IF(NOT($AL404),0,Constants!$B$20*$BB404))</f>
        <v/>
      </c>
      <c r="BS404" s="100" t="str">
        <f aca="false">IF($BL404&lt;&gt;Constants!$B$4,"",IF(AND($AL404,$BD404,$BE404),Constants!$B$22,0))</f>
        <v/>
      </c>
      <c r="BT404" s="100" t="str">
        <f aca="false">IF($BL404&lt;&gt;Constants!$B$4,"",IF(OR(NOT($AL404),NOT($BD404)),0,IF($BJ404&gt;=2*$AH$9,0,Constants!$B$23*INT(ROUND(MIN($BJ404,$AH$9),6)))))</f>
        <v/>
      </c>
      <c r="BU404" s="100" t="str">
        <f aca="false">IF($BL404&lt;&gt;Constants!$B$4,"",IF(NOT($AL404),0,Constants!$B$24*INT(ROUND(MIN($BC404,$AH$9),6))))</f>
        <v/>
      </c>
      <c r="BV404" s="100" t="str">
        <f aca="false">IF($BL404&lt;&gt;Constants!$B$4,"",IF(AND($AL404,$BN404=0),Constants!$B$25,0))</f>
        <v/>
      </c>
      <c r="BW404" s="100" t="str">
        <f aca="false">IF($BL404&lt;&gt;Constants!$B$4,"",MIN(Constants!$B$29,MAX(0,Constants!$B$27*Constants!$B$28*INT(ROUND((Constants!$B$26-$AN404)/Constants!$B$28,6))))+MIN(Constants!$B$29,MAX(0,Constants!$B$27*Constants!$B$28*INT(ROUND((Constants!$B$26-$AO404)/Constants!$B$28,6))))+MIN(Constants!$B$29,MAX(0,Constants!$B$27*Constants!$B$28*INT(ROUND((Constants!$B$26-$AP404)/Constants!$B$28,6)))))</f>
        <v/>
      </c>
      <c r="BX404" s="100" t="str">
        <f aca="false">IF($BL404&lt;&gt;Constants!$B$4,"",IF(NOT($AL404),0,Constants!$B$31*INT(ROUND(MAX(0,MIN($BJ404,2*$AH$9)-$AH$9),6))))</f>
        <v/>
      </c>
      <c r="BY404" s="100" t="str">
        <f aca="false">IF($BL404&lt;&gt;Constants!$B$4,"",Constants!$B$32*(($AN404&gt;Constants!$B$26)+($AO404&gt;Constants!$B$26)+($AP404&gt;Constants!$B$26)))</f>
        <v/>
      </c>
      <c r="BZ404" s="100" t="str">
        <f aca="false">IF($BL404&lt;&gt;Constants!$B$4,"",IF(OR(NOT($AL404),$AQ404),0,Constants!$B$33))</f>
        <v/>
      </c>
      <c r="CA404" s="100" t="str">
        <f aca="false">IF($BL404&lt;&gt;Constants!$B$4,"",Constants!$B$34*$BN404)</f>
        <v/>
      </c>
      <c r="CB404" s="100" t="str">
        <f aca="false">IF($BL404&lt;&gt;Constants!$B$4,"",IF(OR(NOT($AL404),$BH404),0,Constants!$B$36))</f>
        <v/>
      </c>
      <c r="CC404" s="100" t="str">
        <f aca="false">IF($BL404&lt;&gt;Constants!$B$4,"",IF(OR(NOT($AL404),$BG404),0,Constants!$B$37))</f>
        <v/>
      </c>
      <c r="CD404" s="100" t="str">
        <f aca="false">IF($BL404&lt;&gt;Constants!$B$4,"",SUM($BX404:$CC404))</f>
        <v/>
      </c>
      <c r="CE404" s="100" t="str">
        <f aca="false">IF(ISBLANK($C404),"",IF($BL404&lt;&gt;Constants!$B$4,$BL404,SUM($BO404:$BW404)-$CD404))</f>
        <v/>
      </c>
      <c r="CF404" s="100" t="str">
        <f aca="false">IF(ISBLANK($C404),"",IF($BL404&lt;&gt;Constants!$B$4,$BL404,RANK($CE404,$CE$9:$CE$508)))</f>
        <v/>
      </c>
      <c r="CG404" s="100" t="str">
        <f aca="false">IF(ISBLANK($C404),"",IF($BL404&lt;&gt;Constants!$B$4,$BL404,COUNTIFS($BM$9:$BM$508,"&lt;"&amp;$BM404)+COUNTIFS($BM$9:$BM$508,$BM404,$CF$9:$CF$508,"&lt;"&amp;$CF404)+1))</f>
        <v/>
      </c>
      <c r="CH404" s="100" t="str">
        <f aca="false">IF(ISBLANK($C404),"",IF($BL404&lt;&gt;Constants!$B$4,$BL404,RANK($CD404,$CD$9:$CD$508,1)))</f>
        <v/>
      </c>
      <c r="CI404" s="100" t="str">
        <f aca="false">IF($BL404&lt;&gt;Constants!$B$4,"",$AN404+$AO404+$AP404)</f>
        <v/>
      </c>
      <c r="CJ404" s="100" t="str">
        <f aca="false">IF(ISBLANK($C404),"",IF($BL404&lt;&gt;Constants!$B$4,$BL404,RANK($CI404,$CI$9:$CI$508,1)))</f>
        <v/>
      </c>
      <c r="CK404" s="100" t="str">
        <f aca="false">IF(ISBLANK($C404),"",IF($BL404&lt;&gt;Constants!$B$4,$BL404,COUNTIFS($BM$9:$BM$508,"&lt;"&amp;$BM404)+COUNTIFS($BM$9:$BM$508,$BM404,$CF$9:$CF$508,"&lt;"&amp;$CF404)+COUNTIFS($BM$9:$BM$508,$BM404,$CF$9:$CF$508,$CF404,$CH$9:$CH$508,"&lt;"&amp;$CH404)+COUNTIFS($BM$9:$BM$508,$BM404,$CF$9:$CF$508,$CF404,$CH$9:$CH$508,$CH404,$CJ$9:$CJ$508,"&lt;"&amp;$CJ404)+1))</f>
        <v/>
      </c>
      <c r="CL404" s="100" t="str">
        <f aca="false">IF(ISBLANK($C404),"",IF($BL404&lt;&gt;Constants!$B$4,$BL404,$CG404-$CK404))</f>
        <v/>
      </c>
      <c r="CM404" s="100" t="str">
        <f aca="false">IF(ISBLANK($C404),"",IF(NOT($AL404),"",IF(ISBLANK($D$7),$CM$5,IF(NOT(ISNUMBER($D$7)),$CM$6,""))))</f>
        <v/>
      </c>
      <c r="CN404" s="100" t="str">
        <f aca="false">IF(ISBLANK($C404),"",OR($AN404="",$AO404="",$AP404=""))</f>
        <v/>
      </c>
      <c r="CO404" s="100" t="str">
        <f aca="false">IF(ISBLANK($C404),"",AND($AL404,$BA404=""))</f>
        <v/>
      </c>
      <c r="CP404" s="100" t="str">
        <f aca="false">IF(ISBLANK($C404),"",AND($AL404,$BB404=""))</f>
        <v/>
      </c>
      <c r="CQ404" s="100" t="str">
        <f aca="false">IF(ISBLANK($C404),"",AND($AL404,$BC404=""))</f>
        <v/>
      </c>
      <c r="CR404" s="100" t="str">
        <f aca="false">IF(ISBLANK($C404),"",AND($AL404,$BF404=""))</f>
        <v/>
      </c>
      <c r="CS404" s="100" t="str">
        <f aca="false">IF(ISBLANK($C404),"",AND($AL404,$BJ404=""))</f>
        <v/>
      </c>
      <c r="CT404" s="101"/>
      <c r="CU404" s="102"/>
      <c r="CV404" s="103" t="str">
        <f aca="false">IF(ISBLANK($C404),"",IF($BL404=Constants!$B$8,$CM404,""))</f>
        <v/>
      </c>
      <c r="CW404" s="102" t="str">
        <f aca="false">IF(ISBLANK($C404),"",IF($BL404&lt;&gt;Constants!$B$4,"",$BO404+$BP404))</f>
        <v/>
      </c>
      <c r="CX404" s="104" t="str">
        <f aca="false">IF(ISBLANK($C404),"",IF($BL404&lt;&gt;Constants!$B$4,"",$BQ404+$BR404+$BS404))</f>
        <v/>
      </c>
      <c r="CY404" s="104" t="str">
        <f aca="false">IF(ISBLANK($C404),"",IF($BL404&lt;&gt;Constants!$B$4,"",$BT404))</f>
        <v/>
      </c>
      <c r="CZ404" s="104" t="str">
        <f aca="false">IF(ISBLANK($C404),"",IF($BL404&lt;&gt;Constants!$B$4,"",$BU404+$BV404))</f>
        <v/>
      </c>
      <c r="DA404" s="104" t="str">
        <f aca="false">IF(ISBLANK($C404),"",IF($BL404&lt;&gt;Constants!$B$4,"",$BW404))</f>
        <v/>
      </c>
      <c r="DB404" s="104" t="str">
        <f aca="false">IF(ISBLANK($C404),"",IF($BL404&lt;&gt;Constants!$B$4,"",-$CD404))</f>
        <v/>
      </c>
      <c r="DC404" s="103" t="str">
        <f aca="false">IF(ISBLANK($C404),"",$CE404)</f>
        <v/>
      </c>
      <c r="DD404" s="105" t="str">
        <f aca="false">IF(ISBLANK($C404),"",$BM404)</f>
        <v/>
      </c>
      <c r="DE404" s="104" t="str">
        <f aca="false">IF(ISBLANK($C404),"",$CL404)</f>
        <v/>
      </c>
      <c r="DF404" s="104" t="str">
        <f aca="false">IF(ISBLANK($C404),"",$CK404)</f>
        <v/>
      </c>
      <c r="DG404" s="106" t="str">
        <f aca="false">IF(ISBLANK($C404),"",IF($DF404=Constants!$B$7,COUNTA($C$9:$C$508)+2,IF($DF404=Constants!$B$6,COUNTA($C$9:$C$508)+1,IF($DF404=Constants!$B$5,COUNTA($C$9:$C$508),$DF404))))</f>
        <v/>
      </c>
      <c r="DH404" s="7"/>
      <c r="DI404" s="107" t="n">
        <f aca="false">IF(OR(ISNUMBER($DF404),$DF404=Constants!$B$7,$DF404=Constants!$B$5,$DF404=Constants!$B$6),1,0)</f>
        <v>0</v>
      </c>
      <c r="DJ404" s="107" t="n">
        <v>396</v>
      </c>
      <c r="DK404" s="107" t="str">
        <f aca="false">IF(ISBLANK($C404),"",IF(ISNUMBER($DG404),$DG404+ROW($B404)/1000,""))</f>
        <v/>
      </c>
      <c r="DL404" s="107" t="str">
        <f aca="false">IF(ISNUMBER($DK404),RANK($DK404,$DK$9:$DK$508,1),"")</f>
        <v/>
      </c>
      <c r="DM404" s="107" t="str">
        <f aca="false">IF(ISBLANK($C404),"",$B404)</f>
        <v/>
      </c>
      <c r="DN404" s="107" t="str">
        <f aca="false">IF(ISBLANK($C404),"",$C404)</f>
        <v/>
      </c>
      <c r="DO404" s="107" t="str">
        <f aca="false">IF(ISBLANK($C404),"",$D404)</f>
        <v/>
      </c>
      <c r="DP404" s="108" t="str">
        <f aca="false">$DD404</f>
        <v/>
      </c>
      <c r="DQ404" s="109" t="str">
        <f aca="false">$DC404</f>
        <v/>
      </c>
      <c r="DR404" s="107" t="str">
        <f aca="false">IF(ISBLANK($C404),"",$DF404)</f>
        <v/>
      </c>
      <c r="DS404" s="110" t="str">
        <f aca="false">IF($DJ404&gt;$DI$8,"",VLOOKUP($DJ404,$DL$9:$DR$508,7,FALSE()))</f>
        <v/>
      </c>
      <c r="DT404" s="111" t="str">
        <f aca="false">IF($DJ404&gt;$DI$8,"",VLOOKUP($DJ404,$DL$9:$DR$508,2,FALSE()))</f>
        <v/>
      </c>
      <c r="DU404" s="111" t="str">
        <f aca="false">IF($DJ404&gt;$DI$8,"",VLOOKUP($DJ404,$DL$9:$DR$508,3,FALSE()))</f>
        <v/>
      </c>
      <c r="DV404" s="111" t="str">
        <f aca="false">IF($DJ404&gt;$DI$8,"",VLOOKUP($DJ404,$DL$9:$DR$508,4,FALSE()))</f>
        <v/>
      </c>
      <c r="DW404" s="111" t="str">
        <f aca="false">IF($DJ404&gt;$DI$8,"",VLOOKUP($DJ404,$DL$9:$DR$508,5,FALSE()))</f>
        <v/>
      </c>
      <c r="DX404" s="112" t="str">
        <f aca="false">IF($DJ404&gt;$DI$8,"",VLOOKUP($DJ404,$DL$9:$DR$508,6,FALSE()))</f>
        <v/>
      </c>
      <c r="DY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88"/>
      <c r="N405" s="88"/>
      <c r="O405" s="134"/>
      <c r="P405" s="134"/>
      <c r="Q405" s="88"/>
      <c r="R405" s="88"/>
      <c r="S405" s="88"/>
      <c r="T405" s="88"/>
      <c r="U405" s="134"/>
      <c r="V405" s="88"/>
      <c r="W405" s="70"/>
      <c r="X405" s="88"/>
      <c r="Y405" s="88"/>
      <c r="Z405" s="70"/>
      <c r="AA405" s="70"/>
      <c r="AB405" s="88"/>
      <c r="AC405" s="88"/>
      <c r="AD405" s="88"/>
      <c r="AE405" s="71"/>
      <c r="AF405" s="88"/>
      <c r="AG405" s="73"/>
      <c r="AH405" s="74"/>
      <c r="AI405" s="74"/>
      <c r="AJ405" s="74" t="str">
        <f aca="false">IF(ISBLANK($C405),"",IF($E405=Constants!$B$2,TRUE(),IF($E405=Constants!$B$3,FALSE(),TRUE())))</f>
        <v/>
      </c>
      <c r="AK405" s="74" t="str">
        <f aca="false">IF(ISBLANK($C405),"",IF($F405=Constants!$B$2,TRUE(),IF($F405=Constants!$B$3,FALSE(),FALSE())))</f>
        <v/>
      </c>
      <c r="AL405" s="74" t="str">
        <f aca="false">IF(ISBLANK($C405),"",IF($G405=Constants!$B$2,TRUE(),IF($G405=Constants!$B$3,FALSE(),TRUE())))</f>
        <v/>
      </c>
      <c r="AM405" s="74" t="str">
        <f aca="false">IF(ISBLANK($C405),"",IF($H405=Constants!$B$2,TRUE(),IF($H405=Constants!$B$3,FALSE(),TRUE())))</f>
        <v/>
      </c>
      <c r="AN405" s="74" t="str">
        <f aca="false">IF(ISBLANK($C405),"",IF(ISNUMBER($I405),IF($I405&gt;=0,$I405,""),""))</f>
        <v/>
      </c>
      <c r="AO405" s="74" t="str">
        <f aca="false">IF(ISBLANK($C405),"",IF(ISNUMBER($J405),IF($J405&gt;=0,$J405,""),""))</f>
        <v/>
      </c>
      <c r="AP405" s="74" t="str">
        <f aca="false">IF(ISBLANK($C405),"",IF(ISNUMBER($K405),IF($K405&gt;=0,$K405,""),""))</f>
        <v/>
      </c>
      <c r="AQ405" s="74" t="str">
        <f aca="false">IF(ISBLANK($C405),"",IF($L405=Constants!$B$2,TRUE(),IF($L405=Constants!$B$3,FALSE(),TRUE())))</f>
        <v/>
      </c>
      <c r="AR405" s="74" t="str">
        <f aca="false">IF(ISBLANK($C405),"",IF($M405=Constants!$B$2,TRUE(),IF($M405=Constants!$B$3,FALSE(),TRUE())))</f>
        <v/>
      </c>
      <c r="AS405" s="74" t="str">
        <f aca="false">IF(ISBLANK($C405),"",IF($N405=Constants!$B$2,TRUE(),IF($N405=Constants!$B$3,FALSE(),FALSE())))</f>
        <v/>
      </c>
      <c r="AT405" s="74" t="str">
        <f aca="false">IF(ISBLANK($C405),"",IF($O405=Constants!$B$2,TRUE(),IF($O405=Constants!$B$3,FALSE(),TRUE())))</f>
        <v/>
      </c>
      <c r="AU405" s="74" t="str">
        <f aca="false">IF(ISBLANK($C405),"",IF($P405=Constants!$B$2,TRUE(),IF($P405=Constants!$B$3,FALSE(),TRUE())))</f>
        <v/>
      </c>
      <c r="AV405" s="74" t="str">
        <f aca="false">IF(ISBLANK($C405),"",IF($Q405=Constants!$B$2,TRUE(),IF($Q405=Constants!$B$3,FALSE(),FALSE())))</f>
        <v/>
      </c>
      <c r="AW405" s="74" t="str">
        <f aca="false">IF(ISBLANK($C405),"",IF($R405=Constants!$B$2,TRUE(),IF($R405=Constants!$B$3,FALSE(),FALSE())))</f>
        <v/>
      </c>
      <c r="AX405" s="74" t="str">
        <f aca="false">IF(ISBLANK($C405),"",IF($S405=Constants!$B$2,TRUE(),IF($S405=Constants!$B$3,FALSE(),FALSE())))</f>
        <v/>
      </c>
      <c r="AY405" s="74" t="str">
        <f aca="false">IF(ISBLANK($C405),"",IF($T405=Constants!$B$2,TRUE(),IF($T405=Constants!$B$3,FALSE(),FALSE())))</f>
        <v/>
      </c>
      <c r="AZ405" s="74" t="str">
        <f aca="false">IF(ISBLANK($C405),"",IF($U405=Constants!$B$2,TRUE(),IF($U405=Constants!$B$3,FALSE(),FALSE())))</f>
        <v/>
      </c>
      <c r="BA405" s="74" t="str">
        <f aca="false">IF(ISBLANK($C405),"",IF(OR($V405&amp;""="1",$V405&amp;""="2",$V405&amp;""="3",$V405&amp;""="4"),VALUE($V405&amp;""),IF($V405=Constants!$B$12,Constants!$B$12,"")))</f>
        <v/>
      </c>
      <c r="BB405" s="74" t="str">
        <f aca="false">IF(ISBLANK($C405),"",IF(ISBLANK($W405),0,IF(ISNUMBER($W405),IF(AND($W405&gt;=0,$W405&lt;=Constants!$B$21,$W405=INT($W405)),$W405,""),"")))</f>
        <v/>
      </c>
      <c r="BC405" s="74" t="str">
        <f aca="false">IF(ISBLANK($C405),"",IF(ISBLANK($X405),0,IF(ISNUMBER($X405),IF($X405&gt;=0,$X405,""),"")))</f>
        <v/>
      </c>
      <c r="BD405" s="74" t="str">
        <f aca="false">IF(ISBLANK($C405),"",IF($Y405=Constants!$B$2,TRUE(),IF($Y405=Constants!$B$3,FALSE(),TRUE())))</f>
        <v/>
      </c>
      <c r="BE405" s="74" t="str">
        <f aca="false">IF(ISBLANK($C405),"",IF($Z405=Constants!$B$2,TRUE(),IF($Z405=Constants!$B$3,FALSE(),FALSE())))</f>
        <v/>
      </c>
      <c r="BF405" s="74" t="str">
        <f aca="false">IF(ISBLANK($C405),"",IF(ISBLANK($AA405),0,IF(ISNUMBER($AA405),IF(AND($AA405&gt;=0,$AA405&lt;=Constants!$B$35,$AA405=INT($AA405)),$AA405,""),"")))</f>
        <v/>
      </c>
      <c r="BG405" s="74" t="str">
        <f aca="false">IF(ISBLANK($C405),"",IF($AB405=Constants!$B$2,TRUE(),IF($AB405=Constants!$B$3,FALSE(),TRUE())))</f>
        <v/>
      </c>
      <c r="BH405" s="74" t="str">
        <f aca="false">IF(ISBLANK($C405),"",IF($AC405=Constants!$B$2,TRUE(),IF($AC405=Constants!$B$3,FALSE(),TRUE())))</f>
        <v/>
      </c>
      <c r="BI405" s="74" t="str">
        <f aca="false">IF(ISBLANK($C405),"",IF($AD405=Constants!$B$2,TRUE(),IF($AD405=Constants!$B$3,FALSE(),TRUE())))</f>
        <v/>
      </c>
      <c r="BJ405" s="74" t="str">
        <f aca="false">IF(ISBLANK($C405),"",IF(ISNUMBER($AE405),IF($AE405&gt;=0,$AE405,""),""))</f>
        <v/>
      </c>
      <c r="BK405" s="74" t="str">
        <f aca="false">IF(ISBLANK($C405),"",IF($AF405=Constants!$B$2,TRUE(),IF($AF405=Constants!$B$3,FALSE(),FALSE())))</f>
        <v/>
      </c>
      <c r="BL405" s="73" t="str">
        <f aca="false">IF(ISBLANK($C405),"",IF($BK405,Constants!$B$7,IF(COUNTA($E405:$AE405)=0,Constants!$B$6,IF(OR(COUNTA($G405:$AE405)=0,NOT($AM405),$AS405),Constants!$B$5,IF(OR($CM405&lt;&gt;"",$CN405,$CO405,$CP405,$CQ405,$CR405,$CS405),Constants!$B$8,Constants!$B$4)))))</f>
        <v/>
      </c>
      <c r="BM405" s="74" t="str">
        <f aca="false">IF(ISBLANK($C405),"",IF($BL405&lt;&gt;Constants!$B$4,$BL405,IF(OR(NOT($AJ405),NOT($AL405),NOT($AT405)),Constants!$B$11,IF(OR(NOT($AR405),NOT($AU405),NOT($BI405),MAX($AN405,$AO405,$AP405)&gt;Constants!$B$30),Constants!$B$10,Constants!$B$9))))</f>
        <v/>
      </c>
      <c r="BN405" s="74" t="str">
        <f aca="false">IF($BL405&lt;&gt;Constants!$B$4,"",IF(NOT($AL405),0,MIN(Constants!$B$35,$BF405)))</f>
        <v/>
      </c>
      <c r="BO405" s="74" t="str">
        <f aca="false">IF($BL405&lt;&gt;Constants!$B$4,"",IF(NOT($AL405),0,IF($AW405,Constants!$B$18,IF($AV405,Constants!$B$17,0))))</f>
        <v/>
      </c>
      <c r="BP405" s="74" t="str">
        <f aca="false">IF($BL405&lt;&gt;Constants!$B$4,"",IF(NOT($AL405),0,Constants!$B$19*($AK405+$AX405+$AY405+$AZ405)))</f>
        <v/>
      </c>
      <c r="BQ405" s="74" t="str">
        <f aca="false">IF($BL405&lt;&gt;Constants!$B$4,"",IF(OR(NOT($AL405),NOT(ISNUMBER($BA405))),0,CHOOSE($BA405,Constants!$B$13,Constants!$B$14,Constants!$B$15,Constants!$B$16)))</f>
        <v/>
      </c>
      <c r="BR405" s="74" t="str">
        <f aca="false">IF($BL405&lt;&gt;Constants!$B$4,"",IF(NOT($AL405),0,Constants!$B$20*$BB405))</f>
        <v/>
      </c>
      <c r="BS405" s="74" t="str">
        <f aca="false">IF($BL405&lt;&gt;Constants!$B$4,"",IF(AND($AL405,$BD405,$BE405),Constants!$B$22,0))</f>
        <v/>
      </c>
      <c r="BT405" s="74" t="str">
        <f aca="false">IF($BL405&lt;&gt;Constants!$B$4,"",IF(OR(NOT($AL405),NOT($BD405)),0,IF($BJ405&gt;=2*$AH$9,0,Constants!$B$23*INT(ROUND(MIN($BJ405,$AH$9),6)))))</f>
        <v/>
      </c>
      <c r="BU405" s="74" t="str">
        <f aca="false">IF($BL405&lt;&gt;Constants!$B$4,"",IF(NOT($AL405),0,Constants!$B$24*INT(ROUND(MIN($BC405,$AH$9),6))))</f>
        <v/>
      </c>
      <c r="BV405" s="74" t="str">
        <f aca="false">IF($BL405&lt;&gt;Constants!$B$4,"",IF(AND($AL405,$BN405=0),Constants!$B$25,0))</f>
        <v/>
      </c>
      <c r="BW405" s="74" t="str">
        <f aca="false">IF($BL405&lt;&gt;Constants!$B$4,"",MIN(Constants!$B$29,MAX(0,Constants!$B$27*Constants!$B$28*INT(ROUND((Constants!$B$26-$AN405)/Constants!$B$28,6))))+MIN(Constants!$B$29,MAX(0,Constants!$B$27*Constants!$B$28*INT(ROUND((Constants!$B$26-$AO405)/Constants!$B$28,6))))+MIN(Constants!$B$29,MAX(0,Constants!$B$27*Constants!$B$28*INT(ROUND((Constants!$B$26-$AP405)/Constants!$B$28,6)))))</f>
        <v/>
      </c>
      <c r="BX405" s="74" t="str">
        <f aca="false">IF($BL405&lt;&gt;Constants!$B$4,"",IF(NOT($AL405),0,Constants!$B$31*INT(ROUND(MAX(0,MIN($BJ405,2*$AH$9)-$AH$9),6))))</f>
        <v/>
      </c>
      <c r="BY405" s="74" t="str">
        <f aca="false">IF($BL405&lt;&gt;Constants!$B$4,"",Constants!$B$32*(($AN405&gt;Constants!$B$26)+($AO405&gt;Constants!$B$26)+($AP405&gt;Constants!$B$26)))</f>
        <v/>
      </c>
      <c r="BZ405" s="74" t="str">
        <f aca="false">IF($BL405&lt;&gt;Constants!$B$4,"",IF(OR(NOT($AL405),$AQ405),0,Constants!$B$33))</f>
        <v/>
      </c>
      <c r="CA405" s="74" t="str">
        <f aca="false">IF($BL405&lt;&gt;Constants!$B$4,"",Constants!$B$34*$BN405)</f>
        <v/>
      </c>
      <c r="CB405" s="74" t="str">
        <f aca="false">IF($BL405&lt;&gt;Constants!$B$4,"",IF(OR(NOT($AL405),$BH405),0,Constants!$B$36))</f>
        <v/>
      </c>
      <c r="CC405" s="74" t="str">
        <f aca="false">IF($BL405&lt;&gt;Constants!$B$4,"",IF(OR(NOT($AL405),$BG405),0,Constants!$B$37))</f>
        <v/>
      </c>
      <c r="CD405" s="74" t="str">
        <f aca="false">IF($BL405&lt;&gt;Constants!$B$4,"",SUM($BX405:$CC405))</f>
        <v/>
      </c>
      <c r="CE405" s="74" t="str">
        <f aca="false">IF(ISBLANK($C405),"",IF($BL405&lt;&gt;Constants!$B$4,$BL405,SUM($BO405:$BW405)-$CD405))</f>
        <v/>
      </c>
      <c r="CF405" s="74" t="str">
        <f aca="false">IF(ISBLANK($C405),"",IF($BL405&lt;&gt;Constants!$B$4,$BL405,RANK($CE405,$CE$9:$CE$508)))</f>
        <v/>
      </c>
      <c r="CG405" s="74" t="str">
        <f aca="false">IF(ISBLANK($C405),"",IF($BL405&lt;&gt;Constants!$B$4,$BL405,COUNTIFS($BM$9:$BM$508,"&lt;"&amp;$BM405)+COUNTIFS($BM$9:$BM$508,$BM405,$CF$9:$CF$508,"&lt;"&amp;$CF405)+1))</f>
        <v/>
      </c>
      <c r="CH405" s="74" t="str">
        <f aca="false">IF(ISBLANK($C405),"",IF($BL405&lt;&gt;Constants!$B$4,$BL405,RANK($CD405,$CD$9:$CD$508,1)))</f>
        <v/>
      </c>
      <c r="CI405" s="74" t="str">
        <f aca="false">IF($BL405&lt;&gt;Constants!$B$4,"",$AN405+$AO405+$AP405)</f>
        <v/>
      </c>
      <c r="CJ405" s="74" t="str">
        <f aca="false">IF(ISBLANK($C405),"",IF($BL405&lt;&gt;Constants!$B$4,$BL405,RANK($CI405,$CI$9:$CI$508,1)))</f>
        <v/>
      </c>
      <c r="CK405" s="74" t="str">
        <f aca="false">IF(ISBLANK($C405),"",IF($BL405&lt;&gt;Constants!$B$4,$BL405,COUNTIFS($BM$9:$BM$508,"&lt;"&amp;$BM405)+COUNTIFS($BM$9:$BM$508,$BM405,$CF$9:$CF$508,"&lt;"&amp;$CF405)+COUNTIFS($BM$9:$BM$508,$BM405,$CF$9:$CF$508,$CF405,$CH$9:$CH$508,"&lt;"&amp;$CH405)+COUNTIFS($BM$9:$BM$508,$BM405,$CF$9:$CF$508,$CF405,$CH$9:$CH$508,$CH405,$CJ$9:$CJ$508,"&lt;"&amp;$CJ405)+1))</f>
        <v/>
      </c>
      <c r="CL405" s="74" t="str">
        <f aca="false">IF(ISBLANK($C405),"",IF($BL405&lt;&gt;Constants!$B$4,$BL405,$CG405-$CK405))</f>
        <v/>
      </c>
      <c r="CM405" s="74" t="str">
        <f aca="false">IF(ISBLANK($C405),"",IF(NOT($AL405),"",IF(ISBLANK($D$7),$CM$5,IF(NOT(ISNUMBER($D$7)),$CM$6,""))))</f>
        <v/>
      </c>
      <c r="CN405" s="74" t="str">
        <f aca="false">IF(ISBLANK($C405),"",OR($AN405="",$AO405="",$AP405=""))</f>
        <v/>
      </c>
      <c r="CO405" s="74" t="str">
        <f aca="false">IF(ISBLANK($C405),"",AND($AL405,$BA405=""))</f>
        <v/>
      </c>
      <c r="CP405" s="74" t="str">
        <f aca="false">IF(ISBLANK($C405),"",AND($AL405,$BB405=""))</f>
        <v/>
      </c>
      <c r="CQ405" s="74" t="str">
        <f aca="false">IF(ISBLANK($C405),"",AND($AL405,$BC405=""))</f>
        <v/>
      </c>
      <c r="CR405" s="74" t="str">
        <f aca="false">IF(ISBLANK($C405),"",AND($AL405,$BF405=""))</f>
        <v/>
      </c>
      <c r="CS405" s="74" t="str">
        <f aca="false">IF(ISBLANK($C405),"",AND($AL405,$BJ405=""))</f>
        <v/>
      </c>
      <c r="CT405" s="75"/>
      <c r="CU405" s="76"/>
      <c r="CV405" s="79" t="str">
        <f aca="false">IF(ISBLANK($C405),"",IF($BL405=Constants!$B$8,$CM405,""))</f>
        <v/>
      </c>
      <c r="CW405" s="76" t="str">
        <f aca="false">IF(ISBLANK($C405),"",IF($BL405&lt;&gt;Constants!$B$4,"",$BO405+$BP405))</f>
        <v/>
      </c>
      <c r="CX405" s="78" t="str">
        <f aca="false">IF(ISBLANK($C405),"",IF($BL405&lt;&gt;Constants!$B$4,"",$BQ405+$BR405+$BS405))</f>
        <v/>
      </c>
      <c r="CY405" s="78" t="str">
        <f aca="false">IF(ISBLANK($C405),"",IF($BL405&lt;&gt;Constants!$B$4,"",$BT405))</f>
        <v/>
      </c>
      <c r="CZ405" s="78" t="str">
        <f aca="false">IF(ISBLANK($C405),"",IF($BL405&lt;&gt;Constants!$B$4,"",$BU405+$BV405))</f>
        <v/>
      </c>
      <c r="DA405" s="78" t="str">
        <f aca="false">IF(ISBLANK($C405),"",IF($BL405&lt;&gt;Constants!$B$4,"",$BW405))</f>
        <v/>
      </c>
      <c r="DB405" s="78" t="str">
        <f aca="false">IF(ISBLANK($C405),"",IF($BL405&lt;&gt;Constants!$B$4,"",-$CD405))</f>
        <v/>
      </c>
      <c r="DC405" s="79" t="str">
        <f aca="false">IF(ISBLANK($C405),"",$CE405)</f>
        <v/>
      </c>
      <c r="DD405" s="80" t="str">
        <f aca="false">IF(ISBLANK($C405),"",$BM405)</f>
        <v/>
      </c>
      <c r="DE405" s="78" t="str">
        <f aca="false">IF(ISBLANK($C405),"",$CL405)</f>
        <v/>
      </c>
      <c r="DF405" s="78" t="str">
        <f aca="false">IF(ISBLANK($C405),"",$CK405)</f>
        <v/>
      </c>
      <c r="DG405" s="81" t="str">
        <f aca="false">IF(ISBLANK($C405),"",IF($DF405=Constants!$B$7,COUNTA($C$9:$C$508)+2,IF($DF405=Constants!$B$6,COUNTA($C$9:$C$508)+1,IF($DF405=Constants!$B$5,COUNTA($C$9:$C$508),$DF405))))</f>
        <v/>
      </c>
      <c r="DH405" s="7"/>
      <c r="DI405" s="82" t="n">
        <f aca="false">IF(OR(ISNUMBER($DF405),$DF405=Constants!$B$7,$DF405=Constants!$B$5,$DF405=Constants!$B$6),1,0)</f>
        <v>0</v>
      </c>
      <c r="DJ405" s="82" t="n">
        <v>397</v>
      </c>
      <c r="DK405" s="82" t="str">
        <f aca="false">IF(ISBLANK($C405),"",IF(ISNUMBER($DG405),$DG405+ROW($B405)/1000,""))</f>
        <v/>
      </c>
      <c r="DL405" s="82" t="str">
        <f aca="false">IF(ISNUMBER($DK405),RANK($DK405,$DK$9:$DK$508,1),"")</f>
        <v/>
      </c>
      <c r="DM405" s="82" t="str">
        <f aca="false">IF(ISBLANK($C405),"",$B405)</f>
        <v/>
      </c>
      <c r="DN405" s="82" t="str">
        <f aca="false">IF(ISBLANK($C405),"",$C405)</f>
        <v/>
      </c>
      <c r="DO405" s="82" t="str">
        <f aca="false">IF(ISBLANK($C405),"",$D405)</f>
        <v/>
      </c>
      <c r="DP405" s="83" t="str">
        <f aca="false">$DD405</f>
        <v/>
      </c>
      <c r="DQ405" s="84" t="str">
        <f aca="false">$DC405</f>
        <v/>
      </c>
      <c r="DR405" s="82" t="str">
        <f aca="false">IF(ISBLANK($C405),"",$DF405)</f>
        <v/>
      </c>
      <c r="DS405" s="85" t="str">
        <f aca="false">IF($DJ405&gt;$DI$8,"",VLOOKUP($DJ405,$DL$9:$DR$508,7,FALSE()))</f>
        <v/>
      </c>
      <c r="DT405" s="86" t="str">
        <f aca="false">IF($DJ405&gt;$DI$8,"",VLOOKUP($DJ405,$DL$9:$DR$508,2,FALSE()))</f>
        <v/>
      </c>
      <c r="DU405" s="86" t="str">
        <f aca="false">IF($DJ405&gt;$DI$8,"",VLOOKUP($DJ405,$DL$9:$DR$508,3,FALSE()))</f>
        <v/>
      </c>
      <c r="DV405" s="86" t="str">
        <f aca="false">IF($DJ405&gt;$DI$8,"",VLOOKUP($DJ405,$DL$9:$DR$508,4,FALSE()))</f>
        <v/>
      </c>
      <c r="DW405" s="86" t="str">
        <f aca="false">IF($DJ405&gt;$DI$8,"",VLOOKUP($DJ405,$DL$9:$DR$508,5,FALSE()))</f>
        <v/>
      </c>
      <c r="DX405" s="87" t="str">
        <f aca="false">IF($DJ405&gt;$DI$8,"",VLOOKUP($DJ405,$DL$9:$DR$508,6,FALSE()))</f>
        <v/>
      </c>
      <c r="DY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88"/>
      <c r="N406" s="88"/>
      <c r="O406" s="134"/>
      <c r="P406" s="134"/>
      <c r="Q406" s="88"/>
      <c r="R406" s="88"/>
      <c r="S406" s="88"/>
      <c r="T406" s="88"/>
      <c r="U406" s="134"/>
      <c r="V406" s="88"/>
      <c r="W406" s="70"/>
      <c r="X406" s="88"/>
      <c r="Y406" s="88"/>
      <c r="Z406" s="70"/>
      <c r="AA406" s="70"/>
      <c r="AB406" s="88"/>
      <c r="AC406" s="88"/>
      <c r="AD406" s="88"/>
      <c r="AE406" s="71"/>
      <c r="AF406" s="88"/>
      <c r="AG406" s="73"/>
      <c r="AH406" s="74"/>
      <c r="AI406" s="74"/>
      <c r="AJ406" s="74" t="str">
        <f aca="false">IF(ISBLANK($C406),"",IF($E406=Constants!$B$2,TRUE(),IF($E406=Constants!$B$3,FALSE(),TRUE())))</f>
        <v/>
      </c>
      <c r="AK406" s="74" t="str">
        <f aca="false">IF(ISBLANK($C406),"",IF($F406=Constants!$B$2,TRUE(),IF($F406=Constants!$B$3,FALSE(),FALSE())))</f>
        <v/>
      </c>
      <c r="AL406" s="74" t="str">
        <f aca="false">IF(ISBLANK($C406),"",IF($G406=Constants!$B$2,TRUE(),IF($G406=Constants!$B$3,FALSE(),TRUE())))</f>
        <v/>
      </c>
      <c r="AM406" s="74" t="str">
        <f aca="false">IF(ISBLANK($C406),"",IF($H406=Constants!$B$2,TRUE(),IF($H406=Constants!$B$3,FALSE(),TRUE())))</f>
        <v/>
      </c>
      <c r="AN406" s="74" t="str">
        <f aca="false">IF(ISBLANK($C406),"",IF(ISNUMBER($I406),IF($I406&gt;=0,$I406,""),""))</f>
        <v/>
      </c>
      <c r="AO406" s="74" t="str">
        <f aca="false">IF(ISBLANK($C406),"",IF(ISNUMBER($J406),IF($J406&gt;=0,$J406,""),""))</f>
        <v/>
      </c>
      <c r="AP406" s="74" t="str">
        <f aca="false">IF(ISBLANK($C406),"",IF(ISNUMBER($K406),IF($K406&gt;=0,$K406,""),""))</f>
        <v/>
      </c>
      <c r="AQ406" s="74" t="str">
        <f aca="false">IF(ISBLANK($C406),"",IF($L406=Constants!$B$2,TRUE(),IF($L406=Constants!$B$3,FALSE(),TRUE())))</f>
        <v/>
      </c>
      <c r="AR406" s="74" t="str">
        <f aca="false">IF(ISBLANK($C406),"",IF($M406=Constants!$B$2,TRUE(),IF($M406=Constants!$B$3,FALSE(),TRUE())))</f>
        <v/>
      </c>
      <c r="AS406" s="74" t="str">
        <f aca="false">IF(ISBLANK($C406),"",IF($N406=Constants!$B$2,TRUE(),IF($N406=Constants!$B$3,FALSE(),FALSE())))</f>
        <v/>
      </c>
      <c r="AT406" s="74" t="str">
        <f aca="false">IF(ISBLANK($C406),"",IF($O406=Constants!$B$2,TRUE(),IF($O406=Constants!$B$3,FALSE(),TRUE())))</f>
        <v/>
      </c>
      <c r="AU406" s="74" t="str">
        <f aca="false">IF(ISBLANK($C406),"",IF($P406=Constants!$B$2,TRUE(),IF($P406=Constants!$B$3,FALSE(),TRUE())))</f>
        <v/>
      </c>
      <c r="AV406" s="74" t="str">
        <f aca="false">IF(ISBLANK($C406),"",IF($Q406=Constants!$B$2,TRUE(),IF($Q406=Constants!$B$3,FALSE(),FALSE())))</f>
        <v/>
      </c>
      <c r="AW406" s="74" t="str">
        <f aca="false">IF(ISBLANK($C406),"",IF($R406=Constants!$B$2,TRUE(),IF($R406=Constants!$B$3,FALSE(),FALSE())))</f>
        <v/>
      </c>
      <c r="AX406" s="74" t="str">
        <f aca="false">IF(ISBLANK($C406),"",IF($S406=Constants!$B$2,TRUE(),IF($S406=Constants!$B$3,FALSE(),FALSE())))</f>
        <v/>
      </c>
      <c r="AY406" s="74" t="str">
        <f aca="false">IF(ISBLANK($C406),"",IF($T406=Constants!$B$2,TRUE(),IF($T406=Constants!$B$3,FALSE(),FALSE())))</f>
        <v/>
      </c>
      <c r="AZ406" s="74" t="str">
        <f aca="false">IF(ISBLANK($C406),"",IF($U406=Constants!$B$2,TRUE(),IF($U406=Constants!$B$3,FALSE(),FALSE())))</f>
        <v/>
      </c>
      <c r="BA406" s="74" t="str">
        <f aca="false">IF(ISBLANK($C406),"",IF(OR($V406&amp;""="1",$V406&amp;""="2",$V406&amp;""="3",$V406&amp;""="4"),VALUE($V406&amp;""),IF($V406=Constants!$B$12,Constants!$B$12,"")))</f>
        <v/>
      </c>
      <c r="BB406" s="74" t="str">
        <f aca="false">IF(ISBLANK($C406),"",IF(ISBLANK($W406),0,IF(ISNUMBER($W406),IF(AND($W406&gt;=0,$W406&lt;=Constants!$B$21,$W406=INT($W406)),$W406,""),"")))</f>
        <v/>
      </c>
      <c r="BC406" s="74" t="str">
        <f aca="false">IF(ISBLANK($C406),"",IF(ISBLANK($X406),0,IF(ISNUMBER($X406),IF($X406&gt;=0,$X406,""),"")))</f>
        <v/>
      </c>
      <c r="BD406" s="74" t="str">
        <f aca="false">IF(ISBLANK($C406),"",IF($Y406=Constants!$B$2,TRUE(),IF($Y406=Constants!$B$3,FALSE(),TRUE())))</f>
        <v/>
      </c>
      <c r="BE406" s="74" t="str">
        <f aca="false">IF(ISBLANK($C406),"",IF($Z406=Constants!$B$2,TRUE(),IF($Z406=Constants!$B$3,FALSE(),FALSE())))</f>
        <v/>
      </c>
      <c r="BF406" s="74" t="str">
        <f aca="false">IF(ISBLANK($C406),"",IF(ISBLANK($AA406),0,IF(ISNUMBER($AA406),IF(AND($AA406&gt;=0,$AA406&lt;=Constants!$B$35,$AA406=INT($AA406)),$AA406,""),"")))</f>
        <v/>
      </c>
      <c r="BG406" s="74" t="str">
        <f aca="false">IF(ISBLANK($C406),"",IF($AB406=Constants!$B$2,TRUE(),IF($AB406=Constants!$B$3,FALSE(),TRUE())))</f>
        <v/>
      </c>
      <c r="BH406" s="74" t="str">
        <f aca="false">IF(ISBLANK($C406),"",IF($AC406=Constants!$B$2,TRUE(),IF($AC406=Constants!$B$3,FALSE(),TRUE())))</f>
        <v/>
      </c>
      <c r="BI406" s="74" t="str">
        <f aca="false">IF(ISBLANK($C406),"",IF($AD406=Constants!$B$2,TRUE(),IF($AD406=Constants!$B$3,FALSE(),TRUE())))</f>
        <v/>
      </c>
      <c r="BJ406" s="74" t="str">
        <f aca="false">IF(ISBLANK($C406),"",IF(ISNUMBER($AE406),IF($AE406&gt;=0,$AE406,""),""))</f>
        <v/>
      </c>
      <c r="BK406" s="74" t="str">
        <f aca="false">IF(ISBLANK($C406),"",IF($AF406=Constants!$B$2,TRUE(),IF($AF406=Constants!$B$3,FALSE(),FALSE())))</f>
        <v/>
      </c>
      <c r="BL406" s="73" t="str">
        <f aca="false">IF(ISBLANK($C406),"",IF($BK406,Constants!$B$7,IF(COUNTA($E406:$AE406)=0,Constants!$B$6,IF(OR(COUNTA($G406:$AE406)=0,NOT($AM406),$AS406),Constants!$B$5,IF(OR($CM406&lt;&gt;"",$CN406,$CO406,$CP406,$CQ406,$CR406,$CS406),Constants!$B$8,Constants!$B$4)))))</f>
        <v/>
      </c>
      <c r="BM406" s="74" t="str">
        <f aca="false">IF(ISBLANK($C406),"",IF($BL406&lt;&gt;Constants!$B$4,$BL406,IF(OR(NOT($AJ406),NOT($AL406),NOT($AT406)),Constants!$B$11,IF(OR(NOT($AR406),NOT($AU406),NOT($BI406),MAX($AN406,$AO406,$AP406)&gt;Constants!$B$30),Constants!$B$10,Constants!$B$9))))</f>
        <v/>
      </c>
      <c r="BN406" s="74" t="str">
        <f aca="false">IF($BL406&lt;&gt;Constants!$B$4,"",IF(NOT($AL406),0,MIN(Constants!$B$35,$BF406)))</f>
        <v/>
      </c>
      <c r="BO406" s="74" t="str">
        <f aca="false">IF($BL406&lt;&gt;Constants!$B$4,"",IF(NOT($AL406),0,IF($AW406,Constants!$B$18,IF($AV406,Constants!$B$17,0))))</f>
        <v/>
      </c>
      <c r="BP406" s="74" t="str">
        <f aca="false">IF($BL406&lt;&gt;Constants!$B$4,"",IF(NOT($AL406),0,Constants!$B$19*($AK406+$AX406+$AY406+$AZ406)))</f>
        <v/>
      </c>
      <c r="BQ406" s="74" t="str">
        <f aca="false">IF($BL406&lt;&gt;Constants!$B$4,"",IF(OR(NOT($AL406),NOT(ISNUMBER($BA406))),0,CHOOSE($BA406,Constants!$B$13,Constants!$B$14,Constants!$B$15,Constants!$B$16)))</f>
        <v/>
      </c>
      <c r="BR406" s="74" t="str">
        <f aca="false">IF($BL406&lt;&gt;Constants!$B$4,"",IF(NOT($AL406),0,Constants!$B$20*$BB406))</f>
        <v/>
      </c>
      <c r="BS406" s="74" t="str">
        <f aca="false">IF($BL406&lt;&gt;Constants!$B$4,"",IF(AND($AL406,$BD406,$BE406),Constants!$B$22,0))</f>
        <v/>
      </c>
      <c r="BT406" s="74" t="str">
        <f aca="false">IF($BL406&lt;&gt;Constants!$B$4,"",IF(OR(NOT($AL406),NOT($BD406)),0,IF($BJ406&gt;=2*$AH$9,0,Constants!$B$23*INT(ROUND(MIN($BJ406,$AH$9),6)))))</f>
        <v/>
      </c>
      <c r="BU406" s="74" t="str">
        <f aca="false">IF($BL406&lt;&gt;Constants!$B$4,"",IF(NOT($AL406),0,Constants!$B$24*INT(ROUND(MIN($BC406,$AH$9),6))))</f>
        <v/>
      </c>
      <c r="BV406" s="74" t="str">
        <f aca="false">IF($BL406&lt;&gt;Constants!$B$4,"",IF(AND($AL406,$BN406=0),Constants!$B$25,0))</f>
        <v/>
      </c>
      <c r="BW406" s="74" t="str">
        <f aca="false">IF($BL406&lt;&gt;Constants!$B$4,"",MIN(Constants!$B$29,MAX(0,Constants!$B$27*Constants!$B$28*INT(ROUND((Constants!$B$26-$AN406)/Constants!$B$28,6))))+MIN(Constants!$B$29,MAX(0,Constants!$B$27*Constants!$B$28*INT(ROUND((Constants!$B$26-$AO406)/Constants!$B$28,6))))+MIN(Constants!$B$29,MAX(0,Constants!$B$27*Constants!$B$28*INT(ROUND((Constants!$B$26-$AP406)/Constants!$B$28,6)))))</f>
        <v/>
      </c>
      <c r="BX406" s="74" t="str">
        <f aca="false">IF($BL406&lt;&gt;Constants!$B$4,"",IF(NOT($AL406),0,Constants!$B$31*INT(ROUND(MAX(0,MIN($BJ406,2*$AH$9)-$AH$9),6))))</f>
        <v/>
      </c>
      <c r="BY406" s="74" t="str">
        <f aca="false">IF($BL406&lt;&gt;Constants!$B$4,"",Constants!$B$32*(($AN406&gt;Constants!$B$26)+($AO406&gt;Constants!$B$26)+($AP406&gt;Constants!$B$26)))</f>
        <v/>
      </c>
      <c r="BZ406" s="74" t="str">
        <f aca="false">IF($BL406&lt;&gt;Constants!$B$4,"",IF(OR(NOT($AL406),$AQ406),0,Constants!$B$33))</f>
        <v/>
      </c>
      <c r="CA406" s="74" t="str">
        <f aca="false">IF($BL406&lt;&gt;Constants!$B$4,"",Constants!$B$34*$BN406)</f>
        <v/>
      </c>
      <c r="CB406" s="74" t="str">
        <f aca="false">IF($BL406&lt;&gt;Constants!$B$4,"",IF(OR(NOT($AL406),$BH406),0,Constants!$B$36))</f>
        <v/>
      </c>
      <c r="CC406" s="74" t="str">
        <f aca="false">IF($BL406&lt;&gt;Constants!$B$4,"",IF(OR(NOT($AL406),$BG406),0,Constants!$B$37))</f>
        <v/>
      </c>
      <c r="CD406" s="74" t="str">
        <f aca="false">IF($BL406&lt;&gt;Constants!$B$4,"",SUM($BX406:$CC406))</f>
        <v/>
      </c>
      <c r="CE406" s="74" t="str">
        <f aca="false">IF(ISBLANK($C406),"",IF($BL406&lt;&gt;Constants!$B$4,$BL406,SUM($BO406:$BW406)-$CD406))</f>
        <v/>
      </c>
      <c r="CF406" s="74" t="str">
        <f aca="false">IF(ISBLANK($C406),"",IF($BL406&lt;&gt;Constants!$B$4,$BL406,RANK($CE406,$CE$9:$CE$508)))</f>
        <v/>
      </c>
      <c r="CG406" s="74" t="str">
        <f aca="false">IF(ISBLANK($C406),"",IF($BL406&lt;&gt;Constants!$B$4,$BL406,COUNTIFS($BM$9:$BM$508,"&lt;"&amp;$BM406)+COUNTIFS($BM$9:$BM$508,$BM406,$CF$9:$CF$508,"&lt;"&amp;$CF406)+1))</f>
        <v/>
      </c>
      <c r="CH406" s="74" t="str">
        <f aca="false">IF(ISBLANK($C406),"",IF($BL406&lt;&gt;Constants!$B$4,$BL406,RANK($CD406,$CD$9:$CD$508,1)))</f>
        <v/>
      </c>
      <c r="CI406" s="74" t="str">
        <f aca="false">IF($BL406&lt;&gt;Constants!$B$4,"",$AN406+$AO406+$AP406)</f>
        <v/>
      </c>
      <c r="CJ406" s="74" t="str">
        <f aca="false">IF(ISBLANK($C406),"",IF($BL406&lt;&gt;Constants!$B$4,$BL406,RANK($CI406,$CI$9:$CI$508,1)))</f>
        <v/>
      </c>
      <c r="CK406" s="74" t="str">
        <f aca="false">IF(ISBLANK($C406),"",IF($BL406&lt;&gt;Constants!$B$4,$BL406,COUNTIFS($BM$9:$BM$508,"&lt;"&amp;$BM406)+COUNTIFS($BM$9:$BM$508,$BM406,$CF$9:$CF$508,"&lt;"&amp;$CF406)+COUNTIFS($BM$9:$BM$508,$BM406,$CF$9:$CF$508,$CF406,$CH$9:$CH$508,"&lt;"&amp;$CH406)+COUNTIFS($BM$9:$BM$508,$BM406,$CF$9:$CF$508,$CF406,$CH$9:$CH$508,$CH406,$CJ$9:$CJ$508,"&lt;"&amp;$CJ406)+1))</f>
        <v/>
      </c>
      <c r="CL406" s="74" t="str">
        <f aca="false">IF(ISBLANK($C406),"",IF($BL406&lt;&gt;Constants!$B$4,$BL406,$CG406-$CK406))</f>
        <v/>
      </c>
      <c r="CM406" s="74" t="str">
        <f aca="false">IF(ISBLANK($C406),"",IF(NOT($AL406),"",IF(ISBLANK($D$7),$CM$5,IF(NOT(ISNUMBER($D$7)),$CM$6,""))))</f>
        <v/>
      </c>
      <c r="CN406" s="74" t="str">
        <f aca="false">IF(ISBLANK($C406),"",OR($AN406="",$AO406="",$AP406=""))</f>
        <v/>
      </c>
      <c r="CO406" s="74" t="str">
        <f aca="false">IF(ISBLANK($C406),"",AND($AL406,$BA406=""))</f>
        <v/>
      </c>
      <c r="CP406" s="74" t="str">
        <f aca="false">IF(ISBLANK($C406),"",AND($AL406,$BB406=""))</f>
        <v/>
      </c>
      <c r="CQ406" s="74" t="str">
        <f aca="false">IF(ISBLANK($C406),"",AND($AL406,$BC406=""))</f>
        <v/>
      </c>
      <c r="CR406" s="74" t="str">
        <f aca="false">IF(ISBLANK($C406),"",AND($AL406,$BF406=""))</f>
        <v/>
      </c>
      <c r="CS406" s="74" t="str">
        <f aca="false">IF(ISBLANK($C406),"",AND($AL406,$BJ406=""))</f>
        <v/>
      </c>
      <c r="CT406" s="75"/>
      <c r="CU406" s="76"/>
      <c r="CV406" s="79" t="str">
        <f aca="false">IF(ISBLANK($C406),"",IF($BL406=Constants!$B$8,$CM406,""))</f>
        <v/>
      </c>
      <c r="CW406" s="76" t="str">
        <f aca="false">IF(ISBLANK($C406),"",IF($BL406&lt;&gt;Constants!$B$4,"",$BO406+$BP406))</f>
        <v/>
      </c>
      <c r="CX406" s="78" t="str">
        <f aca="false">IF(ISBLANK($C406),"",IF($BL406&lt;&gt;Constants!$B$4,"",$BQ406+$BR406+$BS406))</f>
        <v/>
      </c>
      <c r="CY406" s="78" t="str">
        <f aca="false">IF(ISBLANK($C406),"",IF($BL406&lt;&gt;Constants!$B$4,"",$BT406))</f>
        <v/>
      </c>
      <c r="CZ406" s="78" t="str">
        <f aca="false">IF(ISBLANK($C406),"",IF($BL406&lt;&gt;Constants!$B$4,"",$BU406+$BV406))</f>
        <v/>
      </c>
      <c r="DA406" s="78" t="str">
        <f aca="false">IF(ISBLANK($C406),"",IF($BL406&lt;&gt;Constants!$B$4,"",$BW406))</f>
        <v/>
      </c>
      <c r="DB406" s="78" t="str">
        <f aca="false">IF(ISBLANK($C406),"",IF($BL406&lt;&gt;Constants!$B$4,"",-$CD406))</f>
        <v/>
      </c>
      <c r="DC406" s="79" t="str">
        <f aca="false">IF(ISBLANK($C406),"",$CE406)</f>
        <v/>
      </c>
      <c r="DD406" s="80" t="str">
        <f aca="false">IF(ISBLANK($C406),"",$BM406)</f>
        <v/>
      </c>
      <c r="DE406" s="78" t="str">
        <f aca="false">IF(ISBLANK($C406),"",$CL406)</f>
        <v/>
      </c>
      <c r="DF406" s="78" t="str">
        <f aca="false">IF(ISBLANK($C406),"",$CK406)</f>
        <v/>
      </c>
      <c r="DG406" s="81" t="str">
        <f aca="false">IF(ISBLANK($C406),"",IF($DF406=Constants!$B$7,COUNTA($C$9:$C$508)+2,IF($DF406=Constants!$B$6,COUNTA($C$9:$C$508)+1,IF($DF406=Constants!$B$5,COUNTA($C$9:$C$508),$DF406))))</f>
        <v/>
      </c>
      <c r="DH406" s="7"/>
      <c r="DI406" s="82" t="n">
        <f aca="false">IF(OR(ISNUMBER($DF406),$DF406=Constants!$B$7,$DF406=Constants!$B$5,$DF406=Constants!$B$6),1,0)</f>
        <v>0</v>
      </c>
      <c r="DJ406" s="82" t="n">
        <v>398</v>
      </c>
      <c r="DK406" s="82" t="str">
        <f aca="false">IF(ISBLANK($C406),"",IF(ISNUMBER($DG406),$DG406+ROW($B406)/1000,""))</f>
        <v/>
      </c>
      <c r="DL406" s="82" t="str">
        <f aca="false">IF(ISNUMBER($DK406),RANK($DK406,$DK$9:$DK$508,1),"")</f>
        <v/>
      </c>
      <c r="DM406" s="82" t="str">
        <f aca="false">IF(ISBLANK($C406),"",$B406)</f>
        <v/>
      </c>
      <c r="DN406" s="82" t="str">
        <f aca="false">IF(ISBLANK($C406),"",$C406)</f>
        <v/>
      </c>
      <c r="DO406" s="82" t="str">
        <f aca="false">IF(ISBLANK($C406),"",$D406)</f>
        <v/>
      </c>
      <c r="DP406" s="83" t="str">
        <f aca="false">$DD406</f>
        <v/>
      </c>
      <c r="DQ406" s="84" t="str">
        <f aca="false">$DC406</f>
        <v/>
      </c>
      <c r="DR406" s="82" t="str">
        <f aca="false">IF(ISBLANK($C406),"",$DF406)</f>
        <v/>
      </c>
      <c r="DS406" s="85" t="str">
        <f aca="false">IF($DJ406&gt;$DI$8,"",VLOOKUP($DJ406,$DL$9:$DR$508,7,FALSE()))</f>
        <v/>
      </c>
      <c r="DT406" s="86" t="str">
        <f aca="false">IF($DJ406&gt;$DI$8,"",VLOOKUP($DJ406,$DL$9:$DR$508,2,FALSE()))</f>
        <v/>
      </c>
      <c r="DU406" s="86" t="str">
        <f aca="false">IF($DJ406&gt;$DI$8,"",VLOOKUP($DJ406,$DL$9:$DR$508,3,FALSE()))</f>
        <v/>
      </c>
      <c r="DV406" s="86" t="str">
        <f aca="false">IF($DJ406&gt;$DI$8,"",VLOOKUP($DJ406,$DL$9:$DR$508,4,FALSE()))</f>
        <v/>
      </c>
      <c r="DW406" s="86" t="str">
        <f aca="false">IF($DJ406&gt;$DI$8,"",VLOOKUP($DJ406,$DL$9:$DR$508,5,FALSE()))</f>
        <v/>
      </c>
      <c r="DX406" s="87" t="str">
        <f aca="false">IF($DJ406&gt;$DI$8,"",VLOOKUP($DJ406,$DL$9:$DR$508,6,FALSE()))</f>
        <v/>
      </c>
      <c r="DY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88"/>
      <c r="N407" s="88"/>
      <c r="O407" s="134"/>
      <c r="P407" s="134"/>
      <c r="Q407" s="88"/>
      <c r="R407" s="88"/>
      <c r="S407" s="88"/>
      <c r="T407" s="88"/>
      <c r="U407" s="134"/>
      <c r="V407" s="88"/>
      <c r="W407" s="70"/>
      <c r="X407" s="88"/>
      <c r="Y407" s="88"/>
      <c r="Z407" s="70"/>
      <c r="AA407" s="70"/>
      <c r="AB407" s="88"/>
      <c r="AC407" s="88"/>
      <c r="AD407" s="88"/>
      <c r="AE407" s="71"/>
      <c r="AF407" s="88"/>
      <c r="AG407" s="73"/>
      <c r="AH407" s="74"/>
      <c r="AI407" s="74"/>
      <c r="AJ407" s="74" t="str">
        <f aca="false">IF(ISBLANK($C407),"",IF($E407=Constants!$B$2,TRUE(),IF($E407=Constants!$B$3,FALSE(),TRUE())))</f>
        <v/>
      </c>
      <c r="AK407" s="74" t="str">
        <f aca="false">IF(ISBLANK($C407),"",IF($F407=Constants!$B$2,TRUE(),IF($F407=Constants!$B$3,FALSE(),FALSE())))</f>
        <v/>
      </c>
      <c r="AL407" s="74" t="str">
        <f aca="false">IF(ISBLANK($C407),"",IF($G407=Constants!$B$2,TRUE(),IF($G407=Constants!$B$3,FALSE(),TRUE())))</f>
        <v/>
      </c>
      <c r="AM407" s="74" t="str">
        <f aca="false">IF(ISBLANK($C407),"",IF($H407=Constants!$B$2,TRUE(),IF($H407=Constants!$B$3,FALSE(),TRUE())))</f>
        <v/>
      </c>
      <c r="AN407" s="74" t="str">
        <f aca="false">IF(ISBLANK($C407),"",IF(ISNUMBER($I407),IF($I407&gt;=0,$I407,""),""))</f>
        <v/>
      </c>
      <c r="AO407" s="74" t="str">
        <f aca="false">IF(ISBLANK($C407),"",IF(ISNUMBER($J407),IF($J407&gt;=0,$J407,""),""))</f>
        <v/>
      </c>
      <c r="AP407" s="74" t="str">
        <f aca="false">IF(ISBLANK($C407),"",IF(ISNUMBER($K407),IF($K407&gt;=0,$K407,""),""))</f>
        <v/>
      </c>
      <c r="AQ407" s="74" t="str">
        <f aca="false">IF(ISBLANK($C407),"",IF($L407=Constants!$B$2,TRUE(),IF($L407=Constants!$B$3,FALSE(),TRUE())))</f>
        <v/>
      </c>
      <c r="AR407" s="74" t="str">
        <f aca="false">IF(ISBLANK($C407),"",IF($M407=Constants!$B$2,TRUE(),IF($M407=Constants!$B$3,FALSE(),TRUE())))</f>
        <v/>
      </c>
      <c r="AS407" s="74" t="str">
        <f aca="false">IF(ISBLANK($C407),"",IF($N407=Constants!$B$2,TRUE(),IF($N407=Constants!$B$3,FALSE(),FALSE())))</f>
        <v/>
      </c>
      <c r="AT407" s="74" t="str">
        <f aca="false">IF(ISBLANK($C407),"",IF($O407=Constants!$B$2,TRUE(),IF($O407=Constants!$B$3,FALSE(),TRUE())))</f>
        <v/>
      </c>
      <c r="AU407" s="74" t="str">
        <f aca="false">IF(ISBLANK($C407),"",IF($P407=Constants!$B$2,TRUE(),IF($P407=Constants!$B$3,FALSE(),TRUE())))</f>
        <v/>
      </c>
      <c r="AV407" s="74" t="str">
        <f aca="false">IF(ISBLANK($C407),"",IF($Q407=Constants!$B$2,TRUE(),IF($Q407=Constants!$B$3,FALSE(),FALSE())))</f>
        <v/>
      </c>
      <c r="AW407" s="74" t="str">
        <f aca="false">IF(ISBLANK($C407),"",IF($R407=Constants!$B$2,TRUE(),IF($R407=Constants!$B$3,FALSE(),FALSE())))</f>
        <v/>
      </c>
      <c r="AX407" s="74" t="str">
        <f aca="false">IF(ISBLANK($C407),"",IF($S407=Constants!$B$2,TRUE(),IF($S407=Constants!$B$3,FALSE(),FALSE())))</f>
        <v/>
      </c>
      <c r="AY407" s="74" t="str">
        <f aca="false">IF(ISBLANK($C407),"",IF($T407=Constants!$B$2,TRUE(),IF($T407=Constants!$B$3,FALSE(),FALSE())))</f>
        <v/>
      </c>
      <c r="AZ407" s="74" t="str">
        <f aca="false">IF(ISBLANK($C407),"",IF($U407=Constants!$B$2,TRUE(),IF($U407=Constants!$B$3,FALSE(),FALSE())))</f>
        <v/>
      </c>
      <c r="BA407" s="74" t="str">
        <f aca="false">IF(ISBLANK($C407),"",IF(OR($V407&amp;""="1",$V407&amp;""="2",$V407&amp;""="3",$V407&amp;""="4"),VALUE($V407&amp;""),IF($V407=Constants!$B$12,Constants!$B$12,"")))</f>
        <v/>
      </c>
      <c r="BB407" s="74" t="str">
        <f aca="false">IF(ISBLANK($C407),"",IF(ISBLANK($W407),0,IF(ISNUMBER($W407),IF(AND($W407&gt;=0,$W407&lt;=Constants!$B$21,$W407=INT($W407)),$W407,""),"")))</f>
        <v/>
      </c>
      <c r="BC407" s="74" t="str">
        <f aca="false">IF(ISBLANK($C407),"",IF(ISBLANK($X407),0,IF(ISNUMBER($X407),IF($X407&gt;=0,$X407,""),"")))</f>
        <v/>
      </c>
      <c r="BD407" s="74" t="str">
        <f aca="false">IF(ISBLANK($C407),"",IF($Y407=Constants!$B$2,TRUE(),IF($Y407=Constants!$B$3,FALSE(),TRUE())))</f>
        <v/>
      </c>
      <c r="BE407" s="74" t="str">
        <f aca="false">IF(ISBLANK($C407),"",IF($Z407=Constants!$B$2,TRUE(),IF($Z407=Constants!$B$3,FALSE(),FALSE())))</f>
        <v/>
      </c>
      <c r="BF407" s="74" t="str">
        <f aca="false">IF(ISBLANK($C407),"",IF(ISBLANK($AA407),0,IF(ISNUMBER($AA407),IF(AND($AA407&gt;=0,$AA407&lt;=Constants!$B$35,$AA407=INT($AA407)),$AA407,""),"")))</f>
        <v/>
      </c>
      <c r="BG407" s="74" t="str">
        <f aca="false">IF(ISBLANK($C407),"",IF($AB407=Constants!$B$2,TRUE(),IF($AB407=Constants!$B$3,FALSE(),TRUE())))</f>
        <v/>
      </c>
      <c r="BH407" s="74" t="str">
        <f aca="false">IF(ISBLANK($C407),"",IF($AC407=Constants!$B$2,TRUE(),IF($AC407=Constants!$B$3,FALSE(),TRUE())))</f>
        <v/>
      </c>
      <c r="BI407" s="74" t="str">
        <f aca="false">IF(ISBLANK($C407),"",IF($AD407=Constants!$B$2,TRUE(),IF($AD407=Constants!$B$3,FALSE(),TRUE())))</f>
        <v/>
      </c>
      <c r="BJ407" s="74" t="str">
        <f aca="false">IF(ISBLANK($C407),"",IF(ISNUMBER($AE407),IF($AE407&gt;=0,$AE407,""),""))</f>
        <v/>
      </c>
      <c r="BK407" s="74" t="str">
        <f aca="false">IF(ISBLANK($C407),"",IF($AF407=Constants!$B$2,TRUE(),IF($AF407=Constants!$B$3,FALSE(),FALSE())))</f>
        <v/>
      </c>
      <c r="BL407" s="73" t="str">
        <f aca="false">IF(ISBLANK($C407),"",IF($BK407,Constants!$B$7,IF(COUNTA($E407:$AE407)=0,Constants!$B$6,IF(OR(COUNTA($G407:$AE407)=0,NOT($AM407),$AS407),Constants!$B$5,IF(OR($CM407&lt;&gt;"",$CN407,$CO407,$CP407,$CQ407,$CR407,$CS407),Constants!$B$8,Constants!$B$4)))))</f>
        <v/>
      </c>
      <c r="BM407" s="74" t="str">
        <f aca="false">IF(ISBLANK($C407),"",IF($BL407&lt;&gt;Constants!$B$4,$BL407,IF(OR(NOT($AJ407),NOT($AL407),NOT($AT407)),Constants!$B$11,IF(OR(NOT($AR407),NOT($AU407),NOT($BI407),MAX($AN407,$AO407,$AP407)&gt;Constants!$B$30),Constants!$B$10,Constants!$B$9))))</f>
        <v/>
      </c>
      <c r="BN407" s="74" t="str">
        <f aca="false">IF($BL407&lt;&gt;Constants!$B$4,"",IF(NOT($AL407),0,MIN(Constants!$B$35,$BF407)))</f>
        <v/>
      </c>
      <c r="BO407" s="74" t="str">
        <f aca="false">IF($BL407&lt;&gt;Constants!$B$4,"",IF(NOT($AL407),0,IF($AW407,Constants!$B$18,IF($AV407,Constants!$B$17,0))))</f>
        <v/>
      </c>
      <c r="BP407" s="74" t="str">
        <f aca="false">IF($BL407&lt;&gt;Constants!$B$4,"",IF(NOT($AL407),0,Constants!$B$19*($AK407+$AX407+$AY407+$AZ407)))</f>
        <v/>
      </c>
      <c r="BQ407" s="74" t="str">
        <f aca="false">IF($BL407&lt;&gt;Constants!$B$4,"",IF(OR(NOT($AL407),NOT(ISNUMBER($BA407))),0,CHOOSE($BA407,Constants!$B$13,Constants!$B$14,Constants!$B$15,Constants!$B$16)))</f>
        <v/>
      </c>
      <c r="BR407" s="74" t="str">
        <f aca="false">IF($BL407&lt;&gt;Constants!$B$4,"",IF(NOT($AL407),0,Constants!$B$20*$BB407))</f>
        <v/>
      </c>
      <c r="BS407" s="74" t="str">
        <f aca="false">IF($BL407&lt;&gt;Constants!$B$4,"",IF(AND($AL407,$BD407,$BE407),Constants!$B$22,0))</f>
        <v/>
      </c>
      <c r="BT407" s="74" t="str">
        <f aca="false">IF($BL407&lt;&gt;Constants!$B$4,"",IF(OR(NOT($AL407),NOT($BD407)),0,IF($BJ407&gt;=2*$AH$9,0,Constants!$B$23*INT(ROUND(MIN($BJ407,$AH$9),6)))))</f>
        <v/>
      </c>
      <c r="BU407" s="74" t="str">
        <f aca="false">IF($BL407&lt;&gt;Constants!$B$4,"",IF(NOT($AL407),0,Constants!$B$24*INT(ROUND(MIN($BC407,$AH$9),6))))</f>
        <v/>
      </c>
      <c r="BV407" s="74" t="str">
        <f aca="false">IF($BL407&lt;&gt;Constants!$B$4,"",IF(AND($AL407,$BN407=0),Constants!$B$25,0))</f>
        <v/>
      </c>
      <c r="BW407" s="74" t="str">
        <f aca="false">IF($BL407&lt;&gt;Constants!$B$4,"",MIN(Constants!$B$29,MAX(0,Constants!$B$27*Constants!$B$28*INT(ROUND((Constants!$B$26-$AN407)/Constants!$B$28,6))))+MIN(Constants!$B$29,MAX(0,Constants!$B$27*Constants!$B$28*INT(ROUND((Constants!$B$26-$AO407)/Constants!$B$28,6))))+MIN(Constants!$B$29,MAX(0,Constants!$B$27*Constants!$B$28*INT(ROUND((Constants!$B$26-$AP407)/Constants!$B$28,6)))))</f>
        <v/>
      </c>
      <c r="BX407" s="74" t="str">
        <f aca="false">IF($BL407&lt;&gt;Constants!$B$4,"",IF(NOT($AL407),0,Constants!$B$31*INT(ROUND(MAX(0,MIN($BJ407,2*$AH$9)-$AH$9),6))))</f>
        <v/>
      </c>
      <c r="BY407" s="74" t="str">
        <f aca="false">IF($BL407&lt;&gt;Constants!$B$4,"",Constants!$B$32*(($AN407&gt;Constants!$B$26)+($AO407&gt;Constants!$B$26)+($AP407&gt;Constants!$B$26)))</f>
        <v/>
      </c>
      <c r="BZ407" s="74" t="str">
        <f aca="false">IF($BL407&lt;&gt;Constants!$B$4,"",IF(OR(NOT($AL407),$AQ407),0,Constants!$B$33))</f>
        <v/>
      </c>
      <c r="CA407" s="74" t="str">
        <f aca="false">IF($BL407&lt;&gt;Constants!$B$4,"",Constants!$B$34*$BN407)</f>
        <v/>
      </c>
      <c r="CB407" s="74" t="str">
        <f aca="false">IF($BL407&lt;&gt;Constants!$B$4,"",IF(OR(NOT($AL407),$BH407),0,Constants!$B$36))</f>
        <v/>
      </c>
      <c r="CC407" s="74" t="str">
        <f aca="false">IF($BL407&lt;&gt;Constants!$B$4,"",IF(OR(NOT($AL407),$BG407),0,Constants!$B$37))</f>
        <v/>
      </c>
      <c r="CD407" s="74" t="str">
        <f aca="false">IF($BL407&lt;&gt;Constants!$B$4,"",SUM($BX407:$CC407))</f>
        <v/>
      </c>
      <c r="CE407" s="74" t="str">
        <f aca="false">IF(ISBLANK($C407),"",IF($BL407&lt;&gt;Constants!$B$4,$BL407,SUM($BO407:$BW407)-$CD407))</f>
        <v/>
      </c>
      <c r="CF407" s="74" t="str">
        <f aca="false">IF(ISBLANK($C407),"",IF($BL407&lt;&gt;Constants!$B$4,$BL407,RANK($CE407,$CE$9:$CE$508)))</f>
        <v/>
      </c>
      <c r="CG407" s="74" t="str">
        <f aca="false">IF(ISBLANK($C407),"",IF($BL407&lt;&gt;Constants!$B$4,$BL407,COUNTIFS($BM$9:$BM$508,"&lt;"&amp;$BM407)+COUNTIFS($BM$9:$BM$508,$BM407,$CF$9:$CF$508,"&lt;"&amp;$CF407)+1))</f>
        <v/>
      </c>
      <c r="CH407" s="74" t="str">
        <f aca="false">IF(ISBLANK($C407),"",IF($BL407&lt;&gt;Constants!$B$4,$BL407,RANK($CD407,$CD$9:$CD$508,1)))</f>
        <v/>
      </c>
      <c r="CI407" s="74" t="str">
        <f aca="false">IF($BL407&lt;&gt;Constants!$B$4,"",$AN407+$AO407+$AP407)</f>
        <v/>
      </c>
      <c r="CJ407" s="74" t="str">
        <f aca="false">IF(ISBLANK($C407),"",IF($BL407&lt;&gt;Constants!$B$4,$BL407,RANK($CI407,$CI$9:$CI$508,1)))</f>
        <v/>
      </c>
      <c r="CK407" s="74" t="str">
        <f aca="false">IF(ISBLANK($C407),"",IF($BL407&lt;&gt;Constants!$B$4,$BL407,COUNTIFS($BM$9:$BM$508,"&lt;"&amp;$BM407)+COUNTIFS($BM$9:$BM$508,$BM407,$CF$9:$CF$508,"&lt;"&amp;$CF407)+COUNTIFS($BM$9:$BM$508,$BM407,$CF$9:$CF$508,$CF407,$CH$9:$CH$508,"&lt;"&amp;$CH407)+COUNTIFS($BM$9:$BM$508,$BM407,$CF$9:$CF$508,$CF407,$CH$9:$CH$508,$CH407,$CJ$9:$CJ$508,"&lt;"&amp;$CJ407)+1))</f>
        <v/>
      </c>
      <c r="CL407" s="74" t="str">
        <f aca="false">IF(ISBLANK($C407),"",IF($BL407&lt;&gt;Constants!$B$4,$BL407,$CG407-$CK407))</f>
        <v/>
      </c>
      <c r="CM407" s="74" t="str">
        <f aca="false">IF(ISBLANK($C407),"",IF(NOT($AL407),"",IF(ISBLANK($D$7),$CM$5,IF(NOT(ISNUMBER($D$7)),$CM$6,""))))</f>
        <v/>
      </c>
      <c r="CN407" s="74" t="str">
        <f aca="false">IF(ISBLANK($C407),"",OR($AN407="",$AO407="",$AP407=""))</f>
        <v/>
      </c>
      <c r="CO407" s="74" t="str">
        <f aca="false">IF(ISBLANK($C407),"",AND($AL407,$BA407=""))</f>
        <v/>
      </c>
      <c r="CP407" s="74" t="str">
        <f aca="false">IF(ISBLANK($C407),"",AND($AL407,$BB407=""))</f>
        <v/>
      </c>
      <c r="CQ407" s="74" t="str">
        <f aca="false">IF(ISBLANK($C407),"",AND($AL407,$BC407=""))</f>
        <v/>
      </c>
      <c r="CR407" s="74" t="str">
        <f aca="false">IF(ISBLANK($C407),"",AND($AL407,$BF407=""))</f>
        <v/>
      </c>
      <c r="CS407" s="74" t="str">
        <f aca="false">IF(ISBLANK($C407),"",AND($AL407,$BJ407=""))</f>
        <v/>
      </c>
      <c r="CT407" s="75"/>
      <c r="CU407" s="76"/>
      <c r="CV407" s="79" t="str">
        <f aca="false">IF(ISBLANK($C407),"",IF($BL407=Constants!$B$8,$CM407,""))</f>
        <v/>
      </c>
      <c r="CW407" s="76" t="str">
        <f aca="false">IF(ISBLANK($C407),"",IF($BL407&lt;&gt;Constants!$B$4,"",$BO407+$BP407))</f>
        <v/>
      </c>
      <c r="CX407" s="78" t="str">
        <f aca="false">IF(ISBLANK($C407),"",IF($BL407&lt;&gt;Constants!$B$4,"",$BQ407+$BR407+$BS407))</f>
        <v/>
      </c>
      <c r="CY407" s="78" t="str">
        <f aca="false">IF(ISBLANK($C407),"",IF($BL407&lt;&gt;Constants!$B$4,"",$BT407))</f>
        <v/>
      </c>
      <c r="CZ407" s="78" t="str">
        <f aca="false">IF(ISBLANK($C407),"",IF($BL407&lt;&gt;Constants!$B$4,"",$BU407+$BV407))</f>
        <v/>
      </c>
      <c r="DA407" s="78" t="str">
        <f aca="false">IF(ISBLANK($C407),"",IF($BL407&lt;&gt;Constants!$B$4,"",$BW407))</f>
        <v/>
      </c>
      <c r="DB407" s="78" t="str">
        <f aca="false">IF(ISBLANK($C407),"",IF($BL407&lt;&gt;Constants!$B$4,"",-$CD407))</f>
        <v/>
      </c>
      <c r="DC407" s="79" t="str">
        <f aca="false">IF(ISBLANK($C407),"",$CE407)</f>
        <v/>
      </c>
      <c r="DD407" s="80" t="str">
        <f aca="false">IF(ISBLANK($C407),"",$BM407)</f>
        <v/>
      </c>
      <c r="DE407" s="78" t="str">
        <f aca="false">IF(ISBLANK($C407),"",$CL407)</f>
        <v/>
      </c>
      <c r="DF407" s="78" t="str">
        <f aca="false">IF(ISBLANK($C407),"",$CK407)</f>
        <v/>
      </c>
      <c r="DG407" s="81" t="str">
        <f aca="false">IF(ISBLANK($C407),"",IF($DF407=Constants!$B$7,COUNTA($C$9:$C$508)+2,IF($DF407=Constants!$B$6,COUNTA($C$9:$C$508)+1,IF($DF407=Constants!$B$5,COUNTA($C$9:$C$508),$DF407))))</f>
        <v/>
      </c>
      <c r="DH407" s="7"/>
      <c r="DI407" s="82" t="n">
        <f aca="false">IF(OR(ISNUMBER($DF407),$DF407=Constants!$B$7,$DF407=Constants!$B$5,$DF407=Constants!$B$6),1,0)</f>
        <v>0</v>
      </c>
      <c r="DJ407" s="82" t="n">
        <v>399</v>
      </c>
      <c r="DK407" s="82" t="str">
        <f aca="false">IF(ISBLANK($C407),"",IF(ISNUMBER($DG407),$DG407+ROW($B407)/1000,""))</f>
        <v/>
      </c>
      <c r="DL407" s="82" t="str">
        <f aca="false">IF(ISNUMBER($DK407),RANK($DK407,$DK$9:$DK$508,1),"")</f>
        <v/>
      </c>
      <c r="DM407" s="82" t="str">
        <f aca="false">IF(ISBLANK($C407),"",$B407)</f>
        <v/>
      </c>
      <c r="DN407" s="82" t="str">
        <f aca="false">IF(ISBLANK($C407),"",$C407)</f>
        <v/>
      </c>
      <c r="DO407" s="82" t="str">
        <f aca="false">IF(ISBLANK($C407),"",$D407)</f>
        <v/>
      </c>
      <c r="DP407" s="83" t="str">
        <f aca="false">$DD407</f>
        <v/>
      </c>
      <c r="DQ407" s="84" t="str">
        <f aca="false">$DC407</f>
        <v/>
      </c>
      <c r="DR407" s="82" t="str">
        <f aca="false">IF(ISBLANK($C407),"",$DF407)</f>
        <v/>
      </c>
      <c r="DS407" s="85" t="str">
        <f aca="false">IF($DJ407&gt;$DI$8,"",VLOOKUP($DJ407,$DL$9:$DR$508,7,FALSE()))</f>
        <v/>
      </c>
      <c r="DT407" s="86" t="str">
        <f aca="false">IF($DJ407&gt;$DI$8,"",VLOOKUP($DJ407,$DL$9:$DR$508,2,FALSE()))</f>
        <v/>
      </c>
      <c r="DU407" s="86" t="str">
        <f aca="false">IF($DJ407&gt;$DI$8,"",VLOOKUP($DJ407,$DL$9:$DR$508,3,FALSE()))</f>
        <v/>
      </c>
      <c r="DV407" s="86" t="str">
        <f aca="false">IF($DJ407&gt;$DI$8,"",VLOOKUP($DJ407,$DL$9:$DR$508,4,FALSE()))</f>
        <v/>
      </c>
      <c r="DW407" s="86" t="str">
        <f aca="false">IF($DJ407&gt;$DI$8,"",VLOOKUP($DJ407,$DL$9:$DR$508,5,FALSE()))</f>
        <v/>
      </c>
      <c r="DX407" s="87" t="str">
        <f aca="false">IF($DJ407&gt;$DI$8,"",VLOOKUP($DJ407,$DL$9:$DR$508,6,FALSE()))</f>
        <v/>
      </c>
      <c r="DY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130"/>
      <c r="N408" s="130"/>
      <c r="O408" s="135"/>
      <c r="P408" s="135"/>
      <c r="Q408" s="130"/>
      <c r="R408" s="130"/>
      <c r="S408" s="130"/>
      <c r="T408" s="130"/>
      <c r="U408" s="135"/>
      <c r="V408" s="130"/>
      <c r="W408" s="96"/>
      <c r="X408" s="130"/>
      <c r="Y408" s="130"/>
      <c r="Z408" s="96"/>
      <c r="AA408" s="96"/>
      <c r="AB408" s="130"/>
      <c r="AC408" s="130"/>
      <c r="AD408" s="130"/>
      <c r="AE408" s="97"/>
      <c r="AF408" s="130"/>
      <c r="AG408" s="99"/>
      <c r="AH408" s="100"/>
      <c r="AI408" s="100"/>
      <c r="AJ408" s="100" t="str">
        <f aca="false">IF(ISBLANK($C408),"",IF($E408=Constants!$B$2,TRUE(),IF($E408=Constants!$B$3,FALSE(),TRUE())))</f>
        <v/>
      </c>
      <c r="AK408" s="100" t="str">
        <f aca="false">IF(ISBLANK($C408),"",IF($F408=Constants!$B$2,TRUE(),IF($F408=Constants!$B$3,FALSE(),FALSE())))</f>
        <v/>
      </c>
      <c r="AL408" s="100" t="str">
        <f aca="false">IF(ISBLANK($C408),"",IF($G408=Constants!$B$2,TRUE(),IF($G408=Constants!$B$3,FALSE(),TRUE())))</f>
        <v/>
      </c>
      <c r="AM408" s="100" t="str">
        <f aca="false">IF(ISBLANK($C408),"",IF($H408=Constants!$B$2,TRUE(),IF($H408=Constants!$B$3,FALSE(),TRUE())))</f>
        <v/>
      </c>
      <c r="AN408" s="100" t="str">
        <f aca="false">IF(ISBLANK($C408),"",IF(ISNUMBER($I408),IF($I408&gt;=0,$I408,""),""))</f>
        <v/>
      </c>
      <c r="AO408" s="100" t="str">
        <f aca="false">IF(ISBLANK($C408),"",IF(ISNUMBER($J408),IF($J408&gt;=0,$J408,""),""))</f>
        <v/>
      </c>
      <c r="AP408" s="100" t="str">
        <f aca="false">IF(ISBLANK($C408),"",IF(ISNUMBER($K408),IF($K408&gt;=0,$K408,""),""))</f>
        <v/>
      </c>
      <c r="AQ408" s="100" t="str">
        <f aca="false">IF(ISBLANK($C408),"",IF($L408=Constants!$B$2,TRUE(),IF($L408=Constants!$B$3,FALSE(),TRUE())))</f>
        <v/>
      </c>
      <c r="AR408" s="100" t="str">
        <f aca="false">IF(ISBLANK($C408),"",IF($M408=Constants!$B$2,TRUE(),IF($M408=Constants!$B$3,FALSE(),TRUE())))</f>
        <v/>
      </c>
      <c r="AS408" s="100" t="str">
        <f aca="false">IF(ISBLANK($C408),"",IF($N408=Constants!$B$2,TRUE(),IF($N408=Constants!$B$3,FALSE(),FALSE())))</f>
        <v/>
      </c>
      <c r="AT408" s="100" t="str">
        <f aca="false">IF(ISBLANK($C408),"",IF($O408=Constants!$B$2,TRUE(),IF($O408=Constants!$B$3,FALSE(),TRUE())))</f>
        <v/>
      </c>
      <c r="AU408" s="100" t="str">
        <f aca="false">IF(ISBLANK($C408),"",IF($P408=Constants!$B$2,TRUE(),IF($P408=Constants!$B$3,FALSE(),TRUE())))</f>
        <v/>
      </c>
      <c r="AV408" s="100" t="str">
        <f aca="false">IF(ISBLANK($C408),"",IF($Q408=Constants!$B$2,TRUE(),IF($Q408=Constants!$B$3,FALSE(),FALSE())))</f>
        <v/>
      </c>
      <c r="AW408" s="100" t="str">
        <f aca="false">IF(ISBLANK($C408),"",IF($R408=Constants!$B$2,TRUE(),IF($R408=Constants!$B$3,FALSE(),FALSE())))</f>
        <v/>
      </c>
      <c r="AX408" s="100" t="str">
        <f aca="false">IF(ISBLANK($C408),"",IF($S408=Constants!$B$2,TRUE(),IF($S408=Constants!$B$3,FALSE(),FALSE())))</f>
        <v/>
      </c>
      <c r="AY408" s="100" t="str">
        <f aca="false">IF(ISBLANK($C408),"",IF($T408=Constants!$B$2,TRUE(),IF($T408=Constants!$B$3,FALSE(),FALSE())))</f>
        <v/>
      </c>
      <c r="AZ408" s="100" t="str">
        <f aca="false">IF(ISBLANK($C408),"",IF($U408=Constants!$B$2,TRUE(),IF($U408=Constants!$B$3,FALSE(),FALSE())))</f>
        <v/>
      </c>
      <c r="BA408" s="100" t="str">
        <f aca="false">IF(ISBLANK($C408),"",IF(OR($V408&amp;""="1",$V408&amp;""="2",$V408&amp;""="3",$V408&amp;""="4"),VALUE($V408&amp;""),IF($V408=Constants!$B$12,Constants!$B$12,"")))</f>
        <v/>
      </c>
      <c r="BB408" s="100" t="str">
        <f aca="false">IF(ISBLANK($C408),"",IF(ISBLANK($W408),0,IF(ISNUMBER($W408),IF(AND($W408&gt;=0,$W408&lt;=Constants!$B$21,$W408=INT($W408)),$W408,""),"")))</f>
        <v/>
      </c>
      <c r="BC408" s="100" t="str">
        <f aca="false">IF(ISBLANK($C408),"",IF(ISBLANK($X408),0,IF(ISNUMBER($X408),IF($X408&gt;=0,$X408,""),"")))</f>
        <v/>
      </c>
      <c r="BD408" s="100" t="str">
        <f aca="false">IF(ISBLANK($C408),"",IF($Y408=Constants!$B$2,TRUE(),IF($Y408=Constants!$B$3,FALSE(),TRUE())))</f>
        <v/>
      </c>
      <c r="BE408" s="100" t="str">
        <f aca="false">IF(ISBLANK($C408),"",IF($Z408=Constants!$B$2,TRUE(),IF($Z408=Constants!$B$3,FALSE(),FALSE())))</f>
        <v/>
      </c>
      <c r="BF408" s="100" t="str">
        <f aca="false">IF(ISBLANK($C408),"",IF(ISBLANK($AA408),0,IF(ISNUMBER($AA408),IF(AND($AA408&gt;=0,$AA408&lt;=Constants!$B$35,$AA408=INT($AA408)),$AA408,""),"")))</f>
        <v/>
      </c>
      <c r="BG408" s="100" t="str">
        <f aca="false">IF(ISBLANK($C408),"",IF($AB408=Constants!$B$2,TRUE(),IF($AB408=Constants!$B$3,FALSE(),TRUE())))</f>
        <v/>
      </c>
      <c r="BH408" s="100" t="str">
        <f aca="false">IF(ISBLANK($C408),"",IF($AC408=Constants!$B$2,TRUE(),IF($AC408=Constants!$B$3,FALSE(),TRUE())))</f>
        <v/>
      </c>
      <c r="BI408" s="100" t="str">
        <f aca="false">IF(ISBLANK($C408),"",IF($AD408=Constants!$B$2,TRUE(),IF($AD408=Constants!$B$3,FALSE(),TRUE())))</f>
        <v/>
      </c>
      <c r="BJ408" s="100" t="str">
        <f aca="false">IF(ISBLANK($C408),"",IF(ISNUMBER($AE408),IF($AE408&gt;=0,$AE408,""),""))</f>
        <v/>
      </c>
      <c r="BK408" s="100" t="str">
        <f aca="false">IF(ISBLANK($C408),"",IF($AF408=Constants!$B$2,TRUE(),IF($AF408=Constants!$B$3,FALSE(),FALSE())))</f>
        <v/>
      </c>
      <c r="BL408" s="99" t="str">
        <f aca="false">IF(ISBLANK($C408),"",IF($BK408,Constants!$B$7,IF(COUNTA($E408:$AE408)=0,Constants!$B$6,IF(OR(COUNTA($G408:$AE408)=0,NOT($AM408),$AS408),Constants!$B$5,IF(OR($CM408&lt;&gt;"",$CN408,$CO408,$CP408,$CQ408,$CR408,$CS408),Constants!$B$8,Constants!$B$4)))))</f>
        <v/>
      </c>
      <c r="BM408" s="100" t="str">
        <f aca="false">IF(ISBLANK($C408),"",IF($BL408&lt;&gt;Constants!$B$4,$BL408,IF(OR(NOT($AJ408),NOT($AL408),NOT($AT408)),Constants!$B$11,IF(OR(NOT($AR408),NOT($AU408),NOT($BI408),MAX($AN408,$AO408,$AP408)&gt;Constants!$B$30),Constants!$B$10,Constants!$B$9))))</f>
        <v/>
      </c>
      <c r="BN408" s="100" t="str">
        <f aca="false">IF($BL408&lt;&gt;Constants!$B$4,"",IF(NOT($AL408),0,MIN(Constants!$B$35,$BF408)))</f>
        <v/>
      </c>
      <c r="BO408" s="100" t="str">
        <f aca="false">IF($BL408&lt;&gt;Constants!$B$4,"",IF(NOT($AL408),0,IF($AW408,Constants!$B$18,IF($AV408,Constants!$B$17,0))))</f>
        <v/>
      </c>
      <c r="BP408" s="100" t="str">
        <f aca="false">IF($BL408&lt;&gt;Constants!$B$4,"",IF(NOT($AL408),0,Constants!$B$19*($AK408+$AX408+$AY408+$AZ408)))</f>
        <v/>
      </c>
      <c r="BQ408" s="100" t="str">
        <f aca="false">IF($BL408&lt;&gt;Constants!$B$4,"",IF(OR(NOT($AL408),NOT(ISNUMBER($BA408))),0,CHOOSE($BA408,Constants!$B$13,Constants!$B$14,Constants!$B$15,Constants!$B$16)))</f>
        <v/>
      </c>
      <c r="BR408" s="100" t="str">
        <f aca="false">IF($BL408&lt;&gt;Constants!$B$4,"",IF(NOT($AL408),0,Constants!$B$20*$BB408))</f>
        <v/>
      </c>
      <c r="BS408" s="100" t="str">
        <f aca="false">IF($BL408&lt;&gt;Constants!$B$4,"",IF(AND($AL408,$BD408,$BE408),Constants!$B$22,0))</f>
        <v/>
      </c>
      <c r="BT408" s="100" t="str">
        <f aca="false">IF($BL408&lt;&gt;Constants!$B$4,"",IF(OR(NOT($AL408),NOT($BD408)),0,IF($BJ408&gt;=2*$AH$9,0,Constants!$B$23*INT(ROUND(MIN($BJ408,$AH$9),6)))))</f>
        <v/>
      </c>
      <c r="BU408" s="100" t="str">
        <f aca="false">IF($BL408&lt;&gt;Constants!$B$4,"",IF(NOT($AL408),0,Constants!$B$24*INT(ROUND(MIN($BC408,$AH$9),6))))</f>
        <v/>
      </c>
      <c r="BV408" s="100" t="str">
        <f aca="false">IF($BL408&lt;&gt;Constants!$B$4,"",IF(AND($AL408,$BN408=0),Constants!$B$25,0))</f>
        <v/>
      </c>
      <c r="BW408" s="100" t="str">
        <f aca="false">IF($BL408&lt;&gt;Constants!$B$4,"",MIN(Constants!$B$29,MAX(0,Constants!$B$27*Constants!$B$28*INT(ROUND((Constants!$B$26-$AN408)/Constants!$B$28,6))))+MIN(Constants!$B$29,MAX(0,Constants!$B$27*Constants!$B$28*INT(ROUND((Constants!$B$26-$AO408)/Constants!$B$28,6))))+MIN(Constants!$B$29,MAX(0,Constants!$B$27*Constants!$B$28*INT(ROUND((Constants!$B$26-$AP408)/Constants!$B$28,6)))))</f>
        <v/>
      </c>
      <c r="BX408" s="100" t="str">
        <f aca="false">IF($BL408&lt;&gt;Constants!$B$4,"",IF(NOT($AL408),0,Constants!$B$31*INT(ROUND(MAX(0,MIN($BJ408,2*$AH$9)-$AH$9),6))))</f>
        <v/>
      </c>
      <c r="BY408" s="100" t="str">
        <f aca="false">IF($BL408&lt;&gt;Constants!$B$4,"",Constants!$B$32*(($AN408&gt;Constants!$B$26)+($AO408&gt;Constants!$B$26)+($AP408&gt;Constants!$B$26)))</f>
        <v/>
      </c>
      <c r="BZ408" s="100" t="str">
        <f aca="false">IF($BL408&lt;&gt;Constants!$B$4,"",IF(OR(NOT($AL408),$AQ408),0,Constants!$B$33))</f>
        <v/>
      </c>
      <c r="CA408" s="100" t="str">
        <f aca="false">IF($BL408&lt;&gt;Constants!$B$4,"",Constants!$B$34*$BN408)</f>
        <v/>
      </c>
      <c r="CB408" s="100" t="str">
        <f aca="false">IF($BL408&lt;&gt;Constants!$B$4,"",IF(OR(NOT($AL408),$BH408),0,Constants!$B$36))</f>
        <v/>
      </c>
      <c r="CC408" s="100" t="str">
        <f aca="false">IF($BL408&lt;&gt;Constants!$B$4,"",IF(OR(NOT($AL408),$BG408),0,Constants!$B$37))</f>
        <v/>
      </c>
      <c r="CD408" s="100" t="str">
        <f aca="false">IF($BL408&lt;&gt;Constants!$B$4,"",SUM($BX408:$CC408))</f>
        <v/>
      </c>
      <c r="CE408" s="100" t="str">
        <f aca="false">IF(ISBLANK($C408),"",IF($BL408&lt;&gt;Constants!$B$4,$BL408,SUM($BO408:$BW408)-$CD408))</f>
        <v/>
      </c>
      <c r="CF408" s="100" t="str">
        <f aca="false">IF(ISBLANK($C408),"",IF($BL408&lt;&gt;Constants!$B$4,$BL408,RANK($CE408,$CE$9:$CE$508)))</f>
        <v/>
      </c>
      <c r="CG408" s="100" t="str">
        <f aca="false">IF(ISBLANK($C408),"",IF($BL408&lt;&gt;Constants!$B$4,$BL408,COUNTIFS($BM$9:$BM$508,"&lt;"&amp;$BM408)+COUNTIFS($BM$9:$BM$508,$BM408,$CF$9:$CF$508,"&lt;"&amp;$CF408)+1))</f>
        <v/>
      </c>
      <c r="CH408" s="100" t="str">
        <f aca="false">IF(ISBLANK($C408),"",IF($BL408&lt;&gt;Constants!$B$4,$BL408,RANK($CD408,$CD$9:$CD$508,1)))</f>
        <v/>
      </c>
      <c r="CI408" s="100" t="str">
        <f aca="false">IF($BL408&lt;&gt;Constants!$B$4,"",$AN408+$AO408+$AP408)</f>
        <v/>
      </c>
      <c r="CJ408" s="100" t="str">
        <f aca="false">IF(ISBLANK($C408),"",IF($BL408&lt;&gt;Constants!$B$4,$BL408,RANK($CI408,$CI$9:$CI$508,1)))</f>
        <v/>
      </c>
      <c r="CK408" s="100" t="str">
        <f aca="false">IF(ISBLANK($C408),"",IF($BL408&lt;&gt;Constants!$B$4,$BL408,COUNTIFS($BM$9:$BM$508,"&lt;"&amp;$BM408)+COUNTIFS($BM$9:$BM$508,$BM408,$CF$9:$CF$508,"&lt;"&amp;$CF408)+COUNTIFS($BM$9:$BM$508,$BM408,$CF$9:$CF$508,$CF408,$CH$9:$CH$508,"&lt;"&amp;$CH408)+COUNTIFS($BM$9:$BM$508,$BM408,$CF$9:$CF$508,$CF408,$CH$9:$CH$508,$CH408,$CJ$9:$CJ$508,"&lt;"&amp;$CJ408)+1))</f>
        <v/>
      </c>
      <c r="CL408" s="100" t="str">
        <f aca="false">IF(ISBLANK($C408),"",IF($BL408&lt;&gt;Constants!$B$4,$BL408,$CG408-$CK408))</f>
        <v/>
      </c>
      <c r="CM408" s="100" t="str">
        <f aca="false">IF(ISBLANK($C408),"",IF(NOT($AL408),"",IF(ISBLANK($D$7),$CM$5,IF(NOT(ISNUMBER($D$7)),$CM$6,""))))</f>
        <v/>
      </c>
      <c r="CN408" s="100" t="str">
        <f aca="false">IF(ISBLANK($C408),"",OR($AN408="",$AO408="",$AP408=""))</f>
        <v/>
      </c>
      <c r="CO408" s="100" t="str">
        <f aca="false">IF(ISBLANK($C408),"",AND($AL408,$BA408=""))</f>
        <v/>
      </c>
      <c r="CP408" s="100" t="str">
        <f aca="false">IF(ISBLANK($C408),"",AND($AL408,$BB408=""))</f>
        <v/>
      </c>
      <c r="CQ408" s="100" t="str">
        <f aca="false">IF(ISBLANK($C408),"",AND($AL408,$BC408=""))</f>
        <v/>
      </c>
      <c r="CR408" s="100" t="str">
        <f aca="false">IF(ISBLANK($C408),"",AND($AL408,$BF408=""))</f>
        <v/>
      </c>
      <c r="CS408" s="100" t="str">
        <f aca="false">IF(ISBLANK($C408),"",AND($AL408,$BJ408=""))</f>
        <v/>
      </c>
      <c r="CT408" s="101"/>
      <c r="CU408" s="102"/>
      <c r="CV408" s="103" t="str">
        <f aca="false">IF(ISBLANK($C408),"",IF($BL408=Constants!$B$8,$CM408,""))</f>
        <v/>
      </c>
      <c r="CW408" s="102" t="str">
        <f aca="false">IF(ISBLANK($C408),"",IF($BL408&lt;&gt;Constants!$B$4,"",$BO408+$BP408))</f>
        <v/>
      </c>
      <c r="CX408" s="104" t="str">
        <f aca="false">IF(ISBLANK($C408),"",IF($BL408&lt;&gt;Constants!$B$4,"",$BQ408+$BR408+$BS408))</f>
        <v/>
      </c>
      <c r="CY408" s="104" t="str">
        <f aca="false">IF(ISBLANK($C408),"",IF($BL408&lt;&gt;Constants!$B$4,"",$BT408))</f>
        <v/>
      </c>
      <c r="CZ408" s="104" t="str">
        <f aca="false">IF(ISBLANK($C408),"",IF($BL408&lt;&gt;Constants!$B$4,"",$BU408+$BV408))</f>
        <v/>
      </c>
      <c r="DA408" s="104" t="str">
        <f aca="false">IF(ISBLANK($C408),"",IF($BL408&lt;&gt;Constants!$B$4,"",$BW408))</f>
        <v/>
      </c>
      <c r="DB408" s="104" t="str">
        <f aca="false">IF(ISBLANK($C408),"",IF($BL408&lt;&gt;Constants!$B$4,"",-$CD408))</f>
        <v/>
      </c>
      <c r="DC408" s="103" t="str">
        <f aca="false">IF(ISBLANK($C408),"",$CE408)</f>
        <v/>
      </c>
      <c r="DD408" s="105" t="str">
        <f aca="false">IF(ISBLANK($C408),"",$BM408)</f>
        <v/>
      </c>
      <c r="DE408" s="104" t="str">
        <f aca="false">IF(ISBLANK($C408),"",$CL408)</f>
        <v/>
      </c>
      <c r="DF408" s="104" t="str">
        <f aca="false">IF(ISBLANK($C408),"",$CK408)</f>
        <v/>
      </c>
      <c r="DG408" s="106" t="str">
        <f aca="false">IF(ISBLANK($C408),"",IF($DF408=Constants!$B$7,COUNTA($C$9:$C$508)+2,IF($DF408=Constants!$B$6,COUNTA($C$9:$C$508)+1,IF($DF408=Constants!$B$5,COUNTA($C$9:$C$508),$DF408))))</f>
        <v/>
      </c>
      <c r="DH408" s="7"/>
      <c r="DI408" s="107" t="n">
        <f aca="false">IF(OR(ISNUMBER($DF408),$DF408=Constants!$B$7,$DF408=Constants!$B$5,$DF408=Constants!$B$6),1,0)</f>
        <v>0</v>
      </c>
      <c r="DJ408" s="107" t="n">
        <v>400</v>
      </c>
      <c r="DK408" s="107" t="str">
        <f aca="false">IF(ISBLANK($C408),"",IF(ISNUMBER($DG408),$DG408+ROW($B408)/1000,""))</f>
        <v/>
      </c>
      <c r="DL408" s="107" t="str">
        <f aca="false">IF(ISNUMBER($DK408),RANK($DK408,$DK$9:$DK$508,1),"")</f>
        <v/>
      </c>
      <c r="DM408" s="107" t="str">
        <f aca="false">IF(ISBLANK($C408),"",$B408)</f>
        <v/>
      </c>
      <c r="DN408" s="107" t="str">
        <f aca="false">IF(ISBLANK($C408),"",$C408)</f>
        <v/>
      </c>
      <c r="DO408" s="107" t="str">
        <f aca="false">IF(ISBLANK($C408),"",$D408)</f>
        <v/>
      </c>
      <c r="DP408" s="108" t="str">
        <f aca="false">$DD408</f>
        <v/>
      </c>
      <c r="DQ408" s="109" t="str">
        <f aca="false">$DC408</f>
        <v/>
      </c>
      <c r="DR408" s="107" t="str">
        <f aca="false">IF(ISBLANK($C408),"",$DF408)</f>
        <v/>
      </c>
      <c r="DS408" s="110" t="str">
        <f aca="false">IF($DJ408&gt;$DI$8,"",VLOOKUP($DJ408,$DL$9:$DR$508,7,FALSE()))</f>
        <v/>
      </c>
      <c r="DT408" s="111" t="str">
        <f aca="false">IF($DJ408&gt;$DI$8,"",VLOOKUP($DJ408,$DL$9:$DR$508,2,FALSE()))</f>
        <v/>
      </c>
      <c r="DU408" s="111" t="str">
        <f aca="false">IF($DJ408&gt;$DI$8,"",VLOOKUP($DJ408,$DL$9:$DR$508,3,FALSE()))</f>
        <v/>
      </c>
      <c r="DV408" s="111" t="str">
        <f aca="false">IF($DJ408&gt;$DI$8,"",VLOOKUP($DJ408,$DL$9:$DR$508,4,FALSE()))</f>
        <v/>
      </c>
      <c r="DW408" s="111" t="str">
        <f aca="false">IF($DJ408&gt;$DI$8,"",VLOOKUP($DJ408,$DL$9:$DR$508,5,FALSE()))</f>
        <v/>
      </c>
      <c r="DX408" s="112" t="str">
        <f aca="false">IF($DJ408&gt;$DI$8,"",VLOOKUP($DJ408,$DL$9:$DR$508,6,FALSE()))</f>
        <v/>
      </c>
      <c r="DY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130"/>
      <c r="N409" s="130"/>
      <c r="O409" s="135"/>
      <c r="P409" s="135"/>
      <c r="Q409" s="130"/>
      <c r="R409" s="130"/>
      <c r="S409" s="130"/>
      <c r="T409" s="130"/>
      <c r="U409" s="135"/>
      <c r="V409" s="130"/>
      <c r="W409" s="96"/>
      <c r="X409" s="130"/>
      <c r="Y409" s="130"/>
      <c r="Z409" s="96"/>
      <c r="AA409" s="96"/>
      <c r="AB409" s="130"/>
      <c r="AC409" s="130"/>
      <c r="AD409" s="130"/>
      <c r="AE409" s="97"/>
      <c r="AF409" s="130"/>
      <c r="AG409" s="99"/>
      <c r="AH409" s="100"/>
      <c r="AI409" s="100"/>
      <c r="AJ409" s="100" t="str">
        <f aca="false">IF(ISBLANK($C409),"",IF($E409=Constants!$B$2,TRUE(),IF($E409=Constants!$B$3,FALSE(),TRUE())))</f>
        <v/>
      </c>
      <c r="AK409" s="100" t="str">
        <f aca="false">IF(ISBLANK($C409),"",IF($F409=Constants!$B$2,TRUE(),IF($F409=Constants!$B$3,FALSE(),FALSE())))</f>
        <v/>
      </c>
      <c r="AL409" s="100" t="str">
        <f aca="false">IF(ISBLANK($C409),"",IF($G409=Constants!$B$2,TRUE(),IF($G409=Constants!$B$3,FALSE(),TRUE())))</f>
        <v/>
      </c>
      <c r="AM409" s="100" t="str">
        <f aca="false">IF(ISBLANK($C409),"",IF($H409=Constants!$B$2,TRUE(),IF($H409=Constants!$B$3,FALSE(),TRUE())))</f>
        <v/>
      </c>
      <c r="AN409" s="100" t="str">
        <f aca="false">IF(ISBLANK($C409),"",IF(ISNUMBER($I409),IF($I409&gt;=0,$I409,""),""))</f>
        <v/>
      </c>
      <c r="AO409" s="100" t="str">
        <f aca="false">IF(ISBLANK($C409),"",IF(ISNUMBER($J409),IF($J409&gt;=0,$J409,""),""))</f>
        <v/>
      </c>
      <c r="AP409" s="100" t="str">
        <f aca="false">IF(ISBLANK($C409),"",IF(ISNUMBER($K409),IF($K409&gt;=0,$K409,""),""))</f>
        <v/>
      </c>
      <c r="AQ409" s="100" t="str">
        <f aca="false">IF(ISBLANK($C409),"",IF($L409=Constants!$B$2,TRUE(),IF($L409=Constants!$B$3,FALSE(),TRUE())))</f>
        <v/>
      </c>
      <c r="AR409" s="100" t="str">
        <f aca="false">IF(ISBLANK($C409),"",IF($M409=Constants!$B$2,TRUE(),IF($M409=Constants!$B$3,FALSE(),TRUE())))</f>
        <v/>
      </c>
      <c r="AS409" s="100" t="str">
        <f aca="false">IF(ISBLANK($C409),"",IF($N409=Constants!$B$2,TRUE(),IF($N409=Constants!$B$3,FALSE(),FALSE())))</f>
        <v/>
      </c>
      <c r="AT409" s="100" t="str">
        <f aca="false">IF(ISBLANK($C409),"",IF($O409=Constants!$B$2,TRUE(),IF($O409=Constants!$B$3,FALSE(),TRUE())))</f>
        <v/>
      </c>
      <c r="AU409" s="100" t="str">
        <f aca="false">IF(ISBLANK($C409),"",IF($P409=Constants!$B$2,TRUE(),IF($P409=Constants!$B$3,FALSE(),TRUE())))</f>
        <v/>
      </c>
      <c r="AV409" s="100" t="str">
        <f aca="false">IF(ISBLANK($C409),"",IF($Q409=Constants!$B$2,TRUE(),IF($Q409=Constants!$B$3,FALSE(),FALSE())))</f>
        <v/>
      </c>
      <c r="AW409" s="100" t="str">
        <f aca="false">IF(ISBLANK($C409),"",IF($R409=Constants!$B$2,TRUE(),IF($R409=Constants!$B$3,FALSE(),FALSE())))</f>
        <v/>
      </c>
      <c r="AX409" s="100" t="str">
        <f aca="false">IF(ISBLANK($C409),"",IF($S409=Constants!$B$2,TRUE(),IF($S409=Constants!$B$3,FALSE(),FALSE())))</f>
        <v/>
      </c>
      <c r="AY409" s="100" t="str">
        <f aca="false">IF(ISBLANK($C409),"",IF($T409=Constants!$B$2,TRUE(),IF($T409=Constants!$B$3,FALSE(),FALSE())))</f>
        <v/>
      </c>
      <c r="AZ409" s="100" t="str">
        <f aca="false">IF(ISBLANK($C409),"",IF($U409=Constants!$B$2,TRUE(),IF($U409=Constants!$B$3,FALSE(),FALSE())))</f>
        <v/>
      </c>
      <c r="BA409" s="100" t="str">
        <f aca="false">IF(ISBLANK($C409),"",IF(OR($V409&amp;""="1",$V409&amp;""="2",$V409&amp;""="3",$V409&amp;""="4"),VALUE($V409&amp;""),IF($V409=Constants!$B$12,Constants!$B$12,"")))</f>
        <v/>
      </c>
      <c r="BB409" s="100" t="str">
        <f aca="false">IF(ISBLANK($C409),"",IF(ISBLANK($W409),0,IF(ISNUMBER($W409),IF(AND($W409&gt;=0,$W409&lt;=Constants!$B$21,$W409=INT($W409)),$W409,""),"")))</f>
        <v/>
      </c>
      <c r="BC409" s="100" t="str">
        <f aca="false">IF(ISBLANK($C409),"",IF(ISBLANK($X409),0,IF(ISNUMBER($X409),IF($X409&gt;=0,$X409,""),"")))</f>
        <v/>
      </c>
      <c r="BD409" s="100" t="str">
        <f aca="false">IF(ISBLANK($C409),"",IF($Y409=Constants!$B$2,TRUE(),IF($Y409=Constants!$B$3,FALSE(),TRUE())))</f>
        <v/>
      </c>
      <c r="BE409" s="100" t="str">
        <f aca="false">IF(ISBLANK($C409),"",IF($Z409=Constants!$B$2,TRUE(),IF($Z409=Constants!$B$3,FALSE(),FALSE())))</f>
        <v/>
      </c>
      <c r="BF409" s="100" t="str">
        <f aca="false">IF(ISBLANK($C409),"",IF(ISBLANK($AA409),0,IF(ISNUMBER($AA409),IF(AND($AA409&gt;=0,$AA409&lt;=Constants!$B$35,$AA409=INT($AA409)),$AA409,""),"")))</f>
        <v/>
      </c>
      <c r="BG409" s="100" t="str">
        <f aca="false">IF(ISBLANK($C409),"",IF($AB409=Constants!$B$2,TRUE(),IF($AB409=Constants!$B$3,FALSE(),TRUE())))</f>
        <v/>
      </c>
      <c r="BH409" s="100" t="str">
        <f aca="false">IF(ISBLANK($C409),"",IF($AC409=Constants!$B$2,TRUE(),IF($AC409=Constants!$B$3,FALSE(),TRUE())))</f>
        <v/>
      </c>
      <c r="BI409" s="100" t="str">
        <f aca="false">IF(ISBLANK($C409),"",IF($AD409=Constants!$B$2,TRUE(),IF($AD409=Constants!$B$3,FALSE(),TRUE())))</f>
        <v/>
      </c>
      <c r="BJ409" s="100" t="str">
        <f aca="false">IF(ISBLANK($C409),"",IF(ISNUMBER($AE409),IF($AE409&gt;=0,$AE409,""),""))</f>
        <v/>
      </c>
      <c r="BK409" s="100" t="str">
        <f aca="false">IF(ISBLANK($C409),"",IF($AF409=Constants!$B$2,TRUE(),IF($AF409=Constants!$B$3,FALSE(),FALSE())))</f>
        <v/>
      </c>
      <c r="BL409" s="99" t="str">
        <f aca="false">IF(ISBLANK($C409),"",IF($BK409,Constants!$B$7,IF(COUNTA($E409:$AE409)=0,Constants!$B$6,IF(OR(COUNTA($G409:$AE409)=0,NOT($AM409),$AS409),Constants!$B$5,IF(OR($CM409&lt;&gt;"",$CN409,$CO409,$CP409,$CQ409,$CR409,$CS409),Constants!$B$8,Constants!$B$4)))))</f>
        <v/>
      </c>
      <c r="BM409" s="100" t="str">
        <f aca="false">IF(ISBLANK($C409),"",IF($BL409&lt;&gt;Constants!$B$4,$BL409,IF(OR(NOT($AJ409),NOT($AL409),NOT($AT409)),Constants!$B$11,IF(OR(NOT($AR409),NOT($AU409),NOT($BI409),MAX($AN409,$AO409,$AP409)&gt;Constants!$B$30),Constants!$B$10,Constants!$B$9))))</f>
        <v/>
      </c>
      <c r="BN409" s="100" t="str">
        <f aca="false">IF($BL409&lt;&gt;Constants!$B$4,"",IF(NOT($AL409),0,MIN(Constants!$B$35,$BF409)))</f>
        <v/>
      </c>
      <c r="BO409" s="100" t="str">
        <f aca="false">IF($BL409&lt;&gt;Constants!$B$4,"",IF(NOT($AL409),0,IF($AW409,Constants!$B$18,IF($AV409,Constants!$B$17,0))))</f>
        <v/>
      </c>
      <c r="BP409" s="100" t="str">
        <f aca="false">IF($BL409&lt;&gt;Constants!$B$4,"",IF(NOT($AL409),0,Constants!$B$19*($AK409+$AX409+$AY409+$AZ409)))</f>
        <v/>
      </c>
      <c r="BQ409" s="100" t="str">
        <f aca="false">IF($BL409&lt;&gt;Constants!$B$4,"",IF(OR(NOT($AL409),NOT(ISNUMBER($BA409))),0,CHOOSE($BA409,Constants!$B$13,Constants!$B$14,Constants!$B$15,Constants!$B$16)))</f>
        <v/>
      </c>
      <c r="BR409" s="100" t="str">
        <f aca="false">IF($BL409&lt;&gt;Constants!$B$4,"",IF(NOT($AL409),0,Constants!$B$20*$BB409))</f>
        <v/>
      </c>
      <c r="BS409" s="100" t="str">
        <f aca="false">IF($BL409&lt;&gt;Constants!$B$4,"",IF(AND($AL409,$BD409,$BE409),Constants!$B$22,0))</f>
        <v/>
      </c>
      <c r="BT409" s="100" t="str">
        <f aca="false">IF($BL409&lt;&gt;Constants!$B$4,"",IF(OR(NOT($AL409),NOT($BD409)),0,IF($BJ409&gt;=2*$AH$9,0,Constants!$B$23*INT(ROUND(MIN($BJ409,$AH$9),6)))))</f>
        <v/>
      </c>
      <c r="BU409" s="100" t="str">
        <f aca="false">IF($BL409&lt;&gt;Constants!$B$4,"",IF(NOT($AL409),0,Constants!$B$24*INT(ROUND(MIN($BC409,$AH$9),6))))</f>
        <v/>
      </c>
      <c r="BV409" s="100" t="str">
        <f aca="false">IF($BL409&lt;&gt;Constants!$B$4,"",IF(AND($AL409,$BN409=0),Constants!$B$25,0))</f>
        <v/>
      </c>
      <c r="BW409" s="100" t="str">
        <f aca="false">IF($BL409&lt;&gt;Constants!$B$4,"",MIN(Constants!$B$29,MAX(0,Constants!$B$27*Constants!$B$28*INT(ROUND((Constants!$B$26-$AN409)/Constants!$B$28,6))))+MIN(Constants!$B$29,MAX(0,Constants!$B$27*Constants!$B$28*INT(ROUND((Constants!$B$26-$AO409)/Constants!$B$28,6))))+MIN(Constants!$B$29,MAX(0,Constants!$B$27*Constants!$B$28*INT(ROUND((Constants!$B$26-$AP409)/Constants!$B$28,6)))))</f>
        <v/>
      </c>
      <c r="BX409" s="100" t="str">
        <f aca="false">IF($BL409&lt;&gt;Constants!$B$4,"",IF(NOT($AL409),0,Constants!$B$31*INT(ROUND(MAX(0,MIN($BJ409,2*$AH$9)-$AH$9),6))))</f>
        <v/>
      </c>
      <c r="BY409" s="100" t="str">
        <f aca="false">IF($BL409&lt;&gt;Constants!$B$4,"",Constants!$B$32*(($AN409&gt;Constants!$B$26)+($AO409&gt;Constants!$B$26)+($AP409&gt;Constants!$B$26)))</f>
        <v/>
      </c>
      <c r="BZ409" s="100" t="str">
        <f aca="false">IF($BL409&lt;&gt;Constants!$B$4,"",IF(OR(NOT($AL409),$AQ409),0,Constants!$B$33))</f>
        <v/>
      </c>
      <c r="CA409" s="100" t="str">
        <f aca="false">IF($BL409&lt;&gt;Constants!$B$4,"",Constants!$B$34*$BN409)</f>
        <v/>
      </c>
      <c r="CB409" s="100" t="str">
        <f aca="false">IF($BL409&lt;&gt;Constants!$B$4,"",IF(OR(NOT($AL409),$BH409),0,Constants!$B$36))</f>
        <v/>
      </c>
      <c r="CC409" s="100" t="str">
        <f aca="false">IF($BL409&lt;&gt;Constants!$B$4,"",IF(OR(NOT($AL409),$BG409),0,Constants!$B$37))</f>
        <v/>
      </c>
      <c r="CD409" s="100" t="str">
        <f aca="false">IF($BL409&lt;&gt;Constants!$B$4,"",SUM($BX409:$CC409))</f>
        <v/>
      </c>
      <c r="CE409" s="100" t="str">
        <f aca="false">IF(ISBLANK($C409),"",IF($BL409&lt;&gt;Constants!$B$4,$BL409,SUM($BO409:$BW409)-$CD409))</f>
        <v/>
      </c>
      <c r="CF409" s="100" t="str">
        <f aca="false">IF(ISBLANK($C409),"",IF($BL409&lt;&gt;Constants!$B$4,$BL409,RANK($CE409,$CE$9:$CE$508)))</f>
        <v/>
      </c>
      <c r="CG409" s="100" t="str">
        <f aca="false">IF(ISBLANK($C409),"",IF($BL409&lt;&gt;Constants!$B$4,$BL409,COUNTIFS($BM$9:$BM$508,"&lt;"&amp;$BM409)+COUNTIFS($BM$9:$BM$508,$BM409,$CF$9:$CF$508,"&lt;"&amp;$CF409)+1))</f>
        <v/>
      </c>
      <c r="CH409" s="100" t="str">
        <f aca="false">IF(ISBLANK($C409),"",IF($BL409&lt;&gt;Constants!$B$4,$BL409,RANK($CD409,$CD$9:$CD$508,1)))</f>
        <v/>
      </c>
      <c r="CI409" s="100" t="str">
        <f aca="false">IF($BL409&lt;&gt;Constants!$B$4,"",$AN409+$AO409+$AP409)</f>
        <v/>
      </c>
      <c r="CJ409" s="100" t="str">
        <f aca="false">IF(ISBLANK($C409),"",IF($BL409&lt;&gt;Constants!$B$4,$BL409,RANK($CI409,$CI$9:$CI$508,1)))</f>
        <v/>
      </c>
      <c r="CK409" s="100" t="str">
        <f aca="false">IF(ISBLANK($C409),"",IF($BL409&lt;&gt;Constants!$B$4,$BL409,COUNTIFS($BM$9:$BM$508,"&lt;"&amp;$BM409)+COUNTIFS($BM$9:$BM$508,$BM409,$CF$9:$CF$508,"&lt;"&amp;$CF409)+COUNTIFS($BM$9:$BM$508,$BM409,$CF$9:$CF$508,$CF409,$CH$9:$CH$508,"&lt;"&amp;$CH409)+COUNTIFS($BM$9:$BM$508,$BM409,$CF$9:$CF$508,$CF409,$CH$9:$CH$508,$CH409,$CJ$9:$CJ$508,"&lt;"&amp;$CJ409)+1))</f>
        <v/>
      </c>
      <c r="CL409" s="100" t="str">
        <f aca="false">IF(ISBLANK($C409),"",IF($BL409&lt;&gt;Constants!$B$4,$BL409,$CG409-$CK409))</f>
        <v/>
      </c>
      <c r="CM409" s="100" t="str">
        <f aca="false">IF(ISBLANK($C409),"",IF(NOT($AL409),"",IF(ISBLANK($D$7),$CM$5,IF(NOT(ISNUMBER($D$7)),$CM$6,""))))</f>
        <v/>
      </c>
      <c r="CN409" s="100" t="str">
        <f aca="false">IF(ISBLANK($C409),"",OR($AN409="",$AO409="",$AP409=""))</f>
        <v/>
      </c>
      <c r="CO409" s="100" t="str">
        <f aca="false">IF(ISBLANK($C409),"",AND($AL409,$BA409=""))</f>
        <v/>
      </c>
      <c r="CP409" s="100" t="str">
        <f aca="false">IF(ISBLANK($C409),"",AND($AL409,$BB409=""))</f>
        <v/>
      </c>
      <c r="CQ409" s="100" t="str">
        <f aca="false">IF(ISBLANK($C409),"",AND($AL409,$BC409=""))</f>
        <v/>
      </c>
      <c r="CR409" s="100" t="str">
        <f aca="false">IF(ISBLANK($C409),"",AND($AL409,$BF409=""))</f>
        <v/>
      </c>
      <c r="CS409" s="100" t="str">
        <f aca="false">IF(ISBLANK($C409),"",AND($AL409,$BJ409=""))</f>
        <v/>
      </c>
      <c r="CT409" s="101"/>
      <c r="CU409" s="102"/>
      <c r="CV409" s="103" t="str">
        <f aca="false">IF(ISBLANK($C409),"",IF($BL409=Constants!$B$8,$CM409,""))</f>
        <v/>
      </c>
      <c r="CW409" s="102" t="str">
        <f aca="false">IF(ISBLANK($C409),"",IF($BL409&lt;&gt;Constants!$B$4,"",$BO409+$BP409))</f>
        <v/>
      </c>
      <c r="CX409" s="104" t="str">
        <f aca="false">IF(ISBLANK($C409),"",IF($BL409&lt;&gt;Constants!$B$4,"",$BQ409+$BR409+$BS409))</f>
        <v/>
      </c>
      <c r="CY409" s="104" t="str">
        <f aca="false">IF(ISBLANK($C409),"",IF($BL409&lt;&gt;Constants!$B$4,"",$BT409))</f>
        <v/>
      </c>
      <c r="CZ409" s="104" t="str">
        <f aca="false">IF(ISBLANK($C409),"",IF($BL409&lt;&gt;Constants!$B$4,"",$BU409+$BV409))</f>
        <v/>
      </c>
      <c r="DA409" s="104" t="str">
        <f aca="false">IF(ISBLANK($C409),"",IF($BL409&lt;&gt;Constants!$B$4,"",$BW409))</f>
        <v/>
      </c>
      <c r="DB409" s="104" t="str">
        <f aca="false">IF(ISBLANK($C409),"",IF($BL409&lt;&gt;Constants!$B$4,"",-$CD409))</f>
        <v/>
      </c>
      <c r="DC409" s="103" t="str">
        <f aca="false">IF(ISBLANK($C409),"",$CE409)</f>
        <v/>
      </c>
      <c r="DD409" s="105" t="str">
        <f aca="false">IF(ISBLANK($C409),"",$BM409)</f>
        <v/>
      </c>
      <c r="DE409" s="104" t="str">
        <f aca="false">IF(ISBLANK($C409),"",$CL409)</f>
        <v/>
      </c>
      <c r="DF409" s="104" t="str">
        <f aca="false">IF(ISBLANK($C409),"",$CK409)</f>
        <v/>
      </c>
      <c r="DG409" s="106" t="str">
        <f aca="false">IF(ISBLANK($C409),"",IF($DF409=Constants!$B$7,COUNTA($C$9:$C$508)+2,IF($DF409=Constants!$B$6,COUNTA($C$9:$C$508)+1,IF($DF409=Constants!$B$5,COUNTA($C$9:$C$508),$DF409))))</f>
        <v/>
      </c>
      <c r="DH409" s="7"/>
      <c r="DI409" s="107" t="n">
        <f aca="false">IF(OR(ISNUMBER($DF409),$DF409=Constants!$B$7,$DF409=Constants!$B$5,$DF409=Constants!$B$6),1,0)</f>
        <v>0</v>
      </c>
      <c r="DJ409" s="107" t="n">
        <v>401</v>
      </c>
      <c r="DK409" s="107" t="str">
        <f aca="false">IF(ISBLANK($C409),"",IF(ISNUMBER($DG409),$DG409+ROW($B409)/1000,""))</f>
        <v/>
      </c>
      <c r="DL409" s="107" t="str">
        <f aca="false">IF(ISNUMBER($DK409),RANK($DK409,$DK$9:$DK$508,1),"")</f>
        <v/>
      </c>
      <c r="DM409" s="107" t="str">
        <f aca="false">IF(ISBLANK($C409),"",$B409)</f>
        <v/>
      </c>
      <c r="DN409" s="107" t="str">
        <f aca="false">IF(ISBLANK($C409),"",$C409)</f>
        <v/>
      </c>
      <c r="DO409" s="107" t="str">
        <f aca="false">IF(ISBLANK($C409),"",$D409)</f>
        <v/>
      </c>
      <c r="DP409" s="108" t="str">
        <f aca="false">$DD409</f>
        <v/>
      </c>
      <c r="DQ409" s="109" t="str">
        <f aca="false">$DC409</f>
        <v/>
      </c>
      <c r="DR409" s="107" t="str">
        <f aca="false">IF(ISBLANK($C409),"",$DF409)</f>
        <v/>
      </c>
      <c r="DS409" s="110" t="str">
        <f aca="false">IF($DJ409&gt;$DI$8,"",VLOOKUP($DJ409,$DL$9:$DR$508,7,FALSE()))</f>
        <v/>
      </c>
      <c r="DT409" s="111" t="str">
        <f aca="false">IF($DJ409&gt;$DI$8,"",VLOOKUP($DJ409,$DL$9:$DR$508,2,FALSE()))</f>
        <v/>
      </c>
      <c r="DU409" s="111" t="str">
        <f aca="false">IF($DJ409&gt;$DI$8,"",VLOOKUP($DJ409,$DL$9:$DR$508,3,FALSE()))</f>
        <v/>
      </c>
      <c r="DV409" s="111" t="str">
        <f aca="false">IF($DJ409&gt;$DI$8,"",VLOOKUP($DJ409,$DL$9:$DR$508,4,FALSE()))</f>
        <v/>
      </c>
      <c r="DW409" s="111" t="str">
        <f aca="false">IF($DJ409&gt;$DI$8,"",VLOOKUP($DJ409,$DL$9:$DR$508,5,FALSE()))</f>
        <v/>
      </c>
      <c r="DX409" s="112" t="str">
        <f aca="false">IF($DJ409&gt;$DI$8,"",VLOOKUP($DJ409,$DL$9:$DR$508,6,FALSE()))</f>
        <v/>
      </c>
      <c r="DY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130"/>
      <c r="N410" s="130"/>
      <c r="O410" s="135"/>
      <c r="P410" s="135"/>
      <c r="Q410" s="130"/>
      <c r="R410" s="130"/>
      <c r="S410" s="130"/>
      <c r="T410" s="130"/>
      <c r="U410" s="135"/>
      <c r="V410" s="130"/>
      <c r="W410" s="96"/>
      <c r="X410" s="130"/>
      <c r="Y410" s="130"/>
      <c r="Z410" s="96"/>
      <c r="AA410" s="96"/>
      <c r="AB410" s="130"/>
      <c r="AC410" s="130"/>
      <c r="AD410" s="130"/>
      <c r="AE410" s="97"/>
      <c r="AF410" s="130"/>
      <c r="AG410" s="99"/>
      <c r="AH410" s="100"/>
      <c r="AI410" s="100"/>
      <c r="AJ410" s="100" t="str">
        <f aca="false">IF(ISBLANK($C410),"",IF($E410=Constants!$B$2,TRUE(),IF($E410=Constants!$B$3,FALSE(),TRUE())))</f>
        <v/>
      </c>
      <c r="AK410" s="100" t="str">
        <f aca="false">IF(ISBLANK($C410),"",IF($F410=Constants!$B$2,TRUE(),IF($F410=Constants!$B$3,FALSE(),FALSE())))</f>
        <v/>
      </c>
      <c r="AL410" s="100" t="str">
        <f aca="false">IF(ISBLANK($C410),"",IF($G410=Constants!$B$2,TRUE(),IF($G410=Constants!$B$3,FALSE(),TRUE())))</f>
        <v/>
      </c>
      <c r="AM410" s="100" t="str">
        <f aca="false">IF(ISBLANK($C410),"",IF($H410=Constants!$B$2,TRUE(),IF($H410=Constants!$B$3,FALSE(),TRUE())))</f>
        <v/>
      </c>
      <c r="AN410" s="100" t="str">
        <f aca="false">IF(ISBLANK($C410),"",IF(ISNUMBER($I410),IF($I410&gt;=0,$I410,""),""))</f>
        <v/>
      </c>
      <c r="AO410" s="100" t="str">
        <f aca="false">IF(ISBLANK($C410),"",IF(ISNUMBER($J410),IF($J410&gt;=0,$J410,""),""))</f>
        <v/>
      </c>
      <c r="AP410" s="100" t="str">
        <f aca="false">IF(ISBLANK($C410),"",IF(ISNUMBER($K410),IF($K410&gt;=0,$K410,""),""))</f>
        <v/>
      </c>
      <c r="AQ410" s="100" t="str">
        <f aca="false">IF(ISBLANK($C410),"",IF($L410=Constants!$B$2,TRUE(),IF($L410=Constants!$B$3,FALSE(),TRUE())))</f>
        <v/>
      </c>
      <c r="AR410" s="100" t="str">
        <f aca="false">IF(ISBLANK($C410),"",IF($M410=Constants!$B$2,TRUE(),IF($M410=Constants!$B$3,FALSE(),TRUE())))</f>
        <v/>
      </c>
      <c r="AS410" s="100" t="str">
        <f aca="false">IF(ISBLANK($C410),"",IF($N410=Constants!$B$2,TRUE(),IF($N410=Constants!$B$3,FALSE(),FALSE())))</f>
        <v/>
      </c>
      <c r="AT410" s="100" t="str">
        <f aca="false">IF(ISBLANK($C410),"",IF($O410=Constants!$B$2,TRUE(),IF($O410=Constants!$B$3,FALSE(),TRUE())))</f>
        <v/>
      </c>
      <c r="AU410" s="100" t="str">
        <f aca="false">IF(ISBLANK($C410),"",IF($P410=Constants!$B$2,TRUE(),IF($P410=Constants!$B$3,FALSE(),TRUE())))</f>
        <v/>
      </c>
      <c r="AV410" s="100" t="str">
        <f aca="false">IF(ISBLANK($C410),"",IF($Q410=Constants!$B$2,TRUE(),IF($Q410=Constants!$B$3,FALSE(),FALSE())))</f>
        <v/>
      </c>
      <c r="AW410" s="100" t="str">
        <f aca="false">IF(ISBLANK($C410),"",IF($R410=Constants!$B$2,TRUE(),IF($R410=Constants!$B$3,FALSE(),FALSE())))</f>
        <v/>
      </c>
      <c r="AX410" s="100" t="str">
        <f aca="false">IF(ISBLANK($C410),"",IF($S410=Constants!$B$2,TRUE(),IF($S410=Constants!$B$3,FALSE(),FALSE())))</f>
        <v/>
      </c>
      <c r="AY410" s="100" t="str">
        <f aca="false">IF(ISBLANK($C410),"",IF($T410=Constants!$B$2,TRUE(),IF($T410=Constants!$B$3,FALSE(),FALSE())))</f>
        <v/>
      </c>
      <c r="AZ410" s="100" t="str">
        <f aca="false">IF(ISBLANK($C410),"",IF($U410=Constants!$B$2,TRUE(),IF($U410=Constants!$B$3,FALSE(),FALSE())))</f>
        <v/>
      </c>
      <c r="BA410" s="100" t="str">
        <f aca="false">IF(ISBLANK($C410),"",IF(OR($V410&amp;""="1",$V410&amp;""="2",$V410&amp;""="3",$V410&amp;""="4"),VALUE($V410&amp;""),IF($V410=Constants!$B$12,Constants!$B$12,"")))</f>
        <v/>
      </c>
      <c r="BB410" s="100" t="str">
        <f aca="false">IF(ISBLANK($C410),"",IF(ISBLANK($W410),0,IF(ISNUMBER($W410),IF(AND($W410&gt;=0,$W410&lt;=Constants!$B$21,$W410=INT($W410)),$W410,""),"")))</f>
        <v/>
      </c>
      <c r="BC410" s="100" t="str">
        <f aca="false">IF(ISBLANK($C410),"",IF(ISBLANK($X410),0,IF(ISNUMBER($X410),IF($X410&gt;=0,$X410,""),"")))</f>
        <v/>
      </c>
      <c r="BD410" s="100" t="str">
        <f aca="false">IF(ISBLANK($C410),"",IF($Y410=Constants!$B$2,TRUE(),IF($Y410=Constants!$B$3,FALSE(),TRUE())))</f>
        <v/>
      </c>
      <c r="BE410" s="100" t="str">
        <f aca="false">IF(ISBLANK($C410),"",IF($Z410=Constants!$B$2,TRUE(),IF($Z410=Constants!$B$3,FALSE(),FALSE())))</f>
        <v/>
      </c>
      <c r="BF410" s="100" t="str">
        <f aca="false">IF(ISBLANK($C410),"",IF(ISBLANK($AA410),0,IF(ISNUMBER($AA410),IF(AND($AA410&gt;=0,$AA410&lt;=Constants!$B$35,$AA410=INT($AA410)),$AA410,""),"")))</f>
        <v/>
      </c>
      <c r="BG410" s="100" t="str">
        <f aca="false">IF(ISBLANK($C410),"",IF($AB410=Constants!$B$2,TRUE(),IF($AB410=Constants!$B$3,FALSE(),TRUE())))</f>
        <v/>
      </c>
      <c r="BH410" s="100" t="str">
        <f aca="false">IF(ISBLANK($C410),"",IF($AC410=Constants!$B$2,TRUE(),IF($AC410=Constants!$B$3,FALSE(),TRUE())))</f>
        <v/>
      </c>
      <c r="BI410" s="100" t="str">
        <f aca="false">IF(ISBLANK($C410),"",IF($AD410=Constants!$B$2,TRUE(),IF($AD410=Constants!$B$3,FALSE(),TRUE())))</f>
        <v/>
      </c>
      <c r="BJ410" s="100" t="str">
        <f aca="false">IF(ISBLANK($C410),"",IF(ISNUMBER($AE410),IF($AE410&gt;=0,$AE410,""),""))</f>
        <v/>
      </c>
      <c r="BK410" s="100" t="str">
        <f aca="false">IF(ISBLANK($C410),"",IF($AF410=Constants!$B$2,TRUE(),IF($AF410=Constants!$B$3,FALSE(),FALSE())))</f>
        <v/>
      </c>
      <c r="BL410" s="99" t="str">
        <f aca="false">IF(ISBLANK($C410),"",IF($BK410,Constants!$B$7,IF(COUNTA($E410:$AE410)=0,Constants!$B$6,IF(OR(COUNTA($G410:$AE410)=0,NOT($AM410),$AS410),Constants!$B$5,IF(OR($CM410&lt;&gt;"",$CN410,$CO410,$CP410,$CQ410,$CR410,$CS410),Constants!$B$8,Constants!$B$4)))))</f>
        <v/>
      </c>
      <c r="BM410" s="100" t="str">
        <f aca="false">IF(ISBLANK($C410),"",IF($BL410&lt;&gt;Constants!$B$4,$BL410,IF(OR(NOT($AJ410),NOT($AL410),NOT($AT410)),Constants!$B$11,IF(OR(NOT($AR410),NOT($AU410),NOT($BI410),MAX($AN410,$AO410,$AP410)&gt;Constants!$B$30),Constants!$B$10,Constants!$B$9))))</f>
        <v/>
      </c>
      <c r="BN410" s="100" t="str">
        <f aca="false">IF($BL410&lt;&gt;Constants!$B$4,"",IF(NOT($AL410),0,MIN(Constants!$B$35,$BF410)))</f>
        <v/>
      </c>
      <c r="BO410" s="100" t="str">
        <f aca="false">IF($BL410&lt;&gt;Constants!$B$4,"",IF(NOT($AL410),0,IF($AW410,Constants!$B$18,IF($AV410,Constants!$B$17,0))))</f>
        <v/>
      </c>
      <c r="BP410" s="100" t="str">
        <f aca="false">IF($BL410&lt;&gt;Constants!$B$4,"",IF(NOT($AL410),0,Constants!$B$19*($AK410+$AX410+$AY410+$AZ410)))</f>
        <v/>
      </c>
      <c r="BQ410" s="100" t="str">
        <f aca="false">IF($BL410&lt;&gt;Constants!$B$4,"",IF(OR(NOT($AL410),NOT(ISNUMBER($BA410))),0,CHOOSE($BA410,Constants!$B$13,Constants!$B$14,Constants!$B$15,Constants!$B$16)))</f>
        <v/>
      </c>
      <c r="BR410" s="100" t="str">
        <f aca="false">IF($BL410&lt;&gt;Constants!$B$4,"",IF(NOT($AL410),0,Constants!$B$20*$BB410))</f>
        <v/>
      </c>
      <c r="BS410" s="100" t="str">
        <f aca="false">IF($BL410&lt;&gt;Constants!$B$4,"",IF(AND($AL410,$BD410,$BE410),Constants!$B$22,0))</f>
        <v/>
      </c>
      <c r="BT410" s="100" t="str">
        <f aca="false">IF($BL410&lt;&gt;Constants!$B$4,"",IF(OR(NOT($AL410),NOT($BD410)),0,IF($BJ410&gt;=2*$AH$9,0,Constants!$B$23*INT(ROUND(MIN($BJ410,$AH$9),6)))))</f>
        <v/>
      </c>
      <c r="BU410" s="100" t="str">
        <f aca="false">IF($BL410&lt;&gt;Constants!$B$4,"",IF(NOT($AL410),0,Constants!$B$24*INT(ROUND(MIN($BC410,$AH$9),6))))</f>
        <v/>
      </c>
      <c r="BV410" s="100" t="str">
        <f aca="false">IF($BL410&lt;&gt;Constants!$B$4,"",IF(AND($AL410,$BN410=0),Constants!$B$25,0))</f>
        <v/>
      </c>
      <c r="BW410" s="100" t="str">
        <f aca="false">IF($BL410&lt;&gt;Constants!$B$4,"",MIN(Constants!$B$29,MAX(0,Constants!$B$27*Constants!$B$28*INT(ROUND((Constants!$B$26-$AN410)/Constants!$B$28,6))))+MIN(Constants!$B$29,MAX(0,Constants!$B$27*Constants!$B$28*INT(ROUND((Constants!$B$26-$AO410)/Constants!$B$28,6))))+MIN(Constants!$B$29,MAX(0,Constants!$B$27*Constants!$B$28*INT(ROUND((Constants!$B$26-$AP410)/Constants!$B$28,6)))))</f>
        <v/>
      </c>
      <c r="BX410" s="100" t="str">
        <f aca="false">IF($BL410&lt;&gt;Constants!$B$4,"",IF(NOT($AL410),0,Constants!$B$31*INT(ROUND(MAX(0,MIN($BJ410,2*$AH$9)-$AH$9),6))))</f>
        <v/>
      </c>
      <c r="BY410" s="100" t="str">
        <f aca="false">IF($BL410&lt;&gt;Constants!$B$4,"",Constants!$B$32*(($AN410&gt;Constants!$B$26)+($AO410&gt;Constants!$B$26)+($AP410&gt;Constants!$B$26)))</f>
        <v/>
      </c>
      <c r="BZ410" s="100" t="str">
        <f aca="false">IF($BL410&lt;&gt;Constants!$B$4,"",IF(OR(NOT($AL410),$AQ410),0,Constants!$B$33))</f>
        <v/>
      </c>
      <c r="CA410" s="100" t="str">
        <f aca="false">IF($BL410&lt;&gt;Constants!$B$4,"",Constants!$B$34*$BN410)</f>
        <v/>
      </c>
      <c r="CB410" s="100" t="str">
        <f aca="false">IF($BL410&lt;&gt;Constants!$B$4,"",IF(OR(NOT($AL410),$BH410),0,Constants!$B$36))</f>
        <v/>
      </c>
      <c r="CC410" s="100" t="str">
        <f aca="false">IF($BL410&lt;&gt;Constants!$B$4,"",IF(OR(NOT($AL410),$BG410),0,Constants!$B$37))</f>
        <v/>
      </c>
      <c r="CD410" s="100" t="str">
        <f aca="false">IF($BL410&lt;&gt;Constants!$B$4,"",SUM($BX410:$CC410))</f>
        <v/>
      </c>
      <c r="CE410" s="100" t="str">
        <f aca="false">IF(ISBLANK($C410),"",IF($BL410&lt;&gt;Constants!$B$4,$BL410,SUM($BO410:$BW410)-$CD410))</f>
        <v/>
      </c>
      <c r="CF410" s="100" t="str">
        <f aca="false">IF(ISBLANK($C410),"",IF($BL410&lt;&gt;Constants!$B$4,$BL410,RANK($CE410,$CE$9:$CE$508)))</f>
        <v/>
      </c>
      <c r="CG410" s="100" t="str">
        <f aca="false">IF(ISBLANK($C410),"",IF($BL410&lt;&gt;Constants!$B$4,$BL410,COUNTIFS($BM$9:$BM$508,"&lt;"&amp;$BM410)+COUNTIFS($BM$9:$BM$508,$BM410,$CF$9:$CF$508,"&lt;"&amp;$CF410)+1))</f>
        <v/>
      </c>
      <c r="CH410" s="100" t="str">
        <f aca="false">IF(ISBLANK($C410),"",IF($BL410&lt;&gt;Constants!$B$4,$BL410,RANK($CD410,$CD$9:$CD$508,1)))</f>
        <v/>
      </c>
      <c r="CI410" s="100" t="str">
        <f aca="false">IF($BL410&lt;&gt;Constants!$B$4,"",$AN410+$AO410+$AP410)</f>
        <v/>
      </c>
      <c r="CJ410" s="100" t="str">
        <f aca="false">IF(ISBLANK($C410),"",IF($BL410&lt;&gt;Constants!$B$4,$BL410,RANK($CI410,$CI$9:$CI$508,1)))</f>
        <v/>
      </c>
      <c r="CK410" s="100" t="str">
        <f aca="false">IF(ISBLANK($C410),"",IF($BL410&lt;&gt;Constants!$B$4,$BL410,COUNTIFS($BM$9:$BM$508,"&lt;"&amp;$BM410)+COUNTIFS($BM$9:$BM$508,$BM410,$CF$9:$CF$508,"&lt;"&amp;$CF410)+COUNTIFS($BM$9:$BM$508,$BM410,$CF$9:$CF$508,$CF410,$CH$9:$CH$508,"&lt;"&amp;$CH410)+COUNTIFS($BM$9:$BM$508,$BM410,$CF$9:$CF$508,$CF410,$CH$9:$CH$508,$CH410,$CJ$9:$CJ$508,"&lt;"&amp;$CJ410)+1))</f>
        <v/>
      </c>
      <c r="CL410" s="100" t="str">
        <f aca="false">IF(ISBLANK($C410),"",IF($BL410&lt;&gt;Constants!$B$4,$BL410,$CG410-$CK410))</f>
        <v/>
      </c>
      <c r="CM410" s="100" t="str">
        <f aca="false">IF(ISBLANK($C410),"",IF(NOT($AL410),"",IF(ISBLANK($D$7),$CM$5,IF(NOT(ISNUMBER($D$7)),$CM$6,""))))</f>
        <v/>
      </c>
      <c r="CN410" s="100" t="str">
        <f aca="false">IF(ISBLANK($C410),"",OR($AN410="",$AO410="",$AP410=""))</f>
        <v/>
      </c>
      <c r="CO410" s="100" t="str">
        <f aca="false">IF(ISBLANK($C410),"",AND($AL410,$BA410=""))</f>
        <v/>
      </c>
      <c r="CP410" s="100" t="str">
        <f aca="false">IF(ISBLANK($C410),"",AND($AL410,$BB410=""))</f>
        <v/>
      </c>
      <c r="CQ410" s="100" t="str">
        <f aca="false">IF(ISBLANK($C410),"",AND($AL410,$BC410=""))</f>
        <v/>
      </c>
      <c r="CR410" s="100" t="str">
        <f aca="false">IF(ISBLANK($C410),"",AND($AL410,$BF410=""))</f>
        <v/>
      </c>
      <c r="CS410" s="100" t="str">
        <f aca="false">IF(ISBLANK($C410),"",AND($AL410,$BJ410=""))</f>
        <v/>
      </c>
      <c r="CT410" s="101"/>
      <c r="CU410" s="102"/>
      <c r="CV410" s="103" t="str">
        <f aca="false">IF(ISBLANK($C410),"",IF($BL410=Constants!$B$8,$CM410,""))</f>
        <v/>
      </c>
      <c r="CW410" s="102" t="str">
        <f aca="false">IF(ISBLANK($C410),"",IF($BL410&lt;&gt;Constants!$B$4,"",$BO410+$BP410))</f>
        <v/>
      </c>
      <c r="CX410" s="104" t="str">
        <f aca="false">IF(ISBLANK($C410),"",IF($BL410&lt;&gt;Constants!$B$4,"",$BQ410+$BR410+$BS410))</f>
        <v/>
      </c>
      <c r="CY410" s="104" t="str">
        <f aca="false">IF(ISBLANK($C410),"",IF($BL410&lt;&gt;Constants!$B$4,"",$BT410))</f>
        <v/>
      </c>
      <c r="CZ410" s="104" t="str">
        <f aca="false">IF(ISBLANK($C410),"",IF($BL410&lt;&gt;Constants!$B$4,"",$BU410+$BV410))</f>
        <v/>
      </c>
      <c r="DA410" s="104" t="str">
        <f aca="false">IF(ISBLANK($C410),"",IF($BL410&lt;&gt;Constants!$B$4,"",$BW410))</f>
        <v/>
      </c>
      <c r="DB410" s="104" t="str">
        <f aca="false">IF(ISBLANK($C410),"",IF($BL410&lt;&gt;Constants!$B$4,"",-$CD410))</f>
        <v/>
      </c>
      <c r="DC410" s="103" t="str">
        <f aca="false">IF(ISBLANK($C410),"",$CE410)</f>
        <v/>
      </c>
      <c r="DD410" s="105" t="str">
        <f aca="false">IF(ISBLANK($C410),"",$BM410)</f>
        <v/>
      </c>
      <c r="DE410" s="104" t="str">
        <f aca="false">IF(ISBLANK($C410),"",$CL410)</f>
        <v/>
      </c>
      <c r="DF410" s="104" t="str">
        <f aca="false">IF(ISBLANK($C410),"",$CK410)</f>
        <v/>
      </c>
      <c r="DG410" s="106" t="str">
        <f aca="false">IF(ISBLANK($C410),"",IF($DF410=Constants!$B$7,COUNTA($C$9:$C$508)+2,IF($DF410=Constants!$B$6,COUNTA($C$9:$C$508)+1,IF($DF410=Constants!$B$5,COUNTA($C$9:$C$508),$DF410))))</f>
        <v/>
      </c>
      <c r="DH410" s="7"/>
      <c r="DI410" s="107" t="n">
        <f aca="false">IF(OR(ISNUMBER($DF410),$DF410=Constants!$B$7,$DF410=Constants!$B$5,$DF410=Constants!$B$6),1,0)</f>
        <v>0</v>
      </c>
      <c r="DJ410" s="107" t="n">
        <v>402</v>
      </c>
      <c r="DK410" s="107" t="str">
        <f aca="false">IF(ISBLANK($C410),"",IF(ISNUMBER($DG410),$DG410+ROW($B410)/1000,""))</f>
        <v/>
      </c>
      <c r="DL410" s="107" t="str">
        <f aca="false">IF(ISNUMBER($DK410),RANK($DK410,$DK$9:$DK$508,1),"")</f>
        <v/>
      </c>
      <c r="DM410" s="107" t="str">
        <f aca="false">IF(ISBLANK($C410),"",$B410)</f>
        <v/>
      </c>
      <c r="DN410" s="107" t="str">
        <f aca="false">IF(ISBLANK($C410),"",$C410)</f>
        <v/>
      </c>
      <c r="DO410" s="107" t="str">
        <f aca="false">IF(ISBLANK($C410),"",$D410)</f>
        <v/>
      </c>
      <c r="DP410" s="108" t="str">
        <f aca="false">$DD410</f>
        <v/>
      </c>
      <c r="DQ410" s="109" t="str">
        <f aca="false">$DC410</f>
        <v/>
      </c>
      <c r="DR410" s="107" t="str">
        <f aca="false">IF(ISBLANK($C410),"",$DF410)</f>
        <v/>
      </c>
      <c r="DS410" s="110" t="str">
        <f aca="false">IF($DJ410&gt;$DI$8,"",VLOOKUP($DJ410,$DL$9:$DR$508,7,FALSE()))</f>
        <v/>
      </c>
      <c r="DT410" s="111" t="str">
        <f aca="false">IF($DJ410&gt;$DI$8,"",VLOOKUP($DJ410,$DL$9:$DR$508,2,FALSE()))</f>
        <v/>
      </c>
      <c r="DU410" s="111" t="str">
        <f aca="false">IF($DJ410&gt;$DI$8,"",VLOOKUP($DJ410,$DL$9:$DR$508,3,FALSE()))</f>
        <v/>
      </c>
      <c r="DV410" s="111" t="str">
        <f aca="false">IF($DJ410&gt;$DI$8,"",VLOOKUP($DJ410,$DL$9:$DR$508,4,FALSE()))</f>
        <v/>
      </c>
      <c r="DW410" s="111" t="str">
        <f aca="false">IF($DJ410&gt;$DI$8,"",VLOOKUP($DJ410,$DL$9:$DR$508,5,FALSE()))</f>
        <v/>
      </c>
      <c r="DX410" s="112" t="str">
        <f aca="false">IF($DJ410&gt;$DI$8,"",VLOOKUP($DJ410,$DL$9:$DR$508,6,FALSE()))</f>
        <v/>
      </c>
      <c r="DY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88"/>
      <c r="N411" s="88"/>
      <c r="O411" s="134"/>
      <c r="P411" s="134"/>
      <c r="Q411" s="88"/>
      <c r="R411" s="88"/>
      <c r="S411" s="88"/>
      <c r="T411" s="88"/>
      <c r="U411" s="134"/>
      <c r="V411" s="88"/>
      <c r="W411" s="70"/>
      <c r="X411" s="88"/>
      <c r="Y411" s="88"/>
      <c r="Z411" s="70"/>
      <c r="AA411" s="70"/>
      <c r="AB411" s="88"/>
      <c r="AC411" s="88"/>
      <c r="AD411" s="88"/>
      <c r="AE411" s="71"/>
      <c r="AF411" s="88"/>
      <c r="AG411" s="73"/>
      <c r="AH411" s="74"/>
      <c r="AI411" s="74"/>
      <c r="AJ411" s="74" t="str">
        <f aca="false">IF(ISBLANK($C411),"",IF($E411=Constants!$B$2,TRUE(),IF($E411=Constants!$B$3,FALSE(),TRUE())))</f>
        <v/>
      </c>
      <c r="AK411" s="74" t="str">
        <f aca="false">IF(ISBLANK($C411),"",IF($F411=Constants!$B$2,TRUE(),IF($F411=Constants!$B$3,FALSE(),FALSE())))</f>
        <v/>
      </c>
      <c r="AL411" s="74" t="str">
        <f aca="false">IF(ISBLANK($C411),"",IF($G411=Constants!$B$2,TRUE(),IF($G411=Constants!$B$3,FALSE(),TRUE())))</f>
        <v/>
      </c>
      <c r="AM411" s="74" t="str">
        <f aca="false">IF(ISBLANK($C411),"",IF($H411=Constants!$B$2,TRUE(),IF($H411=Constants!$B$3,FALSE(),TRUE())))</f>
        <v/>
      </c>
      <c r="AN411" s="74" t="str">
        <f aca="false">IF(ISBLANK($C411),"",IF(ISNUMBER($I411),IF($I411&gt;=0,$I411,""),""))</f>
        <v/>
      </c>
      <c r="AO411" s="74" t="str">
        <f aca="false">IF(ISBLANK($C411),"",IF(ISNUMBER($J411),IF($J411&gt;=0,$J411,""),""))</f>
        <v/>
      </c>
      <c r="AP411" s="74" t="str">
        <f aca="false">IF(ISBLANK($C411),"",IF(ISNUMBER($K411),IF($K411&gt;=0,$K411,""),""))</f>
        <v/>
      </c>
      <c r="AQ411" s="74" t="str">
        <f aca="false">IF(ISBLANK($C411),"",IF($L411=Constants!$B$2,TRUE(),IF($L411=Constants!$B$3,FALSE(),TRUE())))</f>
        <v/>
      </c>
      <c r="AR411" s="74" t="str">
        <f aca="false">IF(ISBLANK($C411),"",IF($M411=Constants!$B$2,TRUE(),IF($M411=Constants!$B$3,FALSE(),TRUE())))</f>
        <v/>
      </c>
      <c r="AS411" s="74" t="str">
        <f aca="false">IF(ISBLANK($C411),"",IF($N411=Constants!$B$2,TRUE(),IF($N411=Constants!$B$3,FALSE(),FALSE())))</f>
        <v/>
      </c>
      <c r="AT411" s="74" t="str">
        <f aca="false">IF(ISBLANK($C411),"",IF($O411=Constants!$B$2,TRUE(),IF($O411=Constants!$B$3,FALSE(),TRUE())))</f>
        <v/>
      </c>
      <c r="AU411" s="74" t="str">
        <f aca="false">IF(ISBLANK($C411),"",IF($P411=Constants!$B$2,TRUE(),IF($P411=Constants!$B$3,FALSE(),TRUE())))</f>
        <v/>
      </c>
      <c r="AV411" s="74" t="str">
        <f aca="false">IF(ISBLANK($C411),"",IF($Q411=Constants!$B$2,TRUE(),IF($Q411=Constants!$B$3,FALSE(),FALSE())))</f>
        <v/>
      </c>
      <c r="AW411" s="74" t="str">
        <f aca="false">IF(ISBLANK($C411),"",IF($R411=Constants!$B$2,TRUE(),IF($R411=Constants!$B$3,FALSE(),FALSE())))</f>
        <v/>
      </c>
      <c r="AX411" s="74" t="str">
        <f aca="false">IF(ISBLANK($C411),"",IF($S411=Constants!$B$2,TRUE(),IF($S411=Constants!$B$3,FALSE(),FALSE())))</f>
        <v/>
      </c>
      <c r="AY411" s="74" t="str">
        <f aca="false">IF(ISBLANK($C411),"",IF($T411=Constants!$B$2,TRUE(),IF($T411=Constants!$B$3,FALSE(),FALSE())))</f>
        <v/>
      </c>
      <c r="AZ411" s="74" t="str">
        <f aca="false">IF(ISBLANK($C411),"",IF($U411=Constants!$B$2,TRUE(),IF($U411=Constants!$B$3,FALSE(),FALSE())))</f>
        <v/>
      </c>
      <c r="BA411" s="74" t="str">
        <f aca="false">IF(ISBLANK($C411),"",IF(OR($V411&amp;""="1",$V411&amp;""="2",$V411&amp;""="3",$V411&amp;""="4"),VALUE($V411&amp;""),IF($V411=Constants!$B$12,Constants!$B$12,"")))</f>
        <v/>
      </c>
      <c r="BB411" s="74" t="str">
        <f aca="false">IF(ISBLANK($C411),"",IF(ISBLANK($W411),0,IF(ISNUMBER($W411),IF(AND($W411&gt;=0,$W411&lt;=Constants!$B$21,$W411=INT($W411)),$W411,""),"")))</f>
        <v/>
      </c>
      <c r="BC411" s="74" t="str">
        <f aca="false">IF(ISBLANK($C411),"",IF(ISBLANK($X411),0,IF(ISNUMBER($X411),IF($X411&gt;=0,$X411,""),"")))</f>
        <v/>
      </c>
      <c r="BD411" s="74" t="str">
        <f aca="false">IF(ISBLANK($C411),"",IF($Y411=Constants!$B$2,TRUE(),IF($Y411=Constants!$B$3,FALSE(),TRUE())))</f>
        <v/>
      </c>
      <c r="BE411" s="74" t="str">
        <f aca="false">IF(ISBLANK($C411),"",IF($Z411=Constants!$B$2,TRUE(),IF($Z411=Constants!$B$3,FALSE(),FALSE())))</f>
        <v/>
      </c>
      <c r="BF411" s="74" t="str">
        <f aca="false">IF(ISBLANK($C411),"",IF(ISBLANK($AA411),0,IF(ISNUMBER($AA411),IF(AND($AA411&gt;=0,$AA411&lt;=Constants!$B$35,$AA411=INT($AA411)),$AA411,""),"")))</f>
        <v/>
      </c>
      <c r="BG411" s="74" t="str">
        <f aca="false">IF(ISBLANK($C411),"",IF($AB411=Constants!$B$2,TRUE(),IF($AB411=Constants!$B$3,FALSE(),TRUE())))</f>
        <v/>
      </c>
      <c r="BH411" s="74" t="str">
        <f aca="false">IF(ISBLANK($C411),"",IF($AC411=Constants!$B$2,TRUE(),IF($AC411=Constants!$B$3,FALSE(),TRUE())))</f>
        <v/>
      </c>
      <c r="BI411" s="74" t="str">
        <f aca="false">IF(ISBLANK($C411),"",IF($AD411=Constants!$B$2,TRUE(),IF($AD411=Constants!$B$3,FALSE(),TRUE())))</f>
        <v/>
      </c>
      <c r="BJ411" s="74" t="str">
        <f aca="false">IF(ISBLANK($C411),"",IF(ISNUMBER($AE411),IF($AE411&gt;=0,$AE411,""),""))</f>
        <v/>
      </c>
      <c r="BK411" s="74" t="str">
        <f aca="false">IF(ISBLANK($C411),"",IF($AF411=Constants!$B$2,TRUE(),IF($AF411=Constants!$B$3,FALSE(),FALSE())))</f>
        <v/>
      </c>
      <c r="BL411" s="73" t="str">
        <f aca="false">IF(ISBLANK($C411),"",IF($BK411,Constants!$B$7,IF(COUNTA($E411:$AE411)=0,Constants!$B$6,IF(OR(COUNTA($G411:$AE411)=0,NOT($AM411),$AS411),Constants!$B$5,IF(OR($CM411&lt;&gt;"",$CN411,$CO411,$CP411,$CQ411,$CR411,$CS411),Constants!$B$8,Constants!$B$4)))))</f>
        <v/>
      </c>
      <c r="BM411" s="74" t="str">
        <f aca="false">IF(ISBLANK($C411),"",IF($BL411&lt;&gt;Constants!$B$4,$BL411,IF(OR(NOT($AJ411),NOT($AL411),NOT($AT411)),Constants!$B$11,IF(OR(NOT($AR411),NOT($AU411),NOT($BI411),MAX($AN411,$AO411,$AP411)&gt;Constants!$B$30),Constants!$B$10,Constants!$B$9))))</f>
        <v/>
      </c>
      <c r="BN411" s="74" t="str">
        <f aca="false">IF($BL411&lt;&gt;Constants!$B$4,"",IF(NOT($AL411),0,MIN(Constants!$B$35,$BF411)))</f>
        <v/>
      </c>
      <c r="BO411" s="74" t="str">
        <f aca="false">IF($BL411&lt;&gt;Constants!$B$4,"",IF(NOT($AL411),0,IF($AW411,Constants!$B$18,IF($AV411,Constants!$B$17,0))))</f>
        <v/>
      </c>
      <c r="BP411" s="74" t="str">
        <f aca="false">IF($BL411&lt;&gt;Constants!$B$4,"",IF(NOT($AL411),0,Constants!$B$19*($AK411+$AX411+$AY411+$AZ411)))</f>
        <v/>
      </c>
      <c r="BQ411" s="74" t="str">
        <f aca="false">IF($BL411&lt;&gt;Constants!$B$4,"",IF(OR(NOT($AL411),NOT(ISNUMBER($BA411))),0,CHOOSE($BA411,Constants!$B$13,Constants!$B$14,Constants!$B$15,Constants!$B$16)))</f>
        <v/>
      </c>
      <c r="BR411" s="74" t="str">
        <f aca="false">IF($BL411&lt;&gt;Constants!$B$4,"",IF(NOT($AL411),0,Constants!$B$20*$BB411))</f>
        <v/>
      </c>
      <c r="BS411" s="74" t="str">
        <f aca="false">IF($BL411&lt;&gt;Constants!$B$4,"",IF(AND($AL411,$BD411,$BE411),Constants!$B$22,0))</f>
        <v/>
      </c>
      <c r="BT411" s="74" t="str">
        <f aca="false">IF($BL411&lt;&gt;Constants!$B$4,"",IF(OR(NOT($AL411),NOT($BD411)),0,IF($BJ411&gt;=2*$AH$9,0,Constants!$B$23*INT(ROUND(MIN($BJ411,$AH$9),6)))))</f>
        <v/>
      </c>
      <c r="BU411" s="74" t="str">
        <f aca="false">IF($BL411&lt;&gt;Constants!$B$4,"",IF(NOT($AL411),0,Constants!$B$24*INT(ROUND(MIN($BC411,$AH$9),6))))</f>
        <v/>
      </c>
      <c r="BV411" s="74" t="str">
        <f aca="false">IF($BL411&lt;&gt;Constants!$B$4,"",IF(AND($AL411,$BN411=0),Constants!$B$25,0))</f>
        <v/>
      </c>
      <c r="BW411" s="74" t="str">
        <f aca="false">IF($BL411&lt;&gt;Constants!$B$4,"",MIN(Constants!$B$29,MAX(0,Constants!$B$27*Constants!$B$28*INT(ROUND((Constants!$B$26-$AN411)/Constants!$B$28,6))))+MIN(Constants!$B$29,MAX(0,Constants!$B$27*Constants!$B$28*INT(ROUND((Constants!$B$26-$AO411)/Constants!$B$28,6))))+MIN(Constants!$B$29,MAX(0,Constants!$B$27*Constants!$B$28*INT(ROUND((Constants!$B$26-$AP411)/Constants!$B$28,6)))))</f>
        <v/>
      </c>
      <c r="BX411" s="74" t="str">
        <f aca="false">IF($BL411&lt;&gt;Constants!$B$4,"",IF(NOT($AL411),0,Constants!$B$31*INT(ROUND(MAX(0,MIN($BJ411,2*$AH$9)-$AH$9),6))))</f>
        <v/>
      </c>
      <c r="BY411" s="74" t="str">
        <f aca="false">IF($BL411&lt;&gt;Constants!$B$4,"",Constants!$B$32*(($AN411&gt;Constants!$B$26)+($AO411&gt;Constants!$B$26)+($AP411&gt;Constants!$B$26)))</f>
        <v/>
      </c>
      <c r="BZ411" s="74" t="str">
        <f aca="false">IF($BL411&lt;&gt;Constants!$B$4,"",IF(OR(NOT($AL411),$AQ411),0,Constants!$B$33))</f>
        <v/>
      </c>
      <c r="CA411" s="74" t="str">
        <f aca="false">IF($BL411&lt;&gt;Constants!$B$4,"",Constants!$B$34*$BN411)</f>
        <v/>
      </c>
      <c r="CB411" s="74" t="str">
        <f aca="false">IF($BL411&lt;&gt;Constants!$B$4,"",IF(OR(NOT($AL411),$BH411),0,Constants!$B$36))</f>
        <v/>
      </c>
      <c r="CC411" s="74" t="str">
        <f aca="false">IF($BL411&lt;&gt;Constants!$B$4,"",IF(OR(NOT($AL411),$BG411),0,Constants!$B$37))</f>
        <v/>
      </c>
      <c r="CD411" s="74" t="str">
        <f aca="false">IF($BL411&lt;&gt;Constants!$B$4,"",SUM($BX411:$CC411))</f>
        <v/>
      </c>
      <c r="CE411" s="74" t="str">
        <f aca="false">IF(ISBLANK($C411),"",IF($BL411&lt;&gt;Constants!$B$4,$BL411,SUM($BO411:$BW411)-$CD411))</f>
        <v/>
      </c>
      <c r="CF411" s="74" t="str">
        <f aca="false">IF(ISBLANK($C411),"",IF($BL411&lt;&gt;Constants!$B$4,$BL411,RANK($CE411,$CE$9:$CE$508)))</f>
        <v/>
      </c>
      <c r="CG411" s="74" t="str">
        <f aca="false">IF(ISBLANK($C411),"",IF($BL411&lt;&gt;Constants!$B$4,$BL411,COUNTIFS($BM$9:$BM$508,"&lt;"&amp;$BM411)+COUNTIFS($BM$9:$BM$508,$BM411,$CF$9:$CF$508,"&lt;"&amp;$CF411)+1))</f>
        <v/>
      </c>
      <c r="CH411" s="74" t="str">
        <f aca="false">IF(ISBLANK($C411),"",IF($BL411&lt;&gt;Constants!$B$4,$BL411,RANK($CD411,$CD$9:$CD$508,1)))</f>
        <v/>
      </c>
      <c r="CI411" s="74" t="str">
        <f aca="false">IF($BL411&lt;&gt;Constants!$B$4,"",$AN411+$AO411+$AP411)</f>
        <v/>
      </c>
      <c r="CJ411" s="74" t="str">
        <f aca="false">IF(ISBLANK($C411),"",IF($BL411&lt;&gt;Constants!$B$4,$BL411,RANK($CI411,$CI$9:$CI$508,1)))</f>
        <v/>
      </c>
      <c r="CK411" s="74" t="str">
        <f aca="false">IF(ISBLANK($C411),"",IF($BL411&lt;&gt;Constants!$B$4,$BL411,COUNTIFS($BM$9:$BM$508,"&lt;"&amp;$BM411)+COUNTIFS($BM$9:$BM$508,$BM411,$CF$9:$CF$508,"&lt;"&amp;$CF411)+COUNTIFS($BM$9:$BM$508,$BM411,$CF$9:$CF$508,$CF411,$CH$9:$CH$508,"&lt;"&amp;$CH411)+COUNTIFS($BM$9:$BM$508,$BM411,$CF$9:$CF$508,$CF411,$CH$9:$CH$508,$CH411,$CJ$9:$CJ$508,"&lt;"&amp;$CJ411)+1))</f>
        <v/>
      </c>
      <c r="CL411" s="74" t="str">
        <f aca="false">IF(ISBLANK($C411),"",IF($BL411&lt;&gt;Constants!$B$4,$BL411,$CG411-$CK411))</f>
        <v/>
      </c>
      <c r="CM411" s="74" t="str">
        <f aca="false">IF(ISBLANK($C411),"",IF(NOT($AL411),"",IF(ISBLANK($D$7),$CM$5,IF(NOT(ISNUMBER($D$7)),$CM$6,""))))</f>
        <v/>
      </c>
      <c r="CN411" s="74" t="str">
        <f aca="false">IF(ISBLANK($C411),"",OR($AN411="",$AO411="",$AP411=""))</f>
        <v/>
      </c>
      <c r="CO411" s="74" t="str">
        <f aca="false">IF(ISBLANK($C411),"",AND($AL411,$BA411=""))</f>
        <v/>
      </c>
      <c r="CP411" s="74" t="str">
        <f aca="false">IF(ISBLANK($C411),"",AND($AL411,$BB411=""))</f>
        <v/>
      </c>
      <c r="CQ411" s="74" t="str">
        <f aca="false">IF(ISBLANK($C411),"",AND($AL411,$BC411=""))</f>
        <v/>
      </c>
      <c r="CR411" s="74" t="str">
        <f aca="false">IF(ISBLANK($C411),"",AND($AL411,$BF411=""))</f>
        <v/>
      </c>
      <c r="CS411" s="74" t="str">
        <f aca="false">IF(ISBLANK($C411),"",AND($AL411,$BJ411=""))</f>
        <v/>
      </c>
      <c r="CT411" s="75"/>
      <c r="CU411" s="76"/>
      <c r="CV411" s="79" t="str">
        <f aca="false">IF(ISBLANK($C411),"",IF($BL411=Constants!$B$8,$CM411,""))</f>
        <v/>
      </c>
      <c r="CW411" s="76" t="str">
        <f aca="false">IF(ISBLANK($C411),"",IF($BL411&lt;&gt;Constants!$B$4,"",$BO411+$BP411))</f>
        <v/>
      </c>
      <c r="CX411" s="78" t="str">
        <f aca="false">IF(ISBLANK($C411),"",IF($BL411&lt;&gt;Constants!$B$4,"",$BQ411+$BR411+$BS411))</f>
        <v/>
      </c>
      <c r="CY411" s="78" t="str">
        <f aca="false">IF(ISBLANK($C411),"",IF($BL411&lt;&gt;Constants!$B$4,"",$BT411))</f>
        <v/>
      </c>
      <c r="CZ411" s="78" t="str">
        <f aca="false">IF(ISBLANK($C411),"",IF($BL411&lt;&gt;Constants!$B$4,"",$BU411+$BV411))</f>
        <v/>
      </c>
      <c r="DA411" s="78" t="str">
        <f aca="false">IF(ISBLANK($C411),"",IF($BL411&lt;&gt;Constants!$B$4,"",$BW411))</f>
        <v/>
      </c>
      <c r="DB411" s="78" t="str">
        <f aca="false">IF(ISBLANK($C411),"",IF($BL411&lt;&gt;Constants!$B$4,"",-$CD411))</f>
        <v/>
      </c>
      <c r="DC411" s="79" t="str">
        <f aca="false">IF(ISBLANK($C411),"",$CE411)</f>
        <v/>
      </c>
      <c r="DD411" s="80" t="str">
        <f aca="false">IF(ISBLANK($C411),"",$BM411)</f>
        <v/>
      </c>
      <c r="DE411" s="78" t="str">
        <f aca="false">IF(ISBLANK($C411),"",$CL411)</f>
        <v/>
      </c>
      <c r="DF411" s="78" t="str">
        <f aca="false">IF(ISBLANK($C411),"",$CK411)</f>
        <v/>
      </c>
      <c r="DG411" s="81" t="str">
        <f aca="false">IF(ISBLANK($C411),"",IF($DF411=Constants!$B$7,COUNTA($C$9:$C$508)+2,IF($DF411=Constants!$B$6,COUNTA($C$9:$C$508)+1,IF($DF411=Constants!$B$5,COUNTA($C$9:$C$508),$DF411))))</f>
        <v/>
      </c>
      <c r="DH411" s="7"/>
      <c r="DI411" s="82" t="n">
        <f aca="false">IF(OR(ISNUMBER($DF411),$DF411=Constants!$B$7,$DF411=Constants!$B$5,$DF411=Constants!$B$6),1,0)</f>
        <v>0</v>
      </c>
      <c r="DJ411" s="82" t="n">
        <v>403</v>
      </c>
      <c r="DK411" s="82" t="str">
        <f aca="false">IF(ISBLANK($C411),"",IF(ISNUMBER($DG411),$DG411+ROW($B411)/1000,""))</f>
        <v/>
      </c>
      <c r="DL411" s="82" t="str">
        <f aca="false">IF(ISNUMBER($DK411),RANK($DK411,$DK$9:$DK$508,1),"")</f>
        <v/>
      </c>
      <c r="DM411" s="82" t="str">
        <f aca="false">IF(ISBLANK($C411),"",$B411)</f>
        <v/>
      </c>
      <c r="DN411" s="82" t="str">
        <f aca="false">IF(ISBLANK($C411),"",$C411)</f>
        <v/>
      </c>
      <c r="DO411" s="82" t="str">
        <f aca="false">IF(ISBLANK($C411),"",$D411)</f>
        <v/>
      </c>
      <c r="DP411" s="83" t="str">
        <f aca="false">$DD411</f>
        <v/>
      </c>
      <c r="DQ411" s="84" t="str">
        <f aca="false">$DC411</f>
        <v/>
      </c>
      <c r="DR411" s="82" t="str">
        <f aca="false">IF(ISBLANK($C411),"",$DF411)</f>
        <v/>
      </c>
      <c r="DS411" s="85" t="str">
        <f aca="false">IF($DJ411&gt;$DI$8,"",VLOOKUP($DJ411,$DL$9:$DR$508,7,FALSE()))</f>
        <v/>
      </c>
      <c r="DT411" s="86" t="str">
        <f aca="false">IF($DJ411&gt;$DI$8,"",VLOOKUP($DJ411,$DL$9:$DR$508,2,FALSE()))</f>
        <v/>
      </c>
      <c r="DU411" s="86" t="str">
        <f aca="false">IF($DJ411&gt;$DI$8,"",VLOOKUP($DJ411,$DL$9:$DR$508,3,FALSE()))</f>
        <v/>
      </c>
      <c r="DV411" s="86" t="str">
        <f aca="false">IF($DJ411&gt;$DI$8,"",VLOOKUP($DJ411,$DL$9:$DR$508,4,FALSE()))</f>
        <v/>
      </c>
      <c r="DW411" s="86" t="str">
        <f aca="false">IF($DJ411&gt;$DI$8,"",VLOOKUP($DJ411,$DL$9:$DR$508,5,FALSE()))</f>
        <v/>
      </c>
      <c r="DX411" s="87" t="str">
        <f aca="false">IF($DJ411&gt;$DI$8,"",VLOOKUP($DJ411,$DL$9:$DR$508,6,FALSE()))</f>
        <v/>
      </c>
      <c r="DY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88"/>
      <c r="N412" s="88"/>
      <c r="O412" s="134"/>
      <c r="P412" s="134"/>
      <c r="Q412" s="88"/>
      <c r="R412" s="88"/>
      <c r="S412" s="88"/>
      <c r="T412" s="88"/>
      <c r="U412" s="134"/>
      <c r="V412" s="88"/>
      <c r="W412" s="70"/>
      <c r="X412" s="88"/>
      <c r="Y412" s="88"/>
      <c r="Z412" s="70"/>
      <c r="AA412" s="70"/>
      <c r="AB412" s="88"/>
      <c r="AC412" s="88"/>
      <c r="AD412" s="88"/>
      <c r="AE412" s="71"/>
      <c r="AF412" s="88"/>
      <c r="AG412" s="73"/>
      <c r="AH412" s="74"/>
      <c r="AI412" s="74"/>
      <c r="AJ412" s="74" t="str">
        <f aca="false">IF(ISBLANK($C412),"",IF($E412=Constants!$B$2,TRUE(),IF($E412=Constants!$B$3,FALSE(),TRUE())))</f>
        <v/>
      </c>
      <c r="AK412" s="74" t="str">
        <f aca="false">IF(ISBLANK($C412),"",IF($F412=Constants!$B$2,TRUE(),IF($F412=Constants!$B$3,FALSE(),FALSE())))</f>
        <v/>
      </c>
      <c r="AL412" s="74" t="str">
        <f aca="false">IF(ISBLANK($C412),"",IF($G412=Constants!$B$2,TRUE(),IF($G412=Constants!$B$3,FALSE(),TRUE())))</f>
        <v/>
      </c>
      <c r="AM412" s="74" t="str">
        <f aca="false">IF(ISBLANK($C412),"",IF($H412=Constants!$B$2,TRUE(),IF($H412=Constants!$B$3,FALSE(),TRUE())))</f>
        <v/>
      </c>
      <c r="AN412" s="74" t="str">
        <f aca="false">IF(ISBLANK($C412),"",IF(ISNUMBER($I412),IF($I412&gt;=0,$I412,""),""))</f>
        <v/>
      </c>
      <c r="AO412" s="74" t="str">
        <f aca="false">IF(ISBLANK($C412),"",IF(ISNUMBER($J412),IF($J412&gt;=0,$J412,""),""))</f>
        <v/>
      </c>
      <c r="AP412" s="74" t="str">
        <f aca="false">IF(ISBLANK($C412),"",IF(ISNUMBER($K412),IF($K412&gt;=0,$K412,""),""))</f>
        <v/>
      </c>
      <c r="AQ412" s="74" t="str">
        <f aca="false">IF(ISBLANK($C412),"",IF($L412=Constants!$B$2,TRUE(),IF($L412=Constants!$B$3,FALSE(),TRUE())))</f>
        <v/>
      </c>
      <c r="AR412" s="74" t="str">
        <f aca="false">IF(ISBLANK($C412),"",IF($M412=Constants!$B$2,TRUE(),IF($M412=Constants!$B$3,FALSE(),TRUE())))</f>
        <v/>
      </c>
      <c r="AS412" s="74" t="str">
        <f aca="false">IF(ISBLANK($C412),"",IF($N412=Constants!$B$2,TRUE(),IF($N412=Constants!$B$3,FALSE(),FALSE())))</f>
        <v/>
      </c>
      <c r="AT412" s="74" t="str">
        <f aca="false">IF(ISBLANK($C412),"",IF($O412=Constants!$B$2,TRUE(),IF($O412=Constants!$B$3,FALSE(),TRUE())))</f>
        <v/>
      </c>
      <c r="AU412" s="74" t="str">
        <f aca="false">IF(ISBLANK($C412),"",IF($P412=Constants!$B$2,TRUE(),IF($P412=Constants!$B$3,FALSE(),TRUE())))</f>
        <v/>
      </c>
      <c r="AV412" s="74" t="str">
        <f aca="false">IF(ISBLANK($C412),"",IF($Q412=Constants!$B$2,TRUE(),IF($Q412=Constants!$B$3,FALSE(),FALSE())))</f>
        <v/>
      </c>
      <c r="AW412" s="74" t="str">
        <f aca="false">IF(ISBLANK($C412),"",IF($R412=Constants!$B$2,TRUE(),IF($R412=Constants!$B$3,FALSE(),FALSE())))</f>
        <v/>
      </c>
      <c r="AX412" s="74" t="str">
        <f aca="false">IF(ISBLANK($C412),"",IF($S412=Constants!$B$2,TRUE(),IF($S412=Constants!$B$3,FALSE(),FALSE())))</f>
        <v/>
      </c>
      <c r="AY412" s="74" t="str">
        <f aca="false">IF(ISBLANK($C412),"",IF($T412=Constants!$B$2,TRUE(),IF($T412=Constants!$B$3,FALSE(),FALSE())))</f>
        <v/>
      </c>
      <c r="AZ412" s="74" t="str">
        <f aca="false">IF(ISBLANK($C412),"",IF($U412=Constants!$B$2,TRUE(),IF($U412=Constants!$B$3,FALSE(),FALSE())))</f>
        <v/>
      </c>
      <c r="BA412" s="74" t="str">
        <f aca="false">IF(ISBLANK($C412),"",IF(OR($V412&amp;""="1",$V412&amp;""="2",$V412&amp;""="3",$V412&amp;""="4"),VALUE($V412&amp;""),IF($V412=Constants!$B$12,Constants!$B$12,"")))</f>
        <v/>
      </c>
      <c r="BB412" s="74" t="str">
        <f aca="false">IF(ISBLANK($C412),"",IF(ISBLANK($W412),0,IF(ISNUMBER($W412),IF(AND($W412&gt;=0,$W412&lt;=Constants!$B$21,$W412=INT($W412)),$W412,""),"")))</f>
        <v/>
      </c>
      <c r="BC412" s="74" t="str">
        <f aca="false">IF(ISBLANK($C412),"",IF(ISBLANK($X412),0,IF(ISNUMBER($X412),IF($X412&gt;=0,$X412,""),"")))</f>
        <v/>
      </c>
      <c r="BD412" s="74" t="str">
        <f aca="false">IF(ISBLANK($C412),"",IF($Y412=Constants!$B$2,TRUE(),IF($Y412=Constants!$B$3,FALSE(),TRUE())))</f>
        <v/>
      </c>
      <c r="BE412" s="74" t="str">
        <f aca="false">IF(ISBLANK($C412),"",IF($Z412=Constants!$B$2,TRUE(),IF($Z412=Constants!$B$3,FALSE(),FALSE())))</f>
        <v/>
      </c>
      <c r="BF412" s="74" t="str">
        <f aca="false">IF(ISBLANK($C412),"",IF(ISBLANK($AA412),0,IF(ISNUMBER($AA412),IF(AND($AA412&gt;=0,$AA412&lt;=Constants!$B$35,$AA412=INT($AA412)),$AA412,""),"")))</f>
        <v/>
      </c>
      <c r="BG412" s="74" t="str">
        <f aca="false">IF(ISBLANK($C412),"",IF($AB412=Constants!$B$2,TRUE(),IF($AB412=Constants!$B$3,FALSE(),TRUE())))</f>
        <v/>
      </c>
      <c r="BH412" s="74" t="str">
        <f aca="false">IF(ISBLANK($C412),"",IF($AC412=Constants!$B$2,TRUE(),IF($AC412=Constants!$B$3,FALSE(),TRUE())))</f>
        <v/>
      </c>
      <c r="BI412" s="74" t="str">
        <f aca="false">IF(ISBLANK($C412),"",IF($AD412=Constants!$B$2,TRUE(),IF($AD412=Constants!$B$3,FALSE(),TRUE())))</f>
        <v/>
      </c>
      <c r="BJ412" s="74" t="str">
        <f aca="false">IF(ISBLANK($C412),"",IF(ISNUMBER($AE412),IF($AE412&gt;=0,$AE412,""),""))</f>
        <v/>
      </c>
      <c r="BK412" s="74" t="str">
        <f aca="false">IF(ISBLANK($C412),"",IF($AF412=Constants!$B$2,TRUE(),IF($AF412=Constants!$B$3,FALSE(),FALSE())))</f>
        <v/>
      </c>
      <c r="BL412" s="73" t="str">
        <f aca="false">IF(ISBLANK($C412),"",IF($BK412,Constants!$B$7,IF(COUNTA($E412:$AE412)=0,Constants!$B$6,IF(OR(COUNTA($G412:$AE412)=0,NOT($AM412),$AS412),Constants!$B$5,IF(OR($CM412&lt;&gt;"",$CN412,$CO412,$CP412,$CQ412,$CR412,$CS412),Constants!$B$8,Constants!$B$4)))))</f>
        <v/>
      </c>
      <c r="BM412" s="74" t="str">
        <f aca="false">IF(ISBLANK($C412),"",IF($BL412&lt;&gt;Constants!$B$4,$BL412,IF(OR(NOT($AJ412),NOT($AL412),NOT($AT412)),Constants!$B$11,IF(OR(NOT($AR412),NOT($AU412),NOT($BI412),MAX($AN412,$AO412,$AP412)&gt;Constants!$B$30),Constants!$B$10,Constants!$B$9))))</f>
        <v/>
      </c>
      <c r="BN412" s="74" t="str">
        <f aca="false">IF($BL412&lt;&gt;Constants!$B$4,"",IF(NOT($AL412),0,MIN(Constants!$B$35,$BF412)))</f>
        <v/>
      </c>
      <c r="BO412" s="74" t="str">
        <f aca="false">IF($BL412&lt;&gt;Constants!$B$4,"",IF(NOT($AL412),0,IF($AW412,Constants!$B$18,IF($AV412,Constants!$B$17,0))))</f>
        <v/>
      </c>
      <c r="BP412" s="74" t="str">
        <f aca="false">IF($BL412&lt;&gt;Constants!$B$4,"",IF(NOT($AL412),0,Constants!$B$19*($AK412+$AX412+$AY412+$AZ412)))</f>
        <v/>
      </c>
      <c r="BQ412" s="74" t="str">
        <f aca="false">IF($BL412&lt;&gt;Constants!$B$4,"",IF(OR(NOT($AL412),NOT(ISNUMBER($BA412))),0,CHOOSE($BA412,Constants!$B$13,Constants!$B$14,Constants!$B$15,Constants!$B$16)))</f>
        <v/>
      </c>
      <c r="BR412" s="74" t="str">
        <f aca="false">IF($BL412&lt;&gt;Constants!$B$4,"",IF(NOT($AL412),0,Constants!$B$20*$BB412))</f>
        <v/>
      </c>
      <c r="BS412" s="74" t="str">
        <f aca="false">IF($BL412&lt;&gt;Constants!$B$4,"",IF(AND($AL412,$BD412,$BE412),Constants!$B$22,0))</f>
        <v/>
      </c>
      <c r="BT412" s="74" t="str">
        <f aca="false">IF($BL412&lt;&gt;Constants!$B$4,"",IF(OR(NOT($AL412),NOT($BD412)),0,IF($BJ412&gt;=2*$AH$9,0,Constants!$B$23*INT(ROUND(MIN($BJ412,$AH$9),6)))))</f>
        <v/>
      </c>
      <c r="BU412" s="74" t="str">
        <f aca="false">IF($BL412&lt;&gt;Constants!$B$4,"",IF(NOT($AL412),0,Constants!$B$24*INT(ROUND(MIN($BC412,$AH$9),6))))</f>
        <v/>
      </c>
      <c r="BV412" s="74" t="str">
        <f aca="false">IF($BL412&lt;&gt;Constants!$B$4,"",IF(AND($AL412,$BN412=0),Constants!$B$25,0))</f>
        <v/>
      </c>
      <c r="BW412" s="74" t="str">
        <f aca="false">IF($BL412&lt;&gt;Constants!$B$4,"",MIN(Constants!$B$29,MAX(0,Constants!$B$27*Constants!$B$28*INT(ROUND((Constants!$B$26-$AN412)/Constants!$B$28,6))))+MIN(Constants!$B$29,MAX(0,Constants!$B$27*Constants!$B$28*INT(ROUND((Constants!$B$26-$AO412)/Constants!$B$28,6))))+MIN(Constants!$B$29,MAX(0,Constants!$B$27*Constants!$B$28*INT(ROUND((Constants!$B$26-$AP412)/Constants!$B$28,6)))))</f>
        <v/>
      </c>
      <c r="BX412" s="74" t="str">
        <f aca="false">IF($BL412&lt;&gt;Constants!$B$4,"",IF(NOT($AL412),0,Constants!$B$31*INT(ROUND(MAX(0,MIN($BJ412,2*$AH$9)-$AH$9),6))))</f>
        <v/>
      </c>
      <c r="BY412" s="74" t="str">
        <f aca="false">IF($BL412&lt;&gt;Constants!$B$4,"",Constants!$B$32*(($AN412&gt;Constants!$B$26)+($AO412&gt;Constants!$B$26)+($AP412&gt;Constants!$B$26)))</f>
        <v/>
      </c>
      <c r="BZ412" s="74" t="str">
        <f aca="false">IF($BL412&lt;&gt;Constants!$B$4,"",IF(OR(NOT($AL412),$AQ412),0,Constants!$B$33))</f>
        <v/>
      </c>
      <c r="CA412" s="74" t="str">
        <f aca="false">IF($BL412&lt;&gt;Constants!$B$4,"",Constants!$B$34*$BN412)</f>
        <v/>
      </c>
      <c r="CB412" s="74" t="str">
        <f aca="false">IF($BL412&lt;&gt;Constants!$B$4,"",IF(OR(NOT($AL412),$BH412),0,Constants!$B$36))</f>
        <v/>
      </c>
      <c r="CC412" s="74" t="str">
        <f aca="false">IF($BL412&lt;&gt;Constants!$B$4,"",IF(OR(NOT($AL412),$BG412),0,Constants!$B$37))</f>
        <v/>
      </c>
      <c r="CD412" s="74" t="str">
        <f aca="false">IF($BL412&lt;&gt;Constants!$B$4,"",SUM($BX412:$CC412))</f>
        <v/>
      </c>
      <c r="CE412" s="74" t="str">
        <f aca="false">IF(ISBLANK($C412),"",IF($BL412&lt;&gt;Constants!$B$4,$BL412,SUM($BO412:$BW412)-$CD412))</f>
        <v/>
      </c>
      <c r="CF412" s="74" t="str">
        <f aca="false">IF(ISBLANK($C412),"",IF($BL412&lt;&gt;Constants!$B$4,$BL412,RANK($CE412,$CE$9:$CE$508)))</f>
        <v/>
      </c>
      <c r="CG412" s="74" t="str">
        <f aca="false">IF(ISBLANK($C412),"",IF($BL412&lt;&gt;Constants!$B$4,$BL412,COUNTIFS($BM$9:$BM$508,"&lt;"&amp;$BM412)+COUNTIFS($BM$9:$BM$508,$BM412,$CF$9:$CF$508,"&lt;"&amp;$CF412)+1))</f>
        <v/>
      </c>
      <c r="CH412" s="74" t="str">
        <f aca="false">IF(ISBLANK($C412),"",IF($BL412&lt;&gt;Constants!$B$4,$BL412,RANK($CD412,$CD$9:$CD$508,1)))</f>
        <v/>
      </c>
      <c r="CI412" s="74" t="str">
        <f aca="false">IF($BL412&lt;&gt;Constants!$B$4,"",$AN412+$AO412+$AP412)</f>
        <v/>
      </c>
      <c r="CJ412" s="74" t="str">
        <f aca="false">IF(ISBLANK($C412),"",IF($BL412&lt;&gt;Constants!$B$4,$BL412,RANK($CI412,$CI$9:$CI$508,1)))</f>
        <v/>
      </c>
      <c r="CK412" s="74" t="str">
        <f aca="false">IF(ISBLANK($C412),"",IF($BL412&lt;&gt;Constants!$B$4,$BL412,COUNTIFS($BM$9:$BM$508,"&lt;"&amp;$BM412)+COUNTIFS($BM$9:$BM$508,$BM412,$CF$9:$CF$508,"&lt;"&amp;$CF412)+COUNTIFS($BM$9:$BM$508,$BM412,$CF$9:$CF$508,$CF412,$CH$9:$CH$508,"&lt;"&amp;$CH412)+COUNTIFS($BM$9:$BM$508,$BM412,$CF$9:$CF$508,$CF412,$CH$9:$CH$508,$CH412,$CJ$9:$CJ$508,"&lt;"&amp;$CJ412)+1))</f>
        <v/>
      </c>
      <c r="CL412" s="74" t="str">
        <f aca="false">IF(ISBLANK($C412),"",IF($BL412&lt;&gt;Constants!$B$4,$BL412,$CG412-$CK412))</f>
        <v/>
      </c>
      <c r="CM412" s="74" t="str">
        <f aca="false">IF(ISBLANK($C412),"",IF(NOT($AL412),"",IF(ISBLANK($D$7),$CM$5,IF(NOT(ISNUMBER($D$7)),$CM$6,""))))</f>
        <v/>
      </c>
      <c r="CN412" s="74" t="str">
        <f aca="false">IF(ISBLANK($C412),"",OR($AN412="",$AO412="",$AP412=""))</f>
        <v/>
      </c>
      <c r="CO412" s="74" t="str">
        <f aca="false">IF(ISBLANK($C412),"",AND($AL412,$BA412=""))</f>
        <v/>
      </c>
      <c r="CP412" s="74" t="str">
        <f aca="false">IF(ISBLANK($C412),"",AND($AL412,$BB412=""))</f>
        <v/>
      </c>
      <c r="CQ412" s="74" t="str">
        <f aca="false">IF(ISBLANK($C412),"",AND($AL412,$BC412=""))</f>
        <v/>
      </c>
      <c r="CR412" s="74" t="str">
        <f aca="false">IF(ISBLANK($C412),"",AND($AL412,$BF412=""))</f>
        <v/>
      </c>
      <c r="CS412" s="74" t="str">
        <f aca="false">IF(ISBLANK($C412),"",AND($AL412,$BJ412=""))</f>
        <v/>
      </c>
      <c r="CT412" s="75"/>
      <c r="CU412" s="76"/>
      <c r="CV412" s="79" t="str">
        <f aca="false">IF(ISBLANK($C412),"",IF($BL412=Constants!$B$8,$CM412,""))</f>
        <v/>
      </c>
      <c r="CW412" s="76" t="str">
        <f aca="false">IF(ISBLANK($C412),"",IF($BL412&lt;&gt;Constants!$B$4,"",$BO412+$BP412))</f>
        <v/>
      </c>
      <c r="CX412" s="78" t="str">
        <f aca="false">IF(ISBLANK($C412),"",IF($BL412&lt;&gt;Constants!$B$4,"",$BQ412+$BR412+$BS412))</f>
        <v/>
      </c>
      <c r="CY412" s="78" t="str">
        <f aca="false">IF(ISBLANK($C412),"",IF($BL412&lt;&gt;Constants!$B$4,"",$BT412))</f>
        <v/>
      </c>
      <c r="CZ412" s="78" t="str">
        <f aca="false">IF(ISBLANK($C412),"",IF($BL412&lt;&gt;Constants!$B$4,"",$BU412+$BV412))</f>
        <v/>
      </c>
      <c r="DA412" s="78" t="str">
        <f aca="false">IF(ISBLANK($C412),"",IF($BL412&lt;&gt;Constants!$B$4,"",$BW412))</f>
        <v/>
      </c>
      <c r="DB412" s="78" t="str">
        <f aca="false">IF(ISBLANK($C412),"",IF($BL412&lt;&gt;Constants!$B$4,"",-$CD412))</f>
        <v/>
      </c>
      <c r="DC412" s="79" t="str">
        <f aca="false">IF(ISBLANK($C412),"",$CE412)</f>
        <v/>
      </c>
      <c r="DD412" s="80" t="str">
        <f aca="false">IF(ISBLANK($C412),"",$BM412)</f>
        <v/>
      </c>
      <c r="DE412" s="78" t="str">
        <f aca="false">IF(ISBLANK($C412),"",$CL412)</f>
        <v/>
      </c>
      <c r="DF412" s="78" t="str">
        <f aca="false">IF(ISBLANK($C412),"",$CK412)</f>
        <v/>
      </c>
      <c r="DG412" s="81" t="str">
        <f aca="false">IF(ISBLANK($C412),"",IF($DF412=Constants!$B$7,COUNTA($C$9:$C$508)+2,IF($DF412=Constants!$B$6,COUNTA($C$9:$C$508)+1,IF($DF412=Constants!$B$5,COUNTA($C$9:$C$508),$DF412))))</f>
        <v/>
      </c>
      <c r="DH412" s="7"/>
      <c r="DI412" s="82" t="n">
        <f aca="false">IF(OR(ISNUMBER($DF412),$DF412=Constants!$B$7,$DF412=Constants!$B$5,$DF412=Constants!$B$6),1,0)</f>
        <v>0</v>
      </c>
      <c r="DJ412" s="82" t="n">
        <v>404</v>
      </c>
      <c r="DK412" s="82" t="str">
        <f aca="false">IF(ISBLANK($C412),"",IF(ISNUMBER($DG412),$DG412+ROW($B412)/1000,""))</f>
        <v/>
      </c>
      <c r="DL412" s="82" t="str">
        <f aca="false">IF(ISNUMBER($DK412),RANK($DK412,$DK$9:$DK$508,1),"")</f>
        <v/>
      </c>
      <c r="DM412" s="82" t="str">
        <f aca="false">IF(ISBLANK($C412),"",$B412)</f>
        <v/>
      </c>
      <c r="DN412" s="82" t="str">
        <f aca="false">IF(ISBLANK($C412),"",$C412)</f>
        <v/>
      </c>
      <c r="DO412" s="82" t="str">
        <f aca="false">IF(ISBLANK($C412),"",$D412)</f>
        <v/>
      </c>
      <c r="DP412" s="83" t="str">
        <f aca="false">$DD412</f>
        <v/>
      </c>
      <c r="DQ412" s="84" t="str">
        <f aca="false">$DC412</f>
        <v/>
      </c>
      <c r="DR412" s="82" t="str">
        <f aca="false">IF(ISBLANK($C412),"",$DF412)</f>
        <v/>
      </c>
      <c r="DS412" s="85" t="str">
        <f aca="false">IF($DJ412&gt;$DI$8,"",VLOOKUP($DJ412,$DL$9:$DR$508,7,FALSE()))</f>
        <v/>
      </c>
      <c r="DT412" s="86" t="str">
        <f aca="false">IF($DJ412&gt;$DI$8,"",VLOOKUP($DJ412,$DL$9:$DR$508,2,FALSE()))</f>
        <v/>
      </c>
      <c r="DU412" s="86" t="str">
        <f aca="false">IF($DJ412&gt;$DI$8,"",VLOOKUP($DJ412,$DL$9:$DR$508,3,FALSE()))</f>
        <v/>
      </c>
      <c r="DV412" s="86" t="str">
        <f aca="false">IF($DJ412&gt;$DI$8,"",VLOOKUP($DJ412,$DL$9:$DR$508,4,FALSE()))</f>
        <v/>
      </c>
      <c r="DW412" s="86" t="str">
        <f aca="false">IF($DJ412&gt;$DI$8,"",VLOOKUP($DJ412,$DL$9:$DR$508,5,FALSE()))</f>
        <v/>
      </c>
      <c r="DX412" s="87" t="str">
        <f aca="false">IF($DJ412&gt;$DI$8,"",VLOOKUP($DJ412,$DL$9:$DR$508,6,FALSE()))</f>
        <v/>
      </c>
      <c r="DY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88"/>
      <c r="N413" s="88"/>
      <c r="O413" s="134"/>
      <c r="P413" s="134"/>
      <c r="Q413" s="88"/>
      <c r="R413" s="88"/>
      <c r="S413" s="88"/>
      <c r="T413" s="88"/>
      <c r="U413" s="134"/>
      <c r="V413" s="88"/>
      <c r="W413" s="70"/>
      <c r="X413" s="88"/>
      <c r="Y413" s="88"/>
      <c r="Z413" s="70"/>
      <c r="AA413" s="70"/>
      <c r="AB413" s="88"/>
      <c r="AC413" s="88"/>
      <c r="AD413" s="88"/>
      <c r="AE413" s="71"/>
      <c r="AF413" s="88"/>
      <c r="AG413" s="73"/>
      <c r="AH413" s="74"/>
      <c r="AI413" s="74"/>
      <c r="AJ413" s="74" t="str">
        <f aca="false">IF(ISBLANK($C413),"",IF($E413=Constants!$B$2,TRUE(),IF($E413=Constants!$B$3,FALSE(),TRUE())))</f>
        <v/>
      </c>
      <c r="AK413" s="74" t="str">
        <f aca="false">IF(ISBLANK($C413),"",IF($F413=Constants!$B$2,TRUE(),IF($F413=Constants!$B$3,FALSE(),FALSE())))</f>
        <v/>
      </c>
      <c r="AL413" s="74" t="str">
        <f aca="false">IF(ISBLANK($C413),"",IF($G413=Constants!$B$2,TRUE(),IF($G413=Constants!$B$3,FALSE(),TRUE())))</f>
        <v/>
      </c>
      <c r="AM413" s="74" t="str">
        <f aca="false">IF(ISBLANK($C413),"",IF($H413=Constants!$B$2,TRUE(),IF($H413=Constants!$B$3,FALSE(),TRUE())))</f>
        <v/>
      </c>
      <c r="AN413" s="74" t="str">
        <f aca="false">IF(ISBLANK($C413),"",IF(ISNUMBER($I413),IF($I413&gt;=0,$I413,""),""))</f>
        <v/>
      </c>
      <c r="AO413" s="74" t="str">
        <f aca="false">IF(ISBLANK($C413),"",IF(ISNUMBER($J413),IF($J413&gt;=0,$J413,""),""))</f>
        <v/>
      </c>
      <c r="AP413" s="74" t="str">
        <f aca="false">IF(ISBLANK($C413),"",IF(ISNUMBER($K413),IF($K413&gt;=0,$K413,""),""))</f>
        <v/>
      </c>
      <c r="AQ413" s="74" t="str">
        <f aca="false">IF(ISBLANK($C413),"",IF($L413=Constants!$B$2,TRUE(),IF($L413=Constants!$B$3,FALSE(),TRUE())))</f>
        <v/>
      </c>
      <c r="AR413" s="74" t="str">
        <f aca="false">IF(ISBLANK($C413),"",IF($M413=Constants!$B$2,TRUE(),IF($M413=Constants!$B$3,FALSE(),TRUE())))</f>
        <v/>
      </c>
      <c r="AS413" s="74" t="str">
        <f aca="false">IF(ISBLANK($C413),"",IF($N413=Constants!$B$2,TRUE(),IF($N413=Constants!$B$3,FALSE(),FALSE())))</f>
        <v/>
      </c>
      <c r="AT413" s="74" t="str">
        <f aca="false">IF(ISBLANK($C413),"",IF($O413=Constants!$B$2,TRUE(),IF($O413=Constants!$B$3,FALSE(),TRUE())))</f>
        <v/>
      </c>
      <c r="AU413" s="74" t="str">
        <f aca="false">IF(ISBLANK($C413),"",IF($P413=Constants!$B$2,TRUE(),IF($P413=Constants!$B$3,FALSE(),TRUE())))</f>
        <v/>
      </c>
      <c r="AV413" s="74" t="str">
        <f aca="false">IF(ISBLANK($C413),"",IF($Q413=Constants!$B$2,TRUE(),IF($Q413=Constants!$B$3,FALSE(),FALSE())))</f>
        <v/>
      </c>
      <c r="AW413" s="74" t="str">
        <f aca="false">IF(ISBLANK($C413),"",IF($R413=Constants!$B$2,TRUE(),IF($R413=Constants!$B$3,FALSE(),FALSE())))</f>
        <v/>
      </c>
      <c r="AX413" s="74" t="str">
        <f aca="false">IF(ISBLANK($C413),"",IF($S413=Constants!$B$2,TRUE(),IF($S413=Constants!$B$3,FALSE(),FALSE())))</f>
        <v/>
      </c>
      <c r="AY413" s="74" t="str">
        <f aca="false">IF(ISBLANK($C413),"",IF($T413=Constants!$B$2,TRUE(),IF($T413=Constants!$B$3,FALSE(),FALSE())))</f>
        <v/>
      </c>
      <c r="AZ413" s="74" t="str">
        <f aca="false">IF(ISBLANK($C413),"",IF($U413=Constants!$B$2,TRUE(),IF($U413=Constants!$B$3,FALSE(),FALSE())))</f>
        <v/>
      </c>
      <c r="BA413" s="74" t="str">
        <f aca="false">IF(ISBLANK($C413),"",IF(OR($V413&amp;""="1",$V413&amp;""="2",$V413&amp;""="3",$V413&amp;""="4"),VALUE($V413&amp;""),IF($V413=Constants!$B$12,Constants!$B$12,"")))</f>
        <v/>
      </c>
      <c r="BB413" s="74" t="str">
        <f aca="false">IF(ISBLANK($C413),"",IF(ISBLANK($W413),0,IF(ISNUMBER($W413),IF(AND($W413&gt;=0,$W413&lt;=Constants!$B$21,$W413=INT($W413)),$W413,""),"")))</f>
        <v/>
      </c>
      <c r="BC413" s="74" t="str">
        <f aca="false">IF(ISBLANK($C413),"",IF(ISBLANK($X413),0,IF(ISNUMBER($X413),IF($X413&gt;=0,$X413,""),"")))</f>
        <v/>
      </c>
      <c r="BD413" s="74" t="str">
        <f aca="false">IF(ISBLANK($C413),"",IF($Y413=Constants!$B$2,TRUE(),IF($Y413=Constants!$B$3,FALSE(),TRUE())))</f>
        <v/>
      </c>
      <c r="BE413" s="74" t="str">
        <f aca="false">IF(ISBLANK($C413),"",IF($Z413=Constants!$B$2,TRUE(),IF($Z413=Constants!$B$3,FALSE(),FALSE())))</f>
        <v/>
      </c>
      <c r="BF413" s="74" t="str">
        <f aca="false">IF(ISBLANK($C413),"",IF(ISBLANK($AA413),0,IF(ISNUMBER($AA413),IF(AND($AA413&gt;=0,$AA413&lt;=Constants!$B$35,$AA413=INT($AA413)),$AA413,""),"")))</f>
        <v/>
      </c>
      <c r="BG413" s="74" t="str">
        <f aca="false">IF(ISBLANK($C413),"",IF($AB413=Constants!$B$2,TRUE(),IF($AB413=Constants!$B$3,FALSE(),TRUE())))</f>
        <v/>
      </c>
      <c r="BH413" s="74" t="str">
        <f aca="false">IF(ISBLANK($C413),"",IF($AC413=Constants!$B$2,TRUE(),IF($AC413=Constants!$B$3,FALSE(),TRUE())))</f>
        <v/>
      </c>
      <c r="BI413" s="74" t="str">
        <f aca="false">IF(ISBLANK($C413),"",IF($AD413=Constants!$B$2,TRUE(),IF($AD413=Constants!$B$3,FALSE(),TRUE())))</f>
        <v/>
      </c>
      <c r="BJ413" s="74" t="str">
        <f aca="false">IF(ISBLANK($C413),"",IF(ISNUMBER($AE413),IF($AE413&gt;=0,$AE413,""),""))</f>
        <v/>
      </c>
      <c r="BK413" s="74" t="str">
        <f aca="false">IF(ISBLANK($C413),"",IF($AF413=Constants!$B$2,TRUE(),IF($AF413=Constants!$B$3,FALSE(),FALSE())))</f>
        <v/>
      </c>
      <c r="BL413" s="73" t="str">
        <f aca="false">IF(ISBLANK($C413),"",IF($BK413,Constants!$B$7,IF(COUNTA($E413:$AE413)=0,Constants!$B$6,IF(OR(COUNTA($G413:$AE413)=0,NOT($AM413),$AS413),Constants!$B$5,IF(OR($CM413&lt;&gt;"",$CN413,$CO413,$CP413,$CQ413,$CR413,$CS413),Constants!$B$8,Constants!$B$4)))))</f>
        <v/>
      </c>
      <c r="BM413" s="74" t="str">
        <f aca="false">IF(ISBLANK($C413),"",IF($BL413&lt;&gt;Constants!$B$4,$BL413,IF(OR(NOT($AJ413),NOT($AL413),NOT($AT413)),Constants!$B$11,IF(OR(NOT($AR413),NOT($AU413),NOT($BI413),MAX($AN413,$AO413,$AP413)&gt;Constants!$B$30),Constants!$B$10,Constants!$B$9))))</f>
        <v/>
      </c>
      <c r="BN413" s="74" t="str">
        <f aca="false">IF($BL413&lt;&gt;Constants!$B$4,"",IF(NOT($AL413),0,MIN(Constants!$B$35,$BF413)))</f>
        <v/>
      </c>
      <c r="BO413" s="74" t="str">
        <f aca="false">IF($BL413&lt;&gt;Constants!$B$4,"",IF(NOT($AL413),0,IF($AW413,Constants!$B$18,IF($AV413,Constants!$B$17,0))))</f>
        <v/>
      </c>
      <c r="BP413" s="74" t="str">
        <f aca="false">IF($BL413&lt;&gt;Constants!$B$4,"",IF(NOT($AL413),0,Constants!$B$19*($AK413+$AX413+$AY413+$AZ413)))</f>
        <v/>
      </c>
      <c r="BQ413" s="74" t="str">
        <f aca="false">IF($BL413&lt;&gt;Constants!$B$4,"",IF(OR(NOT($AL413),NOT(ISNUMBER($BA413))),0,CHOOSE($BA413,Constants!$B$13,Constants!$B$14,Constants!$B$15,Constants!$B$16)))</f>
        <v/>
      </c>
      <c r="BR413" s="74" t="str">
        <f aca="false">IF($BL413&lt;&gt;Constants!$B$4,"",IF(NOT($AL413),0,Constants!$B$20*$BB413))</f>
        <v/>
      </c>
      <c r="BS413" s="74" t="str">
        <f aca="false">IF($BL413&lt;&gt;Constants!$B$4,"",IF(AND($AL413,$BD413,$BE413),Constants!$B$22,0))</f>
        <v/>
      </c>
      <c r="BT413" s="74" t="str">
        <f aca="false">IF($BL413&lt;&gt;Constants!$B$4,"",IF(OR(NOT($AL413),NOT($BD413)),0,IF($BJ413&gt;=2*$AH$9,0,Constants!$B$23*INT(ROUND(MIN($BJ413,$AH$9),6)))))</f>
        <v/>
      </c>
      <c r="BU413" s="74" t="str">
        <f aca="false">IF($BL413&lt;&gt;Constants!$B$4,"",IF(NOT($AL413),0,Constants!$B$24*INT(ROUND(MIN($BC413,$AH$9),6))))</f>
        <v/>
      </c>
      <c r="BV413" s="74" t="str">
        <f aca="false">IF($BL413&lt;&gt;Constants!$B$4,"",IF(AND($AL413,$BN413=0),Constants!$B$25,0))</f>
        <v/>
      </c>
      <c r="BW413" s="74" t="str">
        <f aca="false">IF($BL413&lt;&gt;Constants!$B$4,"",MIN(Constants!$B$29,MAX(0,Constants!$B$27*Constants!$B$28*INT(ROUND((Constants!$B$26-$AN413)/Constants!$B$28,6))))+MIN(Constants!$B$29,MAX(0,Constants!$B$27*Constants!$B$28*INT(ROUND((Constants!$B$26-$AO413)/Constants!$B$28,6))))+MIN(Constants!$B$29,MAX(0,Constants!$B$27*Constants!$B$28*INT(ROUND((Constants!$B$26-$AP413)/Constants!$B$28,6)))))</f>
        <v/>
      </c>
      <c r="BX413" s="74" t="str">
        <f aca="false">IF($BL413&lt;&gt;Constants!$B$4,"",IF(NOT($AL413),0,Constants!$B$31*INT(ROUND(MAX(0,MIN($BJ413,2*$AH$9)-$AH$9),6))))</f>
        <v/>
      </c>
      <c r="BY413" s="74" t="str">
        <f aca="false">IF($BL413&lt;&gt;Constants!$B$4,"",Constants!$B$32*(($AN413&gt;Constants!$B$26)+($AO413&gt;Constants!$B$26)+($AP413&gt;Constants!$B$26)))</f>
        <v/>
      </c>
      <c r="BZ413" s="74" t="str">
        <f aca="false">IF($BL413&lt;&gt;Constants!$B$4,"",IF(OR(NOT($AL413),$AQ413),0,Constants!$B$33))</f>
        <v/>
      </c>
      <c r="CA413" s="74" t="str">
        <f aca="false">IF($BL413&lt;&gt;Constants!$B$4,"",Constants!$B$34*$BN413)</f>
        <v/>
      </c>
      <c r="CB413" s="74" t="str">
        <f aca="false">IF($BL413&lt;&gt;Constants!$B$4,"",IF(OR(NOT($AL413),$BH413),0,Constants!$B$36))</f>
        <v/>
      </c>
      <c r="CC413" s="74" t="str">
        <f aca="false">IF($BL413&lt;&gt;Constants!$B$4,"",IF(OR(NOT($AL413),$BG413),0,Constants!$B$37))</f>
        <v/>
      </c>
      <c r="CD413" s="74" t="str">
        <f aca="false">IF($BL413&lt;&gt;Constants!$B$4,"",SUM($BX413:$CC413))</f>
        <v/>
      </c>
      <c r="CE413" s="74" t="str">
        <f aca="false">IF(ISBLANK($C413),"",IF($BL413&lt;&gt;Constants!$B$4,$BL413,SUM($BO413:$BW413)-$CD413))</f>
        <v/>
      </c>
      <c r="CF413" s="74" t="str">
        <f aca="false">IF(ISBLANK($C413),"",IF($BL413&lt;&gt;Constants!$B$4,$BL413,RANK($CE413,$CE$9:$CE$508)))</f>
        <v/>
      </c>
      <c r="CG413" s="74" t="str">
        <f aca="false">IF(ISBLANK($C413),"",IF($BL413&lt;&gt;Constants!$B$4,$BL413,COUNTIFS($BM$9:$BM$508,"&lt;"&amp;$BM413)+COUNTIFS($BM$9:$BM$508,$BM413,$CF$9:$CF$508,"&lt;"&amp;$CF413)+1))</f>
        <v/>
      </c>
      <c r="CH413" s="74" t="str">
        <f aca="false">IF(ISBLANK($C413),"",IF($BL413&lt;&gt;Constants!$B$4,$BL413,RANK($CD413,$CD$9:$CD$508,1)))</f>
        <v/>
      </c>
      <c r="CI413" s="74" t="str">
        <f aca="false">IF($BL413&lt;&gt;Constants!$B$4,"",$AN413+$AO413+$AP413)</f>
        <v/>
      </c>
      <c r="CJ413" s="74" t="str">
        <f aca="false">IF(ISBLANK($C413),"",IF($BL413&lt;&gt;Constants!$B$4,$BL413,RANK($CI413,$CI$9:$CI$508,1)))</f>
        <v/>
      </c>
      <c r="CK413" s="74" t="str">
        <f aca="false">IF(ISBLANK($C413),"",IF($BL413&lt;&gt;Constants!$B$4,$BL413,COUNTIFS($BM$9:$BM$508,"&lt;"&amp;$BM413)+COUNTIFS($BM$9:$BM$508,$BM413,$CF$9:$CF$508,"&lt;"&amp;$CF413)+COUNTIFS($BM$9:$BM$508,$BM413,$CF$9:$CF$508,$CF413,$CH$9:$CH$508,"&lt;"&amp;$CH413)+COUNTIFS($BM$9:$BM$508,$BM413,$CF$9:$CF$508,$CF413,$CH$9:$CH$508,$CH413,$CJ$9:$CJ$508,"&lt;"&amp;$CJ413)+1))</f>
        <v/>
      </c>
      <c r="CL413" s="74" t="str">
        <f aca="false">IF(ISBLANK($C413),"",IF($BL413&lt;&gt;Constants!$B$4,$BL413,$CG413-$CK413))</f>
        <v/>
      </c>
      <c r="CM413" s="74" t="str">
        <f aca="false">IF(ISBLANK($C413),"",IF(NOT($AL413),"",IF(ISBLANK($D$7),$CM$5,IF(NOT(ISNUMBER($D$7)),$CM$6,""))))</f>
        <v/>
      </c>
      <c r="CN413" s="74" t="str">
        <f aca="false">IF(ISBLANK($C413),"",OR($AN413="",$AO413="",$AP413=""))</f>
        <v/>
      </c>
      <c r="CO413" s="74" t="str">
        <f aca="false">IF(ISBLANK($C413),"",AND($AL413,$BA413=""))</f>
        <v/>
      </c>
      <c r="CP413" s="74" t="str">
        <f aca="false">IF(ISBLANK($C413),"",AND($AL413,$BB413=""))</f>
        <v/>
      </c>
      <c r="CQ413" s="74" t="str">
        <f aca="false">IF(ISBLANK($C413),"",AND($AL413,$BC413=""))</f>
        <v/>
      </c>
      <c r="CR413" s="74" t="str">
        <f aca="false">IF(ISBLANK($C413),"",AND($AL413,$BF413=""))</f>
        <v/>
      </c>
      <c r="CS413" s="74" t="str">
        <f aca="false">IF(ISBLANK($C413),"",AND($AL413,$BJ413=""))</f>
        <v/>
      </c>
      <c r="CT413" s="75"/>
      <c r="CU413" s="76"/>
      <c r="CV413" s="79" t="str">
        <f aca="false">IF(ISBLANK($C413),"",IF($BL413=Constants!$B$8,$CM413,""))</f>
        <v/>
      </c>
      <c r="CW413" s="76" t="str">
        <f aca="false">IF(ISBLANK($C413),"",IF($BL413&lt;&gt;Constants!$B$4,"",$BO413+$BP413))</f>
        <v/>
      </c>
      <c r="CX413" s="78" t="str">
        <f aca="false">IF(ISBLANK($C413),"",IF($BL413&lt;&gt;Constants!$B$4,"",$BQ413+$BR413+$BS413))</f>
        <v/>
      </c>
      <c r="CY413" s="78" t="str">
        <f aca="false">IF(ISBLANK($C413),"",IF($BL413&lt;&gt;Constants!$B$4,"",$BT413))</f>
        <v/>
      </c>
      <c r="CZ413" s="78" t="str">
        <f aca="false">IF(ISBLANK($C413),"",IF($BL413&lt;&gt;Constants!$B$4,"",$BU413+$BV413))</f>
        <v/>
      </c>
      <c r="DA413" s="78" t="str">
        <f aca="false">IF(ISBLANK($C413),"",IF($BL413&lt;&gt;Constants!$B$4,"",$BW413))</f>
        <v/>
      </c>
      <c r="DB413" s="78" t="str">
        <f aca="false">IF(ISBLANK($C413),"",IF($BL413&lt;&gt;Constants!$B$4,"",-$CD413))</f>
        <v/>
      </c>
      <c r="DC413" s="79" t="str">
        <f aca="false">IF(ISBLANK($C413),"",$CE413)</f>
        <v/>
      </c>
      <c r="DD413" s="80" t="str">
        <f aca="false">IF(ISBLANK($C413),"",$BM413)</f>
        <v/>
      </c>
      <c r="DE413" s="78" t="str">
        <f aca="false">IF(ISBLANK($C413),"",$CL413)</f>
        <v/>
      </c>
      <c r="DF413" s="78" t="str">
        <f aca="false">IF(ISBLANK($C413),"",$CK413)</f>
        <v/>
      </c>
      <c r="DG413" s="81" t="str">
        <f aca="false">IF(ISBLANK($C413),"",IF($DF413=Constants!$B$7,COUNTA($C$9:$C$508)+2,IF($DF413=Constants!$B$6,COUNTA($C$9:$C$508)+1,IF($DF413=Constants!$B$5,COUNTA($C$9:$C$508),$DF413))))</f>
        <v/>
      </c>
      <c r="DH413" s="7"/>
      <c r="DI413" s="82" t="n">
        <f aca="false">IF(OR(ISNUMBER($DF413),$DF413=Constants!$B$7,$DF413=Constants!$B$5,$DF413=Constants!$B$6),1,0)</f>
        <v>0</v>
      </c>
      <c r="DJ413" s="82" t="n">
        <v>405</v>
      </c>
      <c r="DK413" s="82" t="str">
        <f aca="false">IF(ISBLANK($C413),"",IF(ISNUMBER($DG413),$DG413+ROW($B413)/1000,""))</f>
        <v/>
      </c>
      <c r="DL413" s="82" t="str">
        <f aca="false">IF(ISNUMBER($DK413),RANK($DK413,$DK$9:$DK$508,1),"")</f>
        <v/>
      </c>
      <c r="DM413" s="82" t="str">
        <f aca="false">IF(ISBLANK($C413),"",$B413)</f>
        <v/>
      </c>
      <c r="DN413" s="82" t="str">
        <f aca="false">IF(ISBLANK($C413),"",$C413)</f>
        <v/>
      </c>
      <c r="DO413" s="82" t="str">
        <f aca="false">IF(ISBLANK($C413),"",$D413)</f>
        <v/>
      </c>
      <c r="DP413" s="83" t="str">
        <f aca="false">$DD413</f>
        <v/>
      </c>
      <c r="DQ413" s="84" t="str">
        <f aca="false">$DC413</f>
        <v/>
      </c>
      <c r="DR413" s="82" t="str">
        <f aca="false">IF(ISBLANK($C413),"",$DF413)</f>
        <v/>
      </c>
      <c r="DS413" s="85" t="str">
        <f aca="false">IF($DJ413&gt;$DI$8,"",VLOOKUP($DJ413,$DL$9:$DR$508,7,FALSE()))</f>
        <v/>
      </c>
      <c r="DT413" s="86" t="str">
        <f aca="false">IF($DJ413&gt;$DI$8,"",VLOOKUP($DJ413,$DL$9:$DR$508,2,FALSE()))</f>
        <v/>
      </c>
      <c r="DU413" s="86" t="str">
        <f aca="false">IF($DJ413&gt;$DI$8,"",VLOOKUP($DJ413,$DL$9:$DR$508,3,FALSE()))</f>
        <v/>
      </c>
      <c r="DV413" s="86" t="str">
        <f aca="false">IF($DJ413&gt;$DI$8,"",VLOOKUP($DJ413,$DL$9:$DR$508,4,FALSE()))</f>
        <v/>
      </c>
      <c r="DW413" s="86" t="str">
        <f aca="false">IF($DJ413&gt;$DI$8,"",VLOOKUP($DJ413,$DL$9:$DR$508,5,FALSE()))</f>
        <v/>
      </c>
      <c r="DX413" s="87" t="str">
        <f aca="false">IF($DJ413&gt;$DI$8,"",VLOOKUP($DJ413,$DL$9:$DR$508,6,FALSE()))</f>
        <v/>
      </c>
      <c r="DY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130"/>
      <c r="N414" s="130"/>
      <c r="O414" s="135"/>
      <c r="P414" s="135"/>
      <c r="Q414" s="130"/>
      <c r="R414" s="130"/>
      <c r="S414" s="130"/>
      <c r="T414" s="130"/>
      <c r="U414" s="135"/>
      <c r="V414" s="130"/>
      <c r="W414" s="96"/>
      <c r="X414" s="130"/>
      <c r="Y414" s="130"/>
      <c r="Z414" s="96"/>
      <c r="AA414" s="96"/>
      <c r="AB414" s="130"/>
      <c r="AC414" s="130"/>
      <c r="AD414" s="130"/>
      <c r="AE414" s="97"/>
      <c r="AF414" s="130"/>
      <c r="AG414" s="99"/>
      <c r="AH414" s="100"/>
      <c r="AI414" s="100"/>
      <c r="AJ414" s="100" t="str">
        <f aca="false">IF(ISBLANK($C414),"",IF($E414=Constants!$B$2,TRUE(),IF($E414=Constants!$B$3,FALSE(),TRUE())))</f>
        <v/>
      </c>
      <c r="AK414" s="100" t="str">
        <f aca="false">IF(ISBLANK($C414),"",IF($F414=Constants!$B$2,TRUE(),IF($F414=Constants!$B$3,FALSE(),FALSE())))</f>
        <v/>
      </c>
      <c r="AL414" s="100" t="str">
        <f aca="false">IF(ISBLANK($C414),"",IF($G414=Constants!$B$2,TRUE(),IF($G414=Constants!$B$3,FALSE(),TRUE())))</f>
        <v/>
      </c>
      <c r="AM414" s="100" t="str">
        <f aca="false">IF(ISBLANK($C414),"",IF($H414=Constants!$B$2,TRUE(),IF($H414=Constants!$B$3,FALSE(),TRUE())))</f>
        <v/>
      </c>
      <c r="AN414" s="100" t="str">
        <f aca="false">IF(ISBLANK($C414),"",IF(ISNUMBER($I414),IF($I414&gt;=0,$I414,""),""))</f>
        <v/>
      </c>
      <c r="AO414" s="100" t="str">
        <f aca="false">IF(ISBLANK($C414),"",IF(ISNUMBER($J414),IF($J414&gt;=0,$J414,""),""))</f>
        <v/>
      </c>
      <c r="AP414" s="100" t="str">
        <f aca="false">IF(ISBLANK($C414),"",IF(ISNUMBER($K414),IF($K414&gt;=0,$K414,""),""))</f>
        <v/>
      </c>
      <c r="AQ414" s="100" t="str">
        <f aca="false">IF(ISBLANK($C414),"",IF($L414=Constants!$B$2,TRUE(),IF($L414=Constants!$B$3,FALSE(),TRUE())))</f>
        <v/>
      </c>
      <c r="AR414" s="100" t="str">
        <f aca="false">IF(ISBLANK($C414),"",IF($M414=Constants!$B$2,TRUE(),IF($M414=Constants!$B$3,FALSE(),TRUE())))</f>
        <v/>
      </c>
      <c r="AS414" s="100" t="str">
        <f aca="false">IF(ISBLANK($C414),"",IF($N414=Constants!$B$2,TRUE(),IF($N414=Constants!$B$3,FALSE(),FALSE())))</f>
        <v/>
      </c>
      <c r="AT414" s="100" t="str">
        <f aca="false">IF(ISBLANK($C414),"",IF($O414=Constants!$B$2,TRUE(),IF($O414=Constants!$B$3,FALSE(),TRUE())))</f>
        <v/>
      </c>
      <c r="AU414" s="100" t="str">
        <f aca="false">IF(ISBLANK($C414),"",IF($P414=Constants!$B$2,TRUE(),IF($P414=Constants!$B$3,FALSE(),TRUE())))</f>
        <v/>
      </c>
      <c r="AV414" s="100" t="str">
        <f aca="false">IF(ISBLANK($C414),"",IF($Q414=Constants!$B$2,TRUE(),IF($Q414=Constants!$B$3,FALSE(),FALSE())))</f>
        <v/>
      </c>
      <c r="AW414" s="100" t="str">
        <f aca="false">IF(ISBLANK($C414),"",IF($R414=Constants!$B$2,TRUE(),IF($R414=Constants!$B$3,FALSE(),FALSE())))</f>
        <v/>
      </c>
      <c r="AX414" s="100" t="str">
        <f aca="false">IF(ISBLANK($C414),"",IF($S414=Constants!$B$2,TRUE(),IF($S414=Constants!$B$3,FALSE(),FALSE())))</f>
        <v/>
      </c>
      <c r="AY414" s="100" t="str">
        <f aca="false">IF(ISBLANK($C414),"",IF($T414=Constants!$B$2,TRUE(),IF($T414=Constants!$B$3,FALSE(),FALSE())))</f>
        <v/>
      </c>
      <c r="AZ414" s="100" t="str">
        <f aca="false">IF(ISBLANK($C414),"",IF($U414=Constants!$B$2,TRUE(),IF($U414=Constants!$B$3,FALSE(),FALSE())))</f>
        <v/>
      </c>
      <c r="BA414" s="100" t="str">
        <f aca="false">IF(ISBLANK($C414),"",IF(OR($V414&amp;""="1",$V414&amp;""="2",$V414&amp;""="3",$V414&amp;""="4"),VALUE($V414&amp;""),IF($V414=Constants!$B$12,Constants!$B$12,"")))</f>
        <v/>
      </c>
      <c r="BB414" s="100" t="str">
        <f aca="false">IF(ISBLANK($C414),"",IF(ISBLANK($W414),0,IF(ISNUMBER($W414),IF(AND($W414&gt;=0,$W414&lt;=Constants!$B$21,$W414=INT($W414)),$W414,""),"")))</f>
        <v/>
      </c>
      <c r="BC414" s="100" t="str">
        <f aca="false">IF(ISBLANK($C414),"",IF(ISBLANK($X414),0,IF(ISNUMBER($X414),IF($X414&gt;=0,$X414,""),"")))</f>
        <v/>
      </c>
      <c r="BD414" s="100" t="str">
        <f aca="false">IF(ISBLANK($C414),"",IF($Y414=Constants!$B$2,TRUE(),IF($Y414=Constants!$B$3,FALSE(),TRUE())))</f>
        <v/>
      </c>
      <c r="BE414" s="100" t="str">
        <f aca="false">IF(ISBLANK($C414),"",IF($Z414=Constants!$B$2,TRUE(),IF($Z414=Constants!$B$3,FALSE(),FALSE())))</f>
        <v/>
      </c>
      <c r="BF414" s="100" t="str">
        <f aca="false">IF(ISBLANK($C414),"",IF(ISBLANK($AA414),0,IF(ISNUMBER($AA414),IF(AND($AA414&gt;=0,$AA414&lt;=Constants!$B$35,$AA414=INT($AA414)),$AA414,""),"")))</f>
        <v/>
      </c>
      <c r="BG414" s="100" t="str">
        <f aca="false">IF(ISBLANK($C414),"",IF($AB414=Constants!$B$2,TRUE(),IF($AB414=Constants!$B$3,FALSE(),TRUE())))</f>
        <v/>
      </c>
      <c r="BH414" s="100" t="str">
        <f aca="false">IF(ISBLANK($C414),"",IF($AC414=Constants!$B$2,TRUE(),IF($AC414=Constants!$B$3,FALSE(),TRUE())))</f>
        <v/>
      </c>
      <c r="BI414" s="100" t="str">
        <f aca="false">IF(ISBLANK($C414),"",IF($AD414=Constants!$B$2,TRUE(),IF($AD414=Constants!$B$3,FALSE(),TRUE())))</f>
        <v/>
      </c>
      <c r="BJ414" s="100" t="str">
        <f aca="false">IF(ISBLANK($C414),"",IF(ISNUMBER($AE414),IF($AE414&gt;=0,$AE414,""),""))</f>
        <v/>
      </c>
      <c r="BK414" s="100" t="str">
        <f aca="false">IF(ISBLANK($C414),"",IF($AF414=Constants!$B$2,TRUE(),IF($AF414=Constants!$B$3,FALSE(),FALSE())))</f>
        <v/>
      </c>
      <c r="BL414" s="99" t="str">
        <f aca="false">IF(ISBLANK($C414),"",IF($BK414,Constants!$B$7,IF(COUNTA($E414:$AE414)=0,Constants!$B$6,IF(OR(COUNTA($G414:$AE414)=0,NOT($AM414),$AS414),Constants!$B$5,IF(OR($CM414&lt;&gt;"",$CN414,$CO414,$CP414,$CQ414,$CR414,$CS414),Constants!$B$8,Constants!$B$4)))))</f>
        <v/>
      </c>
      <c r="BM414" s="100" t="str">
        <f aca="false">IF(ISBLANK($C414),"",IF($BL414&lt;&gt;Constants!$B$4,$BL414,IF(OR(NOT($AJ414),NOT($AL414),NOT($AT414)),Constants!$B$11,IF(OR(NOT($AR414),NOT($AU414),NOT($BI414),MAX($AN414,$AO414,$AP414)&gt;Constants!$B$30),Constants!$B$10,Constants!$B$9))))</f>
        <v/>
      </c>
      <c r="BN414" s="100" t="str">
        <f aca="false">IF($BL414&lt;&gt;Constants!$B$4,"",IF(NOT($AL414),0,MIN(Constants!$B$35,$BF414)))</f>
        <v/>
      </c>
      <c r="BO414" s="100" t="str">
        <f aca="false">IF($BL414&lt;&gt;Constants!$B$4,"",IF(NOT($AL414),0,IF($AW414,Constants!$B$18,IF($AV414,Constants!$B$17,0))))</f>
        <v/>
      </c>
      <c r="BP414" s="100" t="str">
        <f aca="false">IF($BL414&lt;&gt;Constants!$B$4,"",IF(NOT($AL414),0,Constants!$B$19*($AK414+$AX414+$AY414+$AZ414)))</f>
        <v/>
      </c>
      <c r="BQ414" s="100" t="str">
        <f aca="false">IF($BL414&lt;&gt;Constants!$B$4,"",IF(OR(NOT($AL414),NOT(ISNUMBER($BA414))),0,CHOOSE($BA414,Constants!$B$13,Constants!$B$14,Constants!$B$15,Constants!$B$16)))</f>
        <v/>
      </c>
      <c r="BR414" s="100" t="str">
        <f aca="false">IF($BL414&lt;&gt;Constants!$B$4,"",IF(NOT($AL414),0,Constants!$B$20*$BB414))</f>
        <v/>
      </c>
      <c r="BS414" s="100" t="str">
        <f aca="false">IF($BL414&lt;&gt;Constants!$B$4,"",IF(AND($AL414,$BD414,$BE414),Constants!$B$22,0))</f>
        <v/>
      </c>
      <c r="BT414" s="100" t="str">
        <f aca="false">IF($BL414&lt;&gt;Constants!$B$4,"",IF(OR(NOT($AL414),NOT($BD414)),0,IF($BJ414&gt;=2*$AH$9,0,Constants!$B$23*INT(ROUND(MIN($BJ414,$AH$9),6)))))</f>
        <v/>
      </c>
      <c r="BU414" s="100" t="str">
        <f aca="false">IF($BL414&lt;&gt;Constants!$B$4,"",IF(NOT($AL414),0,Constants!$B$24*INT(ROUND(MIN($BC414,$AH$9),6))))</f>
        <v/>
      </c>
      <c r="BV414" s="100" t="str">
        <f aca="false">IF($BL414&lt;&gt;Constants!$B$4,"",IF(AND($AL414,$BN414=0),Constants!$B$25,0))</f>
        <v/>
      </c>
      <c r="BW414" s="100" t="str">
        <f aca="false">IF($BL414&lt;&gt;Constants!$B$4,"",MIN(Constants!$B$29,MAX(0,Constants!$B$27*Constants!$B$28*INT(ROUND((Constants!$B$26-$AN414)/Constants!$B$28,6))))+MIN(Constants!$B$29,MAX(0,Constants!$B$27*Constants!$B$28*INT(ROUND((Constants!$B$26-$AO414)/Constants!$B$28,6))))+MIN(Constants!$B$29,MAX(0,Constants!$B$27*Constants!$B$28*INT(ROUND((Constants!$B$26-$AP414)/Constants!$B$28,6)))))</f>
        <v/>
      </c>
      <c r="BX414" s="100" t="str">
        <f aca="false">IF($BL414&lt;&gt;Constants!$B$4,"",IF(NOT($AL414),0,Constants!$B$31*INT(ROUND(MAX(0,MIN($BJ414,2*$AH$9)-$AH$9),6))))</f>
        <v/>
      </c>
      <c r="BY414" s="100" t="str">
        <f aca="false">IF($BL414&lt;&gt;Constants!$B$4,"",Constants!$B$32*(($AN414&gt;Constants!$B$26)+($AO414&gt;Constants!$B$26)+($AP414&gt;Constants!$B$26)))</f>
        <v/>
      </c>
      <c r="BZ414" s="100" t="str">
        <f aca="false">IF($BL414&lt;&gt;Constants!$B$4,"",IF(OR(NOT($AL414),$AQ414),0,Constants!$B$33))</f>
        <v/>
      </c>
      <c r="CA414" s="100" t="str">
        <f aca="false">IF($BL414&lt;&gt;Constants!$B$4,"",Constants!$B$34*$BN414)</f>
        <v/>
      </c>
      <c r="CB414" s="100" t="str">
        <f aca="false">IF($BL414&lt;&gt;Constants!$B$4,"",IF(OR(NOT($AL414),$BH414),0,Constants!$B$36))</f>
        <v/>
      </c>
      <c r="CC414" s="100" t="str">
        <f aca="false">IF($BL414&lt;&gt;Constants!$B$4,"",IF(OR(NOT($AL414),$BG414),0,Constants!$B$37))</f>
        <v/>
      </c>
      <c r="CD414" s="100" t="str">
        <f aca="false">IF($BL414&lt;&gt;Constants!$B$4,"",SUM($BX414:$CC414))</f>
        <v/>
      </c>
      <c r="CE414" s="100" t="str">
        <f aca="false">IF(ISBLANK($C414),"",IF($BL414&lt;&gt;Constants!$B$4,$BL414,SUM($BO414:$BW414)-$CD414))</f>
        <v/>
      </c>
      <c r="CF414" s="100" t="str">
        <f aca="false">IF(ISBLANK($C414),"",IF($BL414&lt;&gt;Constants!$B$4,$BL414,RANK($CE414,$CE$9:$CE$508)))</f>
        <v/>
      </c>
      <c r="CG414" s="100" t="str">
        <f aca="false">IF(ISBLANK($C414),"",IF($BL414&lt;&gt;Constants!$B$4,$BL414,COUNTIFS($BM$9:$BM$508,"&lt;"&amp;$BM414)+COUNTIFS($BM$9:$BM$508,$BM414,$CF$9:$CF$508,"&lt;"&amp;$CF414)+1))</f>
        <v/>
      </c>
      <c r="CH414" s="100" t="str">
        <f aca="false">IF(ISBLANK($C414),"",IF($BL414&lt;&gt;Constants!$B$4,$BL414,RANK($CD414,$CD$9:$CD$508,1)))</f>
        <v/>
      </c>
      <c r="CI414" s="100" t="str">
        <f aca="false">IF($BL414&lt;&gt;Constants!$B$4,"",$AN414+$AO414+$AP414)</f>
        <v/>
      </c>
      <c r="CJ414" s="100" t="str">
        <f aca="false">IF(ISBLANK($C414),"",IF($BL414&lt;&gt;Constants!$B$4,$BL414,RANK($CI414,$CI$9:$CI$508,1)))</f>
        <v/>
      </c>
      <c r="CK414" s="100" t="str">
        <f aca="false">IF(ISBLANK($C414),"",IF($BL414&lt;&gt;Constants!$B$4,$BL414,COUNTIFS($BM$9:$BM$508,"&lt;"&amp;$BM414)+COUNTIFS($BM$9:$BM$508,$BM414,$CF$9:$CF$508,"&lt;"&amp;$CF414)+COUNTIFS($BM$9:$BM$508,$BM414,$CF$9:$CF$508,$CF414,$CH$9:$CH$508,"&lt;"&amp;$CH414)+COUNTIFS($BM$9:$BM$508,$BM414,$CF$9:$CF$508,$CF414,$CH$9:$CH$508,$CH414,$CJ$9:$CJ$508,"&lt;"&amp;$CJ414)+1))</f>
        <v/>
      </c>
      <c r="CL414" s="100" t="str">
        <f aca="false">IF(ISBLANK($C414),"",IF($BL414&lt;&gt;Constants!$B$4,$BL414,$CG414-$CK414))</f>
        <v/>
      </c>
      <c r="CM414" s="100" t="str">
        <f aca="false">IF(ISBLANK($C414),"",IF(NOT($AL414),"",IF(ISBLANK($D$7),$CM$5,IF(NOT(ISNUMBER($D$7)),$CM$6,""))))</f>
        <v/>
      </c>
      <c r="CN414" s="100" t="str">
        <f aca="false">IF(ISBLANK($C414),"",OR($AN414="",$AO414="",$AP414=""))</f>
        <v/>
      </c>
      <c r="CO414" s="100" t="str">
        <f aca="false">IF(ISBLANK($C414),"",AND($AL414,$BA414=""))</f>
        <v/>
      </c>
      <c r="CP414" s="100" t="str">
        <f aca="false">IF(ISBLANK($C414),"",AND($AL414,$BB414=""))</f>
        <v/>
      </c>
      <c r="CQ414" s="100" t="str">
        <f aca="false">IF(ISBLANK($C414),"",AND($AL414,$BC414=""))</f>
        <v/>
      </c>
      <c r="CR414" s="100" t="str">
        <f aca="false">IF(ISBLANK($C414),"",AND($AL414,$BF414=""))</f>
        <v/>
      </c>
      <c r="CS414" s="100" t="str">
        <f aca="false">IF(ISBLANK($C414),"",AND($AL414,$BJ414=""))</f>
        <v/>
      </c>
      <c r="CT414" s="101"/>
      <c r="CU414" s="102"/>
      <c r="CV414" s="103" t="str">
        <f aca="false">IF(ISBLANK($C414),"",IF($BL414=Constants!$B$8,$CM414,""))</f>
        <v/>
      </c>
      <c r="CW414" s="102" t="str">
        <f aca="false">IF(ISBLANK($C414),"",IF($BL414&lt;&gt;Constants!$B$4,"",$BO414+$BP414))</f>
        <v/>
      </c>
      <c r="CX414" s="104" t="str">
        <f aca="false">IF(ISBLANK($C414),"",IF($BL414&lt;&gt;Constants!$B$4,"",$BQ414+$BR414+$BS414))</f>
        <v/>
      </c>
      <c r="CY414" s="104" t="str">
        <f aca="false">IF(ISBLANK($C414),"",IF($BL414&lt;&gt;Constants!$B$4,"",$BT414))</f>
        <v/>
      </c>
      <c r="CZ414" s="104" t="str">
        <f aca="false">IF(ISBLANK($C414),"",IF($BL414&lt;&gt;Constants!$B$4,"",$BU414+$BV414))</f>
        <v/>
      </c>
      <c r="DA414" s="104" t="str">
        <f aca="false">IF(ISBLANK($C414),"",IF($BL414&lt;&gt;Constants!$B$4,"",$BW414))</f>
        <v/>
      </c>
      <c r="DB414" s="104" t="str">
        <f aca="false">IF(ISBLANK($C414),"",IF($BL414&lt;&gt;Constants!$B$4,"",-$CD414))</f>
        <v/>
      </c>
      <c r="DC414" s="103" t="str">
        <f aca="false">IF(ISBLANK($C414),"",$CE414)</f>
        <v/>
      </c>
      <c r="DD414" s="105" t="str">
        <f aca="false">IF(ISBLANK($C414),"",$BM414)</f>
        <v/>
      </c>
      <c r="DE414" s="104" t="str">
        <f aca="false">IF(ISBLANK($C414),"",$CL414)</f>
        <v/>
      </c>
      <c r="DF414" s="104" t="str">
        <f aca="false">IF(ISBLANK($C414),"",$CK414)</f>
        <v/>
      </c>
      <c r="DG414" s="106" t="str">
        <f aca="false">IF(ISBLANK($C414),"",IF($DF414=Constants!$B$7,COUNTA($C$9:$C$508)+2,IF($DF414=Constants!$B$6,COUNTA($C$9:$C$508)+1,IF($DF414=Constants!$B$5,COUNTA($C$9:$C$508),$DF414))))</f>
        <v/>
      </c>
      <c r="DH414" s="7"/>
      <c r="DI414" s="107" t="n">
        <f aca="false">IF(OR(ISNUMBER($DF414),$DF414=Constants!$B$7,$DF414=Constants!$B$5,$DF414=Constants!$B$6),1,0)</f>
        <v>0</v>
      </c>
      <c r="DJ414" s="107" t="n">
        <v>406</v>
      </c>
      <c r="DK414" s="107" t="str">
        <f aca="false">IF(ISBLANK($C414),"",IF(ISNUMBER($DG414),$DG414+ROW($B414)/1000,""))</f>
        <v/>
      </c>
      <c r="DL414" s="107" t="str">
        <f aca="false">IF(ISNUMBER($DK414),RANK($DK414,$DK$9:$DK$508,1),"")</f>
        <v/>
      </c>
      <c r="DM414" s="107" t="str">
        <f aca="false">IF(ISBLANK($C414),"",$B414)</f>
        <v/>
      </c>
      <c r="DN414" s="107" t="str">
        <f aca="false">IF(ISBLANK($C414),"",$C414)</f>
        <v/>
      </c>
      <c r="DO414" s="107" t="str">
        <f aca="false">IF(ISBLANK($C414),"",$D414)</f>
        <v/>
      </c>
      <c r="DP414" s="108" t="str">
        <f aca="false">$DD414</f>
        <v/>
      </c>
      <c r="DQ414" s="109" t="str">
        <f aca="false">$DC414</f>
        <v/>
      </c>
      <c r="DR414" s="107" t="str">
        <f aca="false">IF(ISBLANK($C414),"",$DF414)</f>
        <v/>
      </c>
      <c r="DS414" s="110" t="str">
        <f aca="false">IF($DJ414&gt;$DI$8,"",VLOOKUP($DJ414,$DL$9:$DR$508,7,FALSE()))</f>
        <v/>
      </c>
      <c r="DT414" s="111" t="str">
        <f aca="false">IF($DJ414&gt;$DI$8,"",VLOOKUP($DJ414,$DL$9:$DR$508,2,FALSE()))</f>
        <v/>
      </c>
      <c r="DU414" s="111" t="str">
        <f aca="false">IF($DJ414&gt;$DI$8,"",VLOOKUP($DJ414,$DL$9:$DR$508,3,FALSE()))</f>
        <v/>
      </c>
      <c r="DV414" s="111" t="str">
        <f aca="false">IF($DJ414&gt;$DI$8,"",VLOOKUP($DJ414,$DL$9:$DR$508,4,FALSE()))</f>
        <v/>
      </c>
      <c r="DW414" s="111" t="str">
        <f aca="false">IF($DJ414&gt;$DI$8,"",VLOOKUP($DJ414,$DL$9:$DR$508,5,FALSE()))</f>
        <v/>
      </c>
      <c r="DX414" s="112" t="str">
        <f aca="false">IF($DJ414&gt;$DI$8,"",VLOOKUP($DJ414,$DL$9:$DR$508,6,FALSE()))</f>
        <v/>
      </c>
      <c r="DY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130"/>
      <c r="N415" s="130"/>
      <c r="O415" s="135"/>
      <c r="P415" s="135"/>
      <c r="Q415" s="130"/>
      <c r="R415" s="130"/>
      <c r="S415" s="130"/>
      <c r="T415" s="130"/>
      <c r="U415" s="135"/>
      <c r="V415" s="130"/>
      <c r="W415" s="96"/>
      <c r="X415" s="130"/>
      <c r="Y415" s="130"/>
      <c r="Z415" s="96"/>
      <c r="AA415" s="96"/>
      <c r="AB415" s="130"/>
      <c r="AC415" s="130"/>
      <c r="AD415" s="130"/>
      <c r="AE415" s="97"/>
      <c r="AF415" s="130"/>
      <c r="AG415" s="99"/>
      <c r="AH415" s="100"/>
      <c r="AI415" s="100"/>
      <c r="AJ415" s="100" t="str">
        <f aca="false">IF(ISBLANK($C415),"",IF($E415=Constants!$B$2,TRUE(),IF($E415=Constants!$B$3,FALSE(),TRUE())))</f>
        <v/>
      </c>
      <c r="AK415" s="100" t="str">
        <f aca="false">IF(ISBLANK($C415),"",IF($F415=Constants!$B$2,TRUE(),IF($F415=Constants!$B$3,FALSE(),FALSE())))</f>
        <v/>
      </c>
      <c r="AL415" s="100" t="str">
        <f aca="false">IF(ISBLANK($C415),"",IF($G415=Constants!$B$2,TRUE(),IF($G415=Constants!$B$3,FALSE(),TRUE())))</f>
        <v/>
      </c>
      <c r="AM415" s="100" t="str">
        <f aca="false">IF(ISBLANK($C415),"",IF($H415=Constants!$B$2,TRUE(),IF($H415=Constants!$B$3,FALSE(),TRUE())))</f>
        <v/>
      </c>
      <c r="AN415" s="100" t="str">
        <f aca="false">IF(ISBLANK($C415),"",IF(ISNUMBER($I415),IF($I415&gt;=0,$I415,""),""))</f>
        <v/>
      </c>
      <c r="AO415" s="100" t="str">
        <f aca="false">IF(ISBLANK($C415),"",IF(ISNUMBER($J415),IF($J415&gt;=0,$J415,""),""))</f>
        <v/>
      </c>
      <c r="AP415" s="100" t="str">
        <f aca="false">IF(ISBLANK($C415),"",IF(ISNUMBER($K415),IF($K415&gt;=0,$K415,""),""))</f>
        <v/>
      </c>
      <c r="AQ415" s="100" t="str">
        <f aca="false">IF(ISBLANK($C415),"",IF($L415=Constants!$B$2,TRUE(),IF($L415=Constants!$B$3,FALSE(),TRUE())))</f>
        <v/>
      </c>
      <c r="AR415" s="100" t="str">
        <f aca="false">IF(ISBLANK($C415),"",IF($M415=Constants!$B$2,TRUE(),IF($M415=Constants!$B$3,FALSE(),TRUE())))</f>
        <v/>
      </c>
      <c r="AS415" s="100" t="str">
        <f aca="false">IF(ISBLANK($C415),"",IF($N415=Constants!$B$2,TRUE(),IF($N415=Constants!$B$3,FALSE(),FALSE())))</f>
        <v/>
      </c>
      <c r="AT415" s="100" t="str">
        <f aca="false">IF(ISBLANK($C415),"",IF($O415=Constants!$B$2,TRUE(),IF($O415=Constants!$B$3,FALSE(),TRUE())))</f>
        <v/>
      </c>
      <c r="AU415" s="100" t="str">
        <f aca="false">IF(ISBLANK($C415),"",IF($P415=Constants!$B$2,TRUE(),IF($P415=Constants!$B$3,FALSE(),TRUE())))</f>
        <v/>
      </c>
      <c r="AV415" s="100" t="str">
        <f aca="false">IF(ISBLANK($C415),"",IF($Q415=Constants!$B$2,TRUE(),IF($Q415=Constants!$B$3,FALSE(),FALSE())))</f>
        <v/>
      </c>
      <c r="AW415" s="100" t="str">
        <f aca="false">IF(ISBLANK($C415),"",IF($R415=Constants!$B$2,TRUE(),IF($R415=Constants!$B$3,FALSE(),FALSE())))</f>
        <v/>
      </c>
      <c r="AX415" s="100" t="str">
        <f aca="false">IF(ISBLANK($C415),"",IF($S415=Constants!$B$2,TRUE(),IF($S415=Constants!$B$3,FALSE(),FALSE())))</f>
        <v/>
      </c>
      <c r="AY415" s="100" t="str">
        <f aca="false">IF(ISBLANK($C415),"",IF($T415=Constants!$B$2,TRUE(),IF($T415=Constants!$B$3,FALSE(),FALSE())))</f>
        <v/>
      </c>
      <c r="AZ415" s="100" t="str">
        <f aca="false">IF(ISBLANK($C415),"",IF($U415=Constants!$B$2,TRUE(),IF($U415=Constants!$B$3,FALSE(),FALSE())))</f>
        <v/>
      </c>
      <c r="BA415" s="100" t="str">
        <f aca="false">IF(ISBLANK($C415),"",IF(OR($V415&amp;""="1",$V415&amp;""="2",$V415&amp;""="3",$V415&amp;""="4"),VALUE($V415&amp;""),IF($V415=Constants!$B$12,Constants!$B$12,"")))</f>
        <v/>
      </c>
      <c r="BB415" s="100" t="str">
        <f aca="false">IF(ISBLANK($C415),"",IF(ISBLANK($W415),0,IF(ISNUMBER($W415),IF(AND($W415&gt;=0,$W415&lt;=Constants!$B$21,$W415=INT($W415)),$W415,""),"")))</f>
        <v/>
      </c>
      <c r="BC415" s="100" t="str">
        <f aca="false">IF(ISBLANK($C415),"",IF(ISBLANK($X415),0,IF(ISNUMBER($X415),IF($X415&gt;=0,$X415,""),"")))</f>
        <v/>
      </c>
      <c r="BD415" s="100" t="str">
        <f aca="false">IF(ISBLANK($C415),"",IF($Y415=Constants!$B$2,TRUE(),IF($Y415=Constants!$B$3,FALSE(),TRUE())))</f>
        <v/>
      </c>
      <c r="BE415" s="100" t="str">
        <f aca="false">IF(ISBLANK($C415),"",IF($Z415=Constants!$B$2,TRUE(),IF($Z415=Constants!$B$3,FALSE(),FALSE())))</f>
        <v/>
      </c>
      <c r="BF415" s="100" t="str">
        <f aca="false">IF(ISBLANK($C415),"",IF(ISBLANK($AA415),0,IF(ISNUMBER($AA415),IF(AND($AA415&gt;=0,$AA415&lt;=Constants!$B$35,$AA415=INT($AA415)),$AA415,""),"")))</f>
        <v/>
      </c>
      <c r="BG415" s="100" t="str">
        <f aca="false">IF(ISBLANK($C415),"",IF($AB415=Constants!$B$2,TRUE(),IF($AB415=Constants!$B$3,FALSE(),TRUE())))</f>
        <v/>
      </c>
      <c r="BH415" s="100" t="str">
        <f aca="false">IF(ISBLANK($C415),"",IF($AC415=Constants!$B$2,TRUE(),IF($AC415=Constants!$B$3,FALSE(),TRUE())))</f>
        <v/>
      </c>
      <c r="BI415" s="100" t="str">
        <f aca="false">IF(ISBLANK($C415),"",IF($AD415=Constants!$B$2,TRUE(),IF($AD415=Constants!$B$3,FALSE(),TRUE())))</f>
        <v/>
      </c>
      <c r="BJ415" s="100" t="str">
        <f aca="false">IF(ISBLANK($C415),"",IF(ISNUMBER($AE415),IF($AE415&gt;=0,$AE415,""),""))</f>
        <v/>
      </c>
      <c r="BK415" s="100" t="str">
        <f aca="false">IF(ISBLANK($C415),"",IF($AF415=Constants!$B$2,TRUE(),IF($AF415=Constants!$B$3,FALSE(),FALSE())))</f>
        <v/>
      </c>
      <c r="BL415" s="99" t="str">
        <f aca="false">IF(ISBLANK($C415),"",IF($BK415,Constants!$B$7,IF(COUNTA($E415:$AE415)=0,Constants!$B$6,IF(OR(COUNTA($G415:$AE415)=0,NOT($AM415),$AS415),Constants!$B$5,IF(OR($CM415&lt;&gt;"",$CN415,$CO415,$CP415,$CQ415,$CR415,$CS415),Constants!$B$8,Constants!$B$4)))))</f>
        <v/>
      </c>
      <c r="BM415" s="100" t="str">
        <f aca="false">IF(ISBLANK($C415),"",IF($BL415&lt;&gt;Constants!$B$4,$BL415,IF(OR(NOT($AJ415),NOT($AL415),NOT($AT415)),Constants!$B$11,IF(OR(NOT($AR415),NOT($AU415),NOT($BI415),MAX($AN415,$AO415,$AP415)&gt;Constants!$B$30),Constants!$B$10,Constants!$B$9))))</f>
        <v/>
      </c>
      <c r="BN415" s="100" t="str">
        <f aca="false">IF($BL415&lt;&gt;Constants!$B$4,"",IF(NOT($AL415),0,MIN(Constants!$B$35,$BF415)))</f>
        <v/>
      </c>
      <c r="BO415" s="100" t="str">
        <f aca="false">IF($BL415&lt;&gt;Constants!$B$4,"",IF(NOT($AL415),0,IF($AW415,Constants!$B$18,IF($AV415,Constants!$B$17,0))))</f>
        <v/>
      </c>
      <c r="BP415" s="100" t="str">
        <f aca="false">IF($BL415&lt;&gt;Constants!$B$4,"",IF(NOT($AL415),0,Constants!$B$19*($AK415+$AX415+$AY415+$AZ415)))</f>
        <v/>
      </c>
      <c r="BQ415" s="100" t="str">
        <f aca="false">IF($BL415&lt;&gt;Constants!$B$4,"",IF(OR(NOT($AL415),NOT(ISNUMBER($BA415))),0,CHOOSE($BA415,Constants!$B$13,Constants!$B$14,Constants!$B$15,Constants!$B$16)))</f>
        <v/>
      </c>
      <c r="BR415" s="100" t="str">
        <f aca="false">IF($BL415&lt;&gt;Constants!$B$4,"",IF(NOT($AL415),0,Constants!$B$20*$BB415))</f>
        <v/>
      </c>
      <c r="BS415" s="100" t="str">
        <f aca="false">IF($BL415&lt;&gt;Constants!$B$4,"",IF(AND($AL415,$BD415,$BE415),Constants!$B$22,0))</f>
        <v/>
      </c>
      <c r="BT415" s="100" t="str">
        <f aca="false">IF($BL415&lt;&gt;Constants!$B$4,"",IF(OR(NOT($AL415),NOT($BD415)),0,IF($BJ415&gt;=2*$AH$9,0,Constants!$B$23*INT(ROUND(MIN($BJ415,$AH$9),6)))))</f>
        <v/>
      </c>
      <c r="BU415" s="100" t="str">
        <f aca="false">IF($BL415&lt;&gt;Constants!$B$4,"",IF(NOT($AL415),0,Constants!$B$24*INT(ROUND(MIN($BC415,$AH$9),6))))</f>
        <v/>
      </c>
      <c r="BV415" s="100" t="str">
        <f aca="false">IF($BL415&lt;&gt;Constants!$B$4,"",IF(AND($AL415,$BN415=0),Constants!$B$25,0))</f>
        <v/>
      </c>
      <c r="BW415" s="100" t="str">
        <f aca="false">IF($BL415&lt;&gt;Constants!$B$4,"",MIN(Constants!$B$29,MAX(0,Constants!$B$27*Constants!$B$28*INT(ROUND((Constants!$B$26-$AN415)/Constants!$B$28,6))))+MIN(Constants!$B$29,MAX(0,Constants!$B$27*Constants!$B$28*INT(ROUND((Constants!$B$26-$AO415)/Constants!$B$28,6))))+MIN(Constants!$B$29,MAX(0,Constants!$B$27*Constants!$B$28*INT(ROUND((Constants!$B$26-$AP415)/Constants!$B$28,6)))))</f>
        <v/>
      </c>
      <c r="BX415" s="100" t="str">
        <f aca="false">IF($BL415&lt;&gt;Constants!$B$4,"",IF(NOT($AL415),0,Constants!$B$31*INT(ROUND(MAX(0,MIN($BJ415,2*$AH$9)-$AH$9),6))))</f>
        <v/>
      </c>
      <c r="BY415" s="100" t="str">
        <f aca="false">IF($BL415&lt;&gt;Constants!$B$4,"",Constants!$B$32*(($AN415&gt;Constants!$B$26)+($AO415&gt;Constants!$B$26)+($AP415&gt;Constants!$B$26)))</f>
        <v/>
      </c>
      <c r="BZ415" s="100" t="str">
        <f aca="false">IF($BL415&lt;&gt;Constants!$B$4,"",IF(OR(NOT($AL415),$AQ415),0,Constants!$B$33))</f>
        <v/>
      </c>
      <c r="CA415" s="100" t="str">
        <f aca="false">IF($BL415&lt;&gt;Constants!$B$4,"",Constants!$B$34*$BN415)</f>
        <v/>
      </c>
      <c r="CB415" s="100" t="str">
        <f aca="false">IF($BL415&lt;&gt;Constants!$B$4,"",IF(OR(NOT($AL415),$BH415),0,Constants!$B$36))</f>
        <v/>
      </c>
      <c r="CC415" s="100" t="str">
        <f aca="false">IF($BL415&lt;&gt;Constants!$B$4,"",IF(OR(NOT($AL415),$BG415),0,Constants!$B$37))</f>
        <v/>
      </c>
      <c r="CD415" s="100" t="str">
        <f aca="false">IF($BL415&lt;&gt;Constants!$B$4,"",SUM($BX415:$CC415))</f>
        <v/>
      </c>
      <c r="CE415" s="100" t="str">
        <f aca="false">IF(ISBLANK($C415),"",IF($BL415&lt;&gt;Constants!$B$4,$BL415,SUM($BO415:$BW415)-$CD415))</f>
        <v/>
      </c>
      <c r="CF415" s="100" t="str">
        <f aca="false">IF(ISBLANK($C415),"",IF($BL415&lt;&gt;Constants!$B$4,$BL415,RANK($CE415,$CE$9:$CE$508)))</f>
        <v/>
      </c>
      <c r="CG415" s="100" t="str">
        <f aca="false">IF(ISBLANK($C415),"",IF($BL415&lt;&gt;Constants!$B$4,$BL415,COUNTIFS($BM$9:$BM$508,"&lt;"&amp;$BM415)+COUNTIFS($BM$9:$BM$508,$BM415,$CF$9:$CF$508,"&lt;"&amp;$CF415)+1))</f>
        <v/>
      </c>
      <c r="CH415" s="100" t="str">
        <f aca="false">IF(ISBLANK($C415),"",IF($BL415&lt;&gt;Constants!$B$4,$BL415,RANK($CD415,$CD$9:$CD$508,1)))</f>
        <v/>
      </c>
      <c r="CI415" s="100" t="str">
        <f aca="false">IF($BL415&lt;&gt;Constants!$B$4,"",$AN415+$AO415+$AP415)</f>
        <v/>
      </c>
      <c r="CJ415" s="100" t="str">
        <f aca="false">IF(ISBLANK($C415),"",IF($BL415&lt;&gt;Constants!$B$4,$BL415,RANK($CI415,$CI$9:$CI$508,1)))</f>
        <v/>
      </c>
      <c r="CK415" s="100" t="str">
        <f aca="false">IF(ISBLANK($C415),"",IF($BL415&lt;&gt;Constants!$B$4,$BL415,COUNTIFS($BM$9:$BM$508,"&lt;"&amp;$BM415)+COUNTIFS($BM$9:$BM$508,$BM415,$CF$9:$CF$508,"&lt;"&amp;$CF415)+COUNTIFS($BM$9:$BM$508,$BM415,$CF$9:$CF$508,$CF415,$CH$9:$CH$508,"&lt;"&amp;$CH415)+COUNTIFS($BM$9:$BM$508,$BM415,$CF$9:$CF$508,$CF415,$CH$9:$CH$508,$CH415,$CJ$9:$CJ$508,"&lt;"&amp;$CJ415)+1))</f>
        <v/>
      </c>
      <c r="CL415" s="100" t="str">
        <f aca="false">IF(ISBLANK($C415),"",IF($BL415&lt;&gt;Constants!$B$4,$BL415,$CG415-$CK415))</f>
        <v/>
      </c>
      <c r="CM415" s="100" t="str">
        <f aca="false">IF(ISBLANK($C415),"",IF(NOT($AL415),"",IF(ISBLANK($D$7),$CM$5,IF(NOT(ISNUMBER($D$7)),$CM$6,""))))</f>
        <v/>
      </c>
      <c r="CN415" s="100" t="str">
        <f aca="false">IF(ISBLANK($C415),"",OR($AN415="",$AO415="",$AP415=""))</f>
        <v/>
      </c>
      <c r="CO415" s="100" t="str">
        <f aca="false">IF(ISBLANK($C415),"",AND($AL415,$BA415=""))</f>
        <v/>
      </c>
      <c r="CP415" s="100" t="str">
        <f aca="false">IF(ISBLANK($C415),"",AND($AL415,$BB415=""))</f>
        <v/>
      </c>
      <c r="CQ415" s="100" t="str">
        <f aca="false">IF(ISBLANK($C415),"",AND($AL415,$BC415=""))</f>
        <v/>
      </c>
      <c r="CR415" s="100" t="str">
        <f aca="false">IF(ISBLANK($C415),"",AND($AL415,$BF415=""))</f>
        <v/>
      </c>
      <c r="CS415" s="100" t="str">
        <f aca="false">IF(ISBLANK($C415),"",AND($AL415,$BJ415=""))</f>
        <v/>
      </c>
      <c r="CT415" s="101"/>
      <c r="CU415" s="102"/>
      <c r="CV415" s="103" t="str">
        <f aca="false">IF(ISBLANK($C415),"",IF($BL415=Constants!$B$8,$CM415,""))</f>
        <v/>
      </c>
      <c r="CW415" s="102" t="str">
        <f aca="false">IF(ISBLANK($C415),"",IF($BL415&lt;&gt;Constants!$B$4,"",$BO415+$BP415))</f>
        <v/>
      </c>
      <c r="CX415" s="104" t="str">
        <f aca="false">IF(ISBLANK($C415),"",IF($BL415&lt;&gt;Constants!$B$4,"",$BQ415+$BR415+$BS415))</f>
        <v/>
      </c>
      <c r="CY415" s="104" t="str">
        <f aca="false">IF(ISBLANK($C415),"",IF($BL415&lt;&gt;Constants!$B$4,"",$BT415))</f>
        <v/>
      </c>
      <c r="CZ415" s="104" t="str">
        <f aca="false">IF(ISBLANK($C415),"",IF($BL415&lt;&gt;Constants!$B$4,"",$BU415+$BV415))</f>
        <v/>
      </c>
      <c r="DA415" s="104" t="str">
        <f aca="false">IF(ISBLANK($C415),"",IF($BL415&lt;&gt;Constants!$B$4,"",$BW415))</f>
        <v/>
      </c>
      <c r="DB415" s="104" t="str">
        <f aca="false">IF(ISBLANK($C415),"",IF($BL415&lt;&gt;Constants!$B$4,"",-$CD415))</f>
        <v/>
      </c>
      <c r="DC415" s="103" t="str">
        <f aca="false">IF(ISBLANK($C415),"",$CE415)</f>
        <v/>
      </c>
      <c r="DD415" s="105" t="str">
        <f aca="false">IF(ISBLANK($C415),"",$BM415)</f>
        <v/>
      </c>
      <c r="DE415" s="104" t="str">
        <f aca="false">IF(ISBLANK($C415),"",$CL415)</f>
        <v/>
      </c>
      <c r="DF415" s="104" t="str">
        <f aca="false">IF(ISBLANK($C415),"",$CK415)</f>
        <v/>
      </c>
      <c r="DG415" s="106" t="str">
        <f aca="false">IF(ISBLANK($C415),"",IF($DF415=Constants!$B$7,COUNTA($C$9:$C$508)+2,IF($DF415=Constants!$B$6,COUNTA($C$9:$C$508)+1,IF($DF415=Constants!$B$5,COUNTA($C$9:$C$508),$DF415))))</f>
        <v/>
      </c>
      <c r="DH415" s="7"/>
      <c r="DI415" s="107" t="n">
        <f aca="false">IF(OR(ISNUMBER($DF415),$DF415=Constants!$B$7,$DF415=Constants!$B$5,$DF415=Constants!$B$6),1,0)</f>
        <v>0</v>
      </c>
      <c r="DJ415" s="107" t="n">
        <v>407</v>
      </c>
      <c r="DK415" s="107" t="str">
        <f aca="false">IF(ISBLANK($C415),"",IF(ISNUMBER($DG415),$DG415+ROW($B415)/1000,""))</f>
        <v/>
      </c>
      <c r="DL415" s="107" t="str">
        <f aca="false">IF(ISNUMBER($DK415),RANK($DK415,$DK$9:$DK$508,1),"")</f>
        <v/>
      </c>
      <c r="DM415" s="107" t="str">
        <f aca="false">IF(ISBLANK($C415),"",$B415)</f>
        <v/>
      </c>
      <c r="DN415" s="107" t="str">
        <f aca="false">IF(ISBLANK($C415),"",$C415)</f>
        <v/>
      </c>
      <c r="DO415" s="107" t="str">
        <f aca="false">IF(ISBLANK($C415),"",$D415)</f>
        <v/>
      </c>
      <c r="DP415" s="108" t="str">
        <f aca="false">$DD415</f>
        <v/>
      </c>
      <c r="DQ415" s="109" t="str">
        <f aca="false">$DC415</f>
        <v/>
      </c>
      <c r="DR415" s="107" t="str">
        <f aca="false">IF(ISBLANK($C415),"",$DF415)</f>
        <v/>
      </c>
      <c r="DS415" s="110" t="str">
        <f aca="false">IF($DJ415&gt;$DI$8,"",VLOOKUP($DJ415,$DL$9:$DR$508,7,FALSE()))</f>
        <v/>
      </c>
      <c r="DT415" s="111" t="str">
        <f aca="false">IF($DJ415&gt;$DI$8,"",VLOOKUP($DJ415,$DL$9:$DR$508,2,FALSE()))</f>
        <v/>
      </c>
      <c r="DU415" s="111" t="str">
        <f aca="false">IF($DJ415&gt;$DI$8,"",VLOOKUP($DJ415,$DL$9:$DR$508,3,FALSE()))</f>
        <v/>
      </c>
      <c r="DV415" s="111" t="str">
        <f aca="false">IF($DJ415&gt;$DI$8,"",VLOOKUP($DJ415,$DL$9:$DR$508,4,FALSE()))</f>
        <v/>
      </c>
      <c r="DW415" s="111" t="str">
        <f aca="false">IF($DJ415&gt;$DI$8,"",VLOOKUP($DJ415,$DL$9:$DR$508,5,FALSE()))</f>
        <v/>
      </c>
      <c r="DX415" s="112" t="str">
        <f aca="false">IF($DJ415&gt;$DI$8,"",VLOOKUP($DJ415,$DL$9:$DR$508,6,FALSE()))</f>
        <v/>
      </c>
      <c r="DY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130"/>
      <c r="N416" s="130"/>
      <c r="O416" s="135"/>
      <c r="P416" s="135"/>
      <c r="Q416" s="130"/>
      <c r="R416" s="130"/>
      <c r="S416" s="130"/>
      <c r="T416" s="130"/>
      <c r="U416" s="135"/>
      <c r="V416" s="130"/>
      <c r="W416" s="96"/>
      <c r="X416" s="130"/>
      <c r="Y416" s="130"/>
      <c r="Z416" s="96"/>
      <c r="AA416" s="96"/>
      <c r="AB416" s="130"/>
      <c r="AC416" s="130"/>
      <c r="AD416" s="130"/>
      <c r="AE416" s="97"/>
      <c r="AF416" s="130"/>
      <c r="AG416" s="99"/>
      <c r="AH416" s="100"/>
      <c r="AI416" s="100"/>
      <c r="AJ416" s="100" t="str">
        <f aca="false">IF(ISBLANK($C416),"",IF($E416=Constants!$B$2,TRUE(),IF($E416=Constants!$B$3,FALSE(),TRUE())))</f>
        <v/>
      </c>
      <c r="AK416" s="100" t="str">
        <f aca="false">IF(ISBLANK($C416),"",IF($F416=Constants!$B$2,TRUE(),IF($F416=Constants!$B$3,FALSE(),FALSE())))</f>
        <v/>
      </c>
      <c r="AL416" s="100" t="str">
        <f aca="false">IF(ISBLANK($C416),"",IF($G416=Constants!$B$2,TRUE(),IF($G416=Constants!$B$3,FALSE(),TRUE())))</f>
        <v/>
      </c>
      <c r="AM416" s="100" t="str">
        <f aca="false">IF(ISBLANK($C416),"",IF($H416=Constants!$B$2,TRUE(),IF($H416=Constants!$B$3,FALSE(),TRUE())))</f>
        <v/>
      </c>
      <c r="AN416" s="100" t="str">
        <f aca="false">IF(ISBLANK($C416),"",IF(ISNUMBER($I416),IF($I416&gt;=0,$I416,""),""))</f>
        <v/>
      </c>
      <c r="AO416" s="100" t="str">
        <f aca="false">IF(ISBLANK($C416),"",IF(ISNUMBER($J416),IF($J416&gt;=0,$J416,""),""))</f>
        <v/>
      </c>
      <c r="AP416" s="100" t="str">
        <f aca="false">IF(ISBLANK($C416),"",IF(ISNUMBER($K416),IF($K416&gt;=0,$K416,""),""))</f>
        <v/>
      </c>
      <c r="AQ416" s="100" t="str">
        <f aca="false">IF(ISBLANK($C416),"",IF($L416=Constants!$B$2,TRUE(),IF($L416=Constants!$B$3,FALSE(),TRUE())))</f>
        <v/>
      </c>
      <c r="AR416" s="100" t="str">
        <f aca="false">IF(ISBLANK($C416),"",IF($M416=Constants!$B$2,TRUE(),IF($M416=Constants!$B$3,FALSE(),TRUE())))</f>
        <v/>
      </c>
      <c r="AS416" s="100" t="str">
        <f aca="false">IF(ISBLANK($C416),"",IF($N416=Constants!$B$2,TRUE(),IF($N416=Constants!$B$3,FALSE(),FALSE())))</f>
        <v/>
      </c>
      <c r="AT416" s="100" t="str">
        <f aca="false">IF(ISBLANK($C416),"",IF($O416=Constants!$B$2,TRUE(),IF($O416=Constants!$B$3,FALSE(),TRUE())))</f>
        <v/>
      </c>
      <c r="AU416" s="100" t="str">
        <f aca="false">IF(ISBLANK($C416),"",IF($P416=Constants!$B$2,TRUE(),IF($P416=Constants!$B$3,FALSE(),TRUE())))</f>
        <v/>
      </c>
      <c r="AV416" s="100" t="str">
        <f aca="false">IF(ISBLANK($C416),"",IF($Q416=Constants!$B$2,TRUE(),IF($Q416=Constants!$B$3,FALSE(),FALSE())))</f>
        <v/>
      </c>
      <c r="AW416" s="100" t="str">
        <f aca="false">IF(ISBLANK($C416),"",IF($R416=Constants!$B$2,TRUE(),IF($R416=Constants!$B$3,FALSE(),FALSE())))</f>
        <v/>
      </c>
      <c r="AX416" s="100" t="str">
        <f aca="false">IF(ISBLANK($C416),"",IF($S416=Constants!$B$2,TRUE(),IF($S416=Constants!$B$3,FALSE(),FALSE())))</f>
        <v/>
      </c>
      <c r="AY416" s="100" t="str">
        <f aca="false">IF(ISBLANK($C416),"",IF($T416=Constants!$B$2,TRUE(),IF($T416=Constants!$B$3,FALSE(),FALSE())))</f>
        <v/>
      </c>
      <c r="AZ416" s="100" t="str">
        <f aca="false">IF(ISBLANK($C416),"",IF($U416=Constants!$B$2,TRUE(),IF($U416=Constants!$B$3,FALSE(),FALSE())))</f>
        <v/>
      </c>
      <c r="BA416" s="100" t="str">
        <f aca="false">IF(ISBLANK($C416),"",IF(OR($V416&amp;""="1",$V416&amp;""="2",$V416&amp;""="3",$V416&amp;""="4"),VALUE($V416&amp;""),IF($V416=Constants!$B$12,Constants!$B$12,"")))</f>
        <v/>
      </c>
      <c r="BB416" s="100" t="str">
        <f aca="false">IF(ISBLANK($C416),"",IF(ISBLANK($W416),0,IF(ISNUMBER($W416),IF(AND($W416&gt;=0,$W416&lt;=Constants!$B$21,$W416=INT($W416)),$W416,""),"")))</f>
        <v/>
      </c>
      <c r="BC416" s="100" t="str">
        <f aca="false">IF(ISBLANK($C416),"",IF(ISBLANK($X416),0,IF(ISNUMBER($X416),IF($X416&gt;=0,$X416,""),"")))</f>
        <v/>
      </c>
      <c r="BD416" s="100" t="str">
        <f aca="false">IF(ISBLANK($C416),"",IF($Y416=Constants!$B$2,TRUE(),IF($Y416=Constants!$B$3,FALSE(),TRUE())))</f>
        <v/>
      </c>
      <c r="BE416" s="100" t="str">
        <f aca="false">IF(ISBLANK($C416),"",IF($Z416=Constants!$B$2,TRUE(),IF($Z416=Constants!$B$3,FALSE(),FALSE())))</f>
        <v/>
      </c>
      <c r="BF416" s="100" t="str">
        <f aca="false">IF(ISBLANK($C416),"",IF(ISBLANK($AA416),0,IF(ISNUMBER($AA416),IF(AND($AA416&gt;=0,$AA416&lt;=Constants!$B$35,$AA416=INT($AA416)),$AA416,""),"")))</f>
        <v/>
      </c>
      <c r="BG416" s="100" t="str">
        <f aca="false">IF(ISBLANK($C416),"",IF($AB416=Constants!$B$2,TRUE(),IF($AB416=Constants!$B$3,FALSE(),TRUE())))</f>
        <v/>
      </c>
      <c r="BH416" s="100" t="str">
        <f aca="false">IF(ISBLANK($C416),"",IF($AC416=Constants!$B$2,TRUE(),IF($AC416=Constants!$B$3,FALSE(),TRUE())))</f>
        <v/>
      </c>
      <c r="BI416" s="100" t="str">
        <f aca="false">IF(ISBLANK($C416),"",IF($AD416=Constants!$B$2,TRUE(),IF($AD416=Constants!$B$3,FALSE(),TRUE())))</f>
        <v/>
      </c>
      <c r="BJ416" s="100" t="str">
        <f aca="false">IF(ISBLANK($C416),"",IF(ISNUMBER($AE416),IF($AE416&gt;=0,$AE416,""),""))</f>
        <v/>
      </c>
      <c r="BK416" s="100" t="str">
        <f aca="false">IF(ISBLANK($C416),"",IF($AF416=Constants!$B$2,TRUE(),IF($AF416=Constants!$B$3,FALSE(),FALSE())))</f>
        <v/>
      </c>
      <c r="BL416" s="99" t="str">
        <f aca="false">IF(ISBLANK($C416),"",IF($BK416,Constants!$B$7,IF(COUNTA($E416:$AE416)=0,Constants!$B$6,IF(OR(COUNTA($G416:$AE416)=0,NOT($AM416),$AS416),Constants!$B$5,IF(OR($CM416&lt;&gt;"",$CN416,$CO416,$CP416,$CQ416,$CR416,$CS416),Constants!$B$8,Constants!$B$4)))))</f>
        <v/>
      </c>
      <c r="BM416" s="100" t="str">
        <f aca="false">IF(ISBLANK($C416),"",IF($BL416&lt;&gt;Constants!$B$4,$BL416,IF(OR(NOT($AJ416),NOT($AL416),NOT($AT416)),Constants!$B$11,IF(OR(NOT($AR416),NOT($AU416),NOT($BI416),MAX($AN416,$AO416,$AP416)&gt;Constants!$B$30),Constants!$B$10,Constants!$B$9))))</f>
        <v/>
      </c>
      <c r="BN416" s="100" t="str">
        <f aca="false">IF($BL416&lt;&gt;Constants!$B$4,"",IF(NOT($AL416),0,MIN(Constants!$B$35,$BF416)))</f>
        <v/>
      </c>
      <c r="BO416" s="100" t="str">
        <f aca="false">IF($BL416&lt;&gt;Constants!$B$4,"",IF(NOT($AL416),0,IF($AW416,Constants!$B$18,IF($AV416,Constants!$B$17,0))))</f>
        <v/>
      </c>
      <c r="BP416" s="100" t="str">
        <f aca="false">IF($BL416&lt;&gt;Constants!$B$4,"",IF(NOT($AL416),0,Constants!$B$19*($AK416+$AX416+$AY416+$AZ416)))</f>
        <v/>
      </c>
      <c r="BQ416" s="100" t="str">
        <f aca="false">IF($BL416&lt;&gt;Constants!$B$4,"",IF(OR(NOT($AL416),NOT(ISNUMBER($BA416))),0,CHOOSE($BA416,Constants!$B$13,Constants!$B$14,Constants!$B$15,Constants!$B$16)))</f>
        <v/>
      </c>
      <c r="BR416" s="100" t="str">
        <f aca="false">IF($BL416&lt;&gt;Constants!$B$4,"",IF(NOT($AL416),0,Constants!$B$20*$BB416))</f>
        <v/>
      </c>
      <c r="BS416" s="100" t="str">
        <f aca="false">IF($BL416&lt;&gt;Constants!$B$4,"",IF(AND($AL416,$BD416,$BE416),Constants!$B$22,0))</f>
        <v/>
      </c>
      <c r="BT416" s="100" t="str">
        <f aca="false">IF($BL416&lt;&gt;Constants!$B$4,"",IF(OR(NOT($AL416),NOT($BD416)),0,IF($BJ416&gt;=2*$AH$9,0,Constants!$B$23*INT(ROUND(MIN($BJ416,$AH$9),6)))))</f>
        <v/>
      </c>
      <c r="BU416" s="100" t="str">
        <f aca="false">IF($BL416&lt;&gt;Constants!$B$4,"",IF(NOT($AL416),0,Constants!$B$24*INT(ROUND(MIN($BC416,$AH$9),6))))</f>
        <v/>
      </c>
      <c r="BV416" s="100" t="str">
        <f aca="false">IF($BL416&lt;&gt;Constants!$B$4,"",IF(AND($AL416,$BN416=0),Constants!$B$25,0))</f>
        <v/>
      </c>
      <c r="BW416" s="100" t="str">
        <f aca="false">IF($BL416&lt;&gt;Constants!$B$4,"",MIN(Constants!$B$29,MAX(0,Constants!$B$27*Constants!$B$28*INT(ROUND((Constants!$B$26-$AN416)/Constants!$B$28,6))))+MIN(Constants!$B$29,MAX(0,Constants!$B$27*Constants!$B$28*INT(ROUND((Constants!$B$26-$AO416)/Constants!$B$28,6))))+MIN(Constants!$B$29,MAX(0,Constants!$B$27*Constants!$B$28*INT(ROUND((Constants!$B$26-$AP416)/Constants!$B$28,6)))))</f>
        <v/>
      </c>
      <c r="BX416" s="100" t="str">
        <f aca="false">IF($BL416&lt;&gt;Constants!$B$4,"",IF(NOT($AL416),0,Constants!$B$31*INT(ROUND(MAX(0,MIN($BJ416,2*$AH$9)-$AH$9),6))))</f>
        <v/>
      </c>
      <c r="BY416" s="100" t="str">
        <f aca="false">IF($BL416&lt;&gt;Constants!$B$4,"",Constants!$B$32*(($AN416&gt;Constants!$B$26)+($AO416&gt;Constants!$B$26)+($AP416&gt;Constants!$B$26)))</f>
        <v/>
      </c>
      <c r="BZ416" s="100" t="str">
        <f aca="false">IF($BL416&lt;&gt;Constants!$B$4,"",IF(OR(NOT($AL416),$AQ416),0,Constants!$B$33))</f>
        <v/>
      </c>
      <c r="CA416" s="100" t="str">
        <f aca="false">IF($BL416&lt;&gt;Constants!$B$4,"",Constants!$B$34*$BN416)</f>
        <v/>
      </c>
      <c r="CB416" s="100" t="str">
        <f aca="false">IF($BL416&lt;&gt;Constants!$B$4,"",IF(OR(NOT($AL416),$BH416),0,Constants!$B$36))</f>
        <v/>
      </c>
      <c r="CC416" s="100" t="str">
        <f aca="false">IF($BL416&lt;&gt;Constants!$B$4,"",IF(OR(NOT($AL416),$BG416),0,Constants!$B$37))</f>
        <v/>
      </c>
      <c r="CD416" s="100" t="str">
        <f aca="false">IF($BL416&lt;&gt;Constants!$B$4,"",SUM($BX416:$CC416))</f>
        <v/>
      </c>
      <c r="CE416" s="100" t="str">
        <f aca="false">IF(ISBLANK($C416),"",IF($BL416&lt;&gt;Constants!$B$4,$BL416,SUM($BO416:$BW416)-$CD416))</f>
        <v/>
      </c>
      <c r="CF416" s="100" t="str">
        <f aca="false">IF(ISBLANK($C416),"",IF($BL416&lt;&gt;Constants!$B$4,$BL416,RANK($CE416,$CE$9:$CE$508)))</f>
        <v/>
      </c>
      <c r="CG416" s="100" t="str">
        <f aca="false">IF(ISBLANK($C416),"",IF($BL416&lt;&gt;Constants!$B$4,$BL416,COUNTIFS($BM$9:$BM$508,"&lt;"&amp;$BM416)+COUNTIFS($BM$9:$BM$508,$BM416,$CF$9:$CF$508,"&lt;"&amp;$CF416)+1))</f>
        <v/>
      </c>
      <c r="CH416" s="100" t="str">
        <f aca="false">IF(ISBLANK($C416),"",IF($BL416&lt;&gt;Constants!$B$4,$BL416,RANK($CD416,$CD$9:$CD$508,1)))</f>
        <v/>
      </c>
      <c r="CI416" s="100" t="str">
        <f aca="false">IF($BL416&lt;&gt;Constants!$B$4,"",$AN416+$AO416+$AP416)</f>
        <v/>
      </c>
      <c r="CJ416" s="100" t="str">
        <f aca="false">IF(ISBLANK($C416),"",IF($BL416&lt;&gt;Constants!$B$4,$BL416,RANK($CI416,$CI$9:$CI$508,1)))</f>
        <v/>
      </c>
      <c r="CK416" s="100" t="str">
        <f aca="false">IF(ISBLANK($C416),"",IF($BL416&lt;&gt;Constants!$B$4,$BL416,COUNTIFS($BM$9:$BM$508,"&lt;"&amp;$BM416)+COUNTIFS($BM$9:$BM$508,$BM416,$CF$9:$CF$508,"&lt;"&amp;$CF416)+COUNTIFS($BM$9:$BM$508,$BM416,$CF$9:$CF$508,$CF416,$CH$9:$CH$508,"&lt;"&amp;$CH416)+COUNTIFS($BM$9:$BM$508,$BM416,$CF$9:$CF$508,$CF416,$CH$9:$CH$508,$CH416,$CJ$9:$CJ$508,"&lt;"&amp;$CJ416)+1))</f>
        <v/>
      </c>
      <c r="CL416" s="100" t="str">
        <f aca="false">IF(ISBLANK($C416),"",IF($BL416&lt;&gt;Constants!$B$4,$BL416,$CG416-$CK416))</f>
        <v/>
      </c>
      <c r="CM416" s="100" t="str">
        <f aca="false">IF(ISBLANK($C416),"",IF(NOT($AL416),"",IF(ISBLANK($D$7),$CM$5,IF(NOT(ISNUMBER($D$7)),$CM$6,""))))</f>
        <v/>
      </c>
      <c r="CN416" s="100" t="str">
        <f aca="false">IF(ISBLANK($C416),"",OR($AN416="",$AO416="",$AP416=""))</f>
        <v/>
      </c>
      <c r="CO416" s="100" t="str">
        <f aca="false">IF(ISBLANK($C416),"",AND($AL416,$BA416=""))</f>
        <v/>
      </c>
      <c r="CP416" s="100" t="str">
        <f aca="false">IF(ISBLANK($C416),"",AND($AL416,$BB416=""))</f>
        <v/>
      </c>
      <c r="CQ416" s="100" t="str">
        <f aca="false">IF(ISBLANK($C416),"",AND($AL416,$BC416=""))</f>
        <v/>
      </c>
      <c r="CR416" s="100" t="str">
        <f aca="false">IF(ISBLANK($C416),"",AND($AL416,$BF416=""))</f>
        <v/>
      </c>
      <c r="CS416" s="100" t="str">
        <f aca="false">IF(ISBLANK($C416),"",AND($AL416,$BJ416=""))</f>
        <v/>
      </c>
      <c r="CT416" s="101"/>
      <c r="CU416" s="102"/>
      <c r="CV416" s="103" t="str">
        <f aca="false">IF(ISBLANK($C416),"",IF($BL416=Constants!$B$8,$CM416,""))</f>
        <v/>
      </c>
      <c r="CW416" s="102" t="str">
        <f aca="false">IF(ISBLANK($C416),"",IF($BL416&lt;&gt;Constants!$B$4,"",$BO416+$BP416))</f>
        <v/>
      </c>
      <c r="CX416" s="104" t="str">
        <f aca="false">IF(ISBLANK($C416),"",IF($BL416&lt;&gt;Constants!$B$4,"",$BQ416+$BR416+$BS416))</f>
        <v/>
      </c>
      <c r="CY416" s="104" t="str">
        <f aca="false">IF(ISBLANK($C416),"",IF($BL416&lt;&gt;Constants!$B$4,"",$BT416))</f>
        <v/>
      </c>
      <c r="CZ416" s="104" t="str">
        <f aca="false">IF(ISBLANK($C416),"",IF($BL416&lt;&gt;Constants!$B$4,"",$BU416+$BV416))</f>
        <v/>
      </c>
      <c r="DA416" s="104" t="str">
        <f aca="false">IF(ISBLANK($C416),"",IF($BL416&lt;&gt;Constants!$B$4,"",$BW416))</f>
        <v/>
      </c>
      <c r="DB416" s="104" t="str">
        <f aca="false">IF(ISBLANK($C416),"",IF($BL416&lt;&gt;Constants!$B$4,"",-$CD416))</f>
        <v/>
      </c>
      <c r="DC416" s="103" t="str">
        <f aca="false">IF(ISBLANK($C416),"",$CE416)</f>
        <v/>
      </c>
      <c r="DD416" s="105" t="str">
        <f aca="false">IF(ISBLANK($C416),"",$BM416)</f>
        <v/>
      </c>
      <c r="DE416" s="104" t="str">
        <f aca="false">IF(ISBLANK($C416),"",$CL416)</f>
        <v/>
      </c>
      <c r="DF416" s="104" t="str">
        <f aca="false">IF(ISBLANK($C416),"",$CK416)</f>
        <v/>
      </c>
      <c r="DG416" s="106" t="str">
        <f aca="false">IF(ISBLANK($C416),"",IF($DF416=Constants!$B$7,COUNTA($C$9:$C$508)+2,IF($DF416=Constants!$B$6,COUNTA($C$9:$C$508)+1,IF($DF416=Constants!$B$5,COUNTA($C$9:$C$508),$DF416))))</f>
        <v/>
      </c>
      <c r="DH416" s="7"/>
      <c r="DI416" s="107" t="n">
        <f aca="false">IF(OR(ISNUMBER($DF416),$DF416=Constants!$B$7,$DF416=Constants!$B$5,$DF416=Constants!$B$6),1,0)</f>
        <v>0</v>
      </c>
      <c r="DJ416" s="107" t="n">
        <v>408</v>
      </c>
      <c r="DK416" s="107" t="str">
        <f aca="false">IF(ISBLANK($C416),"",IF(ISNUMBER($DG416),$DG416+ROW($B416)/1000,""))</f>
        <v/>
      </c>
      <c r="DL416" s="107" t="str">
        <f aca="false">IF(ISNUMBER($DK416),RANK($DK416,$DK$9:$DK$508,1),"")</f>
        <v/>
      </c>
      <c r="DM416" s="107" t="str">
        <f aca="false">IF(ISBLANK($C416),"",$B416)</f>
        <v/>
      </c>
      <c r="DN416" s="107" t="str">
        <f aca="false">IF(ISBLANK($C416),"",$C416)</f>
        <v/>
      </c>
      <c r="DO416" s="107" t="str">
        <f aca="false">IF(ISBLANK($C416),"",$D416)</f>
        <v/>
      </c>
      <c r="DP416" s="108" t="str">
        <f aca="false">$DD416</f>
        <v/>
      </c>
      <c r="DQ416" s="109" t="str">
        <f aca="false">$DC416</f>
        <v/>
      </c>
      <c r="DR416" s="107" t="str">
        <f aca="false">IF(ISBLANK($C416),"",$DF416)</f>
        <v/>
      </c>
      <c r="DS416" s="110" t="str">
        <f aca="false">IF($DJ416&gt;$DI$8,"",VLOOKUP($DJ416,$DL$9:$DR$508,7,FALSE()))</f>
        <v/>
      </c>
      <c r="DT416" s="111" t="str">
        <f aca="false">IF($DJ416&gt;$DI$8,"",VLOOKUP($DJ416,$DL$9:$DR$508,2,FALSE()))</f>
        <v/>
      </c>
      <c r="DU416" s="111" t="str">
        <f aca="false">IF($DJ416&gt;$DI$8,"",VLOOKUP($DJ416,$DL$9:$DR$508,3,FALSE()))</f>
        <v/>
      </c>
      <c r="DV416" s="111" t="str">
        <f aca="false">IF($DJ416&gt;$DI$8,"",VLOOKUP($DJ416,$DL$9:$DR$508,4,FALSE()))</f>
        <v/>
      </c>
      <c r="DW416" s="111" t="str">
        <f aca="false">IF($DJ416&gt;$DI$8,"",VLOOKUP($DJ416,$DL$9:$DR$508,5,FALSE()))</f>
        <v/>
      </c>
      <c r="DX416" s="112" t="str">
        <f aca="false">IF($DJ416&gt;$DI$8,"",VLOOKUP($DJ416,$DL$9:$DR$508,6,FALSE()))</f>
        <v/>
      </c>
      <c r="DY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88"/>
      <c r="N417" s="88"/>
      <c r="O417" s="134"/>
      <c r="P417" s="134"/>
      <c r="Q417" s="88"/>
      <c r="R417" s="88"/>
      <c r="S417" s="88"/>
      <c r="T417" s="88"/>
      <c r="U417" s="134"/>
      <c r="V417" s="88"/>
      <c r="W417" s="70"/>
      <c r="X417" s="88"/>
      <c r="Y417" s="88"/>
      <c r="Z417" s="70"/>
      <c r="AA417" s="70"/>
      <c r="AB417" s="88"/>
      <c r="AC417" s="88"/>
      <c r="AD417" s="88"/>
      <c r="AE417" s="71"/>
      <c r="AF417" s="88"/>
      <c r="AG417" s="73"/>
      <c r="AH417" s="74"/>
      <c r="AI417" s="74"/>
      <c r="AJ417" s="74" t="str">
        <f aca="false">IF(ISBLANK($C417),"",IF($E417=Constants!$B$2,TRUE(),IF($E417=Constants!$B$3,FALSE(),TRUE())))</f>
        <v/>
      </c>
      <c r="AK417" s="74" t="str">
        <f aca="false">IF(ISBLANK($C417),"",IF($F417=Constants!$B$2,TRUE(),IF($F417=Constants!$B$3,FALSE(),FALSE())))</f>
        <v/>
      </c>
      <c r="AL417" s="74" t="str">
        <f aca="false">IF(ISBLANK($C417),"",IF($G417=Constants!$B$2,TRUE(),IF($G417=Constants!$B$3,FALSE(),TRUE())))</f>
        <v/>
      </c>
      <c r="AM417" s="74" t="str">
        <f aca="false">IF(ISBLANK($C417),"",IF($H417=Constants!$B$2,TRUE(),IF($H417=Constants!$B$3,FALSE(),TRUE())))</f>
        <v/>
      </c>
      <c r="AN417" s="74" t="str">
        <f aca="false">IF(ISBLANK($C417),"",IF(ISNUMBER($I417),IF($I417&gt;=0,$I417,""),""))</f>
        <v/>
      </c>
      <c r="AO417" s="74" t="str">
        <f aca="false">IF(ISBLANK($C417),"",IF(ISNUMBER($J417),IF($J417&gt;=0,$J417,""),""))</f>
        <v/>
      </c>
      <c r="AP417" s="74" t="str">
        <f aca="false">IF(ISBLANK($C417),"",IF(ISNUMBER($K417),IF($K417&gt;=0,$K417,""),""))</f>
        <v/>
      </c>
      <c r="AQ417" s="74" t="str">
        <f aca="false">IF(ISBLANK($C417),"",IF($L417=Constants!$B$2,TRUE(),IF($L417=Constants!$B$3,FALSE(),TRUE())))</f>
        <v/>
      </c>
      <c r="AR417" s="74" t="str">
        <f aca="false">IF(ISBLANK($C417),"",IF($M417=Constants!$B$2,TRUE(),IF($M417=Constants!$B$3,FALSE(),TRUE())))</f>
        <v/>
      </c>
      <c r="AS417" s="74" t="str">
        <f aca="false">IF(ISBLANK($C417),"",IF($N417=Constants!$B$2,TRUE(),IF($N417=Constants!$B$3,FALSE(),FALSE())))</f>
        <v/>
      </c>
      <c r="AT417" s="74" t="str">
        <f aca="false">IF(ISBLANK($C417),"",IF($O417=Constants!$B$2,TRUE(),IF($O417=Constants!$B$3,FALSE(),TRUE())))</f>
        <v/>
      </c>
      <c r="AU417" s="74" t="str">
        <f aca="false">IF(ISBLANK($C417),"",IF($P417=Constants!$B$2,TRUE(),IF($P417=Constants!$B$3,FALSE(),TRUE())))</f>
        <v/>
      </c>
      <c r="AV417" s="74" t="str">
        <f aca="false">IF(ISBLANK($C417),"",IF($Q417=Constants!$B$2,TRUE(),IF($Q417=Constants!$B$3,FALSE(),FALSE())))</f>
        <v/>
      </c>
      <c r="AW417" s="74" t="str">
        <f aca="false">IF(ISBLANK($C417),"",IF($R417=Constants!$B$2,TRUE(),IF($R417=Constants!$B$3,FALSE(),FALSE())))</f>
        <v/>
      </c>
      <c r="AX417" s="74" t="str">
        <f aca="false">IF(ISBLANK($C417),"",IF($S417=Constants!$B$2,TRUE(),IF($S417=Constants!$B$3,FALSE(),FALSE())))</f>
        <v/>
      </c>
      <c r="AY417" s="74" t="str">
        <f aca="false">IF(ISBLANK($C417),"",IF($T417=Constants!$B$2,TRUE(),IF($T417=Constants!$B$3,FALSE(),FALSE())))</f>
        <v/>
      </c>
      <c r="AZ417" s="74" t="str">
        <f aca="false">IF(ISBLANK($C417),"",IF($U417=Constants!$B$2,TRUE(),IF($U417=Constants!$B$3,FALSE(),FALSE())))</f>
        <v/>
      </c>
      <c r="BA417" s="74" t="str">
        <f aca="false">IF(ISBLANK($C417),"",IF(OR($V417&amp;""="1",$V417&amp;""="2",$V417&amp;""="3",$V417&amp;""="4"),VALUE($V417&amp;""),IF($V417=Constants!$B$12,Constants!$B$12,"")))</f>
        <v/>
      </c>
      <c r="BB417" s="74" t="str">
        <f aca="false">IF(ISBLANK($C417),"",IF(ISBLANK($W417),0,IF(ISNUMBER($W417),IF(AND($W417&gt;=0,$W417&lt;=Constants!$B$21,$W417=INT($W417)),$W417,""),"")))</f>
        <v/>
      </c>
      <c r="BC417" s="74" t="str">
        <f aca="false">IF(ISBLANK($C417),"",IF(ISBLANK($X417),0,IF(ISNUMBER($X417),IF($X417&gt;=0,$X417,""),"")))</f>
        <v/>
      </c>
      <c r="BD417" s="74" t="str">
        <f aca="false">IF(ISBLANK($C417),"",IF($Y417=Constants!$B$2,TRUE(),IF($Y417=Constants!$B$3,FALSE(),TRUE())))</f>
        <v/>
      </c>
      <c r="BE417" s="74" t="str">
        <f aca="false">IF(ISBLANK($C417),"",IF($Z417=Constants!$B$2,TRUE(),IF($Z417=Constants!$B$3,FALSE(),FALSE())))</f>
        <v/>
      </c>
      <c r="BF417" s="74" t="str">
        <f aca="false">IF(ISBLANK($C417),"",IF(ISBLANK($AA417),0,IF(ISNUMBER($AA417),IF(AND($AA417&gt;=0,$AA417&lt;=Constants!$B$35,$AA417=INT($AA417)),$AA417,""),"")))</f>
        <v/>
      </c>
      <c r="BG417" s="74" t="str">
        <f aca="false">IF(ISBLANK($C417),"",IF($AB417=Constants!$B$2,TRUE(),IF($AB417=Constants!$B$3,FALSE(),TRUE())))</f>
        <v/>
      </c>
      <c r="BH417" s="74" t="str">
        <f aca="false">IF(ISBLANK($C417),"",IF($AC417=Constants!$B$2,TRUE(),IF($AC417=Constants!$B$3,FALSE(),TRUE())))</f>
        <v/>
      </c>
      <c r="BI417" s="74" t="str">
        <f aca="false">IF(ISBLANK($C417),"",IF($AD417=Constants!$B$2,TRUE(),IF($AD417=Constants!$B$3,FALSE(),TRUE())))</f>
        <v/>
      </c>
      <c r="BJ417" s="74" t="str">
        <f aca="false">IF(ISBLANK($C417),"",IF(ISNUMBER($AE417),IF($AE417&gt;=0,$AE417,""),""))</f>
        <v/>
      </c>
      <c r="BK417" s="74" t="str">
        <f aca="false">IF(ISBLANK($C417),"",IF($AF417=Constants!$B$2,TRUE(),IF($AF417=Constants!$B$3,FALSE(),FALSE())))</f>
        <v/>
      </c>
      <c r="BL417" s="73" t="str">
        <f aca="false">IF(ISBLANK($C417),"",IF($BK417,Constants!$B$7,IF(COUNTA($E417:$AE417)=0,Constants!$B$6,IF(OR(COUNTA($G417:$AE417)=0,NOT($AM417),$AS417),Constants!$B$5,IF(OR($CM417&lt;&gt;"",$CN417,$CO417,$CP417,$CQ417,$CR417,$CS417),Constants!$B$8,Constants!$B$4)))))</f>
        <v/>
      </c>
      <c r="BM417" s="74" t="str">
        <f aca="false">IF(ISBLANK($C417),"",IF($BL417&lt;&gt;Constants!$B$4,$BL417,IF(OR(NOT($AJ417),NOT($AL417),NOT($AT417)),Constants!$B$11,IF(OR(NOT($AR417),NOT($AU417),NOT($BI417),MAX($AN417,$AO417,$AP417)&gt;Constants!$B$30),Constants!$B$10,Constants!$B$9))))</f>
        <v/>
      </c>
      <c r="BN417" s="74" t="str">
        <f aca="false">IF($BL417&lt;&gt;Constants!$B$4,"",IF(NOT($AL417),0,MIN(Constants!$B$35,$BF417)))</f>
        <v/>
      </c>
      <c r="BO417" s="74" t="str">
        <f aca="false">IF($BL417&lt;&gt;Constants!$B$4,"",IF(NOT($AL417),0,IF($AW417,Constants!$B$18,IF($AV417,Constants!$B$17,0))))</f>
        <v/>
      </c>
      <c r="BP417" s="74" t="str">
        <f aca="false">IF($BL417&lt;&gt;Constants!$B$4,"",IF(NOT($AL417),0,Constants!$B$19*($AK417+$AX417+$AY417+$AZ417)))</f>
        <v/>
      </c>
      <c r="BQ417" s="74" t="str">
        <f aca="false">IF($BL417&lt;&gt;Constants!$B$4,"",IF(OR(NOT($AL417),NOT(ISNUMBER($BA417))),0,CHOOSE($BA417,Constants!$B$13,Constants!$B$14,Constants!$B$15,Constants!$B$16)))</f>
        <v/>
      </c>
      <c r="BR417" s="74" t="str">
        <f aca="false">IF($BL417&lt;&gt;Constants!$B$4,"",IF(NOT($AL417),0,Constants!$B$20*$BB417))</f>
        <v/>
      </c>
      <c r="BS417" s="74" t="str">
        <f aca="false">IF($BL417&lt;&gt;Constants!$B$4,"",IF(AND($AL417,$BD417,$BE417),Constants!$B$22,0))</f>
        <v/>
      </c>
      <c r="BT417" s="74" t="str">
        <f aca="false">IF($BL417&lt;&gt;Constants!$B$4,"",IF(OR(NOT($AL417),NOT($BD417)),0,IF($BJ417&gt;=2*$AH$9,0,Constants!$B$23*INT(ROUND(MIN($BJ417,$AH$9),6)))))</f>
        <v/>
      </c>
      <c r="BU417" s="74" t="str">
        <f aca="false">IF($BL417&lt;&gt;Constants!$B$4,"",IF(NOT($AL417),0,Constants!$B$24*INT(ROUND(MIN($BC417,$AH$9),6))))</f>
        <v/>
      </c>
      <c r="BV417" s="74" t="str">
        <f aca="false">IF($BL417&lt;&gt;Constants!$B$4,"",IF(AND($AL417,$BN417=0),Constants!$B$25,0))</f>
        <v/>
      </c>
      <c r="BW417" s="74" t="str">
        <f aca="false">IF($BL417&lt;&gt;Constants!$B$4,"",MIN(Constants!$B$29,MAX(0,Constants!$B$27*Constants!$B$28*INT(ROUND((Constants!$B$26-$AN417)/Constants!$B$28,6))))+MIN(Constants!$B$29,MAX(0,Constants!$B$27*Constants!$B$28*INT(ROUND((Constants!$B$26-$AO417)/Constants!$B$28,6))))+MIN(Constants!$B$29,MAX(0,Constants!$B$27*Constants!$B$28*INT(ROUND((Constants!$B$26-$AP417)/Constants!$B$28,6)))))</f>
        <v/>
      </c>
      <c r="BX417" s="74" t="str">
        <f aca="false">IF($BL417&lt;&gt;Constants!$B$4,"",IF(NOT($AL417),0,Constants!$B$31*INT(ROUND(MAX(0,MIN($BJ417,2*$AH$9)-$AH$9),6))))</f>
        <v/>
      </c>
      <c r="BY417" s="74" t="str">
        <f aca="false">IF($BL417&lt;&gt;Constants!$B$4,"",Constants!$B$32*(($AN417&gt;Constants!$B$26)+($AO417&gt;Constants!$B$26)+($AP417&gt;Constants!$B$26)))</f>
        <v/>
      </c>
      <c r="BZ417" s="74" t="str">
        <f aca="false">IF($BL417&lt;&gt;Constants!$B$4,"",IF(OR(NOT($AL417),$AQ417),0,Constants!$B$33))</f>
        <v/>
      </c>
      <c r="CA417" s="74" t="str">
        <f aca="false">IF($BL417&lt;&gt;Constants!$B$4,"",Constants!$B$34*$BN417)</f>
        <v/>
      </c>
      <c r="CB417" s="74" t="str">
        <f aca="false">IF($BL417&lt;&gt;Constants!$B$4,"",IF(OR(NOT($AL417),$BH417),0,Constants!$B$36))</f>
        <v/>
      </c>
      <c r="CC417" s="74" t="str">
        <f aca="false">IF($BL417&lt;&gt;Constants!$B$4,"",IF(OR(NOT($AL417),$BG417),0,Constants!$B$37))</f>
        <v/>
      </c>
      <c r="CD417" s="74" t="str">
        <f aca="false">IF($BL417&lt;&gt;Constants!$B$4,"",SUM($BX417:$CC417))</f>
        <v/>
      </c>
      <c r="CE417" s="74" t="str">
        <f aca="false">IF(ISBLANK($C417),"",IF($BL417&lt;&gt;Constants!$B$4,$BL417,SUM($BO417:$BW417)-$CD417))</f>
        <v/>
      </c>
      <c r="CF417" s="74" t="str">
        <f aca="false">IF(ISBLANK($C417),"",IF($BL417&lt;&gt;Constants!$B$4,$BL417,RANK($CE417,$CE$9:$CE$508)))</f>
        <v/>
      </c>
      <c r="CG417" s="74" t="str">
        <f aca="false">IF(ISBLANK($C417),"",IF($BL417&lt;&gt;Constants!$B$4,$BL417,COUNTIFS($BM$9:$BM$508,"&lt;"&amp;$BM417)+COUNTIFS($BM$9:$BM$508,$BM417,$CF$9:$CF$508,"&lt;"&amp;$CF417)+1))</f>
        <v/>
      </c>
      <c r="CH417" s="74" t="str">
        <f aca="false">IF(ISBLANK($C417),"",IF($BL417&lt;&gt;Constants!$B$4,$BL417,RANK($CD417,$CD$9:$CD$508,1)))</f>
        <v/>
      </c>
      <c r="CI417" s="74" t="str">
        <f aca="false">IF($BL417&lt;&gt;Constants!$B$4,"",$AN417+$AO417+$AP417)</f>
        <v/>
      </c>
      <c r="CJ417" s="74" t="str">
        <f aca="false">IF(ISBLANK($C417),"",IF($BL417&lt;&gt;Constants!$B$4,$BL417,RANK($CI417,$CI$9:$CI$508,1)))</f>
        <v/>
      </c>
      <c r="CK417" s="74" t="str">
        <f aca="false">IF(ISBLANK($C417),"",IF($BL417&lt;&gt;Constants!$B$4,$BL417,COUNTIFS($BM$9:$BM$508,"&lt;"&amp;$BM417)+COUNTIFS($BM$9:$BM$508,$BM417,$CF$9:$CF$508,"&lt;"&amp;$CF417)+COUNTIFS($BM$9:$BM$508,$BM417,$CF$9:$CF$508,$CF417,$CH$9:$CH$508,"&lt;"&amp;$CH417)+COUNTIFS($BM$9:$BM$508,$BM417,$CF$9:$CF$508,$CF417,$CH$9:$CH$508,$CH417,$CJ$9:$CJ$508,"&lt;"&amp;$CJ417)+1))</f>
        <v/>
      </c>
      <c r="CL417" s="74" t="str">
        <f aca="false">IF(ISBLANK($C417),"",IF($BL417&lt;&gt;Constants!$B$4,$BL417,$CG417-$CK417))</f>
        <v/>
      </c>
      <c r="CM417" s="74" t="str">
        <f aca="false">IF(ISBLANK($C417),"",IF(NOT($AL417),"",IF(ISBLANK($D$7),$CM$5,IF(NOT(ISNUMBER($D$7)),$CM$6,""))))</f>
        <v/>
      </c>
      <c r="CN417" s="74" t="str">
        <f aca="false">IF(ISBLANK($C417),"",OR($AN417="",$AO417="",$AP417=""))</f>
        <v/>
      </c>
      <c r="CO417" s="74" t="str">
        <f aca="false">IF(ISBLANK($C417),"",AND($AL417,$BA417=""))</f>
        <v/>
      </c>
      <c r="CP417" s="74" t="str">
        <f aca="false">IF(ISBLANK($C417),"",AND($AL417,$BB417=""))</f>
        <v/>
      </c>
      <c r="CQ417" s="74" t="str">
        <f aca="false">IF(ISBLANK($C417),"",AND($AL417,$BC417=""))</f>
        <v/>
      </c>
      <c r="CR417" s="74" t="str">
        <f aca="false">IF(ISBLANK($C417),"",AND($AL417,$BF417=""))</f>
        <v/>
      </c>
      <c r="CS417" s="74" t="str">
        <f aca="false">IF(ISBLANK($C417),"",AND($AL417,$BJ417=""))</f>
        <v/>
      </c>
      <c r="CT417" s="75"/>
      <c r="CU417" s="76"/>
      <c r="CV417" s="79" t="str">
        <f aca="false">IF(ISBLANK($C417),"",IF($BL417=Constants!$B$8,$CM417,""))</f>
        <v/>
      </c>
      <c r="CW417" s="76" t="str">
        <f aca="false">IF(ISBLANK($C417),"",IF($BL417&lt;&gt;Constants!$B$4,"",$BO417+$BP417))</f>
        <v/>
      </c>
      <c r="CX417" s="78" t="str">
        <f aca="false">IF(ISBLANK($C417),"",IF($BL417&lt;&gt;Constants!$B$4,"",$BQ417+$BR417+$BS417))</f>
        <v/>
      </c>
      <c r="CY417" s="78" t="str">
        <f aca="false">IF(ISBLANK($C417),"",IF($BL417&lt;&gt;Constants!$B$4,"",$BT417))</f>
        <v/>
      </c>
      <c r="CZ417" s="78" t="str">
        <f aca="false">IF(ISBLANK($C417),"",IF($BL417&lt;&gt;Constants!$B$4,"",$BU417+$BV417))</f>
        <v/>
      </c>
      <c r="DA417" s="78" t="str">
        <f aca="false">IF(ISBLANK($C417),"",IF($BL417&lt;&gt;Constants!$B$4,"",$BW417))</f>
        <v/>
      </c>
      <c r="DB417" s="78" t="str">
        <f aca="false">IF(ISBLANK($C417),"",IF($BL417&lt;&gt;Constants!$B$4,"",-$CD417))</f>
        <v/>
      </c>
      <c r="DC417" s="79" t="str">
        <f aca="false">IF(ISBLANK($C417),"",$CE417)</f>
        <v/>
      </c>
      <c r="DD417" s="80" t="str">
        <f aca="false">IF(ISBLANK($C417),"",$BM417)</f>
        <v/>
      </c>
      <c r="DE417" s="78" t="str">
        <f aca="false">IF(ISBLANK($C417),"",$CL417)</f>
        <v/>
      </c>
      <c r="DF417" s="78" t="str">
        <f aca="false">IF(ISBLANK($C417),"",$CK417)</f>
        <v/>
      </c>
      <c r="DG417" s="81" t="str">
        <f aca="false">IF(ISBLANK($C417),"",IF($DF417=Constants!$B$7,COUNTA($C$9:$C$508)+2,IF($DF417=Constants!$B$6,COUNTA($C$9:$C$508)+1,IF($DF417=Constants!$B$5,COUNTA($C$9:$C$508),$DF417))))</f>
        <v/>
      </c>
      <c r="DH417" s="7"/>
      <c r="DI417" s="82" t="n">
        <f aca="false">IF(OR(ISNUMBER($DF417),$DF417=Constants!$B$7,$DF417=Constants!$B$5,$DF417=Constants!$B$6),1,0)</f>
        <v>0</v>
      </c>
      <c r="DJ417" s="82" t="n">
        <v>409</v>
      </c>
      <c r="DK417" s="82" t="str">
        <f aca="false">IF(ISBLANK($C417),"",IF(ISNUMBER($DG417),$DG417+ROW($B417)/1000,""))</f>
        <v/>
      </c>
      <c r="DL417" s="82" t="str">
        <f aca="false">IF(ISNUMBER($DK417),RANK($DK417,$DK$9:$DK$508,1),"")</f>
        <v/>
      </c>
      <c r="DM417" s="82" t="str">
        <f aca="false">IF(ISBLANK($C417),"",$B417)</f>
        <v/>
      </c>
      <c r="DN417" s="82" t="str">
        <f aca="false">IF(ISBLANK($C417),"",$C417)</f>
        <v/>
      </c>
      <c r="DO417" s="82" t="str">
        <f aca="false">IF(ISBLANK($C417),"",$D417)</f>
        <v/>
      </c>
      <c r="DP417" s="83" t="str">
        <f aca="false">$DD417</f>
        <v/>
      </c>
      <c r="DQ417" s="84" t="str">
        <f aca="false">$DC417</f>
        <v/>
      </c>
      <c r="DR417" s="82" t="str">
        <f aca="false">IF(ISBLANK($C417),"",$DF417)</f>
        <v/>
      </c>
      <c r="DS417" s="85" t="str">
        <f aca="false">IF($DJ417&gt;$DI$8,"",VLOOKUP($DJ417,$DL$9:$DR$508,7,FALSE()))</f>
        <v/>
      </c>
      <c r="DT417" s="86" t="str">
        <f aca="false">IF($DJ417&gt;$DI$8,"",VLOOKUP($DJ417,$DL$9:$DR$508,2,FALSE()))</f>
        <v/>
      </c>
      <c r="DU417" s="86" t="str">
        <f aca="false">IF($DJ417&gt;$DI$8,"",VLOOKUP($DJ417,$DL$9:$DR$508,3,FALSE()))</f>
        <v/>
      </c>
      <c r="DV417" s="86" t="str">
        <f aca="false">IF($DJ417&gt;$DI$8,"",VLOOKUP($DJ417,$DL$9:$DR$508,4,FALSE()))</f>
        <v/>
      </c>
      <c r="DW417" s="86" t="str">
        <f aca="false">IF($DJ417&gt;$DI$8,"",VLOOKUP($DJ417,$DL$9:$DR$508,5,FALSE()))</f>
        <v/>
      </c>
      <c r="DX417" s="87" t="str">
        <f aca="false">IF($DJ417&gt;$DI$8,"",VLOOKUP($DJ417,$DL$9:$DR$508,6,FALSE()))</f>
        <v/>
      </c>
      <c r="DY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88"/>
      <c r="N418" s="88"/>
      <c r="O418" s="134"/>
      <c r="P418" s="134"/>
      <c r="Q418" s="88"/>
      <c r="R418" s="88"/>
      <c r="S418" s="88"/>
      <c r="T418" s="88"/>
      <c r="U418" s="134"/>
      <c r="V418" s="88"/>
      <c r="W418" s="70"/>
      <c r="X418" s="88"/>
      <c r="Y418" s="88"/>
      <c r="Z418" s="70"/>
      <c r="AA418" s="70"/>
      <c r="AB418" s="88"/>
      <c r="AC418" s="88"/>
      <c r="AD418" s="88"/>
      <c r="AE418" s="71"/>
      <c r="AF418" s="88"/>
      <c r="AG418" s="73"/>
      <c r="AH418" s="74"/>
      <c r="AI418" s="74"/>
      <c r="AJ418" s="74" t="str">
        <f aca="false">IF(ISBLANK($C418),"",IF($E418=Constants!$B$2,TRUE(),IF($E418=Constants!$B$3,FALSE(),TRUE())))</f>
        <v/>
      </c>
      <c r="AK418" s="74" t="str">
        <f aca="false">IF(ISBLANK($C418),"",IF($F418=Constants!$B$2,TRUE(),IF($F418=Constants!$B$3,FALSE(),FALSE())))</f>
        <v/>
      </c>
      <c r="AL418" s="74" t="str">
        <f aca="false">IF(ISBLANK($C418),"",IF($G418=Constants!$B$2,TRUE(),IF($G418=Constants!$B$3,FALSE(),TRUE())))</f>
        <v/>
      </c>
      <c r="AM418" s="74" t="str">
        <f aca="false">IF(ISBLANK($C418),"",IF($H418=Constants!$B$2,TRUE(),IF($H418=Constants!$B$3,FALSE(),TRUE())))</f>
        <v/>
      </c>
      <c r="AN418" s="74" t="str">
        <f aca="false">IF(ISBLANK($C418),"",IF(ISNUMBER($I418),IF($I418&gt;=0,$I418,""),""))</f>
        <v/>
      </c>
      <c r="AO418" s="74" t="str">
        <f aca="false">IF(ISBLANK($C418),"",IF(ISNUMBER($J418),IF($J418&gt;=0,$J418,""),""))</f>
        <v/>
      </c>
      <c r="AP418" s="74" t="str">
        <f aca="false">IF(ISBLANK($C418),"",IF(ISNUMBER($K418),IF($K418&gt;=0,$K418,""),""))</f>
        <v/>
      </c>
      <c r="AQ418" s="74" t="str">
        <f aca="false">IF(ISBLANK($C418),"",IF($L418=Constants!$B$2,TRUE(),IF($L418=Constants!$B$3,FALSE(),TRUE())))</f>
        <v/>
      </c>
      <c r="AR418" s="74" t="str">
        <f aca="false">IF(ISBLANK($C418),"",IF($M418=Constants!$B$2,TRUE(),IF($M418=Constants!$B$3,FALSE(),TRUE())))</f>
        <v/>
      </c>
      <c r="AS418" s="74" t="str">
        <f aca="false">IF(ISBLANK($C418),"",IF($N418=Constants!$B$2,TRUE(),IF($N418=Constants!$B$3,FALSE(),FALSE())))</f>
        <v/>
      </c>
      <c r="AT418" s="74" t="str">
        <f aca="false">IF(ISBLANK($C418),"",IF($O418=Constants!$B$2,TRUE(),IF($O418=Constants!$B$3,FALSE(),TRUE())))</f>
        <v/>
      </c>
      <c r="AU418" s="74" t="str">
        <f aca="false">IF(ISBLANK($C418),"",IF($P418=Constants!$B$2,TRUE(),IF($P418=Constants!$B$3,FALSE(),TRUE())))</f>
        <v/>
      </c>
      <c r="AV418" s="74" t="str">
        <f aca="false">IF(ISBLANK($C418),"",IF($Q418=Constants!$B$2,TRUE(),IF($Q418=Constants!$B$3,FALSE(),FALSE())))</f>
        <v/>
      </c>
      <c r="AW418" s="74" t="str">
        <f aca="false">IF(ISBLANK($C418),"",IF($R418=Constants!$B$2,TRUE(),IF($R418=Constants!$B$3,FALSE(),FALSE())))</f>
        <v/>
      </c>
      <c r="AX418" s="74" t="str">
        <f aca="false">IF(ISBLANK($C418),"",IF($S418=Constants!$B$2,TRUE(),IF($S418=Constants!$B$3,FALSE(),FALSE())))</f>
        <v/>
      </c>
      <c r="AY418" s="74" t="str">
        <f aca="false">IF(ISBLANK($C418),"",IF($T418=Constants!$B$2,TRUE(),IF($T418=Constants!$B$3,FALSE(),FALSE())))</f>
        <v/>
      </c>
      <c r="AZ418" s="74" t="str">
        <f aca="false">IF(ISBLANK($C418),"",IF($U418=Constants!$B$2,TRUE(),IF($U418=Constants!$B$3,FALSE(),FALSE())))</f>
        <v/>
      </c>
      <c r="BA418" s="74" t="str">
        <f aca="false">IF(ISBLANK($C418),"",IF(OR($V418&amp;""="1",$V418&amp;""="2",$V418&amp;""="3",$V418&amp;""="4"),VALUE($V418&amp;""),IF($V418=Constants!$B$12,Constants!$B$12,"")))</f>
        <v/>
      </c>
      <c r="BB418" s="74" t="str">
        <f aca="false">IF(ISBLANK($C418),"",IF(ISBLANK($W418),0,IF(ISNUMBER($W418),IF(AND($W418&gt;=0,$W418&lt;=Constants!$B$21,$W418=INT($W418)),$W418,""),"")))</f>
        <v/>
      </c>
      <c r="BC418" s="74" t="str">
        <f aca="false">IF(ISBLANK($C418),"",IF(ISBLANK($X418),0,IF(ISNUMBER($X418),IF($X418&gt;=0,$X418,""),"")))</f>
        <v/>
      </c>
      <c r="BD418" s="74" t="str">
        <f aca="false">IF(ISBLANK($C418),"",IF($Y418=Constants!$B$2,TRUE(),IF($Y418=Constants!$B$3,FALSE(),TRUE())))</f>
        <v/>
      </c>
      <c r="BE418" s="74" t="str">
        <f aca="false">IF(ISBLANK($C418),"",IF($Z418=Constants!$B$2,TRUE(),IF($Z418=Constants!$B$3,FALSE(),FALSE())))</f>
        <v/>
      </c>
      <c r="BF418" s="74" t="str">
        <f aca="false">IF(ISBLANK($C418),"",IF(ISBLANK($AA418),0,IF(ISNUMBER($AA418),IF(AND($AA418&gt;=0,$AA418&lt;=Constants!$B$35,$AA418=INT($AA418)),$AA418,""),"")))</f>
        <v/>
      </c>
      <c r="BG418" s="74" t="str">
        <f aca="false">IF(ISBLANK($C418),"",IF($AB418=Constants!$B$2,TRUE(),IF($AB418=Constants!$B$3,FALSE(),TRUE())))</f>
        <v/>
      </c>
      <c r="BH418" s="74" t="str">
        <f aca="false">IF(ISBLANK($C418),"",IF($AC418=Constants!$B$2,TRUE(),IF($AC418=Constants!$B$3,FALSE(),TRUE())))</f>
        <v/>
      </c>
      <c r="BI418" s="74" t="str">
        <f aca="false">IF(ISBLANK($C418),"",IF($AD418=Constants!$B$2,TRUE(),IF($AD418=Constants!$B$3,FALSE(),TRUE())))</f>
        <v/>
      </c>
      <c r="BJ418" s="74" t="str">
        <f aca="false">IF(ISBLANK($C418),"",IF(ISNUMBER($AE418),IF($AE418&gt;=0,$AE418,""),""))</f>
        <v/>
      </c>
      <c r="BK418" s="74" t="str">
        <f aca="false">IF(ISBLANK($C418),"",IF($AF418=Constants!$B$2,TRUE(),IF($AF418=Constants!$B$3,FALSE(),FALSE())))</f>
        <v/>
      </c>
      <c r="BL418" s="73" t="str">
        <f aca="false">IF(ISBLANK($C418),"",IF($BK418,Constants!$B$7,IF(COUNTA($E418:$AE418)=0,Constants!$B$6,IF(OR(COUNTA($G418:$AE418)=0,NOT($AM418),$AS418),Constants!$B$5,IF(OR($CM418&lt;&gt;"",$CN418,$CO418,$CP418,$CQ418,$CR418,$CS418),Constants!$B$8,Constants!$B$4)))))</f>
        <v/>
      </c>
      <c r="BM418" s="74" t="str">
        <f aca="false">IF(ISBLANK($C418),"",IF($BL418&lt;&gt;Constants!$B$4,$BL418,IF(OR(NOT($AJ418),NOT($AL418),NOT($AT418)),Constants!$B$11,IF(OR(NOT($AR418),NOT($AU418),NOT($BI418),MAX($AN418,$AO418,$AP418)&gt;Constants!$B$30),Constants!$B$10,Constants!$B$9))))</f>
        <v/>
      </c>
      <c r="BN418" s="74" t="str">
        <f aca="false">IF($BL418&lt;&gt;Constants!$B$4,"",IF(NOT($AL418),0,MIN(Constants!$B$35,$BF418)))</f>
        <v/>
      </c>
      <c r="BO418" s="74" t="str">
        <f aca="false">IF($BL418&lt;&gt;Constants!$B$4,"",IF(NOT($AL418),0,IF($AW418,Constants!$B$18,IF($AV418,Constants!$B$17,0))))</f>
        <v/>
      </c>
      <c r="BP418" s="74" t="str">
        <f aca="false">IF($BL418&lt;&gt;Constants!$B$4,"",IF(NOT($AL418),0,Constants!$B$19*($AK418+$AX418+$AY418+$AZ418)))</f>
        <v/>
      </c>
      <c r="BQ418" s="74" t="str">
        <f aca="false">IF($BL418&lt;&gt;Constants!$B$4,"",IF(OR(NOT($AL418),NOT(ISNUMBER($BA418))),0,CHOOSE($BA418,Constants!$B$13,Constants!$B$14,Constants!$B$15,Constants!$B$16)))</f>
        <v/>
      </c>
      <c r="BR418" s="74" t="str">
        <f aca="false">IF($BL418&lt;&gt;Constants!$B$4,"",IF(NOT($AL418),0,Constants!$B$20*$BB418))</f>
        <v/>
      </c>
      <c r="BS418" s="74" t="str">
        <f aca="false">IF($BL418&lt;&gt;Constants!$B$4,"",IF(AND($AL418,$BD418,$BE418),Constants!$B$22,0))</f>
        <v/>
      </c>
      <c r="BT418" s="74" t="str">
        <f aca="false">IF($BL418&lt;&gt;Constants!$B$4,"",IF(OR(NOT($AL418),NOT($BD418)),0,IF($BJ418&gt;=2*$AH$9,0,Constants!$B$23*INT(ROUND(MIN($BJ418,$AH$9),6)))))</f>
        <v/>
      </c>
      <c r="BU418" s="74" t="str">
        <f aca="false">IF($BL418&lt;&gt;Constants!$B$4,"",IF(NOT($AL418),0,Constants!$B$24*INT(ROUND(MIN($BC418,$AH$9),6))))</f>
        <v/>
      </c>
      <c r="BV418" s="74" t="str">
        <f aca="false">IF($BL418&lt;&gt;Constants!$B$4,"",IF(AND($AL418,$BN418=0),Constants!$B$25,0))</f>
        <v/>
      </c>
      <c r="BW418" s="74" t="str">
        <f aca="false">IF($BL418&lt;&gt;Constants!$B$4,"",MIN(Constants!$B$29,MAX(0,Constants!$B$27*Constants!$B$28*INT(ROUND((Constants!$B$26-$AN418)/Constants!$B$28,6))))+MIN(Constants!$B$29,MAX(0,Constants!$B$27*Constants!$B$28*INT(ROUND((Constants!$B$26-$AO418)/Constants!$B$28,6))))+MIN(Constants!$B$29,MAX(0,Constants!$B$27*Constants!$B$28*INT(ROUND((Constants!$B$26-$AP418)/Constants!$B$28,6)))))</f>
        <v/>
      </c>
      <c r="BX418" s="74" t="str">
        <f aca="false">IF($BL418&lt;&gt;Constants!$B$4,"",IF(NOT($AL418),0,Constants!$B$31*INT(ROUND(MAX(0,MIN($BJ418,2*$AH$9)-$AH$9),6))))</f>
        <v/>
      </c>
      <c r="BY418" s="74" t="str">
        <f aca="false">IF($BL418&lt;&gt;Constants!$B$4,"",Constants!$B$32*(($AN418&gt;Constants!$B$26)+($AO418&gt;Constants!$B$26)+($AP418&gt;Constants!$B$26)))</f>
        <v/>
      </c>
      <c r="BZ418" s="74" t="str">
        <f aca="false">IF($BL418&lt;&gt;Constants!$B$4,"",IF(OR(NOT($AL418),$AQ418),0,Constants!$B$33))</f>
        <v/>
      </c>
      <c r="CA418" s="74" t="str">
        <f aca="false">IF($BL418&lt;&gt;Constants!$B$4,"",Constants!$B$34*$BN418)</f>
        <v/>
      </c>
      <c r="CB418" s="74" t="str">
        <f aca="false">IF($BL418&lt;&gt;Constants!$B$4,"",IF(OR(NOT($AL418),$BH418),0,Constants!$B$36))</f>
        <v/>
      </c>
      <c r="CC418" s="74" t="str">
        <f aca="false">IF($BL418&lt;&gt;Constants!$B$4,"",IF(OR(NOT($AL418),$BG418),0,Constants!$B$37))</f>
        <v/>
      </c>
      <c r="CD418" s="74" t="str">
        <f aca="false">IF($BL418&lt;&gt;Constants!$B$4,"",SUM($BX418:$CC418))</f>
        <v/>
      </c>
      <c r="CE418" s="74" t="str">
        <f aca="false">IF(ISBLANK($C418),"",IF($BL418&lt;&gt;Constants!$B$4,$BL418,SUM($BO418:$BW418)-$CD418))</f>
        <v/>
      </c>
      <c r="CF418" s="74" t="str">
        <f aca="false">IF(ISBLANK($C418),"",IF($BL418&lt;&gt;Constants!$B$4,$BL418,RANK($CE418,$CE$9:$CE$508)))</f>
        <v/>
      </c>
      <c r="CG418" s="74" t="str">
        <f aca="false">IF(ISBLANK($C418),"",IF($BL418&lt;&gt;Constants!$B$4,$BL418,COUNTIFS($BM$9:$BM$508,"&lt;"&amp;$BM418)+COUNTIFS($BM$9:$BM$508,$BM418,$CF$9:$CF$508,"&lt;"&amp;$CF418)+1))</f>
        <v/>
      </c>
      <c r="CH418" s="74" t="str">
        <f aca="false">IF(ISBLANK($C418),"",IF($BL418&lt;&gt;Constants!$B$4,$BL418,RANK($CD418,$CD$9:$CD$508,1)))</f>
        <v/>
      </c>
      <c r="CI418" s="74" t="str">
        <f aca="false">IF($BL418&lt;&gt;Constants!$B$4,"",$AN418+$AO418+$AP418)</f>
        <v/>
      </c>
      <c r="CJ418" s="74" t="str">
        <f aca="false">IF(ISBLANK($C418),"",IF($BL418&lt;&gt;Constants!$B$4,$BL418,RANK($CI418,$CI$9:$CI$508,1)))</f>
        <v/>
      </c>
      <c r="CK418" s="74" t="str">
        <f aca="false">IF(ISBLANK($C418),"",IF($BL418&lt;&gt;Constants!$B$4,$BL418,COUNTIFS($BM$9:$BM$508,"&lt;"&amp;$BM418)+COUNTIFS($BM$9:$BM$508,$BM418,$CF$9:$CF$508,"&lt;"&amp;$CF418)+COUNTIFS($BM$9:$BM$508,$BM418,$CF$9:$CF$508,$CF418,$CH$9:$CH$508,"&lt;"&amp;$CH418)+COUNTIFS($BM$9:$BM$508,$BM418,$CF$9:$CF$508,$CF418,$CH$9:$CH$508,$CH418,$CJ$9:$CJ$508,"&lt;"&amp;$CJ418)+1))</f>
        <v/>
      </c>
      <c r="CL418" s="74" t="str">
        <f aca="false">IF(ISBLANK($C418),"",IF($BL418&lt;&gt;Constants!$B$4,$BL418,$CG418-$CK418))</f>
        <v/>
      </c>
      <c r="CM418" s="74" t="str">
        <f aca="false">IF(ISBLANK($C418),"",IF(NOT($AL418),"",IF(ISBLANK($D$7),$CM$5,IF(NOT(ISNUMBER($D$7)),$CM$6,""))))</f>
        <v/>
      </c>
      <c r="CN418" s="74" t="str">
        <f aca="false">IF(ISBLANK($C418),"",OR($AN418="",$AO418="",$AP418=""))</f>
        <v/>
      </c>
      <c r="CO418" s="74" t="str">
        <f aca="false">IF(ISBLANK($C418),"",AND($AL418,$BA418=""))</f>
        <v/>
      </c>
      <c r="CP418" s="74" t="str">
        <f aca="false">IF(ISBLANK($C418),"",AND($AL418,$BB418=""))</f>
        <v/>
      </c>
      <c r="CQ418" s="74" t="str">
        <f aca="false">IF(ISBLANK($C418),"",AND($AL418,$BC418=""))</f>
        <v/>
      </c>
      <c r="CR418" s="74" t="str">
        <f aca="false">IF(ISBLANK($C418),"",AND($AL418,$BF418=""))</f>
        <v/>
      </c>
      <c r="CS418" s="74" t="str">
        <f aca="false">IF(ISBLANK($C418),"",AND($AL418,$BJ418=""))</f>
        <v/>
      </c>
      <c r="CT418" s="75"/>
      <c r="CU418" s="76"/>
      <c r="CV418" s="79" t="str">
        <f aca="false">IF(ISBLANK($C418),"",IF($BL418=Constants!$B$8,$CM418,""))</f>
        <v/>
      </c>
      <c r="CW418" s="76" t="str">
        <f aca="false">IF(ISBLANK($C418),"",IF($BL418&lt;&gt;Constants!$B$4,"",$BO418+$BP418))</f>
        <v/>
      </c>
      <c r="CX418" s="78" t="str">
        <f aca="false">IF(ISBLANK($C418),"",IF($BL418&lt;&gt;Constants!$B$4,"",$BQ418+$BR418+$BS418))</f>
        <v/>
      </c>
      <c r="CY418" s="78" t="str">
        <f aca="false">IF(ISBLANK($C418),"",IF($BL418&lt;&gt;Constants!$B$4,"",$BT418))</f>
        <v/>
      </c>
      <c r="CZ418" s="78" t="str">
        <f aca="false">IF(ISBLANK($C418),"",IF($BL418&lt;&gt;Constants!$B$4,"",$BU418+$BV418))</f>
        <v/>
      </c>
      <c r="DA418" s="78" t="str">
        <f aca="false">IF(ISBLANK($C418),"",IF($BL418&lt;&gt;Constants!$B$4,"",$BW418))</f>
        <v/>
      </c>
      <c r="DB418" s="78" t="str">
        <f aca="false">IF(ISBLANK($C418),"",IF($BL418&lt;&gt;Constants!$B$4,"",-$CD418))</f>
        <v/>
      </c>
      <c r="DC418" s="79" t="str">
        <f aca="false">IF(ISBLANK($C418),"",$CE418)</f>
        <v/>
      </c>
      <c r="DD418" s="80" t="str">
        <f aca="false">IF(ISBLANK($C418),"",$BM418)</f>
        <v/>
      </c>
      <c r="DE418" s="78" t="str">
        <f aca="false">IF(ISBLANK($C418),"",$CL418)</f>
        <v/>
      </c>
      <c r="DF418" s="78" t="str">
        <f aca="false">IF(ISBLANK($C418),"",$CK418)</f>
        <v/>
      </c>
      <c r="DG418" s="81" t="str">
        <f aca="false">IF(ISBLANK($C418),"",IF($DF418=Constants!$B$7,COUNTA($C$9:$C$508)+2,IF($DF418=Constants!$B$6,COUNTA($C$9:$C$508)+1,IF($DF418=Constants!$B$5,COUNTA($C$9:$C$508),$DF418))))</f>
        <v/>
      </c>
      <c r="DH418" s="7"/>
      <c r="DI418" s="82" t="n">
        <f aca="false">IF(OR(ISNUMBER($DF418),$DF418=Constants!$B$7,$DF418=Constants!$B$5,$DF418=Constants!$B$6),1,0)</f>
        <v>0</v>
      </c>
      <c r="DJ418" s="82" t="n">
        <v>410</v>
      </c>
      <c r="DK418" s="82" t="str">
        <f aca="false">IF(ISBLANK($C418),"",IF(ISNUMBER($DG418),$DG418+ROW($B418)/1000,""))</f>
        <v/>
      </c>
      <c r="DL418" s="82" t="str">
        <f aca="false">IF(ISNUMBER($DK418),RANK($DK418,$DK$9:$DK$508,1),"")</f>
        <v/>
      </c>
      <c r="DM418" s="82" t="str">
        <f aca="false">IF(ISBLANK($C418),"",$B418)</f>
        <v/>
      </c>
      <c r="DN418" s="82" t="str">
        <f aca="false">IF(ISBLANK($C418),"",$C418)</f>
        <v/>
      </c>
      <c r="DO418" s="82" t="str">
        <f aca="false">IF(ISBLANK($C418),"",$D418)</f>
        <v/>
      </c>
      <c r="DP418" s="83" t="str">
        <f aca="false">$DD418</f>
        <v/>
      </c>
      <c r="DQ418" s="84" t="str">
        <f aca="false">$DC418</f>
        <v/>
      </c>
      <c r="DR418" s="82" t="str">
        <f aca="false">IF(ISBLANK($C418),"",$DF418)</f>
        <v/>
      </c>
      <c r="DS418" s="85" t="str">
        <f aca="false">IF($DJ418&gt;$DI$8,"",VLOOKUP($DJ418,$DL$9:$DR$508,7,FALSE()))</f>
        <v/>
      </c>
      <c r="DT418" s="86" t="str">
        <f aca="false">IF($DJ418&gt;$DI$8,"",VLOOKUP($DJ418,$DL$9:$DR$508,2,FALSE()))</f>
        <v/>
      </c>
      <c r="DU418" s="86" t="str">
        <f aca="false">IF($DJ418&gt;$DI$8,"",VLOOKUP($DJ418,$DL$9:$DR$508,3,FALSE()))</f>
        <v/>
      </c>
      <c r="DV418" s="86" t="str">
        <f aca="false">IF($DJ418&gt;$DI$8,"",VLOOKUP($DJ418,$DL$9:$DR$508,4,FALSE()))</f>
        <v/>
      </c>
      <c r="DW418" s="86" t="str">
        <f aca="false">IF($DJ418&gt;$DI$8,"",VLOOKUP($DJ418,$DL$9:$DR$508,5,FALSE()))</f>
        <v/>
      </c>
      <c r="DX418" s="87" t="str">
        <f aca="false">IF($DJ418&gt;$DI$8,"",VLOOKUP($DJ418,$DL$9:$DR$508,6,FALSE()))</f>
        <v/>
      </c>
      <c r="DY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88"/>
      <c r="N419" s="88"/>
      <c r="O419" s="134"/>
      <c r="P419" s="134"/>
      <c r="Q419" s="88"/>
      <c r="R419" s="88"/>
      <c r="S419" s="88"/>
      <c r="T419" s="88"/>
      <c r="U419" s="134"/>
      <c r="V419" s="88"/>
      <c r="W419" s="70"/>
      <c r="X419" s="88"/>
      <c r="Y419" s="88"/>
      <c r="Z419" s="70"/>
      <c r="AA419" s="70"/>
      <c r="AB419" s="88"/>
      <c r="AC419" s="88"/>
      <c r="AD419" s="88"/>
      <c r="AE419" s="71"/>
      <c r="AF419" s="88"/>
      <c r="AG419" s="73"/>
      <c r="AH419" s="74"/>
      <c r="AI419" s="74"/>
      <c r="AJ419" s="74" t="str">
        <f aca="false">IF(ISBLANK($C419),"",IF($E419=Constants!$B$2,TRUE(),IF($E419=Constants!$B$3,FALSE(),TRUE())))</f>
        <v/>
      </c>
      <c r="AK419" s="74" t="str">
        <f aca="false">IF(ISBLANK($C419),"",IF($F419=Constants!$B$2,TRUE(),IF($F419=Constants!$B$3,FALSE(),FALSE())))</f>
        <v/>
      </c>
      <c r="AL419" s="74" t="str">
        <f aca="false">IF(ISBLANK($C419),"",IF($G419=Constants!$B$2,TRUE(),IF($G419=Constants!$B$3,FALSE(),TRUE())))</f>
        <v/>
      </c>
      <c r="AM419" s="74" t="str">
        <f aca="false">IF(ISBLANK($C419),"",IF($H419=Constants!$B$2,TRUE(),IF($H419=Constants!$B$3,FALSE(),TRUE())))</f>
        <v/>
      </c>
      <c r="AN419" s="74" t="str">
        <f aca="false">IF(ISBLANK($C419),"",IF(ISNUMBER($I419),IF($I419&gt;=0,$I419,""),""))</f>
        <v/>
      </c>
      <c r="AO419" s="74" t="str">
        <f aca="false">IF(ISBLANK($C419),"",IF(ISNUMBER($J419),IF($J419&gt;=0,$J419,""),""))</f>
        <v/>
      </c>
      <c r="AP419" s="74" t="str">
        <f aca="false">IF(ISBLANK($C419),"",IF(ISNUMBER($K419),IF($K419&gt;=0,$K419,""),""))</f>
        <v/>
      </c>
      <c r="AQ419" s="74" t="str">
        <f aca="false">IF(ISBLANK($C419),"",IF($L419=Constants!$B$2,TRUE(),IF($L419=Constants!$B$3,FALSE(),TRUE())))</f>
        <v/>
      </c>
      <c r="AR419" s="74" t="str">
        <f aca="false">IF(ISBLANK($C419),"",IF($M419=Constants!$B$2,TRUE(),IF($M419=Constants!$B$3,FALSE(),TRUE())))</f>
        <v/>
      </c>
      <c r="AS419" s="74" t="str">
        <f aca="false">IF(ISBLANK($C419),"",IF($N419=Constants!$B$2,TRUE(),IF($N419=Constants!$B$3,FALSE(),FALSE())))</f>
        <v/>
      </c>
      <c r="AT419" s="74" t="str">
        <f aca="false">IF(ISBLANK($C419),"",IF($O419=Constants!$B$2,TRUE(),IF($O419=Constants!$B$3,FALSE(),TRUE())))</f>
        <v/>
      </c>
      <c r="AU419" s="74" t="str">
        <f aca="false">IF(ISBLANK($C419),"",IF($P419=Constants!$B$2,TRUE(),IF($P419=Constants!$B$3,FALSE(),TRUE())))</f>
        <v/>
      </c>
      <c r="AV419" s="74" t="str">
        <f aca="false">IF(ISBLANK($C419),"",IF($Q419=Constants!$B$2,TRUE(),IF($Q419=Constants!$B$3,FALSE(),FALSE())))</f>
        <v/>
      </c>
      <c r="AW419" s="74" t="str">
        <f aca="false">IF(ISBLANK($C419),"",IF($R419=Constants!$B$2,TRUE(),IF($R419=Constants!$B$3,FALSE(),FALSE())))</f>
        <v/>
      </c>
      <c r="AX419" s="74" t="str">
        <f aca="false">IF(ISBLANK($C419),"",IF($S419=Constants!$B$2,TRUE(),IF($S419=Constants!$B$3,FALSE(),FALSE())))</f>
        <v/>
      </c>
      <c r="AY419" s="74" t="str">
        <f aca="false">IF(ISBLANK($C419),"",IF($T419=Constants!$B$2,TRUE(),IF($T419=Constants!$B$3,FALSE(),FALSE())))</f>
        <v/>
      </c>
      <c r="AZ419" s="74" t="str">
        <f aca="false">IF(ISBLANK($C419),"",IF($U419=Constants!$B$2,TRUE(),IF($U419=Constants!$B$3,FALSE(),FALSE())))</f>
        <v/>
      </c>
      <c r="BA419" s="74" t="str">
        <f aca="false">IF(ISBLANK($C419),"",IF(OR($V419&amp;""="1",$V419&amp;""="2",$V419&amp;""="3",$V419&amp;""="4"),VALUE($V419&amp;""),IF($V419=Constants!$B$12,Constants!$B$12,"")))</f>
        <v/>
      </c>
      <c r="BB419" s="74" t="str">
        <f aca="false">IF(ISBLANK($C419),"",IF(ISBLANK($W419),0,IF(ISNUMBER($W419),IF(AND($W419&gt;=0,$W419&lt;=Constants!$B$21,$W419=INT($W419)),$W419,""),"")))</f>
        <v/>
      </c>
      <c r="BC419" s="74" t="str">
        <f aca="false">IF(ISBLANK($C419),"",IF(ISBLANK($X419),0,IF(ISNUMBER($X419),IF($X419&gt;=0,$X419,""),"")))</f>
        <v/>
      </c>
      <c r="BD419" s="74" t="str">
        <f aca="false">IF(ISBLANK($C419),"",IF($Y419=Constants!$B$2,TRUE(),IF($Y419=Constants!$B$3,FALSE(),TRUE())))</f>
        <v/>
      </c>
      <c r="BE419" s="74" t="str">
        <f aca="false">IF(ISBLANK($C419),"",IF($Z419=Constants!$B$2,TRUE(),IF($Z419=Constants!$B$3,FALSE(),FALSE())))</f>
        <v/>
      </c>
      <c r="BF419" s="74" t="str">
        <f aca="false">IF(ISBLANK($C419),"",IF(ISBLANK($AA419),0,IF(ISNUMBER($AA419),IF(AND($AA419&gt;=0,$AA419&lt;=Constants!$B$35,$AA419=INT($AA419)),$AA419,""),"")))</f>
        <v/>
      </c>
      <c r="BG419" s="74" t="str">
        <f aca="false">IF(ISBLANK($C419),"",IF($AB419=Constants!$B$2,TRUE(),IF($AB419=Constants!$B$3,FALSE(),TRUE())))</f>
        <v/>
      </c>
      <c r="BH419" s="74" t="str">
        <f aca="false">IF(ISBLANK($C419),"",IF($AC419=Constants!$B$2,TRUE(),IF($AC419=Constants!$B$3,FALSE(),TRUE())))</f>
        <v/>
      </c>
      <c r="BI419" s="74" t="str">
        <f aca="false">IF(ISBLANK($C419),"",IF($AD419=Constants!$B$2,TRUE(),IF($AD419=Constants!$B$3,FALSE(),TRUE())))</f>
        <v/>
      </c>
      <c r="BJ419" s="74" t="str">
        <f aca="false">IF(ISBLANK($C419),"",IF(ISNUMBER($AE419),IF($AE419&gt;=0,$AE419,""),""))</f>
        <v/>
      </c>
      <c r="BK419" s="74" t="str">
        <f aca="false">IF(ISBLANK($C419),"",IF($AF419=Constants!$B$2,TRUE(),IF($AF419=Constants!$B$3,FALSE(),FALSE())))</f>
        <v/>
      </c>
      <c r="BL419" s="73" t="str">
        <f aca="false">IF(ISBLANK($C419),"",IF($BK419,Constants!$B$7,IF(COUNTA($E419:$AE419)=0,Constants!$B$6,IF(OR(COUNTA($G419:$AE419)=0,NOT($AM419),$AS419),Constants!$B$5,IF(OR($CM419&lt;&gt;"",$CN419,$CO419,$CP419,$CQ419,$CR419,$CS419),Constants!$B$8,Constants!$B$4)))))</f>
        <v/>
      </c>
      <c r="BM419" s="74" t="str">
        <f aca="false">IF(ISBLANK($C419),"",IF($BL419&lt;&gt;Constants!$B$4,$BL419,IF(OR(NOT($AJ419),NOT($AL419),NOT($AT419)),Constants!$B$11,IF(OR(NOT($AR419),NOT($AU419),NOT($BI419),MAX($AN419,$AO419,$AP419)&gt;Constants!$B$30),Constants!$B$10,Constants!$B$9))))</f>
        <v/>
      </c>
      <c r="BN419" s="74" t="str">
        <f aca="false">IF($BL419&lt;&gt;Constants!$B$4,"",IF(NOT($AL419),0,MIN(Constants!$B$35,$BF419)))</f>
        <v/>
      </c>
      <c r="BO419" s="74" t="str">
        <f aca="false">IF($BL419&lt;&gt;Constants!$B$4,"",IF(NOT($AL419),0,IF($AW419,Constants!$B$18,IF($AV419,Constants!$B$17,0))))</f>
        <v/>
      </c>
      <c r="BP419" s="74" t="str">
        <f aca="false">IF($BL419&lt;&gt;Constants!$B$4,"",IF(NOT($AL419),0,Constants!$B$19*($AK419+$AX419+$AY419+$AZ419)))</f>
        <v/>
      </c>
      <c r="BQ419" s="74" t="str">
        <f aca="false">IF($BL419&lt;&gt;Constants!$B$4,"",IF(OR(NOT($AL419),NOT(ISNUMBER($BA419))),0,CHOOSE($BA419,Constants!$B$13,Constants!$B$14,Constants!$B$15,Constants!$B$16)))</f>
        <v/>
      </c>
      <c r="BR419" s="74" t="str">
        <f aca="false">IF($BL419&lt;&gt;Constants!$B$4,"",IF(NOT($AL419),0,Constants!$B$20*$BB419))</f>
        <v/>
      </c>
      <c r="BS419" s="74" t="str">
        <f aca="false">IF($BL419&lt;&gt;Constants!$B$4,"",IF(AND($AL419,$BD419,$BE419),Constants!$B$22,0))</f>
        <v/>
      </c>
      <c r="BT419" s="74" t="str">
        <f aca="false">IF($BL419&lt;&gt;Constants!$B$4,"",IF(OR(NOT($AL419),NOT($BD419)),0,IF($BJ419&gt;=2*$AH$9,0,Constants!$B$23*INT(ROUND(MIN($BJ419,$AH$9),6)))))</f>
        <v/>
      </c>
      <c r="BU419" s="74" t="str">
        <f aca="false">IF($BL419&lt;&gt;Constants!$B$4,"",IF(NOT($AL419),0,Constants!$B$24*INT(ROUND(MIN($BC419,$AH$9),6))))</f>
        <v/>
      </c>
      <c r="BV419" s="74" t="str">
        <f aca="false">IF($BL419&lt;&gt;Constants!$B$4,"",IF(AND($AL419,$BN419=0),Constants!$B$25,0))</f>
        <v/>
      </c>
      <c r="BW419" s="74" t="str">
        <f aca="false">IF($BL419&lt;&gt;Constants!$B$4,"",MIN(Constants!$B$29,MAX(0,Constants!$B$27*Constants!$B$28*INT(ROUND((Constants!$B$26-$AN419)/Constants!$B$28,6))))+MIN(Constants!$B$29,MAX(0,Constants!$B$27*Constants!$B$28*INT(ROUND((Constants!$B$26-$AO419)/Constants!$B$28,6))))+MIN(Constants!$B$29,MAX(0,Constants!$B$27*Constants!$B$28*INT(ROUND((Constants!$B$26-$AP419)/Constants!$B$28,6)))))</f>
        <v/>
      </c>
      <c r="BX419" s="74" t="str">
        <f aca="false">IF($BL419&lt;&gt;Constants!$B$4,"",IF(NOT($AL419),0,Constants!$B$31*INT(ROUND(MAX(0,MIN($BJ419,2*$AH$9)-$AH$9),6))))</f>
        <v/>
      </c>
      <c r="BY419" s="74" t="str">
        <f aca="false">IF($BL419&lt;&gt;Constants!$B$4,"",Constants!$B$32*(($AN419&gt;Constants!$B$26)+($AO419&gt;Constants!$B$26)+($AP419&gt;Constants!$B$26)))</f>
        <v/>
      </c>
      <c r="BZ419" s="74" t="str">
        <f aca="false">IF($BL419&lt;&gt;Constants!$B$4,"",IF(OR(NOT($AL419),$AQ419),0,Constants!$B$33))</f>
        <v/>
      </c>
      <c r="CA419" s="74" t="str">
        <f aca="false">IF($BL419&lt;&gt;Constants!$B$4,"",Constants!$B$34*$BN419)</f>
        <v/>
      </c>
      <c r="CB419" s="74" t="str">
        <f aca="false">IF($BL419&lt;&gt;Constants!$B$4,"",IF(OR(NOT($AL419),$BH419),0,Constants!$B$36))</f>
        <v/>
      </c>
      <c r="CC419" s="74" t="str">
        <f aca="false">IF($BL419&lt;&gt;Constants!$B$4,"",IF(OR(NOT($AL419),$BG419),0,Constants!$B$37))</f>
        <v/>
      </c>
      <c r="CD419" s="74" t="str">
        <f aca="false">IF($BL419&lt;&gt;Constants!$B$4,"",SUM($BX419:$CC419))</f>
        <v/>
      </c>
      <c r="CE419" s="74" t="str">
        <f aca="false">IF(ISBLANK($C419),"",IF($BL419&lt;&gt;Constants!$B$4,$BL419,SUM($BO419:$BW419)-$CD419))</f>
        <v/>
      </c>
      <c r="CF419" s="74" t="str">
        <f aca="false">IF(ISBLANK($C419),"",IF($BL419&lt;&gt;Constants!$B$4,$BL419,RANK($CE419,$CE$9:$CE$508)))</f>
        <v/>
      </c>
      <c r="CG419" s="74" t="str">
        <f aca="false">IF(ISBLANK($C419),"",IF($BL419&lt;&gt;Constants!$B$4,$BL419,COUNTIFS($BM$9:$BM$508,"&lt;"&amp;$BM419)+COUNTIFS($BM$9:$BM$508,$BM419,$CF$9:$CF$508,"&lt;"&amp;$CF419)+1))</f>
        <v/>
      </c>
      <c r="CH419" s="74" t="str">
        <f aca="false">IF(ISBLANK($C419),"",IF($BL419&lt;&gt;Constants!$B$4,$BL419,RANK($CD419,$CD$9:$CD$508,1)))</f>
        <v/>
      </c>
      <c r="CI419" s="74" t="str">
        <f aca="false">IF($BL419&lt;&gt;Constants!$B$4,"",$AN419+$AO419+$AP419)</f>
        <v/>
      </c>
      <c r="CJ419" s="74" t="str">
        <f aca="false">IF(ISBLANK($C419),"",IF($BL419&lt;&gt;Constants!$B$4,$BL419,RANK($CI419,$CI$9:$CI$508,1)))</f>
        <v/>
      </c>
      <c r="CK419" s="74" t="str">
        <f aca="false">IF(ISBLANK($C419),"",IF($BL419&lt;&gt;Constants!$B$4,$BL419,COUNTIFS($BM$9:$BM$508,"&lt;"&amp;$BM419)+COUNTIFS($BM$9:$BM$508,$BM419,$CF$9:$CF$508,"&lt;"&amp;$CF419)+COUNTIFS($BM$9:$BM$508,$BM419,$CF$9:$CF$508,$CF419,$CH$9:$CH$508,"&lt;"&amp;$CH419)+COUNTIFS($BM$9:$BM$508,$BM419,$CF$9:$CF$508,$CF419,$CH$9:$CH$508,$CH419,$CJ$9:$CJ$508,"&lt;"&amp;$CJ419)+1))</f>
        <v/>
      </c>
      <c r="CL419" s="74" t="str">
        <f aca="false">IF(ISBLANK($C419),"",IF($BL419&lt;&gt;Constants!$B$4,$BL419,$CG419-$CK419))</f>
        <v/>
      </c>
      <c r="CM419" s="74" t="str">
        <f aca="false">IF(ISBLANK($C419),"",IF(NOT($AL419),"",IF(ISBLANK($D$7),$CM$5,IF(NOT(ISNUMBER($D$7)),$CM$6,""))))</f>
        <v/>
      </c>
      <c r="CN419" s="74" t="str">
        <f aca="false">IF(ISBLANK($C419),"",OR($AN419="",$AO419="",$AP419=""))</f>
        <v/>
      </c>
      <c r="CO419" s="74" t="str">
        <f aca="false">IF(ISBLANK($C419),"",AND($AL419,$BA419=""))</f>
        <v/>
      </c>
      <c r="CP419" s="74" t="str">
        <f aca="false">IF(ISBLANK($C419),"",AND($AL419,$BB419=""))</f>
        <v/>
      </c>
      <c r="CQ419" s="74" t="str">
        <f aca="false">IF(ISBLANK($C419),"",AND($AL419,$BC419=""))</f>
        <v/>
      </c>
      <c r="CR419" s="74" t="str">
        <f aca="false">IF(ISBLANK($C419),"",AND($AL419,$BF419=""))</f>
        <v/>
      </c>
      <c r="CS419" s="74" t="str">
        <f aca="false">IF(ISBLANK($C419),"",AND($AL419,$BJ419=""))</f>
        <v/>
      </c>
      <c r="CT419" s="75"/>
      <c r="CU419" s="76"/>
      <c r="CV419" s="79" t="str">
        <f aca="false">IF(ISBLANK($C419),"",IF($BL419=Constants!$B$8,$CM419,""))</f>
        <v/>
      </c>
      <c r="CW419" s="76" t="str">
        <f aca="false">IF(ISBLANK($C419),"",IF($BL419&lt;&gt;Constants!$B$4,"",$BO419+$BP419))</f>
        <v/>
      </c>
      <c r="CX419" s="78" t="str">
        <f aca="false">IF(ISBLANK($C419),"",IF($BL419&lt;&gt;Constants!$B$4,"",$BQ419+$BR419+$BS419))</f>
        <v/>
      </c>
      <c r="CY419" s="78" t="str">
        <f aca="false">IF(ISBLANK($C419),"",IF($BL419&lt;&gt;Constants!$B$4,"",$BT419))</f>
        <v/>
      </c>
      <c r="CZ419" s="78" t="str">
        <f aca="false">IF(ISBLANK($C419),"",IF($BL419&lt;&gt;Constants!$B$4,"",$BU419+$BV419))</f>
        <v/>
      </c>
      <c r="DA419" s="78" t="str">
        <f aca="false">IF(ISBLANK($C419),"",IF($BL419&lt;&gt;Constants!$B$4,"",$BW419))</f>
        <v/>
      </c>
      <c r="DB419" s="78" t="str">
        <f aca="false">IF(ISBLANK($C419),"",IF($BL419&lt;&gt;Constants!$B$4,"",-$CD419))</f>
        <v/>
      </c>
      <c r="DC419" s="79" t="str">
        <f aca="false">IF(ISBLANK($C419),"",$CE419)</f>
        <v/>
      </c>
      <c r="DD419" s="80" t="str">
        <f aca="false">IF(ISBLANK($C419),"",$BM419)</f>
        <v/>
      </c>
      <c r="DE419" s="78" t="str">
        <f aca="false">IF(ISBLANK($C419),"",$CL419)</f>
        <v/>
      </c>
      <c r="DF419" s="78" t="str">
        <f aca="false">IF(ISBLANK($C419),"",$CK419)</f>
        <v/>
      </c>
      <c r="DG419" s="81" t="str">
        <f aca="false">IF(ISBLANK($C419),"",IF($DF419=Constants!$B$7,COUNTA($C$9:$C$508)+2,IF($DF419=Constants!$B$6,COUNTA($C$9:$C$508)+1,IF($DF419=Constants!$B$5,COUNTA($C$9:$C$508),$DF419))))</f>
        <v/>
      </c>
      <c r="DH419" s="7"/>
      <c r="DI419" s="82" t="n">
        <f aca="false">IF(OR(ISNUMBER($DF419),$DF419=Constants!$B$7,$DF419=Constants!$B$5,$DF419=Constants!$B$6),1,0)</f>
        <v>0</v>
      </c>
      <c r="DJ419" s="82" t="n">
        <v>411</v>
      </c>
      <c r="DK419" s="82" t="str">
        <f aca="false">IF(ISBLANK($C419),"",IF(ISNUMBER($DG419),$DG419+ROW($B419)/1000,""))</f>
        <v/>
      </c>
      <c r="DL419" s="82" t="str">
        <f aca="false">IF(ISNUMBER($DK419),RANK($DK419,$DK$9:$DK$508,1),"")</f>
        <v/>
      </c>
      <c r="DM419" s="82" t="str">
        <f aca="false">IF(ISBLANK($C419),"",$B419)</f>
        <v/>
      </c>
      <c r="DN419" s="82" t="str">
        <f aca="false">IF(ISBLANK($C419),"",$C419)</f>
        <v/>
      </c>
      <c r="DO419" s="82" t="str">
        <f aca="false">IF(ISBLANK($C419),"",$D419)</f>
        <v/>
      </c>
      <c r="DP419" s="83" t="str">
        <f aca="false">$DD419</f>
        <v/>
      </c>
      <c r="DQ419" s="84" t="str">
        <f aca="false">$DC419</f>
        <v/>
      </c>
      <c r="DR419" s="82" t="str">
        <f aca="false">IF(ISBLANK($C419),"",$DF419)</f>
        <v/>
      </c>
      <c r="DS419" s="85" t="str">
        <f aca="false">IF($DJ419&gt;$DI$8,"",VLOOKUP($DJ419,$DL$9:$DR$508,7,FALSE()))</f>
        <v/>
      </c>
      <c r="DT419" s="86" t="str">
        <f aca="false">IF($DJ419&gt;$DI$8,"",VLOOKUP($DJ419,$DL$9:$DR$508,2,FALSE()))</f>
        <v/>
      </c>
      <c r="DU419" s="86" t="str">
        <f aca="false">IF($DJ419&gt;$DI$8,"",VLOOKUP($DJ419,$DL$9:$DR$508,3,FALSE()))</f>
        <v/>
      </c>
      <c r="DV419" s="86" t="str">
        <f aca="false">IF($DJ419&gt;$DI$8,"",VLOOKUP($DJ419,$DL$9:$DR$508,4,FALSE()))</f>
        <v/>
      </c>
      <c r="DW419" s="86" t="str">
        <f aca="false">IF($DJ419&gt;$DI$8,"",VLOOKUP($DJ419,$DL$9:$DR$508,5,FALSE()))</f>
        <v/>
      </c>
      <c r="DX419" s="87" t="str">
        <f aca="false">IF($DJ419&gt;$DI$8,"",VLOOKUP($DJ419,$DL$9:$DR$508,6,FALSE()))</f>
        <v/>
      </c>
      <c r="DY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130"/>
      <c r="N420" s="130"/>
      <c r="O420" s="135"/>
      <c r="P420" s="135"/>
      <c r="Q420" s="130"/>
      <c r="R420" s="130"/>
      <c r="S420" s="130"/>
      <c r="T420" s="130"/>
      <c r="U420" s="135"/>
      <c r="V420" s="130"/>
      <c r="W420" s="96"/>
      <c r="X420" s="130"/>
      <c r="Y420" s="130"/>
      <c r="Z420" s="96"/>
      <c r="AA420" s="96"/>
      <c r="AB420" s="130"/>
      <c r="AC420" s="130"/>
      <c r="AD420" s="130"/>
      <c r="AE420" s="97"/>
      <c r="AF420" s="130"/>
      <c r="AG420" s="99"/>
      <c r="AH420" s="100"/>
      <c r="AI420" s="100"/>
      <c r="AJ420" s="100" t="str">
        <f aca="false">IF(ISBLANK($C420),"",IF($E420=Constants!$B$2,TRUE(),IF($E420=Constants!$B$3,FALSE(),TRUE())))</f>
        <v/>
      </c>
      <c r="AK420" s="100" t="str">
        <f aca="false">IF(ISBLANK($C420),"",IF($F420=Constants!$B$2,TRUE(),IF($F420=Constants!$B$3,FALSE(),FALSE())))</f>
        <v/>
      </c>
      <c r="AL420" s="100" t="str">
        <f aca="false">IF(ISBLANK($C420),"",IF($G420=Constants!$B$2,TRUE(),IF($G420=Constants!$B$3,FALSE(),TRUE())))</f>
        <v/>
      </c>
      <c r="AM420" s="100" t="str">
        <f aca="false">IF(ISBLANK($C420),"",IF($H420=Constants!$B$2,TRUE(),IF($H420=Constants!$B$3,FALSE(),TRUE())))</f>
        <v/>
      </c>
      <c r="AN420" s="100" t="str">
        <f aca="false">IF(ISBLANK($C420),"",IF(ISNUMBER($I420),IF($I420&gt;=0,$I420,""),""))</f>
        <v/>
      </c>
      <c r="AO420" s="100" t="str">
        <f aca="false">IF(ISBLANK($C420),"",IF(ISNUMBER($J420),IF($J420&gt;=0,$J420,""),""))</f>
        <v/>
      </c>
      <c r="AP420" s="100" t="str">
        <f aca="false">IF(ISBLANK($C420),"",IF(ISNUMBER($K420),IF($K420&gt;=0,$K420,""),""))</f>
        <v/>
      </c>
      <c r="AQ420" s="100" t="str">
        <f aca="false">IF(ISBLANK($C420),"",IF($L420=Constants!$B$2,TRUE(),IF($L420=Constants!$B$3,FALSE(),TRUE())))</f>
        <v/>
      </c>
      <c r="AR420" s="100" t="str">
        <f aca="false">IF(ISBLANK($C420),"",IF($M420=Constants!$B$2,TRUE(),IF($M420=Constants!$B$3,FALSE(),TRUE())))</f>
        <v/>
      </c>
      <c r="AS420" s="100" t="str">
        <f aca="false">IF(ISBLANK($C420),"",IF($N420=Constants!$B$2,TRUE(),IF($N420=Constants!$B$3,FALSE(),FALSE())))</f>
        <v/>
      </c>
      <c r="AT420" s="100" t="str">
        <f aca="false">IF(ISBLANK($C420),"",IF($O420=Constants!$B$2,TRUE(),IF($O420=Constants!$B$3,FALSE(),TRUE())))</f>
        <v/>
      </c>
      <c r="AU420" s="100" t="str">
        <f aca="false">IF(ISBLANK($C420),"",IF($P420=Constants!$B$2,TRUE(),IF($P420=Constants!$B$3,FALSE(),TRUE())))</f>
        <v/>
      </c>
      <c r="AV420" s="100" t="str">
        <f aca="false">IF(ISBLANK($C420),"",IF($Q420=Constants!$B$2,TRUE(),IF($Q420=Constants!$B$3,FALSE(),FALSE())))</f>
        <v/>
      </c>
      <c r="AW420" s="100" t="str">
        <f aca="false">IF(ISBLANK($C420),"",IF($R420=Constants!$B$2,TRUE(),IF($R420=Constants!$B$3,FALSE(),FALSE())))</f>
        <v/>
      </c>
      <c r="AX420" s="100" t="str">
        <f aca="false">IF(ISBLANK($C420),"",IF($S420=Constants!$B$2,TRUE(),IF($S420=Constants!$B$3,FALSE(),FALSE())))</f>
        <v/>
      </c>
      <c r="AY420" s="100" t="str">
        <f aca="false">IF(ISBLANK($C420),"",IF($T420=Constants!$B$2,TRUE(),IF($T420=Constants!$B$3,FALSE(),FALSE())))</f>
        <v/>
      </c>
      <c r="AZ420" s="100" t="str">
        <f aca="false">IF(ISBLANK($C420),"",IF($U420=Constants!$B$2,TRUE(),IF($U420=Constants!$B$3,FALSE(),FALSE())))</f>
        <v/>
      </c>
      <c r="BA420" s="100" t="str">
        <f aca="false">IF(ISBLANK($C420),"",IF(OR($V420&amp;""="1",$V420&amp;""="2",$V420&amp;""="3",$V420&amp;""="4"),VALUE($V420&amp;""),IF($V420=Constants!$B$12,Constants!$B$12,"")))</f>
        <v/>
      </c>
      <c r="BB420" s="100" t="str">
        <f aca="false">IF(ISBLANK($C420),"",IF(ISBLANK($W420),0,IF(ISNUMBER($W420),IF(AND($W420&gt;=0,$W420&lt;=Constants!$B$21,$W420=INT($W420)),$W420,""),"")))</f>
        <v/>
      </c>
      <c r="BC420" s="100" t="str">
        <f aca="false">IF(ISBLANK($C420),"",IF(ISBLANK($X420),0,IF(ISNUMBER($X420),IF($X420&gt;=0,$X420,""),"")))</f>
        <v/>
      </c>
      <c r="BD420" s="100" t="str">
        <f aca="false">IF(ISBLANK($C420),"",IF($Y420=Constants!$B$2,TRUE(),IF($Y420=Constants!$B$3,FALSE(),TRUE())))</f>
        <v/>
      </c>
      <c r="BE420" s="100" t="str">
        <f aca="false">IF(ISBLANK($C420),"",IF($Z420=Constants!$B$2,TRUE(),IF($Z420=Constants!$B$3,FALSE(),FALSE())))</f>
        <v/>
      </c>
      <c r="BF420" s="100" t="str">
        <f aca="false">IF(ISBLANK($C420),"",IF(ISBLANK($AA420),0,IF(ISNUMBER($AA420),IF(AND($AA420&gt;=0,$AA420&lt;=Constants!$B$35,$AA420=INT($AA420)),$AA420,""),"")))</f>
        <v/>
      </c>
      <c r="BG420" s="100" t="str">
        <f aca="false">IF(ISBLANK($C420),"",IF($AB420=Constants!$B$2,TRUE(),IF($AB420=Constants!$B$3,FALSE(),TRUE())))</f>
        <v/>
      </c>
      <c r="BH420" s="100" t="str">
        <f aca="false">IF(ISBLANK($C420),"",IF($AC420=Constants!$B$2,TRUE(),IF($AC420=Constants!$B$3,FALSE(),TRUE())))</f>
        <v/>
      </c>
      <c r="BI420" s="100" t="str">
        <f aca="false">IF(ISBLANK($C420),"",IF($AD420=Constants!$B$2,TRUE(),IF($AD420=Constants!$B$3,FALSE(),TRUE())))</f>
        <v/>
      </c>
      <c r="BJ420" s="100" t="str">
        <f aca="false">IF(ISBLANK($C420),"",IF(ISNUMBER($AE420),IF($AE420&gt;=0,$AE420,""),""))</f>
        <v/>
      </c>
      <c r="BK420" s="100" t="str">
        <f aca="false">IF(ISBLANK($C420),"",IF($AF420=Constants!$B$2,TRUE(),IF($AF420=Constants!$B$3,FALSE(),FALSE())))</f>
        <v/>
      </c>
      <c r="BL420" s="99" t="str">
        <f aca="false">IF(ISBLANK($C420),"",IF($BK420,Constants!$B$7,IF(COUNTA($E420:$AE420)=0,Constants!$B$6,IF(OR(COUNTA($G420:$AE420)=0,NOT($AM420),$AS420),Constants!$B$5,IF(OR($CM420&lt;&gt;"",$CN420,$CO420,$CP420,$CQ420,$CR420,$CS420),Constants!$B$8,Constants!$B$4)))))</f>
        <v/>
      </c>
      <c r="BM420" s="100" t="str">
        <f aca="false">IF(ISBLANK($C420),"",IF($BL420&lt;&gt;Constants!$B$4,$BL420,IF(OR(NOT($AJ420),NOT($AL420),NOT($AT420)),Constants!$B$11,IF(OR(NOT($AR420),NOT($AU420),NOT($BI420),MAX($AN420,$AO420,$AP420)&gt;Constants!$B$30),Constants!$B$10,Constants!$B$9))))</f>
        <v/>
      </c>
      <c r="BN420" s="100" t="str">
        <f aca="false">IF($BL420&lt;&gt;Constants!$B$4,"",IF(NOT($AL420),0,MIN(Constants!$B$35,$BF420)))</f>
        <v/>
      </c>
      <c r="BO420" s="100" t="str">
        <f aca="false">IF($BL420&lt;&gt;Constants!$B$4,"",IF(NOT($AL420),0,IF($AW420,Constants!$B$18,IF($AV420,Constants!$B$17,0))))</f>
        <v/>
      </c>
      <c r="BP420" s="100" t="str">
        <f aca="false">IF($BL420&lt;&gt;Constants!$B$4,"",IF(NOT($AL420),0,Constants!$B$19*($AK420+$AX420+$AY420+$AZ420)))</f>
        <v/>
      </c>
      <c r="BQ420" s="100" t="str">
        <f aca="false">IF($BL420&lt;&gt;Constants!$B$4,"",IF(OR(NOT($AL420),NOT(ISNUMBER($BA420))),0,CHOOSE($BA420,Constants!$B$13,Constants!$B$14,Constants!$B$15,Constants!$B$16)))</f>
        <v/>
      </c>
      <c r="BR420" s="100" t="str">
        <f aca="false">IF($BL420&lt;&gt;Constants!$B$4,"",IF(NOT($AL420),0,Constants!$B$20*$BB420))</f>
        <v/>
      </c>
      <c r="BS420" s="100" t="str">
        <f aca="false">IF($BL420&lt;&gt;Constants!$B$4,"",IF(AND($AL420,$BD420,$BE420),Constants!$B$22,0))</f>
        <v/>
      </c>
      <c r="BT420" s="100" t="str">
        <f aca="false">IF($BL420&lt;&gt;Constants!$B$4,"",IF(OR(NOT($AL420),NOT($BD420)),0,IF($BJ420&gt;=2*$AH$9,0,Constants!$B$23*INT(ROUND(MIN($BJ420,$AH$9),6)))))</f>
        <v/>
      </c>
      <c r="BU420" s="100" t="str">
        <f aca="false">IF($BL420&lt;&gt;Constants!$B$4,"",IF(NOT($AL420),0,Constants!$B$24*INT(ROUND(MIN($BC420,$AH$9),6))))</f>
        <v/>
      </c>
      <c r="BV420" s="100" t="str">
        <f aca="false">IF($BL420&lt;&gt;Constants!$B$4,"",IF(AND($AL420,$BN420=0),Constants!$B$25,0))</f>
        <v/>
      </c>
      <c r="BW420" s="100" t="str">
        <f aca="false">IF($BL420&lt;&gt;Constants!$B$4,"",MIN(Constants!$B$29,MAX(0,Constants!$B$27*Constants!$B$28*INT(ROUND((Constants!$B$26-$AN420)/Constants!$B$28,6))))+MIN(Constants!$B$29,MAX(0,Constants!$B$27*Constants!$B$28*INT(ROUND((Constants!$B$26-$AO420)/Constants!$B$28,6))))+MIN(Constants!$B$29,MAX(0,Constants!$B$27*Constants!$B$28*INT(ROUND((Constants!$B$26-$AP420)/Constants!$B$28,6)))))</f>
        <v/>
      </c>
      <c r="BX420" s="100" t="str">
        <f aca="false">IF($BL420&lt;&gt;Constants!$B$4,"",IF(NOT($AL420),0,Constants!$B$31*INT(ROUND(MAX(0,MIN($BJ420,2*$AH$9)-$AH$9),6))))</f>
        <v/>
      </c>
      <c r="BY420" s="100" t="str">
        <f aca="false">IF($BL420&lt;&gt;Constants!$B$4,"",Constants!$B$32*(($AN420&gt;Constants!$B$26)+($AO420&gt;Constants!$B$26)+($AP420&gt;Constants!$B$26)))</f>
        <v/>
      </c>
      <c r="BZ420" s="100" t="str">
        <f aca="false">IF($BL420&lt;&gt;Constants!$B$4,"",IF(OR(NOT($AL420),$AQ420),0,Constants!$B$33))</f>
        <v/>
      </c>
      <c r="CA420" s="100" t="str">
        <f aca="false">IF($BL420&lt;&gt;Constants!$B$4,"",Constants!$B$34*$BN420)</f>
        <v/>
      </c>
      <c r="CB420" s="100" t="str">
        <f aca="false">IF($BL420&lt;&gt;Constants!$B$4,"",IF(OR(NOT($AL420),$BH420),0,Constants!$B$36))</f>
        <v/>
      </c>
      <c r="CC420" s="100" t="str">
        <f aca="false">IF($BL420&lt;&gt;Constants!$B$4,"",IF(OR(NOT($AL420),$BG420),0,Constants!$B$37))</f>
        <v/>
      </c>
      <c r="CD420" s="100" t="str">
        <f aca="false">IF($BL420&lt;&gt;Constants!$B$4,"",SUM($BX420:$CC420))</f>
        <v/>
      </c>
      <c r="CE420" s="100" t="str">
        <f aca="false">IF(ISBLANK($C420),"",IF($BL420&lt;&gt;Constants!$B$4,$BL420,SUM($BO420:$BW420)-$CD420))</f>
        <v/>
      </c>
      <c r="CF420" s="100" t="str">
        <f aca="false">IF(ISBLANK($C420),"",IF($BL420&lt;&gt;Constants!$B$4,$BL420,RANK($CE420,$CE$9:$CE$508)))</f>
        <v/>
      </c>
      <c r="CG420" s="100" t="str">
        <f aca="false">IF(ISBLANK($C420),"",IF($BL420&lt;&gt;Constants!$B$4,$BL420,COUNTIFS($BM$9:$BM$508,"&lt;"&amp;$BM420)+COUNTIFS($BM$9:$BM$508,$BM420,$CF$9:$CF$508,"&lt;"&amp;$CF420)+1))</f>
        <v/>
      </c>
      <c r="CH420" s="100" t="str">
        <f aca="false">IF(ISBLANK($C420),"",IF($BL420&lt;&gt;Constants!$B$4,$BL420,RANK($CD420,$CD$9:$CD$508,1)))</f>
        <v/>
      </c>
      <c r="CI420" s="100" t="str">
        <f aca="false">IF($BL420&lt;&gt;Constants!$B$4,"",$AN420+$AO420+$AP420)</f>
        <v/>
      </c>
      <c r="CJ420" s="100" t="str">
        <f aca="false">IF(ISBLANK($C420),"",IF($BL420&lt;&gt;Constants!$B$4,$BL420,RANK($CI420,$CI$9:$CI$508,1)))</f>
        <v/>
      </c>
      <c r="CK420" s="100" t="str">
        <f aca="false">IF(ISBLANK($C420),"",IF($BL420&lt;&gt;Constants!$B$4,$BL420,COUNTIFS($BM$9:$BM$508,"&lt;"&amp;$BM420)+COUNTIFS($BM$9:$BM$508,$BM420,$CF$9:$CF$508,"&lt;"&amp;$CF420)+COUNTIFS($BM$9:$BM$508,$BM420,$CF$9:$CF$508,$CF420,$CH$9:$CH$508,"&lt;"&amp;$CH420)+COUNTIFS($BM$9:$BM$508,$BM420,$CF$9:$CF$508,$CF420,$CH$9:$CH$508,$CH420,$CJ$9:$CJ$508,"&lt;"&amp;$CJ420)+1))</f>
        <v/>
      </c>
      <c r="CL420" s="100" t="str">
        <f aca="false">IF(ISBLANK($C420),"",IF($BL420&lt;&gt;Constants!$B$4,$BL420,$CG420-$CK420))</f>
        <v/>
      </c>
      <c r="CM420" s="100" t="str">
        <f aca="false">IF(ISBLANK($C420),"",IF(NOT($AL420),"",IF(ISBLANK($D$7),$CM$5,IF(NOT(ISNUMBER($D$7)),$CM$6,""))))</f>
        <v/>
      </c>
      <c r="CN420" s="100" t="str">
        <f aca="false">IF(ISBLANK($C420),"",OR($AN420="",$AO420="",$AP420=""))</f>
        <v/>
      </c>
      <c r="CO420" s="100" t="str">
        <f aca="false">IF(ISBLANK($C420),"",AND($AL420,$BA420=""))</f>
        <v/>
      </c>
      <c r="CP420" s="100" t="str">
        <f aca="false">IF(ISBLANK($C420),"",AND($AL420,$BB420=""))</f>
        <v/>
      </c>
      <c r="CQ420" s="100" t="str">
        <f aca="false">IF(ISBLANK($C420),"",AND($AL420,$BC420=""))</f>
        <v/>
      </c>
      <c r="CR420" s="100" t="str">
        <f aca="false">IF(ISBLANK($C420),"",AND($AL420,$BF420=""))</f>
        <v/>
      </c>
      <c r="CS420" s="100" t="str">
        <f aca="false">IF(ISBLANK($C420),"",AND($AL420,$BJ420=""))</f>
        <v/>
      </c>
      <c r="CT420" s="101"/>
      <c r="CU420" s="102"/>
      <c r="CV420" s="103" t="str">
        <f aca="false">IF(ISBLANK($C420),"",IF($BL420=Constants!$B$8,$CM420,""))</f>
        <v/>
      </c>
      <c r="CW420" s="102" t="str">
        <f aca="false">IF(ISBLANK($C420),"",IF($BL420&lt;&gt;Constants!$B$4,"",$BO420+$BP420))</f>
        <v/>
      </c>
      <c r="CX420" s="104" t="str">
        <f aca="false">IF(ISBLANK($C420),"",IF($BL420&lt;&gt;Constants!$B$4,"",$BQ420+$BR420+$BS420))</f>
        <v/>
      </c>
      <c r="CY420" s="104" t="str">
        <f aca="false">IF(ISBLANK($C420),"",IF($BL420&lt;&gt;Constants!$B$4,"",$BT420))</f>
        <v/>
      </c>
      <c r="CZ420" s="104" t="str">
        <f aca="false">IF(ISBLANK($C420),"",IF($BL420&lt;&gt;Constants!$B$4,"",$BU420+$BV420))</f>
        <v/>
      </c>
      <c r="DA420" s="104" t="str">
        <f aca="false">IF(ISBLANK($C420),"",IF($BL420&lt;&gt;Constants!$B$4,"",$BW420))</f>
        <v/>
      </c>
      <c r="DB420" s="104" t="str">
        <f aca="false">IF(ISBLANK($C420),"",IF($BL420&lt;&gt;Constants!$B$4,"",-$CD420))</f>
        <v/>
      </c>
      <c r="DC420" s="103" t="str">
        <f aca="false">IF(ISBLANK($C420),"",$CE420)</f>
        <v/>
      </c>
      <c r="DD420" s="105" t="str">
        <f aca="false">IF(ISBLANK($C420),"",$BM420)</f>
        <v/>
      </c>
      <c r="DE420" s="104" t="str">
        <f aca="false">IF(ISBLANK($C420),"",$CL420)</f>
        <v/>
      </c>
      <c r="DF420" s="104" t="str">
        <f aca="false">IF(ISBLANK($C420),"",$CK420)</f>
        <v/>
      </c>
      <c r="DG420" s="106" t="str">
        <f aca="false">IF(ISBLANK($C420),"",IF($DF420=Constants!$B$7,COUNTA($C$9:$C$508)+2,IF($DF420=Constants!$B$6,COUNTA($C$9:$C$508)+1,IF($DF420=Constants!$B$5,COUNTA($C$9:$C$508),$DF420))))</f>
        <v/>
      </c>
      <c r="DH420" s="7"/>
      <c r="DI420" s="107" t="n">
        <f aca="false">IF(OR(ISNUMBER($DF420),$DF420=Constants!$B$7,$DF420=Constants!$B$5,$DF420=Constants!$B$6),1,0)</f>
        <v>0</v>
      </c>
      <c r="DJ420" s="107" t="n">
        <v>412</v>
      </c>
      <c r="DK420" s="107" t="str">
        <f aca="false">IF(ISBLANK($C420),"",IF(ISNUMBER($DG420),$DG420+ROW($B420)/1000,""))</f>
        <v/>
      </c>
      <c r="DL420" s="107" t="str">
        <f aca="false">IF(ISNUMBER($DK420),RANK($DK420,$DK$9:$DK$508,1),"")</f>
        <v/>
      </c>
      <c r="DM420" s="107" t="str">
        <f aca="false">IF(ISBLANK($C420),"",$B420)</f>
        <v/>
      </c>
      <c r="DN420" s="107" t="str">
        <f aca="false">IF(ISBLANK($C420),"",$C420)</f>
        <v/>
      </c>
      <c r="DO420" s="107" t="str">
        <f aca="false">IF(ISBLANK($C420),"",$D420)</f>
        <v/>
      </c>
      <c r="DP420" s="108" t="str">
        <f aca="false">$DD420</f>
        <v/>
      </c>
      <c r="DQ420" s="109" t="str">
        <f aca="false">$DC420</f>
        <v/>
      </c>
      <c r="DR420" s="107" t="str">
        <f aca="false">IF(ISBLANK($C420),"",$DF420)</f>
        <v/>
      </c>
      <c r="DS420" s="110" t="str">
        <f aca="false">IF($DJ420&gt;$DI$8,"",VLOOKUP($DJ420,$DL$9:$DR$508,7,FALSE()))</f>
        <v/>
      </c>
      <c r="DT420" s="111" t="str">
        <f aca="false">IF($DJ420&gt;$DI$8,"",VLOOKUP($DJ420,$DL$9:$DR$508,2,FALSE()))</f>
        <v/>
      </c>
      <c r="DU420" s="111" t="str">
        <f aca="false">IF($DJ420&gt;$DI$8,"",VLOOKUP($DJ420,$DL$9:$DR$508,3,FALSE()))</f>
        <v/>
      </c>
      <c r="DV420" s="111" t="str">
        <f aca="false">IF($DJ420&gt;$DI$8,"",VLOOKUP($DJ420,$DL$9:$DR$508,4,FALSE()))</f>
        <v/>
      </c>
      <c r="DW420" s="111" t="str">
        <f aca="false">IF($DJ420&gt;$DI$8,"",VLOOKUP($DJ420,$DL$9:$DR$508,5,FALSE()))</f>
        <v/>
      </c>
      <c r="DX420" s="112" t="str">
        <f aca="false">IF($DJ420&gt;$DI$8,"",VLOOKUP($DJ420,$DL$9:$DR$508,6,FALSE()))</f>
        <v/>
      </c>
      <c r="DY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130"/>
      <c r="N421" s="130"/>
      <c r="O421" s="135"/>
      <c r="P421" s="135"/>
      <c r="Q421" s="130"/>
      <c r="R421" s="130"/>
      <c r="S421" s="130"/>
      <c r="T421" s="130"/>
      <c r="U421" s="135"/>
      <c r="V421" s="130"/>
      <c r="W421" s="96"/>
      <c r="X421" s="130"/>
      <c r="Y421" s="130"/>
      <c r="Z421" s="96"/>
      <c r="AA421" s="96"/>
      <c r="AB421" s="130"/>
      <c r="AC421" s="130"/>
      <c r="AD421" s="130"/>
      <c r="AE421" s="97"/>
      <c r="AF421" s="130"/>
      <c r="AG421" s="99"/>
      <c r="AH421" s="100"/>
      <c r="AI421" s="100"/>
      <c r="AJ421" s="100" t="str">
        <f aca="false">IF(ISBLANK($C421),"",IF($E421=Constants!$B$2,TRUE(),IF($E421=Constants!$B$3,FALSE(),TRUE())))</f>
        <v/>
      </c>
      <c r="AK421" s="100" t="str">
        <f aca="false">IF(ISBLANK($C421),"",IF($F421=Constants!$B$2,TRUE(),IF($F421=Constants!$B$3,FALSE(),FALSE())))</f>
        <v/>
      </c>
      <c r="AL421" s="100" t="str">
        <f aca="false">IF(ISBLANK($C421),"",IF($G421=Constants!$B$2,TRUE(),IF($G421=Constants!$B$3,FALSE(),TRUE())))</f>
        <v/>
      </c>
      <c r="AM421" s="100" t="str">
        <f aca="false">IF(ISBLANK($C421),"",IF($H421=Constants!$B$2,TRUE(),IF($H421=Constants!$B$3,FALSE(),TRUE())))</f>
        <v/>
      </c>
      <c r="AN421" s="100" t="str">
        <f aca="false">IF(ISBLANK($C421),"",IF(ISNUMBER($I421),IF($I421&gt;=0,$I421,""),""))</f>
        <v/>
      </c>
      <c r="AO421" s="100" t="str">
        <f aca="false">IF(ISBLANK($C421),"",IF(ISNUMBER($J421),IF($J421&gt;=0,$J421,""),""))</f>
        <v/>
      </c>
      <c r="AP421" s="100" t="str">
        <f aca="false">IF(ISBLANK($C421),"",IF(ISNUMBER($K421),IF($K421&gt;=0,$K421,""),""))</f>
        <v/>
      </c>
      <c r="AQ421" s="100" t="str">
        <f aca="false">IF(ISBLANK($C421),"",IF($L421=Constants!$B$2,TRUE(),IF($L421=Constants!$B$3,FALSE(),TRUE())))</f>
        <v/>
      </c>
      <c r="AR421" s="100" t="str">
        <f aca="false">IF(ISBLANK($C421),"",IF($M421=Constants!$B$2,TRUE(),IF($M421=Constants!$B$3,FALSE(),TRUE())))</f>
        <v/>
      </c>
      <c r="AS421" s="100" t="str">
        <f aca="false">IF(ISBLANK($C421),"",IF($N421=Constants!$B$2,TRUE(),IF($N421=Constants!$B$3,FALSE(),FALSE())))</f>
        <v/>
      </c>
      <c r="AT421" s="100" t="str">
        <f aca="false">IF(ISBLANK($C421),"",IF($O421=Constants!$B$2,TRUE(),IF($O421=Constants!$B$3,FALSE(),TRUE())))</f>
        <v/>
      </c>
      <c r="AU421" s="100" t="str">
        <f aca="false">IF(ISBLANK($C421),"",IF($P421=Constants!$B$2,TRUE(),IF($P421=Constants!$B$3,FALSE(),TRUE())))</f>
        <v/>
      </c>
      <c r="AV421" s="100" t="str">
        <f aca="false">IF(ISBLANK($C421),"",IF($Q421=Constants!$B$2,TRUE(),IF($Q421=Constants!$B$3,FALSE(),FALSE())))</f>
        <v/>
      </c>
      <c r="AW421" s="100" t="str">
        <f aca="false">IF(ISBLANK($C421),"",IF($R421=Constants!$B$2,TRUE(),IF($R421=Constants!$B$3,FALSE(),FALSE())))</f>
        <v/>
      </c>
      <c r="AX421" s="100" t="str">
        <f aca="false">IF(ISBLANK($C421),"",IF($S421=Constants!$B$2,TRUE(),IF($S421=Constants!$B$3,FALSE(),FALSE())))</f>
        <v/>
      </c>
      <c r="AY421" s="100" t="str">
        <f aca="false">IF(ISBLANK($C421),"",IF($T421=Constants!$B$2,TRUE(),IF($T421=Constants!$B$3,FALSE(),FALSE())))</f>
        <v/>
      </c>
      <c r="AZ421" s="100" t="str">
        <f aca="false">IF(ISBLANK($C421),"",IF($U421=Constants!$B$2,TRUE(),IF($U421=Constants!$B$3,FALSE(),FALSE())))</f>
        <v/>
      </c>
      <c r="BA421" s="100" t="str">
        <f aca="false">IF(ISBLANK($C421),"",IF(OR($V421&amp;""="1",$V421&amp;""="2",$V421&amp;""="3",$V421&amp;""="4"),VALUE($V421&amp;""),IF($V421=Constants!$B$12,Constants!$B$12,"")))</f>
        <v/>
      </c>
      <c r="BB421" s="100" t="str">
        <f aca="false">IF(ISBLANK($C421),"",IF(ISBLANK($W421),0,IF(ISNUMBER($W421),IF(AND($W421&gt;=0,$W421&lt;=Constants!$B$21,$W421=INT($W421)),$W421,""),"")))</f>
        <v/>
      </c>
      <c r="BC421" s="100" t="str">
        <f aca="false">IF(ISBLANK($C421),"",IF(ISBLANK($X421),0,IF(ISNUMBER($X421),IF($X421&gt;=0,$X421,""),"")))</f>
        <v/>
      </c>
      <c r="BD421" s="100" t="str">
        <f aca="false">IF(ISBLANK($C421),"",IF($Y421=Constants!$B$2,TRUE(),IF($Y421=Constants!$B$3,FALSE(),TRUE())))</f>
        <v/>
      </c>
      <c r="BE421" s="100" t="str">
        <f aca="false">IF(ISBLANK($C421),"",IF($Z421=Constants!$B$2,TRUE(),IF($Z421=Constants!$B$3,FALSE(),FALSE())))</f>
        <v/>
      </c>
      <c r="BF421" s="100" t="str">
        <f aca="false">IF(ISBLANK($C421),"",IF(ISBLANK($AA421),0,IF(ISNUMBER($AA421),IF(AND($AA421&gt;=0,$AA421&lt;=Constants!$B$35,$AA421=INT($AA421)),$AA421,""),"")))</f>
        <v/>
      </c>
      <c r="BG421" s="100" t="str">
        <f aca="false">IF(ISBLANK($C421),"",IF($AB421=Constants!$B$2,TRUE(),IF($AB421=Constants!$B$3,FALSE(),TRUE())))</f>
        <v/>
      </c>
      <c r="BH421" s="100" t="str">
        <f aca="false">IF(ISBLANK($C421),"",IF($AC421=Constants!$B$2,TRUE(),IF($AC421=Constants!$B$3,FALSE(),TRUE())))</f>
        <v/>
      </c>
      <c r="BI421" s="100" t="str">
        <f aca="false">IF(ISBLANK($C421),"",IF($AD421=Constants!$B$2,TRUE(),IF($AD421=Constants!$B$3,FALSE(),TRUE())))</f>
        <v/>
      </c>
      <c r="BJ421" s="100" t="str">
        <f aca="false">IF(ISBLANK($C421),"",IF(ISNUMBER($AE421),IF($AE421&gt;=0,$AE421,""),""))</f>
        <v/>
      </c>
      <c r="BK421" s="100" t="str">
        <f aca="false">IF(ISBLANK($C421),"",IF($AF421=Constants!$B$2,TRUE(),IF($AF421=Constants!$B$3,FALSE(),FALSE())))</f>
        <v/>
      </c>
      <c r="BL421" s="99" t="str">
        <f aca="false">IF(ISBLANK($C421),"",IF($BK421,Constants!$B$7,IF(COUNTA($E421:$AE421)=0,Constants!$B$6,IF(OR(COUNTA($G421:$AE421)=0,NOT($AM421),$AS421),Constants!$B$5,IF(OR($CM421&lt;&gt;"",$CN421,$CO421,$CP421,$CQ421,$CR421,$CS421),Constants!$B$8,Constants!$B$4)))))</f>
        <v/>
      </c>
      <c r="BM421" s="100" t="str">
        <f aca="false">IF(ISBLANK($C421),"",IF($BL421&lt;&gt;Constants!$B$4,$BL421,IF(OR(NOT($AJ421),NOT($AL421),NOT($AT421)),Constants!$B$11,IF(OR(NOT($AR421),NOT($AU421),NOT($BI421),MAX($AN421,$AO421,$AP421)&gt;Constants!$B$30),Constants!$B$10,Constants!$B$9))))</f>
        <v/>
      </c>
      <c r="BN421" s="100" t="str">
        <f aca="false">IF($BL421&lt;&gt;Constants!$B$4,"",IF(NOT($AL421),0,MIN(Constants!$B$35,$BF421)))</f>
        <v/>
      </c>
      <c r="BO421" s="100" t="str">
        <f aca="false">IF($BL421&lt;&gt;Constants!$B$4,"",IF(NOT($AL421),0,IF($AW421,Constants!$B$18,IF($AV421,Constants!$B$17,0))))</f>
        <v/>
      </c>
      <c r="BP421" s="100" t="str">
        <f aca="false">IF($BL421&lt;&gt;Constants!$B$4,"",IF(NOT($AL421),0,Constants!$B$19*($AK421+$AX421+$AY421+$AZ421)))</f>
        <v/>
      </c>
      <c r="BQ421" s="100" t="str">
        <f aca="false">IF($BL421&lt;&gt;Constants!$B$4,"",IF(OR(NOT($AL421),NOT(ISNUMBER($BA421))),0,CHOOSE($BA421,Constants!$B$13,Constants!$B$14,Constants!$B$15,Constants!$B$16)))</f>
        <v/>
      </c>
      <c r="BR421" s="100" t="str">
        <f aca="false">IF($BL421&lt;&gt;Constants!$B$4,"",IF(NOT($AL421),0,Constants!$B$20*$BB421))</f>
        <v/>
      </c>
      <c r="BS421" s="100" t="str">
        <f aca="false">IF($BL421&lt;&gt;Constants!$B$4,"",IF(AND($AL421,$BD421,$BE421),Constants!$B$22,0))</f>
        <v/>
      </c>
      <c r="BT421" s="100" t="str">
        <f aca="false">IF($BL421&lt;&gt;Constants!$B$4,"",IF(OR(NOT($AL421),NOT($BD421)),0,IF($BJ421&gt;=2*$AH$9,0,Constants!$B$23*INT(ROUND(MIN($BJ421,$AH$9),6)))))</f>
        <v/>
      </c>
      <c r="BU421" s="100" t="str">
        <f aca="false">IF($BL421&lt;&gt;Constants!$B$4,"",IF(NOT($AL421),0,Constants!$B$24*INT(ROUND(MIN($BC421,$AH$9),6))))</f>
        <v/>
      </c>
      <c r="BV421" s="100" t="str">
        <f aca="false">IF($BL421&lt;&gt;Constants!$B$4,"",IF(AND($AL421,$BN421=0),Constants!$B$25,0))</f>
        <v/>
      </c>
      <c r="BW421" s="100" t="str">
        <f aca="false">IF($BL421&lt;&gt;Constants!$B$4,"",MIN(Constants!$B$29,MAX(0,Constants!$B$27*Constants!$B$28*INT(ROUND((Constants!$B$26-$AN421)/Constants!$B$28,6))))+MIN(Constants!$B$29,MAX(0,Constants!$B$27*Constants!$B$28*INT(ROUND((Constants!$B$26-$AO421)/Constants!$B$28,6))))+MIN(Constants!$B$29,MAX(0,Constants!$B$27*Constants!$B$28*INT(ROUND((Constants!$B$26-$AP421)/Constants!$B$28,6)))))</f>
        <v/>
      </c>
      <c r="BX421" s="100" t="str">
        <f aca="false">IF($BL421&lt;&gt;Constants!$B$4,"",IF(NOT($AL421),0,Constants!$B$31*INT(ROUND(MAX(0,MIN($BJ421,2*$AH$9)-$AH$9),6))))</f>
        <v/>
      </c>
      <c r="BY421" s="100" t="str">
        <f aca="false">IF($BL421&lt;&gt;Constants!$B$4,"",Constants!$B$32*(($AN421&gt;Constants!$B$26)+($AO421&gt;Constants!$B$26)+($AP421&gt;Constants!$B$26)))</f>
        <v/>
      </c>
      <c r="BZ421" s="100" t="str">
        <f aca="false">IF($BL421&lt;&gt;Constants!$B$4,"",IF(OR(NOT($AL421),$AQ421),0,Constants!$B$33))</f>
        <v/>
      </c>
      <c r="CA421" s="100" t="str">
        <f aca="false">IF($BL421&lt;&gt;Constants!$B$4,"",Constants!$B$34*$BN421)</f>
        <v/>
      </c>
      <c r="CB421" s="100" t="str">
        <f aca="false">IF($BL421&lt;&gt;Constants!$B$4,"",IF(OR(NOT($AL421),$BH421),0,Constants!$B$36))</f>
        <v/>
      </c>
      <c r="CC421" s="100" t="str">
        <f aca="false">IF($BL421&lt;&gt;Constants!$B$4,"",IF(OR(NOT($AL421),$BG421),0,Constants!$B$37))</f>
        <v/>
      </c>
      <c r="CD421" s="100" t="str">
        <f aca="false">IF($BL421&lt;&gt;Constants!$B$4,"",SUM($BX421:$CC421))</f>
        <v/>
      </c>
      <c r="CE421" s="100" t="str">
        <f aca="false">IF(ISBLANK($C421),"",IF($BL421&lt;&gt;Constants!$B$4,$BL421,SUM($BO421:$BW421)-$CD421))</f>
        <v/>
      </c>
      <c r="CF421" s="100" t="str">
        <f aca="false">IF(ISBLANK($C421),"",IF($BL421&lt;&gt;Constants!$B$4,$BL421,RANK($CE421,$CE$9:$CE$508)))</f>
        <v/>
      </c>
      <c r="CG421" s="100" t="str">
        <f aca="false">IF(ISBLANK($C421),"",IF($BL421&lt;&gt;Constants!$B$4,$BL421,COUNTIFS($BM$9:$BM$508,"&lt;"&amp;$BM421)+COUNTIFS($BM$9:$BM$508,$BM421,$CF$9:$CF$508,"&lt;"&amp;$CF421)+1))</f>
        <v/>
      </c>
      <c r="CH421" s="100" t="str">
        <f aca="false">IF(ISBLANK($C421),"",IF($BL421&lt;&gt;Constants!$B$4,$BL421,RANK($CD421,$CD$9:$CD$508,1)))</f>
        <v/>
      </c>
      <c r="CI421" s="100" t="str">
        <f aca="false">IF($BL421&lt;&gt;Constants!$B$4,"",$AN421+$AO421+$AP421)</f>
        <v/>
      </c>
      <c r="CJ421" s="100" t="str">
        <f aca="false">IF(ISBLANK($C421),"",IF($BL421&lt;&gt;Constants!$B$4,$BL421,RANK($CI421,$CI$9:$CI$508,1)))</f>
        <v/>
      </c>
      <c r="CK421" s="100" t="str">
        <f aca="false">IF(ISBLANK($C421),"",IF($BL421&lt;&gt;Constants!$B$4,$BL421,COUNTIFS($BM$9:$BM$508,"&lt;"&amp;$BM421)+COUNTIFS($BM$9:$BM$508,$BM421,$CF$9:$CF$508,"&lt;"&amp;$CF421)+COUNTIFS($BM$9:$BM$508,$BM421,$CF$9:$CF$508,$CF421,$CH$9:$CH$508,"&lt;"&amp;$CH421)+COUNTIFS($BM$9:$BM$508,$BM421,$CF$9:$CF$508,$CF421,$CH$9:$CH$508,$CH421,$CJ$9:$CJ$508,"&lt;"&amp;$CJ421)+1))</f>
        <v/>
      </c>
      <c r="CL421" s="100" t="str">
        <f aca="false">IF(ISBLANK($C421),"",IF($BL421&lt;&gt;Constants!$B$4,$BL421,$CG421-$CK421))</f>
        <v/>
      </c>
      <c r="CM421" s="100" t="str">
        <f aca="false">IF(ISBLANK($C421),"",IF(NOT($AL421),"",IF(ISBLANK($D$7),$CM$5,IF(NOT(ISNUMBER($D$7)),$CM$6,""))))</f>
        <v/>
      </c>
      <c r="CN421" s="100" t="str">
        <f aca="false">IF(ISBLANK($C421),"",OR($AN421="",$AO421="",$AP421=""))</f>
        <v/>
      </c>
      <c r="CO421" s="100" t="str">
        <f aca="false">IF(ISBLANK($C421),"",AND($AL421,$BA421=""))</f>
        <v/>
      </c>
      <c r="CP421" s="100" t="str">
        <f aca="false">IF(ISBLANK($C421),"",AND($AL421,$BB421=""))</f>
        <v/>
      </c>
      <c r="CQ421" s="100" t="str">
        <f aca="false">IF(ISBLANK($C421),"",AND($AL421,$BC421=""))</f>
        <v/>
      </c>
      <c r="CR421" s="100" t="str">
        <f aca="false">IF(ISBLANK($C421),"",AND($AL421,$BF421=""))</f>
        <v/>
      </c>
      <c r="CS421" s="100" t="str">
        <f aca="false">IF(ISBLANK($C421),"",AND($AL421,$BJ421=""))</f>
        <v/>
      </c>
      <c r="CT421" s="101"/>
      <c r="CU421" s="102"/>
      <c r="CV421" s="103" t="str">
        <f aca="false">IF(ISBLANK($C421),"",IF($BL421=Constants!$B$8,$CM421,""))</f>
        <v/>
      </c>
      <c r="CW421" s="102" t="str">
        <f aca="false">IF(ISBLANK($C421),"",IF($BL421&lt;&gt;Constants!$B$4,"",$BO421+$BP421))</f>
        <v/>
      </c>
      <c r="CX421" s="104" t="str">
        <f aca="false">IF(ISBLANK($C421),"",IF($BL421&lt;&gt;Constants!$B$4,"",$BQ421+$BR421+$BS421))</f>
        <v/>
      </c>
      <c r="CY421" s="104" t="str">
        <f aca="false">IF(ISBLANK($C421),"",IF($BL421&lt;&gt;Constants!$B$4,"",$BT421))</f>
        <v/>
      </c>
      <c r="CZ421" s="104" t="str">
        <f aca="false">IF(ISBLANK($C421),"",IF($BL421&lt;&gt;Constants!$B$4,"",$BU421+$BV421))</f>
        <v/>
      </c>
      <c r="DA421" s="104" t="str">
        <f aca="false">IF(ISBLANK($C421),"",IF($BL421&lt;&gt;Constants!$B$4,"",$BW421))</f>
        <v/>
      </c>
      <c r="DB421" s="104" t="str">
        <f aca="false">IF(ISBLANK($C421),"",IF($BL421&lt;&gt;Constants!$B$4,"",-$CD421))</f>
        <v/>
      </c>
      <c r="DC421" s="103" t="str">
        <f aca="false">IF(ISBLANK($C421),"",$CE421)</f>
        <v/>
      </c>
      <c r="DD421" s="105" t="str">
        <f aca="false">IF(ISBLANK($C421),"",$BM421)</f>
        <v/>
      </c>
      <c r="DE421" s="104" t="str">
        <f aca="false">IF(ISBLANK($C421),"",$CL421)</f>
        <v/>
      </c>
      <c r="DF421" s="104" t="str">
        <f aca="false">IF(ISBLANK($C421),"",$CK421)</f>
        <v/>
      </c>
      <c r="DG421" s="106" t="str">
        <f aca="false">IF(ISBLANK($C421),"",IF($DF421=Constants!$B$7,COUNTA($C$9:$C$508)+2,IF($DF421=Constants!$B$6,COUNTA($C$9:$C$508)+1,IF($DF421=Constants!$B$5,COUNTA($C$9:$C$508),$DF421))))</f>
        <v/>
      </c>
      <c r="DH421" s="7"/>
      <c r="DI421" s="107" t="n">
        <f aca="false">IF(OR(ISNUMBER($DF421),$DF421=Constants!$B$7,$DF421=Constants!$B$5,$DF421=Constants!$B$6),1,0)</f>
        <v>0</v>
      </c>
      <c r="DJ421" s="107" t="n">
        <v>413</v>
      </c>
      <c r="DK421" s="107" t="str">
        <f aca="false">IF(ISBLANK($C421),"",IF(ISNUMBER($DG421),$DG421+ROW($B421)/1000,""))</f>
        <v/>
      </c>
      <c r="DL421" s="107" t="str">
        <f aca="false">IF(ISNUMBER($DK421),RANK($DK421,$DK$9:$DK$508,1),"")</f>
        <v/>
      </c>
      <c r="DM421" s="107" t="str">
        <f aca="false">IF(ISBLANK($C421),"",$B421)</f>
        <v/>
      </c>
      <c r="DN421" s="107" t="str">
        <f aca="false">IF(ISBLANK($C421),"",$C421)</f>
        <v/>
      </c>
      <c r="DO421" s="107" t="str">
        <f aca="false">IF(ISBLANK($C421),"",$D421)</f>
        <v/>
      </c>
      <c r="DP421" s="108" t="str">
        <f aca="false">$DD421</f>
        <v/>
      </c>
      <c r="DQ421" s="109" t="str">
        <f aca="false">$DC421</f>
        <v/>
      </c>
      <c r="DR421" s="107" t="str">
        <f aca="false">IF(ISBLANK($C421),"",$DF421)</f>
        <v/>
      </c>
      <c r="DS421" s="110" t="str">
        <f aca="false">IF($DJ421&gt;$DI$8,"",VLOOKUP($DJ421,$DL$9:$DR$508,7,FALSE()))</f>
        <v/>
      </c>
      <c r="DT421" s="111" t="str">
        <f aca="false">IF($DJ421&gt;$DI$8,"",VLOOKUP($DJ421,$DL$9:$DR$508,2,FALSE()))</f>
        <v/>
      </c>
      <c r="DU421" s="111" t="str">
        <f aca="false">IF($DJ421&gt;$DI$8,"",VLOOKUP($DJ421,$DL$9:$DR$508,3,FALSE()))</f>
        <v/>
      </c>
      <c r="DV421" s="111" t="str">
        <f aca="false">IF($DJ421&gt;$DI$8,"",VLOOKUP($DJ421,$DL$9:$DR$508,4,FALSE()))</f>
        <v/>
      </c>
      <c r="DW421" s="111" t="str">
        <f aca="false">IF($DJ421&gt;$DI$8,"",VLOOKUP($DJ421,$DL$9:$DR$508,5,FALSE()))</f>
        <v/>
      </c>
      <c r="DX421" s="112" t="str">
        <f aca="false">IF($DJ421&gt;$DI$8,"",VLOOKUP($DJ421,$DL$9:$DR$508,6,FALSE()))</f>
        <v/>
      </c>
      <c r="DY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130"/>
      <c r="N422" s="130"/>
      <c r="O422" s="135"/>
      <c r="P422" s="135"/>
      <c r="Q422" s="130"/>
      <c r="R422" s="130"/>
      <c r="S422" s="130"/>
      <c r="T422" s="130"/>
      <c r="U422" s="135"/>
      <c r="V422" s="130"/>
      <c r="W422" s="96"/>
      <c r="X422" s="130"/>
      <c r="Y422" s="130"/>
      <c r="Z422" s="96"/>
      <c r="AA422" s="96"/>
      <c r="AB422" s="130"/>
      <c r="AC422" s="130"/>
      <c r="AD422" s="130"/>
      <c r="AE422" s="97"/>
      <c r="AF422" s="130"/>
      <c r="AG422" s="99"/>
      <c r="AH422" s="100"/>
      <c r="AI422" s="100"/>
      <c r="AJ422" s="100" t="str">
        <f aca="false">IF(ISBLANK($C422),"",IF($E422=Constants!$B$2,TRUE(),IF($E422=Constants!$B$3,FALSE(),TRUE())))</f>
        <v/>
      </c>
      <c r="AK422" s="100" t="str">
        <f aca="false">IF(ISBLANK($C422),"",IF($F422=Constants!$B$2,TRUE(),IF($F422=Constants!$B$3,FALSE(),FALSE())))</f>
        <v/>
      </c>
      <c r="AL422" s="100" t="str">
        <f aca="false">IF(ISBLANK($C422),"",IF($G422=Constants!$B$2,TRUE(),IF($G422=Constants!$B$3,FALSE(),TRUE())))</f>
        <v/>
      </c>
      <c r="AM422" s="100" t="str">
        <f aca="false">IF(ISBLANK($C422),"",IF($H422=Constants!$B$2,TRUE(),IF($H422=Constants!$B$3,FALSE(),TRUE())))</f>
        <v/>
      </c>
      <c r="AN422" s="100" t="str">
        <f aca="false">IF(ISBLANK($C422),"",IF(ISNUMBER($I422),IF($I422&gt;=0,$I422,""),""))</f>
        <v/>
      </c>
      <c r="AO422" s="100" t="str">
        <f aca="false">IF(ISBLANK($C422),"",IF(ISNUMBER($J422),IF($J422&gt;=0,$J422,""),""))</f>
        <v/>
      </c>
      <c r="AP422" s="100" t="str">
        <f aca="false">IF(ISBLANK($C422),"",IF(ISNUMBER($K422),IF($K422&gt;=0,$K422,""),""))</f>
        <v/>
      </c>
      <c r="AQ422" s="100" t="str">
        <f aca="false">IF(ISBLANK($C422),"",IF($L422=Constants!$B$2,TRUE(),IF($L422=Constants!$B$3,FALSE(),TRUE())))</f>
        <v/>
      </c>
      <c r="AR422" s="100" t="str">
        <f aca="false">IF(ISBLANK($C422),"",IF($M422=Constants!$B$2,TRUE(),IF($M422=Constants!$B$3,FALSE(),TRUE())))</f>
        <v/>
      </c>
      <c r="AS422" s="100" t="str">
        <f aca="false">IF(ISBLANK($C422),"",IF($N422=Constants!$B$2,TRUE(),IF($N422=Constants!$B$3,FALSE(),FALSE())))</f>
        <v/>
      </c>
      <c r="AT422" s="100" t="str">
        <f aca="false">IF(ISBLANK($C422),"",IF($O422=Constants!$B$2,TRUE(),IF($O422=Constants!$B$3,FALSE(),TRUE())))</f>
        <v/>
      </c>
      <c r="AU422" s="100" t="str">
        <f aca="false">IF(ISBLANK($C422),"",IF($P422=Constants!$B$2,TRUE(),IF($P422=Constants!$B$3,FALSE(),TRUE())))</f>
        <v/>
      </c>
      <c r="AV422" s="100" t="str">
        <f aca="false">IF(ISBLANK($C422),"",IF($Q422=Constants!$B$2,TRUE(),IF($Q422=Constants!$B$3,FALSE(),FALSE())))</f>
        <v/>
      </c>
      <c r="AW422" s="100" t="str">
        <f aca="false">IF(ISBLANK($C422),"",IF($R422=Constants!$B$2,TRUE(),IF($R422=Constants!$B$3,FALSE(),FALSE())))</f>
        <v/>
      </c>
      <c r="AX422" s="100" t="str">
        <f aca="false">IF(ISBLANK($C422),"",IF($S422=Constants!$B$2,TRUE(),IF($S422=Constants!$B$3,FALSE(),FALSE())))</f>
        <v/>
      </c>
      <c r="AY422" s="100" t="str">
        <f aca="false">IF(ISBLANK($C422),"",IF($T422=Constants!$B$2,TRUE(),IF($T422=Constants!$B$3,FALSE(),FALSE())))</f>
        <v/>
      </c>
      <c r="AZ422" s="100" t="str">
        <f aca="false">IF(ISBLANK($C422),"",IF($U422=Constants!$B$2,TRUE(),IF($U422=Constants!$B$3,FALSE(),FALSE())))</f>
        <v/>
      </c>
      <c r="BA422" s="100" t="str">
        <f aca="false">IF(ISBLANK($C422),"",IF(OR($V422&amp;""="1",$V422&amp;""="2",$V422&amp;""="3",$V422&amp;""="4"),VALUE($V422&amp;""),IF($V422=Constants!$B$12,Constants!$B$12,"")))</f>
        <v/>
      </c>
      <c r="BB422" s="100" t="str">
        <f aca="false">IF(ISBLANK($C422),"",IF(ISBLANK($W422),0,IF(ISNUMBER($W422),IF(AND($W422&gt;=0,$W422&lt;=Constants!$B$21,$W422=INT($W422)),$W422,""),"")))</f>
        <v/>
      </c>
      <c r="BC422" s="100" t="str">
        <f aca="false">IF(ISBLANK($C422),"",IF(ISBLANK($X422),0,IF(ISNUMBER($X422),IF($X422&gt;=0,$X422,""),"")))</f>
        <v/>
      </c>
      <c r="BD422" s="100" t="str">
        <f aca="false">IF(ISBLANK($C422),"",IF($Y422=Constants!$B$2,TRUE(),IF($Y422=Constants!$B$3,FALSE(),TRUE())))</f>
        <v/>
      </c>
      <c r="BE422" s="100" t="str">
        <f aca="false">IF(ISBLANK($C422),"",IF($Z422=Constants!$B$2,TRUE(),IF($Z422=Constants!$B$3,FALSE(),FALSE())))</f>
        <v/>
      </c>
      <c r="BF422" s="100" t="str">
        <f aca="false">IF(ISBLANK($C422),"",IF(ISBLANK($AA422),0,IF(ISNUMBER($AA422),IF(AND($AA422&gt;=0,$AA422&lt;=Constants!$B$35,$AA422=INT($AA422)),$AA422,""),"")))</f>
        <v/>
      </c>
      <c r="BG422" s="100" t="str">
        <f aca="false">IF(ISBLANK($C422),"",IF($AB422=Constants!$B$2,TRUE(),IF($AB422=Constants!$B$3,FALSE(),TRUE())))</f>
        <v/>
      </c>
      <c r="BH422" s="100" t="str">
        <f aca="false">IF(ISBLANK($C422),"",IF($AC422=Constants!$B$2,TRUE(),IF($AC422=Constants!$B$3,FALSE(),TRUE())))</f>
        <v/>
      </c>
      <c r="BI422" s="100" t="str">
        <f aca="false">IF(ISBLANK($C422),"",IF($AD422=Constants!$B$2,TRUE(),IF($AD422=Constants!$B$3,FALSE(),TRUE())))</f>
        <v/>
      </c>
      <c r="BJ422" s="100" t="str">
        <f aca="false">IF(ISBLANK($C422),"",IF(ISNUMBER($AE422),IF($AE422&gt;=0,$AE422,""),""))</f>
        <v/>
      </c>
      <c r="BK422" s="100" t="str">
        <f aca="false">IF(ISBLANK($C422),"",IF($AF422=Constants!$B$2,TRUE(),IF($AF422=Constants!$B$3,FALSE(),FALSE())))</f>
        <v/>
      </c>
      <c r="BL422" s="99" t="str">
        <f aca="false">IF(ISBLANK($C422),"",IF($BK422,Constants!$B$7,IF(COUNTA($E422:$AE422)=0,Constants!$B$6,IF(OR(COUNTA($G422:$AE422)=0,NOT($AM422),$AS422),Constants!$B$5,IF(OR($CM422&lt;&gt;"",$CN422,$CO422,$CP422,$CQ422,$CR422,$CS422),Constants!$B$8,Constants!$B$4)))))</f>
        <v/>
      </c>
      <c r="BM422" s="100" t="str">
        <f aca="false">IF(ISBLANK($C422),"",IF($BL422&lt;&gt;Constants!$B$4,$BL422,IF(OR(NOT($AJ422),NOT($AL422),NOT($AT422)),Constants!$B$11,IF(OR(NOT($AR422),NOT($AU422),NOT($BI422),MAX($AN422,$AO422,$AP422)&gt;Constants!$B$30),Constants!$B$10,Constants!$B$9))))</f>
        <v/>
      </c>
      <c r="BN422" s="100" t="str">
        <f aca="false">IF($BL422&lt;&gt;Constants!$B$4,"",IF(NOT($AL422),0,MIN(Constants!$B$35,$BF422)))</f>
        <v/>
      </c>
      <c r="BO422" s="100" t="str">
        <f aca="false">IF($BL422&lt;&gt;Constants!$B$4,"",IF(NOT($AL422),0,IF($AW422,Constants!$B$18,IF($AV422,Constants!$B$17,0))))</f>
        <v/>
      </c>
      <c r="BP422" s="100" t="str">
        <f aca="false">IF($BL422&lt;&gt;Constants!$B$4,"",IF(NOT($AL422),0,Constants!$B$19*($AK422+$AX422+$AY422+$AZ422)))</f>
        <v/>
      </c>
      <c r="BQ422" s="100" t="str">
        <f aca="false">IF($BL422&lt;&gt;Constants!$B$4,"",IF(OR(NOT($AL422),NOT(ISNUMBER($BA422))),0,CHOOSE($BA422,Constants!$B$13,Constants!$B$14,Constants!$B$15,Constants!$B$16)))</f>
        <v/>
      </c>
      <c r="BR422" s="100" t="str">
        <f aca="false">IF($BL422&lt;&gt;Constants!$B$4,"",IF(NOT($AL422),0,Constants!$B$20*$BB422))</f>
        <v/>
      </c>
      <c r="BS422" s="100" t="str">
        <f aca="false">IF($BL422&lt;&gt;Constants!$B$4,"",IF(AND($AL422,$BD422,$BE422),Constants!$B$22,0))</f>
        <v/>
      </c>
      <c r="BT422" s="100" t="str">
        <f aca="false">IF($BL422&lt;&gt;Constants!$B$4,"",IF(OR(NOT($AL422),NOT($BD422)),0,IF($BJ422&gt;=2*$AH$9,0,Constants!$B$23*INT(ROUND(MIN($BJ422,$AH$9),6)))))</f>
        <v/>
      </c>
      <c r="BU422" s="100" t="str">
        <f aca="false">IF($BL422&lt;&gt;Constants!$B$4,"",IF(NOT($AL422),0,Constants!$B$24*INT(ROUND(MIN($BC422,$AH$9),6))))</f>
        <v/>
      </c>
      <c r="BV422" s="100" t="str">
        <f aca="false">IF($BL422&lt;&gt;Constants!$B$4,"",IF(AND($AL422,$BN422=0),Constants!$B$25,0))</f>
        <v/>
      </c>
      <c r="BW422" s="100" t="str">
        <f aca="false">IF($BL422&lt;&gt;Constants!$B$4,"",MIN(Constants!$B$29,MAX(0,Constants!$B$27*Constants!$B$28*INT(ROUND((Constants!$B$26-$AN422)/Constants!$B$28,6))))+MIN(Constants!$B$29,MAX(0,Constants!$B$27*Constants!$B$28*INT(ROUND((Constants!$B$26-$AO422)/Constants!$B$28,6))))+MIN(Constants!$B$29,MAX(0,Constants!$B$27*Constants!$B$28*INT(ROUND((Constants!$B$26-$AP422)/Constants!$B$28,6)))))</f>
        <v/>
      </c>
      <c r="BX422" s="100" t="str">
        <f aca="false">IF($BL422&lt;&gt;Constants!$B$4,"",IF(NOT($AL422),0,Constants!$B$31*INT(ROUND(MAX(0,MIN($BJ422,2*$AH$9)-$AH$9),6))))</f>
        <v/>
      </c>
      <c r="BY422" s="100" t="str">
        <f aca="false">IF($BL422&lt;&gt;Constants!$B$4,"",Constants!$B$32*(($AN422&gt;Constants!$B$26)+($AO422&gt;Constants!$B$26)+($AP422&gt;Constants!$B$26)))</f>
        <v/>
      </c>
      <c r="BZ422" s="100" t="str">
        <f aca="false">IF($BL422&lt;&gt;Constants!$B$4,"",IF(OR(NOT($AL422),$AQ422),0,Constants!$B$33))</f>
        <v/>
      </c>
      <c r="CA422" s="100" t="str">
        <f aca="false">IF($BL422&lt;&gt;Constants!$B$4,"",Constants!$B$34*$BN422)</f>
        <v/>
      </c>
      <c r="CB422" s="100" t="str">
        <f aca="false">IF($BL422&lt;&gt;Constants!$B$4,"",IF(OR(NOT($AL422),$BH422),0,Constants!$B$36))</f>
        <v/>
      </c>
      <c r="CC422" s="100" t="str">
        <f aca="false">IF($BL422&lt;&gt;Constants!$B$4,"",IF(OR(NOT($AL422),$BG422),0,Constants!$B$37))</f>
        <v/>
      </c>
      <c r="CD422" s="100" t="str">
        <f aca="false">IF($BL422&lt;&gt;Constants!$B$4,"",SUM($BX422:$CC422))</f>
        <v/>
      </c>
      <c r="CE422" s="100" t="str">
        <f aca="false">IF(ISBLANK($C422),"",IF($BL422&lt;&gt;Constants!$B$4,$BL422,SUM($BO422:$BW422)-$CD422))</f>
        <v/>
      </c>
      <c r="CF422" s="100" t="str">
        <f aca="false">IF(ISBLANK($C422),"",IF($BL422&lt;&gt;Constants!$B$4,$BL422,RANK($CE422,$CE$9:$CE$508)))</f>
        <v/>
      </c>
      <c r="CG422" s="100" t="str">
        <f aca="false">IF(ISBLANK($C422),"",IF($BL422&lt;&gt;Constants!$B$4,$BL422,COUNTIFS($BM$9:$BM$508,"&lt;"&amp;$BM422)+COUNTIFS($BM$9:$BM$508,$BM422,$CF$9:$CF$508,"&lt;"&amp;$CF422)+1))</f>
        <v/>
      </c>
      <c r="CH422" s="100" t="str">
        <f aca="false">IF(ISBLANK($C422),"",IF($BL422&lt;&gt;Constants!$B$4,$BL422,RANK($CD422,$CD$9:$CD$508,1)))</f>
        <v/>
      </c>
      <c r="CI422" s="100" t="str">
        <f aca="false">IF($BL422&lt;&gt;Constants!$B$4,"",$AN422+$AO422+$AP422)</f>
        <v/>
      </c>
      <c r="CJ422" s="100" t="str">
        <f aca="false">IF(ISBLANK($C422),"",IF($BL422&lt;&gt;Constants!$B$4,$BL422,RANK($CI422,$CI$9:$CI$508,1)))</f>
        <v/>
      </c>
      <c r="CK422" s="100" t="str">
        <f aca="false">IF(ISBLANK($C422),"",IF($BL422&lt;&gt;Constants!$B$4,$BL422,COUNTIFS($BM$9:$BM$508,"&lt;"&amp;$BM422)+COUNTIFS($BM$9:$BM$508,$BM422,$CF$9:$CF$508,"&lt;"&amp;$CF422)+COUNTIFS($BM$9:$BM$508,$BM422,$CF$9:$CF$508,$CF422,$CH$9:$CH$508,"&lt;"&amp;$CH422)+COUNTIFS($BM$9:$BM$508,$BM422,$CF$9:$CF$508,$CF422,$CH$9:$CH$508,$CH422,$CJ$9:$CJ$508,"&lt;"&amp;$CJ422)+1))</f>
        <v/>
      </c>
      <c r="CL422" s="100" t="str">
        <f aca="false">IF(ISBLANK($C422),"",IF($BL422&lt;&gt;Constants!$B$4,$BL422,$CG422-$CK422))</f>
        <v/>
      </c>
      <c r="CM422" s="100" t="str">
        <f aca="false">IF(ISBLANK($C422),"",IF(NOT($AL422),"",IF(ISBLANK($D$7),$CM$5,IF(NOT(ISNUMBER($D$7)),$CM$6,""))))</f>
        <v/>
      </c>
      <c r="CN422" s="100" t="str">
        <f aca="false">IF(ISBLANK($C422),"",OR($AN422="",$AO422="",$AP422=""))</f>
        <v/>
      </c>
      <c r="CO422" s="100" t="str">
        <f aca="false">IF(ISBLANK($C422),"",AND($AL422,$BA422=""))</f>
        <v/>
      </c>
      <c r="CP422" s="100" t="str">
        <f aca="false">IF(ISBLANK($C422),"",AND($AL422,$BB422=""))</f>
        <v/>
      </c>
      <c r="CQ422" s="100" t="str">
        <f aca="false">IF(ISBLANK($C422),"",AND($AL422,$BC422=""))</f>
        <v/>
      </c>
      <c r="CR422" s="100" t="str">
        <f aca="false">IF(ISBLANK($C422),"",AND($AL422,$BF422=""))</f>
        <v/>
      </c>
      <c r="CS422" s="100" t="str">
        <f aca="false">IF(ISBLANK($C422),"",AND($AL422,$BJ422=""))</f>
        <v/>
      </c>
      <c r="CT422" s="101"/>
      <c r="CU422" s="102"/>
      <c r="CV422" s="103" t="str">
        <f aca="false">IF(ISBLANK($C422),"",IF($BL422=Constants!$B$8,$CM422,""))</f>
        <v/>
      </c>
      <c r="CW422" s="102" t="str">
        <f aca="false">IF(ISBLANK($C422),"",IF($BL422&lt;&gt;Constants!$B$4,"",$BO422+$BP422))</f>
        <v/>
      </c>
      <c r="CX422" s="104" t="str">
        <f aca="false">IF(ISBLANK($C422),"",IF($BL422&lt;&gt;Constants!$B$4,"",$BQ422+$BR422+$BS422))</f>
        <v/>
      </c>
      <c r="CY422" s="104" t="str">
        <f aca="false">IF(ISBLANK($C422),"",IF($BL422&lt;&gt;Constants!$B$4,"",$BT422))</f>
        <v/>
      </c>
      <c r="CZ422" s="104" t="str">
        <f aca="false">IF(ISBLANK($C422),"",IF($BL422&lt;&gt;Constants!$B$4,"",$BU422+$BV422))</f>
        <v/>
      </c>
      <c r="DA422" s="104" t="str">
        <f aca="false">IF(ISBLANK($C422),"",IF($BL422&lt;&gt;Constants!$B$4,"",$BW422))</f>
        <v/>
      </c>
      <c r="DB422" s="104" t="str">
        <f aca="false">IF(ISBLANK($C422),"",IF($BL422&lt;&gt;Constants!$B$4,"",-$CD422))</f>
        <v/>
      </c>
      <c r="DC422" s="103" t="str">
        <f aca="false">IF(ISBLANK($C422),"",$CE422)</f>
        <v/>
      </c>
      <c r="DD422" s="105" t="str">
        <f aca="false">IF(ISBLANK($C422),"",$BM422)</f>
        <v/>
      </c>
      <c r="DE422" s="104" t="str">
        <f aca="false">IF(ISBLANK($C422),"",$CL422)</f>
        <v/>
      </c>
      <c r="DF422" s="104" t="str">
        <f aca="false">IF(ISBLANK($C422),"",$CK422)</f>
        <v/>
      </c>
      <c r="DG422" s="106" t="str">
        <f aca="false">IF(ISBLANK($C422),"",IF($DF422=Constants!$B$7,COUNTA($C$9:$C$508)+2,IF($DF422=Constants!$B$6,COUNTA($C$9:$C$508)+1,IF($DF422=Constants!$B$5,COUNTA($C$9:$C$508),$DF422))))</f>
        <v/>
      </c>
      <c r="DH422" s="7"/>
      <c r="DI422" s="107" t="n">
        <f aca="false">IF(OR(ISNUMBER($DF422),$DF422=Constants!$B$7,$DF422=Constants!$B$5,$DF422=Constants!$B$6),1,0)</f>
        <v>0</v>
      </c>
      <c r="DJ422" s="107" t="n">
        <v>414</v>
      </c>
      <c r="DK422" s="107" t="str">
        <f aca="false">IF(ISBLANK($C422),"",IF(ISNUMBER($DG422),$DG422+ROW($B422)/1000,""))</f>
        <v/>
      </c>
      <c r="DL422" s="107" t="str">
        <f aca="false">IF(ISNUMBER($DK422),RANK($DK422,$DK$9:$DK$508,1),"")</f>
        <v/>
      </c>
      <c r="DM422" s="107" t="str">
        <f aca="false">IF(ISBLANK($C422),"",$B422)</f>
        <v/>
      </c>
      <c r="DN422" s="107" t="str">
        <f aca="false">IF(ISBLANK($C422),"",$C422)</f>
        <v/>
      </c>
      <c r="DO422" s="107" t="str">
        <f aca="false">IF(ISBLANK($C422),"",$D422)</f>
        <v/>
      </c>
      <c r="DP422" s="108" t="str">
        <f aca="false">$DD422</f>
        <v/>
      </c>
      <c r="DQ422" s="109" t="str">
        <f aca="false">$DC422</f>
        <v/>
      </c>
      <c r="DR422" s="107" t="str">
        <f aca="false">IF(ISBLANK($C422),"",$DF422)</f>
        <v/>
      </c>
      <c r="DS422" s="110" t="str">
        <f aca="false">IF($DJ422&gt;$DI$8,"",VLOOKUP($DJ422,$DL$9:$DR$508,7,FALSE()))</f>
        <v/>
      </c>
      <c r="DT422" s="111" t="str">
        <f aca="false">IF($DJ422&gt;$DI$8,"",VLOOKUP($DJ422,$DL$9:$DR$508,2,FALSE()))</f>
        <v/>
      </c>
      <c r="DU422" s="111" t="str">
        <f aca="false">IF($DJ422&gt;$DI$8,"",VLOOKUP($DJ422,$DL$9:$DR$508,3,FALSE()))</f>
        <v/>
      </c>
      <c r="DV422" s="111" t="str">
        <f aca="false">IF($DJ422&gt;$DI$8,"",VLOOKUP($DJ422,$DL$9:$DR$508,4,FALSE()))</f>
        <v/>
      </c>
      <c r="DW422" s="111" t="str">
        <f aca="false">IF($DJ422&gt;$DI$8,"",VLOOKUP($DJ422,$DL$9:$DR$508,5,FALSE()))</f>
        <v/>
      </c>
      <c r="DX422" s="112" t="str">
        <f aca="false">IF($DJ422&gt;$DI$8,"",VLOOKUP($DJ422,$DL$9:$DR$508,6,FALSE()))</f>
        <v/>
      </c>
      <c r="DY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88"/>
      <c r="N423" s="88"/>
      <c r="O423" s="134"/>
      <c r="P423" s="134"/>
      <c r="Q423" s="88"/>
      <c r="R423" s="88"/>
      <c r="S423" s="88"/>
      <c r="T423" s="88"/>
      <c r="U423" s="134"/>
      <c r="V423" s="88"/>
      <c r="W423" s="70"/>
      <c r="X423" s="88"/>
      <c r="Y423" s="88"/>
      <c r="Z423" s="70"/>
      <c r="AA423" s="70"/>
      <c r="AB423" s="88"/>
      <c r="AC423" s="88"/>
      <c r="AD423" s="88"/>
      <c r="AE423" s="71"/>
      <c r="AF423" s="88"/>
      <c r="AG423" s="73"/>
      <c r="AH423" s="74"/>
      <c r="AI423" s="74"/>
      <c r="AJ423" s="74" t="str">
        <f aca="false">IF(ISBLANK($C423),"",IF($E423=Constants!$B$2,TRUE(),IF($E423=Constants!$B$3,FALSE(),TRUE())))</f>
        <v/>
      </c>
      <c r="AK423" s="74" t="str">
        <f aca="false">IF(ISBLANK($C423),"",IF($F423=Constants!$B$2,TRUE(),IF($F423=Constants!$B$3,FALSE(),FALSE())))</f>
        <v/>
      </c>
      <c r="AL423" s="74" t="str">
        <f aca="false">IF(ISBLANK($C423),"",IF($G423=Constants!$B$2,TRUE(),IF($G423=Constants!$B$3,FALSE(),TRUE())))</f>
        <v/>
      </c>
      <c r="AM423" s="74" t="str">
        <f aca="false">IF(ISBLANK($C423),"",IF($H423=Constants!$B$2,TRUE(),IF($H423=Constants!$B$3,FALSE(),TRUE())))</f>
        <v/>
      </c>
      <c r="AN423" s="74" t="str">
        <f aca="false">IF(ISBLANK($C423),"",IF(ISNUMBER($I423),IF($I423&gt;=0,$I423,""),""))</f>
        <v/>
      </c>
      <c r="AO423" s="74" t="str">
        <f aca="false">IF(ISBLANK($C423),"",IF(ISNUMBER($J423),IF($J423&gt;=0,$J423,""),""))</f>
        <v/>
      </c>
      <c r="AP423" s="74" t="str">
        <f aca="false">IF(ISBLANK($C423),"",IF(ISNUMBER($K423),IF($K423&gt;=0,$K423,""),""))</f>
        <v/>
      </c>
      <c r="AQ423" s="74" t="str">
        <f aca="false">IF(ISBLANK($C423),"",IF($L423=Constants!$B$2,TRUE(),IF($L423=Constants!$B$3,FALSE(),TRUE())))</f>
        <v/>
      </c>
      <c r="AR423" s="74" t="str">
        <f aca="false">IF(ISBLANK($C423),"",IF($M423=Constants!$B$2,TRUE(),IF($M423=Constants!$B$3,FALSE(),TRUE())))</f>
        <v/>
      </c>
      <c r="AS423" s="74" t="str">
        <f aca="false">IF(ISBLANK($C423),"",IF($N423=Constants!$B$2,TRUE(),IF($N423=Constants!$B$3,FALSE(),FALSE())))</f>
        <v/>
      </c>
      <c r="AT423" s="74" t="str">
        <f aca="false">IF(ISBLANK($C423),"",IF($O423=Constants!$B$2,TRUE(),IF($O423=Constants!$B$3,FALSE(),TRUE())))</f>
        <v/>
      </c>
      <c r="AU423" s="74" t="str">
        <f aca="false">IF(ISBLANK($C423),"",IF($P423=Constants!$B$2,TRUE(),IF($P423=Constants!$B$3,FALSE(),TRUE())))</f>
        <v/>
      </c>
      <c r="AV423" s="74" t="str">
        <f aca="false">IF(ISBLANK($C423),"",IF($Q423=Constants!$B$2,TRUE(),IF($Q423=Constants!$B$3,FALSE(),FALSE())))</f>
        <v/>
      </c>
      <c r="AW423" s="74" t="str">
        <f aca="false">IF(ISBLANK($C423),"",IF($R423=Constants!$B$2,TRUE(),IF($R423=Constants!$B$3,FALSE(),FALSE())))</f>
        <v/>
      </c>
      <c r="AX423" s="74" t="str">
        <f aca="false">IF(ISBLANK($C423),"",IF($S423=Constants!$B$2,TRUE(),IF($S423=Constants!$B$3,FALSE(),FALSE())))</f>
        <v/>
      </c>
      <c r="AY423" s="74" t="str">
        <f aca="false">IF(ISBLANK($C423),"",IF($T423=Constants!$B$2,TRUE(),IF($T423=Constants!$B$3,FALSE(),FALSE())))</f>
        <v/>
      </c>
      <c r="AZ423" s="74" t="str">
        <f aca="false">IF(ISBLANK($C423),"",IF($U423=Constants!$B$2,TRUE(),IF($U423=Constants!$B$3,FALSE(),FALSE())))</f>
        <v/>
      </c>
      <c r="BA423" s="74" t="str">
        <f aca="false">IF(ISBLANK($C423),"",IF(OR($V423&amp;""="1",$V423&amp;""="2",$V423&amp;""="3",$V423&amp;""="4"),VALUE($V423&amp;""),IF($V423=Constants!$B$12,Constants!$B$12,"")))</f>
        <v/>
      </c>
      <c r="BB423" s="74" t="str">
        <f aca="false">IF(ISBLANK($C423),"",IF(ISBLANK($W423),0,IF(ISNUMBER($W423),IF(AND($W423&gt;=0,$W423&lt;=Constants!$B$21,$W423=INT($W423)),$W423,""),"")))</f>
        <v/>
      </c>
      <c r="BC423" s="74" t="str">
        <f aca="false">IF(ISBLANK($C423),"",IF(ISBLANK($X423),0,IF(ISNUMBER($X423),IF($X423&gt;=0,$X423,""),"")))</f>
        <v/>
      </c>
      <c r="BD423" s="74" t="str">
        <f aca="false">IF(ISBLANK($C423),"",IF($Y423=Constants!$B$2,TRUE(),IF($Y423=Constants!$B$3,FALSE(),TRUE())))</f>
        <v/>
      </c>
      <c r="BE423" s="74" t="str">
        <f aca="false">IF(ISBLANK($C423),"",IF($Z423=Constants!$B$2,TRUE(),IF($Z423=Constants!$B$3,FALSE(),FALSE())))</f>
        <v/>
      </c>
      <c r="BF423" s="74" t="str">
        <f aca="false">IF(ISBLANK($C423),"",IF(ISBLANK($AA423),0,IF(ISNUMBER($AA423),IF(AND($AA423&gt;=0,$AA423&lt;=Constants!$B$35,$AA423=INT($AA423)),$AA423,""),"")))</f>
        <v/>
      </c>
      <c r="BG423" s="74" t="str">
        <f aca="false">IF(ISBLANK($C423),"",IF($AB423=Constants!$B$2,TRUE(),IF($AB423=Constants!$B$3,FALSE(),TRUE())))</f>
        <v/>
      </c>
      <c r="BH423" s="74" t="str">
        <f aca="false">IF(ISBLANK($C423),"",IF($AC423=Constants!$B$2,TRUE(),IF($AC423=Constants!$B$3,FALSE(),TRUE())))</f>
        <v/>
      </c>
      <c r="BI423" s="74" t="str">
        <f aca="false">IF(ISBLANK($C423),"",IF($AD423=Constants!$B$2,TRUE(),IF($AD423=Constants!$B$3,FALSE(),TRUE())))</f>
        <v/>
      </c>
      <c r="BJ423" s="74" t="str">
        <f aca="false">IF(ISBLANK($C423),"",IF(ISNUMBER($AE423),IF($AE423&gt;=0,$AE423,""),""))</f>
        <v/>
      </c>
      <c r="BK423" s="74" t="str">
        <f aca="false">IF(ISBLANK($C423),"",IF($AF423=Constants!$B$2,TRUE(),IF($AF423=Constants!$B$3,FALSE(),FALSE())))</f>
        <v/>
      </c>
      <c r="BL423" s="73" t="str">
        <f aca="false">IF(ISBLANK($C423),"",IF($BK423,Constants!$B$7,IF(COUNTA($E423:$AE423)=0,Constants!$B$6,IF(OR(COUNTA($G423:$AE423)=0,NOT($AM423),$AS423),Constants!$B$5,IF(OR($CM423&lt;&gt;"",$CN423,$CO423,$CP423,$CQ423,$CR423,$CS423),Constants!$B$8,Constants!$B$4)))))</f>
        <v/>
      </c>
      <c r="BM423" s="74" t="str">
        <f aca="false">IF(ISBLANK($C423),"",IF($BL423&lt;&gt;Constants!$B$4,$BL423,IF(OR(NOT($AJ423),NOT($AL423),NOT($AT423)),Constants!$B$11,IF(OR(NOT($AR423),NOT($AU423),NOT($BI423),MAX($AN423,$AO423,$AP423)&gt;Constants!$B$30),Constants!$B$10,Constants!$B$9))))</f>
        <v/>
      </c>
      <c r="BN423" s="74" t="str">
        <f aca="false">IF($BL423&lt;&gt;Constants!$B$4,"",IF(NOT($AL423),0,MIN(Constants!$B$35,$BF423)))</f>
        <v/>
      </c>
      <c r="BO423" s="74" t="str">
        <f aca="false">IF($BL423&lt;&gt;Constants!$B$4,"",IF(NOT($AL423),0,IF($AW423,Constants!$B$18,IF($AV423,Constants!$B$17,0))))</f>
        <v/>
      </c>
      <c r="BP423" s="74" t="str">
        <f aca="false">IF($BL423&lt;&gt;Constants!$B$4,"",IF(NOT($AL423),0,Constants!$B$19*($AK423+$AX423+$AY423+$AZ423)))</f>
        <v/>
      </c>
      <c r="BQ423" s="74" t="str">
        <f aca="false">IF($BL423&lt;&gt;Constants!$B$4,"",IF(OR(NOT($AL423),NOT(ISNUMBER($BA423))),0,CHOOSE($BA423,Constants!$B$13,Constants!$B$14,Constants!$B$15,Constants!$B$16)))</f>
        <v/>
      </c>
      <c r="BR423" s="74" t="str">
        <f aca="false">IF($BL423&lt;&gt;Constants!$B$4,"",IF(NOT($AL423),0,Constants!$B$20*$BB423))</f>
        <v/>
      </c>
      <c r="BS423" s="74" t="str">
        <f aca="false">IF($BL423&lt;&gt;Constants!$B$4,"",IF(AND($AL423,$BD423,$BE423),Constants!$B$22,0))</f>
        <v/>
      </c>
      <c r="BT423" s="74" t="str">
        <f aca="false">IF($BL423&lt;&gt;Constants!$B$4,"",IF(OR(NOT($AL423),NOT($BD423)),0,IF($BJ423&gt;=2*$AH$9,0,Constants!$B$23*INT(ROUND(MIN($BJ423,$AH$9),6)))))</f>
        <v/>
      </c>
      <c r="BU423" s="74" t="str">
        <f aca="false">IF($BL423&lt;&gt;Constants!$B$4,"",IF(NOT($AL423),0,Constants!$B$24*INT(ROUND(MIN($BC423,$AH$9),6))))</f>
        <v/>
      </c>
      <c r="BV423" s="74" t="str">
        <f aca="false">IF($BL423&lt;&gt;Constants!$B$4,"",IF(AND($AL423,$BN423=0),Constants!$B$25,0))</f>
        <v/>
      </c>
      <c r="BW423" s="74" t="str">
        <f aca="false">IF($BL423&lt;&gt;Constants!$B$4,"",MIN(Constants!$B$29,MAX(0,Constants!$B$27*Constants!$B$28*INT(ROUND((Constants!$B$26-$AN423)/Constants!$B$28,6))))+MIN(Constants!$B$29,MAX(0,Constants!$B$27*Constants!$B$28*INT(ROUND((Constants!$B$26-$AO423)/Constants!$B$28,6))))+MIN(Constants!$B$29,MAX(0,Constants!$B$27*Constants!$B$28*INT(ROUND((Constants!$B$26-$AP423)/Constants!$B$28,6)))))</f>
        <v/>
      </c>
      <c r="BX423" s="74" t="str">
        <f aca="false">IF($BL423&lt;&gt;Constants!$B$4,"",IF(NOT($AL423),0,Constants!$B$31*INT(ROUND(MAX(0,MIN($BJ423,2*$AH$9)-$AH$9),6))))</f>
        <v/>
      </c>
      <c r="BY423" s="74" t="str">
        <f aca="false">IF($BL423&lt;&gt;Constants!$B$4,"",Constants!$B$32*(($AN423&gt;Constants!$B$26)+($AO423&gt;Constants!$B$26)+($AP423&gt;Constants!$B$26)))</f>
        <v/>
      </c>
      <c r="BZ423" s="74" t="str">
        <f aca="false">IF($BL423&lt;&gt;Constants!$B$4,"",IF(OR(NOT($AL423),$AQ423),0,Constants!$B$33))</f>
        <v/>
      </c>
      <c r="CA423" s="74" t="str">
        <f aca="false">IF($BL423&lt;&gt;Constants!$B$4,"",Constants!$B$34*$BN423)</f>
        <v/>
      </c>
      <c r="CB423" s="74" t="str">
        <f aca="false">IF($BL423&lt;&gt;Constants!$B$4,"",IF(OR(NOT($AL423),$BH423),0,Constants!$B$36))</f>
        <v/>
      </c>
      <c r="CC423" s="74" t="str">
        <f aca="false">IF($BL423&lt;&gt;Constants!$B$4,"",IF(OR(NOT($AL423),$BG423),0,Constants!$B$37))</f>
        <v/>
      </c>
      <c r="CD423" s="74" t="str">
        <f aca="false">IF($BL423&lt;&gt;Constants!$B$4,"",SUM($BX423:$CC423))</f>
        <v/>
      </c>
      <c r="CE423" s="74" t="str">
        <f aca="false">IF(ISBLANK($C423),"",IF($BL423&lt;&gt;Constants!$B$4,$BL423,SUM($BO423:$BW423)-$CD423))</f>
        <v/>
      </c>
      <c r="CF423" s="74" t="str">
        <f aca="false">IF(ISBLANK($C423),"",IF($BL423&lt;&gt;Constants!$B$4,$BL423,RANK($CE423,$CE$9:$CE$508)))</f>
        <v/>
      </c>
      <c r="CG423" s="74" t="str">
        <f aca="false">IF(ISBLANK($C423),"",IF($BL423&lt;&gt;Constants!$B$4,$BL423,COUNTIFS($BM$9:$BM$508,"&lt;"&amp;$BM423)+COUNTIFS($BM$9:$BM$508,$BM423,$CF$9:$CF$508,"&lt;"&amp;$CF423)+1))</f>
        <v/>
      </c>
      <c r="CH423" s="74" t="str">
        <f aca="false">IF(ISBLANK($C423),"",IF($BL423&lt;&gt;Constants!$B$4,$BL423,RANK($CD423,$CD$9:$CD$508,1)))</f>
        <v/>
      </c>
      <c r="CI423" s="74" t="str">
        <f aca="false">IF($BL423&lt;&gt;Constants!$B$4,"",$AN423+$AO423+$AP423)</f>
        <v/>
      </c>
      <c r="CJ423" s="74" t="str">
        <f aca="false">IF(ISBLANK($C423),"",IF($BL423&lt;&gt;Constants!$B$4,$BL423,RANK($CI423,$CI$9:$CI$508,1)))</f>
        <v/>
      </c>
      <c r="CK423" s="74" t="str">
        <f aca="false">IF(ISBLANK($C423),"",IF($BL423&lt;&gt;Constants!$B$4,$BL423,COUNTIFS($BM$9:$BM$508,"&lt;"&amp;$BM423)+COUNTIFS($BM$9:$BM$508,$BM423,$CF$9:$CF$508,"&lt;"&amp;$CF423)+COUNTIFS($BM$9:$BM$508,$BM423,$CF$9:$CF$508,$CF423,$CH$9:$CH$508,"&lt;"&amp;$CH423)+COUNTIFS($BM$9:$BM$508,$BM423,$CF$9:$CF$508,$CF423,$CH$9:$CH$508,$CH423,$CJ$9:$CJ$508,"&lt;"&amp;$CJ423)+1))</f>
        <v/>
      </c>
      <c r="CL423" s="74" t="str">
        <f aca="false">IF(ISBLANK($C423),"",IF($BL423&lt;&gt;Constants!$B$4,$BL423,$CG423-$CK423))</f>
        <v/>
      </c>
      <c r="CM423" s="74" t="str">
        <f aca="false">IF(ISBLANK($C423),"",IF(NOT($AL423),"",IF(ISBLANK($D$7),$CM$5,IF(NOT(ISNUMBER($D$7)),$CM$6,""))))</f>
        <v/>
      </c>
      <c r="CN423" s="74" t="str">
        <f aca="false">IF(ISBLANK($C423),"",OR($AN423="",$AO423="",$AP423=""))</f>
        <v/>
      </c>
      <c r="CO423" s="74" t="str">
        <f aca="false">IF(ISBLANK($C423),"",AND($AL423,$BA423=""))</f>
        <v/>
      </c>
      <c r="CP423" s="74" t="str">
        <f aca="false">IF(ISBLANK($C423),"",AND($AL423,$BB423=""))</f>
        <v/>
      </c>
      <c r="CQ423" s="74" t="str">
        <f aca="false">IF(ISBLANK($C423),"",AND($AL423,$BC423=""))</f>
        <v/>
      </c>
      <c r="CR423" s="74" t="str">
        <f aca="false">IF(ISBLANK($C423),"",AND($AL423,$BF423=""))</f>
        <v/>
      </c>
      <c r="CS423" s="74" t="str">
        <f aca="false">IF(ISBLANK($C423),"",AND($AL423,$BJ423=""))</f>
        <v/>
      </c>
      <c r="CT423" s="75"/>
      <c r="CU423" s="76"/>
      <c r="CV423" s="79" t="str">
        <f aca="false">IF(ISBLANK($C423),"",IF($BL423=Constants!$B$8,$CM423,""))</f>
        <v/>
      </c>
      <c r="CW423" s="76" t="str">
        <f aca="false">IF(ISBLANK($C423),"",IF($BL423&lt;&gt;Constants!$B$4,"",$BO423+$BP423))</f>
        <v/>
      </c>
      <c r="CX423" s="78" t="str">
        <f aca="false">IF(ISBLANK($C423),"",IF($BL423&lt;&gt;Constants!$B$4,"",$BQ423+$BR423+$BS423))</f>
        <v/>
      </c>
      <c r="CY423" s="78" t="str">
        <f aca="false">IF(ISBLANK($C423),"",IF($BL423&lt;&gt;Constants!$B$4,"",$BT423))</f>
        <v/>
      </c>
      <c r="CZ423" s="78" t="str">
        <f aca="false">IF(ISBLANK($C423),"",IF($BL423&lt;&gt;Constants!$B$4,"",$BU423+$BV423))</f>
        <v/>
      </c>
      <c r="DA423" s="78" t="str">
        <f aca="false">IF(ISBLANK($C423),"",IF($BL423&lt;&gt;Constants!$B$4,"",$BW423))</f>
        <v/>
      </c>
      <c r="DB423" s="78" t="str">
        <f aca="false">IF(ISBLANK($C423),"",IF($BL423&lt;&gt;Constants!$B$4,"",-$CD423))</f>
        <v/>
      </c>
      <c r="DC423" s="79" t="str">
        <f aca="false">IF(ISBLANK($C423),"",$CE423)</f>
        <v/>
      </c>
      <c r="DD423" s="80" t="str">
        <f aca="false">IF(ISBLANK($C423),"",$BM423)</f>
        <v/>
      </c>
      <c r="DE423" s="78" t="str">
        <f aca="false">IF(ISBLANK($C423),"",$CL423)</f>
        <v/>
      </c>
      <c r="DF423" s="78" t="str">
        <f aca="false">IF(ISBLANK($C423),"",$CK423)</f>
        <v/>
      </c>
      <c r="DG423" s="81" t="str">
        <f aca="false">IF(ISBLANK($C423),"",IF($DF423=Constants!$B$7,COUNTA($C$9:$C$508)+2,IF($DF423=Constants!$B$6,COUNTA($C$9:$C$508)+1,IF($DF423=Constants!$B$5,COUNTA($C$9:$C$508),$DF423))))</f>
        <v/>
      </c>
      <c r="DH423" s="7"/>
      <c r="DI423" s="82" t="n">
        <f aca="false">IF(OR(ISNUMBER($DF423),$DF423=Constants!$B$7,$DF423=Constants!$B$5,$DF423=Constants!$B$6),1,0)</f>
        <v>0</v>
      </c>
      <c r="DJ423" s="82" t="n">
        <v>415</v>
      </c>
      <c r="DK423" s="82" t="str">
        <f aca="false">IF(ISBLANK($C423),"",IF(ISNUMBER($DG423),$DG423+ROW($B423)/1000,""))</f>
        <v/>
      </c>
      <c r="DL423" s="82" t="str">
        <f aca="false">IF(ISNUMBER($DK423),RANK($DK423,$DK$9:$DK$508,1),"")</f>
        <v/>
      </c>
      <c r="DM423" s="82" t="str">
        <f aca="false">IF(ISBLANK($C423),"",$B423)</f>
        <v/>
      </c>
      <c r="DN423" s="82" t="str">
        <f aca="false">IF(ISBLANK($C423),"",$C423)</f>
        <v/>
      </c>
      <c r="DO423" s="82" t="str">
        <f aca="false">IF(ISBLANK($C423),"",$D423)</f>
        <v/>
      </c>
      <c r="DP423" s="83" t="str">
        <f aca="false">$DD423</f>
        <v/>
      </c>
      <c r="DQ423" s="84" t="str">
        <f aca="false">$DC423</f>
        <v/>
      </c>
      <c r="DR423" s="82" t="str">
        <f aca="false">IF(ISBLANK($C423),"",$DF423)</f>
        <v/>
      </c>
      <c r="DS423" s="85" t="str">
        <f aca="false">IF($DJ423&gt;$DI$8,"",VLOOKUP($DJ423,$DL$9:$DR$508,7,FALSE()))</f>
        <v/>
      </c>
      <c r="DT423" s="86" t="str">
        <f aca="false">IF($DJ423&gt;$DI$8,"",VLOOKUP($DJ423,$DL$9:$DR$508,2,FALSE()))</f>
        <v/>
      </c>
      <c r="DU423" s="86" t="str">
        <f aca="false">IF($DJ423&gt;$DI$8,"",VLOOKUP($DJ423,$DL$9:$DR$508,3,FALSE()))</f>
        <v/>
      </c>
      <c r="DV423" s="86" t="str">
        <f aca="false">IF($DJ423&gt;$DI$8,"",VLOOKUP($DJ423,$DL$9:$DR$508,4,FALSE()))</f>
        <v/>
      </c>
      <c r="DW423" s="86" t="str">
        <f aca="false">IF($DJ423&gt;$DI$8,"",VLOOKUP($DJ423,$DL$9:$DR$508,5,FALSE()))</f>
        <v/>
      </c>
      <c r="DX423" s="87" t="str">
        <f aca="false">IF($DJ423&gt;$DI$8,"",VLOOKUP($DJ423,$DL$9:$DR$508,6,FALSE()))</f>
        <v/>
      </c>
      <c r="DY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88"/>
      <c r="N424" s="88"/>
      <c r="O424" s="134"/>
      <c r="P424" s="134"/>
      <c r="Q424" s="88"/>
      <c r="R424" s="88"/>
      <c r="S424" s="88"/>
      <c r="T424" s="88"/>
      <c r="U424" s="134"/>
      <c r="V424" s="88"/>
      <c r="W424" s="70"/>
      <c r="X424" s="88"/>
      <c r="Y424" s="88"/>
      <c r="Z424" s="70"/>
      <c r="AA424" s="70"/>
      <c r="AB424" s="88"/>
      <c r="AC424" s="88"/>
      <c r="AD424" s="88"/>
      <c r="AE424" s="71"/>
      <c r="AF424" s="88"/>
      <c r="AG424" s="73"/>
      <c r="AH424" s="74"/>
      <c r="AI424" s="74"/>
      <c r="AJ424" s="74" t="str">
        <f aca="false">IF(ISBLANK($C424),"",IF($E424=Constants!$B$2,TRUE(),IF($E424=Constants!$B$3,FALSE(),TRUE())))</f>
        <v/>
      </c>
      <c r="AK424" s="74" t="str">
        <f aca="false">IF(ISBLANK($C424),"",IF($F424=Constants!$B$2,TRUE(),IF($F424=Constants!$B$3,FALSE(),FALSE())))</f>
        <v/>
      </c>
      <c r="AL424" s="74" t="str">
        <f aca="false">IF(ISBLANK($C424),"",IF($G424=Constants!$B$2,TRUE(),IF($G424=Constants!$B$3,FALSE(),TRUE())))</f>
        <v/>
      </c>
      <c r="AM424" s="74" t="str">
        <f aca="false">IF(ISBLANK($C424),"",IF($H424=Constants!$B$2,TRUE(),IF($H424=Constants!$B$3,FALSE(),TRUE())))</f>
        <v/>
      </c>
      <c r="AN424" s="74" t="str">
        <f aca="false">IF(ISBLANK($C424),"",IF(ISNUMBER($I424),IF($I424&gt;=0,$I424,""),""))</f>
        <v/>
      </c>
      <c r="AO424" s="74" t="str">
        <f aca="false">IF(ISBLANK($C424),"",IF(ISNUMBER($J424),IF($J424&gt;=0,$J424,""),""))</f>
        <v/>
      </c>
      <c r="AP424" s="74" t="str">
        <f aca="false">IF(ISBLANK($C424),"",IF(ISNUMBER($K424),IF($K424&gt;=0,$K424,""),""))</f>
        <v/>
      </c>
      <c r="AQ424" s="74" t="str">
        <f aca="false">IF(ISBLANK($C424),"",IF($L424=Constants!$B$2,TRUE(),IF($L424=Constants!$B$3,FALSE(),TRUE())))</f>
        <v/>
      </c>
      <c r="AR424" s="74" t="str">
        <f aca="false">IF(ISBLANK($C424),"",IF($M424=Constants!$B$2,TRUE(),IF($M424=Constants!$B$3,FALSE(),TRUE())))</f>
        <v/>
      </c>
      <c r="AS424" s="74" t="str">
        <f aca="false">IF(ISBLANK($C424),"",IF($N424=Constants!$B$2,TRUE(),IF($N424=Constants!$B$3,FALSE(),FALSE())))</f>
        <v/>
      </c>
      <c r="AT424" s="74" t="str">
        <f aca="false">IF(ISBLANK($C424),"",IF($O424=Constants!$B$2,TRUE(),IF($O424=Constants!$B$3,FALSE(),TRUE())))</f>
        <v/>
      </c>
      <c r="AU424" s="74" t="str">
        <f aca="false">IF(ISBLANK($C424),"",IF($P424=Constants!$B$2,TRUE(),IF($P424=Constants!$B$3,FALSE(),TRUE())))</f>
        <v/>
      </c>
      <c r="AV424" s="74" t="str">
        <f aca="false">IF(ISBLANK($C424),"",IF($Q424=Constants!$B$2,TRUE(),IF($Q424=Constants!$B$3,FALSE(),FALSE())))</f>
        <v/>
      </c>
      <c r="AW424" s="74" t="str">
        <f aca="false">IF(ISBLANK($C424),"",IF($R424=Constants!$B$2,TRUE(),IF($R424=Constants!$B$3,FALSE(),FALSE())))</f>
        <v/>
      </c>
      <c r="AX424" s="74" t="str">
        <f aca="false">IF(ISBLANK($C424),"",IF($S424=Constants!$B$2,TRUE(),IF($S424=Constants!$B$3,FALSE(),FALSE())))</f>
        <v/>
      </c>
      <c r="AY424" s="74" t="str">
        <f aca="false">IF(ISBLANK($C424),"",IF($T424=Constants!$B$2,TRUE(),IF($T424=Constants!$B$3,FALSE(),FALSE())))</f>
        <v/>
      </c>
      <c r="AZ424" s="74" t="str">
        <f aca="false">IF(ISBLANK($C424),"",IF($U424=Constants!$B$2,TRUE(),IF($U424=Constants!$B$3,FALSE(),FALSE())))</f>
        <v/>
      </c>
      <c r="BA424" s="74" t="str">
        <f aca="false">IF(ISBLANK($C424),"",IF(OR($V424&amp;""="1",$V424&amp;""="2",$V424&amp;""="3",$V424&amp;""="4"),VALUE($V424&amp;""),IF($V424=Constants!$B$12,Constants!$B$12,"")))</f>
        <v/>
      </c>
      <c r="BB424" s="74" t="str">
        <f aca="false">IF(ISBLANK($C424),"",IF(ISBLANK($W424),0,IF(ISNUMBER($W424),IF(AND($W424&gt;=0,$W424&lt;=Constants!$B$21,$W424=INT($W424)),$W424,""),"")))</f>
        <v/>
      </c>
      <c r="BC424" s="74" t="str">
        <f aca="false">IF(ISBLANK($C424),"",IF(ISBLANK($X424),0,IF(ISNUMBER($X424),IF($X424&gt;=0,$X424,""),"")))</f>
        <v/>
      </c>
      <c r="BD424" s="74" t="str">
        <f aca="false">IF(ISBLANK($C424),"",IF($Y424=Constants!$B$2,TRUE(),IF($Y424=Constants!$B$3,FALSE(),TRUE())))</f>
        <v/>
      </c>
      <c r="BE424" s="74" t="str">
        <f aca="false">IF(ISBLANK($C424),"",IF($Z424=Constants!$B$2,TRUE(),IF($Z424=Constants!$B$3,FALSE(),FALSE())))</f>
        <v/>
      </c>
      <c r="BF424" s="74" t="str">
        <f aca="false">IF(ISBLANK($C424),"",IF(ISBLANK($AA424),0,IF(ISNUMBER($AA424),IF(AND($AA424&gt;=0,$AA424&lt;=Constants!$B$35,$AA424=INT($AA424)),$AA424,""),"")))</f>
        <v/>
      </c>
      <c r="BG424" s="74" t="str">
        <f aca="false">IF(ISBLANK($C424),"",IF($AB424=Constants!$B$2,TRUE(),IF($AB424=Constants!$B$3,FALSE(),TRUE())))</f>
        <v/>
      </c>
      <c r="BH424" s="74" t="str">
        <f aca="false">IF(ISBLANK($C424),"",IF($AC424=Constants!$B$2,TRUE(),IF($AC424=Constants!$B$3,FALSE(),TRUE())))</f>
        <v/>
      </c>
      <c r="BI424" s="74" t="str">
        <f aca="false">IF(ISBLANK($C424),"",IF($AD424=Constants!$B$2,TRUE(),IF($AD424=Constants!$B$3,FALSE(),TRUE())))</f>
        <v/>
      </c>
      <c r="BJ424" s="74" t="str">
        <f aca="false">IF(ISBLANK($C424),"",IF(ISNUMBER($AE424),IF($AE424&gt;=0,$AE424,""),""))</f>
        <v/>
      </c>
      <c r="BK424" s="74" t="str">
        <f aca="false">IF(ISBLANK($C424),"",IF($AF424=Constants!$B$2,TRUE(),IF($AF424=Constants!$B$3,FALSE(),FALSE())))</f>
        <v/>
      </c>
      <c r="BL424" s="73" t="str">
        <f aca="false">IF(ISBLANK($C424),"",IF($BK424,Constants!$B$7,IF(COUNTA($E424:$AE424)=0,Constants!$B$6,IF(OR(COUNTA($G424:$AE424)=0,NOT($AM424),$AS424),Constants!$B$5,IF(OR($CM424&lt;&gt;"",$CN424,$CO424,$CP424,$CQ424,$CR424,$CS424),Constants!$B$8,Constants!$B$4)))))</f>
        <v/>
      </c>
      <c r="BM424" s="74" t="str">
        <f aca="false">IF(ISBLANK($C424),"",IF($BL424&lt;&gt;Constants!$B$4,$BL424,IF(OR(NOT($AJ424),NOT($AL424),NOT($AT424)),Constants!$B$11,IF(OR(NOT($AR424),NOT($AU424),NOT($BI424),MAX($AN424,$AO424,$AP424)&gt;Constants!$B$30),Constants!$B$10,Constants!$B$9))))</f>
        <v/>
      </c>
      <c r="BN424" s="74" t="str">
        <f aca="false">IF($BL424&lt;&gt;Constants!$B$4,"",IF(NOT($AL424),0,MIN(Constants!$B$35,$BF424)))</f>
        <v/>
      </c>
      <c r="BO424" s="74" t="str">
        <f aca="false">IF($BL424&lt;&gt;Constants!$B$4,"",IF(NOT($AL424),0,IF($AW424,Constants!$B$18,IF($AV424,Constants!$B$17,0))))</f>
        <v/>
      </c>
      <c r="BP424" s="74" t="str">
        <f aca="false">IF($BL424&lt;&gt;Constants!$B$4,"",IF(NOT($AL424),0,Constants!$B$19*($AK424+$AX424+$AY424+$AZ424)))</f>
        <v/>
      </c>
      <c r="BQ424" s="74" t="str">
        <f aca="false">IF($BL424&lt;&gt;Constants!$B$4,"",IF(OR(NOT($AL424),NOT(ISNUMBER($BA424))),0,CHOOSE($BA424,Constants!$B$13,Constants!$B$14,Constants!$B$15,Constants!$B$16)))</f>
        <v/>
      </c>
      <c r="BR424" s="74" t="str">
        <f aca="false">IF($BL424&lt;&gt;Constants!$B$4,"",IF(NOT($AL424),0,Constants!$B$20*$BB424))</f>
        <v/>
      </c>
      <c r="BS424" s="74" t="str">
        <f aca="false">IF($BL424&lt;&gt;Constants!$B$4,"",IF(AND($AL424,$BD424,$BE424),Constants!$B$22,0))</f>
        <v/>
      </c>
      <c r="BT424" s="74" t="str">
        <f aca="false">IF($BL424&lt;&gt;Constants!$B$4,"",IF(OR(NOT($AL424),NOT($BD424)),0,IF($BJ424&gt;=2*$AH$9,0,Constants!$B$23*INT(ROUND(MIN($BJ424,$AH$9),6)))))</f>
        <v/>
      </c>
      <c r="BU424" s="74" t="str">
        <f aca="false">IF($BL424&lt;&gt;Constants!$B$4,"",IF(NOT($AL424),0,Constants!$B$24*INT(ROUND(MIN($BC424,$AH$9),6))))</f>
        <v/>
      </c>
      <c r="BV424" s="74" t="str">
        <f aca="false">IF($BL424&lt;&gt;Constants!$B$4,"",IF(AND($AL424,$BN424=0),Constants!$B$25,0))</f>
        <v/>
      </c>
      <c r="BW424" s="74" t="str">
        <f aca="false">IF($BL424&lt;&gt;Constants!$B$4,"",MIN(Constants!$B$29,MAX(0,Constants!$B$27*Constants!$B$28*INT(ROUND((Constants!$B$26-$AN424)/Constants!$B$28,6))))+MIN(Constants!$B$29,MAX(0,Constants!$B$27*Constants!$B$28*INT(ROUND((Constants!$B$26-$AO424)/Constants!$B$28,6))))+MIN(Constants!$B$29,MAX(0,Constants!$B$27*Constants!$B$28*INT(ROUND((Constants!$B$26-$AP424)/Constants!$B$28,6)))))</f>
        <v/>
      </c>
      <c r="BX424" s="74" t="str">
        <f aca="false">IF($BL424&lt;&gt;Constants!$B$4,"",IF(NOT($AL424),0,Constants!$B$31*INT(ROUND(MAX(0,MIN($BJ424,2*$AH$9)-$AH$9),6))))</f>
        <v/>
      </c>
      <c r="BY424" s="74" t="str">
        <f aca="false">IF($BL424&lt;&gt;Constants!$B$4,"",Constants!$B$32*(($AN424&gt;Constants!$B$26)+($AO424&gt;Constants!$B$26)+($AP424&gt;Constants!$B$26)))</f>
        <v/>
      </c>
      <c r="BZ424" s="74" t="str">
        <f aca="false">IF($BL424&lt;&gt;Constants!$B$4,"",IF(OR(NOT($AL424),$AQ424),0,Constants!$B$33))</f>
        <v/>
      </c>
      <c r="CA424" s="74" t="str">
        <f aca="false">IF($BL424&lt;&gt;Constants!$B$4,"",Constants!$B$34*$BN424)</f>
        <v/>
      </c>
      <c r="CB424" s="74" t="str">
        <f aca="false">IF($BL424&lt;&gt;Constants!$B$4,"",IF(OR(NOT($AL424),$BH424),0,Constants!$B$36))</f>
        <v/>
      </c>
      <c r="CC424" s="74" t="str">
        <f aca="false">IF($BL424&lt;&gt;Constants!$B$4,"",IF(OR(NOT($AL424),$BG424),0,Constants!$B$37))</f>
        <v/>
      </c>
      <c r="CD424" s="74" t="str">
        <f aca="false">IF($BL424&lt;&gt;Constants!$B$4,"",SUM($BX424:$CC424))</f>
        <v/>
      </c>
      <c r="CE424" s="74" t="str">
        <f aca="false">IF(ISBLANK($C424),"",IF($BL424&lt;&gt;Constants!$B$4,$BL424,SUM($BO424:$BW424)-$CD424))</f>
        <v/>
      </c>
      <c r="CF424" s="74" t="str">
        <f aca="false">IF(ISBLANK($C424),"",IF($BL424&lt;&gt;Constants!$B$4,$BL424,RANK($CE424,$CE$9:$CE$508)))</f>
        <v/>
      </c>
      <c r="CG424" s="74" t="str">
        <f aca="false">IF(ISBLANK($C424),"",IF($BL424&lt;&gt;Constants!$B$4,$BL424,COUNTIFS($BM$9:$BM$508,"&lt;"&amp;$BM424)+COUNTIFS($BM$9:$BM$508,$BM424,$CF$9:$CF$508,"&lt;"&amp;$CF424)+1))</f>
        <v/>
      </c>
      <c r="CH424" s="74" t="str">
        <f aca="false">IF(ISBLANK($C424),"",IF($BL424&lt;&gt;Constants!$B$4,$BL424,RANK($CD424,$CD$9:$CD$508,1)))</f>
        <v/>
      </c>
      <c r="CI424" s="74" t="str">
        <f aca="false">IF($BL424&lt;&gt;Constants!$B$4,"",$AN424+$AO424+$AP424)</f>
        <v/>
      </c>
      <c r="CJ424" s="74" t="str">
        <f aca="false">IF(ISBLANK($C424),"",IF($BL424&lt;&gt;Constants!$B$4,$BL424,RANK($CI424,$CI$9:$CI$508,1)))</f>
        <v/>
      </c>
      <c r="CK424" s="74" t="str">
        <f aca="false">IF(ISBLANK($C424),"",IF($BL424&lt;&gt;Constants!$B$4,$BL424,COUNTIFS($BM$9:$BM$508,"&lt;"&amp;$BM424)+COUNTIFS($BM$9:$BM$508,$BM424,$CF$9:$CF$508,"&lt;"&amp;$CF424)+COUNTIFS($BM$9:$BM$508,$BM424,$CF$9:$CF$508,$CF424,$CH$9:$CH$508,"&lt;"&amp;$CH424)+COUNTIFS($BM$9:$BM$508,$BM424,$CF$9:$CF$508,$CF424,$CH$9:$CH$508,$CH424,$CJ$9:$CJ$508,"&lt;"&amp;$CJ424)+1))</f>
        <v/>
      </c>
      <c r="CL424" s="74" t="str">
        <f aca="false">IF(ISBLANK($C424),"",IF($BL424&lt;&gt;Constants!$B$4,$BL424,$CG424-$CK424))</f>
        <v/>
      </c>
      <c r="CM424" s="74" t="str">
        <f aca="false">IF(ISBLANK($C424),"",IF(NOT($AL424),"",IF(ISBLANK($D$7),$CM$5,IF(NOT(ISNUMBER($D$7)),$CM$6,""))))</f>
        <v/>
      </c>
      <c r="CN424" s="74" t="str">
        <f aca="false">IF(ISBLANK($C424),"",OR($AN424="",$AO424="",$AP424=""))</f>
        <v/>
      </c>
      <c r="CO424" s="74" t="str">
        <f aca="false">IF(ISBLANK($C424),"",AND($AL424,$BA424=""))</f>
        <v/>
      </c>
      <c r="CP424" s="74" t="str">
        <f aca="false">IF(ISBLANK($C424),"",AND($AL424,$BB424=""))</f>
        <v/>
      </c>
      <c r="CQ424" s="74" t="str">
        <f aca="false">IF(ISBLANK($C424),"",AND($AL424,$BC424=""))</f>
        <v/>
      </c>
      <c r="CR424" s="74" t="str">
        <f aca="false">IF(ISBLANK($C424),"",AND($AL424,$BF424=""))</f>
        <v/>
      </c>
      <c r="CS424" s="74" t="str">
        <f aca="false">IF(ISBLANK($C424),"",AND($AL424,$BJ424=""))</f>
        <v/>
      </c>
      <c r="CT424" s="75"/>
      <c r="CU424" s="76"/>
      <c r="CV424" s="79" t="str">
        <f aca="false">IF(ISBLANK($C424),"",IF($BL424=Constants!$B$8,$CM424,""))</f>
        <v/>
      </c>
      <c r="CW424" s="76" t="str">
        <f aca="false">IF(ISBLANK($C424),"",IF($BL424&lt;&gt;Constants!$B$4,"",$BO424+$BP424))</f>
        <v/>
      </c>
      <c r="CX424" s="78" t="str">
        <f aca="false">IF(ISBLANK($C424),"",IF($BL424&lt;&gt;Constants!$B$4,"",$BQ424+$BR424+$BS424))</f>
        <v/>
      </c>
      <c r="CY424" s="78" t="str">
        <f aca="false">IF(ISBLANK($C424),"",IF($BL424&lt;&gt;Constants!$B$4,"",$BT424))</f>
        <v/>
      </c>
      <c r="CZ424" s="78" t="str">
        <f aca="false">IF(ISBLANK($C424),"",IF($BL424&lt;&gt;Constants!$B$4,"",$BU424+$BV424))</f>
        <v/>
      </c>
      <c r="DA424" s="78" t="str">
        <f aca="false">IF(ISBLANK($C424),"",IF($BL424&lt;&gt;Constants!$B$4,"",$BW424))</f>
        <v/>
      </c>
      <c r="DB424" s="78" t="str">
        <f aca="false">IF(ISBLANK($C424),"",IF($BL424&lt;&gt;Constants!$B$4,"",-$CD424))</f>
        <v/>
      </c>
      <c r="DC424" s="79" t="str">
        <f aca="false">IF(ISBLANK($C424),"",$CE424)</f>
        <v/>
      </c>
      <c r="DD424" s="80" t="str">
        <f aca="false">IF(ISBLANK($C424),"",$BM424)</f>
        <v/>
      </c>
      <c r="DE424" s="78" t="str">
        <f aca="false">IF(ISBLANK($C424),"",$CL424)</f>
        <v/>
      </c>
      <c r="DF424" s="78" t="str">
        <f aca="false">IF(ISBLANK($C424),"",$CK424)</f>
        <v/>
      </c>
      <c r="DG424" s="81" t="str">
        <f aca="false">IF(ISBLANK($C424),"",IF($DF424=Constants!$B$7,COUNTA($C$9:$C$508)+2,IF($DF424=Constants!$B$6,COUNTA($C$9:$C$508)+1,IF($DF424=Constants!$B$5,COUNTA($C$9:$C$508),$DF424))))</f>
        <v/>
      </c>
      <c r="DH424" s="7"/>
      <c r="DI424" s="82" t="n">
        <f aca="false">IF(OR(ISNUMBER($DF424),$DF424=Constants!$B$7,$DF424=Constants!$B$5,$DF424=Constants!$B$6),1,0)</f>
        <v>0</v>
      </c>
      <c r="DJ424" s="82" t="n">
        <v>416</v>
      </c>
      <c r="DK424" s="82" t="str">
        <f aca="false">IF(ISBLANK($C424),"",IF(ISNUMBER($DG424),$DG424+ROW($B424)/1000,""))</f>
        <v/>
      </c>
      <c r="DL424" s="82" t="str">
        <f aca="false">IF(ISNUMBER($DK424),RANK($DK424,$DK$9:$DK$508,1),"")</f>
        <v/>
      </c>
      <c r="DM424" s="82" t="str">
        <f aca="false">IF(ISBLANK($C424),"",$B424)</f>
        <v/>
      </c>
      <c r="DN424" s="82" t="str">
        <f aca="false">IF(ISBLANK($C424),"",$C424)</f>
        <v/>
      </c>
      <c r="DO424" s="82" t="str">
        <f aca="false">IF(ISBLANK($C424),"",$D424)</f>
        <v/>
      </c>
      <c r="DP424" s="83" t="str">
        <f aca="false">$DD424</f>
        <v/>
      </c>
      <c r="DQ424" s="84" t="str">
        <f aca="false">$DC424</f>
        <v/>
      </c>
      <c r="DR424" s="82" t="str">
        <f aca="false">IF(ISBLANK($C424),"",$DF424)</f>
        <v/>
      </c>
      <c r="DS424" s="85" t="str">
        <f aca="false">IF($DJ424&gt;$DI$8,"",VLOOKUP($DJ424,$DL$9:$DR$508,7,FALSE()))</f>
        <v/>
      </c>
      <c r="DT424" s="86" t="str">
        <f aca="false">IF($DJ424&gt;$DI$8,"",VLOOKUP($DJ424,$DL$9:$DR$508,2,FALSE()))</f>
        <v/>
      </c>
      <c r="DU424" s="86" t="str">
        <f aca="false">IF($DJ424&gt;$DI$8,"",VLOOKUP($DJ424,$DL$9:$DR$508,3,FALSE()))</f>
        <v/>
      </c>
      <c r="DV424" s="86" t="str">
        <f aca="false">IF($DJ424&gt;$DI$8,"",VLOOKUP($DJ424,$DL$9:$DR$508,4,FALSE()))</f>
        <v/>
      </c>
      <c r="DW424" s="86" t="str">
        <f aca="false">IF($DJ424&gt;$DI$8,"",VLOOKUP($DJ424,$DL$9:$DR$508,5,FALSE()))</f>
        <v/>
      </c>
      <c r="DX424" s="87" t="str">
        <f aca="false">IF($DJ424&gt;$DI$8,"",VLOOKUP($DJ424,$DL$9:$DR$508,6,FALSE()))</f>
        <v/>
      </c>
      <c r="DY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88"/>
      <c r="N425" s="88"/>
      <c r="O425" s="134"/>
      <c r="P425" s="134"/>
      <c r="Q425" s="88"/>
      <c r="R425" s="88"/>
      <c r="S425" s="88"/>
      <c r="T425" s="88"/>
      <c r="U425" s="134"/>
      <c r="V425" s="88"/>
      <c r="W425" s="70"/>
      <c r="X425" s="88"/>
      <c r="Y425" s="88"/>
      <c r="Z425" s="70"/>
      <c r="AA425" s="70"/>
      <c r="AB425" s="88"/>
      <c r="AC425" s="88"/>
      <c r="AD425" s="88"/>
      <c r="AE425" s="71"/>
      <c r="AF425" s="88"/>
      <c r="AG425" s="73"/>
      <c r="AH425" s="74"/>
      <c r="AI425" s="74"/>
      <c r="AJ425" s="74" t="str">
        <f aca="false">IF(ISBLANK($C425),"",IF($E425=Constants!$B$2,TRUE(),IF($E425=Constants!$B$3,FALSE(),TRUE())))</f>
        <v/>
      </c>
      <c r="AK425" s="74" t="str">
        <f aca="false">IF(ISBLANK($C425),"",IF($F425=Constants!$B$2,TRUE(),IF($F425=Constants!$B$3,FALSE(),FALSE())))</f>
        <v/>
      </c>
      <c r="AL425" s="74" t="str">
        <f aca="false">IF(ISBLANK($C425),"",IF($G425=Constants!$B$2,TRUE(),IF($G425=Constants!$B$3,FALSE(),TRUE())))</f>
        <v/>
      </c>
      <c r="AM425" s="74" t="str">
        <f aca="false">IF(ISBLANK($C425),"",IF($H425=Constants!$B$2,TRUE(),IF($H425=Constants!$B$3,FALSE(),TRUE())))</f>
        <v/>
      </c>
      <c r="AN425" s="74" t="str">
        <f aca="false">IF(ISBLANK($C425),"",IF(ISNUMBER($I425),IF($I425&gt;=0,$I425,""),""))</f>
        <v/>
      </c>
      <c r="AO425" s="74" t="str">
        <f aca="false">IF(ISBLANK($C425),"",IF(ISNUMBER($J425),IF($J425&gt;=0,$J425,""),""))</f>
        <v/>
      </c>
      <c r="AP425" s="74" t="str">
        <f aca="false">IF(ISBLANK($C425),"",IF(ISNUMBER($K425),IF($K425&gt;=0,$K425,""),""))</f>
        <v/>
      </c>
      <c r="AQ425" s="74" t="str">
        <f aca="false">IF(ISBLANK($C425),"",IF($L425=Constants!$B$2,TRUE(),IF($L425=Constants!$B$3,FALSE(),TRUE())))</f>
        <v/>
      </c>
      <c r="AR425" s="74" t="str">
        <f aca="false">IF(ISBLANK($C425),"",IF($M425=Constants!$B$2,TRUE(),IF($M425=Constants!$B$3,FALSE(),TRUE())))</f>
        <v/>
      </c>
      <c r="AS425" s="74" t="str">
        <f aca="false">IF(ISBLANK($C425),"",IF($N425=Constants!$B$2,TRUE(),IF($N425=Constants!$B$3,FALSE(),FALSE())))</f>
        <v/>
      </c>
      <c r="AT425" s="74" t="str">
        <f aca="false">IF(ISBLANK($C425),"",IF($O425=Constants!$B$2,TRUE(),IF($O425=Constants!$B$3,FALSE(),TRUE())))</f>
        <v/>
      </c>
      <c r="AU425" s="74" t="str">
        <f aca="false">IF(ISBLANK($C425),"",IF($P425=Constants!$B$2,TRUE(),IF($P425=Constants!$B$3,FALSE(),TRUE())))</f>
        <v/>
      </c>
      <c r="AV425" s="74" t="str">
        <f aca="false">IF(ISBLANK($C425),"",IF($Q425=Constants!$B$2,TRUE(),IF($Q425=Constants!$B$3,FALSE(),FALSE())))</f>
        <v/>
      </c>
      <c r="AW425" s="74" t="str">
        <f aca="false">IF(ISBLANK($C425),"",IF($R425=Constants!$B$2,TRUE(),IF($R425=Constants!$B$3,FALSE(),FALSE())))</f>
        <v/>
      </c>
      <c r="AX425" s="74" t="str">
        <f aca="false">IF(ISBLANK($C425),"",IF($S425=Constants!$B$2,TRUE(),IF($S425=Constants!$B$3,FALSE(),FALSE())))</f>
        <v/>
      </c>
      <c r="AY425" s="74" t="str">
        <f aca="false">IF(ISBLANK($C425),"",IF($T425=Constants!$B$2,TRUE(),IF($T425=Constants!$B$3,FALSE(),FALSE())))</f>
        <v/>
      </c>
      <c r="AZ425" s="74" t="str">
        <f aca="false">IF(ISBLANK($C425),"",IF($U425=Constants!$B$2,TRUE(),IF($U425=Constants!$B$3,FALSE(),FALSE())))</f>
        <v/>
      </c>
      <c r="BA425" s="74" t="str">
        <f aca="false">IF(ISBLANK($C425),"",IF(OR($V425&amp;""="1",$V425&amp;""="2",$V425&amp;""="3",$V425&amp;""="4"),VALUE($V425&amp;""),IF($V425=Constants!$B$12,Constants!$B$12,"")))</f>
        <v/>
      </c>
      <c r="BB425" s="74" t="str">
        <f aca="false">IF(ISBLANK($C425),"",IF(ISBLANK($W425),0,IF(ISNUMBER($W425),IF(AND($W425&gt;=0,$W425&lt;=Constants!$B$21,$W425=INT($W425)),$W425,""),"")))</f>
        <v/>
      </c>
      <c r="BC425" s="74" t="str">
        <f aca="false">IF(ISBLANK($C425),"",IF(ISBLANK($X425),0,IF(ISNUMBER($X425),IF($X425&gt;=0,$X425,""),"")))</f>
        <v/>
      </c>
      <c r="BD425" s="74" t="str">
        <f aca="false">IF(ISBLANK($C425),"",IF($Y425=Constants!$B$2,TRUE(),IF($Y425=Constants!$B$3,FALSE(),TRUE())))</f>
        <v/>
      </c>
      <c r="BE425" s="74" t="str">
        <f aca="false">IF(ISBLANK($C425),"",IF($Z425=Constants!$B$2,TRUE(),IF($Z425=Constants!$B$3,FALSE(),FALSE())))</f>
        <v/>
      </c>
      <c r="BF425" s="74" t="str">
        <f aca="false">IF(ISBLANK($C425),"",IF(ISBLANK($AA425),0,IF(ISNUMBER($AA425),IF(AND($AA425&gt;=0,$AA425&lt;=Constants!$B$35,$AA425=INT($AA425)),$AA425,""),"")))</f>
        <v/>
      </c>
      <c r="BG425" s="74" t="str">
        <f aca="false">IF(ISBLANK($C425),"",IF($AB425=Constants!$B$2,TRUE(),IF($AB425=Constants!$B$3,FALSE(),TRUE())))</f>
        <v/>
      </c>
      <c r="BH425" s="74" t="str">
        <f aca="false">IF(ISBLANK($C425),"",IF($AC425=Constants!$B$2,TRUE(),IF($AC425=Constants!$B$3,FALSE(),TRUE())))</f>
        <v/>
      </c>
      <c r="BI425" s="74" t="str">
        <f aca="false">IF(ISBLANK($C425),"",IF($AD425=Constants!$B$2,TRUE(),IF($AD425=Constants!$B$3,FALSE(),TRUE())))</f>
        <v/>
      </c>
      <c r="BJ425" s="74" t="str">
        <f aca="false">IF(ISBLANK($C425),"",IF(ISNUMBER($AE425),IF($AE425&gt;=0,$AE425,""),""))</f>
        <v/>
      </c>
      <c r="BK425" s="74" t="str">
        <f aca="false">IF(ISBLANK($C425),"",IF($AF425=Constants!$B$2,TRUE(),IF($AF425=Constants!$B$3,FALSE(),FALSE())))</f>
        <v/>
      </c>
      <c r="BL425" s="73" t="str">
        <f aca="false">IF(ISBLANK($C425),"",IF($BK425,Constants!$B$7,IF(COUNTA($E425:$AE425)=0,Constants!$B$6,IF(OR(COUNTA($G425:$AE425)=0,NOT($AM425),$AS425),Constants!$B$5,IF(OR($CM425&lt;&gt;"",$CN425,$CO425,$CP425,$CQ425,$CR425,$CS425),Constants!$B$8,Constants!$B$4)))))</f>
        <v/>
      </c>
      <c r="BM425" s="74" t="str">
        <f aca="false">IF(ISBLANK($C425),"",IF($BL425&lt;&gt;Constants!$B$4,$BL425,IF(OR(NOT($AJ425),NOT($AL425),NOT($AT425)),Constants!$B$11,IF(OR(NOT($AR425),NOT($AU425),NOT($BI425),MAX($AN425,$AO425,$AP425)&gt;Constants!$B$30),Constants!$B$10,Constants!$B$9))))</f>
        <v/>
      </c>
      <c r="BN425" s="74" t="str">
        <f aca="false">IF($BL425&lt;&gt;Constants!$B$4,"",IF(NOT($AL425),0,MIN(Constants!$B$35,$BF425)))</f>
        <v/>
      </c>
      <c r="BO425" s="74" t="str">
        <f aca="false">IF($BL425&lt;&gt;Constants!$B$4,"",IF(NOT($AL425),0,IF($AW425,Constants!$B$18,IF($AV425,Constants!$B$17,0))))</f>
        <v/>
      </c>
      <c r="BP425" s="74" t="str">
        <f aca="false">IF($BL425&lt;&gt;Constants!$B$4,"",IF(NOT($AL425),0,Constants!$B$19*($AK425+$AX425+$AY425+$AZ425)))</f>
        <v/>
      </c>
      <c r="BQ425" s="74" t="str">
        <f aca="false">IF($BL425&lt;&gt;Constants!$B$4,"",IF(OR(NOT($AL425),NOT(ISNUMBER($BA425))),0,CHOOSE($BA425,Constants!$B$13,Constants!$B$14,Constants!$B$15,Constants!$B$16)))</f>
        <v/>
      </c>
      <c r="BR425" s="74" t="str">
        <f aca="false">IF($BL425&lt;&gt;Constants!$B$4,"",IF(NOT($AL425),0,Constants!$B$20*$BB425))</f>
        <v/>
      </c>
      <c r="BS425" s="74" t="str">
        <f aca="false">IF($BL425&lt;&gt;Constants!$B$4,"",IF(AND($AL425,$BD425,$BE425),Constants!$B$22,0))</f>
        <v/>
      </c>
      <c r="BT425" s="74" t="str">
        <f aca="false">IF($BL425&lt;&gt;Constants!$B$4,"",IF(OR(NOT($AL425),NOT($BD425)),0,IF($BJ425&gt;=2*$AH$9,0,Constants!$B$23*INT(ROUND(MIN($BJ425,$AH$9),6)))))</f>
        <v/>
      </c>
      <c r="BU425" s="74" t="str">
        <f aca="false">IF($BL425&lt;&gt;Constants!$B$4,"",IF(NOT($AL425),0,Constants!$B$24*INT(ROUND(MIN($BC425,$AH$9),6))))</f>
        <v/>
      </c>
      <c r="BV425" s="74" t="str">
        <f aca="false">IF($BL425&lt;&gt;Constants!$B$4,"",IF(AND($AL425,$BN425=0),Constants!$B$25,0))</f>
        <v/>
      </c>
      <c r="BW425" s="74" t="str">
        <f aca="false">IF($BL425&lt;&gt;Constants!$B$4,"",MIN(Constants!$B$29,MAX(0,Constants!$B$27*Constants!$B$28*INT(ROUND((Constants!$B$26-$AN425)/Constants!$B$28,6))))+MIN(Constants!$B$29,MAX(0,Constants!$B$27*Constants!$B$28*INT(ROUND((Constants!$B$26-$AO425)/Constants!$B$28,6))))+MIN(Constants!$B$29,MAX(0,Constants!$B$27*Constants!$B$28*INT(ROUND((Constants!$B$26-$AP425)/Constants!$B$28,6)))))</f>
        <v/>
      </c>
      <c r="BX425" s="74" t="str">
        <f aca="false">IF($BL425&lt;&gt;Constants!$B$4,"",IF(NOT($AL425),0,Constants!$B$31*INT(ROUND(MAX(0,MIN($BJ425,2*$AH$9)-$AH$9),6))))</f>
        <v/>
      </c>
      <c r="BY425" s="74" t="str">
        <f aca="false">IF($BL425&lt;&gt;Constants!$B$4,"",Constants!$B$32*(($AN425&gt;Constants!$B$26)+($AO425&gt;Constants!$B$26)+($AP425&gt;Constants!$B$26)))</f>
        <v/>
      </c>
      <c r="BZ425" s="74" t="str">
        <f aca="false">IF($BL425&lt;&gt;Constants!$B$4,"",IF(OR(NOT($AL425),$AQ425),0,Constants!$B$33))</f>
        <v/>
      </c>
      <c r="CA425" s="74" t="str">
        <f aca="false">IF($BL425&lt;&gt;Constants!$B$4,"",Constants!$B$34*$BN425)</f>
        <v/>
      </c>
      <c r="CB425" s="74" t="str">
        <f aca="false">IF($BL425&lt;&gt;Constants!$B$4,"",IF(OR(NOT($AL425),$BH425),0,Constants!$B$36))</f>
        <v/>
      </c>
      <c r="CC425" s="74" t="str">
        <f aca="false">IF($BL425&lt;&gt;Constants!$B$4,"",IF(OR(NOT($AL425),$BG425),0,Constants!$B$37))</f>
        <v/>
      </c>
      <c r="CD425" s="74" t="str">
        <f aca="false">IF($BL425&lt;&gt;Constants!$B$4,"",SUM($BX425:$CC425))</f>
        <v/>
      </c>
      <c r="CE425" s="74" t="str">
        <f aca="false">IF(ISBLANK($C425),"",IF($BL425&lt;&gt;Constants!$B$4,$BL425,SUM($BO425:$BW425)-$CD425))</f>
        <v/>
      </c>
      <c r="CF425" s="74" t="str">
        <f aca="false">IF(ISBLANK($C425),"",IF($BL425&lt;&gt;Constants!$B$4,$BL425,RANK($CE425,$CE$9:$CE$508)))</f>
        <v/>
      </c>
      <c r="CG425" s="74" t="str">
        <f aca="false">IF(ISBLANK($C425),"",IF($BL425&lt;&gt;Constants!$B$4,$BL425,COUNTIFS($BM$9:$BM$508,"&lt;"&amp;$BM425)+COUNTIFS($BM$9:$BM$508,$BM425,$CF$9:$CF$508,"&lt;"&amp;$CF425)+1))</f>
        <v/>
      </c>
      <c r="CH425" s="74" t="str">
        <f aca="false">IF(ISBLANK($C425),"",IF($BL425&lt;&gt;Constants!$B$4,$BL425,RANK($CD425,$CD$9:$CD$508,1)))</f>
        <v/>
      </c>
      <c r="CI425" s="74" t="str">
        <f aca="false">IF($BL425&lt;&gt;Constants!$B$4,"",$AN425+$AO425+$AP425)</f>
        <v/>
      </c>
      <c r="CJ425" s="74" t="str">
        <f aca="false">IF(ISBLANK($C425),"",IF($BL425&lt;&gt;Constants!$B$4,$BL425,RANK($CI425,$CI$9:$CI$508,1)))</f>
        <v/>
      </c>
      <c r="CK425" s="74" t="str">
        <f aca="false">IF(ISBLANK($C425),"",IF($BL425&lt;&gt;Constants!$B$4,$BL425,COUNTIFS($BM$9:$BM$508,"&lt;"&amp;$BM425)+COUNTIFS($BM$9:$BM$508,$BM425,$CF$9:$CF$508,"&lt;"&amp;$CF425)+COUNTIFS($BM$9:$BM$508,$BM425,$CF$9:$CF$508,$CF425,$CH$9:$CH$508,"&lt;"&amp;$CH425)+COUNTIFS($BM$9:$BM$508,$BM425,$CF$9:$CF$508,$CF425,$CH$9:$CH$508,$CH425,$CJ$9:$CJ$508,"&lt;"&amp;$CJ425)+1))</f>
        <v/>
      </c>
      <c r="CL425" s="74" t="str">
        <f aca="false">IF(ISBLANK($C425),"",IF($BL425&lt;&gt;Constants!$B$4,$BL425,$CG425-$CK425))</f>
        <v/>
      </c>
      <c r="CM425" s="74" t="str">
        <f aca="false">IF(ISBLANK($C425),"",IF(NOT($AL425),"",IF(ISBLANK($D$7),$CM$5,IF(NOT(ISNUMBER($D$7)),$CM$6,""))))</f>
        <v/>
      </c>
      <c r="CN425" s="74" t="str">
        <f aca="false">IF(ISBLANK($C425),"",OR($AN425="",$AO425="",$AP425=""))</f>
        <v/>
      </c>
      <c r="CO425" s="74" t="str">
        <f aca="false">IF(ISBLANK($C425),"",AND($AL425,$BA425=""))</f>
        <v/>
      </c>
      <c r="CP425" s="74" t="str">
        <f aca="false">IF(ISBLANK($C425),"",AND($AL425,$BB425=""))</f>
        <v/>
      </c>
      <c r="CQ425" s="74" t="str">
        <f aca="false">IF(ISBLANK($C425),"",AND($AL425,$BC425=""))</f>
        <v/>
      </c>
      <c r="CR425" s="74" t="str">
        <f aca="false">IF(ISBLANK($C425),"",AND($AL425,$BF425=""))</f>
        <v/>
      </c>
      <c r="CS425" s="74" t="str">
        <f aca="false">IF(ISBLANK($C425),"",AND($AL425,$BJ425=""))</f>
        <v/>
      </c>
      <c r="CT425" s="75"/>
      <c r="CU425" s="76"/>
      <c r="CV425" s="79" t="str">
        <f aca="false">IF(ISBLANK($C425),"",IF($BL425=Constants!$B$8,$CM425,""))</f>
        <v/>
      </c>
      <c r="CW425" s="76" t="str">
        <f aca="false">IF(ISBLANK($C425),"",IF($BL425&lt;&gt;Constants!$B$4,"",$BO425+$BP425))</f>
        <v/>
      </c>
      <c r="CX425" s="78" t="str">
        <f aca="false">IF(ISBLANK($C425),"",IF($BL425&lt;&gt;Constants!$B$4,"",$BQ425+$BR425+$BS425))</f>
        <v/>
      </c>
      <c r="CY425" s="78" t="str">
        <f aca="false">IF(ISBLANK($C425),"",IF($BL425&lt;&gt;Constants!$B$4,"",$BT425))</f>
        <v/>
      </c>
      <c r="CZ425" s="78" t="str">
        <f aca="false">IF(ISBLANK($C425),"",IF($BL425&lt;&gt;Constants!$B$4,"",$BU425+$BV425))</f>
        <v/>
      </c>
      <c r="DA425" s="78" t="str">
        <f aca="false">IF(ISBLANK($C425),"",IF($BL425&lt;&gt;Constants!$B$4,"",$BW425))</f>
        <v/>
      </c>
      <c r="DB425" s="78" t="str">
        <f aca="false">IF(ISBLANK($C425),"",IF($BL425&lt;&gt;Constants!$B$4,"",-$CD425))</f>
        <v/>
      </c>
      <c r="DC425" s="79" t="str">
        <f aca="false">IF(ISBLANK($C425),"",$CE425)</f>
        <v/>
      </c>
      <c r="DD425" s="80" t="str">
        <f aca="false">IF(ISBLANK($C425),"",$BM425)</f>
        <v/>
      </c>
      <c r="DE425" s="78" t="str">
        <f aca="false">IF(ISBLANK($C425),"",$CL425)</f>
        <v/>
      </c>
      <c r="DF425" s="78" t="str">
        <f aca="false">IF(ISBLANK($C425),"",$CK425)</f>
        <v/>
      </c>
      <c r="DG425" s="81" t="str">
        <f aca="false">IF(ISBLANK($C425),"",IF($DF425=Constants!$B$7,COUNTA($C$9:$C$508)+2,IF($DF425=Constants!$B$6,COUNTA($C$9:$C$508)+1,IF($DF425=Constants!$B$5,COUNTA($C$9:$C$508),$DF425))))</f>
        <v/>
      </c>
      <c r="DH425" s="7"/>
      <c r="DI425" s="82" t="n">
        <f aca="false">IF(OR(ISNUMBER($DF425),$DF425=Constants!$B$7,$DF425=Constants!$B$5,$DF425=Constants!$B$6),1,0)</f>
        <v>0</v>
      </c>
      <c r="DJ425" s="82" t="n">
        <v>417</v>
      </c>
      <c r="DK425" s="82" t="str">
        <f aca="false">IF(ISBLANK($C425),"",IF(ISNUMBER($DG425),$DG425+ROW($B425)/1000,""))</f>
        <v/>
      </c>
      <c r="DL425" s="82" t="str">
        <f aca="false">IF(ISNUMBER($DK425),RANK($DK425,$DK$9:$DK$508,1),"")</f>
        <v/>
      </c>
      <c r="DM425" s="82" t="str">
        <f aca="false">IF(ISBLANK($C425),"",$B425)</f>
        <v/>
      </c>
      <c r="DN425" s="82" t="str">
        <f aca="false">IF(ISBLANK($C425),"",$C425)</f>
        <v/>
      </c>
      <c r="DO425" s="82" t="str">
        <f aca="false">IF(ISBLANK($C425),"",$D425)</f>
        <v/>
      </c>
      <c r="DP425" s="83" t="str">
        <f aca="false">$DD425</f>
        <v/>
      </c>
      <c r="DQ425" s="84" t="str">
        <f aca="false">$DC425</f>
        <v/>
      </c>
      <c r="DR425" s="82" t="str">
        <f aca="false">IF(ISBLANK($C425),"",$DF425)</f>
        <v/>
      </c>
      <c r="DS425" s="85" t="str">
        <f aca="false">IF($DJ425&gt;$DI$8,"",VLOOKUP($DJ425,$DL$9:$DR$508,7,FALSE()))</f>
        <v/>
      </c>
      <c r="DT425" s="86" t="str">
        <f aca="false">IF($DJ425&gt;$DI$8,"",VLOOKUP($DJ425,$DL$9:$DR$508,2,FALSE()))</f>
        <v/>
      </c>
      <c r="DU425" s="86" t="str">
        <f aca="false">IF($DJ425&gt;$DI$8,"",VLOOKUP($DJ425,$DL$9:$DR$508,3,FALSE()))</f>
        <v/>
      </c>
      <c r="DV425" s="86" t="str">
        <f aca="false">IF($DJ425&gt;$DI$8,"",VLOOKUP($DJ425,$DL$9:$DR$508,4,FALSE()))</f>
        <v/>
      </c>
      <c r="DW425" s="86" t="str">
        <f aca="false">IF($DJ425&gt;$DI$8,"",VLOOKUP($DJ425,$DL$9:$DR$508,5,FALSE()))</f>
        <v/>
      </c>
      <c r="DX425" s="87" t="str">
        <f aca="false">IF($DJ425&gt;$DI$8,"",VLOOKUP($DJ425,$DL$9:$DR$508,6,FALSE()))</f>
        <v/>
      </c>
      <c r="DY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130"/>
      <c r="N426" s="130"/>
      <c r="O426" s="135"/>
      <c r="P426" s="135"/>
      <c r="Q426" s="130"/>
      <c r="R426" s="130"/>
      <c r="S426" s="130"/>
      <c r="T426" s="130"/>
      <c r="U426" s="135"/>
      <c r="V426" s="130"/>
      <c r="W426" s="96"/>
      <c r="X426" s="130"/>
      <c r="Y426" s="130"/>
      <c r="Z426" s="96"/>
      <c r="AA426" s="96"/>
      <c r="AB426" s="130"/>
      <c r="AC426" s="130"/>
      <c r="AD426" s="130"/>
      <c r="AE426" s="97"/>
      <c r="AF426" s="130"/>
      <c r="AG426" s="99"/>
      <c r="AH426" s="100"/>
      <c r="AI426" s="100"/>
      <c r="AJ426" s="100" t="str">
        <f aca="false">IF(ISBLANK($C426),"",IF($E426=Constants!$B$2,TRUE(),IF($E426=Constants!$B$3,FALSE(),TRUE())))</f>
        <v/>
      </c>
      <c r="AK426" s="100" t="str">
        <f aca="false">IF(ISBLANK($C426),"",IF($F426=Constants!$B$2,TRUE(),IF($F426=Constants!$B$3,FALSE(),FALSE())))</f>
        <v/>
      </c>
      <c r="AL426" s="100" t="str">
        <f aca="false">IF(ISBLANK($C426),"",IF($G426=Constants!$B$2,TRUE(),IF($G426=Constants!$B$3,FALSE(),TRUE())))</f>
        <v/>
      </c>
      <c r="AM426" s="100" t="str">
        <f aca="false">IF(ISBLANK($C426),"",IF($H426=Constants!$B$2,TRUE(),IF($H426=Constants!$B$3,FALSE(),TRUE())))</f>
        <v/>
      </c>
      <c r="AN426" s="100" t="str">
        <f aca="false">IF(ISBLANK($C426),"",IF(ISNUMBER($I426),IF($I426&gt;=0,$I426,""),""))</f>
        <v/>
      </c>
      <c r="AO426" s="100" t="str">
        <f aca="false">IF(ISBLANK($C426),"",IF(ISNUMBER($J426),IF($J426&gt;=0,$J426,""),""))</f>
        <v/>
      </c>
      <c r="AP426" s="100" t="str">
        <f aca="false">IF(ISBLANK($C426),"",IF(ISNUMBER($K426),IF($K426&gt;=0,$K426,""),""))</f>
        <v/>
      </c>
      <c r="AQ426" s="100" t="str">
        <f aca="false">IF(ISBLANK($C426),"",IF($L426=Constants!$B$2,TRUE(),IF($L426=Constants!$B$3,FALSE(),TRUE())))</f>
        <v/>
      </c>
      <c r="AR426" s="100" t="str">
        <f aca="false">IF(ISBLANK($C426),"",IF($M426=Constants!$B$2,TRUE(),IF($M426=Constants!$B$3,FALSE(),TRUE())))</f>
        <v/>
      </c>
      <c r="AS426" s="100" t="str">
        <f aca="false">IF(ISBLANK($C426),"",IF($N426=Constants!$B$2,TRUE(),IF($N426=Constants!$B$3,FALSE(),FALSE())))</f>
        <v/>
      </c>
      <c r="AT426" s="100" t="str">
        <f aca="false">IF(ISBLANK($C426),"",IF($O426=Constants!$B$2,TRUE(),IF($O426=Constants!$B$3,FALSE(),TRUE())))</f>
        <v/>
      </c>
      <c r="AU426" s="100" t="str">
        <f aca="false">IF(ISBLANK($C426),"",IF($P426=Constants!$B$2,TRUE(),IF($P426=Constants!$B$3,FALSE(),TRUE())))</f>
        <v/>
      </c>
      <c r="AV426" s="100" t="str">
        <f aca="false">IF(ISBLANK($C426),"",IF($Q426=Constants!$B$2,TRUE(),IF($Q426=Constants!$B$3,FALSE(),FALSE())))</f>
        <v/>
      </c>
      <c r="AW426" s="100" t="str">
        <f aca="false">IF(ISBLANK($C426),"",IF($R426=Constants!$B$2,TRUE(),IF($R426=Constants!$B$3,FALSE(),FALSE())))</f>
        <v/>
      </c>
      <c r="AX426" s="100" t="str">
        <f aca="false">IF(ISBLANK($C426),"",IF($S426=Constants!$B$2,TRUE(),IF($S426=Constants!$B$3,FALSE(),FALSE())))</f>
        <v/>
      </c>
      <c r="AY426" s="100" t="str">
        <f aca="false">IF(ISBLANK($C426),"",IF($T426=Constants!$B$2,TRUE(),IF($T426=Constants!$B$3,FALSE(),FALSE())))</f>
        <v/>
      </c>
      <c r="AZ426" s="100" t="str">
        <f aca="false">IF(ISBLANK($C426),"",IF($U426=Constants!$B$2,TRUE(),IF($U426=Constants!$B$3,FALSE(),FALSE())))</f>
        <v/>
      </c>
      <c r="BA426" s="100" t="str">
        <f aca="false">IF(ISBLANK($C426),"",IF(OR($V426&amp;""="1",$V426&amp;""="2",$V426&amp;""="3",$V426&amp;""="4"),VALUE($V426&amp;""),IF($V426=Constants!$B$12,Constants!$B$12,"")))</f>
        <v/>
      </c>
      <c r="BB426" s="100" t="str">
        <f aca="false">IF(ISBLANK($C426),"",IF(ISBLANK($W426),0,IF(ISNUMBER($W426),IF(AND($W426&gt;=0,$W426&lt;=Constants!$B$21,$W426=INT($W426)),$W426,""),"")))</f>
        <v/>
      </c>
      <c r="BC426" s="100" t="str">
        <f aca="false">IF(ISBLANK($C426),"",IF(ISBLANK($X426),0,IF(ISNUMBER($X426),IF($X426&gt;=0,$X426,""),"")))</f>
        <v/>
      </c>
      <c r="BD426" s="100" t="str">
        <f aca="false">IF(ISBLANK($C426),"",IF($Y426=Constants!$B$2,TRUE(),IF($Y426=Constants!$B$3,FALSE(),TRUE())))</f>
        <v/>
      </c>
      <c r="BE426" s="100" t="str">
        <f aca="false">IF(ISBLANK($C426),"",IF($Z426=Constants!$B$2,TRUE(),IF($Z426=Constants!$B$3,FALSE(),FALSE())))</f>
        <v/>
      </c>
      <c r="BF426" s="100" t="str">
        <f aca="false">IF(ISBLANK($C426),"",IF(ISBLANK($AA426),0,IF(ISNUMBER($AA426),IF(AND($AA426&gt;=0,$AA426&lt;=Constants!$B$35,$AA426=INT($AA426)),$AA426,""),"")))</f>
        <v/>
      </c>
      <c r="BG426" s="100" t="str">
        <f aca="false">IF(ISBLANK($C426),"",IF($AB426=Constants!$B$2,TRUE(),IF($AB426=Constants!$B$3,FALSE(),TRUE())))</f>
        <v/>
      </c>
      <c r="BH426" s="100" t="str">
        <f aca="false">IF(ISBLANK($C426),"",IF($AC426=Constants!$B$2,TRUE(),IF($AC426=Constants!$B$3,FALSE(),TRUE())))</f>
        <v/>
      </c>
      <c r="BI426" s="100" t="str">
        <f aca="false">IF(ISBLANK($C426),"",IF($AD426=Constants!$B$2,TRUE(),IF($AD426=Constants!$B$3,FALSE(),TRUE())))</f>
        <v/>
      </c>
      <c r="BJ426" s="100" t="str">
        <f aca="false">IF(ISBLANK($C426),"",IF(ISNUMBER($AE426),IF($AE426&gt;=0,$AE426,""),""))</f>
        <v/>
      </c>
      <c r="BK426" s="100" t="str">
        <f aca="false">IF(ISBLANK($C426),"",IF($AF426=Constants!$B$2,TRUE(),IF($AF426=Constants!$B$3,FALSE(),FALSE())))</f>
        <v/>
      </c>
      <c r="BL426" s="99" t="str">
        <f aca="false">IF(ISBLANK($C426),"",IF($BK426,Constants!$B$7,IF(COUNTA($E426:$AE426)=0,Constants!$B$6,IF(OR(COUNTA($G426:$AE426)=0,NOT($AM426),$AS426),Constants!$B$5,IF(OR($CM426&lt;&gt;"",$CN426,$CO426,$CP426,$CQ426,$CR426,$CS426),Constants!$B$8,Constants!$B$4)))))</f>
        <v/>
      </c>
      <c r="BM426" s="100" t="str">
        <f aca="false">IF(ISBLANK($C426),"",IF($BL426&lt;&gt;Constants!$B$4,$BL426,IF(OR(NOT($AJ426),NOT($AL426),NOT($AT426)),Constants!$B$11,IF(OR(NOT($AR426),NOT($AU426),NOT($BI426),MAX($AN426,$AO426,$AP426)&gt;Constants!$B$30),Constants!$B$10,Constants!$B$9))))</f>
        <v/>
      </c>
      <c r="BN426" s="100" t="str">
        <f aca="false">IF($BL426&lt;&gt;Constants!$B$4,"",IF(NOT($AL426),0,MIN(Constants!$B$35,$BF426)))</f>
        <v/>
      </c>
      <c r="BO426" s="100" t="str">
        <f aca="false">IF($BL426&lt;&gt;Constants!$B$4,"",IF(NOT($AL426),0,IF($AW426,Constants!$B$18,IF($AV426,Constants!$B$17,0))))</f>
        <v/>
      </c>
      <c r="BP426" s="100" t="str">
        <f aca="false">IF($BL426&lt;&gt;Constants!$B$4,"",IF(NOT($AL426),0,Constants!$B$19*($AK426+$AX426+$AY426+$AZ426)))</f>
        <v/>
      </c>
      <c r="BQ426" s="100" t="str">
        <f aca="false">IF($BL426&lt;&gt;Constants!$B$4,"",IF(OR(NOT($AL426),NOT(ISNUMBER($BA426))),0,CHOOSE($BA426,Constants!$B$13,Constants!$B$14,Constants!$B$15,Constants!$B$16)))</f>
        <v/>
      </c>
      <c r="BR426" s="100" t="str">
        <f aca="false">IF($BL426&lt;&gt;Constants!$B$4,"",IF(NOT($AL426),0,Constants!$B$20*$BB426))</f>
        <v/>
      </c>
      <c r="BS426" s="100" t="str">
        <f aca="false">IF($BL426&lt;&gt;Constants!$B$4,"",IF(AND($AL426,$BD426,$BE426),Constants!$B$22,0))</f>
        <v/>
      </c>
      <c r="BT426" s="100" t="str">
        <f aca="false">IF($BL426&lt;&gt;Constants!$B$4,"",IF(OR(NOT($AL426),NOT($BD426)),0,IF($BJ426&gt;=2*$AH$9,0,Constants!$B$23*INT(ROUND(MIN($BJ426,$AH$9),6)))))</f>
        <v/>
      </c>
      <c r="BU426" s="100" t="str">
        <f aca="false">IF($BL426&lt;&gt;Constants!$B$4,"",IF(NOT($AL426),0,Constants!$B$24*INT(ROUND(MIN($BC426,$AH$9),6))))</f>
        <v/>
      </c>
      <c r="BV426" s="100" t="str">
        <f aca="false">IF($BL426&lt;&gt;Constants!$B$4,"",IF(AND($AL426,$BN426=0),Constants!$B$25,0))</f>
        <v/>
      </c>
      <c r="BW426" s="100" t="str">
        <f aca="false">IF($BL426&lt;&gt;Constants!$B$4,"",MIN(Constants!$B$29,MAX(0,Constants!$B$27*Constants!$B$28*INT(ROUND((Constants!$B$26-$AN426)/Constants!$B$28,6))))+MIN(Constants!$B$29,MAX(0,Constants!$B$27*Constants!$B$28*INT(ROUND((Constants!$B$26-$AO426)/Constants!$B$28,6))))+MIN(Constants!$B$29,MAX(0,Constants!$B$27*Constants!$B$28*INT(ROUND((Constants!$B$26-$AP426)/Constants!$B$28,6)))))</f>
        <v/>
      </c>
      <c r="BX426" s="100" t="str">
        <f aca="false">IF($BL426&lt;&gt;Constants!$B$4,"",IF(NOT($AL426),0,Constants!$B$31*INT(ROUND(MAX(0,MIN($BJ426,2*$AH$9)-$AH$9),6))))</f>
        <v/>
      </c>
      <c r="BY426" s="100" t="str">
        <f aca="false">IF($BL426&lt;&gt;Constants!$B$4,"",Constants!$B$32*(($AN426&gt;Constants!$B$26)+($AO426&gt;Constants!$B$26)+($AP426&gt;Constants!$B$26)))</f>
        <v/>
      </c>
      <c r="BZ426" s="100" t="str">
        <f aca="false">IF($BL426&lt;&gt;Constants!$B$4,"",IF(OR(NOT($AL426),$AQ426),0,Constants!$B$33))</f>
        <v/>
      </c>
      <c r="CA426" s="100" t="str">
        <f aca="false">IF($BL426&lt;&gt;Constants!$B$4,"",Constants!$B$34*$BN426)</f>
        <v/>
      </c>
      <c r="CB426" s="100" t="str">
        <f aca="false">IF($BL426&lt;&gt;Constants!$B$4,"",IF(OR(NOT($AL426),$BH426),0,Constants!$B$36))</f>
        <v/>
      </c>
      <c r="CC426" s="100" t="str">
        <f aca="false">IF($BL426&lt;&gt;Constants!$B$4,"",IF(OR(NOT($AL426),$BG426),0,Constants!$B$37))</f>
        <v/>
      </c>
      <c r="CD426" s="100" t="str">
        <f aca="false">IF($BL426&lt;&gt;Constants!$B$4,"",SUM($BX426:$CC426))</f>
        <v/>
      </c>
      <c r="CE426" s="100" t="str">
        <f aca="false">IF(ISBLANK($C426),"",IF($BL426&lt;&gt;Constants!$B$4,$BL426,SUM($BO426:$BW426)-$CD426))</f>
        <v/>
      </c>
      <c r="CF426" s="100" t="str">
        <f aca="false">IF(ISBLANK($C426),"",IF($BL426&lt;&gt;Constants!$B$4,$BL426,RANK($CE426,$CE$9:$CE$508)))</f>
        <v/>
      </c>
      <c r="CG426" s="100" t="str">
        <f aca="false">IF(ISBLANK($C426),"",IF($BL426&lt;&gt;Constants!$B$4,$BL426,COUNTIFS($BM$9:$BM$508,"&lt;"&amp;$BM426)+COUNTIFS($BM$9:$BM$508,$BM426,$CF$9:$CF$508,"&lt;"&amp;$CF426)+1))</f>
        <v/>
      </c>
      <c r="CH426" s="100" t="str">
        <f aca="false">IF(ISBLANK($C426),"",IF($BL426&lt;&gt;Constants!$B$4,$BL426,RANK($CD426,$CD$9:$CD$508,1)))</f>
        <v/>
      </c>
      <c r="CI426" s="100" t="str">
        <f aca="false">IF($BL426&lt;&gt;Constants!$B$4,"",$AN426+$AO426+$AP426)</f>
        <v/>
      </c>
      <c r="CJ426" s="100" t="str">
        <f aca="false">IF(ISBLANK($C426),"",IF($BL426&lt;&gt;Constants!$B$4,$BL426,RANK($CI426,$CI$9:$CI$508,1)))</f>
        <v/>
      </c>
      <c r="CK426" s="100" t="str">
        <f aca="false">IF(ISBLANK($C426),"",IF($BL426&lt;&gt;Constants!$B$4,$BL426,COUNTIFS($BM$9:$BM$508,"&lt;"&amp;$BM426)+COUNTIFS($BM$9:$BM$508,$BM426,$CF$9:$CF$508,"&lt;"&amp;$CF426)+COUNTIFS($BM$9:$BM$508,$BM426,$CF$9:$CF$508,$CF426,$CH$9:$CH$508,"&lt;"&amp;$CH426)+COUNTIFS($BM$9:$BM$508,$BM426,$CF$9:$CF$508,$CF426,$CH$9:$CH$508,$CH426,$CJ$9:$CJ$508,"&lt;"&amp;$CJ426)+1))</f>
        <v/>
      </c>
      <c r="CL426" s="100" t="str">
        <f aca="false">IF(ISBLANK($C426),"",IF($BL426&lt;&gt;Constants!$B$4,$BL426,$CG426-$CK426))</f>
        <v/>
      </c>
      <c r="CM426" s="100" t="str">
        <f aca="false">IF(ISBLANK($C426),"",IF(NOT($AL426),"",IF(ISBLANK($D$7),$CM$5,IF(NOT(ISNUMBER($D$7)),$CM$6,""))))</f>
        <v/>
      </c>
      <c r="CN426" s="100" t="str">
        <f aca="false">IF(ISBLANK($C426),"",OR($AN426="",$AO426="",$AP426=""))</f>
        <v/>
      </c>
      <c r="CO426" s="100" t="str">
        <f aca="false">IF(ISBLANK($C426),"",AND($AL426,$BA426=""))</f>
        <v/>
      </c>
      <c r="CP426" s="100" t="str">
        <f aca="false">IF(ISBLANK($C426),"",AND($AL426,$BB426=""))</f>
        <v/>
      </c>
      <c r="CQ426" s="100" t="str">
        <f aca="false">IF(ISBLANK($C426),"",AND($AL426,$BC426=""))</f>
        <v/>
      </c>
      <c r="CR426" s="100" t="str">
        <f aca="false">IF(ISBLANK($C426),"",AND($AL426,$BF426=""))</f>
        <v/>
      </c>
      <c r="CS426" s="100" t="str">
        <f aca="false">IF(ISBLANK($C426),"",AND($AL426,$BJ426=""))</f>
        <v/>
      </c>
      <c r="CT426" s="101"/>
      <c r="CU426" s="102"/>
      <c r="CV426" s="103" t="str">
        <f aca="false">IF(ISBLANK($C426),"",IF($BL426=Constants!$B$8,$CM426,""))</f>
        <v/>
      </c>
      <c r="CW426" s="102" t="str">
        <f aca="false">IF(ISBLANK($C426),"",IF($BL426&lt;&gt;Constants!$B$4,"",$BO426+$BP426))</f>
        <v/>
      </c>
      <c r="CX426" s="104" t="str">
        <f aca="false">IF(ISBLANK($C426),"",IF($BL426&lt;&gt;Constants!$B$4,"",$BQ426+$BR426+$BS426))</f>
        <v/>
      </c>
      <c r="CY426" s="104" t="str">
        <f aca="false">IF(ISBLANK($C426),"",IF($BL426&lt;&gt;Constants!$B$4,"",$BT426))</f>
        <v/>
      </c>
      <c r="CZ426" s="104" t="str">
        <f aca="false">IF(ISBLANK($C426),"",IF($BL426&lt;&gt;Constants!$B$4,"",$BU426+$BV426))</f>
        <v/>
      </c>
      <c r="DA426" s="104" t="str">
        <f aca="false">IF(ISBLANK($C426),"",IF($BL426&lt;&gt;Constants!$B$4,"",$BW426))</f>
        <v/>
      </c>
      <c r="DB426" s="104" t="str">
        <f aca="false">IF(ISBLANK($C426),"",IF($BL426&lt;&gt;Constants!$B$4,"",-$CD426))</f>
        <v/>
      </c>
      <c r="DC426" s="103" t="str">
        <f aca="false">IF(ISBLANK($C426),"",$CE426)</f>
        <v/>
      </c>
      <c r="DD426" s="105" t="str">
        <f aca="false">IF(ISBLANK($C426),"",$BM426)</f>
        <v/>
      </c>
      <c r="DE426" s="104" t="str">
        <f aca="false">IF(ISBLANK($C426),"",$CL426)</f>
        <v/>
      </c>
      <c r="DF426" s="104" t="str">
        <f aca="false">IF(ISBLANK($C426),"",$CK426)</f>
        <v/>
      </c>
      <c r="DG426" s="106" t="str">
        <f aca="false">IF(ISBLANK($C426),"",IF($DF426=Constants!$B$7,COUNTA($C$9:$C$508)+2,IF($DF426=Constants!$B$6,COUNTA($C$9:$C$508)+1,IF($DF426=Constants!$B$5,COUNTA($C$9:$C$508),$DF426))))</f>
        <v/>
      </c>
      <c r="DH426" s="7"/>
      <c r="DI426" s="107" t="n">
        <f aca="false">IF(OR(ISNUMBER($DF426),$DF426=Constants!$B$7,$DF426=Constants!$B$5,$DF426=Constants!$B$6),1,0)</f>
        <v>0</v>
      </c>
      <c r="DJ426" s="107" t="n">
        <v>418</v>
      </c>
      <c r="DK426" s="107" t="str">
        <f aca="false">IF(ISBLANK($C426),"",IF(ISNUMBER($DG426),$DG426+ROW($B426)/1000,""))</f>
        <v/>
      </c>
      <c r="DL426" s="107" t="str">
        <f aca="false">IF(ISNUMBER($DK426),RANK($DK426,$DK$9:$DK$508,1),"")</f>
        <v/>
      </c>
      <c r="DM426" s="107" t="str">
        <f aca="false">IF(ISBLANK($C426),"",$B426)</f>
        <v/>
      </c>
      <c r="DN426" s="107" t="str">
        <f aca="false">IF(ISBLANK($C426),"",$C426)</f>
        <v/>
      </c>
      <c r="DO426" s="107" t="str">
        <f aca="false">IF(ISBLANK($C426),"",$D426)</f>
        <v/>
      </c>
      <c r="DP426" s="108" t="str">
        <f aca="false">$DD426</f>
        <v/>
      </c>
      <c r="DQ426" s="109" t="str">
        <f aca="false">$DC426</f>
        <v/>
      </c>
      <c r="DR426" s="107" t="str">
        <f aca="false">IF(ISBLANK($C426),"",$DF426)</f>
        <v/>
      </c>
      <c r="DS426" s="110" t="str">
        <f aca="false">IF($DJ426&gt;$DI$8,"",VLOOKUP($DJ426,$DL$9:$DR$508,7,FALSE()))</f>
        <v/>
      </c>
      <c r="DT426" s="111" t="str">
        <f aca="false">IF($DJ426&gt;$DI$8,"",VLOOKUP($DJ426,$DL$9:$DR$508,2,FALSE()))</f>
        <v/>
      </c>
      <c r="DU426" s="111" t="str">
        <f aca="false">IF($DJ426&gt;$DI$8,"",VLOOKUP($DJ426,$DL$9:$DR$508,3,FALSE()))</f>
        <v/>
      </c>
      <c r="DV426" s="111" t="str">
        <f aca="false">IF($DJ426&gt;$DI$8,"",VLOOKUP($DJ426,$DL$9:$DR$508,4,FALSE()))</f>
        <v/>
      </c>
      <c r="DW426" s="111" t="str">
        <f aca="false">IF($DJ426&gt;$DI$8,"",VLOOKUP($DJ426,$DL$9:$DR$508,5,FALSE()))</f>
        <v/>
      </c>
      <c r="DX426" s="112" t="str">
        <f aca="false">IF($DJ426&gt;$DI$8,"",VLOOKUP($DJ426,$DL$9:$DR$508,6,FALSE()))</f>
        <v/>
      </c>
      <c r="DY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130"/>
      <c r="N427" s="130"/>
      <c r="O427" s="135"/>
      <c r="P427" s="135"/>
      <c r="Q427" s="130"/>
      <c r="R427" s="130"/>
      <c r="S427" s="130"/>
      <c r="T427" s="130"/>
      <c r="U427" s="135"/>
      <c r="V427" s="130"/>
      <c r="W427" s="96"/>
      <c r="X427" s="130"/>
      <c r="Y427" s="130"/>
      <c r="Z427" s="96"/>
      <c r="AA427" s="96"/>
      <c r="AB427" s="130"/>
      <c r="AC427" s="130"/>
      <c r="AD427" s="130"/>
      <c r="AE427" s="97"/>
      <c r="AF427" s="130"/>
      <c r="AG427" s="99"/>
      <c r="AH427" s="100"/>
      <c r="AI427" s="100"/>
      <c r="AJ427" s="100" t="str">
        <f aca="false">IF(ISBLANK($C427),"",IF($E427=Constants!$B$2,TRUE(),IF($E427=Constants!$B$3,FALSE(),TRUE())))</f>
        <v/>
      </c>
      <c r="AK427" s="100" t="str">
        <f aca="false">IF(ISBLANK($C427),"",IF($F427=Constants!$B$2,TRUE(),IF($F427=Constants!$B$3,FALSE(),FALSE())))</f>
        <v/>
      </c>
      <c r="AL427" s="100" t="str">
        <f aca="false">IF(ISBLANK($C427),"",IF($G427=Constants!$B$2,TRUE(),IF($G427=Constants!$B$3,FALSE(),TRUE())))</f>
        <v/>
      </c>
      <c r="AM427" s="100" t="str">
        <f aca="false">IF(ISBLANK($C427),"",IF($H427=Constants!$B$2,TRUE(),IF($H427=Constants!$B$3,FALSE(),TRUE())))</f>
        <v/>
      </c>
      <c r="AN427" s="100" t="str">
        <f aca="false">IF(ISBLANK($C427),"",IF(ISNUMBER($I427),IF($I427&gt;=0,$I427,""),""))</f>
        <v/>
      </c>
      <c r="AO427" s="100" t="str">
        <f aca="false">IF(ISBLANK($C427),"",IF(ISNUMBER($J427),IF($J427&gt;=0,$J427,""),""))</f>
        <v/>
      </c>
      <c r="AP427" s="100" t="str">
        <f aca="false">IF(ISBLANK($C427),"",IF(ISNUMBER($K427),IF($K427&gt;=0,$K427,""),""))</f>
        <v/>
      </c>
      <c r="AQ427" s="100" t="str">
        <f aca="false">IF(ISBLANK($C427),"",IF($L427=Constants!$B$2,TRUE(),IF($L427=Constants!$B$3,FALSE(),TRUE())))</f>
        <v/>
      </c>
      <c r="AR427" s="100" t="str">
        <f aca="false">IF(ISBLANK($C427),"",IF($M427=Constants!$B$2,TRUE(),IF($M427=Constants!$B$3,FALSE(),TRUE())))</f>
        <v/>
      </c>
      <c r="AS427" s="100" t="str">
        <f aca="false">IF(ISBLANK($C427),"",IF($N427=Constants!$B$2,TRUE(),IF($N427=Constants!$B$3,FALSE(),FALSE())))</f>
        <v/>
      </c>
      <c r="AT427" s="100" t="str">
        <f aca="false">IF(ISBLANK($C427),"",IF($O427=Constants!$B$2,TRUE(),IF($O427=Constants!$B$3,FALSE(),TRUE())))</f>
        <v/>
      </c>
      <c r="AU427" s="100" t="str">
        <f aca="false">IF(ISBLANK($C427),"",IF($P427=Constants!$B$2,TRUE(),IF($P427=Constants!$B$3,FALSE(),TRUE())))</f>
        <v/>
      </c>
      <c r="AV427" s="100" t="str">
        <f aca="false">IF(ISBLANK($C427),"",IF($Q427=Constants!$B$2,TRUE(),IF($Q427=Constants!$B$3,FALSE(),FALSE())))</f>
        <v/>
      </c>
      <c r="AW427" s="100" t="str">
        <f aca="false">IF(ISBLANK($C427),"",IF($R427=Constants!$B$2,TRUE(),IF($R427=Constants!$B$3,FALSE(),FALSE())))</f>
        <v/>
      </c>
      <c r="AX427" s="100" t="str">
        <f aca="false">IF(ISBLANK($C427),"",IF($S427=Constants!$B$2,TRUE(),IF($S427=Constants!$B$3,FALSE(),FALSE())))</f>
        <v/>
      </c>
      <c r="AY427" s="100" t="str">
        <f aca="false">IF(ISBLANK($C427),"",IF($T427=Constants!$B$2,TRUE(),IF($T427=Constants!$B$3,FALSE(),FALSE())))</f>
        <v/>
      </c>
      <c r="AZ427" s="100" t="str">
        <f aca="false">IF(ISBLANK($C427),"",IF($U427=Constants!$B$2,TRUE(),IF($U427=Constants!$B$3,FALSE(),FALSE())))</f>
        <v/>
      </c>
      <c r="BA427" s="100" t="str">
        <f aca="false">IF(ISBLANK($C427),"",IF(OR($V427&amp;""="1",$V427&amp;""="2",$V427&amp;""="3",$V427&amp;""="4"),VALUE($V427&amp;""),IF($V427=Constants!$B$12,Constants!$B$12,"")))</f>
        <v/>
      </c>
      <c r="BB427" s="100" t="str">
        <f aca="false">IF(ISBLANK($C427),"",IF(ISBLANK($W427),0,IF(ISNUMBER($W427),IF(AND($W427&gt;=0,$W427&lt;=Constants!$B$21,$W427=INT($W427)),$W427,""),"")))</f>
        <v/>
      </c>
      <c r="BC427" s="100" t="str">
        <f aca="false">IF(ISBLANK($C427),"",IF(ISBLANK($X427),0,IF(ISNUMBER($X427),IF($X427&gt;=0,$X427,""),"")))</f>
        <v/>
      </c>
      <c r="BD427" s="100" t="str">
        <f aca="false">IF(ISBLANK($C427),"",IF($Y427=Constants!$B$2,TRUE(),IF($Y427=Constants!$B$3,FALSE(),TRUE())))</f>
        <v/>
      </c>
      <c r="BE427" s="100" t="str">
        <f aca="false">IF(ISBLANK($C427),"",IF($Z427=Constants!$B$2,TRUE(),IF($Z427=Constants!$B$3,FALSE(),FALSE())))</f>
        <v/>
      </c>
      <c r="BF427" s="100" t="str">
        <f aca="false">IF(ISBLANK($C427),"",IF(ISBLANK($AA427),0,IF(ISNUMBER($AA427),IF(AND($AA427&gt;=0,$AA427&lt;=Constants!$B$35,$AA427=INT($AA427)),$AA427,""),"")))</f>
        <v/>
      </c>
      <c r="BG427" s="100" t="str">
        <f aca="false">IF(ISBLANK($C427),"",IF($AB427=Constants!$B$2,TRUE(),IF($AB427=Constants!$B$3,FALSE(),TRUE())))</f>
        <v/>
      </c>
      <c r="BH427" s="100" t="str">
        <f aca="false">IF(ISBLANK($C427),"",IF($AC427=Constants!$B$2,TRUE(),IF($AC427=Constants!$B$3,FALSE(),TRUE())))</f>
        <v/>
      </c>
      <c r="BI427" s="100" t="str">
        <f aca="false">IF(ISBLANK($C427),"",IF($AD427=Constants!$B$2,TRUE(),IF($AD427=Constants!$B$3,FALSE(),TRUE())))</f>
        <v/>
      </c>
      <c r="BJ427" s="100" t="str">
        <f aca="false">IF(ISBLANK($C427),"",IF(ISNUMBER($AE427),IF($AE427&gt;=0,$AE427,""),""))</f>
        <v/>
      </c>
      <c r="BK427" s="100" t="str">
        <f aca="false">IF(ISBLANK($C427),"",IF($AF427=Constants!$B$2,TRUE(),IF($AF427=Constants!$B$3,FALSE(),FALSE())))</f>
        <v/>
      </c>
      <c r="BL427" s="99" t="str">
        <f aca="false">IF(ISBLANK($C427),"",IF($BK427,Constants!$B$7,IF(COUNTA($E427:$AE427)=0,Constants!$B$6,IF(OR(COUNTA($G427:$AE427)=0,NOT($AM427),$AS427),Constants!$B$5,IF(OR($CM427&lt;&gt;"",$CN427,$CO427,$CP427,$CQ427,$CR427,$CS427),Constants!$B$8,Constants!$B$4)))))</f>
        <v/>
      </c>
      <c r="BM427" s="100" t="str">
        <f aca="false">IF(ISBLANK($C427),"",IF($BL427&lt;&gt;Constants!$B$4,$BL427,IF(OR(NOT($AJ427),NOT($AL427),NOT($AT427)),Constants!$B$11,IF(OR(NOT($AR427),NOT($AU427),NOT($BI427),MAX($AN427,$AO427,$AP427)&gt;Constants!$B$30),Constants!$B$10,Constants!$B$9))))</f>
        <v/>
      </c>
      <c r="BN427" s="100" t="str">
        <f aca="false">IF($BL427&lt;&gt;Constants!$B$4,"",IF(NOT($AL427),0,MIN(Constants!$B$35,$BF427)))</f>
        <v/>
      </c>
      <c r="BO427" s="100" t="str">
        <f aca="false">IF($BL427&lt;&gt;Constants!$B$4,"",IF(NOT($AL427),0,IF($AW427,Constants!$B$18,IF($AV427,Constants!$B$17,0))))</f>
        <v/>
      </c>
      <c r="BP427" s="100" t="str">
        <f aca="false">IF($BL427&lt;&gt;Constants!$B$4,"",IF(NOT($AL427),0,Constants!$B$19*($AK427+$AX427+$AY427+$AZ427)))</f>
        <v/>
      </c>
      <c r="BQ427" s="100" t="str">
        <f aca="false">IF($BL427&lt;&gt;Constants!$B$4,"",IF(OR(NOT($AL427),NOT(ISNUMBER($BA427))),0,CHOOSE($BA427,Constants!$B$13,Constants!$B$14,Constants!$B$15,Constants!$B$16)))</f>
        <v/>
      </c>
      <c r="BR427" s="100" t="str">
        <f aca="false">IF($BL427&lt;&gt;Constants!$B$4,"",IF(NOT($AL427),0,Constants!$B$20*$BB427))</f>
        <v/>
      </c>
      <c r="BS427" s="100" t="str">
        <f aca="false">IF($BL427&lt;&gt;Constants!$B$4,"",IF(AND($AL427,$BD427,$BE427),Constants!$B$22,0))</f>
        <v/>
      </c>
      <c r="BT427" s="100" t="str">
        <f aca="false">IF($BL427&lt;&gt;Constants!$B$4,"",IF(OR(NOT($AL427),NOT($BD427)),0,IF($BJ427&gt;=2*$AH$9,0,Constants!$B$23*INT(ROUND(MIN($BJ427,$AH$9),6)))))</f>
        <v/>
      </c>
      <c r="BU427" s="100" t="str">
        <f aca="false">IF($BL427&lt;&gt;Constants!$B$4,"",IF(NOT($AL427),0,Constants!$B$24*INT(ROUND(MIN($BC427,$AH$9),6))))</f>
        <v/>
      </c>
      <c r="BV427" s="100" t="str">
        <f aca="false">IF($BL427&lt;&gt;Constants!$B$4,"",IF(AND($AL427,$BN427=0),Constants!$B$25,0))</f>
        <v/>
      </c>
      <c r="BW427" s="100" t="str">
        <f aca="false">IF($BL427&lt;&gt;Constants!$B$4,"",MIN(Constants!$B$29,MAX(0,Constants!$B$27*Constants!$B$28*INT(ROUND((Constants!$B$26-$AN427)/Constants!$B$28,6))))+MIN(Constants!$B$29,MAX(0,Constants!$B$27*Constants!$B$28*INT(ROUND((Constants!$B$26-$AO427)/Constants!$B$28,6))))+MIN(Constants!$B$29,MAX(0,Constants!$B$27*Constants!$B$28*INT(ROUND((Constants!$B$26-$AP427)/Constants!$B$28,6)))))</f>
        <v/>
      </c>
      <c r="BX427" s="100" t="str">
        <f aca="false">IF($BL427&lt;&gt;Constants!$B$4,"",IF(NOT($AL427),0,Constants!$B$31*INT(ROUND(MAX(0,MIN($BJ427,2*$AH$9)-$AH$9),6))))</f>
        <v/>
      </c>
      <c r="BY427" s="100" t="str">
        <f aca="false">IF($BL427&lt;&gt;Constants!$B$4,"",Constants!$B$32*(($AN427&gt;Constants!$B$26)+($AO427&gt;Constants!$B$26)+($AP427&gt;Constants!$B$26)))</f>
        <v/>
      </c>
      <c r="BZ427" s="100" t="str">
        <f aca="false">IF($BL427&lt;&gt;Constants!$B$4,"",IF(OR(NOT($AL427),$AQ427),0,Constants!$B$33))</f>
        <v/>
      </c>
      <c r="CA427" s="100" t="str">
        <f aca="false">IF($BL427&lt;&gt;Constants!$B$4,"",Constants!$B$34*$BN427)</f>
        <v/>
      </c>
      <c r="CB427" s="100" t="str">
        <f aca="false">IF($BL427&lt;&gt;Constants!$B$4,"",IF(OR(NOT($AL427),$BH427),0,Constants!$B$36))</f>
        <v/>
      </c>
      <c r="CC427" s="100" t="str">
        <f aca="false">IF($BL427&lt;&gt;Constants!$B$4,"",IF(OR(NOT($AL427),$BG427),0,Constants!$B$37))</f>
        <v/>
      </c>
      <c r="CD427" s="100" t="str">
        <f aca="false">IF($BL427&lt;&gt;Constants!$B$4,"",SUM($BX427:$CC427))</f>
        <v/>
      </c>
      <c r="CE427" s="100" t="str">
        <f aca="false">IF(ISBLANK($C427),"",IF($BL427&lt;&gt;Constants!$B$4,$BL427,SUM($BO427:$BW427)-$CD427))</f>
        <v/>
      </c>
      <c r="CF427" s="100" t="str">
        <f aca="false">IF(ISBLANK($C427),"",IF($BL427&lt;&gt;Constants!$B$4,$BL427,RANK($CE427,$CE$9:$CE$508)))</f>
        <v/>
      </c>
      <c r="CG427" s="100" t="str">
        <f aca="false">IF(ISBLANK($C427),"",IF($BL427&lt;&gt;Constants!$B$4,$BL427,COUNTIFS($BM$9:$BM$508,"&lt;"&amp;$BM427)+COUNTIFS($BM$9:$BM$508,$BM427,$CF$9:$CF$508,"&lt;"&amp;$CF427)+1))</f>
        <v/>
      </c>
      <c r="CH427" s="100" t="str">
        <f aca="false">IF(ISBLANK($C427),"",IF($BL427&lt;&gt;Constants!$B$4,$BL427,RANK($CD427,$CD$9:$CD$508,1)))</f>
        <v/>
      </c>
      <c r="CI427" s="100" t="str">
        <f aca="false">IF($BL427&lt;&gt;Constants!$B$4,"",$AN427+$AO427+$AP427)</f>
        <v/>
      </c>
      <c r="CJ427" s="100" t="str">
        <f aca="false">IF(ISBLANK($C427),"",IF($BL427&lt;&gt;Constants!$B$4,$BL427,RANK($CI427,$CI$9:$CI$508,1)))</f>
        <v/>
      </c>
      <c r="CK427" s="100" t="str">
        <f aca="false">IF(ISBLANK($C427),"",IF($BL427&lt;&gt;Constants!$B$4,$BL427,COUNTIFS($BM$9:$BM$508,"&lt;"&amp;$BM427)+COUNTIFS($BM$9:$BM$508,$BM427,$CF$9:$CF$508,"&lt;"&amp;$CF427)+COUNTIFS($BM$9:$BM$508,$BM427,$CF$9:$CF$508,$CF427,$CH$9:$CH$508,"&lt;"&amp;$CH427)+COUNTIFS($BM$9:$BM$508,$BM427,$CF$9:$CF$508,$CF427,$CH$9:$CH$508,$CH427,$CJ$9:$CJ$508,"&lt;"&amp;$CJ427)+1))</f>
        <v/>
      </c>
      <c r="CL427" s="100" t="str">
        <f aca="false">IF(ISBLANK($C427),"",IF($BL427&lt;&gt;Constants!$B$4,$BL427,$CG427-$CK427))</f>
        <v/>
      </c>
      <c r="CM427" s="100" t="str">
        <f aca="false">IF(ISBLANK($C427),"",IF(NOT($AL427),"",IF(ISBLANK($D$7),$CM$5,IF(NOT(ISNUMBER($D$7)),$CM$6,""))))</f>
        <v/>
      </c>
      <c r="CN427" s="100" t="str">
        <f aca="false">IF(ISBLANK($C427),"",OR($AN427="",$AO427="",$AP427=""))</f>
        <v/>
      </c>
      <c r="CO427" s="100" t="str">
        <f aca="false">IF(ISBLANK($C427),"",AND($AL427,$BA427=""))</f>
        <v/>
      </c>
      <c r="CP427" s="100" t="str">
        <f aca="false">IF(ISBLANK($C427),"",AND($AL427,$BB427=""))</f>
        <v/>
      </c>
      <c r="CQ427" s="100" t="str">
        <f aca="false">IF(ISBLANK($C427),"",AND($AL427,$BC427=""))</f>
        <v/>
      </c>
      <c r="CR427" s="100" t="str">
        <f aca="false">IF(ISBLANK($C427),"",AND($AL427,$BF427=""))</f>
        <v/>
      </c>
      <c r="CS427" s="100" t="str">
        <f aca="false">IF(ISBLANK($C427),"",AND($AL427,$BJ427=""))</f>
        <v/>
      </c>
      <c r="CT427" s="101"/>
      <c r="CU427" s="102"/>
      <c r="CV427" s="103" t="str">
        <f aca="false">IF(ISBLANK($C427),"",IF($BL427=Constants!$B$8,$CM427,""))</f>
        <v/>
      </c>
      <c r="CW427" s="102" t="str">
        <f aca="false">IF(ISBLANK($C427),"",IF($BL427&lt;&gt;Constants!$B$4,"",$BO427+$BP427))</f>
        <v/>
      </c>
      <c r="CX427" s="104" t="str">
        <f aca="false">IF(ISBLANK($C427),"",IF($BL427&lt;&gt;Constants!$B$4,"",$BQ427+$BR427+$BS427))</f>
        <v/>
      </c>
      <c r="CY427" s="104" t="str">
        <f aca="false">IF(ISBLANK($C427),"",IF($BL427&lt;&gt;Constants!$B$4,"",$BT427))</f>
        <v/>
      </c>
      <c r="CZ427" s="104" t="str">
        <f aca="false">IF(ISBLANK($C427),"",IF($BL427&lt;&gt;Constants!$B$4,"",$BU427+$BV427))</f>
        <v/>
      </c>
      <c r="DA427" s="104" t="str">
        <f aca="false">IF(ISBLANK($C427),"",IF($BL427&lt;&gt;Constants!$B$4,"",$BW427))</f>
        <v/>
      </c>
      <c r="DB427" s="104" t="str">
        <f aca="false">IF(ISBLANK($C427),"",IF($BL427&lt;&gt;Constants!$B$4,"",-$CD427))</f>
        <v/>
      </c>
      <c r="DC427" s="103" t="str">
        <f aca="false">IF(ISBLANK($C427),"",$CE427)</f>
        <v/>
      </c>
      <c r="DD427" s="105" t="str">
        <f aca="false">IF(ISBLANK($C427),"",$BM427)</f>
        <v/>
      </c>
      <c r="DE427" s="104" t="str">
        <f aca="false">IF(ISBLANK($C427),"",$CL427)</f>
        <v/>
      </c>
      <c r="DF427" s="104" t="str">
        <f aca="false">IF(ISBLANK($C427),"",$CK427)</f>
        <v/>
      </c>
      <c r="DG427" s="106" t="str">
        <f aca="false">IF(ISBLANK($C427),"",IF($DF427=Constants!$B$7,COUNTA($C$9:$C$508)+2,IF($DF427=Constants!$B$6,COUNTA($C$9:$C$508)+1,IF($DF427=Constants!$B$5,COUNTA($C$9:$C$508),$DF427))))</f>
        <v/>
      </c>
      <c r="DH427" s="7"/>
      <c r="DI427" s="107" t="n">
        <f aca="false">IF(OR(ISNUMBER($DF427),$DF427=Constants!$B$7,$DF427=Constants!$B$5,$DF427=Constants!$B$6),1,0)</f>
        <v>0</v>
      </c>
      <c r="DJ427" s="107" t="n">
        <v>419</v>
      </c>
      <c r="DK427" s="107" t="str">
        <f aca="false">IF(ISBLANK($C427),"",IF(ISNUMBER($DG427),$DG427+ROW($B427)/1000,""))</f>
        <v/>
      </c>
      <c r="DL427" s="107" t="str">
        <f aca="false">IF(ISNUMBER($DK427),RANK($DK427,$DK$9:$DK$508,1),"")</f>
        <v/>
      </c>
      <c r="DM427" s="107" t="str">
        <f aca="false">IF(ISBLANK($C427),"",$B427)</f>
        <v/>
      </c>
      <c r="DN427" s="107" t="str">
        <f aca="false">IF(ISBLANK($C427),"",$C427)</f>
        <v/>
      </c>
      <c r="DO427" s="107" t="str">
        <f aca="false">IF(ISBLANK($C427),"",$D427)</f>
        <v/>
      </c>
      <c r="DP427" s="108" t="str">
        <f aca="false">$DD427</f>
        <v/>
      </c>
      <c r="DQ427" s="109" t="str">
        <f aca="false">$DC427</f>
        <v/>
      </c>
      <c r="DR427" s="107" t="str">
        <f aca="false">IF(ISBLANK($C427),"",$DF427)</f>
        <v/>
      </c>
      <c r="DS427" s="110" t="str">
        <f aca="false">IF($DJ427&gt;$DI$8,"",VLOOKUP($DJ427,$DL$9:$DR$508,7,FALSE()))</f>
        <v/>
      </c>
      <c r="DT427" s="111" t="str">
        <f aca="false">IF($DJ427&gt;$DI$8,"",VLOOKUP($DJ427,$DL$9:$DR$508,2,FALSE()))</f>
        <v/>
      </c>
      <c r="DU427" s="111" t="str">
        <f aca="false">IF($DJ427&gt;$DI$8,"",VLOOKUP($DJ427,$DL$9:$DR$508,3,FALSE()))</f>
        <v/>
      </c>
      <c r="DV427" s="111" t="str">
        <f aca="false">IF($DJ427&gt;$DI$8,"",VLOOKUP($DJ427,$DL$9:$DR$508,4,FALSE()))</f>
        <v/>
      </c>
      <c r="DW427" s="111" t="str">
        <f aca="false">IF($DJ427&gt;$DI$8,"",VLOOKUP($DJ427,$DL$9:$DR$508,5,FALSE()))</f>
        <v/>
      </c>
      <c r="DX427" s="112" t="str">
        <f aca="false">IF($DJ427&gt;$DI$8,"",VLOOKUP($DJ427,$DL$9:$DR$508,6,FALSE()))</f>
        <v/>
      </c>
      <c r="DY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130"/>
      <c r="N428" s="130"/>
      <c r="O428" s="135"/>
      <c r="P428" s="135"/>
      <c r="Q428" s="130"/>
      <c r="R428" s="130"/>
      <c r="S428" s="130"/>
      <c r="T428" s="130"/>
      <c r="U428" s="135"/>
      <c r="V428" s="130"/>
      <c r="W428" s="96"/>
      <c r="X428" s="130"/>
      <c r="Y428" s="130"/>
      <c r="Z428" s="96"/>
      <c r="AA428" s="96"/>
      <c r="AB428" s="130"/>
      <c r="AC428" s="130"/>
      <c r="AD428" s="130"/>
      <c r="AE428" s="97"/>
      <c r="AF428" s="130"/>
      <c r="AG428" s="99"/>
      <c r="AH428" s="100"/>
      <c r="AI428" s="100"/>
      <c r="AJ428" s="100" t="str">
        <f aca="false">IF(ISBLANK($C428),"",IF($E428=Constants!$B$2,TRUE(),IF($E428=Constants!$B$3,FALSE(),TRUE())))</f>
        <v/>
      </c>
      <c r="AK428" s="100" t="str">
        <f aca="false">IF(ISBLANK($C428),"",IF($F428=Constants!$B$2,TRUE(),IF($F428=Constants!$B$3,FALSE(),FALSE())))</f>
        <v/>
      </c>
      <c r="AL428" s="100" t="str">
        <f aca="false">IF(ISBLANK($C428),"",IF($G428=Constants!$B$2,TRUE(),IF($G428=Constants!$B$3,FALSE(),TRUE())))</f>
        <v/>
      </c>
      <c r="AM428" s="100" t="str">
        <f aca="false">IF(ISBLANK($C428),"",IF($H428=Constants!$B$2,TRUE(),IF($H428=Constants!$B$3,FALSE(),TRUE())))</f>
        <v/>
      </c>
      <c r="AN428" s="100" t="str">
        <f aca="false">IF(ISBLANK($C428),"",IF(ISNUMBER($I428),IF($I428&gt;=0,$I428,""),""))</f>
        <v/>
      </c>
      <c r="AO428" s="100" t="str">
        <f aca="false">IF(ISBLANK($C428),"",IF(ISNUMBER($J428),IF($J428&gt;=0,$J428,""),""))</f>
        <v/>
      </c>
      <c r="AP428" s="100" t="str">
        <f aca="false">IF(ISBLANK($C428),"",IF(ISNUMBER($K428),IF($K428&gt;=0,$K428,""),""))</f>
        <v/>
      </c>
      <c r="AQ428" s="100" t="str">
        <f aca="false">IF(ISBLANK($C428),"",IF($L428=Constants!$B$2,TRUE(),IF($L428=Constants!$B$3,FALSE(),TRUE())))</f>
        <v/>
      </c>
      <c r="AR428" s="100" t="str">
        <f aca="false">IF(ISBLANK($C428),"",IF($M428=Constants!$B$2,TRUE(),IF($M428=Constants!$B$3,FALSE(),TRUE())))</f>
        <v/>
      </c>
      <c r="AS428" s="100" t="str">
        <f aca="false">IF(ISBLANK($C428),"",IF($N428=Constants!$B$2,TRUE(),IF($N428=Constants!$B$3,FALSE(),FALSE())))</f>
        <v/>
      </c>
      <c r="AT428" s="100" t="str">
        <f aca="false">IF(ISBLANK($C428),"",IF($O428=Constants!$B$2,TRUE(),IF($O428=Constants!$B$3,FALSE(),TRUE())))</f>
        <v/>
      </c>
      <c r="AU428" s="100" t="str">
        <f aca="false">IF(ISBLANK($C428),"",IF($P428=Constants!$B$2,TRUE(),IF($P428=Constants!$B$3,FALSE(),TRUE())))</f>
        <v/>
      </c>
      <c r="AV428" s="100" t="str">
        <f aca="false">IF(ISBLANK($C428),"",IF($Q428=Constants!$B$2,TRUE(),IF($Q428=Constants!$B$3,FALSE(),FALSE())))</f>
        <v/>
      </c>
      <c r="AW428" s="100" t="str">
        <f aca="false">IF(ISBLANK($C428),"",IF($R428=Constants!$B$2,TRUE(),IF($R428=Constants!$B$3,FALSE(),FALSE())))</f>
        <v/>
      </c>
      <c r="AX428" s="100" t="str">
        <f aca="false">IF(ISBLANK($C428),"",IF($S428=Constants!$B$2,TRUE(),IF($S428=Constants!$B$3,FALSE(),FALSE())))</f>
        <v/>
      </c>
      <c r="AY428" s="100" t="str">
        <f aca="false">IF(ISBLANK($C428),"",IF($T428=Constants!$B$2,TRUE(),IF($T428=Constants!$B$3,FALSE(),FALSE())))</f>
        <v/>
      </c>
      <c r="AZ428" s="100" t="str">
        <f aca="false">IF(ISBLANK($C428),"",IF($U428=Constants!$B$2,TRUE(),IF($U428=Constants!$B$3,FALSE(),FALSE())))</f>
        <v/>
      </c>
      <c r="BA428" s="100" t="str">
        <f aca="false">IF(ISBLANK($C428),"",IF(OR($V428&amp;""="1",$V428&amp;""="2",$V428&amp;""="3",$V428&amp;""="4"),VALUE($V428&amp;""),IF($V428=Constants!$B$12,Constants!$B$12,"")))</f>
        <v/>
      </c>
      <c r="BB428" s="100" t="str">
        <f aca="false">IF(ISBLANK($C428),"",IF(ISBLANK($W428),0,IF(ISNUMBER($W428),IF(AND($W428&gt;=0,$W428&lt;=Constants!$B$21,$W428=INT($W428)),$W428,""),"")))</f>
        <v/>
      </c>
      <c r="BC428" s="100" t="str">
        <f aca="false">IF(ISBLANK($C428),"",IF(ISBLANK($X428),0,IF(ISNUMBER($X428),IF($X428&gt;=0,$X428,""),"")))</f>
        <v/>
      </c>
      <c r="BD428" s="100" t="str">
        <f aca="false">IF(ISBLANK($C428),"",IF($Y428=Constants!$B$2,TRUE(),IF($Y428=Constants!$B$3,FALSE(),TRUE())))</f>
        <v/>
      </c>
      <c r="BE428" s="100" t="str">
        <f aca="false">IF(ISBLANK($C428),"",IF($Z428=Constants!$B$2,TRUE(),IF($Z428=Constants!$B$3,FALSE(),FALSE())))</f>
        <v/>
      </c>
      <c r="BF428" s="100" t="str">
        <f aca="false">IF(ISBLANK($C428),"",IF(ISBLANK($AA428),0,IF(ISNUMBER($AA428),IF(AND($AA428&gt;=0,$AA428&lt;=Constants!$B$35,$AA428=INT($AA428)),$AA428,""),"")))</f>
        <v/>
      </c>
      <c r="BG428" s="100" t="str">
        <f aca="false">IF(ISBLANK($C428),"",IF($AB428=Constants!$B$2,TRUE(),IF($AB428=Constants!$B$3,FALSE(),TRUE())))</f>
        <v/>
      </c>
      <c r="BH428" s="100" t="str">
        <f aca="false">IF(ISBLANK($C428),"",IF($AC428=Constants!$B$2,TRUE(),IF($AC428=Constants!$B$3,FALSE(),TRUE())))</f>
        <v/>
      </c>
      <c r="BI428" s="100" t="str">
        <f aca="false">IF(ISBLANK($C428),"",IF($AD428=Constants!$B$2,TRUE(),IF($AD428=Constants!$B$3,FALSE(),TRUE())))</f>
        <v/>
      </c>
      <c r="BJ428" s="100" t="str">
        <f aca="false">IF(ISBLANK($C428),"",IF(ISNUMBER($AE428),IF($AE428&gt;=0,$AE428,""),""))</f>
        <v/>
      </c>
      <c r="BK428" s="100" t="str">
        <f aca="false">IF(ISBLANK($C428),"",IF($AF428=Constants!$B$2,TRUE(),IF($AF428=Constants!$B$3,FALSE(),FALSE())))</f>
        <v/>
      </c>
      <c r="BL428" s="99" t="str">
        <f aca="false">IF(ISBLANK($C428),"",IF($BK428,Constants!$B$7,IF(COUNTA($E428:$AE428)=0,Constants!$B$6,IF(OR(COUNTA($G428:$AE428)=0,NOT($AM428),$AS428),Constants!$B$5,IF(OR($CM428&lt;&gt;"",$CN428,$CO428,$CP428,$CQ428,$CR428,$CS428),Constants!$B$8,Constants!$B$4)))))</f>
        <v/>
      </c>
      <c r="BM428" s="100" t="str">
        <f aca="false">IF(ISBLANK($C428),"",IF($BL428&lt;&gt;Constants!$B$4,$BL428,IF(OR(NOT($AJ428),NOT($AL428),NOT($AT428)),Constants!$B$11,IF(OR(NOT($AR428),NOT($AU428),NOT($BI428),MAX($AN428,$AO428,$AP428)&gt;Constants!$B$30),Constants!$B$10,Constants!$B$9))))</f>
        <v/>
      </c>
      <c r="BN428" s="100" t="str">
        <f aca="false">IF($BL428&lt;&gt;Constants!$B$4,"",IF(NOT($AL428),0,MIN(Constants!$B$35,$BF428)))</f>
        <v/>
      </c>
      <c r="BO428" s="100" t="str">
        <f aca="false">IF($BL428&lt;&gt;Constants!$B$4,"",IF(NOT($AL428),0,IF($AW428,Constants!$B$18,IF($AV428,Constants!$B$17,0))))</f>
        <v/>
      </c>
      <c r="BP428" s="100" t="str">
        <f aca="false">IF($BL428&lt;&gt;Constants!$B$4,"",IF(NOT($AL428),0,Constants!$B$19*($AK428+$AX428+$AY428+$AZ428)))</f>
        <v/>
      </c>
      <c r="BQ428" s="100" t="str">
        <f aca="false">IF($BL428&lt;&gt;Constants!$B$4,"",IF(OR(NOT($AL428),NOT(ISNUMBER($BA428))),0,CHOOSE($BA428,Constants!$B$13,Constants!$B$14,Constants!$B$15,Constants!$B$16)))</f>
        <v/>
      </c>
      <c r="BR428" s="100" t="str">
        <f aca="false">IF($BL428&lt;&gt;Constants!$B$4,"",IF(NOT($AL428),0,Constants!$B$20*$BB428))</f>
        <v/>
      </c>
      <c r="BS428" s="100" t="str">
        <f aca="false">IF($BL428&lt;&gt;Constants!$B$4,"",IF(AND($AL428,$BD428,$BE428),Constants!$B$22,0))</f>
        <v/>
      </c>
      <c r="BT428" s="100" t="str">
        <f aca="false">IF($BL428&lt;&gt;Constants!$B$4,"",IF(OR(NOT($AL428),NOT($BD428)),0,IF($BJ428&gt;=2*$AH$9,0,Constants!$B$23*INT(ROUND(MIN($BJ428,$AH$9),6)))))</f>
        <v/>
      </c>
      <c r="BU428" s="100" t="str">
        <f aca="false">IF($BL428&lt;&gt;Constants!$B$4,"",IF(NOT($AL428),0,Constants!$B$24*INT(ROUND(MIN($BC428,$AH$9),6))))</f>
        <v/>
      </c>
      <c r="BV428" s="100" t="str">
        <f aca="false">IF($BL428&lt;&gt;Constants!$B$4,"",IF(AND($AL428,$BN428=0),Constants!$B$25,0))</f>
        <v/>
      </c>
      <c r="BW428" s="100" t="str">
        <f aca="false">IF($BL428&lt;&gt;Constants!$B$4,"",MIN(Constants!$B$29,MAX(0,Constants!$B$27*Constants!$B$28*INT(ROUND((Constants!$B$26-$AN428)/Constants!$B$28,6))))+MIN(Constants!$B$29,MAX(0,Constants!$B$27*Constants!$B$28*INT(ROUND((Constants!$B$26-$AO428)/Constants!$B$28,6))))+MIN(Constants!$B$29,MAX(0,Constants!$B$27*Constants!$B$28*INT(ROUND((Constants!$B$26-$AP428)/Constants!$B$28,6)))))</f>
        <v/>
      </c>
      <c r="BX428" s="100" t="str">
        <f aca="false">IF($BL428&lt;&gt;Constants!$B$4,"",IF(NOT($AL428),0,Constants!$B$31*INT(ROUND(MAX(0,MIN($BJ428,2*$AH$9)-$AH$9),6))))</f>
        <v/>
      </c>
      <c r="BY428" s="100" t="str">
        <f aca="false">IF($BL428&lt;&gt;Constants!$B$4,"",Constants!$B$32*(($AN428&gt;Constants!$B$26)+($AO428&gt;Constants!$B$26)+($AP428&gt;Constants!$B$26)))</f>
        <v/>
      </c>
      <c r="BZ428" s="100" t="str">
        <f aca="false">IF($BL428&lt;&gt;Constants!$B$4,"",IF(OR(NOT($AL428),$AQ428),0,Constants!$B$33))</f>
        <v/>
      </c>
      <c r="CA428" s="100" t="str">
        <f aca="false">IF($BL428&lt;&gt;Constants!$B$4,"",Constants!$B$34*$BN428)</f>
        <v/>
      </c>
      <c r="CB428" s="100" t="str">
        <f aca="false">IF($BL428&lt;&gt;Constants!$B$4,"",IF(OR(NOT($AL428),$BH428),0,Constants!$B$36))</f>
        <v/>
      </c>
      <c r="CC428" s="100" t="str">
        <f aca="false">IF($BL428&lt;&gt;Constants!$B$4,"",IF(OR(NOT($AL428),$BG428),0,Constants!$B$37))</f>
        <v/>
      </c>
      <c r="CD428" s="100" t="str">
        <f aca="false">IF($BL428&lt;&gt;Constants!$B$4,"",SUM($BX428:$CC428))</f>
        <v/>
      </c>
      <c r="CE428" s="100" t="str">
        <f aca="false">IF(ISBLANK($C428),"",IF($BL428&lt;&gt;Constants!$B$4,$BL428,SUM($BO428:$BW428)-$CD428))</f>
        <v/>
      </c>
      <c r="CF428" s="100" t="str">
        <f aca="false">IF(ISBLANK($C428),"",IF($BL428&lt;&gt;Constants!$B$4,$BL428,RANK($CE428,$CE$9:$CE$508)))</f>
        <v/>
      </c>
      <c r="CG428" s="100" t="str">
        <f aca="false">IF(ISBLANK($C428),"",IF($BL428&lt;&gt;Constants!$B$4,$BL428,COUNTIFS($BM$9:$BM$508,"&lt;"&amp;$BM428)+COUNTIFS($BM$9:$BM$508,$BM428,$CF$9:$CF$508,"&lt;"&amp;$CF428)+1))</f>
        <v/>
      </c>
      <c r="CH428" s="100" t="str">
        <f aca="false">IF(ISBLANK($C428),"",IF($BL428&lt;&gt;Constants!$B$4,$BL428,RANK($CD428,$CD$9:$CD$508,1)))</f>
        <v/>
      </c>
      <c r="CI428" s="100" t="str">
        <f aca="false">IF($BL428&lt;&gt;Constants!$B$4,"",$AN428+$AO428+$AP428)</f>
        <v/>
      </c>
      <c r="CJ428" s="100" t="str">
        <f aca="false">IF(ISBLANK($C428),"",IF($BL428&lt;&gt;Constants!$B$4,$BL428,RANK($CI428,$CI$9:$CI$508,1)))</f>
        <v/>
      </c>
      <c r="CK428" s="100" t="str">
        <f aca="false">IF(ISBLANK($C428),"",IF($BL428&lt;&gt;Constants!$B$4,$BL428,COUNTIFS($BM$9:$BM$508,"&lt;"&amp;$BM428)+COUNTIFS($BM$9:$BM$508,$BM428,$CF$9:$CF$508,"&lt;"&amp;$CF428)+COUNTIFS($BM$9:$BM$508,$BM428,$CF$9:$CF$508,$CF428,$CH$9:$CH$508,"&lt;"&amp;$CH428)+COUNTIFS($BM$9:$BM$508,$BM428,$CF$9:$CF$508,$CF428,$CH$9:$CH$508,$CH428,$CJ$9:$CJ$508,"&lt;"&amp;$CJ428)+1))</f>
        <v/>
      </c>
      <c r="CL428" s="100" t="str">
        <f aca="false">IF(ISBLANK($C428),"",IF($BL428&lt;&gt;Constants!$B$4,$BL428,$CG428-$CK428))</f>
        <v/>
      </c>
      <c r="CM428" s="100" t="str">
        <f aca="false">IF(ISBLANK($C428),"",IF(NOT($AL428),"",IF(ISBLANK($D$7),$CM$5,IF(NOT(ISNUMBER($D$7)),$CM$6,""))))</f>
        <v/>
      </c>
      <c r="CN428" s="100" t="str">
        <f aca="false">IF(ISBLANK($C428),"",OR($AN428="",$AO428="",$AP428=""))</f>
        <v/>
      </c>
      <c r="CO428" s="100" t="str">
        <f aca="false">IF(ISBLANK($C428),"",AND($AL428,$BA428=""))</f>
        <v/>
      </c>
      <c r="CP428" s="100" t="str">
        <f aca="false">IF(ISBLANK($C428),"",AND($AL428,$BB428=""))</f>
        <v/>
      </c>
      <c r="CQ428" s="100" t="str">
        <f aca="false">IF(ISBLANK($C428),"",AND($AL428,$BC428=""))</f>
        <v/>
      </c>
      <c r="CR428" s="100" t="str">
        <f aca="false">IF(ISBLANK($C428),"",AND($AL428,$BF428=""))</f>
        <v/>
      </c>
      <c r="CS428" s="100" t="str">
        <f aca="false">IF(ISBLANK($C428),"",AND($AL428,$BJ428=""))</f>
        <v/>
      </c>
      <c r="CT428" s="101"/>
      <c r="CU428" s="102"/>
      <c r="CV428" s="103" t="str">
        <f aca="false">IF(ISBLANK($C428),"",IF($BL428=Constants!$B$8,$CM428,""))</f>
        <v/>
      </c>
      <c r="CW428" s="102" t="str">
        <f aca="false">IF(ISBLANK($C428),"",IF($BL428&lt;&gt;Constants!$B$4,"",$BO428+$BP428))</f>
        <v/>
      </c>
      <c r="CX428" s="104" t="str">
        <f aca="false">IF(ISBLANK($C428),"",IF($BL428&lt;&gt;Constants!$B$4,"",$BQ428+$BR428+$BS428))</f>
        <v/>
      </c>
      <c r="CY428" s="104" t="str">
        <f aca="false">IF(ISBLANK($C428),"",IF($BL428&lt;&gt;Constants!$B$4,"",$BT428))</f>
        <v/>
      </c>
      <c r="CZ428" s="104" t="str">
        <f aca="false">IF(ISBLANK($C428),"",IF($BL428&lt;&gt;Constants!$B$4,"",$BU428+$BV428))</f>
        <v/>
      </c>
      <c r="DA428" s="104" t="str">
        <f aca="false">IF(ISBLANK($C428),"",IF($BL428&lt;&gt;Constants!$B$4,"",$BW428))</f>
        <v/>
      </c>
      <c r="DB428" s="104" t="str">
        <f aca="false">IF(ISBLANK($C428),"",IF($BL428&lt;&gt;Constants!$B$4,"",-$CD428))</f>
        <v/>
      </c>
      <c r="DC428" s="103" t="str">
        <f aca="false">IF(ISBLANK($C428),"",$CE428)</f>
        <v/>
      </c>
      <c r="DD428" s="105" t="str">
        <f aca="false">IF(ISBLANK($C428),"",$BM428)</f>
        <v/>
      </c>
      <c r="DE428" s="104" t="str">
        <f aca="false">IF(ISBLANK($C428),"",$CL428)</f>
        <v/>
      </c>
      <c r="DF428" s="104" t="str">
        <f aca="false">IF(ISBLANK($C428),"",$CK428)</f>
        <v/>
      </c>
      <c r="DG428" s="106" t="str">
        <f aca="false">IF(ISBLANK($C428),"",IF($DF428=Constants!$B$7,COUNTA($C$9:$C$508)+2,IF($DF428=Constants!$B$6,COUNTA($C$9:$C$508)+1,IF($DF428=Constants!$B$5,COUNTA($C$9:$C$508),$DF428))))</f>
        <v/>
      </c>
      <c r="DH428" s="7"/>
      <c r="DI428" s="107" t="n">
        <f aca="false">IF(OR(ISNUMBER($DF428),$DF428=Constants!$B$7,$DF428=Constants!$B$5,$DF428=Constants!$B$6),1,0)</f>
        <v>0</v>
      </c>
      <c r="DJ428" s="107" t="n">
        <v>420</v>
      </c>
      <c r="DK428" s="107" t="str">
        <f aca="false">IF(ISBLANK($C428),"",IF(ISNUMBER($DG428),$DG428+ROW($B428)/1000,""))</f>
        <v/>
      </c>
      <c r="DL428" s="107" t="str">
        <f aca="false">IF(ISNUMBER($DK428),RANK($DK428,$DK$9:$DK$508,1),"")</f>
        <v/>
      </c>
      <c r="DM428" s="107" t="str">
        <f aca="false">IF(ISBLANK($C428),"",$B428)</f>
        <v/>
      </c>
      <c r="DN428" s="107" t="str">
        <f aca="false">IF(ISBLANK($C428),"",$C428)</f>
        <v/>
      </c>
      <c r="DO428" s="107" t="str">
        <f aca="false">IF(ISBLANK($C428),"",$D428)</f>
        <v/>
      </c>
      <c r="DP428" s="108" t="str">
        <f aca="false">$DD428</f>
        <v/>
      </c>
      <c r="DQ428" s="109" t="str">
        <f aca="false">$DC428</f>
        <v/>
      </c>
      <c r="DR428" s="107" t="str">
        <f aca="false">IF(ISBLANK($C428),"",$DF428)</f>
        <v/>
      </c>
      <c r="DS428" s="110" t="str">
        <f aca="false">IF($DJ428&gt;$DI$8,"",VLOOKUP($DJ428,$DL$9:$DR$508,7,FALSE()))</f>
        <v/>
      </c>
      <c r="DT428" s="111" t="str">
        <f aca="false">IF($DJ428&gt;$DI$8,"",VLOOKUP($DJ428,$DL$9:$DR$508,2,FALSE()))</f>
        <v/>
      </c>
      <c r="DU428" s="111" t="str">
        <f aca="false">IF($DJ428&gt;$DI$8,"",VLOOKUP($DJ428,$DL$9:$DR$508,3,FALSE()))</f>
        <v/>
      </c>
      <c r="DV428" s="111" t="str">
        <f aca="false">IF($DJ428&gt;$DI$8,"",VLOOKUP($DJ428,$DL$9:$DR$508,4,FALSE()))</f>
        <v/>
      </c>
      <c r="DW428" s="111" t="str">
        <f aca="false">IF($DJ428&gt;$DI$8,"",VLOOKUP($DJ428,$DL$9:$DR$508,5,FALSE()))</f>
        <v/>
      </c>
      <c r="DX428" s="112" t="str">
        <f aca="false">IF($DJ428&gt;$DI$8,"",VLOOKUP($DJ428,$DL$9:$DR$508,6,FALSE()))</f>
        <v/>
      </c>
      <c r="DY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88"/>
      <c r="N429" s="88"/>
      <c r="O429" s="134"/>
      <c r="P429" s="134"/>
      <c r="Q429" s="88"/>
      <c r="R429" s="88"/>
      <c r="S429" s="88"/>
      <c r="T429" s="88"/>
      <c r="U429" s="134"/>
      <c r="V429" s="88"/>
      <c r="W429" s="70"/>
      <c r="X429" s="88"/>
      <c r="Y429" s="88"/>
      <c r="Z429" s="70"/>
      <c r="AA429" s="70"/>
      <c r="AB429" s="88"/>
      <c r="AC429" s="88"/>
      <c r="AD429" s="88"/>
      <c r="AE429" s="71"/>
      <c r="AF429" s="88"/>
      <c r="AG429" s="73"/>
      <c r="AH429" s="74"/>
      <c r="AI429" s="74"/>
      <c r="AJ429" s="74" t="str">
        <f aca="false">IF(ISBLANK($C429),"",IF($E429=Constants!$B$2,TRUE(),IF($E429=Constants!$B$3,FALSE(),TRUE())))</f>
        <v/>
      </c>
      <c r="AK429" s="74" t="str">
        <f aca="false">IF(ISBLANK($C429),"",IF($F429=Constants!$B$2,TRUE(),IF($F429=Constants!$B$3,FALSE(),FALSE())))</f>
        <v/>
      </c>
      <c r="AL429" s="74" t="str">
        <f aca="false">IF(ISBLANK($C429),"",IF($G429=Constants!$B$2,TRUE(),IF($G429=Constants!$B$3,FALSE(),TRUE())))</f>
        <v/>
      </c>
      <c r="AM429" s="74" t="str">
        <f aca="false">IF(ISBLANK($C429),"",IF($H429=Constants!$B$2,TRUE(),IF($H429=Constants!$B$3,FALSE(),TRUE())))</f>
        <v/>
      </c>
      <c r="AN429" s="74" t="str">
        <f aca="false">IF(ISBLANK($C429),"",IF(ISNUMBER($I429),IF($I429&gt;=0,$I429,""),""))</f>
        <v/>
      </c>
      <c r="AO429" s="74" t="str">
        <f aca="false">IF(ISBLANK($C429),"",IF(ISNUMBER($J429),IF($J429&gt;=0,$J429,""),""))</f>
        <v/>
      </c>
      <c r="AP429" s="74" t="str">
        <f aca="false">IF(ISBLANK($C429),"",IF(ISNUMBER($K429),IF($K429&gt;=0,$K429,""),""))</f>
        <v/>
      </c>
      <c r="AQ429" s="74" t="str">
        <f aca="false">IF(ISBLANK($C429),"",IF($L429=Constants!$B$2,TRUE(),IF($L429=Constants!$B$3,FALSE(),TRUE())))</f>
        <v/>
      </c>
      <c r="AR429" s="74" t="str">
        <f aca="false">IF(ISBLANK($C429),"",IF($M429=Constants!$B$2,TRUE(),IF($M429=Constants!$B$3,FALSE(),TRUE())))</f>
        <v/>
      </c>
      <c r="AS429" s="74" t="str">
        <f aca="false">IF(ISBLANK($C429),"",IF($N429=Constants!$B$2,TRUE(),IF($N429=Constants!$B$3,FALSE(),FALSE())))</f>
        <v/>
      </c>
      <c r="AT429" s="74" t="str">
        <f aca="false">IF(ISBLANK($C429),"",IF($O429=Constants!$B$2,TRUE(),IF($O429=Constants!$B$3,FALSE(),TRUE())))</f>
        <v/>
      </c>
      <c r="AU429" s="74" t="str">
        <f aca="false">IF(ISBLANK($C429),"",IF($P429=Constants!$B$2,TRUE(),IF($P429=Constants!$B$3,FALSE(),TRUE())))</f>
        <v/>
      </c>
      <c r="AV429" s="74" t="str">
        <f aca="false">IF(ISBLANK($C429),"",IF($Q429=Constants!$B$2,TRUE(),IF($Q429=Constants!$B$3,FALSE(),FALSE())))</f>
        <v/>
      </c>
      <c r="AW429" s="74" t="str">
        <f aca="false">IF(ISBLANK($C429),"",IF($R429=Constants!$B$2,TRUE(),IF($R429=Constants!$B$3,FALSE(),FALSE())))</f>
        <v/>
      </c>
      <c r="AX429" s="74" t="str">
        <f aca="false">IF(ISBLANK($C429),"",IF($S429=Constants!$B$2,TRUE(),IF($S429=Constants!$B$3,FALSE(),FALSE())))</f>
        <v/>
      </c>
      <c r="AY429" s="74" t="str">
        <f aca="false">IF(ISBLANK($C429),"",IF($T429=Constants!$B$2,TRUE(),IF($T429=Constants!$B$3,FALSE(),FALSE())))</f>
        <v/>
      </c>
      <c r="AZ429" s="74" t="str">
        <f aca="false">IF(ISBLANK($C429),"",IF($U429=Constants!$B$2,TRUE(),IF($U429=Constants!$B$3,FALSE(),FALSE())))</f>
        <v/>
      </c>
      <c r="BA429" s="74" t="str">
        <f aca="false">IF(ISBLANK($C429),"",IF(OR($V429&amp;""="1",$V429&amp;""="2",$V429&amp;""="3",$V429&amp;""="4"),VALUE($V429&amp;""),IF($V429=Constants!$B$12,Constants!$B$12,"")))</f>
        <v/>
      </c>
      <c r="BB429" s="74" t="str">
        <f aca="false">IF(ISBLANK($C429),"",IF(ISBLANK($W429),0,IF(ISNUMBER($W429),IF(AND($W429&gt;=0,$W429&lt;=Constants!$B$21,$W429=INT($W429)),$W429,""),"")))</f>
        <v/>
      </c>
      <c r="BC429" s="74" t="str">
        <f aca="false">IF(ISBLANK($C429),"",IF(ISBLANK($X429),0,IF(ISNUMBER($X429),IF($X429&gt;=0,$X429,""),"")))</f>
        <v/>
      </c>
      <c r="BD429" s="74" t="str">
        <f aca="false">IF(ISBLANK($C429),"",IF($Y429=Constants!$B$2,TRUE(),IF($Y429=Constants!$B$3,FALSE(),TRUE())))</f>
        <v/>
      </c>
      <c r="BE429" s="74" t="str">
        <f aca="false">IF(ISBLANK($C429),"",IF($Z429=Constants!$B$2,TRUE(),IF($Z429=Constants!$B$3,FALSE(),FALSE())))</f>
        <v/>
      </c>
      <c r="BF429" s="74" t="str">
        <f aca="false">IF(ISBLANK($C429),"",IF(ISBLANK($AA429),0,IF(ISNUMBER($AA429),IF(AND($AA429&gt;=0,$AA429&lt;=Constants!$B$35,$AA429=INT($AA429)),$AA429,""),"")))</f>
        <v/>
      </c>
      <c r="BG429" s="74" t="str">
        <f aca="false">IF(ISBLANK($C429),"",IF($AB429=Constants!$B$2,TRUE(),IF($AB429=Constants!$B$3,FALSE(),TRUE())))</f>
        <v/>
      </c>
      <c r="BH429" s="74" t="str">
        <f aca="false">IF(ISBLANK($C429),"",IF($AC429=Constants!$B$2,TRUE(),IF($AC429=Constants!$B$3,FALSE(),TRUE())))</f>
        <v/>
      </c>
      <c r="BI429" s="74" t="str">
        <f aca="false">IF(ISBLANK($C429),"",IF($AD429=Constants!$B$2,TRUE(),IF($AD429=Constants!$B$3,FALSE(),TRUE())))</f>
        <v/>
      </c>
      <c r="BJ429" s="74" t="str">
        <f aca="false">IF(ISBLANK($C429),"",IF(ISNUMBER($AE429),IF($AE429&gt;=0,$AE429,""),""))</f>
        <v/>
      </c>
      <c r="BK429" s="74" t="str">
        <f aca="false">IF(ISBLANK($C429),"",IF($AF429=Constants!$B$2,TRUE(),IF($AF429=Constants!$B$3,FALSE(),FALSE())))</f>
        <v/>
      </c>
      <c r="BL429" s="73" t="str">
        <f aca="false">IF(ISBLANK($C429),"",IF($BK429,Constants!$B$7,IF(COUNTA($E429:$AE429)=0,Constants!$B$6,IF(OR(COUNTA($G429:$AE429)=0,NOT($AM429),$AS429),Constants!$B$5,IF(OR($CM429&lt;&gt;"",$CN429,$CO429,$CP429,$CQ429,$CR429,$CS429),Constants!$B$8,Constants!$B$4)))))</f>
        <v/>
      </c>
      <c r="BM429" s="74" t="str">
        <f aca="false">IF(ISBLANK($C429),"",IF($BL429&lt;&gt;Constants!$B$4,$BL429,IF(OR(NOT($AJ429),NOT($AL429),NOT($AT429)),Constants!$B$11,IF(OR(NOT($AR429),NOT($AU429),NOT($BI429),MAX($AN429,$AO429,$AP429)&gt;Constants!$B$30),Constants!$B$10,Constants!$B$9))))</f>
        <v/>
      </c>
      <c r="BN429" s="74" t="str">
        <f aca="false">IF($BL429&lt;&gt;Constants!$B$4,"",IF(NOT($AL429),0,MIN(Constants!$B$35,$BF429)))</f>
        <v/>
      </c>
      <c r="BO429" s="74" t="str">
        <f aca="false">IF($BL429&lt;&gt;Constants!$B$4,"",IF(NOT($AL429),0,IF($AW429,Constants!$B$18,IF($AV429,Constants!$B$17,0))))</f>
        <v/>
      </c>
      <c r="BP429" s="74" t="str">
        <f aca="false">IF($BL429&lt;&gt;Constants!$B$4,"",IF(NOT($AL429),0,Constants!$B$19*($AK429+$AX429+$AY429+$AZ429)))</f>
        <v/>
      </c>
      <c r="BQ429" s="74" t="str">
        <f aca="false">IF($BL429&lt;&gt;Constants!$B$4,"",IF(OR(NOT($AL429),NOT(ISNUMBER($BA429))),0,CHOOSE($BA429,Constants!$B$13,Constants!$B$14,Constants!$B$15,Constants!$B$16)))</f>
        <v/>
      </c>
      <c r="BR429" s="74" t="str">
        <f aca="false">IF($BL429&lt;&gt;Constants!$B$4,"",IF(NOT($AL429),0,Constants!$B$20*$BB429))</f>
        <v/>
      </c>
      <c r="BS429" s="74" t="str">
        <f aca="false">IF($BL429&lt;&gt;Constants!$B$4,"",IF(AND($AL429,$BD429,$BE429),Constants!$B$22,0))</f>
        <v/>
      </c>
      <c r="BT429" s="74" t="str">
        <f aca="false">IF($BL429&lt;&gt;Constants!$B$4,"",IF(OR(NOT($AL429),NOT($BD429)),0,IF($BJ429&gt;=2*$AH$9,0,Constants!$B$23*INT(ROUND(MIN($BJ429,$AH$9),6)))))</f>
        <v/>
      </c>
      <c r="BU429" s="74" t="str">
        <f aca="false">IF($BL429&lt;&gt;Constants!$B$4,"",IF(NOT($AL429),0,Constants!$B$24*INT(ROUND(MIN($BC429,$AH$9),6))))</f>
        <v/>
      </c>
      <c r="BV429" s="74" t="str">
        <f aca="false">IF($BL429&lt;&gt;Constants!$B$4,"",IF(AND($AL429,$BN429=0),Constants!$B$25,0))</f>
        <v/>
      </c>
      <c r="BW429" s="74" t="str">
        <f aca="false">IF($BL429&lt;&gt;Constants!$B$4,"",MIN(Constants!$B$29,MAX(0,Constants!$B$27*Constants!$B$28*INT(ROUND((Constants!$B$26-$AN429)/Constants!$B$28,6))))+MIN(Constants!$B$29,MAX(0,Constants!$B$27*Constants!$B$28*INT(ROUND((Constants!$B$26-$AO429)/Constants!$B$28,6))))+MIN(Constants!$B$29,MAX(0,Constants!$B$27*Constants!$B$28*INT(ROUND((Constants!$B$26-$AP429)/Constants!$B$28,6)))))</f>
        <v/>
      </c>
      <c r="BX429" s="74" t="str">
        <f aca="false">IF($BL429&lt;&gt;Constants!$B$4,"",IF(NOT($AL429),0,Constants!$B$31*INT(ROUND(MAX(0,MIN($BJ429,2*$AH$9)-$AH$9),6))))</f>
        <v/>
      </c>
      <c r="BY429" s="74" t="str">
        <f aca="false">IF($BL429&lt;&gt;Constants!$B$4,"",Constants!$B$32*(($AN429&gt;Constants!$B$26)+($AO429&gt;Constants!$B$26)+($AP429&gt;Constants!$B$26)))</f>
        <v/>
      </c>
      <c r="BZ429" s="74" t="str">
        <f aca="false">IF($BL429&lt;&gt;Constants!$B$4,"",IF(OR(NOT($AL429),$AQ429),0,Constants!$B$33))</f>
        <v/>
      </c>
      <c r="CA429" s="74" t="str">
        <f aca="false">IF($BL429&lt;&gt;Constants!$B$4,"",Constants!$B$34*$BN429)</f>
        <v/>
      </c>
      <c r="CB429" s="74" t="str">
        <f aca="false">IF($BL429&lt;&gt;Constants!$B$4,"",IF(OR(NOT($AL429),$BH429),0,Constants!$B$36))</f>
        <v/>
      </c>
      <c r="CC429" s="74" t="str">
        <f aca="false">IF($BL429&lt;&gt;Constants!$B$4,"",IF(OR(NOT($AL429),$BG429),0,Constants!$B$37))</f>
        <v/>
      </c>
      <c r="CD429" s="74" t="str">
        <f aca="false">IF($BL429&lt;&gt;Constants!$B$4,"",SUM($BX429:$CC429))</f>
        <v/>
      </c>
      <c r="CE429" s="74" t="str">
        <f aca="false">IF(ISBLANK($C429),"",IF($BL429&lt;&gt;Constants!$B$4,$BL429,SUM($BO429:$BW429)-$CD429))</f>
        <v/>
      </c>
      <c r="CF429" s="74" t="str">
        <f aca="false">IF(ISBLANK($C429),"",IF($BL429&lt;&gt;Constants!$B$4,$BL429,RANK($CE429,$CE$9:$CE$508)))</f>
        <v/>
      </c>
      <c r="CG429" s="74" t="str">
        <f aca="false">IF(ISBLANK($C429),"",IF($BL429&lt;&gt;Constants!$B$4,$BL429,COUNTIFS($BM$9:$BM$508,"&lt;"&amp;$BM429)+COUNTIFS($BM$9:$BM$508,$BM429,$CF$9:$CF$508,"&lt;"&amp;$CF429)+1))</f>
        <v/>
      </c>
      <c r="CH429" s="74" t="str">
        <f aca="false">IF(ISBLANK($C429),"",IF($BL429&lt;&gt;Constants!$B$4,$BL429,RANK($CD429,$CD$9:$CD$508,1)))</f>
        <v/>
      </c>
      <c r="CI429" s="74" t="str">
        <f aca="false">IF($BL429&lt;&gt;Constants!$B$4,"",$AN429+$AO429+$AP429)</f>
        <v/>
      </c>
      <c r="CJ429" s="74" t="str">
        <f aca="false">IF(ISBLANK($C429),"",IF($BL429&lt;&gt;Constants!$B$4,$BL429,RANK($CI429,$CI$9:$CI$508,1)))</f>
        <v/>
      </c>
      <c r="CK429" s="74" t="str">
        <f aca="false">IF(ISBLANK($C429),"",IF($BL429&lt;&gt;Constants!$B$4,$BL429,COUNTIFS($BM$9:$BM$508,"&lt;"&amp;$BM429)+COUNTIFS($BM$9:$BM$508,$BM429,$CF$9:$CF$508,"&lt;"&amp;$CF429)+COUNTIFS($BM$9:$BM$508,$BM429,$CF$9:$CF$508,$CF429,$CH$9:$CH$508,"&lt;"&amp;$CH429)+COUNTIFS($BM$9:$BM$508,$BM429,$CF$9:$CF$508,$CF429,$CH$9:$CH$508,$CH429,$CJ$9:$CJ$508,"&lt;"&amp;$CJ429)+1))</f>
        <v/>
      </c>
      <c r="CL429" s="74" t="str">
        <f aca="false">IF(ISBLANK($C429),"",IF($BL429&lt;&gt;Constants!$B$4,$BL429,$CG429-$CK429))</f>
        <v/>
      </c>
      <c r="CM429" s="74" t="str">
        <f aca="false">IF(ISBLANK($C429),"",IF(NOT($AL429),"",IF(ISBLANK($D$7),$CM$5,IF(NOT(ISNUMBER($D$7)),$CM$6,""))))</f>
        <v/>
      </c>
      <c r="CN429" s="74" t="str">
        <f aca="false">IF(ISBLANK($C429),"",OR($AN429="",$AO429="",$AP429=""))</f>
        <v/>
      </c>
      <c r="CO429" s="74" t="str">
        <f aca="false">IF(ISBLANK($C429),"",AND($AL429,$BA429=""))</f>
        <v/>
      </c>
      <c r="CP429" s="74" t="str">
        <f aca="false">IF(ISBLANK($C429),"",AND($AL429,$BB429=""))</f>
        <v/>
      </c>
      <c r="CQ429" s="74" t="str">
        <f aca="false">IF(ISBLANK($C429),"",AND($AL429,$BC429=""))</f>
        <v/>
      </c>
      <c r="CR429" s="74" t="str">
        <f aca="false">IF(ISBLANK($C429),"",AND($AL429,$BF429=""))</f>
        <v/>
      </c>
      <c r="CS429" s="74" t="str">
        <f aca="false">IF(ISBLANK($C429),"",AND($AL429,$BJ429=""))</f>
        <v/>
      </c>
      <c r="CT429" s="75"/>
      <c r="CU429" s="76"/>
      <c r="CV429" s="79" t="str">
        <f aca="false">IF(ISBLANK($C429),"",IF($BL429=Constants!$B$8,$CM429,""))</f>
        <v/>
      </c>
      <c r="CW429" s="76" t="str">
        <f aca="false">IF(ISBLANK($C429),"",IF($BL429&lt;&gt;Constants!$B$4,"",$BO429+$BP429))</f>
        <v/>
      </c>
      <c r="CX429" s="78" t="str">
        <f aca="false">IF(ISBLANK($C429),"",IF($BL429&lt;&gt;Constants!$B$4,"",$BQ429+$BR429+$BS429))</f>
        <v/>
      </c>
      <c r="CY429" s="78" t="str">
        <f aca="false">IF(ISBLANK($C429),"",IF($BL429&lt;&gt;Constants!$B$4,"",$BT429))</f>
        <v/>
      </c>
      <c r="CZ429" s="78" t="str">
        <f aca="false">IF(ISBLANK($C429),"",IF($BL429&lt;&gt;Constants!$B$4,"",$BU429+$BV429))</f>
        <v/>
      </c>
      <c r="DA429" s="78" t="str">
        <f aca="false">IF(ISBLANK($C429),"",IF($BL429&lt;&gt;Constants!$B$4,"",$BW429))</f>
        <v/>
      </c>
      <c r="DB429" s="78" t="str">
        <f aca="false">IF(ISBLANK($C429),"",IF($BL429&lt;&gt;Constants!$B$4,"",-$CD429))</f>
        <v/>
      </c>
      <c r="DC429" s="79" t="str">
        <f aca="false">IF(ISBLANK($C429),"",$CE429)</f>
        <v/>
      </c>
      <c r="DD429" s="80" t="str">
        <f aca="false">IF(ISBLANK($C429),"",$BM429)</f>
        <v/>
      </c>
      <c r="DE429" s="78" t="str">
        <f aca="false">IF(ISBLANK($C429),"",$CL429)</f>
        <v/>
      </c>
      <c r="DF429" s="78" t="str">
        <f aca="false">IF(ISBLANK($C429),"",$CK429)</f>
        <v/>
      </c>
      <c r="DG429" s="81" t="str">
        <f aca="false">IF(ISBLANK($C429),"",IF($DF429=Constants!$B$7,COUNTA($C$9:$C$508)+2,IF($DF429=Constants!$B$6,COUNTA($C$9:$C$508)+1,IF($DF429=Constants!$B$5,COUNTA($C$9:$C$508),$DF429))))</f>
        <v/>
      </c>
      <c r="DH429" s="7"/>
      <c r="DI429" s="82" t="n">
        <f aca="false">IF(OR(ISNUMBER($DF429),$DF429=Constants!$B$7,$DF429=Constants!$B$5,$DF429=Constants!$B$6),1,0)</f>
        <v>0</v>
      </c>
      <c r="DJ429" s="82" t="n">
        <v>421</v>
      </c>
      <c r="DK429" s="82" t="str">
        <f aca="false">IF(ISBLANK($C429),"",IF(ISNUMBER($DG429),$DG429+ROW($B429)/1000,""))</f>
        <v/>
      </c>
      <c r="DL429" s="82" t="str">
        <f aca="false">IF(ISNUMBER($DK429),RANK($DK429,$DK$9:$DK$508,1),"")</f>
        <v/>
      </c>
      <c r="DM429" s="82" t="str">
        <f aca="false">IF(ISBLANK($C429),"",$B429)</f>
        <v/>
      </c>
      <c r="DN429" s="82" t="str">
        <f aca="false">IF(ISBLANK($C429),"",$C429)</f>
        <v/>
      </c>
      <c r="DO429" s="82" t="str">
        <f aca="false">IF(ISBLANK($C429),"",$D429)</f>
        <v/>
      </c>
      <c r="DP429" s="83" t="str">
        <f aca="false">$DD429</f>
        <v/>
      </c>
      <c r="DQ429" s="84" t="str">
        <f aca="false">$DC429</f>
        <v/>
      </c>
      <c r="DR429" s="82" t="str">
        <f aca="false">IF(ISBLANK($C429),"",$DF429)</f>
        <v/>
      </c>
      <c r="DS429" s="85" t="str">
        <f aca="false">IF($DJ429&gt;$DI$8,"",VLOOKUP($DJ429,$DL$9:$DR$508,7,FALSE()))</f>
        <v/>
      </c>
      <c r="DT429" s="86" t="str">
        <f aca="false">IF($DJ429&gt;$DI$8,"",VLOOKUP($DJ429,$DL$9:$DR$508,2,FALSE()))</f>
        <v/>
      </c>
      <c r="DU429" s="86" t="str">
        <f aca="false">IF($DJ429&gt;$DI$8,"",VLOOKUP($DJ429,$DL$9:$DR$508,3,FALSE()))</f>
        <v/>
      </c>
      <c r="DV429" s="86" t="str">
        <f aca="false">IF($DJ429&gt;$DI$8,"",VLOOKUP($DJ429,$DL$9:$DR$508,4,FALSE()))</f>
        <v/>
      </c>
      <c r="DW429" s="86" t="str">
        <f aca="false">IF($DJ429&gt;$DI$8,"",VLOOKUP($DJ429,$DL$9:$DR$508,5,FALSE()))</f>
        <v/>
      </c>
      <c r="DX429" s="87" t="str">
        <f aca="false">IF($DJ429&gt;$DI$8,"",VLOOKUP($DJ429,$DL$9:$DR$508,6,FALSE()))</f>
        <v/>
      </c>
      <c r="DY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88"/>
      <c r="N430" s="88"/>
      <c r="O430" s="134"/>
      <c r="P430" s="134"/>
      <c r="Q430" s="88"/>
      <c r="R430" s="88"/>
      <c r="S430" s="88"/>
      <c r="T430" s="88"/>
      <c r="U430" s="134"/>
      <c r="V430" s="88"/>
      <c r="W430" s="70"/>
      <c r="X430" s="88"/>
      <c r="Y430" s="88"/>
      <c r="Z430" s="70"/>
      <c r="AA430" s="70"/>
      <c r="AB430" s="88"/>
      <c r="AC430" s="88"/>
      <c r="AD430" s="88"/>
      <c r="AE430" s="71"/>
      <c r="AF430" s="88"/>
      <c r="AG430" s="73"/>
      <c r="AH430" s="74"/>
      <c r="AI430" s="74"/>
      <c r="AJ430" s="74" t="str">
        <f aca="false">IF(ISBLANK($C430),"",IF($E430=Constants!$B$2,TRUE(),IF($E430=Constants!$B$3,FALSE(),TRUE())))</f>
        <v/>
      </c>
      <c r="AK430" s="74" t="str">
        <f aca="false">IF(ISBLANK($C430),"",IF($F430=Constants!$B$2,TRUE(),IF($F430=Constants!$B$3,FALSE(),FALSE())))</f>
        <v/>
      </c>
      <c r="AL430" s="74" t="str">
        <f aca="false">IF(ISBLANK($C430),"",IF($G430=Constants!$B$2,TRUE(),IF($G430=Constants!$B$3,FALSE(),TRUE())))</f>
        <v/>
      </c>
      <c r="AM430" s="74" t="str">
        <f aca="false">IF(ISBLANK($C430),"",IF($H430=Constants!$B$2,TRUE(),IF($H430=Constants!$B$3,FALSE(),TRUE())))</f>
        <v/>
      </c>
      <c r="AN430" s="74" t="str">
        <f aca="false">IF(ISBLANK($C430),"",IF(ISNUMBER($I430),IF($I430&gt;=0,$I430,""),""))</f>
        <v/>
      </c>
      <c r="AO430" s="74" t="str">
        <f aca="false">IF(ISBLANK($C430),"",IF(ISNUMBER($J430),IF($J430&gt;=0,$J430,""),""))</f>
        <v/>
      </c>
      <c r="AP430" s="74" t="str">
        <f aca="false">IF(ISBLANK($C430),"",IF(ISNUMBER($K430),IF($K430&gt;=0,$K430,""),""))</f>
        <v/>
      </c>
      <c r="AQ430" s="74" t="str">
        <f aca="false">IF(ISBLANK($C430),"",IF($L430=Constants!$B$2,TRUE(),IF($L430=Constants!$B$3,FALSE(),TRUE())))</f>
        <v/>
      </c>
      <c r="AR430" s="74" t="str">
        <f aca="false">IF(ISBLANK($C430),"",IF($M430=Constants!$B$2,TRUE(),IF($M430=Constants!$B$3,FALSE(),TRUE())))</f>
        <v/>
      </c>
      <c r="AS430" s="74" t="str">
        <f aca="false">IF(ISBLANK($C430),"",IF($N430=Constants!$B$2,TRUE(),IF($N430=Constants!$B$3,FALSE(),FALSE())))</f>
        <v/>
      </c>
      <c r="AT430" s="74" t="str">
        <f aca="false">IF(ISBLANK($C430),"",IF($O430=Constants!$B$2,TRUE(),IF($O430=Constants!$B$3,FALSE(),TRUE())))</f>
        <v/>
      </c>
      <c r="AU430" s="74" t="str">
        <f aca="false">IF(ISBLANK($C430),"",IF($P430=Constants!$B$2,TRUE(),IF($P430=Constants!$B$3,FALSE(),TRUE())))</f>
        <v/>
      </c>
      <c r="AV430" s="74" t="str">
        <f aca="false">IF(ISBLANK($C430),"",IF($Q430=Constants!$B$2,TRUE(),IF($Q430=Constants!$B$3,FALSE(),FALSE())))</f>
        <v/>
      </c>
      <c r="AW430" s="74" t="str">
        <f aca="false">IF(ISBLANK($C430),"",IF($R430=Constants!$B$2,TRUE(),IF($R430=Constants!$B$3,FALSE(),FALSE())))</f>
        <v/>
      </c>
      <c r="AX430" s="74" t="str">
        <f aca="false">IF(ISBLANK($C430),"",IF($S430=Constants!$B$2,TRUE(),IF($S430=Constants!$B$3,FALSE(),FALSE())))</f>
        <v/>
      </c>
      <c r="AY430" s="74" t="str">
        <f aca="false">IF(ISBLANK($C430),"",IF($T430=Constants!$B$2,TRUE(),IF($T430=Constants!$B$3,FALSE(),FALSE())))</f>
        <v/>
      </c>
      <c r="AZ430" s="74" t="str">
        <f aca="false">IF(ISBLANK($C430),"",IF($U430=Constants!$B$2,TRUE(),IF($U430=Constants!$B$3,FALSE(),FALSE())))</f>
        <v/>
      </c>
      <c r="BA430" s="74" t="str">
        <f aca="false">IF(ISBLANK($C430),"",IF(OR($V430&amp;""="1",$V430&amp;""="2",$V430&amp;""="3",$V430&amp;""="4"),VALUE($V430&amp;""),IF($V430=Constants!$B$12,Constants!$B$12,"")))</f>
        <v/>
      </c>
      <c r="BB430" s="74" t="str">
        <f aca="false">IF(ISBLANK($C430),"",IF(ISBLANK($W430),0,IF(ISNUMBER($W430),IF(AND($W430&gt;=0,$W430&lt;=Constants!$B$21,$W430=INT($W430)),$W430,""),"")))</f>
        <v/>
      </c>
      <c r="BC430" s="74" t="str">
        <f aca="false">IF(ISBLANK($C430),"",IF(ISBLANK($X430),0,IF(ISNUMBER($X430),IF($X430&gt;=0,$X430,""),"")))</f>
        <v/>
      </c>
      <c r="BD430" s="74" t="str">
        <f aca="false">IF(ISBLANK($C430),"",IF($Y430=Constants!$B$2,TRUE(),IF($Y430=Constants!$B$3,FALSE(),TRUE())))</f>
        <v/>
      </c>
      <c r="BE430" s="74" t="str">
        <f aca="false">IF(ISBLANK($C430),"",IF($Z430=Constants!$B$2,TRUE(),IF($Z430=Constants!$B$3,FALSE(),FALSE())))</f>
        <v/>
      </c>
      <c r="BF430" s="74" t="str">
        <f aca="false">IF(ISBLANK($C430),"",IF(ISBLANK($AA430),0,IF(ISNUMBER($AA430),IF(AND($AA430&gt;=0,$AA430&lt;=Constants!$B$35,$AA430=INT($AA430)),$AA430,""),"")))</f>
        <v/>
      </c>
      <c r="BG430" s="74" t="str">
        <f aca="false">IF(ISBLANK($C430),"",IF($AB430=Constants!$B$2,TRUE(),IF($AB430=Constants!$B$3,FALSE(),TRUE())))</f>
        <v/>
      </c>
      <c r="BH430" s="74" t="str">
        <f aca="false">IF(ISBLANK($C430),"",IF($AC430=Constants!$B$2,TRUE(),IF($AC430=Constants!$B$3,FALSE(),TRUE())))</f>
        <v/>
      </c>
      <c r="BI430" s="74" t="str">
        <f aca="false">IF(ISBLANK($C430),"",IF($AD430=Constants!$B$2,TRUE(),IF($AD430=Constants!$B$3,FALSE(),TRUE())))</f>
        <v/>
      </c>
      <c r="BJ430" s="74" t="str">
        <f aca="false">IF(ISBLANK($C430),"",IF(ISNUMBER($AE430),IF($AE430&gt;=0,$AE430,""),""))</f>
        <v/>
      </c>
      <c r="BK430" s="74" t="str">
        <f aca="false">IF(ISBLANK($C430),"",IF($AF430=Constants!$B$2,TRUE(),IF($AF430=Constants!$B$3,FALSE(),FALSE())))</f>
        <v/>
      </c>
      <c r="BL430" s="73" t="str">
        <f aca="false">IF(ISBLANK($C430),"",IF($BK430,Constants!$B$7,IF(COUNTA($E430:$AE430)=0,Constants!$B$6,IF(OR(COUNTA($G430:$AE430)=0,NOT($AM430),$AS430),Constants!$B$5,IF(OR($CM430&lt;&gt;"",$CN430,$CO430,$CP430,$CQ430,$CR430,$CS430),Constants!$B$8,Constants!$B$4)))))</f>
        <v/>
      </c>
      <c r="BM430" s="74" t="str">
        <f aca="false">IF(ISBLANK($C430),"",IF($BL430&lt;&gt;Constants!$B$4,$BL430,IF(OR(NOT($AJ430),NOT($AL430),NOT($AT430)),Constants!$B$11,IF(OR(NOT($AR430),NOT($AU430),NOT($BI430),MAX($AN430,$AO430,$AP430)&gt;Constants!$B$30),Constants!$B$10,Constants!$B$9))))</f>
        <v/>
      </c>
      <c r="BN430" s="74" t="str">
        <f aca="false">IF($BL430&lt;&gt;Constants!$B$4,"",IF(NOT($AL430),0,MIN(Constants!$B$35,$BF430)))</f>
        <v/>
      </c>
      <c r="BO430" s="74" t="str">
        <f aca="false">IF($BL430&lt;&gt;Constants!$B$4,"",IF(NOT($AL430),0,IF($AW430,Constants!$B$18,IF($AV430,Constants!$B$17,0))))</f>
        <v/>
      </c>
      <c r="BP430" s="74" t="str">
        <f aca="false">IF($BL430&lt;&gt;Constants!$B$4,"",IF(NOT($AL430),0,Constants!$B$19*($AK430+$AX430+$AY430+$AZ430)))</f>
        <v/>
      </c>
      <c r="BQ430" s="74" t="str">
        <f aca="false">IF($BL430&lt;&gt;Constants!$B$4,"",IF(OR(NOT($AL430),NOT(ISNUMBER($BA430))),0,CHOOSE($BA430,Constants!$B$13,Constants!$B$14,Constants!$B$15,Constants!$B$16)))</f>
        <v/>
      </c>
      <c r="BR430" s="74" t="str">
        <f aca="false">IF($BL430&lt;&gt;Constants!$B$4,"",IF(NOT($AL430),0,Constants!$B$20*$BB430))</f>
        <v/>
      </c>
      <c r="BS430" s="74" t="str">
        <f aca="false">IF($BL430&lt;&gt;Constants!$B$4,"",IF(AND($AL430,$BD430,$BE430),Constants!$B$22,0))</f>
        <v/>
      </c>
      <c r="BT430" s="74" t="str">
        <f aca="false">IF($BL430&lt;&gt;Constants!$B$4,"",IF(OR(NOT($AL430),NOT($BD430)),0,IF($BJ430&gt;=2*$AH$9,0,Constants!$B$23*INT(ROUND(MIN($BJ430,$AH$9),6)))))</f>
        <v/>
      </c>
      <c r="BU430" s="74" t="str">
        <f aca="false">IF($BL430&lt;&gt;Constants!$B$4,"",IF(NOT($AL430),0,Constants!$B$24*INT(ROUND(MIN($BC430,$AH$9),6))))</f>
        <v/>
      </c>
      <c r="BV430" s="74" t="str">
        <f aca="false">IF($BL430&lt;&gt;Constants!$B$4,"",IF(AND($AL430,$BN430=0),Constants!$B$25,0))</f>
        <v/>
      </c>
      <c r="BW430" s="74" t="str">
        <f aca="false">IF($BL430&lt;&gt;Constants!$B$4,"",MIN(Constants!$B$29,MAX(0,Constants!$B$27*Constants!$B$28*INT(ROUND((Constants!$B$26-$AN430)/Constants!$B$28,6))))+MIN(Constants!$B$29,MAX(0,Constants!$B$27*Constants!$B$28*INT(ROUND((Constants!$B$26-$AO430)/Constants!$B$28,6))))+MIN(Constants!$B$29,MAX(0,Constants!$B$27*Constants!$B$28*INT(ROUND((Constants!$B$26-$AP430)/Constants!$B$28,6)))))</f>
        <v/>
      </c>
      <c r="BX430" s="74" t="str">
        <f aca="false">IF($BL430&lt;&gt;Constants!$B$4,"",IF(NOT($AL430),0,Constants!$B$31*INT(ROUND(MAX(0,MIN($BJ430,2*$AH$9)-$AH$9),6))))</f>
        <v/>
      </c>
      <c r="BY430" s="74" t="str">
        <f aca="false">IF($BL430&lt;&gt;Constants!$B$4,"",Constants!$B$32*(($AN430&gt;Constants!$B$26)+($AO430&gt;Constants!$B$26)+($AP430&gt;Constants!$B$26)))</f>
        <v/>
      </c>
      <c r="BZ430" s="74" t="str">
        <f aca="false">IF($BL430&lt;&gt;Constants!$B$4,"",IF(OR(NOT($AL430),$AQ430),0,Constants!$B$33))</f>
        <v/>
      </c>
      <c r="CA430" s="74" t="str">
        <f aca="false">IF($BL430&lt;&gt;Constants!$B$4,"",Constants!$B$34*$BN430)</f>
        <v/>
      </c>
      <c r="CB430" s="74" t="str">
        <f aca="false">IF($BL430&lt;&gt;Constants!$B$4,"",IF(OR(NOT($AL430),$BH430),0,Constants!$B$36))</f>
        <v/>
      </c>
      <c r="CC430" s="74" t="str">
        <f aca="false">IF($BL430&lt;&gt;Constants!$B$4,"",IF(OR(NOT($AL430),$BG430),0,Constants!$B$37))</f>
        <v/>
      </c>
      <c r="CD430" s="74" t="str">
        <f aca="false">IF($BL430&lt;&gt;Constants!$B$4,"",SUM($BX430:$CC430))</f>
        <v/>
      </c>
      <c r="CE430" s="74" t="str">
        <f aca="false">IF(ISBLANK($C430),"",IF($BL430&lt;&gt;Constants!$B$4,$BL430,SUM($BO430:$BW430)-$CD430))</f>
        <v/>
      </c>
      <c r="CF430" s="74" t="str">
        <f aca="false">IF(ISBLANK($C430),"",IF($BL430&lt;&gt;Constants!$B$4,$BL430,RANK($CE430,$CE$9:$CE$508)))</f>
        <v/>
      </c>
      <c r="CG430" s="74" t="str">
        <f aca="false">IF(ISBLANK($C430),"",IF($BL430&lt;&gt;Constants!$B$4,$BL430,COUNTIFS($BM$9:$BM$508,"&lt;"&amp;$BM430)+COUNTIFS($BM$9:$BM$508,$BM430,$CF$9:$CF$508,"&lt;"&amp;$CF430)+1))</f>
        <v/>
      </c>
      <c r="CH430" s="74" t="str">
        <f aca="false">IF(ISBLANK($C430),"",IF($BL430&lt;&gt;Constants!$B$4,$BL430,RANK($CD430,$CD$9:$CD$508,1)))</f>
        <v/>
      </c>
      <c r="CI430" s="74" t="str">
        <f aca="false">IF($BL430&lt;&gt;Constants!$B$4,"",$AN430+$AO430+$AP430)</f>
        <v/>
      </c>
      <c r="CJ430" s="74" t="str">
        <f aca="false">IF(ISBLANK($C430),"",IF($BL430&lt;&gt;Constants!$B$4,$BL430,RANK($CI430,$CI$9:$CI$508,1)))</f>
        <v/>
      </c>
      <c r="CK430" s="74" t="str">
        <f aca="false">IF(ISBLANK($C430),"",IF($BL430&lt;&gt;Constants!$B$4,$BL430,COUNTIFS($BM$9:$BM$508,"&lt;"&amp;$BM430)+COUNTIFS($BM$9:$BM$508,$BM430,$CF$9:$CF$508,"&lt;"&amp;$CF430)+COUNTIFS($BM$9:$BM$508,$BM430,$CF$9:$CF$508,$CF430,$CH$9:$CH$508,"&lt;"&amp;$CH430)+COUNTIFS($BM$9:$BM$508,$BM430,$CF$9:$CF$508,$CF430,$CH$9:$CH$508,$CH430,$CJ$9:$CJ$508,"&lt;"&amp;$CJ430)+1))</f>
        <v/>
      </c>
      <c r="CL430" s="74" t="str">
        <f aca="false">IF(ISBLANK($C430),"",IF($BL430&lt;&gt;Constants!$B$4,$BL430,$CG430-$CK430))</f>
        <v/>
      </c>
      <c r="CM430" s="74" t="str">
        <f aca="false">IF(ISBLANK($C430),"",IF(NOT($AL430),"",IF(ISBLANK($D$7),$CM$5,IF(NOT(ISNUMBER($D$7)),$CM$6,""))))</f>
        <v/>
      </c>
      <c r="CN430" s="74" t="str">
        <f aca="false">IF(ISBLANK($C430),"",OR($AN430="",$AO430="",$AP430=""))</f>
        <v/>
      </c>
      <c r="CO430" s="74" t="str">
        <f aca="false">IF(ISBLANK($C430),"",AND($AL430,$BA430=""))</f>
        <v/>
      </c>
      <c r="CP430" s="74" t="str">
        <f aca="false">IF(ISBLANK($C430),"",AND($AL430,$BB430=""))</f>
        <v/>
      </c>
      <c r="CQ430" s="74" t="str">
        <f aca="false">IF(ISBLANK($C430),"",AND($AL430,$BC430=""))</f>
        <v/>
      </c>
      <c r="CR430" s="74" t="str">
        <f aca="false">IF(ISBLANK($C430),"",AND($AL430,$BF430=""))</f>
        <v/>
      </c>
      <c r="CS430" s="74" t="str">
        <f aca="false">IF(ISBLANK($C430),"",AND($AL430,$BJ430=""))</f>
        <v/>
      </c>
      <c r="CT430" s="75"/>
      <c r="CU430" s="76"/>
      <c r="CV430" s="79" t="str">
        <f aca="false">IF(ISBLANK($C430),"",IF($BL430=Constants!$B$8,$CM430,""))</f>
        <v/>
      </c>
      <c r="CW430" s="76" t="str">
        <f aca="false">IF(ISBLANK($C430),"",IF($BL430&lt;&gt;Constants!$B$4,"",$BO430+$BP430))</f>
        <v/>
      </c>
      <c r="CX430" s="78" t="str">
        <f aca="false">IF(ISBLANK($C430),"",IF($BL430&lt;&gt;Constants!$B$4,"",$BQ430+$BR430+$BS430))</f>
        <v/>
      </c>
      <c r="CY430" s="78" t="str">
        <f aca="false">IF(ISBLANK($C430),"",IF($BL430&lt;&gt;Constants!$B$4,"",$BT430))</f>
        <v/>
      </c>
      <c r="CZ430" s="78" t="str">
        <f aca="false">IF(ISBLANK($C430),"",IF($BL430&lt;&gt;Constants!$B$4,"",$BU430+$BV430))</f>
        <v/>
      </c>
      <c r="DA430" s="78" t="str">
        <f aca="false">IF(ISBLANK($C430),"",IF($BL430&lt;&gt;Constants!$B$4,"",$BW430))</f>
        <v/>
      </c>
      <c r="DB430" s="78" t="str">
        <f aca="false">IF(ISBLANK($C430),"",IF($BL430&lt;&gt;Constants!$B$4,"",-$CD430))</f>
        <v/>
      </c>
      <c r="DC430" s="79" t="str">
        <f aca="false">IF(ISBLANK($C430),"",$CE430)</f>
        <v/>
      </c>
      <c r="DD430" s="80" t="str">
        <f aca="false">IF(ISBLANK($C430),"",$BM430)</f>
        <v/>
      </c>
      <c r="DE430" s="78" t="str">
        <f aca="false">IF(ISBLANK($C430),"",$CL430)</f>
        <v/>
      </c>
      <c r="DF430" s="78" t="str">
        <f aca="false">IF(ISBLANK($C430),"",$CK430)</f>
        <v/>
      </c>
      <c r="DG430" s="81" t="str">
        <f aca="false">IF(ISBLANK($C430),"",IF($DF430=Constants!$B$7,COUNTA($C$9:$C$508)+2,IF($DF430=Constants!$B$6,COUNTA($C$9:$C$508)+1,IF($DF430=Constants!$B$5,COUNTA($C$9:$C$508),$DF430))))</f>
        <v/>
      </c>
      <c r="DH430" s="7"/>
      <c r="DI430" s="82" t="n">
        <f aca="false">IF(OR(ISNUMBER($DF430),$DF430=Constants!$B$7,$DF430=Constants!$B$5,$DF430=Constants!$B$6),1,0)</f>
        <v>0</v>
      </c>
      <c r="DJ430" s="82" t="n">
        <v>422</v>
      </c>
      <c r="DK430" s="82" t="str">
        <f aca="false">IF(ISBLANK($C430),"",IF(ISNUMBER($DG430),$DG430+ROW($B430)/1000,""))</f>
        <v/>
      </c>
      <c r="DL430" s="82" t="str">
        <f aca="false">IF(ISNUMBER($DK430),RANK($DK430,$DK$9:$DK$508,1),"")</f>
        <v/>
      </c>
      <c r="DM430" s="82" t="str">
        <f aca="false">IF(ISBLANK($C430),"",$B430)</f>
        <v/>
      </c>
      <c r="DN430" s="82" t="str">
        <f aca="false">IF(ISBLANK($C430),"",$C430)</f>
        <v/>
      </c>
      <c r="DO430" s="82" t="str">
        <f aca="false">IF(ISBLANK($C430),"",$D430)</f>
        <v/>
      </c>
      <c r="DP430" s="83" t="str">
        <f aca="false">$DD430</f>
        <v/>
      </c>
      <c r="DQ430" s="84" t="str">
        <f aca="false">$DC430</f>
        <v/>
      </c>
      <c r="DR430" s="82" t="str">
        <f aca="false">IF(ISBLANK($C430),"",$DF430)</f>
        <v/>
      </c>
      <c r="DS430" s="85" t="str">
        <f aca="false">IF($DJ430&gt;$DI$8,"",VLOOKUP($DJ430,$DL$9:$DR$508,7,FALSE()))</f>
        <v/>
      </c>
      <c r="DT430" s="86" t="str">
        <f aca="false">IF($DJ430&gt;$DI$8,"",VLOOKUP($DJ430,$DL$9:$DR$508,2,FALSE()))</f>
        <v/>
      </c>
      <c r="DU430" s="86" t="str">
        <f aca="false">IF($DJ430&gt;$DI$8,"",VLOOKUP($DJ430,$DL$9:$DR$508,3,FALSE()))</f>
        <v/>
      </c>
      <c r="DV430" s="86" t="str">
        <f aca="false">IF($DJ430&gt;$DI$8,"",VLOOKUP($DJ430,$DL$9:$DR$508,4,FALSE()))</f>
        <v/>
      </c>
      <c r="DW430" s="86" t="str">
        <f aca="false">IF($DJ430&gt;$DI$8,"",VLOOKUP($DJ430,$DL$9:$DR$508,5,FALSE()))</f>
        <v/>
      </c>
      <c r="DX430" s="87" t="str">
        <f aca="false">IF($DJ430&gt;$DI$8,"",VLOOKUP($DJ430,$DL$9:$DR$508,6,FALSE()))</f>
        <v/>
      </c>
      <c r="DY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88"/>
      <c r="N431" s="88"/>
      <c r="O431" s="134"/>
      <c r="P431" s="134"/>
      <c r="Q431" s="88"/>
      <c r="R431" s="88"/>
      <c r="S431" s="88"/>
      <c r="T431" s="88"/>
      <c r="U431" s="134"/>
      <c r="V431" s="88"/>
      <c r="W431" s="70"/>
      <c r="X431" s="88"/>
      <c r="Y431" s="88"/>
      <c r="Z431" s="70"/>
      <c r="AA431" s="70"/>
      <c r="AB431" s="88"/>
      <c r="AC431" s="88"/>
      <c r="AD431" s="88"/>
      <c r="AE431" s="71"/>
      <c r="AF431" s="88"/>
      <c r="AG431" s="73"/>
      <c r="AH431" s="74"/>
      <c r="AI431" s="74"/>
      <c r="AJ431" s="74" t="str">
        <f aca="false">IF(ISBLANK($C431),"",IF($E431=Constants!$B$2,TRUE(),IF($E431=Constants!$B$3,FALSE(),TRUE())))</f>
        <v/>
      </c>
      <c r="AK431" s="74" t="str">
        <f aca="false">IF(ISBLANK($C431),"",IF($F431=Constants!$B$2,TRUE(),IF($F431=Constants!$B$3,FALSE(),FALSE())))</f>
        <v/>
      </c>
      <c r="AL431" s="74" t="str">
        <f aca="false">IF(ISBLANK($C431),"",IF($G431=Constants!$B$2,TRUE(),IF($G431=Constants!$B$3,FALSE(),TRUE())))</f>
        <v/>
      </c>
      <c r="AM431" s="74" t="str">
        <f aca="false">IF(ISBLANK($C431),"",IF($H431=Constants!$B$2,TRUE(),IF($H431=Constants!$B$3,FALSE(),TRUE())))</f>
        <v/>
      </c>
      <c r="AN431" s="74" t="str">
        <f aca="false">IF(ISBLANK($C431),"",IF(ISNUMBER($I431),IF($I431&gt;=0,$I431,""),""))</f>
        <v/>
      </c>
      <c r="AO431" s="74" t="str">
        <f aca="false">IF(ISBLANK($C431),"",IF(ISNUMBER($J431),IF($J431&gt;=0,$J431,""),""))</f>
        <v/>
      </c>
      <c r="AP431" s="74" t="str">
        <f aca="false">IF(ISBLANK($C431),"",IF(ISNUMBER($K431),IF($K431&gt;=0,$K431,""),""))</f>
        <v/>
      </c>
      <c r="AQ431" s="74" t="str">
        <f aca="false">IF(ISBLANK($C431),"",IF($L431=Constants!$B$2,TRUE(),IF($L431=Constants!$B$3,FALSE(),TRUE())))</f>
        <v/>
      </c>
      <c r="AR431" s="74" t="str">
        <f aca="false">IF(ISBLANK($C431),"",IF($M431=Constants!$B$2,TRUE(),IF($M431=Constants!$B$3,FALSE(),TRUE())))</f>
        <v/>
      </c>
      <c r="AS431" s="74" t="str">
        <f aca="false">IF(ISBLANK($C431),"",IF($N431=Constants!$B$2,TRUE(),IF($N431=Constants!$B$3,FALSE(),FALSE())))</f>
        <v/>
      </c>
      <c r="AT431" s="74" t="str">
        <f aca="false">IF(ISBLANK($C431),"",IF($O431=Constants!$B$2,TRUE(),IF($O431=Constants!$B$3,FALSE(),TRUE())))</f>
        <v/>
      </c>
      <c r="AU431" s="74" t="str">
        <f aca="false">IF(ISBLANK($C431),"",IF($P431=Constants!$B$2,TRUE(),IF($P431=Constants!$B$3,FALSE(),TRUE())))</f>
        <v/>
      </c>
      <c r="AV431" s="74" t="str">
        <f aca="false">IF(ISBLANK($C431),"",IF($Q431=Constants!$B$2,TRUE(),IF($Q431=Constants!$B$3,FALSE(),FALSE())))</f>
        <v/>
      </c>
      <c r="AW431" s="74" t="str">
        <f aca="false">IF(ISBLANK($C431),"",IF($R431=Constants!$B$2,TRUE(),IF($R431=Constants!$B$3,FALSE(),FALSE())))</f>
        <v/>
      </c>
      <c r="AX431" s="74" t="str">
        <f aca="false">IF(ISBLANK($C431),"",IF($S431=Constants!$B$2,TRUE(),IF($S431=Constants!$B$3,FALSE(),FALSE())))</f>
        <v/>
      </c>
      <c r="AY431" s="74" t="str">
        <f aca="false">IF(ISBLANK($C431),"",IF($T431=Constants!$B$2,TRUE(),IF($T431=Constants!$B$3,FALSE(),FALSE())))</f>
        <v/>
      </c>
      <c r="AZ431" s="74" t="str">
        <f aca="false">IF(ISBLANK($C431),"",IF($U431=Constants!$B$2,TRUE(),IF($U431=Constants!$B$3,FALSE(),FALSE())))</f>
        <v/>
      </c>
      <c r="BA431" s="74" t="str">
        <f aca="false">IF(ISBLANK($C431),"",IF(OR($V431&amp;""="1",$V431&amp;""="2",$V431&amp;""="3",$V431&amp;""="4"),VALUE($V431&amp;""),IF($V431=Constants!$B$12,Constants!$B$12,"")))</f>
        <v/>
      </c>
      <c r="BB431" s="74" t="str">
        <f aca="false">IF(ISBLANK($C431),"",IF(ISBLANK($W431),0,IF(ISNUMBER($W431),IF(AND($W431&gt;=0,$W431&lt;=Constants!$B$21,$W431=INT($W431)),$W431,""),"")))</f>
        <v/>
      </c>
      <c r="BC431" s="74" t="str">
        <f aca="false">IF(ISBLANK($C431),"",IF(ISBLANK($X431),0,IF(ISNUMBER($X431),IF($X431&gt;=0,$X431,""),"")))</f>
        <v/>
      </c>
      <c r="BD431" s="74" t="str">
        <f aca="false">IF(ISBLANK($C431),"",IF($Y431=Constants!$B$2,TRUE(),IF($Y431=Constants!$B$3,FALSE(),TRUE())))</f>
        <v/>
      </c>
      <c r="BE431" s="74" t="str">
        <f aca="false">IF(ISBLANK($C431),"",IF($Z431=Constants!$B$2,TRUE(),IF($Z431=Constants!$B$3,FALSE(),FALSE())))</f>
        <v/>
      </c>
      <c r="BF431" s="74" t="str">
        <f aca="false">IF(ISBLANK($C431),"",IF(ISBLANK($AA431),0,IF(ISNUMBER($AA431),IF(AND($AA431&gt;=0,$AA431&lt;=Constants!$B$35,$AA431=INT($AA431)),$AA431,""),"")))</f>
        <v/>
      </c>
      <c r="BG431" s="74" t="str">
        <f aca="false">IF(ISBLANK($C431),"",IF($AB431=Constants!$B$2,TRUE(),IF($AB431=Constants!$B$3,FALSE(),TRUE())))</f>
        <v/>
      </c>
      <c r="BH431" s="74" t="str">
        <f aca="false">IF(ISBLANK($C431),"",IF($AC431=Constants!$B$2,TRUE(),IF($AC431=Constants!$B$3,FALSE(),TRUE())))</f>
        <v/>
      </c>
      <c r="BI431" s="74" t="str">
        <f aca="false">IF(ISBLANK($C431),"",IF($AD431=Constants!$B$2,TRUE(),IF($AD431=Constants!$B$3,FALSE(),TRUE())))</f>
        <v/>
      </c>
      <c r="BJ431" s="74" t="str">
        <f aca="false">IF(ISBLANK($C431),"",IF(ISNUMBER($AE431),IF($AE431&gt;=0,$AE431,""),""))</f>
        <v/>
      </c>
      <c r="BK431" s="74" t="str">
        <f aca="false">IF(ISBLANK($C431),"",IF($AF431=Constants!$B$2,TRUE(),IF($AF431=Constants!$B$3,FALSE(),FALSE())))</f>
        <v/>
      </c>
      <c r="BL431" s="73" t="str">
        <f aca="false">IF(ISBLANK($C431),"",IF($BK431,Constants!$B$7,IF(COUNTA($E431:$AE431)=0,Constants!$B$6,IF(OR(COUNTA($G431:$AE431)=0,NOT($AM431),$AS431),Constants!$B$5,IF(OR($CM431&lt;&gt;"",$CN431,$CO431,$CP431,$CQ431,$CR431,$CS431),Constants!$B$8,Constants!$B$4)))))</f>
        <v/>
      </c>
      <c r="BM431" s="74" t="str">
        <f aca="false">IF(ISBLANK($C431),"",IF($BL431&lt;&gt;Constants!$B$4,$BL431,IF(OR(NOT($AJ431),NOT($AL431),NOT($AT431)),Constants!$B$11,IF(OR(NOT($AR431),NOT($AU431),NOT($BI431),MAX($AN431,$AO431,$AP431)&gt;Constants!$B$30),Constants!$B$10,Constants!$B$9))))</f>
        <v/>
      </c>
      <c r="BN431" s="74" t="str">
        <f aca="false">IF($BL431&lt;&gt;Constants!$B$4,"",IF(NOT($AL431),0,MIN(Constants!$B$35,$BF431)))</f>
        <v/>
      </c>
      <c r="BO431" s="74" t="str">
        <f aca="false">IF($BL431&lt;&gt;Constants!$B$4,"",IF(NOT($AL431),0,IF($AW431,Constants!$B$18,IF($AV431,Constants!$B$17,0))))</f>
        <v/>
      </c>
      <c r="BP431" s="74" t="str">
        <f aca="false">IF($BL431&lt;&gt;Constants!$B$4,"",IF(NOT($AL431),0,Constants!$B$19*($AK431+$AX431+$AY431+$AZ431)))</f>
        <v/>
      </c>
      <c r="BQ431" s="74" t="str">
        <f aca="false">IF($BL431&lt;&gt;Constants!$B$4,"",IF(OR(NOT($AL431),NOT(ISNUMBER($BA431))),0,CHOOSE($BA431,Constants!$B$13,Constants!$B$14,Constants!$B$15,Constants!$B$16)))</f>
        <v/>
      </c>
      <c r="BR431" s="74" t="str">
        <f aca="false">IF($BL431&lt;&gt;Constants!$B$4,"",IF(NOT($AL431),0,Constants!$B$20*$BB431))</f>
        <v/>
      </c>
      <c r="BS431" s="74" t="str">
        <f aca="false">IF($BL431&lt;&gt;Constants!$B$4,"",IF(AND($AL431,$BD431,$BE431),Constants!$B$22,0))</f>
        <v/>
      </c>
      <c r="BT431" s="74" t="str">
        <f aca="false">IF($BL431&lt;&gt;Constants!$B$4,"",IF(OR(NOT($AL431),NOT($BD431)),0,IF($BJ431&gt;=2*$AH$9,0,Constants!$B$23*INT(ROUND(MIN($BJ431,$AH$9),6)))))</f>
        <v/>
      </c>
      <c r="BU431" s="74" t="str">
        <f aca="false">IF($BL431&lt;&gt;Constants!$B$4,"",IF(NOT($AL431),0,Constants!$B$24*INT(ROUND(MIN($BC431,$AH$9),6))))</f>
        <v/>
      </c>
      <c r="BV431" s="74" t="str">
        <f aca="false">IF($BL431&lt;&gt;Constants!$B$4,"",IF(AND($AL431,$BN431=0),Constants!$B$25,0))</f>
        <v/>
      </c>
      <c r="BW431" s="74" t="str">
        <f aca="false">IF($BL431&lt;&gt;Constants!$B$4,"",MIN(Constants!$B$29,MAX(0,Constants!$B$27*Constants!$B$28*INT(ROUND((Constants!$B$26-$AN431)/Constants!$B$28,6))))+MIN(Constants!$B$29,MAX(0,Constants!$B$27*Constants!$B$28*INT(ROUND((Constants!$B$26-$AO431)/Constants!$B$28,6))))+MIN(Constants!$B$29,MAX(0,Constants!$B$27*Constants!$B$28*INT(ROUND((Constants!$B$26-$AP431)/Constants!$B$28,6)))))</f>
        <v/>
      </c>
      <c r="BX431" s="74" t="str">
        <f aca="false">IF($BL431&lt;&gt;Constants!$B$4,"",IF(NOT($AL431),0,Constants!$B$31*INT(ROUND(MAX(0,MIN($BJ431,2*$AH$9)-$AH$9),6))))</f>
        <v/>
      </c>
      <c r="BY431" s="74" t="str">
        <f aca="false">IF($BL431&lt;&gt;Constants!$B$4,"",Constants!$B$32*(($AN431&gt;Constants!$B$26)+($AO431&gt;Constants!$B$26)+($AP431&gt;Constants!$B$26)))</f>
        <v/>
      </c>
      <c r="BZ431" s="74" t="str">
        <f aca="false">IF($BL431&lt;&gt;Constants!$B$4,"",IF(OR(NOT($AL431),$AQ431),0,Constants!$B$33))</f>
        <v/>
      </c>
      <c r="CA431" s="74" t="str">
        <f aca="false">IF($BL431&lt;&gt;Constants!$B$4,"",Constants!$B$34*$BN431)</f>
        <v/>
      </c>
      <c r="CB431" s="74" t="str">
        <f aca="false">IF($BL431&lt;&gt;Constants!$B$4,"",IF(OR(NOT($AL431),$BH431),0,Constants!$B$36))</f>
        <v/>
      </c>
      <c r="CC431" s="74" t="str">
        <f aca="false">IF($BL431&lt;&gt;Constants!$B$4,"",IF(OR(NOT($AL431),$BG431),0,Constants!$B$37))</f>
        <v/>
      </c>
      <c r="CD431" s="74" t="str">
        <f aca="false">IF($BL431&lt;&gt;Constants!$B$4,"",SUM($BX431:$CC431))</f>
        <v/>
      </c>
      <c r="CE431" s="74" t="str">
        <f aca="false">IF(ISBLANK($C431),"",IF($BL431&lt;&gt;Constants!$B$4,$BL431,SUM($BO431:$BW431)-$CD431))</f>
        <v/>
      </c>
      <c r="CF431" s="74" t="str">
        <f aca="false">IF(ISBLANK($C431),"",IF($BL431&lt;&gt;Constants!$B$4,$BL431,RANK($CE431,$CE$9:$CE$508)))</f>
        <v/>
      </c>
      <c r="CG431" s="74" t="str">
        <f aca="false">IF(ISBLANK($C431),"",IF($BL431&lt;&gt;Constants!$B$4,$BL431,COUNTIFS($BM$9:$BM$508,"&lt;"&amp;$BM431)+COUNTIFS($BM$9:$BM$508,$BM431,$CF$9:$CF$508,"&lt;"&amp;$CF431)+1))</f>
        <v/>
      </c>
      <c r="CH431" s="74" t="str">
        <f aca="false">IF(ISBLANK($C431),"",IF($BL431&lt;&gt;Constants!$B$4,$BL431,RANK($CD431,$CD$9:$CD$508,1)))</f>
        <v/>
      </c>
      <c r="CI431" s="74" t="str">
        <f aca="false">IF($BL431&lt;&gt;Constants!$B$4,"",$AN431+$AO431+$AP431)</f>
        <v/>
      </c>
      <c r="CJ431" s="74" t="str">
        <f aca="false">IF(ISBLANK($C431),"",IF($BL431&lt;&gt;Constants!$B$4,$BL431,RANK($CI431,$CI$9:$CI$508,1)))</f>
        <v/>
      </c>
      <c r="CK431" s="74" t="str">
        <f aca="false">IF(ISBLANK($C431),"",IF($BL431&lt;&gt;Constants!$B$4,$BL431,COUNTIFS($BM$9:$BM$508,"&lt;"&amp;$BM431)+COUNTIFS($BM$9:$BM$508,$BM431,$CF$9:$CF$508,"&lt;"&amp;$CF431)+COUNTIFS($BM$9:$BM$508,$BM431,$CF$9:$CF$508,$CF431,$CH$9:$CH$508,"&lt;"&amp;$CH431)+COUNTIFS($BM$9:$BM$508,$BM431,$CF$9:$CF$508,$CF431,$CH$9:$CH$508,$CH431,$CJ$9:$CJ$508,"&lt;"&amp;$CJ431)+1))</f>
        <v/>
      </c>
      <c r="CL431" s="74" t="str">
        <f aca="false">IF(ISBLANK($C431),"",IF($BL431&lt;&gt;Constants!$B$4,$BL431,$CG431-$CK431))</f>
        <v/>
      </c>
      <c r="CM431" s="74" t="str">
        <f aca="false">IF(ISBLANK($C431),"",IF(NOT($AL431),"",IF(ISBLANK($D$7),$CM$5,IF(NOT(ISNUMBER($D$7)),$CM$6,""))))</f>
        <v/>
      </c>
      <c r="CN431" s="74" t="str">
        <f aca="false">IF(ISBLANK($C431),"",OR($AN431="",$AO431="",$AP431=""))</f>
        <v/>
      </c>
      <c r="CO431" s="74" t="str">
        <f aca="false">IF(ISBLANK($C431),"",AND($AL431,$BA431=""))</f>
        <v/>
      </c>
      <c r="CP431" s="74" t="str">
        <f aca="false">IF(ISBLANK($C431),"",AND($AL431,$BB431=""))</f>
        <v/>
      </c>
      <c r="CQ431" s="74" t="str">
        <f aca="false">IF(ISBLANK($C431),"",AND($AL431,$BC431=""))</f>
        <v/>
      </c>
      <c r="CR431" s="74" t="str">
        <f aca="false">IF(ISBLANK($C431),"",AND($AL431,$BF431=""))</f>
        <v/>
      </c>
      <c r="CS431" s="74" t="str">
        <f aca="false">IF(ISBLANK($C431),"",AND($AL431,$BJ431=""))</f>
        <v/>
      </c>
      <c r="CT431" s="75"/>
      <c r="CU431" s="76"/>
      <c r="CV431" s="79" t="str">
        <f aca="false">IF(ISBLANK($C431),"",IF($BL431=Constants!$B$8,$CM431,""))</f>
        <v/>
      </c>
      <c r="CW431" s="76" t="str">
        <f aca="false">IF(ISBLANK($C431),"",IF($BL431&lt;&gt;Constants!$B$4,"",$BO431+$BP431))</f>
        <v/>
      </c>
      <c r="CX431" s="78" t="str">
        <f aca="false">IF(ISBLANK($C431),"",IF($BL431&lt;&gt;Constants!$B$4,"",$BQ431+$BR431+$BS431))</f>
        <v/>
      </c>
      <c r="CY431" s="78" t="str">
        <f aca="false">IF(ISBLANK($C431),"",IF($BL431&lt;&gt;Constants!$B$4,"",$BT431))</f>
        <v/>
      </c>
      <c r="CZ431" s="78" t="str">
        <f aca="false">IF(ISBLANK($C431),"",IF($BL431&lt;&gt;Constants!$B$4,"",$BU431+$BV431))</f>
        <v/>
      </c>
      <c r="DA431" s="78" t="str">
        <f aca="false">IF(ISBLANK($C431),"",IF($BL431&lt;&gt;Constants!$B$4,"",$BW431))</f>
        <v/>
      </c>
      <c r="DB431" s="78" t="str">
        <f aca="false">IF(ISBLANK($C431),"",IF($BL431&lt;&gt;Constants!$B$4,"",-$CD431))</f>
        <v/>
      </c>
      <c r="DC431" s="79" t="str">
        <f aca="false">IF(ISBLANK($C431),"",$CE431)</f>
        <v/>
      </c>
      <c r="DD431" s="80" t="str">
        <f aca="false">IF(ISBLANK($C431),"",$BM431)</f>
        <v/>
      </c>
      <c r="DE431" s="78" t="str">
        <f aca="false">IF(ISBLANK($C431),"",$CL431)</f>
        <v/>
      </c>
      <c r="DF431" s="78" t="str">
        <f aca="false">IF(ISBLANK($C431),"",$CK431)</f>
        <v/>
      </c>
      <c r="DG431" s="81" t="str">
        <f aca="false">IF(ISBLANK($C431),"",IF($DF431=Constants!$B$7,COUNTA($C$9:$C$508)+2,IF($DF431=Constants!$B$6,COUNTA($C$9:$C$508)+1,IF($DF431=Constants!$B$5,COUNTA($C$9:$C$508),$DF431))))</f>
        <v/>
      </c>
      <c r="DH431" s="7"/>
      <c r="DI431" s="82" t="n">
        <f aca="false">IF(OR(ISNUMBER($DF431),$DF431=Constants!$B$7,$DF431=Constants!$B$5,$DF431=Constants!$B$6),1,0)</f>
        <v>0</v>
      </c>
      <c r="DJ431" s="82" t="n">
        <v>423</v>
      </c>
      <c r="DK431" s="82" t="str">
        <f aca="false">IF(ISBLANK($C431),"",IF(ISNUMBER($DG431),$DG431+ROW($B431)/1000,""))</f>
        <v/>
      </c>
      <c r="DL431" s="82" t="str">
        <f aca="false">IF(ISNUMBER($DK431),RANK($DK431,$DK$9:$DK$508,1),"")</f>
        <v/>
      </c>
      <c r="DM431" s="82" t="str">
        <f aca="false">IF(ISBLANK($C431),"",$B431)</f>
        <v/>
      </c>
      <c r="DN431" s="82" t="str">
        <f aca="false">IF(ISBLANK($C431),"",$C431)</f>
        <v/>
      </c>
      <c r="DO431" s="82" t="str">
        <f aca="false">IF(ISBLANK($C431),"",$D431)</f>
        <v/>
      </c>
      <c r="DP431" s="83" t="str">
        <f aca="false">$DD431</f>
        <v/>
      </c>
      <c r="DQ431" s="84" t="str">
        <f aca="false">$DC431</f>
        <v/>
      </c>
      <c r="DR431" s="82" t="str">
        <f aca="false">IF(ISBLANK($C431),"",$DF431)</f>
        <v/>
      </c>
      <c r="DS431" s="85" t="str">
        <f aca="false">IF($DJ431&gt;$DI$8,"",VLOOKUP($DJ431,$DL$9:$DR$508,7,FALSE()))</f>
        <v/>
      </c>
      <c r="DT431" s="86" t="str">
        <f aca="false">IF($DJ431&gt;$DI$8,"",VLOOKUP($DJ431,$DL$9:$DR$508,2,FALSE()))</f>
        <v/>
      </c>
      <c r="DU431" s="86" t="str">
        <f aca="false">IF($DJ431&gt;$DI$8,"",VLOOKUP($DJ431,$DL$9:$DR$508,3,FALSE()))</f>
        <v/>
      </c>
      <c r="DV431" s="86" t="str">
        <f aca="false">IF($DJ431&gt;$DI$8,"",VLOOKUP($DJ431,$DL$9:$DR$508,4,FALSE()))</f>
        <v/>
      </c>
      <c r="DW431" s="86" t="str">
        <f aca="false">IF($DJ431&gt;$DI$8,"",VLOOKUP($DJ431,$DL$9:$DR$508,5,FALSE()))</f>
        <v/>
      </c>
      <c r="DX431" s="87" t="str">
        <f aca="false">IF($DJ431&gt;$DI$8,"",VLOOKUP($DJ431,$DL$9:$DR$508,6,FALSE()))</f>
        <v/>
      </c>
      <c r="DY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130"/>
      <c r="N432" s="130"/>
      <c r="O432" s="135"/>
      <c r="P432" s="135"/>
      <c r="Q432" s="130"/>
      <c r="R432" s="130"/>
      <c r="S432" s="130"/>
      <c r="T432" s="130"/>
      <c r="U432" s="135"/>
      <c r="V432" s="130"/>
      <c r="W432" s="96"/>
      <c r="X432" s="130"/>
      <c r="Y432" s="130"/>
      <c r="Z432" s="96"/>
      <c r="AA432" s="96"/>
      <c r="AB432" s="130"/>
      <c r="AC432" s="130"/>
      <c r="AD432" s="130"/>
      <c r="AE432" s="97"/>
      <c r="AF432" s="130"/>
      <c r="AG432" s="99"/>
      <c r="AH432" s="100"/>
      <c r="AI432" s="100"/>
      <c r="AJ432" s="100" t="str">
        <f aca="false">IF(ISBLANK($C432),"",IF($E432=Constants!$B$2,TRUE(),IF($E432=Constants!$B$3,FALSE(),TRUE())))</f>
        <v/>
      </c>
      <c r="AK432" s="100" t="str">
        <f aca="false">IF(ISBLANK($C432),"",IF($F432=Constants!$B$2,TRUE(),IF($F432=Constants!$B$3,FALSE(),FALSE())))</f>
        <v/>
      </c>
      <c r="AL432" s="100" t="str">
        <f aca="false">IF(ISBLANK($C432),"",IF($G432=Constants!$B$2,TRUE(),IF($G432=Constants!$B$3,FALSE(),TRUE())))</f>
        <v/>
      </c>
      <c r="AM432" s="100" t="str">
        <f aca="false">IF(ISBLANK($C432),"",IF($H432=Constants!$B$2,TRUE(),IF($H432=Constants!$B$3,FALSE(),TRUE())))</f>
        <v/>
      </c>
      <c r="AN432" s="100" t="str">
        <f aca="false">IF(ISBLANK($C432),"",IF(ISNUMBER($I432),IF($I432&gt;=0,$I432,""),""))</f>
        <v/>
      </c>
      <c r="AO432" s="100" t="str">
        <f aca="false">IF(ISBLANK($C432),"",IF(ISNUMBER($J432),IF($J432&gt;=0,$J432,""),""))</f>
        <v/>
      </c>
      <c r="AP432" s="100" t="str">
        <f aca="false">IF(ISBLANK($C432),"",IF(ISNUMBER($K432),IF($K432&gt;=0,$K432,""),""))</f>
        <v/>
      </c>
      <c r="AQ432" s="100" t="str">
        <f aca="false">IF(ISBLANK($C432),"",IF($L432=Constants!$B$2,TRUE(),IF($L432=Constants!$B$3,FALSE(),TRUE())))</f>
        <v/>
      </c>
      <c r="AR432" s="100" t="str">
        <f aca="false">IF(ISBLANK($C432),"",IF($M432=Constants!$B$2,TRUE(),IF($M432=Constants!$B$3,FALSE(),TRUE())))</f>
        <v/>
      </c>
      <c r="AS432" s="100" t="str">
        <f aca="false">IF(ISBLANK($C432),"",IF($N432=Constants!$B$2,TRUE(),IF($N432=Constants!$B$3,FALSE(),FALSE())))</f>
        <v/>
      </c>
      <c r="AT432" s="100" t="str">
        <f aca="false">IF(ISBLANK($C432),"",IF($O432=Constants!$B$2,TRUE(),IF($O432=Constants!$B$3,FALSE(),TRUE())))</f>
        <v/>
      </c>
      <c r="AU432" s="100" t="str">
        <f aca="false">IF(ISBLANK($C432),"",IF($P432=Constants!$B$2,TRUE(),IF($P432=Constants!$B$3,FALSE(),TRUE())))</f>
        <v/>
      </c>
      <c r="AV432" s="100" t="str">
        <f aca="false">IF(ISBLANK($C432),"",IF($Q432=Constants!$B$2,TRUE(),IF($Q432=Constants!$B$3,FALSE(),FALSE())))</f>
        <v/>
      </c>
      <c r="AW432" s="100" t="str">
        <f aca="false">IF(ISBLANK($C432),"",IF($R432=Constants!$B$2,TRUE(),IF($R432=Constants!$B$3,FALSE(),FALSE())))</f>
        <v/>
      </c>
      <c r="AX432" s="100" t="str">
        <f aca="false">IF(ISBLANK($C432),"",IF($S432=Constants!$B$2,TRUE(),IF($S432=Constants!$B$3,FALSE(),FALSE())))</f>
        <v/>
      </c>
      <c r="AY432" s="100" t="str">
        <f aca="false">IF(ISBLANK($C432),"",IF($T432=Constants!$B$2,TRUE(),IF($T432=Constants!$B$3,FALSE(),FALSE())))</f>
        <v/>
      </c>
      <c r="AZ432" s="100" t="str">
        <f aca="false">IF(ISBLANK($C432),"",IF($U432=Constants!$B$2,TRUE(),IF($U432=Constants!$B$3,FALSE(),FALSE())))</f>
        <v/>
      </c>
      <c r="BA432" s="100" t="str">
        <f aca="false">IF(ISBLANK($C432),"",IF(OR($V432&amp;""="1",$V432&amp;""="2",$V432&amp;""="3",$V432&amp;""="4"),VALUE($V432&amp;""),IF($V432=Constants!$B$12,Constants!$B$12,"")))</f>
        <v/>
      </c>
      <c r="BB432" s="100" t="str">
        <f aca="false">IF(ISBLANK($C432),"",IF(ISBLANK($W432),0,IF(ISNUMBER($W432),IF(AND($W432&gt;=0,$W432&lt;=Constants!$B$21,$W432=INT($W432)),$W432,""),"")))</f>
        <v/>
      </c>
      <c r="BC432" s="100" t="str">
        <f aca="false">IF(ISBLANK($C432),"",IF(ISBLANK($X432),0,IF(ISNUMBER($X432),IF($X432&gt;=0,$X432,""),"")))</f>
        <v/>
      </c>
      <c r="BD432" s="100" t="str">
        <f aca="false">IF(ISBLANK($C432),"",IF($Y432=Constants!$B$2,TRUE(),IF($Y432=Constants!$B$3,FALSE(),TRUE())))</f>
        <v/>
      </c>
      <c r="BE432" s="100" t="str">
        <f aca="false">IF(ISBLANK($C432),"",IF($Z432=Constants!$B$2,TRUE(),IF($Z432=Constants!$B$3,FALSE(),FALSE())))</f>
        <v/>
      </c>
      <c r="BF432" s="100" t="str">
        <f aca="false">IF(ISBLANK($C432),"",IF(ISBLANK($AA432),0,IF(ISNUMBER($AA432),IF(AND($AA432&gt;=0,$AA432&lt;=Constants!$B$35,$AA432=INT($AA432)),$AA432,""),"")))</f>
        <v/>
      </c>
      <c r="BG432" s="100" t="str">
        <f aca="false">IF(ISBLANK($C432),"",IF($AB432=Constants!$B$2,TRUE(),IF($AB432=Constants!$B$3,FALSE(),TRUE())))</f>
        <v/>
      </c>
      <c r="BH432" s="100" t="str">
        <f aca="false">IF(ISBLANK($C432),"",IF($AC432=Constants!$B$2,TRUE(),IF($AC432=Constants!$B$3,FALSE(),TRUE())))</f>
        <v/>
      </c>
      <c r="BI432" s="100" t="str">
        <f aca="false">IF(ISBLANK($C432),"",IF($AD432=Constants!$B$2,TRUE(),IF($AD432=Constants!$B$3,FALSE(),TRUE())))</f>
        <v/>
      </c>
      <c r="BJ432" s="100" t="str">
        <f aca="false">IF(ISBLANK($C432),"",IF(ISNUMBER($AE432),IF($AE432&gt;=0,$AE432,""),""))</f>
        <v/>
      </c>
      <c r="BK432" s="100" t="str">
        <f aca="false">IF(ISBLANK($C432),"",IF($AF432=Constants!$B$2,TRUE(),IF($AF432=Constants!$B$3,FALSE(),FALSE())))</f>
        <v/>
      </c>
      <c r="BL432" s="99" t="str">
        <f aca="false">IF(ISBLANK($C432),"",IF($BK432,Constants!$B$7,IF(COUNTA($E432:$AE432)=0,Constants!$B$6,IF(OR(COUNTA($G432:$AE432)=0,NOT($AM432),$AS432),Constants!$B$5,IF(OR($CM432&lt;&gt;"",$CN432,$CO432,$CP432,$CQ432,$CR432,$CS432),Constants!$B$8,Constants!$B$4)))))</f>
        <v/>
      </c>
      <c r="BM432" s="100" t="str">
        <f aca="false">IF(ISBLANK($C432),"",IF($BL432&lt;&gt;Constants!$B$4,$BL432,IF(OR(NOT($AJ432),NOT($AL432),NOT($AT432)),Constants!$B$11,IF(OR(NOT($AR432),NOT($AU432),NOT($BI432),MAX($AN432,$AO432,$AP432)&gt;Constants!$B$30),Constants!$B$10,Constants!$B$9))))</f>
        <v/>
      </c>
      <c r="BN432" s="100" t="str">
        <f aca="false">IF($BL432&lt;&gt;Constants!$B$4,"",IF(NOT($AL432),0,MIN(Constants!$B$35,$BF432)))</f>
        <v/>
      </c>
      <c r="BO432" s="100" t="str">
        <f aca="false">IF($BL432&lt;&gt;Constants!$B$4,"",IF(NOT($AL432),0,IF($AW432,Constants!$B$18,IF($AV432,Constants!$B$17,0))))</f>
        <v/>
      </c>
      <c r="BP432" s="100" t="str">
        <f aca="false">IF($BL432&lt;&gt;Constants!$B$4,"",IF(NOT($AL432),0,Constants!$B$19*($AK432+$AX432+$AY432+$AZ432)))</f>
        <v/>
      </c>
      <c r="BQ432" s="100" t="str">
        <f aca="false">IF($BL432&lt;&gt;Constants!$B$4,"",IF(OR(NOT($AL432),NOT(ISNUMBER($BA432))),0,CHOOSE($BA432,Constants!$B$13,Constants!$B$14,Constants!$B$15,Constants!$B$16)))</f>
        <v/>
      </c>
      <c r="BR432" s="100" t="str">
        <f aca="false">IF($BL432&lt;&gt;Constants!$B$4,"",IF(NOT($AL432),0,Constants!$B$20*$BB432))</f>
        <v/>
      </c>
      <c r="BS432" s="100" t="str">
        <f aca="false">IF($BL432&lt;&gt;Constants!$B$4,"",IF(AND($AL432,$BD432,$BE432),Constants!$B$22,0))</f>
        <v/>
      </c>
      <c r="BT432" s="100" t="str">
        <f aca="false">IF($BL432&lt;&gt;Constants!$B$4,"",IF(OR(NOT($AL432),NOT($BD432)),0,IF($BJ432&gt;=2*$AH$9,0,Constants!$B$23*INT(ROUND(MIN($BJ432,$AH$9),6)))))</f>
        <v/>
      </c>
      <c r="BU432" s="100" t="str">
        <f aca="false">IF($BL432&lt;&gt;Constants!$B$4,"",IF(NOT($AL432),0,Constants!$B$24*INT(ROUND(MIN($BC432,$AH$9),6))))</f>
        <v/>
      </c>
      <c r="BV432" s="100" t="str">
        <f aca="false">IF($BL432&lt;&gt;Constants!$B$4,"",IF(AND($AL432,$BN432=0),Constants!$B$25,0))</f>
        <v/>
      </c>
      <c r="BW432" s="100" t="str">
        <f aca="false">IF($BL432&lt;&gt;Constants!$B$4,"",MIN(Constants!$B$29,MAX(0,Constants!$B$27*Constants!$B$28*INT(ROUND((Constants!$B$26-$AN432)/Constants!$B$28,6))))+MIN(Constants!$B$29,MAX(0,Constants!$B$27*Constants!$B$28*INT(ROUND((Constants!$B$26-$AO432)/Constants!$B$28,6))))+MIN(Constants!$B$29,MAX(0,Constants!$B$27*Constants!$B$28*INT(ROUND((Constants!$B$26-$AP432)/Constants!$B$28,6)))))</f>
        <v/>
      </c>
      <c r="BX432" s="100" t="str">
        <f aca="false">IF($BL432&lt;&gt;Constants!$B$4,"",IF(NOT($AL432),0,Constants!$B$31*INT(ROUND(MAX(0,MIN($BJ432,2*$AH$9)-$AH$9),6))))</f>
        <v/>
      </c>
      <c r="BY432" s="100" t="str">
        <f aca="false">IF($BL432&lt;&gt;Constants!$B$4,"",Constants!$B$32*(($AN432&gt;Constants!$B$26)+($AO432&gt;Constants!$B$26)+($AP432&gt;Constants!$B$26)))</f>
        <v/>
      </c>
      <c r="BZ432" s="100" t="str">
        <f aca="false">IF($BL432&lt;&gt;Constants!$B$4,"",IF(OR(NOT($AL432),$AQ432),0,Constants!$B$33))</f>
        <v/>
      </c>
      <c r="CA432" s="100" t="str">
        <f aca="false">IF($BL432&lt;&gt;Constants!$B$4,"",Constants!$B$34*$BN432)</f>
        <v/>
      </c>
      <c r="CB432" s="100" t="str">
        <f aca="false">IF($BL432&lt;&gt;Constants!$B$4,"",IF(OR(NOT($AL432),$BH432),0,Constants!$B$36))</f>
        <v/>
      </c>
      <c r="CC432" s="100" t="str">
        <f aca="false">IF($BL432&lt;&gt;Constants!$B$4,"",IF(OR(NOT($AL432),$BG432),0,Constants!$B$37))</f>
        <v/>
      </c>
      <c r="CD432" s="100" t="str">
        <f aca="false">IF($BL432&lt;&gt;Constants!$B$4,"",SUM($BX432:$CC432))</f>
        <v/>
      </c>
      <c r="CE432" s="100" t="str">
        <f aca="false">IF(ISBLANK($C432),"",IF($BL432&lt;&gt;Constants!$B$4,$BL432,SUM($BO432:$BW432)-$CD432))</f>
        <v/>
      </c>
      <c r="CF432" s="100" t="str">
        <f aca="false">IF(ISBLANK($C432),"",IF($BL432&lt;&gt;Constants!$B$4,$BL432,RANK($CE432,$CE$9:$CE$508)))</f>
        <v/>
      </c>
      <c r="CG432" s="100" t="str">
        <f aca="false">IF(ISBLANK($C432),"",IF($BL432&lt;&gt;Constants!$B$4,$BL432,COUNTIFS($BM$9:$BM$508,"&lt;"&amp;$BM432)+COUNTIFS($BM$9:$BM$508,$BM432,$CF$9:$CF$508,"&lt;"&amp;$CF432)+1))</f>
        <v/>
      </c>
      <c r="CH432" s="100" t="str">
        <f aca="false">IF(ISBLANK($C432),"",IF($BL432&lt;&gt;Constants!$B$4,$BL432,RANK($CD432,$CD$9:$CD$508,1)))</f>
        <v/>
      </c>
      <c r="CI432" s="100" t="str">
        <f aca="false">IF($BL432&lt;&gt;Constants!$B$4,"",$AN432+$AO432+$AP432)</f>
        <v/>
      </c>
      <c r="CJ432" s="100" t="str">
        <f aca="false">IF(ISBLANK($C432),"",IF($BL432&lt;&gt;Constants!$B$4,$BL432,RANK($CI432,$CI$9:$CI$508,1)))</f>
        <v/>
      </c>
      <c r="CK432" s="100" t="str">
        <f aca="false">IF(ISBLANK($C432),"",IF($BL432&lt;&gt;Constants!$B$4,$BL432,COUNTIFS($BM$9:$BM$508,"&lt;"&amp;$BM432)+COUNTIFS($BM$9:$BM$508,$BM432,$CF$9:$CF$508,"&lt;"&amp;$CF432)+COUNTIFS($BM$9:$BM$508,$BM432,$CF$9:$CF$508,$CF432,$CH$9:$CH$508,"&lt;"&amp;$CH432)+COUNTIFS($BM$9:$BM$508,$BM432,$CF$9:$CF$508,$CF432,$CH$9:$CH$508,$CH432,$CJ$9:$CJ$508,"&lt;"&amp;$CJ432)+1))</f>
        <v/>
      </c>
      <c r="CL432" s="100" t="str">
        <f aca="false">IF(ISBLANK($C432),"",IF($BL432&lt;&gt;Constants!$B$4,$BL432,$CG432-$CK432))</f>
        <v/>
      </c>
      <c r="CM432" s="100" t="str">
        <f aca="false">IF(ISBLANK($C432),"",IF(NOT($AL432),"",IF(ISBLANK($D$7),$CM$5,IF(NOT(ISNUMBER($D$7)),$CM$6,""))))</f>
        <v/>
      </c>
      <c r="CN432" s="100" t="str">
        <f aca="false">IF(ISBLANK($C432),"",OR($AN432="",$AO432="",$AP432=""))</f>
        <v/>
      </c>
      <c r="CO432" s="100" t="str">
        <f aca="false">IF(ISBLANK($C432),"",AND($AL432,$BA432=""))</f>
        <v/>
      </c>
      <c r="CP432" s="100" t="str">
        <f aca="false">IF(ISBLANK($C432),"",AND($AL432,$BB432=""))</f>
        <v/>
      </c>
      <c r="CQ432" s="100" t="str">
        <f aca="false">IF(ISBLANK($C432),"",AND($AL432,$BC432=""))</f>
        <v/>
      </c>
      <c r="CR432" s="100" t="str">
        <f aca="false">IF(ISBLANK($C432),"",AND($AL432,$BF432=""))</f>
        <v/>
      </c>
      <c r="CS432" s="100" t="str">
        <f aca="false">IF(ISBLANK($C432),"",AND($AL432,$BJ432=""))</f>
        <v/>
      </c>
      <c r="CT432" s="101"/>
      <c r="CU432" s="102"/>
      <c r="CV432" s="103" t="str">
        <f aca="false">IF(ISBLANK($C432),"",IF($BL432=Constants!$B$8,$CM432,""))</f>
        <v/>
      </c>
      <c r="CW432" s="102" t="str">
        <f aca="false">IF(ISBLANK($C432),"",IF($BL432&lt;&gt;Constants!$B$4,"",$BO432+$BP432))</f>
        <v/>
      </c>
      <c r="CX432" s="104" t="str">
        <f aca="false">IF(ISBLANK($C432),"",IF($BL432&lt;&gt;Constants!$B$4,"",$BQ432+$BR432+$BS432))</f>
        <v/>
      </c>
      <c r="CY432" s="104" t="str">
        <f aca="false">IF(ISBLANK($C432),"",IF($BL432&lt;&gt;Constants!$B$4,"",$BT432))</f>
        <v/>
      </c>
      <c r="CZ432" s="104" t="str">
        <f aca="false">IF(ISBLANK($C432),"",IF($BL432&lt;&gt;Constants!$B$4,"",$BU432+$BV432))</f>
        <v/>
      </c>
      <c r="DA432" s="104" t="str">
        <f aca="false">IF(ISBLANK($C432),"",IF($BL432&lt;&gt;Constants!$B$4,"",$BW432))</f>
        <v/>
      </c>
      <c r="DB432" s="104" t="str">
        <f aca="false">IF(ISBLANK($C432),"",IF($BL432&lt;&gt;Constants!$B$4,"",-$CD432))</f>
        <v/>
      </c>
      <c r="DC432" s="103" t="str">
        <f aca="false">IF(ISBLANK($C432),"",$CE432)</f>
        <v/>
      </c>
      <c r="DD432" s="105" t="str">
        <f aca="false">IF(ISBLANK($C432),"",$BM432)</f>
        <v/>
      </c>
      <c r="DE432" s="104" t="str">
        <f aca="false">IF(ISBLANK($C432),"",$CL432)</f>
        <v/>
      </c>
      <c r="DF432" s="104" t="str">
        <f aca="false">IF(ISBLANK($C432),"",$CK432)</f>
        <v/>
      </c>
      <c r="DG432" s="106" t="str">
        <f aca="false">IF(ISBLANK($C432),"",IF($DF432=Constants!$B$7,COUNTA($C$9:$C$508)+2,IF($DF432=Constants!$B$6,COUNTA($C$9:$C$508)+1,IF($DF432=Constants!$B$5,COUNTA($C$9:$C$508),$DF432))))</f>
        <v/>
      </c>
      <c r="DH432" s="7"/>
      <c r="DI432" s="107" t="n">
        <f aca="false">IF(OR(ISNUMBER($DF432),$DF432=Constants!$B$7,$DF432=Constants!$B$5,$DF432=Constants!$B$6),1,0)</f>
        <v>0</v>
      </c>
      <c r="DJ432" s="107" t="n">
        <v>424</v>
      </c>
      <c r="DK432" s="107" t="str">
        <f aca="false">IF(ISBLANK($C432),"",IF(ISNUMBER($DG432),$DG432+ROW($B432)/1000,""))</f>
        <v/>
      </c>
      <c r="DL432" s="107" t="str">
        <f aca="false">IF(ISNUMBER($DK432),RANK($DK432,$DK$9:$DK$508,1),"")</f>
        <v/>
      </c>
      <c r="DM432" s="107" t="str">
        <f aca="false">IF(ISBLANK($C432),"",$B432)</f>
        <v/>
      </c>
      <c r="DN432" s="107" t="str">
        <f aca="false">IF(ISBLANK($C432),"",$C432)</f>
        <v/>
      </c>
      <c r="DO432" s="107" t="str">
        <f aca="false">IF(ISBLANK($C432),"",$D432)</f>
        <v/>
      </c>
      <c r="DP432" s="108" t="str">
        <f aca="false">$DD432</f>
        <v/>
      </c>
      <c r="DQ432" s="109" t="str">
        <f aca="false">$DC432</f>
        <v/>
      </c>
      <c r="DR432" s="107" t="str">
        <f aca="false">IF(ISBLANK($C432),"",$DF432)</f>
        <v/>
      </c>
      <c r="DS432" s="110" t="str">
        <f aca="false">IF($DJ432&gt;$DI$8,"",VLOOKUP($DJ432,$DL$9:$DR$508,7,FALSE()))</f>
        <v/>
      </c>
      <c r="DT432" s="111" t="str">
        <f aca="false">IF($DJ432&gt;$DI$8,"",VLOOKUP($DJ432,$DL$9:$DR$508,2,FALSE()))</f>
        <v/>
      </c>
      <c r="DU432" s="111" t="str">
        <f aca="false">IF($DJ432&gt;$DI$8,"",VLOOKUP($DJ432,$DL$9:$DR$508,3,FALSE()))</f>
        <v/>
      </c>
      <c r="DV432" s="111" t="str">
        <f aca="false">IF($DJ432&gt;$DI$8,"",VLOOKUP($DJ432,$DL$9:$DR$508,4,FALSE()))</f>
        <v/>
      </c>
      <c r="DW432" s="111" t="str">
        <f aca="false">IF($DJ432&gt;$DI$8,"",VLOOKUP($DJ432,$DL$9:$DR$508,5,FALSE()))</f>
        <v/>
      </c>
      <c r="DX432" s="112" t="str">
        <f aca="false">IF($DJ432&gt;$DI$8,"",VLOOKUP($DJ432,$DL$9:$DR$508,6,FALSE()))</f>
        <v/>
      </c>
      <c r="DY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130"/>
      <c r="N433" s="130"/>
      <c r="O433" s="135"/>
      <c r="P433" s="135"/>
      <c r="Q433" s="130"/>
      <c r="R433" s="130"/>
      <c r="S433" s="130"/>
      <c r="T433" s="130"/>
      <c r="U433" s="135"/>
      <c r="V433" s="130"/>
      <c r="W433" s="96"/>
      <c r="X433" s="130"/>
      <c r="Y433" s="130"/>
      <c r="Z433" s="96"/>
      <c r="AA433" s="96"/>
      <c r="AB433" s="130"/>
      <c r="AC433" s="130"/>
      <c r="AD433" s="130"/>
      <c r="AE433" s="97"/>
      <c r="AF433" s="130"/>
      <c r="AG433" s="99"/>
      <c r="AH433" s="100"/>
      <c r="AI433" s="100"/>
      <c r="AJ433" s="100" t="str">
        <f aca="false">IF(ISBLANK($C433),"",IF($E433=Constants!$B$2,TRUE(),IF($E433=Constants!$B$3,FALSE(),TRUE())))</f>
        <v/>
      </c>
      <c r="AK433" s="100" t="str">
        <f aca="false">IF(ISBLANK($C433),"",IF($F433=Constants!$B$2,TRUE(),IF($F433=Constants!$B$3,FALSE(),FALSE())))</f>
        <v/>
      </c>
      <c r="AL433" s="100" t="str">
        <f aca="false">IF(ISBLANK($C433),"",IF($G433=Constants!$B$2,TRUE(),IF($G433=Constants!$B$3,FALSE(),TRUE())))</f>
        <v/>
      </c>
      <c r="AM433" s="100" t="str">
        <f aca="false">IF(ISBLANK($C433),"",IF($H433=Constants!$B$2,TRUE(),IF($H433=Constants!$B$3,FALSE(),TRUE())))</f>
        <v/>
      </c>
      <c r="AN433" s="100" t="str">
        <f aca="false">IF(ISBLANK($C433),"",IF(ISNUMBER($I433),IF($I433&gt;=0,$I433,""),""))</f>
        <v/>
      </c>
      <c r="AO433" s="100" t="str">
        <f aca="false">IF(ISBLANK($C433),"",IF(ISNUMBER($J433),IF($J433&gt;=0,$J433,""),""))</f>
        <v/>
      </c>
      <c r="AP433" s="100" t="str">
        <f aca="false">IF(ISBLANK($C433),"",IF(ISNUMBER($K433),IF($K433&gt;=0,$K433,""),""))</f>
        <v/>
      </c>
      <c r="AQ433" s="100" t="str">
        <f aca="false">IF(ISBLANK($C433),"",IF($L433=Constants!$B$2,TRUE(),IF($L433=Constants!$B$3,FALSE(),TRUE())))</f>
        <v/>
      </c>
      <c r="AR433" s="100" t="str">
        <f aca="false">IF(ISBLANK($C433),"",IF($M433=Constants!$B$2,TRUE(),IF($M433=Constants!$B$3,FALSE(),TRUE())))</f>
        <v/>
      </c>
      <c r="AS433" s="100" t="str">
        <f aca="false">IF(ISBLANK($C433),"",IF($N433=Constants!$B$2,TRUE(),IF($N433=Constants!$B$3,FALSE(),FALSE())))</f>
        <v/>
      </c>
      <c r="AT433" s="100" t="str">
        <f aca="false">IF(ISBLANK($C433),"",IF($O433=Constants!$B$2,TRUE(),IF($O433=Constants!$B$3,FALSE(),TRUE())))</f>
        <v/>
      </c>
      <c r="AU433" s="100" t="str">
        <f aca="false">IF(ISBLANK($C433),"",IF($P433=Constants!$B$2,TRUE(),IF($P433=Constants!$B$3,FALSE(),TRUE())))</f>
        <v/>
      </c>
      <c r="AV433" s="100" t="str">
        <f aca="false">IF(ISBLANK($C433),"",IF($Q433=Constants!$B$2,TRUE(),IF($Q433=Constants!$B$3,FALSE(),FALSE())))</f>
        <v/>
      </c>
      <c r="AW433" s="100" t="str">
        <f aca="false">IF(ISBLANK($C433),"",IF($R433=Constants!$B$2,TRUE(),IF($R433=Constants!$B$3,FALSE(),FALSE())))</f>
        <v/>
      </c>
      <c r="AX433" s="100" t="str">
        <f aca="false">IF(ISBLANK($C433),"",IF($S433=Constants!$B$2,TRUE(),IF($S433=Constants!$B$3,FALSE(),FALSE())))</f>
        <v/>
      </c>
      <c r="AY433" s="100" t="str">
        <f aca="false">IF(ISBLANK($C433),"",IF($T433=Constants!$B$2,TRUE(),IF($T433=Constants!$B$3,FALSE(),FALSE())))</f>
        <v/>
      </c>
      <c r="AZ433" s="100" t="str">
        <f aca="false">IF(ISBLANK($C433),"",IF($U433=Constants!$B$2,TRUE(),IF($U433=Constants!$B$3,FALSE(),FALSE())))</f>
        <v/>
      </c>
      <c r="BA433" s="100" t="str">
        <f aca="false">IF(ISBLANK($C433),"",IF(OR($V433&amp;""="1",$V433&amp;""="2",$V433&amp;""="3",$V433&amp;""="4"),VALUE($V433&amp;""),IF($V433=Constants!$B$12,Constants!$B$12,"")))</f>
        <v/>
      </c>
      <c r="BB433" s="100" t="str">
        <f aca="false">IF(ISBLANK($C433),"",IF(ISBLANK($W433),0,IF(ISNUMBER($W433),IF(AND($W433&gt;=0,$W433&lt;=Constants!$B$21,$W433=INT($W433)),$W433,""),"")))</f>
        <v/>
      </c>
      <c r="BC433" s="100" t="str">
        <f aca="false">IF(ISBLANK($C433),"",IF(ISBLANK($X433),0,IF(ISNUMBER($X433),IF($X433&gt;=0,$X433,""),"")))</f>
        <v/>
      </c>
      <c r="BD433" s="100" t="str">
        <f aca="false">IF(ISBLANK($C433),"",IF($Y433=Constants!$B$2,TRUE(),IF($Y433=Constants!$B$3,FALSE(),TRUE())))</f>
        <v/>
      </c>
      <c r="BE433" s="100" t="str">
        <f aca="false">IF(ISBLANK($C433),"",IF($Z433=Constants!$B$2,TRUE(),IF($Z433=Constants!$B$3,FALSE(),FALSE())))</f>
        <v/>
      </c>
      <c r="BF433" s="100" t="str">
        <f aca="false">IF(ISBLANK($C433),"",IF(ISBLANK($AA433),0,IF(ISNUMBER($AA433),IF(AND($AA433&gt;=0,$AA433&lt;=Constants!$B$35,$AA433=INT($AA433)),$AA433,""),"")))</f>
        <v/>
      </c>
      <c r="BG433" s="100" t="str">
        <f aca="false">IF(ISBLANK($C433),"",IF($AB433=Constants!$B$2,TRUE(),IF($AB433=Constants!$B$3,FALSE(),TRUE())))</f>
        <v/>
      </c>
      <c r="BH433" s="100" t="str">
        <f aca="false">IF(ISBLANK($C433),"",IF($AC433=Constants!$B$2,TRUE(),IF($AC433=Constants!$B$3,FALSE(),TRUE())))</f>
        <v/>
      </c>
      <c r="BI433" s="100" t="str">
        <f aca="false">IF(ISBLANK($C433),"",IF($AD433=Constants!$B$2,TRUE(),IF($AD433=Constants!$B$3,FALSE(),TRUE())))</f>
        <v/>
      </c>
      <c r="BJ433" s="100" t="str">
        <f aca="false">IF(ISBLANK($C433),"",IF(ISNUMBER($AE433),IF($AE433&gt;=0,$AE433,""),""))</f>
        <v/>
      </c>
      <c r="BK433" s="100" t="str">
        <f aca="false">IF(ISBLANK($C433),"",IF($AF433=Constants!$B$2,TRUE(),IF($AF433=Constants!$B$3,FALSE(),FALSE())))</f>
        <v/>
      </c>
      <c r="BL433" s="99" t="str">
        <f aca="false">IF(ISBLANK($C433),"",IF($BK433,Constants!$B$7,IF(COUNTA($E433:$AE433)=0,Constants!$B$6,IF(OR(COUNTA($G433:$AE433)=0,NOT($AM433),$AS433),Constants!$B$5,IF(OR($CM433&lt;&gt;"",$CN433,$CO433,$CP433,$CQ433,$CR433,$CS433),Constants!$B$8,Constants!$B$4)))))</f>
        <v/>
      </c>
      <c r="BM433" s="100" t="str">
        <f aca="false">IF(ISBLANK($C433),"",IF($BL433&lt;&gt;Constants!$B$4,$BL433,IF(OR(NOT($AJ433),NOT($AL433),NOT($AT433)),Constants!$B$11,IF(OR(NOT($AR433),NOT($AU433),NOT($BI433),MAX($AN433,$AO433,$AP433)&gt;Constants!$B$30),Constants!$B$10,Constants!$B$9))))</f>
        <v/>
      </c>
      <c r="BN433" s="100" t="str">
        <f aca="false">IF($BL433&lt;&gt;Constants!$B$4,"",IF(NOT($AL433),0,MIN(Constants!$B$35,$BF433)))</f>
        <v/>
      </c>
      <c r="BO433" s="100" t="str">
        <f aca="false">IF($BL433&lt;&gt;Constants!$B$4,"",IF(NOT($AL433),0,IF($AW433,Constants!$B$18,IF($AV433,Constants!$B$17,0))))</f>
        <v/>
      </c>
      <c r="BP433" s="100" t="str">
        <f aca="false">IF($BL433&lt;&gt;Constants!$B$4,"",IF(NOT($AL433),0,Constants!$B$19*($AK433+$AX433+$AY433+$AZ433)))</f>
        <v/>
      </c>
      <c r="BQ433" s="100" t="str">
        <f aca="false">IF($BL433&lt;&gt;Constants!$B$4,"",IF(OR(NOT($AL433),NOT(ISNUMBER($BA433))),0,CHOOSE($BA433,Constants!$B$13,Constants!$B$14,Constants!$B$15,Constants!$B$16)))</f>
        <v/>
      </c>
      <c r="BR433" s="100" t="str">
        <f aca="false">IF($BL433&lt;&gt;Constants!$B$4,"",IF(NOT($AL433),0,Constants!$B$20*$BB433))</f>
        <v/>
      </c>
      <c r="BS433" s="100" t="str">
        <f aca="false">IF($BL433&lt;&gt;Constants!$B$4,"",IF(AND($AL433,$BD433,$BE433),Constants!$B$22,0))</f>
        <v/>
      </c>
      <c r="BT433" s="100" t="str">
        <f aca="false">IF($BL433&lt;&gt;Constants!$B$4,"",IF(OR(NOT($AL433),NOT($BD433)),0,IF($BJ433&gt;=2*$AH$9,0,Constants!$B$23*INT(ROUND(MIN($BJ433,$AH$9),6)))))</f>
        <v/>
      </c>
      <c r="BU433" s="100" t="str">
        <f aca="false">IF($BL433&lt;&gt;Constants!$B$4,"",IF(NOT($AL433),0,Constants!$B$24*INT(ROUND(MIN($BC433,$AH$9),6))))</f>
        <v/>
      </c>
      <c r="BV433" s="100" t="str">
        <f aca="false">IF($BL433&lt;&gt;Constants!$B$4,"",IF(AND($AL433,$BN433=0),Constants!$B$25,0))</f>
        <v/>
      </c>
      <c r="BW433" s="100" t="str">
        <f aca="false">IF($BL433&lt;&gt;Constants!$B$4,"",MIN(Constants!$B$29,MAX(0,Constants!$B$27*Constants!$B$28*INT(ROUND((Constants!$B$26-$AN433)/Constants!$B$28,6))))+MIN(Constants!$B$29,MAX(0,Constants!$B$27*Constants!$B$28*INT(ROUND((Constants!$B$26-$AO433)/Constants!$B$28,6))))+MIN(Constants!$B$29,MAX(0,Constants!$B$27*Constants!$B$28*INT(ROUND((Constants!$B$26-$AP433)/Constants!$B$28,6)))))</f>
        <v/>
      </c>
      <c r="BX433" s="100" t="str">
        <f aca="false">IF($BL433&lt;&gt;Constants!$B$4,"",IF(NOT($AL433),0,Constants!$B$31*INT(ROUND(MAX(0,MIN($BJ433,2*$AH$9)-$AH$9),6))))</f>
        <v/>
      </c>
      <c r="BY433" s="100" t="str">
        <f aca="false">IF($BL433&lt;&gt;Constants!$B$4,"",Constants!$B$32*(($AN433&gt;Constants!$B$26)+($AO433&gt;Constants!$B$26)+($AP433&gt;Constants!$B$26)))</f>
        <v/>
      </c>
      <c r="BZ433" s="100" t="str">
        <f aca="false">IF($BL433&lt;&gt;Constants!$B$4,"",IF(OR(NOT($AL433),$AQ433),0,Constants!$B$33))</f>
        <v/>
      </c>
      <c r="CA433" s="100" t="str">
        <f aca="false">IF($BL433&lt;&gt;Constants!$B$4,"",Constants!$B$34*$BN433)</f>
        <v/>
      </c>
      <c r="CB433" s="100" t="str">
        <f aca="false">IF($BL433&lt;&gt;Constants!$B$4,"",IF(OR(NOT($AL433),$BH433),0,Constants!$B$36))</f>
        <v/>
      </c>
      <c r="CC433" s="100" t="str">
        <f aca="false">IF($BL433&lt;&gt;Constants!$B$4,"",IF(OR(NOT($AL433),$BG433),0,Constants!$B$37))</f>
        <v/>
      </c>
      <c r="CD433" s="100" t="str">
        <f aca="false">IF($BL433&lt;&gt;Constants!$B$4,"",SUM($BX433:$CC433))</f>
        <v/>
      </c>
      <c r="CE433" s="100" t="str">
        <f aca="false">IF(ISBLANK($C433),"",IF($BL433&lt;&gt;Constants!$B$4,$BL433,SUM($BO433:$BW433)-$CD433))</f>
        <v/>
      </c>
      <c r="CF433" s="100" t="str">
        <f aca="false">IF(ISBLANK($C433),"",IF($BL433&lt;&gt;Constants!$B$4,$BL433,RANK($CE433,$CE$9:$CE$508)))</f>
        <v/>
      </c>
      <c r="CG433" s="100" t="str">
        <f aca="false">IF(ISBLANK($C433),"",IF($BL433&lt;&gt;Constants!$B$4,$BL433,COUNTIFS($BM$9:$BM$508,"&lt;"&amp;$BM433)+COUNTIFS($BM$9:$BM$508,$BM433,$CF$9:$CF$508,"&lt;"&amp;$CF433)+1))</f>
        <v/>
      </c>
      <c r="CH433" s="100" t="str">
        <f aca="false">IF(ISBLANK($C433),"",IF($BL433&lt;&gt;Constants!$B$4,$BL433,RANK($CD433,$CD$9:$CD$508,1)))</f>
        <v/>
      </c>
      <c r="CI433" s="100" t="str">
        <f aca="false">IF($BL433&lt;&gt;Constants!$B$4,"",$AN433+$AO433+$AP433)</f>
        <v/>
      </c>
      <c r="CJ433" s="100" t="str">
        <f aca="false">IF(ISBLANK($C433),"",IF($BL433&lt;&gt;Constants!$B$4,$BL433,RANK($CI433,$CI$9:$CI$508,1)))</f>
        <v/>
      </c>
      <c r="CK433" s="100" t="str">
        <f aca="false">IF(ISBLANK($C433),"",IF($BL433&lt;&gt;Constants!$B$4,$BL433,COUNTIFS($BM$9:$BM$508,"&lt;"&amp;$BM433)+COUNTIFS($BM$9:$BM$508,$BM433,$CF$9:$CF$508,"&lt;"&amp;$CF433)+COUNTIFS($BM$9:$BM$508,$BM433,$CF$9:$CF$508,$CF433,$CH$9:$CH$508,"&lt;"&amp;$CH433)+COUNTIFS($BM$9:$BM$508,$BM433,$CF$9:$CF$508,$CF433,$CH$9:$CH$508,$CH433,$CJ$9:$CJ$508,"&lt;"&amp;$CJ433)+1))</f>
        <v/>
      </c>
      <c r="CL433" s="100" t="str">
        <f aca="false">IF(ISBLANK($C433),"",IF($BL433&lt;&gt;Constants!$B$4,$BL433,$CG433-$CK433))</f>
        <v/>
      </c>
      <c r="CM433" s="100" t="str">
        <f aca="false">IF(ISBLANK($C433),"",IF(NOT($AL433),"",IF(ISBLANK($D$7),$CM$5,IF(NOT(ISNUMBER($D$7)),$CM$6,""))))</f>
        <v/>
      </c>
      <c r="CN433" s="100" t="str">
        <f aca="false">IF(ISBLANK($C433),"",OR($AN433="",$AO433="",$AP433=""))</f>
        <v/>
      </c>
      <c r="CO433" s="100" t="str">
        <f aca="false">IF(ISBLANK($C433),"",AND($AL433,$BA433=""))</f>
        <v/>
      </c>
      <c r="CP433" s="100" t="str">
        <f aca="false">IF(ISBLANK($C433),"",AND($AL433,$BB433=""))</f>
        <v/>
      </c>
      <c r="CQ433" s="100" t="str">
        <f aca="false">IF(ISBLANK($C433),"",AND($AL433,$BC433=""))</f>
        <v/>
      </c>
      <c r="CR433" s="100" t="str">
        <f aca="false">IF(ISBLANK($C433),"",AND($AL433,$BF433=""))</f>
        <v/>
      </c>
      <c r="CS433" s="100" t="str">
        <f aca="false">IF(ISBLANK($C433),"",AND($AL433,$BJ433=""))</f>
        <v/>
      </c>
      <c r="CT433" s="101"/>
      <c r="CU433" s="102"/>
      <c r="CV433" s="103" t="str">
        <f aca="false">IF(ISBLANK($C433),"",IF($BL433=Constants!$B$8,$CM433,""))</f>
        <v/>
      </c>
      <c r="CW433" s="102" t="str">
        <f aca="false">IF(ISBLANK($C433),"",IF($BL433&lt;&gt;Constants!$B$4,"",$BO433+$BP433))</f>
        <v/>
      </c>
      <c r="CX433" s="104" t="str">
        <f aca="false">IF(ISBLANK($C433),"",IF($BL433&lt;&gt;Constants!$B$4,"",$BQ433+$BR433+$BS433))</f>
        <v/>
      </c>
      <c r="CY433" s="104" t="str">
        <f aca="false">IF(ISBLANK($C433),"",IF($BL433&lt;&gt;Constants!$B$4,"",$BT433))</f>
        <v/>
      </c>
      <c r="CZ433" s="104" t="str">
        <f aca="false">IF(ISBLANK($C433),"",IF($BL433&lt;&gt;Constants!$B$4,"",$BU433+$BV433))</f>
        <v/>
      </c>
      <c r="DA433" s="104" t="str">
        <f aca="false">IF(ISBLANK($C433),"",IF($BL433&lt;&gt;Constants!$B$4,"",$BW433))</f>
        <v/>
      </c>
      <c r="DB433" s="104" t="str">
        <f aca="false">IF(ISBLANK($C433),"",IF($BL433&lt;&gt;Constants!$B$4,"",-$CD433))</f>
        <v/>
      </c>
      <c r="DC433" s="103" t="str">
        <f aca="false">IF(ISBLANK($C433),"",$CE433)</f>
        <v/>
      </c>
      <c r="DD433" s="105" t="str">
        <f aca="false">IF(ISBLANK($C433),"",$BM433)</f>
        <v/>
      </c>
      <c r="DE433" s="104" t="str">
        <f aca="false">IF(ISBLANK($C433),"",$CL433)</f>
        <v/>
      </c>
      <c r="DF433" s="104" t="str">
        <f aca="false">IF(ISBLANK($C433),"",$CK433)</f>
        <v/>
      </c>
      <c r="DG433" s="106" t="str">
        <f aca="false">IF(ISBLANK($C433),"",IF($DF433=Constants!$B$7,COUNTA($C$9:$C$508)+2,IF($DF433=Constants!$B$6,COUNTA($C$9:$C$508)+1,IF($DF433=Constants!$B$5,COUNTA($C$9:$C$508),$DF433))))</f>
        <v/>
      </c>
      <c r="DH433" s="7"/>
      <c r="DI433" s="107" t="n">
        <f aca="false">IF(OR(ISNUMBER($DF433),$DF433=Constants!$B$7,$DF433=Constants!$B$5,$DF433=Constants!$B$6),1,0)</f>
        <v>0</v>
      </c>
      <c r="DJ433" s="107" t="n">
        <v>425</v>
      </c>
      <c r="DK433" s="107" t="str">
        <f aca="false">IF(ISBLANK($C433),"",IF(ISNUMBER($DG433),$DG433+ROW($B433)/1000,""))</f>
        <v/>
      </c>
      <c r="DL433" s="107" t="str">
        <f aca="false">IF(ISNUMBER($DK433),RANK($DK433,$DK$9:$DK$508,1),"")</f>
        <v/>
      </c>
      <c r="DM433" s="107" t="str">
        <f aca="false">IF(ISBLANK($C433),"",$B433)</f>
        <v/>
      </c>
      <c r="DN433" s="107" t="str">
        <f aca="false">IF(ISBLANK($C433),"",$C433)</f>
        <v/>
      </c>
      <c r="DO433" s="107" t="str">
        <f aca="false">IF(ISBLANK($C433),"",$D433)</f>
        <v/>
      </c>
      <c r="DP433" s="108" t="str">
        <f aca="false">$DD433</f>
        <v/>
      </c>
      <c r="DQ433" s="109" t="str">
        <f aca="false">$DC433</f>
        <v/>
      </c>
      <c r="DR433" s="107" t="str">
        <f aca="false">IF(ISBLANK($C433),"",$DF433)</f>
        <v/>
      </c>
      <c r="DS433" s="110" t="str">
        <f aca="false">IF($DJ433&gt;$DI$8,"",VLOOKUP($DJ433,$DL$9:$DR$508,7,FALSE()))</f>
        <v/>
      </c>
      <c r="DT433" s="111" t="str">
        <f aca="false">IF($DJ433&gt;$DI$8,"",VLOOKUP($DJ433,$DL$9:$DR$508,2,FALSE()))</f>
        <v/>
      </c>
      <c r="DU433" s="111" t="str">
        <f aca="false">IF($DJ433&gt;$DI$8,"",VLOOKUP($DJ433,$DL$9:$DR$508,3,FALSE()))</f>
        <v/>
      </c>
      <c r="DV433" s="111" t="str">
        <f aca="false">IF($DJ433&gt;$DI$8,"",VLOOKUP($DJ433,$DL$9:$DR$508,4,FALSE()))</f>
        <v/>
      </c>
      <c r="DW433" s="111" t="str">
        <f aca="false">IF($DJ433&gt;$DI$8,"",VLOOKUP($DJ433,$DL$9:$DR$508,5,FALSE()))</f>
        <v/>
      </c>
      <c r="DX433" s="112" t="str">
        <f aca="false">IF($DJ433&gt;$DI$8,"",VLOOKUP($DJ433,$DL$9:$DR$508,6,FALSE()))</f>
        <v/>
      </c>
      <c r="DY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130"/>
      <c r="N434" s="130"/>
      <c r="O434" s="135"/>
      <c r="P434" s="135"/>
      <c r="Q434" s="130"/>
      <c r="R434" s="130"/>
      <c r="S434" s="130"/>
      <c r="T434" s="130"/>
      <c r="U434" s="135"/>
      <c r="V434" s="130"/>
      <c r="W434" s="96"/>
      <c r="X434" s="130"/>
      <c r="Y434" s="130"/>
      <c r="Z434" s="96"/>
      <c r="AA434" s="96"/>
      <c r="AB434" s="130"/>
      <c r="AC434" s="130"/>
      <c r="AD434" s="130"/>
      <c r="AE434" s="97"/>
      <c r="AF434" s="130"/>
      <c r="AG434" s="99"/>
      <c r="AH434" s="100"/>
      <c r="AI434" s="100"/>
      <c r="AJ434" s="100" t="str">
        <f aca="false">IF(ISBLANK($C434),"",IF($E434=Constants!$B$2,TRUE(),IF($E434=Constants!$B$3,FALSE(),TRUE())))</f>
        <v/>
      </c>
      <c r="AK434" s="100" t="str">
        <f aca="false">IF(ISBLANK($C434),"",IF($F434=Constants!$B$2,TRUE(),IF($F434=Constants!$B$3,FALSE(),FALSE())))</f>
        <v/>
      </c>
      <c r="AL434" s="100" t="str">
        <f aca="false">IF(ISBLANK($C434),"",IF($G434=Constants!$B$2,TRUE(),IF($G434=Constants!$B$3,FALSE(),TRUE())))</f>
        <v/>
      </c>
      <c r="AM434" s="100" t="str">
        <f aca="false">IF(ISBLANK($C434),"",IF($H434=Constants!$B$2,TRUE(),IF($H434=Constants!$B$3,FALSE(),TRUE())))</f>
        <v/>
      </c>
      <c r="AN434" s="100" t="str">
        <f aca="false">IF(ISBLANK($C434),"",IF(ISNUMBER($I434),IF($I434&gt;=0,$I434,""),""))</f>
        <v/>
      </c>
      <c r="AO434" s="100" t="str">
        <f aca="false">IF(ISBLANK($C434),"",IF(ISNUMBER($J434),IF($J434&gt;=0,$J434,""),""))</f>
        <v/>
      </c>
      <c r="AP434" s="100" t="str">
        <f aca="false">IF(ISBLANK($C434),"",IF(ISNUMBER($K434),IF($K434&gt;=0,$K434,""),""))</f>
        <v/>
      </c>
      <c r="AQ434" s="100" t="str">
        <f aca="false">IF(ISBLANK($C434),"",IF($L434=Constants!$B$2,TRUE(),IF($L434=Constants!$B$3,FALSE(),TRUE())))</f>
        <v/>
      </c>
      <c r="AR434" s="100" t="str">
        <f aca="false">IF(ISBLANK($C434),"",IF($M434=Constants!$B$2,TRUE(),IF($M434=Constants!$B$3,FALSE(),TRUE())))</f>
        <v/>
      </c>
      <c r="AS434" s="100" t="str">
        <f aca="false">IF(ISBLANK($C434),"",IF($N434=Constants!$B$2,TRUE(),IF($N434=Constants!$B$3,FALSE(),FALSE())))</f>
        <v/>
      </c>
      <c r="AT434" s="100" t="str">
        <f aca="false">IF(ISBLANK($C434),"",IF($O434=Constants!$B$2,TRUE(),IF($O434=Constants!$B$3,FALSE(),TRUE())))</f>
        <v/>
      </c>
      <c r="AU434" s="100" t="str">
        <f aca="false">IF(ISBLANK($C434),"",IF($P434=Constants!$B$2,TRUE(),IF($P434=Constants!$B$3,FALSE(),TRUE())))</f>
        <v/>
      </c>
      <c r="AV434" s="100" t="str">
        <f aca="false">IF(ISBLANK($C434),"",IF($Q434=Constants!$B$2,TRUE(),IF($Q434=Constants!$B$3,FALSE(),FALSE())))</f>
        <v/>
      </c>
      <c r="AW434" s="100" t="str">
        <f aca="false">IF(ISBLANK($C434),"",IF($R434=Constants!$B$2,TRUE(),IF($R434=Constants!$B$3,FALSE(),FALSE())))</f>
        <v/>
      </c>
      <c r="AX434" s="100" t="str">
        <f aca="false">IF(ISBLANK($C434),"",IF($S434=Constants!$B$2,TRUE(),IF($S434=Constants!$B$3,FALSE(),FALSE())))</f>
        <v/>
      </c>
      <c r="AY434" s="100" t="str">
        <f aca="false">IF(ISBLANK($C434),"",IF($T434=Constants!$B$2,TRUE(),IF($T434=Constants!$B$3,FALSE(),FALSE())))</f>
        <v/>
      </c>
      <c r="AZ434" s="100" t="str">
        <f aca="false">IF(ISBLANK($C434),"",IF($U434=Constants!$B$2,TRUE(),IF($U434=Constants!$B$3,FALSE(),FALSE())))</f>
        <v/>
      </c>
      <c r="BA434" s="100" t="str">
        <f aca="false">IF(ISBLANK($C434),"",IF(OR($V434&amp;""="1",$V434&amp;""="2",$V434&amp;""="3",$V434&amp;""="4"),VALUE($V434&amp;""),IF($V434=Constants!$B$12,Constants!$B$12,"")))</f>
        <v/>
      </c>
      <c r="BB434" s="100" t="str">
        <f aca="false">IF(ISBLANK($C434),"",IF(ISBLANK($W434),0,IF(ISNUMBER($W434),IF(AND($W434&gt;=0,$W434&lt;=Constants!$B$21,$W434=INT($W434)),$W434,""),"")))</f>
        <v/>
      </c>
      <c r="BC434" s="100" t="str">
        <f aca="false">IF(ISBLANK($C434),"",IF(ISBLANK($X434),0,IF(ISNUMBER($X434),IF($X434&gt;=0,$X434,""),"")))</f>
        <v/>
      </c>
      <c r="BD434" s="100" t="str">
        <f aca="false">IF(ISBLANK($C434),"",IF($Y434=Constants!$B$2,TRUE(),IF($Y434=Constants!$B$3,FALSE(),TRUE())))</f>
        <v/>
      </c>
      <c r="BE434" s="100" t="str">
        <f aca="false">IF(ISBLANK($C434),"",IF($Z434=Constants!$B$2,TRUE(),IF($Z434=Constants!$B$3,FALSE(),FALSE())))</f>
        <v/>
      </c>
      <c r="BF434" s="100" t="str">
        <f aca="false">IF(ISBLANK($C434),"",IF(ISBLANK($AA434),0,IF(ISNUMBER($AA434),IF(AND($AA434&gt;=0,$AA434&lt;=Constants!$B$35,$AA434=INT($AA434)),$AA434,""),"")))</f>
        <v/>
      </c>
      <c r="BG434" s="100" t="str">
        <f aca="false">IF(ISBLANK($C434),"",IF($AB434=Constants!$B$2,TRUE(),IF($AB434=Constants!$B$3,FALSE(),TRUE())))</f>
        <v/>
      </c>
      <c r="BH434" s="100" t="str">
        <f aca="false">IF(ISBLANK($C434),"",IF($AC434=Constants!$B$2,TRUE(),IF($AC434=Constants!$B$3,FALSE(),TRUE())))</f>
        <v/>
      </c>
      <c r="BI434" s="100" t="str">
        <f aca="false">IF(ISBLANK($C434),"",IF($AD434=Constants!$B$2,TRUE(),IF($AD434=Constants!$B$3,FALSE(),TRUE())))</f>
        <v/>
      </c>
      <c r="BJ434" s="100" t="str">
        <f aca="false">IF(ISBLANK($C434),"",IF(ISNUMBER($AE434),IF($AE434&gt;=0,$AE434,""),""))</f>
        <v/>
      </c>
      <c r="BK434" s="100" t="str">
        <f aca="false">IF(ISBLANK($C434),"",IF($AF434=Constants!$B$2,TRUE(),IF($AF434=Constants!$B$3,FALSE(),FALSE())))</f>
        <v/>
      </c>
      <c r="BL434" s="99" t="str">
        <f aca="false">IF(ISBLANK($C434),"",IF($BK434,Constants!$B$7,IF(COUNTA($E434:$AE434)=0,Constants!$B$6,IF(OR(COUNTA($G434:$AE434)=0,NOT($AM434),$AS434),Constants!$B$5,IF(OR($CM434&lt;&gt;"",$CN434,$CO434,$CP434,$CQ434,$CR434,$CS434),Constants!$B$8,Constants!$B$4)))))</f>
        <v/>
      </c>
      <c r="BM434" s="100" t="str">
        <f aca="false">IF(ISBLANK($C434),"",IF($BL434&lt;&gt;Constants!$B$4,$BL434,IF(OR(NOT($AJ434),NOT($AL434),NOT($AT434)),Constants!$B$11,IF(OR(NOT($AR434),NOT($AU434),NOT($BI434),MAX($AN434,$AO434,$AP434)&gt;Constants!$B$30),Constants!$B$10,Constants!$B$9))))</f>
        <v/>
      </c>
      <c r="BN434" s="100" t="str">
        <f aca="false">IF($BL434&lt;&gt;Constants!$B$4,"",IF(NOT($AL434),0,MIN(Constants!$B$35,$BF434)))</f>
        <v/>
      </c>
      <c r="BO434" s="100" t="str">
        <f aca="false">IF($BL434&lt;&gt;Constants!$B$4,"",IF(NOT($AL434),0,IF($AW434,Constants!$B$18,IF($AV434,Constants!$B$17,0))))</f>
        <v/>
      </c>
      <c r="BP434" s="100" t="str">
        <f aca="false">IF($BL434&lt;&gt;Constants!$B$4,"",IF(NOT($AL434),0,Constants!$B$19*($AK434+$AX434+$AY434+$AZ434)))</f>
        <v/>
      </c>
      <c r="BQ434" s="100" t="str">
        <f aca="false">IF($BL434&lt;&gt;Constants!$B$4,"",IF(OR(NOT($AL434),NOT(ISNUMBER($BA434))),0,CHOOSE($BA434,Constants!$B$13,Constants!$B$14,Constants!$B$15,Constants!$B$16)))</f>
        <v/>
      </c>
      <c r="BR434" s="100" t="str">
        <f aca="false">IF($BL434&lt;&gt;Constants!$B$4,"",IF(NOT($AL434),0,Constants!$B$20*$BB434))</f>
        <v/>
      </c>
      <c r="BS434" s="100" t="str">
        <f aca="false">IF($BL434&lt;&gt;Constants!$B$4,"",IF(AND($AL434,$BD434,$BE434),Constants!$B$22,0))</f>
        <v/>
      </c>
      <c r="BT434" s="100" t="str">
        <f aca="false">IF($BL434&lt;&gt;Constants!$B$4,"",IF(OR(NOT($AL434),NOT($BD434)),0,IF($BJ434&gt;=2*$AH$9,0,Constants!$B$23*INT(ROUND(MIN($BJ434,$AH$9),6)))))</f>
        <v/>
      </c>
      <c r="BU434" s="100" t="str">
        <f aca="false">IF($BL434&lt;&gt;Constants!$B$4,"",IF(NOT($AL434),0,Constants!$B$24*INT(ROUND(MIN($BC434,$AH$9),6))))</f>
        <v/>
      </c>
      <c r="BV434" s="100" t="str">
        <f aca="false">IF($BL434&lt;&gt;Constants!$B$4,"",IF(AND($AL434,$BN434=0),Constants!$B$25,0))</f>
        <v/>
      </c>
      <c r="BW434" s="100" t="str">
        <f aca="false">IF($BL434&lt;&gt;Constants!$B$4,"",MIN(Constants!$B$29,MAX(0,Constants!$B$27*Constants!$B$28*INT(ROUND((Constants!$B$26-$AN434)/Constants!$B$28,6))))+MIN(Constants!$B$29,MAX(0,Constants!$B$27*Constants!$B$28*INT(ROUND((Constants!$B$26-$AO434)/Constants!$B$28,6))))+MIN(Constants!$B$29,MAX(0,Constants!$B$27*Constants!$B$28*INT(ROUND((Constants!$B$26-$AP434)/Constants!$B$28,6)))))</f>
        <v/>
      </c>
      <c r="BX434" s="100" t="str">
        <f aca="false">IF($BL434&lt;&gt;Constants!$B$4,"",IF(NOT($AL434),0,Constants!$B$31*INT(ROUND(MAX(0,MIN($BJ434,2*$AH$9)-$AH$9),6))))</f>
        <v/>
      </c>
      <c r="BY434" s="100" t="str">
        <f aca="false">IF($BL434&lt;&gt;Constants!$B$4,"",Constants!$B$32*(($AN434&gt;Constants!$B$26)+($AO434&gt;Constants!$B$26)+($AP434&gt;Constants!$B$26)))</f>
        <v/>
      </c>
      <c r="BZ434" s="100" t="str">
        <f aca="false">IF($BL434&lt;&gt;Constants!$B$4,"",IF(OR(NOT($AL434),$AQ434),0,Constants!$B$33))</f>
        <v/>
      </c>
      <c r="CA434" s="100" t="str">
        <f aca="false">IF($BL434&lt;&gt;Constants!$B$4,"",Constants!$B$34*$BN434)</f>
        <v/>
      </c>
      <c r="CB434" s="100" t="str">
        <f aca="false">IF($BL434&lt;&gt;Constants!$B$4,"",IF(OR(NOT($AL434),$BH434),0,Constants!$B$36))</f>
        <v/>
      </c>
      <c r="CC434" s="100" t="str">
        <f aca="false">IF($BL434&lt;&gt;Constants!$B$4,"",IF(OR(NOT($AL434),$BG434),0,Constants!$B$37))</f>
        <v/>
      </c>
      <c r="CD434" s="100" t="str">
        <f aca="false">IF($BL434&lt;&gt;Constants!$B$4,"",SUM($BX434:$CC434))</f>
        <v/>
      </c>
      <c r="CE434" s="100" t="str">
        <f aca="false">IF(ISBLANK($C434),"",IF($BL434&lt;&gt;Constants!$B$4,$BL434,SUM($BO434:$BW434)-$CD434))</f>
        <v/>
      </c>
      <c r="CF434" s="100" t="str">
        <f aca="false">IF(ISBLANK($C434),"",IF($BL434&lt;&gt;Constants!$B$4,$BL434,RANK($CE434,$CE$9:$CE$508)))</f>
        <v/>
      </c>
      <c r="CG434" s="100" t="str">
        <f aca="false">IF(ISBLANK($C434),"",IF($BL434&lt;&gt;Constants!$B$4,$BL434,COUNTIFS($BM$9:$BM$508,"&lt;"&amp;$BM434)+COUNTIFS($BM$9:$BM$508,$BM434,$CF$9:$CF$508,"&lt;"&amp;$CF434)+1))</f>
        <v/>
      </c>
      <c r="CH434" s="100" t="str">
        <f aca="false">IF(ISBLANK($C434),"",IF($BL434&lt;&gt;Constants!$B$4,$BL434,RANK($CD434,$CD$9:$CD$508,1)))</f>
        <v/>
      </c>
      <c r="CI434" s="100" t="str">
        <f aca="false">IF($BL434&lt;&gt;Constants!$B$4,"",$AN434+$AO434+$AP434)</f>
        <v/>
      </c>
      <c r="CJ434" s="100" t="str">
        <f aca="false">IF(ISBLANK($C434),"",IF($BL434&lt;&gt;Constants!$B$4,$BL434,RANK($CI434,$CI$9:$CI$508,1)))</f>
        <v/>
      </c>
      <c r="CK434" s="100" t="str">
        <f aca="false">IF(ISBLANK($C434),"",IF($BL434&lt;&gt;Constants!$B$4,$BL434,COUNTIFS($BM$9:$BM$508,"&lt;"&amp;$BM434)+COUNTIFS($BM$9:$BM$508,$BM434,$CF$9:$CF$508,"&lt;"&amp;$CF434)+COUNTIFS($BM$9:$BM$508,$BM434,$CF$9:$CF$508,$CF434,$CH$9:$CH$508,"&lt;"&amp;$CH434)+COUNTIFS($BM$9:$BM$508,$BM434,$CF$9:$CF$508,$CF434,$CH$9:$CH$508,$CH434,$CJ$9:$CJ$508,"&lt;"&amp;$CJ434)+1))</f>
        <v/>
      </c>
      <c r="CL434" s="100" t="str">
        <f aca="false">IF(ISBLANK($C434),"",IF($BL434&lt;&gt;Constants!$B$4,$BL434,$CG434-$CK434))</f>
        <v/>
      </c>
      <c r="CM434" s="100" t="str">
        <f aca="false">IF(ISBLANK($C434),"",IF(NOT($AL434),"",IF(ISBLANK($D$7),$CM$5,IF(NOT(ISNUMBER($D$7)),$CM$6,""))))</f>
        <v/>
      </c>
      <c r="CN434" s="100" t="str">
        <f aca="false">IF(ISBLANK($C434),"",OR($AN434="",$AO434="",$AP434=""))</f>
        <v/>
      </c>
      <c r="CO434" s="100" t="str">
        <f aca="false">IF(ISBLANK($C434),"",AND($AL434,$BA434=""))</f>
        <v/>
      </c>
      <c r="CP434" s="100" t="str">
        <f aca="false">IF(ISBLANK($C434),"",AND($AL434,$BB434=""))</f>
        <v/>
      </c>
      <c r="CQ434" s="100" t="str">
        <f aca="false">IF(ISBLANK($C434),"",AND($AL434,$BC434=""))</f>
        <v/>
      </c>
      <c r="CR434" s="100" t="str">
        <f aca="false">IF(ISBLANK($C434),"",AND($AL434,$BF434=""))</f>
        <v/>
      </c>
      <c r="CS434" s="100" t="str">
        <f aca="false">IF(ISBLANK($C434),"",AND($AL434,$BJ434=""))</f>
        <v/>
      </c>
      <c r="CT434" s="101"/>
      <c r="CU434" s="102"/>
      <c r="CV434" s="103" t="str">
        <f aca="false">IF(ISBLANK($C434),"",IF($BL434=Constants!$B$8,$CM434,""))</f>
        <v/>
      </c>
      <c r="CW434" s="102" t="str">
        <f aca="false">IF(ISBLANK($C434),"",IF($BL434&lt;&gt;Constants!$B$4,"",$BO434+$BP434))</f>
        <v/>
      </c>
      <c r="CX434" s="104" t="str">
        <f aca="false">IF(ISBLANK($C434),"",IF($BL434&lt;&gt;Constants!$B$4,"",$BQ434+$BR434+$BS434))</f>
        <v/>
      </c>
      <c r="CY434" s="104" t="str">
        <f aca="false">IF(ISBLANK($C434),"",IF($BL434&lt;&gt;Constants!$B$4,"",$BT434))</f>
        <v/>
      </c>
      <c r="CZ434" s="104" t="str">
        <f aca="false">IF(ISBLANK($C434),"",IF($BL434&lt;&gt;Constants!$B$4,"",$BU434+$BV434))</f>
        <v/>
      </c>
      <c r="DA434" s="104" t="str">
        <f aca="false">IF(ISBLANK($C434),"",IF($BL434&lt;&gt;Constants!$B$4,"",$BW434))</f>
        <v/>
      </c>
      <c r="DB434" s="104" t="str">
        <f aca="false">IF(ISBLANK($C434),"",IF($BL434&lt;&gt;Constants!$B$4,"",-$CD434))</f>
        <v/>
      </c>
      <c r="DC434" s="103" t="str">
        <f aca="false">IF(ISBLANK($C434),"",$CE434)</f>
        <v/>
      </c>
      <c r="DD434" s="105" t="str">
        <f aca="false">IF(ISBLANK($C434),"",$BM434)</f>
        <v/>
      </c>
      <c r="DE434" s="104" t="str">
        <f aca="false">IF(ISBLANK($C434),"",$CL434)</f>
        <v/>
      </c>
      <c r="DF434" s="104" t="str">
        <f aca="false">IF(ISBLANK($C434),"",$CK434)</f>
        <v/>
      </c>
      <c r="DG434" s="106" t="str">
        <f aca="false">IF(ISBLANK($C434),"",IF($DF434=Constants!$B$7,COUNTA($C$9:$C$508)+2,IF($DF434=Constants!$B$6,COUNTA($C$9:$C$508)+1,IF($DF434=Constants!$B$5,COUNTA($C$9:$C$508),$DF434))))</f>
        <v/>
      </c>
      <c r="DH434" s="7"/>
      <c r="DI434" s="107" t="n">
        <f aca="false">IF(OR(ISNUMBER($DF434),$DF434=Constants!$B$7,$DF434=Constants!$B$5,$DF434=Constants!$B$6),1,0)</f>
        <v>0</v>
      </c>
      <c r="DJ434" s="107" t="n">
        <v>426</v>
      </c>
      <c r="DK434" s="107" t="str">
        <f aca="false">IF(ISBLANK($C434),"",IF(ISNUMBER($DG434),$DG434+ROW($B434)/1000,""))</f>
        <v/>
      </c>
      <c r="DL434" s="107" t="str">
        <f aca="false">IF(ISNUMBER($DK434),RANK($DK434,$DK$9:$DK$508,1),"")</f>
        <v/>
      </c>
      <c r="DM434" s="107" t="str">
        <f aca="false">IF(ISBLANK($C434),"",$B434)</f>
        <v/>
      </c>
      <c r="DN434" s="107" t="str">
        <f aca="false">IF(ISBLANK($C434),"",$C434)</f>
        <v/>
      </c>
      <c r="DO434" s="107" t="str">
        <f aca="false">IF(ISBLANK($C434),"",$D434)</f>
        <v/>
      </c>
      <c r="DP434" s="108" t="str">
        <f aca="false">$DD434</f>
        <v/>
      </c>
      <c r="DQ434" s="109" t="str">
        <f aca="false">$DC434</f>
        <v/>
      </c>
      <c r="DR434" s="107" t="str">
        <f aca="false">IF(ISBLANK($C434),"",$DF434)</f>
        <v/>
      </c>
      <c r="DS434" s="110" t="str">
        <f aca="false">IF($DJ434&gt;$DI$8,"",VLOOKUP($DJ434,$DL$9:$DR$508,7,FALSE()))</f>
        <v/>
      </c>
      <c r="DT434" s="111" t="str">
        <f aca="false">IF($DJ434&gt;$DI$8,"",VLOOKUP($DJ434,$DL$9:$DR$508,2,FALSE()))</f>
        <v/>
      </c>
      <c r="DU434" s="111" t="str">
        <f aca="false">IF($DJ434&gt;$DI$8,"",VLOOKUP($DJ434,$DL$9:$DR$508,3,FALSE()))</f>
        <v/>
      </c>
      <c r="DV434" s="111" t="str">
        <f aca="false">IF($DJ434&gt;$DI$8,"",VLOOKUP($DJ434,$DL$9:$DR$508,4,FALSE()))</f>
        <v/>
      </c>
      <c r="DW434" s="111" t="str">
        <f aca="false">IF($DJ434&gt;$DI$8,"",VLOOKUP($DJ434,$DL$9:$DR$508,5,FALSE()))</f>
        <v/>
      </c>
      <c r="DX434" s="112" t="str">
        <f aca="false">IF($DJ434&gt;$DI$8,"",VLOOKUP($DJ434,$DL$9:$DR$508,6,FALSE()))</f>
        <v/>
      </c>
      <c r="DY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88"/>
      <c r="N435" s="88"/>
      <c r="O435" s="134"/>
      <c r="P435" s="134"/>
      <c r="Q435" s="88"/>
      <c r="R435" s="88"/>
      <c r="S435" s="88"/>
      <c r="T435" s="88"/>
      <c r="U435" s="134"/>
      <c r="V435" s="88"/>
      <c r="W435" s="70"/>
      <c r="X435" s="88"/>
      <c r="Y435" s="88"/>
      <c r="Z435" s="70"/>
      <c r="AA435" s="70"/>
      <c r="AB435" s="88"/>
      <c r="AC435" s="88"/>
      <c r="AD435" s="88"/>
      <c r="AE435" s="71"/>
      <c r="AF435" s="88"/>
      <c r="AG435" s="73"/>
      <c r="AH435" s="74"/>
      <c r="AI435" s="74"/>
      <c r="AJ435" s="74" t="str">
        <f aca="false">IF(ISBLANK($C435),"",IF($E435=Constants!$B$2,TRUE(),IF($E435=Constants!$B$3,FALSE(),TRUE())))</f>
        <v/>
      </c>
      <c r="AK435" s="74" t="str">
        <f aca="false">IF(ISBLANK($C435),"",IF($F435=Constants!$B$2,TRUE(),IF($F435=Constants!$B$3,FALSE(),FALSE())))</f>
        <v/>
      </c>
      <c r="AL435" s="74" t="str">
        <f aca="false">IF(ISBLANK($C435),"",IF($G435=Constants!$B$2,TRUE(),IF($G435=Constants!$B$3,FALSE(),TRUE())))</f>
        <v/>
      </c>
      <c r="AM435" s="74" t="str">
        <f aca="false">IF(ISBLANK($C435),"",IF($H435=Constants!$B$2,TRUE(),IF($H435=Constants!$B$3,FALSE(),TRUE())))</f>
        <v/>
      </c>
      <c r="AN435" s="74" t="str">
        <f aca="false">IF(ISBLANK($C435),"",IF(ISNUMBER($I435),IF($I435&gt;=0,$I435,""),""))</f>
        <v/>
      </c>
      <c r="AO435" s="74" t="str">
        <f aca="false">IF(ISBLANK($C435),"",IF(ISNUMBER($J435),IF($J435&gt;=0,$J435,""),""))</f>
        <v/>
      </c>
      <c r="AP435" s="74" t="str">
        <f aca="false">IF(ISBLANK($C435),"",IF(ISNUMBER($K435),IF($K435&gt;=0,$K435,""),""))</f>
        <v/>
      </c>
      <c r="AQ435" s="74" t="str">
        <f aca="false">IF(ISBLANK($C435),"",IF($L435=Constants!$B$2,TRUE(),IF($L435=Constants!$B$3,FALSE(),TRUE())))</f>
        <v/>
      </c>
      <c r="AR435" s="74" t="str">
        <f aca="false">IF(ISBLANK($C435),"",IF($M435=Constants!$B$2,TRUE(),IF($M435=Constants!$B$3,FALSE(),TRUE())))</f>
        <v/>
      </c>
      <c r="AS435" s="74" t="str">
        <f aca="false">IF(ISBLANK($C435),"",IF($N435=Constants!$B$2,TRUE(),IF($N435=Constants!$B$3,FALSE(),FALSE())))</f>
        <v/>
      </c>
      <c r="AT435" s="74" t="str">
        <f aca="false">IF(ISBLANK($C435),"",IF($O435=Constants!$B$2,TRUE(),IF($O435=Constants!$B$3,FALSE(),TRUE())))</f>
        <v/>
      </c>
      <c r="AU435" s="74" t="str">
        <f aca="false">IF(ISBLANK($C435),"",IF($P435=Constants!$B$2,TRUE(),IF($P435=Constants!$B$3,FALSE(),TRUE())))</f>
        <v/>
      </c>
      <c r="AV435" s="74" t="str">
        <f aca="false">IF(ISBLANK($C435),"",IF($Q435=Constants!$B$2,TRUE(),IF($Q435=Constants!$B$3,FALSE(),FALSE())))</f>
        <v/>
      </c>
      <c r="AW435" s="74" t="str">
        <f aca="false">IF(ISBLANK($C435),"",IF($R435=Constants!$B$2,TRUE(),IF($R435=Constants!$B$3,FALSE(),FALSE())))</f>
        <v/>
      </c>
      <c r="AX435" s="74" t="str">
        <f aca="false">IF(ISBLANK($C435),"",IF($S435=Constants!$B$2,TRUE(),IF($S435=Constants!$B$3,FALSE(),FALSE())))</f>
        <v/>
      </c>
      <c r="AY435" s="74" t="str">
        <f aca="false">IF(ISBLANK($C435),"",IF($T435=Constants!$B$2,TRUE(),IF($T435=Constants!$B$3,FALSE(),FALSE())))</f>
        <v/>
      </c>
      <c r="AZ435" s="74" t="str">
        <f aca="false">IF(ISBLANK($C435),"",IF($U435=Constants!$B$2,TRUE(),IF($U435=Constants!$B$3,FALSE(),FALSE())))</f>
        <v/>
      </c>
      <c r="BA435" s="74" t="str">
        <f aca="false">IF(ISBLANK($C435),"",IF(OR($V435&amp;""="1",$V435&amp;""="2",$V435&amp;""="3",$V435&amp;""="4"),VALUE($V435&amp;""),IF($V435=Constants!$B$12,Constants!$B$12,"")))</f>
        <v/>
      </c>
      <c r="BB435" s="74" t="str">
        <f aca="false">IF(ISBLANK($C435),"",IF(ISBLANK($W435),0,IF(ISNUMBER($W435),IF(AND($W435&gt;=0,$W435&lt;=Constants!$B$21,$W435=INT($W435)),$W435,""),"")))</f>
        <v/>
      </c>
      <c r="BC435" s="74" t="str">
        <f aca="false">IF(ISBLANK($C435),"",IF(ISBLANK($X435),0,IF(ISNUMBER($X435),IF($X435&gt;=0,$X435,""),"")))</f>
        <v/>
      </c>
      <c r="BD435" s="74" t="str">
        <f aca="false">IF(ISBLANK($C435),"",IF($Y435=Constants!$B$2,TRUE(),IF($Y435=Constants!$B$3,FALSE(),TRUE())))</f>
        <v/>
      </c>
      <c r="BE435" s="74" t="str">
        <f aca="false">IF(ISBLANK($C435),"",IF($Z435=Constants!$B$2,TRUE(),IF($Z435=Constants!$B$3,FALSE(),FALSE())))</f>
        <v/>
      </c>
      <c r="BF435" s="74" t="str">
        <f aca="false">IF(ISBLANK($C435),"",IF(ISBLANK($AA435),0,IF(ISNUMBER($AA435),IF(AND($AA435&gt;=0,$AA435&lt;=Constants!$B$35,$AA435=INT($AA435)),$AA435,""),"")))</f>
        <v/>
      </c>
      <c r="BG435" s="74" t="str">
        <f aca="false">IF(ISBLANK($C435),"",IF($AB435=Constants!$B$2,TRUE(),IF($AB435=Constants!$B$3,FALSE(),TRUE())))</f>
        <v/>
      </c>
      <c r="BH435" s="74" t="str">
        <f aca="false">IF(ISBLANK($C435),"",IF($AC435=Constants!$B$2,TRUE(),IF($AC435=Constants!$B$3,FALSE(),TRUE())))</f>
        <v/>
      </c>
      <c r="BI435" s="74" t="str">
        <f aca="false">IF(ISBLANK($C435),"",IF($AD435=Constants!$B$2,TRUE(),IF($AD435=Constants!$B$3,FALSE(),TRUE())))</f>
        <v/>
      </c>
      <c r="BJ435" s="74" t="str">
        <f aca="false">IF(ISBLANK($C435),"",IF(ISNUMBER($AE435),IF($AE435&gt;=0,$AE435,""),""))</f>
        <v/>
      </c>
      <c r="BK435" s="74" t="str">
        <f aca="false">IF(ISBLANK($C435),"",IF($AF435=Constants!$B$2,TRUE(),IF($AF435=Constants!$B$3,FALSE(),FALSE())))</f>
        <v/>
      </c>
      <c r="BL435" s="73" t="str">
        <f aca="false">IF(ISBLANK($C435),"",IF($BK435,Constants!$B$7,IF(COUNTA($E435:$AE435)=0,Constants!$B$6,IF(OR(COUNTA($G435:$AE435)=0,NOT($AM435),$AS435),Constants!$B$5,IF(OR($CM435&lt;&gt;"",$CN435,$CO435,$CP435,$CQ435,$CR435,$CS435),Constants!$B$8,Constants!$B$4)))))</f>
        <v/>
      </c>
      <c r="BM435" s="74" t="str">
        <f aca="false">IF(ISBLANK($C435),"",IF($BL435&lt;&gt;Constants!$B$4,$BL435,IF(OR(NOT($AJ435),NOT($AL435),NOT($AT435)),Constants!$B$11,IF(OR(NOT($AR435),NOT($AU435),NOT($BI435),MAX($AN435,$AO435,$AP435)&gt;Constants!$B$30),Constants!$B$10,Constants!$B$9))))</f>
        <v/>
      </c>
      <c r="BN435" s="74" t="str">
        <f aca="false">IF($BL435&lt;&gt;Constants!$B$4,"",IF(NOT($AL435),0,MIN(Constants!$B$35,$BF435)))</f>
        <v/>
      </c>
      <c r="BO435" s="74" t="str">
        <f aca="false">IF($BL435&lt;&gt;Constants!$B$4,"",IF(NOT($AL435),0,IF($AW435,Constants!$B$18,IF($AV435,Constants!$B$17,0))))</f>
        <v/>
      </c>
      <c r="BP435" s="74" t="str">
        <f aca="false">IF($BL435&lt;&gt;Constants!$B$4,"",IF(NOT($AL435),0,Constants!$B$19*($AK435+$AX435+$AY435+$AZ435)))</f>
        <v/>
      </c>
      <c r="BQ435" s="74" t="str">
        <f aca="false">IF($BL435&lt;&gt;Constants!$B$4,"",IF(OR(NOT($AL435),NOT(ISNUMBER($BA435))),0,CHOOSE($BA435,Constants!$B$13,Constants!$B$14,Constants!$B$15,Constants!$B$16)))</f>
        <v/>
      </c>
      <c r="BR435" s="74" t="str">
        <f aca="false">IF($BL435&lt;&gt;Constants!$B$4,"",IF(NOT($AL435),0,Constants!$B$20*$BB435))</f>
        <v/>
      </c>
      <c r="BS435" s="74" t="str">
        <f aca="false">IF($BL435&lt;&gt;Constants!$B$4,"",IF(AND($AL435,$BD435,$BE435),Constants!$B$22,0))</f>
        <v/>
      </c>
      <c r="BT435" s="74" t="str">
        <f aca="false">IF($BL435&lt;&gt;Constants!$B$4,"",IF(OR(NOT($AL435),NOT($BD435)),0,IF($BJ435&gt;=2*$AH$9,0,Constants!$B$23*INT(ROUND(MIN($BJ435,$AH$9),6)))))</f>
        <v/>
      </c>
      <c r="BU435" s="74" t="str">
        <f aca="false">IF($BL435&lt;&gt;Constants!$B$4,"",IF(NOT($AL435),0,Constants!$B$24*INT(ROUND(MIN($BC435,$AH$9),6))))</f>
        <v/>
      </c>
      <c r="BV435" s="74" t="str">
        <f aca="false">IF($BL435&lt;&gt;Constants!$B$4,"",IF(AND($AL435,$BN435=0),Constants!$B$25,0))</f>
        <v/>
      </c>
      <c r="BW435" s="74" t="str">
        <f aca="false">IF($BL435&lt;&gt;Constants!$B$4,"",MIN(Constants!$B$29,MAX(0,Constants!$B$27*Constants!$B$28*INT(ROUND((Constants!$B$26-$AN435)/Constants!$B$28,6))))+MIN(Constants!$B$29,MAX(0,Constants!$B$27*Constants!$B$28*INT(ROUND((Constants!$B$26-$AO435)/Constants!$B$28,6))))+MIN(Constants!$B$29,MAX(0,Constants!$B$27*Constants!$B$28*INT(ROUND((Constants!$B$26-$AP435)/Constants!$B$28,6)))))</f>
        <v/>
      </c>
      <c r="BX435" s="74" t="str">
        <f aca="false">IF($BL435&lt;&gt;Constants!$B$4,"",IF(NOT($AL435),0,Constants!$B$31*INT(ROUND(MAX(0,MIN($BJ435,2*$AH$9)-$AH$9),6))))</f>
        <v/>
      </c>
      <c r="BY435" s="74" t="str">
        <f aca="false">IF($BL435&lt;&gt;Constants!$B$4,"",Constants!$B$32*(($AN435&gt;Constants!$B$26)+($AO435&gt;Constants!$B$26)+($AP435&gt;Constants!$B$26)))</f>
        <v/>
      </c>
      <c r="BZ435" s="74" t="str">
        <f aca="false">IF($BL435&lt;&gt;Constants!$B$4,"",IF(OR(NOT($AL435),$AQ435),0,Constants!$B$33))</f>
        <v/>
      </c>
      <c r="CA435" s="74" t="str">
        <f aca="false">IF($BL435&lt;&gt;Constants!$B$4,"",Constants!$B$34*$BN435)</f>
        <v/>
      </c>
      <c r="CB435" s="74" t="str">
        <f aca="false">IF($BL435&lt;&gt;Constants!$B$4,"",IF(OR(NOT($AL435),$BH435),0,Constants!$B$36))</f>
        <v/>
      </c>
      <c r="CC435" s="74" t="str">
        <f aca="false">IF($BL435&lt;&gt;Constants!$B$4,"",IF(OR(NOT($AL435),$BG435),0,Constants!$B$37))</f>
        <v/>
      </c>
      <c r="CD435" s="74" t="str">
        <f aca="false">IF($BL435&lt;&gt;Constants!$B$4,"",SUM($BX435:$CC435))</f>
        <v/>
      </c>
      <c r="CE435" s="74" t="str">
        <f aca="false">IF(ISBLANK($C435),"",IF($BL435&lt;&gt;Constants!$B$4,$BL435,SUM($BO435:$BW435)-$CD435))</f>
        <v/>
      </c>
      <c r="CF435" s="74" t="str">
        <f aca="false">IF(ISBLANK($C435),"",IF($BL435&lt;&gt;Constants!$B$4,$BL435,RANK($CE435,$CE$9:$CE$508)))</f>
        <v/>
      </c>
      <c r="CG435" s="74" t="str">
        <f aca="false">IF(ISBLANK($C435),"",IF($BL435&lt;&gt;Constants!$B$4,$BL435,COUNTIFS($BM$9:$BM$508,"&lt;"&amp;$BM435)+COUNTIFS($BM$9:$BM$508,$BM435,$CF$9:$CF$508,"&lt;"&amp;$CF435)+1))</f>
        <v/>
      </c>
      <c r="CH435" s="74" t="str">
        <f aca="false">IF(ISBLANK($C435),"",IF($BL435&lt;&gt;Constants!$B$4,$BL435,RANK($CD435,$CD$9:$CD$508,1)))</f>
        <v/>
      </c>
      <c r="CI435" s="74" t="str">
        <f aca="false">IF($BL435&lt;&gt;Constants!$B$4,"",$AN435+$AO435+$AP435)</f>
        <v/>
      </c>
      <c r="CJ435" s="74" t="str">
        <f aca="false">IF(ISBLANK($C435),"",IF($BL435&lt;&gt;Constants!$B$4,$BL435,RANK($CI435,$CI$9:$CI$508,1)))</f>
        <v/>
      </c>
      <c r="CK435" s="74" t="str">
        <f aca="false">IF(ISBLANK($C435),"",IF($BL435&lt;&gt;Constants!$B$4,$BL435,COUNTIFS($BM$9:$BM$508,"&lt;"&amp;$BM435)+COUNTIFS($BM$9:$BM$508,$BM435,$CF$9:$CF$508,"&lt;"&amp;$CF435)+COUNTIFS($BM$9:$BM$508,$BM435,$CF$9:$CF$508,$CF435,$CH$9:$CH$508,"&lt;"&amp;$CH435)+COUNTIFS($BM$9:$BM$508,$BM435,$CF$9:$CF$508,$CF435,$CH$9:$CH$508,$CH435,$CJ$9:$CJ$508,"&lt;"&amp;$CJ435)+1))</f>
        <v/>
      </c>
      <c r="CL435" s="74" t="str">
        <f aca="false">IF(ISBLANK($C435),"",IF($BL435&lt;&gt;Constants!$B$4,$BL435,$CG435-$CK435))</f>
        <v/>
      </c>
      <c r="CM435" s="74" t="str">
        <f aca="false">IF(ISBLANK($C435),"",IF(NOT($AL435),"",IF(ISBLANK($D$7),$CM$5,IF(NOT(ISNUMBER($D$7)),$CM$6,""))))</f>
        <v/>
      </c>
      <c r="CN435" s="74" t="str">
        <f aca="false">IF(ISBLANK($C435),"",OR($AN435="",$AO435="",$AP435=""))</f>
        <v/>
      </c>
      <c r="CO435" s="74" t="str">
        <f aca="false">IF(ISBLANK($C435),"",AND($AL435,$BA435=""))</f>
        <v/>
      </c>
      <c r="CP435" s="74" t="str">
        <f aca="false">IF(ISBLANK($C435),"",AND($AL435,$BB435=""))</f>
        <v/>
      </c>
      <c r="CQ435" s="74" t="str">
        <f aca="false">IF(ISBLANK($C435),"",AND($AL435,$BC435=""))</f>
        <v/>
      </c>
      <c r="CR435" s="74" t="str">
        <f aca="false">IF(ISBLANK($C435),"",AND($AL435,$BF435=""))</f>
        <v/>
      </c>
      <c r="CS435" s="74" t="str">
        <f aca="false">IF(ISBLANK($C435),"",AND($AL435,$BJ435=""))</f>
        <v/>
      </c>
      <c r="CT435" s="75"/>
      <c r="CU435" s="76"/>
      <c r="CV435" s="79" t="str">
        <f aca="false">IF(ISBLANK($C435),"",IF($BL435=Constants!$B$8,$CM435,""))</f>
        <v/>
      </c>
      <c r="CW435" s="76" t="str">
        <f aca="false">IF(ISBLANK($C435),"",IF($BL435&lt;&gt;Constants!$B$4,"",$BO435+$BP435))</f>
        <v/>
      </c>
      <c r="CX435" s="78" t="str">
        <f aca="false">IF(ISBLANK($C435),"",IF($BL435&lt;&gt;Constants!$B$4,"",$BQ435+$BR435+$BS435))</f>
        <v/>
      </c>
      <c r="CY435" s="78" t="str">
        <f aca="false">IF(ISBLANK($C435),"",IF($BL435&lt;&gt;Constants!$B$4,"",$BT435))</f>
        <v/>
      </c>
      <c r="CZ435" s="78" t="str">
        <f aca="false">IF(ISBLANK($C435),"",IF($BL435&lt;&gt;Constants!$B$4,"",$BU435+$BV435))</f>
        <v/>
      </c>
      <c r="DA435" s="78" t="str">
        <f aca="false">IF(ISBLANK($C435),"",IF($BL435&lt;&gt;Constants!$B$4,"",$BW435))</f>
        <v/>
      </c>
      <c r="DB435" s="78" t="str">
        <f aca="false">IF(ISBLANK($C435),"",IF($BL435&lt;&gt;Constants!$B$4,"",-$CD435))</f>
        <v/>
      </c>
      <c r="DC435" s="79" t="str">
        <f aca="false">IF(ISBLANK($C435),"",$CE435)</f>
        <v/>
      </c>
      <c r="DD435" s="80" t="str">
        <f aca="false">IF(ISBLANK($C435),"",$BM435)</f>
        <v/>
      </c>
      <c r="DE435" s="78" t="str">
        <f aca="false">IF(ISBLANK($C435),"",$CL435)</f>
        <v/>
      </c>
      <c r="DF435" s="78" t="str">
        <f aca="false">IF(ISBLANK($C435),"",$CK435)</f>
        <v/>
      </c>
      <c r="DG435" s="81" t="str">
        <f aca="false">IF(ISBLANK($C435),"",IF($DF435=Constants!$B$7,COUNTA($C$9:$C$508)+2,IF($DF435=Constants!$B$6,COUNTA($C$9:$C$508)+1,IF($DF435=Constants!$B$5,COUNTA($C$9:$C$508),$DF435))))</f>
        <v/>
      </c>
      <c r="DH435" s="7"/>
      <c r="DI435" s="82" t="n">
        <f aca="false">IF(OR(ISNUMBER($DF435),$DF435=Constants!$B$7,$DF435=Constants!$B$5,$DF435=Constants!$B$6),1,0)</f>
        <v>0</v>
      </c>
      <c r="DJ435" s="82" t="n">
        <v>427</v>
      </c>
      <c r="DK435" s="82" t="str">
        <f aca="false">IF(ISBLANK($C435),"",IF(ISNUMBER($DG435),$DG435+ROW($B435)/1000,""))</f>
        <v/>
      </c>
      <c r="DL435" s="82" t="str">
        <f aca="false">IF(ISNUMBER($DK435),RANK($DK435,$DK$9:$DK$508,1),"")</f>
        <v/>
      </c>
      <c r="DM435" s="82" t="str">
        <f aca="false">IF(ISBLANK($C435),"",$B435)</f>
        <v/>
      </c>
      <c r="DN435" s="82" t="str">
        <f aca="false">IF(ISBLANK($C435),"",$C435)</f>
        <v/>
      </c>
      <c r="DO435" s="82" t="str">
        <f aca="false">IF(ISBLANK($C435),"",$D435)</f>
        <v/>
      </c>
      <c r="DP435" s="83" t="str">
        <f aca="false">$DD435</f>
        <v/>
      </c>
      <c r="DQ435" s="84" t="str">
        <f aca="false">$DC435</f>
        <v/>
      </c>
      <c r="DR435" s="82" t="str">
        <f aca="false">IF(ISBLANK($C435),"",$DF435)</f>
        <v/>
      </c>
      <c r="DS435" s="85" t="str">
        <f aca="false">IF($DJ435&gt;$DI$8,"",VLOOKUP($DJ435,$DL$9:$DR$508,7,FALSE()))</f>
        <v/>
      </c>
      <c r="DT435" s="86" t="str">
        <f aca="false">IF($DJ435&gt;$DI$8,"",VLOOKUP($DJ435,$DL$9:$DR$508,2,FALSE()))</f>
        <v/>
      </c>
      <c r="DU435" s="86" t="str">
        <f aca="false">IF($DJ435&gt;$DI$8,"",VLOOKUP($DJ435,$DL$9:$DR$508,3,FALSE()))</f>
        <v/>
      </c>
      <c r="DV435" s="86" t="str">
        <f aca="false">IF($DJ435&gt;$DI$8,"",VLOOKUP($DJ435,$DL$9:$DR$508,4,FALSE()))</f>
        <v/>
      </c>
      <c r="DW435" s="86" t="str">
        <f aca="false">IF($DJ435&gt;$DI$8,"",VLOOKUP($DJ435,$DL$9:$DR$508,5,FALSE()))</f>
        <v/>
      </c>
      <c r="DX435" s="87" t="str">
        <f aca="false">IF($DJ435&gt;$DI$8,"",VLOOKUP($DJ435,$DL$9:$DR$508,6,FALSE()))</f>
        <v/>
      </c>
      <c r="DY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88"/>
      <c r="N436" s="88"/>
      <c r="O436" s="134"/>
      <c r="P436" s="134"/>
      <c r="Q436" s="88"/>
      <c r="R436" s="88"/>
      <c r="S436" s="88"/>
      <c r="T436" s="88"/>
      <c r="U436" s="134"/>
      <c r="V436" s="88"/>
      <c r="W436" s="70"/>
      <c r="X436" s="88"/>
      <c r="Y436" s="88"/>
      <c r="Z436" s="70"/>
      <c r="AA436" s="70"/>
      <c r="AB436" s="88"/>
      <c r="AC436" s="88"/>
      <c r="AD436" s="88"/>
      <c r="AE436" s="71"/>
      <c r="AF436" s="88"/>
      <c r="AG436" s="73"/>
      <c r="AH436" s="74"/>
      <c r="AI436" s="74"/>
      <c r="AJ436" s="74" t="str">
        <f aca="false">IF(ISBLANK($C436),"",IF($E436=Constants!$B$2,TRUE(),IF($E436=Constants!$B$3,FALSE(),TRUE())))</f>
        <v/>
      </c>
      <c r="AK436" s="74" t="str">
        <f aca="false">IF(ISBLANK($C436),"",IF($F436=Constants!$B$2,TRUE(),IF($F436=Constants!$B$3,FALSE(),FALSE())))</f>
        <v/>
      </c>
      <c r="AL436" s="74" t="str">
        <f aca="false">IF(ISBLANK($C436),"",IF($G436=Constants!$B$2,TRUE(),IF($G436=Constants!$B$3,FALSE(),TRUE())))</f>
        <v/>
      </c>
      <c r="AM436" s="74" t="str">
        <f aca="false">IF(ISBLANK($C436),"",IF($H436=Constants!$B$2,TRUE(),IF($H436=Constants!$B$3,FALSE(),TRUE())))</f>
        <v/>
      </c>
      <c r="AN436" s="74" t="str">
        <f aca="false">IF(ISBLANK($C436),"",IF(ISNUMBER($I436),IF($I436&gt;=0,$I436,""),""))</f>
        <v/>
      </c>
      <c r="AO436" s="74" t="str">
        <f aca="false">IF(ISBLANK($C436),"",IF(ISNUMBER($J436),IF($J436&gt;=0,$J436,""),""))</f>
        <v/>
      </c>
      <c r="AP436" s="74" t="str">
        <f aca="false">IF(ISBLANK($C436),"",IF(ISNUMBER($K436),IF($K436&gt;=0,$K436,""),""))</f>
        <v/>
      </c>
      <c r="AQ436" s="74" t="str">
        <f aca="false">IF(ISBLANK($C436),"",IF($L436=Constants!$B$2,TRUE(),IF($L436=Constants!$B$3,FALSE(),TRUE())))</f>
        <v/>
      </c>
      <c r="AR436" s="74" t="str">
        <f aca="false">IF(ISBLANK($C436),"",IF($M436=Constants!$B$2,TRUE(),IF($M436=Constants!$B$3,FALSE(),TRUE())))</f>
        <v/>
      </c>
      <c r="AS436" s="74" t="str">
        <f aca="false">IF(ISBLANK($C436),"",IF($N436=Constants!$B$2,TRUE(),IF($N436=Constants!$B$3,FALSE(),FALSE())))</f>
        <v/>
      </c>
      <c r="AT436" s="74" t="str">
        <f aca="false">IF(ISBLANK($C436),"",IF($O436=Constants!$B$2,TRUE(),IF($O436=Constants!$B$3,FALSE(),TRUE())))</f>
        <v/>
      </c>
      <c r="AU436" s="74" t="str">
        <f aca="false">IF(ISBLANK($C436),"",IF($P436=Constants!$B$2,TRUE(),IF($P436=Constants!$B$3,FALSE(),TRUE())))</f>
        <v/>
      </c>
      <c r="AV436" s="74" t="str">
        <f aca="false">IF(ISBLANK($C436),"",IF($Q436=Constants!$B$2,TRUE(),IF($Q436=Constants!$B$3,FALSE(),FALSE())))</f>
        <v/>
      </c>
      <c r="AW436" s="74" t="str">
        <f aca="false">IF(ISBLANK($C436),"",IF($R436=Constants!$B$2,TRUE(),IF($R436=Constants!$B$3,FALSE(),FALSE())))</f>
        <v/>
      </c>
      <c r="AX436" s="74" t="str">
        <f aca="false">IF(ISBLANK($C436),"",IF($S436=Constants!$B$2,TRUE(),IF($S436=Constants!$B$3,FALSE(),FALSE())))</f>
        <v/>
      </c>
      <c r="AY436" s="74" t="str">
        <f aca="false">IF(ISBLANK($C436),"",IF($T436=Constants!$B$2,TRUE(),IF($T436=Constants!$B$3,FALSE(),FALSE())))</f>
        <v/>
      </c>
      <c r="AZ436" s="74" t="str">
        <f aca="false">IF(ISBLANK($C436),"",IF($U436=Constants!$B$2,TRUE(),IF($U436=Constants!$B$3,FALSE(),FALSE())))</f>
        <v/>
      </c>
      <c r="BA436" s="74" t="str">
        <f aca="false">IF(ISBLANK($C436),"",IF(OR($V436&amp;""="1",$V436&amp;""="2",$V436&amp;""="3",$V436&amp;""="4"),VALUE($V436&amp;""),IF($V436=Constants!$B$12,Constants!$B$12,"")))</f>
        <v/>
      </c>
      <c r="BB436" s="74" t="str">
        <f aca="false">IF(ISBLANK($C436),"",IF(ISBLANK($W436),0,IF(ISNUMBER($W436),IF(AND($W436&gt;=0,$W436&lt;=Constants!$B$21,$W436=INT($W436)),$W436,""),"")))</f>
        <v/>
      </c>
      <c r="BC436" s="74" t="str">
        <f aca="false">IF(ISBLANK($C436),"",IF(ISBLANK($X436),0,IF(ISNUMBER($X436),IF($X436&gt;=0,$X436,""),"")))</f>
        <v/>
      </c>
      <c r="BD436" s="74" t="str">
        <f aca="false">IF(ISBLANK($C436),"",IF($Y436=Constants!$B$2,TRUE(),IF($Y436=Constants!$B$3,FALSE(),TRUE())))</f>
        <v/>
      </c>
      <c r="BE436" s="74" t="str">
        <f aca="false">IF(ISBLANK($C436),"",IF($Z436=Constants!$B$2,TRUE(),IF($Z436=Constants!$B$3,FALSE(),FALSE())))</f>
        <v/>
      </c>
      <c r="BF436" s="74" t="str">
        <f aca="false">IF(ISBLANK($C436),"",IF(ISBLANK($AA436),0,IF(ISNUMBER($AA436),IF(AND($AA436&gt;=0,$AA436&lt;=Constants!$B$35,$AA436=INT($AA436)),$AA436,""),"")))</f>
        <v/>
      </c>
      <c r="BG436" s="74" t="str">
        <f aca="false">IF(ISBLANK($C436),"",IF($AB436=Constants!$B$2,TRUE(),IF($AB436=Constants!$B$3,FALSE(),TRUE())))</f>
        <v/>
      </c>
      <c r="BH436" s="74" t="str">
        <f aca="false">IF(ISBLANK($C436),"",IF($AC436=Constants!$B$2,TRUE(),IF($AC436=Constants!$B$3,FALSE(),TRUE())))</f>
        <v/>
      </c>
      <c r="BI436" s="74" t="str">
        <f aca="false">IF(ISBLANK($C436),"",IF($AD436=Constants!$B$2,TRUE(),IF($AD436=Constants!$B$3,FALSE(),TRUE())))</f>
        <v/>
      </c>
      <c r="BJ436" s="74" t="str">
        <f aca="false">IF(ISBLANK($C436),"",IF(ISNUMBER($AE436),IF($AE436&gt;=0,$AE436,""),""))</f>
        <v/>
      </c>
      <c r="BK436" s="74" t="str">
        <f aca="false">IF(ISBLANK($C436),"",IF($AF436=Constants!$B$2,TRUE(),IF($AF436=Constants!$B$3,FALSE(),FALSE())))</f>
        <v/>
      </c>
      <c r="BL436" s="73" t="str">
        <f aca="false">IF(ISBLANK($C436),"",IF($BK436,Constants!$B$7,IF(COUNTA($E436:$AE436)=0,Constants!$B$6,IF(OR(COUNTA($G436:$AE436)=0,NOT($AM436),$AS436),Constants!$B$5,IF(OR($CM436&lt;&gt;"",$CN436,$CO436,$CP436,$CQ436,$CR436,$CS436),Constants!$B$8,Constants!$B$4)))))</f>
        <v/>
      </c>
      <c r="BM436" s="74" t="str">
        <f aca="false">IF(ISBLANK($C436),"",IF($BL436&lt;&gt;Constants!$B$4,$BL436,IF(OR(NOT($AJ436),NOT($AL436),NOT($AT436)),Constants!$B$11,IF(OR(NOT($AR436),NOT($AU436),NOT($BI436),MAX($AN436,$AO436,$AP436)&gt;Constants!$B$30),Constants!$B$10,Constants!$B$9))))</f>
        <v/>
      </c>
      <c r="BN436" s="74" t="str">
        <f aca="false">IF($BL436&lt;&gt;Constants!$B$4,"",IF(NOT($AL436),0,MIN(Constants!$B$35,$BF436)))</f>
        <v/>
      </c>
      <c r="BO436" s="74" t="str">
        <f aca="false">IF($BL436&lt;&gt;Constants!$B$4,"",IF(NOT($AL436),0,IF($AW436,Constants!$B$18,IF($AV436,Constants!$B$17,0))))</f>
        <v/>
      </c>
      <c r="BP436" s="74" t="str">
        <f aca="false">IF($BL436&lt;&gt;Constants!$B$4,"",IF(NOT($AL436),0,Constants!$B$19*($AK436+$AX436+$AY436+$AZ436)))</f>
        <v/>
      </c>
      <c r="BQ436" s="74" t="str">
        <f aca="false">IF($BL436&lt;&gt;Constants!$B$4,"",IF(OR(NOT($AL436),NOT(ISNUMBER($BA436))),0,CHOOSE($BA436,Constants!$B$13,Constants!$B$14,Constants!$B$15,Constants!$B$16)))</f>
        <v/>
      </c>
      <c r="BR436" s="74" t="str">
        <f aca="false">IF($BL436&lt;&gt;Constants!$B$4,"",IF(NOT($AL436),0,Constants!$B$20*$BB436))</f>
        <v/>
      </c>
      <c r="BS436" s="74" t="str">
        <f aca="false">IF($BL436&lt;&gt;Constants!$B$4,"",IF(AND($AL436,$BD436,$BE436),Constants!$B$22,0))</f>
        <v/>
      </c>
      <c r="BT436" s="74" t="str">
        <f aca="false">IF($BL436&lt;&gt;Constants!$B$4,"",IF(OR(NOT($AL436),NOT($BD436)),0,IF($BJ436&gt;=2*$AH$9,0,Constants!$B$23*INT(ROUND(MIN($BJ436,$AH$9),6)))))</f>
        <v/>
      </c>
      <c r="BU436" s="74" t="str">
        <f aca="false">IF($BL436&lt;&gt;Constants!$B$4,"",IF(NOT($AL436),0,Constants!$B$24*INT(ROUND(MIN($BC436,$AH$9),6))))</f>
        <v/>
      </c>
      <c r="BV436" s="74" t="str">
        <f aca="false">IF($BL436&lt;&gt;Constants!$B$4,"",IF(AND($AL436,$BN436=0),Constants!$B$25,0))</f>
        <v/>
      </c>
      <c r="BW436" s="74" t="str">
        <f aca="false">IF($BL436&lt;&gt;Constants!$B$4,"",MIN(Constants!$B$29,MAX(0,Constants!$B$27*Constants!$B$28*INT(ROUND((Constants!$B$26-$AN436)/Constants!$B$28,6))))+MIN(Constants!$B$29,MAX(0,Constants!$B$27*Constants!$B$28*INT(ROUND((Constants!$B$26-$AO436)/Constants!$B$28,6))))+MIN(Constants!$B$29,MAX(0,Constants!$B$27*Constants!$B$28*INT(ROUND((Constants!$B$26-$AP436)/Constants!$B$28,6)))))</f>
        <v/>
      </c>
      <c r="BX436" s="74" t="str">
        <f aca="false">IF($BL436&lt;&gt;Constants!$B$4,"",IF(NOT($AL436),0,Constants!$B$31*INT(ROUND(MAX(0,MIN($BJ436,2*$AH$9)-$AH$9),6))))</f>
        <v/>
      </c>
      <c r="BY436" s="74" t="str">
        <f aca="false">IF($BL436&lt;&gt;Constants!$B$4,"",Constants!$B$32*(($AN436&gt;Constants!$B$26)+($AO436&gt;Constants!$B$26)+($AP436&gt;Constants!$B$26)))</f>
        <v/>
      </c>
      <c r="BZ436" s="74" t="str">
        <f aca="false">IF($BL436&lt;&gt;Constants!$B$4,"",IF(OR(NOT($AL436),$AQ436),0,Constants!$B$33))</f>
        <v/>
      </c>
      <c r="CA436" s="74" t="str">
        <f aca="false">IF($BL436&lt;&gt;Constants!$B$4,"",Constants!$B$34*$BN436)</f>
        <v/>
      </c>
      <c r="CB436" s="74" t="str">
        <f aca="false">IF($BL436&lt;&gt;Constants!$B$4,"",IF(OR(NOT($AL436),$BH436),0,Constants!$B$36))</f>
        <v/>
      </c>
      <c r="CC436" s="74" t="str">
        <f aca="false">IF($BL436&lt;&gt;Constants!$B$4,"",IF(OR(NOT($AL436),$BG436),0,Constants!$B$37))</f>
        <v/>
      </c>
      <c r="CD436" s="74" t="str">
        <f aca="false">IF($BL436&lt;&gt;Constants!$B$4,"",SUM($BX436:$CC436))</f>
        <v/>
      </c>
      <c r="CE436" s="74" t="str">
        <f aca="false">IF(ISBLANK($C436),"",IF($BL436&lt;&gt;Constants!$B$4,$BL436,SUM($BO436:$BW436)-$CD436))</f>
        <v/>
      </c>
      <c r="CF436" s="74" t="str">
        <f aca="false">IF(ISBLANK($C436),"",IF($BL436&lt;&gt;Constants!$B$4,$BL436,RANK($CE436,$CE$9:$CE$508)))</f>
        <v/>
      </c>
      <c r="CG436" s="74" t="str">
        <f aca="false">IF(ISBLANK($C436),"",IF($BL436&lt;&gt;Constants!$B$4,$BL436,COUNTIFS($BM$9:$BM$508,"&lt;"&amp;$BM436)+COUNTIFS($BM$9:$BM$508,$BM436,$CF$9:$CF$508,"&lt;"&amp;$CF436)+1))</f>
        <v/>
      </c>
      <c r="CH436" s="74" t="str">
        <f aca="false">IF(ISBLANK($C436),"",IF($BL436&lt;&gt;Constants!$B$4,$BL436,RANK($CD436,$CD$9:$CD$508,1)))</f>
        <v/>
      </c>
      <c r="CI436" s="74" t="str">
        <f aca="false">IF($BL436&lt;&gt;Constants!$B$4,"",$AN436+$AO436+$AP436)</f>
        <v/>
      </c>
      <c r="CJ436" s="74" t="str">
        <f aca="false">IF(ISBLANK($C436),"",IF($BL436&lt;&gt;Constants!$B$4,$BL436,RANK($CI436,$CI$9:$CI$508,1)))</f>
        <v/>
      </c>
      <c r="CK436" s="74" t="str">
        <f aca="false">IF(ISBLANK($C436),"",IF($BL436&lt;&gt;Constants!$B$4,$BL436,COUNTIFS($BM$9:$BM$508,"&lt;"&amp;$BM436)+COUNTIFS($BM$9:$BM$508,$BM436,$CF$9:$CF$508,"&lt;"&amp;$CF436)+COUNTIFS($BM$9:$BM$508,$BM436,$CF$9:$CF$508,$CF436,$CH$9:$CH$508,"&lt;"&amp;$CH436)+COUNTIFS($BM$9:$BM$508,$BM436,$CF$9:$CF$508,$CF436,$CH$9:$CH$508,$CH436,$CJ$9:$CJ$508,"&lt;"&amp;$CJ436)+1))</f>
        <v/>
      </c>
      <c r="CL436" s="74" t="str">
        <f aca="false">IF(ISBLANK($C436),"",IF($BL436&lt;&gt;Constants!$B$4,$BL436,$CG436-$CK436))</f>
        <v/>
      </c>
      <c r="CM436" s="74" t="str">
        <f aca="false">IF(ISBLANK($C436),"",IF(NOT($AL436),"",IF(ISBLANK($D$7),$CM$5,IF(NOT(ISNUMBER($D$7)),$CM$6,""))))</f>
        <v/>
      </c>
      <c r="CN436" s="74" t="str">
        <f aca="false">IF(ISBLANK($C436),"",OR($AN436="",$AO436="",$AP436=""))</f>
        <v/>
      </c>
      <c r="CO436" s="74" t="str">
        <f aca="false">IF(ISBLANK($C436),"",AND($AL436,$BA436=""))</f>
        <v/>
      </c>
      <c r="CP436" s="74" t="str">
        <f aca="false">IF(ISBLANK($C436),"",AND($AL436,$BB436=""))</f>
        <v/>
      </c>
      <c r="CQ436" s="74" t="str">
        <f aca="false">IF(ISBLANK($C436),"",AND($AL436,$BC436=""))</f>
        <v/>
      </c>
      <c r="CR436" s="74" t="str">
        <f aca="false">IF(ISBLANK($C436),"",AND($AL436,$BF436=""))</f>
        <v/>
      </c>
      <c r="CS436" s="74" t="str">
        <f aca="false">IF(ISBLANK($C436),"",AND($AL436,$BJ436=""))</f>
        <v/>
      </c>
      <c r="CT436" s="75"/>
      <c r="CU436" s="76"/>
      <c r="CV436" s="79" t="str">
        <f aca="false">IF(ISBLANK($C436),"",IF($BL436=Constants!$B$8,$CM436,""))</f>
        <v/>
      </c>
      <c r="CW436" s="76" t="str">
        <f aca="false">IF(ISBLANK($C436),"",IF($BL436&lt;&gt;Constants!$B$4,"",$BO436+$BP436))</f>
        <v/>
      </c>
      <c r="CX436" s="78" t="str">
        <f aca="false">IF(ISBLANK($C436),"",IF($BL436&lt;&gt;Constants!$B$4,"",$BQ436+$BR436+$BS436))</f>
        <v/>
      </c>
      <c r="CY436" s="78" t="str">
        <f aca="false">IF(ISBLANK($C436),"",IF($BL436&lt;&gt;Constants!$B$4,"",$BT436))</f>
        <v/>
      </c>
      <c r="CZ436" s="78" t="str">
        <f aca="false">IF(ISBLANK($C436),"",IF($BL436&lt;&gt;Constants!$B$4,"",$BU436+$BV436))</f>
        <v/>
      </c>
      <c r="DA436" s="78" t="str">
        <f aca="false">IF(ISBLANK($C436),"",IF($BL436&lt;&gt;Constants!$B$4,"",$BW436))</f>
        <v/>
      </c>
      <c r="DB436" s="78" t="str">
        <f aca="false">IF(ISBLANK($C436),"",IF($BL436&lt;&gt;Constants!$B$4,"",-$CD436))</f>
        <v/>
      </c>
      <c r="DC436" s="79" t="str">
        <f aca="false">IF(ISBLANK($C436),"",$CE436)</f>
        <v/>
      </c>
      <c r="DD436" s="80" t="str">
        <f aca="false">IF(ISBLANK($C436),"",$BM436)</f>
        <v/>
      </c>
      <c r="DE436" s="78" t="str">
        <f aca="false">IF(ISBLANK($C436),"",$CL436)</f>
        <v/>
      </c>
      <c r="DF436" s="78" t="str">
        <f aca="false">IF(ISBLANK($C436),"",$CK436)</f>
        <v/>
      </c>
      <c r="DG436" s="81" t="str">
        <f aca="false">IF(ISBLANK($C436),"",IF($DF436=Constants!$B$7,COUNTA($C$9:$C$508)+2,IF($DF436=Constants!$B$6,COUNTA($C$9:$C$508)+1,IF($DF436=Constants!$B$5,COUNTA($C$9:$C$508),$DF436))))</f>
        <v/>
      </c>
      <c r="DH436" s="7"/>
      <c r="DI436" s="82" t="n">
        <f aca="false">IF(OR(ISNUMBER($DF436),$DF436=Constants!$B$7,$DF436=Constants!$B$5,$DF436=Constants!$B$6),1,0)</f>
        <v>0</v>
      </c>
      <c r="DJ436" s="82" t="n">
        <v>428</v>
      </c>
      <c r="DK436" s="82" t="str">
        <f aca="false">IF(ISBLANK($C436),"",IF(ISNUMBER($DG436),$DG436+ROW($B436)/1000,""))</f>
        <v/>
      </c>
      <c r="DL436" s="82" t="str">
        <f aca="false">IF(ISNUMBER($DK436),RANK($DK436,$DK$9:$DK$508,1),"")</f>
        <v/>
      </c>
      <c r="DM436" s="82" t="str">
        <f aca="false">IF(ISBLANK($C436),"",$B436)</f>
        <v/>
      </c>
      <c r="DN436" s="82" t="str">
        <f aca="false">IF(ISBLANK($C436),"",$C436)</f>
        <v/>
      </c>
      <c r="DO436" s="82" t="str">
        <f aca="false">IF(ISBLANK($C436),"",$D436)</f>
        <v/>
      </c>
      <c r="DP436" s="83" t="str">
        <f aca="false">$DD436</f>
        <v/>
      </c>
      <c r="DQ436" s="84" t="str">
        <f aca="false">$DC436</f>
        <v/>
      </c>
      <c r="DR436" s="82" t="str">
        <f aca="false">IF(ISBLANK($C436),"",$DF436)</f>
        <v/>
      </c>
      <c r="DS436" s="85" t="str">
        <f aca="false">IF($DJ436&gt;$DI$8,"",VLOOKUP($DJ436,$DL$9:$DR$508,7,FALSE()))</f>
        <v/>
      </c>
      <c r="DT436" s="86" t="str">
        <f aca="false">IF($DJ436&gt;$DI$8,"",VLOOKUP($DJ436,$DL$9:$DR$508,2,FALSE()))</f>
        <v/>
      </c>
      <c r="DU436" s="86" t="str">
        <f aca="false">IF($DJ436&gt;$DI$8,"",VLOOKUP($DJ436,$DL$9:$DR$508,3,FALSE()))</f>
        <v/>
      </c>
      <c r="DV436" s="86" t="str">
        <f aca="false">IF($DJ436&gt;$DI$8,"",VLOOKUP($DJ436,$DL$9:$DR$508,4,FALSE()))</f>
        <v/>
      </c>
      <c r="DW436" s="86" t="str">
        <f aca="false">IF($DJ436&gt;$DI$8,"",VLOOKUP($DJ436,$DL$9:$DR$508,5,FALSE()))</f>
        <v/>
      </c>
      <c r="DX436" s="87" t="str">
        <f aca="false">IF($DJ436&gt;$DI$8,"",VLOOKUP($DJ436,$DL$9:$DR$508,6,FALSE()))</f>
        <v/>
      </c>
      <c r="DY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88"/>
      <c r="N437" s="88"/>
      <c r="O437" s="134"/>
      <c r="P437" s="134"/>
      <c r="Q437" s="88"/>
      <c r="R437" s="88"/>
      <c r="S437" s="88"/>
      <c r="T437" s="88"/>
      <c r="U437" s="134"/>
      <c r="V437" s="88"/>
      <c r="W437" s="70"/>
      <c r="X437" s="88"/>
      <c r="Y437" s="88"/>
      <c r="Z437" s="70"/>
      <c r="AA437" s="70"/>
      <c r="AB437" s="88"/>
      <c r="AC437" s="88"/>
      <c r="AD437" s="88"/>
      <c r="AE437" s="71"/>
      <c r="AF437" s="88"/>
      <c r="AG437" s="73"/>
      <c r="AH437" s="74"/>
      <c r="AI437" s="74"/>
      <c r="AJ437" s="74" t="str">
        <f aca="false">IF(ISBLANK($C437),"",IF($E437=Constants!$B$2,TRUE(),IF($E437=Constants!$B$3,FALSE(),TRUE())))</f>
        <v/>
      </c>
      <c r="AK437" s="74" t="str">
        <f aca="false">IF(ISBLANK($C437),"",IF($F437=Constants!$B$2,TRUE(),IF($F437=Constants!$B$3,FALSE(),FALSE())))</f>
        <v/>
      </c>
      <c r="AL437" s="74" t="str">
        <f aca="false">IF(ISBLANK($C437),"",IF($G437=Constants!$B$2,TRUE(),IF($G437=Constants!$B$3,FALSE(),TRUE())))</f>
        <v/>
      </c>
      <c r="AM437" s="74" t="str">
        <f aca="false">IF(ISBLANK($C437),"",IF($H437=Constants!$B$2,TRUE(),IF($H437=Constants!$B$3,FALSE(),TRUE())))</f>
        <v/>
      </c>
      <c r="AN437" s="74" t="str">
        <f aca="false">IF(ISBLANK($C437),"",IF(ISNUMBER($I437),IF($I437&gt;=0,$I437,""),""))</f>
        <v/>
      </c>
      <c r="AO437" s="74" t="str">
        <f aca="false">IF(ISBLANK($C437),"",IF(ISNUMBER($J437),IF($J437&gt;=0,$J437,""),""))</f>
        <v/>
      </c>
      <c r="AP437" s="74" t="str">
        <f aca="false">IF(ISBLANK($C437),"",IF(ISNUMBER($K437),IF($K437&gt;=0,$K437,""),""))</f>
        <v/>
      </c>
      <c r="AQ437" s="74" t="str">
        <f aca="false">IF(ISBLANK($C437),"",IF($L437=Constants!$B$2,TRUE(),IF($L437=Constants!$B$3,FALSE(),TRUE())))</f>
        <v/>
      </c>
      <c r="AR437" s="74" t="str">
        <f aca="false">IF(ISBLANK($C437),"",IF($M437=Constants!$B$2,TRUE(),IF($M437=Constants!$B$3,FALSE(),TRUE())))</f>
        <v/>
      </c>
      <c r="AS437" s="74" t="str">
        <f aca="false">IF(ISBLANK($C437),"",IF($N437=Constants!$B$2,TRUE(),IF($N437=Constants!$B$3,FALSE(),FALSE())))</f>
        <v/>
      </c>
      <c r="AT437" s="74" t="str">
        <f aca="false">IF(ISBLANK($C437),"",IF($O437=Constants!$B$2,TRUE(),IF($O437=Constants!$B$3,FALSE(),TRUE())))</f>
        <v/>
      </c>
      <c r="AU437" s="74" t="str">
        <f aca="false">IF(ISBLANK($C437),"",IF($P437=Constants!$B$2,TRUE(),IF($P437=Constants!$B$3,FALSE(),TRUE())))</f>
        <v/>
      </c>
      <c r="AV437" s="74" t="str">
        <f aca="false">IF(ISBLANK($C437),"",IF($Q437=Constants!$B$2,TRUE(),IF($Q437=Constants!$B$3,FALSE(),FALSE())))</f>
        <v/>
      </c>
      <c r="AW437" s="74" t="str">
        <f aca="false">IF(ISBLANK($C437),"",IF($R437=Constants!$B$2,TRUE(),IF($R437=Constants!$B$3,FALSE(),FALSE())))</f>
        <v/>
      </c>
      <c r="AX437" s="74" t="str">
        <f aca="false">IF(ISBLANK($C437),"",IF($S437=Constants!$B$2,TRUE(),IF($S437=Constants!$B$3,FALSE(),FALSE())))</f>
        <v/>
      </c>
      <c r="AY437" s="74" t="str">
        <f aca="false">IF(ISBLANK($C437),"",IF($T437=Constants!$B$2,TRUE(),IF($T437=Constants!$B$3,FALSE(),FALSE())))</f>
        <v/>
      </c>
      <c r="AZ437" s="74" t="str">
        <f aca="false">IF(ISBLANK($C437),"",IF($U437=Constants!$B$2,TRUE(),IF($U437=Constants!$B$3,FALSE(),FALSE())))</f>
        <v/>
      </c>
      <c r="BA437" s="74" t="str">
        <f aca="false">IF(ISBLANK($C437),"",IF(OR($V437&amp;""="1",$V437&amp;""="2",$V437&amp;""="3",$V437&amp;""="4"),VALUE($V437&amp;""),IF($V437=Constants!$B$12,Constants!$B$12,"")))</f>
        <v/>
      </c>
      <c r="BB437" s="74" t="str">
        <f aca="false">IF(ISBLANK($C437),"",IF(ISBLANK($W437),0,IF(ISNUMBER($W437),IF(AND($W437&gt;=0,$W437&lt;=Constants!$B$21,$W437=INT($W437)),$W437,""),"")))</f>
        <v/>
      </c>
      <c r="BC437" s="74" t="str">
        <f aca="false">IF(ISBLANK($C437),"",IF(ISBLANK($X437),0,IF(ISNUMBER($X437),IF($X437&gt;=0,$X437,""),"")))</f>
        <v/>
      </c>
      <c r="BD437" s="74" t="str">
        <f aca="false">IF(ISBLANK($C437),"",IF($Y437=Constants!$B$2,TRUE(),IF($Y437=Constants!$B$3,FALSE(),TRUE())))</f>
        <v/>
      </c>
      <c r="BE437" s="74" t="str">
        <f aca="false">IF(ISBLANK($C437),"",IF($Z437=Constants!$B$2,TRUE(),IF($Z437=Constants!$B$3,FALSE(),FALSE())))</f>
        <v/>
      </c>
      <c r="BF437" s="74" t="str">
        <f aca="false">IF(ISBLANK($C437),"",IF(ISBLANK($AA437),0,IF(ISNUMBER($AA437),IF(AND($AA437&gt;=0,$AA437&lt;=Constants!$B$35,$AA437=INT($AA437)),$AA437,""),"")))</f>
        <v/>
      </c>
      <c r="BG437" s="74" t="str">
        <f aca="false">IF(ISBLANK($C437),"",IF($AB437=Constants!$B$2,TRUE(),IF($AB437=Constants!$B$3,FALSE(),TRUE())))</f>
        <v/>
      </c>
      <c r="BH437" s="74" t="str">
        <f aca="false">IF(ISBLANK($C437),"",IF($AC437=Constants!$B$2,TRUE(),IF($AC437=Constants!$B$3,FALSE(),TRUE())))</f>
        <v/>
      </c>
      <c r="BI437" s="74" t="str">
        <f aca="false">IF(ISBLANK($C437),"",IF($AD437=Constants!$B$2,TRUE(),IF($AD437=Constants!$B$3,FALSE(),TRUE())))</f>
        <v/>
      </c>
      <c r="BJ437" s="74" t="str">
        <f aca="false">IF(ISBLANK($C437),"",IF(ISNUMBER($AE437),IF($AE437&gt;=0,$AE437,""),""))</f>
        <v/>
      </c>
      <c r="BK437" s="74" t="str">
        <f aca="false">IF(ISBLANK($C437),"",IF($AF437=Constants!$B$2,TRUE(),IF($AF437=Constants!$B$3,FALSE(),FALSE())))</f>
        <v/>
      </c>
      <c r="BL437" s="73" t="str">
        <f aca="false">IF(ISBLANK($C437),"",IF($BK437,Constants!$B$7,IF(COUNTA($E437:$AE437)=0,Constants!$B$6,IF(OR(COUNTA($G437:$AE437)=0,NOT($AM437),$AS437),Constants!$B$5,IF(OR($CM437&lt;&gt;"",$CN437,$CO437,$CP437,$CQ437,$CR437,$CS437),Constants!$B$8,Constants!$B$4)))))</f>
        <v/>
      </c>
      <c r="BM437" s="74" t="str">
        <f aca="false">IF(ISBLANK($C437),"",IF($BL437&lt;&gt;Constants!$B$4,$BL437,IF(OR(NOT($AJ437),NOT($AL437),NOT($AT437)),Constants!$B$11,IF(OR(NOT($AR437),NOT($AU437),NOT($BI437),MAX($AN437,$AO437,$AP437)&gt;Constants!$B$30),Constants!$B$10,Constants!$B$9))))</f>
        <v/>
      </c>
      <c r="BN437" s="74" t="str">
        <f aca="false">IF($BL437&lt;&gt;Constants!$B$4,"",IF(NOT($AL437),0,MIN(Constants!$B$35,$BF437)))</f>
        <v/>
      </c>
      <c r="BO437" s="74" t="str">
        <f aca="false">IF($BL437&lt;&gt;Constants!$B$4,"",IF(NOT($AL437),0,IF($AW437,Constants!$B$18,IF($AV437,Constants!$B$17,0))))</f>
        <v/>
      </c>
      <c r="BP437" s="74" t="str">
        <f aca="false">IF($BL437&lt;&gt;Constants!$B$4,"",IF(NOT($AL437),0,Constants!$B$19*($AK437+$AX437+$AY437+$AZ437)))</f>
        <v/>
      </c>
      <c r="BQ437" s="74" t="str">
        <f aca="false">IF($BL437&lt;&gt;Constants!$B$4,"",IF(OR(NOT($AL437),NOT(ISNUMBER($BA437))),0,CHOOSE($BA437,Constants!$B$13,Constants!$B$14,Constants!$B$15,Constants!$B$16)))</f>
        <v/>
      </c>
      <c r="BR437" s="74" t="str">
        <f aca="false">IF($BL437&lt;&gt;Constants!$B$4,"",IF(NOT($AL437),0,Constants!$B$20*$BB437))</f>
        <v/>
      </c>
      <c r="BS437" s="74" t="str">
        <f aca="false">IF($BL437&lt;&gt;Constants!$B$4,"",IF(AND($AL437,$BD437,$BE437),Constants!$B$22,0))</f>
        <v/>
      </c>
      <c r="BT437" s="74" t="str">
        <f aca="false">IF($BL437&lt;&gt;Constants!$B$4,"",IF(OR(NOT($AL437),NOT($BD437)),0,IF($BJ437&gt;=2*$AH$9,0,Constants!$B$23*INT(ROUND(MIN($BJ437,$AH$9),6)))))</f>
        <v/>
      </c>
      <c r="BU437" s="74" t="str">
        <f aca="false">IF($BL437&lt;&gt;Constants!$B$4,"",IF(NOT($AL437),0,Constants!$B$24*INT(ROUND(MIN($BC437,$AH$9),6))))</f>
        <v/>
      </c>
      <c r="BV437" s="74" t="str">
        <f aca="false">IF($BL437&lt;&gt;Constants!$B$4,"",IF(AND($AL437,$BN437=0),Constants!$B$25,0))</f>
        <v/>
      </c>
      <c r="BW437" s="74" t="str">
        <f aca="false">IF($BL437&lt;&gt;Constants!$B$4,"",MIN(Constants!$B$29,MAX(0,Constants!$B$27*Constants!$B$28*INT(ROUND((Constants!$B$26-$AN437)/Constants!$B$28,6))))+MIN(Constants!$B$29,MAX(0,Constants!$B$27*Constants!$B$28*INT(ROUND((Constants!$B$26-$AO437)/Constants!$B$28,6))))+MIN(Constants!$B$29,MAX(0,Constants!$B$27*Constants!$B$28*INT(ROUND((Constants!$B$26-$AP437)/Constants!$B$28,6)))))</f>
        <v/>
      </c>
      <c r="BX437" s="74" t="str">
        <f aca="false">IF($BL437&lt;&gt;Constants!$B$4,"",IF(NOT($AL437),0,Constants!$B$31*INT(ROUND(MAX(0,MIN($BJ437,2*$AH$9)-$AH$9),6))))</f>
        <v/>
      </c>
      <c r="BY437" s="74" t="str">
        <f aca="false">IF($BL437&lt;&gt;Constants!$B$4,"",Constants!$B$32*(($AN437&gt;Constants!$B$26)+($AO437&gt;Constants!$B$26)+($AP437&gt;Constants!$B$26)))</f>
        <v/>
      </c>
      <c r="BZ437" s="74" t="str">
        <f aca="false">IF($BL437&lt;&gt;Constants!$B$4,"",IF(OR(NOT($AL437),$AQ437),0,Constants!$B$33))</f>
        <v/>
      </c>
      <c r="CA437" s="74" t="str">
        <f aca="false">IF($BL437&lt;&gt;Constants!$B$4,"",Constants!$B$34*$BN437)</f>
        <v/>
      </c>
      <c r="CB437" s="74" t="str">
        <f aca="false">IF($BL437&lt;&gt;Constants!$B$4,"",IF(OR(NOT($AL437),$BH437),0,Constants!$B$36))</f>
        <v/>
      </c>
      <c r="CC437" s="74" t="str">
        <f aca="false">IF($BL437&lt;&gt;Constants!$B$4,"",IF(OR(NOT($AL437),$BG437),0,Constants!$B$37))</f>
        <v/>
      </c>
      <c r="CD437" s="74" t="str">
        <f aca="false">IF($BL437&lt;&gt;Constants!$B$4,"",SUM($BX437:$CC437))</f>
        <v/>
      </c>
      <c r="CE437" s="74" t="str">
        <f aca="false">IF(ISBLANK($C437),"",IF($BL437&lt;&gt;Constants!$B$4,$BL437,SUM($BO437:$BW437)-$CD437))</f>
        <v/>
      </c>
      <c r="CF437" s="74" t="str">
        <f aca="false">IF(ISBLANK($C437),"",IF($BL437&lt;&gt;Constants!$B$4,$BL437,RANK($CE437,$CE$9:$CE$508)))</f>
        <v/>
      </c>
      <c r="CG437" s="74" t="str">
        <f aca="false">IF(ISBLANK($C437),"",IF($BL437&lt;&gt;Constants!$B$4,$BL437,COUNTIFS($BM$9:$BM$508,"&lt;"&amp;$BM437)+COUNTIFS($BM$9:$BM$508,$BM437,$CF$9:$CF$508,"&lt;"&amp;$CF437)+1))</f>
        <v/>
      </c>
      <c r="CH437" s="74" t="str">
        <f aca="false">IF(ISBLANK($C437),"",IF($BL437&lt;&gt;Constants!$B$4,$BL437,RANK($CD437,$CD$9:$CD$508,1)))</f>
        <v/>
      </c>
      <c r="CI437" s="74" t="str">
        <f aca="false">IF($BL437&lt;&gt;Constants!$B$4,"",$AN437+$AO437+$AP437)</f>
        <v/>
      </c>
      <c r="CJ437" s="74" t="str">
        <f aca="false">IF(ISBLANK($C437),"",IF($BL437&lt;&gt;Constants!$B$4,$BL437,RANK($CI437,$CI$9:$CI$508,1)))</f>
        <v/>
      </c>
      <c r="CK437" s="74" t="str">
        <f aca="false">IF(ISBLANK($C437),"",IF($BL437&lt;&gt;Constants!$B$4,$BL437,COUNTIFS($BM$9:$BM$508,"&lt;"&amp;$BM437)+COUNTIFS($BM$9:$BM$508,$BM437,$CF$9:$CF$508,"&lt;"&amp;$CF437)+COUNTIFS($BM$9:$BM$508,$BM437,$CF$9:$CF$508,$CF437,$CH$9:$CH$508,"&lt;"&amp;$CH437)+COUNTIFS($BM$9:$BM$508,$BM437,$CF$9:$CF$508,$CF437,$CH$9:$CH$508,$CH437,$CJ$9:$CJ$508,"&lt;"&amp;$CJ437)+1))</f>
        <v/>
      </c>
      <c r="CL437" s="74" t="str">
        <f aca="false">IF(ISBLANK($C437),"",IF($BL437&lt;&gt;Constants!$B$4,$BL437,$CG437-$CK437))</f>
        <v/>
      </c>
      <c r="CM437" s="74" t="str">
        <f aca="false">IF(ISBLANK($C437),"",IF(NOT($AL437),"",IF(ISBLANK($D$7),$CM$5,IF(NOT(ISNUMBER($D$7)),$CM$6,""))))</f>
        <v/>
      </c>
      <c r="CN437" s="74" t="str">
        <f aca="false">IF(ISBLANK($C437),"",OR($AN437="",$AO437="",$AP437=""))</f>
        <v/>
      </c>
      <c r="CO437" s="74" t="str">
        <f aca="false">IF(ISBLANK($C437),"",AND($AL437,$BA437=""))</f>
        <v/>
      </c>
      <c r="CP437" s="74" t="str">
        <f aca="false">IF(ISBLANK($C437),"",AND($AL437,$BB437=""))</f>
        <v/>
      </c>
      <c r="CQ437" s="74" t="str">
        <f aca="false">IF(ISBLANK($C437),"",AND($AL437,$BC437=""))</f>
        <v/>
      </c>
      <c r="CR437" s="74" t="str">
        <f aca="false">IF(ISBLANK($C437),"",AND($AL437,$BF437=""))</f>
        <v/>
      </c>
      <c r="CS437" s="74" t="str">
        <f aca="false">IF(ISBLANK($C437),"",AND($AL437,$BJ437=""))</f>
        <v/>
      </c>
      <c r="CT437" s="75"/>
      <c r="CU437" s="76"/>
      <c r="CV437" s="79" t="str">
        <f aca="false">IF(ISBLANK($C437),"",IF($BL437=Constants!$B$8,$CM437,""))</f>
        <v/>
      </c>
      <c r="CW437" s="76" t="str">
        <f aca="false">IF(ISBLANK($C437),"",IF($BL437&lt;&gt;Constants!$B$4,"",$BO437+$BP437))</f>
        <v/>
      </c>
      <c r="CX437" s="78" t="str">
        <f aca="false">IF(ISBLANK($C437),"",IF($BL437&lt;&gt;Constants!$B$4,"",$BQ437+$BR437+$BS437))</f>
        <v/>
      </c>
      <c r="CY437" s="78" t="str">
        <f aca="false">IF(ISBLANK($C437),"",IF($BL437&lt;&gt;Constants!$B$4,"",$BT437))</f>
        <v/>
      </c>
      <c r="CZ437" s="78" t="str">
        <f aca="false">IF(ISBLANK($C437),"",IF($BL437&lt;&gt;Constants!$B$4,"",$BU437+$BV437))</f>
        <v/>
      </c>
      <c r="DA437" s="78" t="str">
        <f aca="false">IF(ISBLANK($C437),"",IF($BL437&lt;&gt;Constants!$B$4,"",$BW437))</f>
        <v/>
      </c>
      <c r="DB437" s="78" t="str">
        <f aca="false">IF(ISBLANK($C437),"",IF($BL437&lt;&gt;Constants!$B$4,"",-$CD437))</f>
        <v/>
      </c>
      <c r="DC437" s="79" t="str">
        <f aca="false">IF(ISBLANK($C437),"",$CE437)</f>
        <v/>
      </c>
      <c r="DD437" s="80" t="str">
        <f aca="false">IF(ISBLANK($C437),"",$BM437)</f>
        <v/>
      </c>
      <c r="DE437" s="78" t="str">
        <f aca="false">IF(ISBLANK($C437),"",$CL437)</f>
        <v/>
      </c>
      <c r="DF437" s="78" t="str">
        <f aca="false">IF(ISBLANK($C437),"",$CK437)</f>
        <v/>
      </c>
      <c r="DG437" s="81" t="str">
        <f aca="false">IF(ISBLANK($C437),"",IF($DF437=Constants!$B$7,COUNTA($C$9:$C$508)+2,IF($DF437=Constants!$B$6,COUNTA($C$9:$C$508)+1,IF($DF437=Constants!$B$5,COUNTA($C$9:$C$508),$DF437))))</f>
        <v/>
      </c>
      <c r="DH437" s="7"/>
      <c r="DI437" s="82" t="n">
        <f aca="false">IF(OR(ISNUMBER($DF437),$DF437=Constants!$B$7,$DF437=Constants!$B$5,$DF437=Constants!$B$6),1,0)</f>
        <v>0</v>
      </c>
      <c r="DJ437" s="82" t="n">
        <v>429</v>
      </c>
      <c r="DK437" s="82" t="str">
        <f aca="false">IF(ISBLANK($C437),"",IF(ISNUMBER($DG437),$DG437+ROW($B437)/1000,""))</f>
        <v/>
      </c>
      <c r="DL437" s="82" t="str">
        <f aca="false">IF(ISNUMBER($DK437),RANK($DK437,$DK$9:$DK$508,1),"")</f>
        <v/>
      </c>
      <c r="DM437" s="82" t="str">
        <f aca="false">IF(ISBLANK($C437),"",$B437)</f>
        <v/>
      </c>
      <c r="DN437" s="82" t="str">
        <f aca="false">IF(ISBLANK($C437),"",$C437)</f>
        <v/>
      </c>
      <c r="DO437" s="82" t="str">
        <f aca="false">IF(ISBLANK($C437),"",$D437)</f>
        <v/>
      </c>
      <c r="DP437" s="83" t="str">
        <f aca="false">$DD437</f>
        <v/>
      </c>
      <c r="DQ437" s="84" t="str">
        <f aca="false">$DC437</f>
        <v/>
      </c>
      <c r="DR437" s="82" t="str">
        <f aca="false">IF(ISBLANK($C437),"",$DF437)</f>
        <v/>
      </c>
      <c r="DS437" s="85" t="str">
        <f aca="false">IF($DJ437&gt;$DI$8,"",VLOOKUP($DJ437,$DL$9:$DR$508,7,FALSE()))</f>
        <v/>
      </c>
      <c r="DT437" s="86" t="str">
        <f aca="false">IF($DJ437&gt;$DI$8,"",VLOOKUP($DJ437,$DL$9:$DR$508,2,FALSE()))</f>
        <v/>
      </c>
      <c r="DU437" s="86" t="str">
        <f aca="false">IF($DJ437&gt;$DI$8,"",VLOOKUP($DJ437,$DL$9:$DR$508,3,FALSE()))</f>
        <v/>
      </c>
      <c r="DV437" s="86" t="str">
        <f aca="false">IF($DJ437&gt;$DI$8,"",VLOOKUP($DJ437,$DL$9:$DR$508,4,FALSE()))</f>
        <v/>
      </c>
      <c r="DW437" s="86" t="str">
        <f aca="false">IF($DJ437&gt;$DI$8,"",VLOOKUP($DJ437,$DL$9:$DR$508,5,FALSE()))</f>
        <v/>
      </c>
      <c r="DX437" s="87" t="str">
        <f aca="false">IF($DJ437&gt;$DI$8,"",VLOOKUP($DJ437,$DL$9:$DR$508,6,FALSE()))</f>
        <v/>
      </c>
      <c r="DY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130"/>
      <c r="N438" s="130"/>
      <c r="O438" s="135"/>
      <c r="P438" s="135"/>
      <c r="Q438" s="130"/>
      <c r="R438" s="130"/>
      <c r="S438" s="130"/>
      <c r="T438" s="130"/>
      <c r="U438" s="135"/>
      <c r="V438" s="130"/>
      <c r="W438" s="96"/>
      <c r="X438" s="130"/>
      <c r="Y438" s="130"/>
      <c r="Z438" s="96"/>
      <c r="AA438" s="96"/>
      <c r="AB438" s="130"/>
      <c r="AC438" s="130"/>
      <c r="AD438" s="130"/>
      <c r="AE438" s="97"/>
      <c r="AF438" s="130"/>
      <c r="AG438" s="99"/>
      <c r="AH438" s="100"/>
      <c r="AI438" s="100"/>
      <c r="AJ438" s="100" t="str">
        <f aca="false">IF(ISBLANK($C438),"",IF($E438=Constants!$B$2,TRUE(),IF($E438=Constants!$B$3,FALSE(),TRUE())))</f>
        <v/>
      </c>
      <c r="AK438" s="100" t="str">
        <f aca="false">IF(ISBLANK($C438),"",IF($F438=Constants!$B$2,TRUE(),IF($F438=Constants!$B$3,FALSE(),FALSE())))</f>
        <v/>
      </c>
      <c r="AL438" s="100" t="str">
        <f aca="false">IF(ISBLANK($C438),"",IF($G438=Constants!$B$2,TRUE(),IF($G438=Constants!$B$3,FALSE(),TRUE())))</f>
        <v/>
      </c>
      <c r="AM438" s="100" t="str">
        <f aca="false">IF(ISBLANK($C438),"",IF($H438=Constants!$B$2,TRUE(),IF($H438=Constants!$B$3,FALSE(),TRUE())))</f>
        <v/>
      </c>
      <c r="AN438" s="100" t="str">
        <f aca="false">IF(ISBLANK($C438),"",IF(ISNUMBER($I438),IF($I438&gt;=0,$I438,""),""))</f>
        <v/>
      </c>
      <c r="AO438" s="100" t="str">
        <f aca="false">IF(ISBLANK($C438),"",IF(ISNUMBER($J438),IF($J438&gt;=0,$J438,""),""))</f>
        <v/>
      </c>
      <c r="AP438" s="100" t="str">
        <f aca="false">IF(ISBLANK($C438),"",IF(ISNUMBER($K438),IF($K438&gt;=0,$K438,""),""))</f>
        <v/>
      </c>
      <c r="AQ438" s="100" t="str">
        <f aca="false">IF(ISBLANK($C438),"",IF($L438=Constants!$B$2,TRUE(),IF($L438=Constants!$B$3,FALSE(),TRUE())))</f>
        <v/>
      </c>
      <c r="AR438" s="100" t="str">
        <f aca="false">IF(ISBLANK($C438),"",IF($M438=Constants!$B$2,TRUE(),IF($M438=Constants!$B$3,FALSE(),TRUE())))</f>
        <v/>
      </c>
      <c r="AS438" s="100" t="str">
        <f aca="false">IF(ISBLANK($C438),"",IF($N438=Constants!$B$2,TRUE(),IF($N438=Constants!$B$3,FALSE(),FALSE())))</f>
        <v/>
      </c>
      <c r="AT438" s="100" t="str">
        <f aca="false">IF(ISBLANK($C438),"",IF($O438=Constants!$B$2,TRUE(),IF($O438=Constants!$B$3,FALSE(),TRUE())))</f>
        <v/>
      </c>
      <c r="AU438" s="100" t="str">
        <f aca="false">IF(ISBLANK($C438),"",IF($P438=Constants!$B$2,TRUE(),IF($P438=Constants!$B$3,FALSE(),TRUE())))</f>
        <v/>
      </c>
      <c r="AV438" s="100" t="str">
        <f aca="false">IF(ISBLANK($C438),"",IF($Q438=Constants!$B$2,TRUE(),IF($Q438=Constants!$B$3,FALSE(),FALSE())))</f>
        <v/>
      </c>
      <c r="AW438" s="100" t="str">
        <f aca="false">IF(ISBLANK($C438),"",IF($R438=Constants!$B$2,TRUE(),IF($R438=Constants!$B$3,FALSE(),FALSE())))</f>
        <v/>
      </c>
      <c r="AX438" s="100" t="str">
        <f aca="false">IF(ISBLANK($C438),"",IF($S438=Constants!$B$2,TRUE(),IF($S438=Constants!$B$3,FALSE(),FALSE())))</f>
        <v/>
      </c>
      <c r="AY438" s="100" t="str">
        <f aca="false">IF(ISBLANK($C438),"",IF($T438=Constants!$B$2,TRUE(),IF($T438=Constants!$B$3,FALSE(),FALSE())))</f>
        <v/>
      </c>
      <c r="AZ438" s="100" t="str">
        <f aca="false">IF(ISBLANK($C438),"",IF($U438=Constants!$B$2,TRUE(),IF($U438=Constants!$B$3,FALSE(),FALSE())))</f>
        <v/>
      </c>
      <c r="BA438" s="100" t="str">
        <f aca="false">IF(ISBLANK($C438),"",IF(OR($V438&amp;""="1",$V438&amp;""="2",$V438&amp;""="3",$V438&amp;""="4"),VALUE($V438&amp;""),IF($V438=Constants!$B$12,Constants!$B$12,"")))</f>
        <v/>
      </c>
      <c r="BB438" s="100" t="str">
        <f aca="false">IF(ISBLANK($C438),"",IF(ISBLANK($W438),0,IF(ISNUMBER($W438),IF(AND($W438&gt;=0,$W438&lt;=Constants!$B$21,$W438=INT($W438)),$W438,""),"")))</f>
        <v/>
      </c>
      <c r="BC438" s="100" t="str">
        <f aca="false">IF(ISBLANK($C438),"",IF(ISBLANK($X438),0,IF(ISNUMBER($X438),IF($X438&gt;=0,$X438,""),"")))</f>
        <v/>
      </c>
      <c r="BD438" s="100" t="str">
        <f aca="false">IF(ISBLANK($C438),"",IF($Y438=Constants!$B$2,TRUE(),IF($Y438=Constants!$B$3,FALSE(),TRUE())))</f>
        <v/>
      </c>
      <c r="BE438" s="100" t="str">
        <f aca="false">IF(ISBLANK($C438),"",IF($Z438=Constants!$B$2,TRUE(),IF($Z438=Constants!$B$3,FALSE(),FALSE())))</f>
        <v/>
      </c>
      <c r="BF438" s="100" t="str">
        <f aca="false">IF(ISBLANK($C438),"",IF(ISBLANK($AA438),0,IF(ISNUMBER($AA438),IF(AND($AA438&gt;=0,$AA438&lt;=Constants!$B$35,$AA438=INT($AA438)),$AA438,""),"")))</f>
        <v/>
      </c>
      <c r="BG438" s="100" t="str">
        <f aca="false">IF(ISBLANK($C438),"",IF($AB438=Constants!$B$2,TRUE(),IF($AB438=Constants!$B$3,FALSE(),TRUE())))</f>
        <v/>
      </c>
      <c r="BH438" s="100" t="str">
        <f aca="false">IF(ISBLANK($C438),"",IF($AC438=Constants!$B$2,TRUE(),IF($AC438=Constants!$B$3,FALSE(),TRUE())))</f>
        <v/>
      </c>
      <c r="BI438" s="100" t="str">
        <f aca="false">IF(ISBLANK($C438),"",IF($AD438=Constants!$B$2,TRUE(),IF($AD438=Constants!$B$3,FALSE(),TRUE())))</f>
        <v/>
      </c>
      <c r="BJ438" s="100" t="str">
        <f aca="false">IF(ISBLANK($C438),"",IF(ISNUMBER($AE438),IF($AE438&gt;=0,$AE438,""),""))</f>
        <v/>
      </c>
      <c r="BK438" s="100" t="str">
        <f aca="false">IF(ISBLANK($C438),"",IF($AF438=Constants!$B$2,TRUE(),IF($AF438=Constants!$B$3,FALSE(),FALSE())))</f>
        <v/>
      </c>
      <c r="BL438" s="99" t="str">
        <f aca="false">IF(ISBLANK($C438),"",IF($BK438,Constants!$B$7,IF(COUNTA($E438:$AE438)=0,Constants!$B$6,IF(OR(COUNTA($G438:$AE438)=0,NOT($AM438),$AS438),Constants!$B$5,IF(OR($CM438&lt;&gt;"",$CN438,$CO438,$CP438,$CQ438,$CR438,$CS438),Constants!$B$8,Constants!$B$4)))))</f>
        <v/>
      </c>
      <c r="BM438" s="100" t="str">
        <f aca="false">IF(ISBLANK($C438),"",IF($BL438&lt;&gt;Constants!$B$4,$BL438,IF(OR(NOT($AJ438),NOT($AL438),NOT($AT438)),Constants!$B$11,IF(OR(NOT($AR438),NOT($AU438),NOT($BI438),MAX($AN438,$AO438,$AP438)&gt;Constants!$B$30),Constants!$B$10,Constants!$B$9))))</f>
        <v/>
      </c>
      <c r="BN438" s="100" t="str">
        <f aca="false">IF($BL438&lt;&gt;Constants!$B$4,"",IF(NOT($AL438),0,MIN(Constants!$B$35,$BF438)))</f>
        <v/>
      </c>
      <c r="BO438" s="100" t="str">
        <f aca="false">IF($BL438&lt;&gt;Constants!$B$4,"",IF(NOT($AL438),0,IF($AW438,Constants!$B$18,IF($AV438,Constants!$B$17,0))))</f>
        <v/>
      </c>
      <c r="BP438" s="100" t="str">
        <f aca="false">IF($BL438&lt;&gt;Constants!$B$4,"",IF(NOT($AL438),0,Constants!$B$19*($AK438+$AX438+$AY438+$AZ438)))</f>
        <v/>
      </c>
      <c r="BQ438" s="100" t="str">
        <f aca="false">IF($BL438&lt;&gt;Constants!$B$4,"",IF(OR(NOT($AL438),NOT(ISNUMBER($BA438))),0,CHOOSE($BA438,Constants!$B$13,Constants!$B$14,Constants!$B$15,Constants!$B$16)))</f>
        <v/>
      </c>
      <c r="BR438" s="100" t="str">
        <f aca="false">IF($BL438&lt;&gt;Constants!$B$4,"",IF(NOT($AL438),0,Constants!$B$20*$BB438))</f>
        <v/>
      </c>
      <c r="BS438" s="100" t="str">
        <f aca="false">IF($BL438&lt;&gt;Constants!$B$4,"",IF(AND($AL438,$BD438,$BE438),Constants!$B$22,0))</f>
        <v/>
      </c>
      <c r="BT438" s="100" t="str">
        <f aca="false">IF($BL438&lt;&gt;Constants!$B$4,"",IF(OR(NOT($AL438),NOT($BD438)),0,IF($BJ438&gt;=2*$AH$9,0,Constants!$B$23*INT(ROUND(MIN($BJ438,$AH$9),6)))))</f>
        <v/>
      </c>
      <c r="BU438" s="100" t="str">
        <f aca="false">IF($BL438&lt;&gt;Constants!$B$4,"",IF(NOT($AL438),0,Constants!$B$24*INT(ROUND(MIN($BC438,$AH$9),6))))</f>
        <v/>
      </c>
      <c r="BV438" s="100" t="str">
        <f aca="false">IF($BL438&lt;&gt;Constants!$B$4,"",IF(AND($AL438,$BN438=0),Constants!$B$25,0))</f>
        <v/>
      </c>
      <c r="BW438" s="100" t="str">
        <f aca="false">IF($BL438&lt;&gt;Constants!$B$4,"",MIN(Constants!$B$29,MAX(0,Constants!$B$27*Constants!$B$28*INT(ROUND((Constants!$B$26-$AN438)/Constants!$B$28,6))))+MIN(Constants!$B$29,MAX(0,Constants!$B$27*Constants!$B$28*INT(ROUND((Constants!$B$26-$AO438)/Constants!$B$28,6))))+MIN(Constants!$B$29,MAX(0,Constants!$B$27*Constants!$B$28*INT(ROUND((Constants!$B$26-$AP438)/Constants!$B$28,6)))))</f>
        <v/>
      </c>
      <c r="BX438" s="100" t="str">
        <f aca="false">IF($BL438&lt;&gt;Constants!$B$4,"",IF(NOT($AL438),0,Constants!$B$31*INT(ROUND(MAX(0,MIN($BJ438,2*$AH$9)-$AH$9),6))))</f>
        <v/>
      </c>
      <c r="BY438" s="100" t="str">
        <f aca="false">IF($BL438&lt;&gt;Constants!$B$4,"",Constants!$B$32*(($AN438&gt;Constants!$B$26)+($AO438&gt;Constants!$B$26)+($AP438&gt;Constants!$B$26)))</f>
        <v/>
      </c>
      <c r="BZ438" s="100" t="str">
        <f aca="false">IF($BL438&lt;&gt;Constants!$B$4,"",IF(OR(NOT($AL438),$AQ438),0,Constants!$B$33))</f>
        <v/>
      </c>
      <c r="CA438" s="100" t="str">
        <f aca="false">IF($BL438&lt;&gt;Constants!$B$4,"",Constants!$B$34*$BN438)</f>
        <v/>
      </c>
      <c r="CB438" s="100" t="str">
        <f aca="false">IF($BL438&lt;&gt;Constants!$B$4,"",IF(OR(NOT($AL438),$BH438),0,Constants!$B$36))</f>
        <v/>
      </c>
      <c r="CC438" s="100" t="str">
        <f aca="false">IF($BL438&lt;&gt;Constants!$B$4,"",IF(OR(NOT($AL438),$BG438),0,Constants!$B$37))</f>
        <v/>
      </c>
      <c r="CD438" s="100" t="str">
        <f aca="false">IF($BL438&lt;&gt;Constants!$B$4,"",SUM($BX438:$CC438))</f>
        <v/>
      </c>
      <c r="CE438" s="100" t="str">
        <f aca="false">IF(ISBLANK($C438),"",IF($BL438&lt;&gt;Constants!$B$4,$BL438,SUM($BO438:$BW438)-$CD438))</f>
        <v/>
      </c>
      <c r="CF438" s="100" t="str">
        <f aca="false">IF(ISBLANK($C438),"",IF($BL438&lt;&gt;Constants!$B$4,$BL438,RANK($CE438,$CE$9:$CE$508)))</f>
        <v/>
      </c>
      <c r="CG438" s="100" t="str">
        <f aca="false">IF(ISBLANK($C438),"",IF($BL438&lt;&gt;Constants!$B$4,$BL438,COUNTIFS($BM$9:$BM$508,"&lt;"&amp;$BM438)+COUNTIFS($BM$9:$BM$508,$BM438,$CF$9:$CF$508,"&lt;"&amp;$CF438)+1))</f>
        <v/>
      </c>
      <c r="CH438" s="100" t="str">
        <f aca="false">IF(ISBLANK($C438),"",IF($BL438&lt;&gt;Constants!$B$4,$BL438,RANK($CD438,$CD$9:$CD$508,1)))</f>
        <v/>
      </c>
      <c r="CI438" s="100" t="str">
        <f aca="false">IF($BL438&lt;&gt;Constants!$B$4,"",$AN438+$AO438+$AP438)</f>
        <v/>
      </c>
      <c r="CJ438" s="100" t="str">
        <f aca="false">IF(ISBLANK($C438),"",IF($BL438&lt;&gt;Constants!$B$4,$BL438,RANK($CI438,$CI$9:$CI$508,1)))</f>
        <v/>
      </c>
      <c r="CK438" s="100" t="str">
        <f aca="false">IF(ISBLANK($C438),"",IF($BL438&lt;&gt;Constants!$B$4,$BL438,COUNTIFS($BM$9:$BM$508,"&lt;"&amp;$BM438)+COUNTIFS($BM$9:$BM$508,$BM438,$CF$9:$CF$508,"&lt;"&amp;$CF438)+COUNTIFS($BM$9:$BM$508,$BM438,$CF$9:$CF$508,$CF438,$CH$9:$CH$508,"&lt;"&amp;$CH438)+COUNTIFS($BM$9:$BM$508,$BM438,$CF$9:$CF$508,$CF438,$CH$9:$CH$508,$CH438,$CJ$9:$CJ$508,"&lt;"&amp;$CJ438)+1))</f>
        <v/>
      </c>
      <c r="CL438" s="100" t="str">
        <f aca="false">IF(ISBLANK($C438),"",IF($BL438&lt;&gt;Constants!$B$4,$BL438,$CG438-$CK438))</f>
        <v/>
      </c>
      <c r="CM438" s="100" t="str">
        <f aca="false">IF(ISBLANK($C438),"",IF(NOT($AL438),"",IF(ISBLANK($D$7),$CM$5,IF(NOT(ISNUMBER($D$7)),$CM$6,""))))</f>
        <v/>
      </c>
      <c r="CN438" s="100" t="str">
        <f aca="false">IF(ISBLANK($C438),"",OR($AN438="",$AO438="",$AP438=""))</f>
        <v/>
      </c>
      <c r="CO438" s="100" t="str">
        <f aca="false">IF(ISBLANK($C438),"",AND($AL438,$BA438=""))</f>
        <v/>
      </c>
      <c r="CP438" s="100" t="str">
        <f aca="false">IF(ISBLANK($C438),"",AND($AL438,$BB438=""))</f>
        <v/>
      </c>
      <c r="CQ438" s="100" t="str">
        <f aca="false">IF(ISBLANK($C438),"",AND($AL438,$BC438=""))</f>
        <v/>
      </c>
      <c r="CR438" s="100" t="str">
        <f aca="false">IF(ISBLANK($C438),"",AND($AL438,$BF438=""))</f>
        <v/>
      </c>
      <c r="CS438" s="100" t="str">
        <f aca="false">IF(ISBLANK($C438),"",AND($AL438,$BJ438=""))</f>
        <v/>
      </c>
      <c r="CT438" s="101"/>
      <c r="CU438" s="102"/>
      <c r="CV438" s="103" t="str">
        <f aca="false">IF(ISBLANK($C438),"",IF($BL438=Constants!$B$8,$CM438,""))</f>
        <v/>
      </c>
      <c r="CW438" s="102" t="str">
        <f aca="false">IF(ISBLANK($C438),"",IF($BL438&lt;&gt;Constants!$B$4,"",$BO438+$BP438))</f>
        <v/>
      </c>
      <c r="CX438" s="104" t="str">
        <f aca="false">IF(ISBLANK($C438),"",IF($BL438&lt;&gt;Constants!$B$4,"",$BQ438+$BR438+$BS438))</f>
        <v/>
      </c>
      <c r="CY438" s="104" t="str">
        <f aca="false">IF(ISBLANK($C438),"",IF($BL438&lt;&gt;Constants!$B$4,"",$BT438))</f>
        <v/>
      </c>
      <c r="CZ438" s="104" t="str">
        <f aca="false">IF(ISBLANK($C438),"",IF($BL438&lt;&gt;Constants!$B$4,"",$BU438+$BV438))</f>
        <v/>
      </c>
      <c r="DA438" s="104" t="str">
        <f aca="false">IF(ISBLANK($C438),"",IF($BL438&lt;&gt;Constants!$B$4,"",$BW438))</f>
        <v/>
      </c>
      <c r="DB438" s="104" t="str">
        <f aca="false">IF(ISBLANK($C438),"",IF($BL438&lt;&gt;Constants!$B$4,"",-$CD438))</f>
        <v/>
      </c>
      <c r="DC438" s="103" t="str">
        <f aca="false">IF(ISBLANK($C438),"",$CE438)</f>
        <v/>
      </c>
      <c r="DD438" s="105" t="str">
        <f aca="false">IF(ISBLANK($C438),"",$BM438)</f>
        <v/>
      </c>
      <c r="DE438" s="104" t="str">
        <f aca="false">IF(ISBLANK($C438),"",$CL438)</f>
        <v/>
      </c>
      <c r="DF438" s="104" t="str">
        <f aca="false">IF(ISBLANK($C438),"",$CK438)</f>
        <v/>
      </c>
      <c r="DG438" s="106" t="str">
        <f aca="false">IF(ISBLANK($C438),"",IF($DF438=Constants!$B$7,COUNTA($C$9:$C$508)+2,IF($DF438=Constants!$B$6,COUNTA($C$9:$C$508)+1,IF($DF438=Constants!$B$5,COUNTA($C$9:$C$508),$DF438))))</f>
        <v/>
      </c>
      <c r="DH438" s="7"/>
      <c r="DI438" s="107" t="n">
        <f aca="false">IF(OR(ISNUMBER($DF438),$DF438=Constants!$B$7,$DF438=Constants!$B$5,$DF438=Constants!$B$6),1,0)</f>
        <v>0</v>
      </c>
      <c r="DJ438" s="107" t="n">
        <v>430</v>
      </c>
      <c r="DK438" s="107" t="str">
        <f aca="false">IF(ISBLANK($C438),"",IF(ISNUMBER($DG438),$DG438+ROW($B438)/1000,""))</f>
        <v/>
      </c>
      <c r="DL438" s="107" t="str">
        <f aca="false">IF(ISNUMBER($DK438),RANK($DK438,$DK$9:$DK$508,1),"")</f>
        <v/>
      </c>
      <c r="DM438" s="107" t="str">
        <f aca="false">IF(ISBLANK($C438),"",$B438)</f>
        <v/>
      </c>
      <c r="DN438" s="107" t="str">
        <f aca="false">IF(ISBLANK($C438),"",$C438)</f>
        <v/>
      </c>
      <c r="DO438" s="107" t="str">
        <f aca="false">IF(ISBLANK($C438),"",$D438)</f>
        <v/>
      </c>
      <c r="DP438" s="108" t="str">
        <f aca="false">$DD438</f>
        <v/>
      </c>
      <c r="DQ438" s="109" t="str">
        <f aca="false">$DC438</f>
        <v/>
      </c>
      <c r="DR438" s="107" t="str">
        <f aca="false">IF(ISBLANK($C438),"",$DF438)</f>
        <v/>
      </c>
      <c r="DS438" s="110" t="str">
        <f aca="false">IF($DJ438&gt;$DI$8,"",VLOOKUP($DJ438,$DL$9:$DR$508,7,FALSE()))</f>
        <v/>
      </c>
      <c r="DT438" s="111" t="str">
        <f aca="false">IF($DJ438&gt;$DI$8,"",VLOOKUP($DJ438,$DL$9:$DR$508,2,FALSE()))</f>
        <v/>
      </c>
      <c r="DU438" s="111" t="str">
        <f aca="false">IF($DJ438&gt;$DI$8,"",VLOOKUP($DJ438,$DL$9:$DR$508,3,FALSE()))</f>
        <v/>
      </c>
      <c r="DV438" s="111" t="str">
        <f aca="false">IF($DJ438&gt;$DI$8,"",VLOOKUP($DJ438,$DL$9:$DR$508,4,FALSE()))</f>
        <v/>
      </c>
      <c r="DW438" s="111" t="str">
        <f aca="false">IF($DJ438&gt;$DI$8,"",VLOOKUP($DJ438,$DL$9:$DR$508,5,FALSE()))</f>
        <v/>
      </c>
      <c r="DX438" s="112" t="str">
        <f aca="false">IF($DJ438&gt;$DI$8,"",VLOOKUP($DJ438,$DL$9:$DR$508,6,FALSE()))</f>
        <v/>
      </c>
      <c r="DY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130"/>
      <c r="N439" s="130"/>
      <c r="O439" s="135"/>
      <c r="P439" s="135"/>
      <c r="Q439" s="130"/>
      <c r="R439" s="130"/>
      <c r="S439" s="130"/>
      <c r="T439" s="130"/>
      <c r="U439" s="135"/>
      <c r="V439" s="130"/>
      <c r="W439" s="96"/>
      <c r="X439" s="130"/>
      <c r="Y439" s="130"/>
      <c r="Z439" s="96"/>
      <c r="AA439" s="96"/>
      <c r="AB439" s="130"/>
      <c r="AC439" s="130"/>
      <c r="AD439" s="130"/>
      <c r="AE439" s="97"/>
      <c r="AF439" s="130"/>
      <c r="AG439" s="99"/>
      <c r="AH439" s="100"/>
      <c r="AI439" s="100"/>
      <c r="AJ439" s="100" t="str">
        <f aca="false">IF(ISBLANK($C439),"",IF($E439=Constants!$B$2,TRUE(),IF($E439=Constants!$B$3,FALSE(),TRUE())))</f>
        <v/>
      </c>
      <c r="AK439" s="100" t="str">
        <f aca="false">IF(ISBLANK($C439),"",IF($F439=Constants!$B$2,TRUE(),IF($F439=Constants!$B$3,FALSE(),FALSE())))</f>
        <v/>
      </c>
      <c r="AL439" s="100" t="str">
        <f aca="false">IF(ISBLANK($C439),"",IF($G439=Constants!$B$2,TRUE(),IF($G439=Constants!$B$3,FALSE(),TRUE())))</f>
        <v/>
      </c>
      <c r="AM439" s="100" t="str">
        <f aca="false">IF(ISBLANK($C439),"",IF($H439=Constants!$B$2,TRUE(),IF($H439=Constants!$B$3,FALSE(),TRUE())))</f>
        <v/>
      </c>
      <c r="AN439" s="100" t="str">
        <f aca="false">IF(ISBLANK($C439),"",IF(ISNUMBER($I439),IF($I439&gt;=0,$I439,""),""))</f>
        <v/>
      </c>
      <c r="AO439" s="100" t="str">
        <f aca="false">IF(ISBLANK($C439),"",IF(ISNUMBER($J439),IF($J439&gt;=0,$J439,""),""))</f>
        <v/>
      </c>
      <c r="AP439" s="100" t="str">
        <f aca="false">IF(ISBLANK($C439),"",IF(ISNUMBER($K439),IF($K439&gt;=0,$K439,""),""))</f>
        <v/>
      </c>
      <c r="AQ439" s="100" t="str">
        <f aca="false">IF(ISBLANK($C439),"",IF($L439=Constants!$B$2,TRUE(),IF($L439=Constants!$B$3,FALSE(),TRUE())))</f>
        <v/>
      </c>
      <c r="AR439" s="100" t="str">
        <f aca="false">IF(ISBLANK($C439),"",IF($M439=Constants!$B$2,TRUE(),IF($M439=Constants!$B$3,FALSE(),TRUE())))</f>
        <v/>
      </c>
      <c r="AS439" s="100" t="str">
        <f aca="false">IF(ISBLANK($C439),"",IF($N439=Constants!$B$2,TRUE(),IF($N439=Constants!$B$3,FALSE(),FALSE())))</f>
        <v/>
      </c>
      <c r="AT439" s="100" t="str">
        <f aca="false">IF(ISBLANK($C439),"",IF($O439=Constants!$B$2,TRUE(),IF($O439=Constants!$B$3,FALSE(),TRUE())))</f>
        <v/>
      </c>
      <c r="AU439" s="100" t="str">
        <f aca="false">IF(ISBLANK($C439),"",IF($P439=Constants!$B$2,TRUE(),IF($P439=Constants!$B$3,FALSE(),TRUE())))</f>
        <v/>
      </c>
      <c r="AV439" s="100" t="str">
        <f aca="false">IF(ISBLANK($C439),"",IF($Q439=Constants!$B$2,TRUE(),IF($Q439=Constants!$B$3,FALSE(),FALSE())))</f>
        <v/>
      </c>
      <c r="AW439" s="100" t="str">
        <f aca="false">IF(ISBLANK($C439),"",IF($R439=Constants!$B$2,TRUE(),IF($R439=Constants!$B$3,FALSE(),FALSE())))</f>
        <v/>
      </c>
      <c r="AX439" s="100" t="str">
        <f aca="false">IF(ISBLANK($C439),"",IF($S439=Constants!$B$2,TRUE(),IF($S439=Constants!$B$3,FALSE(),FALSE())))</f>
        <v/>
      </c>
      <c r="AY439" s="100" t="str">
        <f aca="false">IF(ISBLANK($C439),"",IF($T439=Constants!$B$2,TRUE(),IF($T439=Constants!$B$3,FALSE(),FALSE())))</f>
        <v/>
      </c>
      <c r="AZ439" s="100" t="str">
        <f aca="false">IF(ISBLANK($C439),"",IF($U439=Constants!$B$2,TRUE(),IF($U439=Constants!$B$3,FALSE(),FALSE())))</f>
        <v/>
      </c>
      <c r="BA439" s="100" t="str">
        <f aca="false">IF(ISBLANK($C439),"",IF(OR($V439&amp;""="1",$V439&amp;""="2",$V439&amp;""="3",$V439&amp;""="4"),VALUE($V439&amp;""),IF($V439=Constants!$B$12,Constants!$B$12,"")))</f>
        <v/>
      </c>
      <c r="BB439" s="100" t="str">
        <f aca="false">IF(ISBLANK($C439),"",IF(ISBLANK($W439),0,IF(ISNUMBER($W439),IF(AND($W439&gt;=0,$W439&lt;=Constants!$B$21,$W439=INT($W439)),$W439,""),"")))</f>
        <v/>
      </c>
      <c r="BC439" s="100" t="str">
        <f aca="false">IF(ISBLANK($C439),"",IF(ISBLANK($X439),0,IF(ISNUMBER($X439),IF($X439&gt;=0,$X439,""),"")))</f>
        <v/>
      </c>
      <c r="BD439" s="100" t="str">
        <f aca="false">IF(ISBLANK($C439),"",IF($Y439=Constants!$B$2,TRUE(),IF($Y439=Constants!$B$3,FALSE(),TRUE())))</f>
        <v/>
      </c>
      <c r="BE439" s="100" t="str">
        <f aca="false">IF(ISBLANK($C439),"",IF($Z439=Constants!$B$2,TRUE(),IF($Z439=Constants!$B$3,FALSE(),FALSE())))</f>
        <v/>
      </c>
      <c r="BF439" s="100" t="str">
        <f aca="false">IF(ISBLANK($C439),"",IF(ISBLANK($AA439),0,IF(ISNUMBER($AA439),IF(AND($AA439&gt;=0,$AA439&lt;=Constants!$B$35,$AA439=INT($AA439)),$AA439,""),"")))</f>
        <v/>
      </c>
      <c r="BG439" s="100" t="str">
        <f aca="false">IF(ISBLANK($C439),"",IF($AB439=Constants!$B$2,TRUE(),IF($AB439=Constants!$B$3,FALSE(),TRUE())))</f>
        <v/>
      </c>
      <c r="BH439" s="100" t="str">
        <f aca="false">IF(ISBLANK($C439),"",IF($AC439=Constants!$B$2,TRUE(),IF($AC439=Constants!$B$3,FALSE(),TRUE())))</f>
        <v/>
      </c>
      <c r="BI439" s="100" t="str">
        <f aca="false">IF(ISBLANK($C439),"",IF($AD439=Constants!$B$2,TRUE(),IF($AD439=Constants!$B$3,FALSE(),TRUE())))</f>
        <v/>
      </c>
      <c r="BJ439" s="100" t="str">
        <f aca="false">IF(ISBLANK($C439),"",IF(ISNUMBER($AE439),IF($AE439&gt;=0,$AE439,""),""))</f>
        <v/>
      </c>
      <c r="BK439" s="100" t="str">
        <f aca="false">IF(ISBLANK($C439),"",IF($AF439=Constants!$B$2,TRUE(),IF($AF439=Constants!$B$3,FALSE(),FALSE())))</f>
        <v/>
      </c>
      <c r="BL439" s="99" t="str">
        <f aca="false">IF(ISBLANK($C439),"",IF($BK439,Constants!$B$7,IF(COUNTA($E439:$AE439)=0,Constants!$B$6,IF(OR(COUNTA($G439:$AE439)=0,NOT($AM439),$AS439),Constants!$B$5,IF(OR($CM439&lt;&gt;"",$CN439,$CO439,$CP439,$CQ439,$CR439,$CS439),Constants!$B$8,Constants!$B$4)))))</f>
        <v/>
      </c>
      <c r="BM439" s="100" t="str">
        <f aca="false">IF(ISBLANK($C439),"",IF($BL439&lt;&gt;Constants!$B$4,$BL439,IF(OR(NOT($AJ439),NOT($AL439),NOT($AT439)),Constants!$B$11,IF(OR(NOT($AR439),NOT($AU439),NOT($BI439),MAX($AN439,$AO439,$AP439)&gt;Constants!$B$30),Constants!$B$10,Constants!$B$9))))</f>
        <v/>
      </c>
      <c r="BN439" s="100" t="str">
        <f aca="false">IF($BL439&lt;&gt;Constants!$B$4,"",IF(NOT($AL439),0,MIN(Constants!$B$35,$BF439)))</f>
        <v/>
      </c>
      <c r="BO439" s="100" t="str">
        <f aca="false">IF($BL439&lt;&gt;Constants!$B$4,"",IF(NOT($AL439),0,IF($AW439,Constants!$B$18,IF($AV439,Constants!$B$17,0))))</f>
        <v/>
      </c>
      <c r="BP439" s="100" t="str">
        <f aca="false">IF($BL439&lt;&gt;Constants!$B$4,"",IF(NOT($AL439),0,Constants!$B$19*($AK439+$AX439+$AY439+$AZ439)))</f>
        <v/>
      </c>
      <c r="BQ439" s="100" t="str">
        <f aca="false">IF($BL439&lt;&gt;Constants!$B$4,"",IF(OR(NOT($AL439),NOT(ISNUMBER($BA439))),0,CHOOSE($BA439,Constants!$B$13,Constants!$B$14,Constants!$B$15,Constants!$B$16)))</f>
        <v/>
      </c>
      <c r="BR439" s="100" t="str">
        <f aca="false">IF($BL439&lt;&gt;Constants!$B$4,"",IF(NOT($AL439),0,Constants!$B$20*$BB439))</f>
        <v/>
      </c>
      <c r="BS439" s="100" t="str">
        <f aca="false">IF($BL439&lt;&gt;Constants!$B$4,"",IF(AND($AL439,$BD439,$BE439),Constants!$B$22,0))</f>
        <v/>
      </c>
      <c r="BT439" s="100" t="str">
        <f aca="false">IF($BL439&lt;&gt;Constants!$B$4,"",IF(OR(NOT($AL439),NOT($BD439)),0,IF($BJ439&gt;=2*$AH$9,0,Constants!$B$23*INT(ROUND(MIN($BJ439,$AH$9),6)))))</f>
        <v/>
      </c>
      <c r="BU439" s="100" t="str">
        <f aca="false">IF($BL439&lt;&gt;Constants!$B$4,"",IF(NOT($AL439),0,Constants!$B$24*INT(ROUND(MIN($BC439,$AH$9),6))))</f>
        <v/>
      </c>
      <c r="BV439" s="100" t="str">
        <f aca="false">IF($BL439&lt;&gt;Constants!$B$4,"",IF(AND($AL439,$BN439=0),Constants!$B$25,0))</f>
        <v/>
      </c>
      <c r="BW439" s="100" t="str">
        <f aca="false">IF($BL439&lt;&gt;Constants!$B$4,"",MIN(Constants!$B$29,MAX(0,Constants!$B$27*Constants!$B$28*INT(ROUND((Constants!$B$26-$AN439)/Constants!$B$28,6))))+MIN(Constants!$B$29,MAX(0,Constants!$B$27*Constants!$B$28*INT(ROUND((Constants!$B$26-$AO439)/Constants!$B$28,6))))+MIN(Constants!$B$29,MAX(0,Constants!$B$27*Constants!$B$28*INT(ROUND((Constants!$B$26-$AP439)/Constants!$B$28,6)))))</f>
        <v/>
      </c>
      <c r="BX439" s="100" t="str">
        <f aca="false">IF($BL439&lt;&gt;Constants!$B$4,"",IF(NOT($AL439),0,Constants!$B$31*INT(ROUND(MAX(0,MIN($BJ439,2*$AH$9)-$AH$9),6))))</f>
        <v/>
      </c>
      <c r="BY439" s="100" t="str">
        <f aca="false">IF($BL439&lt;&gt;Constants!$B$4,"",Constants!$B$32*(($AN439&gt;Constants!$B$26)+($AO439&gt;Constants!$B$26)+($AP439&gt;Constants!$B$26)))</f>
        <v/>
      </c>
      <c r="BZ439" s="100" t="str">
        <f aca="false">IF($BL439&lt;&gt;Constants!$B$4,"",IF(OR(NOT($AL439),$AQ439),0,Constants!$B$33))</f>
        <v/>
      </c>
      <c r="CA439" s="100" t="str">
        <f aca="false">IF($BL439&lt;&gt;Constants!$B$4,"",Constants!$B$34*$BN439)</f>
        <v/>
      </c>
      <c r="CB439" s="100" t="str">
        <f aca="false">IF($BL439&lt;&gt;Constants!$B$4,"",IF(OR(NOT($AL439),$BH439),0,Constants!$B$36))</f>
        <v/>
      </c>
      <c r="CC439" s="100" t="str">
        <f aca="false">IF($BL439&lt;&gt;Constants!$B$4,"",IF(OR(NOT($AL439),$BG439),0,Constants!$B$37))</f>
        <v/>
      </c>
      <c r="CD439" s="100" t="str">
        <f aca="false">IF($BL439&lt;&gt;Constants!$B$4,"",SUM($BX439:$CC439))</f>
        <v/>
      </c>
      <c r="CE439" s="100" t="str">
        <f aca="false">IF(ISBLANK($C439),"",IF($BL439&lt;&gt;Constants!$B$4,$BL439,SUM($BO439:$BW439)-$CD439))</f>
        <v/>
      </c>
      <c r="CF439" s="100" t="str">
        <f aca="false">IF(ISBLANK($C439),"",IF($BL439&lt;&gt;Constants!$B$4,$BL439,RANK($CE439,$CE$9:$CE$508)))</f>
        <v/>
      </c>
      <c r="CG439" s="100" t="str">
        <f aca="false">IF(ISBLANK($C439),"",IF($BL439&lt;&gt;Constants!$B$4,$BL439,COUNTIFS($BM$9:$BM$508,"&lt;"&amp;$BM439)+COUNTIFS($BM$9:$BM$508,$BM439,$CF$9:$CF$508,"&lt;"&amp;$CF439)+1))</f>
        <v/>
      </c>
      <c r="CH439" s="100" t="str">
        <f aca="false">IF(ISBLANK($C439),"",IF($BL439&lt;&gt;Constants!$B$4,$BL439,RANK($CD439,$CD$9:$CD$508,1)))</f>
        <v/>
      </c>
      <c r="CI439" s="100" t="str">
        <f aca="false">IF($BL439&lt;&gt;Constants!$B$4,"",$AN439+$AO439+$AP439)</f>
        <v/>
      </c>
      <c r="CJ439" s="100" t="str">
        <f aca="false">IF(ISBLANK($C439),"",IF($BL439&lt;&gt;Constants!$B$4,$BL439,RANK($CI439,$CI$9:$CI$508,1)))</f>
        <v/>
      </c>
      <c r="CK439" s="100" t="str">
        <f aca="false">IF(ISBLANK($C439),"",IF($BL439&lt;&gt;Constants!$B$4,$BL439,COUNTIFS($BM$9:$BM$508,"&lt;"&amp;$BM439)+COUNTIFS($BM$9:$BM$508,$BM439,$CF$9:$CF$508,"&lt;"&amp;$CF439)+COUNTIFS($BM$9:$BM$508,$BM439,$CF$9:$CF$508,$CF439,$CH$9:$CH$508,"&lt;"&amp;$CH439)+COUNTIFS($BM$9:$BM$508,$BM439,$CF$9:$CF$508,$CF439,$CH$9:$CH$508,$CH439,$CJ$9:$CJ$508,"&lt;"&amp;$CJ439)+1))</f>
        <v/>
      </c>
      <c r="CL439" s="100" t="str">
        <f aca="false">IF(ISBLANK($C439),"",IF($BL439&lt;&gt;Constants!$B$4,$BL439,$CG439-$CK439))</f>
        <v/>
      </c>
      <c r="CM439" s="100" t="str">
        <f aca="false">IF(ISBLANK($C439),"",IF(NOT($AL439),"",IF(ISBLANK($D$7),$CM$5,IF(NOT(ISNUMBER($D$7)),$CM$6,""))))</f>
        <v/>
      </c>
      <c r="CN439" s="100" t="str">
        <f aca="false">IF(ISBLANK($C439),"",OR($AN439="",$AO439="",$AP439=""))</f>
        <v/>
      </c>
      <c r="CO439" s="100" t="str">
        <f aca="false">IF(ISBLANK($C439),"",AND($AL439,$BA439=""))</f>
        <v/>
      </c>
      <c r="CP439" s="100" t="str">
        <f aca="false">IF(ISBLANK($C439),"",AND($AL439,$BB439=""))</f>
        <v/>
      </c>
      <c r="CQ439" s="100" t="str">
        <f aca="false">IF(ISBLANK($C439),"",AND($AL439,$BC439=""))</f>
        <v/>
      </c>
      <c r="CR439" s="100" t="str">
        <f aca="false">IF(ISBLANK($C439),"",AND($AL439,$BF439=""))</f>
        <v/>
      </c>
      <c r="CS439" s="100" t="str">
        <f aca="false">IF(ISBLANK($C439),"",AND($AL439,$BJ439=""))</f>
        <v/>
      </c>
      <c r="CT439" s="101"/>
      <c r="CU439" s="102"/>
      <c r="CV439" s="103" t="str">
        <f aca="false">IF(ISBLANK($C439),"",IF($BL439=Constants!$B$8,$CM439,""))</f>
        <v/>
      </c>
      <c r="CW439" s="102" t="str">
        <f aca="false">IF(ISBLANK($C439),"",IF($BL439&lt;&gt;Constants!$B$4,"",$BO439+$BP439))</f>
        <v/>
      </c>
      <c r="CX439" s="104" t="str">
        <f aca="false">IF(ISBLANK($C439),"",IF($BL439&lt;&gt;Constants!$B$4,"",$BQ439+$BR439+$BS439))</f>
        <v/>
      </c>
      <c r="CY439" s="104" t="str">
        <f aca="false">IF(ISBLANK($C439),"",IF($BL439&lt;&gt;Constants!$B$4,"",$BT439))</f>
        <v/>
      </c>
      <c r="CZ439" s="104" t="str">
        <f aca="false">IF(ISBLANK($C439),"",IF($BL439&lt;&gt;Constants!$B$4,"",$BU439+$BV439))</f>
        <v/>
      </c>
      <c r="DA439" s="104" t="str">
        <f aca="false">IF(ISBLANK($C439),"",IF($BL439&lt;&gt;Constants!$B$4,"",$BW439))</f>
        <v/>
      </c>
      <c r="DB439" s="104" t="str">
        <f aca="false">IF(ISBLANK($C439),"",IF($BL439&lt;&gt;Constants!$B$4,"",-$CD439))</f>
        <v/>
      </c>
      <c r="DC439" s="103" t="str">
        <f aca="false">IF(ISBLANK($C439),"",$CE439)</f>
        <v/>
      </c>
      <c r="DD439" s="105" t="str">
        <f aca="false">IF(ISBLANK($C439),"",$BM439)</f>
        <v/>
      </c>
      <c r="DE439" s="104" t="str">
        <f aca="false">IF(ISBLANK($C439),"",$CL439)</f>
        <v/>
      </c>
      <c r="DF439" s="104" t="str">
        <f aca="false">IF(ISBLANK($C439),"",$CK439)</f>
        <v/>
      </c>
      <c r="DG439" s="106" t="str">
        <f aca="false">IF(ISBLANK($C439),"",IF($DF439=Constants!$B$7,COUNTA($C$9:$C$508)+2,IF($DF439=Constants!$B$6,COUNTA($C$9:$C$508)+1,IF($DF439=Constants!$B$5,COUNTA($C$9:$C$508),$DF439))))</f>
        <v/>
      </c>
      <c r="DH439" s="7"/>
      <c r="DI439" s="107" t="n">
        <f aca="false">IF(OR(ISNUMBER($DF439),$DF439=Constants!$B$7,$DF439=Constants!$B$5,$DF439=Constants!$B$6),1,0)</f>
        <v>0</v>
      </c>
      <c r="DJ439" s="107" t="n">
        <v>431</v>
      </c>
      <c r="DK439" s="107" t="str">
        <f aca="false">IF(ISBLANK($C439),"",IF(ISNUMBER($DG439),$DG439+ROW($B439)/1000,""))</f>
        <v/>
      </c>
      <c r="DL439" s="107" t="str">
        <f aca="false">IF(ISNUMBER($DK439),RANK($DK439,$DK$9:$DK$508,1),"")</f>
        <v/>
      </c>
      <c r="DM439" s="107" t="str">
        <f aca="false">IF(ISBLANK($C439),"",$B439)</f>
        <v/>
      </c>
      <c r="DN439" s="107" t="str">
        <f aca="false">IF(ISBLANK($C439),"",$C439)</f>
        <v/>
      </c>
      <c r="DO439" s="107" t="str">
        <f aca="false">IF(ISBLANK($C439),"",$D439)</f>
        <v/>
      </c>
      <c r="DP439" s="108" t="str">
        <f aca="false">$DD439</f>
        <v/>
      </c>
      <c r="DQ439" s="109" t="str">
        <f aca="false">$DC439</f>
        <v/>
      </c>
      <c r="DR439" s="107" t="str">
        <f aca="false">IF(ISBLANK($C439),"",$DF439)</f>
        <v/>
      </c>
      <c r="DS439" s="110" t="str">
        <f aca="false">IF($DJ439&gt;$DI$8,"",VLOOKUP($DJ439,$DL$9:$DR$508,7,FALSE()))</f>
        <v/>
      </c>
      <c r="DT439" s="111" t="str">
        <f aca="false">IF($DJ439&gt;$DI$8,"",VLOOKUP($DJ439,$DL$9:$DR$508,2,FALSE()))</f>
        <v/>
      </c>
      <c r="DU439" s="111" t="str">
        <f aca="false">IF($DJ439&gt;$DI$8,"",VLOOKUP($DJ439,$DL$9:$DR$508,3,FALSE()))</f>
        <v/>
      </c>
      <c r="DV439" s="111" t="str">
        <f aca="false">IF($DJ439&gt;$DI$8,"",VLOOKUP($DJ439,$DL$9:$DR$508,4,FALSE()))</f>
        <v/>
      </c>
      <c r="DW439" s="111" t="str">
        <f aca="false">IF($DJ439&gt;$DI$8,"",VLOOKUP($DJ439,$DL$9:$DR$508,5,FALSE()))</f>
        <v/>
      </c>
      <c r="DX439" s="112" t="str">
        <f aca="false">IF($DJ439&gt;$DI$8,"",VLOOKUP($DJ439,$DL$9:$DR$508,6,FALSE()))</f>
        <v/>
      </c>
      <c r="DY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130"/>
      <c r="N440" s="130"/>
      <c r="O440" s="135"/>
      <c r="P440" s="135"/>
      <c r="Q440" s="130"/>
      <c r="R440" s="130"/>
      <c r="S440" s="130"/>
      <c r="T440" s="130"/>
      <c r="U440" s="135"/>
      <c r="V440" s="130"/>
      <c r="W440" s="96"/>
      <c r="X440" s="130"/>
      <c r="Y440" s="130"/>
      <c r="Z440" s="96"/>
      <c r="AA440" s="96"/>
      <c r="AB440" s="130"/>
      <c r="AC440" s="130"/>
      <c r="AD440" s="130"/>
      <c r="AE440" s="97"/>
      <c r="AF440" s="130"/>
      <c r="AG440" s="99"/>
      <c r="AH440" s="100"/>
      <c r="AI440" s="100"/>
      <c r="AJ440" s="100" t="str">
        <f aca="false">IF(ISBLANK($C440),"",IF($E440=Constants!$B$2,TRUE(),IF($E440=Constants!$B$3,FALSE(),TRUE())))</f>
        <v/>
      </c>
      <c r="AK440" s="100" t="str">
        <f aca="false">IF(ISBLANK($C440),"",IF($F440=Constants!$B$2,TRUE(),IF($F440=Constants!$B$3,FALSE(),FALSE())))</f>
        <v/>
      </c>
      <c r="AL440" s="100" t="str">
        <f aca="false">IF(ISBLANK($C440),"",IF($G440=Constants!$B$2,TRUE(),IF($G440=Constants!$B$3,FALSE(),TRUE())))</f>
        <v/>
      </c>
      <c r="AM440" s="100" t="str">
        <f aca="false">IF(ISBLANK($C440),"",IF($H440=Constants!$B$2,TRUE(),IF($H440=Constants!$B$3,FALSE(),TRUE())))</f>
        <v/>
      </c>
      <c r="AN440" s="100" t="str">
        <f aca="false">IF(ISBLANK($C440),"",IF(ISNUMBER($I440),IF($I440&gt;=0,$I440,""),""))</f>
        <v/>
      </c>
      <c r="AO440" s="100" t="str">
        <f aca="false">IF(ISBLANK($C440),"",IF(ISNUMBER($J440),IF($J440&gt;=0,$J440,""),""))</f>
        <v/>
      </c>
      <c r="AP440" s="100" t="str">
        <f aca="false">IF(ISBLANK($C440),"",IF(ISNUMBER($K440),IF($K440&gt;=0,$K440,""),""))</f>
        <v/>
      </c>
      <c r="AQ440" s="100" t="str">
        <f aca="false">IF(ISBLANK($C440),"",IF($L440=Constants!$B$2,TRUE(),IF($L440=Constants!$B$3,FALSE(),TRUE())))</f>
        <v/>
      </c>
      <c r="AR440" s="100" t="str">
        <f aca="false">IF(ISBLANK($C440),"",IF($M440=Constants!$B$2,TRUE(),IF($M440=Constants!$B$3,FALSE(),TRUE())))</f>
        <v/>
      </c>
      <c r="AS440" s="100" t="str">
        <f aca="false">IF(ISBLANK($C440),"",IF($N440=Constants!$B$2,TRUE(),IF($N440=Constants!$B$3,FALSE(),FALSE())))</f>
        <v/>
      </c>
      <c r="AT440" s="100" t="str">
        <f aca="false">IF(ISBLANK($C440),"",IF($O440=Constants!$B$2,TRUE(),IF($O440=Constants!$B$3,FALSE(),TRUE())))</f>
        <v/>
      </c>
      <c r="AU440" s="100" t="str">
        <f aca="false">IF(ISBLANK($C440),"",IF($P440=Constants!$B$2,TRUE(),IF($P440=Constants!$B$3,FALSE(),TRUE())))</f>
        <v/>
      </c>
      <c r="AV440" s="100" t="str">
        <f aca="false">IF(ISBLANK($C440),"",IF($Q440=Constants!$B$2,TRUE(),IF($Q440=Constants!$B$3,FALSE(),FALSE())))</f>
        <v/>
      </c>
      <c r="AW440" s="100" t="str">
        <f aca="false">IF(ISBLANK($C440),"",IF($R440=Constants!$B$2,TRUE(),IF($R440=Constants!$B$3,FALSE(),FALSE())))</f>
        <v/>
      </c>
      <c r="AX440" s="100" t="str">
        <f aca="false">IF(ISBLANK($C440),"",IF($S440=Constants!$B$2,TRUE(),IF($S440=Constants!$B$3,FALSE(),FALSE())))</f>
        <v/>
      </c>
      <c r="AY440" s="100" t="str">
        <f aca="false">IF(ISBLANK($C440),"",IF($T440=Constants!$B$2,TRUE(),IF($T440=Constants!$B$3,FALSE(),FALSE())))</f>
        <v/>
      </c>
      <c r="AZ440" s="100" t="str">
        <f aca="false">IF(ISBLANK($C440),"",IF($U440=Constants!$B$2,TRUE(),IF($U440=Constants!$B$3,FALSE(),FALSE())))</f>
        <v/>
      </c>
      <c r="BA440" s="100" t="str">
        <f aca="false">IF(ISBLANK($C440),"",IF(OR($V440&amp;""="1",$V440&amp;""="2",$V440&amp;""="3",$V440&amp;""="4"),VALUE($V440&amp;""),IF($V440=Constants!$B$12,Constants!$B$12,"")))</f>
        <v/>
      </c>
      <c r="BB440" s="100" t="str">
        <f aca="false">IF(ISBLANK($C440),"",IF(ISBLANK($W440),0,IF(ISNUMBER($W440),IF(AND($W440&gt;=0,$W440&lt;=Constants!$B$21,$W440=INT($W440)),$W440,""),"")))</f>
        <v/>
      </c>
      <c r="BC440" s="100" t="str">
        <f aca="false">IF(ISBLANK($C440),"",IF(ISBLANK($X440),0,IF(ISNUMBER($X440),IF($X440&gt;=0,$X440,""),"")))</f>
        <v/>
      </c>
      <c r="BD440" s="100" t="str">
        <f aca="false">IF(ISBLANK($C440),"",IF($Y440=Constants!$B$2,TRUE(),IF($Y440=Constants!$B$3,FALSE(),TRUE())))</f>
        <v/>
      </c>
      <c r="BE440" s="100" t="str">
        <f aca="false">IF(ISBLANK($C440),"",IF($Z440=Constants!$B$2,TRUE(),IF($Z440=Constants!$B$3,FALSE(),FALSE())))</f>
        <v/>
      </c>
      <c r="BF440" s="100" t="str">
        <f aca="false">IF(ISBLANK($C440),"",IF(ISBLANK($AA440),0,IF(ISNUMBER($AA440),IF(AND($AA440&gt;=0,$AA440&lt;=Constants!$B$35,$AA440=INT($AA440)),$AA440,""),"")))</f>
        <v/>
      </c>
      <c r="BG440" s="100" t="str">
        <f aca="false">IF(ISBLANK($C440),"",IF($AB440=Constants!$B$2,TRUE(),IF($AB440=Constants!$B$3,FALSE(),TRUE())))</f>
        <v/>
      </c>
      <c r="BH440" s="100" t="str">
        <f aca="false">IF(ISBLANK($C440),"",IF($AC440=Constants!$B$2,TRUE(),IF($AC440=Constants!$B$3,FALSE(),TRUE())))</f>
        <v/>
      </c>
      <c r="BI440" s="100" t="str">
        <f aca="false">IF(ISBLANK($C440),"",IF($AD440=Constants!$B$2,TRUE(),IF($AD440=Constants!$B$3,FALSE(),TRUE())))</f>
        <v/>
      </c>
      <c r="BJ440" s="100" t="str">
        <f aca="false">IF(ISBLANK($C440),"",IF(ISNUMBER($AE440),IF($AE440&gt;=0,$AE440,""),""))</f>
        <v/>
      </c>
      <c r="BK440" s="100" t="str">
        <f aca="false">IF(ISBLANK($C440),"",IF($AF440=Constants!$B$2,TRUE(),IF($AF440=Constants!$B$3,FALSE(),FALSE())))</f>
        <v/>
      </c>
      <c r="BL440" s="99" t="str">
        <f aca="false">IF(ISBLANK($C440),"",IF($BK440,Constants!$B$7,IF(COUNTA($E440:$AE440)=0,Constants!$B$6,IF(OR(COUNTA($G440:$AE440)=0,NOT($AM440),$AS440),Constants!$B$5,IF(OR($CM440&lt;&gt;"",$CN440,$CO440,$CP440,$CQ440,$CR440,$CS440),Constants!$B$8,Constants!$B$4)))))</f>
        <v/>
      </c>
      <c r="BM440" s="100" t="str">
        <f aca="false">IF(ISBLANK($C440),"",IF($BL440&lt;&gt;Constants!$B$4,$BL440,IF(OR(NOT($AJ440),NOT($AL440),NOT($AT440)),Constants!$B$11,IF(OR(NOT($AR440),NOT($AU440),NOT($BI440),MAX($AN440,$AO440,$AP440)&gt;Constants!$B$30),Constants!$B$10,Constants!$B$9))))</f>
        <v/>
      </c>
      <c r="BN440" s="100" t="str">
        <f aca="false">IF($BL440&lt;&gt;Constants!$B$4,"",IF(NOT($AL440),0,MIN(Constants!$B$35,$BF440)))</f>
        <v/>
      </c>
      <c r="BO440" s="100" t="str">
        <f aca="false">IF($BL440&lt;&gt;Constants!$B$4,"",IF(NOT($AL440),0,IF($AW440,Constants!$B$18,IF($AV440,Constants!$B$17,0))))</f>
        <v/>
      </c>
      <c r="BP440" s="100" t="str">
        <f aca="false">IF($BL440&lt;&gt;Constants!$B$4,"",IF(NOT($AL440),0,Constants!$B$19*($AK440+$AX440+$AY440+$AZ440)))</f>
        <v/>
      </c>
      <c r="BQ440" s="100" t="str">
        <f aca="false">IF($BL440&lt;&gt;Constants!$B$4,"",IF(OR(NOT($AL440),NOT(ISNUMBER($BA440))),0,CHOOSE($BA440,Constants!$B$13,Constants!$B$14,Constants!$B$15,Constants!$B$16)))</f>
        <v/>
      </c>
      <c r="BR440" s="100" t="str">
        <f aca="false">IF($BL440&lt;&gt;Constants!$B$4,"",IF(NOT($AL440),0,Constants!$B$20*$BB440))</f>
        <v/>
      </c>
      <c r="BS440" s="100" t="str">
        <f aca="false">IF($BL440&lt;&gt;Constants!$B$4,"",IF(AND($AL440,$BD440,$BE440),Constants!$B$22,0))</f>
        <v/>
      </c>
      <c r="BT440" s="100" t="str">
        <f aca="false">IF($BL440&lt;&gt;Constants!$B$4,"",IF(OR(NOT($AL440),NOT($BD440)),0,IF($BJ440&gt;=2*$AH$9,0,Constants!$B$23*INT(ROUND(MIN($BJ440,$AH$9),6)))))</f>
        <v/>
      </c>
      <c r="BU440" s="100" t="str">
        <f aca="false">IF($BL440&lt;&gt;Constants!$B$4,"",IF(NOT($AL440),0,Constants!$B$24*INT(ROUND(MIN($BC440,$AH$9),6))))</f>
        <v/>
      </c>
      <c r="BV440" s="100" t="str">
        <f aca="false">IF($BL440&lt;&gt;Constants!$B$4,"",IF(AND($AL440,$BN440=0),Constants!$B$25,0))</f>
        <v/>
      </c>
      <c r="BW440" s="100" t="str">
        <f aca="false">IF($BL440&lt;&gt;Constants!$B$4,"",MIN(Constants!$B$29,MAX(0,Constants!$B$27*Constants!$B$28*INT(ROUND((Constants!$B$26-$AN440)/Constants!$B$28,6))))+MIN(Constants!$B$29,MAX(0,Constants!$B$27*Constants!$B$28*INT(ROUND((Constants!$B$26-$AO440)/Constants!$B$28,6))))+MIN(Constants!$B$29,MAX(0,Constants!$B$27*Constants!$B$28*INT(ROUND((Constants!$B$26-$AP440)/Constants!$B$28,6)))))</f>
        <v/>
      </c>
      <c r="BX440" s="100" t="str">
        <f aca="false">IF($BL440&lt;&gt;Constants!$B$4,"",IF(NOT($AL440),0,Constants!$B$31*INT(ROUND(MAX(0,MIN($BJ440,2*$AH$9)-$AH$9),6))))</f>
        <v/>
      </c>
      <c r="BY440" s="100" t="str">
        <f aca="false">IF($BL440&lt;&gt;Constants!$B$4,"",Constants!$B$32*(($AN440&gt;Constants!$B$26)+($AO440&gt;Constants!$B$26)+($AP440&gt;Constants!$B$26)))</f>
        <v/>
      </c>
      <c r="BZ440" s="100" t="str">
        <f aca="false">IF($BL440&lt;&gt;Constants!$B$4,"",IF(OR(NOT($AL440),$AQ440),0,Constants!$B$33))</f>
        <v/>
      </c>
      <c r="CA440" s="100" t="str">
        <f aca="false">IF($BL440&lt;&gt;Constants!$B$4,"",Constants!$B$34*$BN440)</f>
        <v/>
      </c>
      <c r="CB440" s="100" t="str">
        <f aca="false">IF($BL440&lt;&gt;Constants!$B$4,"",IF(OR(NOT($AL440),$BH440),0,Constants!$B$36))</f>
        <v/>
      </c>
      <c r="CC440" s="100" t="str">
        <f aca="false">IF($BL440&lt;&gt;Constants!$B$4,"",IF(OR(NOT($AL440),$BG440),0,Constants!$B$37))</f>
        <v/>
      </c>
      <c r="CD440" s="100" t="str">
        <f aca="false">IF($BL440&lt;&gt;Constants!$B$4,"",SUM($BX440:$CC440))</f>
        <v/>
      </c>
      <c r="CE440" s="100" t="str">
        <f aca="false">IF(ISBLANK($C440),"",IF($BL440&lt;&gt;Constants!$B$4,$BL440,SUM($BO440:$BW440)-$CD440))</f>
        <v/>
      </c>
      <c r="CF440" s="100" t="str">
        <f aca="false">IF(ISBLANK($C440),"",IF($BL440&lt;&gt;Constants!$B$4,$BL440,RANK($CE440,$CE$9:$CE$508)))</f>
        <v/>
      </c>
      <c r="CG440" s="100" t="str">
        <f aca="false">IF(ISBLANK($C440),"",IF($BL440&lt;&gt;Constants!$B$4,$BL440,COUNTIFS($BM$9:$BM$508,"&lt;"&amp;$BM440)+COUNTIFS($BM$9:$BM$508,$BM440,$CF$9:$CF$508,"&lt;"&amp;$CF440)+1))</f>
        <v/>
      </c>
      <c r="CH440" s="100" t="str">
        <f aca="false">IF(ISBLANK($C440),"",IF($BL440&lt;&gt;Constants!$B$4,$BL440,RANK($CD440,$CD$9:$CD$508,1)))</f>
        <v/>
      </c>
      <c r="CI440" s="100" t="str">
        <f aca="false">IF($BL440&lt;&gt;Constants!$B$4,"",$AN440+$AO440+$AP440)</f>
        <v/>
      </c>
      <c r="CJ440" s="100" t="str">
        <f aca="false">IF(ISBLANK($C440),"",IF($BL440&lt;&gt;Constants!$B$4,$BL440,RANK($CI440,$CI$9:$CI$508,1)))</f>
        <v/>
      </c>
      <c r="CK440" s="100" t="str">
        <f aca="false">IF(ISBLANK($C440),"",IF($BL440&lt;&gt;Constants!$B$4,$BL440,COUNTIFS($BM$9:$BM$508,"&lt;"&amp;$BM440)+COUNTIFS($BM$9:$BM$508,$BM440,$CF$9:$CF$508,"&lt;"&amp;$CF440)+COUNTIFS($BM$9:$BM$508,$BM440,$CF$9:$CF$508,$CF440,$CH$9:$CH$508,"&lt;"&amp;$CH440)+COUNTIFS($BM$9:$BM$508,$BM440,$CF$9:$CF$508,$CF440,$CH$9:$CH$508,$CH440,$CJ$9:$CJ$508,"&lt;"&amp;$CJ440)+1))</f>
        <v/>
      </c>
      <c r="CL440" s="100" t="str">
        <f aca="false">IF(ISBLANK($C440),"",IF($BL440&lt;&gt;Constants!$B$4,$BL440,$CG440-$CK440))</f>
        <v/>
      </c>
      <c r="CM440" s="100" t="str">
        <f aca="false">IF(ISBLANK($C440),"",IF(NOT($AL440),"",IF(ISBLANK($D$7),$CM$5,IF(NOT(ISNUMBER($D$7)),$CM$6,""))))</f>
        <v/>
      </c>
      <c r="CN440" s="100" t="str">
        <f aca="false">IF(ISBLANK($C440),"",OR($AN440="",$AO440="",$AP440=""))</f>
        <v/>
      </c>
      <c r="CO440" s="100" t="str">
        <f aca="false">IF(ISBLANK($C440),"",AND($AL440,$BA440=""))</f>
        <v/>
      </c>
      <c r="CP440" s="100" t="str">
        <f aca="false">IF(ISBLANK($C440),"",AND($AL440,$BB440=""))</f>
        <v/>
      </c>
      <c r="CQ440" s="100" t="str">
        <f aca="false">IF(ISBLANK($C440),"",AND($AL440,$BC440=""))</f>
        <v/>
      </c>
      <c r="CR440" s="100" t="str">
        <f aca="false">IF(ISBLANK($C440),"",AND($AL440,$BF440=""))</f>
        <v/>
      </c>
      <c r="CS440" s="100" t="str">
        <f aca="false">IF(ISBLANK($C440),"",AND($AL440,$BJ440=""))</f>
        <v/>
      </c>
      <c r="CT440" s="101"/>
      <c r="CU440" s="102"/>
      <c r="CV440" s="103" t="str">
        <f aca="false">IF(ISBLANK($C440),"",IF($BL440=Constants!$B$8,$CM440,""))</f>
        <v/>
      </c>
      <c r="CW440" s="102" t="str">
        <f aca="false">IF(ISBLANK($C440),"",IF($BL440&lt;&gt;Constants!$B$4,"",$BO440+$BP440))</f>
        <v/>
      </c>
      <c r="CX440" s="104" t="str">
        <f aca="false">IF(ISBLANK($C440),"",IF($BL440&lt;&gt;Constants!$B$4,"",$BQ440+$BR440+$BS440))</f>
        <v/>
      </c>
      <c r="CY440" s="104" t="str">
        <f aca="false">IF(ISBLANK($C440),"",IF($BL440&lt;&gt;Constants!$B$4,"",$BT440))</f>
        <v/>
      </c>
      <c r="CZ440" s="104" t="str">
        <f aca="false">IF(ISBLANK($C440),"",IF($BL440&lt;&gt;Constants!$B$4,"",$BU440+$BV440))</f>
        <v/>
      </c>
      <c r="DA440" s="104" t="str">
        <f aca="false">IF(ISBLANK($C440),"",IF($BL440&lt;&gt;Constants!$B$4,"",$BW440))</f>
        <v/>
      </c>
      <c r="DB440" s="104" t="str">
        <f aca="false">IF(ISBLANK($C440),"",IF($BL440&lt;&gt;Constants!$B$4,"",-$CD440))</f>
        <v/>
      </c>
      <c r="DC440" s="103" t="str">
        <f aca="false">IF(ISBLANK($C440),"",$CE440)</f>
        <v/>
      </c>
      <c r="DD440" s="105" t="str">
        <f aca="false">IF(ISBLANK($C440),"",$BM440)</f>
        <v/>
      </c>
      <c r="DE440" s="104" t="str">
        <f aca="false">IF(ISBLANK($C440),"",$CL440)</f>
        <v/>
      </c>
      <c r="DF440" s="104" t="str">
        <f aca="false">IF(ISBLANK($C440),"",$CK440)</f>
        <v/>
      </c>
      <c r="DG440" s="106" t="str">
        <f aca="false">IF(ISBLANK($C440),"",IF($DF440=Constants!$B$7,COUNTA($C$9:$C$508)+2,IF($DF440=Constants!$B$6,COUNTA($C$9:$C$508)+1,IF($DF440=Constants!$B$5,COUNTA($C$9:$C$508),$DF440))))</f>
        <v/>
      </c>
      <c r="DH440" s="7"/>
      <c r="DI440" s="107" t="n">
        <f aca="false">IF(OR(ISNUMBER($DF440),$DF440=Constants!$B$7,$DF440=Constants!$B$5,$DF440=Constants!$B$6),1,0)</f>
        <v>0</v>
      </c>
      <c r="DJ440" s="107" t="n">
        <v>432</v>
      </c>
      <c r="DK440" s="107" t="str">
        <f aca="false">IF(ISBLANK($C440),"",IF(ISNUMBER($DG440),$DG440+ROW($B440)/1000,""))</f>
        <v/>
      </c>
      <c r="DL440" s="107" t="str">
        <f aca="false">IF(ISNUMBER($DK440),RANK($DK440,$DK$9:$DK$508,1),"")</f>
        <v/>
      </c>
      <c r="DM440" s="107" t="str">
        <f aca="false">IF(ISBLANK($C440),"",$B440)</f>
        <v/>
      </c>
      <c r="DN440" s="107" t="str">
        <f aca="false">IF(ISBLANK($C440),"",$C440)</f>
        <v/>
      </c>
      <c r="DO440" s="107" t="str">
        <f aca="false">IF(ISBLANK($C440),"",$D440)</f>
        <v/>
      </c>
      <c r="DP440" s="108" t="str">
        <f aca="false">$DD440</f>
        <v/>
      </c>
      <c r="DQ440" s="109" t="str">
        <f aca="false">$DC440</f>
        <v/>
      </c>
      <c r="DR440" s="107" t="str">
        <f aca="false">IF(ISBLANK($C440),"",$DF440)</f>
        <v/>
      </c>
      <c r="DS440" s="110" t="str">
        <f aca="false">IF($DJ440&gt;$DI$8,"",VLOOKUP($DJ440,$DL$9:$DR$508,7,FALSE()))</f>
        <v/>
      </c>
      <c r="DT440" s="111" t="str">
        <f aca="false">IF($DJ440&gt;$DI$8,"",VLOOKUP($DJ440,$DL$9:$DR$508,2,FALSE()))</f>
        <v/>
      </c>
      <c r="DU440" s="111" t="str">
        <f aca="false">IF($DJ440&gt;$DI$8,"",VLOOKUP($DJ440,$DL$9:$DR$508,3,FALSE()))</f>
        <v/>
      </c>
      <c r="DV440" s="111" t="str">
        <f aca="false">IF($DJ440&gt;$DI$8,"",VLOOKUP($DJ440,$DL$9:$DR$508,4,FALSE()))</f>
        <v/>
      </c>
      <c r="DW440" s="111" t="str">
        <f aca="false">IF($DJ440&gt;$DI$8,"",VLOOKUP($DJ440,$DL$9:$DR$508,5,FALSE()))</f>
        <v/>
      </c>
      <c r="DX440" s="112" t="str">
        <f aca="false">IF($DJ440&gt;$DI$8,"",VLOOKUP($DJ440,$DL$9:$DR$508,6,FALSE()))</f>
        <v/>
      </c>
      <c r="DY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88"/>
      <c r="N441" s="88"/>
      <c r="O441" s="134"/>
      <c r="P441" s="134"/>
      <c r="Q441" s="88"/>
      <c r="R441" s="88"/>
      <c r="S441" s="88"/>
      <c r="T441" s="88"/>
      <c r="U441" s="134"/>
      <c r="V441" s="88"/>
      <c r="W441" s="70"/>
      <c r="X441" s="88"/>
      <c r="Y441" s="88"/>
      <c r="Z441" s="70"/>
      <c r="AA441" s="70"/>
      <c r="AB441" s="88"/>
      <c r="AC441" s="88"/>
      <c r="AD441" s="88"/>
      <c r="AE441" s="71"/>
      <c r="AF441" s="88"/>
      <c r="AG441" s="73"/>
      <c r="AH441" s="74"/>
      <c r="AI441" s="74"/>
      <c r="AJ441" s="74" t="str">
        <f aca="false">IF(ISBLANK($C441),"",IF($E441=Constants!$B$2,TRUE(),IF($E441=Constants!$B$3,FALSE(),TRUE())))</f>
        <v/>
      </c>
      <c r="AK441" s="74" t="str">
        <f aca="false">IF(ISBLANK($C441),"",IF($F441=Constants!$B$2,TRUE(),IF($F441=Constants!$B$3,FALSE(),FALSE())))</f>
        <v/>
      </c>
      <c r="AL441" s="74" t="str">
        <f aca="false">IF(ISBLANK($C441),"",IF($G441=Constants!$B$2,TRUE(),IF($G441=Constants!$B$3,FALSE(),TRUE())))</f>
        <v/>
      </c>
      <c r="AM441" s="74" t="str">
        <f aca="false">IF(ISBLANK($C441),"",IF($H441=Constants!$B$2,TRUE(),IF($H441=Constants!$B$3,FALSE(),TRUE())))</f>
        <v/>
      </c>
      <c r="AN441" s="74" t="str">
        <f aca="false">IF(ISBLANK($C441),"",IF(ISNUMBER($I441),IF($I441&gt;=0,$I441,""),""))</f>
        <v/>
      </c>
      <c r="AO441" s="74" t="str">
        <f aca="false">IF(ISBLANK($C441),"",IF(ISNUMBER($J441),IF($J441&gt;=0,$J441,""),""))</f>
        <v/>
      </c>
      <c r="AP441" s="74" t="str">
        <f aca="false">IF(ISBLANK($C441),"",IF(ISNUMBER($K441),IF($K441&gt;=0,$K441,""),""))</f>
        <v/>
      </c>
      <c r="AQ441" s="74" t="str">
        <f aca="false">IF(ISBLANK($C441),"",IF($L441=Constants!$B$2,TRUE(),IF($L441=Constants!$B$3,FALSE(),TRUE())))</f>
        <v/>
      </c>
      <c r="AR441" s="74" t="str">
        <f aca="false">IF(ISBLANK($C441),"",IF($M441=Constants!$B$2,TRUE(),IF($M441=Constants!$B$3,FALSE(),TRUE())))</f>
        <v/>
      </c>
      <c r="AS441" s="74" t="str">
        <f aca="false">IF(ISBLANK($C441),"",IF($N441=Constants!$B$2,TRUE(),IF($N441=Constants!$B$3,FALSE(),FALSE())))</f>
        <v/>
      </c>
      <c r="AT441" s="74" t="str">
        <f aca="false">IF(ISBLANK($C441),"",IF($O441=Constants!$B$2,TRUE(),IF($O441=Constants!$B$3,FALSE(),TRUE())))</f>
        <v/>
      </c>
      <c r="AU441" s="74" t="str">
        <f aca="false">IF(ISBLANK($C441),"",IF($P441=Constants!$B$2,TRUE(),IF($P441=Constants!$B$3,FALSE(),TRUE())))</f>
        <v/>
      </c>
      <c r="AV441" s="74" t="str">
        <f aca="false">IF(ISBLANK($C441),"",IF($Q441=Constants!$B$2,TRUE(),IF($Q441=Constants!$B$3,FALSE(),FALSE())))</f>
        <v/>
      </c>
      <c r="AW441" s="74" t="str">
        <f aca="false">IF(ISBLANK($C441),"",IF($R441=Constants!$B$2,TRUE(),IF($R441=Constants!$B$3,FALSE(),FALSE())))</f>
        <v/>
      </c>
      <c r="AX441" s="74" t="str">
        <f aca="false">IF(ISBLANK($C441),"",IF($S441=Constants!$B$2,TRUE(),IF($S441=Constants!$B$3,FALSE(),FALSE())))</f>
        <v/>
      </c>
      <c r="AY441" s="74" t="str">
        <f aca="false">IF(ISBLANK($C441),"",IF($T441=Constants!$B$2,TRUE(),IF($T441=Constants!$B$3,FALSE(),FALSE())))</f>
        <v/>
      </c>
      <c r="AZ441" s="74" t="str">
        <f aca="false">IF(ISBLANK($C441),"",IF($U441=Constants!$B$2,TRUE(),IF($U441=Constants!$B$3,FALSE(),FALSE())))</f>
        <v/>
      </c>
      <c r="BA441" s="74" t="str">
        <f aca="false">IF(ISBLANK($C441),"",IF(OR($V441&amp;""="1",$V441&amp;""="2",$V441&amp;""="3",$V441&amp;""="4"),VALUE($V441&amp;""),IF($V441=Constants!$B$12,Constants!$B$12,"")))</f>
        <v/>
      </c>
      <c r="BB441" s="74" t="str">
        <f aca="false">IF(ISBLANK($C441),"",IF(ISBLANK($W441),0,IF(ISNUMBER($W441),IF(AND($W441&gt;=0,$W441&lt;=Constants!$B$21,$W441=INT($W441)),$W441,""),"")))</f>
        <v/>
      </c>
      <c r="BC441" s="74" t="str">
        <f aca="false">IF(ISBLANK($C441),"",IF(ISBLANK($X441),0,IF(ISNUMBER($X441),IF($X441&gt;=0,$X441,""),"")))</f>
        <v/>
      </c>
      <c r="BD441" s="74" t="str">
        <f aca="false">IF(ISBLANK($C441),"",IF($Y441=Constants!$B$2,TRUE(),IF($Y441=Constants!$B$3,FALSE(),TRUE())))</f>
        <v/>
      </c>
      <c r="BE441" s="74" t="str">
        <f aca="false">IF(ISBLANK($C441),"",IF($Z441=Constants!$B$2,TRUE(),IF($Z441=Constants!$B$3,FALSE(),FALSE())))</f>
        <v/>
      </c>
      <c r="BF441" s="74" t="str">
        <f aca="false">IF(ISBLANK($C441),"",IF(ISBLANK($AA441),0,IF(ISNUMBER($AA441),IF(AND($AA441&gt;=0,$AA441&lt;=Constants!$B$35,$AA441=INT($AA441)),$AA441,""),"")))</f>
        <v/>
      </c>
      <c r="BG441" s="74" t="str">
        <f aca="false">IF(ISBLANK($C441),"",IF($AB441=Constants!$B$2,TRUE(),IF($AB441=Constants!$B$3,FALSE(),TRUE())))</f>
        <v/>
      </c>
      <c r="BH441" s="74" t="str">
        <f aca="false">IF(ISBLANK($C441),"",IF($AC441=Constants!$B$2,TRUE(),IF($AC441=Constants!$B$3,FALSE(),TRUE())))</f>
        <v/>
      </c>
      <c r="BI441" s="74" t="str">
        <f aca="false">IF(ISBLANK($C441),"",IF($AD441=Constants!$B$2,TRUE(),IF($AD441=Constants!$B$3,FALSE(),TRUE())))</f>
        <v/>
      </c>
      <c r="BJ441" s="74" t="str">
        <f aca="false">IF(ISBLANK($C441),"",IF(ISNUMBER($AE441),IF($AE441&gt;=0,$AE441,""),""))</f>
        <v/>
      </c>
      <c r="BK441" s="74" t="str">
        <f aca="false">IF(ISBLANK($C441),"",IF($AF441=Constants!$B$2,TRUE(),IF($AF441=Constants!$B$3,FALSE(),FALSE())))</f>
        <v/>
      </c>
      <c r="BL441" s="73" t="str">
        <f aca="false">IF(ISBLANK($C441),"",IF($BK441,Constants!$B$7,IF(COUNTA($E441:$AE441)=0,Constants!$B$6,IF(OR(COUNTA($G441:$AE441)=0,NOT($AM441),$AS441),Constants!$B$5,IF(OR($CM441&lt;&gt;"",$CN441,$CO441,$CP441,$CQ441,$CR441,$CS441),Constants!$B$8,Constants!$B$4)))))</f>
        <v/>
      </c>
      <c r="BM441" s="74" t="str">
        <f aca="false">IF(ISBLANK($C441),"",IF($BL441&lt;&gt;Constants!$B$4,$BL441,IF(OR(NOT($AJ441),NOT($AL441),NOT($AT441)),Constants!$B$11,IF(OR(NOT($AR441),NOT($AU441),NOT($BI441),MAX($AN441,$AO441,$AP441)&gt;Constants!$B$30),Constants!$B$10,Constants!$B$9))))</f>
        <v/>
      </c>
      <c r="BN441" s="74" t="str">
        <f aca="false">IF($BL441&lt;&gt;Constants!$B$4,"",IF(NOT($AL441),0,MIN(Constants!$B$35,$BF441)))</f>
        <v/>
      </c>
      <c r="BO441" s="74" t="str">
        <f aca="false">IF($BL441&lt;&gt;Constants!$B$4,"",IF(NOT($AL441),0,IF($AW441,Constants!$B$18,IF($AV441,Constants!$B$17,0))))</f>
        <v/>
      </c>
      <c r="BP441" s="74" t="str">
        <f aca="false">IF($BL441&lt;&gt;Constants!$B$4,"",IF(NOT($AL441),0,Constants!$B$19*($AK441+$AX441+$AY441+$AZ441)))</f>
        <v/>
      </c>
      <c r="BQ441" s="74" t="str">
        <f aca="false">IF($BL441&lt;&gt;Constants!$B$4,"",IF(OR(NOT($AL441),NOT(ISNUMBER($BA441))),0,CHOOSE($BA441,Constants!$B$13,Constants!$B$14,Constants!$B$15,Constants!$B$16)))</f>
        <v/>
      </c>
      <c r="BR441" s="74" t="str">
        <f aca="false">IF($BL441&lt;&gt;Constants!$B$4,"",IF(NOT($AL441),0,Constants!$B$20*$BB441))</f>
        <v/>
      </c>
      <c r="BS441" s="74" t="str">
        <f aca="false">IF($BL441&lt;&gt;Constants!$B$4,"",IF(AND($AL441,$BD441,$BE441),Constants!$B$22,0))</f>
        <v/>
      </c>
      <c r="BT441" s="74" t="str">
        <f aca="false">IF($BL441&lt;&gt;Constants!$B$4,"",IF(OR(NOT($AL441),NOT($BD441)),0,IF($BJ441&gt;=2*$AH$9,0,Constants!$B$23*INT(ROUND(MIN($BJ441,$AH$9),6)))))</f>
        <v/>
      </c>
      <c r="BU441" s="74" t="str">
        <f aca="false">IF($BL441&lt;&gt;Constants!$B$4,"",IF(NOT($AL441),0,Constants!$B$24*INT(ROUND(MIN($BC441,$AH$9),6))))</f>
        <v/>
      </c>
      <c r="BV441" s="74" t="str">
        <f aca="false">IF($BL441&lt;&gt;Constants!$B$4,"",IF(AND($AL441,$BN441=0),Constants!$B$25,0))</f>
        <v/>
      </c>
      <c r="BW441" s="74" t="str">
        <f aca="false">IF($BL441&lt;&gt;Constants!$B$4,"",MIN(Constants!$B$29,MAX(0,Constants!$B$27*Constants!$B$28*INT(ROUND((Constants!$B$26-$AN441)/Constants!$B$28,6))))+MIN(Constants!$B$29,MAX(0,Constants!$B$27*Constants!$B$28*INT(ROUND((Constants!$B$26-$AO441)/Constants!$B$28,6))))+MIN(Constants!$B$29,MAX(0,Constants!$B$27*Constants!$B$28*INT(ROUND((Constants!$B$26-$AP441)/Constants!$B$28,6)))))</f>
        <v/>
      </c>
      <c r="BX441" s="74" t="str">
        <f aca="false">IF($BL441&lt;&gt;Constants!$B$4,"",IF(NOT($AL441),0,Constants!$B$31*INT(ROUND(MAX(0,MIN($BJ441,2*$AH$9)-$AH$9),6))))</f>
        <v/>
      </c>
      <c r="BY441" s="74" t="str">
        <f aca="false">IF($BL441&lt;&gt;Constants!$B$4,"",Constants!$B$32*(($AN441&gt;Constants!$B$26)+($AO441&gt;Constants!$B$26)+($AP441&gt;Constants!$B$26)))</f>
        <v/>
      </c>
      <c r="BZ441" s="74" t="str">
        <f aca="false">IF($BL441&lt;&gt;Constants!$B$4,"",IF(OR(NOT($AL441),$AQ441),0,Constants!$B$33))</f>
        <v/>
      </c>
      <c r="CA441" s="74" t="str">
        <f aca="false">IF($BL441&lt;&gt;Constants!$B$4,"",Constants!$B$34*$BN441)</f>
        <v/>
      </c>
      <c r="CB441" s="74" t="str">
        <f aca="false">IF($BL441&lt;&gt;Constants!$B$4,"",IF(OR(NOT($AL441),$BH441),0,Constants!$B$36))</f>
        <v/>
      </c>
      <c r="CC441" s="74" t="str">
        <f aca="false">IF($BL441&lt;&gt;Constants!$B$4,"",IF(OR(NOT($AL441),$BG441),0,Constants!$B$37))</f>
        <v/>
      </c>
      <c r="CD441" s="74" t="str">
        <f aca="false">IF($BL441&lt;&gt;Constants!$B$4,"",SUM($BX441:$CC441))</f>
        <v/>
      </c>
      <c r="CE441" s="74" t="str">
        <f aca="false">IF(ISBLANK($C441),"",IF($BL441&lt;&gt;Constants!$B$4,$BL441,SUM($BO441:$BW441)-$CD441))</f>
        <v/>
      </c>
      <c r="CF441" s="74" t="str">
        <f aca="false">IF(ISBLANK($C441),"",IF($BL441&lt;&gt;Constants!$B$4,$BL441,RANK($CE441,$CE$9:$CE$508)))</f>
        <v/>
      </c>
      <c r="CG441" s="74" t="str">
        <f aca="false">IF(ISBLANK($C441),"",IF($BL441&lt;&gt;Constants!$B$4,$BL441,COUNTIFS($BM$9:$BM$508,"&lt;"&amp;$BM441)+COUNTIFS($BM$9:$BM$508,$BM441,$CF$9:$CF$508,"&lt;"&amp;$CF441)+1))</f>
        <v/>
      </c>
      <c r="CH441" s="74" t="str">
        <f aca="false">IF(ISBLANK($C441),"",IF($BL441&lt;&gt;Constants!$B$4,$BL441,RANK($CD441,$CD$9:$CD$508,1)))</f>
        <v/>
      </c>
      <c r="CI441" s="74" t="str">
        <f aca="false">IF($BL441&lt;&gt;Constants!$B$4,"",$AN441+$AO441+$AP441)</f>
        <v/>
      </c>
      <c r="CJ441" s="74" t="str">
        <f aca="false">IF(ISBLANK($C441),"",IF($BL441&lt;&gt;Constants!$B$4,$BL441,RANK($CI441,$CI$9:$CI$508,1)))</f>
        <v/>
      </c>
      <c r="CK441" s="74" t="str">
        <f aca="false">IF(ISBLANK($C441),"",IF($BL441&lt;&gt;Constants!$B$4,$BL441,COUNTIFS($BM$9:$BM$508,"&lt;"&amp;$BM441)+COUNTIFS($BM$9:$BM$508,$BM441,$CF$9:$CF$508,"&lt;"&amp;$CF441)+COUNTIFS($BM$9:$BM$508,$BM441,$CF$9:$CF$508,$CF441,$CH$9:$CH$508,"&lt;"&amp;$CH441)+COUNTIFS($BM$9:$BM$508,$BM441,$CF$9:$CF$508,$CF441,$CH$9:$CH$508,$CH441,$CJ$9:$CJ$508,"&lt;"&amp;$CJ441)+1))</f>
        <v/>
      </c>
      <c r="CL441" s="74" t="str">
        <f aca="false">IF(ISBLANK($C441),"",IF($BL441&lt;&gt;Constants!$B$4,$BL441,$CG441-$CK441))</f>
        <v/>
      </c>
      <c r="CM441" s="74" t="str">
        <f aca="false">IF(ISBLANK($C441),"",IF(NOT($AL441),"",IF(ISBLANK($D$7),$CM$5,IF(NOT(ISNUMBER($D$7)),$CM$6,""))))</f>
        <v/>
      </c>
      <c r="CN441" s="74" t="str">
        <f aca="false">IF(ISBLANK($C441),"",OR($AN441="",$AO441="",$AP441=""))</f>
        <v/>
      </c>
      <c r="CO441" s="74" t="str">
        <f aca="false">IF(ISBLANK($C441),"",AND($AL441,$BA441=""))</f>
        <v/>
      </c>
      <c r="CP441" s="74" t="str">
        <f aca="false">IF(ISBLANK($C441),"",AND($AL441,$BB441=""))</f>
        <v/>
      </c>
      <c r="CQ441" s="74" t="str">
        <f aca="false">IF(ISBLANK($C441),"",AND($AL441,$BC441=""))</f>
        <v/>
      </c>
      <c r="CR441" s="74" t="str">
        <f aca="false">IF(ISBLANK($C441),"",AND($AL441,$BF441=""))</f>
        <v/>
      </c>
      <c r="CS441" s="74" t="str">
        <f aca="false">IF(ISBLANK($C441),"",AND($AL441,$BJ441=""))</f>
        <v/>
      </c>
      <c r="CT441" s="75"/>
      <c r="CU441" s="76"/>
      <c r="CV441" s="79" t="str">
        <f aca="false">IF(ISBLANK($C441),"",IF($BL441=Constants!$B$8,$CM441,""))</f>
        <v/>
      </c>
      <c r="CW441" s="76" t="str">
        <f aca="false">IF(ISBLANK($C441),"",IF($BL441&lt;&gt;Constants!$B$4,"",$BO441+$BP441))</f>
        <v/>
      </c>
      <c r="CX441" s="78" t="str">
        <f aca="false">IF(ISBLANK($C441),"",IF($BL441&lt;&gt;Constants!$B$4,"",$BQ441+$BR441+$BS441))</f>
        <v/>
      </c>
      <c r="CY441" s="78" t="str">
        <f aca="false">IF(ISBLANK($C441),"",IF($BL441&lt;&gt;Constants!$B$4,"",$BT441))</f>
        <v/>
      </c>
      <c r="CZ441" s="78" t="str">
        <f aca="false">IF(ISBLANK($C441),"",IF($BL441&lt;&gt;Constants!$B$4,"",$BU441+$BV441))</f>
        <v/>
      </c>
      <c r="DA441" s="78" t="str">
        <f aca="false">IF(ISBLANK($C441),"",IF($BL441&lt;&gt;Constants!$B$4,"",$BW441))</f>
        <v/>
      </c>
      <c r="DB441" s="78" t="str">
        <f aca="false">IF(ISBLANK($C441),"",IF($BL441&lt;&gt;Constants!$B$4,"",-$CD441))</f>
        <v/>
      </c>
      <c r="DC441" s="79" t="str">
        <f aca="false">IF(ISBLANK($C441),"",$CE441)</f>
        <v/>
      </c>
      <c r="DD441" s="80" t="str">
        <f aca="false">IF(ISBLANK($C441),"",$BM441)</f>
        <v/>
      </c>
      <c r="DE441" s="78" t="str">
        <f aca="false">IF(ISBLANK($C441),"",$CL441)</f>
        <v/>
      </c>
      <c r="DF441" s="78" t="str">
        <f aca="false">IF(ISBLANK($C441),"",$CK441)</f>
        <v/>
      </c>
      <c r="DG441" s="81" t="str">
        <f aca="false">IF(ISBLANK($C441),"",IF($DF441=Constants!$B$7,COUNTA($C$9:$C$508)+2,IF($DF441=Constants!$B$6,COUNTA($C$9:$C$508)+1,IF($DF441=Constants!$B$5,COUNTA($C$9:$C$508),$DF441))))</f>
        <v/>
      </c>
      <c r="DH441" s="7"/>
      <c r="DI441" s="82" t="n">
        <f aca="false">IF(OR(ISNUMBER($DF441),$DF441=Constants!$B$7,$DF441=Constants!$B$5,$DF441=Constants!$B$6),1,0)</f>
        <v>0</v>
      </c>
      <c r="DJ441" s="82" t="n">
        <v>433</v>
      </c>
      <c r="DK441" s="82" t="str">
        <f aca="false">IF(ISBLANK($C441),"",IF(ISNUMBER($DG441),$DG441+ROW($B441)/1000,""))</f>
        <v/>
      </c>
      <c r="DL441" s="82" t="str">
        <f aca="false">IF(ISNUMBER($DK441),RANK($DK441,$DK$9:$DK$508,1),"")</f>
        <v/>
      </c>
      <c r="DM441" s="82" t="str">
        <f aca="false">IF(ISBLANK($C441),"",$B441)</f>
        <v/>
      </c>
      <c r="DN441" s="82" t="str">
        <f aca="false">IF(ISBLANK($C441),"",$C441)</f>
        <v/>
      </c>
      <c r="DO441" s="82" t="str">
        <f aca="false">IF(ISBLANK($C441),"",$D441)</f>
        <v/>
      </c>
      <c r="DP441" s="83" t="str">
        <f aca="false">$DD441</f>
        <v/>
      </c>
      <c r="DQ441" s="84" t="str">
        <f aca="false">$DC441</f>
        <v/>
      </c>
      <c r="DR441" s="82" t="str">
        <f aca="false">IF(ISBLANK($C441),"",$DF441)</f>
        <v/>
      </c>
      <c r="DS441" s="85" t="str">
        <f aca="false">IF($DJ441&gt;$DI$8,"",VLOOKUP($DJ441,$DL$9:$DR$508,7,FALSE()))</f>
        <v/>
      </c>
      <c r="DT441" s="86" t="str">
        <f aca="false">IF($DJ441&gt;$DI$8,"",VLOOKUP($DJ441,$DL$9:$DR$508,2,FALSE()))</f>
        <v/>
      </c>
      <c r="DU441" s="86" t="str">
        <f aca="false">IF($DJ441&gt;$DI$8,"",VLOOKUP($DJ441,$DL$9:$DR$508,3,FALSE()))</f>
        <v/>
      </c>
      <c r="DV441" s="86" t="str">
        <f aca="false">IF($DJ441&gt;$DI$8,"",VLOOKUP($DJ441,$DL$9:$DR$508,4,FALSE()))</f>
        <v/>
      </c>
      <c r="DW441" s="86" t="str">
        <f aca="false">IF($DJ441&gt;$DI$8,"",VLOOKUP($DJ441,$DL$9:$DR$508,5,FALSE()))</f>
        <v/>
      </c>
      <c r="DX441" s="87" t="str">
        <f aca="false">IF($DJ441&gt;$DI$8,"",VLOOKUP($DJ441,$DL$9:$DR$508,6,FALSE()))</f>
        <v/>
      </c>
      <c r="DY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88"/>
      <c r="N442" s="88"/>
      <c r="O442" s="134"/>
      <c r="P442" s="134"/>
      <c r="Q442" s="88"/>
      <c r="R442" s="88"/>
      <c r="S442" s="88"/>
      <c r="T442" s="88"/>
      <c r="U442" s="134"/>
      <c r="V442" s="88"/>
      <c r="W442" s="70"/>
      <c r="X442" s="88"/>
      <c r="Y442" s="88"/>
      <c r="Z442" s="70"/>
      <c r="AA442" s="70"/>
      <c r="AB442" s="88"/>
      <c r="AC442" s="88"/>
      <c r="AD442" s="88"/>
      <c r="AE442" s="71"/>
      <c r="AF442" s="88"/>
      <c r="AG442" s="73"/>
      <c r="AH442" s="74"/>
      <c r="AI442" s="74"/>
      <c r="AJ442" s="74" t="str">
        <f aca="false">IF(ISBLANK($C442),"",IF($E442=Constants!$B$2,TRUE(),IF($E442=Constants!$B$3,FALSE(),TRUE())))</f>
        <v/>
      </c>
      <c r="AK442" s="74" t="str">
        <f aca="false">IF(ISBLANK($C442),"",IF($F442=Constants!$B$2,TRUE(),IF($F442=Constants!$B$3,FALSE(),FALSE())))</f>
        <v/>
      </c>
      <c r="AL442" s="74" t="str">
        <f aca="false">IF(ISBLANK($C442),"",IF($G442=Constants!$B$2,TRUE(),IF($G442=Constants!$B$3,FALSE(),TRUE())))</f>
        <v/>
      </c>
      <c r="AM442" s="74" t="str">
        <f aca="false">IF(ISBLANK($C442),"",IF($H442=Constants!$B$2,TRUE(),IF($H442=Constants!$B$3,FALSE(),TRUE())))</f>
        <v/>
      </c>
      <c r="AN442" s="74" t="str">
        <f aca="false">IF(ISBLANK($C442),"",IF(ISNUMBER($I442),IF($I442&gt;=0,$I442,""),""))</f>
        <v/>
      </c>
      <c r="AO442" s="74" t="str">
        <f aca="false">IF(ISBLANK($C442),"",IF(ISNUMBER($J442),IF($J442&gt;=0,$J442,""),""))</f>
        <v/>
      </c>
      <c r="AP442" s="74" t="str">
        <f aca="false">IF(ISBLANK($C442),"",IF(ISNUMBER($K442),IF($K442&gt;=0,$K442,""),""))</f>
        <v/>
      </c>
      <c r="AQ442" s="74" t="str">
        <f aca="false">IF(ISBLANK($C442),"",IF($L442=Constants!$B$2,TRUE(),IF($L442=Constants!$B$3,FALSE(),TRUE())))</f>
        <v/>
      </c>
      <c r="AR442" s="74" t="str">
        <f aca="false">IF(ISBLANK($C442),"",IF($M442=Constants!$B$2,TRUE(),IF($M442=Constants!$B$3,FALSE(),TRUE())))</f>
        <v/>
      </c>
      <c r="AS442" s="74" t="str">
        <f aca="false">IF(ISBLANK($C442),"",IF($N442=Constants!$B$2,TRUE(),IF($N442=Constants!$B$3,FALSE(),FALSE())))</f>
        <v/>
      </c>
      <c r="AT442" s="74" t="str">
        <f aca="false">IF(ISBLANK($C442),"",IF($O442=Constants!$B$2,TRUE(),IF($O442=Constants!$B$3,FALSE(),TRUE())))</f>
        <v/>
      </c>
      <c r="AU442" s="74" t="str">
        <f aca="false">IF(ISBLANK($C442),"",IF($P442=Constants!$B$2,TRUE(),IF($P442=Constants!$B$3,FALSE(),TRUE())))</f>
        <v/>
      </c>
      <c r="AV442" s="74" t="str">
        <f aca="false">IF(ISBLANK($C442),"",IF($Q442=Constants!$B$2,TRUE(),IF($Q442=Constants!$B$3,FALSE(),FALSE())))</f>
        <v/>
      </c>
      <c r="AW442" s="74" t="str">
        <f aca="false">IF(ISBLANK($C442),"",IF($R442=Constants!$B$2,TRUE(),IF($R442=Constants!$B$3,FALSE(),FALSE())))</f>
        <v/>
      </c>
      <c r="AX442" s="74" t="str">
        <f aca="false">IF(ISBLANK($C442),"",IF($S442=Constants!$B$2,TRUE(),IF($S442=Constants!$B$3,FALSE(),FALSE())))</f>
        <v/>
      </c>
      <c r="AY442" s="74" t="str">
        <f aca="false">IF(ISBLANK($C442),"",IF($T442=Constants!$B$2,TRUE(),IF($T442=Constants!$B$3,FALSE(),FALSE())))</f>
        <v/>
      </c>
      <c r="AZ442" s="74" t="str">
        <f aca="false">IF(ISBLANK($C442),"",IF($U442=Constants!$B$2,TRUE(),IF($U442=Constants!$B$3,FALSE(),FALSE())))</f>
        <v/>
      </c>
      <c r="BA442" s="74" t="str">
        <f aca="false">IF(ISBLANK($C442),"",IF(OR($V442&amp;""="1",$V442&amp;""="2",$V442&amp;""="3",$V442&amp;""="4"),VALUE($V442&amp;""),IF($V442=Constants!$B$12,Constants!$B$12,"")))</f>
        <v/>
      </c>
      <c r="BB442" s="74" t="str">
        <f aca="false">IF(ISBLANK($C442),"",IF(ISBLANK($W442),0,IF(ISNUMBER($W442),IF(AND($W442&gt;=0,$W442&lt;=Constants!$B$21,$W442=INT($W442)),$W442,""),"")))</f>
        <v/>
      </c>
      <c r="BC442" s="74" t="str">
        <f aca="false">IF(ISBLANK($C442),"",IF(ISBLANK($X442),0,IF(ISNUMBER($X442),IF($X442&gt;=0,$X442,""),"")))</f>
        <v/>
      </c>
      <c r="BD442" s="74" t="str">
        <f aca="false">IF(ISBLANK($C442),"",IF($Y442=Constants!$B$2,TRUE(),IF($Y442=Constants!$B$3,FALSE(),TRUE())))</f>
        <v/>
      </c>
      <c r="BE442" s="74" t="str">
        <f aca="false">IF(ISBLANK($C442),"",IF($Z442=Constants!$B$2,TRUE(),IF($Z442=Constants!$B$3,FALSE(),FALSE())))</f>
        <v/>
      </c>
      <c r="BF442" s="74" t="str">
        <f aca="false">IF(ISBLANK($C442),"",IF(ISBLANK($AA442),0,IF(ISNUMBER($AA442),IF(AND($AA442&gt;=0,$AA442&lt;=Constants!$B$35,$AA442=INT($AA442)),$AA442,""),"")))</f>
        <v/>
      </c>
      <c r="BG442" s="74" t="str">
        <f aca="false">IF(ISBLANK($C442),"",IF($AB442=Constants!$B$2,TRUE(),IF($AB442=Constants!$B$3,FALSE(),TRUE())))</f>
        <v/>
      </c>
      <c r="BH442" s="74" t="str">
        <f aca="false">IF(ISBLANK($C442),"",IF($AC442=Constants!$B$2,TRUE(),IF($AC442=Constants!$B$3,FALSE(),TRUE())))</f>
        <v/>
      </c>
      <c r="BI442" s="74" t="str">
        <f aca="false">IF(ISBLANK($C442),"",IF($AD442=Constants!$B$2,TRUE(),IF($AD442=Constants!$B$3,FALSE(),TRUE())))</f>
        <v/>
      </c>
      <c r="BJ442" s="74" t="str">
        <f aca="false">IF(ISBLANK($C442),"",IF(ISNUMBER($AE442),IF($AE442&gt;=0,$AE442,""),""))</f>
        <v/>
      </c>
      <c r="BK442" s="74" t="str">
        <f aca="false">IF(ISBLANK($C442),"",IF($AF442=Constants!$B$2,TRUE(),IF($AF442=Constants!$B$3,FALSE(),FALSE())))</f>
        <v/>
      </c>
      <c r="BL442" s="73" t="str">
        <f aca="false">IF(ISBLANK($C442),"",IF($BK442,Constants!$B$7,IF(COUNTA($E442:$AE442)=0,Constants!$B$6,IF(OR(COUNTA($G442:$AE442)=0,NOT($AM442),$AS442),Constants!$B$5,IF(OR($CM442&lt;&gt;"",$CN442,$CO442,$CP442,$CQ442,$CR442,$CS442),Constants!$B$8,Constants!$B$4)))))</f>
        <v/>
      </c>
      <c r="BM442" s="74" t="str">
        <f aca="false">IF(ISBLANK($C442),"",IF($BL442&lt;&gt;Constants!$B$4,$BL442,IF(OR(NOT($AJ442),NOT($AL442),NOT($AT442)),Constants!$B$11,IF(OR(NOT($AR442),NOT($AU442),NOT($BI442),MAX($AN442,$AO442,$AP442)&gt;Constants!$B$30),Constants!$B$10,Constants!$B$9))))</f>
        <v/>
      </c>
      <c r="BN442" s="74" t="str">
        <f aca="false">IF($BL442&lt;&gt;Constants!$B$4,"",IF(NOT($AL442),0,MIN(Constants!$B$35,$BF442)))</f>
        <v/>
      </c>
      <c r="BO442" s="74" t="str">
        <f aca="false">IF($BL442&lt;&gt;Constants!$B$4,"",IF(NOT($AL442),0,IF($AW442,Constants!$B$18,IF($AV442,Constants!$B$17,0))))</f>
        <v/>
      </c>
      <c r="BP442" s="74" t="str">
        <f aca="false">IF($BL442&lt;&gt;Constants!$B$4,"",IF(NOT($AL442),0,Constants!$B$19*($AK442+$AX442+$AY442+$AZ442)))</f>
        <v/>
      </c>
      <c r="BQ442" s="74" t="str">
        <f aca="false">IF($BL442&lt;&gt;Constants!$B$4,"",IF(OR(NOT($AL442),NOT(ISNUMBER($BA442))),0,CHOOSE($BA442,Constants!$B$13,Constants!$B$14,Constants!$B$15,Constants!$B$16)))</f>
        <v/>
      </c>
      <c r="BR442" s="74" t="str">
        <f aca="false">IF($BL442&lt;&gt;Constants!$B$4,"",IF(NOT($AL442),0,Constants!$B$20*$BB442))</f>
        <v/>
      </c>
      <c r="BS442" s="74" t="str">
        <f aca="false">IF($BL442&lt;&gt;Constants!$B$4,"",IF(AND($AL442,$BD442,$BE442),Constants!$B$22,0))</f>
        <v/>
      </c>
      <c r="BT442" s="74" t="str">
        <f aca="false">IF($BL442&lt;&gt;Constants!$B$4,"",IF(OR(NOT($AL442),NOT($BD442)),0,IF($BJ442&gt;=2*$AH$9,0,Constants!$B$23*INT(ROUND(MIN($BJ442,$AH$9),6)))))</f>
        <v/>
      </c>
      <c r="BU442" s="74" t="str">
        <f aca="false">IF($BL442&lt;&gt;Constants!$B$4,"",IF(NOT($AL442),0,Constants!$B$24*INT(ROUND(MIN($BC442,$AH$9),6))))</f>
        <v/>
      </c>
      <c r="BV442" s="74" t="str">
        <f aca="false">IF($BL442&lt;&gt;Constants!$B$4,"",IF(AND($AL442,$BN442=0),Constants!$B$25,0))</f>
        <v/>
      </c>
      <c r="BW442" s="74" t="str">
        <f aca="false">IF($BL442&lt;&gt;Constants!$B$4,"",MIN(Constants!$B$29,MAX(0,Constants!$B$27*Constants!$B$28*INT(ROUND((Constants!$B$26-$AN442)/Constants!$B$28,6))))+MIN(Constants!$B$29,MAX(0,Constants!$B$27*Constants!$B$28*INT(ROUND((Constants!$B$26-$AO442)/Constants!$B$28,6))))+MIN(Constants!$B$29,MAX(0,Constants!$B$27*Constants!$B$28*INT(ROUND((Constants!$B$26-$AP442)/Constants!$B$28,6)))))</f>
        <v/>
      </c>
      <c r="BX442" s="74" t="str">
        <f aca="false">IF($BL442&lt;&gt;Constants!$B$4,"",IF(NOT($AL442),0,Constants!$B$31*INT(ROUND(MAX(0,MIN($BJ442,2*$AH$9)-$AH$9),6))))</f>
        <v/>
      </c>
      <c r="BY442" s="74" t="str">
        <f aca="false">IF($BL442&lt;&gt;Constants!$B$4,"",Constants!$B$32*(($AN442&gt;Constants!$B$26)+($AO442&gt;Constants!$B$26)+($AP442&gt;Constants!$B$26)))</f>
        <v/>
      </c>
      <c r="BZ442" s="74" t="str">
        <f aca="false">IF($BL442&lt;&gt;Constants!$B$4,"",IF(OR(NOT($AL442),$AQ442),0,Constants!$B$33))</f>
        <v/>
      </c>
      <c r="CA442" s="74" t="str">
        <f aca="false">IF($BL442&lt;&gt;Constants!$B$4,"",Constants!$B$34*$BN442)</f>
        <v/>
      </c>
      <c r="CB442" s="74" t="str">
        <f aca="false">IF($BL442&lt;&gt;Constants!$B$4,"",IF(OR(NOT($AL442),$BH442),0,Constants!$B$36))</f>
        <v/>
      </c>
      <c r="CC442" s="74" t="str">
        <f aca="false">IF($BL442&lt;&gt;Constants!$B$4,"",IF(OR(NOT($AL442),$BG442),0,Constants!$B$37))</f>
        <v/>
      </c>
      <c r="CD442" s="74" t="str">
        <f aca="false">IF($BL442&lt;&gt;Constants!$B$4,"",SUM($BX442:$CC442))</f>
        <v/>
      </c>
      <c r="CE442" s="74" t="str">
        <f aca="false">IF(ISBLANK($C442),"",IF($BL442&lt;&gt;Constants!$B$4,$BL442,SUM($BO442:$BW442)-$CD442))</f>
        <v/>
      </c>
      <c r="CF442" s="74" t="str">
        <f aca="false">IF(ISBLANK($C442),"",IF($BL442&lt;&gt;Constants!$B$4,$BL442,RANK($CE442,$CE$9:$CE$508)))</f>
        <v/>
      </c>
      <c r="CG442" s="74" t="str">
        <f aca="false">IF(ISBLANK($C442),"",IF($BL442&lt;&gt;Constants!$B$4,$BL442,COUNTIFS($BM$9:$BM$508,"&lt;"&amp;$BM442)+COUNTIFS($BM$9:$BM$508,$BM442,$CF$9:$CF$508,"&lt;"&amp;$CF442)+1))</f>
        <v/>
      </c>
      <c r="CH442" s="74" t="str">
        <f aca="false">IF(ISBLANK($C442),"",IF($BL442&lt;&gt;Constants!$B$4,$BL442,RANK($CD442,$CD$9:$CD$508,1)))</f>
        <v/>
      </c>
      <c r="CI442" s="74" t="str">
        <f aca="false">IF($BL442&lt;&gt;Constants!$B$4,"",$AN442+$AO442+$AP442)</f>
        <v/>
      </c>
      <c r="CJ442" s="74" t="str">
        <f aca="false">IF(ISBLANK($C442),"",IF($BL442&lt;&gt;Constants!$B$4,$BL442,RANK($CI442,$CI$9:$CI$508,1)))</f>
        <v/>
      </c>
      <c r="CK442" s="74" t="str">
        <f aca="false">IF(ISBLANK($C442),"",IF($BL442&lt;&gt;Constants!$B$4,$BL442,COUNTIFS($BM$9:$BM$508,"&lt;"&amp;$BM442)+COUNTIFS($BM$9:$BM$508,$BM442,$CF$9:$CF$508,"&lt;"&amp;$CF442)+COUNTIFS($BM$9:$BM$508,$BM442,$CF$9:$CF$508,$CF442,$CH$9:$CH$508,"&lt;"&amp;$CH442)+COUNTIFS($BM$9:$BM$508,$BM442,$CF$9:$CF$508,$CF442,$CH$9:$CH$508,$CH442,$CJ$9:$CJ$508,"&lt;"&amp;$CJ442)+1))</f>
        <v/>
      </c>
      <c r="CL442" s="74" t="str">
        <f aca="false">IF(ISBLANK($C442),"",IF($BL442&lt;&gt;Constants!$B$4,$BL442,$CG442-$CK442))</f>
        <v/>
      </c>
      <c r="CM442" s="74" t="str">
        <f aca="false">IF(ISBLANK($C442),"",IF(NOT($AL442),"",IF(ISBLANK($D$7),$CM$5,IF(NOT(ISNUMBER($D$7)),$CM$6,""))))</f>
        <v/>
      </c>
      <c r="CN442" s="74" t="str">
        <f aca="false">IF(ISBLANK($C442),"",OR($AN442="",$AO442="",$AP442=""))</f>
        <v/>
      </c>
      <c r="CO442" s="74" t="str">
        <f aca="false">IF(ISBLANK($C442),"",AND($AL442,$BA442=""))</f>
        <v/>
      </c>
      <c r="CP442" s="74" t="str">
        <f aca="false">IF(ISBLANK($C442),"",AND($AL442,$BB442=""))</f>
        <v/>
      </c>
      <c r="CQ442" s="74" t="str">
        <f aca="false">IF(ISBLANK($C442),"",AND($AL442,$BC442=""))</f>
        <v/>
      </c>
      <c r="CR442" s="74" t="str">
        <f aca="false">IF(ISBLANK($C442),"",AND($AL442,$BF442=""))</f>
        <v/>
      </c>
      <c r="CS442" s="74" t="str">
        <f aca="false">IF(ISBLANK($C442),"",AND($AL442,$BJ442=""))</f>
        <v/>
      </c>
      <c r="CT442" s="75"/>
      <c r="CU442" s="76"/>
      <c r="CV442" s="79" t="str">
        <f aca="false">IF(ISBLANK($C442),"",IF($BL442=Constants!$B$8,$CM442,""))</f>
        <v/>
      </c>
      <c r="CW442" s="76" t="str">
        <f aca="false">IF(ISBLANK($C442),"",IF($BL442&lt;&gt;Constants!$B$4,"",$BO442+$BP442))</f>
        <v/>
      </c>
      <c r="CX442" s="78" t="str">
        <f aca="false">IF(ISBLANK($C442),"",IF($BL442&lt;&gt;Constants!$B$4,"",$BQ442+$BR442+$BS442))</f>
        <v/>
      </c>
      <c r="CY442" s="78" t="str">
        <f aca="false">IF(ISBLANK($C442),"",IF($BL442&lt;&gt;Constants!$B$4,"",$BT442))</f>
        <v/>
      </c>
      <c r="CZ442" s="78" t="str">
        <f aca="false">IF(ISBLANK($C442),"",IF($BL442&lt;&gt;Constants!$B$4,"",$BU442+$BV442))</f>
        <v/>
      </c>
      <c r="DA442" s="78" t="str">
        <f aca="false">IF(ISBLANK($C442),"",IF($BL442&lt;&gt;Constants!$B$4,"",$BW442))</f>
        <v/>
      </c>
      <c r="DB442" s="78" t="str">
        <f aca="false">IF(ISBLANK($C442),"",IF($BL442&lt;&gt;Constants!$B$4,"",-$CD442))</f>
        <v/>
      </c>
      <c r="DC442" s="79" t="str">
        <f aca="false">IF(ISBLANK($C442),"",$CE442)</f>
        <v/>
      </c>
      <c r="DD442" s="80" t="str">
        <f aca="false">IF(ISBLANK($C442),"",$BM442)</f>
        <v/>
      </c>
      <c r="DE442" s="78" t="str">
        <f aca="false">IF(ISBLANK($C442),"",$CL442)</f>
        <v/>
      </c>
      <c r="DF442" s="78" t="str">
        <f aca="false">IF(ISBLANK($C442),"",$CK442)</f>
        <v/>
      </c>
      <c r="DG442" s="81" t="str">
        <f aca="false">IF(ISBLANK($C442),"",IF($DF442=Constants!$B$7,COUNTA($C$9:$C$508)+2,IF($DF442=Constants!$B$6,COUNTA($C$9:$C$508)+1,IF($DF442=Constants!$B$5,COUNTA($C$9:$C$508),$DF442))))</f>
        <v/>
      </c>
      <c r="DH442" s="7"/>
      <c r="DI442" s="82" t="n">
        <f aca="false">IF(OR(ISNUMBER($DF442),$DF442=Constants!$B$7,$DF442=Constants!$B$5,$DF442=Constants!$B$6),1,0)</f>
        <v>0</v>
      </c>
      <c r="DJ442" s="82" t="n">
        <v>434</v>
      </c>
      <c r="DK442" s="82" t="str">
        <f aca="false">IF(ISBLANK($C442),"",IF(ISNUMBER($DG442),$DG442+ROW($B442)/1000,""))</f>
        <v/>
      </c>
      <c r="DL442" s="82" t="str">
        <f aca="false">IF(ISNUMBER($DK442),RANK($DK442,$DK$9:$DK$508,1),"")</f>
        <v/>
      </c>
      <c r="DM442" s="82" t="str">
        <f aca="false">IF(ISBLANK($C442),"",$B442)</f>
        <v/>
      </c>
      <c r="DN442" s="82" t="str">
        <f aca="false">IF(ISBLANK($C442),"",$C442)</f>
        <v/>
      </c>
      <c r="DO442" s="82" t="str">
        <f aca="false">IF(ISBLANK($C442),"",$D442)</f>
        <v/>
      </c>
      <c r="DP442" s="83" t="str">
        <f aca="false">$DD442</f>
        <v/>
      </c>
      <c r="DQ442" s="84" t="str">
        <f aca="false">$DC442</f>
        <v/>
      </c>
      <c r="DR442" s="82" t="str">
        <f aca="false">IF(ISBLANK($C442),"",$DF442)</f>
        <v/>
      </c>
      <c r="DS442" s="85" t="str">
        <f aca="false">IF($DJ442&gt;$DI$8,"",VLOOKUP($DJ442,$DL$9:$DR$508,7,FALSE()))</f>
        <v/>
      </c>
      <c r="DT442" s="86" t="str">
        <f aca="false">IF($DJ442&gt;$DI$8,"",VLOOKUP($DJ442,$DL$9:$DR$508,2,FALSE()))</f>
        <v/>
      </c>
      <c r="DU442" s="86" t="str">
        <f aca="false">IF($DJ442&gt;$DI$8,"",VLOOKUP($DJ442,$DL$9:$DR$508,3,FALSE()))</f>
        <v/>
      </c>
      <c r="DV442" s="86" t="str">
        <f aca="false">IF($DJ442&gt;$DI$8,"",VLOOKUP($DJ442,$DL$9:$DR$508,4,FALSE()))</f>
        <v/>
      </c>
      <c r="DW442" s="86" t="str">
        <f aca="false">IF($DJ442&gt;$DI$8,"",VLOOKUP($DJ442,$DL$9:$DR$508,5,FALSE()))</f>
        <v/>
      </c>
      <c r="DX442" s="87" t="str">
        <f aca="false">IF($DJ442&gt;$DI$8,"",VLOOKUP($DJ442,$DL$9:$DR$508,6,FALSE()))</f>
        <v/>
      </c>
      <c r="DY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88"/>
      <c r="N443" s="88"/>
      <c r="O443" s="134"/>
      <c r="P443" s="134"/>
      <c r="Q443" s="88"/>
      <c r="R443" s="88"/>
      <c r="S443" s="88"/>
      <c r="T443" s="88"/>
      <c r="U443" s="134"/>
      <c r="V443" s="88"/>
      <c r="W443" s="70"/>
      <c r="X443" s="88"/>
      <c r="Y443" s="88"/>
      <c r="Z443" s="70"/>
      <c r="AA443" s="70"/>
      <c r="AB443" s="88"/>
      <c r="AC443" s="88"/>
      <c r="AD443" s="88"/>
      <c r="AE443" s="71"/>
      <c r="AF443" s="88"/>
      <c r="AG443" s="73"/>
      <c r="AH443" s="74"/>
      <c r="AI443" s="74"/>
      <c r="AJ443" s="74" t="str">
        <f aca="false">IF(ISBLANK($C443),"",IF($E443=Constants!$B$2,TRUE(),IF($E443=Constants!$B$3,FALSE(),TRUE())))</f>
        <v/>
      </c>
      <c r="AK443" s="74" t="str">
        <f aca="false">IF(ISBLANK($C443),"",IF($F443=Constants!$B$2,TRUE(),IF($F443=Constants!$B$3,FALSE(),FALSE())))</f>
        <v/>
      </c>
      <c r="AL443" s="74" t="str">
        <f aca="false">IF(ISBLANK($C443),"",IF($G443=Constants!$B$2,TRUE(),IF($G443=Constants!$B$3,FALSE(),TRUE())))</f>
        <v/>
      </c>
      <c r="AM443" s="74" t="str">
        <f aca="false">IF(ISBLANK($C443),"",IF($H443=Constants!$B$2,TRUE(),IF($H443=Constants!$B$3,FALSE(),TRUE())))</f>
        <v/>
      </c>
      <c r="AN443" s="74" t="str">
        <f aca="false">IF(ISBLANK($C443),"",IF(ISNUMBER($I443),IF($I443&gt;=0,$I443,""),""))</f>
        <v/>
      </c>
      <c r="AO443" s="74" t="str">
        <f aca="false">IF(ISBLANK($C443),"",IF(ISNUMBER($J443),IF($J443&gt;=0,$J443,""),""))</f>
        <v/>
      </c>
      <c r="AP443" s="74" t="str">
        <f aca="false">IF(ISBLANK($C443),"",IF(ISNUMBER($K443),IF($K443&gt;=0,$K443,""),""))</f>
        <v/>
      </c>
      <c r="AQ443" s="74" t="str">
        <f aca="false">IF(ISBLANK($C443),"",IF($L443=Constants!$B$2,TRUE(),IF($L443=Constants!$B$3,FALSE(),TRUE())))</f>
        <v/>
      </c>
      <c r="AR443" s="74" t="str">
        <f aca="false">IF(ISBLANK($C443),"",IF($M443=Constants!$B$2,TRUE(),IF($M443=Constants!$B$3,FALSE(),TRUE())))</f>
        <v/>
      </c>
      <c r="AS443" s="74" t="str">
        <f aca="false">IF(ISBLANK($C443),"",IF($N443=Constants!$B$2,TRUE(),IF($N443=Constants!$B$3,FALSE(),FALSE())))</f>
        <v/>
      </c>
      <c r="AT443" s="74" t="str">
        <f aca="false">IF(ISBLANK($C443),"",IF($O443=Constants!$B$2,TRUE(),IF($O443=Constants!$B$3,FALSE(),TRUE())))</f>
        <v/>
      </c>
      <c r="AU443" s="74" t="str">
        <f aca="false">IF(ISBLANK($C443),"",IF($P443=Constants!$B$2,TRUE(),IF($P443=Constants!$B$3,FALSE(),TRUE())))</f>
        <v/>
      </c>
      <c r="AV443" s="74" t="str">
        <f aca="false">IF(ISBLANK($C443),"",IF($Q443=Constants!$B$2,TRUE(),IF($Q443=Constants!$B$3,FALSE(),FALSE())))</f>
        <v/>
      </c>
      <c r="AW443" s="74" t="str">
        <f aca="false">IF(ISBLANK($C443),"",IF($R443=Constants!$B$2,TRUE(),IF($R443=Constants!$B$3,FALSE(),FALSE())))</f>
        <v/>
      </c>
      <c r="AX443" s="74" t="str">
        <f aca="false">IF(ISBLANK($C443),"",IF($S443=Constants!$B$2,TRUE(),IF($S443=Constants!$B$3,FALSE(),FALSE())))</f>
        <v/>
      </c>
      <c r="AY443" s="74" t="str">
        <f aca="false">IF(ISBLANK($C443),"",IF($T443=Constants!$B$2,TRUE(),IF($T443=Constants!$B$3,FALSE(),FALSE())))</f>
        <v/>
      </c>
      <c r="AZ443" s="74" t="str">
        <f aca="false">IF(ISBLANK($C443),"",IF($U443=Constants!$B$2,TRUE(),IF($U443=Constants!$B$3,FALSE(),FALSE())))</f>
        <v/>
      </c>
      <c r="BA443" s="74" t="str">
        <f aca="false">IF(ISBLANK($C443),"",IF(OR($V443&amp;""="1",$V443&amp;""="2",$V443&amp;""="3",$V443&amp;""="4"),VALUE($V443&amp;""),IF($V443=Constants!$B$12,Constants!$B$12,"")))</f>
        <v/>
      </c>
      <c r="BB443" s="74" t="str">
        <f aca="false">IF(ISBLANK($C443),"",IF(ISBLANK($W443),0,IF(ISNUMBER($W443),IF(AND($W443&gt;=0,$W443&lt;=Constants!$B$21,$W443=INT($W443)),$W443,""),"")))</f>
        <v/>
      </c>
      <c r="BC443" s="74" t="str">
        <f aca="false">IF(ISBLANK($C443),"",IF(ISBLANK($X443),0,IF(ISNUMBER($X443),IF($X443&gt;=0,$X443,""),"")))</f>
        <v/>
      </c>
      <c r="BD443" s="74" t="str">
        <f aca="false">IF(ISBLANK($C443),"",IF($Y443=Constants!$B$2,TRUE(),IF($Y443=Constants!$B$3,FALSE(),TRUE())))</f>
        <v/>
      </c>
      <c r="BE443" s="74" t="str">
        <f aca="false">IF(ISBLANK($C443),"",IF($Z443=Constants!$B$2,TRUE(),IF($Z443=Constants!$B$3,FALSE(),FALSE())))</f>
        <v/>
      </c>
      <c r="BF443" s="74" t="str">
        <f aca="false">IF(ISBLANK($C443),"",IF(ISBLANK($AA443),0,IF(ISNUMBER($AA443),IF(AND($AA443&gt;=0,$AA443&lt;=Constants!$B$35,$AA443=INT($AA443)),$AA443,""),"")))</f>
        <v/>
      </c>
      <c r="BG443" s="74" t="str">
        <f aca="false">IF(ISBLANK($C443),"",IF($AB443=Constants!$B$2,TRUE(),IF($AB443=Constants!$B$3,FALSE(),TRUE())))</f>
        <v/>
      </c>
      <c r="BH443" s="74" t="str">
        <f aca="false">IF(ISBLANK($C443),"",IF($AC443=Constants!$B$2,TRUE(),IF($AC443=Constants!$B$3,FALSE(),TRUE())))</f>
        <v/>
      </c>
      <c r="BI443" s="74" t="str">
        <f aca="false">IF(ISBLANK($C443),"",IF($AD443=Constants!$B$2,TRUE(),IF($AD443=Constants!$B$3,FALSE(),TRUE())))</f>
        <v/>
      </c>
      <c r="BJ443" s="74" t="str">
        <f aca="false">IF(ISBLANK($C443),"",IF(ISNUMBER($AE443),IF($AE443&gt;=0,$AE443,""),""))</f>
        <v/>
      </c>
      <c r="BK443" s="74" t="str">
        <f aca="false">IF(ISBLANK($C443),"",IF($AF443=Constants!$B$2,TRUE(),IF($AF443=Constants!$B$3,FALSE(),FALSE())))</f>
        <v/>
      </c>
      <c r="BL443" s="73" t="str">
        <f aca="false">IF(ISBLANK($C443),"",IF($BK443,Constants!$B$7,IF(COUNTA($E443:$AE443)=0,Constants!$B$6,IF(OR(COUNTA($G443:$AE443)=0,NOT($AM443),$AS443),Constants!$B$5,IF(OR($CM443&lt;&gt;"",$CN443,$CO443,$CP443,$CQ443,$CR443,$CS443),Constants!$B$8,Constants!$B$4)))))</f>
        <v/>
      </c>
      <c r="BM443" s="74" t="str">
        <f aca="false">IF(ISBLANK($C443),"",IF($BL443&lt;&gt;Constants!$B$4,$BL443,IF(OR(NOT($AJ443),NOT($AL443),NOT($AT443)),Constants!$B$11,IF(OR(NOT($AR443),NOT($AU443),NOT($BI443),MAX($AN443,$AO443,$AP443)&gt;Constants!$B$30),Constants!$B$10,Constants!$B$9))))</f>
        <v/>
      </c>
      <c r="BN443" s="74" t="str">
        <f aca="false">IF($BL443&lt;&gt;Constants!$B$4,"",IF(NOT($AL443),0,MIN(Constants!$B$35,$BF443)))</f>
        <v/>
      </c>
      <c r="BO443" s="74" t="str">
        <f aca="false">IF($BL443&lt;&gt;Constants!$B$4,"",IF(NOT($AL443),0,IF($AW443,Constants!$B$18,IF($AV443,Constants!$B$17,0))))</f>
        <v/>
      </c>
      <c r="BP443" s="74" t="str">
        <f aca="false">IF($BL443&lt;&gt;Constants!$B$4,"",IF(NOT($AL443),0,Constants!$B$19*($AK443+$AX443+$AY443+$AZ443)))</f>
        <v/>
      </c>
      <c r="BQ443" s="74" t="str">
        <f aca="false">IF($BL443&lt;&gt;Constants!$B$4,"",IF(OR(NOT($AL443),NOT(ISNUMBER($BA443))),0,CHOOSE($BA443,Constants!$B$13,Constants!$B$14,Constants!$B$15,Constants!$B$16)))</f>
        <v/>
      </c>
      <c r="BR443" s="74" t="str">
        <f aca="false">IF($BL443&lt;&gt;Constants!$B$4,"",IF(NOT($AL443),0,Constants!$B$20*$BB443))</f>
        <v/>
      </c>
      <c r="BS443" s="74" t="str">
        <f aca="false">IF($BL443&lt;&gt;Constants!$B$4,"",IF(AND($AL443,$BD443,$BE443),Constants!$B$22,0))</f>
        <v/>
      </c>
      <c r="BT443" s="74" t="str">
        <f aca="false">IF($BL443&lt;&gt;Constants!$B$4,"",IF(OR(NOT($AL443),NOT($BD443)),0,IF($BJ443&gt;=2*$AH$9,0,Constants!$B$23*INT(ROUND(MIN($BJ443,$AH$9),6)))))</f>
        <v/>
      </c>
      <c r="BU443" s="74" t="str">
        <f aca="false">IF($BL443&lt;&gt;Constants!$B$4,"",IF(NOT($AL443),0,Constants!$B$24*INT(ROUND(MIN($BC443,$AH$9),6))))</f>
        <v/>
      </c>
      <c r="BV443" s="74" t="str">
        <f aca="false">IF($BL443&lt;&gt;Constants!$B$4,"",IF(AND($AL443,$BN443=0),Constants!$B$25,0))</f>
        <v/>
      </c>
      <c r="BW443" s="74" t="str">
        <f aca="false">IF($BL443&lt;&gt;Constants!$B$4,"",MIN(Constants!$B$29,MAX(0,Constants!$B$27*Constants!$B$28*INT(ROUND((Constants!$B$26-$AN443)/Constants!$B$28,6))))+MIN(Constants!$B$29,MAX(0,Constants!$B$27*Constants!$B$28*INT(ROUND((Constants!$B$26-$AO443)/Constants!$B$28,6))))+MIN(Constants!$B$29,MAX(0,Constants!$B$27*Constants!$B$28*INT(ROUND((Constants!$B$26-$AP443)/Constants!$B$28,6)))))</f>
        <v/>
      </c>
      <c r="BX443" s="74" t="str">
        <f aca="false">IF($BL443&lt;&gt;Constants!$B$4,"",IF(NOT($AL443),0,Constants!$B$31*INT(ROUND(MAX(0,MIN($BJ443,2*$AH$9)-$AH$9),6))))</f>
        <v/>
      </c>
      <c r="BY443" s="74" t="str">
        <f aca="false">IF($BL443&lt;&gt;Constants!$B$4,"",Constants!$B$32*(($AN443&gt;Constants!$B$26)+($AO443&gt;Constants!$B$26)+($AP443&gt;Constants!$B$26)))</f>
        <v/>
      </c>
      <c r="BZ443" s="74" t="str">
        <f aca="false">IF($BL443&lt;&gt;Constants!$B$4,"",IF(OR(NOT($AL443),$AQ443),0,Constants!$B$33))</f>
        <v/>
      </c>
      <c r="CA443" s="74" t="str">
        <f aca="false">IF($BL443&lt;&gt;Constants!$B$4,"",Constants!$B$34*$BN443)</f>
        <v/>
      </c>
      <c r="CB443" s="74" t="str">
        <f aca="false">IF($BL443&lt;&gt;Constants!$B$4,"",IF(OR(NOT($AL443),$BH443),0,Constants!$B$36))</f>
        <v/>
      </c>
      <c r="CC443" s="74" t="str">
        <f aca="false">IF($BL443&lt;&gt;Constants!$B$4,"",IF(OR(NOT($AL443),$BG443),0,Constants!$B$37))</f>
        <v/>
      </c>
      <c r="CD443" s="74" t="str">
        <f aca="false">IF($BL443&lt;&gt;Constants!$B$4,"",SUM($BX443:$CC443))</f>
        <v/>
      </c>
      <c r="CE443" s="74" t="str">
        <f aca="false">IF(ISBLANK($C443),"",IF($BL443&lt;&gt;Constants!$B$4,$BL443,SUM($BO443:$BW443)-$CD443))</f>
        <v/>
      </c>
      <c r="CF443" s="74" t="str">
        <f aca="false">IF(ISBLANK($C443),"",IF($BL443&lt;&gt;Constants!$B$4,$BL443,RANK($CE443,$CE$9:$CE$508)))</f>
        <v/>
      </c>
      <c r="CG443" s="74" t="str">
        <f aca="false">IF(ISBLANK($C443),"",IF($BL443&lt;&gt;Constants!$B$4,$BL443,COUNTIFS($BM$9:$BM$508,"&lt;"&amp;$BM443)+COUNTIFS($BM$9:$BM$508,$BM443,$CF$9:$CF$508,"&lt;"&amp;$CF443)+1))</f>
        <v/>
      </c>
      <c r="CH443" s="74" t="str">
        <f aca="false">IF(ISBLANK($C443),"",IF($BL443&lt;&gt;Constants!$B$4,$BL443,RANK($CD443,$CD$9:$CD$508,1)))</f>
        <v/>
      </c>
      <c r="CI443" s="74" t="str">
        <f aca="false">IF($BL443&lt;&gt;Constants!$B$4,"",$AN443+$AO443+$AP443)</f>
        <v/>
      </c>
      <c r="CJ443" s="74" t="str">
        <f aca="false">IF(ISBLANK($C443),"",IF($BL443&lt;&gt;Constants!$B$4,$BL443,RANK($CI443,$CI$9:$CI$508,1)))</f>
        <v/>
      </c>
      <c r="CK443" s="74" t="str">
        <f aca="false">IF(ISBLANK($C443),"",IF($BL443&lt;&gt;Constants!$B$4,$BL443,COUNTIFS($BM$9:$BM$508,"&lt;"&amp;$BM443)+COUNTIFS($BM$9:$BM$508,$BM443,$CF$9:$CF$508,"&lt;"&amp;$CF443)+COUNTIFS($BM$9:$BM$508,$BM443,$CF$9:$CF$508,$CF443,$CH$9:$CH$508,"&lt;"&amp;$CH443)+COUNTIFS($BM$9:$BM$508,$BM443,$CF$9:$CF$508,$CF443,$CH$9:$CH$508,$CH443,$CJ$9:$CJ$508,"&lt;"&amp;$CJ443)+1))</f>
        <v/>
      </c>
      <c r="CL443" s="74" t="str">
        <f aca="false">IF(ISBLANK($C443),"",IF($BL443&lt;&gt;Constants!$B$4,$BL443,$CG443-$CK443))</f>
        <v/>
      </c>
      <c r="CM443" s="74" t="str">
        <f aca="false">IF(ISBLANK($C443),"",IF(NOT($AL443),"",IF(ISBLANK($D$7),$CM$5,IF(NOT(ISNUMBER($D$7)),$CM$6,""))))</f>
        <v/>
      </c>
      <c r="CN443" s="74" t="str">
        <f aca="false">IF(ISBLANK($C443),"",OR($AN443="",$AO443="",$AP443=""))</f>
        <v/>
      </c>
      <c r="CO443" s="74" t="str">
        <f aca="false">IF(ISBLANK($C443),"",AND($AL443,$BA443=""))</f>
        <v/>
      </c>
      <c r="CP443" s="74" t="str">
        <f aca="false">IF(ISBLANK($C443),"",AND($AL443,$BB443=""))</f>
        <v/>
      </c>
      <c r="CQ443" s="74" t="str">
        <f aca="false">IF(ISBLANK($C443),"",AND($AL443,$BC443=""))</f>
        <v/>
      </c>
      <c r="CR443" s="74" t="str">
        <f aca="false">IF(ISBLANK($C443),"",AND($AL443,$BF443=""))</f>
        <v/>
      </c>
      <c r="CS443" s="74" t="str">
        <f aca="false">IF(ISBLANK($C443),"",AND($AL443,$BJ443=""))</f>
        <v/>
      </c>
      <c r="CT443" s="75"/>
      <c r="CU443" s="76"/>
      <c r="CV443" s="79" t="str">
        <f aca="false">IF(ISBLANK($C443),"",IF($BL443=Constants!$B$8,$CM443,""))</f>
        <v/>
      </c>
      <c r="CW443" s="76" t="str">
        <f aca="false">IF(ISBLANK($C443),"",IF($BL443&lt;&gt;Constants!$B$4,"",$BO443+$BP443))</f>
        <v/>
      </c>
      <c r="CX443" s="78" t="str">
        <f aca="false">IF(ISBLANK($C443),"",IF($BL443&lt;&gt;Constants!$B$4,"",$BQ443+$BR443+$BS443))</f>
        <v/>
      </c>
      <c r="CY443" s="78" t="str">
        <f aca="false">IF(ISBLANK($C443),"",IF($BL443&lt;&gt;Constants!$B$4,"",$BT443))</f>
        <v/>
      </c>
      <c r="CZ443" s="78" t="str">
        <f aca="false">IF(ISBLANK($C443),"",IF($BL443&lt;&gt;Constants!$B$4,"",$BU443+$BV443))</f>
        <v/>
      </c>
      <c r="DA443" s="78" t="str">
        <f aca="false">IF(ISBLANK($C443),"",IF($BL443&lt;&gt;Constants!$B$4,"",$BW443))</f>
        <v/>
      </c>
      <c r="DB443" s="78" t="str">
        <f aca="false">IF(ISBLANK($C443),"",IF($BL443&lt;&gt;Constants!$B$4,"",-$CD443))</f>
        <v/>
      </c>
      <c r="DC443" s="79" t="str">
        <f aca="false">IF(ISBLANK($C443),"",$CE443)</f>
        <v/>
      </c>
      <c r="DD443" s="80" t="str">
        <f aca="false">IF(ISBLANK($C443),"",$BM443)</f>
        <v/>
      </c>
      <c r="DE443" s="78" t="str">
        <f aca="false">IF(ISBLANK($C443),"",$CL443)</f>
        <v/>
      </c>
      <c r="DF443" s="78" t="str">
        <f aca="false">IF(ISBLANK($C443),"",$CK443)</f>
        <v/>
      </c>
      <c r="DG443" s="81" t="str">
        <f aca="false">IF(ISBLANK($C443),"",IF($DF443=Constants!$B$7,COUNTA($C$9:$C$508)+2,IF($DF443=Constants!$B$6,COUNTA($C$9:$C$508)+1,IF($DF443=Constants!$B$5,COUNTA($C$9:$C$508),$DF443))))</f>
        <v/>
      </c>
      <c r="DH443" s="7"/>
      <c r="DI443" s="82" t="n">
        <f aca="false">IF(OR(ISNUMBER($DF443),$DF443=Constants!$B$7,$DF443=Constants!$B$5,$DF443=Constants!$B$6),1,0)</f>
        <v>0</v>
      </c>
      <c r="DJ443" s="82" t="n">
        <v>435</v>
      </c>
      <c r="DK443" s="82" t="str">
        <f aca="false">IF(ISBLANK($C443),"",IF(ISNUMBER($DG443),$DG443+ROW($B443)/1000,""))</f>
        <v/>
      </c>
      <c r="DL443" s="82" t="str">
        <f aca="false">IF(ISNUMBER($DK443),RANK($DK443,$DK$9:$DK$508,1),"")</f>
        <v/>
      </c>
      <c r="DM443" s="82" t="str">
        <f aca="false">IF(ISBLANK($C443),"",$B443)</f>
        <v/>
      </c>
      <c r="DN443" s="82" t="str">
        <f aca="false">IF(ISBLANK($C443),"",$C443)</f>
        <v/>
      </c>
      <c r="DO443" s="82" t="str">
        <f aca="false">IF(ISBLANK($C443),"",$D443)</f>
        <v/>
      </c>
      <c r="DP443" s="83" t="str">
        <f aca="false">$DD443</f>
        <v/>
      </c>
      <c r="DQ443" s="84" t="str">
        <f aca="false">$DC443</f>
        <v/>
      </c>
      <c r="DR443" s="82" t="str">
        <f aca="false">IF(ISBLANK($C443),"",$DF443)</f>
        <v/>
      </c>
      <c r="DS443" s="85" t="str">
        <f aca="false">IF($DJ443&gt;$DI$8,"",VLOOKUP($DJ443,$DL$9:$DR$508,7,FALSE()))</f>
        <v/>
      </c>
      <c r="DT443" s="86" t="str">
        <f aca="false">IF($DJ443&gt;$DI$8,"",VLOOKUP($DJ443,$DL$9:$DR$508,2,FALSE()))</f>
        <v/>
      </c>
      <c r="DU443" s="86" t="str">
        <f aca="false">IF($DJ443&gt;$DI$8,"",VLOOKUP($DJ443,$DL$9:$DR$508,3,FALSE()))</f>
        <v/>
      </c>
      <c r="DV443" s="86" t="str">
        <f aca="false">IF($DJ443&gt;$DI$8,"",VLOOKUP($DJ443,$DL$9:$DR$508,4,FALSE()))</f>
        <v/>
      </c>
      <c r="DW443" s="86" t="str">
        <f aca="false">IF($DJ443&gt;$DI$8,"",VLOOKUP($DJ443,$DL$9:$DR$508,5,FALSE()))</f>
        <v/>
      </c>
      <c r="DX443" s="87" t="str">
        <f aca="false">IF($DJ443&gt;$DI$8,"",VLOOKUP($DJ443,$DL$9:$DR$508,6,FALSE()))</f>
        <v/>
      </c>
      <c r="DY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130"/>
      <c r="N444" s="130"/>
      <c r="O444" s="135"/>
      <c r="P444" s="135"/>
      <c r="Q444" s="130"/>
      <c r="R444" s="130"/>
      <c r="S444" s="130"/>
      <c r="T444" s="130"/>
      <c r="U444" s="135"/>
      <c r="V444" s="130"/>
      <c r="W444" s="96"/>
      <c r="X444" s="130"/>
      <c r="Y444" s="130"/>
      <c r="Z444" s="96"/>
      <c r="AA444" s="96"/>
      <c r="AB444" s="130"/>
      <c r="AC444" s="130"/>
      <c r="AD444" s="130"/>
      <c r="AE444" s="97"/>
      <c r="AF444" s="130"/>
      <c r="AG444" s="99"/>
      <c r="AH444" s="100"/>
      <c r="AI444" s="100"/>
      <c r="AJ444" s="100" t="str">
        <f aca="false">IF(ISBLANK($C444),"",IF($E444=Constants!$B$2,TRUE(),IF($E444=Constants!$B$3,FALSE(),TRUE())))</f>
        <v/>
      </c>
      <c r="AK444" s="100" t="str">
        <f aca="false">IF(ISBLANK($C444),"",IF($F444=Constants!$B$2,TRUE(),IF($F444=Constants!$B$3,FALSE(),FALSE())))</f>
        <v/>
      </c>
      <c r="AL444" s="100" t="str">
        <f aca="false">IF(ISBLANK($C444),"",IF($G444=Constants!$B$2,TRUE(),IF($G444=Constants!$B$3,FALSE(),TRUE())))</f>
        <v/>
      </c>
      <c r="AM444" s="100" t="str">
        <f aca="false">IF(ISBLANK($C444),"",IF($H444=Constants!$B$2,TRUE(),IF($H444=Constants!$B$3,FALSE(),TRUE())))</f>
        <v/>
      </c>
      <c r="AN444" s="100" t="str">
        <f aca="false">IF(ISBLANK($C444),"",IF(ISNUMBER($I444),IF($I444&gt;=0,$I444,""),""))</f>
        <v/>
      </c>
      <c r="AO444" s="100" t="str">
        <f aca="false">IF(ISBLANK($C444),"",IF(ISNUMBER($J444),IF($J444&gt;=0,$J444,""),""))</f>
        <v/>
      </c>
      <c r="AP444" s="100" t="str">
        <f aca="false">IF(ISBLANK($C444),"",IF(ISNUMBER($K444),IF($K444&gt;=0,$K444,""),""))</f>
        <v/>
      </c>
      <c r="AQ444" s="100" t="str">
        <f aca="false">IF(ISBLANK($C444),"",IF($L444=Constants!$B$2,TRUE(),IF($L444=Constants!$B$3,FALSE(),TRUE())))</f>
        <v/>
      </c>
      <c r="AR444" s="100" t="str">
        <f aca="false">IF(ISBLANK($C444),"",IF($M444=Constants!$B$2,TRUE(),IF($M444=Constants!$B$3,FALSE(),TRUE())))</f>
        <v/>
      </c>
      <c r="AS444" s="100" t="str">
        <f aca="false">IF(ISBLANK($C444),"",IF($N444=Constants!$B$2,TRUE(),IF($N444=Constants!$B$3,FALSE(),FALSE())))</f>
        <v/>
      </c>
      <c r="AT444" s="100" t="str">
        <f aca="false">IF(ISBLANK($C444),"",IF($O444=Constants!$B$2,TRUE(),IF($O444=Constants!$B$3,FALSE(),TRUE())))</f>
        <v/>
      </c>
      <c r="AU444" s="100" t="str">
        <f aca="false">IF(ISBLANK($C444),"",IF($P444=Constants!$B$2,TRUE(),IF($P444=Constants!$B$3,FALSE(),TRUE())))</f>
        <v/>
      </c>
      <c r="AV444" s="100" t="str">
        <f aca="false">IF(ISBLANK($C444),"",IF($Q444=Constants!$B$2,TRUE(),IF($Q444=Constants!$B$3,FALSE(),FALSE())))</f>
        <v/>
      </c>
      <c r="AW444" s="100" t="str">
        <f aca="false">IF(ISBLANK($C444),"",IF($R444=Constants!$B$2,TRUE(),IF($R444=Constants!$B$3,FALSE(),FALSE())))</f>
        <v/>
      </c>
      <c r="AX444" s="100" t="str">
        <f aca="false">IF(ISBLANK($C444),"",IF($S444=Constants!$B$2,TRUE(),IF($S444=Constants!$B$3,FALSE(),FALSE())))</f>
        <v/>
      </c>
      <c r="AY444" s="100" t="str">
        <f aca="false">IF(ISBLANK($C444),"",IF($T444=Constants!$B$2,TRUE(),IF($T444=Constants!$B$3,FALSE(),FALSE())))</f>
        <v/>
      </c>
      <c r="AZ444" s="100" t="str">
        <f aca="false">IF(ISBLANK($C444),"",IF($U444=Constants!$B$2,TRUE(),IF($U444=Constants!$B$3,FALSE(),FALSE())))</f>
        <v/>
      </c>
      <c r="BA444" s="100" t="str">
        <f aca="false">IF(ISBLANK($C444),"",IF(OR($V444&amp;""="1",$V444&amp;""="2",$V444&amp;""="3",$V444&amp;""="4"),VALUE($V444&amp;""),IF($V444=Constants!$B$12,Constants!$B$12,"")))</f>
        <v/>
      </c>
      <c r="BB444" s="100" t="str">
        <f aca="false">IF(ISBLANK($C444),"",IF(ISBLANK($W444),0,IF(ISNUMBER($W444),IF(AND($W444&gt;=0,$W444&lt;=Constants!$B$21,$W444=INT($W444)),$W444,""),"")))</f>
        <v/>
      </c>
      <c r="BC444" s="100" t="str">
        <f aca="false">IF(ISBLANK($C444),"",IF(ISBLANK($X444),0,IF(ISNUMBER($X444),IF($X444&gt;=0,$X444,""),"")))</f>
        <v/>
      </c>
      <c r="BD444" s="100" t="str">
        <f aca="false">IF(ISBLANK($C444),"",IF($Y444=Constants!$B$2,TRUE(),IF($Y444=Constants!$B$3,FALSE(),TRUE())))</f>
        <v/>
      </c>
      <c r="BE444" s="100" t="str">
        <f aca="false">IF(ISBLANK($C444),"",IF($Z444=Constants!$B$2,TRUE(),IF($Z444=Constants!$B$3,FALSE(),FALSE())))</f>
        <v/>
      </c>
      <c r="BF444" s="100" t="str">
        <f aca="false">IF(ISBLANK($C444),"",IF(ISBLANK($AA444),0,IF(ISNUMBER($AA444),IF(AND($AA444&gt;=0,$AA444&lt;=Constants!$B$35,$AA444=INT($AA444)),$AA444,""),"")))</f>
        <v/>
      </c>
      <c r="BG444" s="100" t="str">
        <f aca="false">IF(ISBLANK($C444),"",IF($AB444=Constants!$B$2,TRUE(),IF($AB444=Constants!$B$3,FALSE(),TRUE())))</f>
        <v/>
      </c>
      <c r="BH444" s="100" t="str">
        <f aca="false">IF(ISBLANK($C444),"",IF($AC444=Constants!$B$2,TRUE(),IF($AC444=Constants!$B$3,FALSE(),TRUE())))</f>
        <v/>
      </c>
      <c r="BI444" s="100" t="str">
        <f aca="false">IF(ISBLANK($C444),"",IF($AD444=Constants!$B$2,TRUE(),IF($AD444=Constants!$B$3,FALSE(),TRUE())))</f>
        <v/>
      </c>
      <c r="BJ444" s="100" t="str">
        <f aca="false">IF(ISBLANK($C444),"",IF(ISNUMBER($AE444),IF($AE444&gt;=0,$AE444,""),""))</f>
        <v/>
      </c>
      <c r="BK444" s="100" t="str">
        <f aca="false">IF(ISBLANK($C444),"",IF($AF444=Constants!$B$2,TRUE(),IF($AF444=Constants!$B$3,FALSE(),FALSE())))</f>
        <v/>
      </c>
      <c r="BL444" s="99" t="str">
        <f aca="false">IF(ISBLANK($C444),"",IF($BK444,Constants!$B$7,IF(COUNTA($E444:$AE444)=0,Constants!$B$6,IF(OR(COUNTA($G444:$AE444)=0,NOT($AM444),$AS444),Constants!$B$5,IF(OR($CM444&lt;&gt;"",$CN444,$CO444,$CP444,$CQ444,$CR444,$CS444),Constants!$B$8,Constants!$B$4)))))</f>
        <v/>
      </c>
      <c r="BM444" s="100" t="str">
        <f aca="false">IF(ISBLANK($C444),"",IF($BL444&lt;&gt;Constants!$B$4,$BL444,IF(OR(NOT($AJ444),NOT($AL444),NOT($AT444)),Constants!$B$11,IF(OR(NOT($AR444),NOT($AU444),NOT($BI444),MAX($AN444,$AO444,$AP444)&gt;Constants!$B$30),Constants!$B$10,Constants!$B$9))))</f>
        <v/>
      </c>
      <c r="BN444" s="100" t="str">
        <f aca="false">IF($BL444&lt;&gt;Constants!$B$4,"",IF(NOT($AL444),0,MIN(Constants!$B$35,$BF444)))</f>
        <v/>
      </c>
      <c r="BO444" s="100" t="str">
        <f aca="false">IF($BL444&lt;&gt;Constants!$B$4,"",IF(NOT($AL444),0,IF($AW444,Constants!$B$18,IF($AV444,Constants!$B$17,0))))</f>
        <v/>
      </c>
      <c r="BP444" s="100" t="str">
        <f aca="false">IF($BL444&lt;&gt;Constants!$B$4,"",IF(NOT($AL444),0,Constants!$B$19*($AK444+$AX444+$AY444+$AZ444)))</f>
        <v/>
      </c>
      <c r="BQ444" s="100" t="str">
        <f aca="false">IF($BL444&lt;&gt;Constants!$B$4,"",IF(OR(NOT($AL444),NOT(ISNUMBER($BA444))),0,CHOOSE($BA444,Constants!$B$13,Constants!$B$14,Constants!$B$15,Constants!$B$16)))</f>
        <v/>
      </c>
      <c r="BR444" s="100" t="str">
        <f aca="false">IF($BL444&lt;&gt;Constants!$B$4,"",IF(NOT($AL444),0,Constants!$B$20*$BB444))</f>
        <v/>
      </c>
      <c r="BS444" s="100" t="str">
        <f aca="false">IF($BL444&lt;&gt;Constants!$B$4,"",IF(AND($AL444,$BD444,$BE444),Constants!$B$22,0))</f>
        <v/>
      </c>
      <c r="BT444" s="100" t="str">
        <f aca="false">IF($BL444&lt;&gt;Constants!$B$4,"",IF(OR(NOT($AL444),NOT($BD444)),0,IF($BJ444&gt;=2*$AH$9,0,Constants!$B$23*INT(ROUND(MIN($BJ444,$AH$9),6)))))</f>
        <v/>
      </c>
      <c r="BU444" s="100" t="str">
        <f aca="false">IF($BL444&lt;&gt;Constants!$B$4,"",IF(NOT($AL444),0,Constants!$B$24*INT(ROUND(MIN($BC444,$AH$9),6))))</f>
        <v/>
      </c>
      <c r="BV444" s="100" t="str">
        <f aca="false">IF($BL444&lt;&gt;Constants!$B$4,"",IF(AND($AL444,$BN444=0),Constants!$B$25,0))</f>
        <v/>
      </c>
      <c r="BW444" s="100" t="str">
        <f aca="false">IF($BL444&lt;&gt;Constants!$B$4,"",MIN(Constants!$B$29,MAX(0,Constants!$B$27*Constants!$B$28*INT(ROUND((Constants!$B$26-$AN444)/Constants!$B$28,6))))+MIN(Constants!$B$29,MAX(0,Constants!$B$27*Constants!$B$28*INT(ROUND((Constants!$B$26-$AO444)/Constants!$B$28,6))))+MIN(Constants!$B$29,MAX(0,Constants!$B$27*Constants!$B$28*INT(ROUND((Constants!$B$26-$AP444)/Constants!$B$28,6)))))</f>
        <v/>
      </c>
      <c r="BX444" s="100" t="str">
        <f aca="false">IF($BL444&lt;&gt;Constants!$B$4,"",IF(NOT($AL444),0,Constants!$B$31*INT(ROUND(MAX(0,MIN($BJ444,2*$AH$9)-$AH$9),6))))</f>
        <v/>
      </c>
      <c r="BY444" s="100" t="str">
        <f aca="false">IF($BL444&lt;&gt;Constants!$B$4,"",Constants!$B$32*(($AN444&gt;Constants!$B$26)+($AO444&gt;Constants!$B$26)+($AP444&gt;Constants!$B$26)))</f>
        <v/>
      </c>
      <c r="BZ444" s="100" t="str">
        <f aca="false">IF($BL444&lt;&gt;Constants!$B$4,"",IF(OR(NOT($AL444),$AQ444),0,Constants!$B$33))</f>
        <v/>
      </c>
      <c r="CA444" s="100" t="str">
        <f aca="false">IF($BL444&lt;&gt;Constants!$B$4,"",Constants!$B$34*$BN444)</f>
        <v/>
      </c>
      <c r="CB444" s="100" t="str">
        <f aca="false">IF($BL444&lt;&gt;Constants!$B$4,"",IF(OR(NOT($AL444),$BH444),0,Constants!$B$36))</f>
        <v/>
      </c>
      <c r="CC444" s="100" t="str">
        <f aca="false">IF($BL444&lt;&gt;Constants!$B$4,"",IF(OR(NOT($AL444),$BG444),0,Constants!$B$37))</f>
        <v/>
      </c>
      <c r="CD444" s="100" t="str">
        <f aca="false">IF($BL444&lt;&gt;Constants!$B$4,"",SUM($BX444:$CC444))</f>
        <v/>
      </c>
      <c r="CE444" s="100" t="str">
        <f aca="false">IF(ISBLANK($C444),"",IF($BL444&lt;&gt;Constants!$B$4,$BL444,SUM($BO444:$BW444)-$CD444))</f>
        <v/>
      </c>
      <c r="CF444" s="100" t="str">
        <f aca="false">IF(ISBLANK($C444),"",IF($BL444&lt;&gt;Constants!$B$4,$BL444,RANK($CE444,$CE$9:$CE$508)))</f>
        <v/>
      </c>
      <c r="CG444" s="100" t="str">
        <f aca="false">IF(ISBLANK($C444),"",IF($BL444&lt;&gt;Constants!$B$4,$BL444,COUNTIFS($BM$9:$BM$508,"&lt;"&amp;$BM444)+COUNTIFS($BM$9:$BM$508,$BM444,$CF$9:$CF$508,"&lt;"&amp;$CF444)+1))</f>
        <v/>
      </c>
      <c r="CH444" s="100" t="str">
        <f aca="false">IF(ISBLANK($C444),"",IF($BL444&lt;&gt;Constants!$B$4,$BL444,RANK($CD444,$CD$9:$CD$508,1)))</f>
        <v/>
      </c>
      <c r="CI444" s="100" t="str">
        <f aca="false">IF($BL444&lt;&gt;Constants!$B$4,"",$AN444+$AO444+$AP444)</f>
        <v/>
      </c>
      <c r="CJ444" s="100" t="str">
        <f aca="false">IF(ISBLANK($C444),"",IF($BL444&lt;&gt;Constants!$B$4,$BL444,RANK($CI444,$CI$9:$CI$508,1)))</f>
        <v/>
      </c>
      <c r="CK444" s="100" t="str">
        <f aca="false">IF(ISBLANK($C444),"",IF($BL444&lt;&gt;Constants!$B$4,$BL444,COUNTIFS($BM$9:$BM$508,"&lt;"&amp;$BM444)+COUNTIFS($BM$9:$BM$508,$BM444,$CF$9:$CF$508,"&lt;"&amp;$CF444)+COUNTIFS($BM$9:$BM$508,$BM444,$CF$9:$CF$508,$CF444,$CH$9:$CH$508,"&lt;"&amp;$CH444)+COUNTIFS($BM$9:$BM$508,$BM444,$CF$9:$CF$508,$CF444,$CH$9:$CH$508,$CH444,$CJ$9:$CJ$508,"&lt;"&amp;$CJ444)+1))</f>
        <v/>
      </c>
      <c r="CL444" s="100" t="str">
        <f aca="false">IF(ISBLANK($C444),"",IF($BL444&lt;&gt;Constants!$B$4,$BL444,$CG444-$CK444))</f>
        <v/>
      </c>
      <c r="CM444" s="100" t="str">
        <f aca="false">IF(ISBLANK($C444),"",IF(NOT($AL444),"",IF(ISBLANK($D$7),$CM$5,IF(NOT(ISNUMBER($D$7)),$CM$6,""))))</f>
        <v/>
      </c>
      <c r="CN444" s="100" t="str">
        <f aca="false">IF(ISBLANK($C444),"",OR($AN444="",$AO444="",$AP444=""))</f>
        <v/>
      </c>
      <c r="CO444" s="100" t="str">
        <f aca="false">IF(ISBLANK($C444),"",AND($AL444,$BA444=""))</f>
        <v/>
      </c>
      <c r="CP444" s="100" t="str">
        <f aca="false">IF(ISBLANK($C444),"",AND($AL444,$BB444=""))</f>
        <v/>
      </c>
      <c r="CQ444" s="100" t="str">
        <f aca="false">IF(ISBLANK($C444),"",AND($AL444,$BC444=""))</f>
        <v/>
      </c>
      <c r="CR444" s="100" t="str">
        <f aca="false">IF(ISBLANK($C444),"",AND($AL444,$BF444=""))</f>
        <v/>
      </c>
      <c r="CS444" s="100" t="str">
        <f aca="false">IF(ISBLANK($C444),"",AND($AL444,$BJ444=""))</f>
        <v/>
      </c>
      <c r="CT444" s="101"/>
      <c r="CU444" s="102"/>
      <c r="CV444" s="103" t="str">
        <f aca="false">IF(ISBLANK($C444),"",IF($BL444=Constants!$B$8,$CM444,""))</f>
        <v/>
      </c>
      <c r="CW444" s="102" t="str">
        <f aca="false">IF(ISBLANK($C444),"",IF($BL444&lt;&gt;Constants!$B$4,"",$BO444+$BP444))</f>
        <v/>
      </c>
      <c r="CX444" s="104" t="str">
        <f aca="false">IF(ISBLANK($C444),"",IF($BL444&lt;&gt;Constants!$B$4,"",$BQ444+$BR444+$BS444))</f>
        <v/>
      </c>
      <c r="CY444" s="104" t="str">
        <f aca="false">IF(ISBLANK($C444),"",IF($BL444&lt;&gt;Constants!$B$4,"",$BT444))</f>
        <v/>
      </c>
      <c r="CZ444" s="104" t="str">
        <f aca="false">IF(ISBLANK($C444),"",IF($BL444&lt;&gt;Constants!$B$4,"",$BU444+$BV444))</f>
        <v/>
      </c>
      <c r="DA444" s="104" t="str">
        <f aca="false">IF(ISBLANK($C444),"",IF($BL444&lt;&gt;Constants!$B$4,"",$BW444))</f>
        <v/>
      </c>
      <c r="DB444" s="104" t="str">
        <f aca="false">IF(ISBLANK($C444),"",IF($BL444&lt;&gt;Constants!$B$4,"",-$CD444))</f>
        <v/>
      </c>
      <c r="DC444" s="103" t="str">
        <f aca="false">IF(ISBLANK($C444),"",$CE444)</f>
        <v/>
      </c>
      <c r="DD444" s="105" t="str">
        <f aca="false">IF(ISBLANK($C444),"",$BM444)</f>
        <v/>
      </c>
      <c r="DE444" s="104" t="str">
        <f aca="false">IF(ISBLANK($C444),"",$CL444)</f>
        <v/>
      </c>
      <c r="DF444" s="104" t="str">
        <f aca="false">IF(ISBLANK($C444),"",$CK444)</f>
        <v/>
      </c>
      <c r="DG444" s="106" t="str">
        <f aca="false">IF(ISBLANK($C444),"",IF($DF444=Constants!$B$7,COUNTA($C$9:$C$508)+2,IF($DF444=Constants!$B$6,COUNTA($C$9:$C$508)+1,IF($DF444=Constants!$B$5,COUNTA($C$9:$C$508),$DF444))))</f>
        <v/>
      </c>
      <c r="DH444" s="7"/>
      <c r="DI444" s="107" t="n">
        <f aca="false">IF(OR(ISNUMBER($DF444),$DF444=Constants!$B$7,$DF444=Constants!$B$5,$DF444=Constants!$B$6),1,0)</f>
        <v>0</v>
      </c>
      <c r="DJ444" s="107" t="n">
        <v>436</v>
      </c>
      <c r="DK444" s="107" t="str">
        <f aca="false">IF(ISBLANK($C444),"",IF(ISNUMBER($DG444),$DG444+ROW($B444)/1000,""))</f>
        <v/>
      </c>
      <c r="DL444" s="107" t="str">
        <f aca="false">IF(ISNUMBER($DK444),RANK($DK444,$DK$9:$DK$508,1),"")</f>
        <v/>
      </c>
      <c r="DM444" s="107" t="str">
        <f aca="false">IF(ISBLANK($C444),"",$B444)</f>
        <v/>
      </c>
      <c r="DN444" s="107" t="str">
        <f aca="false">IF(ISBLANK($C444),"",$C444)</f>
        <v/>
      </c>
      <c r="DO444" s="107" t="str">
        <f aca="false">IF(ISBLANK($C444),"",$D444)</f>
        <v/>
      </c>
      <c r="DP444" s="108" t="str">
        <f aca="false">$DD444</f>
        <v/>
      </c>
      <c r="DQ444" s="109" t="str">
        <f aca="false">$DC444</f>
        <v/>
      </c>
      <c r="DR444" s="107" t="str">
        <f aca="false">IF(ISBLANK($C444),"",$DF444)</f>
        <v/>
      </c>
      <c r="DS444" s="110" t="str">
        <f aca="false">IF($DJ444&gt;$DI$8,"",VLOOKUP($DJ444,$DL$9:$DR$508,7,FALSE()))</f>
        <v/>
      </c>
      <c r="DT444" s="111" t="str">
        <f aca="false">IF($DJ444&gt;$DI$8,"",VLOOKUP($DJ444,$DL$9:$DR$508,2,FALSE()))</f>
        <v/>
      </c>
      <c r="DU444" s="111" t="str">
        <f aca="false">IF($DJ444&gt;$DI$8,"",VLOOKUP($DJ444,$DL$9:$DR$508,3,FALSE()))</f>
        <v/>
      </c>
      <c r="DV444" s="111" t="str">
        <f aca="false">IF($DJ444&gt;$DI$8,"",VLOOKUP($DJ444,$DL$9:$DR$508,4,FALSE()))</f>
        <v/>
      </c>
      <c r="DW444" s="111" t="str">
        <f aca="false">IF($DJ444&gt;$DI$8,"",VLOOKUP($DJ444,$DL$9:$DR$508,5,FALSE()))</f>
        <v/>
      </c>
      <c r="DX444" s="112" t="str">
        <f aca="false">IF($DJ444&gt;$DI$8,"",VLOOKUP($DJ444,$DL$9:$DR$508,6,FALSE()))</f>
        <v/>
      </c>
      <c r="DY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130"/>
      <c r="N445" s="130"/>
      <c r="O445" s="135"/>
      <c r="P445" s="135"/>
      <c r="Q445" s="130"/>
      <c r="R445" s="130"/>
      <c r="S445" s="130"/>
      <c r="T445" s="130"/>
      <c r="U445" s="135"/>
      <c r="V445" s="130"/>
      <c r="W445" s="96"/>
      <c r="X445" s="130"/>
      <c r="Y445" s="130"/>
      <c r="Z445" s="96"/>
      <c r="AA445" s="96"/>
      <c r="AB445" s="130"/>
      <c r="AC445" s="130"/>
      <c r="AD445" s="130"/>
      <c r="AE445" s="97"/>
      <c r="AF445" s="130"/>
      <c r="AG445" s="99"/>
      <c r="AH445" s="100"/>
      <c r="AI445" s="100"/>
      <c r="AJ445" s="100" t="str">
        <f aca="false">IF(ISBLANK($C445),"",IF($E445=Constants!$B$2,TRUE(),IF($E445=Constants!$B$3,FALSE(),TRUE())))</f>
        <v/>
      </c>
      <c r="AK445" s="100" t="str">
        <f aca="false">IF(ISBLANK($C445),"",IF($F445=Constants!$B$2,TRUE(),IF($F445=Constants!$B$3,FALSE(),FALSE())))</f>
        <v/>
      </c>
      <c r="AL445" s="100" t="str">
        <f aca="false">IF(ISBLANK($C445),"",IF($G445=Constants!$B$2,TRUE(),IF($G445=Constants!$B$3,FALSE(),TRUE())))</f>
        <v/>
      </c>
      <c r="AM445" s="100" t="str">
        <f aca="false">IF(ISBLANK($C445),"",IF($H445=Constants!$B$2,TRUE(),IF($H445=Constants!$B$3,FALSE(),TRUE())))</f>
        <v/>
      </c>
      <c r="AN445" s="100" t="str">
        <f aca="false">IF(ISBLANK($C445),"",IF(ISNUMBER($I445),IF($I445&gt;=0,$I445,""),""))</f>
        <v/>
      </c>
      <c r="AO445" s="100" t="str">
        <f aca="false">IF(ISBLANK($C445),"",IF(ISNUMBER($J445),IF($J445&gt;=0,$J445,""),""))</f>
        <v/>
      </c>
      <c r="AP445" s="100" t="str">
        <f aca="false">IF(ISBLANK($C445),"",IF(ISNUMBER($K445),IF($K445&gt;=0,$K445,""),""))</f>
        <v/>
      </c>
      <c r="AQ445" s="100" t="str">
        <f aca="false">IF(ISBLANK($C445),"",IF($L445=Constants!$B$2,TRUE(),IF($L445=Constants!$B$3,FALSE(),TRUE())))</f>
        <v/>
      </c>
      <c r="AR445" s="100" t="str">
        <f aca="false">IF(ISBLANK($C445),"",IF($M445=Constants!$B$2,TRUE(),IF($M445=Constants!$B$3,FALSE(),TRUE())))</f>
        <v/>
      </c>
      <c r="AS445" s="100" t="str">
        <f aca="false">IF(ISBLANK($C445),"",IF($N445=Constants!$B$2,TRUE(),IF($N445=Constants!$B$3,FALSE(),FALSE())))</f>
        <v/>
      </c>
      <c r="AT445" s="100" t="str">
        <f aca="false">IF(ISBLANK($C445),"",IF($O445=Constants!$B$2,TRUE(),IF($O445=Constants!$B$3,FALSE(),TRUE())))</f>
        <v/>
      </c>
      <c r="AU445" s="100" t="str">
        <f aca="false">IF(ISBLANK($C445),"",IF($P445=Constants!$B$2,TRUE(),IF($P445=Constants!$B$3,FALSE(),TRUE())))</f>
        <v/>
      </c>
      <c r="AV445" s="100" t="str">
        <f aca="false">IF(ISBLANK($C445),"",IF($Q445=Constants!$B$2,TRUE(),IF($Q445=Constants!$B$3,FALSE(),FALSE())))</f>
        <v/>
      </c>
      <c r="AW445" s="100" t="str">
        <f aca="false">IF(ISBLANK($C445),"",IF($R445=Constants!$B$2,TRUE(),IF($R445=Constants!$B$3,FALSE(),FALSE())))</f>
        <v/>
      </c>
      <c r="AX445" s="100" t="str">
        <f aca="false">IF(ISBLANK($C445),"",IF($S445=Constants!$B$2,TRUE(),IF($S445=Constants!$B$3,FALSE(),FALSE())))</f>
        <v/>
      </c>
      <c r="AY445" s="100" t="str">
        <f aca="false">IF(ISBLANK($C445),"",IF($T445=Constants!$B$2,TRUE(),IF($T445=Constants!$B$3,FALSE(),FALSE())))</f>
        <v/>
      </c>
      <c r="AZ445" s="100" t="str">
        <f aca="false">IF(ISBLANK($C445),"",IF($U445=Constants!$B$2,TRUE(),IF($U445=Constants!$B$3,FALSE(),FALSE())))</f>
        <v/>
      </c>
      <c r="BA445" s="100" t="str">
        <f aca="false">IF(ISBLANK($C445),"",IF(OR($V445&amp;""="1",$V445&amp;""="2",$V445&amp;""="3",$V445&amp;""="4"),VALUE($V445&amp;""),IF($V445=Constants!$B$12,Constants!$B$12,"")))</f>
        <v/>
      </c>
      <c r="BB445" s="100" t="str">
        <f aca="false">IF(ISBLANK($C445),"",IF(ISBLANK($W445),0,IF(ISNUMBER($W445),IF(AND($W445&gt;=0,$W445&lt;=Constants!$B$21,$W445=INT($W445)),$W445,""),"")))</f>
        <v/>
      </c>
      <c r="BC445" s="100" t="str">
        <f aca="false">IF(ISBLANK($C445),"",IF(ISBLANK($X445),0,IF(ISNUMBER($X445),IF($X445&gt;=0,$X445,""),"")))</f>
        <v/>
      </c>
      <c r="BD445" s="100" t="str">
        <f aca="false">IF(ISBLANK($C445),"",IF($Y445=Constants!$B$2,TRUE(),IF($Y445=Constants!$B$3,FALSE(),TRUE())))</f>
        <v/>
      </c>
      <c r="BE445" s="100" t="str">
        <f aca="false">IF(ISBLANK($C445),"",IF($Z445=Constants!$B$2,TRUE(),IF($Z445=Constants!$B$3,FALSE(),FALSE())))</f>
        <v/>
      </c>
      <c r="BF445" s="100" t="str">
        <f aca="false">IF(ISBLANK($C445),"",IF(ISBLANK($AA445),0,IF(ISNUMBER($AA445),IF(AND($AA445&gt;=0,$AA445&lt;=Constants!$B$35,$AA445=INT($AA445)),$AA445,""),"")))</f>
        <v/>
      </c>
      <c r="BG445" s="100" t="str">
        <f aca="false">IF(ISBLANK($C445),"",IF($AB445=Constants!$B$2,TRUE(),IF($AB445=Constants!$B$3,FALSE(),TRUE())))</f>
        <v/>
      </c>
      <c r="BH445" s="100" t="str">
        <f aca="false">IF(ISBLANK($C445),"",IF($AC445=Constants!$B$2,TRUE(),IF($AC445=Constants!$B$3,FALSE(),TRUE())))</f>
        <v/>
      </c>
      <c r="BI445" s="100" t="str">
        <f aca="false">IF(ISBLANK($C445),"",IF($AD445=Constants!$B$2,TRUE(),IF($AD445=Constants!$B$3,FALSE(),TRUE())))</f>
        <v/>
      </c>
      <c r="BJ445" s="100" t="str">
        <f aca="false">IF(ISBLANK($C445),"",IF(ISNUMBER($AE445),IF($AE445&gt;=0,$AE445,""),""))</f>
        <v/>
      </c>
      <c r="BK445" s="100" t="str">
        <f aca="false">IF(ISBLANK($C445),"",IF($AF445=Constants!$B$2,TRUE(),IF($AF445=Constants!$B$3,FALSE(),FALSE())))</f>
        <v/>
      </c>
      <c r="BL445" s="99" t="str">
        <f aca="false">IF(ISBLANK($C445),"",IF($BK445,Constants!$B$7,IF(COUNTA($E445:$AE445)=0,Constants!$B$6,IF(OR(COUNTA($G445:$AE445)=0,NOT($AM445),$AS445),Constants!$B$5,IF(OR($CM445&lt;&gt;"",$CN445,$CO445,$CP445,$CQ445,$CR445,$CS445),Constants!$B$8,Constants!$B$4)))))</f>
        <v/>
      </c>
      <c r="BM445" s="100" t="str">
        <f aca="false">IF(ISBLANK($C445),"",IF($BL445&lt;&gt;Constants!$B$4,$BL445,IF(OR(NOT($AJ445),NOT($AL445),NOT($AT445)),Constants!$B$11,IF(OR(NOT($AR445),NOT($AU445),NOT($BI445),MAX($AN445,$AO445,$AP445)&gt;Constants!$B$30),Constants!$B$10,Constants!$B$9))))</f>
        <v/>
      </c>
      <c r="BN445" s="100" t="str">
        <f aca="false">IF($BL445&lt;&gt;Constants!$B$4,"",IF(NOT($AL445),0,MIN(Constants!$B$35,$BF445)))</f>
        <v/>
      </c>
      <c r="BO445" s="100" t="str">
        <f aca="false">IF($BL445&lt;&gt;Constants!$B$4,"",IF(NOT($AL445),0,IF($AW445,Constants!$B$18,IF($AV445,Constants!$B$17,0))))</f>
        <v/>
      </c>
      <c r="BP445" s="100" t="str">
        <f aca="false">IF($BL445&lt;&gt;Constants!$B$4,"",IF(NOT($AL445),0,Constants!$B$19*($AK445+$AX445+$AY445+$AZ445)))</f>
        <v/>
      </c>
      <c r="BQ445" s="100" t="str">
        <f aca="false">IF($BL445&lt;&gt;Constants!$B$4,"",IF(OR(NOT($AL445),NOT(ISNUMBER($BA445))),0,CHOOSE($BA445,Constants!$B$13,Constants!$B$14,Constants!$B$15,Constants!$B$16)))</f>
        <v/>
      </c>
      <c r="BR445" s="100" t="str">
        <f aca="false">IF($BL445&lt;&gt;Constants!$B$4,"",IF(NOT($AL445),0,Constants!$B$20*$BB445))</f>
        <v/>
      </c>
      <c r="BS445" s="100" t="str">
        <f aca="false">IF($BL445&lt;&gt;Constants!$B$4,"",IF(AND($AL445,$BD445,$BE445),Constants!$B$22,0))</f>
        <v/>
      </c>
      <c r="BT445" s="100" t="str">
        <f aca="false">IF($BL445&lt;&gt;Constants!$B$4,"",IF(OR(NOT($AL445),NOT($BD445)),0,IF($BJ445&gt;=2*$AH$9,0,Constants!$B$23*INT(ROUND(MIN($BJ445,$AH$9),6)))))</f>
        <v/>
      </c>
      <c r="BU445" s="100" t="str">
        <f aca="false">IF($BL445&lt;&gt;Constants!$B$4,"",IF(NOT($AL445),0,Constants!$B$24*INT(ROUND(MIN($BC445,$AH$9),6))))</f>
        <v/>
      </c>
      <c r="BV445" s="100" t="str">
        <f aca="false">IF($BL445&lt;&gt;Constants!$B$4,"",IF(AND($AL445,$BN445=0),Constants!$B$25,0))</f>
        <v/>
      </c>
      <c r="BW445" s="100" t="str">
        <f aca="false">IF($BL445&lt;&gt;Constants!$B$4,"",MIN(Constants!$B$29,MAX(0,Constants!$B$27*Constants!$B$28*INT(ROUND((Constants!$B$26-$AN445)/Constants!$B$28,6))))+MIN(Constants!$B$29,MAX(0,Constants!$B$27*Constants!$B$28*INT(ROUND((Constants!$B$26-$AO445)/Constants!$B$28,6))))+MIN(Constants!$B$29,MAX(0,Constants!$B$27*Constants!$B$28*INT(ROUND((Constants!$B$26-$AP445)/Constants!$B$28,6)))))</f>
        <v/>
      </c>
      <c r="BX445" s="100" t="str">
        <f aca="false">IF($BL445&lt;&gt;Constants!$B$4,"",IF(NOT($AL445),0,Constants!$B$31*INT(ROUND(MAX(0,MIN($BJ445,2*$AH$9)-$AH$9),6))))</f>
        <v/>
      </c>
      <c r="BY445" s="100" t="str">
        <f aca="false">IF($BL445&lt;&gt;Constants!$B$4,"",Constants!$B$32*(($AN445&gt;Constants!$B$26)+($AO445&gt;Constants!$B$26)+($AP445&gt;Constants!$B$26)))</f>
        <v/>
      </c>
      <c r="BZ445" s="100" t="str">
        <f aca="false">IF($BL445&lt;&gt;Constants!$B$4,"",IF(OR(NOT($AL445),$AQ445),0,Constants!$B$33))</f>
        <v/>
      </c>
      <c r="CA445" s="100" t="str">
        <f aca="false">IF($BL445&lt;&gt;Constants!$B$4,"",Constants!$B$34*$BN445)</f>
        <v/>
      </c>
      <c r="CB445" s="100" t="str">
        <f aca="false">IF($BL445&lt;&gt;Constants!$B$4,"",IF(OR(NOT($AL445),$BH445),0,Constants!$B$36))</f>
        <v/>
      </c>
      <c r="CC445" s="100" t="str">
        <f aca="false">IF($BL445&lt;&gt;Constants!$B$4,"",IF(OR(NOT($AL445),$BG445),0,Constants!$B$37))</f>
        <v/>
      </c>
      <c r="CD445" s="100" t="str">
        <f aca="false">IF($BL445&lt;&gt;Constants!$B$4,"",SUM($BX445:$CC445))</f>
        <v/>
      </c>
      <c r="CE445" s="100" t="str">
        <f aca="false">IF(ISBLANK($C445),"",IF($BL445&lt;&gt;Constants!$B$4,$BL445,SUM($BO445:$BW445)-$CD445))</f>
        <v/>
      </c>
      <c r="CF445" s="100" t="str">
        <f aca="false">IF(ISBLANK($C445),"",IF($BL445&lt;&gt;Constants!$B$4,$BL445,RANK($CE445,$CE$9:$CE$508)))</f>
        <v/>
      </c>
      <c r="CG445" s="100" t="str">
        <f aca="false">IF(ISBLANK($C445),"",IF($BL445&lt;&gt;Constants!$B$4,$BL445,COUNTIFS($BM$9:$BM$508,"&lt;"&amp;$BM445)+COUNTIFS($BM$9:$BM$508,$BM445,$CF$9:$CF$508,"&lt;"&amp;$CF445)+1))</f>
        <v/>
      </c>
      <c r="CH445" s="100" t="str">
        <f aca="false">IF(ISBLANK($C445),"",IF($BL445&lt;&gt;Constants!$B$4,$BL445,RANK($CD445,$CD$9:$CD$508,1)))</f>
        <v/>
      </c>
      <c r="CI445" s="100" t="str">
        <f aca="false">IF($BL445&lt;&gt;Constants!$B$4,"",$AN445+$AO445+$AP445)</f>
        <v/>
      </c>
      <c r="CJ445" s="100" t="str">
        <f aca="false">IF(ISBLANK($C445),"",IF($BL445&lt;&gt;Constants!$B$4,$BL445,RANK($CI445,$CI$9:$CI$508,1)))</f>
        <v/>
      </c>
      <c r="CK445" s="100" t="str">
        <f aca="false">IF(ISBLANK($C445),"",IF($BL445&lt;&gt;Constants!$B$4,$BL445,COUNTIFS($BM$9:$BM$508,"&lt;"&amp;$BM445)+COUNTIFS($BM$9:$BM$508,$BM445,$CF$9:$CF$508,"&lt;"&amp;$CF445)+COUNTIFS($BM$9:$BM$508,$BM445,$CF$9:$CF$508,$CF445,$CH$9:$CH$508,"&lt;"&amp;$CH445)+COUNTIFS($BM$9:$BM$508,$BM445,$CF$9:$CF$508,$CF445,$CH$9:$CH$508,$CH445,$CJ$9:$CJ$508,"&lt;"&amp;$CJ445)+1))</f>
        <v/>
      </c>
      <c r="CL445" s="100" t="str">
        <f aca="false">IF(ISBLANK($C445),"",IF($BL445&lt;&gt;Constants!$B$4,$BL445,$CG445-$CK445))</f>
        <v/>
      </c>
      <c r="CM445" s="100" t="str">
        <f aca="false">IF(ISBLANK($C445),"",IF(NOT($AL445),"",IF(ISBLANK($D$7),$CM$5,IF(NOT(ISNUMBER($D$7)),$CM$6,""))))</f>
        <v/>
      </c>
      <c r="CN445" s="100" t="str">
        <f aca="false">IF(ISBLANK($C445),"",OR($AN445="",$AO445="",$AP445=""))</f>
        <v/>
      </c>
      <c r="CO445" s="100" t="str">
        <f aca="false">IF(ISBLANK($C445),"",AND($AL445,$BA445=""))</f>
        <v/>
      </c>
      <c r="CP445" s="100" t="str">
        <f aca="false">IF(ISBLANK($C445),"",AND($AL445,$BB445=""))</f>
        <v/>
      </c>
      <c r="CQ445" s="100" t="str">
        <f aca="false">IF(ISBLANK($C445),"",AND($AL445,$BC445=""))</f>
        <v/>
      </c>
      <c r="CR445" s="100" t="str">
        <f aca="false">IF(ISBLANK($C445),"",AND($AL445,$BF445=""))</f>
        <v/>
      </c>
      <c r="CS445" s="100" t="str">
        <f aca="false">IF(ISBLANK($C445),"",AND($AL445,$BJ445=""))</f>
        <v/>
      </c>
      <c r="CT445" s="101"/>
      <c r="CU445" s="102"/>
      <c r="CV445" s="103" t="str">
        <f aca="false">IF(ISBLANK($C445),"",IF($BL445=Constants!$B$8,$CM445,""))</f>
        <v/>
      </c>
      <c r="CW445" s="102" t="str">
        <f aca="false">IF(ISBLANK($C445),"",IF($BL445&lt;&gt;Constants!$B$4,"",$BO445+$BP445))</f>
        <v/>
      </c>
      <c r="CX445" s="104" t="str">
        <f aca="false">IF(ISBLANK($C445),"",IF($BL445&lt;&gt;Constants!$B$4,"",$BQ445+$BR445+$BS445))</f>
        <v/>
      </c>
      <c r="CY445" s="104" t="str">
        <f aca="false">IF(ISBLANK($C445),"",IF($BL445&lt;&gt;Constants!$B$4,"",$BT445))</f>
        <v/>
      </c>
      <c r="CZ445" s="104" t="str">
        <f aca="false">IF(ISBLANK($C445),"",IF($BL445&lt;&gt;Constants!$B$4,"",$BU445+$BV445))</f>
        <v/>
      </c>
      <c r="DA445" s="104" t="str">
        <f aca="false">IF(ISBLANK($C445),"",IF($BL445&lt;&gt;Constants!$B$4,"",$BW445))</f>
        <v/>
      </c>
      <c r="DB445" s="104" t="str">
        <f aca="false">IF(ISBLANK($C445),"",IF($BL445&lt;&gt;Constants!$B$4,"",-$CD445))</f>
        <v/>
      </c>
      <c r="DC445" s="103" t="str">
        <f aca="false">IF(ISBLANK($C445),"",$CE445)</f>
        <v/>
      </c>
      <c r="DD445" s="105" t="str">
        <f aca="false">IF(ISBLANK($C445),"",$BM445)</f>
        <v/>
      </c>
      <c r="DE445" s="104" t="str">
        <f aca="false">IF(ISBLANK($C445),"",$CL445)</f>
        <v/>
      </c>
      <c r="DF445" s="104" t="str">
        <f aca="false">IF(ISBLANK($C445),"",$CK445)</f>
        <v/>
      </c>
      <c r="DG445" s="106" t="str">
        <f aca="false">IF(ISBLANK($C445),"",IF($DF445=Constants!$B$7,COUNTA($C$9:$C$508)+2,IF($DF445=Constants!$B$6,COUNTA($C$9:$C$508)+1,IF($DF445=Constants!$B$5,COUNTA($C$9:$C$508),$DF445))))</f>
        <v/>
      </c>
      <c r="DH445" s="7"/>
      <c r="DI445" s="107" t="n">
        <f aca="false">IF(OR(ISNUMBER($DF445),$DF445=Constants!$B$7,$DF445=Constants!$B$5,$DF445=Constants!$B$6),1,0)</f>
        <v>0</v>
      </c>
      <c r="DJ445" s="107" t="n">
        <v>437</v>
      </c>
      <c r="DK445" s="107" t="str">
        <f aca="false">IF(ISBLANK($C445),"",IF(ISNUMBER($DG445),$DG445+ROW($B445)/1000,""))</f>
        <v/>
      </c>
      <c r="DL445" s="107" t="str">
        <f aca="false">IF(ISNUMBER($DK445),RANK($DK445,$DK$9:$DK$508,1),"")</f>
        <v/>
      </c>
      <c r="DM445" s="107" t="str">
        <f aca="false">IF(ISBLANK($C445),"",$B445)</f>
        <v/>
      </c>
      <c r="DN445" s="107" t="str">
        <f aca="false">IF(ISBLANK($C445),"",$C445)</f>
        <v/>
      </c>
      <c r="DO445" s="107" t="str">
        <f aca="false">IF(ISBLANK($C445),"",$D445)</f>
        <v/>
      </c>
      <c r="DP445" s="108" t="str">
        <f aca="false">$DD445</f>
        <v/>
      </c>
      <c r="DQ445" s="109" t="str">
        <f aca="false">$DC445</f>
        <v/>
      </c>
      <c r="DR445" s="107" t="str">
        <f aca="false">IF(ISBLANK($C445),"",$DF445)</f>
        <v/>
      </c>
      <c r="DS445" s="110" t="str">
        <f aca="false">IF($DJ445&gt;$DI$8,"",VLOOKUP($DJ445,$DL$9:$DR$508,7,FALSE()))</f>
        <v/>
      </c>
      <c r="DT445" s="111" t="str">
        <f aca="false">IF($DJ445&gt;$DI$8,"",VLOOKUP($DJ445,$DL$9:$DR$508,2,FALSE()))</f>
        <v/>
      </c>
      <c r="DU445" s="111" t="str">
        <f aca="false">IF($DJ445&gt;$DI$8,"",VLOOKUP($DJ445,$DL$9:$DR$508,3,FALSE()))</f>
        <v/>
      </c>
      <c r="DV445" s="111" t="str">
        <f aca="false">IF($DJ445&gt;$DI$8,"",VLOOKUP($DJ445,$DL$9:$DR$508,4,FALSE()))</f>
        <v/>
      </c>
      <c r="DW445" s="111" t="str">
        <f aca="false">IF($DJ445&gt;$DI$8,"",VLOOKUP($DJ445,$DL$9:$DR$508,5,FALSE()))</f>
        <v/>
      </c>
      <c r="DX445" s="112" t="str">
        <f aca="false">IF($DJ445&gt;$DI$8,"",VLOOKUP($DJ445,$DL$9:$DR$508,6,FALSE()))</f>
        <v/>
      </c>
      <c r="DY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130"/>
      <c r="N446" s="130"/>
      <c r="O446" s="135"/>
      <c r="P446" s="135"/>
      <c r="Q446" s="130"/>
      <c r="R446" s="130"/>
      <c r="S446" s="130"/>
      <c r="T446" s="130"/>
      <c r="U446" s="135"/>
      <c r="V446" s="130"/>
      <c r="W446" s="96"/>
      <c r="X446" s="130"/>
      <c r="Y446" s="130"/>
      <c r="Z446" s="96"/>
      <c r="AA446" s="96"/>
      <c r="AB446" s="130"/>
      <c r="AC446" s="130"/>
      <c r="AD446" s="130"/>
      <c r="AE446" s="97"/>
      <c r="AF446" s="130"/>
      <c r="AG446" s="99"/>
      <c r="AH446" s="100"/>
      <c r="AI446" s="100"/>
      <c r="AJ446" s="100" t="str">
        <f aca="false">IF(ISBLANK($C446),"",IF($E446=Constants!$B$2,TRUE(),IF($E446=Constants!$B$3,FALSE(),TRUE())))</f>
        <v/>
      </c>
      <c r="AK446" s="100" t="str">
        <f aca="false">IF(ISBLANK($C446),"",IF($F446=Constants!$B$2,TRUE(),IF($F446=Constants!$B$3,FALSE(),FALSE())))</f>
        <v/>
      </c>
      <c r="AL446" s="100" t="str">
        <f aca="false">IF(ISBLANK($C446),"",IF($G446=Constants!$B$2,TRUE(),IF($G446=Constants!$B$3,FALSE(),TRUE())))</f>
        <v/>
      </c>
      <c r="AM446" s="100" t="str">
        <f aca="false">IF(ISBLANK($C446),"",IF($H446=Constants!$B$2,TRUE(),IF($H446=Constants!$B$3,FALSE(),TRUE())))</f>
        <v/>
      </c>
      <c r="AN446" s="100" t="str">
        <f aca="false">IF(ISBLANK($C446),"",IF(ISNUMBER($I446),IF($I446&gt;=0,$I446,""),""))</f>
        <v/>
      </c>
      <c r="AO446" s="100" t="str">
        <f aca="false">IF(ISBLANK($C446),"",IF(ISNUMBER($J446),IF($J446&gt;=0,$J446,""),""))</f>
        <v/>
      </c>
      <c r="AP446" s="100" t="str">
        <f aca="false">IF(ISBLANK($C446),"",IF(ISNUMBER($K446),IF($K446&gt;=0,$K446,""),""))</f>
        <v/>
      </c>
      <c r="AQ446" s="100" t="str">
        <f aca="false">IF(ISBLANK($C446),"",IF($L446=Constants!$B$2,TRUE(),IF($L446=Constants!$B$3,FALSE(),TRUE())))</f>
        <v/>
      </c>
      <c r="AR446" s="100" t="str">
        <f aca="false">IF(ISBLANK($C446),"",IF($M446=Constants!$B$2,TRUE(),IF($M446=Constants!$B$3,FALSE(),TRUE())))</f>
        <v/>
      </c>
      <c r="AS446" s="100" t="str">
        <f aca="false">IF(ISBLANK($C446),"",IF($N446=Constants!$B$2,TRUE(),IF($N446=Constants!$B$3,FALSE(),FALSE())))</f>
        <v/>
      </c>
      <c r="AT446" s="100" t="str">
        <f aca="false">IF(ISBLANK($C446),"",IF($O446=Constants!$B$2,TRUE(),IF($O446=Constants!$B$3,FALSE(),TRUE())))</f>
        <v/>
      </c>
      <c r="AU446" s="100" t="str">
        <f aca="false">IF(ISBLANK($C446),"",IF($P446=Constants!$B$2,TRUE(),IF($P446=Constants!$B$3,FALSE(),TRUE())))</f>
        <v/>
      </c>
      <c r="AV446" s="100" t="str">
        <f aca="false">IF(ISBLANK($C446),"",IF($Q446=Constants!$B$2,TRUE(),IF($Q446=Constants!$B$3,FALSE(),FALSE())))</f>
        <v/>
      </c>
      <c r="AW446" s="100" t="str">
        <f aca="false">IF(ISBLANK($C446),"",IF($R446=Constants!$B$2,TRUE(),IF($R446=Constants!$B$3,FALSE(),FALSE())))</f>
        <v/>
      </c>
      <c r="AX446" s="100" t="str">
        <f aca="false">IF(ISBLANK($C446),"",IF($S446=Constants!$B$2,TRUE(),IF($S446=Constants!$B$3,FALSE(),FALSE())))</f>
        <v/>
      </c>
      <c r="AY446" s="100" t="str">
        <f aca="false">IF(ISBLANK($C446),"",IF($T446=Constants!$B$2,TRUE(),IF($T446=Constants!$B$3,FALSE(),FALSE())))</f>
        <v/>
      </c>
      <c r="AZ446" s="100" t="str">
        <f aca="false">IF(ISBLANK($C446),"",IF($U446=Constants!$B$2,TRUE(),IF($U446=Constants!$B$3,FALSE(),FALSE())))</f>
        <v/>
      </c>
      <c r="BA446" s="100" t="str">
        <f aca="false">IF(ISBLANK($C446),"",IF(OR($V446&amp;""="1",$V446&amp;""="2",$V446&amp;""="3",$V446&amp;""="4"),VALUE($V446&amp;""),IF($V446=Constants!$B$12,Constants!$B$12,"")))</f>
        <v/>
      </c>
      <c r="BB446" s="100" t="str">
        <f aca="false">IF(ISBLANK($C446),"",IF(ISBLANK($W446),0,IF(ISNUMBER($W446),IF(AND($W446&gt;=0,$W446&lt;=Constants!$B$21,$W446=INT($W446)),$W446,""),"")))</f>
        <v/>
      </c>
      <c r="BC446" s="100" t="str">
        <f aca="false">IF(ISBLANK($C446),"",IF(ISBLANK($X446),0,IF(ISNUMBER($X446),IF($X446&gt;=0,$X446,""),"")))</f>
        <v/>
      </c>
      <c r="BD446" s="100" t="str">
        <f aca="false">IF(ISBLANK($C446),"",IF($Y446=Constants!$B$2,TRUE(),IF($Y446=Constants!$B$3,FALSE(),TRUE())))</f>
        <v/>
      </c>
      <c r="BE446" s="100" t="str">
        <f aca="false">IF(ISBLANK($C446),"",IF($Z446=Constants!$B$2,TRUE(),IF($Z446=Constants!$B$3,FALSE(),FALSE())))</f>
        <v/>
      </c>
      <c r="BF446" s="100" t="str">
        <f aca="false">IF(ISBLANK($C446),"",IF(ISBLANK($AA446),0,IF(ISNUMBER($AA446),IF(AND($AA446&gt;=0,$AA446&lt;=Constants!$B$35,$AA446=INT($AA446)),$AA446,""),"")))</f>
        <v/>
      </c>
      <c r="BG446" s="100" t="str">
        <f aca="false">IF(ISBLANK($C446),"",IF($AB446=Constants!$B$2,TRUE(),IF($AB446=Constants!$B$3,FALSE(),TRUE())))</f>
        <v/>
      </c>
      <c r="BH446" s="100" t="str">
        <f aca="false">IF(ISBLANK($C446),"",IF($AC446=Constants!$B$2,TRUE(),IF($AC446=Constants!$B$3,FALSE(),TRUE())))</f>
        <v/>
      </c>
      <c r="BI446" s="100" t="str">
        <f aca="false">IF(ISBLANK($C446),"",IF($AD446=Constants!$B$2,TRUE(),IF($AD446=Constants!$B$3,FALSE(),TRUE())))</f>
        <v/>
      </c>
      <c r="BJ446" s="100" t="str">
        <f aca="false">IF(ISBLANK($C446),"",IF(ISNUMBER($AE446),IF($AE446&gt;=0,$AE446,""),""))</f>
        <v/>
      </c>
      <c r="BK446" s="100" t="str">
        <f aca="false">IF(ISBLANK($C446),"",IF($AF446=Constants!$B$2,TRUE(),IF($AF446=Constants!$B$3,FALSE(),FALSE())))</f>
        <v/>
      </c>
      <c r="BL446" s="99" t="str">
        <f aca="false">IF(ISBLANK($C446),"",IF($BK446,Constants!$B$7,IF(COUNTA($E446:$AE446)=0,Constants!$B$6,IF(OR(COUNTA($G446:$AE446)=0,NOT($AM446),$AS446),Constants!$B$5,IF(OR($CM446&lt;&gt;"",$CN446,$CO446,$CP446,$CQ446,$CR446,$CS446),Constants!$B$8,Constants!$B$4)))))</f>
        <v/>
      </c>
      <c r="BM446" s="100" t="str">
        <f aca="false">IF(ISBLANK($C446),"",IF($BL446&lt;&gt;Constants!$B$4,$BL446,IF(OR(NOT($AJ446),NOT($AL446),NOT($AT446)),Constants!$B$11,IF(OR(NOT($AR446),NOT($AU446),NOT($BI446),MAX($AN446,$AO446,$AP446)&gt;Constants!$B$30),Constants!$B$10,Constants!$B$9))))</f>
        <v/>
      </c>
      <c r="BN446" s="100" t="str">
        <f aca="false">IF($BL446&lt;&gt;Constants!$B$4,"",IF(NOT($AL446),0,MIN(Constants!$B$35,$BF446)))</f>
        <v/>
      </c>
      <c r="BO446" s="100" t="str">
        <f aca="false">IF($BL446&lt;&gt;Constants!$B$4,"",IF(NOT($AL446),0,IF($AW446,Constants!$B$18,IF($AV446,Constants!$B$17,0))))</f>
        <v/>
      </c>
      <c r="BP446" s="100" t="str">
        <f aca="false">IF($BL446&lt;&gt;Constants!$B$4,"",IF(NOT($AL446),0,Constants!$B$19*($AK446+$AX446+$AY446+$AZ446)))</f>
        <v/>
      </c>
      <c r="BQ446" s="100" t="str">
        <f aca="false">IF($BL446&lt;&gt;Constants!$B$4,"",IF(OR(NOT($AL446),NOT(ISNUMBER($BA446))),0,CHOOSE($BA446,Constants!$B$13,Constants!$B$14,Constants!$B$15,Constants!$B$16)))</f>
        <v/>
      </c>
      <c r="BR446" s="100" t="str">
        <f aca="false">IF($BL446&lt;&gt;Constants!$B$4,"",IF(NOT($AL446),0,Constants!$B$20*$BB446))</f>
        <v/>
      </c>
      <c r="BS446" s="100" t="str">
        <f aca="false">IF($BL446&lt;&gt;Constants!$B$4,"",IF(AND($AL446,$BD446,$BE446),Constants!$B$22,0))</f>
        <v/>
      </c>
      <c r="BT446" s="100" t="str">
        <f aca="false">IF($BL446&lt;&gt;Constants!$B$4,"",IF(OR(NOT($AL446),NOT($BD446)),0,IF($BJ446&gt;=2*$AH$9,0,Constants!$B$23*INT(ROUND(MIN($BJ446,$AH$9),6)))))</f>
        <v/>
      </c>
      <c r="BU446" s="100" t="str">
        <f aca="false">IF($BL446&lt;&gt;Constants!$B$4,"",IF(NOT($AL446),0,Constants!$B$24*INT(ROUND(MIN($BC446,$AH$9),6))))</f>
        <v/>
      </c>
      <c r="BV446" s="100" t="str">
        <f aca="false">IF($BL446&lt;&gt;Constants!$B$4,"",IF(AND($AL446,$BN446=0),Constants!$B$25,0))</f>
        <v/>
      </c>
      <c r="BW446" s="100" t="str">
        <f aca="false">IF($BL446&lt;&gt;Constants!$B$4,"",MIN(Constants!$B$29,MAX(0,Constants!$B$27*Constants!$B$28*INT(ROUND((Constants!$B$26-$AN446)/Constants!$B$28,6))))+MIN(Constants!$B$29,MAX(0,Constants!$B$27*Constants!$B$28*INT(ROUND((Constants!$B$26-$AO446)/Constants!$B$28,6))))+MIN(Constants!$B$29,MAX(0,Constants!$B$27*Constants!$B$28*INT(ROUND((Constants!$B$26-$AP446)/Constants!$B$28,6)))))</f>
        <v/>
      </c>
      <c r="BX446" s="100" t="str">
        <f aca="false">IF($BL446&lt;&gt;Constants!$B$4,"",IF(NOT($AL446),0,Constants!$B$31*INT(ROUND(MAX(0,MIN($BJ446,2*$AH$9)-$AH$9),6))))</f>
        <v/>
      </c>
      <c r="BY446" s="100" t="str">
        <f aca="false">IF($BL446&lt;&gt;Constants!$B$4,"",Constants!$B$32*(($AN446&gt;Constants!$B$26)+($AO446&gt;Constants!$B$26)+($AP446&gt;Constants!$B$26)))</f>
        <v/>
      </c>
      <c r="BZ446" s="100" t="str">
        <f aca="false">IF($BL446&lt;&gt;Constants!$B$4,"",IF(OR(NOT($AL446),$AQ446),0,Constants!$B$33))</f>
        <v/>
      </c>
      <c r="CA446" s="100" t="str">
        <f aca="false">IF($BL446&lt;&gt;Constants!$B$4,"",Constants!$B$34*$BN446)</f>
        <v/>
      </c>
      <c r="CB446" s="100" t="str">
        <f aca="false">IF($BL446&lt;&gt;Constants!$B$4,"",IF(OR(NOT($AL446),$BH446),0,Constants!$B$36))</f>
        <v/>
      </c>
      <c r="CC446" s="100" t="str">
        <f aca="false">IF($BL446&lt;&gt;Constants!$B$4,"",IF(OR(NOT($AL446),$BG446),0,Constants!$B$37))</f>
        <v/>
      </c>
      <c r="CD446" s="100" t="str">
        <f aca="false">IF($BL446&lt;&gt;Constants!$B$4,"",SUM($BX446:$CC446))</f>
        <v/>
      </c>
      <c r="CE446" s="100" t="str">
        <f aca="false">IF(ISBLANK($C446),"",IF($BL446&lt;&gt;Constants!$B$4,$BL446,SUM($BO446:$BW446)-$CD446))</f>
        <v/>
      </c>
      <c r="CF446" s="100" t="str">
        <f aca="false">IF(ISBLANK($C446),"",IF($BL446&lt;&gt;Constants!$B$4,$BL446,RANK($CE446,$CE$9:$CE$508)))</f>
        <v/>
      </c>
      <c r="CG446" s="100" t="str">
        <f aca="false">IF(ISBLANK($C446),"",IF($BL446&lt;&gt;Constants!$B$4,$BL446,COUNTIFS($BM$9:$BM$508,"&lt;"&amp;$BM446)+COUNTIFS($BM$9:$BM$508,$BM446,$CF$9:$CF$508,"&lt;"&amp;$CF446)+1))</f>
        <v/>
      </c>
      <c r="CH446" s="100" t="str">
        <f aca="false">IF(ISBLANK($C446),"",IF($BL446&lt;&gt;Constants!$B$4,$BL446,RANK($CD446,$CD$9:$CD$508,1)))</f>
        <v/>
      </c>
      <c r="CI446" s="100" t="str">
        <f aca="false">IF($BL446&lt;&gt;Constants!$B$4,"",$AN446+$AO446+$AP446)</f>
        <v/>
      </c>
      <c r="CJ446" s="100" t="str">
        <f aca="false">IF(ISBLANK($C446),"",IF($BL446&lt;&gt;Constants!$B$4,$BL446,RANK($CI446,$CI$9:$CI$508,1)))</f>
        <v/>
      </c>
      <c r="CK446" s="100" t="str">
        <f aca="false">IF(ISBLANK($C446),"",IF($BL446&lt;&gt;Constants!$B$4,$BL446,COUNTIFS($BM$9:$BM$508,"&lt;"&amp;$BM446)+COUNTIFS($BM$9:$BM$508,$BM446,$CF$9:$CF$508,"&lt;"&amp;$CF446)+COUNTIFS($BM$9:$BM$508,$BM446,$CF$9:$CF$508,$CF446,$CH$9:$CH$508,"&lt;"&amp;$CH446)+COUNTIFS($BM$9:$BM$508,$BM446,$CF$9:$CF$508,$CF446,$CH$9:$CH$508,$CH446,$CJ$9:$CJ$508,"&lt;"&amp;$CJ446)+1))</f>
        <v/>
      </c>
      <c r="CL446" s="100" t="str">
        <f aca="false">IF(ISBLANK($C446),"",IF($BL446&lt;&gt;Constants!$B$4,$BL446,$CG446-$CK446))</f>
        <v/>
      </c>
      <c r="CM446" s="100" t="str">
        <f aca="false">IF(ISBLANK($C446),"",IF(NOT($AL446),"",IF(ISBLANK($D$7),$CM$5,IF(NOT(ISNUMBER($D$7)),$CM$6,""))))</f>
        <v/>
      </c>
      <c r="CN446" s="100" t="str">
        <f aca="false">IF(ISBLANK($C446),"",OR($AN446="",$AO446="",$AP446=""))</f>
        <v/>
      </c>
      <c r="CO446" s="100" t="str">
        <f aca="false">IF(ISBLANK($C446),"",AND($AL446,$BA446=""))</f>
        <v/>
      </c>
      <c r="CP446" s="100" t="str">
        <f aca="false">IF(ISBLANK($C446),"",AND($AL446,$BB446=""))</f>
        <v/>
      </c>
      <c r="CQ446" s="100" t="str">
        <f aca="false">IF(ISBLANK($C446),"",AND($AL446,$BC446=""))</f>
        <v/>
      </c>
      <c r="CR446" s="100" t="str">
        <f aca="false">IF(ISBLANK($C446),"",AND($AL446,$BF446=""))</f>
        <v/>
      </c>
      <c r="CS446" s="100" t="str">
        <f aca="false">IF(ISBLANK($C446),"",AND($AL446,$BJ446=""))</f>
        <v/>
      </c>
      <c r="CT446" s="101"/>
      <c r="CU446" s="102"/>
      <c r="CV446" s="103" t="str">
        <f aca="false">IF(ISBLANK($C446),"",IF($BL446=Constants!$B$8,$CM446,""))</f>
        <v/>
      </c>
      <c r="CW446" s="102" t="str">
        <f aca="false">IF(ISBLANK($C446),"",IF($BL446&lt;&gt;Constants!$B$4,"",$BO446+$BP446))</f>
        <v/>
      </c>
      <c r="CX446" s="104" t="str">
        <f aca="false">IF(ISBLANK($C446),"",IF($BL446&lt;&gt;Constants!$B$4,"",$BQ446+$BR446+$BS446))</f>
        <v/>
      </c>
      <c r="CY446" s="104" t="str">
        <f aca="false">IF(ISBLANK($C446),"",IF($BL446&lt;&gt;Constants!$B$4,"",$BT446))</f>
        <v/>
      </c>
      <c r="CZ446" s="104" t="str">
        <f aca="false">IF(ISBLANK($C446),"",IF($BL446&lt;&gt;Constants!$B$4,"",$BU446+$BV446))</f>
        <v/>
      </c>
      <c r="DA446" s="104" t="str">
        <f aca="false">IF(ISBLANK($C446),"",IF($BL446&lt;&gt;Constants!$B$4,"",$BW446))</f>
        <v/>
      </c>
      <c r="DB446" s="104" t="str">
        <f aca="false">IF(ISBLANK($C446),"",IF($BL446&lt;&gt;Constants!$B$4,"",-$CD446))</f>
        <v/>
      </c>
      <c r="DC446" s="103" t="str">
        <f aca="false">IF(ISBLANK($C446),"",$CE446)</f>
        <v/>
      </c>
      <c r="DD446" s="105" t="str">
        <f aca="false">IF(ISBLANK($C446),"",$BM446)</f>
        <v/>
      </c>
      <c r="DE446" s="104" t="str">
        <f aca="false">IF(ISBLANK($C446),"",$CL446)</f>
        <v/>
      </c>
      <c r="DF446" s="104" t="str">
        <f aca="false">IF(ISBLANK($C446),"",$CK446)</f>
        <v/>
      </c>
      <c r="DG446" s="106" t="str">
        <f aca="false">IF(ISBLANK($C446),"",IF($DF446=Constants!$B$7,COUNTA($C$9:$C$508)+2,IF($DF446=Constants!$B$6,COUNTA($C$9:$C$508)+1,IF($DF446=Constants!$B$5,COUNTA($C$9:$C$508),$DF446))))</f>
        <v/>
      </c>
      <c r="DH446" s="7"/>
      <c r="DI446" s="107" t="n">
        <f aca="false">IF(OR(ISNUMBER($DF446),$DF446=Constants!$B$7,$DF446=Constants!$B$5,$DF446=Constants!$B$6),1,0)</f>
        <v>0</v>
      </c>
      <c r="DJ446" s="107" t="n">
        <v>438</v>
      </c>
      <c r="DK446" s="107" t="str">
        <f aca="false">IF(ISBLANK($C446),"",IF(ISNUMBER($DG446),$DG446+ROW($B446)/1000,""))</f>
        <v/>
      </c>
      <c r="DL446" s="107" t="str">
        <f aca="false">IF(ISNUMBER($DK446),RANK($DK446,$DK$9:$DK$508,1),"")</f>
        <v/>
      </c>
      <c r="DM446" s="107" t="str">
        <f aca="false">IF(ISBLANK($C446),"",$B446)</f>
        <v/>
      </c>
      <c r="DN446" s="107" t="str">
        <f aca="false">IF(ISBLANK($C446),"",$C446)</f>
        <v/>
      </c>
      <c r="DO446" s="107" t="str">
        <f aca="false">IF(ISBLANK($C446),"",$D446)</f>
        <v/>
      </c>
      <c r="DP446" s="108" t="str">
        <f aca="false">$DD446</f>
        <v/>
      </c>
      <c r="DQ446" s="109" t="str">
        <f aca="false">$DC446</f>
        <v/>
      </c>
      <c r="DR446" s="107" t="str">
        <f aca="false">IF(ISBLANK($C446),"",$DF446)</f>
        <v/>
      </c>
      <c r="DS446" s="110" t="str">
        <f aca="false">IF($DJ446&gt;$DI$8,"",VLOOKUP($DJ446,$DL$9:$DR$508,7,FALSE()))</f>
        <v/>
      </c>
      <c r="DT446" s="111" t="str">
        <f aca="false">IF($DJ446&gt;$DI$8,"",VLOOKUP($DJ446,$DL$9:$DR$508,2,FALSE()))</f>
        <v/>
      </c>
      <c r="DU446" s="111" t="str">
        <f aca="false">IF($DJ446&gt;$DI$8,"",VLOOKUP($DJ446,$DL$9:$DR$508,3,FALSE()))</f>
        <v/>
      </c>
      <c r="DV446" s="111" t="str">
        <f aca="false">IF($DJ446&gt;$DI$8,"",VLOOKUP($DJ446,$DL$9:$DR$508,4,FALSE()))</f>
        <v/>
      </c>
      <c r="DW446" s="111" t="str">
        <f aca="false">IF($DJ446&gt;$DI$8,"",VLOOKUP($DJ446,$DL$9:$DR$508,5,FALSE()))</f>
        <v/>
      </c>
      <c r="DX446" s="112" t="str">
        <f aca="false">IF($DJ446&gt;$DI$8,"",VLOOKUP($DJ446,$DL$9:$DR$508,6,FALSE()))</f>
        <v/>
      </c>
      <c r="DY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88"/>
      <c r="N447" s="88"/>
      <c r="O447" s="134"/>
      <c r="P447" s="134"/>
      <c r="Q447" s="88"/>
      <c r="R447" s="88"/>
      <c r="S447" s="88"/>
      <c r="T447" s="88"/>
      <c r="U447" s="134"/>
      <c r="V447" s="88"/>
      <c r="W447" s="70"/>
      <c r="X447" s="88"/>
      <c r="Y447" s="88"/>
      <c r="Z447" s="70"/>
      <c r="AA447" s="70"/>
      <c r="AB447" s="88"/>
      <c r="AC447" s="88"/>
      <c r="AD447" s="88"/>
      <c r="AE447" s="71"/>
      <c r="AF447" s="88"/>
      <c r="AG447" s="73"/>
      <c r="AH447" s="74"/>
      <c r="AI447" s="74"/>
      <c r="AJ447" s="74" t="str">
        <f aca="false">IF(ISBLANK($C447),"",IF($E447=Constants!$B$2,TRUE(),IF($E447=Constants!$B$3,FALSE(),TRUE())))</f>
        <v/>
      </c>
      <c r="AK447" s="74" t="str">
        <f aca="false">IF(ISBLANK($C447),"",IF($F447=Constants!$B$2,TRUE(),IF($F447=Constants!$B$3,FALSE(),FALSE())))</f>
        <v/>
      </c>
      <c r="AL447" s="74" t="str">
        <f aca="false">IF(ISBLANK($C447),"",IF($G447=Constants!$B$2,TRUE(),IF($G447=Constants!$B$3,FALSE(),TRUE())))</f>
        <v/>
      </c>
      <c r="AM447" s="74" t="str">
        <f aca="false">IF(ISBLANK($C447),"",IF($H447=Constants!$B$2,TRUE(),IF($H447=Constants!$B$3,FALSE(),TRUE())))</f>
        <v/>
      </c>
      <c r="AN447" s="74" t="str">
        <f aca="false">IF(ISBLANK($C447),"",IF(ISNUMBER($I447),IF($I447&gt;=0,$I447,""),""))</f>
        <v/>
      </c>
      <c r="AO447" s="74" t="str">
        <f aca="false">IF(ISBLANK($C447),"",IF(ISNUMBER($J447),IF($J447&gt;=0,$J447,""),""))</f>
        <v/>
      </c>
      <c r="AP447" s="74" t="str">
        <f aca="false">IF(ISBLANK($C447),"",IF(ISNUMBER($K447),IF($K447&gt;=0,$K447,""),""))</f>
        <v/>
      </c>
      <c r="AQ447" s="74" t="str">
        <f aca="false">IF(ISBLANK($C447),"",IF($L447=Constants!$B$2,TRUE(),IF($L447=Constants!$B$3,FALSE(),TRUE())))</f>
        <v/>
      </c>
      <c r="AR447" s="74" t="str">
        <f aca="false">IF(ISBLANK($C447),"",IF($M447=Constants!$B$2,TRUE(),IF($M447=Constants!$B$3,FALSE(),TRUE())))</f>
        <v/>
      </c>
      <c r="AS447" s="74" t="str">
        <f aca="false">IF(ISBLANK($C447),"",IF($N447=Constants!$B$2,TRUE(),IF($N447=Constants!$B$3,FALSE(),FALSE())))</f>
        <v/>
      </c>
      <c r="AT447" s="74" t="str">
        <f aca="false">IF(ISBLANK($C447),"",IF($O447=Constants!$B$2,TRUE(),IF($O447=Constants!$B$3,FALSE(),TRUE())))</f>
        <v/>
      </c>
      <c r="AU447" s="74" t="str">
        <f aca="false">IF(ISBLANK($C447),"",IF($P447=Constants!$B$2,TRUE(),IF($P447=Constants!$B$3,FALSE(),TRUE())))</f>
        <v/>
      </c>
      <c r="AV447" s="74" t="str">
        <f aca="false">IF(ISBLANK($C447),"",IF($Q447=Constants!$B$2,TRUE(),IF($Q447=Constants!$B$3,FALSE(),FALSE())))</f>
        <v/>
      </c>
      <c r="AW447" s="74" t="str">
        <f aca="false">IF(ISBLANK($C447),"",IF($R447=Constants!$B$2,TRUE(),IF($R447=Constants!$B$3,FALSE(),FALSE())))</f>
        <v/>
      </c>
      <c r="AX447" s="74" t="str">
        <f aca="false">IF(ISBLANK($C447),"",IF($S447=Constants!$B$2,TRUE(),IF($S447=Constants!$B$3,FALSE(),FALSE())))</f>
        <v/>
      </c>
      <c r="AY447" s="74" t="str">
        <f aca="false">IF(ISBLANK($C447),"",IF($T447=Constants!$B$2,TRUE(),IF($T447=Constants!$B$3,FALSE(),FALSE())))</f>
        <v/>
      </c>
      <c r="AZ447" s="74" t="str">
        <f aca="false">IF(ISBLANK($C447),"",IF($U447=Constants!$B$2,TRUE(),IF($U447=Constants!$B$3,FALSE(),FALSE())))</f>
        <v/>
      </c>
      <c r="BA447" s="74" t="str">
        <f aca="false">IF(ISBLANK($C447),"",IF(OR($V447&amp;""="1",$V447&amp;""="2",$V447&amp;""="3",$V447&amp;""="4"),VALUE($V447&amp;""),IF($V447=Constants!$B$12,Constants!$B$12,"")))</f>
        <v/>
      </c>
      <c r="BB447" s="74" t="str">
        <f aca="false">IF(ISBLANK($C447),"",IF(ISBLANK($W447),0,IF(ISNUMBER($W447),IF(AND($W447&gt;=0,$W447&lt;=Constants!$B$21,$W447=INT($W447)),$W447,""),"")))</f>
        <v/>
      </c>
      <c r="BC447" s="74" t="str">
        <f aca="false">IF(ISBLANK($C447),"",IF(ISBLANK($X447),0,IF(ISNUMBER($X447),IF($X447&gt;=0,$X447,""),"")))</f>
        <v/>
      </c>
      <c r="BD447" s="74" t="str">
        <f aca="false">IF(ISBLANK($C447),"",IF($Y447=Constants!$B$2,TRUE(),IF($Y447=Constants!$B$3,FALSE(),TRUE())))</f>
        <v/>
      </c>
      <c r="BE447" s="74" t="str">
        <f aca="false">IF(ISBLANK($C447),"",IF($Z447=Constants!$B$2,TRUE(),IF($Z447=Constants!$B$3,FALSE(),FALSE())))</f>
        <v/>
      </c>
      <c r="BF447" s="74" t="str">
        <f aca="false">IF(ISBLANK($C447),"",IF(ISBLANK($AA447),0,IF(ISNUMBER($AA447),IF(AND($AA447&gt;=0,$AA447&lt;=Constants!$B$35,$AA447=INT($AA447)),$AA447,""),"")))</f>
        <v/>
      </c>
      <c r="BG447" s="74" t="str">
        <f aca="false">IF(ISBLANK($C447),"",IF($AB447=Constants!$B$2,TRUE(),IF($AB447=Constants!$B$3,FALSE(),TRUE())))</f>
        <v/>
      </c>
      <c r="BH447" s="74" t="str">
        <f aca="false">IF(ISBLANK($C447),"",IF($AC447=Constants!$B$2,TRUE(),IF($AC447=Constants!$B$3,FALSE(),TRUE())))</f>
        <v/>
      </c>
      <c r="BI447" s="74" t="str">
        <f aca="false">IF(ISBLANK($C447),"",IF($AD447=Constants!$B$2,TRUE(),IF($AD447=Constants!$B$3,FALSE(),TRUE())))</f>
        <v/>
      </c>
      <c r="BJ447" s="74" t="str">
        <f aca="false">IF(ISBLANK($C447),"",IF(ISNUMBER($AE447),IF($AE447&gt;=0,$AE447,""),""))</f>
        <v/>
      </c>
      <c r="BK447" s="74" t="str">
        <f aca="false">IF(ISBLANK($C447),"",IF($AF447=Constants!$B$2,TRUE(),IF($AF447=Constants!$B$3,FALSE(),FALSE())))</f>
        <v/>
      </c>
      <c r="BL447" s="73" t="str">
        <f aca="false">IF(ISBLANK($C447),"",IF($BK447,Constants!$B$7,IF(COUNTA($E447:$AE447)=0,Constants!$B$6,IF(OR(COUNTA($G447:$AE447)=0,NOT($AM447),$AS447),Constants!$B$5,IF(OR($CM447&lt;&gt;"",$CN447,$CO447,$CP447,$CQ447,$CR447,$CS447),Constants!$B$8,Constants!$B$4)))))</f>
        <v/>
      </c>
      <c r="BM447" s="74" t="str">
        <f aca="false">IF(ISBLANK($C447),"",IF($BL447&lt;&gt;Constants!$B$4,$BL447,IF(OR(NOT($AJ447),NOT($AL447),NOT($AT447)),Constants!$B$11,IF(OR(NOT($AR447),NOT($AU447),NOT($BI447),MAX($AN447,$AO447,$AP447)&gt;Constants!$B$30),Constants!$B$10,Constants!$B$9))))</f>
        <v/>
      </c>
      <c r="BN447" s="74" t="str">
        <f aca="false">IF($BL447&lt;&gt;Constants!$B$4,"",IF(NOT($AL447),0,MIN(Constants!$B$35,$BF447)))</f>
        <v/>
      </c>
      <c r="BO447" s="74" t="str">
        <f aca="false">IF($BL447&lt;&gt;Constants!$B$4,"",IF(NOT($AL447),0,IF($AW447,Constants!$B$18,IF($AV447,Constants!$B$17,0))))</f>
        <v/>
      </c>
      <c r="BP447" s="74" t="str">
        <f aca="false">IF($BL447&lt;&gt;Constants!$B$4,"",IF(NOT($AL447),0,Constants!$B$19*($AK447+$AX447+$AY447+$AZ447)))</f>
        <v/>
      </c>
      <c r="BQ447" s="74" t="str">
        <f aca="false">IF($BL447&lt;&gt;Constants!$B$4,"",IF(OR(NOT($AL447),NOT(ISNUMBER($BA447))),0,CHOOSE($BA447,Constants!$B$13,Constants!$B$14,Constants!$B$15,Constants!$B$16)))</f>
        <v/>
      </c>
      <c r="BR447" s="74" t="str">
        <f aca="false">IF($BL447&lt;&gt;Constants!$B$4,"",IF(NOT($AL447),0,Constants!$B$20*$BB447))</f>
        <v/>
      </c>
      <c r="BS447" s="74" t="str">
        <f aca="false">IF($BL447&lt;&gt;Constants!$B$4,"",IF(AND($AL447,$BD447,$BE447),Constants!$B$22,0))</f>
        <v/>
      </c>
      <c r="BT447" s="74" t="str">
        <f aca="false">IF($BL447&lt;&gt;Constants!$B$4,"",IF(OR(NOT($AL447),NOT($BD447)),0,IF($BJ447&gt;=2*$AH$9,0,Constants!$B$23*INT(ROUND(MIN($BJ447,$AH$9),6)))))</f>
        <v/>
      </c>
      <c r="BU447" s="74" t="str">
        <f aca="false">IF($BL447&lt;&gt;Constants!$B$4,"",IF(NOT($AL447),0,Constants!$B$24*INT(ROUND(MIN($BC447,$AH$9),6))))</f>
        <v/>
      </c>
      <c r="BV447" s="74" t="str">
        <f aca="false">IF($BL447&lt;&gt;Constants!$B$4,"",IF(AND($AL447,$BN447=0),Constants!$B$25,0))</f>
        <v/>
      </c>
      <c r="BW447" s="74" t="str">
        <f aca="false">IF($BL447&lt;&gt;Constants!$B$4,"",MIN(Constants!$B$29,MAX(0,Constants!$B$27*Constants!$B$28*INT(ROUND((Constants!$B$26-$AN447)/Constants!$B$28,6))))+MIN(Constants!$B$29,MAX(0,Constants!$B$27*Constants!$B$28*INT(ROUND((Constants!$B$26-$AO447)/Constants!$B$28,6))))+MIN(Constants!$B$29,MAX(0,Constants!$B$27*Constants!$B$28*INT(ROUND((Constants!$B$26-$AP447)/Constants!$B$28,6)))))</f>
        <v/>
      </c>
      <c r="BX447" s="74" t="str">
        <f aca="false">IF($BL447&lt;&gt;Constants!$B$4,"",IF(NOT($AL447),0,Constants!$B$31*INT(ROUND(MAX(0,MIN($BJ447,2*$AH$9)-$AH$9),6))))</f>
        <v/>
      </c>
      <c r="BY447" s="74" t="str">
        <f aca="false">IF($BL447&lt;&gt;Constants!$B$4,"",Constants!$B$32*(($AN447&gt;Constants!$B$26)+($AO447&gt;Constants!$B$26)+($AP447&gt;Constants!$B$26)))</f>
        <v/>
      </c>
      <c r="BZ447" s="74" t="str">
        <f aca="false">IF($BL447&lt;&gt;Constants!$B$4,"",IF(OR(NOT($AL447),$AQ447),0,Constants!$B$33))</f>
        <v/>
      </c>
      <c r="CA447" s="74" t="str">
        <f aca="false">IF($BL447&lt;&gt;Constants!$B$4,"",Constants!$B$34*$BN447)</f>
        <v/>
      </c>
      <c r="CB447" s="74" t="str">
        <f aca="false">IF($BL447&lt;&gt;Constants!$B$4,"",IF(OR(NOT($AL447),$BH447),0,Constants!$B$36))</f>
        <v/>
      </c>
      <c r="CC447" s="74" t="str">
        <f aca="false">IF($BL447&lt;&gt;Constants!$B$4,"",IF(OR(NOT($AL447),$BG447),0,Constants!$B$37))</f>
        <v/>
      </c>
      <c r="CD447" s="74" t="str">
        <f aca="false">IF($BL447&lt;&gt;Constants!$B$4,"",SUM($BX447:$CC447))</f>
        <v/>
      </c>
      <c r="CE447" s="74" t="str">
        <f aca="false">IF(ISBLANK($C447),"",IF($BL447&lt;&gt;Constants!$B$4,$BL447,SUM($BO447:$BW447)-$CD447))</f>
        <v/>
      </c>
      <c r="CF447" s="74" t="str">
        <f aca="false">IF(ISBLANK($C447),"",IF($BL447&lt;&gt;Constants!$B$4,$BL447,RANK($CE447,$CE$9:$CE$508)))</f>
        <v/>
      </c>
      <c r="CG447" s="74" t="str">
        <f aca="false">IF(ISBLANK($C447),"",IF($BL447&lt;&gt;Constants!$B$4,$BL447,COUNTIFS($BM$9:$BM$508,"&lt;"&amp;$BM447)+COUNTIFS($BM$9:$BM$508,$BM447,$CF$9:$CF$508,"&lt;"&amp;$CF447)+1))</f>
        <v/>
      </c>
      <c r="CH447" s="74" t="str">
        <f aca="false">IF(ISBLANK($C447),"",IF($BL447&lt;&gt;Constants!$B$4,$BL447,RANK($CD447,$CD$9:$CD$508,1)))</f>
        <v/>
      </c>
      <c r="CI447" s="74" t="str">
        <f aca="false">IF($BL447&lt;&gt;Constants!$B$4,"",$AN447+$AO447+$AP447)</f>
        <v/>
      </c>
      <c r="CJ447" s="74" t="str">
        <f aca="false">IF(ISBLANK($C447),"",IF($BL447&lt;&gt;Constants!$B$4,$BL447,RANK($CI447,$CI$9:$CI$508,1)))</f>
        <v/>
      </c>
      <c r="CK447" s="74" t="str">
        <f aca="false">IF(ISBLANK($C447),"",IF($BL447&lt;&gt;Constants!$B$4,$BL447,COUNTIFS($BM$9:$BM$508,"&lt;"&amp;$BM447)+COUNTIFS($BM$9:$BM$508,$BM447,$CF$9:$CF$508,"&lt;"&amp;$CF447)+COUNTIFS($BM$9:$BM$508,$BM447,$CF$9:$CF$508,$CF447,$CH$9:$CH$508,"&lt;"&amp;$CH447)+COUNTIFS($BM$9:$BM$508,$BM447,$CF$9:$CF$508,$CF447,$CH$9:$CH$508,$CH447,$CJ$9:$CJ$508,"&lt;"&amp;$CJ447)+1))</f>
        <v/>
      </c>
      <c r="CL447" s="74" t="str">
        <f aca="false">IF(ISBLANK($C447),"",IF($BL447&lt;&gt;Constants!$B$4,$BL447,$CG447-$CK447))</f>
        <v/>
      </c>
      <c r="CM447" s="74" t="str">
        <f aca="false">IF(ISBLANK($C447),"",IF(NOT($AL447),"",IF(ISBLANK($D$7),$CM$5,IF(NOT(ISNUMBER($D$7)),$CM$6,""))))</f>
        <v/>
      </c>
      <c r="CN447" s="74" t="str">
        <f aca="false">IF(ISBLANK($C447),"",OR($AN447="",$AO447="",$AP447=""))</f>
        <v/>
      </c>
      <c r="CO447" s="74" t="str">
        <f aca="false">IF(ISBLANK($C447),"",AND($AL447,$BA447=""))</f>
        <v/>
      </c>
      <c r="CP447" s="74" t="str">
        <f aca="false">IF(ISBLANK($C447),"",AND($AL447,$BB447=""))</f>
        <v/>
      </c>
      <c r="CQ447" s="74" t="str">
        <f aca="false">IF(ISBLANK($C447),"",AND($AL447,$BC447=""))</f>
        <v/>
      </c>
      <c r="CR447" s="74" t="str">
        <f aca="false">IF(ISBLANK($C447),"",AND($AL447,$BF447=""))</f>
        <v/>
      </c>
      <c r="CS447" s="74" t="str">
        <f aca="false">IF(ISBLANK($C447),"",AND($AL447,$BJ447=""))</f>
        <v/>
      </c>
      <c r="CT447" s="75"/>
      <c r="CU447" s="76"/>
      <c r="CV447" s="79" t="str">
        <f aca="false">IF(ISBLANK($C447),"",IF($BL447=Constants!$B$8,$CM447,""))</f>
        <v/>
      </c>
      <c r="CW447" s="76" t="str">
        <f aca="false">IF(ISBLANK($C447),"",IF($BL447&lt;&gt;Constants!$B$4,"",$BO447+$BP447))</f>
        <v/>
      </c>
      <c r="CX447" s="78" t="str">
        <f aca="false">IF(ISBLANK($C447),"",IF($BL447&lt;&gt;Constants!$B$4,"",$BQ447+$BR447+$BS447))</f>
        <v/>
      </c>
      <c r="CY447" s="78" t="str">
        <f aca="false">IF(ISBLANK($C447),"",IF($BL447&lt;&gt;Constants!$B$4,"",$BT447))</f>
        <v/>
      </c>
      <c r="CZ447" s="78" t="str">
        <f aca="false">IF(ISBLANK($C447),"",IF($BL447&lt;&gt;Constants!$B$4,"",$BU447+$BV447))</f>
        <v/>
      </c>
      <c r="DA447" s="78" t="str">
        <f aca="false">IF(ISBLANK($C447),"",IF($BL447&lt;&gt;Constants!$B$4,"",$BW447))</f>
        <v/>
      </c>
      <c r="DB447" s="78" t="str">
        <f aca="false">IF(ISBLANK($C447),"",IF($BL447&lt;&gt;Constants!$B$4,"",-$CD447))</f>
        <v/>
      </c>
      <c r="DC447" s="79" t="str">
        <f aca="false">IF(ISBLANK($C447),"",$CE447)</f>
        <v/>
      </c>
      <c r="DD447" s="80" t="str">
        <f aca="false">IF(ISBLANK($C447),"",$BM447)</f>
        <v/>
      </c>
      <c r="DE447" s="78" t="str">
        <f aca="false">IF(ISBLANK($C447),"",$CL447)</f>
        <v/>
      </c>
      <c r="DF447" s="78" t="str">
        <f aca="false">IF(ISBLANK($C447),"",$CK447)</f>
        <v/>
      </c>
      <c r="DG447" s="81" t="str">
        <f aca="false">IF(ISBLANK($C447),"",IF($DF447=Constants!$B$7,COUNTA($C$9:$C$508)+2,IF($DF447=Constants!$B$6,COUNTA($C$9:$C$508)+1,IF($DF447=Constants!$B$5,COUNTA($C$9:$C$508),$DF447))))</f>
        <v/>
      </c>
      <c r="DH447" s="7"/>
      <c r="DI447" s="82" t="n">
        <f aca="false">IF(OR(ISNUMBER($DF447),$DF447=Constants!$B$7,$DF447=Constants!$B$5,$DF447=Constants!$B$6),1,0)</f>
        <v>0</v>
      </c>
      <c r="DJ447" s="82" t="n">
        <v>439</v>
      </c>
      <c r="DK447" s="82" t="str">
        <f aca="false">IF(ISBLANK($C447),"",IF(ISNUMBER($DG447),$DG447+ROW($B447)/1000,""))</f>
        <v/>
      </c>
      <c r="DL447" s="82" t="str">
        <f aca="false">IF(ISNUMBER($DK447),RANK($DK447,$DK$9:$DK$508,1),"")</f>
        <v/>
      </c>
      <c r="DM447" s="82" t="str">
        <f aca="false">IF(ISBLANK($C447),"",$B447)</f>
        <v/>
      </c>
      <c r="DN447" s="82" t="str">
        <f aca="false">IF(ISBLANK($C447),"",$C447)</f>
        <v/>
      </c>
      <c r="DO447" s="82" t="str">
        <f aca="false">IF(ISBLANK($C447),"",$D447)</f>
        <v/>
      </c>
      <c r="DP447" s="83" t="str">
        <f aca="false">$DD447</f>
        <v/>
      </c>
      <c r="DQ447" s="84" t="str">
        <f aca="false">$DC447</f>
        <v/>
      </c>
      <c r="DR447" s="82" t="str">
        <f aca="false">IF(ISBLANK($C447),"",$DF447)</f>
        <v/>
      </c>
      <c r="DS447" s="85" t="str">
        <f aca="false">IF($DJ447&gt;$DI$8,"",VLOOKUP($DJ447,$DL$9:$DR$508,7,FALSE()))</f>
        <v/>
      </c>
      <c r="DT447" s="86" t="str">
        <f aca="false">IF($DJ447&gt;$DI$8,"",VLOOKUP($DJ447,$DL$9:$DR$508,2,FALSE()))</f>
        <v/>
      </c>
      <c r="DU447" s="86" t="str">
        <f aca="false">IF($DJ447&gt;$DI$8,"",VLOOKUP($DJ447,$DL$9:$DR$508,3,FALSE()))</f>
        <v/>
      </c>
      <c r="DV447" s="86" t="str">
        <f aca="false">IF($DJ447&gt;$DI$8,"",VLOOKUP($DJ447,$DL$9:$DR$508,4,FALSE()))</f>
        <v/>
      </c>
      <c r="DW447" s="86" t="str">
        <f aca="false">IF($DJ447&gt;$DI$8,"",VLOOKUP($DJ447,$DL$9:$DR$508,5,FALSE()))</f>
        <v/>
      </c>
      <c r="DX447" s="87" t="str">
        <f aca="false">IF($DJ447&gt;$DI$8,"",VLOOKUP($DJ447,$DL$9:$DR$508,6,FALSE()))</f>
        <v/>
      </c>
      <c r="DY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88"/>
      <c r="N448" s="88"/>
      <c r="O448" s="134"/>
      <c r="P448" s="134"/>
      <c r="Q448" s="88"/>
      <c r="R448" s="88"/>
      <c r="S448" s="88"/>
      <c r="T448" s="88"/>
      <c r="U448" s="134"/>
      <c r="V448" s="88"/>
      <c r="W448" s="70"/>
      <c r="X448" s="88"/>
      <c r="Y448" s="88"/>
      <c r="Z448" s="70"/>
      <c r="AA448" s="70"/>
      <c r="AB448" s="88"/>
      <c r="AC448" s="88"/>
      <c r="AD448" s="88"/>
      <c r="AE448" s="71"/>
      <c r="AF448" s="88"/>
      <c r="AG448" s="73"/>
      <c r="AH448" s="74"/>
      <c r="AI448" s="74"/>
      <c r="AJ448" s="74" t="str">
        <f aca="false">IF(ISBLANK($C448),"",IF($E448=Constants!$B$2,TRUE(),IF($E448=Constants!$B$3,FALSE(),TRUE())))</f>
        <v/>
      </c>
      <c r="AK448" s="74" t="str">
        <f aca="false">IF(ISBLANK($C448),"",IF($F448=Constants!$B$2,TRUE(),IF($F448=Constants!$B$3,FALSE(),FALSE())))</f>
        <v/>
      </c>
      <c r="AL448" s="74" t="str">
        <f aca="false">IF(ISBLANK($C448),"",IF($G448=Constants!$B$2,TRUE(),IF($G448=Constants!$B$3,FALSE(),TRUE())))</f>
        <v/>
      </c>
      <c r="AM448" s="74" t="str">
        <f aca="false">IF(ISBLANK($C448),"",IF($H448=Constants!$B$2,TRUE(),IF($H448=Constants!$B$3,FALSE(),TRUE())))</f>
        <v/>
      </c>
      <c r="AN448" s="74" t="str">
        <f aca="false">IF(ISBLANK($C448),"",IF(ISNUMBER($I448),IF($I448&gt;=0,$I448,""),""))</f>
        <v/>
      </c>
      <c r="AO448" s="74" t="str">
        <f aca="false">IF(ISBLANK($C448),"",IF(ISNUMBER($J448),IF($J448&gt;=0,$J448,""),""))</f>
        <v/>
      </c>
      <c r="AP448" s="74" t="str">
        <f aca="false">IF(ISBLANK($C448),"",IF(ISNUMBER($K448),IF($K448&gt;=0,$K448,""),""))</f>
        <v/>
      </c>
      <c r="AQ448" s="74" t="str">
        <f aca="false">IF(ISBLANK($C448),"",IF($L448=Constants!$B$2,TRUE(),IF($L448=Constants!$B$3,FALSE(),TRUE())))</f>
        <v/>
      </c>
      <c r="AR448" s="74" t="str">
        <f aca="false">IF(ISBLANK($C448),"",IF($M448=Constants!$B$2,TRUE(),IF($M448=Constants!$B$3,FALSE(),TRUE())))</f>
        <v/>
      </c>
      <c r="AS448" s="74" t="str">
        <f aca="false">IF(ISBLANK($C448),"",IF($N448=Constants!$B$2,TRUE(),IF($N448=Constants!$B$3,FALSE(),FALSE())))</f>
        <v/>
      </c>
      <c r="AT448" s="74" t="str">
        <f aca="false">IF(ISBLANK($C448),"",IF($O448=Constants!$B$2,TRUE(),IF($O448=Constants!$B$3,FALSE(),TRUE())))</f>
        <v/>
      </c>
      <c r="AU448" s="74" t="str">
        <f aca="false">IF(ISBLANK($C448),"",IF($P448=Constants!$B$2,TRUE(),IF($P448=Constants!$B$3,FALSE(),TRUE())))</f>
        <v/>
      </c>
      <c r="AV448" s="74" t="str">
        <f aca="false">IF(ISBLANK($C448),"",IF($Q448=Constants!$B$2,TRUE(),IF($Q448=Constants!$B$3,FALSE(),FALSE())))</f>
        <v/>
      </c>
      <c r="AW448" s="74" t="str">
        <f aca="false">IF(ISBLANK($C448),"",IF($R448=Constants!$B$2,TRUE(),IF($R448=Constants!$B$3,FALSE(),FALSE())))</f>
        <v/>
      </c>
      <c r="AX448" s="74" t="str">
        <f aca="false">IF(ISBLANK($C448),"",IF($S448=Constants!$B$2,TRUE(),IF($S448=Constants!$B$3,FALSE(),FALSE())))</f>
        <v/>
      </c>
      <c r="AY448" s="74" t="str">
        <f aca="false">IF(ISBLANK($C448),"",IF($T448=Constants!$B$2,TRUE(),IF($T448=Constants!$B$3,FALSE(),FALSE())))</f>
        <v/>
      </c>
      <c r="AZ448" s="74" t="str">
        <f aca="false">IF(ISBLANK($C448),"",IF($U448=Constants!$B$2,TRUE(),IF($U448=Constants!$B$3,FALSE(),FALSE())))</f>
        <v/>
      </c>
      <c r="BA448" s="74" t="str">
        <f aca="false">IF(ISBLANK($C448),"",IF(OR($V448&amp;""="1",$V448&amp;""="2",$V448&amp;""="3",$V448&amp;""="4"),VALUE($V448&amp;""),IF($V448=Constants!$B$12,Constants!$B$12,"")))</f>
        <v/>
      </c>
      <c r="BB448" s="74" t="str">
        <f aca="false">IF(ISBLANK($C448),"",IF(ISBLANK($W448),0,IF(ISNUMBER($W448),IF(AND($W448&gt;=0,$W448&lt;=Constants!$B$21,$W448=INT($W448)),$W448,""),"")))</f>
        <v/>
      </c>
      <c r="BC448" s="74" t="str">
        <f aca="false">IF(ISBLANK($C448),"",IF(ISBLANK($X448),0,IF(ISNUMBER($X448),IF($X448&gt;=0,$X448,""),"")))</f>
        <v/>
      </c>
      <c r="BD448" s="74" t="str">
        <f aca="false">IF(ISBLANK($C448),"",IF($Y448=Constants!$B$2,TRUE(),IF($Y448=Constants!$B$3,FALSE(),TRUE())))</f>
        <v/>
      </c>
      <c r="BE448" s="74" t="str">
        <f aca="false">IF(ISBLANK($C448),"",IF($Z448=Constants!$B$2,TRUE(),IF($Z448=Constants!$B$3,FALSE(),FALSE())))</f>
        <v/>
      </c>
      <c r="BF448" s="74" t="str">
        <f aca="false">IF(ISBLANK($C448),"",IF(ISBLANK($AA448),0,IF(ISNUMBER($AA448),IF(AND($AA448&gt;=0,$AA448&lt;=Constants!$B$35,$AA448=INT($AA448)),$AA448,""),"")))</f>
        <v/>
      </c>
      <c r="BG448" s="74" t="str">
        <f aca="false">IF(ISBLANK($C448),"",IF($AB448=Constants!$B$2,TRUE(),IF($AB448=Constants!$B$3,FALSE(),TRUE())))</f>
        <v/>
      </c>
      <c r="BH448" s="74" t="str">
        <f aca="false">IF(ISBLANK($C448),"",IF($AC448=Constants!$B$2,TRUE(),IF($AC448=Constants!$B$3,FALSE(),TRUE())))</f>
        <v/>
      </c>
      <c r="BI448" s="74" t="str">
        <f aca="false">IF(ISBLANK($C448),"",IF($AD448=Constants!$B$2,TRUE(),IF($AD448=Constants!$B$3,FALSE(),TRUE())))</f>
        <v/>
      </c>
      <c r="BJ448" s="74" t="str">
        <f aca="false">IF(ISBLANK($C448),"",IF(ISNUMBER($AE448),IF($AE448&gt;=0,$AE448,""),""))</f>
        <v/>
      </c>
      <c r="BK448" s="74" t="str">
        <f aca="false">IF(ISBLANK($C448),"",IF($AF448=Constants!$B$2,TRUE(),IF($AF448=Constants!$B$3,FALSE(),FALSE())))</f>
        <v/>
      </c>
      <c r="BL448" s="73" t="str">
        <f aca="false">IF(ISBLANK($C448),"",IF($BK448,Constants!$B$7,IF(COUNTA($E448:$AE448)=0,Constants!$B$6,IF(OR(COUNTA($G448:$AE448)=0,NOT($AM448),$AS448),Constants!$B$5,IF(OR($CM448&lt;&gt;"",$CN448,$CO448,$CP448,$CQ448,$CR448,$CS448),Constants!$B$8,Constants!$B$4)))))</f>
        <v/>
      </c>
      <c r="BM448" s="74" t="str">
        <f aca="false">IF(ISBLANK($C448),"",IF($BL448&lt;&gt;Constants!$B$4,$BL448,IF(OR(NOT($AJ448),NOT($AL448),NOT($AT448)),Constants!$B$11,IF(OR(NOT($AR448),NOT($AU448),NOT($BI448),MAX($AN448,$AO448,$AP448)&gt;Constants!$B$30),Constants!$B$10,Constants!$B$9))))</f>
        <v/>
      </c>
      <c r="BN448" s="74" t="str">
        <f aca="false">IF($BL448&lt;&gt;Constants!$B$4,"",IF(NOT($AL448),0,MIN(Constants!$B$35,$BF448)))</f>
        <v/>
      </c>
      <c r="BO448" s="74" t="str">
        <f aca="false">IF($BL448&lt;&gt;Constants!$B$4,"",IF(NOT($AL448),0,IF($AW448,Constants!$B$18,IF($AV448,Constants!$B$17,0))))</f>
        <v/>
      </c>
      <c r="BP448" s="74" t="str">
        <f aca="false">IF($BL448&lt;&gt;Constants!$B$4,"",IF(NOT($AL448),0,Constants!$B$19*($AK448+$AX448+$AY448+$AZ448)))</f>
        <v/>
      </c>
      <c r="BQ448" s="74" t="str">
        <f aca="false">IF($BL448&lt;&gt;Constants!$B$4,"",IF(OR(NOT($AL448),NOT(ISNUMBER($BA448))),0,CHOOSE($BA448,Constants!$B$13,Constants!$B$14,Constants!$B$15,Constants!$B$16)))</f>
        <v/>
      </c>
      <c r="BR448" s="74" t="str">
        <f aca="false">IF($BL448&lt;&gt;Constants!$B$4,"",IF(NOT($AL448),0,Constants!$B$20*$BB448))</f>
        <v/>
      </c>
      <c r="BS448" s="74" t="str">
        <f aca="false">IF($BL448&lt;&gt;Constants!$B$4,"",IF(AND($AL448,$BD448,$BE448),Constants!$B$22,0))</f>
        <v/>
      </c>
      <c r="BT448" s="74" t="str">
        <f aca="false">IF($BL448&lt;&gt;Constants!$B$4,"",IF(OR(NOT($AL448),NOT($BD448)),0,IF($BJ448&gt;=2*$AH$9,0,Constants!$B$23*INT(ROUND(MIN($BJ448,$AH$9),6)))))</f>
        <v/>
      </c>
      <c r="BU448" s="74" t="str">
        <f aca="false">IF($BL448&lt;&gt;Constants!$B$4,"",IF(NOT($AL448),0,Constants!$B$24*INT(ROUND(MIN($BC448,$AH$9),6))))</f>
        <v/>
      </c>
      <c r="BV448" s="74" t="str">
        <f aca="false">IF($BL448&lt;&gt;Constants!$B$4,"",IF(AND($AL448,$BN448=0),Constants!$B$25,0))</f>
        <v/>
      </c>
      <c r="BW448" s="74" t="str">
        <f aca="false">IF($BL448&lt;&gt;Constants!$B$4,"",MIN(Constants!$B$29,MAX(0,Constants!$B$27*Constants!$B$28*INT(ROUND((Constants!$B$26-$AN448)/Constants!$B$28,6))))+MIN(Constants!$B$29,MAX(0,Constants!$B$27*Constants!$B$28*INT(ROUND((Constants!$B$26-$AO448)/Constants!$B$28,6))))+MIN(Constants!$B$29,MAX(0,Constants!$B$27*Constants!$B$28*INT(ROUND((Constants!$B$26-$AP448)/Constants!$B$28,6)))))</f>
        <v/>
      </c>
      <c r="BX448" s="74" t="str">
        <f aca="false">IF($BL448&lt;&gt;Constants!$B$4,"",IF(NOT($AL448),0,Constants!$B$31*INT(ROUND(MAX(0,MIN($BJ448,2*$AH$9)-$AH$9),6))))</f>
        <v/>
      </c>
      <c r="BY448" s="74" t="str">
        <f aca="false">IF($BL448&lt;&gt;Constants!$B$4,"",Constants!$B$32*(($AN448&gt;Constants!$B$26)+($AO448&gt;Constants!$B$26)+($AP448&gt;Constants!$B$26)))</f>
        <v/>
      </c>
      <c r="BZ448" s="74" t="str">
        <f aca="false">IF($BL448&lt;&gt;Constants!$B$4,"",IF(OR(NOT($AL448),$AQ448),0,Constants!$B$33))</f>
        <v/>
      </c>
      <c r="CA448" s="74" t="str">
        <f aca="false">IF($BL448&lt;&gt;Constants!$B$4,"",Constants!$B$34*$BN448)</f>
        <v/>
      </c>
      <c r="CB448" s="74" t="str">
        <f aca="false">IF($BL448&lt;&gt;Constants!$B$4,"",IF(OR(NOT($AL448),$BH448),0,Constants!$B$36))</f>
        <v/>
      </c>
      <c r="CC448" s="74" t="str">
        <f aca="false">IF($BL448&lt;&gt;Constants!$B$4,"",IF(OR(NOT($AL448),$BG448),0,Constants!$B$37))</f>
        <v/>
      </c>
      <c r="CD448" s="74" t="str">
        <f aca="false">IF($BL448&lt;&gt;Constants!$B$4,"",SUM($BX448:$CC448))</f>
        <v/>
      </c>
      <c r="CE448" s="74" t="str">
        <f aca="false">IF(ISBLANK($C448),"",IF($BL448&lt;&gt;Constants!$B$4,$BL448,SUM($BO448:$BW448)-$CD448))</f>
        <v/>
      </c>
      <c r="CF448" s="74" t="str">
        <f aca="false">IF(ISBLANK($C448),"",IF($BL448&lt;&gt;Constants!$B$4,$BL448,RANK($CE448,$CE$9:$CE$508)))</f>
        <v/>
      </c>
      <c r="CG448" s="74" t="str">
        <f aca="false">IF(ISBLANK($C448),"",IF($BL448&lt;&gt;Constants!$B$4,$BL448,COUNTIFS($BM$9:$BM$508,"&lt;"&amp;$BM448)+COUNTIFS($BM$9:$BM$508,$BM448,$CF$9:$CF$508,"&lt;"&amp;$CF448)+1))</f>
        <v/>
      </c>
      <c r="CH448" s="74" t="str">
        <f aca="false">IF(ISBLANK($C448),"",IF($BL448&lt;&gt;Constants!$B$4,$BL448,RANK($CD448,$CD$9:$CD$508,1)))</f>
        <v/>
      </c>
      <c r="CI448" s="74" t="str">
        <f aca="false">IF($BL448&lt;&gt;Constants!$B$4,"",$AN448+$AO448+$AP448)</f>
        <v/>
      </c>
      <c r="CJ448" s="74" t="str">
        <f aca="false">IF(ISBLANK($C448),"",IF($BL448&lt;&gt;Constants!$B$4,$BL448,RANK($CI448,$CI$9:$CI$508,1)))</f>
        <v/>
      </c>
      <c r="CK448" s="74" t="str">
        <f aca="false">IF(ISBLANK($C448),"",IF($BL448&lt;&gt;Constants!$B$4,$BL448,COUNTIFS($BM$9:$BM$508,"&lt;"&amp;$BM448)+COUNTIFS($BM$9:$BM$508,$BM448,$CF$9:$CF$508,"&lt;"&amp;$CF448)+COUNTIFS($BM$9:$BM$508,$BM448,$CF$9:$CF$508,$CF448,$CH$9:$CH$508,"&lt;"&amp;$CH448)+COUNTIFS($BM$9:$BM$508,$BM448,$CF$9:$CF$508,$CF448,$CH$9:$CH$508,$CH448,$CJ$9:$CJ$508,"&lt;"&amp;$CJ448)+1))</f>
        <v/>
      </c>
      <c r="CL448" s="74" t="str">
        <f aca="false">IF(ISBLANK($C448),"",IF($BL448&lt;&gt;Constants!$B$4,$BL448,$CG448-$CK448))</f>
        <v/>
      </c>
      <c r="CM448" s="74" t="str">
        <f aca="false">IF(ISBLANK($C448),"",IF(NOT($AL448),"",IF(ISBLANK($D$7),$CM$5,IF(NOT(ISNUMBER($D$7)),$CM$6,""))))</f>
        <v/>
      </c>
      <c r="CN448" s="74" t="str">
        <f aca="false">IF(ISBLANK($C448),"",OR($AN448="",$AO448="",$AP448=""))</f>
        <v/>
      </c>
      <c r="CO448" s="74" t="str">
        <f aca="false">IF(ISBLANK($C448),"",AND($AL448,$BA448=""))</f>
        <v/>
      </c>
      <c r="CP448" s="74" t="str">
        <f aca="false">IF(ISBLANK($C448),"",AND($AL448,$BB448=""))</f>
        <v/>
      </c>
      <c r="CQ448" s="74" t="str">
        <f aca="false">IF(ISBLANK($C448),"",AND($AL448,$BC448=""))</f>
        <v/>
      </c>
      <c r="CR448" s="74" t="str">
        <f aca="false">IF(ISBLANK($C448),"",AND($AL448,$BF448=""))</f>
        <v/>
      </c>
      <c r="CS448" s="74" t="str">
        <f aca="false">IF(ISBLANK($C448),"",AND($AL448,$BJ448=""))</f>
        <v/>
      </c>
      <c r="CT448" s="75"/>
      <c r="CU448" s="76"/>
      <c r="CV448" s="79" t="str">
        <f aca="false">IF(ISBLANK($C448),"",IF($BL448=Constants!$B$8,$CM448,""))</f>
        <v/>
      </c>
      <c r="CW448" s="76" t="str">
        <f aca="false">IF(ISBLANK($C448),"",IF($BL448&lt;&gt;Constants!$B$4,"",$BO448+$BP448))</f>
        <v/>
      </c>
      <c r="CX448" s="78" t="str">
        <f aca="false">IF(ISBLANK($C448),"",IF($BL448&lt;&gt;Constants!$B$4,"",$BQ448+$BR448+$BS448))</f>
        <v/>
      </c>
      <c r="CY448" s="78" t="str">
        <f aca="false">IF(ISBLANK($C448),"",IF($BL448&lt;&gt;Constants!$B$4,"",$BT448))</f>
        <v/>
      </c>
      <c r="CZ448" s="78" t="str">
        <f aca="false">IF(ISBLANK($C448),"",IF($BL448&lt;&gt;Constants!$B$4,"",$BU448+$BV448))</f>
        <v/>
      </c>
      <c r="DA448" s="78" t="str">
        <f aca="false">IF(ISBLANK($C448),"",IF($BL448&lt;&gt;Constants!$B$4,"",$BW448))</f>
        <v/>
      </c>
      <c r="DB448" s="78" t="str">
        <f aca="false">IF(ISBLANK($C448),"",IF($BL448&lt;&gt;Constants!$B$4,"",-$CD448))</f>
        <v/>
      </c>
      <c r="DC448" s="79" t="str">
        <f aca="false">IF(ISBLANK($C448),"",$CE448)</f>
        <v/>
      </c>
      <c r="DD448" s="80" t="str">
        <f aca="false">IF(ISBLANK($C448),"",$BM448)</f>
        <v/>
      </c>
      <c r="DE448" s="78" t="str">
        <f aca="false">IF(ISBLANK($C448),"",$CL448)</f>
        <v/>
      </c>
      <c r="DF448" s="78" t="str">
        <f aca="false">IF(ISBLANK($C448),"",$CK448)</f>
        <v/>
      </c>
      <c r="DG448" s="81" t="str">
        <f aca="false">IF(ISBLANK($C448),"",IF($DF448=Constants!$B$7,COUNTA($C$9:$C$508)+2,IF($DF448=Constants!$B$6,COUNTA($C$9:$C$508)+1,IF($DF448=Constants!$B$5,COUNTA($C$9:$C$508),$DF448))))</f>
        <v/>
      </c>
      <c r="DH448" s="7"/>
      <c r="DI448" s="82" t="n">
        <f aca="false">IF(OR(ISNUMBER($DF448),$DF448=Constants!$B$7,$DF448=Constants!$B$5,$DF448=Constants!$B$6),1,0)</f>
        <v>0</v>
      </c>
      <c r="DJ448" s="82" t="n">
        <v>440</v>
      </c>
      <c r="DK448" s="82" t="str">
        <f aca="false">IF(ISBLANK($C448),"",IF(ISNUMBER($DG448),$DG448+ROW($B448)/1000,""))</f>
        <v/>
      </c>
      <c r="DL448" s="82" t="str">
        <f aca="false">IF(ISNUMBER($DK448),RANK($DK448,$DK$9:$DK$508,1),"")</f>
        <v/>
      </c>
      <c r="DM448" s="82" t="str">
        <f aca="false">IF(ISBLANK($C448),"",$B448)</f>
        <v/>
      </c>
      <c r="DN448" s="82" t="str">
        <f aca="false">IF(ISBLANK($C448),"",$C448)</f>
        <v/>
      </c>
      <c r="DO448" s="82" t="str">
        <f aca="false">IF(ISBLANK($C448),"",$D448)</f>
        <v/>
      </c>
      <c r="DP448" s="83" t="str">
        <f aca="false">$DD448</f>
        <v/>
      </c>
      <c r="DQ448" s="84" t="str">
        <f aca="false">$DC448</f>
        <v/>
      </c>
      <c r="DR448" s="82" t="str">
        <f aca="false">IF(ISBLANK($C448),"",$DF448)</f>
        <v/>
      </c>
      <c r="DS448" s="85" t="str">
        <f aca="false">IF($DJ448&gt;$DI$8,"",VLOOKUP($DJ448,$DL$9:$DR$508,7,FALSE()))</f>
        <v/>
      </c>
      <c r="DT448" s="86" t="str">
        <f aca="false">IF($DJ448&gt;$DI$8,"",VLOOKUP($DJ448,$DL$9:$DR$508,2,FALSE()))</f>
        <v/>
      </c>
      <c r="DU448" s="86" t="str">
        <f aca="false">IF($DJ448&gt;$DI$8,"",VLOOKUP($DJ448,$DL$9:$DR$508,3,FALSE()))</f>
        <v/>
      </c>
      <c r="DV448" s="86" t="str">
        <f aca="false">IF($DJ448&gt;$DI$8,"",VLOOKUP($DJ448,$DL$9:$DR$508,4,FALSE()))</f>
        <v/>
      </c>
      <c r="DW448" s="86" t="str">
        <f aca="false">IF($DJ448&gt;$DI$8,"",VLOOKUP($DJ448,$DL$9:$DR$508,5,FALSE()))</f>
        <v/>
      </c>
      <c r="DX448" s="87" t="str">
        <f aca="false">IF($DJ448&gt;$DI$8,"",VLOOKUP($DJ448,$DL$9:$DR$508,6,FALSE()))</f>
        <v/>
      </c>
      <c r="DY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88"/>
      <c r="N449" s="88"/>
      <c r="O449" s="134"/>
      <c r="P449" s="134"/>
      <c r="Q449" s="88"/>
      <c r="R449" s="88"/>
      <c r="S449" s="88"/>
      <c r="T449" s="88"/>
      <c r="U449" s="134"/>
      <c r="V449" s="88"/>
      <c r="W449" s="70"/>
      <c r="X449" s="88"/>
      <c r="Y449" s="88"/>
      <c r="Z449" s="70"/>
      <c r="AA449" s="70"/>
      <c r="AB449" s="88"/>
      <c r="AC449" s="88"/>
      <c r="AD449" s="88"/>
      <c r="AE449" s="71"/>
      <c r="AF449" s="88"/>
      <c r="AG449" s="73"/>
      <c r="AH449" s="74"/>
      <c r="AI449" s="74"/>
      <c r="AJ449" s="74" t="str">
        <f aca="false">IF(ISBLANK($C449),"",IF($E449=Constants!$B$2,TRUE(),IF($E449=Constants!$B$3,FALSE(),TRUE())))</f>
        <v/>
      </c>
      <c r="AK449" s="74" t="str">
        <f aca="false">IF(ISBLANK($C449),"",IF($F449=Constants!$B$2,TRUE(),IF($F449=Constants!$B$3,FALSE(),FALSE())))</f>
        <v/>
      </c>
      <c r="AL449" s="74" t="str">
        <f aca="false">IF(ISBLANK($C449),"",IF($G449=Constants!$B$2,TRUE(),IF($G449=Constants!$B$3,FALSE(),TRUE())))</f>
        <v/>
      </c>
      <c r="AM449" s="74" t="str">
        <f aca="false">IF(ISBLANK($C449),"",IF($H449=Constants!$B$2,TRUE(),IF($H449=Constants!$B$3,FALSE(),TRUE())))</f>
        <v/>
      </c>
      <c r="AN449" s="74" t="str">
        <f aca="false">IF(ISBLANK($C449),"",IF(ISNUMBER($I449),IF($I449&gt;=0,$I449,""),""))</f>
        <v/>
      </c>
      <c r="AO449" s="74" t="str">
        <f aca="false">IF(ISBLANK($C449),"",IF(ISNUMBER($J449),IF($J449&gt;=0,$J449,""),""))</f>
        <v/>
      </c>
      <c r="AP449" s="74" t="str">
        <f aca="false">IF(ISBLANK($C449),"",IF(ISNUMBER($K449),IF($K449&gt;=0,$K449,""),""))</f>
        <v/>
      </c>
      <c r="AQ449" s="74" t="str">
        <f aca="false">IF(ISBLANK($C449),"",IF($L449=Constants!$B$2,TRUE(),IF($L449=Constants!$B$3,FALSE(),TRUE())))</f>
        <v/>
      </c>
      <c r="AR449" s="74" t="str">
        <f aca="false">IF(ISBLANK($C449),"",IF($M449=Constants!$B$2,TRUE(),IF($M449=Constants!$B$3,FALSE(),TRUE())))</f>
        <v/>
      </c>
      <c r="AS449" s="74" t="str">
        <f aca="false">IF(ISBLANK($C449),"",IF($N449=Constants!$B$2,TRUE(),IF($N449=Constants!$B$3,FALSE(),FALSE())))</f>
        <v/>
      </c>
      <c r="AT449" s="74" t="str">
        <f aca="false">IF(ISBLANK($C449),"",IF($O449=Constants!$B$2,TRUE(),IF($O449=Constants!$B$3,FALSE(),TRUE())))</f>
        <v/>
      </c>
      <c r="AU449" s="74" t="str">
        <f aca="false">IF(ISBLANK($C449),"",IF($P449=Constants!$B$2,TRUE(),IF($P449=Constants!$B$3,FALSE(),TRUE())))</f>
        <v/>
      </c>
      <c r="AV449" s="74" t="str">
        <f aca="false">IF(ISBLANK($C449),"",IF($Q449=Constants!$B$2,TRUE(),IF($Q449=Constants!$B$3,FALSE(),FALSE())))</f>
        <v/>
      </c>
      <c r="AW449" s="74" t="str">
        <f aca="false">IF(ISBLANK($C449),"",IF($R449=Constants!$B$2,TRUE(),IF($R449=Constants!$B$3,FALSE(),FALSE())))</f>
        <v/>
      </c>
      <c r="AX449" s="74" t="str">
        <f aca="false">IF(ISBLANK($C449),"",IF($S449=Constants!$B$2,TRUE(),IF($S449=Constants!$B$3,FALSE(),FALSE())))</f>
        <v/>
      </c>
      <c r="AY449" s="74" t="str">
        <f aca="false">IF(ISBLANK($C449),"",IF($T449=Constants!$B$2,TRUE(),IF($T449=Constants!$B$3,FALSE(),FALSE())))</f>
        <v/>
      </c>
      <c r="AZ449" s="74" t="str">
        <f aca="false">IF(ISBLANK($C449),"",IF($U449=Constants!$B$2,TRUE(),IF($U449=Constants!$B$3,FALSE(),FALSE())))</f>
        <v/>
      </c>
      <c r="BA449" s="74" t="str">
        <f aca="false">IF(ISBLANK($C449),"",IF(OR($V449&amp;""="1",$V449&amp;""="2",$V449&amp;""="3",$V449&amp;""="4"),VALUE($V449&amp;""),IF($V449=Constants!$B$12,Constants!$B$12,"")))</f>
        <v/>
      </c>
      <c r="BB449" s="74" t="str">
        <f aca="false">IF(ISBLANK($C449),"",IF(ISBLANK($W449),0,IF(ISNUMBER($W449),IF(AND($W449&gt;=0,$W449&lt;=Constants!$B$21,$W449=INT($W449)),$W449,""),"")))</f>
        <v/>
      </c>
      <c r="BC449" s="74" t="str">
        <f aca="false">IF(ISBLANK($C449),"",IF(ISBLANK($X449),0,IF(ISNUMBER($X449),IF($X449&gt;=0,$X449,""),"")))</f>
        <v/>
      </c>
      <c r="BD449" s="74" t="str">
        <f aca="false">IF(ISBLANK($C449),"",IF($Y449=Constants!$B$2,TRUE(),IF($Y449=Constants!$B$3,FALSE(),TRUE())))</f>
        <v/>
      </c>
      <c r="BE449" s="74" t="str">
        <f aca="false">IF(ISBLANK($C449),"",IF($Z449=Constants!$B$2,TRUE(),IF($Z449=Constants!$B$3,FALSE(),FALSE())))</f>
        <v/>
      </c>
      <c r="BF449" s="74" t="str">
        <f aca="false">IF(ISBLANK($C449),"",IF(ISBLANK($AA449),0,IF(ISNUMBER($AA449),IF(AND($AA449&gt;=0,$AA449&lt;=Constants!$B$35,$AA449=INT($AA449)),$AA449,""),"")))</f>
        <v/>
      </c>
      <c r="BG449" s="74" t="str">
        <f aca="false">IF(ISBLANK($C449),"",IF($AB449=Constants!$B$2,TRUE(),IF($AB449=Constants!$B$3,FALSE(),TRUE())))</f>
        <v/>
      </c>
      <c r="BH449" s="74" t="str">
        <f aca="false">IF(ISBLANK($C449),"",IF($AC449=Constants!$B$2,TRUE(),IF($AC449=Constants!$B$3,FALSE(),TRUE())))</f>
        <v/>
      </c>
      <c r="BI449" s="74" t="str">
        <f aca="false">IF(ISBLANK($C449),"",IF($AD449=Constants!$B$2,TRUE(),IF($AD449=Constants!$B$3,FALSE(),TRUE())))</f>
        <v/>
      </c>
      <c r="BJ449" s="74" t="str">
        <f aca="false">IF(ISBLANK($C449),"",IF(ISNUMBER($AE449),IF($AE449&gt;=0,$AE449,""),""))</f>
        <v/>
      </c>
      <c r="BK449" s="74" t="str">
        <f aca="false">IF(ISBLANK($C449),"",IF($AF449=Constants!$B$2,TRUE(),IF($AF449=Constants!$B$3,FALSE(),FALSE())))</f>
        <v/>
      </c>
      <c r="BL449" s="73" t="str">
        <f aca="false">IF(ISBLANK($C449),"",IF($BK449,Constants!$B$7,IF(COUNTA($E449:$AE449)=0,Constants!$B$6,IF(OR(COUNTA($G449:$AE449)=0,NOT($AM449),$AS449),Constants!$B$5,IF(OR($CM449&lt;&gt;"",$CN449,$CO449,$CP449,$CQ449,$CR449,$CS449),Constants!$B$8,Constants!$B$4)))))</f>
        <v/>
      </c>
      <c r="BM449" s="74" t="str">
        <f aca="false">IF(ISBLANK($C449),"",IF($BL449&lt;&gt;Constants!$B$4,$BL449,IF(OR(NOT($AJ449),NOT($AL449),NOT($AT449)),Constants!$B$11,IF(OR(NOT($AR449),NOT($AU449),NOT($BI449),MAX($AN449,$AO449,$AP449)&gt;Constants!$B$30),Constants!$B$10,Constants!$B$9))))</f>
        <v/>
      </c>
      <c r="BN449" s="74" t="str">
        <f aca="false">IF($BL449&lt;&gt;Constants!$B$4,"",IF(NOT($AL449),0,MIN(Constants!$B$35,$BF449)))</f>
        <v/>
      </c>
      <c r="BO449" s="74" t="str">
        <f aca="false">IF($BL449&lt;&gt;Constants!$B$4,"",IF(NOT($AL449),0,IF($AW449,Constants!$B$18,IF($AV449,Constants!$B$17,0))))</f>
        <v/>
      </c>
      <c r="BP449" s="74" t="str">
        <f aca="false">IF($BL449&lt;&gt;Constants!$B$4,"",IF(NOT($AL449),0,Constants!$B$19*($AK449+$AX449+$AY449+$AZ449)))</f>
        <v/>
      </c>
      <c r="BQ449" s="74" t="str">
        <f aca="false">IF($BL449&lt;&gt;Constants!$B$4,"",IF(OR(NOT($AL449),NOT(ISNUMBER($BA449))),0,CHOOSE($BA449,Constants!$B$13,Constants!$B$14,Constants!$B$15,Constants!$B$16)))</f>
        <v/>
      </c>
      <c r="BR449" s="74" t="str">
        <f aca="false">IF($BL449&lt;&gt;Constants!$B$4,"",IF(NOT($AL449),0,Constants!$B$20*$BB449))</f>
        <v/>
      </c>
      <c r="BS449" s="74" t="str">
        <f aca="false">IF($BL449&lt;&gt;Constants!$B$4,"",IF(AND($AL449,$BD449,$BE449),Constants!$B$22,0))</f>
        <v/>
      </c>
      <c r="BT449" s="74" t="str">
        <f aca="false">IF($BL449&lt;&gt;Constants!$B$4,"",IF(OR(NOT($AL449),NOT($BD449)),0,IF($BJ449&gt;=2*$AH$9,0,Constants!$B$23*INT(ROUND(MIN($BJ449,$AH$9),6)))))</f>
        <v/>
      </c>
      <c r="BU449" s="74" t="str">
        <f aca="false">IF($BL449&lt;&gt;Constants!$B$4,"",IF(NOT($AL449),0,Constants!$B$24*INT(ROUND(MIN($BC449,$AH$9),6))))</f>
        <v/>
      </c>
      <c r="BV449" s="74" t="str">
        <f aca="false">IF($BL449&lt;&gt;Constants!$B$4,"",IF(AND($AL449,$BN449=0),Constants!$B$25,0))</f>
        <v/>
      </c>
      <c r="BW449" s="74" t="str">
        <f aca="false">IF($BL449&lt;&gt;Constants!$B$4,"",MIN(Constants!$B$29,MAX(0,Constants!$B$27*Constants!$B$28*INT(ROUND((Constants!$B$26-$AN449)/Constants!$B$28,6))))+MIN(Constants!$B$29,MAX(0,Constants!$B$27*Constants!$B$28*INT(ROUND((Constants!$B$26-$AO449)/Constants!$B$28,6))))+MIN(Constants!$B$29,MAX(0,Constants!$B$27*Constants!$B$28*INT(ROUND((Constants!$B$26-$AP449)/Constants!$B$28,6)))))</f>
        <v/>
      </c>
      <c r="BX449" s="74" t="str">
        <f aca="false">IF($BL449&lt;&gt;Constants!$B$4,"",IF(NOT($AL449),0,Constants!$B$31*INT(ROUND(MAX(0,MIN($BJ449,2*$AH$9)-$AH$9),6))))</f>
        <v/>
      </c>
      <c r="BY449" s="74" t="str">
        <f aca="false">IF($BL449&lt;&gt;Constants!$B$4,"",Constants!$B$32*(($AN449&gt;Constants!$B$26)+($AO449&gt;Constants!$B$26)+($AP449&gt;Constants!$B$26)))</f>
        <v/>
      </c>
      <c r="BZ449" s="74" t="str">
        <f aca="false">IF($BL449&lt;&gt;Constants!$B$4,"",IF(OR(NOT($AL449),$AQ449),0,Constants!$B$33))</f>
        <v/>
      </c>
      <c r="CA449" s="74" t="str">
        <f aca="false">IF($BL449&lt;&gt;Constants!$B$4,"",Constants!$B$34*$BN449)</f>
        <v/>
      </c>
      <c r="CB449" s="74" t="str">
        <f aca="false">IF($BL449&lt;&gt;Constants!$B$4,"",IF(OR(NOT($AL449),$BH449),0,Constants!$B$36))</f>
        <v/>
      </c>
      <c r="CC449" s="74" t="str">
        <f aca="false">IF($BL449&lt;&gt;Constants!$B$4,"",IF(OR(NOT($AL449),$BG449),0,Constants!$B$37))</f>
        <v/>
      </c>
      <c r="CD449" s="74" t="str">
        <f aca="false">IF($BL449&lt;&gt;Constants!$B$4,"",SUM($BX449:$CC449))</f>
        <v/>
      </c>
      <c r="CE449" s="74" t="str">
        <f aca="false">IF(ISBLANK($C449),"",IF($BL449&lt;&gt;Constants!$B$4,$BL449,SUM($BO449:$BW449)-$CD449))</f>
        <v/>
      </c>
      <c r="CF449" s="74" t="str">
        <f aca="false">IF(ISBLANK($C449),"",IF($BL449&lt;&gt;Constants!$B$4,$BL449,RANK($CE449,$CE$9:$CE$508)))</f>
        <v/>
      </c>
      <c r="CG449" s="74" t="str">
        <f aca="false">IF(ISBLANK($C449),"",IF($BL449&lt;&gt;Constants!$B$4,$BL449,COUNTIFS($BM$9:$BM$508,"&lt;"&amp;$BM449)+COUNTIFS($BM$9:$BM$508,$BM449,$CF$9:$CF$508,"&lt;"&amp;$CF449)+1))</f>
        <v/>
      </c>
      <c r="CH449" s="74" t="str">
        <f aca="false">IF(ISBLANK($C449),"",IF($BL449&lt;&gt;Constants!$B$4,$BL449,RANK($CD449,$CD$9:$CD$508,1)))</f>
        <v/>
      </c>
      <c r="CI449" s="74" t="str">
        <f aca="false">IF($BL449&lt;&gt;Constants!$B$4,"",$AN449+$AO449+$AP449)</f>
        <v/>
      </c>
      <c r="CJ449" s="74" t="str">
        <f aca="false">IF(ISBLANK($C449),"",IF($BL449&lt;&gt;Constants!$B$4,$BL449,RANK($CI449,$CI$9:$CI$508,1)))</f>
        <v/>
      </c>
      <c r="CK449" s="74" t="str">
        <f aca="false">IF(ISBLANK($C449),"",IF($BL449&lt;&gt;Constants!$B$4,$BL449,COUNTIFS($BM$9:$BM$508,"&lt;"&amp;$BM449)+COUNTIFS($BM$9:$BM$508,$BM449,$CF$9:$CF$508,"&lt;"&amp;$CF449)+COUNTIFS($BM$9:$BM$508,$BM449,$CF$9:$CF$508,$CF449,$CH$9:$CH$508,"&lt;"&amp;$CH449)+COUNTIFS($BM$9:$BM$508,$BM449,$CF$9:$CF$508,$CF449,$CH$9:$CH$508,$CH449,$CJ$9:$CJ$508,"&lt;"&amp;$CJ449)+1))</f>
        <v/>
      </c>
      <c r="CL449" s="74" t="str">
        <f aca="false">IF(ISBLANK($C449),"",IF($BL449&lt;&gt;Constants!$B$4,$BL449,$CG449-$CK449))</f>
        <v/>
      </c>
      <c r="CM449" s="74" t="str">
        <f aca="false">IF(ISBLANK($C449),"",IF(NOT($AL449),"",IF(ISBLANK($D$7),$CM$5,IF(NOT(ISNUMBER($D$7)),$CM$6,""))))</f>
        <v/>
      </c>
      <c r="CN449" s="74" t="str">
        <f aca="false">IF(ISBLANK($C449),"",OR($AN449="",$AO449="",$AP449=""))</f>
        <v/>
      </c>
      <c r="CO449" s="74" t="str">
        <f aca="false">IF(ISBLANK($C449),"",AND($AL449,$BA449=""))</f>
        <v/>
      </c>
      <c r="CP449" s="74" t="str">
        <f aca="false">IF(ISBLANK($C449),"",AND($AL449,$BB449=""))</f>
        <v/>
      </c>
      <c r="CQ449" s="74" t="str">
        <f aca="false">IF(ISBLANK($C449),"",AND($AL449,$BC449=""))</f>
        <v/>
      </c>
      <c r="CR449" s="74" t="str">
        <f aca="false">IF(ISBLANK($C449),"",AND($AL449,$BF449=""))</f>
        <v/>
      </c>
      <c r="CS449" s="74" t="str">
        <f aca="false">IF(ISBLANK($C449),"",AND($AL449,$BJ449=""))</f>
        <v/>
      </c>
      <c r="CT449" s="75"/>
      <c r="CU449" s="76"/>
      <c r="CV449" s="79" t="str">
        <f aca="false">IF(ISBLANK($C449),"",IF($BL449=Constants!$B$8,$CM449,""))</f>
        <v/>
      </c>
      <c r="CW449" s="76" t="str">
        <f aca="false">IF(ISBLANK($C449),"",IF($BL449&lt;&gt;Constants!$B$4,"",$BO449+$BP449))</f>
        <v/>
      </c>
      <c r="CX449" s="78" t="str">
        <f aca="false">IF(ISBLANK($C449),"",IF($BL449&lt;&gt;Constants!$B$4,"",$BQ449+$BR449+$BS449))</f>
        <v/>
      </c>
      <c r="CY449" s="78" t="str">
        <f aca="false">IF(ISBLANK($C449),"",IF($BL449&lt;&gt;Constants!$B$4,"",$BT449))</f>
        <v/>
      </c>
      <c r="CZ449" s="78" t="str">
        <f aca="false">IF(ISBLANK($C449),"",IF($BL449&lt;&gt;Constants!$B$4,"",$BU449+$BV449))</f>
        <v/>
      </c>
      <c r="DA449" s="78" t="str">
        <f aca="false">IF(ISBLANK($C449),"",IF($BL449&lt;&gt;Constants!$B$4,"",$BW449))</f>
        <v/>
      </c>
      <c r="DB449" s="78" t="str">
        <f aca="false">IF(ISBLANK($C449),"",IF($BL449&lt;&gt;Constants!$B$4,"",-$CD449))</f>
        <v/>
      </c>
      <c r="DC449" s="79" t="str">
        <f aca="false">IF(ISBLANK($C449),"",$CE449)</f>
        <v/>
      </c>
      <c r="DD449" s="80" t="str">
        <f aca="false">IF(ISBLANK($C449),"",$BM449)</f>
        <v/>
      </c>
      <c r="DE449" s="78" t="str">
        <f aca="false">IF(ISBLANK($C449),"",$CL449)</f>
        <v/>
      </c>
      <c r="DF449" s="78" t="str">
        <f aca="false">IF(ISBLANK($C449),"",$CK449)</f>
        <v/>
      </c>
      <c r="DG449" s="81" t="str">
        <f aca="false">IF(ISBLANK($C449),"",IF($DF449=Constants!$B$7,COUNTA($C$9:$C$508)+2,IF($DF449=Constants!$B$6,COUNTA($C$9:$C$508)+1,IF($DF449=Constants!$B$5,COUNTA($C$9:$C$508),$DF449))))</f>
        <v/>
      </c>
      <c r="DH449" s="7"/>
      <c r="DI449" s="82" t="n">
        <f aca="false">IF(OR(ISNUMBER($DF449),$DF449=Constants!$B$7,$DF449=Constants!$B$5,$DF449=Constants!$B$6),1,0)</f>
        <v>0</v>
      </c>
      <c r="DJ449" s="82" t="n">
        <v>441</v>
      </c>
      <c r="DK449" s="82" t="str">
        <f aca="false">IF(ISBLANK($C449),"",IF(ISNUMBER($DG449),$DG449+ROW($B449)/1000,""))</f>
        <v/>
      </c>
      <c r="DL449" s="82" t="str">
        <f aca="false">IF(ISNUMBER($DK449),RANK($DK449,$DK$9:$DK$508,1),"")</f>
        <v/>
      </c>
      <c r="DM449" s="82" t="str">
        <f aca="false">IF(ISBLANK($C449),"",$B449)</f>
        <v/>
      </c>
      <c r="DN449" s="82" t="str">
        <f aca="false">IF(ISBLANK($C449),"",$C449)</f>
        <v/>
      </c>
      <c r="DO449" s="82" t="str">
        <f aca="false">IF(ISBLANK($C449),"",$D449)</f>
        <v/>
      </c>
      <c r="DP449" s="83" t="str">
        <f aca="false">$DD449</f>
        <v/>
      </c>
      <c r="DQ449" s="84" t="str">
        <f aca="false">$DC449</f>
        <v/>
      </c>
      <c r="DR449" s="82" t="str">
        <f aca="false">IF(ISBLANK($C449),"",$DF449)</f>
        <v/>
      </c>
      <c r="DS449" s="85" t="str">
        <f aca="false">IF($DJ449&gt;$DI$8,"",VLOOKUP($DJ449,$DL$9:$DR$508,7,FALSE()))</f>
        <v/>
      </c>
      <c r="DT449" s="86" t="str">
        <f aca="false">IF($DJ449&gt;$DI$8,"",VLOOKUP($DJ449,$DL$9:$DR$508,2,FALSE()))</f>
        <v/>
      </c>
      <c r="DU449" s="86" t="str">
        <f aca="false">IF($DJ449&gt;$DI$8,"",VLOOKUP($DJ449,$DL$9:$DR$508,3,FALSE()))</f>
        <v/>
      </c>
      <c r="DV449" s="86" t="str">
        <f aca="false">IF($DJ449&gt;$DI$8,"",VLOOKUP($DJ449,$DL$9:$DR$508,4,FALSE()))</f>
        <v/>
      </c>
      <c r="DW449" s="86" t="str">
        <f aca="false">IF($DJ449&gt;$DI$8,"",VLOOKUP($DJ449,$DL$9:$DR$508,5,FALSE()))</f>
        <v/>
      </c>
      <c r="DX449" s="87" t="str">
        <f aca="false">IF($DJ449&gt;$DI$8,"",VLOOKUP($DJ449,$DL$9:$DR$508,6,FALSE()))</f>
        <v/>
      </c>
      <c r="DY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130"/>
      <c r="N450" s="130"/>
      <c r="O450" s="135"/>
      <c r="P450" s="135"/>
      <c r="Q450" s="130"/>
      <c r="R450" s="130"/>
      <c r="S450" s="130"/>
      <c r="T450" s="130"/>
      <c r="U450" s="135"/>
      <c r="V450" s="130"/>
      <c r="W450" s="96"/>
      <c r="X450" s="130"/>
      <c r="Y450" s="130"/>
      <c r="Z450" s="96"/>
      <c r="AA450" s="96"/>
      <c r="AB450" s="130"/>
      <c r="AC450" s="130"/>
      <c r="AD450" s="130"/>
      <c r="AE450" s="97"/>
      <c r="AF450" s="130"/>
      <c r="AG450" s="99"/>
      <c r="AH450" s="100"/>
      <c r="AI450" s="100"/>
      <c r="AJ450" s="100" t="str">
        <f aca="false">IF(ISBLANK($C450),"",IF($E450=Constants!$B$2,TRUE(),IF($E450=Constants!$B$3,FALSE(),TRUE())))</f>
        <v/>
      </c>
      <c r="AK450" s="100" t="str">
        <f aca="false">IF(ISBLANK($C450),"",IF($F450=Constants!$B$2,TRUE(),IF($F450=Constants!$B$3,FALSE(),FALSE())))</f>
        <v/>
      </c>
      <c r="AL450" s="100" t="str">
        <f aca="false">IF(ISBLANK($C450),"",IF($G450=Constants!$B$2,TRUE(),IF($G450=Constants!$B$3,FALSE(),TRUE())))</f>
        <v/>
      </c>
      <c r="AM450" s="100" t="str">
        <f aca="false">IF(ISBLANK($C450),"",IF($H450=Constants!$B$2,TRUE(),IF($H450=Constants!$B$3,FALSE(),TRUE())))</f>
        <v/>
      </c>
      <c r="AN450" s="100" t="str">
        <f aca="false">IF(ISBLANK($C450),"",IF(ISNUMBER($I450),IF($I450&gt;=0,$I450,""),""))</f>
        <v/>
      </c>
      <c r="AO450" s="100" t="str">
        <f aca="false">IF(ISBLANK($C450),"",IF(ISNUMBER($J450),IF($J450&gt;=0,$J450,""),""))</f>
        <v/>
      </c>
      <c r="AP450" s="100" t="str">
        <f aca="false">IF(ISBLANK($C450),"",IF(ISNUMBER($K450),IF($K450&gt;=0,$K450,""),""))</f>
        <v/>
      </c>
      <c r="AQ450" s="100" t="str">
        <f aca="false">IF(ISBLANK($C450),"",IF($L450=Constants!$B$2,TRUE(),IF($L450=Constants!$B$3,FALSE(),TRUE())))</f>
        <v/>
      </c>
      <c r="AR450" s="100" t="str">
        <f aca="false">IF(ISBLANK($C450),"",IF($M450=Constants!$B$2,TRUE(),IF($M450=Constants!$B$3,FALSE(),TRUE())))</f>
        <v/>
      </c>
      <c r="AS450" s="100" t="str">
        <f aca="false">IF(ISBLANK($C450),"",IF($N450=Constants!$B$2,TRUE(),IF($N450=Constants!$B$3,FALSE(),FALSE())))</f>
        <v/>
      </c>
      <c r="AT450" s="100" t="str">
        <f aca="false">IF(ISBLANK($C450),"",IF($O450=Constants!$B$2,TRUE(),IF($O450=Constants!$B$3,FALSE(),TRUE())))</f>
        <v/>
      </c>
      <c r="AU450" s="100" t="str">
        <f aca="false">IF(ISBLANK($C450),"",IF($P450=Constants!$B$2,TRUE(),IF($P450=Constants!$B$3,FALSE(),TRUE())))</f>
        <v/>
      </c>
      <c r="AV450" s="100" t="str">
        <f aca="false">IF(ISBLANK($C450),"",IF($Q450=Constants!$B$2,TRUE(),IF($Q450=Constants!$B$3,FALSE(),FALSE())))</f>
        <v/>
      </c>
      <c r="AW450" s="100" t="str">
        <f aca="false">IF(ISBLANK($C450),"",IF($R450=Constants!$B$2,TRUE(),IF($R450=Constants!$B$3,FALSE(),FALSE())))</f>
        <v/>
      </c>
      <c r="AX450" s="100" t="str">
        <f aca="false">IF(ISBLANK($C450),"",IF($S450=Constants!$B$2,TRUE(),IF($S450=Constants!$B$3,FALSE(),FALSE())))</f>
        <v/>
      </c>
      <c r="AY450" s="100" t="str">
        <f aca="false">IF(ISBLANK($C450),"",IF($T450=Constants!$B$2,TRUE(),IF($T450=Constants!$B$3,FALSE(),FALSE())))</f>
        <v/>
      </c>
      <c r="AZ450" s="100" t="str">
        <f aca="false">IF(ISBLANK($C450),"",IF($U450=Constants!$B$2,TRUE(),IF($U450=Constants!$B$3,FALSE(),FALSE())))</f>
        <v/>
      </c>
      <c r="BA450" s="100" t="str">
        <f aca="false">IF(ISBLANK($C450),"",IF(OR($V450&amp;""="1",$V450&amp;""="2",$V450&amp;""="3",$V450&amp;""="4"),VALUE($V450&amp;""),IF($V450=Constants!$B$12,Constants!$B$12,"")))</f>
        <v/>
      </c>
      <c r="BB450" s="100" t="str">
        <f aca="false">IF(ISBLANK($C450),"",IF(ISBLANK($W450),0,IF(ISNUMBER($W450),IF(AND($W450&gt;=0,$W450&lt;=Constants!$B$21,$W450=INT($W450)),$W450,""),"")))</f>
        <v/>
      </c>
      <c r="BC450" s="100" t="str">
        <f aca="false">IF(ISBLANK($C450),"",IF(ISBLANK($X450),0,IF(ISNUMBER($X450),IF($X450&gt;=0,$X450,""),"")))</f>
        <v/>
      </c>
      <c r="BD450" s="100" t="str">
        <f aca="false">IF(ISBLANK($C450),"",IF($Y450=Constants!$B$2,TRUE(),IF($Y450=Constants!$B$3,FALSE(),TRUE())))</f>
        <v/>
      </c>
      <c r="BE450" s="100" t="str">
        <f aca="false">IF(ISBLANK($C450),"",IF($Z450=Constants!$B$2,TRUE(),IF($Z450=Constants!$B$3,FALSE(),FALSE())))</f>
        <v/>
      </c>
      <c r="BF450" s="100" t="str">
        <f aca="false">IF(ISBLANK($C450),"",IF(ISBLANK($AA450),0,IF(ISNUMBER($AA450),IF(AND($AA450&gt;=0,$AA450&lt;=Constants!$B$35,$AA450=INT($AA450)),$AA450,""),"")))</f>
        <v/>
      </c>
      <c r="BG450" s="100" t="str">
        <f aca="false">IF(ISBLANK($C450),"",IF($AB450=Constants!$B$2,TRUE(),IF($AB450=Constants!$B$3,FALSE(),TRUE())))</f>
        <v/>
      </c>
      <c r="BH450" s="100" t="str">
        <f aca="false">IF(ISBLANK($C450),"",IF($AC450=Constants!$B$2,TRUE(),IF($AC450=Constants!$B$3,FALSE(),TRUE())))</f>
        <v/>
      </c>
      <c r="BI450" s="100" t="str">
        <f aca="false">IF(ISBLANK($C450),"",IF($AD450=Constants!$B$2,TRUE(),IF($AD450=Constants!$B$3,FALSE(),TRUE())))</f>
        <v/>
      </c>
      <c r="BJ450" s="100" t="str">
        <f aca="false">IF(ISBLANK($C450),"",IF(ISNUMBER($AE450),IF($AE450&gt;=0,$AE450,""),""))</f>
        <v/>
      </c>
      <c r="BK450" s="100" t="str">
        <f aca="false">IF(ISBLANK($C450),"",IF($AF450=Constants!$B$2,TRUE(),IF($AF450=Constants!$B$3,FALSE(),FALSE())))</f>
        <v/>
      </c>
      <c r="BL450" s="99" t="str">
        <f aca="false">IF(ISBLANK($C450),"",IF($BK450,Constants!$B$7,IF(COUNTA($E450:$AE450)=0,Constants!$B$6,IF(OR(COUNTA($G450:$AE450)=0,NOT($AM450),$AS450),Constants!$B$5,IF(OR($CM450&lt;&gt;"",$CN450,$CO450,$CP450,$CQ450,$CR450,$CS450),Constants!$B$8,Constants!$B$4)))))</f>
        <v/>
      </c>
      <c r="BM450" s="100" t="str">
        <f aca="false">IF(ISBLANK($C450),"",IF($BL450&lt;&gt;Constants!$B$4,$BL450,IF(OR(NOT($AJ450),NOT($AL450),NOT($AT450)),Constants!$B$11,IF(OR(NOT($AR450),NOT($AU450),NOT($BI450),MAX($AN450,$AO450,$AP450)&gt;Constants!$B$30),Constants!$B$10,Constants!$B$9))))</f>
        <v/>
      </c>
      <c r="BN450" s="100" t="str">
        <f aca="false">IF($BL450&lt;&gt;Constants!$B$4,"",IF(NOT($AL450),0,MIN(Constants!$B$35,$BF450)))</f>
        <v/>
      </c>
      <c r="BO450" s="100" t="str">
        <f aca="false">IF($BL450&lt;&gt;Constants!$B$4,"",IF(NOT($AL450),0,IF($AW450,Constants!$B$18,IF($AV450,Constants!$B$17,0))))</f>
        <v/>
      </c>
      <c r="BP450" s="100" t="str">
        <f aca="false">IF($BL450&lt;&gt;Constants!$B$4,"",IF(NOT($AL450),0,Constants!$B$19*($AK450+$AX450+$AY450+$AZ450)))</f>
        <v/>
      </c>
      <c r="BQ450" s="100" t="str">
        <f aca="false">IF($BL450&lt;&gt;Constants!$B$4,"",IF(OR(NOT($AL450),NOT(ISNUMBER($BA450))),0,CHOOSE($BA450,Constants!$B$13,Constants!$B$14,Constants!$B$15,Constants!$B$16)))</f>
        <v/>
      </c>
      <c r="BR450" s="100" t="str">
        <f aca="false">IF($BL450&lt;&gt;Constants!$B$4,"",IF(NOT($AL450),0,Constants!$B$20*$BB450))</f>
        <v/>
      </c>
      <c r="BS450" s="100" t="str">
        <f aca="false">IF($BL450&lt;&gt;Constants!$B$4,"",IF(AND($AL450,$BD450,$BE450),Constants!$B$22,0))</f>
        <v/>
      </c>
      <c r="BT450" s="100" t="str">
        <f aca="false">IF($BL450&lt;&gt;Constants!$B$4,"",IF(OR(NOT($AL450),NOT($BD450)),0,IF($BJ450&gt;=2*$AH$9,0,Constants!$B$23*INT(ROUND(MIN($BJ450,$AH$9),6)))))</f>
        <v/>
      </c>
      <c r="BU450" s="100" t="str">
        <f aca="false">IF($BL450&lt;&gt;Constants!$B$4,"",IF(NOT($AL450),0,Constants!$B$24*INT(ROUND(MIN($BC450,$AH$9),6))))</f>
        <v/>
      </c>
      <c r="BV450" s="100" t="str">
        <f aca="false">IF($BL450&lt;&gt;Constants!$B$4,"",IF(AND($AL450,$BN450=0),Constants!$B$25,0))</f>
        <v/>
      </c>
      <c r="BW450" s="100" t="str">
        <f aca="false">IF($BL450&lt;&gt;Constants!$B$4,"",MIN(Constants!$B$29,MAX(0,Constants!$B$27*Constants!$B$28*INT(ROUND((Constants!$B$26-$AN450)/Constants!$B$28,6))))+MIN(Constants!$B$29,MAX(0,Constants!$B$27*Constants!$B$28*INT(ROUND((Constants!$B$26-$AO450)/Constants!$B$28,6))))+MIN(Constants!$B$29,MAX(0,Constants!$B$27*Constants!$B$28*INT(ROUND((Constants!$B$26-$AP450)/Constants!$B$28,6)))))</f>
        <v/>
      </c>
      <c r="BX450" s="100" t="str">
        <f aca="false">IF($BL450&lt;&gt;Constants!$B$4,"",IF(NOT($AL450),0,Constants!$B$31*INT(ROUND(MAX(0,MIN($BJ450,2*$AH$9)-$AH$9),6))))</f>
        <v/>
      </c>
      <c r="BY450" s="100" t="str">
        <f aca="false">IF($BL450&lt;&gt;Constants!$B$4,"",Constants!$B$32*(($AN450&gt;Constants!$B$26)+($AO450&gt;Constants!$B$26)+($AP450&gt;Constants!$B$26)))</f>
        <v/>
      </c>
      <c r="BZ450" s="100" t="str">
        <f aca="false">IF($BL450&lt;&gt;Constants!$B$4,"",IF(OR(NOT($AL450),$AQ450),0,Constants!$B$33))</f>
        <v/>
      </c>
      <c r="CA450" s="100" t="str">
        <f aca="false">IF($BL450&lt;&gt;Constants!$B$4,"",Constants!$B$34*$BN450)</f>
        <v/>
      </c>
      <c r="CB450" s="100" t="str">
        <f aca="false">IF($BL450&lt;&gt;Constants!$B$4,"",IF(OR(NOT($AL450),$BH450),0,Constants!$B$36))</f>
        <v/>
      </c>
      <c r="CC450" s="100" t="str">
        <f aca="false">IF($BL450&lt;&gt;Constants!$B$4,"",IF(OR(NOT($AL450),$BG450),0,Constants!$B$37))</f>
        <v/>
      </c>
      <c r="CD450" s="100" t="str">
        <f aca="false">IF($BL450&lt;&gt;Constants!$B$4,"",SUM($BX450:$CC450))</f>
        <v/>
      </c>
      <c r="CE450" s="100" t="str">
        <f aca="false">IF(ISBLANK($C450),"",IF($BL450&lt;&gt;Constants!$B$4,$BL450,SUM($BO450:$BW450)-$CD450))</f>
        <v/>
      </c>
      <c r="CF450" s="100" t="str">
        <f aca="false">IF(ISBLANK($C450),"",IF($BL450&lt;&gt;Constants!$B$4,$BL450,RANK($CE450,$CE$9:$CE$508)))</f>
        <v/>
      </c>
      <c r="CG450" s="100" t="str">
        <f aca="false">IF(ISBLANK($C450),"",IF($BL450&lt;&gt;Constants!$B$4,$BL450,COUNTIFS($BM$9:$BM$508,"&lt;"&amp;$BM450)+COUNTIFS($BM$9:$BM$508,$BM450,$CF$9:$CF$508,"&lt;"&amp;$CF450)+1))</f>
        <v/>
      </c>
      <c r="CH450" s="100" t="str">
        <f aca="false">IF(ISBLANK($C450),"",IF($BL450&lt;&gt;Constants!$B$4,$BL450,RANK($CD450,$CD$9:$CD$508,1)))</f>
        <v/>
      </c>
      <c r="CI450" s="100" t="str">
        <f aca="false">IF($BL450&lt;&gt;Constants!$B$4,"",$AN450+$AO450+$AP450)</f>
        <v/>
      </c>
      <c r="CJ450" s="100" t="str">
        <f aca="false">IF(ISBLANK($C450),"",IF($BL450&lt;&gt;Constants!$B$4,$BL450,RANK($CI450,$CI$9:$CI$508,1)))</f>
        <v/>
      </c>
      <c r="CK450" s="100" t="str">
        <f aca="false">IF(ISBLANK($C450),"",IF($BL450&lt;&gt;Constants!$B$4,$BL450,COUNTIFS($BM$9:$BM$508,"&lt;"&amp;$BM450)+COUNTIFS($BM$9:$BM$508,$BM450,$CF$9:$CF$508,"&lt;"&amp;$CF450)+COUNTIFS($BM$9:$BM$508,$BM450,$CF$9:$CF$508,$CF450,$CH$9:$CH$508,"&lt;"&amp;$CH450)+COUNTIFS($BM$9:$BM$508,$BM450,$CF$9:$CF$508,$CF450,$CH$9:$CH$508,$CH450,$CJ$9:$CJ$508,"&lt;"&amp;$CJ450)+1))</f>
        <v/>
      </c>
      <c r="CL450" s="100" t="str">
        <f aca="false">IF(ISBLANK($C450),"",IF($BL450&lt;&gt;Constants!$B$4,$BL450,$CG450-$CK450))</f>
        <v/>
      </c>
      <c r="CM450" s="100" t="str">
        <f aca="false">IF(ISBLANK($C450),"",IF(NOT($AL450),"",IF(ISBLANK($D$7),$CM$5,IF(NOT(ISNUMBER($D$7)),$CM$6,""))))</f>
        <v/>
      </c>
      <c r="CN450" s="100" t="str">
        <f aca="false">IF(ISBLANK($C450),"",OR($AN450="",$AO450="",$AP450=""))</f>
        <v/>
      </c>
      <c r="CO450" s="100" t="str">
        <f aca="false">IF(ISBLANK($C450),"",AND($AL450,$BA450=""))</f>
        <v/>
      </c>
      <c r="CP450" s="100" t="str">
        <f aca="false">IF(ISBLANK($C450),"",AND($AL450,$BB450=""))</f>
        <v/>
      </c>
      <c r="CQ450" s="100" t="str">
        <f aca="false">IF(ISBLANK($C450),"",AND($AL450,$BC450=""))</f>
        <v/>
      </c>
      <c r="CR450" s="100" t="str">
        <f aca="false">IF(ISBLANK($C450),"",AND($AL450,$BF450=""))</f>
        <v/>
      </c>
      <c r="CS450" s="100" t="str">
        <f aca="false">IF(ISBLANK($C450),"",AND($AL450,$BJ450=""))</f>
        <v/>
      </c>
      <c r="CT450" s="101"/>
      <c r="CU450" s="102"/>
      <c r="CV450" s="103" t="str">
        <f aca="false">IF(ISBLANK($C450),"",IF($BL450=Constants!$B$8,$CM450,""))</f>
        <v/>
      </c>
      <c r="CW450" s="102" t="str">
        <f aca="false">IF(ISBLANK($C450),"",IF($BL450&lt;&gt;Constants!$B$4,"",$BO450+$BP450))</f>
        <v/>
      </c>
      <c r="CX450" s="104" t="str">
        <f aca="false">IF(ISBLANK($C450),"",IF($BL450&lt;&gt;Constants!$B$4,"",$BQ450+$BR450+$BS450))</f>
        <v/>
      </c>
      <c r="CY450" s="104" t="str">
        <f aca="false">IF(ISBLANK($C450),"",IF($BL450&lt;&gt;Constants!$B$4,"",$BT450))</f>
        <v/>
      </c>
      <c r="CZ450" s="104" t="str">
        <f aca="false">IF(ISBLANK($C450),"",IF($BL450&lt;&gt;Constants!$B$4,"",$BU450+$BV450))</f>
        <v/>
      </c>
      <c r="DA450" s="104" t="str">
        <f aca="false">IF(ISBLANK($C450),"",IF($BL450&lt;&gt;Constants!$B$4,"",$BW450))</f>
        <v/>
      </c>
      <c r="DB450" s="104" t="str">
        <f aca="false">IF(ISBLANK($C450),"",IF($BL450&lt;&gt;Constants!$B$4,"",-$CD450))</f>
        <v/>
      </c>
      <c r="DC450" s="103" t="str">
        <f aca="false">IF(ISBLANK($C450),"",$CE450)</f>
        <v/>
      </c>
      <c r="DD450" s="105" t="str">
        <f aca="false">IF(ISBLANK($C450),"",$BM450)</f>
        <v/>
      </c>
      <c r="DE450" s="104" t="str">
        <f aca="false">IF(ISBLANK($C450),"",$CL450)</f>
        <v/>
      </c>
      <c r="DF450" s="104" t="str">
        <f aca="false">IF(ISBLANK($C450),"",$CK450)</f>
        <v/>
      </c>
      <c r="DG450" s="106" t="str">
        <f aca="false">IF(ISBLANK($C450),"",IF($DF450=Constants!$B$7,COUNTA($C$9:$C$508)+2,IF($DF450=Constants!$B$6,COUNTA($C$9:$C$508)+1,IF($DF450=Constants!$B$5,COUNTA($C$9:$C$508),$DF450))))</f>
        <v/>
      </c>
      <c r="DH450" s="7"/>
      <c r="DI450" s="107" t="n">
        <f aca="false">IF(OR(ISNUMBER($DF450),$DF450=Constants!$B$7,$DF450=Constants!$B$5,$DF450=Constants!$B$6),1,0)</f>
        <v>0</v>
      </c>
      <c r="DJ450" s="107" t="n">
        <v>442</v>
      </c>
      <c r="DK450" s="107" t="str">
        <f aca="false">IF(ISBLANK($C450),"",IF(ISNUMBER($DG450),$DG450+ROW($B450)/1000,""))</f>
        <v/>
      </c>
      <c r="DL450" s="107" t="str">
        <f aca="false">IF(ISNUMBER($DK450),RANK($DK450,$DK$9:$DK$508,1),"")</f>
        <v/>
      </c>
      <c r="DM450" s="107" t="str">
        <f aca="false">IF(ISBLANK($C450),"",$B450)</f>
        <v/>
      </c>
      <c r="DN450" s="107" t="str">
        <f aca="false">IF(ISBLANK($C450),"",$C450)</f>
        <v/>
      </c>
      <c r="DO450" s="107" t="str">
        <f aca="false">IF(ISBLANK($C450),"",$D450)</f>
        <v/>
      </c>
      <c r="DP450" s="108" t="str">
        <f aca="false">$DD450</f>
        <v/>
      </c>
      <c r="DQ450" s="109" t="str">
        <f aca="false">$DC450</f>
        <v/>
      </c>
      <c r="DR450" s="107" t="str">
        <f aca="false">IF(ISBLANK($C450),"",$DF450)</f>
        <v/>
      </c>
      <c r="DS450" s="110" t="str">
        <f aca="false">IF($DJ450&gt;$DI$8,"",VLOOKUP($DJ450,$DL$9:$DR$508,7,FALSE()))</f>
        <v/>
      </c>
      <c r="DT450" s="111" t="str">
        <f aca="false">IF($DJ450&gt;$DI$8,"",VLOOKUP($DJ450,$DL$9:$DR$508,2,FALSE()))</f>
        <v/>
      </c>
      <c r="DU450" s="111" t="str">
        <f aca="false">IF($DJ450&gt;$DI$8,"",VLOOKUP($DJ450,$DL$9:$DR$508,3,FALSE()))</f>
        <v/>
      </c>
      <c r="DV450" s="111" t="str">
        <f aca="false">IF($DJ450&gt;$DI$8,"",VLOOKUP($DJ450,$DL$9:$DR$508,4,FALSE()))</f>
        <v/>
      </c>
      <c r="DW450" s="111" t="str">
        <f aca="false">IF($DJ450&gt;$DI$8,"",VLOOKUP($DJ450,$DL$9:$DR$508,5,FALSE()))</f>
        <v/>
      </c>
      <c r="DX450" s="112" t="str">
        <f aca="false">IF($DJ450&gt;$DI$8,"",VLOOKUP($DJ450,$DL$9:$DR$508,6,FALSE()))</f>
        <v/>
      </c>
      <c r="DY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130"/>
      <c r="N451" s="130"/>
      <c r="O451" s="135"/>
      <c r="P451" s="135"/>
      <c r="Q451" s="130"/>
      <c r="R451" s="130"/>
      <c r="S451" s="130"/>
      <c r="T451" s="130"/>
      <c r="U451" s="135"/>
      <c r="V451" s="130"/>
      <c r="W451" s="96"/>
      <c r="X451" s="130"/>
      <c r="Y451" s="130"/>
      <c r="Z451" s="96"/>
      <c r="AA451" s="96"/>
      <c r="AB451" s="130"/>
      <c r="AC451" s="130"/>
      <c r="AD451" s="130"/>
      <c r="AE451" s="97"/>
      <c r="AF451" s="130"/>
      <c r="AG451" s="99"/>
      <c r="AH451" s="100"/>
      <c r="AI451" s="100"/>
      <c r="AJ451" s="100" t="str">
        <f aca="false">IF(ISBLANK($C451),"",IF($E451=Constants!$B$2,TRUE(),IF($E451=Constants!$B$3,FALSE(),TRUE())))</f>
        <v/>
      </c>
      <c r="AK451" s="100" t="str">
        <f aca="false">IF(ISBLANK($C451),"",IF($F451=Constants!$B$2,TRUE(),IF($F451=Constants!$B$3,FALSE(),FALSE())))</f>
        <v/>
      </c>
      <c r="AL451" s="100" t="str">
        <f aca="false">IF(ISBLANK($C451),"",IF($G451=Constants!$B$2,TRUE(),IF($G451=Constants!$B$3,FALSE(),TRUE())))</f>
        <v/>
      </c>
      <c r="AM451" s="100" t="str">
        <f aca="false">IF(ISBLANK($C451),"",IF($H451=Constants!$B$2,TRUE(),IF($H451=Constants!$B$3,FALSE(),TRUE())))</f>
        <v/>
      </c>
      <c r="AN451" s="100" t="str">
        <f aca="false">IF(ISBLANK($C451),"",IF(ISNUMBER($I451),IF($I451&gt;=0,$I451,""),""))</f>
        <v/>
      </c>
      <c r="AO451" s="100" t="str">
        <f aca="false">IF(ISBLANK($C451),"",IF(ISNUMBER($J451),IF($J451&gt;=0,$J451,""),""))</f>
        <v/>
      </c>
      <c r="AP451" s="100" t="str">
        <f aca="false">IF(ISBLANK($C451),"",IF(ISNUMBER($K451),IF($K451&gt;=0,$K451,""),""))</f>
        <v/>
      </c>
      <c r="AQ451" s="100" t="str">
        <f aca="false">IF(ISBLANK($C451),"",IF($L451=Constants!$B$2,TRUE(),IF($L451=Constants!$B$3,FALSE(),TRUE())))</f>
        <v/>
      </c>
      <c r="AR451" s="100" t="str">
        <f aca="false">IF(ISBLANK($C451),"",IF($M451=Constants!$B$2,TRUE(),IF($M451=Constants!$B$3,FALSE(),TRUE())))</f>
        <v/>
      </c>
      <c r="AS451" s="100" t="str">
        <f aca="false">IF(ISBLANK($C451),"",IF($N451=Constants!$B$2,TRUE(),IF($N451=Constants!$B$3,FALSE(),FALSE())))</f>
        <v/>
      </c>
      <c r="AT451" s="100" t="str">
        <f aca="false">IF(ISBLANK($C451),"",IF($O451=Constants!$B$2,TRUE(),IF($O451=Constants!$B$3,FALSE(),TRUE())))</f>
        <v/>
      </c>
      <c r="AU451" s="100" t="str">
        <f aca="false">IF(ISBLANK($C451),"",IF($P451=Constants!$B$2,TRUE(),IF($P451=Constants!$B$3,FALSE(),TRUE())))</f>
        <v/>
      </c>
      <c r="AV451" s="100" t="str">
        <f aca="false">IF(ISBLANK($C451),"",IF($Q451=Constants!$B$2,TRUE(),IF($Q451=Constants!$B$3,FALSE(),FALSE())))</f>
        <v/>
      </c>
      <c r="AW451" s="100" t="str">
        <f aca="false">IF(ISBLANK($C451),"",IF($R451=Constants!$B$2,TRUE(),IF($R451=Constants!$B$3,FALSE(),FALSE())))</f>
        <v/>
      </c>
      <c r="AX451" s="100" t="str">
        <f aca="false">IF(ISBLANK($C451),"",IF($S451=Constants!$B$2,TRUE(),IF($S451=Constants!$B$3,FALSE(),FALSE())))</f>
        <v/>
      </c>
      <c r="AY451" s="100" t="str">
        <f aca="false">IF(ISBLANK($C451),"",IF($T451=Constants!$B$2,TRUE(),IF($T451=Constants!$B$3,FALSE(),FALSE())))</f>
        <v/>
      </c>
      <c r="AZ451" s="100" t="str">
        <f aca="false">IF(ISBLANK($C451),"",IF($U451=Constants!$B$2,TRUE(),IF($U451=Constants!$B$3,FALSE(),FALSE())))</f>
        <v/>
      </c>
      <c r="BA451" s="100" t="str">
        <f aca="false">IF(ISBLANK($C451),"",IF(OR($V451&amp;""="1",$V451&amp;""="2",$V451&amp;""="3",$V451&amp;""="4"),VALUE($V451&amp;""),IF($V451=Constants!$B$12,Constants!$B$12,"")))</f>
        <v/>
      </c>
      <c r="BB451" s="100" t="str">
        <f aca="false">IF(ISBLANK($C451),"",IF(ISBLANK($W451),0,IF(ISNUMBER($W451),IF(AND($W451&gt;=0,$W451&lt;=Constants!$B$21,$W451=INT($W451)),$W451,""),"")))</f>
        <v/>
      </c>
      <c r="BC451" s="100" t="str">
        <f aca="false">IF(ISBLANK($C451),"",IF(ISBLANK($X451),0,IF(ISNUMBER($X451),IF($X451&gt;=0,$X451,""),"")))</f>
        <v/>
      </c>
      <c r="BD451" s="100" t="str">
        <f aca="false">IF(ISBLANK($C451),"",IF($Y451=Constants!$B$2,TRUE(),IF($Y451=Constants!$B$3,FALSE(),TRUE())))</f>
        <v/>
      </c>
      <c r="BE451" s="100" t="str">
        <f aca="false">IF(ISBLANK($C451),"",IF($Z451=Constants!$B$2,TRUE(),IF($Z451=Constants!$B$3,FALSE(),FALSE())))</f>
        <v/>
      </c>
      <c r="BF451" s="100" t="str">
        <f aca="false">IF(ISBLANK($C451),"",IF(ISBLANK($AA451),0,IF(ISNUMBER($AA451),IF(AND($AA451&gt;=0,$AA451&lt;=Constants!$B$35,$AA451=INT($AA451)),$AA451,""),"")))</f>
        <v/>
      </c>
      <c r="BG451" s="100" t="str">
        <f aca="false">IF(ISBLANK($C451),"",IF($AB451=Constants!$B$2,TRUE(),IF($AB451=Constants!$B$3,FALSE(),TRUE())))</f>
        <v/>
      </c>
      <c r="BH451" s="100" t="str">
        <f aca="false">IF(ISBLANK($C451),"",IF($AC451=Constants!$B$2,TRUE(),IF($AC451=Constants!$B$3,FALSE(),TRUE())))</f>
        <v/>
      </c>
      <c r="BI451" s="100" t="str">
        <f aca="false">IF(ISBLANK($C451),"",IF($AD451=Constants!$B$2,TRUE(),IF($AD451=Constants!$B$3,FALSE(),TRUE())))</f>
        <v/>
      </c>
      <c r="BJ451" s="100" t="str">
        <f aca="false">IF(ISBLANK($C451),"",IF(ISNUMBER($AE451),IF($AE451&gt;=0,$AE451,""),""))</f>
        <v/>
      </c>
      <c r="BK451" s="100" t="str">
        <f aca="false">IF(ISBLANK($C451),"",IF($AF451=Constants!$B$2,TRUE(),IF($AF451=Constants!$B$3,FALSE(),FALSE())))</f>
        <v/>
      </c>
      <c r="BL451" s="99" t="str">
        <f aca="false">IF(ISBLANK($C451),"",IF($BK451,Constants!$B$7,IF(COUNTA($E451:$AE451)=0,Constants!$B$6,IF(OR(COUNTA($G451:$AE451)=0,NOT($AM451),$AS451),Constants!$B$5,IF(OR($CM451&lt;&gt;"",$CN451,$CO451,$CP451,$CQ451,$CR451,$CS451),Constants!$B$8,Constants!$B$4)))))</f>
        <v/>
      </c>
      <c r="BM451" s="100" t="str">
        <f aca="false">IF(ISBLANK($C451),"",IF($BL451&lt;&gt;Constants!$B$4,$BL451,IF(OR(NOT($AJ451),NOT($AL451),NOT($AT451)),Constants!$B$11,IF(OR(NOT($AR451),NOT($AU451),NOT($BI451),MAX($AN451,$AO451,$AP451)&gt;Constants!$B$30),Constants!$B$10,Constants!$B$9))))</f>
        <v/>
      </c>
      <c r="BN451" s="100" t="str">
        <f aca="false">IF($BL451&lt;&gt;Constants!$B$4,"",IF(NOT($AL451),0,MIN(Constants!$B$35,$BF451)))</f>
        <v/>
      </c>
      <c r="BO451" s="100" t="str">
        <f aca="false">IF($BL451&lt;&gt;Constants!$B$4,"",IF(NOT($AL451),0,IF($AW451,Constants!$B$18,IF($AV451,Constants!$B$17,0))))</f>
        <v/>
      </c>
      <c r="BP451" s="100" t="str">
        <f aca="false">IF($BL451&lt;&gt;Constants!$B$4,"",IF(NOT($AL451),0,Constants!$B$19*($AK451+$AX451+$AY451+$AZ451)))</f>
        <v/>
      </c>
      <c r="BQ451" s="100" t="str">
        <f aca="false">IF($BL451&lt;&gt;Constants!$B$4,"",IF(OR(NOT($AL451),NOT(ISNUMBER($BA451))),0,CHOOSE($BA451,Constants!$B$13,Constants!$B$14,Constants!$B$15,Constants!$B$16)))</f>
        <v/>
      </c>
      <c r="BR451" s="100" t="str">
        <f aca="false">IF($BL451&lt;&gt;Constants!$B$4,"",IF(NOT($AL451),0,Constants!$B$20*$BB451))</f>
        <v/>
      </c>
      <c r="BS451" s="100" t="str">
        <f aca="false">IF($BL451&lt;&gt;Constants!$B$4,"",IF(AND($AL451,$BD451,$BE451),Constants!$B$22,0))</f>
        <v/>
      </c>
      <c r="BT451" s="100" t="str">
        <f aca="false">IF($BL451&lt;&gt;Constants!$B$4,"",IF(OR(NOT($AL451),NOT($BD451)),0,IF($BJ451&gt;=2*$AH$9,0,Constants!$B$23*INT(ROUND(MIN($BJ451,$AH$9),6)))))</f>
        <v/>
      </c>
      <c r="BU451" s="100" t="str">
        <f aca="false">IF($BL451&lt;&gt;Constants!$B$4,"",IF(NOT($AL451),0,Constants!$B$24*INT(ROUND(MIN($BC451,$AH$9),6))))</f>
        <v/>
      </c>
      <c r="BV451" s="100" t="str">
        <f aca="false">IF($BL451&lt;&gt;Constants!$B$4,"",IF(AND($AL451,$BN451=0),Constants!$B$25,0))</f>
        <v/>
      </c>
      <c r="BW451" s="100" t="str">
        <f aca="false">IF($BL451&lt;&gt;Constants!$B$4,"",MIN(Constants!$B$29,MAX(0,Constants!$B$27*Constants!$B$28*INT(ROUND((Constants!$B$26-$AN451)/Constants!$B$28,6))))+MIN(Constants!$B$29,MAX(0,Constants!$B$27*Constants!$B$28*INT(ROUND((Constants!$B$26-$AO451)/Constants!$B$28,6))))+MIN(Constants!$B$29,MAX(0,Constants!$B$27*Constants!$B$28*INT(ROUND((Constants!$B$26-$AP451)/Constants!$B$28,6)))))</f>
        <v/>
      </c>
      <c r="BX451" s="100" t="str">
        <f aca="false">IF($BL451&lt;&gt;Constants!$B$4,"",IF(NOT($AL451),0,Constants!$B$31*INT(ROUND(MAX(0,MIN($BJ451,2*$AH$9)-$AH$9),6))))</f>
        <v/>
      </c>
      <c r="BY451" s="100" t="str">
        <f aca="false">IF($BL451&lt;&gt;Constants!$B$4,"",Constants!$B$32*(($AN451&gt;Constants!$B$26)+($AO451&gt;Constants!$B$26)+($AP451&gt;Constants!$B$26)))</f>
        <v/>
      </c>
      <c r="BZ451" s="100" t="str">
        <f aca="false">IF($BL451&lt;&gt;Constants!$B$4,"",IF(OR(NOT($AL451),$AQ451),0,Constants!$B$33))</f>
        <v/>
      </c>
      <c r="CA451" s="100" t="str">
        <f aca="false">IF($BL451&lt;&gt;Constants!$B$4,"",Constants!$B$34*$BN451)</f>
        <v/>
      </c>
      <c r="CB451" s="100" t="str">
        <f aca="false">IF($BL451&lt;&gt;Constants!$B$4,"",IF(OR(NOT($AL451),$BH451),0,Constants!$B$36))</f>
        <v/>
      </c>
      <c r="CC451" s="100" t="str">
        <f aca="false">IF($BL451&lt;&gt;Constants!$B$4,"",IF(OR(NOT($AL451),$BG451),0,Constants!$B$37))</f>
        <v/>
      </c>
      <c r="CD451" s="100" t="str">
        <f aca="false">IF($BL451&lt;&gt;Constants!$B$4,"",SUM($BX451:$CC451))</f>
        <v/>
      </c>
      <c r="CE451" s="100" t="str">
        <f aca="false">IF(ISBLANK($C451),"",IF($BL451&lt;&gt;Constants!$B$4,$BL451,SUM($BO451:$BW451)-$CD451))</f>
        <v/>
      </c>
      <c r="CF451" s="100" t="str">
        <f aca="false">IF(ISBLANK($C451),"",IF($BL451&lt;&gt;Constants!$B$4,$BL451,RANK($CE451,$CE$9:$CE$508)))</f>
        <v/>
      </c>
      <c r="CG451" s="100" t="str">
        <f aca="false">IF(ISBLANK($C451),"",IF($BL451&lt;&gt;Constants!$B$4,$BL451,COUNTIFS($BM$9:$BM$508,"&lt;"&amp;$BM451)+COUNTIFS($BM$9:$BM$508,$BM451,$CF$9:$CF$508,"&lt;"&amp;$CF451)+1))</f>
        <v/>
      </c>
      <c r="CH451" s="100" t="str">
        <f aca="false">IF(ISBLANK($C451),"",IF($BL451&lt;&gt;Constants!$B$4,$BL451,RANK($CD451,$CD$9:$CD$508,1)))</f>
        <v/>
      </c>
      <c r="CI451" s="100" t="str">
        <f aca="false">IF($BL451&lt;&gt;Constants!$B$4,"",$AN451+$AO451+$AP451)</f>
        <v/>
      </c>
      <c r="CJ451" s="100" t="str">
        <f aca="false">IF(ISBLANK($C451),"",IF($BL451&lt;&gt;Constants!$B$4,$BL451,RANK($CI451,$CI$9:$CI$508,1)))</f>
        <v/>
      </c>
      <c r="CK451" s="100" t="str">
        <f aca="false">IF(ISBLANK($C451),"",IF($BL451&lt;&gt;Constants!$B$4,$BL451,COUNTIFS($BM$9:$BM$508,"&lt;"&amp;$BM451)+COUNTIFS($BM$9:$BM$508,$BM451,$CF$9:$CF$508,"&lt;"&amp;$CF451)+COUNTIFS($BM$9:$BM$508,$BM451,$CF$9:$CF$508,$CF451,$CH$9:$CH$508,"&lt;"&amp;$CH451)+COUNTIFS($BM$9:$BM$508,$BM451,$CF$9:$CF$508,$CF451,$CH$9:$CH$508,$CH451,$CJ$9:$CJ$508,"&lt;"&amp;$CJ451)+1))</f>
        <v/>
      </c>
      <c r="CL451" s="100" t="str">
        <f aca="false">IF(ISBLANK($C451),"",IF($BL451&lt;&gt;Constants!$B$4,$BL451,$CG451-$CK451))</f>
        <v/>
      </c>
      <c r="CM451" s="100" t="str">
        <f aca="false">IF(ISBLANK($C451),"",IF(NOT($AL451),"",IF(ISBLANK($D$7),$CM$5,IF(NOT(ISNUMBER($D$7)),$CM$6,""))))</f>
        <v/>
      </c>
      <c r="CN451" s="100" t="str">
        <f aca="false">IF(ISBLANK($C451),"",OR($AN451="",$AO451="",$AP451=""))</f>
        <v/>
      </c>
      <c r="CO451" s="100" t="str">
        <f aca="false">IF(ISBLANK($C451),"",AND($AL451,$BA451=""))</f>
        <v/>
      </c>
      <c r="CP451" s="100" t="str">
        <f aca="false">IF(ISBLANK($C451),"",AND($AL451,$BB451=""))</f>
        <v/>
      </c>
      <c r="CQ451" s="100" t="str">
        <f aca="false">IF(ISBLANK($C451),"",AND($AL451,$BC451=""))</f>
        <v/>
      </c>
      <c r="CR451" s="100" t="str">
        <f aca="false">IF(ISBLANK($C451),"",AND($AL451,$BF451=""))</f>
        <v/>
      </c>
      <c r="CS451" s="100" t="str">
        <f aca="false">IF(ISBLANK($C451),"",AND($AL451,$BJ451=""))</f>
        <v/>
      </c>
      <c r="CT451" s="101"/>
      <c r="CU451" s="102"/>
      <c r="CV451" s="103" t="str">
        <f aca="false">IF(ISBLANK($C451),"",IF($BL451=Constants!$B$8,$CM451,""))</f>
        <v/>
      </c>
      <c r="CW451" s="102" t="str">
        <f aca="false">IF(ISBLANK($C451),"",IF($BL451&lt;&gt;Constants!$B$4,"",$BO451+$BP451))</f>
        <v/>
      </c>
      <c r="CX451" s="104" t="str">
        <f aca="false">IF(ISBLANK($C451),"",IF($BL451&lt;&gt;Constants!$B$4,"",$BQ451+$BR451+$BS451))</f>
        <v/>
      </c>
      <c r="CY451" s="104" t="str">
        <f aca="false">IF(ISBLANK($C451),"",IF($BL451&lt;&gt;Constants!$B$4,"",$BT451))</f>
        <v/>
      </c>
      <c r="CZ451" s="104" t="str">
        <f aca="false">IF(ISBLANK($C451),"",IF($BL451&lt;&gt;Constants!$B$4,"",$BU451+$BV451))</f>
        <v/>
      </c>
      <c r="DA451" s="104" t="str">
        <f aca="false">IF(ISBLANK($C451),"",IF($BL451&lt;&gt;Constants!$B$4,"",$BW451))</f>
        <v/>
      </c>
      <c r="DB451" s="104" t="str">
        <f aca="false">IF(ISBLANK($C451),"",IF($BL451&lt;&gt;Constants!$B$4,"",-$CD451))</f>
        <v/>
      </c>
      <c r="DC451" s="103" t="str">
        <f aca="false">IF(ISBLANK($C451),"",$CE451)</f>
        <v/>
      </c>
      <c r="DD451" s="105" t="str">
        <f aca="false">IF(ISBLANK($C451),"",$BM451)</f>
        <v/>
      </c>
      <c r="DE451" s="104" t="str">
        <f aca="false">IF(ISBLANK($C451),"",$CL451)</f>
        <v/>
      </c>
      <c r="DF451" s="104" t="str">
        <f aca="false">IF(ISBLANK($C451),"",$CK451)</f>
        <v/>
      </c>
      <c r="DG451" s="106" t="str">
        <f aca="false">IF(ISBLANK($C451),"",IF($DF451=Constants!$B$7,COUNTA($C$9:$C$508)+2,IF($DF451=Constants!$B$6,COUNTA($C$9:$C$508)+1,IF($DF451=Constants!$B$5,COUNTA($C$9:$C$508),$DF451))))</f>
        <v/>
      </c>
      <c r="DH451" s="7"/>
      <c r="DI451" s="107" t="n">
        <f aca="false">IF(OR(ISNUMBER($DF451),$DF451=Constants!$B$7,$DF451=Constants!$B$5,$DF451=Constants!$B$6),1,0)</f>
        <v>0</v>
      </c>
      <c r="DJ451" s="107" t="n">
        <v>443</v>
      </c>
      <c r="DK451" s="107" t="str">
        <f aca="false">IF(ISBLANK($C451),"",IF(ISNUMBER($DG451),$DG451+ROW($B451)/1000,""))</f>
        <v/>
      </c>
      <c r="DL451" s="107" t="str">
        <f aca="false">IF(ISNUMBER($DK451),RANK($DK451,$DK$9:$DK$508,1),"")</f>
        <v/>
      </c>
      <c r="DM451" s="107" t="str">
        <f aca="false">IF(ISBLANK($C451),"",$B451)</f>
        <v/>
      </c>
      <c r="DN451" s="107" t="str">
        <f aca="false">IF(ISBLANK($C451),"",$C451)</f>
        <v/>
      </c>
      <c r="DO451" s="107" t="str">
        <f aca="false">IF(ISBLANK($C451),"",$D451)</f>
        <v/>
      </c>
      <c r="DP451" s="108" t="str">
        <f aca="false">$DD451</f>
        <v/>
      </c>
      <c r="DQ451" s="109" t="str">
        <f aca="false">$DC451</f>
        <v/>
      </c>
      <c r="DR451" s="107" t="str">
        <f aca="false">IF(ISBLANK($C451),"",$DF451)</f>
        <v/>
      </c>
      <c r="DS451" s="110" t="str">
        <f aca="false">IF($DJ451&gt;$DI$8,"",VLOOKUP($DJ451,$DL$9:$DR$508,7,FALSE()))</f>
        <v/>
      </c>
      <c r="DT451" s="111" t="str">
        <f aca="false">IF($DJ451&gt;$DI$8,"",VLOOKUP($DJ451,$DL$9:$DR$508,2,FALSE()))</f>
        <v/>
      </c>
      <c r="DU451" s="111" t="str">
        <f aca="false">IF($DJ451&gt;$DI$8,"",VLOOKUP($DJ451,$DL$9:$DR$508,3,FALSE()))</f>
        <v/>
      </c>
      <c r="DV451" s="111" t="str">
        <f aca="false">IF($DJ451&gt;$DI$8,"",VLOOKUP($DJ451,$DL$9:$DR$508,4,FALSE()))</f>
        <v/>
      </c>
      <c r="DW451" s="111" t="str">
        <f aca="false">IF($DJ451&gt;$DI$8,"",VLOOKUP($DJ451,$DL$9:$DR$508,5,FALSE()))</f>
        <v/>
      </c>
      <c r="DX451" s="112" t="str">
        <f aca="false">IF($DJ451&gt;$DI$8,"",VLOOKUP($DJ451,$DL$9:$DR$508,6,FALSE()))</f>
        <v/>
      </c>
      <c r="DY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130"/>
      <c r="N452" s="130"/>
      <c r="O452" s="135"/>
      <c r="P452" s="135"/>
      <c r="Q452" s="130"/>
      <c r="R452" s="130"/>
      <c r="S452" s="130"/>
      <c r="T452" s="130"/>
      <c r="U452" s="135"/>
      <c r="V452" s="130"/>
      <c r="W452" s="96"/>
      <c r="X452" s="130"/>
      <c r="Y452" s="130"/>
      <c r="Z452" s="96"/>
      <c r="AA452" s="96"/>
      <c r="AB452" s="130"/>
      <c r="AC452" s="130"/>
      <c r="AD452" s="130"/>
      <c r="AE452" s="97"/>
      <c r="AF452" s="130"/>
      <c r="AG452" s="99"/>
      <c r="AH452" s="100"/>
      <c r="AI452" s="100"/>
      <c r="AJ452" s="100" t="str">
        <f aca="false">IF(ISBLANK($C452),"",IF($E452=Constants!$B$2,TRUE(),IF($E452=Constants!$B$3,FALSE(),TRUE())))</f>
        <v/>
      </c>
      <c r="AK452" s="100" t="str">
        <f aca="false">IF(ISBLANK($C452),"",IF($F452=Constants!$B$2,TRUE(),IF($F452=Constants!$B$3,FALSE(),FALSE())))</f>
        <v/>
      </c>
      <c r="AL452" s="100" t="str">
        <f aca="false">IF(ISBLANK($C452),"",IF($G452=Constants!$B$2,TRUE(),IF($G452=Constants!$B$3,FALSE(),TRUE())))</f>
        <v/>
      </c>
      <c r="AM452" s="100" t="str">
        <f aca="false">IF(ISBLANK($C452),"",IF($H452=Constants!$B$2,TRUE(),IF($H452=Constants!$B$3,FALSE(),TRUE())))</f>
        <v/>
      </c>
      <c r="AN452" s="100" t="str">
        <f aca="false">IF(ISBLANK($C452),"",IF(ISNUMBER($I452),IF($I452&gt;=0,$I452,""),""))</f>
        <v/>
      </c>
      <c r="AO452" s="100" t="str">
        <f aca="false">IF(ISBLANK($C452),"",IF(ISNUMBER($J452),IF($J452&gt;=0,$J452,""),""))</f>
        <v/>
      </c>
      <c r="AP452" s="100" t="str">
        <f aca="false">IF(ISBLANK($C452),"",IF(ISNUMBER($K452),IF($K452&gt;=0,$K452,""),""))</f>
        <v/>
      </c>
      <c r="AQ452" s="100" t="str">
        <f aca="false">IF(ISBLANK($C452),"",IF($L452=Constants!$B$2,TRUE(),IF($L452=Constants!$B$3,FALSE(),TRUE())))</f>
        <v/>
      </c>
      <c r="AR452" s="100" t="str">
        <f aca="false">IF(ISBLANK($C452),"",IF($M452=Constants!$B$2,TRUE(),IF($M452=Constants!$B$3,FALSE(),TRUE())))</f>
        <v/>
      </c>
      <c r="AS452" s="100" t="str">
        <f aca="false">IF(ISBLANK($C452),"",IF($N452=Constants!$B$2,TRUE(),IF($N452=Constants!$B$3,FALSE(),FALSE())))</f>
        <v/>
      </c>
      <c r="AT452" s="100" t="str">
        <f aca="false">IF(ISBLANK($C452),"",IF($O452=Constants!$B$2,TRUE(),IF($O452=Constants!$B$3,FALSE(),TRUE())))</f>
        <v/>
      </c>
      <c r="AU452" s="100" t="str">
        <f aca="false">IF(ISBLANK($C452),"",IF($P452=Constants!$B$2,TRUE(),IF($P452=Constants!$B$3,FALSE(),TRUE())))</f>
        <v/>
      </c>
      <c r="AV452" s="100" t="str">
        <f aca="false">IF(ISBLANK($C452),"",IF($Q452=Constants!$B$2,TRUE(),IF($Q452=Constants!$B$3,FALSE(),FALSE())))</f>
        <v/>
      </c>
      <c r="AW452" s="100" t="str">
        <f aca="false">IF(ISBLANK($C452),"",IF($R452=Constants!$B$2,TRUE(),IF($R452=Constants!$B$3,FALSE(),FALSE())))</f>
        <v/>
      </c>
      <c r="AX452" s="100" t="str">
        <f aca="false">IF(ISBLANK($C452),"",IF($S452=Constants!$B$2,TRUE(),IF($S452=Constants!$B$3,FALSE(),FALSE())))</f>
        <v/>
      </c>
      <c r="AY452" s="100" t="str">
        <f aca="false">IF(ISBLANK($C452),"",IF($T452=Constants!$B$2,TRUE(),IF($T452=Constants!$B$3,FALSE(),FALSE())))</f>
        <v/>
      </c>
      <c r="AZ452" s="100" t="str">
        <f aca="false">IF(ISBLANK($C452),"",IF($U452=Constants!$B$2,TRUE(),IF($U452=Constants!$B$3,FALSE(),FALSE())))</f>
        <v/>
      </c>
      <c r="BA452" s="100" t="str">
        <f aca="false">IF(ISBLANK($C452),"",IF(OR($V452&amp;""="1",$V452&amp;""="2",$V452&amp;""="3",$V452&amp;""="4"),VALUE($V452&amp;""),IF($V452=Constants!$B$12,Constants!$B$12,"")))</f>
        <v/>
      </c>
      <c r="BB452" s="100" t="str">
        <f aca="false">IF(ISBLANK($C452),"",IF(ISBLANK($W452),0,IF(ISNUMBER($W452),IF(AND($W452&gt;=0,$W452&lt;=Constants!$B$21,$W452=INT($W452)),$W452,""),"")))</f>
        <v/>
      </c>
      <c r="BC452" s="100" t="str">
        <f aca="false">IF(ISBLANK($C452),"",IF(ISBLANK($X452),0,IF(ISNUMBER($X452),IF($X452&gt;=0,$X452,""),"")))</f>
        <v/>
      </c>
      <c r="BD452" s="100" t="str">
        <f aca="false">IF(ISBLANK($C452),"",IF($Y452=Constants!$B$2,TRUE(),IF($Y452=Constants!$B$3,FALSE(),TRUE())))</f>
        <v/>
      </c>
      <c r="BE452" s="100" t="str">
        <f aca="false">IF(ISBLANK($C452),"",IF($Z452=Constants!$B$2,TRUE(),IF($Z452=Constants!$B$3,FALSE(),FALSE())))</f>
        <v/>
      </c>
      <c r="BF452" s="100" t="str">
        <f aca="false">IF(ISBLANK($C452),"",IF(ISBLANK($AA452),0,IF(ISNUMBER($AA452),IF(AND($AA452&gt;=0,$AA452&lt;=Constants!$B$35,$AA452=INT($AA452)),$AA452,""),"")))</f>
        <v/>
      </c>
      <c r="BG452" s="100" t="str">
        <f aca="false">IF(ISBLANK($C452),"",IF($AB452=Constants!$B$2,TRUE(),IF($AB452=Constants!$B$3,FALSE(),TRUE())))</f>
        <v/>
      </c>
      <c r="BH452" s="100" t="str">
        <f aca="false">IF(ISBLANK($C452),"",IF($AC452=Constants!$B$2,TRUE(),IF($AC452=Constants!$B$3,FALSE(),TRUE())))</f>
        <v/>
      </c>
      <c r="BI452" s="100" t="str">
        <f aca="false">IF(ISBLANK($C452),"",IF($AD452=Constants!$B$2,TRUE(),IF($AD452=Constants!$B$3,FALSE(),TRUE())))</f>
        <v/>
      </c>
      <c r="BJ452" s="100" t="str">
        <f aca="false">IF(ISBLANK($C452),"",IF(ISNUMBER($AE452),IF($AE452&gt;=0,$AE452,""),""))</f>
        <v/>
      </c>
      <c r="BK452" s="100" t="str">
        <f aca="false">IF(ISBLANK($C452),"",IF($AF452=Constants!$B$2,TRUE(),IF($AF452=Constants!$B$3,FALSE(),FALSE())))</f>
        <v/>
      </c>
      <c r="BL452" s="99" t="str">
        <f aca="false">IF(ISBLANK($C452),"",IF($BK452,Constants!$B$7,IF(COUNTA($E452:$AE452)=0,Constants!$B$6,IF(OR(COUNTA($G452:$AE452)=0,NOT($AM452),$AS452),Constants!$B$5,IF(OR($CM452&lt;&gt;"",$CN452,$CO452,$CP452,$CQ452,$CR452,$CS452),Constants!$B$8,Constants!$B$4)))))</f>
        <v/>
      </c>
      <c r="BM452" s="100" t="str">
        <f aca="false">IF(ISBLANK($C452),"",IF($BL452&lt;&gt;Constants!$B$4,$BL452,IF(OR(NOT($AJ452),NOT($AL452),NOT($AT452)),Constants!$B$11,IF(OR(NOT($AR452),NOT($AU452),NOT($BI452),MAX($AN452,$AO452,$AP452)&gt;Constants!$B$30),Constants!$B$10,Constants!$B$9))))</f>
        <v/>
      </c>
      <c r="BN452" s="100" t="str">
        <f aca="false">IF($BL452&lt;&gt;Constants!$B$4,"",IF(NOT($AL452),0,MIN(Constants!$B$35,$BF452)))</f>
        <v/>
      </c>
      <c r="BO452" s="100" t="str">
        <f aca="false">IF($BL452&lt;&gt;Constants!$B$4,"",IF(NOT($AL452),0,IF($AW452,Constants!$B$18,IF($AV452,Constants!$B$17,0))))</f>
        <v/>
      </c>
      <c r="BP452" s="100" t="str">
        <f aca="false">IF($BL452&lt;&gt;Constants!$B$4,"",IF(NOT($AL452),0,Constants!$B$19*($AK452+$AX452+$AY452+$AZ452)))</f>
        <v/>
      </c>
      <c r="BQ452" s="100" t="str">
        <f aca="false">IF($BL452&lt;&gt;Constants!$B$4,"",IF(OR(NOT($AL452),NOT(ISNUMBER($BA452))),0,CHOOSE($BA452,Constants!$B$13,Constants!$B$14,Constants!$B$15,Constants!$B$16)))</f>
        <v/>
      </c>
      <c r="BR452" s="100" t="str">
        <f aca="false">IF($BL452&lt;&gt;Constants!$B$4,"",IF(NOT($AL452),0,Constants!$B$20*$BB452))</f>
        <v/>
      </c>
      <c r="BS452" s="100" t="str">
        <f aca="false">IF($BL452&lt;&gt;Constants!$B$4,"",IF(AND($AL452,$BD452,$BE452),Constants!$B$22,0))</f>
        <v/>
      </c>
      <c r="BT452" s="100" t="str">
        <f aca="false">IF($BL452&lt;&gt;Constants!$B$4,"",IF(OR(NOT($AL452),NOT($BD452)),0,IF($BJ452&gt;=2*$AH$9,0,Constants!$B$23*INT(ROUND(MIN($BJ452,$AH$9),6)))))</f>
        <v/>
      </c>
      <c r="BU452" s="100" t="str">
        <f aca="false">IF($BL452&lt;&gt;Constants!$B$4,"",IF(NOT($AL452),0,Constants!$B$24*INT(ROUND(MIN($BC452,$AH$9),6))))</f>
        <v/>
      </c>
      <c r="BV452" s="100" t="str">
        <f aca="false">IF($BL452&lt;&gt;Constants!$B$4,"",IF(AND($AL452,$BN452=0),Constants!$B$25,0))</f>
        <v/>
      </c>
      <c r="BW452" s="100" t="str">
        <f aca="false">IF($BL452&lt;&gt;Constants!$B$4,"",MIN(Constants!$B$29,MAX(0,Constants!$B$27*Constants!$B$28*INT(ROUND((Constants!$B$26-$AN452)/Constants!$B$28,6))))+MIN(Constants!$B$29,MAX(0,Constants!$B$27*Constants!$B$28*INT(ROUND((Constants!$B$26-$AO452)/Constants!$B$28,6))))+MIN(Constants!$B$29,MAX(0,Constants!$B$27*Constants!$B$28*INT(ROUND((Constants!$B$26-$AP452)/Constants!$B$28,6)))))</f>
        <v/>
      </c>
      <c r="BX452" s="100" t="str">
        <f aca="false">IF($BL452&lt;&gt;Constants!$B$4,"",IF(NOT($AL452),0,Constants!$B$31*INT(ROUND(MAX(0,MIN($BJ452,2*$AH$9)-$AH$9),6))))</f>
        <v/>
      </c>
      <c r="BY452" s="100" t="str">
        <f aca="false">IF($BL452&lt;&gt;Constants!$B$4,"",Constants!$B$32*(($AN452&gt;Constants!$B$26)+($AO452&gt;Constants!$B$26)+($AP452&gt;Constants!$B$26)))</f>
        <v/>
      </c>
      <c r="BZ452" s="100" t="str">
        <f aca="false">IF($BL452&lt;&gt;Constants!$B$4,"",IF(OR(NOT($AL452),$AQ452),0,Constants!$B$33))</f>
        <v/>
      </c>
      <c r="CA452" s="100" t="str">
        <f aca="false">IF($BL452&lt;&gt;Constants!$B$4,"",Constants!$B$34*$BN452)</f>
        <v/>
      </c>
      <c r="CB452" s="100" t="str">
        <f aca="false">IF($BL452&lt;&gt;Constants!$B$4,"",IF(OR(NOT($AL452),$BH452),0,Constants!$B$36))</f>
        <v/>
      </c>
      <c r="CC452" s="100" t="str">
        <f aca="false">IF($BL452&lt;&gt;Constants!$B$4,"",IF(OR(NOT($AL452),$BG452),0,Constants!$B$37))</f>
        <v/>
      </c>
      <c r="CD452" s="100" t="str">
        <f aca="false">IF($BL452&lt;&gt;Constants!$B$4,"",SUM($BX452:$CC452))</f>
        <v/>
      </c>
      <c r="CE452" s="100" t="str">
        <f aca="false">IF(ISBLANK($C452),"",IF($BL452&lt;&gt;Constants!$B$4,$BL452,SUM($BO452:$BW452)-$CD452))</f>
        <v/>
      </c>
      <c r="CF452" s="100" t="str">
        <f aca="false">IF(ISBLANK($C452),"",IF($BL452&lt;&gt;Constants!$B$4,$BL452,RANK($CE452,$CE$9:$CE$508)))</f>
        <v/>
      </c>
      <c r="CG452" s="100" t="str">
        <f aca="false">IF(ISBLANK($C452),"",IF($BL452&lt;&gt;Constants!$B$4,$BL452,COUNTIFS($BM$9:$BM$508,"&lt;"&amp;$BM452)+COUNTIFS($BM$9:$BM$508,$BM452,$CF$9:$CF$508,"&lt;"&amp;$CF452)+1))</f>
        <v/>
      </c>
      <c r="CH452" s="100" t="str">
        <f aca="false">IF(ISBLANK($C452),"",IF($BL452&lt;&gt;Constants!$B$4,$BL452,RANK($CD452,$CD$9:$CD$508,1)))</f>
        <v/>
      </c>
      <c r="CI452" s="100" t="str">
        <f aca="false">IF($BL452&lt;&gt;Constants!$B$4,"",$AN452+$AO452+$AP452)</f>
        <v/>
      </c>
      <c r="CJ452" s="100" t="str">
        <f aca="false">IF(ISBLANK($C452),"",IF($BL452&lt;&gt;Constants!$B$4,$BL452,RANK($CI452,$CI$9:$CI$508,1)))</f>
        <v/>
      </c>
      <c r="CK452" s="100" t="str">
        <f aca="false">IF(ISBLANK($C452),"",IF($BL452&lt;&gt;Constants!$B$4,$BL452,COUNTIFS($BM$9:$BM$508,"&lt;"&amp;$BM452)+COUNTIFS($BM$9:$BM$508,$BM452,$CF$9:$CF$508,"&lt;"&amp;$CF452)+COUNTIFS($BM$9:$BM$508,$BM452,$CF$9:$CF$508,$CF452,$CH$9:$CH$508,"&lt;"&amp;$CH452)+COUNTIFS($BM$9:$BM$508,$BM452,$CF$9:$CF$508,$CF452,$CH$9:$CH$508,$CH452,$CJ$9:$CJ$508,"&lt;"&amp;$CJ452)+1))</f>
        <v/>
      </c>
      <c r="CL452" s="100" t="str">
        <f aca="false">IF(ISBLANK($C452),"",IF($BL452&lt;&gt;Constants!$B$4,$BL452,$CG452-$CK452))</f>
        <v/>
      </c>
      <c r="CM452" s="100" t="str">
        <f aca="false">IF(ISBLANK($C452),"",IF(NOT($AL452),"",IF(ISBLANK($D$7),$CM$5,IF(NOT(ISNUMBER($D$7)),$CM$6,""))))</f>
        <v/>
      </c>
      <c r="CN452" s="100" t="str">
        <f aca="false">IF(ISBLANK($C452),"",OR($AN452="",$AO452="",$AP452=""))</f>
        <v/>
      </c>
      <c r="CO452" s="100" t="str">
        <f aca="false">IF(ISBLANK($C452),"",AND($AL452,$BA452=""))</f>
        <v/>
      </c>
      <c r="CP452" s="100" t="str">
        <f aca="false">IF(ISBLANK($C452),"",AND($AL452,$BB452=""))</f>
        <v/>
      </c>
      <c r="CQ452" s="100" t="str">
        <f aca="false">IF(ISBLANK($C452),"",AND($AL452,$BC452=""))</f>
        <v/>
      </c>
      <c r="CR452" s="100" t="str">
        <f aca="false">IF(ISBLANK($C452),"",AND($AL452,$BF452=""))</f>
        <v/>
      </c>
      <c r="CS452" s="100" t="str">
        <f aca="false">IF(ISBLANK($C452),"",AND($AL452,$BJ452=""))</f>
        <v/>
      </c>
      <c r="CT452" s="101"/>
      <c r="CU452" s="102"/>
      <c r="CV452" s="103" t="str">
        <f aca="false">IF(ISBLANK($C452),"",IF($BL452=Constants!$B$8,$CM452,""))</f>
        <v/>
      </c>
      <c r="CW452" s="102" t="str">
        <f aca="false">IF(ISBLANK($C452),"",IF($BL452&lt;&gt;Constants!$B$4,"",$BO452+$BP452))</f>
        <v/>
      </c>
      <c r="CX452" s="104" t="str">
        <f aca="false">IF(ISBLANK($C452),"",IF($BL452&lt;&gt;Constants!$B$4,"",$BQ452+$BR452+$BS452))</f>
        <v/>
      </c>
      <c r="CY452" s="104" t="str">
        <f aca="false">IF(ISBLANK($C452),"",IF($BL452&lt;&gt;Constants!$B$4,"",$BT452))</f>
        <v/>
      </c>
      <c r="CZ452" s="104" t="str">
        <f aca="false">IF(ISBLANK($C452),"",IF($BL452&lt;&gt;Constants!$B$4,"",$BU452+$BV452))</f>
        <v/>
      </c>
      <c r="DA452" s="104" t="str">
        <f aca="false">IF(ISBLANK($C452),"",IF($BL452&lt;&gt;Constants!$B$4,"",$BW452))</f>
        <v/>
      </c>
      <c r="DB452" s="104" t="str">
        <f aca="false">IF(ISBLANK($C452),"",IF($BL452&lt;&gt;Constants!$B$4,"",-$CD452))</f>
        <v/>
      </c>
      <c r="DC452" s="103" t="str">
        <f aca="false">IF(ISBLANK($C452),"",$CE452)</f>
        <v/>
      </c>
      <c r="DD452" s="105" t="str">
        <f aca="false">IF(ISBLANK($C452),"",$BM452)</f>
        <v/>
      </c>
      <c r="DE452" s="104" t="str">
        <f aca="false">IF(ISBLANK($C452),"",$CL452)</f>
        <v/>
      </c>
      <c r="DF452" s="104" t="str">
        <f aca="false">IF(ISBLANK($C452),"",$CK452)</f>
        <v/>
      </c>
      <c r="DG452" s="106" t="str">
        <f aca="false">IF(ISBLANK($C452),"",IF($DF452=Constants!$B$7,COUNTA($C$9:$C$508)+2,IF($DF452=Constants!$B$6,COUNTA($C$9:$C$508)+1,IF($DF452=Constants!$B$5,COUNTA($C$9:$C$508),$DF452))))</f>
        <v/>
      </c>
      <c r="DH452" s="7"/>
      <c r="DI452" s="107" t="n">
        <f aca="false">IF(OR(ISNUMBER($DF452),$DF452=Constants!$B$7,$DF452=Constants!$B$5,$DF452=Constants!$B$6),1,0)</f>
        <v>0</v>
      </c>
      <c r="DJ452" s="107" t="n">
        <v>444</v>
      </c>
      <c r="DK452" s="107" t="str">
        <f aca="false">IF(ISBLANK($C452),"",IF(ISNUMBER($DG452),$DG452+ROW($B452)/1000,""))</f>
        <v/>
      </c>
      <c r="DL452" s="107" t="str">
        <f aca="false">IF(ISNUMBER($DK452),RANK($DK452,$DK$9:$DK$508,1),"")</f>
        <v/>
      </c>
      <c r="DM452" s="107" t="str">
        <f aca="false">IF(ISBLANK($C452),"",$B452)</f>
        <v/>
      </c>
      <c r="DN452" s="107" t="str">
        <f aca="false">IF(ISBLANK($C452),"",$C452)</f>
        <v/>
      </c>
      <c r="DO452" s="107" t="str">
        <f aca="false">IF(ISBLANK($C452),"",$D452)</f>
        <v/>
      </c>
      <c r="DP452" s="108" t="str">
        <f aca="false">$DD452</f>
        <v/>
      </c>
      <c r="DQ452" s="109" t="str">
        <f aca="false">$DC452</f>
        <v/>
      </c>
      <c r="DR452" s="107" t="str">
        <f aca="false">IF(ISBLANK($C452),"",$DF452)</f>
        <v/>
      </c>
      <c r="DS452" s="110" t="str">
        <f aca="false">IF($DJ452&gt;$DI$8,"",VLOOKUP($DJ452,$DL$9:$DR$508,7,FALSE()))</f>
        <v/>
      </c>
      <c r="DT452" s="111" t="str">
        <f aca="false">IF($DJ452&gt;$DI$8,"",VLOOKUP($DJ452,$DL$9:$DR$508,2,FALSE()))</f>
        <v/>
      </c>
      <c r="DU452" s="111" t="str">
        <f aca="false">IF($DJ452&gt;$DI$8,"",VLOOKUP($DJ452,$DL$9:$DR$508,3,FALSE()))</f>
        <v/>
      </c>
      <c r="DV452" s="111" t="str">
        <f aca="false">IF($DJ452&gt;$DI$8,"",VLOOKUP($DJ452,$DL$9:$DR$508,4,FALSE()))</f>
        <v/>
      </c>
      <c r="DW452" s="111" t="str">
        <f aca="false">IF($DJ452&gt;$DI$8,"",VLOOKUP($DJ452,$DL$9:$DR$508,5,FALSE()))</f>
        <v/>
      </c>
      <c r="DX452" s="112" t="str">
        <f aca="false">IF($DJ452&gt;$DI$8,"",VLOOKUP($DJ452,$DL$9:$DR$508,6,FALSE()))</f>
        <v/>
      </c>
      <c r="DY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88"/>
      <c r="N453" s="88"/>
      <c r="O453" s="134"/>
      <c r="P453" s="134"/>
      <c r="Q453" s="88"/>
      <c r="R453" s="88"/>
      <c r="S453" s="88"/>
      <c r="T453" s="88"/>
      <c r="U453" s="134"/>
      <c r="V453" s="88"/>
      <c r="W453" s="70"/>
      <c r="X453" s="88"/>
      <c r="Y453" s="88"/>
      <c r="Z453" s="70"/>
      <c r="AA453" s="70"/>
      <c r="AB453" s="88"/>
      <c r="AC453" s="88"/>
      <c r="AD453" s="88"/>
      <c r="AE453" s="71"/>
      <c r="AF453" s="88"/>
      <c r="AG453" s="73"/>
      <c r="AH453" s="74"/>
      <c r="AI453" s="74"/>
      <c r="AJ453" s="74" t="str">
        <f aca="false">IF(ISBLANK($C453),"",IF($E453=Constants!$B$2,TRUE(),IF($E453=Constants!$B$3,FALSE(),TRUE())))</f>
        <v/>
      </c>
      <c r="AK453" s="74" t="str">
        <f aca="false">IF(ISBLANK($C453),"",IF($F453=Constants!$B$2,TRUE(),IF($F453=Constants!$B$3,FALSE(),FALSE())))</f>
        <v/>
      </c>
      <c r="AL453" s="74" t="str">
        <f aca="false">IF(ISBLANK($C453),"",IF($G453=Constants!$B$2,TRUE(),IF($G453=Constants!$B$3,FALSE(),TRUE())))</f>
        <v/>
      </c>
      <c r="AM453" s="74" t="str">
        <f aca="false">IF(ISBLANK($C453),"",IF($H453=Constants!$B$2,TRUE(),IF($H453=Constants!$B$3,FALSE(),TRUE())))</f>
        <v/>
      </c>
      <c r="AN453" s="74" t="str">
        <f aca="false">IF(ISBLANK($C453),"",IF(ISNUMBER($I453),IF($I453&gt;=0,$I453,""),""))</f>
        <v/>
      </c>
      <c r="AO453" s="74" t="str">
        <f aca="false">IF(ISBLANK($C453),"",IF(ISNUMBER($J453),IF($J453&gt;=0,$J453,""),""))</f>
        <v/>
      </c>
      <c r="AP453" s="74" t="str">
        <f aca="false">IF(ISBLANK($C453),"",IF(ISNUMBER($K453),IF($K453&gt;=0,$K453,""),""))</f>
        <v/>
      </c>
      <c r="AQ453" s="74" t="str">
        <f aca="false">IF(ISBLANK($C453),"",IF($L453=Constants!$B$2,TRUE(),IF($L453=Constants!$B$3,FALSE(),TRUE())))</f>
        <v/>
      </c>
      <c r="AR453" s="74" t="str">
        <f aca="false">IF(ISBLANK($C453),"",IF($M453=Constants!$B$2,TRUE(),IF($M453=Constants!$B$3,FALSE(),TRUE())))</f>
        <v/>
      </c>
      <c r="AS453" s="74" t="str">
        <f aca="false">IF(ISBLANK($C453),"",IF($N453=Constants!$B$2,TRUE(),IF($N453=Constants!$B$3,FALSE(),FALSE())))</f>
        <v/>
      </c>
      <c r="AT453" s="74" t="str">
        <f aca="false">IF(ISBLANK($C453),"",IF($O453=Constants!$B$2,TRUE(),IF($O453=Constants!$B$3,FALSE(),TRUE())))</f>
        <v/>
      </c>
      <c r="AU453" s="74" t="str">
        <f aca="false">IF(ISBLANK($C453),"",IF($P453=Constants!$B$2,TRUE(),IF($P453=Constants!$B$3,FALSE(),TRUE())))</f>
        <v/>
      </c>
      <c r="AV453" s="74" t="str">
        <f aca="false">IF(ISBLANK($C453),"",IF($Q453=Constants!$B$2,TRUE(),IF($Q453=Constants!$B$3,FALSE(),FALSE())))</f>
        <v/>
      </c>
      <c r="AW453" s="74" t="str">
        <f aca="false">IF(ISBLANK($C453),"",IF($R453=Constants!$B$2,TRUE(),IF($R453=Constants!$B$3,FALSE(),FALSE())))</f>
        <v/>
      </c>
      <c r="AX453" s="74" t="str">
        <f aca="false">IF(ISBLANK($C453),"",IF($S453=Constants!$B$2,TRUE(),IF($S453=Constants!$B$3,FALSE(),FALSE())))</f>
        <v/>
      </c>
      <c r="AY453" s="74" t="str">
        <f aca="false">IF(ISBLANK($C453),"",IF($T453=Constants!$B$2,TRUE(),IF($T453=Constants!$B$3,FALSE(),FALSE())))</f>
        <v/>
      </c>
      <c r="AZ453" s="74" t="str">
        <f aca="false">IF(ISBLANK($C453),"",IF($U453=Constants!$B$2,TRUE(),IF($U453=Constants!$B$3,FALSE(),FALSE())))</f>
        <v/>
      </c>
      <c r="BA453" s="74" t="str">
        <f aca="false">IF(ISBLANK($C453),"",IF(OR($V453&amp;""="1",$V453&amp;""="2",$V453&amp;""="3",$V453&amp;""="4"),VALUE($V453&amp;""),IF($V453=Constants!$B$12,Constants!$B$12,"")))</f>
        <v/>
      </c>
      <c r="BB453" s="74" t="str">
        <f aca="false">IF(ISBLANK($C453),"",IF(ISBLANK($W453),0,IF(ISNUMBER($W453),IF(AND($W453&gt;=0,$W453&lt;=Constants!$B$21,$W453=INT($W453)),$W453,""),"")))</f>
        <v/>
      </c>
      <c r="BC453" s="74" t="str">
        <f aca="false">IF(ISBLANK($C453),"",IF(ISBLANK($X453),0,IF(ISNUMBER($X453),IF($X453&gt;=0,$X453,""),"")))</f>
        <v/>
      </c>
      <c r="BD453" s="74" t="str">
        <f aca="false">IF(ISBLANK($C453),"",IF($Y453=Constants!$B$2,TRUE(),IF($Y453=Constants!$B$3,FALSE(),TRUE())))</f>
        <v/>
      </c>
      <c r="BE453" s="74" t="str">
        <f aca="false">IF(ISBLANK($C453),"",IF($Z453=Constants!$B$2,TRUE(),IF($Z453=Constants!$B$3,FALSE(),FALSE())))</f>
        <v/>
      </c>
      <c r="BF453" s="74" t="str">
        <f aca="false">IF(ISBLANK($C453),"",IF(ISBLANK($AA453),0,IF(ISNUMBER($AA453),IF(AND($AA453&gt;=0,$AA453&lt;=Constants!$B$35,$AA453=INT($AA453)),$AA453,""),"")))</f>
        <v/>
      </c>
      <c r="BG453" s="74" t="str">
        <f aca="false">IF(ISBLANK($C453),"",IF($AB453=Constants!$B$2,TRUE(),IF($AB453=Constants!$B$3,FALSE(),TRUE())))</f>
        <v/>
      </c>
      <c r="BH453" s="74" t="str">
        <f aca="false">IF(ISBLANK($C453),"",IF($AC453=Constants!$B$2,TRUE(),IF($AC453=Constants!$B$3,FALSE(),TRUE())))</f>
        <v/>
      </c>
      <c r="BI453" s="74" t="str">
        <f aca="false">IF(ISBLANK($C453),"",IF($AD453=Constants!$B$2,TRUE(),IF($AD453=Constants!$B$3,FALSE(),TRUE())))</f>
        <v/>
      </c>
      <c r="BJ453" s="74" t="str">
        <f aca="false">IF(ISBLANK($C453),"",IF(ISNUMBER($AE453),IF($AE453&gt;=0,$AE453,""),""))</f>
        <v/>
      </c>
      <c r="BK453" s="74" t="str">
        <f aca="false">IF(ISBLANK($C453),"",IF($AF453=Constants!$B$2,TRUE(),IF($AF453=Constants!$B$3,FALSE(),FALSE())))</f>
        <v/>
      </c>
      <c r="BL453" s="73" t="str">
        <f aca="false">IF(ISBLANK($C453),"",IF($BK453,Constants!$B$7,IF(COUNTA($E453:$AE453)=0,Constants!$B$6,IF(OR(COUNTA($G453:$AE453)=0,NOT($AM453),$AS453),Constants!$B$5,IF(OR($CM453&lt;&gt;"",$CN453,$CO453,$CP453,$CQ453,$CR453,$CS453),Constants!$B$8,Constants!$B$4)))))</f>
        <v/>
      </c>
      <c r="BM453" s="74" t="str">
        <f aca="false">IF(ISBLANK($C453),"",IF($BL453&lt;&gt;Constants!$B$4,$BL453,IF(OR(NOT($AJ453),NOT($AL453),NOT($AT453)),Constants!$B$11,IF(OR(NOT($AR453),NOT($AU453),NOT($BI453),MAX($AN453,$AO453,$AP453)&gt;Constants!$B$30),Constants!$B$10,Constants!$B$9))))</f>
        <v/>
      </c>
      <c r="BN453" s="74" t="str">
        <f aca="false">IF($BL453&lt;&gt;Constants!$B$4,"",IF(NOT($AL453),0,MIN(Constants!$B$35,$BF453)))</f>
        <v/>
      </c>
      <c r="BO453" s="74" t="str">
        <f aca="false">IF($BL453&lt;&gt;Constants!$B$4,"",IF(NOT($AL453),0,IF($AW453,Constants!$B$18,IF($AV453,Constants!$B$17,0))))</f>
        <v/>
      </c>
      <c r="BP453" s="74" t="str">
        <f aca="false">IF($BL453&lt;&gt;Constants!$B$4,"",IF(NOT($AL453),0,Constants!$B$19*($AK453+$AX453+$AY453+$AZ453)))</f>
        <v/>
      </c>
      <c r="BQ453" s="74" t="str">
        <f aca="false">IF($BL453&lt;&gt;Constants!$B$4,"",IF(OR(NOT($AL453),NOT(ISNUMBER($BA453))),0,CHOOSE($BA453,Constants!$B$13,Constants!$B$14,Constants!$B$15,Constants!$B$16)))</f>
        <v/>
      </c>
      <c r="BR453" s="74" t="str">
        <f aca="false">IF($BL453&lt;&gt;Constants!$B$4,"",IF(NOT($AL453),0,Constants!$B$20*$BB453))</f>
        <v/>
      </c>
      <c r="BS453" s="74" t="str">
        <f aca="false">IF($BL453&lt;&gt;Constants!$B$4,"",IF(AND($AL453,$BD453,$BE453),Constants!$B$22,0))</f>
        <v/>
      </c>
      <c r="BT453" s="74" t="str">
        <f aca="false">IF($BL453&lt;&gt;Constants!$B$4,"",IF(OR(NOT($AL453),NOT($BD453)),0,IF($BJ453&gt;=2*$AH$9,0,Constants!$B$23*INT(ROUND(MIN($BJ453,$AH$9),6)))))</f>
        <v/>
      </c>
      <c r="BU453" s="74" t="str">
        <f aca="false">IF($BL453&lt;&gt;Constants!$B$4,"",IF(NOT($AL453),0,Constants!$B$24*INT(ROUND(MIN($BC453,$AH$9),6))))</f>
        <v/>
      </c>
      <c r="BV453" s="74" t="str">
        <f aca="false">IF($BL453&lt;&gt;Constants!$B$4,"",IF(AND($AL453,$BN453=0),Constants!$B$25,0))</f>
        <v/>
      </c>
      <c r="BW453" s="74" t="str">
        <f aca="false">IF($BL453&lt;&gt;Constants!$B$4,"",MIN(Constants!$B$29,MAX(0,Constants!$B$27*Constants!$B$28*INT(ROUND((Constants!$B$26-$AN453)/Constants!$B$28,6))))+MIN(Constants!$B$29,MAX(0,Constants!$B$27*Constants!$B$28*INT(ROUND((Constants!$B$26-$AO453)/Constants!$B$28,6))))+MIN(Constants!$B$29,MAX(0,Constants!$B$27*Constants!$B$28*INT(ROUND((Constants!$B$26-$AP453)/Constants!$B$28,6)))))</f>
        <v/>
      </c>
      <c r="BX453" s="74" t="str">
        <f aca="false">IF($BL453&lt;&gt;Constants!$B$4,"",IF(NOT($AL453),0,Constants!$B$31*INT(ROUND(MAX(0,MIN($BJ453,2*$AH$9)-$AH$9),6))))</f>
        <v/>
      </c>
      <c r="BY453" s="74" t="str">
        <f aca="false">IF($BL453&lt;&gt;Constants!$B$4,"",Constants!$B$32*(($AN453&gt;Constants!$B$26)+($AO453&gt;Constants!$B$26)+($AP453&gt;Constants!$B$26)))</f>
        <v/>
      </c>
      <c r="BZ453" s="74" t="str">
        <f aca="false">IF($BL453&lt;&gt;Constants!$B$4,"",IF(OR(NOT($AL453),$AQ453),0,Constants!$B$33))</f>
        <v/>
      </c>
      <c r="CA453" s="74" t="str">
        <f aca="false">IF($BL453&lt;&gt;Constants!$B$4,"",Constants!$B$34*$BN453)</f>
        <v/>
      </c>
      <c r="CB453" s="74" t="str">
        <f aca="false">IF($BL453&lt;&gt;Constants!$B$4,"",IF(OR(NOT($AL453),$BH453),0,Constants!$B$36))</f>
        <v/>
      </c>
      <c r="CC453" s="74" t="str">
        <f aca="false">IF($BL453&lt;&gt;Constants!$B$4,"",IF(OR(NOT($AL453),$BG453),0,Constants!$B$37))</f>
        <v/>
      </c>
      <c r="CD453" s="74" t="str">
        <f aca="false">IF($BL453&lt;&gt;Constants!$B$4,"",SUM($BX453:$CC453))</f>
        <v/>
      </c>
      <c r="CE453" s="74" t="str">
        <f aca="false">IF(ISBLANK($C453),"",IF($BL453&lt;&gt;Constants!$B$4,$BL453,SUM($BO453:$BW453)-$CD453))</f>
        <v/>
      </c>
      <c r="CF453" s="74" t="str">
        <f aca="false">IF(ISBLANK($C453),"",IF($BL453&lt;&gt;Constants!$B$4,$BL453,RANK($CE453,$CE$9:$CE$508)))</f>
        <v/>
      </c>
      <c r="CG453" s="74" t="str">
        <f aca="false">IF(ISBLANK($C453),"",IF($BL453&lt;&gt;Constants!$B$4,$BL453,COUNTIFS($BM$9:$BM$508,"&lt;"&amp;$BM453)+COUNTIFS($BM$9:$BM$508,$BM453,$CF$9:$CF$508,"&lt;"&amp;$CF453)+1))</f>
        <v/>
      </c>
      <c r="CH453" s="74" t="str">
        <f aca="false">IF(ISBLANK($C453),"",IF($BL453&lt;&gt;Constants!$B$4,$BL453,RANK($CD453,$CD$9:$CD$508,1)))</f>
        <v/>
      </c>
      <c r="CI453" s="74" t="str">
        <f aca="false">IF($BL453&lt;&gt;Constants!$B$4,"",$AN453+$AO453+$AP453)</f>
        <v/>
      </c>
      <c r="CJ453" s="74" t="str">
        <f aca="false">IF(ISBLANK($C453),"",IF($BL453&lt;&gt;Constants!$B$4,$BL453,RANK($CI453,$CI$9:$CI$508,1)))</f>
        <v/>
      </c>
      <c r="CK453" s="74" t="str">
        <f aca="false">IF(ISBLANK($C453),"",IF($BL453&lt;&gt;Constants!$B$4,$BL453,COUNTIFS($BM$9:$BM$508,"&lt;"&amp;$BM453)+COUNTIFS($BM$9:$BM$508,$BM453,$CF$9:$CF$508,"&lt;"&amp;$CF453)+COUNTIFS($BM$9:$BM$508,$BM453,$CF$9:$CF$508,$CF453,$CH$9:$CH$508,"&lt;"&amp;$CH453)+COUNTIFS($BM$9:$BM$508,$BM453,$CF$9:$CF$508,$CF453,$CH$9:$CH$508,$CH453,$CJ$9:$CJ$508,"&lt;"&amp;$CJ453)+1))</f>
        <v/>
      </c>
      <c r="CL453" s="74" t="str">
        <f aca="false">IF(ISBLANK($C453),"",IF($BL453&lt;&gt;Constants!$B$4,$BL453,$CG453-$CK453))</f>
        <v/>
      </c>
      <c r="CM453" s="74" t="str">
        <f aca="false">IF(ISBLANK($C453),"",IF(NOT($AL453),"",IF(ISBLANK($D$7),$CM$5,IF(NOT(ISNUMBER($D$7)),$CM$6,""))))</f>
        <v/>
      </c>
      <c r="CN453" s="74" t="str">
        <f aca="false">IF(ISBLANK($C453),"",OR($AN453="",$AO453="",$AP453=""))</f>
        <v/>
      </c>
      <c r="CO453" s="74" t="str">
        <f aca="false">IF(ISBLANK($C453),"",AND($AL453,$BA453=""))</f>
        <v/>
      </c>
      <c r="CP453" s="74" t="str">
        <f aca="false">IF(ISBLANK($C453),"",AND($AL453,$BB453=""))</f>
        <v/>
      </c>
      <c r="CQ453" s="74" t="str">
        <f aca="false">IF(ISBLANK($C453),"",AND($AL453,$BC453=""))</f>
        <v/>
      </c>
      <c r="CR453" s="74" t="str">
        <f aca="false">IF(ISBLANK($C453),"",AND($AL453,$BF453=""))</f>
        <v/>
      </c>
      <c r="CS453" s="74" t="str">
        <f aca="false">IF(ISBLANK($C453),"",AND($AL453,$BJ453=""))</f>
        <v/>
      </c>
      <c r="CT453" s="75"/>
      <c r="CU453" s="76"/>
      <c r="CV453" s="79" t="str">
        <f aca="false">IF(ISBLANK($C453),"",IF($BL453=Constants!$B$8,$CM453,""))</f>
        <v/>
      </c>
      <c r="CW453" s="76" t="str">
        <f aca="false">IF(ISBLANK($C453),"",IF($BL453&lt;&gt;Constants!$B$4,"",$BO453+$BP453))</f>
        <v/>
      </c>
      <c r="CX453" s="78" t="str">
        <f aca="false">IF(ISBLANK($C453),"",IF($BL453&lt;&gt;Constants!$B$4,"",$BQ453+$BR453+$BS453))</f>
        <v/>
      </c>
      <c r="CY453" s="78" t="str">
        <f aca="false">IF(ISBLANK($C453),"",IF($BL453&lt;&gt;Constants!$B$4,"",$BT453))</f>
        <v/>
      </c>
      <c r="CZ453" s="78" t="str">
        <f aca="false">IF(ISBLANK($C453),"",IF($BL453&lt;&gt;Constants!$B$4,"",$BU453+$BV453))</f>
        <v/>
      </c>
      <c r="DA453" s="78" t="str">
        <f aca="false">IF(ISBLANK($C453),"",IF($BL453&lt;&gt;Constants!$B$4,"",$BW453))</f>
        <v/>
      </c>
      <c r="DB453" s="78" t="str">
        <f aca="false">IF(ISBLANK($C453),"",IF($BL453&lt;&gt;Constants!$B$4,"",-$CD453))</f>
        <v/>
      </c>
      <c r="DC453" s="79" t="str">
        <f aca="false">IF(ISBLANK($C453),"",$CE453)</f>
        <v/>
      </c>
      <c r="DD453" s="80" t="str">
        <f aca="false">IF(ISBLANK($C453),"",$BM453)</f>
        <v/>
      </c>
      <c r="DE453" s="78" t="str">
        <f aca="false">IF(ISBLANK($C453),"",$CL453)</f>
        <v/>
      </c>
      <c r="DF453" s="78" t="str">
        <f aca="false">IF(ISBLANK($C453),"",$CK453)</f>
        <v/>
      </c>
      <c r="DG453" s="81" t="str">
        <f aca="false">IF(ISBLANK($C453),"",IF($DF453=Constants!$B$7,COUNTA($C$9:$C$508)+2,IF($DF453=Constants!$B$6,COUNTA($C$9:$C$508)+1,IF($DF453=Constants!$B$5,COUNTA($C$9:$C$508),$DF453))))</f>
        <v/>
      </c>
      <c r="DH453" s="7"/>
      <c r="DI453" s="82" t="n">
        <f aca="false">IF(OR(ISNUMBER($DF453),$DF453=Constants!$B$7,$DF453=Constants!$B$5,$DF453=Constants!$B$6),1,0)</f>
        <v>0</v>
      </c>
      <c r="DJ453" s="82" t="n">
        <v>445</v>
      </c>
      <c r="DK453" s="82" t="str">
        <f aca="false">IF(ISBLANK($C453),"",IF(ISNUMBER($DG453),$DG453+ROW($B453)/1000,""))</f>
        <v/>
      </c>
      <c r="DL453" s="82" t="str">
        <f aca="false">IF(ISNUMBER($DK453),RANK($DK453,$DK$9:$DK$508,1),"")</f>
        <v/>
      </c>
      <c r="DM453" s="82" t="str">
        <f aca="false">IF(ISBLANK($C453),"",$B453)</f>
        <v/>
      </c>
      <c r="DN453" s="82" t="str">
        <f aca="false">IF(ISBLANK($C453),"",$C453)</f>
        <v/>
      </c>
      <c r="DO453" s="82" t="str">
        <f aca="false">IF(ISBLANK($C453),"",$D453)</f>
        <v/>
      </c>
      <c r="DP453" s="83" t="str">
        <f aca="false">$DD453</f>
        <v/>
      </c>
      <c r="DQ453" s="84" t="str">
        <f aca="false">$DC453</f>
        <v/>
      </c>
      <c r="DR453" s="82" t="str">
        <f aca="false">IF(ISBLANK($C453),"",$DF453)</f>
        <v/>
      </c>
      <c r="DS453" s="85" t="str">
        <f aca="false">IF($DJ453&gt;$DI$8,"",VLOOKUP($DJ453,$DL$9:$DR$508,7,FALSE()))</f>
        <v/>
      </c>
      <c r="DT453" s="86" t="str">
        <f aca="false">IF($DJ453&gt;$DI$8,"",VLOOKUP($DJ453,$DL$9:$DR$508,2,FALSE()))</f>
        <v/>
      </c>
      <c r="DU453" s="86" t="str">
        <f aca="false">IF($DJ453&gt;$DI$8,"",VLOOKUP($DJ453,$DL$9:$DR$508,3,FALSE()))</f>
        <v/>
      </c>
      <c r="DV453" s="86" t="str">
        <f aca="false">IF($DJ453&gt;$DI$8,"",VLOOKUP($DJ453,$DL$9:$DR$508,4,FALSE()))</f>
        <v/>
      </c>
      <c r="DW453" s="86" t="str">
        <f aca="false">IF($DJ453&gt;$DI$8,"",VLOOKUP($DJ453,$DL$9:$DR$508,5,FALSE()))</f>
        <v/>
      </c>
      <c r="DX453" s="87" t="str">
        <f aca="false">IF($DJ453&gt;$DI$8,"",VLOOKUP($DJ453,$DL$9:$DR$508,6,FALSE()))</f>
        <v/>
      </c>
      <c r="DY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88"/>
      <c r="N454" s="88"/>
      <c r="O454" s="134"/>
      <c r="P454" s="134"/>
      <c r="Q454" s="88"/>
      <c r="R454" s="88"/>
      <c r="S454" s="88"/>
      <c r="T454" s="88"/>
      <c r="U454" s="134"/>
      <c r="V454" s="88"/>
      <c r="W454" s="70"/>
      <c r="X454" s="88"/>
      <c r="Y454" s="88"/>
      <c r="Z454" s="70"/>
      <c r="AA454" s="70"/>
      <c r="AB454" s="88"/>
      <c r="AC454" s="88"/>
      <c r="AD454" s="88"/>
      <c r="AE454" s="71"/>
      <c r="AF454" s="88"/>
      <c r="AG454" s="73"/>
      <c r="AH454" s="74"/>
      <c r="AI454" s="74"/>
      <c r="AJ454" s="74" t="str">
        <f aca="false">IF(ISBLANK($C454),"",IF($E454=Constants!$B$2,TRUE(),IF($E454=Constants!$B$3,FALSE(),TRUE())))</f>
        <v/>
      </c>
      <c r="AK454" s="74" t="str">
        <f aca="false">IF(ISBLANK($C454),"",IF($F454=Constants!$B$2,TRUE(),IF($F454=Constants!$B$3,FALSE(),FALSE())))</f>
        <v/>
      </c>
      <c r="AL454" s="74" t="str">
        <f aca="false">IF(ISBLANK($C454),"",IF($G454=Constants!$B$2,TRUE(),IF($G454=Constants!$B$3,FALSE(),TRUE())))</f>
        <v/>
      </c>
      <c r="AM454" s="74" t="str">
        <f aca="false">IF(ISBLANK($C454),"",IF($H454=Constants!$B$2,TRUE(),IF($H454=Constants!$B$3,FALSE(),TRUE())))</f>
        <v/>
      </c>
      <c r="AN454" s="74" t="str">
        <f aca="false">IF(ISBLANK($C454),"",IF(ISNUMBER($I454),IF($I454&gt;=0,$I454,""),""))</f>
        <v/>
      </c>
      <c r="AO454" s="74" t="str">
        <f aca="false">IF(ISBLANK($C454),"",IF(ISNUMBER($J454),IF($J454&gt;=0,$J454,""),""))</f>
        <v/>
      </c>
      <c r="AP454" s="74" t="str">
        <f aca="false">IF(ISBLANK($C454),"",IF(ISNUMBER($K454),IF($K454&gt;=0,$K454,""),""))</f>
        <v/>
      </c>
      <c r="AQ454" s="74" t="str">
        <f aca="false">IF(ISBLANK($C454),"",IF($L454=Constants!$B$2,TRUE(),IF($L454=Constants!$B$3,FALSE(),TRUE())))</f>
        <v/>
      </c>
      <c r="AR454" s="74" t="str">
        <f aca="false">IF(ISBLANK($C454),"",IF($M454=Constants!$B$2,TRUE(),IF($M454=Constants!$B$3,FALSE(),TRUE())))</f>
        <v/>
      </c>
      <c r="AS454" s="74" t="str">
        <f aca="false">IF(ISBLANK($C454),"",IF($N454=Constants!$B$2,TRUE(),IF($N454=Constants!$B$3,FALSE(),FALSE())))</f>
        <v/>
      </c>
      <c r="AT454" s="74" t="str">
        <f aca="false">IF(ISBLANK($C454),"",IF($O454=Constants!$B$2,TRUE(),IF($O454=Constants!$B$3,FALSE(),TRUE())))</f>
        <v/>
      </c>
      <c r="AU454" s="74" t="str">
        <f aca="false">IF(ISBLANK($C454),"",IF($P454=Constants!$B$2,TRUE(),IF($P454=Constants!$B$3,FALSE(),TRUE())))</f>
        <v/>
      </c>
      <c r="AV454" s="74" t="str">
        <f aca="false">IF(ISBLANK($C454),"",IF($Q454=Constants!$B$2,TRUE(),IF($Q454=Constants!$B$3,FALSE(),FALSE())))</f>
        <v/>
      </c>
      <c r="AW454" s="74" t="str">
        <f aca="false">IF(ISBLANK($C454),"",IF($R454=Constants!$B$2,TRUE(),IF($R454=Constants!$B$3,FALSE(),FALSE())))</f>
        <v/>
      </c>
      <c r="AX454" s="74" t="str">
        <f aca="false">IF(ISBLANK($C454),"",IF($S454=Constants!$B$2,TRUE(),IF($S454=Constants!$B$3,FALSE(),FALSE())))</f>
        <v/>
      </c>
      <c r="AY454" s="74" t="str">
        <f aca="false">IF(ISBLANK($C454),"",IF($T454=Constants!$B$2,TRUE(),IF($T454=Constants!$B$3,FALSE(),FALSE())))</f>
        <v/>
      </c>
      <c r="AZ454" s="74" t="str">
        <f aca="false">IF(ISBLANK($C454),"",IF($U454=Constants!$B$2,TRUE(),IF($U454=Constants!$B$3,FALSE(),FALSE())))</f>
        <v/>
      </c>
      <c r="BA454" s="74" t="str">
        <f aca="false">IF(ISBLANK($C454),"",IF(OR($V454&amp;""="1",$V454&amp;""="2",$V454&amp;""="3",$V454&amp;""="4"),VALUE($V454&amp;""),IF($V454=Constants!$B$12,Constants!$B$12,"")))</f>
        <v/>
      </c>
      <c r="BB454" s="74" t="str">
        <f aca="false">IF(ISBLANK($C454),"",IF(ISBLANK($W454),0,IF(ISNUMBER($W454),IF(AND($W454&gt;=0,$W454&lt;=Constants!$B$21,$W454=INT($W454)),$W454,""),"")))</f>
        <v/>
      </c>
      <c r="BC454" s="74" t="str">
        <f aca="false">IF(ISBLANK($C454),"",IF(ISBLANK($X454),0,IF(ISNUMBER($X454),IF($X454&gt;=0,$X454,""),"")))</f>
        <v/>
      </c>
      <c r="BD454" s="74" t="str">
        <f aca="false">IF(ISBLANK($C454),"",IF($Y454=Constants!$B$2,TRUE(),IF($Y454=Constants!$B$3,FALSE(),TRUE())))</f>
        <v/>
      </c>
      <c r="BE454" s="74" t="str">
        <f aca="false">IF(ISBLANK($C454),"",IF($Z454=Constants!$B$2,TRUE(),IF($Z454=Constants!$B$3,FALSE(),FALSE())))</f>
        <v/>
      </c>
      <c r="BF454" s="74" t="str">
        <f aca="false">IF(ISBLANK($C454),"",IF(ISBLANK($AA454),0,IF(ISNUMBER($AA454),IF(AND($AA454&gt;=0,$AA454&lt;=Constants!$B$35,$AA454=INT($AA454)),$AA454,""),"")))</f>
        <v/>
      </c>
      <c r="BG454" s="74" t="str">
        <f aca="false">IF(ISBLANK($C454),"",IF($AB454=Constants!$B$2,TRUE(),IF($AB454=Constants!$B$3,FALSE(),TRUE())))</f>
        <v/>
      </c>
      <c r="BH454" s="74" t="str">
        <f aca="false">IF(ISBLANK($C454),"",IF($AC454=Constants!$B$2,TRUE(),IF($AC454=Constants!$B$3,FALSE(),TRUE())))</f>
        <v/>
      </c>
      <c r="BI454" s="74" t="str">
        <f aca="false">IF(ISBLANK($C454),"",IF($AD454=Constants!$B$2,TRUE(),IF($AD454=Constants!$B$3,FALSE(),TRUE())))</f>
        <v/>
      </c>
      <c r="BJ454" s="74" t="str">
        <f aca="false">IF(ISBLANK($C454),"",IF(ISNUMBER($AE454),IF($AE454&gt;=0,$AE454,""),""))</f>
        <v/>
      </c>
      <c r="BK454" s="74" t="str">
        <f aca="false">IF(ISBLANK($C454),"",IF($AF454=Constants!$B$2,TRUE(),IF($AF454=Constants!$B$3,FALSE(),FALSE())))</f>
        <v/>
      </c>
      <c r="BL454" s="73" t="str">
        <f aca="false">IF(ISBLANK($C454),"",IF($BK454,Constants!$B$7,IF(COUNTA($E454:$AE454)=0,Constants!$B$6,IF(OR(COUNTA($G454:$AE454)=0,NOT($AM454),$AS454),Constants!$B$5,IF(OR($CM454&lt;&gt;"",$CN454,$CO454,$CP454,$CQ454,$CR454,$CS454),Constants!$B$8,Constants!$B$4)))))</f>
        <v/>
      </c>
      <c r="BM454" s="74" t="str">
        <f aca="false">IF(ISBLANK($C454),"",IF($BL454&lt;&gt;Constants!$B$4,$BL454,IF(OR(NOT($AJ454),NOT($AL454),NOT($AT454)),Constants!$B$11,IF(OR(NOT($AR454),NOT($AU454),NOT($BI454),MAX($AN454,$AO454,$AP454)&gt;Constants!$B$30),Constants!$B$10,Constants!$B$9))))</f>
        <v/>
      </c>
      <c r="BN454" s="74" t="str">
        <f aca="false">IF($BL454&lt;&gt;Constants!$B$4,"",IF(NOT($AL454),0,MIN(Constants!$B$35,$BF454)))</f>
        <v/>
      </c>
      <c r="BO454" s="74" t="str">
        <f aca="false">IF($BL454&lt;&gt;Constants!$B$4,"",IF(NOT($AL454),0,IF($AW454,Constants!$B$18,IF($AV454,Constants!$B$17,0))))</f>
        <v/>
      </c>
      <c r="BP454" s="74" t="str">
        <f aca="false">IF($BL454&lt;&gt;Constants!$B$4,"",IF(NOT($AL454),0,Constants!$B$19*($AK454+$AX454+$AY454+$AZ454)))</f>
        <v/>
      </c>
      <c r="BQ454" s="74" t="str">
        <f aca="false">IF($BL454&lt;&gt;Constants!$B$4,"",IF(OR(NOT($AL454),NOT(ISNUMBER($BA454))),0,CHOOSE($BA454,Constants!$B$13,Constants!$B$14,Constants!$B$15,Constants!$B$16)))</f>
        <v/>
      </c>
      <c r="BR454" s="74" t="str">
        <f aca="false">IF($BL454&lt;&gt;Constants!$B$4,"",IF(NOT($AL454),0,Constants!$B$20*$BB454))</f>
        <v/>
      </c>
      <c r="BS454" s="74" t="str">
        <f aca="false">IF($BL454&lt;&gt;Constants!$B$4,"",IF(AND($AL454,$BD454,$BE454),Constants!$B$22,0))</f>
        <v/>
      </c>
      <c r="BT454" s="74" t="str">
        <f aca="false">IF($BL454&lt;&gt;Constants!$B$4,"",IF(OR(NOT($AL454),NOT($BD454)),0,IF($BJ454&gt;=2*$AH$9,0,Constants!$B$23*INT(ROUND(MIN($BJ454,$AH$9),6)))))</f>
        <v/>
      </c>
      <c r="BU454" s="74" t="str">
        <f aca="false">IF($BL454&lt;&gt;Constants!$B$4,"",IF(NOT($AL454),0,Constants!$B$24*INT(ROUND(MIN($BC454,$AH$9),6))))</f>
        <v/>
      </c>
      <c r="BV454" s="74" t="str">
        <f aca="false">IF($BL454&lt;&gt;Constants!$B$4,"",IF(AND($AL454,$BN454=0),Constants!$B$25,0))</f>
        <v/>
      </c>
      <c r="BW454" s="74" t="str">
        <f aca="false">IF($BL454&lt;&gt;Constants!$B$4,"",MIN(Constants!$B$29,MAX(0,Constants!$B$27*Constants!$B$28*INT(ROUND((Constants!$B$26-$AN454)/Constants!$B$28,6))))+MIN(Constants!$B$29,MAX(0,Constants!$B$27*Constants!$B$28*INT(ROUND((Constants!$B$26-$AO454)/Constants!$B$28,6))))+MIN(Constants!$B$29,MAX(0,Constants!$B$27*Constants!$B$28*INT(ROUND((Constants!$B$26-$AP454)/Constants!$B$28,6)))))</f>
        <v/>
      </c>
      <c r="BX454" s="74" t="str">
        <f aca="false">IF($BL454&lt;&gt;Constants!$B$4,"",IF(NOT($AL454),0,Constants!$B$31*INT(ROUND(MAX(0,MIN($BJ454,2*$AH$9)-$AH$9),6))))</f>
        <v/>
      </c>
      <c r="BY454" s="74" t="str">
        <f aca="false">IF($BL454&lt;&gt;Constants!$B$4,"",Constants!$B$32*(($AN454&gt;Constants!$B$26)+($AO454&gt;Constants!$B$26)+($AP454&gt;Constants!$B$26)))</f>
        <v/>
      </c>
      <c r="BZ454" s="74" t="str">
        <f aca="false">IF($BL454&lt;&gt;Constants!$B$4,"",IF(OR(NOT($AL454),$AQ454),0,Constants!$B$33))</f>
        <v/>
      </c>
      <c r="CA454" s="74" t="str">
        <f aca="false">IF($BL454&lt;&gt;Constants!$B$4,"",Constants!$B$34*$BN454)</f>
        <v/>
      </c>
      <c r="CB454" s="74" t="str">
        <f aca="false">IF($BL454&lt;&gt;Constants!$B$4,"",IF(OR(NOT($AL454),$BH454),0,Constants!$B$36))</f>
        <v/>
      </c>
      <c r="CC454" s="74" t="str">
        <f aca="false">IF($BL454&lt;&gt;Constants!$B$4,"",IF(OR(NOT($AL454),$BG454),0,Constants!$B$37))</f>
        <v/>
      </c>
      <c r="CD454" s="74" t="str">
        <f aca="false">IF($BL454&lt;&gt;Constants!$B$4,"",SUM($BX454:$CC454))</f>
        <v/>
      </c>
      <c r="CE454" s="74" t="str">
        <f aca="false">IF(ISBLANK($C454),"",IF($BL454&lt;&gt;Constants!$B$4,$BL454,SUM($BO454:$BW454)-$CD454))</f>
        <v/>
      </c>
      <c r="CF454" s="74" t="str">
        <f aca="false">IF(ISBLANK($C454),"",IF($BL454&lt;&gt;Constants!$B$4,$BL454,RANK($CE454,$CE$9:$CE$508)))</f>
        <v/>
      </c>
      <c r="CG454" s="74" t="str">
        <f aca="false">IF(ISBLANK($C454),"",IF($BL454&lt;&gt;Constants!$B$4,$BL454,COUNTIFS($BM$9:$BM$508,"&lt;"&amp;$BM454)+COUNTIFS($BM$9:$BM$508,$BM454,$CF$9:$CF$508,"&lt;"&amp;$CF454)+1))</f>
        <v/>
      </c>
      <c r="CH454" s="74" t="str">
        <f aca="false">IF(ISBLANK($C454),"",IF($BL454&lt;&gt;Constants!$B$4,$BL454,RANK($CD454,$CD$9:$CD$508,1)))</f>
        <v/>
      </c>
      <c r="CI454" s="74" t="str">
        <f aca="false">IF($BL454&lt;&gt;Constants!$B$4,"",$AN454+$AO454+$AP454)</f>
        <v/>
      </c>
      <c r="CJ454" s="74" t="str">
        <f aca="false">IF(ISBLANK($C454),"",IF($BL454&lt;&gt;Constants!$B$4,$BL454,RANK($CI454,$CI$9:$CI$508,1)))</f>
        <v/>
      </c>
      <c r="CK454" s="74" t="str">
        <f aca="false">IF(ISBLANK($C454),"",IF($BL454&lt;&gt;Constants!$B$4,$BL454,COUNTIFS($BM$9:$BM$508,"&lt;"&amp;$BM454)+COUNTIFS($BM$9:$BM$508,$BM454,$CF$9:$CF$508,"&lt;"&amp;$CF454)+COUNTIFS($BM$9:$BM$508,$BM454,$CF$9:$CF$508,$CF454,$CH$9:$CH$508,"&lt;"&amp;$CH454)+COUNTIFS($BM$9:$BM$508,$BM454,$CF$9:$CF$508,$CF454,$CH$9:$CH$508,$CH454,$CJ$9:$CJ$508,"&lt;"&amp;$CJ454)+1))</f>
        <v/>
      </c>
      <c r="CL454" s="74" t="str">
        <f aca="false">IF(ISBLANK($C454),"",IF($BL454&lt;&gt;Constants!$B$4,$BL454,$CG454-$CK454))</f>
        <v/>
      </c>
      <c r="CM454" s="74" t="str">
        <f aca="false">IF(ISBLANK($C454),"",IF(NOT($AL454),"",IF(ISBLANK($D$7),$CM$5,IF(NOT(ISNUMBER($D$7)),$CM$6,""))))</f>
        <v/>
      </c>
      <c r="CN454" s="74" t="str">
        <f aca="false">IF(ISBLANK($C454),"",OR($AN454="",$AO454="",$AP454=""))</f>
        <v/>
      </c>
      <c r="CO454" s="74" t="str">
        <f aca="false">IF(ISBLANK($C454),"",AND($AL454,$BA454=""))</f>
        <v/>
      </c>
      <c r="CP454" s="74" t="str">
        <f aca="false">IF(ISBLANK($C454),"",AND($AL454,$BB454=""))</f>
        <v/>
      </c>
      <c r="CQ454" s="74" t="str">
        <f aca="false">IF(ISBLANK($C454),"",AND($AL454,$BC454=""))</f>
        <v/>
      </c>
      <c r="CR454" s="74" t="str">
        <f aca="false">IF(ISBLANK($C454),"",AND($AL454,$BF454=""))</f>
        <v/>
      </c>
      <c r="CS454" s="74" t="str">
        <f aca="false">IF(ISBLANK($C454),"",AND($AL454,$BJ454=""))</f>
        <v/>
      </c>
      <c r="CT454" s="75"/>
      <c r="CU454" s="76"/>
      <c r="CV454" s="79" t="str">
        <f aca="false">IF(ISBLANK($C454),"",IF($BL454=Constants!$B$8,$CM454,""))</f>
        <v/>
      </c>
      <c r="CW454" s="76" t="str">
        <f aca="false">IF(ISBLANK($C454),"",IF($BL454&lt;&gt;Constants!$B$4,"",$BO454+$BP454))</f>
        <v/>
      </c>
      <c r="CX454" s="78" t="str">
        <f aca="false">IF(ISBLANK($C454),"",IF($BL454&lt;&gt;Constants!$B$4,"",$BQ454+$BR454+$BS454))</f>
        <v/>
      </c>
      <c r="CY454" s="78" t="str">
        <f aca="false">IF(ISBLANK($C454),"",IF($BL454&lt;&gt;Constants!$B$4,"",$BT454))</f>
        <v/>
      </c>
      <c r="CZ454" s="78" t="str">
        <f aca="false">IF(ISBLANK($C454),"",IF($BL454&lt;&gt;Constants!$B$4,"",$BU454+$BV454))</f>
        <v/>
      </c>
      <c r="DA454" s="78" t="str">
        <f aca="false">IF(ISBLANK($C454),"",IF($BL454&lt;&gt;Constants!$B$4,"",$BW454))</f>
        <v/>
      </c>
      <c r="DB454" s="78" t="str">
        <f aca="false">IF(ISBLANK($C454),"",IF($BL454&lt;&gt;Constants!$B$4,"",-$CD454))</f>
        <v/>
      </c>
      <c r="DC454" s="79" t="str">
        <f aca="false">IF(ISBLANK($C454),"",$CE454)</f>
        <v/>
      </c>
      <c r="DD454" s="80" t="str">
        <f aca="false">IF(ISBLANK($C454),"",$BM454)</f>
        <v/>
      </c>
      <c r="DE454" s="78" t="str">
        <f aca="false">IF(ISBLANK($C454),"",$CL454)</f>
        <v/>
      </c>
      <c r="DF454" s="78" t="str">
        <f aca="false">IF(ISBLANK($C454),"",$CK454)</f>
        <v/>
      </c>
      <c r="DG454" s="81" t="str">
        <f aca="false">IF(ISBLANK($C454),"",IF($DF454=Constants!$B$7,COUNTA($C$9:$C$508)+2,IF($DF454=Constants!$B$6,COUNTA($C$9:$C$508)+1,IF($DF454=Constants!$B$5,COUNTA($C$9:$C$508),$DF454))))</f>
        <v/>
      </c>
      <c r="DH454" s="7"/>
      <c r="DI454" s="82" t="n">
        <f aca="false">IF(OR(ISNUMBER($DF454),$DF454=Constants!$B$7,$DF454=Constants!$B$5,$DF454=Constants!$B$6),1,0)</f>
        <v>0</v>
      </c>
      <c r="DJ454" s="82" t="n">
        <v>446</v>
      </c>
      <c r="DK454" s="82" t="str">
        <f aca="false">IF(ISBLANK($C454),"",IF(ISNUMBER($DG454),$DG454+ROW($B454)/1000,""))</f>
        <v/>
      </c>
      <c r="DL454" s="82" t="str">
        <f aca="false">IF(ISNUMBER($DK454),RANK($DK454,$DK$9:$DK$508,1),"")</f>
        <v/>
      </c>
      <c r="DM454" s="82" t="str">
        <f aca="false">IF(ISBLANK($C454),"",$B454)</f>
        <v/>
      </c>
      <c r="DN454" s="82" t="str">
        <f aca="false">IF(ISBLANK($C454),"",$C454)</f>
        <v/>
      </c>
      <c r="DO454" s="82" t="str">
        <f aca="false">IF(ISBLANK($C454),"",$D454)</f>
        <v/>
      </c>
      <c r="DP454" s="83" t="str">
        <f aca="false">$DD454</f>
        <v/>
      </c>
      <c r="DQ454" s="84" t="str">
        <f aca="false">$DC454</f>
        <v/>
      </c>
      <c r="DR454" s="82" t="str">
        <f aca="false">IF(ISBLANK($C454),"",$DF454)</f>
        <v/>
      </c>
      <c r="DS454" s="85" t="str">
        <f aca="false">IF($DJ454&gt;$DI$8,"",VLOOKUP($DJ454,$DL$9:$DR$508,7,FALSE()))</f>
        <v/>
      </c>
      <c r="DT454" s="86" t="str">
        <f aca="false">IF($DJ454&gt;$DI$8,"",VLOOKUP($DJ454,$DL$9:$DR$508,2,FALSE()))</f>
        <v/>
      </c>
      <c r="DU454" s="86" t="str">
        <f aca="false">IF($DJ454&gt;$DI$8,"",VLOOKUP($DJ454,$DL$9:$DR$508,3,FALSE()))</f>
        <v/>
      </c>
      <c r="DV454" s="86" t="str">
        <f aca="false">IF($DJ454&gt;$DI$8,"",VLOOKUP($DJ454,$DL$9:$DR$508,4,FALSE()))</f>
        <v/>
      </c>
      <c r="DW454" s="86" t="str">
        <f aca="false">IF($DJ454&gt;$DI$8,"",VLOOKUP($DJ454,$DL$9:$DR$508,5,FALSE()))</f>
        <v/>
      </c>
      <c r="DX454" s="87" t="str">
        <f aca="false">IF($DJ454&gt;$DI$8,"",VLOOKUP($DJ454,$DL$9:$DR$508,6,FALSE()))</f>
        <v/>
      </c>
      <c r="DY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88"/>
      <c r="N455" s="88"/>
      <c r="O455" s="134"/>
      <c r="P455" s="134"/>
      <c r="Q455" s="88"/>
      <c r="R455" s="88"/>
      <c r="S455" s="88"/>
      <c r="T455" s="88"/>
      <c r="U455" s="134"/>
      <c r="V455" s="88"/>
      <c r="W455" s="70"/>
      <c r="X455" s="88"/>
      <c r="Y455" s="88"/>
      <c r="Z455" s="70"/>
      <c r="AA455" s="70"/>
      <c r="AB455" s="88"/>
      <c r="AC455" s="88"/>
      <c r="AD455" s="88"/>
      <c r="AE455" s="71"/>
      <c r="AF455" s="88"/>
      <c r="AG455" s="73"/>
      <c r="AH455" s="74"/>
      <c r="AI455" s="74"/>
      <c r="AJ455" s="74" t="str">
        <f aca="false">IF(ISBLANK($C455),"",IF($E455=Constants!$B$2,TRUE(),IF($E455=Constants!$B$3,FALSE(),TRUE())))</f>
        <v/>
      </c>
      <c r="AK455" s="74" t="str">
        <f aca="false">IF(ISBLANK($C455),"",IF($F455=Constants!$B$2,TRUE(),IF($F455=Constants!$B$3,FALSE(),FALSE())))</f>
        <v/>
      </c>
      <c r="AL455" s="74" t="str">
        <f aca="false">IF(ISBLANK($C455),"",IF($G455=Constants!$B$2,TRUE(),IF($G455=Constants!$B$3,FALSE(),TRUE())))</f>
        <v/>
      </c>
      <c r="AM455" s="74" t="str">
        <f aca="false">IF(ISBLANK($C455),"",IF($H455=Constants!$B$2,TRUE(),IF($H455=Constants!$B$3,FALSE(),TRUE())))</f>
        <v/>
      </c>
      <c r="AN455" s="74" t="str">
        <f aca="false">IF(ISBLANK($C455),"",IF(ISNUMBER($I455),IF($I455&gt;=0,$I455,""),""))</f>
        <v/>
      </c>
      <c r="AO455" s="74" t="str">
        <f aca="false">IF(ISBLANK($C455),"",IF(ISNUMBER($J455),IF($J455&gt;=0,$J455,""),""))</f>
        <v/>
      </c>
      <c r="AP455" s="74" t="str">
        <f aca="false">IF(ISBLANK($C455),"",IF(ISNUMBER($K455),IF($K455&gt;=0,$K455,""),""))</f>
        <v/>
      </c>
      <c r="AQ455" s="74" t="str">
        <f aca="false">IF(ISBLANK($C455),"",IF($L455=Constants!$B$2,TRUE(),IF($L455=Constants!$B$3,FALSE(),TRUE())))</f>
        <v/>
      </c>
      <c r="AR455" s="74" t="str">
        <f aca="false">IF(ISBLANK($C455),"",IF($M455=Constants!$B$2,TRUE(),IF($M455=Constants!$B$3,FALSE(),TRUE())))</f>
        <v/>
      </c>
      <c r="AS455" s="74" t="str">
        <f aca="false">IF(ISBLANK($C455),"",IF($N455=Constants!$B$2,TRUE(),IF($N455=Constants!$B$3,FALSE(),FALSE())))</f>
        <v/>
      </c>
      <c r="AT455" s="74" t="str">
        <f aca="false">IF(ISBLANK($C455),"",IF($O455=Constants!$B$2,TRUE(),IF($O455=Constants!$B$3,FALSE(),TRUE())))</f>
        <v/>
      </c>
      <c r="AU455" s="74" t="str">
        <f aca="false">IF(ISBLANK($C455),"",IF($P455=Constants!$B$2,TRUE(),IF($P455=Constants!$B$3,FALSE(),TRUE())))</f>
        <v/>
      </c>
      <c r="AV455" s="74" t="str">
        <f aca="false">IF(ISBLANK($C455),"",IF($Q455=Constants!$B$2,TRUE(),IF($Q455=Constants!$B$3,FALSE(),FALSE())))</f>
        <v/>
      </c>
      <c r="AW455" s="74" t="str">
        <f aca="false">IF(ISBLANK($C455),"",IF($R455=Constants!$B$2,TRUE(),IF($R455=Constants!$B$3,FALSE(),FALSE())))</f>
        <v/>
      </c>
      <c r="AX455" s="74" t="str">
        <f aca="false">IF(ISBLANK($C455),"",IF($S455=Constants!$B$2,TRUE(),IF($S455=Constants!$B$3,FALSE(),FALSE())))</f>
        <v/>
      </c>
      <c r="AY455" s="74" t="str">
        <f aca="false">IF(ISBLANK($C455),"",IF($T455=Constants!$B$2,TRUE(),IF($T455=Constants!$B$3,FALSE(),FALSE())))</f>
        <v/>
      </c>
      <c r="AZ455" s="74" t="str">
        <f aca="false">IF(ISBLANK($C455),"",IF($U455=Constants!$B$2,TRUE(),IF($U455=Constants!$B$3,FALSE(),FALSE())))</f>
        <v/>
      </c>
      <c r="BA455" s="74" t="str">
        <f aca="false">IF(ISBLANK($C455),"",IF(OR($V455&amp;""="1",$V455&amp;""="2",$V455&amp;""="3",$V455&amp;""="4"),VALUE($V455&amp;""),IF($V455=Constants!$B$12,Constants!$B$12,"")))</f>
        <v/>
      </c>
      <c r="BB455" s="74" t="str">
        <f aca="false">IF(ISBLANK($C455),"",IF(ISBLANK($W455),0,IF(ISNUMBER($W455),IF(AND($W455&gt;=0,$W455&lt;=Constants!$B$21,$W455=INT($W455)),$W455,""),"")))</f>
        <v/>
      </c>
      <c r="BC455" s="74" t="str">
        <f aca="false">IF(ISBLANK($C455),"",IF(ISBLANK($X455),0,IF(ISNUMBER($X455),IF($X455&gt;=0,$X455,""),"")))</f>
        <v/>
      </c>
      <c r="BD455" s="74" t="str">
        <f aca="false">IF(ISBLANK($C455),"",IF($Y455=Constants!$B$2,TRUE(),IF($Y455=Constants!$B$3,FALSE(),TRUE())))</f>
        <v/>
      </c>
      <c r="BE455" s="74" t="str">
        <f aca="false">IF(ISBLANK($C455),"",IF($Z455=Constants!$B$2,TRUE(),IF($Z455=Constants!$B$3,FALSE(),FALSE())))</f>
        <v/>
      </c>
      <c r="BF455" s="74" t="str">
        <f aca="false">IF(ISBLANK($C455),"",IF(ISBLANK($AA455),0,IF(ISNUMBER($AA455),IF(AND($AA455&gt;=0,$AA455&lt;=Constants!$B$35,$AA455=INT($AA455)),$AA455,""),"")))</f>
        <v/>
      </c>
      <c r="BG455" s="74" t="str">
        <f aca="false">IF(ISBLANK($C455),"",IF($AB455=Constants!$B$2,TRUE(),IF($AB455=Constants!$B$3,FALSE(),TRUE())))</f>
        <v/>
      </c>
      <c r="BH455" s="74" t="str">
        <f aca="false">IF(ISBLANK($C455),"",IF($AC455=Constants!$B$2,TRUE(),IF($AC455=Constants!$B$3,FALSE(),TRUE())))</f>
        <v/>
      </c>
      <c r="BI455" s="74" t="str">
        <f aca="false">IF(ISBLANK($C455),"",IF($AD455=Constants!$B$2,TRUE(),IF($AD455=Constants!$B$3,FALSE(),TRUE())))</f>
        <v/>
      </c>
      <c r="BJ455" s="74" t="str">
        <f aca="false">IF(ISBLANK($C455),"",IF(ISNUMBER($AE455),IF($AE455&gt;=0,$AE455,""),""))</f>
        <v/>
      </c>
      <c r="BK455" s="74" t="str">
        <f aca="false">IF(ISBLANK($C455),"",IF($AF455=Constants!$B$2,TRUE(),IF($AF455=Constants!$B$3,FALSE(),FALSE())))</f>
        <v/>
      </c>
      <c r="BL455" s="73" t="str">
        <f aca="false">IF(ISBLANK($C455),"",IF($BK455,Constants!$B$7,IF(COUNTA($E455:$AE455)=0,Constants!$B$6,IF(OR(COUNTA($G455:$AE455)=0,NOT($AM455),$AS455),Constants!$B$5,IF(OR($CM455&lt;&gt;"",$CN455,$CO455,$CP455,$CQ455,$CR455,$CS455),Constants!$B$8,Constants!$B$4)))))</f>
        <v/>
      </c>
      <c r="BM455" s="74" t="str">
        <f aca="false">IF(ISBLANK($C455),"",IF($BL455&lt;&gt;Constants!$B$4,$BL455,IF(OR(NOT($AJ455),NOT($AL455),NOT($AT455)),Constants!$B$11,IF(OR(NOT($AR455),NOT($AU455),NOT($BI455),MAX($AN455,$AO455,$AP455)&gt;Constants!$B$30),Constants!$B$10,Constants!$B$9))))</f>
        <v/>
      </c>
      <c r="BN455" s="74" t="str">
        <f aca="false">IF($BL455&lt;&gt;Constants!$B$4,"",IF(NOT($AL455),0,MIN(Constants!$B$35,$BF455)))</f>
        <v/>
      </c>
      <c r="BO455" s="74" t="str">
        <f aca="false">IF($BL455&lt;&gt;Constants!$B$4,"",IF(NOT($AL455),0,IF($AW455,Constants!$B$18,IF($AV455,Constants!$B$17,0))))</f>
        <v/>
      </c>
      <c r="BP455" s="74" t="str">
        <f aca="false">IF($BL455&lt;&gt;Constants!$B$4,"",IF(NOT($AL455),0,Constants!$B$19*($AK455+$AX455+$AY455+$AZ455)))</f>
        <v/>
      </c>
      <c r="BQ455" s="74" t="str">
        <f aca="false">IF($BL455&lt;&gt;Constants!$B$4,"",IF(OR(NOT($AL455),NOT(ISNUMBER($BA455))),0,CHOOSE($BA455,Constants!$B$13,Constants!$B$14,Constants!$B$15,Constants!$B$16)))</f>
        <v/>
      </c>
      <c r="BR455" s="74" t="str">
        <f aca="false">IF($BL455&lt;&gt;Constants!$B$4,"",IF(NOT($AL455),0,Constants!$B$20*$BB455))</f>
        <v/>
      </c>
      <c r="BS455" s="74" t="str">
        <f aca="false">IF($BL455&lt;&gt;Constants!$B$4,"",IF(AND($AL455,$BD455,$BE455),Constants!$B$22,0))</f>
        <v/>
      </c>
      <c r="BT455" s="74" t="str">
        <f aca="false">IF($BL455&lt;&gt;Constants!$B$4,"",IF(OR(NOT($AL455),NOT($BD455)),0,IF($BJ455&gt;=2*$AH$9,0,Constants!$B$23*INT(ROUND(MIN($BJ455,$AH$9),6)))))</f>
        <v/>
      </c>
      <c r="BU455" s="74" t="str">
        <f aca="false">IF($BL455&lt;&gt;Constants!$B$4,"",IF(NOT($AL455),0,Constants!$B$24*INT(ROUND(MIN($BC455,$AH$9),6))))</f>
        <v/>
      </c>
      <c r="BV455" s="74" t="str">
        <f aca="false">IF($BL455&lt;&gt;Constants!$B$4,"",IF(AND($AL455,$BN455=0),Constants!$B$25,0))</f>
        <v/>
      </c>
      <c r="BW455" s="74" t="str">
        <f aca="false">IF($BL455&lt;&gt;Constants!$B$4,"",MIN(Constants!$B$29,MAX(0,Constants!$B$27*Constants!$B$28*INT(ROUND((Constants!$B$26-$AN455)/Constants!$B$28,6))))+MIN(Constants!$B$29,MAX(0,Constants!$B$27*Constants!$B$28*INT(ROUND((Constants!$B$26-$AO455)/Constants!$B$28,6))))+MIN(Constants!$B$29,MAX(0,Constants!$B$27*Constants!$B$28*INT(ROUND((Constants!$B$26-$AP455)/Constants!$B$28,6)))))</f>
        <v/>
      </c>
      <c r="BX455" s="74" t="str">
        <f aca="false">IF($BL455&lt;&gt;Constants!$B$4,"",IF(NOT($AL455),0,Constants!$B$31*INT(ROUND(MAX(0,MIN($BJ455,2*$AH$9)-$AH$9),6))))</f>
        <v/>
      </c>
      <c r="BY455" s="74" t="str">
        <f aca="false">IF($BL455&lt;&gt;Constants!$B$4,"",Constants!$B$32*(($AN455&gt;Constants!$B$26)+($AO455&gt;Constants!$B$26)+($AP455&gt;Constants!$B$26)))</f>
        <v/>
      </c>
      <c r="BZ455" s="74" t="str">
        <f aca="false">IF($BL455&lt;&gt;Constants!$B$4,"",IF(OR(NOT($AL455),$AQ455),0,Constants!$B$33))</f>
        <v/>
      </c>
      <c r="CA455" s="74" t="str">
        <f aca="false">IF($BL455&lt;&gt;Constants!$B$4,"",Constants!$B$34*$BN455)</f>
        <v/>
      </c>
      <c r="CB455" s="74" t="str">
        <f aca="false">IF($BL455&lt;&gt;Constants!$B$4,"",IF(OR(NOT($AL455),$BH455),0,Constants!$B$36))</f>
        <v/>
      </c>
      <c r="CC455" s="74" t="str">
        <f aca="false">IF($BL455&lt;&gt;Constants!$B$4,"",IF(OR(NOT($AL455),$BG455),0,Constants!$B$37))</f>
        <v/>
      </c>
      <c r="CD455" s="74" t="str">
        <f aca="false">IF($BL455&lt;&gt;Constants!$B$4,"",SUM($BX455:$CC455))</f>
        <v/>
      </c>
      <c r="CE455" s="74" t="str">
        <f aca="false">IF(ISBLANK($C455),"",IF($BL455&lt;&gt;Constants!$B$4,$BL455,SUM($BO455:$BW455)-$CD455))</f>
        <v/>
      </c>
      <c r="CF455" s="74" t="str">
        <f aca="false">IF(ISBLANK($C455),"",IF($BL455&lt;&gt;Constants!$B$4,$BL455,RANK($CE455,$CE$9:$CE$508)))</f>
        <v/>
      </c>
      <c r="CG455" s="74" t="str">
        <f aca="false">IF(ISBLANK($C455),"",IF($BL455&lt;&gt;Constants!$B$4,$BL455,COUNTIFS($BM$9:$BM$508,"&lt;"&amp;$BM455)+COUNTIFS($BM$9:$BM$508,$BM455,$CF$9:$CF$508,"&lt;"&amp;$CF455)+1))</f>
        <v/>
      </c>
      <c r="CH455" s="74" t="str">
        <f aca="false">IF(ISBLANK($C455),"",IF($BL455&lt;&gt;Constants!$B$4,$BL455,RANK($CD455,$CD$9:$CD$508,1)))</f>
        <v/>
      </c>
      <c r="CI455" s="74" t="str">
        <f aca="false">IF($BL455&lt;&gt;Constants!$B$4,"",$AN455+$AO455+$AP455)</f>
        <v/>
      </c>
      <c r="CJ455" s="74" t="str">
        <f aca="false">IF(ISBLANK($C455),"",IF($BL455&lt;&gt;Constants!$B$4,$BL455,RANK($CI455,$CI$9:$CI$508,1)))</f>
        <v/>
      </c>
      <c r="CK455" s="74" t="str">
        <f aca="false">IF(ISBLANK($C455),"",IF($BL455&lt;&gt;Constants!$B$4,$BL455,COUNTIFS($BM$9:$BM$508,"&lt;"&amp;$BM455)+COUNTIFS($BM$9:$BM$508,$BM455,$CF$9:$CF$508,"&lt;"&amp;$CF455)+COUNTIFS($BM$9:$BM$508,$BM455,$CF$9:$CF$508,$CF455,$CH$9:$CH$508,"&lt;"&amp;$CH455)+COUNTIFS($BM$9:$BM$508,$BM455,$CF$9:$CF$508,$CF455,$CH$9:$CH$508,$CH455,$CJ$9:$CJ$508,"&lt;"&amp;$CJ455)+1))</f>
        <v/>
      </c>
      <c r="CL455" s="74" t="str">
        <f aca="false">IF(ISBLANK($C455),"",IF($BL455&lt;&gt;Constants!$B$4,$BL455,$CG455-$CK455))</f>
        <v/>
      </c>
      <c r="CM455" s="74" t="str">
        <f aca="false">IF(ISBLANK($C455),"",IF(NOT($AL455),"",IF(ISBLANK($D$7),$CM$5,IF(NOT(ISNUMBER($D$7)),$CM$6,""))))</f>
        <v/>
      </c>
      <c r="CN455" s="74" t="str">
        <f aca="false">IF(ISBLANK($C455),"",OR($AN455="",$AO455="",$AP455=""))</f>
        <v/>
      </c>
      <c r="CO455" s="74" t="str">
        <f aca="false">IF(ISBLANK($C455),"",AND($AL455,$BA455=""))</f>
        <v/>
      </c>
      <c r="CP455" s="74" t="str">
        <f aca="false">IF(ISBLANK($C455),"",AND($AL455,$BB455=""))</f>
        <v/>
      </c>
      <c r="CQ455" s="74" t="str">
        <f aca="false">IF(ISBLANK($C455),"",AND($AL455,$BC455=""))</f>
        <v/>
      </c>
      <c r="CR455" s="74" t="str">
        <f aca="false">IF(ISBLANK($C455),"",AND($AL455,$BF455=""))</f>
        <v/>
      </c>
      <c r="CS455" s="74" t="str">
        <f aca="false">IF(ISBLANK($C455),"",AND($AL455,$BJ455=""))</f>
        <v/>
      </c>
      <c r="CT455" s="75"/>
      <c r="CU455" s="76"/>
      <c r="CV455" s="79" t="str">
        <f aca="false">IF(ISBLANK($C455),"",IF($BL455=Constants!$B$8,$CM455,""))</f>
        <v/>
      </c>
      <c r="CW455" s="76" t="str">
        <f aca="false">IF(ISBLANK($C455),"",IF($BL455&lt;&gt;Constants!$B$4,"",$BO455+$BP455))</f>
        <v/>
      </c>
      <c r="CX455" s="78" t="str">
        <f aca="false">IF(ISBLANK($C455),"",IF($BL455&lt;&gt;Constants!$B$4,"",$BQ455+$BR455+$BS455))</f>
        <v/>
      </c>
      <c r="CY455" s="78" t="str">
        <f aca="false">IF(ISBLANK($C455),"",IF($BL455&lt;&gt;Constants!$B$4,"",$BT455))</f>
        <v/>
      </c>
      <c r="CZ455" s="78" t="str">
        <f aca="false">IF(ISBLANK($C455),"",IF($BL455&lt;&gt;Constants!$B$4,"",$BU455+$BV455))</f>
        <v/>
      </c>
      <c r="DA455" s="78" t="str">
        <f aca="false">IF(ISBLANK($C455),"",IF($BL455&lt;&gt;Constants!$B$4,"",$BW455))</f>
        <v/>
      </c>
      <c r="DB455" s="78" t="str">
        <f aca="false">IF(ISBLANK($C455),"",IF($BL455&lt;&gt;Constants!$B$4,"",-$CD455))</f>
        <v/>
      </c>
      <c r="DC455" s="79" t="str">
        <f aca="false">IF(ISBLANK($C455),"",$CE455)</f>
        <v/>
      </c>
      <c r="DD455" s="80" t="str">
        <f aca="false">IF(ISBLANK($C455),"",$BM455)</f>
        <v/>
      </c>
      <c r="DE455" s="78" t="str">
        <f aca="false">IF(ISBLANK($C455),"",$CL455)</f>
        <v/>
      </c>
      <c r="DF455" s="78" t="str">
        <f aca="false">IF(ISBLANK($C455),"",$CK455)</f>
        <v/>
      </c>
      <c r="DG455" s="81" t="str">
        <f aca="false">IF(ISBLANK($C455),"",IF($DF455=Constants!$B$7,COUNTA($C$9:$C$508)+2,IF($DF455=Constants!$B$6,COUNTA($C$9:$C$508)+1,IF($DF455=Constants!$B$5,COUNTA($C$9:$C$508),$DF455))))</f>
        <v/>
      </c>
      <c r="DH455" s="7"/>
      <c r="DI455" s="82" t="n">
        <f aca="false">IF(OR(ISNUMBER($DF455),$DF455=Constants!$B$7,$DF455=Constants!$B$5,$DF455=Constants!$B$6),1,0)</f>
        <v>0</v>
      </c>
      <c r="DJ455" s="82" t="n">
        <v>447</v>
      </c>
      <c r="DK455" s="82" t="str">
        <f aca="false">IF(ISBLANK($C455),"",IF(ISNUMBER($DG455),$DG455+ROW($B455)/1000,""))</f>
        <v/>
      </c>
      <c r="DL455" s="82" t="str">
        <f aca="false">IF(ISNUMBER($DK455),RANK($DK455,$DK$9:$DK$508,1),"")</f>
        <v/>
      </c>
      <c r="DM455" s="82" t="str">
        <f aca="false">IF(ISBLANK($C455),"",$B455)</f>
        <v/>
      </c>
      <c r="DN455" s="82" t="str">
        <f aca="false">IF(ISBLANK($C455),"",$C455)</f>
        <v/>
      </c>
      <c r="DO455" s="82" t="str">
        <f aca="false">IF(ISBLANK($C455),"",$D455)</f>
        <v/>
      </c>
      <c r="DP455" s="83" t="str">
        <f aca="false">$DD455</f>
        <v/>
      </c>
      <c r="DQ455" s="84" t="str">
        <f aca="false">$DC455</f>
        <v/>
      </c>
      <c r="DR455" s="82" t="str">
        <f aca="false">IF(ISBLANK($C455),"",$DF455)</f>
        <v/>
      </c>
      <c r="DS455" s="85" t="str">
        <f aca="false">IF($DJ455&gt;$DI$8,"",VLOOKUP($DJ455,$DL$9:$DR$508,7,FALSE()))</f>
        <v/>
      </c>
      <c r="DT455" s="86" t="str">
        <f aca="false">IF($DJ455&gt;$DI$8,"",VLOOKUP($DJ455,$DL$9:$DR$508,2,FALSE()))</f>
        <v/>
      </c>
      <c r="DU455" s="86" t="str">
        <f aca="false">IF($DJ455&gt;$DI$8,"",VLOOKUP($DJ455,$DL$9:$DR$508,3,FALSE()))</f>
        <v/>
      </c>
      <c r="DV455" s="86" t="str">
        <f aca="false">IF($DJ455&gt;$DI$8,"",VLOOKUP($DJ455,$DL$9:$DR$508,4,FALSE()))</f>
        <v/>
      </c>
      <c r="DW455" s="86" t="str">
        <f aca="false">IF($DJ455&gt;$DI$8,"",VLOOKUP($DJ455,$DL$9:$DR$508,5,FALSE()))</f>
        <v/>
      </c>
      <c r="DX455" s="87" t="str">
        <f aca="false">IF($DJ455&gt;$DI$8,"",VLOOKUP($DJ455,$DL$9:$DR$508,6,FALSE()))</f>
        <v/>
      </c>
      <c r="DY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130"/>
      <c r="N456" s="130"/>
      <c r="O456" s="135"/>
      <c r="P456" s="135"/>
      <c r="Q456" s="130"/>
      <c r="R456" s="130"/>
      <c r="S456" s="130"/>
      <c r="T456" s="130"/>
      <c r="U456" s="135"/>
      <c r="V456" s="130"/>
      <c r="W456" s="96"/>
      <c r="X456" s="130"/>
      <c r="Y456" s="130"/>
      <c r="Z456" s="96"/>
      <c r="AA456" s="96"/>
      <c r="AB456" s="130"/>
      <c r="AC456" s="130"/>
      <c r="AD456" s="130"/>
      <c r="AE456" s="97"/>
      <c r="AF456" s="130"/>
      <c r="AG456" s="99"/>
      <c r="AH456" s="100"/>
      <c r="AI456" s="100"/>
      <c r="AJ456" s="100" t="str">
        <f aca="false">IF(ISBLANK($C456),"",IF($E456=Constants!$B$2,TRUE(),IF($E456=Constants!$B$3,FALSE(),TRUE())))</f>
        <v/>
      </c>
      <c r="AK456" s="100" t="str">
        <f aca="false">IF(ISBLANK($C456),"",IF($F456=Constants!$B$2,TRUE(),IF($F456=Constants!$B$3,FALSE(),FALSE())))</f>
        <v/>
      </c>
      <c r="AL456" s="100" t="str">
        <f aca="false">IF(ISBLANK($C456),"",IF($G456=Constants!$B$2,TRUE(),IF($G456=Constants!$B$3,FALSE(),TRUE())))</f>
        <v/>
      </c>
      <c r="AM456" s="100" t="str">
        <f aca="false">IF(ISBLANK($C456),"",IF($H456=Constants!$B$2,TRUE(),IF($H456=Constants!$B$3,FALSE(),TRUE())))</f>
        <v/>
      </c>
      <c r="AN456" s="100" t="str">
        <f aca="false">IF(ISBLANK($C456),"",IF(ISNUMBER($I456),IF($I456&gt;=0,$I456,""),""))</f>
        <v/>
      </c>
      <c r="AO456" s="100" t="str">
        <f aca="false">IF(ISBLANK($C456),"",IF(ISNUMBER($J456),IF($J456&gt;=0,$J456,""),""))</f>
        <v/>
      </c>
      <c r="AP456" s="100" t="str">
        <f aca="false">IF(ISBLANK($C456),"",IF(ISNUMBER($K456),IF($K456&gt;=0,$K456,""),""))</f>
        <v/>
      </c>
      <c r="AQ456" s="100" t="str">
        <f aca="false">IF(ISBLANK($C456),"",IF($L456=Constants!$B$2,TRUE(),IF($L456=Constants!$B$3,FALSE(),TRUE())))</f>
        <v/>
      </c>
      <c r="AR456" s="100" t="str">
        <f aca="false">IF(ISBLANK($C456),"",IF($M456=Constants!$B$2,TRUE(),IF($M456=Constants!$B$3,FALSE(),TRUE())))</f>
        <v/>
      </c>
      <c r="AS456" s="100" t="str">
        <f aca="false">IF(ISBLANK($C456),"",IF($N456=Constants!$B$2,TRUE(),IF($N456=Constants!$B$3,FALSE(),FALSE())))</f>
        <v/>
      </c>
      <c r="AT456" s="100" t="str">
        <f aca="false">IF(ISBLANK($C456),"",IF($O456=Constants!$B$2,TRUE(),IF($O456=Constants!$B$3,FALSE(),TRUE())))</f>
        <v/>
      </c>
      <c r="AU456" s="100" t="str">
        <f aca="false">IF(ISBLANK($C456),"",IF($P456=Constants!$B$2,TRUE(),IF($P456=Constants!$B$3,FALSE(),TRUE())))</f>
        <v/>
      </c>
      <c r="AV456" s="100" t="str">
        <f aca="false">IF(ISBLANK($C456),"",IF($Q456=Constants!$B$2,TRUE(),IF($Q456=Constants!$B$3,FALSE(),FALSE())))</f>
        <v/>
      </c>
      <c r="AW456" s="100" t="str">
        <f aca="false">IF(ISBLANK($C456),"",IF($R456=Constants!$B$2,TRUE(),IF($R456=Constants!$B$3,FALSE(),FALSE())))</f>
        <v/>
      </c>
      <c r="AX456" s="100" t="str">
        <f aca="false">IF(ISBLANK($C456),"",IF($S456=Constants!$B$2,TRUE(),IF($S456=Constants!$B$3,FALSE(),FALSE())))</f>
        <v/>
      </c>
      <c r="AY456" s="100" t="str">
        <f aca="false">IF(ISBLANK($C456),"",IF($T456=Constants!$B$2,TRUE(),IF($T456=Constants!$B$3,FALSE(),FALSE())))</f>
        <v/>
      </c>
      <c r="AZ456" s="100" t="str">
        <f aca="false">IF(ISBLANK($C456),"",IF($U456=Constants!$B$2,TRUE(),IF($U456=Constants!$B$3,FALSE(),FALSE())))</f>
        <v/>
      </c>
      <c r="BA456" s="100" t="str">
        <f aca="false">IF(ISBLANK($C456),"",IF(OR($V456&amp;""="1",$V456&amp;""="2",$V456&amp;""="3",$V456&amp;""="4"),VALUE($V456&amp;""),IF($V456=Constants!$B$12,Constants!$B$12,"")))</f>
        <v/>
      </c>
      <c r="BB456" s="100" t="str">
        <f aca="false">IF(ISBLANK($C456),"",IF(ISBLANK($W456),0,IF(ISNUMBER($W456),IF(AND($W456&gt;=0,$W456&lt;=Constants!$B$21,$W456=INT($W456)),$W456,""),"")))</f>
        <v/>
      </c>
      <c r="BC456" s="100" t="str">
        <f aca="false">IF(ISBLANK($C456),"",IF(ISBLANK($X456),0,IF(ISNUMBER($X456),IF($X456&gt;=0,$X456,""),"")))</f>
        <v/>
      </c>
      <c r="BD456" s="100" t="str">
        <f aca="false">IF(ISBLANK($C456),"",IF($Y456=Constants!$B$2,TRUE(),IF($Y456=Constants!$B$3,FALSE(),TRUE())))</f>
        <v/>
      </c>
      <c r="BE456" s="100" t="str">
        <f aca="false">IF(ISBLANK($C456),"",IF($Z456=Constants!$B$2,TRUE(),IF($Z456=Constants!$B$3,FALSE(),FALSE())))</f>
        <v/>
      </c>
      <c r="BF456" s="100" t="str">
        <f aca="false">IF(ISBLANK($C456),"",IF(ISBLANK($AA456),0,IF(ISNUMBER($AA456),IF(AND($AA456&gt;=0,$AA456&lt;=Constants!$B$35,$AA456=INT($AA456)),$AA456,""),"")))</f>
        <v/>
      </c>
      <c r="BG456" s="100" t="str">
        <f aca="false">IF(ISBLANK($C456),"",IF($AB456=Constants!$B$2,TRUE(),IF($AB456=Constants!$B$3,FALSE(),TRUE())))</f>
        <v/>
      </c>
      <c r="BH456" s="100" t="str">
        <f aca="false">IF(ISBLANK($C456),"",IF($AC456=Constants!$B$2,TRUE(),IF($AC456=Constants!$B$3,FALSE(),TRUE())))</f>
        <v/>
      </c>
      <c r="BI456" s="100" t="str">
        <f aca="false">IF(ISBLANK($C456),"",IF($AD456=Constants!$B$2,TRUE(),IF($AD456=Constants!$B$3,FALSE(),TRUE())))</f>
        <v/>
      </c>
      <c r="BJ456" s="100" t="str">
        <f aca="false">IF(ISBLANK($C456),"",IF(ISNUMBER($AE456),IF($AE456&gt;=0,$AE456,""),""))</f>
        <v/>
      </c>
      <c r="BK456" s="100" t="str">
        <f aca="false">IF(ISBLANK($C456),"",IF($AF456=Constants!$B$2,TRUE(),IF($AF456=Constants!$B$3,FALSE(),FALSE())))</f>
        <v/>
      </c>
      <c r="BL456" s="99" t="str">
        <f aca="false">IF(ISBLANK($C456),"",IF($BK456,Constants!$B$7,IF(COUNTA($E456:$AE456)=0,Constants!$B$6,IF(OR(COUNTA($G456:$AE456)=0,NOT($AM456),$AS456),Constants!$B$5,IF(OR($CM456&lt;&gt;"",$CN456,$CO456,$CP456,$CQ456,$CR456,$CS456),Constants!$B$8,Constants!$B$4)))))</f>
        <v/>
      </c>
      <c r="BM456" s="100" t="str">
        <f aca="false">IF(ISBLANK($C456),"",IF($BL456&lt;&gt;Constants!$B$4,$BL456,IF(OR(NOT($AJ456),NOT($AL456),NOT($AT456)),Constants!$B$11,IF(OR(NOT($AR456),NOT($AU456),NOT($BI456),MAX($AN456,$AO456,$AP456)&gt;Constants!$B$30),Constants!$B$10,Constants!$B$9))))</f>
        <v/>
      </c>
      <c r="BN456" s="100" t="str">
        <f aca="false">IF($BL456&lt;&gt;Constants!$B$4,"",IF(NOT($AL456),0,MIN(Constants!$B$35,$BF456)))</f>
        <v/>
      </c>
      <c r="BO456" s="100" t="str">
        <f aca="false">IF($BL456&lt;&gt;Constants!$B$4,"",IF(NOT($AL456),0,IF($AW456,Constants!$B$18,IF($AV456,Constants!$B$17,0))))</f>
        <v/>
      </c>
      <c r="BP456" s="100" t="str">
        <f aca="false">IF($BL456&lt;&gt;Constants!$B$4,"",IF(NOT($AL456),0,Constants!$B$19*($AK456+$AX456+$AY456+$AZ456)))</f>
        <v/>
      </c>
      <c r="BQ456" s="100" t="str">
        <f aca="false">IF($BL456&lt;&gt;Constants!$B$4,"",IF(OR(NOT($AL456),NOT(ISNUMBER($BA456))),0,CHOOSE($BA456,Constants!$B$13,Constants!$B$14,Constants!$B$15,Constants!$B$16)))</f>
        <v/>
      </c>
      <c r="BR456" s="100" t="str">
        <f aca="false">IF($BL456&lt;&gt;Constants!$B$4,"",IF(NOT($AL456),0,Constants!$B$20*$BB456))</f>
        <v/>
      </c>
      <c r="BS456" s="100" t="str">
        <f aca="false">IF($BL456&lt;&gt;Constants!$B$4,"",IF(AND($AL456,$BD456,$BE456),Constants!$B$22,0))</f>
        <v/>
      </c>
      <c r="BT456" s="100" t="str">
        <f aca="false">IF($BL456&lt;&gt;Constants!$B$4,"",IF(OR(NOT($AL456),NOT($BD456)),0,IF($BJ456&gt;=2*$AH$9,0,Constants!$B$23*INT(ROUND(MIN($BJ456,$AH$9),6)))))</f>
        <v/>
      </c>
      <c r="BU456" s="100" t="str">
        <f aca="false">IF($BL456&lt;&gt;Constants!$B$4,"",IF(NOT($AL456),0,Constants!$B$24*INT(ROUND(MIN($BC456,$AH$9),6))))</f>
        <v/>
      </c>
      <c r="BV456" s="100" t="str">
        <f aca="false">IF($BL456&lt;&gt;Constants!$B$4,"",IF(AND($AL456,$BN456=0),Constants!$B$25,0))</f>
        <v/>
      </c>
      <c r="BW456" s="100" t="str">
        <f aca="false">IF($BL456&lt;&gt;Constants!$B$4,"",MIN(Constants!$B$29,MAX(0,Constants!$B$27*Constants!$B$28*INT(ROUND((Constants!$B$26-$AN456)/Constants!$B$28,6))))+MIN(Constants!$B$29,MAX(0,Constants!$B$27*Constants!$B$28*INT(ROUND((Constants!$B$26-$AO456)/Constants!$B$28,6))))+MIN(Constants!$B$29,MAX(0,Constants!$B$27*Constants!$B$28*INT(ROUND((Constants!$B$26-$AP456)/Constants!$B$28,6)))))</f>
        <v/>
      </c>
      <c r="BX456" s="100" t="str">
        <f aca="false">IF($BL456&lt;&gt;Constants!$B$4,"",IF(NOT($AL456),0,Constants!$B$31*INT(ROUND(MAX(0,MIN($BJ456,2*$AH$9)-$AH$9),6))))</f>
        <v/>
      </c>
      <c r="BY456" s="100" t="str">
        <f aca="false">IF($BL456&lt;&gt;Constants!$B$4,"",Constants!$B$32*(($AN456&gt;Constants!$B$26)+($AO456&gt;Constants!$B$26)+($AP456&gt;Constants!$B$26)))</f>
        <v/>
      </c>
      <c r="BZ456" s="100" t="str">
        <f aca="false">IF($BL456&lt;&gt;Constants!$B$4,"",IF(OR(NOT($AL456),$AQ456),0,Constants!$B$33))</f>
        <v/>
      </c>
      <c r="CA456" s="100" t="str">
        <f aca="false">IF($BL456&lt;&gt;Constants!$B$4,"",Constants!$B$34*$BN456)</f>
        <v/>
      </c>
      <c r="CB456" s="100" t="str">
        <f aca="false">IF($BL456&lt;&gt;Constants!$B$4,"",IF(OR(NOT($AL456),$BH456),0,Constants!$B$36))</f>
        <v/>
      </c>
      <c r="CC456" s="100" t="str">
        <f aca="false">IF($BL456&lt;&gt;Constants!$B$4,"",IF(OR(NOT($AL456),$BG456),0,Constants!$B$37))</f>
        <v/>
      </c>
      <c r="CD456" s="100" t="str">
        <f aca="false">IF($BL456&lt;&gt;Constants!$B$4,"",SUM($BX456:$CC456))</f>
        <v/>
      </c>
      <c r="CE456" s="100" t="str">
        <f aca="false">IF(ISBLANK($C456),"",IF($BL456&lt;&gt;Constants!$B$4,$BL456,SUM($BO456:$BW456)-$CD456))</f>
        <v/>
      </c>
      <c r="CF456" s="100" t="str">
        <f aca="false">IF(ISBLANK($C456),"",IF($BL456&lt;&gt;Constants!$B$4,$BL456,RANK($CE456,$CE$9:$CE$508)))</f>
        <v/>
      </c>
      <c r="CG456" s="100" t="str">
        <f aca="false">IF(ISBLANK($C456),"",IF($BL456&lt;&gt;Constants!$B$4,$BL456,COUNTIFS($BM$9:$BM$508,"&lt;"&amp;$BM456)+COUNTIFS($BM$9:$BM$508,$BM456,$CF$9:$CF$508,"&lt;"&amp;$CF456)+1))</f>
        <v/>
      </c>
      <c r="CH456" s="100" t="str">
        <f aca="false">IF(ISBLANK($C456),"",IF($BL456&lt;&gt;Constants!$B$4,$BL456,RANK($CD456,$CD$9:$CD$508,1)))</f>
        <v/>
      </c>
      <c r="CI456" s="100" t="str">
        <f aca="false">IF($BL456&lt;&gt;Constants!$B$4,"",$AN456+$AO456+$AP456)</f>
        <v/>
      </c>
      <c r="CJ456" s="100" t="str">
        <f aca="false">IF(ISBLANK($C456),"",IF($BL456&lt;&gt;Constants!$B$4,$BL456,RANK($CI456,$CI$9:$CI$508,1)))</f>
        <v/>
      </c>
      <c r="CK456" s="100" t="str">
        <f aca="false">IF(ISBLANK($C456),"",IF($BL456&lt;&gt;Constants!$B$4,$BL456,COUNTIFS($BM$9:$BM$508,"&lt;"&amp;$BM456)+COUNTIFS($BM$9:$BM$508,$BM456,$CF$9:$CF$508,"&lt;"&amp;$CF456)+COUNTIFS($BM$9:$BM$508,$BM456,$CF$9:$CF$508,$CF456,$CH$9:$CH$508,"&lt;"&amp;$CH456)+COUNTIFS($BM$9:$BM$508,$BM456,$CF$9:$CF$508,$CF456,$CH$9:$CH$508,$CH456,$CJ$9:$CJ$508,"&lt;"&amp;$CJ456)+1))</f>
        <v/>
      </c>
      <c r="CL456" s="100" t="str">
        <f aca="false">IF(ISBLANK($C456),"",IF($BL456&lt;&gt;Constants!$B$4,$BL456,$CG456-$CK456))</f>
        <v/>
      </c>
      <c r="CM456" s="100" t="str">
        <f aca="false">IF(ISBLANK($C456),"",IF(NOT($AL456),"",IF(ISBLANK($D$7),$CM$5,IF(NOT(ISNUMBER($D$7)),$CM$6,""))))</f>
        <v/>
      </c>
      <c r="CN456" s="100" t="str">
        <f aca="false">IF(ISBLANK($C456),"",OR($AN456="",$AO456="",$AP456=""))</f>
        <v/>
      </c>
      <c r="CO456" s="100" t="str">
        <f aca="false">IF(ISBLANK($C456),"",AND($AL456,$BA456=""))</f>
        <v/>
      </c>
      <c r="CP456" s="100" t="str">
        <f aca="false">IF(ISBLANK($C456),"",AND($AL456,$BB456=""))</f>
        <v/>
      </c>
      <c r="CQ456" s="100" t="str">
        <f aca="false">IF(ISBLANK($C456),"",AND($AL456,$BC456=""))</f>
        <v/>
      </c>
      <c r="CR456" s="100" t="str">
        <f aca="false">IF(ISBLANK($C456),"",AND($AL456,$BF456=""))</f>
        <v/>
      </c>
      <c r="CS456" s="100" t="str">
        <f aca="false">IF(ISBLANK($C456),"",AND($AL456,$BJ456=""))</f>
        <v/>
      </c>
      <c r="CT456" s="101"/>
      <c r="CU456" s="102"/>
      <c r="CV456" s="103" t="str">
        <f aca="false">IF(ISBLANK($C456),"",IF($BL456=Constants!$B$8,$CM456,""))</f>
        <v/>
      </c>
      <c r="CW456" s="102" t="str">
        <f aca="false">IF(ISBLANK($C456),"",IF($BL456&lt;&gt;Constants!$B$4,"",$BO456+$BP456))</f>
        <v/>
      </c>
      <c r="CX456" s="104" t="str">
        <f aca="false">IF(ISBLANK($C456),"",IF($BL456&lt;&gt;Constants!$B$4,"",$BQ456+$BR456+$BS456))</f>
        <v/>
      </c>
      <c r="CY456" s="104" t="str">
        <f aca="false">IF(ISBLANK($C456),"",IF($BL456&lt;&gt;Constants!$B$4,"",$BT456))</f>
        <v/>
      </c>
      <c r="CZ456" s="104" t="str">
        <f aca="false">IF(ISBLANK($C456),"",IF($BL456&lt;&gt;Constants!$B$4,"",$BU456+$BV456))</f>
        <v/>
      </c>
      <c r="DA456" s="104" t="str">
        <f aca="false">IF(ISBLANK($C456),"",IF($BL456&lt;&gt;Constants!$B$4,"",$BW456))</f>
        <v/>
      </c>
      <c r="DB456" s="104" t="str">
        <f aca="false">IF(ISBLANK($C456),"",IF($BL456&lt;&gt;Constants!$B$4,"",-$CD456))</f>
        <v/>
      </c>
      <c r="DC456" s="103" t="str">
        <f aca="false">IF(ISBLANK($C456),"",$CE456)</f>
        <v/>
      </c>
      <c r="DD456" s="105" t="str">
        <f aca="false">IF(ISBLANK($C456),"",$BM456)</f>
        <v/>
      </c>
      <c r="DE456" s="104" t="str">
        <f aca="false">IF(ISBLANK($C456),"",$CL456)</f>
        <v/>
      </c>
      <c r="DF456" s="104" t="str">
        <f aca="false">IF(ISBLANK($C456),"",$CK456)</f>
        <v/>
      </c>
      <c r="DG456" s="106" t="str">
        <f aca="false">IF(ISBLANK($C456),"",IF($DF456=Constants!$B$7,COUNTA($C$9:$C$508)+2,IF($DF456=Constants!$B$6,COUNTA($C$9:$C$508)+1,IF($DF456=Constants!$B$5,COUNTA($C$9:$C$508),$DF456))))</f>
        <v/>
      </c>
      <c r="DH456" s="7"/>
      <c r="DI456" s="107" t="n">
        <f aca="false">IF(OR(ISNUMBER($DF456),$DF456=Constants!$B$7,$DF456=Constants!$B$5,$DF456=Constants!$B$6),1,0)</f>
        <v>0</v>
      </c>
      <c r="DJ456" s="107" t="n">
        <v>448</v>
      </c>
      <c r="DK456" s="107" t="str">
        <f aca="false">IF(ISBLANK($C456),"",IF(ISNUMBER($DG456),$DG456+ROW($B456)/1000,""))</f>
        <v/>
      </c>
      <c r="DL456" s="107" t="str">
        <f aca="false">IF(ISNUMBER($DK456),RANK($DK456,$DK$9:$DK$508,1),"")</f>
        <v/>
      </c>
      <c r="DM456" s="107" t="str">
        <f aca="false">IF(ISBLANK($C456),"",$B456)</f>
        <v/>
      </c>
      <c r="DN456" s="107" t="str">
        <f aca="false">IF(ISBLANK($C456),"",$C456)</f>
        <v/>
      </c>
      <c r="DO456" s="107" t="str">
        <f aca="false">IF(ISBLANK($C456),"",$D456)</f>
        <v/>
      </c>
      <c r="DP456" s="108" t="str">
        <f aca="false">$DD456</f>
        <v/>
      </c>
      <c r="DQ456" s="109" t="str">
        <f aca="false">$DC456</f>
        <v/>
      </c>
      <c r="DR456" s="107" t="str">
        <f aca="false">IF(ISBLANK($C456),"",$DF456)</f>
        <v/>
      </c>
      <c r="DS456" s="110" t="str">
        <f aca="false">IF($DJ456&gt;$DI$8,"",VLOOKUP($DJ456,$DL$9:$DR$508,7,FALSE()))</f>
        <v/>
      </c>
      <c r="DT456" s="111" t="str">
        <f aca="false">IF($DJ456&gt;$DI$8,"",VLOOKUP($DJ456,$DL$9:$DR$508,2,FALSE()))</f>
        <v/>
      </c>
      <c r="DU456" s="111" t="str">
        <f aca="false">IF($DJ456&gt;$DI$8,"",VLOOKUP($DJ456,$DL$9:$DR$508,3,FALSE()))</f>
        <v/>
      </c>
      <c r="DV456" s="111" t="str">
        <f aca="false">IF($DJ456&gt;$DI$8,"",VLOOKUP($DJ456,$DL$9:$DR$508,4,FALSE()))</f>
        <v/>
      </c>
      <c r="DW456" s="111" t="str">
        <f aca="false">IF($DJ456&gt;$DI$8,"",VLOOKUP($DJ456,$DL$9:$DR$508,5,FALSE()))</f>
        <v/>
      </c>
      <c r="DX456" s="112" t="str">
        <f aca="false">IF($DJ456&gt;$DI$8,"",VLOOKUP($DJ456,$DL$9:$DR$508,6,FALSE()))</f>
        <v/>
      </c>
      <c r="DY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130"/>
      <c r="N457" s="130"/>
      <c r="O457" s="135"/>
      <c r="P457" s="135"/>
      <c r="Q457" s="130"/>
      <c r="R457" s="130"/>
      <c r="S457" s="130"/>
      <c r="T457" s="130"/>
      <c r="U457" s="135"/>
      <c r="V457" s="130"/>
      <c r="W457" s="96"/>
      <c r="X457" s="130"/>
      <c r="Y457" s="130"/>
      <c r="Z457" s="96"/>
      <c r="AA457" s="96"/>
      <c r="AB457" s="130"/>
      <c r="AC457" s="130"/>
      <c r="AD457" s="130"/>
      <c r="AE457" s="97"/>
      <c r="AF457" s="130"/>
      <c r="AG457" s="99"/>
      <c r="AH457" s="100"/>
      <c r="AI457" s="100"/>
      <c r="AJ457" s="100" t="str">
        <f aca="false">IF(ISBLANK($C457),"",IF($E457=Constants!$B$2,TRUE(),IF($E457=Constants!$B$3,FALSE(),TRUE())))</f>
        <v/>
      </c>
      <c r="AK457" s="100" t="str">
        <f aca="false">IF(ISBLANK($C457),"",IF($F457=Constants!$B$2,TRUE(),IF($F457=Constants!$B$3,FALSE(),FALSE())))</f>
        <v/>
      </c>
      <c r="AL457" s="100" t="str">
        <f aca="false">IF(ISBLANK($C457),"",IF($G457=Constants!$B$2,TRUE(),IF($G457=Constants!$B$3,FALSE(),TRUE())))</f>
        <v/>
      </c>
      <c r="AM457" s="100" t="str">
        <f aca="false">IF(ISBLANK($C457),"",IF($H457=Constants!$B$2,TRUE(),IF($H457=Constants!$B$3,FALSE(),TRUE())))</f>
        <v/>
      </c>
      <c r="AN457" s="100" t="str">
        <f aca="false">IF(ISBLANK($C457),"",IF(ISNUMBER($I457),IF($I457&gt;=0,$I457,""),""))</f>
        <v/>
      </c>
      <c r="AO457" s="100" t="str">
        <f aca="false">IF(ISBLANK($C457),"",IF(ISNUMBER($J457),IF($J457&gt;=0,$J457,""),""))</f>
        <v/>
      </c>
      <c r="AP457" s="100" t="str">
        <f aca="false">IF(ISBLANK($C457),"",IF(ISNUMBER($K457),IF($K457&gt;=0,$K457,""),""))</f>
        <v/>
      </c>
      <c r="AQ457" s="100" t="str">
        <f aca="false">IF(ISBLANK($C457),"",IF($L457=Constants!$B$2,TRUE(),IF($L457=Constants!$B$3,FALSE(),TRUE())))</f>
        <v/>
      </c>
      <c r="AR457" s="100" t="str">
        <f aca="false">IF(ISBLANK($C457),"",IF($M457=Constants!$B$2,TRUE(),IF($M457=Constants!$B$3,FALSE(),TRUE())))</f>
        <v/>
      </c>
      <c r="AS457" s="100" t="str">
        <f aca="false">IF(ISBLANK($C457),"",IF($N457=Constants!$B$2,TRUE(),IF($N457=Constants!$B$3,FALSE(),FALSE())))</f>
        <v/>
      </c>
      <c r="AT457" s="100" t="str">
        <f aca="false">IF(ISBLANK($C457),"",IF($O457=Constants!$B$2,TRUE(),IF($O457=Constants!$B$3,FALSE(),TRUE())))</f>
        <v/>
      </c>
      <c r="AU457" s="100" t="str">
        <f aca="false">IF(ISBLANK($C457),"",IF($P457=Constants!$B$2,TRUE(),IF($P457=Constants!$B$3,FALSE(),TRUE())))</f>
        <v/>
      </c>
      <c r="AV457" s="100" t="str">
        <f aca="false">IF(ISBLANK($C457),"",IF($Q457=Constants!$B$2,TRUE(),IF($Q457=Constants!$B$3,FALSE(),FALSE())))</f>
        <v/>
      </c>
      <c r="AW457" s="100" t="str">
        <f aca="false">IF(ISBLANK($C457),"",IF($R457=Constants!$B$2,TRUE(),IF($R457=Constants!$B$3,FALSE(),FALSE())))</f>
        <v/>
      </c>
      <c r="AX457" s="100" t="str">
        <f aca="false">IF(ISBLANK($C457),"",IF($S457=Constants!$B$2,TRUE(),IF($S457=Constants!$B$3,FALSE(),FALSE())))</f>
        <v/>
      </c>
      <c r="AY457" s="100" t="str">
        <f aca="false">IF(ISBLANK($C457),"",IF($T457=Constants!$B$2,TRUE(),IF($T457=Constants!$B$3,FALSE(),FALSE())))</f>
        <v/>
      </c>
      <c r="AZ457" s="100" t="str">
        <f aca="false">IF(ISBLANK($C457),"",IF($U457=Constants!$B$2,TRUE(),IF($U457=Constants!$B$3,FALSE(),FALSE())))</f>
        <v/>
      </c>
      <c r="BA457" s="100" t="str">
        <f aca="false">IF(ISBLANK($C457),"",IF(OR($V457&amp;""="1",$V457&amp;""="2",$V457&amp;""="3",$V457&amp;""="4"),VALUE($V457&amp;""),IF($V457=Constants!$B$12,Constants!$B$12,"")))</f>
        <v/>
      </c>
      <c r="BB457" s="100" t="str">
        <f aca="false">IF(ISBLANK($C457),"",IF(ISBLANK($W457),0,IF(ISNUMBER($W457),IF(AND($W457&gt;=0,$W457&lt;=Constants!$B$21,$W457=INT($W457)),$W457,""),"")))</f>
        <v/>
      </c>
      <c r="BC457" s="100" t="str">
        <f aca="false">IF(ISBLANK($C457),"",IF(ISBLANK($X457),0,IF(ISNUMBER($X457),IF($X457&gt;=0,$X457,""),"")))</f>
        <v/>
      </c>
      <c r="BD457" s="100" t="str">
        <f aca="false">IF(ISBLANK($C457),"",IF($Y457=Constants!$B$2,TRUE(),IF($Y457=Constants!$B$3,FALSE(),TRUE())))</f>
        <v/>
      </c>
      <c r="BE457" s="100" t="str">
        <f aca="false">IF(ISBLANK($C457),"",IF($Z457=Constants!$B$2,TRUE(),IF($Z457=Constants!$B$3,FALSE(),FALSE())))</f>
        <v/>
      </c>
      <c r="BF457" s="100" t="str">
        <f aca="false">IF(ISBLANK($C457),"",IF(ISBLANK($AA457),0,IF(ISNUMBER($AA457),IF(AND($AA457&gt;=0,$AA457&lt;=Constants!$B$35,$AA457=INT($AA457)),$AA457,""),"")))</f>
        <v/>
      </c>
      <c r="BG457" s="100" t="str">
        <f aca="false">IF(ISBLANK($C457),"",IF($AB457=Constants!$B$2,TRUE(),IF($AB457=Constants!$B$3,FALSE(),TRUE())))</f>
        <v/>
      </c>
      <c r="BH457" s="100" t="str">
        <f aca="false">IF(ISBLANK($C457),"",IF($AC457=Constants!$B$2,TRUE(),IF($AC457=Constants!$B$3,FALSE(),TRUE())))</f>
        <v/>
      </c>
      <c r="BI457" s="100" t="str">
        <f aca="false">IF(ISBLANK($C457),"",IF($AD457=Constants!$B$2,TRUE(),IF($AD457=Constants!$B$3,FALSE(),TRUE())))</f>
        <v/>
      </c>
      <c r="BJ457" s="100" t="str">
        <f aca="false">IF(ISBLANK($C457),"",IF(ISNUMBER($AE457),IF($AE457&gt;=0,$AE457,""),""))</f>
        <v/>
      </c>
      <c r="BK457" s="100" t="str">
        <f aca="false">IF(ISBLANK($C457),"",IF($AF457=Constants!$B$2,TRUE(),IF($AF457=Constants!$B$3,FALSE(),FALSE())))</f>
        <v/>
      </c>
      <c r="BL457" s="99" t="str">
        <f aca="false">IF(ISBLANK($C457),"",IF($BK457,Constants!$B$7,IF(COUNTA($E457:$AE457)=0,Constants!$B$6,IF(OR(COUNTA($G457:$AE457)=0,NOT($AM457),$AS457),Constants!$B$5,IF(OR($CM457&lt;&gt;"",$CN457,$CO457,$CP457,$CQ457,$CR457,$CS457),Constants!$B$8,Constants!$B$4)))))</f>
        <v/>
      </c>
      <c r="BM457" s="100" t="str">
        <f aca="false">IF(ISBLANK($C457),"",IF($BL457&lt;&gt;Constants!$B$4,$BL457,IF(OR(NOT($AJ457),NOT($AL457),NOT($AT457)),Constants!$B$11,IF(OR(NOT($AR457),NOT($AU457),NOT($BI457),MAX($AN457,$AO457,$AP457)&gt;Constants!$B$30),Constants!$B$10,Constants!$B$9))))</f>
        <v/>
      </c>
      <c r="BN457" s="100" t="str">
        <f aca="false">IF($BL457&lt;&gt;Constants!$B$4,"",IF(NOT($AL457),0,MIN(Constants!$B$35,$BF457)))</f>
        <v/>
      </c>
      <c r="BO457" s="100" t="str">
        <f aca="false">IF($BL457&lt;&gt;Constants!$B$4,"",IF(NOT($AL457),0,IF($AW457,Constants!$B$18,IF($AV457,Constants!$B$17,0))))</f>
        <v/>
      </c>
      <c r="BP457" s="100" t="str">
        <f aca="false">IF($BL457&lt;&gt;Constants!$B$4,"",IF(NOT($AL457),0,Constants!$B$19*($AK457+$AX457+$AY457+$AZ457)))</f>
        <v/>
      </c>
      <c r="BQ457" s="100" t="str">
        <f aca="false">IF($BL457&lt;&gt;Constants!$B$4,"",IF(OR(NOT($AL457),NOT(ISNUMBER($BA457))),0,CHOOSE($BA457,Constants!$B$13,Constants!$B$14,Constants!$B$15,Constants!$B$16)))</f>
        <v/>
      </c>
      <c r="BR457" s="100" t="str">
        <f aca="false">IF($BL457&lt;&gt;Constants!$B$4,"",IF(NOT($AL457),0,Constants!$B$20*$BB457))</f>
        <v/>
      </c>
      <c r="BS457" s="100" t="str">
        <f aca="false">IF($BL457&lt;&gt;Constants!$B$4,"",IF(AND($AL457,$BD457,$BE457),Constants!$B$22,0))</f>
        <v/>
      </c>
      <c r="BT457" s="100" t="str">
        <f aca="false">IF($BL457&lt;&gt;Constants!$B$4,"",IF(OR(NOT($AL457),NOT($BD457)),0,IF($BJ457&gt;=2*$AH$9,0,Constants!$B$23*INT(ROUND(MIN($BJ457,$AH$9),6)))))</f>
        <v/>
      </c>
      <c r="BU457" s="100" t="str">
        <f aca="false">IF($BL457&lt;&gt;Constants!$B$4,"",IF(NOT($AL457),0,Constants!$B$24*INT(ROUND(MIN($BC457,$AH$9),6))))</f>
        <v/>
      </c>
      <c r="BV457" s="100" t="str">
        <f aca="false">IF($BL457&lt;&gt;Constants!$B$4,"",IF(AND($AL457,$BN457=0),Constants!$B$25,0))</f>
        <v/>
      </c>
      <c r="BW457" s="100" t="str">
        <f aca="false">IF($BL457&lt;&gt;Constants!$B$4,"",MIN(Constants!$B$29,MAX(0,Constants!$B$27*Constants!$B$28*INT(ROUND((Constants!$B$26-$AN457)/Constants!$B$28,6))))+MIN(Constants!$B$29,MAX(0,Constants!$B$27*Constants!$B$28*INT(ROUND((Constants!$B$26-$AO457)/Constants!$B$28,6))))+MIN(Constants!$B$29,MAX(0,Constants!$B$27*Constants!$B$28*INT(ROUND((Constants!$B$26-$AP457)/Constants!$B$28,6)))))</f>
        <v/>
      </c>
      <c r="BX457" s="100" t="str">
        <f aca="false">IF($BL457&lt;&gt;Constants!$B$4,"",IF(NOT($AL457),0,Constants!$B$31*INT(ROUND(MAX(0,MIN($BJ457,2*$AH$9)-$AH$9),6))))</f>
        <v/>
      </c>
      <c r="BY457" s="100" t="str">
        <f aca="false">IF($BL457&lt;&gt;Constants!$B$4,"",Constants!$B$32*(($AN457&gt;Constants!$B$26)+($AO457&gt;Constants!$B$26)+($AP457&gt;Constants!$B$26)))</f>
        <v/>
      </c>
      <c r="BZ457" s="100" t="str">
        <f aca="false">IF($BL457&lt;&gt;Constants!$B$4,"",IF(OR(NOT($AL457),$AQ457),0,Constants!$B$33))</f>
        <v/>
      </c>
      <c r="CA457" s="100" t="str">
        <f aca="false">IF($BL457&lt;&gt;Constants!$B$4,"",Constants!$B$34*$BN457)</f>
        <v/>
      </c>
      <c r="CB457" s="100" t="str">
        <f aca="false">IF($BL457&lt;&gt;Constants!$B$4,"",IF(OR(NOT($AL457),$BH457),0,Constants!$B$36))</f>
        <v/>
      </c>
      <c r="CC457" s="100" t="str">
        <f aca="false">IF($BL457&lt;&gt;Constants!$B$4,"",IF(OR(NOT($AL457),$BG457),0,Constants!$B$37))</f>
        <v/>
      </c>
      <c r="CD457" s="100" t="str">
        <f aca="false">IF($BL457&lt;&gt;Constants!$B$4,"",SUM($BX457:$CC457))</f>
        <v/>
      </c>
      <c r="CE457" s="100" t="str">
        <f aca="false">IF(ISBLANK($C457),"",IF($BL457&lt;&gt;Constants!$B$4,$BL457,SUM($BO457:$BW457)-$CD457))</f>
        <v/>
      </c>
      <c r="CF457" s="100" t="str">
        <f aca="false">IF(ISBLANK($C457),"",IF($BL457&lt;&gt;Constants!$B$4,$BL457,RANK($CE457,$CE$9:$CE$508)))</f>
        <v/>
      </c>
      <c r="CG457" s="100" t="str">
        <f aca="false">IF(ISBLANK($C457),"",IF($BL457&lt;&gt;Constants!$B$4,$BL457,COUNTIFS($BM$9:$BM$508,"&lt;"&amp;$BM457)+COUNTIFS($BM$9:$BM$508,$BM457,$CF$9:$CF$508,"&lt;"&amp;$CF457)+1))</f>
        <v/>
      </c>
      <c r="CH457" s="100" t="str">
        <f aca="false">IF(ISBLANK($C457),"",IF($BL457&lt;&gt;Constants!$B$4,$BL457,RANK($CD457,$CD$9:$CD$508,1)))</f>
        <v/>
      </c>
      <c r="CI457" s="100" t="str">
        <f aca="false">IF($BL457&lt;&gt;Constants!$B$4,"",$AN457+$AO457+$AP457)</f>
        <v/>
      </c>
      <c r="CJ457" s="100" t="str">
        <f aca="false">IF(ISBLANK($C457),"",IF($BL457&lt;&gt;Constants!$B$4,$BL457,RANK($CI457,$CI$9:$CI$508,1)))</f>
        <v/>
      </c>
      <c r="CK457" s="100" t="str">
        <f aca="false">IF(ISBLANK($C457),"",IF($BL457&lt;&gt;Constants!$B$4,$BL457,COUNTIFS($BM$9:$BM$508,"&lt;"&amp;$BM457)+COUNTIFS($BM$9:$BM$508,$BM457,$CF$9:$CF$508,"&lt;"&amp;$CF457)+COUNTIFS($BM$9:$BM$508,$BM457,$CF$9:$CF$508,$CF457,$CH$9:$CH$508,"&lt;"&amp;$CH457)+COUNTIFS($BM$9:$BM$508,$BM457,$CF$9:$CF$508,$CF457,$CH$9:$CH$508,$CH457,$CJ$9:$CJ$508,"&lt;"&amp;$CJ457)+1))</f>
        <v/>
      </c>
      <c r="CL457" s="100" t="str">
        <f aca="false">IF(ISBLANK($C457),"",IF($BL457&lt;&gt;Constants!$B$4,$BL457,$CG457-$CK457))</f>
        <v/>
      </c>
      <c r="CM457" s="100" t="str">
        <f aca="false">IF(ISBLANK($C457),"",IF(NOT($AL457),"",IF(ISBLANK($D$7),$CM$5,IF(NOT(ISNUMBER($D$7)),$CM$6,""))))</f>
        <v/>
      </c>
      <c r="CN457" s="100" t="str">
        <f aca="false">IF(ISBLANK($C457),"",OR($AN457="",$AO457="",$AP457=""))</f>
        <v/>
      </c>
      <c r="CO457" s="100" t="str">
        <f aca="false">IF(ISBLANK($C457),"",AND($AL457,$BA457=""))</f>
        <v/>
      </c>
      <c r="CP457" s="100" t="str">
        <f aca="false">IF(ISBLANK($C457),"",AND($AL457,$BB457=""))</f>
        <v/>
      </c>
      <c r="CQ457" s="100" t="str">
        <f aca="false">IF(ISBLANK($C457),"",AND($AL457,$BC457=""))</f>
        <v/>
      </c>
      <c r="CR457" s="100" t="str">
        <f aca="false">IF(ISBLANK($C457),"",AND($AL457,$BF457=""))</f>
        <v/>
      </c>
      <c r="CS457" s="100" t="str">
        <f aca="false">IF(ISBLANK($C457),"",AND($AL457,$BJ457=""))</f>
        <v/>
      </c>
      <c r="CT457" s="101"/>
      <c r="CU457" s="102"/>
      <c r="CV457" s="103" t="str">
        <f aca="false">IF(ISBLANK($C457),"",IF($BL457=Constants!$B$8,$CM457,""))</f>
        <v/>
      </c>
      <c r="CW457" s="102" t="str">
        <f aca="false">IF(ISBLANK($C457),"",IF($BL457&lt;&gt;Constants!$B$4,"",$BO457+$BP457))</f>
        <v/>
      </c>
      <c r="CX457" s="104" t="str">
        <f aca="false">IF(ISBLANK($C457),"",IF($BL457&lt;&gt;Constants!$B$4,"",$BQ457+$BR457+$BS457))</f>
        <v/>
      </c>
      <c r="CY457" s="104" t="str">
        <f aca="false">IF(ISBLANK($C457),"",IF($BL457&lt;&gt;Constants!$B$4,"",$BT457))</f>
        <v/>
      </c>
      <c r="CZ457" s="104" t="str">
        <f aca="false">IF(ISBLANK($C457),"",IF($BL457&lt;&gt;Constants!$B$4,"",$BU457+$BV457))</f>
        <v/>
      </c>
      <c r="DA457" s="104" t="str">
        <f aca="false">IF(ISBLANK($C457),"",IF($BL457&lt;&gt;Constants!$B$4,"",$BW457))</f>
        <v/>
      </c>
      <c r="DB457" s="104" t="str">
        <f aca="false">IF(ISBLANK($C457),"",IF($BL457&lt;&gt;Constants!$B$4,"",-$CD457))</f>
        <v/>
      </c>
      <c r="DC457" s="103" t="str">
        <f aca="false">IF(ISBLANK($C457),"",$CE457)</f>
        <v/>
      </c>
      <c r="DD457" s="105" t="str">
        <f aca="false">IF(ISBLANK($C457),"",$BM457)</f>
        <v/>
      </c>
      <c r="DE457" s="104" t="str">
        <f aca="false">IF(ISBLANK($C457),"",$CL457)</f>
        <v/>
      </c>
      <c r="DF457" s="104" t="str">
        <f aca="false">IF(ISBLANK($C457),"",$CK457)</f>
        <v/>
      </c>
      <c r="DG457" s="106" t="str">
        <f aca="false">IF(ISBLANK($C457),"",IF($DF457=Constants!$B$7,COUNTA($C$9:$C$508)+2,IF($DF457=Constants!$B$6,COUNTA($C$9:$C$508)+1,IF($DF457=Constants!$B$5,COUNTA($C$9:$C$508),$DF457))))</f>
        <v/>
      </c>
      <c r="DH457" s="7"/>
      <c r="DI457" s="107" t="n">
        <f aca="false">IF(OR(ISNUMBER($DF457),$DF457=Constants!$B$7,$DF457=Constants!$B$5,$DF457=Constants!$B$6),1,0)</f>
        <v>0</v>
      </c>
      <c r="DJ457" s="107" t="n">
        <v>449</v>
      </c>
      <c r="DK457" s="107" t="str">
        <f aca="false">IF(ISBLANK($C457),"",IF(ISNUMBER($DG457),$DG457+ROW($B457)/1000,""))</f>
        <v/>
      </c>
      <c r="DL457" s="107" t="str">
        <f aca="false">IF(ISNUMBER($DK457),RANK($DK457,$DK$9:$DK$508,1),"")</f>
        <v/>
      </c>
      <c r="DM457" s="107" t="str">
        <f aca="false">IF(ISBLANK($C457),"",$B457)</f>
        <v/>
      </c>
      <c r="DN457" s="107" t="str">
        <f aca="false">IF(ISBLANK($C457),"",$C457)</f>
        <v/>
      </c>
      <c r="DO457" s="107" t="str">
        <f aca="false">IF(ISBLANK($C457),"",$D457)</f>
        <v/>
      </c>
      <c r="DP457" s="108" t="str">
        <f aca="false">$DD457</f>
        <v/>
      </c>
      <c r="DQ457" s="109" t="str">
        <f aca="false">$DC457</f>
        <v/>
      </c>
      <c r="DR457" s="107" t="str">
        <f aca="false">IF(ISBLANK($C457),"",$DF457)</f>
        <v/>
      </c>
      <c r="DS457" s="110" t="str">
        <f aca="false">IF($DJ457&gt;$DI$8,"",VLOOKUP($DJ457,$DL$9:$DR$508,7,FALSE()))</f>
        <v/>
      </c>
      <c r="DT457" s="111" t="str">
        <f aca="false">IF($DJ457&gt;$DI$8,"",VLOOKUP($DJ457,$DL$9:$DR$508,2,FALSE()))</f>
        <v/>
      </c>
      <c r="DU457" s="111" t="str">
        <f aca="false">IF($DJ457&gt;$DI$8,"",VLOOKUP($DJ457,$DL$9:$DR$508,3,FALSE()))</f>
        <v/>
      </c>
      <c r="DV457" s="111" t="str">
        <f aca="false">IF($DJ457&gt;$DI$8,"",VLOOKUP($DJ457,$DL$9:$DR$508,4,FALSE()))</f>
        <v/>
      </c>
      <c r="DW457" s="111" t="str">
        <f aca="false">IF($DJ457&gt;$DI$8,"",VLOOKUP($DJ457,$DL$9:$DR$508,5,FALSE()))</f>
        <v/>
      </c>
      <c r="DX457" s="112" t="str">
        <f aca="false">IF($DJ457&gt;$DI$8,"",VLOOKUP($DJ457,$DL$9:$DR$508,6,FALSE()))</f>
        <v/>
      </c>
      <c r="DY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130"/>
      <c r="N458" s="130"/>
      <c r="O458" s="135"/>
      <c r="P458" s="135"/>
      <c r="Q458" s="130"/>
      <c r="R458" s="130"/>
      <c r="S458" s="130"/>
      <c r="T458" s="130"/>
      <c r="U458" s="135"/>
      <c r="V458" s="130"/>
      <c r="W458" s="96"/>
      <c r="X458" s="130"/>
      <c r="Y458" s="130"/>
      <c r="Z458" s="96"/>
      <c r="AA458" s="96"/>
      <c r="AB458" s="130"/>
      <c r="AC458" s="130"/>
      <c r="AD458" s="130"/>
      <c r="AE458" s="97"/>
      <c r="AF458" s="130"/>
      <c r="AG458" s="99"/>
      <c r="AH458" s="100"/>
      <c r="AI458" s="100"/>
      <c r="AJ458" s="100" t="str">
        <f aca="false">IF(ISBLANK($C458),"",IF($E458=Constants!$B$2,TRUE(),IF($E458=Constants!$B$3,FALSE(),TRUE())))</f>
        <v/>
      </c>
      <c r="AK458" s="100" t="str">
        <f aca="false">IF(ISBLANK($C458),"",IF($F458=Constants!$B$2,TRUE(),IF($F458=Constants!$B$3,FALSE(),FALSE())))</f>
        <v/>
      </c>
      <c r="AL458" s="100" t="str">
        <f aca="false">IF(ISBLANK($C458),"",IF($G458=Constants!$B$2,TRUE(),IF($G458=Constants!$B$3,FALSE(),TRUE())))</f>
        <v/>
      </c>
      <c r="AM458" s="100" t="str">
        <f aca="false">IF(ISBLANK($C458),"",IF($H458=Constants!$B$2,TRUE(),IF($H458=Constants!$B$3,FALSE(),TRUE())))</f>
        <v/>
      </c>
      <c r="AN458" s="100" t="str">
        <f aca="false">IF(ISBLANK($C458),"",IF(ISNUMBER($I458),IF($I458&gt;=0,$I458,""),""))</f>
        <v/>
      </c>
      <c r="AO458" s="100" t="str">
        <f aca="false">IF(ISBLANK($C458),"",IF(ISNUMBER($J458),IF($J458&gt;=0,$J458,""),""))</f>
        <v/>
      </c>
      <c r="AP458" s="100" t="str">
        <f aca="false">IF(ISBLANK($C458),"",IF(ISNUMBER($K458),IF($K458&gt;=0,$K458,""),""))</f>
        <v/>
      </c>
      <c r="AQ458" s="100" t="str">
        <f aca="false">IF(ISBLANK($C458),"",IF($L458=Constants!$B$2,TRUE(),IF($L458=Constants!$B$3,FALSE(),TRUE())))</f>
        <v/>
      </c>
      <c r="AR458" s="100" t="str">
        <f aca="false">IF(ISBLANK($C458),"",IF($M458=Constants!$B$2,TRUE(),IF($M458=Constants!$B$3,FALSE(),TRUE())))</f>
        <v/>
      </c>
      <c r="AS458" s="100" t="str">
        <f aca="false">IF(ISBLANK($C458),"",IF($N458=Constants!$B$2,TRUE(),IF($N458=Constants!$B$3,FALSE(),FALSE())))</f>
        <v/>
      </c>
      <c r="AT458" s="100" t="str">
        <f aca="false">IF(ISBLANK($C458),"",IF($O458=Constants!$B$2,TRUE(),IF($O458=Constants!$B$3,FALSE(),TRUE())))</f>
        <v/>
      </c>
      <c r="AU458" s="100" t="str">
        <f aca="false">IF(ISBLANK($C458),"",IF($P458=Constants!$B$2,TRUE(),IF($P458=Constants!$B$3,FALSE(),TRUE())))</f>
        <v/>
      </c>
      <c r="AV458" s="100" t="str">
        <f aca="false">IF(ISBLANK($C458),"",IF($Q458=Constants!$B$2,TRUE(),IF($Q458=Constants!$B$3,FALSE(),FALSE())))</f>
        <v/>
      </c>
      <c r="AW458" s="100" t="str">
        <f aca="false">IF(ISBLANK($C458),"",IF($R458=Constants!$B$2,TRUE(),IF($R458=Constants!$B$3,FALSE(),FALSE())))</f>
        <v/>
      </c>
      <c r="AX458" s="100" t="str">
        <f aca="false">IF(ISBLANK($C458),"",IF($S458=Constants!$B$2,TRUE(),IF($S458=Constants!$B$3,FALSE(),FALSE())))</f>
        <v/>
      </c>
      <c r="AY458" s="100" t="str">
        <f aca="false">IF(ISBLANK($C458),"",IF($T458=Constants!$B$2,TRUE(),IF($T458=Constants!$B$3,FALSE(),FALSE())))</f>
        <v/>
      </c>
      <c r="AZ458" s="100" t="str">
        <f aca="false">IF(ISBLANK($C458),"",IF($U458=Constants!$B$2,TRUE(),IF($U458=Constants!$B$3,FALSE(),FALSE())))</f>
        <v/>
      </c>
      <c r="BA458" s="100" t="str">
        <f aca="false">IF(ISBLANK($C458),"",IF(OR($V458&amp;""="1",$V458&amp;""="2",$V458&amp;""="3",$V458&amp;""="4"),VALUE($V458&amp;""),IF($V458=Constants!$B$12,Constants!$B$12,"")))</f>
        <v/>
      </c>
      <c r="BB458" s="100" t="str">
        <f aca="false">IF(ISBLANK($C458),"",IF(ISBLANK($W458),0,IF(ISNUMBER($W458),IF(AND($W458&gt;=0,$W458&lt;=Constants!$B$21,$W458=INT($W458)),$W458,""),"")))</f>
        <v/>
      </c>
      <c r="BC458" s="100" t="str">
        <f aca="false">IF(ISBLANK($C458),"",IF(ISBLANK($X458),0,IF(ISNUMBER($X458),IF($X458&gt;=0,$X458,""),"")))</f>
        <v/>
      </c>
      <c r="BD458" s="100" t="str">
        <f aca="false">IF(ISBLANK($C458),"",IF($Y458=Constants!$B$2,TRUE(),IF($Y458=Constants!$B$3,FALSE(),TRUE())))</f>
        <v/>
      </c>
      <c r="BE458" s="100" t="str">
        <f aca="false">IF(ISBLANK($C458),"",IF($Z458=Constants!$B$2,TRUE(),IF($Z458=Constants!$B$3,FALSE(),FALSE())))</f>
        <v/>
      </c>
      <c r="BF458" s="100" t="str">
        <f aca="false">IF(ISBLANK($C458),"",IF(ISBLANK($AA458),0,IF(ISNUMBER($AA458),IF(AND($AA458&gt;=0,$AA458&lt;=Constants!$B$35,$AA458=INT($AA458)),$AA458,""),"")))</f>
        <v/>
      </c>
      <c r="BG458" s="100" t="str">
        <f aca="false">IF(ISBLANK($C458),"",IF($AB458=Constants!$B$2,TRUE(),IF($AB458=Constants!$B$3,FALSE(),TRUE())))</f>
        <v/>
      </c>
      <c r="BH458" s="100" t="str">
        <f aca="false">IF(ISBLANK($C458),"",IF($AC458=Constants!$B$2,TRUE(),IF($AC458=Constants!$B$3,FALSE(),TRUE())))</f>
        <v/>
      </c>
      <c r="BI458" s="100" t="str">
        <f aca="false">IF(ISBLANK($C458),"",IF($AD458=Constants!$B$2,TRUE(),IF($AD458=Constants!$B$3,FALSE(),TRUE())))</f>
        <v/>
      </c>
      <c r="BJ458" s="100" t="str">
        <f aca="false">IF(ISBLANK($C458),"",IF(ISNUMBER($AE458),IF($AE458&gt;=0,$AE458,""),""))</f>
        <v/>
      </c>
      <c r="BK458" s="100" t="str">
        <f aca="false">IF(ISBLANK($C458),"",IF($AF458=Constants!$B$2,TRUE(),IF($AF458=Constants!$B$3,FALSE(),FALSE())))</f>
        <v/>
      </c>
      <c r="BL458" s="99" t="str">
        <f aca="false">IF(ISBLANK($C458),"",IF($BK458,Constants!$B$7,IF(COUNTA($E458:$AE458)=0,Constants!$B$6,IF(OR(COUNTA($G458:$AE458)=0,NOT($AM458),$AS458),Constants!$B$5,IF(OR($CM458&lt;&gt;"",$CN458,$CO458,$CP458,$CQ458,$CR458,$CS458),Constants!$B$8,Constants!$B$4)))))</f>
        <v/>
      </c>
      <c r="BM458" s="100" t="str">
        <f aca="false">IF(ISBLANK($C458),"",IF($BL458&lt;&gt;Constants!$B$4,$BL458,IF(OR(NOT($AJ458),NOT($AL458),NOT($AT458)),Constants!$B$11,IF(OR(NOT($AR458),NOT($AU458),NOT($BI458),MAX($AN458,$AO458,$AP458)&gt;Constants!$B$30),Constants!$B$10,Constants!$B$9))))</f>
        <v/>
      </c>
      <c r="BN458" s="100" t="str">
        <f aca="false">IF($BL458&lt;&gt;Constants!$B$4,"",IF(NOT($AL458),0,MIN(Constants!$B$35,$BF458)))</f>
        <v/>
      </c>
      <c r="BO458" s="100" t="str">
        <f aca="false">IF($BL458&lt;&gt;Constants!$B$4,"",IF(NOT($AL458),0,IF($AW458,Constants!$B$18,IF($AV458,Constants!$B$17,0))))</f>
        <v/>
      </c>
      <c r="BP458" s="100" t="str">
        <f aca="false">IF($BL458&lt;&gt;Constants!$B$4,"",IF(NOT($AL458),0,Constants!$B$19*($AK458+$AX458+$AY458+$AZ458)))</f>
        <v/>
      </c>
      <c r="BQ458" s="100" t="str">
        <f aca="false">IF($BL458&lt;&gt;Constants!$B$4,"",IF(OR(NOT($AL458),NOT(ISNUMBER($BA458))),0,CHOOSE($BA458,Constants!$B$13,Constants!$B$14,Constants!$B$15,Constants!$B$16)))</f>
        <v/>
      </c>
      <c r="BR458" s="100" t="str">
        <f aca="false">IF($BL458&lt;&gt;Constants!$B$4,"",IF(NOT($AL458),0,Constants!$B$20*$BB458))</f>
        <v/>
      </c>
      <c r="BS458" s="100" t="str">
        <f aca="false">IF($BL458&lt;&gt;Constants!$B$4,"",IF(AND($AL458,$BD458,$BE458),Constants!$B$22,0))</f>
        <v/>
      </c>
      <c r="BT458" s="100" t="str">
        <f aca="false">IF($BL458&lt;&gt;Constants!$B$4,"",IF(OR(NOT($AL458),NOT($BD458)),0,IF($BJ458&gt;=2*$AH$9,0,Constants!$B$23*INT(ROUND(MIN($BJ458,$AH$9),6)))))</f>
        <v/>
      </c>
      <c r="BU458" s="100" t="str">
        <f aca="false">IF($BL458&lt;&gt;Constants!$B$4,"",IF(NOT($AL458),0,Constants!$B$24*INT(ROUND(MIN($BC458,$AH$9),6))))</f>
        <v/>
      </c>
      <c r="BV458" s="100" t="str">
        <f aca="false">IF($BL458&lt;&gt;Constants!$B$4,"",IF(AND($AL458,$BN458=0),Constants!$B$25,0))</f>
        <v/>
      </c>
      <c r="BW458" s="100" t="str">
        <f aca="false">IF($BL458&lt;&gt;Constants!$B$4,"",MIN(Constants!$B$29,MAX(0,Constants!$B$27*Constants!$B$28*INT(ROUND((Constants!$B$26-$AN458)/Constants!$B$28,6))))+MIN(Constants!$B$29,MAX(0,Constants!$B$27*Constants!$B$28*INT(ROUND((Constants!$B$26-$AO458)/Constants!$B$28,6))))+MIN(Constants!$B$29,MAX(0,Constants!$B$27*Constants!$B$28*INT(ROUND((Constants!$B$26-$AP458)/Constants!$B$28,6)))))</f>
        <v/>
      </c>
      <c r="BX458" s="100" t="str">
        <f aca="false">IF($BL458&lt;&gt;Constants!$B$4,"",IF(NOT($AL458),0,Constants!$B$31*INT(ROUND(MAX(0,MIN($BJ458,2*$AH$9)-$AH$9),6))))</f>
        <v/>
      </c>
      <c r="BY458" s="100" t="str">
        <f aca="false">IF($BL458&lt;&gt;Constants!$B$4,"",Constants!$B$32*(($AN458&gt;Constants!$B$26)+($AO458&gt;Constants!$B$26)+($AP458&gt;Constants!$B$26)))</f>
        <v/>
      </c>
      <c r="BZ458" s="100" t="str">
        <f aca="false">IF($BL458&lt;&gt;Constants!$B$4,"",IF(OR(NOT($AL458),$AQ458),0,Constants!$B$33))</f>
        <v/>
      </c>
      <c r="CA458" s="100" t="str">
        <f aca="false">IF($BL458&lt;&gt;Constants!$B$4,"",Constants!$B$34*$BN458)</f>
        <v/>
      </c>
      <c r="CB458" s="100" t="str">
        <f aca="false">IF($BL458&lt;&gt;Constants!$B$4,"",IF(OR(NOT($AL458),$BH458),0,Constants!$B$36))</f>
        <v/>
      </c>
      <c r="CC458" s="100" t="str">
        <f aca="false">IF($BL458&lt;&gt;Constants!$B$4,"",IF(OR(NOT($AL458),$BG458),0,Constants!$B$37))</f>
        <v/>
      </c>
      <c r="CD458" s="100" t="str">
        <f aca="false">IF($BL458&lt;&gt;Constants!$B$4,"",SUM($BX458:$CC458))</f>
        <v/>
      </c>
      <c r="CE458" s="100" t="str">
        <f aca="false">IF(ISBLANK($C458),"",IF($BL458&lt;&gt;Constants!$B$4,$BL458,SUM($BO458:$BW458)-$CD458))</f>
        <v/>
      </c>
      <c r="CF458" s="100" t="str">
        <f aca="false">IF(ISBLANK($C458),"",IF($BL458&lt;&gt;Constants!$B$4,$BL458,RANK($CE458,$CE$9:$CE$508)))</f>
        <v/>
      </c>
      <c r="CG458" s="100" t="str">
        <f aca="false">IF(ISBLANK($C458),"",IF($BL458&lt;&gt;Constants!$B$4,$BL458,COUNTIFS($BM$9:$BM$508,"&lt;"&amp;$BM458)+COUNTIFS($BM$9:$BM$508,$BM458,$CF$9:$CF$508,"&lt;"&amp;$CF458)+1))</f>
        <v/>
      </c>
      <c r="CH458" s="100" t="str">
        <f aca="false">IF(ISBLANK($C458),"",IF($BL458&lt;&gt;Constants!$B$4,$BL458,RANK($CD458,$CD$9:$CD$508,1)))</f>
        <v/>
      </c>
      <c r="CI458" s="100" t="str">
        <f aca="false">IF($BL458&lt;&gt;Constants!$B$4,"",$AN458+$AO458+$AP458)</f>
        <v/>
      </c>
      <c r="CJ458" s="100" t="str">
        <f aca="false">IF(ISBLANK($C458),"",IF($BL458&lt;&gt;Constants!$B$4,$BL458,RANK($CI458,$CI$9:$CI$508,1)))</f>
        <v/>
      </c>
      <c r="CK458" s="100" t="str">
        <f aca="false">IF(ISBLANK($C458),"",IF($BL458&lt;&gt;Constants!$B$4,$BL458,COUNTIFS($BM$9:$BM$508,"&lt;"&amp;$BM458)+COUNTIFS($BM$9:$BM$508,$BM458,$CF$9:$CF$508,"&lt;"&amp;$CF458)+COUNTIFS($BM$9:$BM$508,$BM458,$CF$9:$CF$508,$CF458,$CH$9:$CH$508,"&lt;"&amp;$CH458)+COUNTIFS($BM$9:$BM$508,$BM458,$CF$9:$CF$508,$CF458,$CH$9:$CH$508,$CH458,$CJ$9:$CJ$508,"&lt;"&amp;$CJ458)+1))</f>
        <v/>
      </c>
      <c r="CL458" s="100" t="str">
        <f aca="false">IF(ISBLANK($C458),"",IF($BL458&lt;&gt;Constants!$B$4,$BL458,$CG458-$CK458))</f>
        <v/>
      </c>
      <c r="CM458" s="100" t="str">
        <f aca="false">IF(ISBLANK($C458),"",IF(NOT($AL458),"",IF(ISBLANK($D$7),$CM$5,IF(NOT(ISNUMBER($D$7)),$CM$6,""))))</f>
        <v/>
      </c>
      <c r="CN458" s="100" t="str">
        <f aca="false">IF(ISBLANK($C458),"",OR($AN458="",$AO458="",$AP458=""))</f>
        <v/>
      </c>
      <c r="CO458" s="100" t="str">
        <f aca="false">IF(ISBLANK($C458),"",AND($AL458,$BA458=""))</f>
        <v/>
      </c>
      <c r="CP458" s="100" t="str">
        <f aca="false">IF(ISBLANK($C458),"",AND($AL458,$BB458=""))</f>
        <v/>
      </c>
      <c r="CQ458" s="100" t="str">
        <f aca="false">IF(ISBLANK($C458),"",AND($AL458,$BC458=""))</f>
        <v/>
      </c>
      <c r="CR458" s="100" t="str">
        <f aca="false">IF(ISBLANK($C458),"",AND($AL458,$BF458=""))</f>
        <v/>
      </c>
      <c r="CS458" s="100" t="str">
        <f aca="false">IF(ISBLANK($C458),"",AND($AL458,$BJ458=""))</f>
        <v/>
      </c>
      <c r="CT458" s="101"/>
      <c r="CU458" s="102"/>
      <c r="CV458" s="103" t="str">
        <f aca="false">IF(ISBLANK($C458),"",IF($BL458=Constants!$B$8,$CM458,""))</f>
        <v/>
      </c>
      <c r="CW458" s="102" t="str">
        <f aca="false">IF(ISBLANK($C458),"",IF($BL458&lt;&gt;Constants!$B$4,"",$BO458+$BP458))</f>
        <v/>
      </c>
      <c r="CX458" s="104" t="str">
        <f aca="false">IF(ISBLANK($C458),"",IF($BL458&lt;&gt;Constants!$B$4,"",$BQ458+$BR458+$BS458))</f>
        <v/>
      </c>
      <c r="CY458" s="104" t="str">
        <f aca="false">IF(ISBLANK($C458),"",IF($BL458&lt;&gt;Constants!$B$4,"",$BT458))</f>
        <v/>
      </c>
      <c r="CZ458" s="104" t="str">
        <f aca="false">IF(ISBLANK($C458),"",IF($BL458&lt;&gt;Constants!$B$4,"",$BU458+$BV458))</f>
        <v/>
      </c>
      <c r="DA458" s="104" t="str">
        <f aca="false">IF(ISBLANK($C458),"",IF($BL458&lt;&gt;Constants!$B$4,"",$BW458))</f>
        <v/>
      </c>
      <c r="DB458" s="104" t="str">
        <f aca="false">IF(ISBLANK($C458),"",IF($BL458&lt;&gt;Constants!$B$4,"",-$CD458))</f>
        <v/>
      </c>
      <c r="DC458" s="103" t="str">
        <f aca="false">IF(ISBLANK($C458),"",$CE458)</f>
        <v/>
      </c>
      <c r="DD458" s="105" t="str">
        <f aca="false">IF(ISBLANK($C458),"",$BM458)</f>
        <v/>
      </c>
      <c r="DE458" s="104" t="str">
        <f aca="false">IF(ISBLANK($C458),"",$CL458)</f>
        <v/>
      </c>
      <c r="DF458" s="104" t="str">
        <f aca="false">IF(ISBLANK($C458),"",$CK458)</f>
        <v/>
      </c>
      <c r="DG458" s="106" t="str">
        <f aca="false">IF(ISBLANK($C458),"",IF($DF458=Constants!$B$7,COUNTA($C$9:$C$508)+2,IF($DF458=Constants!$B$6,COUNTA($C$9:$C$508)+1,IF($DF458=Constants!$B$5,COUNTA($C$9:$C$508),$DF458))))</f>
        <v/>
      </c>
      <c r="DH458" s="7"/>
      <c r="DI458" s="107" t="n">
        <f aca="false">IF(OR(ISNUMBER($DF458),$DF458=Constants!$B$7,$DF458=Constants!$B$5,$DF458=Constants!$B$6),1,0)</f>
        <v>0</v>
      </c>
      <c r="DJ458" s="107" t="n">
        <v>450</v>
      </c>
      <c r="DK458" s="107" t="str">
        <f aca="false">IF(ISBLANK($C458),"",IF(ISNUMBER($DG458),$DG458+ROW($B458)/1000,""))</f>
        <v/>
      </c>
      <c r="DL458" s="107" t="str">
        <f aca="false">IF(ISNUMBER($DK458),RANK($DK458,$DK$9:$DK$508,1),"")</f>
        <v/>
      </c>
      <c r="DM458" s="107" t="str">
        <f aca="false">IF(ISBLANK($C458),"",$B458)</f>
        <v/>
      </c>
      <c r="DN458" s="107" t="str">
        <f aca="false">IF(ISBLANK($C458),"",$C458)</f>
        <v/>
      </c>
      <c r="DO458" s="107" t="str">
        <f aca="false">IF(ISBLANK($C458),"",$D458)</f>
        <v/>
      </c>
      <c r="DP458" s="108" t="str">
        <f aca="false">$DD458</f>
        <v/>
      </c>
      <c r="DQ458" s="109" t="str">
        <f aca="false">$DC458</f>
        <v/>
      </c>
      <c r="DR458" s="107" t="str">
        <f aca="false">IF(ISBLANK($C458),"",$DF458)</f>
        <v/>
      </c>
      <c r="DS458" s="110" t="str">
        <f aca="false">IF($DJ458&gt;$DI$8,"",VLOOKUP($DJ458,$DL$9:$DR$508,7,FALSE()))</f>
        <v/>
      </c>
      <c r="DT458" s="111" t="str">
        <f aca="false">IF($DJ458&gt;$DI$8,"",VLOOKUP($DJ458,$DL$9:$DR$508,2,FALSE()))</f>
        <v/>
      </c>
      <c r="DU458" s="111" t="str">
        <f aca="false">IF($DJ458&gt;$DI$8,"",VLOOKUP($DJ458,$DL$9:$DR$508,3,FALSE()))</f>
        <v/>
      </c>
      <c r="DV458" s="111" t="str">
        <f aca="false">IF($DJ458&gt;$DI$8,"",VLOOKUP($DJ458,$DL$9:$DR$508,4,FALSE()))</f>
        <v/>
      </c>
      <c r="DW458" s="111" t="str">
        <f aca="false">IF($DJ458&gt;$DI$8,"",VLOOKUP($DJ458,$DL$9:$DR$508,5,FALSE()))</f>
        <v/>
      </c>
      <c r="DX458" s="112" t="str">
        <f aca="false">IF($DJ458&gt;$DI$8,"",VLOOKUP($DJ458,$DL$9:$DR$508,6,FALSE()))</f>
        <v/>
      </c>
      <c r="DY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88"/>
      <c r="N459" s="88"/>
      <c r="O459" s="134"/>
      <c r="P459" s="134"/>
      <c r="Q459" s="88"/>
      <c r="R459" s="88"/>
      <c r="S459" s="88"/>
      <c r="T459" s="88"/>
      <c r="U459" s="134"/>
      <c r="V459" s="88"/>
      <c r="W459" s="70"/>
      <c r="X459" s="88"/>
      <c r="Y459" s="88"/>
      <c r="Z459" s="70"/>
      <c r="AA459" s="70"/>
      <c r="AB459" s="88"/>
      <c r="AC459" s="88"/>
      <c r="AD459" s="88"/>
      <c r="AE459" s="71"/>
      <c r="AF459" s="88"/>
      <c r="AG459" s="73"/>
      <c r="AH459" s="74"/>
      <c r="AI459" s="74"/>
      <c r="AJ459" s="74" t="str">
        <f aca="false">IF(ISBLANK($C459),"",IF($E459=Constants!$B$2,TRUE(),IF($E459=Constants!$B$3,FALSE(),TRUE())))</f>
        <v/>
      </c>
      <c r="AK459" s="74" t="str">
        <f aca="false">IF(ISBLANK($C459),"",IF($F459=Constants!$B$2,TRUE(),IF($F459=Constants!$B$3,FALSE(),FALSE())))</f>
        <v/>
      </c>
      <c r="AL459" s="74" t="str">
        <f aca="false">IF(ISBLANK($C459),"",IF($G459=Constants!$B$2,TRUE(),IF($G459=Constants!$B$3,FALSE(),TRUE())))</f>
        <v/>
      </c>
      <c r="AM459" s="74" t="str">
        <f aca="false">IF(ISBLANK($C459),"",IF($H459=Constants!$B$2,TRUE(),IF($H459=Constants!$B$3,FALSE(),TRUE())))</f>
        <v/>
      </c>
      <c r="AN459" s="74" t="str">
        <f aca="false">IF(ISBLANK($C459),"",IF(ISNUMBER($I459),IF($I459&gt;=0,$I459,""),""))</f>
        <v/>
      </c>
      <c r="AO459" s="74" t="str">
        <f aca="false">IF(ISBLANK($C459),"",IF(ISNUMBER($J459),IF($J459&gt;=0,$J459,""),""))</f>
        <v/>
      </c>
      <c r="AP459" s="74" t="str">
        <f aca="false">IF(ISBLANK($C459),"",IF(ISNUMBER($K459),IF($K459&gt;=0,$K459,""),""))</f>
        <v/>
      </c>
      <c r="AQ459" s="74" t="str">
        <f aca="false">IF(ISBLANK($C459),"",IF($L459=Constants!$B$2,TRUE(),IF($L459=Constants!$B$3,FALSE(),TRUE())))</f>
        <v/>
      </c>
      <c r="AR459" s="74" t="str">
        <f aca="false">IF(ISBLANK($C459),"",IF($M459=Constants!$B$2,TRUE(),IF($M459=Constants!$B$3,FALSE(),TRUE())))</f>
        <v/>
      </c>
      <c r="AS459" s="74" t="str">
        <f aca="false">IF(ISBLANK($C459),"",IF($N459=Constants!$B$2,TRUE(),IF($N459=Constants!$B$3,FALSE(),FALSE())))</f>
        <v/>
      </c>
      <c r="AT459" s="74" t="str">
        <f aca="false">IF(ISBLANK($C459),"",IF($O459=Constants!$B$2,TRUE(),IF($O459=Constants!$B$3,FALSE(),TRUE())))</f>
        <v/>
      </c>
      <c r="AU459" s="74" t="str">
        <f aca="false">IF(ISBLANK($C459),"",IF($P459=Constants!$B$2,TRUE(),IF($P459=Constants!$B$3,FALSE(),TRUE())))</f>
        <v/>
      </c>
      <c r="AV459" s="74" t="str">
        <f aca="false">IF(ISBLANK($C459),"",IF($Q459=Constants!$B$2,TRUE(),IF($Q459=Constants!$B$3,FALSE(),FALSE())))</f>
        <v/>
      </c>
      <c r="AW459" s="74" t="str">
        <f aca="false">IF(ISBLANK($C459),"",IF($R459=Constants!$B$2,TRUE(),IF($R459=Constants!$B$3,FALSE(),FALSE())))</f>
        <v/>
      </c>
      <c r="AX459" s="74" t="str">
        <f aca="false">IF(ISBLANK($C459),"",IF($S459=Constants!$B$2,TRUE(),IF($S459=Constants!$B$3,FALSE(),FALSE())))</f>
        <v/>
      </c>
      <c r="AY459" s="74" t="str">
        <f aca="false">IF(ISBLANK($C459),"",IF($T459=Constants!$B$2,TRUE(),IF($T459=Constants!$B$3,FALSE(),FALSE())))</f>
        <v/>
      </c>
      <c r="AZ459" s="74" t="str">
        <f aca="false">IF(ISBLANK($C459),"",IF($U459=Constants!$B$2,TRUE(),IF($U459=Constants!$B$3,FALSE(),FALSE())))</f>
        <v/>
      </c>
      <c r="BA459" s="74" t="str">
        <f aca="false">IF(ISBLANK($C459),"",IF(OR($V459&amp;""="1",$V459&amp;""="2",$V459&amp;""="3",$V459&amp;""="4"),VALUE($V459&amp;""),IF($V459=Constants!$B$12,Constants!$B$12,"")))</f>
        <v/>
      </c>
      <c r="BB459" s="74" t="str">
        <f aca="false">IF(ISBLANK($C459),"",IF(ISBLANK($W459),0,IF(ISNUMBER($W459),IF(AND($W459&gt;=0,$W459&lt;=Constants!$B$21,$W459=INT($W459)),$W459,""),"")))</f>
        <v/>
      </c>
      <c r="BC459" s="74" t="str">
        <f aca="false">IF(ISBLANK($C459),"",IF(ISBLANK($X459),0,IF(ISNUMBER($X459),IF($X459&gt;=0,$X459,""),"")))</f>
        <v/>
      </c>
      <c r="BD459" s="74" t="str">
        <f aca="false">IF(ISBLANK($C459),"",IF($Y459=Constants!$B$2,TRUE(),IF($Y459=Constants!$B$3,FALSE(),TRUE())))</f>
        <v/>
      </c>
      <c r="BE459" s="74" t="str">
        <f aca="false">IF(ISBLANK($C459),"",IF($Z459=Constants!$B$2,TRUE(),IF($Z459=Constants!$B$3,FALSE(),FALSE())))</f>
        <v/>
      </c>
      <c r="BF459" s="74" t="str">
        <f aca="false">IF(ISBLANK($C459),"",IF(ISBLANK($AA459),0,IF(ISNUMBER($AA459),IF(AND($AA459&gt;=0,$AA459&lt;=Constants!$B$35,$AA459=INT($AA459)),$AA459,""),"")))</f>
        <v/>
      </c>
      <c r="BG459" s="74" t="str">
        <f aca="false">IF(ISBLANK($C459),"",IF($AB459=Constants!$B$2,TRUE(),IF($AB459=Constants!$B$3,FALSE(),TRUE())))</f>
        <v/>
      </c>
      <c r="BH459" s="74" t="str">
        <f aca="false">IF(ISBLANK($C459),"",IF($AC459=Constants!$B$2,TRUE(),IF($AC459=Constants!$B$3,FALSE(),TRUE())))</f>
        <v/>
      </c>
      <c r="BI459" s="74" t="str">
        <f aca="false">IF(ISBLANK($C459),"",IF($AD459=Constants!$B$2,TRUE(),IF($AD459=Constants!$B$3,FALSE(),TRUE())))</f>
        <v/>
      </c>
      <c r="BJ459" s="74" t="str">
        <f aca="false">IF(ISBLANK($C459),"",IF(ISNUMBER($AE459),IF($AE459&gt;=0,$AE459,""),""))</f>
        <v/>
      </c>
      <c r="BK459" s="74" t="str">
        <f aca="false">IF(ISBLANK($C459),"",IF($AF459=Constants!$B$2,TRUE(),IF($AF459=Constants!$B$3,FALSE(),FALSE())))</f>
        <v/>
      </c>
      <c r="BL459" s="73" t="str">
        <f aca="false">IF(ISBLANK($C459),"",IF($BK459,Constants!$B$7,IF(COUNTA($E459:$AE459)=0,Constants!$B$6,IF(OR(COUNTA($G459:$AE459)=0,NOT($AM459),$AS459),Constants!$B$5,IF(OR($CM459&lt;&gt;"",$CN459,$CO459,$CP459,$CQ459,$CR459,$CS459),Constants!$B$8,Constants!$B$4)))))</f>
        <v/>
      </c>
      <c r="BM459" s="74" t="str">
        <f aca="false">IF(ISBLANK($C459),"",IF($BL459&lt;&gt;Constants!$B$4,$BL459,IF(OR(NOT($AJ459),NOT($AL459),NOT($AT459)),Constants!$B$11,IF(OR(NOT($AR459),NOT($AU459),NOT($BI459),MAX($AN459,$AO459,$AP459)&gt;Constants!$B$30),Constants!$B$10,Constants!$B$9))))</f>
        <v/>
      </c>
      <c r="BN459" s="74" t="str">
        <f aca="false">IF($BL459&lt;&gt;Constants!$B$4,"",IF(NOT($AL459),0,MIN(Constants!$B$35,$BF459)))</f>
        <v/>
      </c>
      <c r="BO459" s="74" t="str">
        <f aca="false">IF($BL459&lt;&gt;Constants!$B$4,"",IF(NOT($AL459),0,IF($AW459,Constants!$B$18,IF($AV459,Constants!$B$17,0))))</f>
        <v/>
      </c>
      <c r="BP459" s="74" t="str">
        <f aca="false">IF($BL459&lt;&gt;Constants!$B$4,"",IF(NOT($AL459),0,Constants!$B$19*($AK459+$AX459+$AY459+$AZ459)))</f>
        <v/>
      </c>
      <c r="BQ459" s="74" t="str">
        <f aca="false">IF($BL459&lt;&gt;Constants!$B$4,"",IF(OR(NOT($AL459),NOT(ISNUMBER($BA459))),0,CHOOSE($BA459,Constants!$B$13,Constants!$B$14,Constants!$B$15,Constants!$B$16)))</f>
        <v/>
      </c>
      <c r="BR459" s="74" t="str">
        <f aca="false">IF($BL459&lt;&gt;Constants!$B$4,"",IF(NOT($AL459),0,Constants!$B$20*$BB459))</f>
        <v/>
      </c>
      <c r="BS459" s="74" t="str">
        <f aca="false">IF($BL459&lt;&gt;Constants!$B$4,"",IF(AND($AL459,$BD459,$BE459),Constants!$B$22,0))</f>
        <v/>
      </c>
      <c r="BT459" s="74" t="str">
        <f aca="false">IF($BL459&lt;&gt;Constants!$B$4,"",IF(OR(NOT($AL459),NOT($BD459)),0,IF($BJ459&gt;=2*$AH$9,0,Constants!$B$23*INT(ROUND(MIN($BJ459,$AH$9),6)))))</f>
        <v/>
      </c>
      <c r="BU459" s="74" t="str">
        <f aca="false">IF($BL459&lt;&gt;Constants!$B$4,"",IF(NOT($AL459),0,Constants!$B$24*INT(ROUND(MIN($BC459,$AH$9),6))))</f>
        <v/>
      </c>
      <c r="BV459" s="74" t="str">
        <f aca="false">IF($BL459&lt;&gt;Constants!$B$4,"",IF(AND($AL459,$BN459=0),Constants!$B$25,0))</f>
        <v/>
      </c>
      <c r="BW459" s="74" t="str">
        <f aca="false">IF($BL459&lt;&gt;Constants!$B$4,"",MIN(Constants!$B$29,MAX(0,Constants!$B$27*Constants!$B$28*INT(ROUND((Constants!$B$26-$AN459)/Constants!$B$28,6))))+MIN(Constants!$B$29,MAX(0,Constants!$B$27*Constants!$B$28*INT(ROUND((Constants!$B$26-$AO459)/Constants!$B$28,6))))+MIN(Constants!$B$29,MAX(0,Constants!$B$27*Constants!$B$28*INT(ROUND((Constants!$B$26-$AP459)/Constants!$B$28,6)))))</f>
        <v/>
      </c>
      <c r="BX459" s="74" t="str">
        <f aca="false">IF($BL459&lt;&gt;Constants!$B$4,"",IF(NOT($AL459),0,Constants!$B$31*INT(ROUND(MAX(0,MIN($BJ459,2*$AH$9)-$AH$9),6))))</f>
        <v/>
      </c>
      <c r="BY459" s="74" t="str">
        <f aca="false">IF($BL459&lt;&gt;Constants!$B$4,"",Constants!$B$32*(($AN459&gt;Constants!$B$26)+($AO459&gt;Constants!$B$26)+($AP459&gt;Constants!$B$26)))</f>
        <v/>
      </c>
      <c r="BZ459" s="74" t="str">
        <f aca="false">IF($BL459&lt;&gt;Constants!$B$4,"",IF(OR(NOT($AL459),$AQ459),0,Constants!$B$33))</f>
        <v/>
      </c>
      <c r="CA459" s="74" t="str">
        <f aca="false">IF($BL459&lt;&gt;Constants!$B$4,"",Constants!$B$34*$BN459)</f>
        <v/>
      </c>
      <c r="CB459" s="74" t="str">
        <f aca="false">IF($BL459&lt;&gt;Constants!$B$4,"",IF(OR(NOT($AL459),$BH459),0,Constants!$B$36))</f>
        <v/>
      </c>
      <c r="CC459" s="74" t="str">
        <f aca="false">IF($BL459&lt;&gt;Constants!$B$4,"",IF(OR(NOT($AL459),$BG459),0,Constants!$B$37))</f>
        <v/>
      </c>
      <c r="CD459" s="74" t="str">
        <f aca="false">IF($BL459&lt;&gt;Constants!$B$4,"",SUM($BX459:$CC459))</f>
        <v/>
      </c>
      <c r="CE459" s="74" t="str">
        <f aca="false">IF(ISBLANK($C459),"",IF($BL459&lt;&gt;Constants!$B$4,$BL459,SUM($BO459:$BW459)-$CD459))</f>
        <v/>
      </c>
      <c r="CF459" s="74" t="str">
        <f aca="false">IF(ISBLANK($C459),"",IF($BL459&lt;&gt;Constants!$B$4,$BL459,RANK($CE459,$CE$9:$CE$508)))</f>
        <v/>
      </c>
      <c r="CG459" s="74" t="str">
        <f aca="false">IF(ISBLANK($C459),"",IF($BL459&lt;&gt;Constants!$B$4,$BL459,COUNTIFS($BM$9:$BM$508,"&lt;"&amp;$BM459)+COUNTIFS($BM$9:$BM$508,$BM459,$CF$9:$CF$508,"&lt;"&amp;$CF459)+1))</f>
        <v/>
      </c>
      <c r="CH459" s="74" t="str">
        <f aca="false">IF(ISBLANK($C459),"",IF($BL459&lt;&gt;Constants!$B$4,$BL459,RANK($CD459,$CD$9:$CD$508,1)))</f>
        <v/>
      </c>
      <c r="CI459" s="74" t="str">
        <f aca="false">IF($BL459&lt;&gt;Constants!$B$4,"",$AN459+$AO459+$AP459)</f>
        <v/>
      </c>
      <c r="CJ459" s="74" t="str">
        <f aca="false">IF(ISBLANK($C459),"",IF($BL459&lt;&gt;Constants!$B$4,$BL459,RANK($CI459,$CI$9:$CI$508,1)))</f>
        <v/>
      </c>
      <c r="CK459" s="74" t="str">
        <f aca="false">IF(ISBLANK($C459),"",IF($BL459&lt;&gt;Constants!$B$4,$BL459,COUNTIFS($BM$9:$BM$508,"&lt;"&amp;$BM459)+COUNTIFS($BM$9:$BM$508,$BM459,$CF$9:$CF$508,"&lt;"&amp;$CF459)+COUNTIFS($BM$9:$BM$508,$BM459,$CF$9:$CF$508,$CF459,$CH$9:$CH$508,"&lt;"&amp;$CH459)+COUNTIFS($BM$9:$BM$508,$BM459,$CF$9:$CF$508,$CF459,$CH$9:$CH$508,$CH459,$CJ$9:$CJ$508,"&lt;"&amp;$CJ459)+1))</f>
        <v/>
      </c>
      <c r="CL459" s="74" t="str">
        <f aca="false">IF(ISBLANK($C459),"",IF($BL459&lt;&gt;Constants!$B$4,$BL459,$CG459-$CK459))</f>
        <v/>
      </c>
      <c r="CM459" s="74" t="str">
        <f aca="false">IF(ISBLANK($C459),"",IF(NOT($AL459),"",IF(ISBLANK($D$7),$CM$5,IF(NOT(ISNUMBER($D$7)),$CM$6,""))))</f>
        <v/>
      </c>
      <c r="CN459" s="74" t="str">
        <f aca="false">IF(ISBLANK($C459),"",OR($AN459="",$AO459="",$AP459=""))</f>
        <v/>
      </c>
      <c r="CO459" s="74" t="str">
        <f aca="false">IF(ISBLANK($C459),"",AND($AL459,$BA459=""))</f>
        <v/>
      </c>
      <c r="CP459" s="74" t="str">
        <f aca="false">IF(ISBLANK($C459),"",AND($AL459,$BB459=""))</f>
        <v/>
      </c>
      <c r="CQ459" s="74" t="str">
        <f aca="false">IF(ISBLANK($C459),"",AND($AL459,$BC459=""))</f>
        <v/>
      </c>
      <c r="CR459" s="74" t="str">
        <f aca="false">IF(ISBLANK($C459),"",AND($AL459,$BF459=""))</f>
        <v/>
      </c>
      <c r="CS459" s="74" t="str">
        <f aca="false">IF(ISBLANK($C459),"",AND($AL459,$BJ459=""))</f>
        <v/>
      </c>
      <c r="CT459" s="75"/>
      <c r="CU459" s="76"/>
      <c r="CV459" s="79" t="str">
        <f aca="false">IF(ISBLANK($C459),"",IF($BL459=Constants!$B$8,$CM459,""))</f>
        <v/>
      </c>
      <c r="CW459" s="76" t="str">
        <f aca="false">IF(ISBLANK($C459),"",IF($BL459&lt;&gt;Constants!$B$4,"",$BO459+$BP459))</f>
        <v/>
      </c>
      <c r="CX459" s="78" t="str">
        <f aca="false">IF(ISBLANK($C459),"",IF($BL459&lt;&gt;Constants!$B$4,"",$BQ459+$BR459+$BS459))</f>
        <v/>
      </c>
      <c r="CY459" s="78" t="str">
        <f aca="false">IF(ISBLANK($C459),"",IF($BL459&lt;&gt;Constants!$B$4,"",$BT459))</f>
        <v/>
      </c>
      <c r="CZ459" s="78" t="str">
        <f aca="false">IF(ISBLANK($C459),"",IF($BL459&lt;&gt;Constants!$B$4,"",$BU459+$BV459))</f>
        <v/>
      </c>
      <c r="DA459" s="78" t="str">
        <f aca="false">IF(ISBLANK($C459),"",IF($BL459&lt;&gt;Constants!$B$4,"",$BW459))</f>
        <v/>
      </c>
      <c r="DB459" s="78" t="str">
        <f aca="false">IF(ISBLANK($C459),"",IF($BL459&lt;&gt;Constants!$B$4,"",-$CD459))</f>
        <v/>
      </c>
      <c r="DC459" s="79" t="str">
        <f aca="false">IF(ISBLANK($C459),"",$CE459)</f>
        <v/>
      </c>
      <c r="DD459" s="80" t="str">
        <f aca="false">IF(ISBLANK($C459),"",$BM459)</f>
        <v/>
      </c>
      <c r="DE459" s="78" t="str">
        <f aca="false">IF(ISBLANK($C459),"",$CL459)</f>
        <v/>
      </c>
      <c r="DF459" s="78" t="str">
        <f aca="false">IF(ISBLANK($C459),"",$CK459)</f>
        <v/>
      </c>
      <c r="DG459" s="81" t="str">
        <f aca="false">IF(ISBLANK($C459),"",IF($DF459=Constants!$B$7,COUNTA($C$9:$C$508)+2,IF($DF459=Constants!$B$6,COUNTA($C$9:$C$508)+1,IF($DF459=Constants!$B$5,COUNTA($C$9:$C$508),$DF459))))</f>
        <v/>
      </c>
      <c r="DH459" s="7"/>
      <c r="DI459" s="82" t="n">
        <f aca="false">IF(OR(ISNUMBER($DF459),$DF459=Constants!$B$7,$DF459=Constants!$B$5,$DF459=Constants!$B$6),1,0)</f>
        <v>0</v>
      </c>
      <c r="DJ459" s="82" t="n">
        <v>451</v>
      </c>
      <c r="DK459" s="82" t="str">
        <f aca="false">IF(ISBLANK($C459),"",IF(ISNUMBER($DG459),$DG459+ROW($B459)/1000,""))</f>
        <v/>
      </c>
      <c r="DL459" s="82" t="str">
        <f aca="false">IF(ISNUMBER($DK459),RANK($DK459,$DK$9:$DK$508,1),"")</f>
        <v/>
      </c>
      <c r="DM459" s="82" t="str">
        <f aca="false">IF(ISBLANK($C459),"",$B459)</f>
        <v/>
      </c>
      <c r="DN459" s="82" t="str">
        <f aca="false">IF(ISBLANK($C459),"",$C459)</f>
        <v/>
      </c>
      <c r="DO459" s="82" t="str">
        <f aca="false">IF(ISBLANK($C459),"",$D459)</f>
        <v/>
      </c>
      <c r="DP459" s="83" t="str">
        <f aca="false">$DD459</f>
        <v/>
      </c>
      <c r="DQ459" s="84" t="str">
        <f aca="false">$DC459</f>
        <v/>
      </c>
      <c r="DR459" s="82" t="str">
        <f aca="false">IF(ISBLANK($C459),"",$DF459)</f>
        <v/>
      </c>
      <c r="DS459" s="85" t="str">
        <f aca="false">IF($DJ459&gt;$DI$8,"",VLOOKUP($DJ459,$DL$9:$DR$508,7,FALSE()))</f>
        <v/>
      </c>
      <c r="DT459" s="86" t="str">
        <f aca="false">IF($DJ459&gt;$DI$8,"",VLOOKUP($DJ459,$DL$9:$DR$508,2,FALSE()))</f>
        <v/>
      </c>
      <c r="DU459" s="86" t="str">
        <f aca="false">IF($DJ459&gt;$DI$8,"",VLOOKUP($DJ459,$DL$9:$DR$508,3,FALSE()))</f>
        <v/>
      </c>
      <c r="DV459" s="86" t="str">
        <f aca="false">IF($DJ459&gt;$DI$8,"",VLOOKUP($DJ459,$DL$9:$DR$508,4,FALSE()))</f>
        <v/>
      </c>
      <c r="DW459" s="86" t="str">
        <f aca="false">IF($DJ459&gt;$DI$8,"",VLOOKUP($DJ459,$DL$9:$DR$508,5,FALSE()))</f>
        <v/>
      </c>
      <c r="DX459" s="87" t="str">
        <f aca="false">IF($DJ459&gt;$DI$8,"",VLOOKUP($DJ459,$DL$9:$DR$508,6,FALSE()))</f>
        <v/>
      </c>
      <c r="DY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88"/>
      <c r="N460" s="88"/>
      <c r="O460" s="134"/>
      <c r="P460" s="134"/>
      <c r="Q460" s="88"/>
      <c r="R460" s="88"/>
      <c r="S460" s="88"/>
      <c r="T460" s="88"/>
      <c r="U460" s="134"/>
      <c r="V460" s="88"/>
      <c r="W460" s="70"/>
      <c r="X460" s="88"/>
      <c r="Y460" s="88"/>
      <c r="Z460" s="70"/>
      <c r="AA460" s="70"/>
      <c r="AB460" s="88"/>
      <c r="AC460" s="88"/>
      <c r="AD460" s="88"/>
      <c r="AE460" s="71"/>
      <c r="AF460" s="88"/>
      <c r="AG460" s="73"/>
      <c r="AH460" s="74"/>
      <c r="AI460" s="74"/>
      <c r="AJ460" s="74" t="str">
        <f aca="false">IF(ISBLANK($C460),"",IF($E460=Constants!$B$2,TRUE(),IF($E460=Constants!$B$3,FALSE(),TRUE())))</f>
        <v/>
      </c>
      <c r="AK460" s="74" t="str">
        <f aca="false">IF(ISBLANK($C460),"",IF($F460=Constants!$B$2,TRUE(),IF($F460=Constants!$B$3,FALSE(),FALSE())))</f>
        <v/>
      </c>
      <c r="AL460" s="74" t="str">
        <f aca="false">IF(ISBLANK($C460),"",IF($G460=Constants!$B$2,TRUE(),IF($G460=Constants!$B$3,FALSE(),TRUE())))</f>
        <v/>
      </c>
      <c r="AM460" s="74" t="str">
        <f aca="false">IF(ISBLANK($C460),"",IF($H460=Constants!$B$2,TRUE(),IF($H460=Constants!$B$3,FALSE(),TRUE())))</f>
        <v/>
      </c>
      <c r="AN460" s="74" t="str">
        <f aca="false">IF(ISBLANK($C460),"",IF(ISNUMBER($I460),IF($I460&gt;=0,$I460,""),""))</f>
        <v/>
      </c>
      <c r="AO460" s="74" t="str">
        <f aca="false">IF(ISBLANK($C460),"",IF(ISNUMBER($J460),IF($J460&gt;=0,$J460,""),""))</f>
        <v/>
      </c>
      <c r="AP460" s="74" t="str">
        <f aca="false">IF(ISBLANK($C460),"",IF(ISNUMBER($K460),IF($K460&gt;=0,$K460,""),""))</f>
        <v/>
      </c>
      <c r="AQ460" s="74" t="str">
        <f aca="false">IF(ISBLANK($C460),"",IF($L460=Constants!$B$2,TRUE(),IF($L460=Constants!$B$3,FALSE(),TRUE())))</f>
        <v/>
      </c>
      <c r="AR460" s="74" t="str">
        <f aca="false">IF(ISBLANK($C460),"",IF($M460=Constants!$B$2,TRUE(),IF($M460=Constants!$B$3,FALSE(),TRUE())))</f>
        <v/>
      </c>
      <c r="AS460" s="74" t="str">
        <f aca="false">IF(ISBLANK($C460),"",IF($N460=Constants!$B$2,TRUE(),IF($N460=Constants!$B$3,FALSE(),FALSE())))</f>
        <v/>
      </c>
      <c r="AT460" s="74" t="str">
        <f aca="false">IF(ISBLANK($C460),"",IF($O460=Constants!$B$2,TRUE(),IF($O460=Constants!$B$3,FALSE(),TRUE())))</f>
        <v/>
      </c>
      <c r="AU460" s="74" t="str">
        <f aca="false">IF(ISBLANK($C460),"",IF($P460=Constants!$B$2,TRUE(),IF($P460=Constants!$B$3,FALSE(),TRUE())))</f>
        <v/>
      </c>
      <c r="AV460" s="74" t="str">
        <f aca="false">IF(ISBLANK($C460),"",IF($Q460=Constants!$B$2,TRUE(),IF($Q460=Constants!$B$3,FALSE(),FALSE())))</f>
        <v/>
      </c>
      <c r="AW460" s="74" t="str">
        <f aca="false">IF(ISBLANK($C460),"",IF($R460=Constants!$B$2,TRUE(),IF($R460=Constants!$B$3,FALSE(),FALSE())))</f>
        <v/>
      </c>
      <c r="AX460" s="74" t="str">
        <f aca="false">IF(ISBLANK($C460),"",IF($S460=Constants!$B$2,TRUE(),IF($S460=Constants!$B$3,FALSE(),FALSE())))</f>
        <v/>
      </c>
      <c r="AY460" s="74" t="str">
        <f aca="false">IF(ISBLANK($C460),"",IF($T460=Constants!$B$2,TRUE(),IF($T460=Constants!$B$3,FALSE(),FALSE())))</f>
        <v/>
      </c>
      <c r="AZ460" s="74" t="str">
        <f aca="false">IF(ISBLANK($C460),"",IF($U460=Constants!$B$2,TRUE(),IF($U460=Constants!$B$3,FALSE(),FALSE())))</f>
        <v/>
      </c>
      <c r="BA460" s="74" t="str">
        <f aca="false">IF(ISBLANK($C460),"",IF(OR($V460&amp;""="1",$V460&amp;""="2",$V460&amp;""="3",$V460&amp;""="4"),VALUE($V460&amp;""),IF($V460=Constants!$B$12,Constants!$B$12,"")))</f>
        <v/>
      </c>
      <c r="BB460" s="74" t="str">
        <f aca="false">IF(ISBLANK($C460),"",IF(ISBLANK($W460),0,IF(ISNUMBER($W460),IF(AND($W460&gt;=0,$W460&lt;=Constants!$B$21,$W460=INT($W460)),$W460,""),"")))</f>
        <v/>
      </c>
      <c r="BC460" s="74" t="str">
        <f aca="false">IF(ISBLANK($C460),"",IF(ISBLANK($X460),0,IF(ISNUMBER($X460),IF($X460&gt;=0,$X460,""),"")))</f>
        <v/>
      </c>
      <c r="BD460" s="74" t="str">
        <f aca="false">IF(ISBLANK($C460),"",IF($Y460=Constants!$B$2,TRUE(),IF($Y460=Constants!$B$3,FALSE(),TRUE())))</f>
        <v/>
      </c>
      <c r="BE460" s="74" t="str">
        <f aca="false">IF(ISBLANK($C460),"",IF($Z460=Constants!$B$2,TRUE(),IF($Z460=Constants!$B$3,FALSE(),FALSE())))</f>
        <v/>
      </c>
      <c r="BF460" s="74" t="str">
        <f aca="false">IF(ISBLANK($C460),"",IF(ISBLANK($AA460),0,IF(ISNUMBER($AA460),IF(AND($AA460&gt;=0,$AA460&lt;=Constants!$B$35,$AA460=INT($AA460)),$AA460,""),"")))</f>
        <v/>
      </c>
      <c r="BG460" s="74" t="str">
        <f aca="false">IF(ISBLANK($C460),"",IF($AB460=Constants!$B$2,TRUE(),IF($AB460=Constants!$B$3,FALSE(),TRUE())))</f>
        <v/>
      </c>
      <c r="BH460" s="74" t="str">
        <f aca="false">IF(ISBLANK($C460),"",IF($AC460=Constants!$B$2,TRUE(),IF($AC460=Constants!$B$3,FALSE(),TRUE())))</f>
        <v/>
      </c>
      <c r="BI460" s="74" t="str">
        <f aca="false">IF(ISBLANK($C460),"",IF($AD460=Constants!$B$2,TRUE(),IF($AD460=Constants!$B$3,FALSE(),TRUE())))</f>
        <v/>
      </c>
      <c r="BJ460" s="74" t="str">
        <f aca="false">IF(ISBLANK($C460),"",IF(ISNUMBER($AE460),IF($AE460&gt;=0,$AE460,""),""))</f>
        <v/>
      </c>
      <c r="BK460" s="74" t="str">
        <f aca="false">IF(ISBLANK($C460),"",IF($AF460=Constants!$B$2,TRUE(),IF($AF460=Constants!$B$3,FALSE(),FALSE())))</f>
        <v/>
      </c>
      <c r="BL460" s="73" t="str">
        <f aca="false">IF(ISBLANK($C460),"",IF($BK460,Constants!$B$7,IF(COUNTA($E460:$AE460)=0,Constants!$B$6,IF(OR(COUNTA($G460:$AE460)=0,NOT($AM460),$AS460),Constants!$B$5,IF(OR($CM460&lt;&gt;"",$CN460,$CO460,$CP460,$CQ460,$CR460,$CS460),Constants!$B$8,Constants!$B$4)))))</f>
        <v/>
      </c>
      <c r="BM460" s="74" t="str">
        <f aca="false">IF(ISBLANK($C460),"",IF($BL460&lt;&gt;Constants!$B$4,$BL460,IF(OR(NOT($AJ460),NOT($AL460),NOT($AT460)),Constants!$B$11,IF(OR(NOT($AR460),NOT($AU460),NOT($BI460),MAX($AN460,$AO460,$AP460)&gt;Constants!$B$30),Constants!$B$10,Constants!$B$9))))</f>
        <v/>
      </c>
      <c r="BN460" s="74" t="str">
        <f aca="false">IF($BL460&lt;&gt;Constants!$B$4,"",IF(NOT($AL460),0,MIN(Constants!$B$35,$BF460)))</f>
        <v/>
      </c>
      <c r="BO460" s="74" t="str">
        <f aca="false">IF($BL460&lt;&gt;Constants!$B$4,"",IF(NOT($AL460),0,IF($AW460,Constants!$B$18,IF($AV460,Constants!$B$17,0))))</f>
        <v/>
      </c>
      <c r="BP460" s="74" t="str">
        <f aca="false">IF($BL460&lt;&gt;Constants!$B$4,"",IF(NOT($AL460),0,Constants!$B$19*($AK460+$AX460+$AY460+$AZ460)))</f>
        <v/>
      </c>
      <c r="BQ460" s="74" t="str">
        <f aca="false">IF($BL460&lt;&gt;Constants!$B$4,"",IF(OR(NOT($AL460),NOT(ISNUMBER($BA460))),0,CHOOSE($BA460,Constants!$B$13,Constants!$B$14,Constants!$B$15,Constants!$B$16)))</f>
        <v/>
      </c>
      <c r="BR460" s="74" t="str">
        <f aca="false">IF($BL460&lt;&gt;Constants!$B$4,"",IF(NOT($AL460),0,Constants!$B$20*$BB460))</f>
        <v/>
      </c>
      <c r="BS460" s="74" t="str">
        <f aca="false">IF($BL460&lt;&gt;Constants!$B$4,"",IF(AND($AL460,$BD460,$BE460),Constants!$B$22,0))</f>
        <v/>
      </c>
      <c r="BT460" s="74" t="str">
        <f aca="false">IF($BL460&lt;&gt;Constants!$B$4,"",IF(OR(NOT($AL460),NOT($BD460)),0,IF($BJ460&gt;=2*$AH$9,0,Constants!$B$23*INT(ROUND(MIN($BJ460,$AH$9),6)))))</f>
        <v/>
      </c>
      <c r="BU460" s="74" t="str">
        <f aca="false">IF($BL460&lt;&gt;Constants!$B$4,"",IF(NOT($AL460),0,Constants!$B$24*INT(ROUND(MIN($BC460,$AH$9),6))))</f>
        <v/>
      </c>
      <c r="BV460" s="74" t="str">
        <f aca="false">IF($BL460&lt;&gt;Constants!$B$4,"",IF(AND($AL460,$BN460=0),Constants!$B$25,0))</f>
        <v/>
      </c>
      <c r="BW460" s="74" t="str">
        <f aca="false">IF($BL460&lt;&gt;Constants!$B$4,"",MIN(Constants!$B$29,MAX(0,Constants!$B$27*Constants!$B$28*INT(ROUND((Constants!$B$26-$AN460)/Constants!$B$28,6))))+MIN(Constants!$B$29,MAX(0,Constants!$B$27*Constants!$B$28*INT(ROUND((Constants!$B$26-$AO460)/Constants!$B$28,6))))+MIN(Constants!$B$29,MAX(0,Constants!$B$27*Constants!$B$28*INT(ROUND((Constants!$B$26-$AP460)/Constants!$B$28,6)))))</f>
        <v/>
      </c>
      <c r="BX460" s="74" t="str">
        <f aca="false">IF($BL460&lt;&gt;Constants!$B$4,"",IF(NOT($AL460),0,Constants!$B$31*INT(ROUND(MAX(0,MIN($BJ460,2*$AH$9)-$AH$9),6))))</f>
        <v/>
      </c>
      <c r="BY460" s="74" t="str">
        <f aca="false">IF($BL460&lt;&gt;Constants!$B$4,"",Constants!$B$32*(($AN460&gt;Constants!$B$26)+($AO460&gt;Constants!$B$26)+($AP460&gt;Constants!$B$26)))</f>
        <v/>
      </c>
      <c r="BZ460" s="74" t="str">
        <f aca="false">IF($BL460&lt;&gt;Constants!$B$4,"",IF(OR(NOT($AL460),$AQ460),0,Constants!$B$33))</f>
        <v/>
      </c>
      <c r="CA460" s="74" t="str">
        <f aca="false">IF($BL460&lt;&gt;Constants!$B$4,"",Constants!$B$34*$BN460)</f>
        <v/>
      </c>
      <c r="CB460" s="74" t="str">
        <f aca="false">IF($BL460&lt;&gt;Constants!$B$4,"",IF(OR(NOT($AL460),$BH460),0,Constants!$B$36))</f>
        <v/>
      </c>
      <c r="CC460" s="74" t="str">
        <f aca="false">IF($BL460&lt;&gt;Constants!$B$4,"",IF(OR(NOT($AL460),$BG460),0,Constants!$B$37))</f>
        <v/>
      </c>
      <c r="CD460" s="74" t="str">
        <f aca="false">IF($BL460&lt;&gt;Constants!$B$4,"",SUM($BX460:$CC460))</f>
        <v/>
      </c>
      <c r="CE460" s="74" t="str">
        <f aca="false">IF(ISBLANK($C460),"",IF($BL460&lt;&gt;Constants!$B$4,$BL460,SUM($BO460:$BW460)-$CD460))</f>
        <v/>
      </c>
      <c r="CF460" s="74" t="str">
        <f aca="false">IF(ISBLANK($C460),"",IF($BL460&lt;&gt;Constants!$B$4,$BL460,RANK($CE460,$CE$9:$CE$508)))</f>
        <v/>
      </c>
      <c r="CG460" s="74" t="str">
        <f aca="false">IF(ISBLANK($C460),"",IF($BL460&lt;&gt;Constants!$B$4,$BL460,COUNTIFS($BM$9:$BM$508,"&lt;"&amp;$BM460)+COUNTIFS($BM$9:$BM$508,$BM460,$CF$9:$CF$508,"&lt;"&amp;$CF460)+1))</f>
        <v/>
      </c>
      <c r="CH460" s="74" t="str">
        <f aca="false">IF(ISBLANK($C460),"",IF($BL460&lt;&gt;Constants!$B$4,$BL460,RANK($CD460,$CD$9:$CD$508,1)))</f>
        <v/>
      </c>
      <c r="CI460" s="74" t="str">
        <f aca="false">IF($BL460&lt;&gt;Constants!$B$4,"",$AN460+$AO460+$AP460)</f>
        <v/>
      </c>
      <c r="CJ460" s="74" t="str">
        <f aca="false">IF(ISBLANK($C460),"",IF($BL460&lt;&gt;Constants!$B$4,$BL460,RANK($CI460,$CI$9:$CI$508,1)))</f>
        <v/>
      </c>
      <c r="CK460" s="74" t="str">
        <f aca="false">IF(ISBLANK($C460),"",IF($BL460&lt;&gt;Constants!$B$4,$BL460,COUNTIFS($BM$9:$BM$508,"&lt;"&amp;$BM460)+COUNTIFS($BM$9:$BM$508,$BM460,$CF$9:$CF$508,"&lt;"&amp;$CF460)+COUNTIFS($BM$9:$BM$508,$BM460,$CF$9:$CF$508,$CF460,$CH$9:$CH$508,"&lt;"&amp;$CH460)+COUNTIFS($BM$9:$BM$508,$BM460,$CF$9:$CF$508,$CF460,$CH$9:$CH$508,$CH460,$CJ$9:$CJ$508,"&lt;"&amp;$CJ460)+1))</f>
        <v/>
      </c>
      <c r="CL460" s="74" t="str">
        <f aca="false">IF(ISBLANK($C460),"",IF($BL460&lt;&gt;Constants!$B$4,$BL460,$CG460-$CK460))</f>
        <v/>
      </c>
      <c r="CM460" s="74" t="str">
        <f aca="false">IF(ISBLANK($C460),"",IF(NOT($AL460),"",IF(ISBLANK($D$7),$CM$5,IF(NOT(ISNUMBER($D$7)),$CM$6,""))))</f>
        <v/>
      </c>
      <c r="CN460" s="74" t="str">
        <f aca="false">IF(ISBLANK($C460),"",OR($AN460="",$AO460="",$AP460=""))</f>
        <v/>
      </c>
      <c r="CO460" s="74" t="str">
        <f aca="false">IF(ISBLANK($C460),"",AND($AL460,$BA460=""))</f>
        <v/>
      </c>
      <c r="CP460" s="74" t="str">
        <f aca="false">IF(ISBLANK($C460),"",AND($AL460,$BB460=""))</f>
        <v/>
      </c>
      <c r="CQ460" s="74" t="str">
        <f aca="false">IF(ISBLANK($C460),"",AND($AL460,$BC460=""))</f>
        <v/>
      </c>
      <c r="CR460" s="74" t="str">
        <f aca="false">IF(ISBLANK($C460),"",AND($AL460,$BF460=""))</f>
        <v/>
      </c>
      <c r="CS460" s="74" t="str">
        <f aca="false">IF(ISBLANK($C460),"",AND($AL460,$BJ460=""))</f>
        <v/>
      </c>
      <c r="CT460" s="75"/>
      <c r="CU460" s="76"/>
      <c r="CV460" s="79" t="str">
        <f aca="false">IF(ISBLANK($C460),"",IF($BL460=Constants!$B$8,$CM460,""))</f>
        <v/>
      </c>
      <c r="CW460" s="76" t="str">
        <f aca="false">IF(ISBLANK($C460),"",IF($BL460&lt;&gt;Constants!$B$4,"",$BO460+$BP460))</f>
        <v/>
      </c>
      <c r="CX460" s="78" t="str">
        <f aca="false">IF(ISBLANK($C460),"",IF($BL460&lt;&gt;Constants!$B$4,"",$BQ460+$BR460+$BS460))</f>
        <v/>
      </c>
      <c r="CY460" s="78" t="str">
        <f aca="false">IF(ISBLANK($C460),"",IF($BL460&lt;&gt;Constants!$B$4,"",$BT460))</f>
        <v/>
      </c>
      <c r="CZ460" s="78" t="str">
        <f aca="false">IF(ISBLANK($C460),"",IF($BL460&lt;&gt;Constants!$B$4,"",$BU460+$BV460))</f>
        <v/>
      </c>
      <c r="DA460" s="78" t="str">
        <f aca="false">IF(ISBLANK($C460),"",IF($BL460&lt;&gt;Constants!$B$4,"",$BW460))</f>
        <v/>
      </c>
      <c r="DB460" s="78" t="str">
        <f aca="false">IF(ISBLANK($C460),"",IF($BL460&lt;&gt;Constants!$B$4,"",-$CD460))</f>
        <v/>
      </c>
      <c r="DC460" s="79" t="str">
        <f aca="false">IF(ISBLANK($C460),"",$CE460)</f>
        <v/>
      </c>
      <c r="DD460" s="80" t="str">
        <f aca="false">IF(ISBLANK($C460),"",$BM460)</f>
        <v/>
      </c>
      <c r="DE460" s="78" t="str">
        <f aca="false">IF(ISBLANK($C460),"",$CL460)</f>
        <v/>
      </c>
      <c r="DF460" s="78" t="str">
        <f aca="false">IF(ISBLANK($C460),"",$CK460)</f>
        <v/>
      </c>
      <c r="DG460" s="81" t="str">
        <f aca="false">IF(ISBLANK($C460),"",IF($DF460=Constants!$B$7,COUNTA($C$9:$C$508)+2,IF($DF460=Constants!$B$6,COUNTA($C$9:$C$508)+1,IF($DF460=Constants!$B$5,COUNTA($C$9:$C$508),$DF460))))</f>
        <v/>
      </c>
      <c r="DH460" s="7"/>
      <c r="DI460" s="82" t="n">
        <f aca="false">IF(OR(ISNUMBER($DF460),$DF460=Constants!$B$7,$DF460=Constants!$B$5,$DF460=Constants!$B$6),1,0)</f>
        <v>0</v>
      </c>
      <c r="DJ460" s="82" t="n">
        <v>452</v>
      </c>
      <c r="DK460" s="82" t="str">
        <f aca="false">IF(ISBLANK($C460),"",IF(ISNUMBER($DG460),$DG460+ROW($B460)/1000,""))</f>
        <v/>
      </c>
      <c r="DL460" s="82" t="str">
        <f aca="false">IF(ISNUMBER($DK460),RANK($DK460,$DK$9:$DK$508,1),"")</f>
        <v/>
      </c>
      <c r="DM460" s="82" t="str">
        <f aca="false">IF(ISBLANK($C460),"",$B460)</f>
        <v/>
      </c>
      <c r="DN460" s="82" t="str">
        <f aca="false">IF(ISBLANK($C460),"",$C460)</f>
        <v/>
      </c>
      <c r="DO460" s="82" t="str">
        <f aca="false">IF(ISBLANK($C460),"",$D460)</f>
        <v/>
      </c>
      <c r="DP460" s="83" t="str">
        <f aca="false">$DD460</f>
        <v/>
      </c>
      <c r="DQ460" s="84" t="str">
        <f aca="false">$DC460</f>
        <v/>
      </c>
      <c r="DR460" s="82" t="str">
        <f aca="false">IF(ISBLANK($C460),"",$DF460)</f>
        <v/>
      </c>
      <c r="DS460" s="85" t="str">
        <f aca="false">IF($DJ460&gt;$DI$8,"",VLOOKUP($DJ460,$DL$9:$DR$508,7,FALSE()))</f>
        <v/>
      </c>
      <c r="DT460" s="86" t="str">
        <f aca="false">IF($DJ460&gt;$DI$8,"",VLOOKUP($DJ460,$DL$9:$DR$508,2,FALSE()))</f>
        <v/>
      </c>
      <c r="DU460" s="86" t="str">
        <f aca="false">IF($DJ460&gt;$DI$8,"",VLOOKUP($DJ460,$DL$9:$DR$508,3,FALSE()))</f>
        <v/>
      </c>
      <c r="DV460" s="86" t="str">
        <f aca="false">IF($DJ460&gt;$DI$8,"",VLOOKUP($DJ460,$DL$9:$DR$508,4,FALSE()))</f>
        <v/>
      </c>
      <c r="DW460" s="86" t="str">
        <f aca="false">IF($DJ460&gt;$DI$8,"",VLOOKUP($DJ460,$DL$9:$DR$508,5,FALSE()))</f>
        <v/>
      </c>
      <c r="DX460" s="87" t="str">
        <f aca="false">IF($DJ460&gt;$DI$8,"",VLOOKUP($DJ460,$DL$9:$DR$508,6,FALSE()))</f>
        <v/>
      </c>
      <c r="DY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88"/>
      <c r="N461" s="88"/>
      <c r="O461" s="134"/>
      <c r="P461" s="134"/>
      <c r="Q461" s="88"/>
      <c r="R461" s="88"/>
      <c r="S461" s="88"/>
      <c r="T461" s="88"/>
      <c r="U461" s="134"/>
      <c r="V461" s="88"/>
      <c r="W461" s="70"/>
      <c r="X461" s="88"/>
      <c r="Y461" s="88"/>
      <c r="Z461" s="70"/>
      <c r="AA461" s="70"/>
      <c r="AB461" s="88"/>
      <c r="AC461" s="88"/>
      <c r="AD461" s="88"/>
      <c r="AE461" s="71"/>
      <c r="AF461" s="88"/>
      <c r="AG461" s="73"/>
      <c r="AH461" s="74"/>
      <c r="AI461" s="74"/>
      <c r="AJ461" s="74" t="str">
        <f aca="false">IF(ISBLANK($C461),"",IF($E461=Constants!$B$2,TRUE(),IF($E461=Constants!$B$3,FALSE(),TRUE())))</f>
        <v/>
      </c>
      <c r="AK461" s="74" t="str">
        <f aca="false">IF(ISBLANK($C461),"",IF($F461=Constants!$B$2,TRUE(),IF($F461=Constants!$B$3,FALSE(),FALSE())))</f>
        <v/>
      </c>
      <c r="AL461" s="74" t="str">
        <f aca="false">IF(ISBLANK($C461),"",IF($G461=Constants!$B$2,TRUE(),IF($G461=Constants!$B$3,FALSE(),TRUE())))</f>
        <v/>
      </c>
      <c r="AM461" s="74" t="str">
        <f aca="false">IF(ISBLANK($C461),"",IF($H461=Constants!$B$2,TRUE(),IF($H461=Constants!$B$3,FALSE(),TRUE())))</f>
        <v/>
      </c>
      <c r="AN461" s="74" t="str">
        <f aca="false">IF(ISBLANK($C461),"",IF(ISNUMBER($I461),IF($I461&gt;=0,$I461,""),""))</f>
        <v/>
      </c>
      <c r="AO461" s="74" t="str">
        <f aca="false">IF(ISBLANK($C461),"",IF(ISNUMBER($J461),IF($J461&gt;=0,$J461,""),""))</f>
        <v/>
      </c>
      <c r="AP461" s="74" t="str">
        <f aca="false">IF(ISBLANK($C461),"",IF(ISNUMBER($K461),IF($K461&gt;=0,$K461,""),""))</f>
        <v/>
      </c>
      <c r="AQ461" s="74" t="str">
        <f aca="false">IF(ISBLANK($C461),"",IF($L461=Constants!$B$2,TRUE(),IF($L461=Constants!$B$3,FALSE(),TRUE())))</f>
        <v/>
      </c>
      <c r="AR461" s="74" t="str">
        <f aca="false">IF(ISBLANK($C461),"",IF($M461=Constants!$B$2,TRUE(),IF($M461=Constants!$B$3,FALSE(),TRUE())))</f>
        <v/>
      </c>
      <c r="AS461" s="74" t="str">
        <f aca="false">IF(ISBLANK($C461),"",IF($N461=Constants!$B$2,TRUE(),IF($N461=Constants!$B$3,FALSE(),FALSE())))</f>
        <v/>
      </c>
      <c r="AT461" s="74" t="str">
        <f aca="false">IF(ISBLANK($C461),"",IF($O461=Constants!$B$2,TRUE(),IF($O461=Constants!$B$3,FALSE(),TRUE())))</f>
        <v/>
      </c>
      <c r="AU461" s="74" t="str">
        <f aca="false">IF(ISBLANK($C461),"",IF($P461=Constants!$B$2,TRUE(),IF($P461=Constants!$B$3,FALSE(),TRUE())))</f>
        <v/>
      </c>
      <c r="AV461" s="74" t="str">
        <f aca="false">IF(ISBLANK($C461),"",IF($Q461=Constants!$B$2,TRUE(),IF($Q461=Constants!$B$3,FALSE(),FALSE())))</f>
        <v/>
      </c>
      <c r="AW461" s="74" t="str">
        <f aca="false">IF(ISBLANK($C461),"",IF($R461=Constants!$B$2,TRUE(),IF($R461=Constants!$B$3,FALSE(),FALSE())))</f>
        <v/>
      </c>
      <c r="AX461" s="74" t="str">
        <f aca="false">IF(ISBLANK($C461),"",IF($S461=Constants!$B$2,TRUE(),IF($S461=Constants!$B$3,FALSE(),FALSE())))</f>
        <v/>
      </c>
      <c r="AY461" s="74" t="str">
        <f aca="false">IF(ISBLANK($C461),"",IF($T461=Constants!$B$2,TRUE(),IF($T461=Constants!$B$3,FALSE(),FALSE())))</f>
        <v/>
      </c>
      <c r="AZ461" s="74" t="str">
        <f aca="false">IF(ISBLANK($C461),"",IF($U461=Constants!$B$2,TRUE(),IF($U461=Constants!$B$3,FALSE(),FALSE())))</f>
        <v/>
      </c>
      <c r="BA461" s="74" t="str">
        <f aca="false">IF(ISBLANK($C461),"",IF(OR($V461&amp;""="1",$V461&amp;""="2",$V461&amp;""="3",$V461&amp;""="4"),VALUE($V461&amp;""),IF($V461=Constants!$B$12,Constants!$B$12,"")))</f>
        <v/>
      </c>
      <c r="BB461" s="74" t="str">
        <f aca="false">IF(ISBLANK($C461),"",IF(ISBLANK($W461),0,IF(ISNUMBER($W461),IF(AND($W461&gt;=0,$W461&lt;=Constants!$B$21,$W461=INT($W461)),$W461,""),"")))</f>
        <v/>
      </c>
      <c r="BC461" s="74" t="str">
        <f aca="false">IF(ISBLANK($C461),"",IF(ISBLANK($X461),0,IF(ISNUMBER($X461),IF($X461&gt;=0,$X461,""),"")))</f>
        <v/>
      </c>
      <c r="BD461" s="74" t="str">
        <f aca="false">IF(ISBLANK($C461),"",IF($Y461=Constants!$B$2,TRUE(),IF($Y461=Constants!$B$3,FALSE(),TRUE())))</f>
        <v/>
      </c>
      <c r="BE461" s="74" t="str">
        <f aca="false">IF(ISBLANK($C461),"",IF($Z461=Constants!$B$2,TRUE(),IF($Z461=Constants!$B$3,FALSE(),FALSE())))</f>
        <v/>
      </c>
      <c r="BF461" s="74" t="str">
        <f aca="false">IF(ISBLANK($C461),"",IF(ISBLANK($AA461),0,IF(ISNUMBER($AA461),IF(AND($AA461&gt;=0,$AA461&lt;=Constants!$B$35,$AA461=INT($AA461)),$AA461,""),"")))</f>
        <v/>
      </c>
      <c r="BG461" s="74" t="str">
        <f aca="false">IF(ISBLANK($C461),"",IF($AB461=Constants!$B$2,TRUE(),IF($AB461=Constants!$B$3,FALSE(),TRUE())))</f>
        <v/>
      </c>
      <c r="BH461" s="74" t="str">
        <f aca="false">IF(ISBLANK($C461),"",IF($AC461=Constants!$B$2,TRUE(),IF($AC461=Constants!$B$3,FALSE(),TRUE())))</f>
        <v/>
      </c>
      <c r="BI461" s="74" t="str">
        <f aca="false">IF(ISBLANK($C461),"",IF($AD461=Constants!$B$2,TRUE(),IF($AD461=Constants!$B$3,FALSE(),TRUE())))</f>
        <v/>
      </c>
      <c r="BJ461" s="74" t="str">
        <f aca="false">IF(ISBLANK($C461),"",IF(ISNUMBER($AE461),IF($AE461&gt;=0,$AE461,""),""))</f>
        <v/>
      </c>
      <c r="BK461" s="74" t="str">
        <f aca="false">IF(ISBLANK($C461),"",IF($AF461=Constants!$B$2,TRUE(),IF($AF461=Constants!$B$3,FALSE(),FALSE())))</f>
        <v/>
      </c>
      <c r="BL461" s="73" t="str">
        <f aca="false">IF(ISBLANK($C461),"",IF($BK461,Constants!$B$7,IF(COUNTA($E461:$AE461)=0,Constants!$B$6,IF(OR(COUNTA($G461:$AE461)=0,NOT($AM461),$AS461),Constants!$B$5,IF(OR($CM461&lt;&gt;"",$CN461,$CO461,$CP461,$CQ461,$CR461,$CS461),Constants!$B$8,Constants!$B$4)))))</f>
        <v/>
      </c>
      <c r="BM461" s="74" t="str">
        <f aca="false">IF(ISBLANK($C461),"",IF($BL461&lt;&gt;Constants!$B$4,$BL461,IF(OR(NOT($AJ461),NOT($AL461),NOT($AT461)),Constants!$B$11,IF(OR(NOT($AR461),NOT($AU461),NOT($BI461),MAX($AN461,$AO461,$AP461)&gt;Constants!$B$30),Constants!$B$10,Constants!$B$9))))</f>
        <v/>
      </c>
      <c r="BN461" s="74" t="str">
        <f aca="false">IF($BL461&lt;&gt;Constants!$B$4,"",IF(NOT($AL461),0,MIN(Constants!$B$35,$BF461)))</f>
        <v/>
      </c>
      <c r="BO461" s="74" t="str">
        <f aca="false">IF($BL461&lt;&gt;Constants!$B$4,"",IF(NOT($AL461),0,IF($AW461,Constants!$B$18,IF($AV461,Constants!$B$17,0))))</f>
        <v/>
      </c>
      <c r="BP461" s="74" t="str">
        <f aca="false">IF($BL461&lt;&gt;Constants!$B$4,"",IF(NOT($AL461),0,Constants!$B$19*($AK461+$AX461+$AY461+$AZ461)))</f>
        <v/>
      </c>
      <c r="BQ461" s="74" t="str">
        <f aca="false">IF($BL461&lt;&gt;Constants!$B$4,"",IF(OR(NOT($AL461),NOT(ISNUMBER($BA461))),0,CHOOSE($BA461,Constants!$B$13,Constants!$B$14,Constants!$B$15,Constants!$B$16)))</f>
        <v/>
      </c>
      <c r="BR461" s="74" t="str">
        <f aca="false">IF($BL461&lt;&gt;Constants!$B$4,"",IF(NOT($AL461),0,Constants!$B$20*$BB461))</f>
        <v/>
      </c>
      <c r="BS461" s="74" t="str">
        <f aca="false">IF($BL461&lt;&gt;Constants!$B$4,"",IF(AND($AL461,$BD461,$BE461),Constants!$B$22,0))</f>
        <v/>
      </c>
      <c r="BT461" s="74" t="str">
        <f aca="false">IF($BL461&lt;&gt;Constants!$B$4,"",IF(OR(NOT($AL461),NOT($BD461)),0,IF($BJ461&gt;=2*$AH$9,0,Constants!$B$23*INT(ROUND(MIN($BJ461,$AH$9),6)))))</f>
        <v/>
      </c>
      <c r="BU461" s="74" t="str">
        <f aca="false">IF($BL461&lt;&gt;Constants!$B$4,"",IF(NOT($AL461),0,Constants!$B$24*INT(ROUND(MIN($BC461,$AH$9),6))))</f>
        <v/>
      </c>
      <c r="BV461" s="74" t="str">
        <f aca="false">IF($BL461&lt;&gt;Constants!$B$4,"",IF(AND($AL461,$BN461=0),Constants!$B$25,0))</f>
        <v/>
      </c>
      <c r="BW461" s="74" t="str">
        <f aca="false">IF($BL461&lt;&gt;Constants!$B$4,"",MIN(Constants!$B$29,MAX(0,Constants!$B$27*Constants!$B$28*INT(ROUND((Constants!$B$26-$AN461)/Constants!$B$28,6))))+MIN(Constants!$B$29,MAX(0,Constants!$B$27*Constants!$B$28*INT(ROUND((Constants!$B$26-$AO461)/Constants!$B$28,6))))+MIN(Constants!$B$29,MAX(0,Constants!$B$27*Constants!$B$28*INT(ROUND((Constants!$B$26-$AP461)/Constants!$B$28,6)))))</f>
        <v/>
      </c>
      <c r="BX461" s="74" t="str">
        <f aca="false">IF($BL461&lt;&gt;Constants!$B$4,"",IF(NOT($AL461),0,Constants!$B$31*INT(ROUND(MAX(0,MIN($BJ461,2*$AH$9)-$AH$9),6))))</f>
        <v/>
      </c>
      <c r="BY461" s="74" t="str">
        <f aca="false">IF($BL461&lt;&gt;Constants!$B$4,"",Constants!$B$32*(($AN461&gt;Constants!$B$26)+($AO461&gt;Constants!$B$26)+($AP461&gt;Constants!$B$26)))</f>
        <v/>
      </c>
      <c r="BZ461" s="74" t="str">
        <f aca="false">IF($BL461&lt;&gt;Constants!$B$4,"",IF(OR(NOT($AL461),$AQ461),0,Constants!$B$33))</f>
        <v/>
      </c>
      <c r="CA461" s="74" t="str">
        <f aca="false">IF($BL461&lt;&gt;Constants!$B$4,"",Constants!$B$34*$BN461)</f>
        <v/>
      </c>
      <c r="CB461" s="74" t="str">
        <f aca="false">IF($BL461&lt;&gt;Constants!$B$4,"",IF(OR(NOT($AL461),$BH461),0,Constants!$B$36))</f>
        <v/>
      </c>
      <c r="CC461" s="74" t="str">
        <f aca="false">IF($BL461&lt;&gt;Constants!$B$4,"",IF(OR(NOT($AL461),$BG461),0,Constants!$B$37))</f>
        <v/>
      </c>
      <c r="CD461" s="74" t="str">
        <f aca="false">IF($BL461&lt;&gt;Constants!$B$4,"",SUM($BX461:$CC461))</f>
        <v/>
      </c>
      <c r="CE461" s="74" t="str">
        <f aca="false">IF(ISBLANK($C461),"",IF($BL461&lt;&gt;Constants!$B$4,$BL461,SUM($BO461:$BW461)-$CD461))</f>
        <v/>
      </c>
      <c r="CF461" s="74" t="str">
        <f aca="false">IF(ISBLANK($C461),"",IF($BL461&lt;&gt;Constants!$B$4,$BL461,RANK($CE461,$CE$9:$CE$508)))</f>
        <v/>
      </c>
      <c r="CG461" s="74" t="str">
        <f aca="false">IF(ISBLANK($C461),"",IF($BL461&lt;&gt;Constants!$B$4,$BL461,COUNTIFS($BM$9:$BM$508,"&lt;"&amp;$BM461)+COUNTIFS($BM$9:$BM$508,$BM461,$CF$9:$CF$508,"&lt;"&amp;$CF461)+1))</f>
        <v/>
      </c>
      <c r="CH461" s="74" t="str">
        <f aca="false">IF(ISBLANK($C461),"",IF($BL461&lt;&gt;Constants!$B$4,$BL461,RANK($CD461,$CD$9:$CD$508,1)))</f>
        <v/>
      </c>
      <c r="CI461" s="74" t="str">
        <f aca="false">IF($BL461&lt;&gt;Constants!$B$4,"",$AN461+$AO461+$AP461)</f>
        <v/>
      </c>
      <c r="CJ461" s="74" t="str">
        <f aca="false">IF(ISBLANK($C461),"",IF($BL461&lt;&gt;Constants!$B$4,$BL461,RANK($CI461,$CI$9:$CI$508,1)))</f>
        <v/>
      </c>
      <c r="CK461" s="74" t="str">
        <f aca="false">IF(ISBLANK($C461),"",IF($BL461&lt;&gt;Constants!$B$4,$BL461,COUNTIFS($BM$9:$BM$508,"&lt;"&amp;$BM461)+COUNTIFS($BM$9:$BM$508,$BM461,$CF$9:$CF$508,"&lt;"&amp;$CF461)+COUNTIFS($BM$9:$BM$508,$BM461,$CF$9:$CF$508,$CF461,$CH$9:$CH$508,"&lt;"&amp;$CH461)+COUNTIFS($BM$9:$BM$508,$BM461,$CF$9:$CF$508,$CF461,$CH$9:$CH$508,$CH461,$CJ$9:$CJ$508,"&lt;"&amp;$CJ461)+1))</f>
        <v/>
      </c>
      <c r="CL461" s="74" t="str">
        <f aca="false">IF(ISBLANK($C461),"",IF($BL461&lt;&gt;Constants!$B$4,$BL461,$CG461-$CK461))</f>
        <v/>
      </c>
      <c r="CM461" s="74" t="str">
        <f aca="false">IF(ISBLANK($C461),"",IF(NOT($AL461),"",IF(ISBLANK($D$7),$CM$5,IF(NOT(ISNUMBER($D$7)),$CM$6,""))))</f>
        <v/>
      </c>
      <c r="CN461" s="74" t="str">
        <f aca="false">IF(ISBLANK($C461),"",OR($AN461="",$AO461="",$AP461=""))</f>
        <v/>
      </c>
      <c r="CO461" s="74" t="str">
        <f aca="false">IF(ISBLANK($C461),"",AND($AL461,$BA461=""))</f>
        <v/>
      </c>
      <c r="CP461" s="74" t="str">
        <f aca="false">IF(ISBLANK($C461),"",AND($AL461,$BB461=""))</f>
        <v/>
      </c>
      <c r="CQ461" s="74" t="str">
        <f aca="false">IF(ISBLANK($C461),"",AND($AL461,$BC461=""))</f>
        <v/>
      </c>
      <c r="CR461" s="74" t="str">
        <f aca="false">IF(ISBLANK($C461),"",AND($AL461,$BF461=""))</f>
        <v/>
      </c>
      <c r="CS461" s="74" t="str">
        <f aca="false">IF(ISBLANK($C461),"",AND($AL461,$BJ461=""))</f>
        <v/>
      </c>
      <c r="CT461" s="75"/>
      <c r="CU461" s="76"/>
      <c r="CV461" s="79" t="str">
        <f aca="false">IF(ISBLANK($C461),"",IF($BL461=Constants!$B$8,$CM461,""))</f>
        <v/>
      </c>
      <c r="CW461" s="76" t="str">
        <f aca="false">IF(ISBLANK($C461),"",IF($BL461&lt;&gt;Constants!$B$4,"",$BO461+$BP461))</f>
        <v/>
      </c>
      <c r="CX461" s="78" t="str">
        <f aca="false">IF(ISBLANK($C461),"",IF($BL461&lt;&gt;Constants!$B$4,"",$BQ461+$BR461+$BS461))</f>
        <v/>
      </c>
      <c r="CY461" s="78" t="str">
        <f aca="false">IF(ISBLANK($C461),"",IF($BL461&lt;&gt;Constants!$B$4,"",$BT461))</f>
        <v/>
      </c>
      <c r="CZ461" s="78" t="str">
        <f aca="false">IF(ISBLANK($C461),"",IF($BL461&lt;&gt;Constants!$B$4,"",$BU461+$BV461))</f>
        <v/>
      </c>
      <c r="DA461" s="78" t="str">
        <f aca="false">IF(ISBLANK($C461),"",IF($BL461&lt;&gt;Constants!$B$4,"",$BW461))</f>
        <v/>
      </c>
      <c r="DB461" s="78" t="str">
        <f aca="false">IF(ISBLANK($C461),"",IF($BL461&lt;&gt;Constants!$B$4,"",-$CD461))</f>
        <v/>
      </c>
      <c r="DC461" s="79" t="str">
        <f aca="false">IF(ISBLANK($C461),"",$CE461)</f>
        <v/>
      </c>
      <c r="DD461" s="80" t="str">
        <f aca="false">IF(ISBLANK($C461),"",$BM461)</f>
        <v/>
      </c>
      <c r="DE461" s="78" t="str">
        <f aca="false">IF(ISBLANK($C461),"",$CL461)</f>
        <v/>
      </c>
      <c r="DF461" s="78" t="str">
        <f aca="false">IF(ISBLANK($C461),"",$CK461)</f>
        <v/>
      </c>
      <c r="DG461" s="81" t="str">
        <f aca="false">IF(ISBLANK($C461),"",IF($DF461=Constants!$B$7,COUNTA($C$9:$C$508)+2,IF($DF461=Constants!$B$6,COUNTA($C$9:$C$508)+1,IF($DF461=Constants!$B$5,COUNTA($C$9:$C$508),$DF461))))</f>
        <v/>
      </c>
      <c r="DH461" s="7"/>
      <c r="DI461" s="82" t="n">
        <f aca="false">IF(OR(ISNUMBER($DF461),$DF461=Constants!$B$7,$DF461=Constants!$B$5,$DF461=Constants!$B$6),1,0)</f>
        <v>0</v>
      </c>
      <c r="DJ461" s="82" t="n">
        <v>453</v>
      </c>
      <c r="DK461" s="82" t="str">
        <f aca="false">IF(ISBLANK($C461),"",IF(ISNUMBER($DG461),$DG461+ROW($B461)/1000,""))</f>
        <v/>
      </c>
      <c r="DL461" s="82" t="str">
        <f aca="false">IF(ISNUMBER($DK461),RANK($DK461,$DK$9:$DK$508,1),"")</f>
        <v/>
      </c>
      <c r="DM461" s="82" t="str">
        <f aca="false">IF(ISBLANK($C461),"",$B461)</f>
        <v/>
      </c>
      <c r="DN461" s="82" t="str">
        <f aca="false">IF(ISBLANK($C461),"",$C461)</f>
        <v/>
      </c>
      <c r="DO461" s="82" t="str">
        <f aca="false">IF(ISBLANK($C461),"",$D461)</f>
        <v/>
      </c>
      <c r="DP461" s="83" t="str">
        <f aca="false">$DD461</f>
        <v/>
      </c>
      <c r="DQ461" s="84" t="str">
        <f aca="false">$DC461</f>
        <v/>
      </c>
      <c r="DR461" s="82" t="str">
        <f aca="false">IF(ISBLANK($C461),"",$DF461)</f>
        <v/>
      </c>
      <c r="DS461" s="85" t="str">
        <f aca="false">IF($DJ461&gt;$DI$8,"",VLOOKUP($DJ461,$DL$9:$DR$508,7,FALSE()))</f>
        <v/>
      </c>
      <c r="DT461" s="86" t="str">
        <f aca="false">IF($DJ461&gt;$DI$8,"",VLOOKUP($DJ461,$DL$9:$DR$508,2,FALSE()))</f>
        <v/>
      </c>
      <c r="DU461" s="86" t="str">
        <f aca="false">IF($DJ461&gt;$DI$8,"",VLOOKUP($DJ461,$DL$9:$DR$508,3,FALSE()))</f>
        <v/>
      </c>
      <c r="DV461" s="86" t="str">
        <f aca="false">IF($DJ461&gt;$DI$8,"",VLOOKUP($DJ461,$DL$9:$DR$508,4,FALSE()))</f>
        <v/>
      </c>
      <c r="DW461" s="86" t="str">
        <f aca="false">IF($DJ461&gt;$DI$8,"",VLOOKUP($DJ461,$DL$9:$DR$508,5,FALSE()))</f>
        <v/>
      </c>
      <c r="DX461" s="87" t="str">
        <f aca="false">IF($DJ461&gt;$DI$8,"",VLOOKUP($DJ461,$DL$9:$DR$508,6,FALSE()))</f>
        <v/>
      </c>
      <c r="DY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130"/>
      <c r="N462" s="130"/>
      <c r="O462" s="135"/>
      <c r="P462" s="135"/>
      <c r="Q462" s="130"/>
      <c r="R462" s="130"/>
      <c r="S462" s="130"/>
      <c r="T462" s="130"/>
      <c r="U462" s="135"/>
      <c r="V462" s="130"/>
      <c r="W462" s="96"/>
      <c r="X462" s="130"/>
      <c r="Y462" s="130"/>
      <c r="Z462" s="96"/>
      <c r="AA462" s="96"/>
      <c r="AB462" s="130"/>
      <c r="AC462" s="130"/>
      <c r="AD462" s="130"/>
      <c r="AE462" s="97"/>
      <c r="AF462" s="130"/>
      <c r="AG462" s="99"/>
      <c r="AH462" s="100"/>
      <c r="AI462" s="100"/>
      <c r="AJ462" s="100" t="str">
        <f aca="false">IF(ISBLANK($C462),"",IF($E462=Constants!$B$2,TRUE(),IF($E462=Constants!$B$3,FALSE(),TRUE())))</f>
        <v/>
      </c>
      <c r="AK462" s="100" t="str">
        <f aca="false">IF(ISBLANK($C462),"",IF($F462=Constants!$B$2,TRUE(),IF($F462=Constants!$B$3,FALSE(),FALSE())))</f>
        <v/>
      </c>
      <c r="AL462" s="100" t="str">
        <f aca="false">IF(ISBLANK($C462),"",IF($G462=Constants!$B$2,TRUE(),IF($G462=Constants!$B$3,FALSE(),TRUE())))</f>
        <v/>
      </c>
      <c r="AM462" s="100" t="str">
        <f aca="false">IF(ISBLANK($C462),"",IF($H462=Constants!$B$2,TRUE(),IF($H462=Constants!$B$3,FALSE(),TRUE())))</f>
        <v/>
      </c>
      <c r="AN462" s="100" t="str">
        <f aca="false">IF(ISBLANK($C462),"",IF(ISNUMBER($I462),IF($I462&gt;=0,$I462,""),""))</f>
        <v/>
      </c>
      <c r="AO462" s="100" t="str">
        <f aca="false">IF(ISBLANK($C462),"",IF(ISNUMBER($J462),IF($J462&gt;=0,$J462,""),""))</f>
        <v/>
      </c>
      <c r="AP462" s="100" t="str">
        <f aca="false">IF(ISBLANK($C462),"",IF(ISNUMBER($K462),IF($K462&gt;=0,$K462,""),""))</f>
        <v/>
      </c>
      <c r="AQ462" s="100" t="str">
        <f aca="false">IF(ISBLANK($C462),"",IF($L462=Constants!$B$2,TRUE(),IF($L462=Constants!$B$3,FALSE(),TRUE())))</f>
        <v/>
      </c>
      <c r="AR462" s="100" t="str">
        <f aca="false">IF(ISBLANK($C462),"",IF($M462=Constants!$B$2,TRUE(),IF($M462=Constants!$B$3,FALSE(),TRUE())))</f>
        <v/>
      </c>
      <c r="AS462" s="100" t="str">
        <f aca="false">IF(ISBLANK($C462),"",IF($N462=Constants!$B$2,TRUE(),IF($N462=Constants!$B$3,FALSE(),FALSE())))</f>
        <v/>
      </c>
      <c r="AT462" s="100" t="str">
        <f aca="false">IF(ISBLANK($C462),"",IF($O462=Constants!$B$2,TRUE(),IF($O462=Constants!$B$3,FALSE(),TRUE())))</f>
        <v/>
      </c>
      <c r="AU462" s="100" t="str">
        <f aca="false">IF(ISBLANK($C462),"",IF($P462=Constants!$B$2,TRUE(),IF($P462=Constants!$B$3,FALSE(),TRUE())))</f>
        <v/>
      </c>
      <c r="AV462" s="100" t="str">
        <f aca="false">IF(ISBLANK($C462),"",IF($Q462=Constants!$B$2,TRUE(),IF($Q462=Constants!$B$3,FALSE(),FALSE())))</f>
        <v/>
      </c>
      <c r="AW462" s="100" t="str">
        <f aca="false">IF(ISBLANK($C462),"",IF($R462=Constants!$B$2,TRUE(),IF($R462=Constants!$B$3,FALSE(),FALSE())))</f>
        <v/>
      </c>
      <c r="AX462" s="100" t="str">
        <f aca="false">IF(ISBLANK($C462),"",IF($S462=Constants!$B$2,TRUE(),IF($S462=Constants!$B$3,FALSE(),FALSE())))</f>
        <v/>
      </c>
      <c r="AY462" s="100" t="str">
        <f aca="false">IF(ISBLANK($C462),"",IF($T462=Constants!$B$2,TRUE(),IF($T462=Constants!$B$3,FALSE(),FALSE())))</f>
        <v/>
      </c>
      <c r="AZ462" s="100" t="str">
        <f aca="false">IF(ISBLANK($C462),"",IF($U462=Constants!$B$2,TRUE(),IF($U462=Constants!$B$3,FALSE(),FALSE())))</f>
        <v/>
      </c>
      <c r="BA462" s="100" t="str">
        <f aca="false">IF(ISBLANK($C462),"",IF(OR($V462&amp;""="1",$V462&amp;""="2",$V462&amp;""="3",$V462&amp;""="4"),VALUE($V462&amp;""),IF($V462=Constants!$B$12,Constants!$B$12,"")))</f>
        <v/>
      </c>
      <c r="BB462" s="100" t="str">
        <f aca="false">IF(ISBLANK($C462),"",IF(ISBLANK($W462),0,IF(ISNUMBER($W462),IF(AND($W462&gt;=0,$W462&lt;=Constants!$B$21,$W462=INT($W462)),$W462,""),"")))</f>
        <v/>
      </c>
      <c r="BC462" s="100" t="str">
        <f aca="false">IF(ISBLANK($C462),"",IF(ISBLANK($X462),0,IF(ISNUMBER($X462),IF($X462&gt;=0,$X462,""),"")))</f>
        <v/>
      </c>
      <c r="BD462" s="100" t="str">
        <f aca="false">IF(ISBLANK($C462),"",IF($Y462=Constants!$B$2,TRUE(),IF($Y462=Constants!$B$3,FALSE(),TRUE())))</f>
        <v/>
      </c>
      <c r="BE462" s="100" t="str">
        <f aca="false">IF(ISBLANK($C462),"",IF($Z462=Constants!$B$2,TRUE(),IF($Z462=Constants!$B$3,FALSE(),FALSE())))</f>
        <v/>
      </c>
      <c r="BF462" s="100" t="str">
        <f aca="false">IF(ISBLANK($C462),"",IF(ISBLANK($AA462),0,IF(ISNUMBER($AA462),IF(AND($AA462&gt;=0,$AA462&lt;=Constants!$B$35,$AA462=INT($AA462)),$AA462,""),"")))</f>
        <v/>
      </c>
      <c r="BG462" s="100" t="str">
        <f aca="false">IF(ISBLANK($C462),"",IF($AB462=Constants!$B$2,TRUE(),IF($AB462=Constants!$B$3,FALSE(),TRUE())))</f>
        <v/>
      </c>
      <c r="BH462" s="100" t="str">
        <f aca="false">IF(ISBLANK($C462),"",IF($AC462=Constants!$B$2,TRUE(),IF($AC462=Constants!$B$3,FALSE(),TRUE())))</f>
        <v/>
      </c>
      <c r="BI462" s="100" t="str">
        <f aca="false">IF(ISBLANK($C462),"",IF($AD462=Constants!$B$2,TRUE(),IF($AD462=Constants!$B$3,FALSE(),TRUE())))</f>
        <v/>
      </c>
      <c r="BJ462" s="100" t="str">
        <f aca="false">IF(ISBLANK($C462),"",IF(ISNUMBER($AE462),IF($AE462&gt;=0,$AE462,""),""))</f>
        <v/>
      </c>
      <c r="BK462" s="100" t="str">
        <f aca="false">IF(ISBLANK($C462),"",IF($AF462=Constants!$B$2,TRUE(),IF($AF462=Constants!$B$3,FALSE(),FALSE())))</f>
        <v/>
      </c>
      <c r="BL462" s="99" t="str">
        <f aca="false">IF(ISBLANK($C462),"",IF($BK462,Constants!$B$7,IF(COUNTA($E462:$AE462)=0,Constants!$B$6,IF(OR(COUNTA($G462:$AE462)=0,NOT($AM462),$AS462),Constants!$B$5,IF(OR($CM462&lt;&gt;"",$CN462,$CO462,$CP462,$CQ462,$CR462,$CS462),Constants!$B$8,Constants!$B$4)))))</f>
        <v/>
      </c>
      <c r="BM462" s="100" t="str">
        <f aca="false">IF(ISBLANK($C462),"",IF($BL462&lt;&gt;Constants!$B$4,$BL462,IF(OR(NOT($AJ462),NOT($AL462),NOT($AT462)),Constants!$B$11,IF(OR(NOT($AR462),NOT($AU462),NOT($BI462),MAX($AN462,$AO462,$AP462)&gt;Constants!$B$30),Constants!$B$10,Constants!$B$9))))</f>
        <v/>
      </c>
      <c r="BN462" s="100" t="str">
        <f aca="false">IF($BL462&lt;&gt;Constants!$B$4,"",IF(NOT($AL462),0,MIN(Constants!$B$35,$BF462)))</f>
        <v/>
      </c>
      <c r="BO462" s="100" t="str">
        <f aca="false">IF($BL462&lt;&gt;Constants!$B$4,"",IF(NOT($AL462),0,IF($AW462,Constants!$B$18,IF($AV462,Constants!$B$17,0))))</f>
        <v/>
      </c>
      <c r="BP462" s="100" t="str">
        <f aca="false">IF($BL462&lt;&gt;Constants!$B$4,"",IF(NOT($AL462),0,Constants!$B$19*($AK462+$AX462+$AY462+$AZ462)))</f>
        <v/>
      </c>
      <c r="BQ462" s="100" t="str">
        <f aca="false">IF($BL462&lt;&gt;Constants!$B$4,"",IF(OR(NOT($AL462),NOT(ISNUMBER($BA462))),0,CHOOSE($BA462,Constants!$B$13,Constants!$B$14,Constants!$B$15,Constants!$B$16)))</f>
        <v/>
      </c>
      <c r="BR462" s="100" t="str">
        <f aca="false">IF($BL462&lt;&gt;Constants!$B$4,"",IF(NOT($AL462),0,Constants!$B$20*$BB462))</f>
        <v/>
      </c>
      <c r="BS462" s="100" t="str">
        <f aca="false">IF($BL462&lt;&gt;Constants!$B$4,"",IF(AND($AL462,$BD462,$BE462),Constants!$B$22,0))</f>
        <v/>
      </c>
      <c r="BT462" s="100" t="str">
        <f aca="false">IF($BL462&lt;&gt;Constants!$B$4,"",IF(OR(NOT($AL462),NOT($BD462)),0,IF($BJ462&gt;=2*$AH$9,0,Constants!$B$23*INT(ROUND(MIN($BJ462,$AH$9),6)))))</f>
        <v/>
      </c>
      <c r="BU462" s="100" t="str">
        <f aca="false">IF($BL462&lt;&gt;Constants!$B$4,"",IF(NOT($AL462),0,Constants!$B$24*INT(ROUND(MIN($BC462,$AH$9),6))))</f>
        <v/>
      </c>
      <c r="BV462" s="100" t="str">
        <f aca="false">IF($BL462&lt;&gt;Constants!$B$4,"",IF(AND($AL462,$BN462=0),Constants!$B$25,0))</f>
        <v/>
      </c>
      <c r="BW462" s="100" t="str">
        <f aca="false">IF($BL462&lt;&gt;Constants!$B$4,"",MIN(Constants!$B$29,MAX(0,Constants!$B$27*Constants!$B$28*INT(ROUND((Constants!$B$26-$AN462)/Constants!$B$28,6))))+MIN(Constants!$B$29,MAX(0,Constants!$B$27*Constants!$B$28*INT(ROUND((Constants!$B$26-$AO462)/Constants!$B$28,6))))+MIN(Constants!$B$29,MAX(0,Constants!$B$27*Constants!$B$28*INT(ROUND((Constants!$B$26-$AP462)/Constants!$B$28,6)))))</f>
        <v/>
      </c>
      <c r="BX462" s="100" t="str">
        <f aca="false">IF($BL462&lt;&gt;Constants!$B$4,"",IF(NOT($AL462),0,Constants!$B$31*INT(ROUND(MAX(0,MIN($BJ462,2*$AH$9)-$AH$9),6))))</f>
        <v/>
      </c>
      <c r="BY462" s="100" t="str">
        <f aca="false">IF($BL462&lt;&gt;Constants!$B$4,"",Constants!$B$32*(($AN462&gt;Constants!$B$26)+($AO462&gt;Constants!$B$26)+($AP462&gt;Constants!$B$26)))</f>
        <v/>
      </c>
      <c r="BZ462" s="100" t="str">
        <f aca="false">IF($BL462&lt;&gt;Constants!$B$4,"",IF(OR(NOT($AL462),$AQ462),0,Constants!$B$33))</f>
        <v/>
      </c>
      <c r="CA462" s="100" t="str">
        <f aca="false">IF($BL462&lt;&gt;Constants!$B$4,"",Constants!$B$34*$BN462)</f>
        <v/>
      </c>
      <c r="CB462" s="100" t="str">
        <f aca="false">IF($BL462&lt;&gt;Constants!$B$4,"",IF(OR(NOT($AL462),$BH462),0,Constants!$B$36))</f>
        <v/>
      </c>
      <c r="CC462" s="100" t="str">
        <f aca="false">IF($BL462&lt;&gt;Constants!$B$4,"",IF(OR(NOT($AL462),$BG462),0,Constants!$B$37))</f>
        <v/>
      </c>
      <c r="CD462" s="100" t="str">
        <f aca="false">IF($BL462&lt;&gt;Constants!$B$4,"",SUM($BX462:$CC462))</f>
        <v/>
      </c>
      <c r="CE462" s="100" t="str">
        <f aca="false">IF(ISBLANK($C462),"",IF($BL462&lt;&gt;Constants!$B$4,$BL462,SUM($BO462:$BW462)-$CD462))</f>
        <v/>
      </c>
      <c r="CF462" s="100" t="str">
        <f aca="false">IF(ISBLANK($C462),"",IF($BL462&lt;&gt;Constants!$B$4,$BL462,RANK($CE462,$CE$9:$CE$508)))</f>
        <v/>
      </c>
      <c r="CG462" s="100" t="str">
        <f aca="false">IF(ISBLANK($C462),"",IF($BL462&lt;&gt;Constants!$B$4,$BL462,COUNTIFS($BM$9:$BM$508,"&lt;"&amp;$BM462)+COUNTIFS($BM$9:$BM$508,$BM462,$CF$9:$CF$508,"&lt;"&amp;$CF462)+1))</f>
        <v/>
      </c>
      <c r="CH462" s="100" t="str">
        <f aca="false">IF(ISBLANK($C462),"",IF($BL462&lt;&gt;Constants!$B$4,$BL462,RANK($CD462,$CD$9:$CD$508,1)))</f>
        <v/>
      </c>
      <c r="CI462" s="100" t="str">
        <f aca="false">IF($BL462&lt;&gt;Constants!$B$4,"",$AN462+$AO462+$AP462)</f>
        <v/>
      </c>
      <c r="CJ462" s="100" t="str">
        <f aca="false">IF(ISBLANK($C462),"",IF($BL462&lt;&gt;Constants!$B$4,$BL462,RANK($CI462,$CI$9:$CI$508,1)))</f>
        <v/>
      </c>
      <c r="CK462" s="100" t="str">
        <f aca="false">IF(ISBLANK($C462),"",IF($BL462&lt;&gt;Constants!$B$4,$BL462,COUNTIFS($BM$9:$BM$508,"&lt;"&amp;$BM462)+COUNTIFS($BM$9:$BM$508,$BM462,$CF$9:$CF$508,"&lt;"&amp;$CF462)+COUNTIFS($BM$9:$BM$508,$BM462,$CF$9:$CF$508,$CF462,$CH$9:$CH$508,"&lt;"&amp;$CH462)+COUNTIFS($BM$9:$BM$508,$BM462,$CF$9:$CF$508,$CF462,$CH$9:$CH$508,$CH462,$CJ$9:$CJ$508,"&lt;"&amp;$CJ462)+1))</f>
        <v/>
      </c>
      <c r="CL462" s="100" t="str">
        <f aca="false">IF(ISBLANK($C462),"",IF($BL462&lt;&gt;Constants!$B$4,$BL462,$CG462-$CK462))</f>
        <v/>
      </c>
      <c r="CM462" s="100" t="str">
        <f aca="false">IF(ISBLANK($C462),"",IF(NOT($AL462),"",IF(ISBLANK($D$7),$CM$5,IF(NOT(ISNUMBER($D$7)),$CM$6,""))))</f>
        <v/>
      </c>
      <c r="CN462" s="100" t="str">
        <f aca="false">IF(ISBLANK($C462),"",OR($AN462="",$AO462="",$AP462=""))</f>
        <v/>
      </c>
      <c r="CO462" s="100" t="str">
        <f aca="false">IF(ISBLANK($C462),"",AND($AL462,$BA462=""))</f>
        <v/>
      </c>
      <c r="CP462" s="100" t="str">
        <f aca="false">IF(ISBLANK($C462),"",AND($AL462,$BB462=""))</f>
        <v/>
      </c>
      <c r="CQ462" s="100" t="str">
        <f aca="false">IF(ISBLANK($C462),"",AND($AL462,$BC462=""))</f>
        <v/>
      </c>
      <c r="CR462" s="100" t="str">
        <f aca="false">IF(ISBLANK($C462),"",AND($AL462,$BF462=""))</f>
        <v/>
      </c>
      <c r="CS462" s="100" t="str">
        <f aca="false">IF(ISBLANK($C462),"",AND($AL462,$BJ462=""))</f>
        <v/>
      </c>
      <c r="CT462" s="101"/>
      <c r="CU462" s="102"/>
      <c r="CV462" s="103" t="str">
        <f aca="false">IF(ISBLANK($C462),"",IF($BL462=Constants!$B$8,$CM462,""))</f>
        <v/>
      </c>
      <c r="CW462" s="102" t="str">
        <f aca="false">IF(ISBLANK($C462),"",IF($BL462&lt;&gt;Constants!$B$4,"",$BO462+$BP462))</f>
        <v/>
      </c>
      <c r="CX462" s="104" t="str">
        <f aca="false">IF(ISBLANK($C462),"",IF($BL462&lt;&gt;Constants!$B$4,"",$BQ462+$BR462+$BS462))</f>
        <v/>
      </c>
      <c r="CY462" s="104" t="str">
        <f aca="false">IF(ISBLANK($C462),"",IF($BL462&lt;&gt;Constants!$B$4,"",$BT462))</f>
        <v/>
      </c>
      <c r="CZ462" s="104" t="str">
        <f aca="false">IF(ISBLANK($C462),"",IF($BL462&lt;&gt;Constants!$B$4,"",$BU462+$BV462))</f>
        <v/>
      </c>
      <c r="DA462" s="104" t="str">
        <f aca="false">IF(ISBLANK($C462),"",IF($BL462&lt;&gt;Constants!$B$4,"",$BW462))</f>
        <v/>
      </c>
      <c r="DB462" s="104" t="str">
        <f aca="false">IF(ISBLANK($C462),"",IF($BL462&lt;&gt;Constants!$B$4,"",-$CD462))</f>
        <v/>
      </c>
      <c r="DC462" s="103" t="str">
        <f aca="false">IF(ISBLANK($C462),"",$CE462)</f>
        <v/>
      </c>
      <c r="DD462" s="105" t="str">
        <f aca="false">IF(ISBLANK($C462),"",$BM462)</f>
        <v/>
      </c>
      <c r="DE462" s="104" t="str">
        <f aca="false">IF(ISBLANK($C462),"",$CL462)</f>
        <v/>
      </c>
      <c r="DF462" s="104" t="str">
        <f aca="false">IF(ISBLANK($C462),"",$CK462)</f>
        <v/>
      </c>
      <c r="DG462" s="106" t="str">
        <f aca="false">IF(ISBLANK($C462),"",IF($DF462=Constants!$B$7,COUNTA($C$9:$C$508)+2,IF($DF462=Constants!$B$6,COUNTA($C$9:$C$508)+1,IF($DF462=Constants!$B$5,COUNTA($C$9:$C$508),$DF462))))</f>
        <v/>
      </c>
      <c r="DH462" s="7"/>
      <c r="DI462" s="107" t="n">
        <f aca="false">IF(OR(ISNUMBER($DF462),$DF462=Constants!$B$7,$DF462=Constants!$B$5,$DF462=Constants!$B$6),1,0)</f>
        <v>0</v>
      </c>
      <c r="DJ462" s="107" t="n">
        <v>454</v>
      </c>
      <c r="DK462" s="107" t="str">
        <f aca="false">IF(ISBLANK($C462),"",IF(ISNUMBER($DG462),$DG462+ROW($B462)/1000,""))</f>
        <v/>
      </c>
      <c r="DL462" s="107" t="str">
        <f aca="false">IF(ISNUMBER($DK462),RANK($DK462,$DK$9:$DK$508,1),"")</f>
        <v/>
      </c>
      <c r="DM462" s="107" t="str">
        <f aca="false">IF(ISBLANK($C462),"",$B462)</f>
        <v/>
      </c>
      <c r="DN462" s="107" t="str">
        <f aca="false">IF(ISBLANK($C462),"",$C462)</f>
        <v/>
      </c>
      <c r="DO462" s="107" t="str">
        <f aca="false">IF(ISBLANK($C462),"",$D462)</f>
        <v/>
      </c>
      <c r="DP462" s="108" t="str">
        <f aca="false">$DD462</f>
        <v/>
      </c>
      <c r="DQ462" s="109" t="str">
        <f aca="false">$DC462</f>
        <v/>
      </c>
      <c r="DR462" s="107" t="str">
        <f aca="false">IF(ISBLANK($C462),"",$DF462)</f>
        <v/>
      </c>
      <c r="DS462" s="110" t="str">
        <f aca="false">IF($DJ462&gt;$DI$8,"",VLOOKUP($DJ462,$DL$9:$DR$508,7,FALSE()))</f>
        <v/>
      </c>
      <c r="DT462" s="111" t="str">
        <f aca="false">IF($DJ462&gt;$DI$8,"",VLOOKUP($DJ462,$DL$9:$DR$508,2,FALSE()))</f>
        <v/>
      </c>
      <c r="DU462" s="111" t="str">
        <f aca="false">IF($DJ462&gt;$DI$8,"",VLOOKUP($DJ462,$DL$9:$DR$508,3,FALSE()))</f>
        <v/>
      </c>
      <c r="DV462" s="111" t="str">
        <f aca="false">IF($DJ462&gt;$DI$8,"",VLOOKUP($DJ462,$DL$9:$DR$508,4,FALSE()))</f>
        <v/>
      </c>
      <c r="DW462" s="111" t="str">
        <f aca="false">IF($DJ462&gt;$DI$8,"",VLOOKUP($DJ462,$DL$9:$DR$508,5,FALSE()))</f>
        <v/>
      </c>
      <c r="DX462" s="112" t="str">
        <f aca="false">IF($DJ462&gt;$DI$8,"",VLOOKUP($DJ462,$DL$9:$DR$508,6,FALSE()))</f>
        <v/>
      </c>
      <c r="DY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130"/>
      <c r="N463" s="130"/>
      <c r="O463" s="135"/>
      <c r="P463" s="135"/>
      <c r="Q463" s="130"/>
      <c r="R463" s="130"/>
      <c r="S463" s="130"/>
      <c r="T463" s="130"/>
      <c r="U463" s="135"/>
      <c r="V463" s="130"/>
      <c r="W463" s="96"/>
      <c r="X463" s="130"/>
      <c r="Y463" s="130"/>
      <c r="Z463" s="96"/>
      <c r="AA463" s="96"/>
      <c r="AB463" s="130"/>
      <c r="AC463" s="130"/>
      <c r="AD463" s="130"/>
      <c r="AE463" s="97"/>
      <c r="AF463" s="130"/>
      <c r="AG463" s="99"/>
      <c r="AH463" s="100"/>
      <c r="AI463" s="100"/>
      <c r="AJ463" s="100" t="str">
        <f aca="false">IF(ISBLANK($C463),"",IF($E463=Constants!$B$2,TRUE(),IF($E463=Constants!$B$3,FALSE(),TRUE())))</f>
        <v/>
      </c>
      <c r="AK463" s="100" t="str">
        <f aca="false">IF(ISBLANK($C463),"",IF($F463=Constants!$B$2,TRUE(),IF($F463=Constants!$B$3,FALSE(),FALSE())))</f>
        <v/>
      </c>
      <c r="AL463" s="100" t="str">
        <f aca="false">IF(ISBLANK($C463),"",IF($G463=Constants!$B$2,TRUE(),IF($G463=Constants!$B$3,FALSE(),TRUE())))</f>
        <v/>
      </c>
      <c r="AM463" s="100" t="str">
        <f aca="false">IF(ISBLANK($C463),"",IF($H463=Constants!$B$2,TRUE(),IF($H463=Constants!$B$3,FALSE(),TRUE())))</f>
        <v/>
      </c>
      <c r="AN463" s="100" t="str">
        <f aca="false">IF(ISBLANK($C463),"",IF(ISNUMBER($I463),IF($I463&gt;=0,$I463,""),""))</f>
        <v/>
      </c>
      <c r="AO463" s="100" t="str">
        <f aca="false">IF(ISBLANK($C463),"",IF(ISNUMBER($J463),IF($J463&gt;=0,$J463,""),""))</f>
        <v/>
      </c>
      <c r="AP463" s="100" t="str">
        <f aca="false">IF(ISBLANK($C463),"",IF(ISNUMBER($K463),IF($K463&gt;=0,$K463,""),""))</f>
        <v/>
      </c>
      <c r="AQ463" s="100" t="str">
        <f aca="false">IF(ISBLANK($C463),"",IF($L463=Constants!$B$2,TRUE(),IF($L463=Constants!$B$3,FALSE(),TRUE())))</f>
        <v/>
      </c>
      <c r="AR463" s="100" t="str">
        <f aca="false">IF(ISBLANK($C463),"",IF($M463=Constants!$B$2,TRUE(),IF($M463=Constants!$B$3,FALSE(),TRUE())))</f>
        <v/>
      </c>
      <c r="AS463" s="100" t="str">
        <f aca="false">IF(ISBLANK($C463),"",IF($N463=Constants!$B$2,TRUE(),IF($N463=Constants!$B$3,FALSE(),FALSE())))</f>
        <v/>
      </c>
      <c r="AT463" s="100" t="str">
        <f aca="false">IF(ISBLANK($C463),"",IF($O463=Constants!$B$2,TRUE(),IF($O463=Constants!$B$3,FALSE(),TRUE())))</f>
        <v/>
      </c>
      <c r="AU463" s="100" t="str">
        <f aca="false">IF(ISBLANK($C463),"",IF($P463=Constants!$B$2,TRUE(),IF($P463=Constants!$B$3,FALSE(),TRUE())))</f>
        <v/>
      </c>
      <c r="AV463" s="100" t="str">
        <f aca="false">IF(ISBLANK($C463),"",IF($Q463=Constants!$B$2,TRUE(),IF($Q463=Constants!$B$3,FALSE(),FALSE())))</f>
        <v/>
      </c>
      <c r="AW463" s="100" t="str">
        <f aca="false">IF(ISBLANK($C463),"",IF($R463=Constants!$B$2,TRUE(),IF($R463=Constants!$B$3,FALSE(),FALSE())))</f>
        <v/>
      </c>
      <c r="AX463" s="100" t="str">
        <f aca="false">IF(ISBLANK($C463),"",IF($S463=Constants!$B$2,TRUE(),IF($S463=Constants!$B$3,FALSE(),FALSE())))</f>
        <v/>
      </c>
      <c r="AY463" s="100" t="str">
        <f aca="false">IF(ISBLANK($C463),"",IF($T463=Constants!$B$2,TRUE(),IF($T463=Constants!$B$3,FALSE(),FALSE())))</f>
        <v/>
      </c>
      <c r="AZ463" s="100" t="str">
        <f aca="false">IF(ISBLANK($C463),"",IF($U463=Constants!$B$2,TRUE(),IF($U463=Constants!$B$3,FALSE(),FALSE())))</f>
        <v/>
      </c>
      <c r="BA463" s="100" t="str">
        <f aca="false">IF(ISBLANK($C463),"",IF(OR($V463&amp;""="1",$V463&amp;""="2",$V463&amp;""="3",$V463&amp;""="4"),VALUE($V463&amp;""),IF($V463=Constants!$B$12,Constants!$B$12,"")))</f>
        <v/>
      </c>
      <c r="BB463" s="100" t="str">
        <f aca="false">IF(ISBLANK($C463),"",IF(ISBLANK($W463),0,IF(ISNUMBER($W463),IF(AND($W463&gt;=0,$W463&lt;=Constants!$B$21,$W463=INT($W463)),$W463,""),"")))</f>
        <v/>
      </c>
      <c r="BC463" s="100" t="str">
        <f aca="false">IF(ISBLANK($C463),"",IF(ISBLANK($X463),0,IF(ISNUMBER($X463),IF($X463&gt;=0,$X463,""),"")))</f>
        <v/>
      </c>
      <c r="BD463" s="100" t="str">
        <f aca="false">IF(ISBLANK($C463),"",IF($Y463=Constants!$B$2,TRUE(),IF($Y463=Constants!$B$3,FALSE(),TRUE())))</f>
        <v/>
      </c>
      <c r="BE463" s="100" t="str">
        <f aca="false">IF(ISBLANK($C463),"",IF($Z463=Constants!$B$2,TRUE(),IF($Z463=Constants!$B$3,FALSE(),FALSE())))</f>
        <v/>
      </c>
      <c r="BF463" s="100" t="str">
        <f aca="false">IF(ISBLANK($C463),"",IF(ISBLANK($AA463),0,IF(ISNUMBER($AA463),IF(AND($AA463&gt;=0,$AA463&lt;=Constants!$B$35,$AA463=INT($AA463)),$AA463,""),"")))</f>
        <v/>
      </c>
      <c r="BG463" s="100" t="str">
        <f aca="false">IF(ISBLANK($C463),"",IF($AB463=Constants!$B$2,TRUE(),IF($AB463=Constants!$B$3,FALSE(),TRUE())))</f>
        <v/>
      </c>
      <c r="BH463" s="100" t="str">
        <f aca="false">IF(ISBLANK($C463),"",IF($AC463=Constants!$B$2,TRUE(),IF($AC463=Constants!$B$3,FALSE(),TRUE())))</f>
        <v/>
      </c>
      <c r="BI463" s="100" t="str">
        <f aca="false">IF(ISBLANK($C463),"",IF($AD463=Constants!$B$2,TRUE(),IF($AD463=Constants!$B$3,FALSE(),TRUE())))</f>
        <v/>
      </c>
      <c r="BJ463" s="100" t="str">
        <f aca="false">IF(ISBLANK($C463),"",IF(ISNUMBER($AE463),IF($AE463&gt;=0,$AE463,""),""))</f>
        <v/>
      </c>
      <c r="BK463" s="100" t="str">
        <f aca="false">IF(ISBLANK($C463),"",IF($AF463=Constants!$B$2,TRUE(),IF($AF463=Constants!$B$3,FALSE(),FALSE())))</f>
        <v/>
      </c>
      <c r="BL463" s="99" t="str">
        <f aca="false">IF(ISBLANK($C463),"",IF($BK463,Constants!$B$7,IF(COUNTA($E463:$AE463)=0,Constants!$B$6,IF(OR(COUNTA($G463:$AE463)=0,NOT($AM463),$AS463),Constants!$B$5,IF(OR($CM463&lt;&gt;"",$CN463,$CO463,$CP463,$CQ463,$CR463,$CS463),Constants!$B$8,Constants!$B$4)))))</f>
        <v/>
      </c>
      <c r="BM463" s="100" t="str">
        <f aca="false">IF(ISBLANK($C463),"",IF($BL463&lt;&gt;Constants!$B$4,$BL463,IF(OR(NOT($AJ463),NOT($AL463),NOT($AT463)),Constants!$B$11,IF(OR(NOT($AR463),NOT($AU463),NOT($BI463),MAX($AN463,$AO463,$AP463)&gt;Constants!$B$30),Constants!$B$10,Constants!$B$9))))</f>
        <v/>
      </c>
      <c r="BN463" s="100" t="str">
        <f aca="false">IF($BL463&lt;&gt;Constants!$B$4,"",IF(NOT($AL463),0,MIN(Constants!$B$35,$BF463)))</f>
        <v/>
      </c>
      <c r="BO463" s="100" t="str">
        <f aca="false">IF($BL463&lt;&gt;Constants!$B$4,"",IF(NOT($AL463),0,IF($AW463,Constants!$B$18,IF($AV463,Constants!$B$17,0))))</f>
        <v/>
      </c>
      <c r="BP463" s="100" t="str">
        <f aca="false">IF($BL463&lt;&gt;Constants!$B$4,"",IF(NOT($AL463),0,Constants!$B$19*($AK463+$AX463+$AY463+$AZ463)))</f>
        <v/>
      </c>
      <c r="BQ463" s="100" t="str">
        <f aca="false">IF($BL463&lt;&gt;Constants!$B$4,"",IF(OR(NOT($AL463),NOT(ISNUMBER($BA463))),0,CHOOSE($BA463,Constants!$B$13,Constants!$B$14,Constants!$B$15,Constants!$B$16)))</f>
        <v/>
      </c>
      <c r="BR463" s="100" t="str">
        <f aca="false">IF($BL463&lt;&gt;Constants!$B$4,"",IF(NOT($AL463),0,Constants!$B$20*$BB463))</f>
        <v/>
      </c>
      <c r="BS463" s="100" t="str">
        <f aca="false">IF($BL463&lt;&gt;Constants!$B$4,"",IF(AND($AL463,$BD463,$BE463),Constants!$B$22,0))</f>
        <v/>
      </c>
      <c r="BT463" s="100" t="str">
        <f aca="false">IF($BL463&lt;&gt;Constants!$B$4,"",IF(OR(NOT($AL463),NOT($BD463)),0,IF($BJ463&gt;=2*$AH$9,0,Constants!$B$23*INT(ROUND(MIN($BJ463,$AH$9),6)))))</f>
        <v/>
      </c>
      <c r="BU463" s="100" t="str">
        <f aca="false">IF($BL463&lt;&gt;Constants!$B$4,"",IF(NOT($AL463),0,Constants!$B$24*INT(ROUND(MIN($BC463,$AH$9),6))))</f>
        <v/>
      </c>
      <c r="BV463" s="100" t="str">
        <f aca="false">IF($BL463&lt;&gt;Constants!$B$4,"",IF(AND($AL463,$BN463=0),Constants!$B$25,0))</f>
        <v/>
      </c>
      <c r="BW463" s="100" t="str">
        <f aca="false">IF($BL463&lt;&gt;Constants!$B$4,"",MIN(Constants!$B$29,MAX(0,Constants!$B$27*Constants!$B$28*INT(ROUND((Constants!$B$26-$AN463)/Constants!$B$28,6))))+MIN(Constants!$B$29,MAX(0,Constants!$B$27*Constants!$B$28*INT(ROUND((Constants!$B$26-$AO463)/Constants!$B$28,6))))+MIN(Constants!$B$29,MAX(0,Constants!$B$27*Constants!$B$28*INT(ROUND((Constants!$B$26-$AP463)/Constants!$B$28,6)))))</f>
        <v/>
      </c>
      <c r="BX463" s="100" t="str">
        <f aca="false">IF($BL463&lt;&gt;Constants!$B$4,"",IF(NOT($AL463),0,Constants!$B$31*INT(ROUND(MAX(0,MIN($BJ463,2*$AH$9)-$AH$9),6))))</f>
        <v/>
      </c>
      <c r="BY463" s="100" t="str">
        <f aca="false">IF($BL463&lt;&gt;Constants!$B$4,"",Constants!$B$32*(($AN463&gt;Constants!$B$26)+($AO463&gt;Constants!$B$26)+($AP463&gt;Constants!$B$26)))</f>
        <v/>
      </c>
      <c r="BZ463" s="100" t="str">
        <f aca="false">IF($BL463&lt;&gt;Constants!$B$4,"",IF(OR(NOT($AL463),$AQ463),0,Constants!$B$33))</f>
        <v/>
      </c>
      <c r="CA463" s="100" t="str">
        <f aca="false">IF($BL463&lt;&gt;Constants!$B$4,"",Constants!$B$34*$BN463)</f>
        <v/>
      </c>
      <c r="CB463" s="100" t="str">
        <f aca="false">IF($BL463&lt;&gt;Constants!$B$4,"",IF(OR(NOT($AL463),$BH463),0,Constants!$B$36))</f>
        <v/>
      </c>
      <c r="CC463" s="100" t="str">
        <f aca="false">IF($BL463&lt;&gt;Constants!$B$4,"",IF(OR(NOT($AL463),$BG463),0,Constants!$B$37))</f>
        <v/>
      </c>
      <c r="CD463" s="100" t="str">
        <f aca="false">IF($BL463&lt;&gt;Constants!$B$4,"",SUM($BX463:$CC463))</f>
        <v/>
      </c>
      <c r="CE463" s="100" t="str">
        <f aca="false">IF(ISBLANK($C463),"",IF($BL463&lt;&gt;Constants!$B$4,$BL463,SUM($BO463:$BW463)-$CD463))</f>
        <v/>
      </c>
      <c r="CF463" s="100" t="str">
        <f aca="false">IF(ISBLANK($C463),"",IF($BL463&lt;&gt;Constants!$B$4,$BL463,RANK($CE463,$CE$9:$CE$508)))</f>
        <v/>
      </c>
      <c r="CG463" s="100" t="str">
        <f aca="false">IF(ISBLANK($C463),"",IF($BL463&lt;&gt;Constants!$B$4,$BL463,COUNTIFS($BM$9:$BM$508,"&lt;"&amp;$BM463)+COUNTIFS($BM$9:$BM$508,$BM463,$CF$9:$CF$508,"&lt;"&amp;$CF463)+1))</f>
        <v/>
      </c>
      <c r="CH463" s="100" t="str">
        <f aca="false">IF(ISBLANK($C463),"",IF($BL463&lt;&gt;Constants!$B$4,$BL463,RANK($CD463,$CD$9:$CD$508,1)))</f>
        <v/>
      </c>
      <c r="CI463" s="100" t="str">
        <f aca="false">IF($BL463&lt;&gt;Constants!$B$4,"",$AN463+$AO463+$AP463)</f>
        <v/>
      </c>
      <c r="CJ463" s="100" t="str">
        <f aca="false">IF(ISBLANK($C463),"",IF($BL463&lt;&gt;Constants!$B$4,$BL463,RANK($CI463,$CI$9:$CI$508,1)))</f>
        <v/>
      </c>
      <c r="CK463" s="100" t="str">
        <f aca="false">IF(ISBLANK($C463),"",IF($BL463&lt;&gt;Constants!$B$4,$BL463,COUNTIFS($BM$9:$BM$508,"&lt;"&amp;$BM463)+COUNTIFS($BM$9:$BM$508,$BM463,$CF$9:$CF$508,"&lt;"&amp;$CF463)+COUNTIFS($BM$9:$BM$508,$BM463,$CF$9:$CF$508,$CF463,$CH$9:$CH$508,"&lt;"&amp;$CH463)+COUNTIFS($BM$9:$BM$508,$BM463,$CF$9:$CF$508,$CF463,$CH$9:$CH$508,$CH463,$CJ$9:$CJ$508,"&lt;"&amp;$CJ463)+1))</f>
        <v/>
      </c>
      <c r="CL463" s="100" t="str">
        <f aca="false">IF(ISBLANK($C463),"",IF($BL463&lt;&gt;Constants!$B$4,$BL463,$CG463-$CK463))</f>
        <v/>
      </c>
      <c r="CM463" s="100" t="str">
        <f aca="false">IF(ISBLANK($C463),"",IF(NOT($AL463),"",IF(ISBLANK($D$7),$CM$5,IF(NOT(ISNUMBER($D$7)),$CM$6,""))))</f>
        <v/>
      </c>
      <c r="CN463" s="100" t="str">
        <f aca="false">IF(ISBLANK($C463),"",OR($AN463="",$AO463="",$AP463=""))</f>
        <v/>
      </c>
      <c r="CO463" s="100" t="str">
        <f aca="false">IF(ISBLANK($C463),"",AND($AL463,$BA463=""))</f>
        <v/>
      </c>
      <c r="CP463" s="100" t="str">
        <f aca="false">IF(ISBLANK($C463),"",AND($AL463,$BB463=""))</f>
        <v/>
      </c>
      <c r="CQ463" s="100" t="str">
        <f aca="false">IF(ISBLANK($C463),"",AND($AL463,$BC463=""))</f>
        <v/>
      </c>
      <c r="CR463" s="100" t="str">
        <f aca="false">IF(ISBLANK($C463),"",AND($AL463,$BF463=""))</f>
        <v/>
      </c>
      <c r="CS463" s="100" t="str">
        <f aca="false">IF(ISBLANK($C463),"",AND($AL463,$BJ463=""))</f>
        <v/>
      </c>
      <c r="CT463" s="101"/>
      <c r="CU463" s="102"/>
      <c r="CV463" s="103" t="str">
        <f aca="false">IF(ISBLANK($C463),"",IF($BL463=Constants!$B$8,$CM463,""))</f>
        <v/>
      </c>
      <c r="CW463" s="102" t="str">
        <f aca="false">IF(ISBLANK($C463),"",IF($BL463&lt;&gt;Constants!$B$4,"",$BO463+$BP463))</f>
        <v/>
      </c>
      <c r="CX463" s="104" t="str">
        <f aca="false">IF(ISBLANK($C463),"",IF($BL463&lt;&gt;Constants!$B$4,"",$BQ463+$BR463+$BS463))</f>
        <v/>
      </c>
      <c r="CY463" s="104" t="str">
        <f aca="false">IF(ISBLANK($C463),"",IF($BL463&lt;&gt;Constants!$B$4,"",$BT463))</f>
        <v/>
      </c>
      <c r="CZ463" s="104" t="str">
        <f aca="false">IF(ISBLANK($C463),"",IF($BL463&lt;&gt;Constants!$B$4,"",$BU463+$BV463))</f>
        <v/>
      </c>
      <c r="DA463" s="104" t="str">
        <f aca="false">IF(ISBLANK($C463),"",IF($BL463&lt;&gt;Constants!$B$4,"",$BW463))</f>
        <v/>
      </c>
      <c r="DB463" s="104" t="str">
        <f aca="false">IF(ISBLANK($C463),"",IF($BL463&lt;&gt;Constants!$B$4,"",-$CD463))</f>
        <v/>
      </c>
      <c r="DC463" s="103" t="str">
        <f aca="false">IF(ISBLANK($C463),"",$CE463)</f>
        <v/>
      </c>
      <c r="DD463" s="105" t="str">
        <f aca="false">IF(ISBLANK($C463),"",$BM463)</f>
        <v/>
      </c>
      <c r="DE463" s="104" t="str">
        <f aca="false">IF(ISBLANK($C463),"",$CL463)</f>
        <v/>
      </c>
      <c r="DF463" s="104" t="str">
        <f aca="false">IF(ISBLANK($C463),"",$CK463)</f>
        <v/>
      </c>
      <c r="DG463" s="106" t="str">
        <f aca="false">IF(ISBLANK($C463),"",IF($DF463=Constants!$B$7,COUNTA($C$9:$C$508)+2,IF($DF463=Constants!$B$6,COUNTA($C$9:$C$508)+1,IF($DF463=Constants!$B$5,COUNTA($C$9:$C$508),$DF463))))</f>
        <v/>
      </c>
      <c r="DH463" s="7"/>
      <c r="DI463" s="107" t="n">
        <f aca="false">IF(OR(ISNUMBER($DF463),$DF463=Constants!$B$7,$DF463=Constants!$B$5,$DF463=Constants!$B$6),1,0)</f>
        <v>0</v>
      </c>
      <c r="DJ463" s="107" t="n">
        <v>455</v>
      </c>
      <c r="DK463" s="107" t="str">
        <f aca="false">IF(ISBLANK($C463),"",IF(ISNUMBER($DG463),$DG463+ROW($B463)/1000,""))</f>
        <v/>
      </c>
      <c r="DL463" s="107" t="str">
        <f aca="false">IF(ISNUMBER($DK463),RANK($DK463,$DK$9:$DK$508,1),"")</f>
        <v/>
      </c>
      <c r="DM463" s="107" t="str">
        <f aca="false">IF(ISBLANK($C463),"",$B463)</f>
        <v/>
      </c>
      <c r="DN463" s="107" t="str">
        <f aca="false">IF(ISBLANK($C463),"",$C463)</f>
        <v/>
      </c>
      <c r="DO463" s="107" t="str">
        <f aca="false">IF(ISBLANK($C463),"",$D463)</f>
        <v/>
      </c>
      <c r="DP463" s="108" t="str">
        <f aca="false">$DD463</f>
        <v/>
      </c>
      <c r="DQ463" s="109" t="str">
        <f aca="false">$DC463</f>
        <v/>
      </c>
      <c r="DR463" s="107" t="str">
        <f aca="false">IF(ISBLANK($C463),"",$DF463)</f>
        <v/>
      </c>
      <c r="DS463" s="110" t="str">
        <f aca="false">IF($DJ463&gt;$DI$8,"",VLOOKUP($DJ463,$DL$9:$DR$508,7,FALSE()))</f>
        <v/>
      </c>
      <c r="DT463" s="111" t="str">
        <f aca="false">IF($DJ463&gt;$DI$8,"",VLOOKUP($DJ463,$DL$9:$DR$508,2,FALSE()))</f>
        <v/>
      </c>
      <c r="DU463" s="111" t="str">
        <f aca="false">IF($DJ463&gt;$DI$8,"",VLOOKUP($DJ463,$DL$9:$DR$508,3,FALSE()))</f>
        <v/>
      </c>
      <c r="DV463" s="111" t="str">
        <f aca="false">IF($DJ463&gt;$DI$8,"",VLOOKUP($DJ463,$DL$9:$DR$508,4,FALSE()))</f>
        <v/>
      </c>
      <c r="DW463" s="111" t="str">
        <f aca="false">IF($DJ463&gt;$DI$8,"",VLOOKUP($DJ463,$DL$9:$DR$508,5,FALSE()))</f>
        <v/>
      </c>
      <c r="DX463" s="112" t="str">
        <f aca="false">IF($DJ463&gt;$DI$8,"",VLOOKUP($DJ463,$DL$9:$DR$508,6,FALSE()))</f>
        <v/>
      </c>
      <c r="DY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130"/>
      <c r="N464" s="130"/>
      <c r="O464" s="135"/>
      <c r="P464" s="135"/>
      <c r="Q464" s="130"/>
      <c r="R464" s="130"/>
      <c r="S464" s="130"/>
      <c r="T464" s="130"/>
      <c r="U464" s="135"/>
      <c r="V464" s="130"/>
      <c r="W464" s="96"/>
      <c r="X464" s="130"/>
      <c r="Y464" s="130"/>
      <c r="Z464" s="96"/>
      <c r="AA464" s="96"/>
      <c r="AB464" s="130"/>
      <c r="AC464" s="130"/>
      <c r="AD464" s="130"/>
      <c r="AE464" s="97"/>
      <c r="AF464" s="130"/>
      <c r="AG464" s="99"/>
      <c r="AH464" s="100"/>
      <c r="AI464" s="100"/>
      <c r="AJ464" s="100" t="str">
        <f aca="false">IF(ISBLANK($C464),"",IF($E464=Constants!$B$2,TRUE(),IF($E464=Constants!$B$3,FALSE(),TRUE())))</f>
        <v/>
      </c>
      <c r="AK464" s="100" t="str">
        <f aca="false">IF(ISBLANK($C464),"",IF($F464=Constants!$B$2,TRUE(),IF($F464=Constants!$B$3,FALSE(),FALSE())))</f>
        <v/>
      </c>
      <c r="AL464" s="100" t="str">
        <f aca="false">IF(ISBLANK($C464),"",IF($G464=Constants!$B$2,TRUE(),IF($G464=Constants!$B$3,FALSE(),TRUE())))</f>
        <v/>
      </c>
      <c r="AM464" s="100" t="str">
        <f aca="false">IF(ISBLANK($C464),"",IF($H464=Constants!$B$2,TRUE(),IF($H464=Constants!$B$3,FALSE(),TRUE())))</f>
        <v/>
      </c>
      <c r="AN464" s="100" t="str">
        <f aca="false">IF(ISBLANK($C464),"",IF(ISNUMBER($I464),IF($I464&gt;=0,$I464,""),""))</f>
        <v/>
      </c>
      <c r="AO464" s="100" t="str">
        <f aca="false">IF(ISBLANK($C464),"",IF(ISNUMBER($J464),IF($J464&gt;=0,$J464,""),""))</f>
        <v/>
      </c>
      <c r="AP464" s="100" t="str">
        <f aca="false">IF(ISBLANK($C464),"",IF(ISNUMBER($K464),IF($K464&gt;=0,$K464,""),""))</f>
        <v/>
      </c>
      <c r="AQ464" s="100" t="str">
        <f aca="false">IF(ISBLANK($C464),"",IF($L464=Constants!$B$2,TRUE(),IF($L464=Constants!$B$3,FALSE(),TRUE())))</f>
        <v/>
      </c>
      <c r="AR464" s="100" t="str">
        <f aca="false">IF(ISBLANK($C464),"",IF($M464=Constants!$B$2,TRUE(),IF($M464=Constants!$B$3,FALSE(),TRUE())))</f>
        <v/>
      </c>
      <c r="AS464" s="100" t="str">
        <f aca="false">IF(ISBLANK($C464),"",IF($N464=Constants!$B$2,TRUE(),IF($N464=Constants!$B$3,FALSE(),FALSE())))</f>
        <v/>
      </c>
      <c r="AT464" s="100" t="str">
        <f aca="false">IF(ISBLANK($C464),"",IF($O464=Constants!$B$2,TRUE(),IF($O464=Constants!$B$3,FALSE(),TRUE())))</f>
        <v/>
      </c>
      <c r="AU464" s="100" t="str">
        <f aca="false">IF(ISBLANK($C464),"",IF($P464=Constants!$B$2,TRUE(),IF($P464=Constants!$B$3,FALSE(),TRUE())))</f>
        <v/>
      </c>
      <c r="AV464" s="100" t="str">
        <f aca="false">IF(ISBLANK($C464),"",IF($Q464=Constants!$B$2,TRUE(),IF($Q464=Constants!$B$3,FALSE(),FALSE())))</f>
        <v/>
      </c>
      <c r="AW464" s="100" t="str">
        <f aca="false">IF(ISBLANK($C464),"",IF($R464=Constants!$B$2,TRUE(),IF($R464=Constants!$B$3,FALSE(),FALSE())))</f>
        <v/>
      </c>
      <c r="AX464" s="100" t="str">
        <f aca="false">IF(ISBLANK($C464),"",IF($S464=Constants!$B$2,TRUE(),IF($S464=Constants!$B$3,FALSE(),FALSE())))</f>
        <v/>
      </c>
      <c r="AY464" s="100" t="str">
        <f aca="false">IF(ISBLANK($C464),"",IF($T464=Constants!$B$2,TRUE(),IF($T464=Constants!$B$3,FALSE(),FALSE())))</f>
        <v/>
      </c>
      <c r="AZ464" s="100" t="str">
        <f aca="false">IF(ISBLANK($C464),"",IF($U464=Constants!$B$2,TRUE(),IF($U464=Constants!$B$3,FALSE(),FALSE())))</f>
        <v/>
      </c>
      <c r="BA464" s="100" t="str">
        <f aca="false">IF(ISBLANK($C464),"",IF(OR($V464&amp;""="1",$V464&amp;""="2",$V464&amp;""="3",$V464&amp;""="4"),VALUE($V464&amp;""),IF($V464=Constants!$B$12,Constants!$B$12,"")))</f>
        <v/>
      </c>
      <c r="BB464" s="100" t="str">
        <f aca="false">IF(ISBLANK($C464),"",IF(ISBLANK($W464),0,IF(ISNUMBER($W464),IF(AND($W464&gt;=0,$W464&lt;=Constants!$B$21,$W464=INT($W464)),$W464,""),"")))</f>
        <v/>
      </c>
      <c r="BC464" s="100" t="str">
        <f aca="false">IF(ISBLANK($C464),"",IF(ISBLANK($X464),0,IF(ISNUMBER($X464),IF($X464&gt;=0,$X464,""),"")))</f>
        <v/>
      </c>
      <c r="BD464" s="100" t="str">
        <f aca="false">IF(ISBLANK($C464),"",IF($Y464=Constants!$B$2,TRUE(),IF($Y464=Constants!$B$3,FALSE(),TRUE())))</f>
        <v/>
      </c>
      <c r="BE464" s="100" t="str">
        <f aca="false">IF(ISBLANK($C464),"",IF($Z464=Constants!$B$2,TRUE(),IF($Z464=Constants!$B$3,FALSE(),FALSE())))</f>
        <v/>
      </c>
      <c r="BF464" s="100" t="str">
        <f aca="false">IF(ISBLANK($C464),"",IF(ISBLANK($AA464),0,IF(ISNUMBER($AA464),IF(AND($AA464&gt;=0,$AA464&lt;=Constants!$B$35,$AA464=INT($AA464)),$AA464,""),"")))</f>
        <v/>
      </c>
      <c r="BG464" s="100" t="str">
        <f aca="false">IF(ISBLANK($C464),"",IF($AB464=Constants!$B$2,TRUE(),IF($AB464=Constants!$B$3,FALSE(),TRUE())))</f>
        <v/>
      </c>
      <c r="BH464" s="100" t="str">
        <f aca="false">IF(ISBLANK($C464),"",IF($AC464=Constants!$B$2,TRUE(),IF($AC464=Constants!$B$3,FALSE(),TRUE())))</f>
        <v/>
      </c>
      <c r="BI464" s="100" t="str">
        <f aca="false">IF(ISBLANK($C464),"",IF($AD464=Constants!$B$2,TRUE(),IF($AD464=Constants!$B$3,FALSE(),TRUE())))</f>
        <v/>
      </c>
      <c r="BJ464" s="100" t="str">
        <f aca="false">IF(ISBLANK($C464),"",IF(ISNUMBER($AE464),IF($AE464&gt;=0,$AE464,""),""))</f>
        <v/>
      </c>
      <c r="BK464" s="100" t="str">
        <f aca="false">IF(ISBLANK($C464),"",IF($AF464=Constants!$B$2,TRUE(),IF($AF464=Constants!$B$3,FALSE(),FALSE())))</f>
        <v/>
      </c>
      <c r="BL464" s="99" t="str">
        <f aca="false">IF(ISBLANK($C464),"",IF($BK464,Constants!$B$7,IF(COUNTA($E464:$AE464)=0,Constants!$B$6,IF(OR(COUNTA($G464:$AE464)=0,NOT($AM464),$AS464),Constants!$B$5,IF(OR($CM464&lt;&gt;"",$CN464,$CO464,$CP464,$CQ464,$CR464,$CS464),Constants!$B$8,Constants!$B$4)))))</f>
        <v/>
      </c>
      <c r="BM464" s="100" t="str">
        <f aca="false">IF(ISBLANK($C464),"",IF($BL464&lt;&gt;Constants!$B$4,$BL464,IF(OR(NOT($AJ464),NOT($AL464),NOT($AT464)),Constants!$B$11,IF(OR(NOT($AR464),NOT($AU464),NOT($BI464),MAX($AN464,$AO464,$AP464)&gt;Constants!$B$30),Constants!$B$10,Constants!$B$9))))</f>
        <v/>
      </c>
      <c r="BN464" s="100" t="str">
        <f aca="false">IF($BL464&lt;&gt;Constants!$B$4,"",IF(NOT($AL464),0,MIN(Constants!$B$35,$BF464)))</f>
        <v/>
      </c>
      <c r="BO464" s="100" t="str">
        <f aca="false">IF($BL464&lt;&gt;Constants!$B$4,"",IF(NOT($AL464),0,IF($AW464,Constants!$B$18,IF($AV464,Constants!$B$17,0))))</f>
        <v/>
      </c>
      <c r="BP464" s="100" t="str">
        <f aca="false">IF($BL464&lt;&gt;Constants!$B$4,"",IF(NOT($AL464),0,Constants!$B$19*($AK464+$AX464+$AY464+$AZ464)))</f>
        <v/>
      </c>
      <c r="BQ464" s="100" t="str">
        <f aca="false">IF($BL464&lt;&gt;Constants!$B$4,"",IF(OR(NOT($AL464),NOT(ISNUMBER($BA464))),0,CHOOSE($BA464,Constants!$B$13,Constants!$B$14,Constants!$B$15,Constants!$B$16)))</f>
        <v/>
      </c>
      <c r="BR464" s="100" t="str">
        <f aca="false">IF($BL464&lt;&gt;Constants!$B$4,"",IF(NOT($AL464),0,Constants!$B$20*$BB464))</f>
        <v/>
      </c>
      <c r="BS464" s="100" t="str">
        <f aca="false">IF($BL464&lt;&gt;Constants!$B$4,"",IF(AND($AL464,$BD464,$BE464),Constants!$B$22,0))</f>
        <v/>
      </c>
      <c r="BT464" s="100" t="str">
        <f aca="false">IF($BL464&lt;&gt;Constants!$B$4,"",IF(OR(NOT($AL464),NOT($BD464)),0,IF($BJ464&gt;=2*$AH$9,0,Constants!$B$23*INT(ROUND(MIN($BJ464,$AH$9),6)))))</f>
        <v/>
      </c>
      <c r="BU464" s="100" t="str">
        <f aca="false">IF($BL464&lt;&gt;Constants!$B$4,"",IF(NOT($AL464),0,Constants!$B$24*INT(ROUND(MIN($BC464,$AH$9),6))))</f>
        <v/>
      </c>
      <c r="BV464" s="100" t="str">
        <f aca="false">IF($BL464&lt;&gt;Constants!$B$4,"",IF(AND($AL464,$BN464=0),Constants!$B$25,0))</f>
        <v/>
      </c>
      <c r="BW464" s="100" t="str">
        <f aca="false">IF($BL464&lt;&gt;Constants!$B$4,"",MIN(Constants!$B$29,MAX(0,Constants!$B$27*Constants!$B$28*INT(ROUND((Constants!$B$26-$AN464)/Constants!$B$28,6))))+MIN(Constants!$B$29,MAX(0,Constants!$B$27*Constants!$B$28*INT(ROUND((Constants!$B$26-$AO464)/Constants!$B$28,6))))+MIN(Constants!$B$29,MAX(0,Constants!$B$27*Constants!$B$28*INT(ROUND((Constants!$B$26-$AP464)/Constants!$B$28,6)))))</f>
        <v/>
      </c>
      <c r="BX464" s="100" t="str">
        <f aca="false">IF($BL464&lt;&gt;Constants!$B$4,"",IF(NOT($AL464),0,Constants!$B$31*INT(ROUND(MAX(0,MIN($BJ464,2*$AH$9)-$AH$9),6))))</f>
        <v/>
      </c>
      <c r="BY464" s="100" t="str">
        <f aca="false">IF($BL464&lt;&gt;Constants!$B$4,"",Constants!$B$32*(($AN464&gt;Constants!$B$26)+($AO464&gt;Constants!$B$26)+($AP464&gt;Constants!$B$26)))</f>
        <v/>
      </c>
      <c r="BZ464" s="100" t="str">
        <f aca="false">IF($BL464&lt;&gt;Constants!$B$4,"",IF(OR(NOT($AL464),$AQ464),0,Constants!$B$33))</f>
        <v/>
      </c>
      <c r="CA464" s="100" t="str">
        <f aca="false">IF($BL464&lt;&gt;Constants!$B$4,"",Constants!$B$34*$BN464)</f>
        <v/>
      </c>
      <c r="CB464" s="100" t="str">
        <f aca="false">IF($BL464&lt;&gt;Constants!$B$4,"",IF(OR(NOT($AL464),$BH464),0,Constants!$B$36))</f>
        <v/>
      </c>
      <c r="CC464" s="100" t="str">
        <f aca="false">IF($BL464&lt;&gt;Constants!$B$4,"",IF(OR(NOT($AL464),$BG464),0,Constants!$B$37))</f>
        <v/>
      </c>
      <c r="CD464" s="100" t="str">
        <f aca="false">IF($BL464&lt;&gt;Constants!$B$4,"",SUM($BX464:$CC464))</f>
        <v/>
      </c>
      <c r="CE464" s="100" t="str">
        <f aca="false">IF(ISBLANK($C464),"",IF($BL464&lt;&gt;Constants!$B$4,$BL464,SUM($BO464:$BW464)-$CD464))</f>
        <v/>
      </c>
      <c r="CF464" s="100" t="str">
        <f aca="false">IF(ISBLANK($C464),"",IF($BL464&lt;&gt;Constants!$B$4,$BL464,RANK($CE464,$CE$9:$CE$508)))</f>
        <v/>
      </c>
      <c r="CG464" s="100" t="str">
        <f aca="false">IF(ISBLANK($C464),"",IF($BL464&lt;&gt;Constants!$B$4,$BL464,COUNTIFS($BM$9:$BM$508,"&lt;"&amp;$BM464)+COUNTIFS($BM$9:$BM$508,$BM464,$CF$9:$CF$508,"&lt;"&amp;$CF464)+1))</f>
        <v/>
      </c>
      <c r="CH464" s="100" t="str">
        <f aca="false">IF(ISBLANK($C464),"",IF($BL464&lt;&gt;Constants!$B$4,$BL464,RANK($CD464,$CD$9:$CD$508,1)))</f>
        <v/>
      </c>
      <c r="CI464" s="100" t="str">
        <f aca="false">IF($BL464&lt;&gt;Constants!$B$4,"",$AN464+$AO464+$AP464)</f>
        <v/>
      </c>
      <c r="CJ464" s="100" t="str">
        <f aca="false">IF(ISBLANK($C464),"",IF($BL464&lt;&gt;Constants!$B$4,$BL464,RANK($CI464,$CI$9:$CI$508,1)))</f>
        <v/>
      </c>
      <c r="CK464" s="100" t="str">
        <f aca="false">IF(ISBLANK($C464),"",IF($BL464&lt;&gt;Constants!$B$4,$BL464,COUNTIFS($BM$9:$BM$508,"&lt;"&amp;$BM464)+COUNTIFS($BM$9:$BM$508,$BM464,$CF$9:$CF$508,"&lt;"&amp;$CF464)+COUNTIFS($BM$9:$BM$508,$BM464,$CF$9:$CF$508,$CF464,$CH$9:$CH$508,"&lt;"&amp;$CH464)+COUNTIFS($BM$9:$BM$508,$BM464,$CF$9:$CF$508,$CF464,$CH$9:$CH$508,$CH464,$CJ$9:$CJ$508,"&lt;"&amp;$CJ464)+1))</f>
        <v/>
      </c>
      <c r="CL464" s="100" t="str">
        <f aca="false">IF(ISBLANK($C464),"",IF($BL464&lt;&gt;Constants!$B$4,$BL464,$CG464-$CK464))</f>
        <v/>
      </c>
      <c r="CM464" s="100" t="str">
        <f aca="false">IF(ISBLANK($C464),"",IF(NOT($AL464),"",IF(ISBLANK($D$7),$CM$5,IF(NOT(ISNUMBER($D$7)),$CM$6,""))))</f>
        <v/>
      </c>
      <c r="CN464" s="100" t="str">
        <f aca="false">IF(ISBLANK($C464),"",OR($AN464="",$AO464="",$AP464=""))</f>
        <v/>
      </c>
      <c r="CO464" s="100" t="str">
        <f aca="false">IF(ISBLANK($C464),"",AND($AL464,$BA464=""))</f>
        <v/>
      </c>
      <c r="CP464" s="100" t="str">
        <f aca="false">IF(ISBLANK($C464),"",AND($AL464,$BB464=""))</f>
        <v/>
      </c>
      <c r="CQ464" s="100" t="str">
        <f aca="false">IF(ISBLANK($C464),"",AND($AL464,$BC464=""))</f>
        <v/>
      </c>
      <c r="CR464" s="100" t="str">
        <f aca="false">IF(ISBLANK($C464),"",AND($AL464,$BF464=""))</f>
        <v/>
      </c>
      <c r="CS464" s="100" t="str">
        <f aca="false">IF(ISBLANK($C464),"",AND($AL464,$BJ464=""))</f>
        <v/>
      </c>
      <c r="CT464" s="101"/>
      <c r="CU464" s="102"/>
      <c r="CV464" s="103" t="str">
        <f aca="false">IF(ISBLANK($C464),"",IF($BL464=Constants!$B$8,$CM464,""))</f>
        <v/>
      </c>
      <c r="CW464" s="102" t="str">
        <f aca="false">IF(ISBLANK($C464),"",IF($BL464&lt;&gt;Constants!$B$4,"",$BO464+$BP464))</f>
        <v/>
      </c>
      <c r="CX464" s="104" t="str">
        <f aca="false">IF(ISBLANK($C464),"",IF($BL464&lt;&gt;Constants!$B$4,"",$BQ464+$BR464+$BS464))</f>
        <v/>
      </c>
      <c r="CY464" s="104" t="str">
        <f aca="false">IF(ISBLANK($C464),"",IF($BL464&lt;&gt;Constants!$B$4,"",$BT464))</f>
        <v/>
      </c>
      <c r="CZ464" s="104" t="str">
        <f aca="false">IF(ISBLANK($C464),"",IF($BL464&lt;&gt;Constants!$B$4,"",$BU464+$BV464))</f>
        <v/>
      </c>
      <c r="DA464" s="104" t="str">
        <f aca="false">IF(ISBLANK($C464),"",IF($BL464&lt;&gt;Constants!$B$4,"",$BW464))</f>
        <v/>
      </c>
      <c r="DB464" s="104" t="str">
        <f aca="false">IF(ISBLANK($C464),"",IF($BL464&lt;&gt;Constants!$B$4,"",-$CD464))</f>
        <v/>
      </c>
      <c r="DC464" s="103" t="str">
        <f aca="false">IF(ISBLANK($C464),"",$CE464)</f>
        <v/>
      </c>
      <c r="DD464" s="105" t="str">
        <f aca="false">IF(ISBLANK($C464),"",$BM464)</f>
        <v/>
      </c>
      <c r="DE464" s="104" t="str">
        <f aca="false">IF(ISBLANK($C464),"",$CL464)</f>
        <v/>
      </c>
      <c r="DF464" s="104" t="str">
        <f aca="false">IF(ISBLANK($C464),"",$CK464)</f>
        <v/>
      </c>
      <c r="DG464" s="106" t="str">
        <f aca="false">IF(ISBLANK($C464),"",IF($DF464=Constants!$B$7,COUNTA($C$9:$C$508)+2,IF($DF464=Constants!$B$6,COUNTA($C$9:$C$508)+1,IF($DF464=Constants!$B$5,COUNTA($C$9:$C$508),$DF464))))</f>
        <v/>
      </c>
      <c r="DH464" s="7"/>
      <c r="DI464" s="107" t="n">
        <f aca="false">IF(OR(ISNUMBER($DF464),$DF464=Constants!$B$7,$DF464=Constants!$B$5,$DF464=Constants!$B$6),1,0)</f>
        <v>0</v>
      </c>
      <c r="DJ464" s="107" t="n">
        <v>456</v>
      </c>
      <c r="DK464" s="107" t="str">
        <f aca="false">IF(ISBLANK($C464),"",IF(ISNUMBER($DG464),$DG464+ROW($B464)/1000,""))</f>
        <v/>
      </c>
      <c r="DL464" s="107" t="str">
        <f aca="false">IF(ISNUMBER($DK464),RANK($DK464,$DK$9:$DK$508,1),"")</f>
        <v/>
      </c>
      <c r="DM464" s="107" t="str">
        <f aca="false">IF(ISBLANK($C464),"",$B464)</f>
        <v/>
      </c>
      <c r="DN464" s="107" t="str">
        <f aca="false">IF(ISBLANK($C464),"",$C464)</f>
        <v/>
      </c>
      <c r="DO464" s="107" t="str">
        <f aca="false">IF(ISBLANK($C464),"",$D464)</f>
        <v/>
      </c>
      <c r="DP464" s="108" t="str">
        <f aca="false">$DD464</f>
        <v/>
      </c>
      <c r="DQ464" s="109" t="str">
        <f aca="false">$DC464</f>
        <v/>
      </c>
      <c r="DR464" s="107" t="str">
        <f aca="false">IF(ISBLANK($C464),"",$DF464)</f>
        <v/>
      </c>
      <c r="DS464" s="110" t="str">
        <f aca="false">IF($DJ464&gt;$DI$8,"",VLOOKUP($DJ464,$DL$9:$DR$508,7,FALSE()))</f>
        <v/>
      </c>
      <c r="DT464" s="111" t="str">
        <f aca="false">IF($DJ464&gt;$DI$8,"",VLOOKUP($DJ464,$DL$9:$DR$508,2,FALSE()))</f>
        <v/>
      </c>
      <c r="DU464" s="111" t="str">
        <f aca="false">IF($DJ464&gt;$DI$8,"",VLOOKUP($DJ464,$DL$9:$DR$508,3,FALSE()))</f>
        <v/>
      </c>
      <c r="DV464" s="111" t="str">
        <f aca="false">IF($DJ464&gt;$DI$8,"",VLOOKUP($DJ464,$DL$9:$DR$508,4,FALSE()))</f>
        <v/>
      </c>
      <c r="DW464" s="111" t="str">
        <f aca="false">IF($DJ464&gt;$DI$8,"",VLOOKUP($DJ464,$DL$9:$DR$508,5,FALSE()))</f>
        <v/>
      </c>
      <c r="DX464" s="112" t="str">
        <f aca="false">IF($DJ464&gt;$DI$8,"",VLOOKUP($DJ464,$DL$9:$DR$508,6,FALSE()))</f>
        <v/>
      </c>
      <c r="DY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88"/>
      <c r="N465" s="88"/>
      <c r="O465" s="134"/>
      <c r="P465" s="134"/>
      <c r="Q465" s="88"/>
      <c r="R465" s="88"/>
      <c r="S465" s="88"/>
      <c r="T465" s="88"/>
      <c r="U465" s="134"/>
      <c r="V465" s="88"/>
      <c r="W465" s="70"/>
      <c r="X465" s="88"/>
      <c r="Y465" s="88"/>
      <c r="Z465" s="70"/>
      <c r="AA465" s="70"/>
      <c r="AB465" s="88"/>
      <c r="AC465" s="88"/>
      <c r="AD465" s="88"/>
      <c r="AE465" s="71"/>
      <c r="AF465" s="88"/>
      <c r="AG465" s="73"/>
      <c r="AH465" s="74"/>
      <c r="AI465" s="74"/>
      <c r="AJ465" s="74" t="str">
        <f aca="false">IF(ISBLANK($C465),"",IF($E465=Constants!$B$2,TRUE(),IF($E465=Constants!$B$3,FALSE(),TRUE())))</f>
        <v/>
      </c>
      <c r="AK465" s="74" t="str">
        <f aca="false">IF(ISBLANK($C465),"",IF($F465=Constants!$B$2,TRUE(),IF($F465=Constants!$B$3,FALSE(),FALSE())))</f>
        <v/>
      </c>
      <c r="AL465" s="74" t="str">
        <f aca="false">IF(ISBLANK($C465),"",IF($G465=Constants!$B$2,TRUE(),IF($G465=Constants!$B$3,FALSE(),TRUE())))</f>
        <v/>
      </c>
      <c r="AM465" s="74" t="str">
        <f aca="false">IF(ISBLANK($C465),"",IF($H465=Constants!$B$2,TRUE(),IF($H465=Constants!$B$3,FALSE(),TRUE())))</f>
        <v/>
      </c>
      <c r="AN465" s="74" t="str">
        <f aca="false">IF(ISBLANK($C465),"",IF(ISNUMBER($I465),IF($I465&gt;=0,$I465,""),""))</f>
        <v/>
      </c>
      <c r="AO465" s="74" t="str">
        <f aca="false">IF(ISBLANK($C465),"",IF(ISNUMBER($J465),IF($J465&gt;=0,$J465,""),""))</f>
        <v/>
      </c>
      <c r="AP465" s="74" t="str">
        <f aca="false">IF(ISBLANK($C465),"",IF(ISNUMBER($K465),IF($K465&gt;=0,$K465,""),""))</f>
        <v/>
      </c>
      <c r="AQ465" s="74" t="str">
        <f aca="false">IF(ISBLANK($C465),"",IF($L465=Constants!$B$2,TRUE(),IF($L465=Constants!$B$3,FALSE(),TRUE())))</f>
        <v/>
      </c>
      <c r="AR465" s="74" t="str">
        <f aca="false">IF(ISBLANK($C465),"",IF($M465=Constants!$B$2,TRUE(),IF($M465=Constants!$B$3,FALSE(),TRUE())))</f>
        <v/>
      </c>
      <c r="AS465" s="74" t="str">
        <f aca="false">IF(ISBLANK($C465),"",IF($N465=Constants!$B$2,TRUE(),IF($N465=Constants!$B$3,FALSE(),FALSE())))</f>
        <v/>
      </c>
      <c r="AT465" s="74" t="str">
        <f aca="false">IF(ISBLANK($C465),"",IF($O465=Constants!$B$2,TRUE(),IF($O465=Constants!$B$3,FALSE(),TRUE())))</f>
        <v/>
      </c>
      <c r="AU465" s="74" t="str">
        <f aca="false">IF(ISBLANK($C465),"",IF($P465=Constants!$B$2,TRUE(),IF($P465=Constants!$B$3,FALSE(),TRUE())))</f>
        <v/>
      </c>
      <c r="AV465" s="74" t="str">
        <f aca="false">IF(ISBLANK($C465),"",IF($Q465=Constants!$B$2,TRUE(),IF($Q465=Constants!$B$3,FALSE(),FALSE())))</f>
        <v/>
      </c>
      <c r="AW465" s="74" t="str">
        <f aca="false">IF(ISBLANK($C465),"",IF($R465=Constants!$B$2,TRUE(),IF($R465=Constants!$B$3,FALSE(),FALSE())))</f>
        <v/>
      </c>
      <c r="AX465" s="74" t="str">
        <f aca="false">IF(ISBLANK($C465),"",IF($S465=Constants!$B$2,TRUE(),IF($S465=Constants!$B$3,FALSE(),FALSE())))</f>
        <v/>
      </c>
      <c r="AY465" s="74" t="str">
        <f aca="false">IF(ISBLANK($C465),"",IF($T465=Constants!$B$2,TRUE(),IF($T465=Constants!$B$3,FALSE(),FALSE())))</f>
        <v/>
      </c>
      <c r="AZ465" s="74" t="str">
        <f aca="false">IF(ISBLANK($C465),"",IF($U465=Constants!$B$2,TRUE(),IF($U465=Constants!$B$3,FALSE(),FALSE())))</f>
        <v/>
      </c>
      <c r="BA465" s="74" t="str">
        <f aca="false">IF(ISBLANK($C465),"",IF(OR($V465&amp;""="1",$V465&amp;""="2",$V465&amp;""="3",$V465&amp;""="4"),VALUE($V465&amp;""),IF($V465=Constants!$B$12,Constants!$B$12,"")))</f>
        <v/>
      </c>
      <c r="BB465" s="74" t="str">
        <f aca="false">IF(ISBLANK($C465),"",IF(ISBLANK($W465),0,IF(ISNUMBER($W465),IF(AND($W465&gt;=0,$W465&lt;=Constants!$B$21,$W465=INT($W465)),$W465,""),"")))</f>
        <v/>
      </c>
      <c r="BC465" s="74" t="str">
        <f aca="false">IF(ISBLANK($C465),"",IF(ISBLANK($X465),0,IF(ISNUMBER($X465),IF($X465&gt;=0,$X465,""),"")))</f>
        <v/>
      </c>
      <c r="BD465" s="74" t="str">
        <f aca="false">IF(ISBLANK($C465),"",IF($Y465=Constants!$B$2,TRUE(),IF($Y465=Constants!$B$3,FALSE(),TRUE())))</f>
        <v/>
      </c>
      <c r="BE465" s="74" t="str">
        <f aca="false">IF(ISBLANK($C465),"",IF($Z465=Constants!$B$2,TRUE(),IF($Z465=Constants!$B$3,FALSE(),FALSE())))</f>
        <v/>
      </c>
      <c r="BF465" s="74" t="str">
        <f aca="false">IF(ISBLANK($C465),"",IF(ISBLANK($AA465),0,IF(ISNUMBER($AA465),IF(AND($AA465&gt;=0,$AA465&lt;=Constants!$B$35,$AA465=INT($AA465)),$AA465,""),"")))</f>
        <v/>
      </c>
      <c r="BG465" s="74" t="str">
        <f aca="false">IF(ISBLANK($C465),"",IF($AB465=Constants!$B$2,TRUE(),IF($AB465=Constants!$B$3,FALSE(),TRUE())))</f>
        <v/>
      </c>
      <c r="BH465" s="74" t="str">
        <f aca="false">IF(ISBLANK($C465),"",IF($AC465=Constants!$B$2,TRUE(),IF($AC465=Constants!$B$3,FALSE(),TRUE())))</f>
        <v/>
      </c>
      <c r="BI465" s="74" t="str">
        <f aca="false">IF(ISBLANK($C465),"",IF($AD465=Constants!$B$2,TRUE(),IF($AD465=Constants!$B$3,FALSE(),TRUE())))</f>
        <v/>
      </c>
      <c r="BJ465" s="74" t="str">
        <f aca="false">IF(ISBLANK($C465),"",IF(ISNUMBER($AE465),IF($AE465&gt;=0,$AE465,""),""))</f>
        <v/>
      </c>
      <c r="BK465" s="74" t="str">
        <f aca="false">IF(ISBLANK($C465),"",IF($AF465=Constants!$B$2,TRUE(),IF($AF465=Constants!$B$3,FALSE(),FALSE())))</f>
        <v/>
      </c>
      <c r="BL465" s="73" t="str">
        <f aca="false">IF(ISBLANK($C465),"",IF($BK465,Constants!$B$7,IF(COUNTA($E465:$AE465)=0,Constants!$B$6,IF(OR(COUNTA($G465:$AE465)=0,NOT($AM465),$AS465),Constants!$B$5,IF(OR($CM465&lt;&gt;"",$CN465,$CO465,$CP465,$CQ465,$CR465,$CS465),Constants!$B$8,Constants!$B$4)))))</f>
        <v/>
      </c>
      <c r="BM465" s="74" t="str">
        <f aca="false">IF(ISBLANK($C465),"",IF($BL465&lt;&gt;Constants!$B$4,$BL465,IF(OR(NOT($AJ465),NOT($AL465),NOT($AT465)),Constants!$B$11,IF(OR(NOT($AR465),NOT($AU465),NOT($BI465),MAX($AN465,$AO465,$AP465)&gt;Constants!$B$30),Constants!$B$10,Constants!$B$9))))</f>
        <v/>
      </c>
      <c r="BN465" s="74" t="str">
        <f aca="false">IF($BL465&lt;&gt;Constants!$B$4,"",IF(NOT($AL465),0,MIN(Constants!$B$35,$BF465)))</f>
        <v/>
      </c>
      <c r="BO465" s="74" t="str">
        <f aca="false">IF($BL465&lt;&gt;Constants!$B$4,"",IF(NOT($AL465),0,IF($AW465,Constants!$B$18,IF($AV465,Constants!$B$17,0))))</f>
        <v/>
      </c>
      <c r="BP465" s="74" t="str">
        <f aca="false">IF($BL465&lt;&gt;Constants!$B$4,"",IF(NOT($AL465),0,Constants!$B$19*($AK465+$AX465+$AY465+$AZ465)))</f>
        <v/>
      </c>
      <c r="BQ465" s="74" t="str">
        <f aca="false">IF($BL465&lt;&gt;Constants!$B$4,"",IF(OR(NOT($AL465),NOT(ISNUMBER($BA465))),0,CHOOSE($BA465,Constants!$B$13,Constants!$B$14,Constants!$B$15,Constants!$B$16)))</f>
        <v/>
      </c>
      <c r="BR465" s="74" t="str">
        <f aca="false">IF($BL465&lt;&gt;Constants!$B$4,"",IF(NOT($AL465),0,Constants!$B$20*$BB465))</f>
        <v/>
      </c>
      <c r="BS465" s="74" t="str">
        <f aca="false">IF($BL465&lt;&gt;Constants!$B$4,"",IF(AND($AL465,$BD465,$BE465),Constants!$B$22,0))</f>
        <v/>
      </c>
      <c r="BT465" s="74" t="str">
        <f aca="false">IF($BL465&lt;&gt;Constants!$B$4,"",IF(OR(NOT($AL465),NOT($BD465)),0,IF($BJ465&gt;=2*$AH$9,0,Constants!$B$23*INT(ROUND(MIN($BJ465,$AH$9),6)))))</f>
        <v/>
      </c>
      <c r="BU465" s="74" t="str">
        <f aca="false">IF($BL465&lt;&gt;Constants!$B$4,"",IF(NOT($AL465),0,Constants!$B$24*INT(ROUND(MIN($BC465,$AH$9),6))))</f>
        <v/>
      </c>
      <c r="BV465" s="74" t="str">
        <f aca="false">IF($BL465&lt;&gt;Constants!$B$4,"",IF(AND($AL465,$BN465=0),Constants!$B$25,0))</f>
        <v/>
      </c>
      <c r="BW465" s="74" t="str">
        <f aca="false">IF($BL465&lt;&gt;Constants!$B$4,"",MIN(Constants!$B$29,MAX(0,Constants!$B$27*Constants!$B$28*INT(ROUND((Constants!$B$26-$AN465)/Constants!$B$28,6))))+MIN(Constants!$B$29,MAX(0,Constants!$B$27*Constants!$B$28*INT(ROUND((Constants!$B$26-$AO465)/Constants!$B$28,6))))+MIN(Constants!$B$29,MAX(0,Constants!$B$27*Constants!$B$28*INT(ROUND((Constants!$B$26-$AP465)/Constants!$B$28,6)))))</f>
        <v/>
      </c>
      <c r="BX465" s="74" t="str">
        <f aca="false">IF($BL465&lt;&gt;Constants!$B$4,"",IF(NOT($AL465),0,Constants!$B$31*INT(ROUND(MAX(0,MIN($BJ465,2*$AH$9)-$AH$9),6))))</f>
        <v/>
      </c>
      <c r="BY465" s="74" t="str">
        <f aca="false">IF($BL465&lt;&gt;Constants!$B$4,"",Constants!$B$32*(($AN465&gt;Constants!$B$26)+($AO465&gt;Constants!$B$26)+($AP465&gt;Constants!$B$26)))</f>
        <v/>
      </c>
      <c r="BZ465" s="74" t="str">
        <f aca="false">IF($BL465&lt;&gt;Constants!$B$4,"",IF(OR(NOT($AL465),$AQ465),0,Constants!$B$33))</f>
        <v/>
      </c>
      <c r="CA465" s="74" t="str">
        <f aca="false">IF($BL465&lt;&gt;Constants!$B$4,"",Constants!$B$34*$BN465)</f>
        <v/>
      </c>
      <c r="CB465" s="74" t="str">
        <f aca="false">IF($BL465&lt;&gt;Constants!$B$4,"",IF(OR(NOT($AL465),$BH465),0,Constants!$B$36))</f>
        <v/>
      </c>
      <c r="CC465" s="74" t="str">
        <f aca="false">IF($BL465&lt;&gt;Constants!$B$4,"",IF(OR(NOT($AL465),$BG465),0,Constants!$B$37))</f>
        <v/>
      </c>
      <c r="CD465" s="74" t="str">
        <f aca="false">IF($BL465&lt;&gt;Constants!$B$4,"",SUM($BX465:$CC465))</f>
        <v/>
      </c>
      <c r="CE465" s="74" t="str">
        <f aca="false">IF(ISBLANK($C465),"",IF($BL465&lt;&gt;Constants!$B$4,$BL465,SUM($BO465:$BW465)-$CD465))</f>
        <v/>
      </c>
      <c r="CF465" s="74" t="str">
        <f aca="false">IF(ISBLANK($C465),"",IF($BL465&lt;&gt;Constants!$B$4,$BL465,RANK($CE465,$CE$9:$CE$508)))</f>
        <v/>
      </c>
      <c r="CG465" s="74" t="str">
        <f aca="false">IF(ISBLANK($C465),"",IF($BL465&lt;&gt;Constants!$B$4,$BL465,COUNTIFS($BM$9:$BM$508,"&lt;"&amp;$BM465)+COUNTIFS($BM$9:$BM$508,$BM465,$CF$9:$CF$508,"&lt;"&amp;$CF465)+1))</f>
        <v/>
      </c>
      <c r="CH465" s="74" t="str">
        <f aca="false">IF(ISBLANK($C465),"",IF($BL465&lt;&gt;Constants!$B$4,$BL465,RANK($CD465,$CD$9:$CD$508,1)))</f>
        <v/>
      </c>
      <c r="CI465" s="74" t="str">
        <f aca="false">IF($BL465&lt;&gt;Constants!$B$4,"",$AN465+$AO465+$AP465)</f>
        <v/>
      </c>
      <c r="CJ465" s="74" t="str">
        <f aca="false">IF(ISBLANK($C465),"",IF($BL465&lt;&gt;Constants!$B$4,$BL465,RANK($CI465,$CI$9:$CI$508,1)))</f>
        <v/>
      </c>
      <c r="CK465" s="74" t="str">
        <f aca="false">IF(ISBLANK($C465),"",IF($BL465&lt;&gt;Constants!$B$4,$BL465,COUNTIFS($BM$9:$BM$508,"&lt;"&amp;$BM465)+COUNTIFS($BM$9:$BM$508,$BM465,$CF$9:$CF$508,"&lt;"&amp;$CF465)+COUNTIFS($BM$9:$BM$508,$BM465,$CF$9:$CF$508,$CF465,$CH$9:$CH$508,"&lt;"&amp;$CH465)+COUNTIFS($BM$9:$BM$508,$BM465,$CF$9:$CF$508,$CF465,$CH$9:$CH$508,$CH465,$CJ$9:$CJ$508,"&lt;"&amp;$CJ465)+1))</f>
        <v/>
      </c>
      <c r="CL465" s="74" t="str">
        <f aca="false">IF(ISBLANK($C465),"",IF($BL465&lt;&gt;Constants!$B$4,$BL465,$CG465-$CK465))</f>
        <v/>
      </c>
      <c r="CM465" s="74" t="str">
        <f aca="false">IF(ISBLANK($C465),"",IF(NOT($AL465),"",IF(ISBLANK($D$7),$CM$5,IF(NOT(ISNUMBER($D$7)),$CM$6,""))))</f>
        <v/>
      </c>
      <c r="CN465" s="74" t="str">
        <f aca="false">IF(ISBLANK($C465),"",OR($AN465="",$AO465="",$AP465=""))</f>
        <v/>
      </c>
      <c r="CO465" s="74" t="str">
        <f aca="false">IF(ISBLANK($C465),"",AND($AL465,$BA465=""))</f>
        <v/>
      </c>
      <c r="CP465" s="74" t="str">
        <f aca="false">IF(ISBLANK($C465),"",AND($AL465,$BB465=""))</f>
        <v/>
      </c>
      <c r="CQ465" s="74" t="str">
        <f aca="false">IF(ISBLANK($C465),"",AND($AL465,$BC465=""))</f>
        <v/>
      </c>
      <c r="CR465" s="74" t="str">
        <f aca="false">IF(ISBLANK($C465),"",AND($AL465,$BF465=""))</f>
        <v/>
      </c>
      <c r="CS465" s="74" t="str">
        <f aca="false">IF(ISBLANK($C465),"",AND($AL465,$BJ465=""))</f>
        <v/>
      </c>
      <c r="CT465" s="75"/>
      <c r="CU465" s="76"/>
      <c r="CV465" s="79" t="str">
        <f aca="false">IF(ISBLANK($C465),"",IF($BL465=Constants!$B$8,$CM465,""))</f>
        <v/>
      </c>
      <c r="CW465" s="76" t="str">
        <f aca="false">IF(ISBLANK($C465),"",IF($BL465&lt;&gt;Constants!$B$4,"",$BO465+$BP465))</f>
        <v/>
      </c>
      <c r="CX465" s="78" t="str">
        <f aca="false">IF(ISBLANK($C465),"",IF($BL465&lt;&gt;Constants!$B$4,"",$BQ465+$BR465+$BS465))</f>
        <v/>
      </c>
      <c r="CY465" s="78" t="str">
        <f aca="false">IF(ISBLANK($C465),"",IF($BL465&lt;&gt;Constants!$B$4,"",$BT465))</f>
        <v/>
      </c>
      <c r="CZ465" s="78" t="str">
        <f aca="false">IF(ISBLANK($C465),"",IF($BL465&lt;&gt;Constants!$B$4,"",$BU465+$BV465))</f>
        <v/>
      </c>
      <c r="DA465" s="78" t="str">
        <f aca="false">IF(ISBLANK($C465),"",IF($BL465&lt;&gt;Constants!$B$4,"",$BW465))</f>
        <v/>
      </c>
      <c r="DB465" s="78" t="str">
        <f aca="false">IF(ISBLANK($C465),"",IF($BL465&lt;&gt;Constants!$B$4,"",-$CD465))</f>
        <v/>
      </c>
      <c r="DC465" s="79" t="str">
        <f aca="false">IF(ISBLANK($C465),"",$CE465)</f>
        <v/>
      </c>
      <c r="DD465" s="80" t="str">
        <f aca="false">IF(ISBLANK($C465),"",$BM465)</f>
        <v/>
      </c>
      <c r="DE465" s="78" t="str">
        <f aca="false">IF(ISBLANK($C465),"",$CL465)</f>
        <v/>
      </c>
      <c r="DF465" s="78" t="str">
        <f aca="false">IF(ISBLANK($C465),"",$CK465)</f>
        <v/>
      </c>
      <c r="DG465" s="81" t="str">
        <f aca="false">IF(ISBLANK($C465),"",IF($DF465=Constants!$B$7,COUNTA($C$9:$C$508)+2,IF($DF465=Constants!$B$6,COUNTA($C$9:$C$508)+1,IF($DF465=Constants!$B$5,COUNTA($C$9:$C$508),$DF465))))</f>
        <v/>
      </c>
      <c r="DH465" s="7"/>
      <c r="DI465" s="82" t="n">
        <f aca="false">IF(OR(ISNUMBER($DF465),$DF465=Constants!$B$7,$DF465=Constants!$B$5,$DF465=Constants!$B$6),1,0)</f>
        <v>0</v>
      </c>
      <c r="DJ465" s="82" t="n">
        <v>457</v>
      </c>
      <c r="DK465" s="82" t="str">
        <f aca="false">IF(ISBLANK($C465),"",IF(ISNUMBER($DG465),$DG465+ROW($B465)/1000,""))</f>
        <v/>
      </c>
      <c r="DL465" s="82" t="str">
        <f aca="false">IF(ISNUMBER($DK465),RANK($DK465,$DK$9:$DK$508,1),"")</f>
        <v/>
      </c>
      <c r="DM465" s="82" t="str">
        <f aca="false">IF(ISBLANK($C465),"",$B465)</f>
        <v/>
      </c>
      <c r="DN465" s="82" t="str">
        <f aca="false">IF(ISBLANK($C465),"",$C465)</f>
        <v/>
      </c>
      <c r="DO465" s="82" t="str">
        <f aca="false">IF(ISBLANK($C465),"",$D465)</f>
        <v/>
      </c>
      <c r="DP465" s="83" t="str">
        <f aca="false">$DD465</f>
        <v/>
      </c>
      <c r="DQ465" s="84" t="str">
        <f aca="false">$DC465</f>
        <v/>
      </c>
      <c r="DR465" s="82" t="str">
        <f aca="false">IF(ISBLANK($C465),"",$DF465)</f>
        <v/>
      </c>
      <c r="DS465" s="85" t="str">
        <f aca="false">IF($DJ465&gt;$DI$8,"",VLOOKUP($DJ465,$DL$9:$DR$508,7,FALSE()))</f>
        <v/>
      </c>
      <c r="DT465" s="86" t="str">
        <f aca="false">IF($DJ465&gt;$DI$8,"",VLOOKUP($DJ465,$DL$9:$DR$508,2,FALSE()))</f>
        <v/>
      </c>
      <c r="DU465" s="86" t="str">
        <f aca="false">IF($DJ465&gt;$DI$8,"",VLOOKUP($DJ465,$DL$9:$DR$508,3,FALSE()))</f>
        <v/>
      </c>
      <c r="DV465" s="86" t="str">
        <f aca="false">IF($DJ465&gt;$DI$8,"",VLOOKUP($DJ465,$DL$9:$DR$508,4,FALSE()))</f>
        <v/>
      </c>
      <c r="DW465" s="86" t="str">
        <f aca="false">IF($DJ465&gt;$DI$8,"",VLOOKUP($DJ465,$DL$9:$DR$508,5,FALSE()))</f>
        <v/>
      </c>
      <c r="DX465" s="87" t="str">
        <f aca="false">IF($DJ465&gt;$DI$8,"",VLOOKUP($DJ465,$DL$9:$DR$508,6,FALSE()))</f>
        <v/>
      </c>
      <c r="DY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88"/>
      <c r="N466" s="88"/>
      <c r="O466" s="134"/>
      <c r="P466" s="134"/>
      <c r="Q466" s="88"/>
      <c r="R466" s="88"/>
      <c r="S466" s="88"/>
      <c r="T466" s="88"/>
      <c r="U466" s="134"/>
      <c r="V466" s="88"/>
      <c r="W466" s="70"/>
      <c r="X466" s="88"/>
      <c r="Y466" s="88"/>
      <c r="Z466" s="70"/>
      <c r="AA466" s="70"/>
      <c r="AB466" s="88"/>
      <c r="AC466" s="88"/>
      <c r="AD466" s="88"/>
      <c r="AE466" s="71"/>
      <c r="AF466" s="88"/>
      <c r="AG466" s="73"/>
      <c r="AH466" s="74"/>
      <c r="AI466" s="74"/>
      <c r="AJ466" s="74" t="str">
        <f aca="false">IF(ISBLANK($C466),"",IF($E466=Constants!$B$2,TRUE(),IF($E466=Constants!$B$3,FALSE(),TRUE())))</f>
        <v/>
      </c>
      <c r="AK466" s="74" t="str">
        <f aca="false">IF(ISBLANK($C466),"",IF($F466=Constants!$B$2,TRUE(),IF($F466=Constants!$B$3,FALSE(),FALSE())))</f>
        <v/>
      </c>
      <c r="AL466" s="74" t="str">
        <f aca="false">IF(ISBLANK($C466),"",IF($G466=Constants!$B$2,TRUE(),IF($G466=Constants!$B$3,FALSE(),TRUE())))</f>
        <v/>
      </c>
      <c r="AM466" s="74" t="str">
        <f aca="false">IF(ISBLANK($C466),"",IF($H466=Constants!$B$2,TRUE(),IF($H466=Constants!$B$3,FALSE(),TRUE())))</f>
        <v/>
      </c>
      <c r="AN466" s="74" t="str">
        <f aca="false">IF(ISBLANK($C466),"",IF(ISNUMBER($I466),IF($I466&gt;=0,$I466,""),""))</f>
        <v/>
      </c>
      <c r="AO466" s="74" t="str">
        <f aca="false">IF(ISBLANK($C466),"",IF(ISNUMBER($J466),IF($J466&gt;=0,$J466,""),""))</f>
        <v/>
      </c>
      <c r="AP466" s="74" t="str">
        <f aca="false">IF(ISBLANK($C466),"",IF(ISNUMBER($K466),IF($K466&gt;=0,$K466,""),""))</f>
        <v/>
      </c>
      <c r="AQ466" s="74" t="str">
        <f aca="false">IF(ISBLANK($C466),"",IF($L466=Constants!$B$2,TRUE(),IF($L466=Constants!$B$3,FALSE(),TRUE())))</f>
        <v/>
      </c>
      <c r="AR466" s="74" t="str">
        <f aca="false">IF(ISBLANK($C466),"",IF($M466=Constants!$B$2,TRUE(),IF($M466=Constants!$B$3,FALSE(),TRUE())))</f>
        <v/>
      </c>
      <c r="AS466" s="74" t="str">
        <f aca="false">IF(ISBLANK($C466),"",IF($N466=Constants!$B$2,TRUE(),IF($N466=Constants!$B$3,FALSE(),FALSE())))</f>
        <v/>
      </c>
      <c r="AT466" s="74" t="str">
        <f aca="false">IF(ISBLANK($C466),"",IF($O466=Constants!$B$2,TRUE(),IF($O466=Constants!$B$3,FALSE(),TRUE())))</f>
        <v/>
      </c>
      <c r="AU466" s="74" t="str">
        <f aca="false">IF(ISBLANK($C466),"",IF($P466=Constants!$B$2,TRUE(),IF($P466=Constants!$B$3,FALSE(),TRUE())))</f>
        <v/>
      </c>
      <c r="AV466" s="74" t="str">
        <f aca="false">IF(ISBLANK($C466),"",IF($Q466=Constants!$B$2,TRUE(),IF($Q466=Constants!$B$3,FALSE(),FALSE())))</f>
        <v/>
      </c>
      <c r="AW466" s="74" t="str">
        <f aca="false">IF(ISBLANK($C466),"",IF($R466=Constants!$B$2,TRUE(),IF($R466=Constants!$B$3,FALSE(),FALSE())))</f>
        <v/>
      </c>
      <c r="AX466" s="74" t="str">
        <f aca="false">IF(ISBLANK($C466),"",IF($S466=Constants!$B$2,TRUE(),IF($S466=Constants!$B$3,FALSE(),FALSE())))</f>
        <v/>
      </c>
      <c r="AY466" s="74" t="str">
        <f aca="false">IF(ISBLANK($C466),"",IF($T466=Constants!$B$2,TRUE(),IF($T466=Constants!$B$3,FALSE(),FALSE())))</f>
        <v/>
      </c>
      <c r="AZ466" s="74" t="str">
        <f aca="false">IF(ISBLANK($C466),"",IF($U466=Constants!$B$2,TRUE(),IF($U466=Constants!$B$3,FALSE(),FALSE())))</f>
        <v/>
      </c>
      <c r="BA466" s="74" t="str">
        <f aca="false">IF(ISBLANK($C466),"",IF(OR($V466&amp;""="1",$V466&amp;""="2",$V466&amp;""="3",$V466&amp;""="4"),VALUE($V466&amp;""),IF($V466=Constants!$B$12,Constants!$B$12,"")))</f>
        <v/>
      </c>
      <c r="BB466" s="74" t="str">
        <f aca="false">IF(ISBLANK($C466),"",IF(ISBLANK($W466),0,IF(ISNUMBER($W466),IF(AND($W466&gt;=0,$W466&lt;=Constants!$B$21,$W466=INT($W466)),$W466,""),"")))</f>
        <v/>
      </c>
      <c r="BC466" s="74" t="str">
        <f aca="false">IF(ISBLANK($C466),"",IF(ISBLANK($X466),0,IF(ISNUMBER($X466),IF($X466&gt;=0,$X466,""),"")))</f>
        <v/>
      </c>
      <c r="BD466" s="74" t="str">
        <f aca="false">IF(ISBLANK($C466),"",IF($Y466=Constants!$B$2,TRUE(),IF($Y466=Constants!$B$3,FALSE(),TRUE())))</f>
        <v/>
      </c>
      <c r="BE466" s="74" t="str">
        <f aca="false">IF(ISBLANK($C466),"",IF($Z466=Constants!$B$2,TRUE(),IF($Z466=Constants!$B$3,FALSE(),FALSE())))</f>
        <v/>
      </c>
      <c r="BF466" s="74" t="str">
        <f aca="false">IF(ISBLANK($C466),"",IF(ISBLANK($AA466),0,IF(ISNUMBER($AA466),IF(AND($AA466&gt;=0,$AA466&lt;=Constants!$B$35,$AA466=INT($AA466)),$AA466,""),"")))</f>
        <v/>
      </c>
      <c r="BG466" s="74" t="str">
        <f aca="false">IF(ISBLANK($C466),"",IF($AB466=Constants!$B$2,TRUE(),IF($AB466=Constants!$B$3,FALSE(),TRUE())))</f>
        <v/>
      </c>
      <c r="BH466" s="74" t="str">
        <f aca="false">IF(ISBLANK($C466),"",IF($AC466=Constants!$B$2,TRUE(),IF($AC466=Constants!$B$3,FALSE(),TRUE())))</f>
        <v/>
      </c>
      <c r="BI466" s="74" t="str">
        <f aca="false">IF(ISBLANK($C466),"",IF($AD466=Constants!$B$2,TRUE(),IF($AD466=Constants!$B$3,FALSE(),TRUE())))</f>
        <v/>
      </c>
      <c r="BJ466" s="74" t="str">
        <f aca="false">IF(ISBLANK($C466),"",IF(ISNUMBER($AE466),IF($AE466&gt;=0,$AE466,""),""))</f>
        <v/>
      </c>
      <c r="BK466" s="74" t="str">
        <f aca="false">IF(ISBLANK($C466),"",IF($AF466=Constants!$B$2,TRUE(),IF($AF466=Constants!$B$3,FALSE(),FALSE())))</f>
        <v/>
      </c>
      <c r="BL466" s="73" t="str">
        <f aca="false">IF(ISBLANK($C466),"",IF($BK466,Constants!$B$7,IF(COUNTA($E466:$AE466)=0,Constants!$B$6,IF(OR(COUNTA($G466:$AE466)=0,NOT($AM466),$AS466),Constants!$B$5,IF(OR($CM466&lt;&gt;"",$CN466,$CO466,$CP466,$CQ466,$CR466,$CS466),Constants!$B$8,Constants!$B$4)))))</f>
        <v/>
      </c>
      <c r="BM466" s="74" t="str">
        <f aca="false">IF(ISBLANK($C466),"",IF($BL466&lt;&gt;Constants!$B$4,$BL466,IF(OR(NOT($AJ466),NOT($AL466),NOT($AT466)),Constants!$B$11,IF(OR(NOT($AR466),NOT($AU466),NOT($BI466),MAX($AN466,$AO466,$AP466)&gt;Constants!$B$30),Constants!$B$10,Constants!$B$9))))</f>
        <v/>
      </c>
      <c r="BN466" s="74" t="str">
        <f aca="false">IF($BL466&lt;&gt;Constants!$B$4,"",IF(NOT($AL466),0,MIN(Constants!$B$35,$BF466)))</f>
        <v/>
      </c>
      <c r="BO466" s="74" t="str">
        <f aca="false">IF($BL466&lt;&gt;Constants!$B$4,"",IF(NOT($AL466),0,IF($AW466,Constants!$B$18,IF($AV466,Constants!$B$17,0))))</f>
        <v/>
      </c>
      <c r="BP466" s="74" t="str">
        <f aca="false">IF($BL466&lt;&gt;Constants!$B$4,"",IF(NOT($AL466),0,Constants!$B$19*($AK466+$AX466+$AY466+$AZ466)))</f>
        <v/>
      </c>
      <c r="BQ466" s="74" t="str">
        <f aca="false">IF($BL466&lt;&gt;Constants!$B$4,"",IF(OR(NOT($AL466),NOT(ISNUMBER($BA466))),0,CHOOSE($BA466,Constants!$B$13,Constants!$B$14,Constants!$B$15,Constants!$B$16)))</f>
        <v/>
      </c>
      <c r="BR466" s="74" t="str">
        <f aca="false">IF($BL466&lt;&gt;Constants!$B$4,"",IF(NOT($AL466),0,Constants!$B$20*$BB466))</f>
        <v/>
      </c>
      <c r="BS466" s="74" t="str">
        <f aca="false">IF($BL466&lt;&gt;Constants!$B$4,"",IF(AND($AL466,$BD466,$BE466),Constants!$B$22,0))</f>
        <v/>
      </c>
      <c r="BT466" s="74" t="str">
        <f aca="false">IF($BL466&lt;&gt;Constants!$B$4,"",IF(OR(NOT($AL466),NOT($BD466)),0,IF($BJ466&gt;=2*$AH$9,0,Constants!$B$23*INT(ROUND(MIN($BJ466,$AH$9),6)))))</f>
        <v/>
      </c>
      <c r="BU466" s="74" t="str">
        <f aca="false">IF($BL466&lt;&gt;Constants!$B$4,"",IF(NOT($AL466),0,Constants!$B$24*INT(ROUND(MIN($BC466,$AH$9),6))))</f>
        <v/>
      </c>
      <c r="BV466" s="74" t="str">
        <f aca="false">IF($BL466&lt;&gt;Constants!$B$4,"",IF(AND($AL466,$BN466=0),Constants!$B$25,0))</f>
        <v/>
      </c>
      <c r="BW466" s="74" t="str">
        <f aca="false">IF($BL466&lt;&gt;Constants!$B$4,"",MIN(Constants!$B$29,MAX(0,Constants!$B$27*Constants!$B$28*INT(ROUND((Constants!$B$26-$AN466)/Constants!$B$28,6))))+MIN(Constants!$B$29,MAX(0,Constants!$B$27*Constants!$B$28*INT(ROUND((Constants!$B$26-$AO466)/Constants!$B$28,6))))+MIN(Constants!$B$29,MAX(0,Constants!$B$27*Constants!$B$28*INT(ROUND((Constants!$B$26-$AP466)/Constants!$B$28,6)))))</f>
        <v/>
      </c>
      <c r="BX466" s="74" t="str">
        <f aca="false">IF($BL466&lt;&gt;Constants!$B$4,"",IF(NOT($AL466),0,Constants!$B$31*INT(ROUND(MAX(0,MIN($BJ466,2*$AH$9)-$AH$9),6))))</f>
        <v/>
      </c>
      <c r="BY466" s="74" t="str">
        <f aca="false">IF($BL466&lt;&gt;Constants!$B$4,"",Constants!$B$32*(($AN466&gt;Constants!$B$26)+($AO466&gt;Constants!$B$26)+($AP466&gt;Constants!$B$26)))</f>
        <v/>
      </c>
      <c r="BZ466" s="74" t="str">
        <f aca="false">IF($BL466&lt;&gt;Constants!$B$4,"",IF(OR(NOT($AL466),$AQ466),0,Constants!$B$33))</f>
        <v/>
      </c>
      <c r="CA466" s="74" t="str">
        <f aca="false">IF($BL466&lt;&gt;Constants!$B$4,"",Constants!$B$34*$BN466)</f>
        <v/>
      </c>
      <c r="CB466" s="74" t="str">
        <f aca="false">IF($BL466&lt;&gt;Constants!$B$4,"",IF(OR(NOT($AL466),$BH466),0,Constants!$B$36))</f>
        <v/>
      </c>
      <c r="CC466" s="74" t="str">
        <f aca="false">IF($BL466&lt;&gt;Constants!$B$4,"",IF(OR(NOT($AL466),$BG466),0,Constants!$B$37))</f>
        <v/>
      </c>
      <c r="CD466" s="74" t="str">
        <f aca="false">IF($BL466&lt;&gt;Constants!$B$4,"",SUM($BX466:$CC466))</f>
        <v/>
      </c>
      <c r="CE466" s="74" t="str">
        <f aca="false">IF(ISBLANK($C466),"",IF($BL466&lt;&gt;Constants!$B$4,$BL466,SUM($BO466:$BW466)-$CD466))</f>
        <v/>
      </c>
      <c r="CF466" s="74" t="str">
        <f aca="false">IF(ISBLANK($C466),"",IF($BL466&lt;&gt;Constants!$B$4,$BL466,RANK($CE466,$CE$9:$CE$508)))</f>
        <v/>
      </c>
      <c r="CG466" s="74" t="str">
        <f aca="false">IF(ISBLANK($C466),"",IF($BL466&lt;&gt;Constants!$B$4,$BL466,COUNTIFS($BM$9:$BM$508,"&lt;"&amp;$BM466)+COUNTIFS($BM$9:$BM$508,$BM466,$CF$9:$CF$508,"&lt;"&amp;$CF466)+1))</f>
        <v/>
      </c>
      <c r="CH466" s="74" t="str">
        <f aca="false">IF(ISBLANK($C466),"",IF($BL466&lt;&gt;Constants!$B$4,$BL466,RANK($CD466,$CD$9:$CD$508,1)))</f>
        <v/>
      </c>
      <c r="CI466" s="74" t="str">
        <f aca="false">IF($BL466&lt;&gt;Constants!$B$4,"",$AN466+$AO466+$AP466)</f>
        <v/>
      </c>
      <c r="CJ466" s="74" t="str">
        <f aca="false">IF(ISBLANK($C466),"",IF($BL466&lt;&gt;Constants!$B$4,$BL466,RANK($CI466,$CI$9:$CI$508,1)))</f>
        <v/>
      </c>
      <c r="CK466" s="74" t="str">
        <f aca="false">IF(ISBLANK($C466),"",IF($BL466&lt;&gt;Constants!$B$4,$BL466,COUNTIFS($BM$9:$BM$508,"&lt;"&amp;$BM466)+COUNTIFS($BM$9:$BM$508,$BM466,$CF$9:$CF$508,"&lt;"&amp;$CF466)+COUNTIFS($BM$9:$BM$508,$BM466,$CF$9:$CF$508,$CF466,$CH$9:$CH$508,"&lt;"&amp;$CH466)+COUNTIFS($BM$9:$BM$508,$BM466,$CF$9:$CF$508,$CF466,$CH$9:$CH$508,$CH466,$CJ$9:$CJ$508,"&lt;"&amp;$CJ466)+1))</f>
        <v/>
      </c>
      <c r="CL466" s="74" t="str">
        <f aca="false">IF(ISBLANK($C466),"",IF($BL466&lt;&gt;Constants!$B$4,$BL466,$CG466-$CK466))</f>
        <v/>
      </c>
      <c r="CM466" s="74" t="str">
        <f aca="false">IF(ISBLANK($C466),"",IF(NOT($AL466),"",IF(ISBLANK($D$7),$CM$5,IF(NOT(ISNUMBER($D$7)),$CM$6,""))))</f>
        <v/>
      </c>
      <c r="CN466" s="74" t="str">
        <f aca="false">IF(ISBLANK($C466),"",OR($AN466="",$AO466="",$AP466=""))</f>
        <v/>
      </c>
      <c r="CO466" s="74" t="str">
        <f aca="false">IF(ISBLANK($C466),"",AND($AL466,$BA466=""))</f>
        <v/>
      </c>
      <c r="CP466" s="74" t="str">
        <f aca="false">IF(ISBLANK($C466),"",AND($AL466,$BB466=""))</f>
        <v/>
      </c>
      <c r="CQ466" s="74" t="str">
        <f aca="false">IF(ISBLANK($C466),"",AND($AL466,$BC466=""))</f>
        <v/>
      </c>
      <c r="CR466" s="74" t="str">
        <f aca="false">IF(ISBLANK($C466),"",AND($AL466,$BF466=""))</f>
        <v/>
      </c>
      <c r="CS466" s="74" t="str">
        <f aca="false">IF(ISBLANK($C466),"",AND($AL466,$BJ466=""))</f>
        <v/>
      </c>
      <c r="CT466" s="75"/>
      <c r="CU466" s="76"/>
      <c r="CV466" s="79" t="str">
        <f aca="false">IF(ISBLANK($C466),"",IF($BL466=Constants!$B$8,$CM466,""))</f>
        <v/>
      </c>
      <c r="CW466" s="76" t="str">
        <f aca="false">IF(ISBLANK($C466),"",IF($BL466&lt;&gt;Constants!$B$4,"",$BO466+$BP466))</f>
        <v/>
      </c>
      <c r="CX466" s="78" t="str">
        <f aca="false">IF(ISBLANK($C466),"",IF($BL466&lt;&gt;Constants!$B$4,"",$BQ466+$BR466+$BS466))</f>
        <v/>
      </c>
      <c r="CY466" s="78" t="str">
        <f aca="false">IF(ISBLANK($C466),"",IF($BL466&lt;&gt;Constants!$B$4,"",$BT466))</f>
        <v/>
      </c>
      <c r="CZ466" s="78" t="str">
        <f aca="false">IF(ISBLANK($C466),"",IF($BL466&lt;&gt;Constants!$B$4,"",$BU466+$BV466))</f>
        <v/>
      </c>
      <c r="DA466" s="78" t="str">
        <f aca="false">IF(ISBLANK($C466),"",IF($BL466&lt;&gt;Constants!$B$4,"",$BW466))</f>
        <v/>
      </c>
      <c r="DB466" s="78" t="str">
        <f aca="false">IF(ISBLANK($C466),"",IF($BL466&lt;&gt;Constants!$B$4,"",-$CD466))</f>
        <v/>
      </c>
      <c r="DC466" s="79" t="str">
        <f aca="false">IF(ISBLANK($C466),"",$CE466)</f>
        <v/>
      </c>
      <c r="DD466" s="80" t="str">
        <f aca="false">IF(ISBLANK($C466),"",$BM466)</f>
        <v/>
      </c>
      <c r="DE466" s="78" t="str">
        <f aca="false">IF(ISBLANK($C466),"",$CL466)</f>
        <v/>
      </c>
      <c r="DF466" s="78" t="str">
        <f aca="false">IF(ISBLANK($C466),"",$CK466)</f>
        <v/>
      </c>
      <c r="DG466" s="81" t="str">
        <f aca="false">IF(ISBLANK($C466),"",IF($DF466=Constants!$B$7,COUNTA($C$9:$C$508)+2,IF($DF466=Constants!$B$6,COUNTA($C$9:$C$508)+1,IF($DF466=Constants!$B$5,COUNTA($C$9:$C$508),$DF466))))</f>
        <v/>
      </c>
      <c r="DH466" s="7"/>
      <c r="DI466" s="82" t="n">
        <f aca="false">IF(OR(ISNUMBER($DF466),$DF466=Constants!$B$7,$DF466=Constants!$B$5,$DF466=Constants!$B$6),1,0)</f>
        <v>0</v>
      </c>
      <c r="DJ466" s="82" t="n">
        <v>458</v>
      </c>
      <c r="DK466" s="82" t="str">
        <f aca="false">IF(ISBLANK($C466),"",IF(ISNUMBER($DG466),$DG466+ROW($B466)/1000,""))</f>
        <v/>
      </c>
      <c r="DL466" s="82" t="str">
        <f aca="false">IF(ISNUMBER($DK466),RANK($DK466,$DK$9:$DK$508,1),"")</f>
        <v/>
      </c>
      <c r="DM466" s="82" t="str">
        <f aca="false">IF(ISBLANK($C466),"",$B466)</f>
        <v/>
      </c>
      <c r="DN466" s="82" t="str">
        <f aca="false">IF(ISBLANK($C466),"",$C466)</f>
        <v/>
      </c>
      <c r="DO466" s="82" t="str">
        <f aca="false">IF(ISBLANK($C466),"",$D466)</f>
        <v/>
      </c>
      <c r="DP466" s="83" t="str">
        <f aca="false">$DD466</f>
        <v/>
      </c>
      <c r="DQ466" s="84" t="str">
        <f aca="false">$DC466</f>
        <v/>
      </c>
      <c r="DR466" s="82" t="str">
        <f aca="false">IF(ISBLANK($C466),"",$DF466)</f>
        <v/>
      </c>
      <c r="DS466" s="85" t="str">
        <f aca="false">IF($DJ466&gt;$DI$8,"",VLOOKUP($DJ466,$DL$9:$DR$508,7,FALSE()))</f>
        <v/>
      </c>
      <c r="DT466" s="86" t="str">
        <f aca="false">IF($DJ466&gt;$DI$8,"",VLOOKUP($DJ466,$DL$9:$DR$508,2,FALSE()))</f>
        <v/>
      </c>
      <c r="DU466" s="86" t="str">
        <f aca="false">IF($DJ466&gt;$DI$8,"",VLOOKUP($DJ466,$DL$9:$DR$508,3,FALSE()))</f>
        <v/>
      </c>
      <c r="DV466" s="86" t="str">
        <f aca="false">IF($DJ466&gt;$DI$8,"",VLOOKUP($DJ466,$DL$9:$DR$508,4,FALSE()))</f>
        <v/>
      </c>
      <c r="DW466" s="86" t="str">
        <f aca="false">IF($DJ466&gt;$DI$8,"",VLOOKUP($DJ466,$DL$9:$DR$508,5,FALSE()))</f>
        <v/>
      </c>
      <c r="DX466" s="87" t="str">
        <f aca="false">IF($DJ466&gt;$DI$8,"",VLOOKUP($DJ466,$DL$9:$DR$508,6,FALSE()))</f>
        <v/>
      </c>
      <c r="DY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88"/>
      <c r="N467" s="88"/>
      <c r="O467" s="134"/>
      <c r="P467" s="134"/>
      <c r="Q467" s="88"/>
      <c r="R467" s="88"/>
      <c r="S467" s="88"/>
      <c r="T467" s="88"/>
      <c r="U467" s="134"/>
      <c r="V467" s="88"/>
      <c r="W467" s="70"/>
      <c r="X467" s="88"/>
      <c r="Y467" s="88"/>
      <c r="Z467" s="70"/>
      <c r="AA467" s="70"/>
      <c r="AB467" s="88"/>
      <c r="AC467" s="88"/>
      <c r="AD467" s="88"/>
      <c r="AE467" s="71"/>
      <c r="AF467" s="88"/>
      <c r="AG467" s="73"/>
      <c r="AH467" s="74"/>
      <c r="AI467" s="74"/>
      <c r="AJ467" s="74" t="str">
        <f aca="false">IF(ISBLANK($C467),"",IF($E467=Constants!$B$2,TRUE(),IF($E467=Constants!$B$3,FALSE(),TRUE())))</f>
        <v/>
      </c>
      <c r="AK467" s="74" t="str">
        <f aca="false">IF(ISBLANK($C467),"",IF($F467=Constants!$B$2,TRUE(),IF($F467=Constants!$B$3,FALSE(),FALSE())))</f>
        <v/>
      </c>
      <c r="AL467" s="74" t="str">
        <f aca="false">IF(ISBLANK($C467),"",IF($G467=Constants!$B$2,TRUE(),IF($G467=Constants!$B$3,FALSE(),TRUE())))</f>
        <v/>
      </c>
      <c r="AM467" s="74" t="str">
        <f aca="false">IF(ISBLANK($C467),"",IF($H467=Constants!$B$2,TRUE(),IF($H467=Constants!$B$3,FALSE(),TRUE())))</f>
        <v/>
      </c>
      <c r="AN467" s="74" t="str">
        <f aca="false">IF(ISBLANK($C467),"",IF(ISNUMBER($I467),IF($I467&gt;=0,$I467,""),""))</f>
        <v/>
      </c>
      <c r="AO467" s="74" t="str">
        <f aca="false">IF(ISBLANK($C467),"",IF(ISNUMBER($J467),IF($J467&gt;=0,$J467,""),""))</f>
        <v/>
      </c>
      <c r="AP467" s="74" t="str">
        <f aca="false">IF(ISBLANK($C467),"",IF(ISNUMBER($K467),IF($K467&gt;=0,$K467,""),""))</f>
        <v/>
      </c>
      <c r="AQ467" s="74" t="str">
        <f aca="false">IF(ISBLANK($C467),"",IF($L467=Constants!$B$2,TRUE(),IF($L467=Constants!$B$3,FALSE(),TRUE())))</f>
        <v/>
      </c>
      <c r="AR467" s="74" t="str">
        <f aca="false">IF(ISBLANK($C467),"",IF($M467=Constants!$B$2,TRUE(),IF($M467=Constants!$B$3,FALSE(),TRUE())))</f>
        <v/>
      </c>
      <c r="AS467" s="74" t="str">
        <f aca="false">IF(ISBLANK($C467),"",IF($N467=Constants!$B$2,TRUE(),IF($N467=Constants!$B$3,FALSE(),FALSE())))</f>
        <v/>
      </c>
      <c r="AT467" s="74" t="str">
        <f aca="false">IF(ISBLANK($C467),"",IF($O467=Constants!$B$2,TRUE(),IF($O467=Constants!$B$3,FALSE(),TRUE())))</f>
        <v/>
      </c>
      <c r="AU467" s="74" t="str">
        <f aca="false">IF(ISBLANK($C467),"",IF($P467=Constants!$B$2,TRUE(),IF($P467=Constants!$B$3,FALSE(),TRUE())))</f>
        <v/>
      </c>
      <c r="AV467" s="74" t="str">
        <f aca="false">IF(ISBLANK($C467),"",IF($Q467=Constants!$B$2,TRUE(),IF($Q467=Constants!$B$3,FALSE(),FALSE())))</f>
        <v/>
      </c>
      <c r="AW467" s="74" t="str">
        <f aca="false">IF(ISBLANK($C467),"",IF($R467=Constants!$B$2,TRUE(),IF($R467=Constants!$B$3,FALSE(),FALSE())))</f>
        <v/>
      </c>
      <c r="AX467" s="74" t="str">
        <f aca="false">IF(ISBLANK($C467),"",IF($S467=Constants!$B$2,TRUE(),IF($S467=Constants!$B$3,FALSE(),FALSE())))</f>
        <v/>
      </c>
      <c r="AY467" s="74" t="str">
        <f aca="false">IF(ISBLANK($C467),"",IF($T467=Constants!$B$2,TRUE(),IF($T467=Constants!$B$3,FALSE(),FALSE())))</f>
        <v/>
      </c>
      <c r="AZ467" s="74" t="str">
        <f aca="false">IF(ISBLANK($C467),"",IF($U467=Constants!$B$2,TRUE(),IF($U467=Constants!$B$3,FALSE(),FALSE())))</f>
        <v/>
      </c>
      <c r="BA467" s="74" t="str">
        <f aca="false">IF(ISBLANK($C467),"",IF(OR($V467&amp;""="1",$V467&amp;""="2",$V467&amp;""="3",$V467&amp;""="4"),VALUE($V467&amp;""),IF($V467=Constants!$B$12,Constants!$B$12,"")))</f>
        <v/>
      </c>
      <c r="BB467" s="74" t="str">
        <f aca="false">IF(ISBLANK($C467),"",IF(ISBLANK($W467),0,IF(ISNUMBER($W467),IF(AND($W467&gt;=0,$W467&lt;=Constants!$B$21,$W467=INT($W467)),$W467,""),"")))</f>
        <v/>
      </c>
      <c r="BC467" s="74" t="str">
        <f aca="false">IF(ISBLANK($C467),"",IF(ISBLANK($X467),0,IF(ISNUMBER($X467),IF($X467&gt;=0,$X467,""),"")))</f>
        <v/>
      </c>
      <c r="BD467" s="74" t="str">
        <f aca="false">IF(ISBLANK($C467),"",IF($Y467=Constants!$B$2,TRUE(),IF($Y467=Constants!$B$3,FALSE(),TRUE())))</f>
        <v/>
      </c>
      <c r="BE467" s="74" t="str">
        <f aca="false">IF(ISBLANK($C467),"",IF($Z467=Constants!$B$2,TRUE(),IF($Z467=Constants!$B$3,FALSE(),FALSE())))</f>
        <v/>
      </c>
      <c r="BF467" s="74" t="str">
        <f aca="false">IF(ISBLANK($C467),"",IF(ISBLANK($AA467),0,IF(ISNUMBER($AA467),IF(AND($AA467&gt;=0,$AA467&lt;=Constants!$B$35,$AA467=INT($AA467)),$AA467,""),"")))</f>
        <v/>
      </c>
      <c r="BG467" s="74" t="str">
        <f aca="false">IF(ISBLANK($C467),"",IF($AB467=Constants!$B$2,TRUE(),IF($AB467=Constants!$B$3,FALSE(),TRUE())))</f>
        <v/>
      </c>
      <c r="BH467" s="74" t="str">
        <f aca="false">IF(ISBLANK($C467),"",IF($AC467=Constants!$B$2,TRUE(),IF($AC467=Constants!$B$3,FALSE(),TRUE())))</f>
        <v/>
      </c>
      <c r="BI467" s="74" t="str">
        <f aca="false">IF(ISBLANK($C467),"",IF($AD467=Constants!$B$2,TRUE(),IF($AD467=Constants!$B$3,FALSE(),TRUE())))</f>
        <v/>
      </c>
      <c r="BJ467" s="74" t="str">
        <f aca="false">IF(ISBLANK($C467),"",IF(ISNUMBER($AE467),IF($AE467&gt;=0,$AE467,""),""))</f>
        <v/>
      </c>
      <c r="BK467" s="74" t="str">
        <f aca="false">IF(ISBLANK($C467),"",IF($AF467=Constants!$B$2,TRUE(),IF($AF467=Constants!$B$3,FALSE(),FALSE())))</f>
        <v/>
      </c>
      <c r="BL467" s="73" t="str">
        <f aca="false">IF(ISBLANK($C467),"",IF($BK467,Constants!$B$7,IF(COUNTA($E467:$AE467)=0,Constants!$B$6,IF(OR(COUNTA($G467:$AE467)=0,NOT($AM467),$AS467),Constants!$B$5,IF(OR($CM467&lt;&gt;"",$CN467,$CO467,$CP467,$CQ467,$CR467,$CS467),Constants!$B$8,Constants!$B$4)))))</f>
        <v/>
      </c>
      <c r="BM467" s="74" t="str">
        <f aca="false">IF(ISBLANK($C467),"",IF($BL467&lt;&gt;Constants!$B$4,$BL467,IF(OR(NOT($AJ467),NOT($AL467),NOT($AT467)),Constants!$B$11,IF(OR(NOT($AR467),NOT($AU467),NOT($BI467),MAX($AN467,$AO467,$AP467)&gt;Constants!$B$30),Constants!$B$10,Constants!$B$9))))</f>
        <v/>
      </c>
      <c r="BN467" s="74" t="str">
        <f aca="false">IF($BL467&lt;&gt;Constants!$B$4,"",IF(NOT($AL467),0,MIN(Constants!$B$35,$BF467)))</f>
        <v/>
      </c>
      <c r="BO467" s="74" t="str">
        <f aca="false">IF($BL467&lt;&gt;Constants!$B$4,"",IF(NOT($AL467),0,IF($AW467,Constants!$B$18,IF($AV467,Constants!$B$17,0))))</f>
        <v/>
      </c>
      <c r="BP467" s="74" t="str">
        <f aca="false">IF($BL467&lt;&gt;Constants!$B$4,"",IF(NOT($AL467),0,Constants!$B$19*($AK467+$AX467+$AY467+$AZ467)))</f>
        <v/>
      </c>
      <c r="BQ467" s="74" t="str">
        <f aca="false">IF($BL467&lt;&gt;Constants!$B$4,"",IF(OR(NOT($AL467),NOT(ISNUMBER($BA467))),0,CHOOSE($BA467,Constants!$B$13,Constants!$B$14,Constants!$B$15,Constants!$B$16)))</f>
        <v/>
      </c>
      <c r="BR467" s="74" t="str">
        <f aca="false">IF($BL467&lt;&gt;Constants!$B$4,"",IF(NOT($AL467),0,Constants!$B$20*$BB467))</f>
        <v/>
      </c>
      <c r="BS467" s="74" t="str">
        <f aca="false">IF($BL467&lt;&gt;Constants!$B$4,"",IF(AND($AL467,$BD467,$BE467),Constants!$B$22,0))</f>
        <v/>
      </c>
      <c r="BT467" s="74" t="str">
        <f aca="false">IF($BL467&lt;&gt;Constants!$B$4,"",IF(OR(NOT($AL467),NOT($BD467)),0,IF($BJ467&gt;=2*$AH$9,0,Constants!$B$23*INT(ROUND(MIN($BJ467,$AH$9),6)))))</f>
        <v/>
      </c>
      <c r="BU467" s="74" t="str">
        <f aca="false">IF($BL467&lt;&gt;Constants!$B$4,"",IF(NOT($AL467),0,Constants!$B$24*INT(ROUND(MIN($BC467,$AH$9),6))))</f>
        <v/>
      </c>
      <c r="BV467" s="74" t="str">
        <f aca="false">IF($BL467&lt;&gt;Constants!$B$4,"",IF(AND($AL467,$BN467=0),Constants!$B$25,0))</f>
        <v/>
      </c>
      <c r="BW467" s="74" t="str">
        <f aca="false">IF($BL467&lt;&gt;Constants!$B$4,"",MIN(Constants!$B$29,MAX(0,Constants!$B$27*Constants!$B$28*INT(ROUND((Constants!$B$26-$AN467)/Constants!$B$28,6))))+MIN(Constants!$B$29,MAX(0,Constants!$B$27*Constants!$B$28*INT(ROUND((Constants!$B$26-$AO467)/Constants!$B$28,6))))+MIN(Constants!$B$29,MAX(0,Constants!$B$27*Constants!$B$28*INT(ROUND((Constants!$B$26-$AP467)/Constants!$B$28,6)))))</f>
        <v/>
      </c>
      <c r="BX467" s="74" t="str">
        <f aca="false">IF($BL467&lt;&gt;Constants!$B$4,"",IF(NOT($AL467),0,Constants!$B$31*INT(ROUND(MAX(0,MIN($BJ467,2*$AH$9)-$AH$9),6))))</f>
        <v/>
      </c>
      <c r="BY467" s="74" t="str">
        <f aca="false">IF($BL467&lt;&gt;Constants!$B$4,"",Constants!$B$32*(($AN467&gt;Constants!$B$26)+($AO467&gt;Constants!$B$26)+($AP467&gt;Constants!$B$26)))</f>
        <v/>
      </c>
      <c r="BZ467" s="74" t="str">
        <f aca="false">IF($BL467&lt;&gt;Constants!$B$4,"",IF(OR(NOT($AL467),$AQ467),0,Constants!$B$33))</f>
        <v/>
      </c>
      <c r="CA467" s="74" t="str">
        <f aca="false">IF($BL467&lt;&gt;Constants!$B$4,"",Constants!$B$34*$BN467)</f>
        <v/>
      </c>
      <c r="CB467" s="74" t="str">
        <f aca="false">IF($BL467&lt;&gt;Constants!$B$4,"",IF(OR(NOT($AL467),$BH467),0,Constants!$B$36))</f>
        <v/>
      </c>
      <c r="CC467" s="74" t="str">
        <f aca="false">IF($BL467&lt;&gt;Constants!$B$4,"",IF(OR(NOT($AL467),$BG467),0,Constants!$B$37))</f>
        <v/>
      </c>
      <c r="CD467" s="74" t="str">
        <f aca="false">IF($BL467&lt;&gt;Constants!$B$4,"",SUM($BX467:$CC467))</f>
        <v/>
      </c>
      <c r="CE467" s="74" t="str">
        <f aca="false">IF(ISBLANK($C467),"",IF($BL467&lt;&gt;Constants!$B$4,$BL467,SUM($BO467:$BW467)-$CD467))</f>
        <v/>
      </c>
      <c r="CF467" s="74" t="str">
        <f aca="false">IF(ISBLANK($C467),"",IF($BL467&lt;&gt;Constants!$B$4,$BL467,RANK($CE467,$CE$9:$CE$508)))</f>
        <v/>
      </c>
      <c r="CG467" s="74" t="str">
        <f aca="false">IF(ISBLANK($C467),"",IF($BL467&lt;&gt;Constants!$B$4,$BL467,COUNTIFS($BM$9:$BM$508,"&lt;"&amp;$BM467)+COUNTIFS($BM$9:$BM$508,$BM467,$CF$9:$CF$508,"&lt;"&amp;$CF467)+1))</f>
        <v/>
      </c>
      <c r="CH467" s="74" t="str">
        <f aca="false">IF(ISBLANK($C467),"",IF($BL467&lt;&gt;Constants!$B$4,$BL467,RANK($CD467,$CD$9:$CD$508,1)))</f>
        <v/>
      </c>
      <c r="CI467" s="74" t="str">
        <f aca="false">IF($BL467&lt;&gt;Constants!$B$4,"",$AN467+$AO467+$AP467)</f>
        <v/>
      </c>
      <c r="CJ467" s="74" t="str">
        <f aca="false">IF(ISBLANK($C467),"",IF($BL467&lt;&gt;Constants!$B$4,$BL467,RANK($CI467,$CI$9:$CI$508,1)))</f>
        <v/>
      </c>
      <c r="CK467" s="74" t="str">
        <f aca="false">IF(ISBLANK($C467),"",IF($BL467&lt;&gt;Constants!$B$4,$BL467,COUNTIFS($BM$9:$BM$508,"&lt;"&amp;$BM467)+COUNTIFS($BM$9:$BM$508,$BM467,$CF$9:$CF$508,"&lt;"&amp;$CF467)+COUNTIFS($BM$9:$BM$508,$BM467,$CF$9:$CF$508,$CF467,$CH$9:$CH$508,"&lt;"&amp;$CH467)+COUNTIFS($BM$9:$BM$508,$BM467,$CF$9:$CF$508,$CF467,$CH$9:$CH$508,$CH467,$CJ$9:$CJ$508,"&lt;"&amp;$CJ467)+1))</f>
        <v/>
      </c>
      <c r="CL467" s="74" t="str">
        <f aca="false">IF(ISBLANK($C467),"",IF($BL467&lt;&gt;Constants!$B$4,$BL467,$CG467-$CK467))</f>
        <v/>
      </c>
      <c r="CM467" s="74" t="str">
        <f aca="false">IF(ISBLANK($C467),"",IF(NOT($AL467),"",IF(ISBLANK($D$7),$CM$5,IF(NOT(ISNUMBER($D$7)),$CM$6,""))))</f>
        <v/>
      </c>
      <c r="CN467" s="74" t="str">
        <f aca="false">IF(ISBLANK($C467),"",OR($AN467="",$AO467="",$AP467=""))</f>
        <v/>
      </c>
      <c r="CO467" s="74" t="str">
        <f aca="false">IF(ISBLANK($C467),"",AND($AL467,$BA467=""))</f>
        <v/>
      </c>
      <c r="CP467" s="74" t="str">
        <f aca="false">IF(ISBLANK($C467),"",AND($AL467,$BB467=""))</f>
        <v/>
      </c>
      <c r="CQ467" s="74" t="str">
        <f aca="false">IF(ISBLANK($C467),"",AND($AL467,$BC467=""))</f>
        <v/>
      </c>
      <c r="CR467" s="74" t="str">
        <f aca="false">IF(ISBLANK($C467),"",AND($AL467,$BF467=""))</f>
        <v/>
      </c>
      <c r="CS467" s="74" t="str">
        <f aca="false">IF(ISBLANK($C467),"",AND($AL467,$BJ467=""))</f>
        <v/>
      </c>
      <c r="CT467" s="75"/>
      <c r="CU467" s="76"/>
      <c r="CV467" s="79" t="str">
        <f aca="false">IF(ISBLANK($C467),"",IF($BL467=Constants!$B$8,$CM467,""))</f>
        <v/>
      </c>
      <c r="CW467" s="76" t="str">
        <f aca="false">IF(ISBLANK($C467),"",IF($BL467&lt;&gt;Constants!$B$4,"",$BO467+$BP467))</f>
        <v/>
      </c>
      <c r="CX467" s="78" t="str">
        <f aca="false">IF(ISBLANK($C467),"",IF($BL467&lt;&gt;Constants!$B$4,"",$BQ467+$BR467+$BS467))</f>
        <v/>
      </c>
      <c r="CY467" s="78" t="str">
        <f aca="false">IF(ISBLANK($C467),"",IF($BL467&lt;&gt;Constants!$B$4,"",$BT467))</f>
        <v/>
      </c>
      <c r="CZ467" s="78" t="str">
        <f aca="false">IF(ISBLANK($C467),"",IF($BL467&lt;&gt;Constants!$B$4,"",$BU467+$BV467))</f>
        <v/>
      </c>
      <c r="DA467" s="78" t="str">
        <f aca="false">IF(ISBLANK($C467),"",IF($BL467&lt;&gt;Constants!$B$4,"",$BW467))</f>
        <v/>
      </c>
      <c r="DB467" s="78" t="str">
        <f aca="false">IF(ISBLANK($C467),"",IF($BL467&lt;&gt;Constants!$B$4,"",-$CD467))</f>
        <v/>
      </c>
      <c r="DC467" s="79" t="str">
        <f aca="false">IF(ISBLANK($C467),"",$CE467)</f>
        <v/>
      </c>
      <c r="DD467" s="80" t="str">
        <f aca="false">IF(ISBLANK($C467),"",$BM467)</f>
        <v/>
      </c>
      <c r="DE467" s="78" t="str">
        <f aca="false">IF(ISBLANK($C467),"",$CL467)</f>
        <v/>
      </c>
      <c r="DF467" s="78" t="str">
        <f aca="false">IF(ISBLANK($C467),"",$CK467)</f>
        <v/>
      </c>
      <c r="DG467" s="81" t="str">
        <f aca="false">IF(ISBLANK($C467),"",IF($DF467=Constants!$B$7,COUNTA($C$9:$C$508)+2,IF($DF467=Constants!$B$6,COUNTA($C$9:$C$508)+1,IF($DF467=Constants!$B$5,COUNTA($C$9:$C$508),$DF467))))</f>
        <v/>
      </c>
      <c r="DH467" s="7"/>
      <c r="DI467" s="82" t="n">
        <f aca="false">IF(OR(ISNUMBER($DF467),$DF467=Constants!$B$7,$DF467=Constants!$B$5,$DF467=Constants!$B$6),1,0)</f>
        <v>0</v>
      </c>
      <c r="DJ467" s="82" t="n">
        <v>459</v>
      </c>
      <c r="DK467" s="82" t="str">
        <f aca="false">IF(ISBLANK($C467),"",IF(ISNUMBER($DG467),$DG467+ROW($B467)/1000,""))</f>
        <v/>
      </c>
      <c r="DL467" s="82" t="str">
        <f aca="false">IF(ISNUMBER($DK467),RANK($DK467,$DK$9:$DK$508,1),"")</f>
        <v/>
      </c>
      <c r="DM467" s="82" t="str">
        <f aca="false">IF(ISBLANK($C467),"",$B467)</f>
        <v/>
      </c>
      <c r="DN467" s="82" t="str">
        <f aca="false">IF(ISBLANK($C467),"",$C467)</f>
        <v/>
      </c>
      <c r="DO467" s="82" t="str">
        <f aca="false">IF(ISBLANK($C467),"",$D467)</f>
        <v/>
      </c>
      <c r="DP467" s="83" t="str">
        <f aca="false">$DD467</f>
        <v/>
      </c>
      <c r="DQ467" s="84" t="str">
        <f aca="false">$DC467</f>
        <v/>
      </c>
      <c r="DR467" s="82" t="str">
        <f aca="false">IF(ISBLANK($C467),"",$DF467)</f>
        <v/>
      </c>
      <c r="DS467" s="85" t="str">
        <f aca="false">IF($DJ467&gt;$DI$8,"",VLOOKUP($DJ467,$DL$9:$DR$508,7,FALSE()))</f>
        <v/>
      </c>
      <c r="DT467" s="86" t="str">
        <f aca="false">IF($DJ467&gt;$DI$8,"",VLOOKUP($DJ467,$DL$9:$DR$508,2,FALSE()))</f>
        <v/>
      </c>
      <c r="DU467" s="86" t="str">
        <f aca="false">IF($DJ467&gt;$DI$8,"",VLOOKUP($DJ467,$DL$9:$DR$508,3,FALSE()))</f>
        <v/>
      </c>
      <c r="DV467" s="86" t="str">
        <f aca="false">IF($DJ467&gt;$DI$8,"",VLOOKUP($DJ467,$DL$9:$DR$508,4,FALSE()))</f>
        <v/>
      </c>
      <c r="DW467" s="86" t="str">
        <f aca="false">IF($DJ467&gt;$DI$8,"",VLOOKUP($DJ467,$DL$9:$DR$508,5,FALSE()))</f>
        <v/>
      </c>
      <c r="DX467" s="87" t="str">
        <f aca="false">IF($DJ467&gt;$DI$8,"",VLOOKUP($DJ467,$DL$9:$DR$508,6,FALSE()))</f>
        <v/>
      </c>
      <c r="DY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130"/>
      <c r="N468" s="130"/>
      <c r="O468" s="135"/>
      <c r="P468" s="135"/>
      <c r="Q468" s="130"/>
      <c r="R468" s="130"/>
      <c r="S468" s="130"/>
      <c r="T468" s="130"/>
      <c r="U468" s="135"/>
      <c r="V468" s="130"/>
      <c r="W468" s="96"/>
      <c r="X468" s="130"/>
      <c r="Y468" s="130"/>
      <c r="Z468" s="96"/>
      <c r="AA468" s="96"/>
      <c r="AB468" s="130"/>
      <c r="AC468" s="130"/>
      <c r="AD468" s="130"/>
      <c r="AE468" s="97"/>
      <c r="AF468" s="130"/>
      <c r="AG468" s="99"/>
      <c r="AH468" s="100"/>
      <c r="AI468" s="100"/>
      <c r="AJ468" s="100" t="str">
        <f aca="false">IF(ISBLANK($C468),"",IF($E468=Constants!$B$2,TRUE(),IF($E468=Constants!$B$3,FALSE(),TRUE())))</f>
        <v/>
      </c>
      <c r="AK468" s="100" t="str">
        <f aca="false">IF(ISBLANK($C468),"",IF($F468=Constants!$B$2,TRUE(),IF($F468=Constants!$B$3,FALSE(),FALSE())))</f>
        <v/>
      </c>
      <c r="AL468" s="100" t="str">
        <f aca="false">IF(ISBLANK($C468),"",IF($G468=Constants!$B$2,TRUE(),IF($G468=Constants!$B$3,FALSE(),TRUE())))</f>
        <v/>
      </c>
      <c r="AM468" s="100" t="str">
        <f aca="false">IF(ISBLANK($C468),"",IF($H468=Constants!$B$2,TRUE(),IF($H468=Constants!$B$3,FALSE(),TRUE())))</f>
        <v/>
      </c>
      <c r="AN468" s="100" t="str">
        <f aca="false">IF(ISBLANK($C468),"",IF(ISNUMBER($I468),IF($I468&gt;=0,$I468,""),""))</f>
        <v/>
      </c>
      <c r="AO468" s="100" t="str">
        <f aca="false">IF(ISBLANK($C468),"",IF(ISNUMBER($J468),IF($J468&gt;=0,$J468,""),""))</f>
        <v/>
      </c>
      <c r="AP468" s="100" t="str">
        <f aca="false">IF(ISBLANK($C468),"",IF(ISNUMBER($K468),IF($K468&gt;=0,$K468,""),""))</f>
        <v/>
      </c>
      <c r="AQ468" s="100" t="str">
        <f aca="false">IF(ISBLANK($C468),"",IF($L468=Constants!$B$2,TRUE(),IF($L468=Constants!$B$3,FALSE(),TRUE())))</f>
        <v/>
      </c>
      <c r="AR468" s="100" t="str">
        <f aca="false">IF(ISBLANK($C468),"",IF($M468=Constants!$B$2,TRUE(),IF($M468=Constants!$B$3,FALSE(),TRUE())))</f>
        <v/>
      </c>
      <c r="AS468" s="100" t="str">
        <f aca="false">IF(ISBLANK($C468),"",IF($N468=Constants!$B$2,TRUE(),IF($N468=Constants!$B$3,FALSE(),FALSE())))</f>
        <v/>
      </c>
      <c r="AT468" s="100" t="str">
        <f aca="false">IF(ISBLANK($C468),"",IF($O468=Constants!$B$2,TRUE(),IF($O468=Constants!$B$3,FALSE(),TRUE())))</f>
        <v/>
      </c>
      <c r="AU468" s="100" t="str">
        <f aca="false">IF(ISBLANK($C468),"",IF($P468=Constants!$B$2,TRUE(),IF($P468=Constants!$B$3,FALSE(),TRUE())))</f>
        <v/>
      </c>
      <c r="AV468" s="100" t="str">
        <f aca="false">IF(ISBLANK($C468),"",IF($Q468=Constants!$B$2,TRUE(),IF($Q468=Constants!$B$3,FALSE(),FALSE())))</f>
        <v/>
      </c>
      <c r="AW468" s="100" t="str">
        <f aca="false">IF(ISBLANK($C468),"",IF($R468=Constants!$B$2,TRUE(),IF($R468=Constants!$B$3,FALSE(),FALSE())))</f>
        <v/>
      </c>
      <c r="AX468" s="100" t="str">
        <f aca="false">IF(ISBLANK($C468),"",IF($S468=Constants!$B$2,TRUE(),IF($S468=Constants!$B$3,FALSE(),FALSE())))</f>
        <v/>
      </c>
      <c r="AY468" s="100" t="str">
        <f aca="false">IF(ISBLANK($C468),"",IF($T468=Constants!$B$2,TRUE(),IF($T468=Constants!$B$3,FALSE(),FALSE())))</f>
        <v/>
      </c>
      <c r="AZ468" s="100" t="str">
        <f aca="false">IF(ISBLANK($C468),"",IF($U468=Constants!$B$2,TRUE(),IF($U468=Constants!$B$3,FALSE(),FALSE())))</f>
        <v/>
      </c>
      <c r="BA468" s="100" t="str">
        <f aca="false">IF(ISBLANK($C468),"",IF(OR($V468&amp;""="1",$V468&amp;""="2",$V468&amp;""="3",$V468&amp;""="4"),VALUE($V468&amp;""),IF($V468=Constants!$B$12,Constants!$B$12,"")))</f>
        <v/>
      </c>
      <c r="BB468" s="100" t="str">
        <f aca="false">IF(ISBLANK($C468),"",IF(ISBLANK($W468),0,IF(ISNUMBER($W468),IF(AND($W468&gt;=0,$W468&lt;=Constants!$B$21,$W468=INT($W468)),$W468,""),"")))</f>
        <v/>
      </c>
      <c r="BC468" s="100" t="str">
        <f aca="false">IF(ISBLANK($C468),"",IF(ISBLANK($X468),0,IF(ISNUMBER($X468),IF($X468&gt;=0,$X468,""),"")))</f>
        <v/>
      </c>
      <c r="BD468" s="100" t="str">
        <f aca="false">IF(ISBLANK($C468),"",IF($Y468=Constants!$B$2,TRUE(),IF($Y468=Constants!$B$3,FALSE(),TRUE())))</f>
        <v/>
      </c>
      <c r="BE468" s="100" t="str">
        <f aca="false">IF(ISBLANK($C468),"",IF($Z468=Constants!$B$2,TRUE(),IF($Z468=Constants!$B$3,FALSE(),FALSE())))</f>
        <v/>
      </c>
      <c r="BF468" s="100" t="str">
        <f aca="false">IF(ISBLANK($C468),"",IF(ISBLANK($AA468),0,IF(ISNUMBER($AA468),IF(AND($AA468&gt;=0,$AA468&lt;=Constants!$B$35,$AA468=INT($AA468)),$AA468,""),"")))</f>
        <v/>
      </c>
      <c r="BG468" s="100" t="str">
        <f aca="false">IF(ISBLANK($C468),"",IF($AB468=Constants!$B$2,TRUE(),IF($AB468=Constants!$B$3,FALSE(),TRUE())))</f>
        <v/>
      </c>
      <c r="BH468" s="100" t="str">
        <f aca="false">IF(ISBLANK($C468),"",IF($AC468=Constants!$B$2,TRUE(),IF($AC468=Constants!$B$3,FALSE(),TRUE())))</f>
        <v/>
      </c>
      <c r="BI468" s="100" t="str">
        <f aca="false">IF(ISBLANK($C468),"",IF($AD468=Constants!$B$2,TRUE(),IF($AD468=Constants!$B$3,FALSE(),TRUE())))</f>
        <v/>
      </c>
      <c r="BJ468" s="100" t="str">
        <f aca="false">IF(ISBLANK($C468),"",IF(ISNUMBER($AE468),IF($AE468&gt;=0,$AE468,""),""))</f>
        <v/>
      </c>
      <c r="BK468" s="100" t="str">
        <f aca="false">IF(ISBLANK($C468),"",IF($AF468=Constants!$B$2,TRUE(),IF($AF468=Constants!$B$3,FALSE(),FALSE())))</f>
        <v/>
      </c>
      <c r="BL468" s="99" t="str">
        <f aca="false">IF(ISBLANK($C468),"",IF($BK468,Constants!$B$7,IF(COUNTA($E468:$AE468)=0,Constants!$B$6,IF(OR(COUNTA($G468:$AE468)=0,NOT($AM468),$AS468),Constants!$B$5,IF(OR($CM468&lt;&gt;"",$CN468,$CO468,$CP468,$CQ468,$CR468,$CS468),Constants!$B$8,Constants!$B$4)))))</f>
        <v/>
      </c>
      <c r="BM468" s="100" t="str">
        <f aca="false">IF(ISBLANK($C468),"",IF($BL468&lt;&gt;Constants!$B$4,$BL468,IF(OR(NOT($AJ468),NOT($AL468),NOT($AT468)),Constants!$B$11,IF(OR(NOT($AR468),NOT($AU468),NOT($BI468),MAX($AN468,$AO468,$AP468)&gt;Constants!$B$30),Constants!$B$10,Constants!$B$9))))</f>
        <v/>
      </c>
      <c r="BN468" s="100" t="str">
        <f aca="false">IF($BL468&lt;&gt;Constants!$B$4,"",IF(NOT($AL468),0,MIN(Constants!$B$35,$BF468)))</f>
        <v/>
      </c>
      <c r="BO468" s="100" t="str">
        <f aca="false">IF($BL468&lt;&gt;Constants!$B$4,"",IF(NOT($AL468),0,IF($AW468,Constants!$B$18,IF($AV468,Constants!$B$17,0))))</f>
        <v/>
      </c>
      <c r="BP468" s="100" t="str">
        <f aca="false">IF($BL468&lt;&gt;Constants!$B$4,"",IF(NOT($AL468),0,Constants!$B$19*($AK468+$AX468+$AY468+$AZ468)))</f>
        <v/>
      </c>
      <c r="BQ468" s="100" t="str">
        <f aca="false">IF($BL468&lt;&gt;Constants!$B$4,"",IF(OR(NOT($AL468),NOT(ISNUMBER($BA468))),0,CHOOSE($BA468,Constants!$B$13,Constants!$B$14,Constants!$B$15,Constants!$B$16)))</f>
        <v/>
      </c>
      <c r="BR468" s="100" t="str">
        <f aca="false">IF($BL468&lt;&gt;Constants!$B$4,"",IF(NOT($AL468),0,Constants!$B$20*$BB468))</f>
        <v/>
      </c>
      <c r="BS468" s="100" t="str">
        <f aca="false">IF($BL468&lt;&gt;Constants!$B$4,"",IF(AND($AL468,$BD468,$BE468),Constants!$B$22,0))</f>
        <v/>
      </c>
      <c r="BT468" s="100" t="str">
        <f aca="false">IF($BL468&lt;&gt;Constants!$B$4,"",IF(OR(NOT($AL468),NOT($BD468)),0,IF($BJ468&gt;=2*$AH$9,0,Constants!$B$23*INT(ROUND(MIN($BJ468,$AH$9),6)))))</f>
        <v/>
      </c>
      <c r="BU468" s="100" t="str">
        <f aca="false">IF($BL468&lt;&gt;Constants!$B$4,"",IF(NOT($AL468),0,Constants!$B$24*INT(ROUND(MIN($BC468,$AH$9),6))))</f>
        <v/>
      </c>
      <c r="BV468" s="100" t="str">
        <f aca="false">IF($BL468&lt;&gt;Constants!$B$4,"",IF(AND($AL468,$BN468=0),Constants!$B$25,0))</f>
        <v/>
      </c>
      <c r="BW468" s="100" t="str">
        <f aca="false">IF($BL468&lt;&gt;Constants!$B$4,"",MIN(Constants!$B$29,MAX(0,Constants!$B$27*Constants!$B$28*INT(ROUND((Constants!$B$26-$AN468)/Constants!$B$28,6))))+MIN(Constants!$B$29,MAX(0,Constants!$B$27*Constants!$B$28*INT(ROUND((Constants!$B$26-$AO468)/Constants!$B$28,6))))+MIN(Constants!$B$29,MAX(0,Constants!$B$27*Constants!$B$28*INT(ROUND((Constants!$B$26-$AP468)/Constants!$B$28,6)))))</f>
        <v/>
      </c>
      <c r="BX468" s="100" t="str">
        <f aca="false">IF($BL468&lt;&gt;Constants!$B$4,"",IF(NOT($AL468),0,Constants!$B$31*INT(ROUND(MAX(0,MIN($BJ468,2*$AH$9)-$AH$9),6))))</f>
        <v/>
      </c>
      <c r="BY468" s="100" t="str">
        <f aca="false">IF($BL468&lt;&gt;Constants!$B$4,"",Constants!$B$32*(($AN468&gt;Constants!$B$26)+($AO468&gt;Constants!$B$26)+($AP468&gt;Constants!$B$26)))</f>
        <v/>
      </c>
      <c r="BZ468" s="100" t="str">
        <f aca="false">IF($BL468&lt;&gt;Constants!$B$4,"",IF(OR(NOT($AL468),$AQ468),0,Constants!$B$33))</f>
        <v/>
      </c>
      <c r="CA468" s="100" t="str">
        <f aca="false">IF($BL468&lt;&gt;Constants!$B$4,"",Constants!$B$34*$BN468)</f>
        <v/>
      </c>
      <c r="CB468" s="100" t="str">
        <f aca="false">IF($BL468&lt;&gt;Constants!$B$4,"",IF(OR(NOT($AL468),$BH468),0,Constants!$B$36))</f>
        <v/>
      </c>
      <c r="CC468" s="100" t="str">
        <f aca="false">IF($BL468&lt;&gt;Constants!$B$4,"",IF(OR(NOT($AL468),$BG468),0,Constants!$B$37))</f>
        <v/>
      </c>
      <c r="CD468" s="100" t="str">
        <f aca="false">IF($BL468&lt;&gt;Constants!$B$4,"",SUM($BX468:$CC468))</f>
        <v/>
      </c>
      <c r="CE468" s="100" t="str">
        <f aca="false">IF(ISBLANK($C468),"",IF($BL468&lt;&gt;Constants!$B$4,$BL468,SUM($BO468:$BW468)-$CD468))</f>
        <v/>
      </c>
      <c r="CF468" s="100" t="str">
        <f aca="false">IF(ISBLANK($C468),"",IF($BL468&lt;&gt;Constants!$B$4,$BL468,RANK($CE468,$CE$9:$CE$508)))</f>
        <v/>
      </c>
      <c r="CG468" s="100" t="str">
        <f aca="false">IF(ISBLANK($C468),"",IF($BL468&lt;&gt;Constants!$B$4,$BL468,COUNTIFS($BM$9:$BM$508,"&lt;"&amp;$BM468)+COUNTIFS($BM$9:$BM$508,$BM468,$CF$9:$CF$508,"&lt;"&amp;$CF468)+1))</f>
        <v/>
      </c>
      <c r="CH468" s="100" t="str">
        <f aca="false">IF(ISBLANK($C468),"",IF($BL468&lt;&gt;Constants!$B$4,$BL468,RANK($CD468,$CD$9:$CD$508,1)))</f>
        <v/>
      </c>
      <c r="CI468" s="100" t="str">
        <f aca="false">IF($BL468&lt;&gt;Constants!$B$4,"",$AN468+$AO468+$AP468)</f>
        <v/>
      </c>
      <c r="CJ468" s="100" t="str">
        <f aca="false">IF(ISBLANK($C468),"",IF($BL468&lt;&gt;Constants!$B$4,$BL468,RANK($CI468,$CI$9:$CI$508,1)))</f>
        <v/>
      </c>
      <c r="CK468" s="100" t="str">
        <f aca="false">IF(ISBLANK($C468),"",IF($BL468&lt;&gt;Constants!$B$4,$BL468,COUNTIFS($BM$9:$BM$508,"&lt;"&amp;$BM468)+COUNTIFS($BM$9:$BM$508,$BM468,$CF$9:$CF$508,"&lt;"&amp;$CF468)+COUNTIFS($BM$9:$BM$508,$BM468,$CF$9:$CF$508,$CF468,$CH$9:$CH$508,"&lt;"&amp;$CH468)+COUNTIFS($BM$9:$BM$508,$BM468,$CF$9:$CF$508,$CF468,$CH$9:$CH$508,$CH468,$CJ$9:$CJ$508,"&lt;"&amp;$CJ468)+1))</f>
        <v/>
      </c>
      <c r="CL468" s="100" t="str">
        <f aca="false">IF(ISBLANK($C468),"",IF($BL468&lt;&gt;Constants!$B$4,$BL468,$CG468-$CK468))</f>
        <v/>
      </c>
      <c r="CM468" s="100" t="str">
        <f aca="false">IF(ISBLANK($C468),"",IF(NOT($AL468),"",IF(ISBLANK($D$7),$CM$5,IF(NOT(ISNUMBER($D$7)),$CM$6,""))))</f>
        <v/>
      </c>
      <c r="CN468" s="100" t="str">
        <f aca="false">IF(ISBLANK($C468),"",OR($AN468="",$AO468="",$AP468=""))</f>
        <v/>
      </c>
      <c r="CO468" s="100" t="str">
        <f aca="false">IF(ISBLANK($C468),"",AND($AL468,$BA468=""))</f>
        <v/>
      </c>
      <c r="CP468" s="100" t="str">
        <f aca="false">IF(ISBLANK($C468),"",AND($AL468,$BB468=""))</f>
        <v/>
      </c>
      <c r="CQ468" s="100" t="str">
        <f aca="false">IF(ISBLANK($C468),"",AND($AL468,$BC468=""))</f>
        <v/>
      </c>
      <c r="CR468" s="100" t="str">
        <f aca="false">IF(ISBLANK($C468),"",AND($AL468,$BF468=""))</f>
        <v/>
      </c>
      <c r="CS468" s="100" t="str">
        <f aca="false">IF(ISBLANK($C468),"",AND($AL468,$BJ468=""))</f>
        <v/>
      </c>
      <c r="CT468" s="101"/>
      <c r="CU468" s="102"/>
      <c r="CV468" s="103" t="str">
        <f aca="false">IF(ISBLANK($C468),"",IF($BL468=Constants!$B$8,$CM468,""))</f>
        <v/>
      </c>
      <c r="CW468" s="102" t="str">
        <f aca="false">IF(ISBLANK($C468),"",IF($BL468&lt;&gt;Constants!$B$4,"",$BO468+$BP468))</f>
        <v/>
      </c>
      <c r="CX468" s="104" t="str">
        <f aca="false">IF(ISBLANK($C468),"",IF($BL468&lt;&gt;Constants!$B$4,"",$BQ468+$BR468+$BS468))</f>
        <v/>
      </c>
      <c r="CY468" s="104" t="str">
        <f aca="false">IF(ISBLANK($C468),"",IF($BL468&lt;&gt;Constants!$B$4,"",$BT468))</f>
        <v/>
      </c>
      <c r="CZ468" s="104" t="str">
        <f aca="false">IF(ISBLANK($C468),"",IF($BL468&lt;&gt;Constants!$B$4,"",$BU468+$BV468))</f>
        <v/>
      </c>
      <c r="DA468" s="104" t="str">
        <f aca="false">IF(ISBLANK($C468),"",IF($BL468&lt;&gt;Constants!$B$4,"",$BW468))</f>
        <v/>
      </c>
      <c r="DB468" s="104" t="str">
        <f aca="false">IF(ISBLANK($C468),"",IF($BL468&lt;&gt;Constants!$B$4,"",-$CD468))</f>
        <v/>
      </c>
      <c r="DC468" s="103" t="str">
        <f aca="false">IF(ISBLANK($C468),"",$CE468)</f>
        <v/>
      </c>
      <c r="DD468" s="105" t="str">
        <f aca="false">IF(ISBLANK($C468),"",$BM468)</f>
        <v/>
      </c>
      <c r="DE468" s="104" t="str">
        <f aca="false">IF(ISBLANK($C468),"",$CL468)</f>
        <v/>
      </c>
      <c r="DF468" s="104" t="str">
        <f aca="false">IF(ISBLANK($C468),"",$CK468)</f>
        <v/>
      </c>
      <c r="DG468" s="106" t="str">
        <f aca="false">IF(ISBLANK($C468),"",IF($DF468=Constants!$B$7,COUNTA($C$9:$C$508)+2,IF($DF468=Constants!$B$6,COUNTA($C$9:$C$508)+1,IF($DF468=Constants!$B$5,COUNTA($C$9:$C$508),$DF468))))</f>
        <v/>
      </c>
      <c r="DH468" s="7"/>
      <c r="DI468" s="107" t="n">
        <f aca="false">IF(OR(ISNUMBER($DF468),$DF468=Constants!$B$7,$DF468=Constants!$B$5,$DF468=Constants!$B$6),1,0)</f>
        <v>0</v>
      </c>
      <c r="DJ468" s="107" t="n">
        <v>460</v>
      </c>
      <c r="DK468" s="107" t="str">
        <f aca="false">IF(ISBLANK($C468),"",IF(ISNUMBER($DG468),$DG468+ROW($B468)/1000,""))</f>
        <v/>
      </c>
      <c r="DL468" s="107" t="str">
        <f aca="false">IF(ISNUMBER($DK468),RANK($DK468,$DK$9:$DK$508,1),"")</f>
        <v/>
      </c>
      <c r="DM468" s="107" t="str">
        <f aca="false">IF(ISBLANK($C468),"",$B468)</f>
        <v/>
      </c>
      <c r="DN468" s="107" t="str">
        <f aca="false">IF(ISBLANK($C468),"",$C468)</f>
        <v/>
      </c>
      <c r="DO468" s="107" t="str">
        <f aca="false">IF(ISBLANK($C468),"",$D468)</f>
        <v/>
      </c>
      <c r="DP468" s="108" t="str">
        <f aca="false">$DD468</f>
        <v/>
      </c>
      <c r="DQ468" s="109" t="str">
        <f aca="false">$DC468</f>
        <v/>
      </c>
      <c r="DR468" s="107" t="str">
        <f aca="false">IF(ISBLANK($C468),"",$DF468)</f>
        <v/>
      </c>
      <c r="DS468" s="110" t="str">
        <f aca="false">IF($DJ468&gt;$DI$8,"",VLOOKUP($DJ468,$DL$9:$DR$508,7,FALSE()))</f>
        <v/>
      </c>
      <c r="DT468" s="111" t="str">
        <f aca="false">IF($DJ468&gt;$DI$8,"",VLOOKUP($DJ468,$DL$9:$DR$508,2,FALSE()))</f>
        <v/>
      </c>
      <c r="DU468" s="111" t="str">
        <f aca="false">IF($DJ468&gt;$DI$8,"",VLOOKUP($DJ468,$DL$9:$DR$508,3,FALSE()))</f>
        <v/>
      </c>
      <c r="DV468" s="111" t="str">
        <f aca="false">IF($DJ468&gt;$DI$8,"",VLOOKUP($DJ468,$DL$9:$DR$508,4,FALSE()))</f>
        <v/>
      </c>
      <c r="DW468" s="111" t="str">
        <f aca="false">IF($DJ468&gt;$DI$8,"",VLOOKUP($DJ468,$DL$9:$DR$508,5,FALSE()))</f>
        <v/>
      </c>
      <c r="DX468" s="112" t="str">
        <f aca="false">IF($DJ468&gt;$DI$8,"",VLOOKUP($DJ468,$DL$9:$DR$508,6,FALSE()))</f>
        <v/>
      </c>
      <c r="DY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130"/>
      <c r="N469" s="130"/>
      <c r="O469" s="135"/>
      <c r="P469" s="135"/>
      <c r="Q469" s="130"/>
      <c r="R469" s="130"/>
      <c r="S469" s="130"/>
      <c r="T469" s="130"/>
      <c r="U469" s="135"/>
      <c r="V469" s="130"/>
      <c r="W469" s="96"/>
      <c r="X469" s="130"/>
      <c r="Y469" s="130"/>
      <c r="Z469" s="96"/>
      <c r="AA469" s="96"/>
      <c r="AB469" s="130"/>
      <c r="AC469" s="130"/>
      <c r="AD469" s="130"/>
      <c r="AE469" s="97"/>
      <c r="AF469" s="130"/>
      <c r="AG469" s="99"/>
      <c r="AH469" s="100"/>
      <c r="AI469" s="100"/>
      <c r="AJ469" s="100" t="str">
        <f aca="false">IF(ISBLANK($C469),"",IF($E469=Constants!$B$2,TRUE(),IF($E469=Constants!$B$3,FALSE(),TRUE())))</f>
        <v/>
      </c>
      <c r="AK469" s="100" t="str">
        <f aca="false">IF(ISBLANK($C469),"",IF($F469=Constants!$B$2,TRUE(),IF($F469=Constants!$B$3,FALSE(),FALSE())))</f>
        <v/>
      </c>
      <c r="AL469" s="100" t="str">
        <f aca="false">IF(ISBLANK($C469),"",IF($G469=Constants!$B$2,TRUE(),IF($G469=Constants!$B$3,FALSE(),TRUE())))</f>
        <v/>
      </c>
      <c r="AM469" s="100" t="str">
        <f aca="false">IF(ISBLANK($C469),"",IF($H469=Constants!$B$2,TRUE(),IF($H469=Constants!$B$3,FALSE(),TRUE())))</f>
        <v/>
      </c>
      <c r="AN469" s="100" t="str">
        <f aca="false">IF(ISBLANK($C469),"",IF(ISNUMBER($I469),IF($I469&gt;=0,$I469,""),""))</f>
        <v/>
      </c>
      <c r="AO469" s="100" t="str">
        <f aca="false">IF(ISBLANK($C469),"",IF(ISNUMBER($J469),IF($J469&gt;=0,$J469,""),""))</f>
        <v/>
      </c>
      <c r="AP469" s="100" t="str">
        <f aca="false">IF(ISBLANK($C469),"",IF(ISNUMBER($K469),IF($K469&gt;=0,$K469,""),""))</f>
        <v/>
      </c>
      <c r="AQ469" s="100" t="str">
        <f aca="false">IF(ISBLANK($C469),"",IF($L469=Constants!$B$2,TRUE(),IF($L469=Constants!$B$3,FALSE(),TRUE())))</f>
        <v/>
      </c>
      <c r="AR469" s="100" t="str">
        <f aca="false">IF(ISBLANK($C469),"",IF($M469=Constants!$B$2,TRUE(),IF($M469=Constants!$B$3,FALSE(),TRUE())))</f>
        <v/>
      </c>
      <c r="AS469" s="100" t="str">
        <f aca="false">IF(ISBLANK($C469),"",IF($N469=Constants!$B$2,TRUE(),IF($N469=Constants!$B$3,FALSE(),FALSE())))</f>
        <v/>
      </c>
      <c r="AT469" s="100" t="str">
        <f aca="false">IF(ISBLANK($C469),"",IF($O469=Constants!$B$2,TRUE(),IF($O469=Constants!$B$3,FALSE(),TRUE())))</f>
        <v/>
      </c>
      <c r="AU469" s="100" t="str">
        <f aca="false">IF(ISBLANK($C469),"",IF($P469=Constants!$B$2,TRUE(),IF($P469=Constants!$B$3,FALSE(),TRUE())))</f>
        <v/>
      </c>
      <c r="AV469" s="100" t="str">
        <f aca="false">IF(ISBLANK($C469),"",IF($Q469=Constants!$B$2,TRUE(),IF($Q469=Constants!$B$3,FALSE(),FALSE())))</f>
        <v/>
      </c>
      <c r="AW469" s="100" t="str">
        <f aca="false">IF(ISBLANK($C469),"",IF($R469=Constants!$B$2,TRUE(),IF($R469=Constants!$B$3,FALSE(),FALSE())))</f>
        <v/>
      </c>
      <c r="AX469" s="100" t="str">
        <f aca="false">IF(ISBLANK($C469),"",IF($S469=Constants!$B$2,TRUE(),IF($S469=Constants!$B$3,FALSE(),FALSE())))</f>
        <v/>
      </c>
      <c r="AY469" s="100" t="str">
        <f aca="false">IF(ISBLANK($C469),"",IF($T469=Constants!$B$2,TRUE(),IF($T469=Constants!$B$3,FALSE(),FALSE())))</f>
        <v/>
      </c>
      <c r="AZ469" s="100" t="str">
        <f aca="false">IF(ISBLANK($C469),"",IF($U469=Constants!$B$2,TRUE(),IF($U469=Constants!$B$3,FALSE(),FALSE())))</f>
        <v/>
      </c>
      <c r="BA469" s="100" t="str">
        <f aca="false">IF(ISBLANK($C469),"",IF(OR($V469&amp;""="1",$V469&amp;""="2",$V469&amp;""="3",$V469&amp;""="4"),VALUE($V469&amp;""),IF($V469=Constants!$B$12,Constants!$B$12,"")))</f>
        <v/>
      </c>
      <c r="BB469" s="100" t="str">
        <f aca="false">IF(ISBLANK($C469),"",IF(ISBLANK($W469),0,IF(ISNUMBER($W469),IF(AND($W469&gt;=0,$W469&lt;=Constants!$B$21,$W469=INT($W469)),$W469,""),"")))</f>
        <v/>
      </c>
      <c r="BC469" s="100" t="str">
        <f aca="false">IF(ISBLANK($C469),"",IF(ISBLANK($X469),0,IF(ISNUMBER($X469),IF($X469&gt;=0,$X469,""),"")))</f>
        <v/>
      </c>
      <c r="BD469" s="100" t="str">
        <f aca="false">IF(ISBLANK($C469),"",IF($Y469=Constants!$B$2,TRUE(),IF($Y469=Constants!$B$3,FALSE(),TRUE())))</f>
        <v/>
      </c>
      <c r="BE469" s="100" t="str">
        <f aca="false">IF(ISBLANK($C469),"",IF($Z469=Constants!$B$2,TRUE(),IF($Z469=Constants!$B$3,FALSE(),FALSE())))</f>
        <v/>
      </c>
      <c r="BF469" s="100" t="str">
        <f aca="false">IF(ISBLANK($C469),"",IF(ISBLANK($AA469),0,IF(ISNUMBER($AA469),IF(AND($AA469&gt;=0,$AA469&lt;=Constants!$B$35,$AA469=INT($AA469)),$AA469,""),"")))</f>
        <v/>
      </c>
      <c r="BG469" s="100" t="str">
        <f aca="false">IF(ISBLANK($C469),"",IF($AB469=Constants!$B$2,TRUE(),IF($AB469=Constants!$B$3,FALSE(),TRUE())))</f>
        <v/>
      </c>
      <c r="BH469" s="100" t="str">
        <f aca="false">IF(ISBLANK($C469),"",IF($AC469=Constants!$B$2,TRUE(),IF($AC469=Constants!$B$3,FALSE(),TRUE())))</f>
        <v/>
      </c>
      <c r="BI469" s="100" t="str">
        <f aca="false">IF(ISBLANK($C469),"",IF($AD469=Constants!$B$2,TRUE(),IF($AD469=Constants!$B$3,FALSE(),TRUE())))</f>
        <v/>
      </c>
      <c r="BJ469" s="100" t="str">
        <f aca="false">IF(ISBLANK($C469),"",IF(ISNUMBER($AE469),IF($AE469&gt;=0,$AE469,""),""))</f>
        <v/>
      </c>
      <c r="BK469" s="100" t="str">
        <f aca="false">IF(ISBLANK($C469),"",IF($AF469=Constants!$B$2,TRUE(),IF($AF469=Constants!$B$3,FALSE(),FALSE())))</f>
        <v/>
      </c>
      <c r="BL469" s="99" t="str">
        <f aca="false">IF(ISBLANK($C469),"",IF($BK469,Constants!$B$7,IF(COUNTA($E469:$AE469)=0,Constants!$B$6,IF(OR(COUNTA($G469:$AE469)=0,NOT($AM469),$AS469),Constants!$B$5,IF(OR($CM469&lt;&gt;"",$CN469,$CO469,$CP469,$CQ469,$CR469,$CS469),Constants!$B$8,Constants!$B$4)))))</f>
        <v/>
      </c>
      <c r="BM469" s="100" t="str">
        <f aca="false">IF(ISBLANK($C469),"",IF($BL469&lt;&gt;Constants!$B$4,$BL469,IF(OR(NOT($AJ469),NOT($AL469),NOT($AT469)),Constants!$B$11,IF(OR(NOT($AR469),NOT($AU469),NOT($BI469),MAX($AN469,$AO469,$AP469)&gt;Constants!$B$30),Constants!$B$10,Constants!$B$9))))</f>
        <v/>
      </c>
      <c r="BN469" s="100" t="str">
        <f aca="false">IF($BL469&lt;&gt;Constants!$B$4,"",IF(NOT($AL469),0,MIN(Constants!$B$35,$BF469)))</f>
        <v/>
      </c>
      <c r="BO469" s="100" t="str">
        <f aca="false">IF($BL469&lt;&gt;Constants!$B$4,"",IF(NOT($AL469),0,IF($AW469,Constants!$B$18,IF($AV469,Constants!$B$17,0))))</f>
        <v/>
      </c>
      <c r="BP469" s="100" t="str">
        <f aca="false">IF($BL469&lt;&gt;Constants!$B$4,"",IF(NOT($AL469),0,Constants!$B$19*($AK469+$AX469+$AY469+$AZ469)))</f>
        <v/>
      </c>
      <c r="BQ469" s="100" t="str">
        <f aca="false">IF($BL469&lt;&gt;Constants!$B$4,"",IF(OR(NOT($AL469),NOT(ISNUMBER($BA469))),0,CHOOSE($BA469,Constants!$B$13,Constants!$B$14,Constants!$B$15,Constants!$B$16)))</f>
        <v/>
      </c>
      <c r="BR469" s="100" t="str">
        <f aca="false">IF($BL469&lt;&gt;Constants!$B$4,"",IF(NOT($AL469),0,Constants!$B$20*$BB469))</f>
        <v/>
      </c>
      <c r="BS469" s="100" t="str">
        <f aca="false">IF($BL469&lt;&gt;Constants!$B$4,"",IF(AND($AL469,$BD469,$BE469),Constants!$B$22,0))</f>
        <v/>
      </c>
      <c r="BT469" s="100" t="str">
        <f aca="false">IF($BL469&lt;&gt;Constants!$B$4,"",IF(OR(NOT($AL469),NOT($BD469)),0,IF($BJ469&gt;=2*$AH$9,0,Constants!$B$23*INT(ROUND(MIN($BJ469,$AH$9),6)))))</f>
        <v/>
      </c>
      <c r="BU469" s="100" t="str">
        <f aca="false">IF($BL469&lt;&gt;Constants!$B$4,"",IF(NOT($AL469),0,Constants!$B$24*INT(ROUND(MIN($BC469,$AH$9),6))))</f>
        <v/>
      </c>
      <c r="BV469" s="100" t="str">
        <f aca="false">IF($BL469&lt;&gt;Constants!$B$4,"",IF(AND($AL469,$BN469=0),Constants!$B$25,0))</f>
        <v/>
      </c>
      <c r="BW469" s="100" t="str">
        <f aca="false">IF($BL469&lt;&gt;Constants!$B$4,"",MIN(Constants!$B$29,MAX(0,Constants!$B$27*Constants!$B$28*INT(ROUND((Constants!$B$26-$AN469)/Constants!$B$28,6))))+MIN(Constants!$B$29,MAX(0,Constants!$B$27*Constants!$B$28*INT(ROUND((Constants!$B$26-$AO469)/Constants!$B$28,6))))+MIN(Constants!$B$29,MAX(0,Constants!$B$27*Constants!$B$28*INT(ROUND((Constants!$B$26-$AP469)/Constants!$B$28,6)))))</f>
        <v/>
      </c>
      <c r="BX469" s="100" t="str">
        <f aca="false">IF($BL469&lt;&gt;Constants!$B$4,"",IF(NOT($AL469),0,Constants!$B$31*INT(ROUND(MAX(0,MIN($BJ469,2*$AH$9)-$AH$9),6))))</f>
        <v/>
      </c>
      <c r="BY469" s="100" t="str">
        <f aca="false">IF($BL469&lt;&gt;Constants!$B$4,"",Constants!$B$32*(($AN469&gt;Constants!$B$26)+($AO469&gt;Constants!$B$26)+($AP469&gt;Constants!$B$26)))</f>
        <v/>
      </c>
      <c r="BZ469" s="100" t="str">
        <f aca="false">IF($BL469&lt;&gt;Constants!$B$4,"",IF(OR(NOT($AL469),$AQ469),0,Constants!$B$33))</f>
        <v/>
      </c>
      <c r="CA469" s="100" t="str">
        <f aca="false">IF($BL469&lt;&gt;Constants!$B$4,"",Constants!$B$34*$BN469)</f>
        <v/>
      </c>
      <c r="CB469" s="100" t="str">
        <f aca="false">IF($BL469&lt;&gt;Constants!$B$4,"",IF(OR(NOT($AL469),$BH469),0,Constants!$B$36))</f>
        <v/>
      </c>
      <c r="CC469" s="100" t="str">
        <f aca="false">IF($BL469&lt;&gt;Constants!$B$4,"",IF(OR(NOT($AL469),$BG469),0,Constants!$B$37))</f>
        <v/>
      </c>
      <c r="CD469" s="100" t="str">
        <f aca="false">IF($BL469&lt;&gt;Constants!$B$4,"",SUM($BX469:$CC469))</f>
        <v/>
      </c>
      <c r="CE469" s="100" t="str">
        <f aca="false">IF(ISBLANK($C469),"",IF($BL469&lt;&gt;Constants!$B$4,$BL469,SUM($BO469:$BW469)-$CD469))</f>
        <v/>
      </c>
      <c r="CF469" s="100" t="str">
        <f aca="false">IF(ISBLANK($C469),"",IF($BL469&lt;&gt;Constants!$B$4,$BL469,RANK($CE469,$CE$9:$CE$508)))</f>
        <v/>
      </c>
      <c r="CG469" s="100" t="str">
        <f aca="false">IF(ISBLANK($C469),"",IF($BL469&lt;&gt;Constants!$B$4,$BL469,COUNTIFS($BM$9:$BM$508,"&lt;"&amp;$BM469)+COUNTIFS($BM$9:$BM$508,$BM469,$CF$9:$CF$508,"&lt;"&amp;$CF469)+1))</f>
        <v/>
      </c>
      <c r="CH469" s="100" t="str">
        <f aca="false">IF(ISBLANK($C469),"",IF($BL469&lt;&gt;Constants!$B$4,$BL469,RANK($CD469,$CD$9:$CD$508,1)))</f>
        <v/>
      </c>
      <c r="CI469" s="100" t="str">
        <f aca="false">IF($BL469&lt;&gt;Constants!$B$4,"",$AN469+$AO469+$AP469)</f>
        <v/>
      </c>
      <c r="CJ469" s="100" t="str">
        <f aca="false">IF(ISBLANK($C469),"",IF($BL469&lt;&gt;Constants!$B$4,$BL469,RANK($CI469,$CI$9:$CI$508,1)))</f>
        <v/>
      </c>
      <c r="CK469" s="100" t="str">
        <f aca="false">IF(ISBLANK($C469),"",IF($BL469&lt;&gt;Constants!$B$4,$BL469,COUNTIFS($BM$9:$BM$508,"&lt;"&amp;$BM469)+COUNTIFS($BM$9:$BM$508,$BM469,$CF$9:$CF$508,"&lt;"&amp;$CF469)+COUNTIFS($BM$9:$BM$508,$BM469,$CF$9:$CF$508,$CF469,$CH$9:$CH$508,"&lt;"&amp;$CH469)+COUNTIFS($BM$9:$BM$508,$BM469,$CF$9:$CF$508,$CF469,$CH$9:$CH$508,$CH469,$CJ$9:$CJ$508,"&lt;"&amp;$CJ469)+1))</f>
        <v/>
      </c>
      <c r="CL469" s="100" t="str">
        <f aca="false">IF(ISBLANK($C469),"",IF($BL469&lt;&gt;Constants!$B$4,$BL469,$CG469-$CK469))</f>
        <v/>
      </c>
      <c r="CM469" s="100" t="str">
        <f aca="false">IF(ISBLANK($C469),"",IF(NOT($AL469),"",IF(ISBLANK($D$7),$CM$5,IF(NOT(ISNUMBER($D$7)),$CM$6,""))))</f>
        <v/>
      </c>
      <c r="CN469" s="100" t="str">
        <f aca="false">IF(ISBLANK($C469),"",OR($AN469="",$AO469="",$AP469=""))</f>
        <v/>
      </c>
      <c r="CO469" s="100" t="str">
        <f aca="false">IF(ISBLANK($C469),"",AND($AL469,$BA469=""))</f>
        <v/>
      </c>
      <c r="CP469" s="100" t="str">
        <f aca="false">IF(ISBLANK($C469),"",AND($AL469,$BB469=""))</f>
        <v/>
      </c>
      <c r="CQ469" s="100" t="str">
        <f aca="false">IF(ISBLANK($C469),"",AND($AL469,$BC469=""))</f>
        <v/>
      </c>
      <c r="CR469" s="100" t="str">
        <f aca="false">IF(ISBLANK($C469),"",AND($AL469,$BF469=""))</f>
        <v/>
      </c>
      <c r="CS469" s="100" t="str">
        <f aca="false">IF(ISBLANK($C469),"",AND($AL469,$BJ469=""))</f>
        <v/>
      </c>
      <c r="CT469" s="101"/>
      <c r="CU469" s="102"/>
      <c r="CV469" s="103" t="str">
        <f aca="false">IF(ISBLANK($C469),"",IF($BL469=Constants!$B$8,$CM469,""))</f>
        <v/>
      </c>
      <c r="CW469" s="102" t="str">
        <f aca="false">IF(ISBLANK($C469),"",IF($BL469&lt;&gt;Constants!$B$4,"",$BO469+$BP469))</f>
        <v/>
      </c>
      <c r="CX469" s="104" t="str">
        <f aca="false">IF(ISBLANK($C469),"",IF($BL469&lt;&gt;Constants!$B$4,"",$BQ469+$BR469+$BS469))</f>
        <v/>
      </c>
      <c r="CY469" s="104" t="str">
        <f aca="false">IF(ISBLANK($C469),"",IF($BL469&lt;&gt;Constants!$B$4,"",$BT469))</f>
        <v/>
      </c>
      <c r="CZ469" s="104" t="str">
        <f aca="false">IF(ISBLANK($C469),"",IF($BL469&lt;&gt;Constants!$B$4,"",$BU469+$BV469))</f>
        <v/>
      </c>
      <c r="DA469" s="104" t="str">
        <f aca="false">IF(ISBLANK($C469),"",IF($BL469&lt;&gt;Constants!$B$4,"",$BW469))</f>
        <v/>
      </c>
      <c r="DB469" s="104" t="str">
        <f aca="false">IF(ISBLANK($C469),"",IF($BL469&lt;&gt;Constants!$B$4,"",-$CD469))</f>
        <v/>
      </c>
      <c r="DC469" s="103" t="str">
        <f aca="false">IF(ISBLANK($C469),"",$CE469)</f>
        <v/>
      </c>
      <c r="DD469" s="105" t="str">
        <f aca="false">IF(ISBLANK($C469),"",$BM469)</f>
        <v/>
      </c>
      <c r="DE469" s="104" t="str">
        <f aca="false">IF(ISBLANK($C469),"",$CL469)</f>
        <v/>
      </c>
      <c r="DF469" s="104" t="str">
        <f aca="false">IF(ISBLANK($C469),"",$CK469)</f>
        <v/>
      </c>
      <c r="DG469" s="106" t="str">
        <f aca="false">IF(ISBLANK($C469),"",IF($DF469=Constants!$B$7,COUNTA($C$9:$C$508)+2,IF($DF469=Constants!$B$6,COUNTA($C$9:$C$508)+1,IF($DF469=Constants!$B$5,COUNTA($C$9:$C$508),$DF469))))</f>
        <v/>
      </c>
      <c r="DH469" s="7"/>
      <c r="DI469" s="107" t="n">
        <f aca="false">IF(OR(ISNUMBER($DF469),$DF469=Constants!$B$7,$DF469=Constants!$B$5,$DF469=Constants!$B$6),1,0)</f>
        <v>0</v>
      </c>
      <c r="DJ469" s="107" t="n">
        <v>461</v>
      </c>
      <c r="DK469" s="107" t="str">
        <f aca="false">IF(ISBLANK($C469),"",IF(ISNUMBER($DG469),$DG469+ROW($B469)/1000,""))</f>
        <v/>
      </c>
      <c r="DL469" s="107" t="str">
        <f aca="false">IF(ISNUMBER($DK469),RANK($DK469,$DK$9:$DK$508,1),"")</f>
        <v/>
      </c>
      <c r="DM469" s="107" t="str">
        <f aca="false">IF(ISBLANK($C469),"",$B469)</f>
        <v/>
      </c>
      <c r="DN469" s="107" t="str">
        <f aca="false">IF(ISBLANK($C469),"",$C469)</f>
        <v/>
      </c>
      <c r="DO469" s="107" t="str">
        <f aca="false">IF(ISBLANK($C469),"",$D469)</f>
        <v/>
      </c>
      <c r="DP469" s="108" t="str">
        <f aca="false">$DD469</f>
        <v/>
      </c>
      <c r="DQ469" s="109" t="str">
        <f aca="false">$DC469</f>
        <v/>
      </c>
      <c r="DR469" s="107" t="str">
        <f aca="false">IF(ISBLANK($C469),"",$DF469)</f>
        <v/>
      </c>
      <c r="DS469" s="110" t="str">
        <f aca="false">IF($DJ469&gt;$DI$8,"",VLOOKUP($DJ469,$DL$9:$DR$508,7,FALSE()))</f>
        <v/>
      </c>
      <c r="DT469" s="111" t="str">
        <f aca="false">IF($DJ469&gt;$DI$8,"",VLOOKUP($DJ469,$DL$9:$DR$508,2,FALSE()))</f>
        <v/>
      </c>
      <c r="DU469" s="111" t="str">
        <f aca="false">IF($DJ469&gt;$DI$8,"",VLOOKUP($DJ469,$DL$9:$DR$508,3,FALSE()))</f>
        <v/>
      </c>
      <c r="DV469" s="111" t="str">
        <f aca="false">IF($DJ469&gt;$DI$8,"",VLOOKUP($DJ469,$DL$9:$DR$508,4,FALSE()))</f>
        <v/>
      </c>
      <c r="DW469" s="111" t="str">
        <f aca="false">IF($DJ469&gt;$DI$8,"",VLOOKUP($DJ469,$DL$9:$DR$508,5,FALSE()))</f>
        <v/>
      </c>
      <c r="DX469" s="112" t="str">
        <f aca="false">IF($DJ469&gt;$DI$8,"",VLOOKUP($DJ469,$DL$9:$DR$508,6,FALSE()))</f>
        <v/>
      </c>
      <c r="DY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130"/>
      <c r="N470" s="130"/>
      <c r="O470" s="135"/>
      <c r="P470" s="135"/>
      <c r="Q470" s="130"/>
      <c r="R470" s="130"/>
      <c r="S470" s="130"/>
      <c r="T470" s="130"/>
      <c r="U470" s="135"/>
      <c r="V470" s="130"/>
      <c r="W470" s="96"/>
      <c r="X470" s="130"/>
      <c r="Y470" s="130"/>
      <c r="Z470" s="96"/>
      <c r="AA470" s="96"/>
      <c r="AB470" s="130"/>
      <c r="AC470" s="130"/>
      <c r="AD470" s="130"/>
      <c r="AE470" s="97"/>
      <c r="AF470" s="130"/>
      <c r="AG470" s="99"/>
      <c r="AH470" s="100"/>
      <c r="AI470" s="100"/>
      <c r="AJ470" s="100" t="str">
        <f aca="false">IF(ISBLANK($C470),"",IF($E470=Constants!$B$2,TRUE(),IF($E470=Constants!$B$3,FALSE(),TRUE())))</f>
        <v/>
      </c>
      <c r="AK470" s="100" t="str">
        <f aca="false">IF(ISBLANK($C470),"",IF($F470=Constants!$B$2,TRUE(),IF($F470=Constants!$B$3,FALSE(),FALSE())))</f>
        <v/>
      </c>
      <c r="AL470" s="100" t="str">
        <f aca="false">IF(ISBLANK($C470),"",IF($G470=Constants!$B$2,TRUE(),IF($G470=Constants!$B$3,FALSE(),TRUE())))</f>
        <v/>
      </c>
      <c r="AM470" s="100" t="str">
        <f aca="false">IF(ISBLANK($C470),"",IF($H470=Constants!$B$2,TRUE(),IF($H470=Constants!$B$3,FALSE(),TRUE())))</f>
        <v/>
      </c>
      <c r="AN470" s="100" t="str">
        <f aca="false">IF(ISBLANK($C470),"",IF(ISNUMBER($I470),IF($I470&gt;=0,$I470,""),""))</f>
        <v/>
      </c>
      <c r="AO470" s="100" t="str">
        <f aca="false">IF(ISBLANK($C470),"",IF(ISNUMBER($J470),IF($J470&gt;=0,$J470,""),""))</f>
        <v/>
      </c>
      <c r="AP470" s="100" t="str">
        <f aca="false">IF(ISBLANK($C470),"",IF(ISNUMBER($K470),IF($K470&gt;=0,$K470,""),""))</f>
        <v/>
      </c>
      <c r="AQ470" s="100" t="str">
        <f aca="false">IF(ISBLANK($C470),"",IF($L470=Constants!$B$2,TRUE(),IF($L470=Constants!$B$3,FALSE(),TRUE())))</f>
        <v/>
      </c>
      <c r="AR470" s="100" t="str">
        <f aca="false">IF(ISBLANK($C470),"",IF($M470=Constants!$B$2,TRUE(),IF($M470=Constants!$B$3,FALSE(),TRUE())))</f>
        <v/>
      </c>
      <c r="AS470" s="100" t="str">
        <f aca="false">IF(ISBLANK($C470),"",IF($N470=Constants!$B$2,TRUE(),IF($N470=Constants!$B$3,FALSE(),FALSE())))</f>
        <v/>
      </c>
      <c r="AT470" s="100" t="str">
        <f aca="false">IF(ISBLANK($C470),"",IF($O470=Constants!$B$2,TRUE(),IF($O470=Constants!$B$3,FALSE(),TRUE())))</f>
        <v/>
      </c>
      <c r="AU470" s="100" t="str">
        <f aca="false">IF(ISBLANK($C470),"",IF($P470=Constants!$B$2,TRUE(),IF($P470=Constants!$B$3,FALSE(),TRUE())))</f>
        <v/>
      </c>
      <c r="AV470" s="100" t="str">
        <f aca="false">IF(ISBLANK($C470),"",IF($Q470=Constants!$B$2,TRUE(),IF($Q470=Constants!$B$3,FALSE(),FALSE())))</f>
        <v/>
      </c>
      <c r="AW470" s="100" t="str">
        <f aca="false">IF(ISBLANK($C470),"",IF($R470=Constants!$B$2,TRUE(),IF($R470=Constants!$B$3,FALSE(),FALSE())))</f>
        <v/>
      </c>
      <c r="AX470" s="100" t="str">
        <f aca="false">IF(ISBLANK($C470),"",IF($S470=Constants!$B$2,TRUE(),IF($S470=Constants!$B$3,FALSE(),FALSE())))</f>
        <v/>
      </c>
      <c r="AY470" s="100" t="str">
        <f aca="false">IF(ISBLANK($C470),"",IF($T470=Constants!$B$2,TRUE(),IF($T470=Constants!$B$3,FALSE(),FALSE())))</f>
        <v/>
      </c>
      <c r="AZ470" s="100" t="str">
        <f aca="false">IF(ISBLANK($C470),"",IF($U470=Constants!$B$2,TRUE(),IF($U470=Constants!$B$3,FALSE(),FALSE())))</f>
        <v/>
      </c>
      <c r="BA470" s="100" t="str">
        <f aca="false">IF(ISBLANK($C470),"",IF(OR($V470&amp;""="1",$V470&amp;""="2",$V470&amp;""="3",$V470&amp;""="4"),VALUE($V470&amp;""),IF($V470=Constants!$B$12,Constants!$B$12,"")))</f>
        <v/>
      </c>
      <c r="BB470" s="100" t="str">
        <f aca="false">IF(ISBLANK($C470),"",IF(ISBLANK($W470),0,IF(ISNUMBER($W470),IF(AND($W470&gt;=0,$W470&lt;=Constants!$B$21,$W470=INT($W470)),$W470,""),"")))</f>
        <v/>
      </c>
      <c r="BC470" s="100" t="str">
        <f aca="false">IF(ISBLANK($C470),"",IF(ISBLANK($X470),0,IF(ISNUMBER($X470),IF($X470&gt;=0,$X470,""),"")))</f>
        <v/>
      </c>
      <c r="BD470" s="100" t="str">
        <f aca="false">IF(ISBLANK($C470),"",IF($Y470=Constants!$B$2,TRUE(),IF($Y470=Constants!$B$3,FALSE(),TRUE())))</f>
        <v/>
      </c>
      <c r="BE470" s="100" t="str">
        <f aca="false">IF(ISBLANK($C470),"",IF($Z470=Constants!$B$2,TRUE(),IF($Z470=Constants!$B$3,FALSE(),FALSE())))</f>
        <v/>
      </c>
      <c r="BF470" s="100" t="str">
        <f aca="false">IF(ISBLANK($C470),"",IF(ISBLANK($AA470),0,IF(ISNUMBER($AA470),IF(AND($AA470&gt;=0,$AA470&lt;=Constants!$B$35,$AA470=INT($AA470)),$AA470,""),"")))</f>
        <v/>
      </c>
      <c r="BG470" s="100" t="str">
        <f aca="false">IF(ISBLANK($C470),"",IF($AB470=Constants!$B$2,TRUE(),IF($AB470=Constants!$B$3,FALSE(),TRUE())))</f>
        <v/>
      </c>
      <c r="BH470" s="100" t="str">
        <f aca="false">IF(ISBLANK($C470),"",IF($AC470=Constants!$B$2,TRUE(),IF($AC470=Constants!$B$3,FALSE(),TRUE())))</f>
        <v/>
      </c>
      <c r="BI470" s="100" t="str">
        <f aca="false">IF(ISBLANK($C470),"",IF($AD470=Constants!$B$2,TRUE(),IF($AD470=Constants!$B$3,FALSE(),TRUE())))</f>
        <v/>
      </c>
      <c r="BJ470" s="100" t="str">
        <f aca="false">IF(ISBLANK($C470),"",IF(ISNUMBER($AE470),IF($AE470&gt;=0,$AE470,""),""))</f>
        <v/>
      </c>
      <c r="BK470" s="100" t="str">
        <f aca="false">IF(ISBLANK($C470),"",IF($AF470=Constants!$B$2,TRUE(),IF($AF470=Constants!$B$3,FALSE(),FALSE())))</f>
        <v/>
      </c>
      <c r="BL470" s="99" t="str">
        <f aca="false">IF(ISBLANK($C470),"",IF($BK470,Constants!$B$7,IF(COUNTA($E470:$AE470)=0,Constants!$B$6,IF(OR(COUNTA($G470:$AE470)=0,NOT($AM470),$AS470),Constants!$B$5,IF(OR($CM470&lt;&gt;"",$CN470,$CO470,$CP470,$CQ470,$CR470,$CS470),Constants!$B$8,Constants!$B$4)))))</f>
        <v/>
      </c>
      <c r="BM470" s="100" t="str">
        <f aca="false">IF(ISBLANK($C470),"",IF($BL470&lt;&gt;Constants!$B$4,$BL470,IF(OR(NOT($AJ470),NOT($AL470),NOT($AT470)),Constants!$B$11,IF(OR(NOT($AR470),NOT($AU470),NOT($BI470),MAX($AN470,$AO470,$AP470)&gt;Constants!$B$30),Constants!$B$10,Constants!$B$9))))</f>
        <v/>
      </c>
      <c r="BN470" s="100" t="str">
        <f aca="false">IF($BL470&lt;&gt;Constants!$B$4,"",IF(NOT($AL470),0,MIN(Constants!$B$35,$BF470)))</f>
        <v/>
      </c>
      <c r="BO470" s="100" t="str">
        <f aca="false">IF($BL470&lt;&gt;Constants!$B$4,"",IF(NOT($AL470),0,IF($AW470,Constants!$B$18,IF($AV470,Constants!$B$17,0))))</f>
        <v/>
      </c>
      <c r="BP470" s="100" t="str">
        <f aca="false">IF($BL470&lt;&gt;Constants!$B$4,"",IF(NOT($AL470),0,Constants!$B$19*($AK470+$AX470+$AY470+$AZ470)))</f>
        <v/>
      </c>
      <c r="BQ470" s="100" t="str">
        <f aca="false">IF($BL470&lt;&gt;Constants!$B$4,"",IF(OR(NOT($AL470),NOT(ISNUMBER($BA470))),0,CHOOSE($BA470,Constants!$B$13,Constants!$B$14,Constants!$B$15,Constants!$B$16)))</f>
        <v/>
      </c>
      <c r="BR470" s="100" t="str">
        <f aca="false">IF($BL470&lt;&gt;Constants!$B$4,"",IF(NOT($AL470),0,Constants!$B$20*$BB470))</f>
        <v/>
      </c>
      <c r="BS470" s="100" t="str">
        <f aca="false">IF($BL470&lt;&gt;Constants!$B$4,"",IF(AND($AL470,$BD470,$BE470),Constants!$B$22,0))</f>
        <v/>
      </c>
      <c r="BT470" s="100" t="str">
        <f aca="false">IF($BL470&lt;&gt;Constants!$B$4,"",IF(OR(NOT($AL470),NOT($BD470)),0,IF($BJ470&gt;=2*$AH$9,0,Constants!$B$23*INT(ROUND(MIN($BJ470,$AH$9),6)))))</f>
        <v/>
      </c>
      <c r="BU470" s="100" t="str">
        <f aca="false">IF($BL470&lt;&gt;Constants!$B$4,"",IF(NOT($AL470),0,Constants!$B$24*INT(ROUND(MIN($BC470,$AH$9),6))))</f>
        <v/>
      </c>
      <c r="BV470" s="100" t="str">
        <f aca="false">IF($BL470&lt;&gt;Constants!$B$4,"",IF(AND($AL470,$BN470=0),Constants!$B$25,0))</f>
        <v/>
      </c>
      <c r="BW470" s="100" t="str">
        <f aca="false">IF($BL470&lt;&gt;Constants!$B$4,"",MIN(Constants!$B$29,MAX(0,Constants!$B$27*Constants!$B$28*INT(ROUND((Constants!$B$26-$AN470)/Constants!$B$28,6))))+MIN(Constants!$B$29,MAX(0,Constants!$B$27*Constants!$B$28*INT(ROUND((Constants!$B$26-$AO470)/Constants!$B$28,6))))+MIN(Constants!$B$29,MAX(0,Constants!$B$27*Constants!$B$28*INT(ROUND((Constants!$B$26-$AP470)/Constants!$B$28,6)))))</f>
        <v/>
      </c>
      <c r="BX470" s="100" t="str">
        <f aca="false">IF($BL470&lt;&gt;Constants!$B$4,"",IF(NOT($AL470),0,Constants!$B$31*INT(ROUND(MAX(0,MIN($BJ470,2*$AH$9)-$AH$9),6))))</f>
        <v/>
      </c>
      <c r="BY470" s="100" t="str">
        <f aca="false">IF($BL470&lt;&gt;Constants!$B$4,"",Constants!$B$32*(($AN470&gt;Constants!$B$26)+($AO470&gt;Constants!$B$26)+($AP470&gt;Constants!$B$26)))</f>
        <v/>
      </c>
      <c r="BZ470" s="100" t="str">
        <f aca="false">IF($BL470&lt;&gt;Constants!$B$4,"",IF(OR(NOT($AL470),$AQ470),0,Constants!$B$33))</f>
        <v/>
      </c>
      <c r="CA470" s="100" t="str">
        <f aca="false">IF($BL470&lt;&gt;Constants!$B$4,"",Constants!$B$34*$BN470)</f>
        <v/>
      </c>
      <c r="CB470" s="100" t="str">
        <f aca="false">IF($BL470&lt;&gt;Constants!$B$4,"",IF(OR(NOT($AL470),$BH470),0,Constants!$B$36))</f>
        <v/>
      </c>
      <c r="CC470" s="100" t="str">
        <f aca="false">IF($BL470&lt;&gt;Constants!$B$4,"",IF(OR(NOT($AL470),$BG470),0,Constants!$B$37))</f>
        <v/>
      </c>
      <c r="CD470" s="100" t="str">
        <f aca="false">IF($BL470&lt;&gt;Constants!$B$4,"",SUM($BX470:$CC470))</f>
        <v/>
      </c>
      <c r="CE470" s="100" t="str">
        <f aca="false">IF(ISBLANK($C470),"",IF($BL470&lt;&gt;Constants!$B$4,$BL470,SUM($BO470:$BW470)-$CD470))</f>
        <v/>
      </c>
      <c r="CF470" s="100" t="str">
        <f aca="false">IF(ISBLANK($C470),"",IF($BL470&lt;&gt;Constants!$B$4,$BL470,RANK($CE470,$CE$9:$CE$508)))</f>
        <v/>
      </c>
      <c r="CG470" s="100" t="str">
        <f aca="false">IF(ISBLANK($C470),"",IF($BL470&lt;&gt;Constants!$B$4,$BL470,COUNTIFS($BM$9:$BM$508,"&lt;"&amp;$BM470)+COUNTIFS($BM$9:$BM$508,$BM470,$CF$9:$CF$508,"&lt;"&amp;$CF470)+1))</f>
        <v/>
      </c>
      <c r="CH470" s="100" t="str">
        <f aca="false">IF(ISBLANK($C470),"",IF($BL470&lt;&gt;Constants!$B$4,$BL470,RANK($CD470,$CD$9:$CD$508,1)))</f>
        <v/>
      </c>
      <c r="CI470" s="100" t="str">
        <f aca="false">IF($BL470&lt;&gt;Constants!$B$4,"",$AN470+$AO470+$AP470)</f>
        <v/>
      </c>
      <c r="CJ470" s="100" t="str">
        <f aca="false">IF(ISBLANK($C470),"",IF($BL470&lt;&gt;Constants!$B$4,$BL470,RANK($CI470,$CI$9:$CI$508,1)))</f>
        <v/>
      </c>
      <c r="CK470" s="100" t="str">
        <f aca="false">IF(ISBLANK($C470),"",IF($BL470&lt;&gt;Constants!$B$4,$BL470,COUNTIFS($BM$9:$BM$508,"&lt;"&amp;$BM470)+COUNTIFS($BM$9:$BM$508,$BM470,$CF$9:$CF$508,"&lt;"&amp;$CF470)+COUNTIFS($BM$9:$BM$508,$BM470,$CF$9:$CF$508,$CF470,$CH$9:$CH$508,"&lt;"&amp;$CH470)+COUNTIFS($BM$9:$BM$508,$BM470,$CF$9:$CF$508,$CF470,$CH$9:$CH$508,$CH470,$CJ$9:$CJ$508,"&lt;"&amp;$CJ470)+1))</f>
        <v/>
      </c>
      <c r="CL470" s="100" t="str">
        <f aca="false">IF(ISBLANK($C470),"",IF($BL470&lt;&gt;Constants!$B$4,$BL470,$CG470-$CK470))</f>
        <v/>
      </c>
      <c r="CM470" s="100" t="str">
        <f aca="false">IF(ISBLANK($C470),"",IF(NOT($AL470),"",IF(ISBLANK($D$7),$CM$5,IF(NOT(ISNUMBER($D$7)),$CM$6,""))))</f>
        <v/>
      </c>
      <c r="CN470" s="100" t="str">
        <f aca="false">IF(ISBLANK($C470),"",OR($AN470="",$AO470="",$AP470=""))</f>
        <v/>
      </c>
      <c r="CO470" s="100" t="str">
        <f aca="false">IF(ISBLANK($C470),"",AND($AL470,$BA470=""))</f>
        <v/>
      </c>
      <c r="CP470" s="100" t="str">
        <f aca="false">IF(ISBLANK($C470),"",AND($AL470,$BB470=""))</f>
        <v/>
      </c>
      <c r="CQ470" s="100" t="str">
        <f aca="false">IF(ISBLANK($C470),"",AND($AL470,$BC470=""))</f>
        <v/>
      </c>
      <c r="CR470" s="100" t="str">
        <f aca="false">IF(ISBLANK($C470),"",AND($AL470,$BF470=""))</f>
        <v/>
      </c>
      <c r="CS470" s="100" t="str">
        <f aca="false">IF(ISBLANK($C470),"",AND($AL470,$BJ470=""))</f>
        <v/>
      </c>
      <c r="CT470" s="101"/>
      <c r="CU470" s="102"/>
      <c r="CV470" s="103" t="str">
        <f aca="false">IF(ISBLANK($C470),"",IF($BL470=Constants!$B$8,$CM470,""))</f>
        <v/>
      </c>
      <c r="CW470" s="102" t="str">
        <f aca="false">IF(ISBLANK($C470),"",IF($BL470&lt;&gt;Constants!$B$4,"",$BO470+$BP470))</f>
        <v/>
      </c>
      <c r="CX470" s="104" t="str">
        <f aca="false">IF(ISBLANK($C470),"",IF($BL470&lt;&gt;Constants!$B$4,"",$BQ470+$BR470+$BS470))</f>
        <v/>
      </c>
      <c r="CY470" s="104" t="str">
        <f aca="false">IF(ISBLANK($C470),"",IF($BL470&lt;&gt;Constants!$B$4,"",$BT470))</f>
        <v/>
      </c>
      <c r="CZ470" s="104" t="str">
        <f aca="false">IF(ISBLANK($C470),"",IF($BL470&lt;&gt;Constants!$B$4,"",$BU470+$BV470))</f>
        <v/>
      </c>
      <c r="DA470" s="104" t="str">
        <f aca="false">IF(ISBLANK($C470),"",IF($BL470&lt;&gt;Constants!$B$4,"",$BW470))</f>
        <v/>
      </c>
      <c r="DB470" s="104" t="str">
        <f aca="false">IF(ISBLANK($C470),"",IF($BL470&lt;&gt;Constants!$B$4,"",-$CD470))</f>
        <v/>
      </c>
      <c r="DC470" s="103" t="str">
        <f aca="false">IF(ISBLANK($C470),"",$CE470)</f>
        <v/>
      </c>
      <c r="DD470" s="105" t="str">
        <f aca="false">IF(ISBLANK($C470),"",$BM470)</f>
        <v/>
      </c>
      <c r="DE470" s="104" t="str">
        <f aca="false">IF(ISBLANK($C470),"",$CL470)</f>
        <v/>
      </c>
      <c r="DF470" s="104" t="str">
        <f aca="false">IF(ISBLANK($C470),"",$CK470)</f>
        <v/>
      </c>
      <c r="DG470" s="106" t="str">
        <f aca="false">IF(ISBLANK($C470),"",IF($DF470=Constants!$B$7,COUNTA($C$9:$C$508)+2,IF($DF470=Constants!$B$6,COUNTA($C$9:$C$508)+1,IF($DF470=Constants!$B$5,COUNTA($C$9:$C$508),$DF470))))</f>
        <v/>
      </c>
      <c r="DH470" s="7"/>
      <c r="DI470" s="107" t="n">
        <f aca="false">IF(OR(ISNUMBER($DF470),$DF470=Constants!$B$7,$DF470=Constants!$B$5,$DF470=Constants!$B$6),1,0)</f>
        <v>0</v>
      </c>
      <c r="DJ470" s="107" t="n">
        <v>462</v>
      </c>
      <c r="DK470" s="107" t="str">
        <f aca="false">IF(ISBLANK($C470),"",IF(ISNUMBER($DG470),$DG470+ROW($B470)/1000,""))</f>
        <v/>
      </c>
      <c r="DL470" s="107" t="str">
        <f aca="false">IF(ISNUMBER($DK470),RANK($DK470,$DK$9:$DK$508,1),"")</f>
        <v/>
      </c>
      <c r="DM470" s="107" t="str">
        <f aca="false">IF(ISBLANK($C470),"",$B470)</f>
        <v/>
      </c>
      <c r="DN470" s="107" t="str">
        <f aca="false">IF(ISBLANK($C470),"",$C470)</f>
        <v/>
      </c>
      <c r="DO470" s="107" t="str">
        <f aca="false">IF(ISBLANK($C470),"",$D470)</f>
        <v/>
      </c>
      <c r="DP470" s="108" t="str">
        <f aca="false">$DD470</f>
        <v/>
      </c>
      <c r="DQ470" s="109" t="str">
        <f aca="false">$DC470</f>
        <v/>
      </c>
      <c r="DR470" s="107" t="str">
        <f aca="false">IF(ISBLANK($C470),"",$DF470)</f>
        <v/>
      </c>
      <c r="DS470" s="110" t="str">
        <f aca="false">IF($DJ470&gt;$DI$8,"",VLOOKUP($DJ470,$DL$9:$DR$508,7,FALSE()))</f>
        <v/>
      </c>
      <c r="DT470" s="111" t="str">
        <f aca="false">IF($DJ470&gt;$DI$8,"",VLOOKUP($DJ470,$DL$9:$DR$508,2,FALSE()))</f>
        <v/>
      </c>
      <c r="DU470" s="111" t="str">
        <f aca="false">IF($DJ470&gt;$DI$8,"",VLOOKUP($DJ470,$DL$9:$DR$508,3,FALSE()))</f>
        <v/>
      </c>
      <c r="DV470" s="111" t="str">
        <f aca="false">IF($DJ470&gt;$DI$8,"",VLOOKUP($DJ470,$DL$9:$DR$508,4,FALSE()))</f>
        <v/>
      </c>
      <c r="DW470" s="111" t="str">
        <f aca="false">IF($DJ470&gt;$DI$8,"",VLOOKUP($DJ470,$DL$9:$DR$508,5,FALSE()))</f>
        <v/>
      </c>
      <c r="DX470" s="112" t="str">
        <f aca="false">IF($DJ470&gt;$DI$8,"",VLOOKUP($DJ470,$DL$9:$DR$508,6,FALSE()))</f>
        <v/>
      </c>
      <c r="DY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88"/>
      <c r="N471" s="88"/>
      <c r="O471" s="134"/>
      <c r="P471" s="134"/>
      <c r="Q471" s="88"/>
      <c r="R471" s="88"/>
      <c r="S471" s="88"/>
      <c r="T471" s="88"/>
      <c r="U471" s="134"/>
      <c r="V471" s="88"/>
      <c r="W471" s="70"/>
      <c r="X471" s="88"/>
      <c r="Y471" s="88"/>
      <c r="Z471" s="70"/>
      <c r="AA471" s="70"/>
      <c r="AB471" s="88"/>
      <c r="AC471" s="88"/>
      <c r="AD471" s="88"/>
      <c r="AE471" s="71"/>
      <c r="AF471" s="88"/>
      <c r="AG471" s="73"/>
      <c r="AH471" s="74"/>
      <c r="AI471" s="74"/>
      <c r="AJ471" s="74" t="str">
        <f aca="false">IF(ISBLANK($C471),"",IF($E471=Constants!$B$2,TRUE(),IF($E471=Constants!$B$3,FALSE(),TRUE())))</f>
        <v/>
      </c>
      <c r="AK471" s="74" t="str">
        <f aca="false">IF(ISBLANK($C471),"",IF($F471=Constants!$B$2,TRUE(),IF($F471=Constants!$B$3,FALSE(),FALSE())))</f>
        <v/>
      </c>
      <c r="AL471" s="74" t="str">
        <f aca="false">IF(ISBLANK($C471),"",IF($G471=Constants!$B$2,TRUE(),IF($G471=Constants!$B$3,FALSE(),TRUE())))</f>
        <v/>
      </c>
      <c r="AM471" s="74" t="str">
        <f aca="false">IF(ISBLANK($C471),"",IF($H471=Constants!$B$2,TRUE(),IF($H471=Constants!$B$3,FALSE(),TRUE())))</f>
        <v/>
      </c>
      <c r="AN471" s="74" t="str">
        <f aca="false">IF(ISBLANK($C471),"",IF(ISNUMBER($I471),IF($I471&gt;=0,$I471,""),""))</f>
        <v/>
      </c>
      <c r="AO471" s="74" t="str">
        <f aca="false">IF(ISBLANK($C471),"",IF(ISNUMBER($J471),IF($J471&gt;=0,$J471,""),""))</f>
        <v/>
      </c>
      <c r="AP471" s="74" t="str">
        <f aca="false">IF(ISBLANK($C471),"",IF(ISNUMBER($K471),IF($K471&gt;=0,$K471,""),""))</f>
        <v/>
      </c>
      <c r="AQ471" s="74" t="str">
        <f aca="false">IF(ISBLANK($C471),"",IF($L471=Constants!$B$2,TRUE(),IF($L471=Constants!$B$3,FALSE(),TRUE())))</f>
        <v/>
      </c>
      <c r="AR471" s="74" t="str">
        <f aca="false">IF(ISBLANK($C471),"",IF($M471=Constants!$B$2,TRUE(),IF($M471=Constants!$B$3,FALSE(),TRUE())))</f>
        <v/>
      </c>
      <c r="AS471" s="74" t="str">
        <f aca="false">IF(ISBLANK($C471),"",IF($N471=Constants!$B$2,TRUE(),IF($N471=Constants!$B$3,FALSE(),FALSE())))</f>
        <v/>
      </c>
      <c r="AT471" s="74" t="str">
        <f aca="false">IF(ISBLANK($C471),"",IF($O471=Constants!$B$2,TRUE(),IF($O471=Constants!$B$3,FALSE(),TRUE())))</f>
        <v/>
      </c>
      <c r="AU471" s="74" t="str">
        <f aca="false">IF(ISBLANK($C471),"",IF($P471=Constants!$B$2,TRUE(),IF($P471=Constants!$B$3,FALSE(),TRUE())))</f>
        <v/>
      </c>
      <c r="AV471" s="74" t="str">
        <f aca="false">IF(ISBLANK($C471),"",IF($Q471=Constants!$B$2,TRUE(),IF($Q471=Constants!$B$3,FALSE(),FALSE())))</f>
        <v/>
      </c>
      <c r="AW471" s="74" t="str">
        <f aca="false">IF(ISBLANK($C471),"",IF($R471=Constants!$B$2,TRUE(),IF($R471=Constants!$B$3,FALSE(),FALSE())))</f>
        <v/>
      </c>
      <c r="AX471" s="74" t="str">
        <f aca="false">IF(ISBLANK($C471),"",IF($S471=Constants!$B$2,TRUE(),IF($S471=Constants!$B$3,FALSE(),FALSE())))</f>
        <v/>
      </c>
      <c r="AY471" s="74" t="str">
        <f aca="false">IF(ISBLANK($C471),"",IF($T471=Constants!$B$2,TRUE(),IF($T471=Constants!$B$3,FALSE(),FALSE())))</f>
        <v/>
      </c>
      <c r="AZ471" s="74" t="str">
        <f aca="false">IF(ISBLANK($C471),"",IF($U471=Constants!$B$2,TRUE(),IF($U471=Constants!$B$3,FALSE(),FALSE())))</f>
        <v/>
      </c>
      <c r="BA471" s="74" t="str">
        <f aca="false">IF(ISBLANK($C471),"",IF(OR($V471&amp;""="1",$V471&amp;""="2",$V471&amp;""="3",$V471&amp;""="4"),VALUE($V471&amp;""),IF($V471=Constants!$B$12,Constants!$B$12,"")))</f>
        <v/>
      </c>
      <c r="BB471" s="74" t="str">
        <f aca="false">IF(ISBLANK($C471),"",IF(ISBLANK($W471),0,IF(ISNUMBER($W471),IF(AND($W471&gt;=0,$W471&lt;=Constants!$B$21,$W471=INT($W471)),$W471,""),"")))</f>
        <v/>
      </c>
      <c r="BC471" s="74" t="str">
        <f aca="false">IF(ISBLANK($C471),"",IF(ISBLANK($X471),0,IF(ISNUMBER($X471),IF($X471&gt;=0,$X471,""),"")))</f>
        <v/>
      </c>
      <c r="BD471" s="74" t="str">
        <f aca="false">IF(ISBLANK($C471),"",IF($Y471=Constants!$B$2,TRUE(),IF($Y471=Constants!$B$3,FALSE(),TRUE())))</f>
        <v/>
      </c>
      <c r="BE471" s="74" t="str">
        <f aca="false">IF(ISBLANK($C471),"",IF($Z471=Constants!$B$2,TRUE(),IF($Z471=Constants!$B$3,FALSE(),FALSE())))</f>
        <v/>
      </c>
      <c r="BF471" s="74" t="str">
        <f aca="false">IF(ISBLANK($C471),"",IF(ISBLANK($AA471),0,IF(ISNUMBER($AA471),IF(AND($AA471&gt;=0,$AA471&lt;=Constants!$B$35,$AA471=INT($AA471)),$AA471,""),"")))</f>
        <v/>
      </c>
      <c r="BG471" s="74" t="str">
        <f aca="false">IF(ISBLANK($C471),"",IF($AB471=Constants!$B$2,TRUE(),IF($AB471=Constants!$B$3,FALSE(),TRUE())))</f>
        <v/>
      </c>
      <c r="BH471" s="74" t="str">
        <f aca="false">IF(ISBLANK($C471),"",IF($AC471=Constants!$B$2,TRUE(),IF($AC471=Constants!$B$3,FALSE(),TRUE())))</f>
        <v/>
      </c>
      <c r="BI471" s="74" t="str">
        <f aca="false">IF(ISBLANK($C471),"",IF($AD471=Constants!$B$2,TRUE(),IF($AD471=Constants!$B$3,FALSE(),TRUE())))</f>
        <v/>
      </c>
      <c r="BJ471" s="74" t="str">
        <f aca="false">IF(ISBLANK($C471),"",IF(ISNUMBER($AE471),IF($AE471&gt;=0,$AE471,""),""))</f>
        <v/>
      </c>
      <c r="BK471" s="74" t="str">
        <f aca="false">IF(ISBLANK($C471),"",IF($AF471=Constants!$B$2,TRUE(),IF($AF471=Constants!$B$3,FALSE(),FALSE())))</f>
        <v/>
      </c>
      <c r="BL471" s="73" t="str">
        <f aca="false">IF(ISBLANK($C471),"",IF($BK471,Constants!$B$7,IF(COUNTA($E471:$AE471)=0,Constants!$B$6,IF(OR(COUNTA($G471:$AE471)=0,NOT($AM471),$AS471),Constants!$B$5,IF(OR($CM471&lt;&gt;"",$CN471,$CO471,$CP471,$CQ471,$CR471,$CS471),Constants!$B$8,Constants!$B$4)))))</f>
        <v/>
      </c>
      <c r="BM471" s="74" t="str">
        <f aca="false">IF(ISBLANK($C471),"",IF($BL471&lt;&gt;Constants!$B$4,$BL471,IF(OR(NOT($AJ471),NOT($AL471),NOT($AT471)),Constants!$B$11,IF(OR(NOT($AR471),NOT($AU471),NOT($BI471),MAX($AN471,$AO471,$AP471)&gt;Constants!$B$30),Constants!$B$10,Constants!$B$9))))</f>
        <v/>
      </c>
      <c r="BN471" s="74" t="str">
        <f aca="false">IF($BL471&lt;&gt;Constants!$B$4,"",IF(NOT($AL471),0,MIN(Constants!$B$35,$BF471)))</f>
        <v/>
      </c>
      <c r="BO471" s="74" t="str">
        <f aca="false">IF($BL471&lt;&gt;Constants!$B$4,"",IF(NOT($AL471),0,IF($AW471,Constants!$B$18,IF($AV471,Constants!$B$17,0))))</f>
        <v/>
      </c>
      <c r="BP471" s="74" t="str">
        <f aca="false">IF($BL471&lt;&gt;Constants!$B$4,"",IF(NOT($AL471),0,Constants!$B$19*($AK471+$AX471+$AY471+$AZ471)))</f>
        <v/>
      </c>
      <c r="BQ471" s="74" t="str">
        <f aca="false">IF($BL471&lt;&gt;Constants!$B$4,"",IF(OR(NOT($AL471),NOT(ISNUMBER($BA471))),0,CHOOSE($BA471,Constants!$B$13,Constants!$B$14,Constants!$B$15,Constants!$B$16)))</f>
        <v/>
      </c>
      <c r="BR471" s="74" t="str">
        <f aca="false">IF($BL471&lt;&gt;Constants!$B$4,"",IF(NOT($AL471),0,Constants!$B$20*$BB471))</f>
        <v/>
      </c>
      <c r="BS471" s="74" t="str">
        <f aca="false">IF($BL471&lt;&gt;Constants!$B$4,"",IF(AND($AL471,$BD471,$BE471),Constants!$B$22,0))</f>
        <v/>
      </c>
      <c r="BT471" s="74" t="str">
        <f aca="false">IF($BL471&lt;&gt;Constants!$B$4,"",IF(OR(NOT($AL471),NOT($BD471)),0,IF($BJ471&gt;=2*$AH$9,0,Constants!$B$23*INT(ROUND(MIN($BJ471,$AH$9),6)))))</f>
        <v/>
      </c>
      <c r="BU471" s="74" t="str">
        <f aca="false">IF($BL471&lt;&gt;Constants!$B$4,"",IF(NOT($AL471),0,Constants!$B$24*INT(ROUND(MIN($BC471,$AH$9),6))))</f>
        <v/>
      </c>
      <c r="BV471" s="74" t="str">
        <f aca="false">IF($BL471&lt;&gt;Constants!$B$4,"",IF(AND($AL471,$BN471=0),Constants!$B$25,0))</f>
        <v/>
      </c>
      <c r="BW471" s="74" t="str">
        <f aca="false">IF($BL471&lt;&gt;Constants!$B$4,"",MIN(Constants!$B$29,MAX(0,Constants!$B$27*Constants!$B$28*INT(ROUND((Constants!$B$26-$AN471)/Constants!$B$28,6))))+MIN(Constants!$B$29,MAX(0,Constants!$B$27*Constants!$B$28*INT(ROUND((Constants!$B$26-$AO471)/Constants!$B$28,6))))+MIN(Constants!$B$29,MAX(0,Constants!$B$27*Constants!$B$28*INT(ROUND((Constants!$B$26-$AP471)/Constants!$B$28,6)))))</f>
        <v/>
      </c>
      <c r="BX471" s="74" t="str">
        <f aca="false">IF($BL471&lt;&gt;Constants!$B$4,"",IF(NOT($AL471),0,Constants!$B$31*INT(ROUND(MAX(0,MIN($BJ471,2*$AH$9)-$AH$9),6))))</f>
        <v/>
      </c>
      <c r="BY471" s="74" t="str">
        <f aca="false">IF($BL471&lt;&gt;Constants!$B$4,"",Constants!$B$32*(($AN471&gt;Constants!$B$26)+($AO471&gt;Constants!$B$26)+($AP471&gt;Constants!$B$26)))</f>
        <v/>
      </c>
      <c r="BZ471" s="74" t="str">
        <f aca="false">IF($BL471&lt;&gt;Constants!$B$4,"",IF(OR(NOT($AL471),$AQ471),0,Constants!$B$33))</f>
        <v/>
      </c>
      <c r="CA471" s="74" t="str">
        <f aca="false">IF($BL471&lt;&gt;Constants!$B$4,"",Constants!$B$34*$BN471)</f>
        <v/>
      </c>
      <c r="CB471" s="74" t="str">
        <f aca="false">IF($BL471&lt;&gt;Constants!$B$4,"",IF(OR(NOT($AL471),$BH471),0,Constants!$B$36))</f>
        <v/>
      </c>
      <c r="CC471" s="74" t="str">
        <f aca="false">IF($BL471&lt;&gt;Constants!$B$4,"",IF(OR(NOT($AL471),$BG471),0,Constants!$B$37))</f>
        <v/>
      </c>
      <c r="CD471" s="74" t="str">
        <f aca="false">IF($BL471&lt;&gt;Constants!$B$4,"",SUM($BX471:$CC471))</f>
        <v/>
      </c>
      <c r="CE471" s="74" t="str">
        <f aca="false">IF(ISBLANK($C471),"",IF($BL471&lt;&gt;Constants!$B$4,$BL471,SUM($BO471:$BW471)-$CD471))</f>
        <v/>
      </c>
      <c r="CF471" s="74" t="str">
        <f aca="false">IF(ISBLANK($C471),"",IF($BL471&lt;&gt;Constants!$B$4,$BL471,RANK($CE471,$CE$9:$CE$508)))</f>
        <v/>
      </c>
      <c r="CG471" s="74" t="str">
        <f aca="false">IF(ISBLANK($C471),"",IF($BL471&lt;&gt;Constants!$B$4,$BL471,COUNTIFS($BM$9:$BM$508,"&lt;"&amp;$BM471)+COUNTIFS($BM$9:$BM$508,$BM471,$CF$9:$CF$508,"&lt;"&amp;$CF471)+1))</f>
        <v/>
      </c>
      <c r="CH471" s="74" t="str">
        <f aca="false">IF(ISBLANK($C471),"",IF($BL471&lt;&gt;Constants!$B$4,$BL471,RANK($CD471,$CD$9:$CD$508,1)))</f>
        <v/>
      </c>
      <c r="CI471" s="74" t="str">
        <f aca="false">IF($BL471&lt;&gt;Constants!$B$4,"",$AN471+$AO471+$AP471)</f>
        <v/>
      </c>
      <c r="CJ471" s="74" t="str">
        <f aca="false">IF(ISBLANK($C471),"",IF($BL471&lt;&gt;Constants!$B$4,$BL471,RANK($CI471,$CI$9:$CI$508,1)))</f>
        <v/>
      </c>
      <c r="CK471" s="74" t="str">
        <f aca="false">IF(ISBLANK($C471),"",IF($BL471&lt;&gt;Constants!$B$4,$BL471,COUNTIFS($BM$9:$BM$508,"&lt;"&amp;$BM471)+COUNTIFS($BM$9:$BM$508,$BM471,$CF$9:$CF$508,"&lt;"&amp;$CF471)+COUNTIFS($BM$9:$BM$508,$BM471,$CF$9:$CF$508,$CF471,$CH$9:$CH$508,"&lt;"&amp;$CH471)+COUNTIFS($BM$9:$BM$508,$BM471,$CF$9:$CF$508,$CF471,$CH$9:$CH$508,$CH471,$CJ$9:$CJ$508,"&lt;"&amp;$CJ471)+1))</f>
        <v/>
      </c>
      <c r="CL471" s="74" t="str">
        <f aca="false">IF(ISBLANK($C471),"",IF($BL471&lt;&gt;Constants!$B$4,$BL471,$CG471-$CK471))</f>
        <v/>
      </c>
      <c r="CM471" s="74" t="str">
        <f aca="false">IF(ISBLANK($C471),"",IF(NOT($AL471),"",IF(ISBLANK($D$7),$CM$5,IF(NOT(ISNUMBER($D$7)),$CM$6,""))))</f>
        <v/>
      </c>
      <c r="CN471" s="74" t="str">
        <f aca="false">IF(ISBLANK($C471),"",OR($AN471="",$AO471="",$AP471=""))</f>
        <v/>
      </c>
      <c r="CO471" s="74" t="str">
        <f aca="false">IF(ISBLANK($C471),"",AND($AL471,$BA471=""))</f>
        <v/>
      </c>
      <c r="CP471" s="74" t="str">
        <f aca="false">IF(ISBLANK($C471),"",AND($AL471,$BB471=""))</f>
        <v/>
      </c>
      <c r="CQ471" s="74" t="str">
        <f aca="false">IF(ISBLANK($C471),"",AND($AL471,$BC471=""))</f>
        <v/>
      </c>
      <c r="CR471" s="74" t="str">
        <f aca="false">IF(ISBLANK($C471),"",AND($AL471,$BF471=""))</f>
        <v/>
      </c>
      <c r="CS471" s="74" t="str">
        <f aca="false">IF(ISBLANK($C471),"",AND($AL471,$BJ471=""))</f>
        <v/>
      </c>
      <c r="CT471" s="75"/>
      <c r="CU471" s="76"/>
      <c r="CV471" s="79" t="str">
        <f aca="false">IF(ISBLANK($C471),"",IF($BL471=Constants!$B$8,$CM471,""))</f>
        <v/>
      </c>
      <c r="CW471" s="76" t="str">
        <f aca="false">IF(ISBLANK($C471),"",IF($BL471&lt;&gt;Constants!$B$4,"",$BO471+$BP471))</f>
        <v/>
      </c>
      <c r="CX471" s="78" t="str">
        <f aca="false">IF(ISBLANK($C471),"",IF($BL471&lt;&gt;Constants!$B$4,"",$BQ471+$BR471+$BS471))</f>
        <v/>
      </c>
      <c r="CY471" s="78" t="str">
        <f aca="false">IF(ISBLANK($C471),"",IF($BL471&lt;&gt;Constants!$B$4,"",$BT471))</f>
        <v/>
      </c>
      <c r="CZ471" s="78" t="str">
        <f aca="false">IF(ISBLANK($C471),"",IF($BL471&lt;&gt;Constants!$B$4,"",$BU471+$BV471))</f>
        <v/>
      </c>
      <c r="DA471" s="78" t="str">
        <f aca="false">IF(ISBLANK($C471),"",IF($BL471&lt;&gt;Constants!$B$4,"",$BW471))</f>
        <v/>
      </c>
      <c r="DB471" s="78" t="str">
        <f aca="false">IF(ISBLANK($C471),"",IF($BL471&lt;&gt;Constants!$B$4,"",-$CD471))</f>
        <v/>
      </c>
      <c r="DC471" s="79" t="str">
        <f aca="false">IF(ISBLANK($C471),"",$CE471)</f>
        <v/>
      </c>
      <c r="DD471" s="80" t="str">
        <f aca="false">IF(ISBLANK($C471),"",$BM471)</f>
        <v/>
      </c>
      <c r="DE471" s="78" t="str">
        <f aca="false">IF(ISBLANK($C471),"",$CL471)</f>
        <v/>
      </c>
      <c r="DF471" s="78" t="str">
        <f aca="false">IF(ISBLANK($C471),"",$CK471)</f>
        <v/>
      </c>
      <c r="DG471" s="81" t="str">
        <f aca="false">IF(ISBLANK($C471),"",IF($DF471=Constants!$B$7,COUNTA($C$9:$C$508)+2,IF($DF471=Constants!$B$6,COUNTA($C$9:$C$508)+1,IF($DF471=Constants!$B$5,COUNTA($C$9:$C$508),$DF471))))</f>
        <v/>
      </c>
      <c r="DH471" s="7"/>
      <c r="DI471" s="82" t="n">
        <f aca="false">IF(OR(ISNUMBER($DF471),$DF471=Constants!$B$7,$DF471=Constants!$B$5,$DF471=Constants!$B$6),1,0)</f>
        <v>0</v>
      </c>
      <c r="DJ471" s="82" t="n">
        <v>463</v>
      </c>
      <c r="DK471" s="82" t="str">
        <f aca="false">IF(ISBLANK($C471),"",IF(ISNUMBER($DG471),$DG471+ROW($B471)/1000,""))</f>
        <v/>
      </c>
      <c r="DL471" s="82" t="str">
        <f aca="false">IF(ISNUMBER($DK471),RANK($DK471,$DK$9:$DK$508,1),"")</f>
        <v/>
      </c>
      <c r="DM471" s="82" t="str">
        <f aca="false">IF(ISBLANK($C471),"",$B471)</f>
        <v/>
      </c>
      <c r="DN471" s="82" t="str">
        <f aca="false">IF(ISBLANK($C471),"",$C471)</f>
        <v/>
      </c>
      <c r="DO471" s="82" t="str">
        <f aca="false">IF(ISBLANK($C471),"",$D471)</f>
        <v/>
      </c>
      <c r="DP471" s="83" t="str">
        <f aca="false">$DD471</f>
        <v/>
      </c>
      <c r="DQ471" s="84" t="str">
        <f aca="false">$DC471</f>
        <v/>
      </c>
      <c r="DR471" s="82" t="str">
        <f aca="false">IF(ISBLANK($C471),"",$DF471)</f>
        <v/>
      </c>
      <c r="DS471" s="85" t="str">
        <f aca="false">IF($DJ471&gt;$DI$8,"",VLOOKUP($DJ471,$DL$9:$DR$508,7,FALSE()))</f>
        <v/>
      </c>
      <c r="DT471" s="86" t="str">
        <f aca="false">IF($DJ471&gt;$DI$8,"",VLOOKUP($DJ471,$DL$9:$DR$508,2,FALSE()))</f>
        <v/>
      </c>
      <c r="DU471" s="86" t="str">
        <f aca="false">IF($DJ471&gt;$DI$8,"",VLOOKUP($DJ471,$DL$9:$DR$508,3,FALSE()))</f>
        <v/>
      </c>
      <c r="DV471" s="86" t="str">
        <f aca="false">IF($DJ471&gt;$DI$8,"",VLOOKUP($DJ471,$DL$9:$DR$508,4,FALSE()))</f>
        <v/>
      </c>
      <c r="DW471" s="86" t="str">
        <f aca="false">IF($DJ471&gt;$DI$8,"",VLOOKUP($DJ471,$DL$9:$DR$508,5,FALSE()))</f>
        <v/>
      </c>
      <c r="DX471" s="87" t="str">
        <f aca="false">IF($DJ471&gt;$DI$8,"",VLOOKUP($DJ471,$DL$9:$DR$508,6,FALSE()))</f>
        <v/>
      </c>
      <c r="DY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88"/>
      <c r="N472" s="88"/>
      <c r="O472" s="134"/>
      <c r="P472" s="134"/>
      <c r="Q472" s="88"/>
      <c r="R472" s="88"/>
      <c r="S472" s="88"/>
      <c r="T472" s="88"/>
      <c r="U472" s="134"/>
      <c r="V472" s="88"/>
      <c r="W472" s="70"/>
      <c r="X472" s="88"/>
      <c r="Y472" s="88"/>
      <c r="Z472" s="70"/>
      <c r="AA472" s="70"/>
      <c r="AB472" s="88"/>
      <c r="AC472" s="88"/>
      <c r="AD472" s="88"/>
      <c r="AE472" s="71"/>
      <c r="AF472" s="88"/>
      <c r="AG472" s="73"/>
      <c r="AH472" s="74"/>
      <c r="AI472" s="74"/>
      <c r="AJ472" s="74" t="str">
        <f aca="false">IF(ISBLANK($C472),"",IF($E472=Constants!$B$2,TRUE(),IF($E472=Constants!$B$3,FALSE(),TRUE())))</f>
        <v/>
      </c>
      <c r="AK472" s="74" t="str">
        <f aca="false">IF(ISBLANK($C472),"",IF($F472=Constants!$B$2,TRUE(),IF($F472=Constants!$B$3,FALSE(),FALSE())))</f>
        <v/>
      </c>
      <c r="AL472" s="74" t="str">
        <f aca="false">IF(ISBLANK($C472),"",IF($G472=Constants!$B$2,TRUE(),IF($G472=Constants!$B$3,FALSE(),TRUE())))</f>
        <v/>
      </c>
      <c r="AM472" s="74" t="str">
        <f aca="false">IF(ISBLANK($C472),"",IF($H472=Constants!$B$2,TRUE(),IF($H472=Constants!$B$3,FALSE(),TRUE())))</f>
        <v/>
      </c>
      <c r="AN472" s="74" t="str">
        <f aca="false">IF(ISBLANK($C472),"",IF(ISNUMBER($I472),IF($I472&gt;=0,$I472,""),""))</f>
        <v/>
      </c>
      <c r="AO472" s="74" t="str">
        <f aca="false">IF(ISBLANK($C472),"",IF(ISNUMBER($J472),IF($J472&gt;=0,$J472,""),""))</f>
        <v/>
      </c>
      <c r="AP472" s="74" t="str">
        <f aca="false">IF(ISBLANK($C472),"",IF(ISNUMBER($K472),IF($K472&gt;=0,$K472,""),""))</f>
        <v/>
      </c>
      <c r="AQ472" s="74" t="str">
        <f aca="false">IF(ISBLANK($C472),"",IF($L472=Constants!$B$2,TRUE(),IF($L472=Constants!$B$3,FALSE(),TRUE())))</f>
        <v/>
      </c>
      <c r="AR472" s="74" t="str">
        <f aca="false">IF(ISBLANK($C472),"",IF($M472=Constants!$B$2,TRUE(),IF($M472=Constants!$B$3,FALSE(),TRUE())))</f>
        <v/>
      </c>
      <c r="AS472" s="74" t="str">
        <f aca="false">IF(ISBLANK($C472),"",IF($N472=Constants!$B$2,TRUE(),IF($N472=Constants!$B$3,FALSE(),FALSE())))</f>
        <v/>
      </c>
      <c r="AT472" s="74" t="str">
        <f aca="false">IF(ISBLANK($C472),"",IF($O472=Constants!$B$2,TRUE(),IF($O472=Constants!$B$3,FALSE(),TRUE())))</f>
        <v/>
      </c>
      <c r="AU472" s="74" t="str">
        <f aca="false">IF(ISBLANK($C472),"",IF($P472=Constants!$B$2,TRUE(),IF($P472=Constants!$B$3,FALSE(),TRUE())))</f>
        <v/>
      </c>
      <c r="AV472" s="74" t="str">
        <f aca="false">IF(ISBLANK($C472),"",IF($Q472=Constants!$B$2,TRUE(),IF($Q472=Constants!$B$3,FALSE(),FALSE())))</f>
        <v/>
      </c>
      <c r="AW472" s="74" t="str">
        <f aca="false">IF(ISBLANK($C472),"",IF($R472=Constants!$B$2,TRUE(),IF($R472=Constants!$B$3,FALSE(),FALSE())))</f>
        <v/>
      </c>
      <c r="AX472" s="74" t="str">
        <f aca="false">IF(ISBLANK($C472),"",IF($S472=Constants!$B$2,TRUE(),IF($S472=Constants!$B$3,FALSE(),FALSE())))</f>
        <v/>
      </c>
      <c r="AY472" s="74" t="str">
        <f aca="false">IF(ISBLANK($C472),"",IF($T472=Constants!$B$2,TRUE(),IF($T472=Constants!$B$3,FALSE(),FALSE())))</f>
        <v/>
      </c>
      <c r="AZ472" s="74" t="str">
        <f aca="false">IF(ISBLANK($C472),"",IF($U472=Constants!$B$2,TRUE(),IF($U472=Constants!$B$3,FALSE(),FALSE())))</f>
        <v/>
      </c>
      <c r="BA472" s="74" t="str">
        <f aca="false">IF(ISBLANK($C472),"",IF(OR($V472&amp;""="1",$V472&amp;""="2",$V472&amp;""="3",$V472&amp;""="4"),VALUE($V472&amp;""),IF($V472=Constants!$B$12,Constants!$B$12,"")))</f>
        <v/>
      </c>
      <c r="BB472" s="74" t="str">
        <f aca="false">IF(ISBLANK($C472),"",IF(ISBLANK($W472),0,IF(ISNUMBER($W472),IF(AND($W472&gt;=0,$W472&lt;=Constants!$B$21,$W472=INT($W472)),$W472,""),"")))</f>
        <v/>
      </c>
      <c r="BC472" s="74" t="str">
        <f aca="false">IF(ISBLANK($C472),"",IF(ISBLANK($X472),0,IF(ISNUMBER($X472),IF($X472&gt;=0,$X472,""),"")))</f>
        <v/>
      </c>
      <c r="BD472" s="74" t="str">
        <f aca="false">IF(ISBLANK($C472),"",IF($Y472=Constants!$B$2,TRUE(),IF($Y472=Constants!$B$3,FALSE(),TRUE())))</f>
        <v/>
      </c>
      <c r="BE472" s="74" t="str">
        <f aca="false">IF(ISBLANK($C472),"",IF($Z472=Constants!$B$2,TRUE(),IF($Z472=Constants!$B$3,FALSE(),FALSE())))</f>
        <v/>
      </c>
      <c r="BF472" s="74" t="str">
        <f aca="false">IF(ISBLANK($C472),"",IF(ISBLANK($AA472),0,IF(ISNUMBER($AA472),IF(AND($AA472&gt;=0,$AA472&lt;=Constants!$B$35,$AA472=INT($AA472)),$AA472,""),"")))</f>
        <v/>
      </c>
      <c r="BG472" s="74" t="str">
        <f aca="false">IF(ISBLANK($C472),"",IF($AB472=Constants!$B$2,TRUE(),IF($AB472=Constants!$B$3,FALSE(),TRUE())))</f>
        <v/>
      </c>
      <c r="BH472" s="74" t="str">
        <f aca="false">IF(ISBLANK($C472),"",IF($AC472=Constants!$B$2,TRUE(),IF($AC472=Constants!$B$3,FALSE(),TRUE())))</f>
        <v/>
      </c>
      <c r="BI472" s="74" t="str">
        <f aca="false">IF(ISBLANK($C472),"",IF($AD472=Constants!$B$2,TRUE(),IF($AD472=Constants!$B$3,FALSE(),TRUE())))</f>
        <v/>
      </c>
      <c r="BJ472" s="74" t="str">
        <f aca="false">IF(ISBLANK($C472),"",IF(ISNUMBER($AE472),IF($AE472&gt;=0,$AE472,""),""))</f>
        <v/>
      </c>
      <c r="BK472" s="74" t="str">
        <f aca="false">IF(ISBLANK($C472),"",IF($AF472=Constants!$B$2,TRUE(),IF($AF472=Constants!$B$3,FALSE(),FALSE())))</f>
        <v/>
      </c>
      <c r="BL472" s="73" t="str">
        <f aca="false">IF(ISBLANK($C472),"",IF($BK472,Constants!$B$7,IF(COUNTA($E472:$AE472)=0,Constants!$B$6,IF(OR(COUNTA($G472:$AE472)=0,NOT($AM472),$AS472),Constants!$B$5,IF(OR($CM472&lt;&gt;"",$CN472,$CO472,$CP472,$CQ472,$CR472,$CS472),Constants!$B$8,Constants!$B$4)))))</f>
        <v/>
      </c>
      <c r="BM472" s="74" t="str">
        <f aca="false">IF(ISBLANK($C472),"",IF($BL472&lt;&gt;Constants!$B$4,$BL472,IF(OR(NOT($AJ472),NOT($AL472),NOT($AT472)),Constants!$B$11,IF(OR(NOT($AR472),NOT($AU472),NOT($BI472),MAX($AN472,$AO472,$AP472)&gt;Constants!$B$30),Constants!$B$10,Constants!$B$9))))</f>
        <v/>
      </c>
      <c r="BN472" s="74" t="str">
        <f aca="false">IF($BL472&lt;&gt;Constants!$B$4,"",IF(NOT($AL472),0,MIN(Constants!$B$35,$BF472)))</f>
        <v/>
      </c>
      <c r="BO472" s="74" t="str">
        <f aca="false">IF($BL472&lt;&gt;Constants!$B$4,"",IF(NOT($AL472),0,IF($AW472,Constants!$B$18,IF($AV472,Constants!$B$17,0))))</f>
        <v/>
      </c>
      <c r="BP472" s="74" t="str">
        <f aca="false">IF($BL472&lt;&gt;Constants!$B$4,"",IF(NOT($AL472),0,Constants!$B$19*($AK472+$AX472+$AY472+$AZ472)))</f>
        <v/>
      </c>
      <c r="BQ472" s="74" t="str">
        <f aca="false">IF($BL472&lt;&gt;Constants!$B$4,"",IF(OR(NOT($AL472),NOT(ISNUMBER($BA472))),0,CHOOSE($BA472,Constants!$B$13,Constants!$B$14,Constants!$B$15,Constants!$B$16)))</f>
        <v/>
      </c>
      <c r="BR472" s="74" t="str">
        <f aca="false">IF($BL472&lt;&gt;Constants!$B$4,"",IF(NOT($AL472),0,Constants!$B$20*$BB472))</f>
        <v/>
      </c>
      <c r="BS472" s="74" t="str">
        <f aca="false">IF($BL472&lt;&gt;Constants!$B$4,"",IF(AND($AL472,$BD472,$BE472),Constants!$B$22,0))</f>
        <v/>
      </c>
      <c r="BT472" s="74" t="str">
        <f aca="false">IF($BL472&lt;&gt;Constants!$B$4,"",IF(OR(NOT($AL472),NOT($BD472)),0,IF($BJ472&gt;=2*$AH$9,0,Constants!$B$23*INT(ROUND(MIN($BJ472,$AH$9),6)))))</f>
        <v/>
      </c>
      <c r="BU472" s="74" t="str">
        <f aca="false">IF($BL472&lt;&gt;Constants!$B$4,"",IF(NOT($AL472),0,Constants!$B$24*INT(ROUND(MIN($BC472,$AH$9),6))))</f>
        <v/>
      </c>
      <c r="BV472" s="74" t="str">
        <f aca="false">IF($BL472&lt;&gt;Constants!$B$4,"",IF(AND($AL472,$BN472=0),Constants!$B$25,0))</f>
        <v/>
      </c>
      <c r="BW472" s="74" t="str">
        <f aca="false">IF($BL472&lt;&gt;Constants!$B$4,"",MIN(Constants!$B$29,MAX(0,Constants!$B$27*Constants!$B$28*INT(ROUND((Constants!$B$26-$AN472)/Constants!$B$28,6))))+MIN(Constants!$B$29,MAX(0,Constants!$B$27*Constants!$B$28*INT(ROUND((Constants!$B$26-$AO472)/Constants!$B$28,6))))+MIN(Constants!$B$29,MAX(0,Constants!$B$27*Constants!$B$28*INT(ROUND((Constants!$B$26-$AP472)/Constants!$B$28,6)))))</f>
        <v/>
      </c>
      <c r="BX472" s="74" t="str">
        <f aca="false">IF($BL472&lt;&gt;Constants!$B$4,"",IF(NOT($AL472),0,Constants!$B$31*INT(ROUND(MAX(0,MIN($BJ472,2*$AH$9)-$AH$9),6))))</f>
        <v/>
      </c>
      <c r="BY472" s="74" t="str">
        <f aca="false">IF($BL472&lt;&gt;Constants!$B$4,"",Constants!$B$32*(($AN472&gt;Constants!$B$26)+($AO472&gt;Constants!$B$26)+($AP472&gt;Constants!$B$26)))</f>
        <v/>
      </c>
      <c r="BZ472" s="74" t="str">
        <f aca="false">IF($BL472&lt;&gt;Constants!$B$4,"",IF(OR(NOT($AL472),$AQ472),0,Constants!$B$33))</f>
        <v/>
      </c>
      <c r="CA472" s="74" t="str">
        <f aca="false">IF($BL472&lt;&gt;Constants!$B$4,"",Constants!$B$34*$BN472)</f>
        <v/>
      </c>
      <c r="CB472" s="74" t="str">
        <f aca="false">IF($BL472&lt;&gt;Constants!$B$4,"",IF(OR(NOT($AL472),$BH472),0,Constants!$B$36))</f>
        <v/>
      </c>
      <c r="CC472" s="74" t="str">
        <f aca="false">IF($BL472&lt;&gt;Constants!$B$4,"",IF(OR(NOT($AL472),$BG472),0,Constants!$B$37))</f>
        <v/>
      </c>
      <c r="CD472" s="74" t="str">
        <f aca="false">IF($BL472&lt;&gt;Constants!$B$4,"",SUM($BX472:$CC472))</f>
        <v/>
      </c>
      <c r="CE472" s="74" t="str">
        <f aca="false">IF(ISBLANK($C472),"",IF($BL472&lt;&gt;Constants!$B$4,$BL472,SUM($BO472:$BW472)-$CD472))</f>
        <v/>
      </c>
      <c r="CF472" s="74" t="str">
        <f aca="false">IF(ISBLANK($C472),"",IF($BL472&lt;&gt;Constants!$B$4,$BL472,RANK($CE472,$CE$9:$CE$508)))</f>
        <v/>
      </c>
      <c r="CG472" s="74" t="str">
        <f aca="false">IF(ISBLANK($C472),"",IF($BL472&lt;&gt;Constants!$B$4,$BL472,COUNTIFS($BM$9:$BM$508,"&lt;"&amp;$BM472)+COUNTIFS($BM$9:$BM$508,$BM472,$CF$9:$CF$508,"&lt;"&amp;$CF472)+1))</f>
        <v/>
      </c>
      <c r="CH472" s="74" t="str">
        <f aca="false">IF(ISBLANK($C472),"",IF($BL472&lt;&gt;Constants!$B$4,$BL472,RANK($CD472,$CD$9:$CD$508,1)))</f>
        <v/>
      </c>
      <c r="CI472" s="74" t="str">
        <f aca="false">IF($BL472&lt;&gt;Constants!$B$4,"",$AN472+$AO472+$AP472)</f>
        <v/>
      </c>
      <c r="CJ472" s="74" t="str">
        <f aca="false">IF(ISBLANK($C472),"",IF($BL472&lt;&gt;Constants!$B$4,$BL472,RANK($CI472,$CI$9:$CI$508,1)))</f>
        <v/>
      </c>
      <c r="CK472" s="74" t="str">
        <f aca="false">IF(ISBLANK($C472),"",IF($BL472&lt;&gt;Constants!$B$4,$BL472,COUNTIFS($BM$9:$BM$508,"&lt;"&amp;$BM472)+COUNTIFS($BM$9:$BM$508,$BM472,$CF$9:$CF$508,"&lt;"&amp;$CF472)+COUNTIFS($BM$9:$BM$508,$BM472,$CF$9:$CF$508,$CF472,$CH$9:$CH$508,"&lt;"&amp;$CH472)+COUNTIFS($BM$9:$BM$508,$BM472,$CF$9:$CF$508,$CF472,$CH$9:$CH$508,$CH472,$CJ$9:$CJ$508,"&lt;"&amp;$CJ472)+1))</f>
        <v/>
      </c>
      <c r="CL472" s="74" t="str">
        <f aca="false">IF(ISBLANK($C472),"",IF($BL472&lt;&gt;Constants!$B$4,$BL472,$CG472-$CK472))</f>
        <v/>
      </c>
      <c r="CM472" s="74" t="str">
        <f aca="false">IF(ISBLANK($C472),"",IF(NOT($AL472),"",IF(ISBLANK($D$7),$CM$5,IF(NOT(ISNUMBER($D$7)),$CM$6,""))))</f>
        <v/>
      </c>
      <c r="CN472" s="74" t="str">
        <f aca="false">IF(ISBLANK($C472),"",OR($AN472="",$AO472="",$AP472=""))</f>
        <v/>
      </c>
      <c r="CO472" s="74" t="str">
        <f aca="false">IF(ISBLANK($C472),"",AND($AL472,$BA472=""))</f>
        <v/>
      </c>
      <c r="CP472" s="74" t="str">
        <f aca="false">IF(ISBLANK($C472),"",AND($AL472,$BB472=""))</f>
        <v/>
      </c>
      <c r="CQ472" s="74" t="str">
        <f aca="false">IF(ISBLANK($C472),"",AND($AL472,$BC472=""))</f>
        <v/>
      </c>
      <c r="CR472" s="74" t="str">
        <f aca="false">IF(ISBLANK($C472),"",AND($AL472,$BF472=""))</f>
        <v/>
      </c>
      <c r="CS472" s="74" t="str">
        <f aca="false">IF(ISBLANK($C472),"",AND($AL472,$BJ472=""))</f>
        <v/>
      </c>
      <c r="CT472" s="75"/>
      <c r="CU472" s="76"/>
      <c r="CV472" s="79" t="str">
        <f aca="false">IF(ISBLANK($C472),"",IF($BL472=Constants!$B$8,$CM472,""))</f>
        <v/>
      </c>
      <c r="CW472" s="76" t="str">
        <f aca="false">IF(ISBLANK($C472),"",IF($BL472&lt;&gt;Constants!$B$4,"",$BO472+$BP472))</f>
        <v/>
      </c>
      <c r="CX472" s="78" t="str">
        <f aca="false">IF(ISBLANK($C472),"",IF($BL472&lt;&gt;Constants!$B$4,"",$BQ472+$BR472+$BS472))</f>
        <v/>
      </c>
      <c r="CY472" s="78" t="str">
        <f aca="false">IF(ISBLANK($C472),"",IF($BL472&lt;&gt;Constants!$B$4,"",$BT472))</f>
        <v/>
      </c>
      <c r="CZ472" s="78" t="str">
        <f aca="false">IF(ISBLANK($C472),"",IF($BL472&lt;&gt;Constants!$B$4,"",$BU472+$BV472))</f>
        <v/>
      </c>
      <c r="DA472" s="78" t="str">
        <f aca="false">IF(ISBLANK($C472),"",IF($BL472&lt;&gt;Constants!$B$4,"",$BW472))</f>
        <v/>
      </c>
      <c r="DB472" s="78" t="str">
        <f aca="false">IF(ISBLANK($C472),"",IF($BL472&lt;&gt;Constants!$B$4,"",-$CD472))</f>
        <v/>
      </c>
      <c r="DC472" s="79" t="str">
        <f aca="false">IF(ISBLANK($C472),"",$CE472)</f>
        <v/>
      </c>
      <c r="DD472" s="80" t="str">
        <f aca="false">IF(ISBLANK($C472),"",$BM472)</f>
        <v/>
      </c>
      <c r="DE472" s="78" t="str">
        <f aca="false">IF(ISBLANK($C472),"",$CL472)</f>
        <v/>
      </c>
      <c r="DF472" s="78" t="str">
        <f aca="false">IF(ISBLANK($C472),"",$CK472)</f>
        <v/>
      </c>
      <c r="DG472" s="81" t="str">
        <f aca="false">IF(ISBLANK($C472),"",IF($DF472=Constants!$B$7,COUNTA($C$9:$C$508)+2,IF($DF472=Constants!$B$6,COUNTA($C$9:$C$508)+1,IF($DF472=Constants!$B$5,COUNTA($C$9:$C$508),$DF472))))</f>
        <v/>
      </c>
      <c r="DH472" s="7"/>
      <c r="DI472" s="82" t="n">
        <f aca="false">IF(OR(ISNUMBER($DF472),$DF472=Constants!$B$7,$DF472=Constants!$B$5,$DF472=Constants!$B$6),1,0)</f>
        <v>0</v>
      </c>
      <c r="DJ472" s="82" t="n">
        <v>464</v>
      </c>
      <c r="DK472" s="82" t="str">
        <f aca="false">IF(ISBLANK($C472),"",IF(ISNUMBER($DG472),$DG472+ROW($B472)/1000,""))</f>
        <v/>
      </c>
      <c r="DL472" s="82" t="str">
        <f aca="false">IF(ISNUMBER($DK472),RANK($DK472,$DK$9:$DK$508,1),"")</f>
        <v/>
      </c>
      <c r="DM472" s="82" t="str">
        <f aca="false">IF(ISBLANK($C472),"",$B472)</f>
        <v/>
      </c>
      <c r="DN472" s="82" t="str">
        <f aca="false">IF(ISBLANK($C472),"",$C472)</f>
        <v/>
      </c>
      <c r="DO472" s="82" t="str">
        <f aca="false">IF(ISBLANK($C472),"",$D472)</f>
        <v/>
      </c>
      <c r="DP472" s="83" t="str">
        <f aca="false">$DD472</f>
        <v/>
      </c>
      <c r="DQ472" s="84" t="str">
        <f aca="false">$DC472</f>
        <v/>
      </c>
      <c r="DR472" s="82" t="str">
        <f aca="false">IF(ISBLANK($C472),"",$DF472)</f>
        <v/>
      </c>
      <c r="DS472" s="85" t="str">
        <f aca="false">IF($DJ472&gt;$DI$8,"",VLOOKUP($DJ472,$DL$9:$DR$508,7,FALSE()))</f>
        <v/>
      </c>
      <c r="DT472" s="86" t="str">
        <f aca="false">IF($DJ472&gt;$DI$8,"",VLOOKUP($DJ472,$DL$9:$DR$508,2,FALSE()))</f>
        <v/>
      </c>
      <c r="DU472" s="86" t="str">
        <f aca="false">IF($DJ472&gt;$DI$8,"",VLOOKUP($DJ472,$DL$9:$DR$508,3,FALSE()))</f>
        <v/>
      </c>
      <c r="DV472" s="86" t="str">
        <f aca="false">IF($DJ472&gt;$DI$8,"",VLOOKUP($DJ472,$DL$9:$DR$508,4,FALSE()))</f>
        <v/>
      </c>
      <c r="DW472" s="86" t="str">
        <f aca="false">IF($DJ472&gt;$DI$8,"",VLOOKUP($DJ472,$DL$9:$DR$508,5,FALSE()))</f>
        <v/>
      </c>
      <c r="DX472" s="87" t="str">
        <f aca="false">IF($DJ472&gt;$DI$8,"",VLOOKUP($DJ472,$DL$9:$DR$508,6,FALSE()))</f>
        <v/>
      </c>
      <c r="DY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88"/>
      <c r="N473" s="88"/>
      <c r="O473" s="134"/>
      <c r="P473" s="134"/>
      <c r="Q473" s="88"/>
      <c r="R473" s="88"/>
      <c r="S473" s="88"/>
      <c r="T473" s="88"/>
      <c r="U473" s="134"/>
      <c r="V473" s="88"/>
      <c r="W473" s="70"/>
      <c r="X473" s="88"/>
      <c r="Y473" s="88"/>
      <c r="Z473" s="70"/>
      <c r="AA473" s="70"/>
      <c r="AB473" s="88"/>
      <c r="AC473" s="88"/>
      <c r="AD473" s="88"/>
      <c r="AE473" s="71"/>
      <c r="AF473" s="88"/>
      <c r="AG473" s="73"/>
      <c r="AH473" s="74"/>
      <c r="AI473" s="74"/>
      <c r="AJ473" s="74" t="str">
        <f aca="false">IF(ISBLANK($C473),"",IF($E473=Constants!$B$2,TRUE(),IF($E473=Constants!$B$3,FALSE(),TRUE())))</f>
        <v/>
      </c>
      <c r="AK473" s="74" t="str">
        <f aca="false">IF(ISBLANK($C473),"",IF($F473=Constants!$B$2,TRUE(),IF($F473=Constants!$B$3,FALSE(),FALSE())))</f>
        <v/>
      </c>
      <c r="AL473" s="74" t="str">
        <f aca="false">IF(ISBLANK($C473),"",IF($G473=Constants!$B$2,TRUE(),IF($G473=Constants!$B$3,FALSE(),TRUE())))</f>
        <v/>
      </c>
      <c r="AM473" s="74" t="str">
        <f aca="false">IF(ISBLANK($C473),"",IF($H473=Constants!$B$2,TRUE(),IF($H473=Constants!$B$3,FALSE(),TRUE())))</f>
        <v/>
      </c>
      <c r="AN473" s="74" t="str">
        <f aca="false">IF(ISBLANK($C473),"",IF(ISNUMBER($I473),IF($I473&gt;=0,$I473,""),""))</f>
        <v/>
      </c>
      <c r="AO473" s="74" t="str">
        <f aca="false">IF(ISBLANK($C473),"",IF(ISNUMBER($J473),IF($J473&gt;=0,$J473,""),""))</f>
        <v/>
      </c>
      <c r="AP473" s="74" t="str">
        <f aca="false">IF(ISBLANK($C473),"",IF(ISNUMBER($K473),IF($K473&gt;=0,$K473,""),""))</f>
        <v/>
      </c>
      <c r="AQ473" s="74" t="str">
        <f aca="false">IF(ISBLANK($C473),"",IF($L473=Constants!$B$2,TRUE(),IF($L473=Constants!$B$3,FALSE(),TRUE())))</f>
        <v/>
      </c>
      <c r="AR473" s="74" t="str">
        <f aca="false">IF(ISBLANK($C473),"",IF($M473=Constants!$B$2,TRUE(),IF($M473=Constants!$B$3,FALSE(),TRUE())))</f>
        <v/>
      </c>
      <c r="AS473" s="74" t="str">
        <f aca="false">IF(ISBLANK($C473),"",IF($N473=Constants!$B$2,TRUE(),IF($N473=Constants!$B$3,FALSE(),FALSE())))</f>
        <v/>
      </c>
      <c r="AT473" s="74" t="str">
        <f aca="false">IF(ISBLANK($C473),"",IF($O473=Constants!$B$2,TRUE(),IF($O473=Constants!$B$3,FALSE(),TRUE())))</f>
        <v/>
      </c>
      <c r="AU473" s="74" t="str">
        <f aca="false">IF(ISBLANK($C473),"",IF($P473=Constants!$B$2,TRUE(),IF($P473=Constants!$B$3,FALSE(),TRUE())))</f>
        <v/>
      </c>
      <c r="AV473" s="74" t="str">
        <f aca="false">IF(ISBLANK($C473),"",IF($Q473=Constants!$B$2,TRUE(),IF($Q473=Constants!$B$3,FALSE(),FALSE())))</f>
        <v/>
      </c>
      <c r="AW473" s="74" t="str">
        <f aca="false">IF(ISBLANK($C473),"",IF($R473=Constants!$B$2,TRUE(),IF($R473=Constants!$B$3,FALSE(),FALSE())))</f>
        <v/>
      </c>
      <c r="AX473" s="74" t="str">
        <f aca="false">IF(ISBLANK($C473),"",IF($S473=Constants!$B$2,TRUE(),IF($S473=Constants!$B$3,FALSE(),FALSE())))</f>
        <v/>
      </c>
      <c r="AY473" s="74" t="str">
        <f aca="false">IF(ISBLANK($C473),"",IF($T473=Constants!$B$2,TRUE(),IF($T473=Constants!$B$3,FALSE(),FALSE())))</f>
        <v/>
      </c>
      <c r="AZ473" s="74" t="str">
        <f aca="false">IF(ISBLANK($C473),"",IF($U473=Constants!$B$2,TRUE(),IF($U473=Constants!$B$3,FALSE(),FALSE())))</f>
        <v/>
      </c>
      <c r="BA473" s="74" t="str">
        <f aca="false">IF(ISBLANK($C473),"",IF(OR($V473&amp;""="1",$V473&amp;""="2",$V473&amp;""="3",$V473&amp;""="4"),VALUE($V473&amp;""),IF($V473=Constants!$B$12,Constants!$B$12,"")))</f>
        <v/>
      </c>
      <c r="BB473" s="74" t="str">
        <f aca="false">IF(ISBLANK($C473),"",IF(ISBLANK($W473),0,IF(ISNUMBER($W473),IF(AND($W473&gt;=0,$W473&lt;=Constants!$B$21,$W473=INT($W473)),$W473,""),"")))</f>
        <v/>
      </c>
      <c r="BC473" s="74" t="str">
        <f aca="false">IF(ISBLANK($C473),"",IF(ISBLANK($X473),0,IF(ISNUMBER($X473),IF($X473&gt;=0,$X473,""),"")))</f>
        <v/>
      </c>
      <c r="BD473" s="74" t="str">
        <f aca="false">IF(ISBLANK($C473),"",IF($Y473=Constants!$B$2,TRUE(),IF($Y473=Constants!$B$3,FALSE(),TRUE())))</f>
        <v/>
      </c>
      <c r="BE473" s="74" t="str">
        <f aca="false">IF(ISBLANK($C473),"",IF($Z473=Constants!$B$2,TRUE(),IF($Z473=Constants!$B$3,FALSE(),FALSE())))</f>
        <v/>
      </c>
      <c r="BF473" s="74" t="str">
        <f aca="false">IF(ISBLANK($C473),"",IF(ISBLANK($AA473),0,IF(ISNUMBER($AA473),IF(AND($AA473&gt;=0,$AA473&lt;=Constants!$B$35,$AA473=INT($AA473)),$AA473,""),"")))</f>
        <v/>
      </c>
      <c r="BG473" s="74" t="str">
        <f aca="false">IF(ISBLANK($C473),"",IF($AB473=Constants!$B$2,TRUE(),IF($AB473=Constants!$B$3,FALSE(),TRUE())))</f>
        <v/>
      </c>
      <c r="BH473" s="74" t="str">
        <f aca="false">IF(ISBLANK($C473),"",IF($AC473=Constants!$B$2,TRUE(),IF($AC473=Constants!$B$3,FALSE(),TRUE())))</f>
        <v/>
      </c>
      <c r="BI473" s="74" t="str">
        <f aca="false">IF(ISBLANK($C473),"",IF($AD473=Constants!$B$2,TRUE(),IF($AD473=Constants!$B$3,FALSE(),TRUE())))</f>
        <v/>
      </c>
      <c r="BJ473" s="74" t="str">
        <f aca="false">IF(ISBLANK($C473),"",IF(ISNUMBER($AE473),IF($AE473&gt;=0,$AE473,""),""))</f>
        <v/>
      </c>
      <c r="BK473" s="74" t="str">
        <f aca="false">IF(ISBLANK($C473),"",IF($AF473=Constants!$B$2,TRUE(),IF($AF473=Constants!$B$3,FALSE(),FALSE())))</f>
        <v/>
      </c>
      <c r="BL473" s="73" t="str">
        <f aca="false">IF(ISBLANK($C473),"",IF($BK473,Constants!$B$7,IF(COUNTA($E473:$AE473)=0,Constants!$B$6,IF(OR(COUNTA($G473:$AE473)=0,NOT($AM473),$AS473),Constants!$B$5,IF(OR($CM473&lt;&gt;"",$CN473,$CO473,$CP473,$CQ473,$CR473,$CS473),Constants!$B$8,Constants!$B$4)))))</f>
        <v/>
      </c>
      <c r="BM473" s="74" t="str">
        <f aca="false">IF(ISBLANK($C473),"",IF($BL473&lt;&gt;Constants!$B$4,$BL473,IF(OR(NOT($AJ473),NOT($AL473),NOT($AT473)),Constants!$B$11,IF(OR(NOT($AR473),NOT($AU473),NOT($BI473),MAX($AN473,$AO473,$AP473)&gt;Constants!$B$30),Constants!$B$10,Constants!$B$9))))</f>
        <v/>
      </c>
      <c r="BN473" s="74" t="str">
        <f aca="false">IF($BL473&lt;&gt;Constants!$B$4,"",IF(NOT($AL473),0,MIN(Constants!$B$35,$BF473)))</f>
        <v/>
      </c>
      <c r="BO473" s="74" t="str">
        <f aca="false">IF($BL473&lt;&gt;Constants!$B$4,"",IF(NOT($AL473),0,IF($AW473,Constants!$B$18,IF($AV473,Constants!$B$17,0))))</f>
        <v/>
      </c>
      <c r="BP473" s="74" t="str">
        <f aca="false">IF($BL473&lt;&gt;Constants!$B$4,"",IF(NOT($AL473),0,Constants!$B$19*($AK473+$AX473+$AY473+$AZ473)))</f>
        <v/>
      </c>
      <c r="BQ473" s="74" t="str">
        <f aca="false">IF($BL473&lt;&gt;Constants!$B$4,"",IF(OR(NOT($AL473),NOT(ISNUMBER($BA473))),0,CHOOSE($BA473,Constants!$B$13,Constants!$B$14,Constants!$B$15,Constants!$B$16)))</f>
        <v/>
      </c>
      <c r="BR473" s="74" t="str">
        <f aca="false">IF($BL473&lt;&gt;Constants!$B$4,"",IF(NOT($AL473),0,Constants!$B$20*$BB473))</f>
        <v/>
      </c>
      <c r="BS473" s="74" t="str">
        <f aca="false">IF($BL473&lt;&gt;Constants!$B$4,"",IF(AND($AL473,$BD473,$BE473),Constants!$B$22,0))</f>
        <v/>
      </c>
      <c r="BT473" s="74" t="str">
        <f aca="false">IF($BL473&lt;&gt;Constants!$B$4,"",IF(OR(NOT($AL473),NOT($BD473)),0,IF($BJ473&gt;=2*$AH$9,0,Constants!$B$23*INT(ROUND(MIN($BJ473,$AH$9),6)))))</f>
        <v/>
      </c>
      <c r="BU473" s="74" t="str">
        <f aca="false">IF($BL473&lt;&gt;Constants!$B$4,"",IF(NOT($AL473),0,Constants!$B$24*INT(ROUND(MIN($BC473,$AH$9),6))))</f>
        <v/>
      </c>
      <c r="BV473" s="74" t="str">
        <f aca="false">IF($BL473&lt;&gt;Constants!$B$4,"",IF(AND($AL473,$BN473=0),Constants!$B$25,0))</f>
        <v/>
      </c>
      <c r="BW473" s="74" t="str">
        <f aca="false">IF($BL473&lt;&gt;Constants!$B$4,"",MIN(Constants!$B$29,MAX(0,Constants!$B$27*Constants!$B$28*INT(ROUND((Constants!$B$26-$AN473)/Constants!$B$28,6))))+MIN(Constants!$B$29,MAX(0,Constants!$B$27*Constants!$B$28*INT(ROUND((Constants!$B$26-$AO473)/Constants!$B$28,6))))+MIN(Constants!$B$29,MAX(0,Constants!$B$27*Constants!$B$28*INT(ROUND((Constants!$B$26-$AP473)/Constants!$B$28,6)))))</f>
        <v/>
      </c>
      <c r="BX473" s="74" t="str">
        <f aca="false">IF($BL473&lt;&gt;Constants!$B$4,"",IF(NOT($AL473),0,Constants!$B$31*INT(ROUND(MAX(0,MIN($BJ473,2*$AH$9)-$AH$9),6))))</f>
        <v/>
      </c>
      <c r="BY473" s="74" t="str">
        <f aca="false">IF($BL473&lt;&gt;Constants!$B$4,"",Constants!$B$32*(($AN473&gt;Constants!$B$26)+($AO473&gt;Constants!$B$26)+($AP473&gt;Constants!$B$26)))</f>
        <v/>
      </c>
      <c r="BZ473" s="74" t="str">
        <f aca="false">IF($BL473&lt;&gt;Constants!$B$4,"",IF(OR(NOT($AL473),$AQ473),0,Constants!$B$33))</f>
        <v/>
      </c>
      <c r="CA473" s="74" t="str">
        <f aca="false">IF($BL473&lt;&gt;Constants!$B$4,"",Constants!$B$34*$BN473)</f>
        <v/>
      </c>
      <c r="CB473" s="74" t="str">
        <f aca="false">IF($BL473&lt;&gt;Constants!$B$4,"",IF(OR(NOT($AL473),$BH473),0,Constants!$B$36))</f>
        <v/>
      </c>
      <c r="CC473" s="74" t="str">
        <f aca="false">IF($BL473&lt;&gt;Constants!$B$4,"",IF(OR(NOT($AL473),$BG473),0,Constants!$B$37))</f>
        <v/>
      </c>
      <c r="CD473" s="74" t="str">
        <f aca="false">IF($BL473&lt;&gt;Constants!$B$4,"",SUM($BX473:$CC473))</f>
        <v/>
      </c>
      <c r="CE473" s="74" t="str">
        <f aca="false">IF(ISBLANK($C473),"",IF($BL473&lt;&gt;Constants!$B$4,$BL473,SUM($BO473:$BW473)-$CD473))</f>
        <v/>
      </c>
      <c r="CF473" s="74" t="str">
        <f aca="false">IF(ISBLANK($C473),"",IF($BL473&lt;&gt;Constants!$B$4,$BL473,RANK($CE473,$CE$9:$CE$508)))</f>
        <v/>
      </c>
      <c r="CG473" s="74" t="str">
        <f aca="false">IF(ISBLANK($C473),"",IF($BL473&lt;&gt;Constants!$B$4,$BL473,COUNTIFS($BM$9:$BM$508,"&lt;"&amp;$BM473)+COUNTIFS($BM$9:$BM$508,$BM473,$CF$9:$CF$508,"&lt;"&amp;$CF473)+1))</f>
        <v/>
      </c>
      <c r="CH473" s="74" t="str">
        <f aca="false">IF(ISBLANK($C473),"",IF($BL473&lt;&gt;Constants!$B$4,$BL473,RANK($CD473,$CD$9:$CD$508,1)))</f>
        <v/>
      </c>
      <c r="CI473" s="74" t="str">
        <f aca="false">IF($BL473&lt;&gt;Constants!$B$4,"",$AN473+$AO473+$AP473)</f>
        <v/>
      </c>
      <c r="CJ473" s="74" t="str">
        <f aca="false">IF(ISBLANK($C473),"",IF($BL473&lt;&gt;Constants!$B$4,$BL473,RANK($CI473,$CI$9:$CI$508,1)))</f>
        <v/>
      </c>
      <c r="CK473" s="74" t="str">
        <f aca="false">IF(ISBLANK($C473),"",IF($BL473&lt;&gt;Constants!$B$4,$BL473,COUNTIFS($BM$9:$BM$508,"&lt;"&amp;$BM473)+COUNTIFS($BM$9:$BM$508,$BM473,$CF$9:$CF$508,"&lt;"&amp;$CF473)+COUNTIFS($BM$9:$BM$508,$BM473,$CF$9:$CF$508,$CF473,$CH$9:$CH$508,"&lt;"&amp;$CH473)+COUNTIFS($BM$9:$BM$508,$BM473,$CF$9:$CF$508,$CF473,$CH$9:$CH$508,$CH473,$CJ$9:$CJ$508,"&lt;"&amp;$CJ473)+1))</f>
        <v/>
      </c>
      <c r="CL473" s="74" t="str">
        <f aca="false">IF(ISBLANK($C473),"",IF($BL473&lt;&gt;Constants!$B$4,$BL473,$CG473-$CK473))</f>
        <v/>
      </c>
      <c r="CM473" s="74" t="str">
        <f aca="false">IF(ISBLANK($C473),"",IF(NOT($AL473),"",IF(ISBLANK($D$7),$CM$5,IF(NOT(ISNUMBER($D$7)),$CM$6,""))))</f>
        <v/>
      </c>
      <c r="CN473" s="74" t="str">
        <f aca="false">IF(ISBLANK($C473),"",OR($AN473="",$AO473="",$AP473=""))</f>
        <v/>
      </c>
      <c r="CO473" s="74" t="str">
        <f aca="false">IF(ISBLANK($C473),"",AND($AL473,$BA473=""))</f>
        <v/>
      </c>
      <c r="CP473" s="74" t="str">
        <f aca="false">IF(ISBLANK($C473),"",AND($AL473,$BB473=""))</f>
        <v/>
      </c>
      <c r="CQ473" s="74" t="str">
        <f aca="false">IF(ISBLANK($C473),"",AND($AL473,$BC473=""))</f>
        <v/>
      </c>
      <c r="CR473" s="74" t="str">
        <f aca="false">IF(ISBLANK($C473),"",AND($AL473,$BF473=""))</f>
        <v/>
      </c>
      <c r="CS473" s="74" t="str">
        <f aca="false">IF(ISBLANK($C473),"",AND($AL473,$BJ473=""))</f>
        <v/>
      </c>
      <c r="CT473" s="75"/>
      <c r="CU473" s="76"/>
      <c r="CV473" s="79" t="str">
        <f aca="false">IF(ISBLANK($C473),"",IF($BL473=Constants!$B$8,$CM473,""))</f>
        <v/>
      </c>
      <c r="CW473" s="76" t="str">
        <f aca="false">IF(ISBLANK($C473),"",IF($BL473&lt;&gt;Constants!$B$4,"",$BO473+$BP473))</f>
        <v/>
      </c>
      <c r="CX473" s="78" t="str">
        <f aca="false">IF(ISBLANK($C473),"",IF($BL473&lt;&gt;Constants!$B$4,"",$BQ473+$BR473+$BS473))</f>
        <v/>
      </c>
      <c r="CY473" s="78" t="str">
        <f aca="false">IF(ISBLANK($C473),"",IF($BL473&lt;&gt;Constants!$B$4,"",$BT473))</f>
        <v/>
      </c>
      <c r="CZ473" s="78" t="str">
        <f aca="false">IF(ISBLANK($C473),"",IF($BL473&lt;&gt;Constants!$B$4,"",$BU473+$BV473))</f>
        <v/>
      </c>
      <c r="DA473" s="78" t="str">
        <f aca="false">IF(ISBLANK($C473),"",IF($BL473&lt;&gt;Constants!$B$4,"",$BW473))</f>
        <v/>
      </c>
      <c r="DB473" s="78" t="str">
        <f aca="false">IF(ISBLANK($C473),"",IF($BL473&lt;&gt;Constants!$B$4,"",-$CD473))</f>
        <v/>
      </c>
      <c r="DC473" s="79" t="str">
        <f aca="false">IF(ISBLANK($C473),"",$CE473)</f>
        <v/>
      </c>
      <c r="DD473" s="80" t="str">
        <f aca="false">IF(ISBLANK($C473),"",$BM473)</f>
        <v/>
      </c>
      <c r="DE473" s="78" t="str">
        <f aca="false">IF(ISBLANK($C473),"",$CL473)</f>
        <v/>
      </c>
      <c r="DF473" s="78" t="str">
        <f aca="false">IF(ISBLANK($C473),"",$CK473)</f>
        <v/>
      </c>
      <c r="DG473" s="81" t="str">
        <f aca="false">IF(ISBLANK($C473),"",IF($DF473=Constants!$B$7,COUNTA($C$9:$C$508)+2,IF($DF473=Constants!$B$6,COUNTA($C$9:$C$508)+1,IF($DF473=Constants!$B$5,COUNTA($C$9:$C$508),$DF473))))</f>
        <v/>
      </c>
      <c r="DH473" s="7"/>
      <c r="DI473" s="82" t="n">
        <f aca="false">IF(OR(ISNUMBER($DF473),$DF473=Constants!$B$7,$DF473=Constants!$B$5,$DF473=Constants!$B$6),1,0)</f>
        <v>0</v>
      </c>
      <c r="DJ473" s="82" t="n">
        <v>465</v>
      </c>
      <c r="DK473" s="82" t="str">
        <f aca="false">IF(ISBLANK($C473),"",IF(ISNUMBER($DG473),$DG473+ROW($B473)/1000,""))</f>
        <v/>
      </c>
      <c r="DL473" s="82" t="str">
        <f aca="false">IF(ISNUMBER($DK473),RANK($DK473,$DK$9:$DK$508,1),"")</f>
        <v/>
      </c>
      <c r="DM473" s="82" t="str">
        <f aca="false">IF(ISBLANK($C473),"",$B473)</f>
        <v/>
      </c>
      <c r="DN473" s="82" t="str">
        <f aca="false">IF(ISBLANK($C473),"",$C473)</f>
        <v/>
      </c>
      <c r="DO473" s="82" t="str">
        <f aca="false">IF(ISBLANK($C473),"",$D473)</f>
        <v/>
      </c>
      <c r="DP473" s="83" t="str">
        <f aca="false">$DD473</f>
        <v/>
      </c>
      <c r="DQ473" s="84" t="str">
        <f aca="false">$DC473</f>
        <v/>
      </c>
      <c r="DR473" s="82" t="str">
        <f aca="false">IF(ISBLANK($C473),"",$DF473)</f>
        <v/>
      </c>
      <c r="DS473" s="85" t="str">
        <f aca="false">IF($DJ473&gt;$DI$8,"",VLOOKUP($DJ473,$DL$9:$DR$508,7,FALSE()))</f>
        <v/>
      </c>
      <c r="DT473" s="86" t="str">
        <f aca="false">IF($DJ473&gt;$DI$8,"",VLOOKUP($DJ473,$DL$9:$DR$508,2,FALSE()))</f>
        <v/>
      </c>
      <c r="DU473" s="86" t="str">
        <f aca="false">IF($DJ473&gt;$DI$8,"",VLOOKUP($DJ473,$DL$9:$DR$508,3,FALSE()))</f>
        <v/>
      </c>
      <c r="DV473" s="86" t="str">
        <f aca="false">IF($DJ473&gt;$DI$8,"",VLOOKUP($DJ473,$DL$9:$DR$508,4,FALSE()))</f>
        <v/>
      </c>
      <c r="DW473" s="86" t="str">
        <f aca="false">IF($DJ473&gt;$DI$8,"",VLOOKUP($DJ473,$DL$9:$DR$508,5,FALSE()))</f>
        <v/>
      </c>
      <c r="DX473" s="87" t="str">
        <f aca="false">IF($DJ473&gt;$DI$8,"",VLOOKUP($DJ473,$DL$9:$DR$508,6,FALSE()))</f>
        <v/>
      </c>
      <c r="DY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130"/>
      <c r="N474" s="130"/>
      <c r="O474" s="135"/>
      <c r="P474" s="135"/>
      <c r="Q474" s="130"/>
      <c r="R474" s="130"/>
      <c r="S474" s="130"/>
      <c r="T474" s="130"/>
      <c r="U474" s="135"/>
      <c r="V474" s="130"/>
      <c r="W474" s="96"/>
      <c r="X474" s="130"/>
      <c r="Y474" s="130"/>
      <c r="Z474" s="96"/>
      <c r="AA474" s="96"/>
      <c r="AB474" s="130"/>
      <c r="AC474" s="130"/>
      <c r="AD474" s="130"/>
      <c r="AE474" s="97"/>
      <c r="AF474" s="130"/>
      <c r="AG474" s="99"/>
      <c r="AH474" s="100"/>
      <c r="AI474" s="100"/>
      <c r="AJ474" s="100" t="str">
        <f aca="false">IF(ISBLANK($C474),"",IF($E474=Constants!$B$2,TRUE(),IF($E474=Constants!$B$3,FALSE(),TRUE())))</f>
        <v/>
      </c>
      <c r="AK474" s="100" t="str">
        <f aca="false">IF(ISBLANK($C474),"",IF($F474=Constants!$B$2,TRUE(),IF($F474=Constants!$B$3,FALSE(),FALSE())))</f>
        <v/>
      </c>
      <c r="AL474" s="100" t="str">
        <f aca="false">IF(ISBLANK($C474),"",IF($G474=Constants!$B$2,TRUE(),IF($G474=Constants!$B$3,FALSE(),TRUE())))</f>
        <v/>
      </c>
      <c r="AM474" s="100" t="str">
        <f aca="false">IF(ISBLANK($C474),"",IF($H474=Constants!$B$2,TRUE(),IF($H474=Constants!$B$3,FALSE(),TRUE())))</f>
        <v/>
      </c>
      <c r="AN474" s="100" t="str">
        <f aca="false">IF(ISBLANK($C474),"",IF(ISNUMBER($I474),IF($I474&gt;=0,$I474,""),""))</f>
        <v/>
      </c>
      <c r="AO474" s="100" t="str">
        <f aca="false">IF(ISBLANK($C474),"",IF(ISNUMBER($J474),IF($J474&gt;=0,$J474,""),""))</f>
        <v/>
      </c>
      <c r="AP474" s="100" t="str">
        <f aca="false">IF(ISBLANK($C474),"",IF(ISNUMBER($K474),IF($K474&gt;=0,$K474,""),""))</f>
        <v/>
      </c>
      <c r="AQ474" s="100" t="str">
        <f aca="false">IF(ISBLANK($C474),"",IF($L474=Constants!$B$2,TRUE(),IF($L474=Constants!$B$3,FALSE(),TRUE())))</f>
        <v/>
      </c>
      <c r="AR474" s="100" t="str">
        <f aca="false">IF(ISBLANK($C474),"",IF($M474=Constants!$B$2,TRUE(),IF($M474=Constants!$B$3,FALSE(),TRUE())))</f>
        <v/>
      </c>
      <c r="AS474" s="100" t="str">
        <f aca="false">IF(ISBLANK($C474),"",IF($N474=Constants!$B$2,TRUE(),IF($N474=Constants!$B$3,FALSE(),FALSE())))</f>
        <v/>
      </c>
      <c r="AT474" s="100" t="str">
        <f aca="false">IF(ISBLANK($C474),"",IF($O474=Constants!$B$2,TRUE(),IF($O474=Constants!$B$3,FALSE(),TRUE())))</f>
        <v/>
      </c>
      <c r="AU474" s="100" t="str">
        <f aca="false">IF(ISBLANK($C474),"",IF($P474=Constants!$B$2,TRUE(),IF($P474=Constants!$B$3,FALSE(),TRUE())))</f>
        <v/>
      </c>
      <c r="AV474" s="100" t="str">
        <f aca="false">IF(ISBLANK($C474),"",IF($Q474=Constants!$B$2,TRUE(),IF($Q474=Constants!$B$3,FALSE(),FALSE())))</f>
        <v/>
      </c>
      <c r="AW474" s="100" t="str">
        <f aca="false">IF(ISBLANK($C474),"",IF($R474=Constants!$B$2,TRUE(),IF($R474=Constants!$B$3,FALSE(),FALSE())))</f>
        <v/>
      </c>
      <c r="AX474" s="100" t="str">
        <f aca="false">IF(ISBLANK($C474),"",IF($S474=Constants!$B$2,TRUE(),IF($S474=Constants!$B$3,FALSE(),FALSE())))</f>
        <v/>
      </c>
      <c r="AY474" s="100" t="str">
        <f aca="false">IF(ISBLANK($C474),"",IF($T474=Constants!$B$2,TRUE(),IF($T474=Constants!$B$3,FALSE(),FALSE())))</f>
        <v/>
      </c>
      <c r="AZ474" s="100" t="str">
        <f aca="false">IF(ISBLANK($C474),"",IF($U474=Constants!$B$2,TRUE(),IF($U474=Constants!$B$3,FALSE(),FALSE())))</f>
        <v/>
      </c>
      <c r="BA474" s="100" t="str">
        <f aca="false">IF(ISBLANK($C474),"",IF(OR($V474&amp;""="1",$V474&amp;""="2",$V474&amp;""="3",$V474&amp;""="4"),VALUE($V474&amp;""),IF($V474=Constants!$B$12,Constants!$B$12,"")))</f>
        <v/>
      </c>
      <c r="BB474" s="100" t="str">
        <f aca="false">IF(ISBLANK($C474),"",IF(ISBLANK($W474),0,IF(ISNUMBER($W474),IF(AND($W474&gt;=0,$W474&lt;=Constants!$B$21,$W474=INT($W474)),$W474,""),"")))</f>
        <v/>
      </c>
      <c r="BC474" s="100" t="str">
        <f aca="false">IF(ISBLANK($C474),"",IF(ISBLANK($X474),0,IF(ISNUMBER($X474),IF($X474&gt;=0,$X474,""),"")))</f>
        <v/>
      </c>
      <c r="BD474" s="100" t="str">
        <f aca="false">IF(ISBLANK($C474),"",IF($Y474=Constants!$B$2,TRUE(),IF($Y474=Constants!$B$3,FALSE(),TRUE())))</f>
        <v/>
      </c>
      <c r="BE474" s="100" t="str">
        <f aca="false">IF(ISBLANK($C474),"",IF($Z474=Constants!$B$2,TRUE(),IF($Z474=Constants!$B$3,FALSE(),FALSE())))</f>
        <v/>
      </c>
      <c r="BF474" s="100" t="str">
        <f aca="false">IF(ISBLANK($C474),"",IF(ISBLANK($AA474),0,IF(ISNUMBER($AA474),IF(AND($AA474&gt;=0,$AA474&lt;=Constants!$B$35,$AA474=INT($AA474)),$AA474,""),"")))</f>
        <v/>
      </c>
      <c r="BG474" s="100" t="str">
        <f aca="false">IF(ISBLANK($C474),"",IF($AB474=Constants!$B$2,TRUE(),IF($AB474=Constants!$B$3,FALSE(),TRUE())))</f>
        <v/>
      </c>
      <c r="BH474" s="100" t="str">
        <f aca="false">IF(ISBLANK($C474),"",IF($AC474=Constants!$B$2,TRUE(),IF($AC474=Constants!$B$3,FALSE(),TRUE())))</f>
        <v/>
      </c>
      <c r="BI474" s="100" t="str">
        <f aca="false">IF(ISBLANK($C474),"",IF($AD474=Constants!$B$2,TRUE(),IF($AD474=Constants!$B$3,FALSE(),TRUE())))</f>
        <v/>
      </c>
      <c r="BJ474" s="100" t="str">
        <f aca="false">IF(ISBLANK($C474),"",IF(ISNUMBER($AE474),IF($AE474&gt;=0,$AE474,""),""))</f>
        <v/>
      </c>
      <c r="BK474" s="100" t="str">
        <f aca="false">IF(ISBLANK($C474),"",IF($AF474=Constants!$B$2,TRUE(),IF($AF474=Constants!$B$3,FALSE(),FALSE())))</f>
        <v/>
      </c>
      <c r="BL474" s="99" t="str">
        <f aca="false">IF(ISBLANK($C474),"",IF($BK474,Constants!$B$7,IF(COUNTA($E474:$AE474)=0,Constants!$B$6,IF(OR(COUNTA($G474:$AE474)=0,NOT($AM474),$AS474),Constants!$B$5,IF(OR($CM474&lt;&gt;"",$CN474,$CO474,$CP474,$CQ474,$CR474,$CS474),Constants!$B$8,Constants!$B$4)))))</f>
        <v/>
      </c>
      <c r="BM474" s="100" t="str">
        <f aca="false">IF(ISBLANK($C474),"",IF($BL474&lt;&gt;Constants!$B$4,$BL474,IF(OR(NOT($AJ474),NOT($AL474),NOT($AT474)),Constants!$B$11,IF(OR(NOT($AR474),NOT($AU474),NOT($BI474),MAX($AN474,$AO474,$AP474)&gt;Constants!$B$30),Constants!$B$10,Constants!$B$9))))</f>
        <v/>
      </c>
      <c r="BN474" s="100" t="str">
        <f aca="false">IF($BL474&lt;&gt;Constants!$B$4,"",IF(NOT($AL474),0,MIN(Constants!$B$35,$BF474)))</f>
        <v/>
      </c>
      <c r="BO474" s="100" t="str">
        <f aca="false">IF($BL474&lt;&gt;Constants!$B$4,"",IF(NOT($AL474),0,IF($AW474,Constants!$B$18,IF($AV474,Constants!$B$17,0))))</f>
        <v/>
      </c>
      <c r="BP474" s="100" t="str">
        <f aca="false">IF($BL474&lt;&gt;Constants!$B$4,"",IF(NOT($AL474),0,Constants!$B$19*($AK474+$AX474+$AY474+$AZ474)))</f>
        <v/>
      </c>
      <c r="BQ474" s="100" t="str">
        <f aca="false">IF($BL474&lt;&gt;Constants!$B$4,"",IF(OR(NOT($AL474),NOT(ISNUMBER($BA474))),0,CHOOSE($BA474,Constants!$B$13,Constants!$B$14,Constants!$B$15,Constants!$B$16)))</f>
        <v/>
      </c>
      <c r="BR474" s="100" t="str">
        <f aca="false">IF($BL474&lt;&gt;Constants!$B$4,"",IF(NOT($AL474),0,Constants!$B$20*$BB474))</f>
        <v/>
      </c>
      <c r="BS474" s="100" t="str">
        <f aca="false">IF($BL474&lt;&gt;Constants!$B$4,"",IF(AND($AL474,$BD474,$BE474),Constants!$B$22,0))</f>
        <v/>
      </c>
      <c r="BT474" s="100" t="str">
        <f aca="false">IF($BL474&lt;&gt;Constants!$B$4,"",IF(OR(NOT($AL474),NOT($BD474)),0,IF($BJ474&gt;=2*$AH$9,0,Constants!$B$23*INT(ROUND(MIN($BJ474,$AH$9),6)))))</f>
        <v/>
      </c>
      <c r="BU474" s="100" t="str">
        <f aca="false">IF($BL474&lt;&gt;Constants!$B$4,"",IF(NOT($AL474),0,Constants!$B$24*INT(ROUND(MIN($BC474,$AH$9),6))))</f>
        <v/>
      </c>
      <c r="BV474" s="100" t="str">
        <f aca="false">IF($BL474&lt;&gt;Constants!$B$4,"",IF(AND($AL474,$BN474=0),Constants!$B$25,0))</f>
        <v/>
      </c>
      <c r="BW474" s="100" t="str">
        <f aca="false">IF($BL474&lt;&gt;Constants!$B$4,"",MIN(Constants!$B$29,MAX(0,Constants!$B$27*Constants!$B$28*INT(ROUND((Constants!$B$26-$AN474)/Constants!$B$28,6))))+MIN(Constants!$B$29,MAX(0,Constants!$B$27*Constants!$B$28*INT(ROUND((Constants!$B$26-$AO474)/Constants!$B$28,6))))+MIN(Constants!$B$29,MAX(0,Constants!$B$27*Constants!$B$28*INT(ROUND((Constants!$B$26-$AP474)/Constants!$B$28,6)))))</f>
        <v/>
      </c>
      <c r="BX474" s="100" t="str">
        <f aca="false">IF($BL474&lt;&gt;Constants!$B$4,"",IF(NOT($AL474),0,Constants!$B$31*INT(ROUND(MAX(0,MIN($BJ474,2*$AH$9)-$AH$9),6))))</f>
        <v/>
      </c>
      <c r="BY474" s="100" t="str">
        <f aca="false">IF($BL474&lt;&gt;Constants!$B$4,"",Constants!$B$32*(($AN474&gt;Constants!$B$26)+($AO474&gt;Constants!$B$26)+($AP474&gt;Constants!$B$26)))</f>
        <v/>
      </c>
      <c r="BZ474" s="100" t="str">
        <f aca="false">IF($BL474&lt;&gt;Constants!$B$4,"",IF(OR(NOT($AL474),$AQ474),0,Constants!$B$33))</f>
        <v/>
      </c>
      <c r="CA474" s="100" t="str">
        <f aca="false">IF($BL474&lt;&gt;Constants!$B$4,"",Constants!$B$34*$BN474)</f>
        <v/>
      </c>
      <c r="CB474" s="100" t="str">
        <f aca="false">IF($BL474&lt;&gt;Constants!$B$4,"",IF(OR(NOT($AL474),$BH474),0,Constants!$B$36))</f>
        <v/>
      </c>
      <c r="CC474" s="100" t="str">
        <f aca="false">IF($BL474&lt;&gt;Constants!$B$4,"",IF(OR(NOT($AL474),$BG474),0,Constants!$B$37))</f>
        <v/>
      </c>
      <c r="CD474" s="100" t="str">
        <f aca="false">IF($BL474&lt;&gt;Constants!$B$4,"",SUM($BX474:$CC474))</f>
        <v/>
      </c>
      <c r="CE474" s="100" t="str">
        <f aca="false">IF(ISBLANK($C474),"",IF($BL474&lt;&gt;Constants!$B$4,$BL474,SUM($BO474:$BW474)-$CD474))</f>
        <v/>
      </c>
      <c r="CF474" s="100" t="str">
        <f aca="false">IF(ISBLANK($C474),"",IF($BL474&lt;&gt;Constants!$B$4,$BL474,RANK($CE474,$CE$9:$CE$508)))</f>
        <v/>
      </c>
      <c r="CG474" s="100" t="str">
        <f aca="false">IF(ISBLANK($C474),"",IF($BL474&lt;&gt;Constants!$B$4,$BL474,COUNTIFS($BM$9:$BM$508,"&lt;"&amp;$BM474)+COUNTIFS($BM$9:$BM$508,$BM474,$CF$9:$CF$508,"&lt;"&amp;$CF474)+1))</f>
        <v/>
      </c>
      <c r="CH474" s="100" t="str">
        <f aca="false">IF(ISBLANK($C474),"",IF($BL474&lt;&gt;Constants!$B$4,$BL474,RANK($CD474,$CD$9:$CD$508,1)))</f>
        <v/>
      </c>
      <c r="CI474" s="100" t="str">
        <f aca="false">IF($BL474&lt;&gt;Constants!$B$4,"",$AN474+$AO474+$AP474)</f>
        <v/>
      </c>
      <c r="CJ474" s="100" t="str">
        <f aca="false">IF(ISBLANK($C474),"",IF($BL474&lt;&gt;Constants!$B$4,$BL474,RANK($CI474,$CI$9:$CI$508,1)))</f>
        <v/>
      </c>
      <c r="CK474" s="100" t="str">
        <f aca="false">IF(ISBLANK($C474),"",IF($BL474&lt;&gt;Constants!$B$4,$BL474,COUNTIFS($BM$9:$BM$508,"&lt;"&amp;$BM474)+COUNTIFS($BM$9:$BM$508,$BM474,$CF$9:$CF$508,"&lt;"&amp;$CF474)+COUNTIFS($BM$9:$BM$508,$BM474,$CF$9:$CF$508,$CF474,$CH$9:$CH$508,"&lt;"&amp;$CH474)+COUNTIFS($BM$9:$BM$508,$BM474,$CF$9:$CF$508,$CF474,$CH$9:$CH$508,$CH474,$CJ$9:$CJ$508,"&lt;"&amp;$CJ474)+1))</f>
        <v/>
      </c>
      <c r="CL474" s="100" t="str">
        <f aca="false">IF(ISBLANK($C474),"",IF($BL474&lt;&gt;Constants!$B$4,$BL474,$CG474-$CK474))</f>
        <v/>
      </c>
      <c r="CM474" s="100" t="str">
        <f aca="false">IF(ISBLANK($C474),"",IF(NOT($AL474),"",IF(ISBLANK($D$7),$CM$5,IF(NOT(ISNUMBER($D$7)),$CM$6,""))))</f>
        <v/>
      </c>
      <c r="CN474" s="100" t="str">
        <f aca="false">IF(ISBLANK($C474),"",OR($AN474="",$AO474="",$AP474=""))</f>
        <v/>
      </c>
      <c r="CO474" s="100" t="str">
        <f aca="false">IF(ISBLANK($C474),"",AND($AL474,$BA474=""))</f>
        <v/>
      </c>
      <c r="CP474" s="100" t="str">
        <f aca="false">IF(ISBLANK($C474),"",AND($AL474,$BB474=""))</f>
        <v/>
      </c>
      <c r="CQ474" s="100" t="str">
        <f aca="false">IF(ISBLANK($C474),"",AND($AL474,$BC474=""))</f>
        <v/>
      </c>
      <c r="CR474" s="100" t="str">
        <f aca="false">IF(ISBLANK($C474),"",AND($AL474,$BF474=""))</f>
        <v/>
      </c>
      <c r="CS474" s="100" t="str">
        <f aca="false">IF(ISBLANK($C474),"",AND($AL474,$BJ474=""))</f>
        <v/>
      </c>
      <c r="CT474" s="101"/>
      <c r="CU474" s="102"/>
      <c r="CV474" s="103" t="str">
        <f aca="false">IF(ISBLANK($C474),"",IF($BL474=Constants!$B$8,$CM474,""))</f>
        <v/>
      </c>
      <c r="CW474" s="102" t="str">
        <f aca="false">IF(ISBLANK($C474),"",IF($BL474&lt;&gt;Constants!$B$4,"",$BO474+$BP474))</f>
        <v/>
      </c>
      <c r="CX474" s="104" t="str">
        <f aca="false">IF(ISBLANK($C474),"",IF($BL474&lt;&gt;Constants!$B$4,"",$BQ474+$BR474+$BS474))</f>
        <v/>
      </c>
      <c r="CY474" s="104" t="str">
        <f aca="false">IF(ISBLANK($C474),"",IF($BL474&lt;&gt;Constants!$B$4,"",$BT474))</f>
        <v/>
      </c>
      <c r="CZ474" s="104" t="str">
        <f aca="false">IF(ISBLANK($C474),"",IF($BL474&lt;&gt;Constants!$B$4,"",$BU474+$BV474))</f>
        <v/>
      </c>
      <c r="DA474" s="104" t="str">
        <f aca="false">IF(ISBLANK($C474),"",IF($BL474&lt;&gt;Constants!$B$4,"",$BW474))</f>
        <v/>
      </c>
      <c r="DB474" s="104" t="str">
        <f aca="false">IF(ISBLANK($C474),"",IF($BL474&lt;&gt;Constants!$B$4,"",-$CD474))</f>
        <v/>
      </c>
      <c r="DC474" s="103" t="str">
        <f aca="false">IF(ISBLANK($C474),"",$CE474)</f>
        <v/>
      </c>
      <c r="DD474" s="105" t="str">
        <f aca="false">IF(ISBLANK($C474),"",$BM474)</f>
        <v/>
      </c>
      <c r="DE474" s="104" t="str">
        <f aca="false">IF(ISBLANK($C474),"",$CL474)</f>
        <v/>
      </c>
      <c r="DF474" s="104" t="str">
        <f aca="false">IF(ISBLANK($C474),"",$CK474)</f>
        <v/>
      </c>
      <c r="DG474" s="106" t="str">
        <f aca="false">IF(ISBLANK($C474),"",IF($DF474=Constants!$B$7,COUNTA($C$9:$C$508)+2,IF($DF474=Constants!$B$6,COUNTA($C$9:$C$508)+1,IF($DF474=Constants!$B$5,COUNTA($C$9:$C$508),$DF474))))</f>
        <v/>
      </c>
      <c r="DH474" s="7"/>
      <c r="DI474" s="107" t="n">
        <f aca="false">IF(OR(ISNUMBER($DF474),$DF474=Constants!$B$7,$DF474=Constants!$B$5,$DF474=Constants!$B$6),1,0)</f>
        <v>0</v>
      </c>
      <c r="DJ474" s="107" t="n">
        <v>466</v>
      </c>
      <c r="DK474" s="107" t="str">
        <f aca="false">IF(ISBLANK($C474),"",IF(ISNUMBER($DG474),$DG474+ROW($B474)/1000,""))</f>
        <v/>
      </c>
      <c r="DL474" s="107" t="str">
        <f aca="false">IF(ISNUMBER($DK474),RANK($DK474,$DK$9:$DK$508,1),"")</f>
        <v/>
      </c>
      <c r="DM474" s="107" t="str">
        <f aca="false">IF(ISBLANK($C474),"",$B474)</f>
        <v/>
      </c>
      <c r="DN474" s="107" t="str">
        <f aca="false">IF(ISBLANK($C474),"",$C474)</f>
        <v/>
      </c>
      <c r="DO474" s="107" t="str">
        <f aca="false">IF(ISBLANK($C474),"",$D474)</f>
        <v/>
      </c>
      <c r="DP474" s="108" t="str">
        <f aca="false">$DD474</f>
        <v/>
      </c>
      <c r="DQ474" s="109" t="str">
        <f aca="false">$DC474</f>
        <v/>
      </c>
      <c r="DR474" s="107" t="str">
        <f aca="false">IF(ISBLANK($C474),"",$DF474)</f>
        <v/>
      </c>
      <c r="DS474" s="110" t="str">
        <f aca="false">IF($DJ474&gt;$DI$8,"",VLOOKUP($DJ474,$DL$9:$DR$508,7,FALSE()))</f>
        <v/>
      </c>
      <c r="DT474" s="111" t="str">
        <f aca="false">IF($DJ474&gt;$DI$8,"",VLOOKUP($DJ474,$DL$9:$DR$508,2,FALSE()))</f>
        <v/>
      </c>
      <c r="DU474" s="111" t="str">
        <f aca="false">IF($DJ474&gt;$DI$8,"",VLOOKUP($DJ474,$DL$9:$DR$508,3,FALSE()))</f>
        <v/>
      </c>
      <c r="DV474" s="111" t="str">
        <f aca="false">IF($DJ474&gt;$DI$8,"",VLOOKUP($DJ474,$DL$9:$DR$508,4,FALSE()))</f>
        <v/>
      </c>
      <c r="DW474" s="111" t="str">
        <f aca="false">IF($DJ474&gt;$DI$8,"",VLOOKUP($DJ474,$DL$9:$DR$508,5,FALSE()))</f>
        <v/>
      </c>
      <c r="DX474" s="112" t="str">
        <f aca="false">IF($DJ474&gt;$DI$8,"",VLOOKUP($DJ474,$DL$9:$DR$508,6,FALSE()))</f>
        <v/>
      </c>
      <c r="DY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130"/>
      <c r="N475" s="130"/>
      <c r="O475" s="135"/>
      <c r="P475" s="135"/>
      <c r="Q475" s="130"/>
      <c r="R475" s="130"/>
      <c r="S475" s="130"/>
      <c r="T475" s="130"/>
      <c r="U475" s="135"/>
      <c r="V475" s="130"/>
      <c r="W475" s="96"/>
      <c r="X475" s="130"/>
      <c r="Y475" s="130"/>
      <c r="Z475" s="96"/>
      <c r="AA475" s="96"/>
      <c r="AB475" s="130"/>
      <c r="AC475" s="130"/>
      <c r="AD475" s="130"/>
      <c r="AE475" s="97"/>
      <c r="AF475" s="130"/>
      <c r="AG475" s="99"/>
      <c r="AH475" s="100"/>
      <c r="AI475" s="100"/>
      <c r="AJ475" s="100" t="str">
        <f aca="false">IF(ISBLANK($C475),"",IF($E475=Constants!$B$2,TRUE(),IF($E475=Constants!$B$3,FALSE(),TRUE())))</f>
        <v/>
      </c>
      <c r="AK475" s="100" t="str">
        <f aca="false">IF(ISBLANK($C475),"",IF($F475=Constants!$B$2,TRUE(),IF($F475=Constants!$B$3,FALSE(),FALSE())))</f>
        <v/>
      </c>
      <c r="AL475" s="100" t="str">
        <f aca="false">IF(ISBLANK($C475),"",IF($G475=Constants!$B$2,TRUE(),IF($G475=Constants!$B$3,FALSE(),TRUE())))</f>
        <v/>
      </c>
      <c r="AM475" s="100" t="str">
        <f aca="false">IF(ISBLANK($C475),"",IF($H475=Constants!$B$2,TRUE(),IF($H475=Constants!$B$3,FALSE(),TRUE())))</f>
        <v/>
      </c>
      <c r="AN475" s="100" t="str">
        <f aca="false">IF(ISBLANK($C475),"",IF(ISNUMBER($I475),IF($I475&gt;=0,$I475,""),""))</f>
        <v/>
      </c>
      <c r="AO475" s="100" t="str">
        <f aca="false">IF(ISBLANK($C475),"",IF(ISNUMBER($J475),IF($J475&gt;=0,$J475,""),""))</f>
        <v/>
      </c>
      <c r="AP475" s="100" t="str">
        <f aca="false">IF(ISBLANK($C475),"",IF(ISNUMBER($K475),IF($K475&gt;=0,$K475,""),""))</f>
        <v/>
      </c>
      <c r="AQ475" s="100" t="str">
        <f aca="false">IF(ISBLANK($C475),"",IF($L475=Constants!$B$2,TRUE(),IF($L475=Constants!$B$3,FALSE(),TRUE())))</f>
        <v/>
      </c>
      <c r="AR475" s="100" t="str">
        <f aca="false">IF(ISBLANK($C475),"",IF($M475=Constants!$B$2,TRUE(),IF($M475=Constants!$B$3,FALSE(),TRUE())))</f>
        <v/>
      </c>
      <c r="AS475" s="100" t="str">
        <f aca="false">IF(ISBLANK($C475),"",IF($N475=Constants!$B$2,TRUE(),IF($N475=Constants!$B$3,FALSE(),FALSE())))</f>
        <v/>
      </c>
      <c r="AT475" s="100" t="str">
        <f aca="false">IF(ISBLANK($C475),"",IF($O475=Constants!$B$2,TRUE(),IF($O475=Constants!$B$3,FALSE(),TRUE())))</f>
        <v/>
      </c>
      <c r="AU475" s="100" t="str">
        <f aca="false">IF(ISBLANK($C475),"",IF($P475=Constants!$B$2,TRUE(),IF($P475=Constants!$B$3,FALSE(),TRUE())))</f>
        <v/>
      </c>
      <c r="AV475" s="100" t="str">
        <f aca="false">IF(ISBLANK($C475),"",IF($Q475=Constants!$B$2,TRUE(),IF($Q475=Constants!$B$3,FALSE(),FALSE())))</f>
        <v/>
      </c>
      <c r="AW475" s="100" t="str">
        <f aca="false">IF(ISBLANK($C475),"",IF($R475=Constants!$B$2,TRUE(),IF($R475=Constants!$B$3,FALSE(),FALSE())))</f>
        <v/>
      </c>
      <c r="AX475" s="100" t="str">
        <f aca="false">IF(ISBLANK($C475),"",IF($S475=Constants!$B$2,TRUE(),IF($S475=Constants!$B$3,FALSE(),FALSE())))</f>
        <v/>
      </c>
      <c r="AY475" s="100" t="str">
        <f aca="false">IF(ISBLANK($C475),"",IF($T475=Constants!$B$2,TRUE(),IF($T475=Constants!$B$3,FALSE(),FALSE())))</f>
        <v/>
      </c>
      <c r="AZ475" s="100" t="str">
        <f aca="false">IF(ISBLANK($C475),"",IF($U475=Constants!$B$2,TRUE(),IF($U475=Constants!$B$3,FALSE(),FALSE())))</f>
        <v/>
      </c>
      <c r="BA475" s="100" t="str">
        <f aca="false">IF(ISBLANK($C475),"",IF(OR($V475&amp;""="1",$V475&amp;""="2",$V475&amp;""="3",$V475&amp;""="4"),VALUE($V475&amp;""),IF($V475=Constants!$B$12,Constants!$B$12,"")))</f>
        <v/>
      </c>
      <c r="BB475" s="100" t="str">
        <f aca="false">IF(ISBLANK($C475),"",IF(ISBLANK($W475),0,IF(ISNUMBER($W475),IF(AND($W475&gt;=0,$W475&lt;=Constants!$B$21,$W475=INT($W475)),$W475,""),"")))</f>
        <v/>
      </c>
      <c r="BC475" s="100" t="str">
        <f aca="false">IF(ISBLANK($C475),"",IF(ISBLANK($X475),0,IF(ISNUMBER($X475),IF($X475&gt;=0,$X475,""),"")))</f>
        <v/>
      </c>
      <c r="BD475" s="100" t="str">
        <f aca="false">IF(ISBLANK($C475),"",IF($Y475=Constants!$B$2,TRUE(),IF($Y475=Constants!$B$3,FALSE(),TRUE())))</f>
        <v/>
      </c>
      <c r="BE475" s="100" t="str">
        <f aca="false">IF(ISBLANK($C475),"",IF($Z475=Constants!$B$2,TRUE(),IF($Z475=Constants!$B$3,FALSE(),FALSE())))</f>
        <v/>
      </c>
      <c r="BF475" s="100" t="str">
        <f aca="false">IF(ISBLANK($C475),"",IF(ISBLANK($AA475),0,IF(ISNUMBER($AA475),IF(AND($AA475&gt;=0,$AA475&lt;=Constants!$B$35,$AA475=INT($AA475)),$AA475,""),"")))</f>
        <v/>
      </c>
      <c r="BG475" s="100" t="str">
        <f aca="false">IF(ISBLANK($C475),"",IF($AB475=Constants!$B$2,TRUE(),IF($AB475=Constants!$B$3,FALSE(),TRUE())))</f>
        <v/>
      </c>
      <c r="BH475" s="100" t="str">
        <f aca="false">IF(ISBLANK($C475),"",IF($AC475=Constants!$B$2,TRUE(),IF($AC475=Constants!$B$3,FALSE(),TRUE())))</f>
        <v/>
      </c>
      <c r="BI475" s="100" t="str">
        <f aca="false">IF(ISBLANK($C475),"",IF($AD475=Constants!$B$2,TRUE(),IF($AD475=Constants!$B$3,FALSE(),TRUE())))</f>
        <v/>
      </c>
      <c r="BJ475" s="100" t="str">
        <f aca="false">IF(ISBLANK($C475),"",IF(ISNUMBER($AE475),IF($AE475&gt;=0,$AE475,""),""))</f>
        <v/>
      </c>
      <c r="BK475" s="100" t="str">
        <f aca="false">IF(ISBLANK($C475),"",IF($AF475=Constants!$B$2,TRUE(),IF($AF475=Constants!$B$3,FALSE(),FALSE())))</f>
        <v/>
      </c>
      <c r="BL475" s="99" t="str">
        <f aca="false">IF(ISBLANK($C475),"",IF($BK475,Constants!$B$7,IF(COUNTA($E475:$AE475)=0,Constants!$B$6,IF(OR(COUNTA($G475:$AE475)=0,NOT($AM475),$AS475),Constants!$B$5,IF(OR($CM475&lt;&gt;"",$CN475,$CO475,$CP475,$CQ475,$CR475,$CS475),Constants!$B$8,Constants!$B$4)))))</f>
        <v/>
      </c>
      <c r="BM475" s="100" t="str">
        <f aca="false">IF(ISBLANK($C475),"",IF($BL475&lt;&gt;Constants!$B$4,$BL475,IF(OR(NOT($AJ475),NOT($AL475),NOT($AT475)),Constants!$B$11,IF(OR(NOT($AR475),NOT($AU475),NOT($BI475),MAX($AN475,$AO475,$AP475)&gt;Constants!$B$30),Constants!$B$10,Constants!$B$9))))</f>
        <v/>
      </c>
      <c r="BN475" s="100" t="str">
        <f aca="false">IF($BL475&lt;&gt;Constants!$B$4,"",IF(NOT($AL475),0,MIN(Constants!$B$35,$BF475)))</f>
        <v/>
      </c>
      <c r="BO475" s="100" t="str">
        <f aca="false">IF($BL475&lt;&gt;Constants!$B$4,"",IF(NOT($AL475),0,IF($AW475,Constants!$B$18,IF($AV475,Constants!$B$17,0))))</f>
        <v/>
      </c>
      <c r="BP475" s="100" t="str">
        <f aca="false">IF($BL475&lt;&gt;Constants!$B$4,"",IF(NOT($AL475),0,Constants!$B$19*($AK475+$AX475+$AY475+$AZ475)))</f>
        <v/>
      </c>
      <c r="BQ475" s="100" t="str">
        <f aca="false">IF($BL475&lt;&gt;Constants!$B$4,"",IF(OR(NOT($AL475),NOT(ISNUMBER($BA475))),0,CHOOSE($BA475,Constants!$B$13,Constants!$B$14,Constants!$B$15,Constants!$B$16)))</f>
        <v/>
      </c>
      <c r="BR475" s="100" t="str">
        <f aca="false">IF($BL475&lt;&gt;Constants!$B$4,"",IF(NOT($AL475),0,Constants!$B$20*$BB475))</f>
        <v/>
      </c>
      <c r="BS475" s="100" t="str">
        <f aca="false">IF($BL475&lt;&gt;Constants!$B$4,"",IF(AND($AL475,$BD475,$BE475),Constants!$B$22,0))</f>
        <v/>
      </c>
      <c r="BT475" s="100" t="str">
        <f aca="false">IF($BL475&lt;&gt;Constants!$B$4,"",IF(OR(NOT($AL475),NOT($BD475)),0,IF($BJ475&gt;=2*$AH$9,0,Constants!$B$23*INT(ROUND(MIN($BJ475,$AH$9),6)))))</f>
        <v/>
      </c>
      <c r="BU475" s="100" t="str">
        <f aca="false">IF($BL475&lt;&gt;Constants!$B$4,"",IF(NOT($AL475),0,Constants!$B$24*INT(ROUND(MIN($BC475,$AH$9),6))))</f>
        <v/>
      </c>
      <c r="BV475" s="100" t="str">
        <f aca="false">IF($BL475&lt;&gt;Constants!$B$4,"",IF(AND($AL475,$BN475=0),Constants!$B$25,0))</f>
        <v/>
      </c>
      <c r="BW475" s="100" t="str">
        <f aca="false">IF($BL475&lt;&gt;Constants!$B$4,"",MIN(Constants!$B$29,MAX(0,Constants!$B$27*Constants!$B$28*INT(ROUND((Constants!$B$26-$AN475)/Constants!$B$28,6))))+MIN(Constants!$B$29,MAX(0,Constants!$B$27*Constants!$B$28*INT(ROUND((Constants!$B$26-$AO475)/Constants!$B$28,6))))+MIN(Constants!$B$29,MAX(0,Constants!$B$27*Constants!$B$28*INT(ROUND((Constants!$B$26-$AP475)/Constants!$B$28,6)))))</f>
        <v/>
      </c>
      <c r="BX475" s="100" t="str">
        <f aca="false">IF($BL475&lt;&gt;Constants!$B$4,"",IF(NOT($AL475),0,Constants!$B$31*INT(ROUND(MAX(0,MIN($BJ475,2*$AH$9)-$AH$9),6))))</f>
        <v/>
      </c>
      <c r="BY475" s="100" t="str">
        <f aca="false">IF($BL475&lt;&gt;Constants!$B$4,"",Constants!$B$32*(($AN475&gt;Constants!$B$26)+($AO475&gt;Constants!$B$26)+($AP475&gt;Constants!$B$26)))</f>
        <v/>
      </c>
      <c r="BZ475" s="100" t="str">
        <f aca="false">IF($BL475&lt;&gt;Constants!$B$4,"",IF(OR(NOT($AL475),$AQ475),0,Constants!$B$33))</f>
        <v/>
      </c>
      <c r="CA475" s="100" t="str">
        <f aca="false">IF($BL475&lt;&gt;Constants!$B$4,"",Constants!$B$34*$BN475)</f>
        <v/>
      </c>
      <c r="CB475" s="100" t="str">
        <f aca="false">IF($BL475&lt;&gt;Constants!$B$4,"",IF(OR(NOT($AL475),$BH475),0,Constants!$B$36))</f>
        <v/>
      </c>
      <c r="CC475" s="100" t="str">
        <f aca="false">IF($BL475&lt;&gt;Constants!$B$4,"",IF(OR(NOT($AL475),$BG475),0,Constants!$B$37))</f>
        <v/>
      </c>
      <c r="CD475" s="100" t="str">
        <f aca="false">IF($BL475&lt;&gt;Constants!$B$4,"",SUM($BX475:$CC475))</f>
        <v/>
      </c>
      <c r="CE475" s="100" t="str">
        <f aca="false">IF(ISBLANK($C475),"",IF($BL475&lt;&gt;Constants!$B$4,$BL475,SUM($BO475:$BW475)-$CD475))</f>
        <v/>
      </c>
      <c r="CF475" s="100" t="str">
        <f aca="false">IF(ISBLANK($C475),"",IF($BL475&lt;&gt;Constants!$B$4,$BL475,RANK($CE475,$CE$9:$CE$508)))</f>
        <v/>
      </c>
      <c r="CG475" s="100" t="str">
        <f aca="false">IF(ISBLANK($C475),"",IF($BL475&lt;&gt;Constants!$B$4,$BL475,COUNTIFS($BM$9:$BM$508,"&lt;"&amp;$BM475)+COUNTIFS($BM$9:$BM$508,$BM475,$CF$9:$CF$508,"&lt;"&amp;$CF475)+1))</f>
        <v/>
      </c>
      <c r="CH475" s="100" t="str">
        <f aca="false">IF(ISBLANK($C475),"",IF($BL475&lt;&gt;Constants!$B$4,$BL475,RANK($CD475,$CD$9:$CD$508,1)))</f>
        <v/>
      </c>
      <c r="CI475" s="100" t="str">
        <f aca="false">IF($BL475&lt;&gt;Constants!$B$4,"",$AN475+$AO475+$AP475)</f>
        <v/>
      </c>
      <c r="CJ475" s="100" t="str">
        <f aca="false">IF(ISBLANK($C475),"",IF($BL475&lt;&gt;Constants!$B$4,$BL475,RANK($CI475,$CI$9:$CI$508,1)))</f>
        <v/>
      </c>
      <c r="CK475" s="100" t="str">
        <f aca="false">IF(ISBLANK($C475),"",IF($BL475&lt;&gt;Constants!$B$4,$BL475,COUNTIFS($BM$9:$BM$508,"&lt;"&amp;$BM475)+COUNTIFS($BM$9:$BM$508,$BM475,$CF$9:$CF$508,"&lt;"&amp;$CF475)+COUNTIFS($BM$9:$BM$508,$BM475,$CF$9:$CF$508,$CF475,$CH$9:$CH$508,"&lt;"&amp;$CH475)+COUNTIFS($BM$9:$BM$508,$BM475,$CF$9:$CF$508,$CF475,$CH$9:$CH$508,$CH475,$CJ$9:$CJ$508,"&lt;"&amp;$CJ475)+1))</f>
        <v/>
      </c>
      <c r="CL475" s="100" t="str">
        <f aca="false">IF(ISBLANK($C475),"",IF($BL475&lt;&gt;Constants!$B$4,$BL475,$CG475-$CK475))</f>
        <v/>
      </c>
      <c r="CM475" s="100" t="str">
        <f aca="false">IF(ISBLANK($C475),"",IF(NOT($AL475),"",IF(ISBLANK($D$7),$CM$5,IF(NOT(ISNUMBER($D$7)),$CM$6,""))))</f>
        <v/>
      </c>
      <c r="CN475" s="100" t="str">
        <f aca="false">IF(ISBLANK($C475),"",OR($AN475="",$AO475="",$AP475=""))</f>
        <v/>
      </c>
      <c r="CO475" s="100" t="str">
        <f aca="false">IF(ISBLANK($C475),"",AND($AL475,$BA475=""))</f>
        <v/>
      </c>
      <c r="CP475" s="100" t="str">
        <f aca="false">IF(ISBLANK($C475),"",AND($AL475,$BB475=""))</f>
        <v/>
      </c>
      <c r="CQ475" s="100" t="str">
        <f aca="false">IF(ISBLANK($C475),"",AND($AL475,$BC475=""))</f>
        <v/>
      </c>
      <c r="CR475" s="100" t="str">
        <f aca="false">IF(ISBLANK($C475),"",AND($AL475,$BF475=""))</f>
        <v/>
      </c>
      <c r="CS475" s="100" t="str">
        <f aca="false">IF(ISBLANK($C475),"",AND($AL475,$BJ475=""))</f>
        <v/>
      </c>
      <c r="CT475" s="101"/>
      <c r="CU475" s="102"/>
      <c r="CV475" s="103" t="str">
        <f aca="false">IF(ISBLANK($C475),"",IF($BL475=Constants!$B$8,$CM475,""))</f>
        <v/>
      </c>
      <c r="CW475" s="102" t="str">
        <f aca="false">IF(ISBLANK($C475),"",IF($BL475&lt;&gt;Constants!$B$4,"",$BO475+$BP475))</f>
        <v/>
      </c>
      <c r="CX475" s="104" t="str">
        <f aca="false">IF(ISBLANK($C475),"",IF($BL475&lt;&gt;Constants!$B$4,"",$BQ475+$BR475+$BS475))</f>
        <v/>
      </c>
      <c r="CY475" s="104" t="str">
        <f aca="false">IF(ISBLANK($C475),"",IF($BL475&lt;&gt;Constants!$B$4,"",$BT475))</f>
        <v/>
      </c>
      <c r="CZ475" s="104" t="str">
        <f aca="false">IF(ISBLANK($C475),"",IF($BL475&lt;&gt;Constants!$B$4,"",$BU475+$BV475))</f>
        <v/>
      </c>
      <c r="DA475" s="104" t="str">
        <f aca="false">IF(ISBLANK($C475),"",IF($BL475&lt;&gt;Constants!$B$4,"",$BW475))</f>
        <v/>
      </c>
      <c r="DB475" s="104" t="str">
        <f aca="false">IF(ISBLANK($C475),"",IF($BL475&lt;&gt;Constants!$B$4,"",-$CD475))</f>
        <v/>
      </c>
      <c r="DC475" s="103" t="str">
        <f aca="false">IF(ISBLANK($C475),"",$CE475)</f>
        <v/>
      </c>
      <c r="DD475" s="105" t="str">
        <f aca="false">IF(ISBLANK($C475),"",$BM475)</f>
        <v/>
      </c>
      <c r="DE475" s="104" t="str">
        <f aca="false">IF(ISBLANK($C475),"",$CL475)</f>
        <v/>
      </c>
      <c r="DF475" s="104" t="str">
        <f aca="false">IF(ISBLANK($C475),"",$CK475)</f>
        <v/>
      </c>
      <c r="DG475" s="106" t="str">
        <f aca="false">IF(ISBLANK($C475),"",IF($DF475=Constants!$B$7,COUNTA($C$9:$C$508)+2,IF($DF475=Constants!$B$6,COUNTA($C$9:$C$508)+1,IF($DF475=Constants!$B$5,COUNTA($C$9:$C$508),$DF475))))</f>
        <v/>
      </c>
      <c r="DH475" s="7"/>
      <c r="DI475" s="107" t="n">
        <f aca="false">IF(OR(ISNUMBER($DF475),$DF475=Constants!$B$7,$DF475=Constants!$B$5,$DF475=Constants!$B$6),1,0)</f>
        <v>0</v>
      </c>
      <c r="DJ475" s="107" t="n">
        <v>467</v>
      </c>
      <c r="DK475" s="107" t="str">
        <f aca="false">IF(ISBLANK($C475),"",IF(ISNUMBER($DG475),$DG475+ROW($B475)/1000,""))</f>
        <v/>
      </c>
      <c r="DL475" s="107" t="str">
        <f aca="false">IF(ISNUMBER($DK475),RANK($DK475,$DK$9:$DK$508,1),"")</f>
        <v/>
      </c>
      <c r="DM475" s="107" t="str">
        <f aca="false">IF(ISBLANK($C475),"",$B475)</f>
        <v/>
      </c>
      <c r="DN475" s="107" t="str">
        <f aca="false">IF(ISBLANK($C475),"",$C475)</f>
        <v/>
      </c>
      <c r="DO475" s="107" t="str">
        <f aca="false">IF(ISBLANK($C475),"",$D475)</f>
        <v/>
      </c>
      <c r="DP475" s="108" t="str">
        <f aca="false">$DD475</f>
        <v/>
      </c>
      <c r="DQ475" s="109" t="str">
        <f aca="false">$DC475</f>
        <v/>
      </c>
      <c r="DR475" s="107" t="str">
        <f aca="false">IF(ISBLANK($C475),"",$DF475)</f>
        <v/>
      </c>
      <c r="DS475" s="110" t="str">
        <f aca="false">IF($DJ475&gt;$DI$8,"",VLOOKUP($DJ475,$DL$9:$DR$508,7,FALSE()))</f>
        <v/>
      </c>
      <c r="DT475" s="111" t="str">
        <f aca="false">IF($DJ475&gt;$DI$8,"",VLOOKUP($DJ475,$DL$9:$DR$508,2,FALSE()))</f>
        <v/>
      </c>
      <c r="DU475" s="111" t="str">
        <f aca="false">IF($DJ475&gt;$DI$8,"",VLOOKUP($DJ475,$DL$9:$DR$508,3,FALSE()))</f>
        <v/>
      </c>
      <c r="DV475" s="111" t="str">
        <f aca="false">IF($DJ475&gt;$DI$8,"",VLOOKUP($DJ475,$DL$9:$DR$508,4,FALSE()))</f>
        <v/>
      </c>
      <c r="DW475" s="111" t="str">
        <f aca="false">IF($DJ475&gt;$DI$8,"",VLOOKUP($DJ475,$DL$9:$DR$508,5,FALSE()))</f>
        <v/>
      </c>
      <c r="DX475" s="112" t="str">
        <f aca="false">IF($DJ475&gt;$DI$8,"",VLOOKUP($DJ475,$DL$9:$DR$508,6,FALSE()))</f>
        <v/>
      </c>
      <c r="DY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130"/>
      <c r="N476" s="130"/>
      <c r="O476" s="135"/>
      <c r="P476" s="135"/>
      <c r="Q476" s="130"/>
      <c r="R476" s="130"/>
      <c r="S476" s="130"/>
      <c r="T476" s="130"/>
      <c r="U476" s="135"/>
      <c r="V476" s="130"/>
      <c r="W476" s="96"/>
      <c r="X476" s="130"/>
      <c r="Y476" s="130"/>
      <c r="Z476" s="96"/>
      <c r="AA476" s="96"/>
      <c r="AB476" s="130"/>
      <c r="AC476" s="130"/>
      <c r="AD476" s="130"/>
      <c r="AE476" s="97"/>
      <c r="AF476" s="130"/>
      <c r="AG476" s="99"/>
      <c r="AH476" s="100"/>
      <c r="AI476" s="100"/>
      <c r="AJ476" s="100" t="str">
        <f aca="false">IF(ISBLANK($C476),"",IF($E476=Constants!$B$2,TRUE(),IF($E476=Constants!$B$3,FALSE(),TRUE())))</f>
        <v/>
      </c>
      <c r="AK476" s="100" t="str">
        <f aca="false">IF(ISBLANK($C476),"",IF($F476=Constants!$B$2,TRUE(),IF($F476=Constants!$B$3,FALSE(),FALSE())))</f>
        <v/>
      </c>
      <c r="AL476" s="100" t="str">
        <f aca="false">IF(ISBLANK($C476),"",IF($G476=Constants!$B$2,TRUE(),IF($G476=Constants!$B$3,FALSE(),TRUE())))</f>
        <v/>
      </c>
      <c r="AM476" s="100" t="str">
        <f aca="false">IF(ISBLANK($C476),"",IF($H476=Constants!$B$2,TRUE(),IF($H476=Constants!$B$3,FALSE(),TRUE())))</f>
        <v/>
      </c>
      <c r="AN476" s="100" t="str">
        <f aca="false">IF(ISBLANK($C476),"",IF(ISNUMBER($I476),IF($I476&gt;=0,$I476,""),""))</f>
        <v/>
      </c>
      <c r="AO476" s="100" t="str">
        <f aca="false">IF(ISBLANK($C476),"",IF(ISNUMBER($J476),IF($J476&gt;=0,$J476,""),""))</f>
        <v/>
      </c>
      <c r="AP476" s="100" t="str">
        <f aca="false">IF(ISBLANK($C476),"",IF(ISNUMBER($K476),IF($K476&gt;=0,$K476,""),""))</f>
        <v/>
      </c>
      <c r="AQ476" s="100" t="str">
        <f aca="false">IF(ISBLANK($C476),"",IF($L476=Constants!$B$2,TRUE(),IF($L476=Constants!$B$3,FALSE(),TRUE())))</f>
        <v/>
      </c>
      <c r="AR476" s="100" t="str">
        <f aca="false">IF(ISBLANK($C476),"",IF($M476=Constants!$B$2,TRUE(),IF($M476=Constants!$B$3,FALSE(),TRUE())))</f>
        <v/>
      </c>
      <c r="AS476" s="100" t="str">
        <f aca="false">IF(ISBLANK($C476),"",IF($N476=Constants!$B$2,TRUE(),IF($N476=Constants!$B$3,FALSE(),FALSE())))</f>
        <v/>
      </c>
      <c r="AT476" s="100" t="str">
        <f aca="false">IF(ISBLANK($C476),"",IF($O476=Constants!$B$2,TRUE(),IF($O476=Constants!$B$3,FALSE(),TRUE())))</f>
        <v/>
      </c>
      <c r="AU476" s="100" t="str">
        <f aca="false">IF(ISBLANK($C476),"",IF($P476=Constants!$B$2,TRUE(),IF($P476=Constants!$B$3,FALSE(),TRUE())))</f>
        <v/>
      </c>
      <c r="AV476" s="100" t="str">
        <f aca="false">IF(ISBLANK($C476),"",IF($Q476=Constants!$B$2,TRUE(),IF($Q476=Constants!$B$3,FALSE(),FALSE())))</f>
        <v/>
      </c>
      <c r="AW476" s="100" t="str">
        <f aca="false">IF(ISBLANK($C476),"",IF($R476=Constants!$B$2,TRUE(),IF($R476=Constants!$B$3,FALSE(),FALSE())))</f>
        <v/>
      </c>
      <c r="AX476" s="100" t="str">
        <f aca="false">IF(ISBLANK($C476),"",IF($S476=Constants!$B$2,TRUE(),IF($S476=Constants!$B$3,FALSE(),FALSE())))</f>
        <v/>
      </c>
      <c r="AY476" s="100" t="str">
        <f aca="false">IF(ISBLANK($C476),"",IF($T476=Constants!$B$2,TRUE(),IF($T476=Constants!$B$3,FALSE(),FALSE())))</f>
        <v/>
      </c>
      <c r="AZ476" s="100" t="str">
        <f aca="false">IF(ISBLANK($C476),"",IF($U476=Constants!$B$2,TRUE(),IF($U476=Constants!$B$3,FALSE(),FALSE())))</f>
        <v/>
      </c>
      <c r="BA476" s="100" t="str">
        <f aca="false">IF(ISBLANK($C476),"",IF(OR($V476&amp;""="1",$V476&amp;""="2",$V476&amp;""="3",$V476&amp;""="4"),VALUE($V476&amp;""),IF($V476=Constants!$B$12,Constants!$B$12,"")))</f>
        <v/>
      </c>
      <c r="BB476" s="100" t="str">
        <f aca="false">IF(ISBLANK($C476),"",IF(ISBLANK($W476),0,IF(ISNUMBER($W476),IF(AND($W476&gt;=0,$W476&lt;=Constants!$B$21,$W476=INT($W476)),$W476,""),"")))</f>
        <v/>
      </c>
      <c r="BC476" s="100" t="str">
        <f aca="false">IF(ISBLANK($C476),"",IF(ISBLANK($X476),0,IF(ISNUMBER($X476),IF($X476&gt;=0,$X476,""),"")))</f>
        <v/>
      </c>
      <c r="BD476" s="100" t="str">
        <f aca="false">IF(ISBLANK($C476),"",IF($Y476=Constants!$B$2,TRUE(),IF($Y476=Constants!$B$3,FALSE(),TRUE())))</f>
        <v/>
      </c>
      <c r="BE476" s="100" t="str">
        <f aca="false">IF(ISBLANK($C476),"",IF($Z476=Constants!$B$2,TRUE(),IF($Z476=Constants!$B$3,FALSE(),FALSE())))</f>
        <v/>
      </c>
      <c r="BF476" s="100" t="str">
        <f aca="false">IF(ISBLANK($C476),"",IF(ISBLANK($AA476),0,IF(ISNUMBER($AA476),IF(AND($AA476&gt;=0,$AA476&lt;=Constants!$B$35,$AA476=INT($AA476)),$AA476,""),"")))</f>
        <v/>
      </c>
      <c r="BG476" s="100" t="str">
        <f aca="false">IF(ISBLANK($C476),"",IF($AB476=Constants!$B$2,TRUE(),IF($AB476=Constants!$B$3,FALSE(),TRUE())))</f>
        <v/>
      </c>
      <c r="BH476" s="100" t="str">
        <f aca="false">IF(ISBLANK($C476),"",IF($AC476=Constants!$B$2,TRUE(),IF($AC476=Constants!$B$3,FALSE(),TRUE())))</f>
        <v/>
      </c>
      <c r="BI476" s="100" t="str">
        <f aca="false">IF(ISBLANK($C476),"",IF($AD476=Constants!$B$2,TRUE(),IF($AD476=Constants!$B$3,FALSE(),TRUE())))</f>
        <v/>
      </c>
      <c r="BJ476" s="100" t="str">
        <f aca="false">IF(ISBLANK($C476),"",IF(ISNUMBER($AE476),IF($AE476&gt;=0,$AE476,""),""))</f>
        <v/>
      </c>
      <c r="BK476" s="100" t="str">
        <f aca="false">IF(ISBLANK($C476),"",IF($AF476=Constants!$B$2,TRUE(),IF($AF476=Constants!$B$3,FALSE(),FALSE())))</f>
        <v/>
      </c>
      <c r="BL476" s="99" t="str">
        <f aca="false">IF(ISBLANK($C476),"",IF($BK476,Constants!$B$7,IF(COUNTA($E476:$AE476)=0,Constants!$B$6,IF(OR(COUNTA($G476:$AE476)=0,NOT($AM476),$AS476),Constants!$B$5,IF(OR($CM476&lt;&gt;"",$CN476,$CO476,$CP476,$CQ476,$CR476,$CS476),Constants!$B$8,Constants!$B$4)))))</f>
        <v/>
      </c>
      <c r="BM476" s="100" t="str">
        <f aca="false">IF(ISBLANK($C476),"",IF($BL476&lt;&gt;Constants!$B$4,$BL476,IF(OR(NOT($AJ476),NOT($AL476),NOT($AT476)),Constants!$B$11,IF(OR(NOT($AR476),NOT($AU476),NOT($BI476),MAX($AN476,$AO476,$AP476)&gt;Constants!$B$30),Constants!$B$10,Constants!$B$9))))</f>
        <v/>
      </c>
      <c r="BN476" s="100" t="str">
        <f aca="false">IF($BL476&lt;&gt;Constants!$B$4,"",IF(NOT($AL476),0,MIN(Constants!$B$35,$BF476)))</f>
        <v/>
      </c>
      <c r="BO476" s="100" t="str">
        <f aca="false">IF($BL476&lt;&gt;Constants!$B$4,"",IF(NOT($AL476),0,IF($AW476,Constants!$B$18,IF($AV476,Constants!$B$17,0))))</f>
        <v/>
      </c>
      <c r="BP476" s="100" t="str">
        <f aca="false">IF($BL476&lt;&gt;Constants!$B$4,"",IF(NOT($AL476),0,Constants!$B$19*($AK476+$AX476+$AY476+$AZ476)))</f>
        <v/>
      </c>
      <c r="BQ476" s="100" t="str">
        <f aca="false">IF($BL476&lt;&gt;Constants!$B$4,"",IF(OR(NOT($AL476),NOT(ISNUMBER($BA476))),0,CHOOSE($BA476,Constants!$B$13,Constants!$B$14,Constants!$B$15,Constants!$B$16)))</f>
        <v/>
      </c>
      <c r="BR476" s="100" t="str">
        <f aca="false">IF($BL476&lt;&gt;Constants!$B$4,"",IF(NOT($AL476),0,Constants!$B$20*$BB476))</f>
        <v/>
      </c>
      <c r="BS476" s="100" t="str">
        <f aca="false">IF($BL476&lt;&gt;Constants!$B$4,"",IF(AND($AL476,$BD476,$BE476),Constants!$B$22,0))</f>
        <v/>
      </c>
      <c r="BT476" s="100" t="str">
        <f aca="false">IF($BL476&lt;&gt;Constants!$B$4,"",IF(OR(NOT($AL476),NOT($BD476)),0,IF($BJ476&gt;=2*$AH$9,0,Constants!$B$23*INT(ROUND(MIN($BJ476,$AH$9),6)))))</f>
        <v/>
      </c>
      <c r="BU476" s="100" t="str">
        <f aca="false">IF($BL476&lt;&gt;Constants!$B$4,"",IF(NOT($AL476),0,Constants!$B$24*INT(ROUND(MIN($BC476,$AH$9),6))))</f>
        <v/>
      </c>
      <c r="BV476" s="100" t="str">
        <f aca="false">IF($BL476&lt;&gt;Constants!$B$4,"",IF(AND($AL476,$BN476=0),Constants!$B$25,0))</f>
        <v/>
      </c>
      <c r="BW476" s="100" t="str">
        <f aca="false">IF($BL476&lt;&gt;Constants!$B$4,"",MIN(Constants!$B$29,MAX(0,Constants!$B$27*Constants!$B$28*INT(ROUND((Constants!$B$26-$AN476)/Constants!$B$28,6))))+MIN(Constants!$B$29,MAX(0,Constants!$B$27*Constants!$B$28*INT(ROUND((Constants!$B$26-$AO476)/Constants!$B$28,6))))+MIN(Constants!$B$29,MAX(0,Constants!$B$27*Constants!$B$28*INT(ROUND((Constants!$B$26-$AP476)/Constants!$B$28,6)))))</f>
        <v/>
      </c>
      <c r="BX476" s="100" t="str">
        <f aca="false">IF($BL476&lt;&gt;Constants!$B$4,"",IF(NOT($AL476),0,Constants!$B$31*INT(ROUND(MAX(0,MIN($BJ476,2*$AH$9)-$AH$9),6))))</f>
        <v/>
      </c>
      <c r="BY476" s="100" t="str">
        <f aca="false">IF($BL476&lt;&gt;Constants!$B$4,"",Constants!$B$32*(($AN476&gt;Constants!$B$26)+($AO476&gt;Constants!$B$26)+($AP476&gt;Constants!$B$26)))</f>
        <v/>
      </c>
      <c r="BZ476" s="100" t="str">
        <f aca="false">IF($BL476&lt;&gt;Constants!$B$4,"",IF(OR(NOT($AL476),$AQ476),0,Constants!$B$33))</f>
        <v/>
      </c>
      <c r="CA476" s="100" t="str">
        <f aca="false">IF($BL476&lt;&gt;Constants!$B$4,"",Constants!$B$34*$BN476)</f>
        <v/>
      </c>
      <c r="CB476" s="100" t="str">
        <f aca="false">IF($BL476&lt;&gt;Constants!$B$4,"",IF(OR(NOT($AL476),$BH476),0,Constants!$B$36))</f>
        <v/>
      </c>
      <c r="CC476" s="100" t="str">
        <f aca="false">IF($BL476&lt;&gt;Constants!$B$4,"",IF(OR(NOT($AL476),$BG476),0,Constants!$B$37))</f>
        <v/>
      </c>
      <c r="CD476" s="100" t="str">
        <f aca="false">IF($BL476&lt;&gt;Constants!$B$4,"",SUM($BX476:$CC476))</f>
        <v/>
      </c>
      <c r="CE476" s="100" t="str">
        <f aca="false">IF(ISBLANK($C476),"",IF($BL476&lt;&gt;Constants!$B$4,$BL476,SUM($BO476:$BW476)-$CD476))</f>
        <v/>
      </c>
      <c r="CF476" s="100" t="str">
        <f aca="false">IF(ISBLANK($C476),"",IF($BL476&lt;&gt;Constants!$B$4,$BL476,RANK($CE476,$CE$9:$CE$508)))</f>
        <v/>
      </c>
      <c r="CG476" s="100" t="str">
        <f aca="false">IF(ISBLANK($C476),"",IF($BL476&lt;&gt;Constants!$B$4,$BL476,COUNTIFS($BM$9:$BM$508,"&lt;"&amp;$BM476)+COUNTIFS($BM$9:$BM$508,$BM476,$CF$9:$CF$508,"&lt;"&amp;$CF476)+1))</f>
        <v/>
      </c>
      <c r="CH476" s="100" t="str">
        <f aca="false">IF(ISBLANK($C476),"",IF($BL476&lt;&gt;Constants!$B$4,$BL476,RANK($CD476,$CD$9:$CD$508,1)))</f>
        <v/>
      </c>
      <c r="CI476" s="100" t="str">
        <f aca="false">IF($BL476&lt;&gt;Constants!$B$4,"",$AN476+$AO476+$AP476)</f>
        <v/>
      </c>
      <c r="CJ476" s="100" t="str">
        <f aca="false">IF(ISBLANK($C476),"",IF($BL476&lt;&gt;Constants!$B$4,$BL476,RANK($CI476,$CI$9:$CI$508,1)))</f>
        <v/>
      </c>
      <c r="CK476" s="100" t="str">
        <f aca="false">IF(ISBLANK($C476),"",IF($BL476&lt;&gt;Constants!$B$4,$BL476,COUNTIFS($BM$9:$BM$508,"&lt;"&amp;$BM476)+COUNTIFS($BM$9:$BM$508,$BM476,$CF$9:$CF$508,"&lt;"&amp;$CF476)+COUNTIFS($BM$9:$BM$508,$BM476,$CF$9:$CF$508,$CF476,$CH$9:$CH$508,"&lt;"&amp;$CH476)+COUNTIFS($BM$9:$BM$508,$BM476,$CF$9:$CF$508,$CF476,$CH$9:$CH$508,$CH476,$CJ$9:$CJ$508,"&lt;"&amp;$CJ476)+1))</f>
        <v/>
      </c>
      <c r="CL476" s="100" t="str">
        <f aca="false">IF(ISBLANK($C476),"",IF($BL476&lt;&gt;Constants!$B$4,$BL476,$CG476-$CK476))</f>
        <v/>
      </c>
      <c r="CM476" s="100" t="str">
        <f aca="false">IF(ISBLANK($C476),"",IF(NOT($AL476),"",IF(ISBLANK($D$7),$CM$5,IF(NOT(ISNUMBER($D$7)),$CM$6,""))))</f>
        <v/>
      </c>
      <c r="CN476" s="100" t="str">
        <f aca="false">IF(ISBLANK($C476),"",OR($AN476="",$AO476="",$AP476=""))</f>
        <v/>
      </c>
      <c r="CO476" s="100" t="str">
        <f aca="false">IF(ISBLANK($C476),"",AND($AL476,$BA476=""))</f>
        <v/>
      </c>
      <c r="CP476" s="100" t="str">
        <f aca="false">IF(ISBLANK($C476),"",AND($AL476,$BB476=""))</f>
        <v/>
      </c>
      <c r="CQ476" s="100" t="str">
        <f aca="false">IF(ISBLANK($C476),"",AND($AL476,$BC476=""))</f>
        <v/>
      </c>
      <c r="CR476" s="100" t="str">
        <f aca="false">IF(ISBLANK($C476),"",AND($AL476,$BF476=""))</f>
        <v/>
      </c>
      <c r="CS476" s="100" t="str">
        <f aca="false">IF(ISBLANK($C476),"",AND($AL476,$BJ476=""))</f>
        <v/>
      </c>
      <c r="CT476" s="101"/>
      <c r="CU476" s="102"/>
      <c r="CV476" s="103" t="str">
        <f aca="false">IF(ISBLANK($C476),"",IF($BL476=Constants!$B$8,$CM476,""))</f>
        <v/>
      </c>
      <c r="CW476" s="102" t="str">
        <f aca="false">IF(ISBLANK($C476),"",IF($BL476&lt;&gt;Constants!$B$4,"",$BO476+$BP476))</f>
        <v/>
      </c>
      <c r="CX476" s="104" t="str">
        <f aca="false">IF(ISBLANK($C476),"",IF($BL476&lt;&gt;Constants!$B$4,"",$BQ476+$BR476+$BS476))</f>
        <v/>
      </c>
      <c r="CY476" s="104" t="str">
        <f aca="false">IF(ISBLANK($C476),"",IF($BL476&lt;&gt;Constants!$B$4,"",$BT476))</f>
        <v/>
      </c>
      <c r="CZ476" s="104" t="str">
        <f aca="false">IF(ISBLANK($C476),"",IF($BL476&lt;&gt;Constants!$B$4,"",$BU476+$BV476))</f>
        <v/>
      </c>
      <c r="DA476" s="104" t="str">
        <f aca="false">IF(ISBLANK($C476),"",IF($BL476&lt;&gt;Constants!$B$4,"",$BW476))</f>
        <v/>
      </c>
      <c r="DB476" s="104" t="str">
        <f aca="false">IF(ISBLANK($C476),"",IF($BL476&lt;&gt;Constants!$B$4,"",-$CD476))</f>
        <v/>
      </c>
      <c r="DC476" s="103" t="str">
        <f aca="false">IF(ISBLANK($C476),"",$CE476)</f>
        <v/>
      </c>
      <c r="DD476" s="105" t="str">
        <f aca="false">IF(ISBLANK($C476),"",$BM476)</f>
        <v/>
      </c>
      <c r="DE476" s="104" t="str">
        <f aca="false">IF(ISBLANK($C476),"",$CL476)</f>
        <v/>
      </c>
      <c r="DF476" s="104" t="str">
        <f aca="false">IF(ISBLANK($C476),"",$CK476)</f>
        <v/>
      </c>
      <c r="DG476" s="106" t="str">
        <f aca="false">IF(ISBLANK($C476),"",IF($DF476=Constants!$B$7,COUNTA($C$9:$C$508)+2,IF($DF476=Constants!$B$6,COUNTA($C$9:$C$508)+1,IF($DF476=Constants!$B$5,COUNTA($C$9:$C$508),$DF476))))</f>
        <v/>
      </c>
      <c r="DH476" s="7"/>
      <c r="DI476" s="107" t="n">
        <f aca="false">IF(OR(ISNUMBER($DF476),$DF476=Constants!$B$7,$DF476=Constants!$B$5,$DF476=Constants!$B$6),1,0)</f>
        <v>0</v>
      </c>
      <c r="DJ476" s="107" t="n">
        <v>468</v>
      </c>
      <c r="DK476" s="107" t="str">
        <f aca="false">IF(ISBLANK($C476),"",IF(ISNUMBER($DG476),$DG476+ROW($B476)/1000,""))</f>
        <v/>
      </c>
      <c r="DL476" s="107" t="str">
        <f aca="false">IF(ISNUMBER($DK476),RANK($DK476,$DK$9:$DK$508,1),"")</f>
        <v/>
      </c>
      <c r="DM476" s="107" t="str">
        <f aca="false">IF(ISBLANK($C476),"",$B476)</f>
        <v/>
      </c>
      <c r="DN476" s="107" t="str">
        <f aca="false">IF(ISBLANK($C476),"",$C476)</f>
        <v/>
      </c>
      <c r="DO476" s="107" t="str">
        <f aca="false">IF(ISBLANK($C476),"",$D476)</f>
        <v/>
      </c>
      <c r="DP476" s="108" t="str">
        <f aca="false">$DD476</f>
        <v/>
      </c>
      <c r="DQ476" s="109" t="str">
        <f aca="false">$DC476</f>
        <v/>
      </c>
      <c r="DR476" s="107" t="str">
        <f aca="false">IF(ISBLANK($C476),"",$DF476)</f>
        <v/>
      </c>
      <c r="DS476" s="110" t="str">
        <f aca="false">IF($DJ476&gt;$DI$8,"",VLOOKUP($DJ476,$DL$9:$DR$508,7,FALSE()))</f>
        <v/>
      </c>
      <c r="DT476" s="111" t="str">
        <f aca="false">IF($DJ476&gt;$DI$8,"",VLOOKUP($DJ476,$DL$9:$DR$508,2,FALSE()))</f>
        <v/>
      </c>
      <c r="DU476" s="111" t="str">
        <f aca="false">IF($DJ476&gt;$DI$8,"",VLOOKUP($DJ476,$DL$9:$DR$508,3,FALSE()))</f>
        <v/>
      </c>
      <c r="DV476" s="111" t="str">
        <f aca="false">IF($DJ476&gt;$DI$8,"",VLOOKUP($DJ476,$DL$9:$DR$508,4,FALSE()))</f>
        <v/>
      </c>
      <c r="DW476" s="111" t="str">
        <f aca="false">IF($DJ476&gt;$DI$8,"",VLOOKUP($DJ476,$DL$9:$DR$508,5,FALSE()))</f>
        <v/>
      </c>
      <c r="DX476" s="112" t="str">
        <f aca="false">IF($DJ476&gt;$DI$8,"",VLOOKUP($DJ476,$DL$9:$DR$508,6,FALSE()))</f>
        <v/>
      </c>
      <c r="DY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88"/>
      <c r="N477" s="88"/>
      <c r="O477" s="134"/>
      <c r="P477" s="134"/>
      <c r="Q477" s="88"/>
      <c r="R477" s="88"/>
      <c r="S477" s="88"/>
      <c r="T477" s="88"/>
      <c r="U477" s="134"/>
      <c r="V477" s="88"/>
      <c r="W477" s="70"/>
      <c r="X477" s="88"/>
      <c r="Y477" s="88"/>
      <c r="Z477" s="70"/>
      <c r="AA477" s="70"/>
      <c r="AB477" s="88"/>
      <c r="AC477" s="88"/>
      <c r="AD477" s="88"/>
      <c r="AE477" s="71"/>
      <c r="AF477" s="88"/>
      <c r="AG477" s="73"/>
      <c r="AH477" s="74"/>
      <c r="AI477" s="74"/>
      <c r="AJ477" s="74" t="str">
        <f aca="false">IF(ISBLANK($C477),"",IF($E477=Constants!$B$2,TRUE(),IF($E477=Constants!$B$3,FALSE(),TRUE())))</f>
        <v/>
      </c>
      <c r="AK477" s="74" t="str">
        <f aca="false">IF(ISBLANK($C477),"",IF($F477=Constants!$B$2,TRUE(),IF($F477=Constants!$B$3,FALSE(),FALSE())))</f>
        <v/>
      </c>
      <c r="AL477" s="74" t="str">
        <f aca="false">IF(ISBLANK($C477),"",IF($G477=Constants!$B$2,TRUE(),IF($G477=Constants!$B$3,FALSE(),TRUE())))</f>
        <v/>
      </c>
      <c r="AM477" s="74" t="str">
        <f aca="false">IF(ISBLANK($C477),"",IF($H477=Constants!$B$2,TRUE(),IF($H477=Constants!$B$3,FALSE(),TRUE())))</f>
        <v/>
      </c>
      <c r="AN477" s="74" t="str">
        <f aca="false">IF(ISBLANK($C477),"",IF(ISNUMBER($I477),IF($I477&gt;=0,$I477,""),""))</f>
        <v/>
      </c>
      <c r="AO477" s="74" t="str">
        <f aca="false">IF(ISBLANK($C477),"",IF(ISNUMBER($J477),IF($J477&gt;=0,$J477,""),""))</f>
        <v/>
      </c>
      <c r="AP477" s="74" t="str">
        <f aca="false">IF(ISBLANK($C477),"",IF(ISNUMBER($K477),IF($K477&gt;=0,$K477,""),""))</f>
        <v/>
      </c>
      <c r="AQ477" s="74" t="str">
        <f aca="false">IF(ISBLANK($C477),"",IF($L477=Constants!$B$2,TRUE(),IF($L477=Constants!$B$3,FALSE(),TRUE())))</f>
        <v/>
      </c>
      <c r="AR477" s="74" t="str">
        <f aca="false">IF(ISBLANK($C477),"",IF($M477=Constants!$B$2,TRUE(),IF($M477=Constants!$B$3,FALSE(),TRUE())))</f>
        <v/>
      </c>
      <c r="AS477" s="74" t="str">
        <f aca="false">IF(ISBLANK($C477),"",IF($N477=Constants!$B$2,TRUE(),IF($N477=Constants!$B$3,FALSE(),FALSE())))</f>
        <v/>
      </c>
      <c r="AT477" s="74" t="str">
        <f aca="false">IF(ISBLANK($C477),"",IF($O477=Constants!$B$2,TRUE(),IF($O477=Constants!$B$3,FALSE(),TRUE())))</f>
        <v/>
      </c>
      <c r="AU477" s="74" t="str">
        <f aca="false">IF(ISBLANK($C477),"",IF($P477=Constants!$B$2,TRUE(),IF($P477=Constants!$B$3,FALSE(),TRUE())))</f>
        <v/>
      </c>
      <c r="AV477" s="74" t="str">
        <f aca="false">IF(ISBLANK($C477),"",IF($Q477=Constants!$B$2,TRUE(),IF($Q477=Constants!$B$3,FALSE(),FALSE())))</f>
        <v/>
      </c>
      <c r="AW477" s="74" t="str">
        <f aca="false">IF(ISBLANK($C477),"",IF($R477=Constants!$B$2,TRUE(),IF($R477=Constants!$B$3,FALSE(),FALSE())))</f>
        <v/>
      </c>
      <c r="AX477" s="74" t="str">
        <f aca="false">IF(ISBLANK($C477),"",IF($S477=Constants!$B$2,TRUE(),IF($S477=Constants!$B$3,FALSE(),FALSE())))</f>
        <v/>
      </c>
      <c r="AY477" s="74" t="str">
        <f aca="false">IF(ISBLANK($C477),"",IF($T477=Constants!$B$2,TRUE(),IF($T477=Constants!$B$3,FALSE(),FALSE())))</f>
        <v/>
      </c>
      <c r="AZ477" s="74" t="str">
        <f aca="false">IF(ISBLANK($C477),"",IF($U477=Constants!$B$2,TRUE(),IF($U477=Constants!$B$3,FALSE(),FALSE())))</f>
        <v/>
      </c>
      <c r="BA477" s="74" t="str">
        <f aca="false">IF(ISBLANK($C477),"",IF(OR($V477&amp;""="1",$V477&amp;""="2",$V477&amp;""="3",$V477&amp;""="4"),VALUE($V477&amp;""),IF($V477=Constants!$B$12,Constants!$B$12,"")))</f>
        <v/>
      </c>
      <c r="BB477" s="74" t="str">
        <f aca="false">IF(ISBLANK($C477),"",IF(ISBLANK($W477),0,IF(ISNUMBER($W477),IF(AND($W477&gt;=0,$W477&lt;=Constants!$B$21,$W477=INT($W477)),$W477,""),"")))</f>
        <v/>
      </c>
      <c r="BC477" s="74" t="str">
        <f aca="false">IF(ISBLANK($C477),"",IF(ISBLANK($X477),0,IF(ISNUMBER($X477),IF($X477&gt;=0,$X477,""),"")))</f>
        <v/>
      </c>
      <c r="BD477" s="74" t="str">
        <f aca="false">IF(ISBLANK($C477),"",IF($Y477=Constants!$B$2,TRUE(),IF($Y477=Constants!$B$3,FALSE(),TRUE())))</f>
        <v/>
      </c>
      <c r="BE477" s="74" t="str">
        <f aca="false">IF(ISBLANK($C477),"",IF($Z477=Constants!$B$2,TRUE(),IF($Z477=Constants!$B$3,FALSE(),FALSE())))</f>
        <v/>
      </c>
      <c r="BF477" s="74" t="str">
        <f aca="false">IF(ISBLANK($C477),"",IF(ISBLANK($AA477),0,IF(ISNUMBER($AA477),IF(AND($AA477&gt;=0,$AA477&lt;=Constants!$B$35,$AA477=INT($AA477)),$AA477,""),"")))</f>
        <v/>
      </c>
      <c r="BG477" s="74" t="str">
        <f aca="false">IF(ISBLANK($C477),"",IF($AB477=Constants!$B$2,TRUE(),IF($AB477=Constants!$B$3,FALSE(),TRUE())))</f>
        <v/>
      </c>
      <c r="BH477" s="74" t="str">
        <f aca="false">IF(ISBLANK($C477),"",IF($AC477=Constants!$B$2,TRUE(),IF($AC477=Constants!$B$3,FALSE(),TRUE())))</f>
        <v/>
      </c>
      <c r="BI477" s="74" t="str">
        <f aca="false">IF(ISBLANK($C477),"",IF($AD477=Constants!$B$2,TRUE(),IF($AD477=Constants!$B$3,FALSE(),TRUE())))</f>
        <v/>
      </c>
      <c r="BJ477" s="74" t="str">
        <f aca="false">IF(ISBLANK($C477),"",IF(ISNUMBER($AE477),IF($AE477&gt;=0,$AE477,""),""))</f>
        <v/>
      </c>
      <c r="BK477" s="74" t="str">
        <f aca="false">IF(ISBLANK($C477),"",IF($AF477=Constants!$B$2,TRUE(),IF($AF477=Constants!$B$3,FALSE(),FALSE())))</f>
        <v/>
      </c>
      <c r="BL477" s="73" t="str">
        <f aca="false">IF(ISBLANK($C477),"",IF($BK477,Constants!$B$7,IF(COUNTA($E477:$AE477)=0,Constants!$B$6,IF(OR(COUNTA($G477:$AE477)=0,NOT($AM477),$AS477),Constants!$B$5,IF(OR($CM477&lt;&gt;"",$CN477,$CO477,$CP477,$CQ477,$CR477,$CS477),Constants!$B$8,Constants!$B$4)))))</f>
        <v/>
      </c>
      <c r="BM477" s="74" t="str">
        <f aca="false">IF(ISBLANK($C477),"",IF($BL477&lt;&gt;Constants!$B$4,$BL477,IF(OR(NOT($AJ477),NOT($AL477),NOT($AT477)),Constants!$B$11,IF(OR(NOT($AR477),NOT($AU477),NOT($BI477),MAX($AN477,$AO477,$AP477)&gt;Constants!$B$30),Constants!$B$10,Constants!$B$9))))</f>
        <v/>
      </c>
      <c r="BN477" s="74" t="str">
        <f aca="false">IF($BL477&lt;&gt;Constants!$B$4,"",IF(NOT($AL477),0,MIN(Constants!$B$35,$BF477)))</f>
        <v/>
      </c>
      <c r="BO477" s="74" t="str">
        <f aca="false">IF($BL477&lt;&gt;Constants!$B$4,"",IF(NOT($AL477),0,IF($AW477,Constants!$B$18,IF($AV477,Constants!$B$17,0))))</f>
        <v/>
      </c>
      <c r="BP477" s="74" t="str">
        <f aca="false">IF($BL477&lt;&gt;Constants!$B$4,"",IF(NOT($AL477),0,Constants!$B$19*($AK477+$AX477+$AY477+$AZ477)))</f>
        <v/>
      </c>
      <c r="BQ477" s="74" t="str">
        <f aca="false">IF($BL477&lt;&gt;Constants!$B$4,"",IF(OR(NOT($AL477),NOT(ISNUMBER($BA477))),0,CHOOSE($BA477,Constants!$B$13,Constants!$B$14,Constants!$B$15,Constants!$B$16)))</f>
        <v/>
      </c>
      <c r="BR477" s="74" t="str">
        <f aca="false">IF($BL477&lt;&gt;Constants!$B$4,"",IF(NOT($AL477),0,Constants!$B$20*$BB477))</f>
        <v/>
      </c>
      <c r="BS477" s="74" t="str">
        <f aca="false">IF($BL477&lt;&gt;Constants!$B$4,"",IF(AND($AL477,$BD477,$BE477),Constants!$B$22,0))</f>
        <v/>
      </c>
      <c r="BT477" s="74" t="str">
        <f aca="false">IF($BL477&lt;&gt;Constants!$B$4,"",IF(OR(NOT($AL477),NOT($BD477)),0,IF($BJ477&gt;=2*$AH$9,0,Constants!$B$23*INT(ROUND(MIN($BJ477,$AH$9),6)))))</f>
        <v/>
      </c>
      <c r="BU477" s="74" t="str">
        <f aca="false">IF($BL477&lt;&gt;Constants!$B$4,"",IF(NOT($AL477),0,Constants!$B$24*INT(ROUND(MIN($BC477,$AH$9),6))))</f>
        <v/>
      </c>
      <c r="BV477" s="74" t="str">
        <f aca="false">IF($BL477&lt;&gt;Constants!$B$4,"",IF(AND($AL477,$BN477=0),Constants!$B$25,0))</f>
        <v/>
      </c>
      <c r="BW477" s="74" t="str">
        <f aca="false">IF($BL477&lt;&gt;Constants!$B$4,"",MIN(Constants!$B$29,MAX(0,Constants!$B$27*Constants!$B$28*INT(ROUND((Constants!$B$26-$AN477)/Constants!$B$28,6))))+MIN(Constants!$B$29,MAX(0,Constants!$B$27*Constants!$B$28*INT(ROUND((Constants!$B$26-$AO477)/Constants!$B$28,6))))+MIN(Constants!$B$29,MAX(0,Constants!$B$27*Constants!$B$28*INT(ROUND((Constants!$B$26-$AP477)/Constants!$B$28,6)))))</f>
        <v/>
      </c>
      <c r="BX477" s="74" t="str">
        <f aca="false">IF($BL477&lt;&gt;Constants!$B$4,"",IF(NOT($AL477),0,Constants!$B$31*INT(ROUND(MAX(0,MIN($BJ477,2*$AH$9)-$AH$9),6))))</f>
        <v/>
      </c>
      <c r="BY477" s="74" t="str">
        <f aca="false">IF($BL477&lt;&gt;Constants!$B$4,"",Constants!$B$32*(($AN477&gt;Constants!$B$26)+($AO477&gt;Constants!$B$26)+($AP477&gt;Constants!$B$26)))</f>
        <v/>
      </c>
      <c r="BZ477" s="74" t="str">
        <f aca="false">IF($BL477&lt;&gt;Constants!$B$4,"",IF(OR(NOT($AL477),$AQ477),0,Constants!$B$33))</f>
        <v/>
      </c>
      <c r="CA477" s="74" t="str">
        <f aca="false">IF($BL477&lt;&gt;Constants!$B$4,"",Constants!$B$34*$BN477)</f>
        <v/>
      </c>
      <c r="CB477" s="74" t="str">
        <f aca="false">IF($BL477&lt;&gt;Constants!$B$4,"",IF(OR(NOT($AL477),$BH477),0,Constants!$B$36))</f>
        <v/>
      </c>
      <c r="CC477" s="74" t="str">
        <f aca="false">IF($BL477&lt;&gt;Constants!$B$4,"",IF(OR(NOT($AL477),$BG477),0,Constants!$B$37))</f>
        <v/>
      </c>
      <c r="CD477" s="74" t="str">
        <f aca="false">IF($BL477&lt;&gt;Constants!$B$4,"",SUM($BX477:$CC477))</f>
        <v/>
      </c>
      <c r="CE477" s="74" t="str">
        <f aca="false">IF(ISBLANK($C477),"",IF($BL477&lt;&gt;Constants!$B$4,$BL477,SUM($BO477:$BW477)-$CD477))</f>
        <v/>
      </c>
      <c r="CF477" s="74" t="str">
        <f aca="false">IF(ISBLANK($C477),"",IF($BL477&lt;&gt;Constants!$B$4,$BL477,RANK($CE477,$CE$9:$CE$508)))</f>
        <v/>
      </c>
      <c r="CG477" s="74" t="str">
        <f aca="false">IF(ISBLANK($C477),"",IF($BL477&lt;&gt;Constants!$B$4,$BL477,COUNTIFS($BM$9:$BM$508,"&lt;"&amp;$BM477)+COUNTIFS($BM$9:$BM$508,$BM477,$CF$9:$CF$508,"&lt;"&amp;$CF477)+1))</f>
        <v/>
      </c>
      <c r="CH477" s="74" t="str">
        <f aca="false">IF(ISBLANK($C477),"",IF($BL477&lt;&gt;Constants!$B$4,$BL477,RANK($CD477,$CD$9:$CD$508,1)))</f>
        <v/>
      </c>
      <c r="CI477" s="74" t="str">
        <f aca="false">IF($BL477&lt;&gt;Constants!$B$4,"",$AN477+$AO477+$AP477)</f>
        <v/>
      </c>
      <c r="CJ477" s="74" t="str">
        <f aca="false">IF(ISBLANK($C477),"",IF($BL477&lt;&gt;Constants!$B$4,$BL477,RANK($CI477,$CI$9:$CI$508,1)))</f>
        <v/>
      </c>
      <c r="CK477" s="74" t="str">
        <f aca="false">IF(ISBLANK($C477),"",IF($BL477&lt;&gt;Constants!$B$4,$BL477,COUNTIFS($BM$9:$BM$508,"&lt;"&amp;$BM477)+COUNTIFS($BM$9:$BM$508,$BM477,$CF$9:$CF$508,"&lt;"&amp;$CF477)+COUNTIFS($BM$9:$BM$508,$BM477,$CF$9:$CF$508,$CF477,$CH$9:$CH$508,"&lt;"&amp;$CH477)+COUNTIFS($BM$9:$BM$508,$BM477,$CF$9:$CF$508,$CF477,$CH$9:$CH$508,$CH477,$CJ$9:$CJ$508,"&lt;"&amp;$CJ477)+1))</f>
        <v/>
      </c>
      <c r="CL477" s="74" t="str">
        <f aca="false">IF(ISBLANK($C477),"",IF($BL477&lt;&gt;Constants!$B$4,$BL477,$CG477-$CK477))</f>
        <v/>
      </c>
      <c r="CM477" s="74" t="str">
        <f aca="false">IF(ISBLANK($C477),"",IF(NOT($AL477),"",IF(ISBLANK($D$7),$CM$5,IF(NOT(ISNUMBER($D$7)),$CM$6,""))))</f>
        <v/>
      </c>
      <c r="CN477" s="74" t="str">
        <f aca="false">IF(ISBLANK($C477),"",OR($AN477="",$AO477="",$AP477=""))</f>
        <v/>
      </c>
      <c r="CO477" s="74" t="str">
        <f aca="false">IF(ISBLANK($C477),"",AND($AL477,$BA477=""))</f>
        <v/>
      </c>
      <c r="CP477" s="74" t="str">
        <f aca="false">IF(ISBLANK($C477),"",AND($AL477,$BB477=""))</f>
        <v/>
      </c>
      <c r="CQ477" s="74" t="str">
        <f aca="false">IF(ISBLANK($C477),"",AND($AL477,$BC477=""))</f>
        <v/>
      </c>
      <c r="CR477" s="74" t="str">
        <f aca="false">IF(ISBLANK($C477),"",AND($AL477,$BF477=""))</f>
        <v/>
      </c>
      <c r="CS477" s="74" t="str">
        <f aca="false">IF(ISBLANK($C477),"",AND($AL477,$BJ477=""))</f>
        <v/>
      </c>
      <c r="CT477" s="75"/>
      <c r="CU477" s="76"/>
      <c r="CV477" s="79" t="str">
        <f aca="false">IF(ISBLANK($C477),"",IF($BL477=Constants!$B$8,$CM477,""))</f>
        <v/>
      </c>
      <c r="CW477" s="76" t="str">
        <f aca="false">IF(ISBLANK($C477),"",IF($BL477&lt;&gt;Constants!$B$4,"",$BO477+$BP477))</f>
        <v/>
      </c>
      <c r="CX477" s="78" t="str">
        <f aca="false">IF(ISBLANK($C477),"",IF($BL477&lt;&gt;Constants!$B$4,"",$BQ477+$BR477+$BS477))</f>
        <v/>
      </c>
      <c r="CY477" s="78" t="str">
        <f aca="false">IF(ISBLANK($C477),"",IF($BL477&lt;&gt;Constants!$B$4,"",$BT477))</f>
        <v/>
      </c>
      <c r="CZ477" s="78" t="str">
        <f aca="false">IF(ISBLANK($C477),"",IF($BL477&lt;&gt;Constants!$B$4,"",$BU477+$BV477))</f>
        <v/>
      </c>
      <c r="DA477" s="78" t="str">
        <f aca="false">IF(ISBLANK($C477),"",IF($BL477&lt;&gt;Constants!$B$4,"",$BW477))</f>
        <v/>
      </c>
      <c r="DB477" s="78" t="str">
        <f aca="false">IF(ISBLANK($C477),"",IF($BL477&lt;&gt;Constants!$B$4,"",-$CD477))</f>
        <v/>
      </c>
      <c r="DC477" s="79" t="str">
        <f aca="false">IF(ISBLANK($C477),"",$CE477)</f>
        <v/>
      </c>
      <c r="DD477" s="80" t="str">
        <f aca="false">IF(ISBLANK($C477),"",$BM477)</f>
        <v/>
      </c>
      <c r="DE477" s="78" t="str">
        <f aca="false">IF(ISBLANK($C477),"",$CL477)</f>
        <v/>
      </c>
      <c r="DF477" s="78" t="str">
        <f aca="false">IF(ISBLANK($C477),"",$CK477)</f>
        <v/>
      </c>
      <c r="DG477" s="81" t="str">
        <f aca="false">IF(ISBLANK($C477),"",IF($DF477=Constants!$B$7,COUNTA($C$9:$C$508)+2,IF($DF477=Constants!$B$6,COUNTA($C$9:$C$508)+1,IF($DF477=Constants!$B$5,COUNTA($C$9:$C$508),$DF477))))</f>
        <v/>
      </c>
      <c r="DH477" s="7"/>
      <c r="DI477" s="82" t="n">
        <f aca="false">IF(OR(ISNUMBER($DF477),$DF477=Constants!$B$7,$DF477=Constants!$B$5,$DF477=Constants!$B$6),1,0)</f>
        <v>0</v>
      </c>
      <c r="DJ477" s="82" t="n">
        <v>469</v>
      </c>
      <c r="DK477" s="82" t="str">
        <f aca="false">IF(ISBLANK($C477),"",IF(ISNUMBER($DG477),$DG477+ROW($B477)/1000,""))</f>
        <v/>
      </c>
      <c r="DL477" s="82" t="str">
        <f aca="false">IF(ISNUMBER($DK477),RANK($DK477,$DK$9:$DK$508,1),"")</f>
        <v/>
      </c>
      <c r="DM477" s="82" t="str">
        <f aca="false">IF(ISBLANK($C477),"",$B477)</f>
        <v/>
      </c>
      <c r="DN477" s="82" t="str">
        <f aca="false">IF(ISBLANK($C477),"",$C477)</f>
        <v/>
      </c>
      <c r="DO477" s="82" t="str">
        <f aca="false">IF(ISBLANK($C477),"",$D477)</f>
        <v/>
      </c>
      <c r="DP477" s="83" t="str">
        <f aca="false">$DD477</f>
        <v/>
      </c>
      <c r="DQ477" s="84" t="str">
        <f aca="false">$DC477</f>
        <v/>
      </c>
      <c r="DR477" s="82" t="str">
        <f aca="false">IF(ISBLANK($C477),"",$DF477)</f>
        <v/>
      </c>
      <c r="DS477" s="85" t="str">
        <f aca="false">IF($DJ477&gt;$DI$8,"",VLOOKUP($DJ477,$DL$9:$DR$508,7,FALSE()))</f>
        <v/>
      </c>
      <c r="DT477" s="86" t="str">
        <f aca="false">IF($DJ477&gt;$DI$8,"",VLOOKUP($DJ477,$DL$9:$DR$508,2,FALSE()))</f>
        <v/>
      </c>
      <c r="DU477" s="86" t="str">
        <f aca="false">IF($DJ477&gt;$DI$8,"",VLOOKUP($DJ477,$DL$9:$DR$508,3,FALSE()))</f>
        <v/>
      </c>
      <c r="DV477" s="86" t="str">
        <f aca="false">IF($DJ477&gt;$DI$8,"",VLOOKUP($DJ477,$DL$9:$DR$508,4,FALSE()))</f>
        <v/>
      </c>
      <c r="DW477" s="86" t="str">
        <f aca="false">IF($DJ477&gt;$DI$8,"",VLOOKUP($DJ477,$DL$9:$DR$508,5,FALSE()))</f>
        <v/>
      </c>
      <c r="DX477" s="87" t="str">
        <f aca="false">IF($DJ477&gt;$DI$8,"",VLOOKUP($DJ477,$DL$9:$DR$508,6,FALSE()))</f>
        <v/>
      </c>
      <c r="DY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88"/>
      <c r="N478" s="88"/>
      <c r="O478" s="134"/>
      <c r="P478" s="134"/>
      <c r="Q478" s="88"/>
      <c r="R478" s="88"/>
      <c r="S478" s="88"/>
      <c r="T478" s="88"/>
      <c r="U478" s="134"/>
      <c r="V478" s="88"/>
      <c r="W478" s="70"/>
      <c r="X478" s="88"/>
      <c r="Y478" s="88"/>
      <c r="Z478" s="70"/>
      <c r="AA478" s="70"/>
      <c r="AB478" s="88"/>
      <c r="AC478" s="88"/>
      <c r="AD478" s="88"/>
      <c r="AE478" s="71"/>
      <c r="AF478" s="88"/>
      <c r="AG478" s="73"/>
      <c r="AH478" s="74"/>
      <c r="AI478" s="74"/>
      <c r="AJ478" s="74" t="str">
        <f aca="false">IF(ISBLANK($C478),"",IF($E478=Constants!$B$2,TRUE(),IF($E478=Constants!$B$3,FALSE(),TRUE())))</f>
        <v/>
      </c>
      <c r="AK478" s="74" t="str">
        <f aca="false">IF(ISBLANK($C478),"",IF($F478=Constants!$B$2,TRUE(),IF($F478=Constants!$B$3,FALSE(),FALSE())))</f>
        <v/>
      </c>
      <c r="AL478" s="74" t="str">
        <f aca="false">IF(ISBLANK($C478),"",IF($G478=Constants!$B$2,TRUE(),IF($G478=Constants!$B$3,FALSE(),TRUE())))</f>
        <v/>
      </c>
      <c r="AM478" s="74" t="str">
        <f aca="false">IF(ISBLANK($C478),"",IF($H478=Constants!$B$2,TRUE(),IF($H478=Constants!$B$3,FALSE(),TRUE())))</f>
        <v/>
      </c>
      <c r="AN478" s="74" t="str">
        <f aca="false">IF(ISBLANK($C478),"",IF(ISNUMBER($I478),IF($I478&gt;=0,$I478,""),""))</f>
        <v/>
      </c>
      <c r="AO478" s="74" t="str">
        <f aca="false">IF(ISBLANK($C478),"",IF(ISNUMBER($J478),IF($J478&gt;=0,$J478,""),""))</f>
        <v/>
      </c>
      <c r="AP478" s="74" t="str">
        <f aca="false">IF(ISBLANK($C478),"",IF(ISNUMBER($K478),IF($K478&gt;=0,$K478,""),""))</f>
        <v/>
      </c>
      <c r="AQ478" s="74" t="str">
        <f aca="false">IF(ISBLANK($C478),"",IF($L478=Constants!$B$2,TRUE(),IF($L478=Constants!$B$3,FALSE(),TRUE())))</f>
        <v/>
      </c>
      <c r="AR478" s="74" t="str">
        <f aca="false">IF(ISBLANK($C478),"",IF($M478=Constants!$B$2,TRUE(),IF($M478=Constants!$B$3,FALSE(),TRUE())))</f>
        <v/>
      </c>
      <c r="AS478" s="74" t="str">
        <f aca="false">IF(ISBLANK($C478),"",IF($N478=Constants!$B$2,TRUE(),IF($N478=Constants!$B$3,FALSE(),FALSE())))</f>
        <v/>
      </c>
      <c r="AT478" s="74" t="str">
        <f aca="false">IF(ISBLANK($C478),"",IF($O478=Constants!$B$2,TRUE(),IF($O478=Constants!$B$3,FALSE(),TRUE())))</f>
        <v/>
      </c>
      <c r="AU478" s="74" t="str">
        <f aca="false">IF(ISBLANK($C478),"",IF($P478=Constants!$B$2,TRUE(),IF($P478=Constants!$B$3,FALSE(),TRUE())))</f>
        <v/>
      </c>
      <c r="AV478" s="74" t="str">
        <f aca="false">IF(ISBLANK($C478),"",IF($Q478=Constants!$B$2,TRUE(),IF($Q478=Constants!$B$3,FALSE(),FALSE())))</f>
        <v/>
      </c>
      <c r="AW478" s="74" t="str">
        <f aca="false">IF(ISBLANK($C478),"",IF($R478=Constants!$B$2,TRUE(),IF($R478=Constants!$B$3,FALSE(),FALSE())))</f>
        <v/>
      </c>
      <c r="AX478" s="74" t="str">
        <f aca="false">IF(ISBLANK($C478),"",IF($S478=Constants!$B$2,TRUE(),IF($S478=Constants!$B$3,FALSE(),FALSE())))</f>
        <v/>
      </c>
      <c r="AY478" s="74" t="str">
        <f aca="false">IF(ISBLANK($C478),"",IF($T478=Constants!$B$2,TRUE(),IF($T478=Constants!$B$3,FALSE(),FALSE())))</f>
        <v/>
      </c>
      <c r="AZ478" s="74" t="str">
        <f aca="false">IF(ISBLANK($C478),"",IF($U478=Constants!$B$2,TRUE(),IF($U478=Constants!$B$3,FALSE(),FALSE())))</f>
        <v/>
      </c>
      <c r="BA478" s="74" t="str">
        <f aca="false">IF(ISBLANK($C478),"",IF(OR($V478&amp;""="1",$V478&amp;""="2",$V478&amp;""="3",$V478&amp;""="4"),VALUE($V478&amp;""),IF($V478=Constants!$B$12,Constants!$B$12,"")))</f>
        <v/>
      </c>
      <c r="BB478" s="74" t="str">
        <f aca="false">IF(ISBLANK($C478),"",IF(ISBLANK($W478),0,IF(ISNUMBER($W478),IF(AND($W478&gt;=0,$W478&lt;=Constants!$B$21,$W478=INT($W478)),$W478,""),"")))</f>
        <v/>
      </c>
      <c r="BC478" s="74" t="str">
        <f aca="false">IF(ISBLANK($C478),"",IF(ISBLANK($X478),0,IF(ISNUMBER($X478),IF($X478&gt;=0,$X478,""),"")))</f>
        <v/>
      </c>
      <c r="BD478" s="74" t="str">
        <f aca="false">IF(ISBLANK($C478),"",IF($Y478=Constants!$B$2,TRUE(),IF($Y478=Constants!$B$3,FALSE(),TRUE())))</f>
        <v/>
      </c>
      <c r="BE478" s="74" t="str">
        <f aca="false">IF(ISBLANK($C478),"",IF($Z478=Constants!$B$2,TRUE(),IF($Z478=Constants!$B$3,FALSE(),FALSE())))</f>
        <v/>
      </c>
      <c r="BF478" s="74" t="str">
        <f aca="false">IF(ISBLANK($C478),"",IF(ISBLANK($AA478),0,IF(ISNUMBER($AA478),IF(AND($AA478&gt;=0,$AA478&lt;=Constants!$B$35,$AA478=INT($AA478)),$AA478,""),"")))</f>
        <v/>
      </c>
      <c r="BG478" s="74" t="str">
        <f aca="false">IF(ISBLANK($C478),"",IF($AB478=Constants!$B$2,TRUE(),IF($AB478=Constants!$B$3,FALSE(),TRUE())))</f>
        <v/>
      </c>
      <c r="BH478" s="74" t="str">
        <f aca="false">IF(ISBLANK($C478),"",IF($AC478=Constants!$B$2,TRUE(),IF($AC478=Constants!$B$3,FALSE(),TRUE())))</f>
        <v/>
      </c>
      <c r="BI478" s="74" t="str">
        <f aca="false">IF(ISBLANK($C478),"",IF($AD478=Constants!$B$2,TRUE(),IF($AD478=Constants!$B$3,FALSE(),TRUE())))</f>
        <v/>
      </c>
      <c r="BJ478" s="74" t="str">
        <f aca="false">IF(ISBLANK($C478),"",IF(ISNUMBER($AE478),IF($AE478&gt;=0,$AE478,""),""))</f>
        <v/>
      </c>
      <c r="BK478" s="74" t="str">
        <f aca="false">IF(ISBLANK($C478),"",IF($AF478=Constants!$B$2,TRUE(),IF($AF478=Constants!$B$3,FALSE(),FALSE())))</f>
        <v/>
      </c>
      <c r="BL478" s="73" t="str">
        <f aca="false">IF(ISBLANK($C478),"",IF($BK478,Constants!$B$7,IF(COUNTA($E478:$AE478)=0,Constants!$B$6,IF(OR(COUNTA($G478:$AE478)=0,NOT($AM478),$AS478),Constants!$B$5,IF(OR($CM478&lt;&gt;"",$CN478,$CO478,$CP478,$CQ478,$CR478,$CS478),Constants!$B$8,Constants!$B$4)))))</f>
        <v/>
      </c>
      <c r="BM478" s="74" t="str">
        <f aca="false">IF(ISBLANK($C478),"",IF($BL478&lt;&gt;Constants!$B$4,$BL478,IF(OR(NOT($AJ478),NOT($AL478),NOT($AT478)),Constants!$B$11,IF(OR(NOT($AR478),NOT($AU478),NOT($BI478),MAX($AN478,$AO478,$AP478)&gt;Constants!$B$30),Constants!$B$10,Constants!$B$9))))</f>
        <v/>
      </c>
      <c r="BN478" s="74" t="str">
        <f aca="false">IF($BL478&lt;&gt;Constants!$B$4,"",IF(NOT($AL478),0,MIN(Constants!$B$35,$BF478)))</f>
        <v/>
      </c>
      <c r="BO478" s="74" t="str">
        <f aca="false">IF($BL478&lt;&gt;Constants!$B$4,"",IF(NOT($AL478),0,IF($AW478,Constants!$B$18,IF($AV478,Constants!$B$17,0))))</f>
        <v/>
      </c>
      <c r="BP478" s="74" t="str">
        <f aca="false">IF($BL478&lt;&gt;Constants!$B$4,"",IF(NOT($AL478),0,Constants!$B$19*($AK478+$AX478+$AY478+$AZ478)))</f>
        <v/>
      </c>
      <c r="BQ478" s="74" t="str">
        <f aca="false">IF($BL478&lt;&gt;Constants!$B$4,"",IF(OR(NOT($AL478),NOT(ISNUMBER($BA478))),0,CHOOSE($BA478,Constants!$B$13,Constants!$B$14,Constants!$B$15,Constants!$B$16)))</f>
        <v/>
      </c>
      <c r="BR478" s="74" t="str">
        <f aca="false">IF($BL478&lt;&gt;Constants!$B$4,"",IF(NOT($AL478),0,Constants!$B$20*$BB478))</f>
        <v/>
      </c>
      <c r="BS478" s="74" t="str">
        <f aca="false">IF($BL478&lt;&gt;Constants!$B$4,"",IF(AND($AL478,$BD478,$BE478),Constants!$B$22,0))</f>
        <v/>
      </c>
      <c r="BT478" s="74" t="str">
        <f aca="false">IF($BL478&lt;&gt;Constants!$B$4,"",IF(OR(NOT($AL478),NOT($BD478)),0,IF($BJ478&gt;=2*$AH$9,0,Constants!$B$23*INT(ROUND(MIN($BJ478,$AH$9),6)))))</f>
        <v/>
      </c>
      <c r="BU478" s="74" t="str">
        <f aca="false">IF($BL478&lt;&gt;Constants!$B$4,"",IF(NOT($AL478),0,Constants!$B$24*INT(ROUND(MIN($BC478,$AH$9),6))))</f>
        <v/>
      </c>
      <c r="BV478" s="74" t="str">
        <f aca="false">IF($BL478&lt;&gt;Constants!$B$4,"",IF(AND($AL478,$BN478=0),Constants!$B$25,0))</f>
        <v/>
      </c>
      <c r="BW478" s="74" t="str">
        <f aca="false">IF($BL478&lt;&gt;Constants!$B$4,"",MIN(Constants!$B$29,MAX(0,Constants!$B$27*Constants!$B$28*INT(ROUND((Constants!$B$26-$AN478)/Constants!$B$28,6))))+MIN(Constants!$B$29,MAX(0,Constants!$B$27*Constants!$B$28*INT(ROUND((Constants!$B$26-$AO478)/Constants!$B$28,6))))+MIN(Constants!$B$29,MAX(0,Constants!$B$27*Constants!$B$28*INT(ROUND((Constants!$B$26-$AP478)/Constants!$B$28,6)))))</f>
        <v/>
      </c>
      <c r="BX478" s="74" t="str">
        <f aca="false">IF($BL478&lt;&gt;Constants!$B$4,"",IF(NOT($AL478),0,Constants!$B$31*INT(ROUND(MAX(0,MIN($BJ478,2*$AH$9)-$AH$9),6))))</f>
        <v/>
      </c>
      <c r="BY478" s="74" t="str">
        <f aca="false">IF($BL478&lt;&gt;Constants!$B$4,"",Constants!$B$32*(($AN478&gt;Constants!$B$26)+($AO478&gt;Constants!$B$26)+($AP478&gt;Constants!$B$26)))</f>
        <v/>
      </c>
      <c r="BZ478" s="74" t="str">
        <f aca="false">IF($BL478&lt;&gt;Constants!$B$4,"",IF(OR(NOT($AL478),$AQ478),0,Constants!$B$33))</f>
        <v/>
      </c>
      <c r="CA478" s="74" t="str">
        <f aca="false">IF($BL478&lt;&gt;Constants!$B$4,"",Constants!$B$34*$BN478)</f>
        <v/>
      </c>
      <c r="CB478" s="74" t="str">
        <f aca="false">IF($BL478&lt;&gt;Constants!$B$4,"",IF(OR(NOT($AL478),$BH478),0,Constants!$B$36))</f>
        <v/>
      </c>
      <c r="CC478" s="74" t="str">
        <f aca="false">IF($BL478&lt;&gt;Constants!$B$4,"",IF(OR(NOT($AL478),$BG478),0,Constants!$B$37))</f>
        <v/>
      </c>
      <c r="CD478" s="74" t="str">
        <f aca="false">IF($BL478&lt;&gt;Constants!$B$4,"",SUM($BX478:$CC478))</f>
        <v/>
      </c>
      <c r="CE478" s="74" t="str">
        <f aca="false">IF(ISBLANK($C478),"",IF($BL478&lt;&gt;Constants!$B$4,$BL478,SUM($BO478:$BW478)-$CD478))</f>
        <v/>
      </c>
      <c r="CF478" s="74" t="str">
        <f aca="false">IF(ISBLANK($C478),"",IF($BL478&lt;&gt;Constants!$B$4,$BL478,RANK($CE478,$CE$9:$CE$508)))</f>
        <v/>
      </c>
      <c r="CG478" s="74" t="str">
        <f aca="false">IF(ISBLANK($C478),"",IF($BL478&lt;&gt;Constants!$B$4,$BL478,COUNTIFS($BM$9:$BM$508,"&lt;"&amp;$BM478)+COUNTIFS($BM$9:$BM$508,$BM478,$CF$9:$CF$508,"&lt;"&amp;$CF478)+1))</f>
        <v/>
      </c>
      <c r="CH478" s="74" t="str">
        <f aca="false">IF(ISBLANK($C478),"",IF($BL478&lt;&gt;Constants!$B$4,$BL478,RANK($CD478,$CD$9:$CD$508,1)))</f>
        <v/>
      </c>
      <c r="CI478" s="74" t="str">
        <f aca="false">IF($BL478&lt;&gt;Constants!$B$4,"",$AN478+$AO478+$AP478)</f>
        <v/>
      </c>
      <c r="CJ478" s="74" t="str">
        <f aca="false">IF(ISBLANK($C478),"",IF($BL478&lt;&gt;Constants!$B$4,$BL478,RANK($CI478,$CI$9:$CI$508,1)))</f>
        <v/>
      </c>
      <c r="CK478" s="74" t="str">
        <f aca="false">IF(ISBLANK($C478),"",IF($BL478&lt;&gt;Constants!$B$4,$BL478,COUNTIFS($BM$9:$BM$508,"&lt;"&amp;$BM478)+COUNTIFS($BM$9:$BM$508,$BM478,$CF$9:$CF$508,"&lt;"&amp;$CF478)+COUNTIFS($BM$9:$BM$508,$BM478,$CF$9:$CF$508,$CF478,$CH$9:$CH$508,"&lt;"&amp;$CH478)+COUNTIFS($BM$9:$BM$508,$BM478,$CF$9:$CF$508,$CF478,$CH$9:$CH$508,$CH478,$CJ$9:$CJ$508,"&lt;"&amp;$CJ478)+1))</f>
        <v/>
      </c>
      <c r="CL478" s="74" t="str">
        <f aca="false">IF(ISBLANK($C478),"",IF($BL478&lt;&gt;Constants!$B$4,$BL478,$CG478-$CK478))</f>
        <v/>
      </c>
      <c r="CM478" s="74" t="str">
        <f aca="false">IF(ISBLANK($C478),"",IF(NOT($AL478),"",IF(ISBLANK($D$7),$CM$5,IF(NOT(ISNUMBER($D$7)),$CM$6,""))))</f>
        <v/>
      </c>
      <c r="CN478" s="74" t="str">
        <f aca="false">IF(ISBLANK($C478),"",OR($AN478="",$AO478="",$AP478=""))</f>
        <v/>
      </c>
      <c r="CO478" s="74" t="str">
        <f aca="false">IF(ISBLANK($C478),"",AND($AL478,$BA478=""))</f>
        <v/>
      </c>
      <c r="CP478" s="74" t="str">
        <f aca="false">IF(ISBLANK($C478),"",AND($AL478,$BB478=""))</f>
        <v/>
      </c>
      <c r="CQ478" s="74" t="str">
        <f aca="false">IF(ISBLANK($C478),"",AND($AL478,$BC478=""))</f>
        <v/>
      </c>
      <c r="CR478" s="74" t="str">
        <f aca="false">IF(ISBLANK($C478),"",AND($AL478,$BF478=""))</f>
        <v/>
      </c>
      <c r="CS478" s="74" t="str">
        <f aca="false">IF(ISBLANK($C478),"",AND($AL478,$BJ478=""))</f>
        <v/>
      </c>
      <c r="CT478" s="75"/>
      <c r="CU478" s="76"/>
      <c r="CV478" s="79" t="str">
        <f aca="false">IF(ISBLANK($C478),"",IF($BL478=Constants!$B$8,$CM478,""))</f>
        <v/>
      </c>
      <c r="CW478" s="76" t="str">
        <f aca="false">IF(ISBLANK($C478),"",IF($BL478&lt;&gt;Constants!$B$4,"",$BO478+$BP478))</f>
        <v/>
      </c>
      <c r="CX478" s="78" t="str">
        <f aca="false">IF(ISBLANK($C478),"",IF($BL478&lt;&gt;Constants!$B$4,"",$BQ478+$BR478+$BS478))</f>
        <v/>
      </c>
      <c r="CY478" s="78" t="str">
        <f aca="false">IF(ISBLANK($C478),"",IF($BL478&lt;&gt;Constants!$B$4,"",$BT478))</f>
        <v/>
      </c>
      <c r="CZ478" s="78" t="str">
        <f aca="false">IF(ISBLANK($C478),"",IF($BL478&lt;&gt;Constants!$B$4,"",$BU478+$BV478))</f>
        <v/>
      </c>
      <c r="DA478" s="78" t="str">
        <f aca="false">IF(ISBLANK($C478),"",IF($BL478&lt;&gt;Constants!$B$4,"",$BW478))</f>
        <v/>
      </c>
      <c r="DB478" s="78" t="str">
        <f aca="false">IF(ISBLANK($C478),"",IF($BL478&lt;&gt;Constants!$B$4,"",-$CD478))</f>
        <v/>
      </c>
      <c r="DC478" s="79" t="str">
        <f aca="false">IF(ISBLANK($C478),"",$CE478)</f>
        <v/>
      </c>
      <c r="DD478" s="80" t="str">
        <f aca="false">IF(ISBLANK($C478),"",$BM478)</f>
        <v/>
      </c>
      <c r="DE478" s="78" t="str">
        <f aca="false">IF(ISBLANK($C478),"",$CL478)</f>
        <v/>
      </c>
      <c r="DF478" s="78" t="str">
        <f aca="false">IF(ISBLANK($C478),"",$CK478)</f>
        <v/>
      </c>
      <c r="DG478" s="81" t="str">
        <f aca="false">IF(ISBLANK($C478),"",IF($DF478=Constants!$B$7,COUNTA($C$9:$C$508)+2,IF($DF478=Constants!$B$6,COUNTA($C$9:$C$508)+1,IF($DF478=Constants!$B$5,COUNTA($C$9:$C$508),$DF478))))</f>
        <v/>
      </c>
      <c r="DH478" s="7"/>
      <c r="DI478" s="82" t="n">
        <f aca="false">IF(OR(ISNUMBER($DF478),$DF478=Constants!$B$7,$DF478=Constants!$B$5,$DF478=Constants!$B$6),1,0)</f>
        <v>0</v>
      </c>
      <c r="DJ478" s="82" t="n">
        <v>470</v>
      </c>
      <c r="DK478" s="82" t="str">
        <f aca="false">IF(ISBLANK($C478),"",IF(ISNUMBER($DG478),$DG478+ROW($B478)/1000,""))</f>
        <v/>
      </c>
      <c r="DL478" s="82" t="str">
        <f aca="false">IF(ISNUMBER($DK478),RANK($DK478,$DK$9:$DK$508,1),"")</f>
        <v/>
      </c>
      <c r="DM478" s="82" t="str">
        <f aca="false">IF(ISBLANK($C478),"",$B478)</f>
        <v/>
      </c>
      <c r="DN478" s="82" t="str">
        <f aca="false">IF(ISBLANK($C478),"",$C478)</f>
        <v/>
      </c>
      <c r="DO478" s="82" t="str">
        <f aca="false">IF(ISBLANK($C478),"",$D478)</f>
        <v/>
      </c>
      <c r="DP478" s="83" t="str">
        <f aca="false">$DD478</f>
        <v/>
      </c>
      <c r="DQ478" s="84" t="str">
        <f aca="false">$DC478</f>
        <v/>
      </c>
      <c r="DR478" s="82" t="str">
        <f aca="false">IF(ISBLANK($C478),"",$DF478)</f>
        <v/>
      </c>
      <c r="DS478" s="85" t="str">
        <f aca="false">IF($DJ478&gt;$DI$8,"",VLOOKUP($DJ478,$DL$9:$DR$508,7,FALSE()))</f>
        <v/>
      </c>
      <c r="DT478" s="86" t="str">
        <f aca="false">IF($DJ478&gt;$DI$8,"",VLOOKUP($DJ478,$DL$9:$DR$508,2,FALSE()))</f>
        <v/>
      </c>
      <c r="DU478" s="86" t="str">
        <f aca="false">IF($DJ478&gt;$DI$8,"",VLOOKUP($DJ478,$DL$9:$DR$508,3,FALSE()))</f>
        <v/>
      </c>
      <c r="DV478" s="86" t="str">
        <f aca="false">IF($DJ478&gt;$DI$8,"",VLOOKUP($DJ478,$DL$9:$DR$508,4,FALSE()))</f>
        <v/>
      </c>
      <c r="DW478" s="86" t="str">
        <f aca="false">IF($DJ478&gt;$DI$8,"",VLOOKUP($DJ478,$DL$9:$DR$508,5,FALSE()))</f>
        <v/>
      </c>
      <c r="DX478" s="87" t="str">
        <f aca="false">IF($DJ478&gt;$DI$8,"",VLOOKUP($DJ478,$DL$9:$DR$508,6,FALSE()))</f>
        <v/>
      </c>
      <c r="DY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88"/>
      <c r="N479" s="88"/>
      <c r="O479" s="134"/>
      <c r="P479" s="134"/>
      <c r="Q479" s="88"/>
      <c r="R479" s="88"/>
      <c r="S479" s="88"/>
      <c r="T479" s="88"/>
      <c r="U479" s="134"/>
      <c r="V479" s="88"/>
      <c r="W479" s="70"/>
      <c r="X479" s="88"/>
      <c r="Y479" s="88"/>
      <c r="Z479" s="70"/>
      <c r="AA479" s="70"/>
      <c r="AB479" s="88"/>
      <c r="AC479" s="88"/>
      <c r="AD479" s="88"/>
      <c r="AE479" s="71"/>
      <c r="AF479" s="88"/>
      <c r="AG479" s="73"/>
      <c r="AH479" s="74"/>
      <c r="AI479" s="74"/>
      <c r="AJ479" s="74" t="str">
        <f aca="false">IF(ISBLANK($C479),"",IF($E479=Constants!$B$2,TRUE(),IF($E479=Constants!$B$3,FALSE(),TRUE())))</f>
        <v/>
      </c>
      <c r="AK479" s="74" t="str">
        <f aca="false">IF(ISBLANK($C479),"",IF($F479=Constants!$B$2,TRUE(),IF($F479=Constants!$B$3,FALSE(),FALSE())))</f>
        <v/>
      </c>
      <c r="AL479" s="74" t="str">
        <f aca="false">IF(ISBLANK($C479),"",IF($G479=Constants!$B$2,TRUE(),IF($G479=Constants!$B$3,FALSE(),TRUE())))</f>
        <v/>
      </c>
      <c r="AM479" s="74" t="str">
        <f aca="false">IF(ISBLANK($C479),"",IF($H479=Constants!$B$2,TRUE(),IF($H479=Constants!$B$3,FALSE(),TRUE())))</f>
        <v/>
      </c>
      <c r="AN479" s="74" t="str">
        <f aca="false">IF(ISBLANK($C479),"",IF(ISNUMBER($I479),IF($I479&gt;=0,$I479,""),""))</f>
        <v/>
      </c>
      <c r="AO479" s="74" t="str">
        <f aca="false">IF(ISBLANK($C479),"",IF(ISNUMBER($J479),IF($J479&gt;=0,$J479,""),""))</f>
        <v/>
      </c>
      <c r="AP479" s="74" t="str">
        <f aca="false">IF(ISBLANK($C479),"",IF(ISNUMBER($K479),IF($K479&gt;=0,$K479,""),""))</f>
        <v/>
      </c>
      <c r="AQ479" s="74" t="str">
        <f aca="false">IF(ISBLANK($C479),"",IF($L479=Constants!$B$2,TRUE(),IF($L479=Constants!$B$3,FALSE(),TRUE())))</f>
        <v/>
      </c>
      <c r="AR479" s="74" t="str">
        <f aca="false">IF(ISBLANK($C479),"",IF($M479=Constants!$B$2,TRUE(),IF($M479=Constants!$B$3,FALSE(),TRUE())))</f>
        <v/>
      </c>
      <c r="AS479" s="74" t="str">
        <f aca="false">IF(ISBLANK($C479),"",IF($N479=Constants!$B$2,TRUE(),IF($N479=Constants!$B$3,FALSE(),FALSE())))</f>
        <v/>
      </c>
      <c r="AT479" s="74" t="str">
        <f aca="false">IF(ISBLANK($C479),"",IF($O479=Constants!$B$2,TRUE(),IF($O479=Constants!$B$3,FALSE(),TRUE())))</f>
        <v/>
      </c>
      <c r="AU479" s="74" t="str">
        <f aca="false">IF(ISBLANK($C479),"",IF($P479=Constants!$B$2,TRUE(),IF($P479=Constants!$B$3,FALSE(),TRUE())))</f>
        <v/>
      </c>
      <c r="AV479" s="74" t="str">
        <f aca="false">IF(ISBLANK($C479),"",IF($Q479=Constants!$B$2,TRUE(),IF($Q479=Constants!$B$3,FALSE(),FALSE())))</f>
        <v/>
      </c>
      <c r="AW479" s="74" t="str">
        <f aca="false">IF(ISBLANK($C479),"",IF($R479=Constants!$B$2,TRUE(),IF($R479=Constants!$B$3,FALSE(),FALSE())))</f>
        <v/>
      </c>
      <c r="AX479" s="74" t="str">
        <f aca="false">IF(ISBLANK($C479),"",IF($S479=Constants!$B$2,TRUE(),IF($S479=Constants!$B$3,FALSE(),FALSE())))</f>
        <v/>
      </c>
      <c r="AY479" s="74" t="str">
        <f aca="false">IF(ISBLANK($C479),"",IF($T479=Constants!$B$2,TRUE(),IF($T479=Constants!$B$3,FALSE(),FALSE())))</f>
        <v/>
      </c>
      <c r="AZ479" s="74" t="str">
        <f aca="false">IF(ISBLANK($C479),"",IF($U479=Constants!$B$2,TRUE(),IF($U479=Constants!$B$3,FALSE(),FALSE())))</f>
        <v/>
      </c>
      <c r="BA479" s="74" t="str">
        <f aca="false">IF(ISBLANK($C479),"",IF(OR($V479&amp;""="1",$V479&amp;""="2",$V479&amp;""="3",$V479&amp;""="4"),VALUE($V479&amp;""),IF($V479=Constants!$B$12,Constants!$B$12,"")))</f>
        <v/>
      </c>
      <c r="BB479" s="74" t="str">
        <f aca="false">IF(ISBLANK($C479),"",IF(ISBLANK($W479),0,IF(ISNUMBER($W479),IF(AND($W479&gt;=0,$W479&lt;=Constants!$B$21,$W479=INT($W479)),$W479,""),"")))</f>
        <v/>
      </c>
      <c r="BC479" s="74" t="str">
        <f aca="false">IF(ISBLANK($C479),"",IF(ISBLANK($X479),0,IF(ISNUMBER($X479),IF($X479&gt;=0,$X479,""),"")))</f>
        <v/>
      </c>
      <c r="BD479" s="74" t="str">
        <f aca="false">IF(ISBLANK($C479),"",IF($Y479=Constants!$B$2,TRUE(),IF($Y479=Constants!$B$3,FALSE(),TRUE())))</f>
        <v/>
      </c>
      <c r="BE479" s="74" t="str">
        <f aca="false">IF(ISBLANK($C479),"",IF($Z479=Constants!$B$2,TRUE(),IF($Z479=Constants!$B$3,FALSE(),FALSE())))</f>
        <v/>
      </c>
      <c r="BF479" s="74" t="str">
        <f aca="false">IF(ISBLANK($C479),"",IF(ISBLANK($AA479),0,IF(ISNUMBER($AA479),IF(AND($AA479&gt;=0,$AA479&lt;=Constants!$B$35,$AA479=INT($AA479)),$AA479,""),"")))</f>
        <v/>
      </c>
      <c r="BG479" s="74" t="str">
        <f aca="false">IF(ISBLANK($C479),"",IF($AB479=Constants!$B$2,TRUE(),IF($AB479=Constants!$B$3,FALSE(),TRUE())))</f>
        <v/>
      </c>
      <c r="BH479" s="74" t="str">
        <f aca="false">IF(ISBLANK($C479),"",IF($AC479=Constants!$B$2,TRUE(),IF($AC479=Constants!$B$3,FALSE(),TRUE())))</f>
        <v/>
      </c>
      <c r="BI479" s="74" t="str">
        <f aca="false">IF(ISBLANK($C479),"",IF($AD479=Constants!$B$2,TRUE(),IF($AD479=Constants!$B$3,FALSE(),TRUE())))</f>
        <v/>
      </c>
      <c r="BJ479" s="74" t="str">
        <f aca="false">IF(ISBLANK($C479),"",IF(ISNUMBER($AE479),IF($AE479&gt;=0,$AE479,""),""))</f>
        <v/>
      </c>
      <c r="BK479" s="74" t="str">
        <f aca="false">IF(ISBLANK($C479),"",IF($AF479=Constants!$B$2,TRUE(),IF($AF479=Constants!$B$3,FALSE(),FALSE())))</f>
        <v/>
      </c>
      <c r="BL479" s="73" t="str">
        <f aca="false">IF(ISBLANK($C479),"",IF($BK479,Constants!$B$7,IF(COUNTA($E479:$AE479)=0,Constants!$B$6,IF(OR(COUNTA($G479:$AE479)=0,NOT($AM479),$AS479),Constants!$B$5,IF(OR($CM479&lt;&gt;"",$CN479,$CO479,$CP479,$CQ479,$CR479,$CS479),Constants!$B$8,Constants!$B$4)))))</f>
        <v/>
      </c>
      <c r="BM479" s="74" t="str">
        <f aca="false">IF(ISBLANK($C479),"",IF($BL479&lt;&gt;Constants!$B$4,$BL479,IF(OR(NOT($AJ479),NOT($AL479),NOT($AT479)),Constants!$B$11,IF(OR(NOT($AR479),NOT($AU479),NOT($BI479),MAX($AN479,$AO479,$AP479)&gt;Constants!$B$30),Constants!$B$10,Constants!$B$9))))</f>
        <v/>
      </c>
      <c r="BN479" s="74" t="str">
        <f aca="false">IF($BL479&lt;&gt;Constants!$B$4,"",IF(NOT($AL479),0,MIN(Constants!$B$35,$BF479)))</f>
        <v/>
      </c>
      <c r="BO479" s="74" t="str">
        <f aca="false">IF($BL479&lt;&gt;Constants!$B$4,"",IF(NOT($AL479),0,IF($AW479,Constants!$B$18,IF($AV479,Constants!$B$17,0))))</f>
        <v/>
      </c>
      <c r="BP479" s="74" t="str">
        <f aca="false">IF($BL479&lt;&gt;Constants!$B$4,"",IF(NOT($AL479),0,Constants!$B$19*($AK479+$AX479+$AY479+$AZ479)))</f>
        <v/>
      </c>
      <c r="BQ479" s="74" t="str">
        <f aca="false">IF($BL479&lt;&gt;Constants!$B$4,"",IF(OR(NOT($AL479),NOT(ISNUMBER($BA479))),0,CHOOSE($BA479,Constants!$B$13,Constants!$B$14,Constants!$B$15,Constants!$B$16)))</f>
        <v/>
      </c>
      <c r="BR479" s="74" t="str">
        <f aca="false">IF($BL479&lt;&gt;Constants!$B$4,"",IF(NOT($AL479),0,Constants!$B$20*$BB479))</f>
        <v/>
      </c>
      <c r="BS479" s="74" t="str">
        <f aca="false">IF($BL479&lt;&gt;Constants!$B$4,"",IF(AND($AL479,$BD479,$BE479),Constants!$B$22,0))</f>
        <v/>
      </c>
      <c r="BT479" s="74" t="str">
        <f aca="false">IF($BL479&lt;&gt;Constants!$B$4,"",IF(OR(NOT($AL479),NOT($BD479)),0,IF($BJ479&gt;=2*$AH$9,0,Constants!$B$23*INT(ROUND(MIN($BJ479,$AH$9),6)))))</f>
        <v/>
      </c>
      <c r="BU479" s="74" t="str">
        <f aca="false">IF($BL479&lt;&gt;Constants!$B$4,"",IF(NOT($AL479),0,Constants!$B$24*INT(ROUND(MIN($BC479,$AH$9),6))))</f>
        <v/>
      </c>
      <c r="BV479" s="74" t="str">
        <f aca="false">IF($BL479&lt;&gt;Constants!$B$4,"",IF(AND($AL479,$BN479=0),Constants!$B$25,0))</f>
        <v/>
      </c>
      <c r="BW479" s="74" t="str">
        <f aca="false">IF($BL479&lt;&gt;Constants!$B$4,"",MIN(Constants!$B$29,MAX(0,Constants!$B$27*Constants!$B$28*INT(ROUND((Constants!$B$26-$AN479)/Constants!$B$28,6))))+MIN(Constants!$B$29,MAX(0,Constants!$B$27*Constants!$B$28*INT(ROUND((Constants!$B$26-$AO479)/Constants!$B$28,6))))+MIN(Constants!$B$29,MAX(0,Constants!$B$27*Constants!$B$28*INT(ROUND((Constants!$B$26-$AP479)/Constants!$B$28,6)))))</f>
        <v/>
      </c>
      <c r="BX479" s="74" t="str">
        <f aca="false">IF($BL479&lt;&gt;Constants!$B$4,"",IF(NOT($AL479),0,Constants!$B$31*INT(ROUND(MAX(0,MIN($BJ479,2*$AH$9)-$AH$9),6))))</f>
        <v/>
      </c>
      <c r="BY479" s="74" t="str">
        <f aca="false">IF($BL479&lt;&gt;Constants!$B$4,"",Constants!$B$32*(($AN479&gt;Constants!$B$26)+($AO479&gt;Constants!$B$26)+($AP479&gt;Constants!$B$26)))</f>
        <v/>
      </c>
      <c r="BZ479" s="74" t="str">
        <f aca="false">IF($BL479&lt;&gt;Constants!$B$4,"",IF(OR(NOT($AL479),$AQ479),0,Constants!$B$33))</f>
        <v/>
      </c>
      <c r="CA479" s="74" t="str">
        <f aca="false">IF($BL479&lt;&gt;Constants!$B$4,"",Constants!$B$34*$BN479)</f>
        <v/>
      </c>
      <c r="CB479" s="74" t="str">
        <f aca="false">IF($BL479&lt;&gt;Constants!$B$4,"",IF(OR(NOT($AL479),$BH479),0,Constants!$B$36))</f>
        <v/>
      </c>
      <c r="CC479" s="74" t="str">
        <f aca="false">IF($BL479&lt;&gt;Constants!$B$4,"",IF(OR(NOT($AL479),$BG479),0,Constants!$B$37))</f>
        <v/>
      </c>
      <c r="CD479" s="74" t="str">
        <f aca="false">IF($BL479&lt;&gt;Constants!$B$4,"",SUM($BX479:$CC479))</f>
        <v/>
      </c>
      <c r="CE479" s="74" t="str">
        <f aca="false">IF(ISBLANK($C479),"",IF($BL479&lt;&gt;Constants!$B$4,$BL479,SUM($BO479:$BW479)-$CD479))</f>
        <v/>
      </c>
      <c r="CF479" s="74" t="str">
        <f aca="false">IF(ISBLANK($C479),"",IF($BL479&lt;&gt;Constants!$B$4,$BL479,RANK($CE479,$CE$9:$CE$508)))</f>
        <v/>
      </c>
      <c r="CG479" s="74" t="str">
        <f aca="false">IF(ISBLANK($C479),"",IF($BL479&lt;&gt;Constants!$B$4,$BL479,COUNTIFS($BM$9:$BM$508,"&lt;"&amp;$BM479)+COUNTIFS($BM$9:$BM$508,$BM479,$CF$9:$CF$508,"&lt;"&amp;$CF479)+1))</f>
        <v/>
      </c>
      <c r="CH479" s="74" t="str">
        <f aca="false">IF(ISBLANK($C479),"",IF($BL479&lt;&gt;Constants!$B$4,$BL479,RANK($CD479,$CD$9:$CD$508,1)))</f>
        <v/>
      </c>
      <c r="CI479" s="74" t="str">
        <f aca="false">IF($BL479&lt;&gt;Constants!$B$4,"",$AN479+$AO479+$AP479)</f>
        <v/>
      </c>
      <c r="CJ479" s="74" t="str">
        <f aca="false">IF(ISBLANK($C479),"",IF($BL479&lt;&gt;Constants!$B$4,$BL479,RANK($CI479,$CI$9:$CI$508,1)))</f>
        <v/>
      </c>
      <c r="CK479" s="74" t="str">
        <f aca="false">IF(ISBLANK($C479),"",IF($BL479&lt;&gt;Constants!$B$4,$BL479,COUNTIFS($BM$9:$BM$508,"&lt;"&amp;$BM479)+COUNTIFS($BM$9:$BM$508,$BM479,$CF$9:$CF$508,"&lt;"&amp;$CF479)+COUNTIFS($BM$9:$BM$508,$BM479,$CF$9:$CF$508,$CF479,$CH$9:$CH$508,"&lt;"&amp;$CH479)+COUNTIFS($BM$9:$BM$508,$BM479,$CF$9:$CF$508,$CF479,$CH$9:$CH$508,$CH479,$CJ$9:$CJ$508,"&lt;"&amp;$CJ479)+1))</f>
        <v/>
      </c>
      <c r="CL479" s="74" t="str">
        <f aca="false">IF(ISBLANK($C479),"",IF($BL479&lt;&gt;Constants!$B$4,$BL479,$CG479-$CK479))</f>
        <v/>
      </c>
      <c r="CM479" s="74" t="str">
        <f aca="false">IF(ISBLANK($C479),"",IF(NOT($AL479),"",IF(ISBLANK($D$7),$CM$5,IF(NOT(ISNUMBER($D$7)),$CM$6,""))))</f>
        <v/>
      </c>
      <c r="CN479" s="74" t="str">
        <f aca="false">IF(ISBLANK($C479),"",OR($AN479="",$AO479="",$AP479=""))</f>
        <v/>
      </c>
      <c r="CO479" s="74" t="str">
        <f aca="false">IF(ISBLANK($C479),"",AND($AL479,$BA479=""))</f>
        <v/>
      </c>
      <c r="CP479" s="74" t="str">
        <f aca="false">IF(ISBLANK($C479),"",AND($AL479,$BB479=""))</f>
        <v/>
      </c>
      <c r="CQ479" s="74" t="str">
        <f aca="false">IF(ISBLANK($C479),"",AND($AL479,$BC479=""))</f>
        <v/>
      </c>
      <c r="CR479" s="74" t="str">
        <f aca="false">IF(ISBLANK($C479),"",AND($AL479,$BF479=""))</f>
        <v/>
      </c>
      <c r="CS479" s="74" t="str">
        <f aca="false">IF(ISBLANK($C479),"",AND($AL479,$BJ479=""))</f>
        <v/>
      </c>
      <c r="CT479" s="75"/>
      <c r="CU479" s="76"/>
      <c r="CV479" s="79" t="str">
        <f aca="false">IF(ISBLANK($C479),"",IF($BL479=Constants!$B$8,$CM479,""))</f>
        <v/>
      </c>
      <c r="CW479" s="76" t="str">
        <f aca="false">IF(ISBLANK($C479),"",IF($BL479&lt;&gt;Constants!$B$4,"",$BO479+$BP479))</f>
        <v/>
      </c>
      <c r="CX479" s="78" t="str">
        <f aca="false">IF(ISBLANK($C479),"",IF($BL479&lt;&gt;Constants!$B$4,"",$BQ479+$BR479+$BS479))</f>
        <v/>
      </c>
      <c r="CY479" s="78" t="str">
        <f aca="false">IF(ISBLANK($C479),"",IF($BL479&lt;&gt;Constants!$B$4,"",$BT479))</f>
        <v/>
      </c>
      <c r="CZ479" s="78" t="str">
        <f aca="false">IF(ISBLANK($C479),"",IF($BL479&lt;&gt;Constants!$B$4,"",$BU479+$BV479))</f>
        <v/>
      </c>
      <c r="DA479" s="78" t="str">
        <f aca="false">IF(ISBLANK($C479),"",IF($BL479&lt;&gt;Constants!$B$4,"",$BW479))</f>
        <v/>
      </c>
      <c r="DB479" s="78" t="str">
        <f aca="false">IF(ISBLANK($C479),"",IF($BL479&lt;&gt;Constants!$B$4,"",-$CD479))</f>
        <v/>
      </c>
      <c r="DC479" s="79" t="str">
        <f aca="false">IF(ISBLANK($C479),"",$CE479)</f>
        <v/>
      </c>
      <c r="DD479" s="80" t="str">
        <f aca="false">IF(ISBLANK($C479),"",$BM479)</f>
        <v/>
      </c>
      <c r="DE479" s="78" t="str">
        <f aca="false">IF(ISBLANK($C479),"",$CL479)</f>
        <v/>
      </c>
      <c r="DF479" s="78" t="str">
        <f aca="false">IF(ISBLANK($C479),"",$CK479)</f>
        <v/>
      </c>
      <c r="DG479" s="81" t="str">
        <f aca="false">IF(ISBLANK($C479),"",IF($DF479=Constants!$B$7,COUNTA($C$9:$C$508)+2,IF($DF479=Constants!$B$6,COUNTA($C$9:$C$508)+1,IF($DF479=Constants!$B$5,COUNTA($C$9:$C$508),$DF479))))</f>
        <v/>
      </c>
      <c r="DH479" s="7"/>
      <c r="DI479" s="82" t="n">
        <f aca="false">IF(OR(ISNUMBER($DF479),$DF479=Constants!$B$7,$DF479=Constants!$B$5,$DF479=Constants!$B$6),1,0)</f>
        <v>0</v>
      </c>
      <c r="DJ479" s="82" t="n">
        <v>471</v>
      </c>
      <c r="DK479" s="82" t="str">
        <f aca="false">IF(ISBLANK($C479),"",IF(ISNUMBER($DG479),$DG479+ROW($B479)/1000,""))</f>
        <v/>
      </c>
      <c r="DL479" s="82" t="str">
        <f aca="false">IF(ISNUMBER($DK479),RANK($DK479,$DK$9:$DK$508,1),"")</f>
        <v/>
      </c>
      <c r="DM479" s="82" t="str">
        <f aca="false">IF(ISBLANK($C479),"",$B479)</f>
        <v/>
      </c>
      <c r="DN479" s="82" t="str">
        <f aca="false">IF(ISBLANK($C479),"",$C479)</f>
        <v/>
      </c>
      <c r="DO479" s="82" t="str">
        <f aca="false">IF(ISBLANK($C479),"",$D479)</f>
        <v/>
      </c>
      <c r="DP479" s="83" t="str">
        <f aca="false">$DD479</f>
        <v/>
      </c>
      <c r="DQ479" s="84" t="str">
        <f aca="false">$DC479</f>
        <v/>
      </c>
      <c r="DR479" s="82" t="str">
        <f aca="false">IF(ISBLANK($C479),"",$DF479)</f>
        <v/>
      </c>
      <c r="DS479" s="85" t="str">
        <f aca="false">IF($DJ479&gt;$DI$8,"",VLOOKUP($DJ479,$DL$9:$DR$508,7,FALSE()))</f>
        <v/>
      </c>
      <c r="DT479" s="86" t="str">
        <f aca="false">IF($DJ479&gt;$DI$8,"",VLOOKUP($DJ479,$DL$9:$DR$508,2,FALSE()))</f>
        <v/>
      </c>
      <c r="DU479" s="86" t="str">
        <f aca="false">IF($DJ479&gt;$DI$8,"",VLOOKUP($DJ479,$DL$9:$DR$508,3,FALSE()))</f>
        <v/>
      </c>
      <c r="DV479" s="86" t="str">
        <f aca="false">IF($DJ479&gt;$DI$8,"",VLOOKUP($DJ479,$DL$9:$DR$508,4,FALSE()))</f>
        <v/>
      </c>
      <c r="DW479" s="86" t="str">
        <f aca="false">IF($DJ479&gt;$DI$8,"",VLOOKUP($DJ479,$DL$9:$DR$508,5,FALSE()))</f>
        <v/>
      </c>
      <c r="DX479" s="87" t="str">
        <f aca="false">IF($DJ479&gt;$DI$8,"",VLOOKUP($DJ479,$DL$9:$DR$508,6,FALSE()))</f>
        <v/>
      </c>
      <c r="DY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130"/>
      <c r="N480" s="130"/>
      <c r="O480" s="135"/>
      <c r="P480" s="135"/>
      <c r="Q480" s="130"/>
      <c r="R480" s="130"/>
      <c r="S480" s="130"/>
      <c r="T480" s="130"/>
      <c r="U480" s="135"/>
      <c r="V480" s="130"/>
      <c r="W480" s="96"/>
      <c r="X480" s="130"/>
      <c r="Y480" s="130"/>
      <c r="Z480" s="96"/>
      <c r="AA480" s="96"/>
      <c r="AB480" s="130"/>
      <c r="AC480" s="130"/>
      <c r="AD480" s="130"/>
      <c r="AE480" s="97"/>
      <c r="AF480" s="130"/>
      <c r="AG480" s="99"/>
      <c r="AH480" s="100"/>
      <c r="AI480" s="100"/>
      <c r="AJ480" s="100" t="str">
        <f aca="false">IF(ISBLANK($C480),"",IF($E480=Constants!$B$2,TRUE(),IF($E480=Constants!$B$3,FALSE(),TRUE())))</f>
        <v/>
      </c>
      <c r="AK480" s="100" t="str">
        <f aca="false">IF(ISBLANK($C480),"",IF($F480=Constants!$B$2,TRUE(),IF($F480=Constants!$B$3,FALSE(),FALSE())))</f>
        <v/>
      </c>
      <c r="AL480" s="100" t="str">
        <f aca="false">IF(ISBLANK($C480),"",IF($G480=Constants!$B$2,TRUE(),IF($G480=Constants!$B$3,FALSE(),TRUE())))</f>
        <v/>
      </c>
      <c r="AM480" s="100" t="str">
        <f aca="false">IF(ISBLANK($C480),"",IF($H480=Constants!$B$2,TRUE(),IF($H480=Constants!$B$3,FALSE(),TRUE())))</f>
        <v/>
      </c>
      <c r="AN480" s="100" t="str">
        <f aca="false">IF(ISBLANK($C480),"",IF(ISNUMBER($I480),IF($I480&gt;=0,$I480,""),""))</f>
        <v/>
      </c>
      <c r="AO480" s="100" t="str">
        <f aca="false">IF(ISBLANK($C480),"",IF(ISNUMBER($J480),IF($J480&gt;=0,$J480,""),""))</f>
        <v/>
      </c>
      <c r="AP480" s="100" t="str">
        <f aca="false">IF(ISBLANK($C480),"",IF(ISNUMBER($K480),IF($K480&gt;=0,$K480,""),""))</f>
        <v/>
      </c>
      <c r="AQ480" s="100" t="str">
        <f aca="false">IF(ISBLANK($C480),"",IF($L480=Constants!$B$2,TRUE(),IF($L480=Constants!$B$3,FALSE(),TRUE())))</f>
        <v/>
      </c>
      <c r="AR480" s="100" t="str">
        <f aca="false">IF(ISBLANK($C480),"",IF($M480=Constants!$B$2,TRUE(),IF($M480=Constants!$B$3,FALSE(),TRUE())))</f>
        <v/>
      </c>
      <c r="AS480" s="100" t="str">
        <f aca="false">IF(ISBLANK($C480),"",IF($N480=Constants!$B$2,TRUE(),IF($N480=Constants!$B$3,FALSE(),FALSE())))</f>
        <v/>
      </c>
      <c r="AT480" s="100" t="str">
        <f aca="false">IF(ISBLANK($C480),"",IF($O480=Constants!$B$2,TRUE(),IF($O480=Constants!$B$3,FALSE(),TRUE())))</f>
        <v/>
      </c>
      <c r="AU480" s="100" t="str">
        <f aca="false">IF(ISBLANK($C480),"",IF($P480=Constants!$B$2,TRUE(),IF($P480=Constants!$B$3,FALSE(),TRUE())))</f>
        <v/>
      </c>
      <c r="AV480" s="100" t="str">
        <f aca="false">IF(ISBLANK($C480),"",IF($Q480=Constants!$B$2,TRUE(),IF($Q480=Constants!$B$3,FALSE(),FALSE())))</f>
        <v/>
      </c>
      <c r="AW480" s="100" t="str">
        <f aca="false">IF(ISBLANK($C480),"",IF($R480=Constants!$B$2,TRUE(),IF($R480=Constants!$B$3,FALSE(),FALSE())))</f>
        <v/>
      </c>
      <c r="AX480" s="100" t="str">
        <f aca="false">IF(ISBLANK($C480),"",IF($S480=Constants!$B$2,TRUE(),IF($S480=Constants!$B$3,FALSE(),FALSE())))</f>
        <v/>
      </c>
      <c r="AY480" s="100" t="str">
        <f aca="false">IF(ISBLANK($C480),"",IF($T480=Constants!$B$2,TRUE(),IF($T480=Constants!$B$3,FALSE(),FALSE())))</f>
        <v/>
      </c>
      <c r="AZ480" s="100" t="str">
        <f aca="false">IF(ISBLANK($C480),"",IF($U480=Constants!$B$2,TRUE(),IF($U480=Constants!$B$3,FALSE(),FALSE())))</f>
        <v/>
      </c>
      <c r="BA480" s="100" t="str">
        <f aca="false">IF(ISBLANK($C480),"",IF(OR($V480&amp;""="1",$V480&amp;""="2",$V480&amp;""="3",$V480&amp;""="4"),VALUE($V480&amp;""),IF($V480=Constants!$B$12,Constants!$B$12,"")))</f>
        <v/>
      </c>
      <c r="BB480" s="100" t="str">
        <f aca="false">IF(ISBLANK($C480),"",IF(ISBLANK($W480),0,IF(ISNUMBER($W480),IF(AND($W480&gt;=0,$W480&lt;=Constants!$B$21,$W480=INT($W480)),$W480,""),"")))</f>
        <v/>
      </c>
      <c r="BC480" s="100" t="str">
        <f aca="false">IF(ISBLANK($C480),"",IF(ISBLANK($X480),0,IF(ISNUMBER($X480),IF($X480&gt;=0,$X480,""),"")))</f>
        <v/>
      </c>
      <c r="BD480" s="100" t="str">
        <f aca="false">IF(ISBLANK($C480),"",IF($Y480=Constants!$B$2,TRUE(),IF($Y480=Constants!$B$3,FALSE(),TRUE())))</f>
        <v/>
      </c>
      <c r="BE480" s="100" t="str">
        <f aca="false">IF(ISBLANK($C480),"",IF($Z480=Constants!$B$2,TRUE(),IF($Z480=Constants!$B$3,FALSE(),FALSE())))</f>
        <v/>
      </c>
      <c r="BF480" s="100" t="str">
        <f aca="false">IF(ISBLANK($C480),"",IF(ISBLANK($AA480),0,IF(ISNUMBER($AA480),IF(AND($AA480&gt;=0,$AA480&lt;=Constants!$B$35,$AA480=INT($AA480)),$AA480,""),"")))</f>
        <v/>
      </c>
      <c r="BG480" s="100" t="str">
        <f aca="false">IF(ISBLANK($C480),"",IF($AB480=Constants!$B$2,TRUE(),IF($AB480=Constants!$B$3,FALSE(),TRUE())))</f>
        <v/>
      </c>
      <c r="BH480" s="100" t="str">
        <f aca="false">IF(ISBLANK($C480),"",IF($AC480=Constants!$B$2,TRUE(),IF($AC480=Constants!$B$3,FALSE(),TRUE())))</f>
        <v/>
      </c>
      <c r="BI480" s="100" t="str">
        <f aca="false">IF(ISBLANK($C480),"",IF($AD480=Constants!$B$2,TRUE(),IF($AD480=Constants!$B$3,FALSE(),TRUE())))</f>
        <v/>
      </c>
      <c r="BJ480" s="100" t="str">
        <f aca="false">IF(ISBLANK($C480),"",IF(ISNUMBER($AE480),IF($AE480&gt;=0,$AE480,""),""))</f>
        <v/>
      </c>
      <c r="BK480" s="100" t="str">
        <f aca="false">IF(ISBLANK($C480),"",IF($AF480=Constants!$B$2,TRUE(),IF($AF480=Constants!$B$3,FALSE(),FALSE())))</f>
        <v/>
      </c>
      <c r="BL480" s="99" t="str">
        <f aca="false">IF(ISBLANK($C480),"",IF($BK480,Constants!$B$7,IF(COUNTA($E480:$AE480)=0,Constants!$B$6,IF(OR(COUNTA($G480:$AE480)=0,NOT($AM480),$AS480),Constants!$B$5,IF(OR($CM480&lt;&gt;"",$CN480,$CO480,$CP480,$CQ480,$CR480,$CS480),Constants!$B$8,Constants!$B$4)))))</f>
        <v/>
      </c>
      <c r="BM480" s="100" t="str">
        <f aca="false">IF(ISBLANK($C480),"",IF($BL480&lt;&gt;Constants!$B$4,$BL480,IF(OR(NOT($AJ480),NOT($AL480),NOT($AT480)),Constants!$B$11,IF(OR(NOT($AR480),NOT($AU480),NOT($BI480),MAX($AN480,$AO480,$AP480)&gt;Constants!$B$30),Constants!$B$10,Constants!$B$9))))</f>
        <v/>
      </c>
      <c r="BN480" s="100" t="str">
        <f aca="false">IF($BL480&lt;&gt;Constants!$B$4,"",IF(NOT($AL480),0,MIN(Constants!$B$35,$BF480)))</f>
        <v/>
      </c>
      <c r="BO480" s="100" t="str">
        <f aca="false">IF($BL480&lt;&gt;Constants!$B$4,"",IF(NOT($AL480),0,IF($AW480,Constants!$B$18,IF($AV480,Constants!$B$17,0))))</f>
        <v/>
      </c>
      <c r="BP480" s="100" t="str">
        <f aca="false">IF($BL480&lt;&gt;Constants!$B$4,"",IF(NOT($AL480),0,Constants!$B$19*($AK480+$AX480+$AY480+$AZ480)))</f>
        <v/>
      </c>
      <c r="BQ480" s="100" t="str">
        <f aca="false">IF($BL480&lt;&gt;Constants!$B$4,"",IF(OR(NOT($AL480),NOT(ISNUMBER($BA480))),0,CHOOSE($BA480,Constants!$B$13,Constants!$B$14,Constants!$B$15,Constants!$B$16)))</f>
        <v/>
      </c>
      <c r="BR480" s="100" t="str">
        <f aca="false">IF($BL480&lt;&gt;Constants!$B$4,"",IF(NOT($AL480),0,Constants!$B$20*$BB480))</f>
        <v/>
      </c>
      <c r="BS480" s="100" t="str">
        <f aca="false">IF($BL480&lt;&gt;Constants!$B$4,"",IF(AND($AL480,$BD480,$BE480),Constants!$B$22,0))</f>
        <v/>
      </c>
      <c r="BT480" s="100" t="str">
        <f aca="false">IF($BL480&lt;&gt;Constants!$B$4,"",IF(OR(NOT($AL480),NOT($BD480)),0,IF($BJ480&gt;=2*$AH$9,0,Constants!$B$23*INT(ROUND(MIN($BJ480,$AH$9),6)))))</f>
        <v/>
      </c>
      <c r="BU480" s="100" t="str">
        <f aca="false">IF($BL480&lt;&gt;Constants!$B$4,"",IF(NOT($AL480),0,Constants!$B$24*INT(ROUND(MIN($BC480,$AH$9),6))))</f>
        <v/>
      </c>
      <c r="BV480" s="100" t="str">
        <f aca="false">IF($BL480&lt;&gt;Constants!$B$4,"",IF(AND($AL480,$BN480=0),Constants!$B$25,0))</f>
        <v/>
      </c>
      <c r="BW480" s="100" t="str">
        <f aca="false">IF($BL480&lt;&gt;Constants!$B$4,"",MIN(Constants!$B$29,MAX(0,Constants!$B$27*Constants!$B$28*INT(ROUND((Constants!$B$26-$AN480)/Constants!$B$28,6))))+MIN(Constants!$B$29,MAX(0,Constants!$B$27*Constants!$B$28*INT(ROUND((Constants!$B$26-$AO480)/Constants!$B$28,6))))+MIN(Constants!$B$29,MAX(0,Constants!$B$27*Constants!$B$28*INT(ROUND((Constants!$B$26-$AP480)/Constants!$B$28,6)))))</f>
        <v/>
      </c>
      <c r="BX480" s="100" t="str">
        <f aca="false">IF($BL480&lt;&gt;Constants!$B$4,"",IF(NOT($AL480),0,Constants!$B$31*INT(ROUND(MAX(0,MIN($BJ480,2*$AH$9)-$AH$9),6))))</f>
        <v/>
      </c>
      <c r="BY480" s="100" t="str">
        <f aca="false">IF($BL480&lt;&gt;Constants!$B$4,"",Constants!$B$32*(($AN480&gt;Constants!$B$26)+($AO480&gt;Constants!$B$26)+($AP480&gt;Constants!$B$26)))</f>
        <v/>
      </c>
      <c r="BZ480" s="100" t="str">
        <f aca="false">IF($BL480&lt;&gt;Constants!$B$4,"",IF(OR(NOT($AL480),$AQ480),0,Constants!$B$33))</f>
        <v/>
      </c>
      <c r="CA480" s="100" t="str">
        <f aca="false">IF($BL480&lt;&gt;Constants!$B$4,"",Constants!$B$34*$BN480)</f>
        <v/>
      </c>
      <c r="CB480" s="100" t="str">
        <f aca="false">IF($BL480&lt;&gt;Constants!$B$4,"",IF(OR(NOT($AL480),$BH480),0,Constants!$B$36))</f>
        <v/>
      </c>
      <c r="CC480" s="100" t="str">
        <f aca="false">IF($BL480&lt;&gt;Constants!$B$4,"",IF(OR(NOT($AL480),$BG480),0,Constants!$B$37))</f>
        <v/>
      </c>
      <c r="CD480" s="100" t="str">
        <f aca="false">IF($BL480&lt;&gt;Constants!$B$4,"",SUM($BX480:$CC480))</f>
        <v/>
      </c>
      <c r="CE480" s="100" t="str">
        <f aca="false">IF(ISBLANK($C480),"",IF($BL480&lt;&gt;Constants!$B$4,$BL480,SUM($BO480:$BW480)-$CD480))</f>
        <v/>
      </c>
      <c r="CF480" s="100" t="str">
        <f aca="false">IF(ISBLANK($C480),"",IF($BL480&lt;&gt;Constants!$B$4,$BL480,RANK($CE480,$CE$9:$CE$508)))</f>
        <v/>
      </c>
      <c r="CG480" s="100" t="str">
        <f aca="false">IF(ISBLANK($C480),"",IF($BL480&lt;&gt;Constants!$B$4,$BL480,COUNTIFS($BM$9:$BM$508,"&lt;"&amp;$BM480)+COUNTIFS($BM$9:$BM$508,$BM480,$CF$9:$CF$508,"&lt;"&amp;$CF480)+1))</f>
        <v/>
      </c>
      <c r="CH480" s="100" t="str">
        <f aca="false">IF(ISBLANK($C480),"",IF($BL480&lt;&gt;Constants!$B$4,$BL480,RANK($CD480,$CD$9:$CD$508,1)))</f>
        <v/>
      </c>
      <c r="CI480" s="100" t="str">
        <f aca="false">IF($BL480&lt;&gt;Constants!$B$4,"",$AN480+$AO480+$AP480)</f>
        <v/>
      </c>
      <c r="CJ480" s="100" t="str">
        <f aca="false">IF(ISBLANK($C480),"",IF($BL480&lt;&gt;Constants!$B$4,$BL480,RANK($CI480,$CI$9:$CI$508,1)))</f>
        <v/>
      </c>
      <c r="CK480" s="100" t="str">
        <f aca="false">IF(ISBLANK($C480),"",IF($BL480&lt;&gt;Constants!$B$4,$BL480,COUNTIFS($BM$9:$BM$508,"&lt;"&amp;$BM480)+COUNTIFS($BM$9:$BM$508,$BM480,$CF$9:$CF$508,"&lt;"&amp;$CF480)+COUNTIFS($BM$9:$BM$508,$BM480,$CF$9:$CF$508,$CF480,$CH$9:$CH$508,"&lt;"&amp;$CH480)+COUNTIFS($BM$9:$BM$508,$BM480,$CF$9:$CF$508,$CF480,$CH$9:$CH$508,$CH480,$CJ$9:$CJ$508,"&lt;"&amp;$CJ480)+1))</f>
        <v/>
      </c>
      <c r="CL480" s="100" t="str">
        <f aca="false">IF(ISBLANK($C480),"",IF($BL480&lt;&gt;Constants!$B$4,$BL480,$CG480-$CK480))</f>
        <v/>
      </c>
      <c r="CM480" s="100" t="str">
        <f aca="false">IF(ISBLANK($C480),"",IF(NOT($AL480),"",IF(ISBLANK($D$7),$CM$5,IF(NOT(ISNUMBER($D$7)),$CM$6,""))))</f>
        <v/>
      </c>
      <c r="CN480" s="100" t="str">
        <f aca="false">IF(ISBLANK($C480),"",OR($AN480="",$AO480="",$AP480=""))</f>
        <v/>
      </c>
      <c r="CO480" s="100" t="str">
        <f aca="false">IF(ISBLANK($C480),"",AND($AL480,$BA480=""))</f>
        <v/>
      </c>
      <c r="CP480" s="100" t="str">
        <f aca="false">IF(ISBLANK($C480),"",AND($AL480,$BB480=""))</f>
        <v/>
      </c>
      <c r="CQ480" s="100" t="str">
        <f aca="false">IF(ISBLANK($C480),"",AND($AL480,$BC480=""))</f>
        <v/>
      </c>
      <c r="CR480" s="100" t="str">
        <f aca="false">IF(ISBLANK($C480),"",AND($AL480,$BF480=""))</f>
        <v/>
      </c>
      <c r="CS480" s="100" t="str">
        <f aca="false">IF(ISBLANK($C480),"",AND($AL480,$BJ480=""))</f>
        <v/>
      </c>
      <c r="CT480" s="101"/>
      <c r="CU480" s="102"/>
      <c r="CV480" s="103" t="str">
        <f aca="false">IF(ISBLANK($C480),"",IF($BL480=Constants!$B$8,$CM480,""))</f>
        <v/>
      </c>
      <c r="CW480" s="102" t="str">
        <f aca="false">IF(ISBLANK($C480),"",IF($BL480&lt;&gt;Constants!$B$4,"",$BO480+$BP480))</f>
        <v/>
      </c>
      <c r="CX480" s="104" t="str">
        <f aca="false">IF(ISBLANK($C480),"",IF($BL480&lt;&gt;Constants!$B$4,"",$BQ480+$BR480+$BS480))</f>
        <v/>
      </c>
      <c r="CY480" s="104" t="str">
        <f aca="false">IF(ISBLANK($C480),"",IF($BL480&lt;&gt;Constants!$B$4,"",$BT480))</f>
        <v/>
      </c>
      <c r="CZ480" s="104" t="str">
        <f aca="false">IF(ISBLANK($C480),"",IF($BL480&lt;&gt;Constants!$B$4,"",$BU480+$BV480))</f>
        <v/>
      </c>
      <c r="DA480" s="104" t="str">
        <f aca="false">IF(ISBLANK($C480),"",IF($BL480&lt;&gt;Constants!$B$4,"",$BW480))</f>
        <v/>
      </c>
      <c r="DB480" s="104" t="str">
        <f aca="false">IF(ISBLANK($C480),"",IF($BL480&lt;&gt;Constants!$B$4,"",-$CD480))</f>
        <v/>
      </c>
      <c r="DC480" s="103" t="str">
        <f aca="false">IF(ISBLANK($C480),"",$CE480)</f>
        <v/>
      </c>
      <c r="DD480" s="105" t="str">
        <f aca="false">IF(ISBLANK($C480),"",$BM480)</f>
        <v/>
      </c>
      <c r="DE480" s="104" t="str">
        <f aca="false">IF(ISBLANK($C480),"",$CL480)</f>
        <v/>
      </c>
      <c r="DF480" s="104" t="str">
        <f aca="false">IF(ISBLANK($C480),"",$CK480)</f>
        <v/>
      </c>
      <c r="DG480" s="106" t="str">
        <f aca="false">IF(ISBLANK($C480),"",IF($DF480=Constants!$B$7,COUNTA($C$9:$C$508)+2,IF($DF480=Constants!$B$6,COUNTA($C$9:$C$508)+1,IF($DF480=Constants!$B$5,COUNTA($C$9:$C$508),$DF480))))</f>
        <v/>
      </c>
      <c r="DH480" s="7"/>
      <c r="DI480" s="107" t="n">
        <f aca="false">IF(OR(ISNUMBER($DF480),$DF480=Constants!$B$7,$DF480=Constants!$B$5,$DF480=Constants!$B$6),1,0)</f>
        <v>0</v>
      </c>
      <c r="DJ480" s="107" t="n">
        <v>472</v>
      </c>
      <c r="DK480" s="107" t="str">
        <f aca="false">IF(ISBLANK($C480),"",IF(ISNUMBER($DG480),$DG480+ROW($B480)/1000,""))</f>
        <v/>
      </c>
      <c r="DL480" s="107" t="str">
        <f aca="false">IF(ISNUMBER($DK480),RANK($DK480,$DK$9:$DK$508,1),"")</f>
        <v/>
      </c>
      <c r="DM480" s="107" t="str">
        <f aca="false">IF(ISBLANK($C480),"",$B480)</f>
        <v/>
      </c>
      <c r="DN480" s="107" t="str">
        <f aca="false">IF(ISBLANK($C480),"",$C480)</f>
        <v/>
      </c>
      <c r="DO480" s="107" t="str">
        <f aca="false">IF(ISBLANK($C480),"",$D480)</f>
        <v/>
      </c>
      <c r="DP480" s="108" t="str">
        <f aca="false">$DD480</f>
        <v/>
      </c>
      <c r="DQ480" s="109" t="str">
        <f aca="false">$DC480</f>
        <v/>
      </c>
      <c r="DR480" s="107" t="str">
        <f aca="false">IF(ISBLANK($C480),"",$DF480)</f>
        <v/>
      </c>
      <c r="DS480" s="110" t="str">
        <f aca="false">IF($DJ480&gt;$DI$8,"",VLOOKUP($DJ480,$DL$9:$DR$508,7,FALSE()))</f>
        <v/>
      </c>
      <c r="DT480" s="111" t="str">
        <f aca="false">IF($DJ480&gt;$DI$8,"",VLOOKUP($DJ480,$DL$9:$DR$508,2,FALSE()))</f>
        <v/>
      </c>
      <c r="DU480" s="111" t="str">
        <f aca="false">IF($DJ480&gt;$DI$8,"",VLOOKUP($DJ480,$DL$9:$DR$508,3,FALSE()))</f>
        <v/>
      </c>
      <c r="DV480" s="111" t="str">
        <f aca="false">IF($DJ480&gt;$DI$8,"",VLOOKUP($DJ480,$DL$9:$DR$508,4,FALSE()))</f>
        <v/>
      </c>
      <c r="DW480" s="111" t="str">
        <f aca="false">IF($DJ480&gt;$DI$8,"",VLOOKUP($DJ480,$DL$9:$DR$508,5,FALSE()))</f>
        <v/>
      </c>
      <c r="DX480" s="112" t="str">
        <f aca="false">IF($DJ480&gt;$DI$8,"",VLOOKUP($DJ480,$DL$9:$DR$508,6,FALSE()))</f>
        <v/>
      </c>
      <c r="DY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130"/>
      <c r="N481" s="130"/>
      <c r="O481" s="135"/>
      <c r="P481" s="135"/>
      <c r="Q481" s="130"/>
      <c r="R481" s="130"/>
      <c r="S481" s="130"/>
      <c r="T481" s="130"/>
      <c r="U481" s="135"/>
      <c r="V481" s="130"/>
      <c r="W481" s="96"/>
      <c r="X481" s="130"/>
      <c r="Y481" s="130"/>
      <c r="Z481" s="96"/>
      <c r="AA481" s="96"/>
      <c r="AB481" s="130"/>
      <c r="AC481" s="130"/>
      <c r="AD481" s="130"/>
      <c r="AE481" s="97"/>
      <c r="AF481" s="130"/>
      <c r="AG481" s="99"/>
      <c r="AH481" s="100"/>
      <c r="AI481" s="100"/>
      <c r="AJ481" s="100" t="str">
        <f aca="false">IF(ISBLANK($C481),"",IF($E481=Constants!$B$2,TRUE(),IF($E481=Constants!$B$3,FALSE(),TRUE())))</f>
        <v/>
      </c>
      <c r="AK481" s="100" t="str">
        <f aca="false">IF(ISBLANK($C481),"",IF($F481=Constants!$B$2,TRUE(),IF($F481=Constants!$B$3,FALSE(),FALSE())))</f>
        <v/>
      </c>
      <c r="AL481" s="100" t="str">
        <f aca="false">IF(ISBLANK($C481),"",IF($G481=Constants!$B$2,TRUE(),IF($G481=Constants!$B$3,FALSE(),TRUE())))</f>
        <v/>
      </c>
      <c r="AM481" s="100" t="str">
        <f aca="false">IF(ISBLANK($C481),"",IF($H481=Constants!$B$2,TRUE(),IF($H481=Constants!$B$3,FALSE(),TRUE())))</f>
        <v/>
      </c>
      <c r="AN481" s="100" t="str">
        <f aca="false">IF(ISBLANK($C481),"",IF(ISNUMBER($I481),IF($I481&gt;=0,$I481,""),""))</f>
        <v/>
      </c>
      <c r="AO481" s="100" t="str">
        <f aca="false">IF(ISBLANK($C481),"",IF(ISNUMBER($J481),IF($J481&gt;=0,$J481,""),""))</f>
        <v/>
      </c>
      <c r="AP481" s="100" t="str">
        <f aca="false">IF(ISBLANK($C481),"",IF(ISNUMBER($K481),IF($K481&gt;=0,$K481,""),""))</f>
        <v/>
      </c>
      <c r="AQ481" s="100" t="str">
        <f aca="false">IF(ISBLANK($C481),"",IF($L481=Constants!$B$2,TRUE(),IF($L481=Constants!$B$3,FALSE(),TRUE())))</f>
        <v/>
      </c>
      <c r="AR481" s="100" t="str">
        <f aca="false">IF(ISBLANK($C481),"",IF($M481=Constants!$B$2,TRUE(),IF($M481=Constants!$B$3,FALSE(),TRUE())))</f>
        <v/>
      </c>
      <c r="AS481" s="100" t="str">
        <f aca="false">IF(ISBLANK($C481),"",IF($N481=Constants!$B$2,TRUE(),IF($N481=Constants!$B$3,FALSE(),FALSE())))</f>
        <v/>
      </c>
      <c r="AT481" s="100" t="str">
        <f aca="false">IF(ISBLANK($C481),"",IF($O481=Constants!$B$2,TRUE(),IF($O481=Constants!$B$3,FALSE(),TRUE())))</f>
        <v/>
      </c>
      <c r="AU481" s="100" t="str">
        <f aca="false">IF(ISBLANK($C481),"",IF($P481=Constants!$B$2,TRUE(),IF($P481=Constants!$B$3,FALSE(),TRUE())))</f>
        <v/>
      </c>
      <c r="AV481" s="100" t="str">
        <f aca="false">IF(ISBLANK($C481),"",IF($Q481=Constants!$B$2,TRUE(),IF($Q481=Constants!$B$3,FALSE(),FALSE())))</f>
        <v/>
      </c>
      <c r="AW481" s="100" t="str">
        <f aca="false">IF(ISBLANK($C481),"",IF($R481=Constants!$B$2,TRUE(),IF($R481=Constants!$B$3,FALSE(),FALSE())))</f>
        <v/>
      </c>
      <c r="AX481" s="100" t="str">
        <f aca="false">IF(ISBLANK($C481),"",IF($S481=Constants!$B$2,TRUE(),IF($S481=Constants!$B$3,FALSE(),FALSE())))</f>
        <v/>
      </c>
      <c r="AY481" s="100" t="str">
        <f aca="false">IF(ISBLANK($C481),"",IF($T481=Constants!$B$2,TRUE(),IF($T481=Constants!$B$3,FALSE(),FALSE())))</f>
        <v/>
      </c>
      <c r="AZ481" s="100" t="str">
        <f aca="false">IF(ISBLANK($C481),"",IF($U481=Constants!$B$2,TRUE(),IF($U481=Constants!$B$3,FALSE(),FALSE())))</f>
        <v/>
      </c>
      <c r="BA481" s="100" t="str">
        <f aca="false">IF(ISBLANK($C481),"",IF(OR($V481&amp;""="1",$V481&amp;""="2",$V481&amp;""="3",$V481&amp;""="4"),VALUE($V481&amp;""),IF($V481=Constants!$B$12,Constants!$B$12,"")))</f>
        <v/>
      </c>
      <c r="BB481" s="100" t="str">
        <f aca="false">IF(ISBLANK($C481),"",IF(ISBLANK($W481),0,IF(ISNUMBER($W481),IF(AND($W481&gt;=0,$W481&lt;=Constants!$B$21,$W481=INT($W481)),$W481,""),"")))</f>
        <v/>
      </c>
      <c r="BC481" s="100" t="str">
        <f aca="false">IF(ISBLANK($C481),"",IF(ISBLANK($X481),0,IF(ISNUMBER($X481),IF($X481&gt;=0,$X481,""),"")))</f>
        <v/>
      </c>
      <c r="BD481" s="100" t="str">
        <f aca="false">IF(ISBLANK($C481),"",IF($Y481=Constants!$B$2,TRUE(),IF($Y481=Constants!$B$3,FALSE(),TRUE())))</f>
        <v/>
      </c>
      <c r="BE481" s="100" t="str">
        <f aca="false">IF(ISBLANK($C481),"",IF($Z481=Constants!$B$2,TRUE(),IF($Z481=Constants!$B$3,FALSE(),FALSE())))</f>
        <v/>
      </c>
      <c r="BF481" s="100" t="str">
        <f aca="false">IF(ISBLANK($C481),"",IF(ISBLANK($AA481),0,IF(ISNUMBER($AA481),IF(AND($AA481&gt;=0,$AA481&lt;=Constants!$B$35,$AA481=INT($AA481)),$AA481,""),"")))</f>
        <v/>
      </c>
      <c r="BG481" s="100" t="str">
        <f aca="false">IF(ISBLANK($C481),"",IF($AB481=Constants!$B$2,TRUE(),IF($AB481=Constants!$B$3,FALSE(),TRUE())))</f>
        <v/>
      </c>
      <c r="BH481" s="100" t="str">
        <f aca="false">IF(ISBLANK($C481),"",IF($AC481=Constants!$B$2,TRUE(),IF($AC481=Constants!$B$3,FALSE(),TRUE())))</f>
        <v/>
      </c>
      <c r="BI481" s="100" t="str">
        <f aca="false">IF(ISBLANK($C481),"",IF($AD481=Constants!$B$2,TRUE(),IF($AD481=Constants!$B$3,FALSE(),TRUE())))</f>
        <v/>
      </c>
      <c r="BJ481" s="100" t="str">
        <f aca="false">IF(ISBLANK($C481),"",IF(ISNUMBER($AE481),IF($AE481&gt;=0,$AE481,""),""))</f>
        <v/>
      </c>
      <c r="BK481" s="100" t="str">
        <f aca="false">IF(ISBLANK($C481),"",IF($AF481=Constants!$B$2,TRUE(),IF($AF481=Constants!$B$3,FALSE(),FALSE())))</f>
        <v/>
      </c>
      <c r="BL481" s="99" t="str">
        <f aca="false">IF(ISBLANK($C481),"",IF($BK481,Constants!$B$7,IF(COUNTA($E481:$AE481)=0,Constants!$B$6,IF(OR(COUNTA($G481:$AE481)=0,NOT($AM481),$AS481),Constants!$B$5,IF(OR($CM481&lt;&gt;"",$CN481,$CO481,$CP481,$CQ481,$CR481,$CS481),Constants!$B$8,Constants!$B$4)))))</f>
        <v/>
      </c>
      <c r="BM481" s="100" t="str">
        <f aca="false">IF(ISBLANK($C481),"",IF($BL481&lt;&gt;Constants!$B$4,$BL481,IF(OR(NOT($AJ481),NOT($AL481),NOT($AT481)),Constants!$B$11,IF(OR(NOT($AR481),NOT($AU481),NOT($BI481),MAX($AN481,$AO481,$AP481)&gt;Constants!$B$30),Constants!$B$10,Constants!$B$9))))</f>
        <v/>
      </c>
      <c r="BN481" s="100" t="str">
        <f aca="false">IF($BL481&lt;&gt;Constants!$B$4,"",IF(NOT($AL481),0,MIN(Constants!$B$35,$BF481)))</f>
        <v/>
      </c>
      <c r="BO481" s="100" t="str">
        <f aca="false">IF($BL481&lt;&gt;Constants!$B$4,"",IF(NOT($AL481),0,IF($AW481,Constants!$B$18,IF($AV481,Constants!$B$17,0))))</f>
        <v/>
      </c>
      <c r="BP481" s="100" t="str">
        <f aca="false">IF($BL481&lt;&gt;Constants!$B$4,"",IF(NOT($AL481),0,Constants!$B$19*($AK481+$AX481+$AY481+$AZ481)))</f>
        <v/>
      </c>
      <c r="BQ481" s="100" t="str">
        <f aca="false">IF($BL481&lt;&gt;Constants!$B$4,"",IF(OR(NOT($AL481),NOT(ISNUMBER($BA481))),0,CHOOSE($BA481,Constants!$B$13,Constants!$B$14,Constants!$B$15,Constants!$B$16)))</f>
        <v/>
      </c>
      <c r="BR481" s="100" t="str">
        <f aca="false">IF($BL481&lt;&gt;Constants!$B$4,"",IF(NOT($AL481),0,Constants!$B$20*$BB481))</f>
        <v/>
      </c>
      <c r="BS481" s="100" t="str">
        <f aca="false">IF($BL481&lt;&gt;Constants!$B$4,"",IF(AND($AL481,$BD481,$BE481),Constants!$B$22,0))</f>
        <v/>
      </c>
      <c r="BT481" s="100" t="str">
        <f aca="false">IF($BL481&lt;&gt;Constants!$B$4,"",IF(OR(NOT($AL481),NOT($BD481)),0,IF($BJ481&gt;=2*$AH$9,0,Constants!$B$23*INT(ROUND(MIN($BJ481,$AH$9),6)))))</f>
        <v/>
      </c>
      <c r="BU481" s="100" t="str">
        <f aca="false">IF($BL481&lt;&gt;Constants!$B$4,"",IF(NOT($AL481),0,Constants!$B$24*INT(ROUND(MIN($BC481,$AH$9),6))))</f>
        <v/>
      </c>
      <c r="BV481" s="100" t="str">
        <f aca="false">IF($BL481&lt;&gt;Constants!$B$4,"",IF(AND($AL481,$BN481=0),Constants!$B$25,0))</f>
        <v/>
      </c>
      <c r="BW481" s="100" t="str">
        <f aca="false">IF($BL481&lt;&gt;Constants!$B$4,"",MIN(Constants!$B$29,MAX(0,Constants!$B$27*Constants!$B$28*INT(ROUND((Constants!$B$26-$AN481)/Constants!$B$28,6))))+MIN(Constants!$B$29,MAX(0,Constants!$B$27*Constants!$B$28*INT(ROUND((Constants!$B$26-$AO481)/Constants!$B$28,6))))+MIN(Constants!$B$29,MAX(0,Constants!$B$27*Constants!$B$28*INT(ROUND((Constants!$B$26-$AP481)/Constants!$B$28,6)))))</f>
        <v/>
      </c>
      <c r="BX481" s="100" t="str">
        <f aca="false">IF($BL481&lt;&gt;Constants!$B$4,"",IF(NOT($AL481),0,Constants!$B$31*INT(ROUND(MAX(0,MIN($BJ481,2*$AH$9)-$AH$9),6))))</f>
        <v/>
      </c>
      <c r="BY481" s="100" t="str">
        <f aca="false">IF($BL481&lt;&gt;Constants!$B$4,"",Constants!$B$32*(($AN481&gt;Constants!$B$26)+($AO481&gt;Constants!$B$26)+($AP481&gt;Constants!$B$26)))</f>
        <v/>
      </c>
      <c r="BZ481" s="100" t="str">
        <f aca="false">IF($BL481&lt;&gt;Constants!$B$4,"",IF(OR(NOT($AL481),$AQ481),0,Constants!$B$33))</f>
        <v/>
      </c>
      <c r="CA481" s="100" t="str">
        <f aca="false">IF($BL481&lt;&gt;Constants!$B$4,"",Constants!$B$34*$BN481)</f>
        <v/>
      </c>
      <c r="CB481" s="100" t="str">
        <f aca="false">IF($BL481&lt;&gt;Constants!$B$4,"",IF(OR(NOT($AL481),$BH481),0,Constants!$B$36))</f>
        <v/>
      </c>
      <c r="CC481" s="100" t="str">
        <f aca="false">IF($BL481&lt;&gt;Constants!$B$4,"",IF(OR(NOT($AL481),$BG481),0,Constants!$B$37))</f>
        <v/>
      </c>
      <c r="CD481" s="100" t="str">
        <f aca="false">IF($BL481&lt;&gt;Constants!$B$4,"",SUM($BX481:$CC481))</f>
        <v/>
      </c>
      <c r="CE481" s="100" t="str">
        <f aca="false">IF(ISBLANK($C481),"",IF($BL481&lt;&gt;Constants!$B$4,$BL481,SUM($BO481:$BW481)-$CD481))</f>
        <v/>
      </c>
      <c r="CF481" s="100" t="str">
        <f aca="false">IF(ISBLANK($C481),"",IF($BL481&lt;&gt;Constants!$B$4,$BL481,RANK($CE481,$CE$9:$CE$508)))</f>
        <v/>
      </c>
      <c r="CG481" s="100" t="str">
        <f aca="false">IF(ISBLANK($C481),"",IF($BL481&lt;&gt;Constants!$B$4,$BL481,COUNTIFS($BM$9:$BM$508,"&lt;"&amp;$BM481)+COUNTIFS($BM$9:$BM$508,$BM481,$CF$9:$CF$508,"&lt;"&amp;$CF481)+1))</f>
        <v/>
      </c>
      <c r="CH481" s="100" t="str">
        <f aca="false">IF(ISBLANK($C481),"",IF($BL481&lt;&gt;Constants!$B$4,$BL481,RANK($CD481,$CD$9:$CD$508,1)))</f>
        <v/>
      </c>
      <c r="CI481" s="100" t="str">
        <f aca="false">IF($BL481&lt;&gt;Constants!$B$4,"",$AN481+$AO481+$AP481)</f>
        <v/>
      </c>
      <c r="CJ481" s="100" t="str">
        <f aca="false">IF(ISBLANK($C481),"",IF($BL481&lt;&gt;Constants!$B$4,$BL481,RANK($CI481,$CI$9:$CI$508,1)))</f>
        <v/>
      </c>
      <c r="CK481" s="100" t="str">
        <f aca="false">IF(ISBLANK($C481),"",IF($BL481&lt;&gt;Constants!$B$4,$BL481,COUNTIFS($BM$9:$BM$508,"&lt;"&amp;$BM481)+COUNTIFS($BM$9:$BM$508,$BM481,$CF$9:$CF$508,"&lt;"&amp;$CF481)+COUNTIFS($BM$9:$BM$508,$BM481,$CF$9:$CF$508,$CF481,$CH$9:$CH$508,"&lt;"&amp;$CH481)+COUNTIFS($BM$9:$BM$508,$BM481,$CF$9:$CF$508,$CF481,$CH$9:$CH$508,$CH481,$CJ$9:$CJ$508,"&lt;"&amp;$CJ481)+1))</f>
        <v/>
      </c>
      <c r="CL481" s="100" t="str">
        <f aca="false">IF(ISBLANK($C481),"",IF($BL481&lt;&gt;Constants!$B$4,$BL481,$CG481-$CK481))</f>
        <v/>
      </c>
      <c r="CM481" s="100" t="str">
        <f aca="false">IF(ISBLANK($C481),"",IF(NOT($AL481),"",IF(ISBLANK($D$7),$CM$5,IF(NOT(ISNUMBER($D$7)),$CM$6,""))))</f>
        <v/>
      </c>
      <c r="CN481" s="100" t="str">
        <f aca="false">IF(ISBLANK($C481),"",OR($AN481="",$AO481="",$AP481=""))</f>
        <v/>
      </c>
      <c r="CO481" s="100" t="str">
        <f aca="false">IF(ISBLANK($C481),"",AND($AL481,$BA481=""))</f>
        <v/>
      </c>
      <c r="CP481" s="100" t="str">
        <f aca="false">IF(ISBLANK($C481),"",AND($AL481,$BB481=""))</f>
        <v/>
      </c>
      <c r="CQ481" s="100" t="str">
        <f aca="false">IF(ISBLANK($C481),"",AND($AL481,$BC481=""))</f>
        <v/>
      </c>
      <c r="CR481" s="100" t="str">
        <f aca="false">IF(ISBLANK($C481),"",AND($AL481,$BF481=""))</f>
        <v/>
      </c>
      <c r="CS481" s="100" t="str">
        <f aca="false">IF(ISBLANK($C481),"",AND($AL481,$BJ481=""))</f>
        <v/>
      </c>
      <c r="CT481" s="101"/>
      <c r="CU481" s="102"/>
      <c r="CV481" s="103" t="str">
        <f aca="false">IF(ISBLANK($C481),"",IF($BL481=Constants!$B$8,$CM481,""))</f>
        <v/>
      </c>
      <c r="CW481" s="102" t="str">
        <f aca="false">IF(ISBLANK($C481),"",IF($BL481&lt;&gt;Constants!$B$4,"",$BO481+$BP481))</f>
        <v/>
      </c>
      <c r="CX481" s="104" t="str">
        <f aca="false">IF(ISBLANK($C481),"",IF($BL481&lt;&gt;Constants!$B$4,"",$BQ481+$BR481+$BS481))</f>
        <v/>
      </c>
      <c r="CY481" s="104" t="str">
        <f aca="false">IF(ISBLANK($C481),"",IF($BL481&lt;&gt;Constants!$B$4,"",$BT481))</f>
        <v/>
      </c>
      <c r="CZ481" s="104" t="str">
        <f aca="false">IF(ISBLANK($C481),"",IF($BL481&lt;&gt;Constants!$B$4,"",$BU481+$BV481))</f>
        <v/>
      </c>
      <c r="DA481" s="104" t="str">
        <f aca="false">IF(ISBLANK($C481),"",IF($BL481&lt;&gt;Constants!$B$4,"",$BW481))</f>
        <v/>
      </c>
      <c r="DB481" s="104" t="str">
        <f aca="false">IF(ISBLANK($C481),"",IF($BL481&lt;&gt;Constants!$B$4,"",-$CD481))</f>
        <v/>
      </c>
      <c r="DC481" s="103" t="str">
        <f aca="false">IF(ISBLANK($C481),"",$CE481)</f>
        <v/>
      </c>
      <c r="DD481" s="105" t="str">
        <f aca="false">IF(ISBLANK($C481),"",$BM481)</f>
        <v/>
      </c>
      <c r="DE481" s="104" t="str">
        <f aca="false">IF(ISBLANK($C481),"",$CL481)</f>
        <v/>
      </c>
      <c r="DF481" s="104" t="str">
        <f aca="false">IF(ISBLANK($C481),"",$CK481)</f>
        <v/>
      </c>
      <c r="DG481" s="106" t="str">
        <f aca="false">IF(ISBLANK($C481),"",IF($DF481=Constants!$B$7,COUNTA($C$9:$C$508)+2,IF($DF481=Constants!$B$6,COUNTA($C$9:$C$508)+1,IF($DF481=Constants!$B$5,COUNTA($C$9:$C$508),$DF481))))</f>
        <v/>
      </c>
      <c r="DH481" s="7"/>
      <c r="DI481" s="107" t="n">
        <f aca="false">IF(OR(ISNUMBER($DF481),$DF481=Constants!$B$7,$DF481=Constants!$B$5,$DF481=Constants!$B$6),1,0)</f>
        <v>0</v>
      </c>
      <c r="DJ481" s="107" t="n">
        <v>473</v>
      </c>
      <c r="DK481" s="107" t="str">
        <f aca="false">IF(ISBLANK($C481),"",IF(ISNUMBER($DG481),$DG481+ROW($B481)/1000,""))</f>
        <v/>
      </c>
      <c r="DL481" s="107" t="str">
        <f aca="false">IF(ISNUMBER($DK481),RANK($DK481,$DK$9:$DK$508,1),"")</f>
        <v/>
      </c>
      <c r="DM481" s="107" t="str">
        <f aca="false">IF(ISBLANK($C481),"",$B481)</f>
        <v/>
      </c>
      <c r="DN481" s="107" t="str">
        <f aca="false">IF(ISBLANK($C481),"",$C481)</f>
        <v/>
      </c>
      <c r="DO481" s="107" t="str">
        <f aca="false">IF(ISBLANK($C481),"",$D481)</f>
        <v/>
      </c>
      <c r="DP481" s="108" t="str">
        <f aca="false">$DD481</f>
        <v/>
      </c>
      <c r="DQ481" s="109" t="str">
        <f aca="false">$DC481</f>
        <v/>
      </c>
      <c r="DR481" s="107" t="str">
        <f aca="false">IF(ISBLANK($C481),"",$DF481)</f>
        <v/>
      </c>
      <c r="DS481" s="110" t="str">
        <f aca="false">IF($DJ481&gt;$DI$8,"",VLOOKUP($DJ481,$DL$9:$DR$508,7,FALSE()))</f>
        <v/>
      </c>
      <c r="DT481" s="111" t="str">
        <f aca="false">IF($DJ481&gt;$DI$8,"",VLOOKUP($DJ481,$DL$9:$DR$508,2,FALSE()))</f>
        <v/>
      </c>
      <c r="DU481" s="111" t="str">
        <f aca="false">IF($DJ481&gt;$DI$8,"",VLOOKUP($DJ481,$DL$9:$DR$508,3,FALSE()))</f>
        <v/>
      </c>
      <c r="DV481" s="111" t="str">
        <f aca="false">IF($DJ481&gt;$DI$8,"",VLOOKUP($DJ481,$DL$9:$DR$508,4,FALSE()))</f>
        <v/>
      </c>
      <c r="DW481" s="111" t="str">
        <f aca="false">IF($DJ481&gt;$DI$8,"",VLOOKUP($DJ481,$DL$9:$DR$508,5,FALSE()))</f>
        <v/>
      </c>
      <c r="DX481" s="112" t="str">
        <f aca="false">IF($DJ481&gt;$DI$8,"",VLOOKUP($DJ481,$DL$9:$DR$508,6,FALSE()))</f>
        <v/>
      </c>
      <c r="DY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130"/>
      <c r="N482" s="130"/>
      <c r="O482" s="135"/>
      <c r="P482" s="135"/>
      <c r="Q482" s="130"/>
      <c r="R482" s="130"/>
      <c r="S482" s="130"/>
      <c r="T482" s="130"/>
      <c r="U482" s="135"/>
      <c r="V482" s="130"/>
      <c r="W482" s="96"/>
      <c r="X482" s="130"/>
      <c r="Y482" s="130"/>
      <c r="Z482" s="96"/>
      <c r="AA482" s="96"/>
      <c r="AB482" s="130"/>
      <c r="AC482" s="130"/>
      <c r="AD482" s="130"/>
      <c r="AE482" s="97"/>
      <c r="AF482" s="130"/>
      <c r="AG482" s="99"/>
      <c r="AH482" s="100"/>
      <c r="AI482" s="100"/>
      <c r="AJ482" s="100" t="str">
        <f aca="false">IF(ISBLANK($C482),"",IF($E482=Constants!$B$2,TRUE(),IF($E482=Constants!$B$3,FALSE(),TRUE())))</f>
        <v/>
      </c>
      <c r="AK482" s="100" t="str">
        <f aca="false">IF(ISBLANK($C482),"",IF($F482=Constants!$B$2,TRUE(),IF($F482=Constants!$B$3,FALSE(),FALSE())))</f>
        <v/>
      </c>
      <c r="AL482" s="100" t="str">
        <f aca="false">IF(ISBLANK($C482),"",IF($G482=Constants!$B$2,TRUE(),IF($G482=Constants!$B$3,FALSE(),TRUE())))</f>
        <v/>
      </c>
      <c r="AM482" s="100" t="str">
        <f aca="false">IF(ISBLANK($C482),"",IF($H482=Constants!$B$2,TRUE(),IF($H482=Constants!$B$3,FALSE(),TRUE())))</f>
        <v/>
      </c>
      <c r="AN482" s="100" t="str">
        <f aca="false">IF(ISBLANK($C482),"",IF(ISNUMBER($I482),IF($I482&gt;=0,$I482,""),""))</f>
        <v/>
      </c>
      <c r="AO482" s="100" t="str">
        <f aca="false">IF(ISBLANK($C482),"",IF(ISNUMBER($J482),IF($J482&gt;=0,$J482,""),""))</f>
        <v/>
      </c>
      <c r="AP482" s="100" t="str">
        <f aca="false">IF(ISBLANK($C482),"",IF(ISNUMBER($K482),IF($K482&gt;=0,$K482,""),""))</f>
        <v/>
      </c>
      <c r="AQ482" s="100" t="str">
        <f aca="false">IF(ISBLANK($C482),"",IF($L482=Constants!$B$2,TRUE(),IF($L482=Constants!$B$3,FALSE(),TRUE())))</f>
        <v/>
      </c>
      <c r="AR482" s="100" t="str">
        <f aca="false">IF(ISBLANK($C482),"",IF($M482=Constants!$B$2,TRUE(),IF($M482=Constants!$B$3,FALSE(),TRUE())))</f>
        <v/>
      </c>
      <c r="AS482" s="100" t="str">
        <f aca="false">IF(ISBLANK($C482),"",IF($N482=Constants!$B$2,TRUE(),IF($N482=Constants!$B$3,FALSE(),FALSE())))</f>
        <v/>
      </c>
      <c r="AT482" s="100" t="str">
        <f aca="false">IF(ISBLANK($C482),"",IF($O482=Constants!$B$2,TRUE(),IF($O482=Constants!$B$3,FALSE(),TRUE())))</f>
        <v/>
      </c>
      <c r="AU482" s="100" t="str">
        <f aca="false">IF(ISBLANK($C482),"",IF($P482=Constants!$B$2,TRUE(),IF($P482=Constants!$B$3,FALSE(),TRUE())))</f>
        <v/>
      </c>
      <c r="AV482" s="100" t="str">
        <f aca="false">IF(ISBLANK($C482),"",IF($Q482=Constants!$B$2,TRUE(),IF($Q482=Constants!$B$3,FALSE(),FALSE())))</f>
        <v/>
      </c>
      <c r="AW482" s="100" t="str">
        <f aca="false">IF(ISBLANK($C482),"",IF($R482=Constants!$B$2,TRUE(),IF($R482=Constants!$B$3,FALSE(),FALSE())))</f>
        <v/>
      </c>
      <c r="AX482" s="100" t="str">
        <f aca="false">IF(ISBLANK($C482),"",IF($S482=Constants!$B$2,TRUE(),IF($S482=Constants!$B$3,FALSE(),FALSE())))</f>
        <v/>
      </c>
      <c r="AY482" s="100" t="str">
        <f aca="false">IF(ISBLANK($C482),"",IF($T482=Constants!$B$2,TRUE(),IF($T482=Constants!$B$3,FALSE(),FALSE())))</f>
        <v/>
      </c>
      <c r="AZ482" s="100" t="str">
        <f aca="false">IF(ISBLANK($C482),"",IF($U482=Constants!$B$2,TRUE(),IF($U482=Constants!$B$3,FALSE(),FALSE())))</f>
        <v/>
      </c>
      <c r="BA482" s="100" t="str">
        <f aca="false">IF(ISBLANK($C482),"",IF(OR($V482&amp;""="1",$V482&amp;""="2",$V482&amp;""="3",$V482&amp;""="4"),VALUE($V482&amp;""),IF($V482=Constants!$B$12,Constants!$B$12,"")))</f>
        <v/>
      </c>
      <c r="BB482" s="100" t="str">
        <f aca="false">IF(ISBLANK($C482),"",IF(ISBLANK($W482),0,IF(ISNUMBER($W482),IF(AND($W482&gt;=0,$W482&lt;=Constants!$B$21,$W482=INT($W482)),$W482,""),"")))</f>
        <v/>
      </c>
      <c r="BC482" s="100" t="str">
        <f aca="false">IF(ISBLANK($C482),"",IF(ISBLANK($X482),0,IF(ISNUMBER($X482),IF($X482&gt;=0,$X482,""),"")))</f>
        <v/>
      </c>
      <c r="BD482" s="100" t="str">
        <f aca="false">IF(ISBLANK($C482),"",IF($Y482=Constants!$B$2,TRUE(),IF($Y482=Constants!$B$3,FALSE(),TRUE())))</f>
        <v/>
      </c>
      <c r="BE482" s="100" t="str">
        <f aca="false">IF(ISBLANK($C482),"",IF($Z482=Constants!$B$2,TRUE(),IF($Z482=Constants!$B$3,FALSE(),FALSE())))</f>
        <v/>
      </c>
      <c r="BF482" s="100" t="str">
        <f aca="false">IF(ISBLANK($C482),"",IF(ISBLANK($AA482),0,IF(ISNUMBER($AA482),IF(AND($AA482&gt;=0,$AA482&lt;=Constants!$B$35,$AA482=INT($AA482)),$AA482,""),"")))</f>
        <v/>
      </c>
      <c r="BG482" s="100" t="str">
        <f aca="false">IF(ISBLANK($C482),"",IF($AB482=Constants!$B$2,TRUE(),IF($AB482=Constants!$B$3,FALSE(),TRUE())))</f>
        <v/>
      </c>
      <c r="BH482" s="100" t="str">
        <f aca="false">IF(ISBLANK($C482),"",IF($AC482=Constants!$B$2,TRUE(),IF($AC482=Constants!$B$3,FALSE(),TRUE())))</f>
        <v/>
      </c>
      <c r="BI482" s="100" t="str">
        <f aca="false">IF(ISBLANK($C482),"",IF($AD482=Constants!$B$2,TRUE(),IF($AD482=Constants!$B$3,FALSE(),TRUE())))</f>
        <v/>
      </c>
      <c r="BJ482" s="100" t="str">
        <f aca="false">IF(ISBLANK($C482),"",IF(ISNUMBER($AE482),IF($AE482&gt;=0,$AE482,""),""))</f>
        <v/>
      </c>
      <c r="BK482" s="100" t="str">
        <f aca="false">IF(ISBLANK($C482),"",IF($AF482=Constants!$B$2,TRUE(),IF($AF482=Constants!$B$3,FALSE(),FALSE())))</f>
        <v/>
      </c>
      <c r="BL482" s="99" t="str">
        <f aca="false">IF(ISBLANK($C482),"",IF($BK482,Constants!$B$7,IF(COUNTA($E482:$AE482)=0,Constants!$B$6,IF(OR(COUNTA($G482:$AE482)=0,NOT($AM482),$AS482),Constants!$B$5,IF(OR($CM482&lt;&gt;"",$CN482,$CO482,$CP482,$CQ482,$CR482,$CS482),Constants!$B$8,Constants!$B$4)))))</f>
        <v/>
      </c>
      <c r="BM482" s="100" t="str">
        <f aca="false">IF(ISBLANK($C482),"",IF($BL482&lt;&gt;Constants!$B$4,$BL482,IF(OR(NOT($AJ482),NOT($AL482),NOT($AT482)),Constants!$B$11,IF(OR(NOT($AR482),NOT($AU482),NOT($BI482),MAX($AN482,$AO482,$AP482)&gt;Constants!$B$30),Constants!$B$10,Constants!$B$9))))</f>
        <v/>
      </c>
      <c r="BN482" s="100" t="str">
        <f aca="false">IF($BL482&lt;&gt;Constants!$B$4,"",IF(NOT($AL482),0,MIN(Constants!$B$35,$BF482)))</f>
        <v/>
      </c>
      <c r="BO482" s="100" t="str">
        <f aca="false">IF($BL482&lt;&gt;Constants!$B$4,"",IF(NOT($AL482),0,IF($AW482,Constants!$B$18,IF($AV482,Constants!$B$17,0))))</f>
        <v/>
      </c>
      <c r="BP482" s="100" t="str">
        <f aca="false">IF($BL482&lt;&gt;Constants!$B$4,"",IF(NOT($AL482),0,Constants!$B$19*($AK482+$AX482+$AY482+$AZ482)))</f>
        <v/>
      </c>
      <c r="BQ482" s="100" t="str">
        <f aca="false">IF($BL482&lt;&gt;Constants!$B$4,"",IF(OR(NOT($AL482),NOT(ISNUMBER($BA482))),0,CHOOSE($BA482,Constants!$B$13,Constants!$B$14,Constants!$B$15,Constants!$B$16)))</f>
        <v/>
      </c>
      <c r="BR482" s="100" t="str">
        <f aca="false">IF($BL482&lt;&gt;Constants!$B$4,"",IF(NOT($AL482),0,Constants!$B$20*$BB482))</f>
        <v/>
      </c>
      <c r="BS482" s="100" t="str">
        <f aca="false">IF($BL482&lt;&gt;Constants!$B$4,"",IF(AND($AL482,$BD482,$BE482),Constants!$B$22,0))</f>
        <v/>
      </c>
      <c r="BT482" s="100" t="str">
        <f aca="false">IF($BL482&lt;&gt;Constants!$B$4,"",IF(OR(NOT($AL482),NOT($BD482)),0,IF($BJ482&gt;=2*$AH$9,0,Constants!$B$23*INT(ROUND(MIN($BJ482,$AH$9),6)))))</f>
        <v/>
      </c>
      <c r="BU482" s="100" t="str">
        <f aca="false">IF($BL482&lt;&gt;Constants!$B$4,"",IF(NOT($AL482),0,Constants!$B$24*INT(ROUND(MIN($BC482,$AH$9),6))))</f>
        <v/>
      </c>
      <c r="BV482" s="100" t="str">
        <f aca="false">IF($BL482&lt;&gt;Constants!$B$4,"",IF(AND($AL482,$BN482=0),Constants!$B$25,0))</f>
        <v/>
      </c>
      <c r="BW482" s="100" t="str">
        <f aca="false">IF($BL482&lt;&gt;Constants!$B$4,"",MIN(Constants!$B$29,MAX(0,Constants!$B$27*Constants!$B$28*INT(ROUND((Constants!$B$26-$AN482)/Constants!$B$28,6))))+MIN(Constants!$B$29,MAX(0,Constants!$B$27*Constants!$B$28*INT(ROUND((Constants!$B$26-$AO482)/Constants!$B$28,6))))+MIN(Constants!$B$29,MAX(0,Constants!$B$27*Constants!$B$28*INT(ROUND((Constants!$B$26-$AP482)/Constants!$B$28,6)))))</f>
        <v/>
      </c>
      <c r="BX482" s="100" t="str">
        <f aca="false">IF($BL482&lt;&gt;Constants!$B$4,"",IF(NOT($AL482),0,Constants!$B$31*INT(ROUND(MAX(0,MIN($BJ482,2*$AH$9)-$AH$9),6))))</f>
        <v/>
      </c>
      <c r="BY482" s="100" t="str">
        <f aca="false">IF($BL482&lt;&gt;Constants!$B$4,"",Constants!$B$32*(($AN482&gt;Constants!$B$26)+($AO482&gt;Constants!$B$26)+($AP482&gt;Constants!$B$26)))</f>
        <v/>
      </c>
      <c r="BZ482" s="100" t="str">
        <f aca="false">IF($BL482&lt;&gt;Constants!$B$4,"",IF(OR(NOT($AL482),$AQ482),0,Constants!$B$33))</f>
        <v/>
      </c>
      <c r="CA482" s="100" t="str">
        <f aca="false">IF($BL482&lt;&gt;Constants!$B$4,"",Constants!$B$34*$BN482)</f>
        <v/>
      </c>
      <c r="CB482" s="100" t="str">
        <f aca="false">IF($BL482&lt;&gt;Constants!$B$4,"",IF(OR(NOT($AL482),$BH482),0,Constants!$B$36))</f>
        <v/>
      </c>
      <c r="CC482" s="100" t="str">
        <f aca="false">IF($BL482&lt;&gt;Constants!$B$4,"",IF(OR(NOT($AL482),$BG482),0,Constants!$B$37))</f>
        <v/>
      </c>
      <c r="CD482" s="100" t="str">
        <f aca="false">IF($BL482&lt;&gt;Constants!$B$4,"",SUM($BX482:$CC482))</f>
        <v/>
      </c>
      <c r="CE482" s="100" t="str">
        <f aca="false">IF(ISBLANK($C482),"",IF($BL482&lt;&gt;Constants!$B$4,$BL482,SUM($BO482:$BW482)-$CD482))</f>
        <v/>
      </c>
      <c r="CF482" s="100" t="str">
        <f aca="false">IF(ISBLANK($C482),"",IF($BL482&lt;&gt;Constants!$B$4,$BL482,RANK($CE482,$CE$9:$CE$508)))</f>
        <v/>
      </c>
      <c r="CG482" s="100" t="str">
        <f aca="false">IF(ISBLANK($C482),"",IF($BL482&lt;&gt;Constants!$B$4,$BL482,COUNTIFS($BM$9:$BM$508,"&lt;"&amp;$BM482)+COUNTIFS($BM$9:$BM$508,$BM482,$CF$9:$CF$508,"&lt;"&amp;$CF482)+1))</f>
        <v/>
      </c>
      <c r="CH482" s="100" t="str">
        <f aca="false">IF(ISBLANK($C482),"",IF($BL482&lt;&gt;Constants!$B$4,$BL482,RANK($CD482,$CD$9:$CD$508,1)))</f>
        <v/>
      </c>
      <c r="CI482" s="100" t="str">
        <f aca="false">IF($BL482&lt;&gt;Constants!$B$4,"",$AN482+$AO482+$AP482)</f>
        <v/>
      </c>
      <c r="CJ482" s="100" t="str">
        <f aca="false">IF(ISBLANK($C482),"",IF($BL482&lt;&gt;Constants!$B$4,$BL482,RANK($CI482,$CI$9:$CI$508,1)))</f>
        <v/>
      </c>
      <c r="CK482" s="100" t="str">
        <f aca="false">IF(ISBLANK($C482),"",IF($BL482&lt;&gt;Constants!$B$4,$BL482,COUNTIFS($BM$9:$BM$508,"&lt;"&amp;$BM482)+COUNTIFS($BM$9:$BM$508,$BM482,$CF$9:$CF$508,"&lt;"&amp;$CF482)+COUNTIFS($BM$9:$BM$508,$BM482,$CF$9:$CF$508,$CF482,$CH$9:$CH$508,"&lt;"&amp;$CH482)+COUNTIFS($BM$9:$BM$508,$BM482,$CF$9:$CF$508,$CF482,$CH$9:$CH$508,$CH482,$CJ$9:$CJ$508,"&lt;"&amp;$CJ482)+1))</f>
        <v/>
      </c>
      <c r="CL482" s="100" t="str">
        <f aca="false">IF(ISBLANK($C482),"",IF($BL482&lt;&gt;Constants!$B$4,$BL482,$CG482-$CK482))</f>
        <v/>
      </c>
      <c r="CM482" s="100" t="str">
        <f aca="false">IF(ISBLANK($C482),"",IF(NOT($AL482),"",IF(ISBLANK($D$7),$CM$5,IF(NOT(ISNUMBER($D$7)),$CM$6,""))))</f>
        <v/>
      </c>
      <c r="CN482" s="100" t="str">
        <f aca="false">IF(ISBLANK($C482),"",OR($AN482="",$AO482="",$AP482=""))</f>
        <v/>
      </c>
      <c r="CO482" s="100" t="str">
        <f aca="false">IF(ISBLANK($C482),"",AND($AL482,$BA482=""))</f>
        <v/>
      </c>
      <c r="CP482" s="100" t="str">
        <f aca="false">IF(ISBLANK($C482),"",AND($AL482,$BB482=""))</f>
        <v/>
      </c>
      <c r="CQ482" s="100" t="str">
        <f aca="false">IF(ISBLANK($C482),"",AND($AL482,$BC482=""))</f>
        <v/>
      </c>
      <c r="CR482" s="100" t="str">
        <f aca="false">IF(ISBLANK($C482),"",AND($AL482,$BF482=""))</f>
        <v/>
      </c>
      <c r="CS482" s="100" t="str">
        <f aca="false">IF(ISBLANK($C482),"",AND($AL482,$BJ482=""))</f>
        <v/>
      </c>
      <c r="CT482" s="101"/>
      <c r="CU482" s="102"/>
      <c r="CV482" s="103" t="str">
        <f aca="false">IF(ISBLANK($C482),"",IF($BL482=Constants!$B$8,$CM482,""))</f>
        <v/>
      </c>
      <c r="CW482" s="102" t="str">
        <f aca="false">IF(ISBLANK($C482),"",IF($BL482&lt;&gt;Constants!$B$4,"",$BO482+$BP482))</f>
        <v/>
      </c>
      <c r="CX482" s="104" t="str">
        <f aca="false">IF(ISBLANK($C482),"",IF($BL482&lt;&gt;Constants!$B$4,"",$BQ482+$BR482+$BS482))</f>
        <v/>
      </c>
      <c r="CY482" s="104" t="str">
        <f aca="false">IF(ISBLANK($C482),"",IF($BL482&lt;&gt;Constants!$B$4,"",$BT482))</f>
        <v/>
      </c>
      <c r="CZ482" s="104" t="str">
        <f aca="false">IF(ISBLANK($C482),"",IF($BL482&lt;&gt;Constants!$B$4,"",$BU482+$BV482))</f>
        <v/>
      </c>
      <c r="DA482" s="104" t="str">
        <f aca="false">IF(ISBLANK($C482),"",IF($BL482&lt;&gt;Constants!$B$4,"",$BW482))</f>
        <v/>
      </c>
      <c r="DB482" s="104" t="str">
        <f aca="false">IF(ISBLANK($C482),"",IF($BL482&lt;&gt;Constants!$B$4,"",-$CD482))</f>
        <v/>
      </c>
      <c r="DC482" s="103" t="str">
        <f aca="false">IF(ISBLANK($C482),"",$CE482)</f>
        <v/>
      </c>
      <c r="DD482" s="105" t="str">
        <f aca="false">IF(ISBLANK($C482),"",$BM482)</f>
        <v/>
      </c>
      <c r="DE482" s="104" t="str">
        <f aca="false">IF(ISBLANK($C482),"",$CL482)</f>
        <v/>
      </c>
      <c r="DF482" s="104" t="str">
        <f aca="false">IF(ISBLANK($C482),"",$CK482)</f>
        <v/>
      </c>
      <c r="DG482" s="106" t="str">
        <f aca="false">IF(ISBLANK($C482),"",IF($DF482=Constants!$B$7,COUNTA($C$9:$C$508)+2,IF($DF482=Constants!$B$6,COUNTA($C$9:$C$508)+1,IF($DF482=Constants!$B$5,COUNTA($C$9:$C$508),$DF482))))</f>
        <v/>
      </c>
      <c r="DH482" s="7"/>
      <c r="DI482" s="107" t="n">
        <f aca="false">IF(OR(ISNUMBER($DF482),$DF482=Constants!$B$7,$DF482=Constants!$B$5,$DF482=Constants!$B$6),1,0)</f>
        <v>0</v>
      </c>
      <c r="DJ482" s="107" t="n">
        <v>474</v>
      </c>
      <c r="DK482" s="107" t="str">
        <f aca="false">IF(ISBLANK($C482),"",IF(ISNUMBER($DG482),$DG482+ROW($B482)/1000,""))</f>
        <v/>
      </c>
      <c r="DL482" s="107" t="str">
        <f aca="false">IF(ISNUMBER($DK482),RANK($DK482,$DK$9:$DK$508,1),"")</f>
        <v/>
      </c>
      <c r="DM482" s="107" t="str">
        <f aca="false">IF(ISBLANK($C482),"",$B482)</f>
        <v/>
      </c>
      <c r="DN482" s="107" t="str">
        <f aca="false">IF(ISBLANK($C482),"",$C482)</f>
        <v/>
      </c>
      <c r="DO482" s="107" t="str">
        <f aca="false">IF(ISBLANK($C482),"",$D482)</f>
        <v/>
      </c>
      <c r="DP482" s="108" t="str">
        <f aca="false">$DD482</f>
        <v/>
      </c>
      <c r="DQ482" s="109" t="str">
        <f aca="false">$DC482</f>
        <v/>
      </c>
      <c r="DR482" s="107" t="str">
        <f aca="false">IF(ISBLANK($C482),"",$DF482)</f>
        <v/>
      </c>
      <c r="DS482" s="110" t="str">
        <f aca="false">IF($DJ482&gt;$DI$8,"",VLOOKUP($DJ482,$DL$9:$DR$508,7,FALSE()))</f>
        <v/>
      </c>
      <c r="DT482" s="111" t="str">
        <f aca="false">IF($DJ482&gt;$DI$8,"",VLOOKUP($DJ482,$DL$9:$DR$508,2,FALSE()))</f>
        <v/>
      </c>
      <c r="DU482" s="111" t="str">
        <f aca="false">IF($DJ482&gt;$DI$8,"",VLOOKUP($DJ482,$DL$9:$DR$508,3,FALSE()))</f>
        <v/>
      </c>
      <c r="DV482" s="111" t="str">
        <f aca="false">IF($DJ482&gt;$DI$8,"",VLOOKUP($DJ482,$DL$9:$DR$508,4,FALSE()))</f>
        <v/>
      </c>
      <c r="DW482" s="111" t="str">
        <f aca="false">IF($DJ482&gt;$DI$8,"",VLOOKUP($DJ482,$DL$9:$DR$508,5,FALSE()))</f>
        <v/>
      </c>
      <c r="DX482" s="112" t="str">
        <f aca="false">IF($DJ482&gt;$DI$8,"",VLOOKUP($DJ482,$DL$9:$DR$508,6,FALSE()))</f>
        <v/>
      </c>
      <c r="DY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88"/>
      <c r="N483" s="88"/>
      <c r="O483" s="134"/>
      <c r="P483" s="134"/>
      <c r="Q483" s="88"/>
      <c r="R483" s="88"/>
      <c r="S483" s="88"/>
      <c r="T483" s="88"/>
      <c r="U483" s="134"/>
      <c r="V483" s="88"/>
      <c r="W483" s="70"/>
      <c r="X483" s="88"/>
      <c r="Y483" s="88"/>
      <c r="Z483" s="70"/>
      <c r="AA483" s="70"/>
      <c r="AB483" s="88"/>
      <c r="AC483" s="88"/>
      <c r="AD483" s="88"/>
      <c r="AE483" s="71"/>
      <c r="AF483" s="88"/>
      <c r="AG483" s="73"/>
      <c r="AH483" s="74"/>
      <c r="AI483" s="74"/>
      <c r="AJ483" s="74" t="str">
        <f aca="false">IF(ISBLANK($C483),"",IF($E483=Constants!$B$2,TRUE(),IF($E483=Constants!$B$3,FALSE(),TRUE())))</f>
        <v/>
      </c>
      <c r="AK483" s="74" t="str">
        <f aca="false">IF(ISBLANK($C483),"",IF($F483=Constants!$B$2,TRUE(),IF($F483=Constants!$B$3,FALSE(),FALSE())))</f>
        <v/>
      </c>
      <c r="AL483" s="74" t="str">
        <f aca="false">IF(ISBLANK($C483),"",IF($G483=Constants!$B$2,TRUE(),IF($G483=Constants!$B$3,FALSE(),TRUE())))</f>
        <v/>
      </c>
      <c r="AM483" s="74" t="str">
        <f aca="false">IF(ISBLANK($C483),"",IF($H483=Constants!$B$2,TRUE(),IF($H483=Constants!$B$3,FALSE(),TRUE())))</f>
        <v/>
      </c>
      <c r="AN483" s="74" t="str">
        <f aca="false">IF(ISBLANK($C483),"",IF(ISNUMBER($I483),IF($I483&gt;=0,$I483,""),""))</f>
        <v/>
      </c>
      <c r="AO483" s="74" t="str">
        <f aca="false">IF(ISBLANK($C483),"",IF(ISNUMBER($J483),IF($J483&gt;=0,$J483,""),""))</f>
        <v/>
      </c>
      <c r="AP483" s="74" t="str">
        <f aca="false">IF(ISBLANK($C483),"",IF(ISNUMBER($K483),IF($K483&gt;=0,$K483,""),""))</f>
        <v/>
      </c>
      <c r="AQ483" s="74" t="str">
        <f aca="false">IF(ISBLANK($C483),"",IF($L483=Constants!$B$2,TRUE(),IF($L483=Constants!$B$3,FALSE(),TRUE())))</f>
        <v/>
      </c>
      <c r="AR483" s="74" t="str">
        <f aca="false">IF(ISBLANK($C483),"",IF($M483=Constants!$B$2,TRUE(),IF($M483=Constants!$B$3,FALSE(),TRUE())))</f>
        <v/>
      </c>
      <c r="AS483" s="74" t="str">
        <f aca="false">IF(ISBLANK($C483),"",IF($N483=Constants!$B$2,TRUE(),IF($N483=Constants!$B$3,FALSE(),FALSE())))</f>
        <v/>
      </c>
      <c r="AT483" s="74" t="str">
        <f aca="false">IF(ISBLANK($C483),"",IF($O483=Constants!$B$2,TRUE(),IF($O483=Constants!$B$3,FALSE(),TRUE())))</f>
        <v/>
      </c>
      <c r="AU483" s="74" t="str">
        <f aca="false">IF(ISBLANK($C483),"",IF($P483=Constants!$B$2,TRUE(),IF($P483=Constants!$B$3,FALSE(),TRUE())))</f>
        <v/>
      </c>
      <c r="AV483" s="74" t="str">
        <f aca="false">IF(ISBLANK($C483),"",IF($Q483=Constants!$B$2,TRUE(),IF($Q483=Constants!$B$3,FALSE(),FALSE())))</f>
        <v/>
      </c>
      <c r="AW483" s="74" t="str">
        <f aca="false">IF(ISBLANK($C483),"",IF($R483=Constants!$B$2,TRUE(),IF($R483=Constants!$B$3,FALSE(),FALSE())))</f>
        <v/>
      </c>
      <c r="AX483" s="74" t="str">
        <f aca="false">IF(ISBLANK($C483),"",IF($S483=Constants!$B$2,TRUE(),IF($S483=Constants!$B$3,FALSE(),FALSE())))</f>
        <v/>
      </c>
      <c r="AY483" s="74" t="str">
        <f aca="false">IF(ISBLANK($C483),"",IF($T483=Constants!$B$2,TRUE(),IF($T483=Constants!$B$3,FALSE(),FALSE())))</f>
        <v/>
      </c>
      <c r="AZ483" s="74" t="str">
        <f aca="false">IF(ISBLANK($C483),"",IF($U483=Constants!$B$2,TRUE(),IF($U483=Constants!$B$3,FALSE(),FALSE())))</f>
        <v/>
      </c>
      <c r="BA483" s="74" t="str">
        <f aca="false">IF(ISBLANK($C483),"",IF(OR($V483&amp;""="1",$V483&amp;""="2",$V483&amp;""="3",$V483&amp;""="4"),VALUE($V483&amp;""),IF($V483=Constants!$B$12,Constants!$B$12,"")))</f>
        <v/>
      </c>
      <c r="BB483" s="74" t="str">
        <f aca="false">IF(ISBLANK($C483),"",IF(ISBLANK($W483),0,IF(ISNUMBER($W483),IF(AND($W483&gt;=0,$W483&lt;=Constants!$B$21,$W483=INT($W483)),$W483,""),"")))</f>
        <v/>
      </c>
      <c r="BC483" s="74" t="str">
        <f aca="false">IF(ISBLANK($C483),"",IF(ISBLANK($X483),0,IF(ISNUMBER($X483),IF($X483&gt;=0,$X483,""),"")))</f>
        <v/>
      </c>
      <c r="BD483" s="74" t="str">
        <f aca="false">IF(ISBLANK($C483),"",IF($Y483=Constants!$B$2,TRUE(),IF($Y483=Constants!$B$3,FALSE(),TRUE())))</f>
        <v/>
      </c>
      <c r="BE483" s="74" t="str">
        <f aca="false">IF(ISBLANK($C483),"",IF($Z483=Constants!$B$2,TRUE(),IF($Z483=Constants!$B$3,FALSE(),FALSE())))</f>
        <v/>
      </c>
      <c r="BF483" s="74" t="str">
        <f aca="false">IF(ISBLANK($C483),"",IF(ISBLANK($AA483),0,IF(ISNUMBER($AA483),IF(AND($AA483&gt;=0,$AA483&lt;=Constants!$B$35,$AA483=INT($AA483)),$AA483,""),"")))</f>
        <v/>
      </c>
      <c r="BG483" s="74" t="str">
        <f aca="false">IF(ISBLANK($C483),"",IF($AB483=Constants!$B$2,TRUE(),IF($AB483=Constants!$B$3,FALSE(),TRUE())))</f>
        <v/>
      </c>
      <c r="BH483" s="74" t="str">
        <f aca="false">IF(ISBLANK($C483),"",IF($AC483=Constants!$B$2,TRUE(),IF($AC483=Constants!$B$3,FALSE(),TRUE())))</f>
        <v/>
      </c>
      <c r="BI483" s="74" t="str">
        <f aca="false">IF(ISBLANK($C483),"",IF($AD483=Constants!$B$2,TRUE(),IF($AD483=Constants!$B$3,FALSE(),TRUE())))</f>
        <v/>
      </c>
      <c r="BJ483" s="74" t="str">
        <f aca="false">IF(ISBLANK($C483),"",IF(ISNUMBER($AE483),IF($AE483&gt;=0,$AE483,""),""))</f>
        <v/>
      </c>
      <c r="BK483" s="74" t="str">
        <f aca="false">IF(ISBLANK($C483),"",IF($AF483=Constants!$B$2,TRUE(),IF($AF483=Constants!$B$3,FALSE(),FALSE())))</f>
        <v/>
      </c>
      <c r="BL483" s="73" t="str">
        <f aca="false">IF(ISBLANK($C483),"",IF($BK483,Constants!$B$7,IF(COUNTA($E483:$AE483)=0,Constants!$B$6,IF(OR(COUNTA($G483:$AE483)=0,NOT($AM483),$AS483),Constants!$B$5,IF(OR($CM483&lt;&gt;"",$CN483,$CO483,$CP483,$CQ483,$CR483,$CS483),Constants!$B$8,Constants!$B$4)))))</f>
        <v/>
      </c>
      <c r="BM483" s="74" t="str">
        <f aca="false">IF(ISBLANK($C483),"",IF($BL483&lt;&gt;Constants!$B$4,$BL483,IF(OR(NOT($AJ483),NOT($AL483),NOT($AT483)),Constants!$B$11,IF(OR(NOT($AR483),NOT($AU483),NOT($BI483),MAX($AN483,$AO483,$AP483)&gt;Constants!$B$30),Constants!$B$10,Constants!$B$9))))</f>
        <v/>
      </c>
      <c r="BN483" s="74" t="str">
        <f aca="false">IF($BL483&lt;&gt;Constants!$B$4,"",IF(NOT($AL483),0,MIN(Constants!$B$35,$BF483)))</f>
        <v/>
      </c>
      <c r="BO483" s="74" t="str">
        <f aca="false">IF($BL483&lt;&gt;Constants!$B$4,"",IF(NOT($AL483),0,IF($AW483,Constants!$B$18,IF($AV483,Constants!$B$17,0))))</f>
        <v/>
      </c>
      <c r="BP483" s="74" t="str">
        <f aca="false">IF($BL483&lt;&gt;Constants!$B$4,"",IF(NOT($AL483),0,Constants!$B$19*($AK483+$AX483+$AY483+$AZ483)))</f>
        <v/>
      </c>
      <c r="BQ483" s="74" t="str">
        <f aca="false">IF($BL483&lt;&gt;Constants!$B$4,"",IF(OR(NOT($AL483),NOT(ISNUMBER($BA483))),0,CHOOSE($BA483,Constants!$B$13,Constants!$B$14,Constants!$B$15,Constants!$B$16)))</f>
        <v/>
      </c>
      <c r="BR483" s="74" t="str">
        <f aca="false">IF($BL483&lt;&gt;Constants!$B$4,"",IF(NOT($AL483),0,Constants!$B$20*$BB483))</f>
        <v/>
      </c>
      <c r="BS483" s="74" t="str">
        <f aca="false">IF($BL483&lt;&gt;Constants!$B$4,"",IF(AND($AL483,$BD483,$BE483),Constants!$B$22,0))</f>
        <v/>
      </c>
      <c r="BT483" s="74" t="str">
        <f aca="false">IF($BL483&lt;&gt;Constants!$B$4,"",IF(OR(NOT($AL483),NOT($BD483)),0,IF($BJ483&gt;=2*$AH$9,0,Constants!$B$23*INT(ROUND(MIN($BJ483,$AH$9),6)))))</f>
        <v/>
      </c>
      <c r="BU483" s="74" t="str">
        <f aca="false">IF($BL483&lt;&gt;Constants!$B$4,"",IF(NOT($AL483),0,Constants!$B$24*INT(ROUND(MIN($BC483,$AH$9),6))))</f>
        <v/>
      </c>
      <c r="BV483" s="74" t="str">
        <f aca="false">IF($BL483&lt;&gt;Constants!$B$4,"",IF(AND($AL483,$BN483=0),Constants!$B$25,0))</f>
        <v/>
      </c>
      <c r="BW483" s="74" t="str">
        <f aca="false">IF($BL483&lt;&gt;Constants!$B$4,"",MIN(Constants!$B$29,MAX(0,Constants!$B$27*Constants!$B$28*INT(ROUND((Constants!$B$26-$AN483)/Constants!$B$28,6))))+MIN(Constants!$B$29,MAX(0,Constants!$B$27*Constants!$B$28*INT(ROUND((Constants!$B$26-$AO483)/Constants!$B$28,6))))+MIN(Constants!$B$29,MAX(0,Constants!$B$27*Constants!$B$28*INT(ROUND((Constants!$B$26-$AP483)/Constants!$B$28,6)))))</f>
        <v/>
      </c>
      <c r="BX483" s="74" t="str">
        <f aca="false">IF($BL483&lt;&gt;Constants!$B$4,"",IF(NOT($AL483),0,Constants!$B$31*INT(ROUND(MAX(0,MIN($BJ483,2*$AH$9)-$AH$9),6))))</f>
        <v/>
      </c>
      <c r="BY483" s="74" t="str">
        <f aca="false">IF($BL483&lt;&gt;Constants!$B$4,"",Constants!$B$32*(($AN483&gt;Constants!$B$26)+($AO483&gt;Constants!$B$26)+($AP483&gt;Constants!$B$26)))</f>
        <v/>
      </c>
      <c r="BZ483" s="74" t="str">
        <f aca="false">IF($BL483&lt;&gt;Constants!$B$4,"",IF(OR(NOT($AL483),$AQ483),0,Constants!$B$33))</f>
        <v/>
      </c>
      <c r="CA483" s="74" t="str">
        <f aca="false">IF($BL483&lt;&gt;Constants!$B$4,"",Constants!$B$34*$BN483)</f>
        <v/>
      </c>
      <c r="CB483" s="74" t="str">
        <f aca="false">IF($BL483&lt;&gt;Constants!$B$4,"",IF(OR(NOT($AL483),$BH483),0,Constants!$B$36))</f>
        <v/>
      </c>
      <c r="CC483" s="74" t="str">
        <f aca="false">IF($BL483&lt;&gt;Constants!$B$4,"",IF(OR(NOT($AL483),$BG483),0,Constants!$B$37))</f>
        <v/>
      </c>
      <c r="CD483" s="74" t="str">
        <f aca="false">IF($BL483&lt;&gt;Constants!$B$4,"",SUM($BX483:$CC483))</f>
        <v/>
      </c>
      <c r="CE483" s="74" t="str">
        <f aca="false">IF(ISBLANK($C483),"",IF($BL483&lt;&gt;Constants!$B$4,$BL483,SUM($BO483:$BW483)-$CD483))</f>
        <v/>
      </c>
      <c r="CF483" s="74" t="str">
        <f aca="false">IF(ISBLANK($C483),"",IF($BL483&lt;&gt;Constants!$B$4,$BL483,RANK($CE483,$CE$9:$CE$508)))</f>
        <v/>
      </c>
      <c r="CG483" s="74" t="str">
        <f aca="false">IF(ISBLANK($C483),"",IF($BL483&lt;&gt;Constants!$B$4,$BL483,COUNTIFS($BM$9:$BM$508,"&lt;"&amp;$BM483)+COUNTIFS($BM$9:$BM$508,$BM483,$CF$9:$CF$508,"&lt;"&amp;$CF483)+1))</f>
        <v/>
      </c>
      <c r="CH483" s="74" t="str">
        <f aca="false">IF(ISBLANK($C483),"",IF($BL483&lt;&gt;Constants!$B$4,$BL483,RANK($CD483,$CD$9:$CD$508,1)))</f>
        <v/>
      </c>
      <c r="CI483" s="74" t="str">
        <f aca="false">IF($BL483&lt;&gt;Constants!$B$4,"",$AN483+$AO483+$AP483)</f>
        <v/>
      </c>
      <c r="CJ483" s="74" t="str">
        <f aca="false">IF(ISBLANK($C483),"",IF($BL483&lt;&gt;Constants!$B$4,$BL483,RANK($CI483,$CI$9:$CI$508,1)))</f>
        <v/>
      </c>
      <c r="CK483" s="74" t="str">
        <f aca="false">IF(ISBLANK($C483),"",IF($BL483&lt;&gt;Constants!$B$4,$BL483,COUNTIFS($BM$9:$BM$508,"&lt;"&amp;$BM483)+COUNTIFS($BM$9:$BM$508,$BM483,$CF$9:$CF$508,"&lt;"&amp;$CF483)+COUNTIFS($BM$9:$BM$508,$BM483,$CF$9:$CF$508,$CF483,$CH$9:$CH$508,"&lt;"&amp;$CH483)+COUNTIFS($BM$9:$BM$508,$BM483,$CF$9:$CF$508,$CF483,$CH$9:$CH$508,$CH483,$CJ$9:$CJ$508,"&lt;"&amp;$CJ483)+1))</f>
        <v/>
      </c>
      <c r="CL483" s="74" t="str">
        <f aca="false">IF(ISBLANK($C483),"",IF($BL483&lt;&gt;Constants!$B$4,$BL483,$CG483-$CK483))</f>
        <v/>
      </c>
      <c r="CM483" s="74" t="str">
        <f aca="false">IF(ISBLANK($C483),"",IF(NOT($AL483),"",IF(ISBLANK($D$7),$CM$5,IF(NOT(ISNUMBER($D$7)),$CM$6,""))))</f>
        <v/>
      </c>
      <c r="CN483" s="74" t="str">
        <f aca="false">IF(ISBLANK($C483),"",OR($AN483="",$AO483="",$AP483=""))</f>
        <v/>
      </c>
      <c r="CO483" s="74" t="str">
        <f aca="false">IF(ISBLANK($C483),"",AND($AL483,$BA483=""))</f>
        <v/>
      </c>
      <c r="CP483" s="74" t="str">
        <f aca="false">IF(ISBLANK($C483),"",AND($AL483,$BB483=""))</f>
        <v/>
      </c>
      <c r="CQ483" s="74" t="str">
        <f aca="false">IF(ISBLANK($C483),"",AND($AL483,$BC483=""))</f>
        <v/>
      </c>
      <c r="CR483" s="74" t="str">
        <f aca="false">IF(ISBLANK($C483),"",AND($AL483,$BF483=""))</f>
        <v/>
      </c>
      <c r="CS483" s="74" t="str">
        <f aca="false">IF(ISBLANK($C483),"",AND($AL483,$BJ483=""))</f>
        <v/>
      </c>
      <c r="CT483" s="75"/>
      <c r="CU483" s="76"/>
      <c r="CV483" s="79" t="str">
        <f aca="false">IF(ISBLANK($C483),"",IF($BL483=Constants!$B$8,$CM483,""))</f>
        <v/>
      </c>
      <c r="CW483" s="76" t="str">
        <f aca="false">IF(ISBLANK($C483),"",IF($BL483&lt;&gt;Constants!$B$4,"",$BO483+$BP483))</f>
        <v/>
      </c>
      <c r="CX483" s="78" t="str">
        <f aca="false">IF(ISBLANK($C483),"",IF($BL483&lt;&gt;Constants!$B$4,"",$BQ483+$BR483+$BS483))</f>
        <v/>
      </c>
      <c r="CY483" s="78" t="str">
        <f aca="false">IF(ISBLANK($C483),"",IF($BL483&lt;&gt;Constants!$B$4,"",$BT483))</f>
        <v/>
      </c>
      <c r="CZ483" s="78" t="str">
        <f aca="false">IF(ISBLANK($C483),"",IF($BL483&lt;&gt;Constants!$B$4,"",$BU483+$BV483))</f>
        <v/>
      </c>
      <c r="DA483" s="78" t="str">
        <f aca="false">IF(ISBLANK($C483),"",IF($BL483&lt;&gt;Constants!$B$4,"",$BW483))</f>
        <v/>
      </c>
      <c r="DB483" s="78" t="str">
        <f aca="false">IF(ISBLANK($C483),"",IF($BL483&lt;&gt;Constants!$B$4,"",-$CD483))</f>
        <v/>
      </c>
      <c r="DC483" s="79" t="str">
        <f aca="false">IF(ISBLANK($C483),"",$CE483)</f>
        <v/>
      </c>
      <c r="DD483" s="80" t="str">
        <f aca="false">IF(ISBLANK($C483),"",$BM483)</f>
        <v/>
      </c>
      <c r="DE483" s="78" t="str">
        <f aca="false">IF(ISBLANK($C483),"",$CL483)</f>
        <v/>
      </c>
      <c r="DF483" s="78" t="str">
        <f aca="false">IF(ISBLANK($C483),"",$CK483)</f>
        <v/>
      </c>
      <c r="DG483" s="81" t="str">
        <f aca="false">IF(ISBLANK($C483),"",IF($DF483=Constants!$B$7,COUNTA($C$9:$C$508)+2,IF($DF483=Constants!$B$6,COUNTA($C$9:$C$508)+1,IF($DF483=Constants!$B$5,COUNTA($C$9:$C$508),$DF483))))</f>
        <v/>
      </c>
      <c r="DH483" s="7"/>
      <c r="DI483" s="82" t="n">
        <f aca="false">IF(OR(ISNUMBER($DF483),$DF483=Constants!$B$7,$DF483=Constants!$B$5,$DF483=Constants!$B$6),1,0)</f>
        <v>0</v>
      </c>
      <c r="DJ483" s="82" t="n">
        <v>475</v>
      </c>
      <c r="DK483" s="82" t="str">
        <f aca="false">IF(ISBLANK($C483),"",IF(ISNUMBER($DG483),$DG483+ROW($B483)/1000,""))</f>
        <v/>
      </c>
      <c r="DL483" s="82" t="str">
        <f aca="false">IF(ISNUMBER($DK483),RANK($DK483,$DK$9:$DK$508,1),"")</f>
        <v/>
      </c>
      <c r="DM483" s="82" t="str">
        <f aca="false">IF(ISBLANK($C483),"",$B483)</f>
        <v/>
      </c>
      <c r="DN483" s="82" t="str">
        <f aca="false">IF(ISBLANK($C483),"",$C483)</f>
        <v/>
      </c>
      <c r="DO483" s="82" t="str">
        <f aca="false">IF(ISBLANK($C483),"",$D483)</f>
        <v/>
      </c>
      <c r="DP483" s="83" t="str">
        <f aca="false">$DD483</f>
        <v/>
      </c>
      <c r="DQ483" s="84" t="str">
        <f aca="false">$DC483</f>
        <v/>
      </c>
      <c r="DR483" s="82" t="str">
        <f aca="false">IF(ISBLANK($C483),"",$DF483)</f>
        <v/>
      </c>
      <c r="DS483" s="85" t="str">
        <f aca="false">IF($DJ483&gt;$DI$8,"",VLOOKUP($DJ483,$DL$9:$DR$508,7,FALSE()))</f>
        <v/>
      </c>
      <c r="DT483" s="86" t="str">
        <f aca="false">IF($DJ483&gt;$DI$8,"",VLOOKUP($DJ483,$DL$9:$DR$508,2,FALSE()))</f>
        <v/>
      </c>
      <c r="DU483" s="86" t="str">
        <f aca="false">IF($DJ483&gt;$DI$8,"",VLOOKUP($DJ483,$DL$9:$DR$508,3,FALSE()))</f>
        <v/>
      </c>
      <c r="DV483" s="86" t="str">
        <f aca="false">IF($DJ483&gt;$DI$8,"",VLOOKUP($DJ483,$DL$9:$DR$508,4,FALSE()))</f>
        <v/>
      </c>
      <c r="DW483" s="86" t="str">
        <f aca="false">IF($DJ483&gt;$DI$8,"",VLOOKUP($DJ483,$DL$9:$DR$508,5,FALSE()))</f>
        <v/>
      </c>
      <c r="DX483" s="87" t="str">
        <f aca="false">IF($DJ483&gt;$DI$8,"",VLOOKUP($DJ483,$DL$9:$DR$508,6,FALSE()))</f>
        <v/>
      </c>
      <c r="DY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88"/>
      <c r="N484" s="88"/>
      <c r="O484" s="134"/>
      <c r="P484" s="134"/>
      <c r="Q484" s="88"/>
      <c r="R484" s="88"/>
      <c r="S484" s="88"/>
      <c r="T484" s="88"/>
      <c r="U484" s="134"/>
      <c r="V484" s="88"/>
      <c r="W484" s="70"/>
      <c r="X484" s="88"/>
      <c r="Y484" s="88"/>
      <c r="Z484" s="70"/>
      <c r="AA484" s="70"/>
      <c r="AB484" s="88"/>
      <c r="AC484" s="88"/>
      <c r="AD484" s="88"/>
      <c r="AE484" s="71"/>
      <c r="AF484" s="88"/>
      <c r="AG484" s="73"/>
      <c r="AH484" s="74"/>
      <c r="AI484" s="74"/>
      <c r="AJ484" s="74" t="str">
        <f aca="false">IF(ISBLANK($C484),"",IF($E484=Constants!$B$2,TRUE(),IF($E484=Constants!$B$3,FALSE(),TRUE())))</f>
        <v/>
      </c>
      <c r="AK484" s="74" t="str">
        <f aca="false">IF(ISBLANK($C484),"",IF($F484=Constants!$B$2,TRUE(),IF($F484=Constants!$B$3,FALSE(),FALSE())))</f>
        <v/>
      </c>
      <c r="AL484" s="74" t="str">
        <f aca="false">IF(ISBLANK($C484),"",IF($G484=Constants!$B$2,TRUE(),IF($G484=Constants!$B$3,FALSE(),TRUE())))</f>
        <v/>
      </c>
      <c r="AM484" s="74" t="str">
        <f aca="false">IF(ISBLANK($C484),"",IF($H484=Constants!$B$2,TRUE(),IF($H484=Constants!$B$3,FALSE(),TRUE())))</f>
        <v/>
      </c>
      <c r="AN484" s="74" t="str">
        <f aca="false">IF(ISBLANK($C484),"",IF(ISNUMBER($I484),IF($I484&gt;=0,$I484,""),""))</f>
        <v/>
      </c>
      <c r="AO484" s="74" t="str">
        <f aca="false">IF(ISBLANK($C484),"",IF(ISNUMBER($J484),IF($J484&gt;=0,$J484,""),""))</f>
        <v/>
      </c>
      <c r="AP484" s="74" t="str">
        <f aca="false">IF(ISBLANK($C484),"",IF(ISNUMBER($K484),IF($K484&gt;=0,$K484,""),""))</f>
        <v/>
      </c>
      <c r="AQ484" s="74" t="str">
        <f aca="false">IF(ISBLANK($C484),"",IF($L484=Constants!$B$2,TRUE(),IF($L484=Constants!$B$3,FALSE(),TRUE())))</f>
        <v/>
      </c>
      <c r="AR484" s="74" t="str">
        <f aca="false">IF(ISBLANK($C484),"",IF($M484=Constants!$B$2,TRUE(),IF($M484=Constants!$B$3,FALSE(),TRUE())))</f>
        <v/>
      </c>
      <c r="AS484" s="74" t="str">
        <f aca="false">IF(ISBLANK($C484),"",IF($N484=Constants!$B$2,TRUE(),IF($N484=Constants!$B$3,FALSE(),FALSE())))</f>
        <v/>
      </c>
      <c r="AT484" s="74" t="str">
        <f aca="false">IF(ISBLANK($C484),"",IF($O484=Constants!$B$2,TRUE(),IF($O484=Constants!$B$3,FALSE(),TRUE())))</f>
        <v/>
      </c>
      <c r="AU484" s="74" t="str">
        <f aca="false">IF(ISBLANK($C484),"",IF($P484=Constants!$B$2,TRUE(),IF($P484=Constants!$B$3,FALSE(),TRUE())))</f>
        <v/>
      </c>
      <c r="AV484" s="74" t="str">
        <f aca="false">IF(ISBLANK($C484),"",IF($Q484=Constants!$B$2,TRUE(),IF($Q484=Constants!$B$3,FALSE(),FALSE())))</f>
        <v/>
      </c>
      <c r="AW484" s="74" t="str">
        <f aca="false">IF(ISBLANK($C484),"",IF($R484=Constants!$B$2,TRUE(),IF($R484=Constants!$B$3,FALSE(),FALSE())))</f>
        <v/>
      </c>
      <c r="AX484" s="74" t="str">
        <f aca="false">IF(ISBLANK($C484),"",IF($S484=Constants!$B$2,TRUE(),IF($S484=Constants!$B$3,FALSE(),FALSE())))</f>
        <v/>
      </c>
      <c r="AY484" s="74" t="str">
        <f aca="false">IF(ISBLANK($C484),"",IF($T484=Constants!$B$2,TRUE(),IF($T484=Constants!$B$3,FALSE(),FALSE())))</f>
        <v/>
      </c>
      <c r="AZ484" s="74" t="str">
        <f aca="false">IF(ISBLANK($C484),"",IF($U484=Constants!$B$2,TRUE(),IF($U484=Constants!$B$3,FALSE(),FALSE())))</f>
        <v/>
      </c>
      <c r="BA484" s="74" t="str">
        <f aca="false">IF(ISBLANK($C484),"",IF(OR($V484&amp;""="1",$V484&amp;""="2",$V484&amp;""="3",$V484&amp;""="4"),VALUE($V484&amp;""),IF($V484=Constants!$B$12,Constants!$B$12,"")))</f>
        <v/>
      </c>
      <c r="BB484" s="74" t="str">
        <f aca="false">IF(ISBLANK($C484),"",IF(ISBLANK($W484),0,IF(ISNUMBER($W484),IF(AND($W484&gt;=0,$W484&lt;=Constants!$B$21,$W484=INT($W484)),$W484,""),"")))</f>
        <v/>
      </c>
      <c r="BC484" s="74" t="str">
        <f aca="false">IF(ISBLANK($C484),"",IF(ISBLANK($X484),0,IF(ISNUMBER($X484),IF($X484&gt;=0,$X484,""),"")))</f>
        <v/>
      </c>
      <c r="BD484" s="74" t="str">
        <f aca="false">IF(ISBLANK($C484),"",IF($Y484=Constants!$B$2,TRUE(),IF($Y484=Constants!$B$3,FALSE(),TRUE())))</f>
        <v/>
      </c>
      <c r="BE484" s="74" t="str">
        <f aca="false">IF(ISBLANK($C484),"",IF($Z484=Constants!$B$2,TRUE(),IF($Z484=Constants!$B$3,FALSE(),FALSE())))</f>
        <v/>
      </c>
      <c r="BF484" s="74" t="str">
        <f aca="false">IF(ISBLANK($C484),"",IF(ISBLANK($AA484),0,IF(ISNUMBER($AA484),IF(AND($AA484&gt;=0,$AA484&lt;=Constants!$B$35,$AA484=INT($AA484)),$AA484,""),"")))</f>
        <v/>
      </c>
      <c r="BG484" s="74" t="str">
        <f aca="false">IF(ISBLANK($C484),"",IF($AB484=Constants!$B$2,TRUE(),IF($AB484=Constants!$B$3,FALSE(),TRUE())))</f>
        <v/>
      </c>
      <c r="BH484" s="74" t="str">
        <f aca="false">IF(ISBLANK($C484),"",IF($AC484=Constants!$B$2,TRUE(),IF($AC484=Constants!$B$3,FALSE(),TRUE())))</f>
        <v/>
      </c>
      <c r="BI484" s="74" t="str">
        <f aca="false">IF(ISBLANK($C484),"",IF($AD484=Constants!$B$2,TRUE(),IF($AD484=Constants!$B$3,FALSE(),TRUE())))</f>
        <v/>
      </c>
      <c r="BJ484" s="74" t="str">
        <f aca="false">IF(ISBLANK($C484),"",IF(ISNUMBER($AE484),IF($AE484&gt;=0,$AE484,""),""))</f>
        <v/>
      </c>
      <c r="BK484" s="74" t="str">
        <f aca="false">IF(ISBLANK($C484),"",IF($AF484=Constants!$B$2,TRUE(),IF($AF484=Constants!$B$3,FALSE(),FALSE())))</f>
        <v/>
      </c>
      <c r="BL484" s="73" t="str">
        <f aca="false">IF(ISBLANK($C484),"",IF($BK484,Constants!$B$7,IF(COUNTA($E484:$AE484)=0,Constants!$B$6,IF(OR(COUNTA($G484:$AE484)=0,NOT($AM484),$AS484),Constants!$B$5,IF(OR($CM484&lt;&gt;"",$CN484,$CO484,$CP484,$CQ484,$CR484,$CS484),Constants!$B$8,Constants!$B$4)))))</f>
        <v/>
      </c>
      <c r="BM484" s="74" t="str">
        <f aca="false">IF(ISBLANK($C484),"",IF($BL484&lt;&gt;Constants!$B$4,$BL484,IF(OR(NOT($AJ484),NOT($AL484),NOT($AT484)),Constants!$B$11,IF(OR(NOT($AR484),NOT($AU484),NOT($BI484),MAX($AN484,$AO484,$AP484)&gt;Constants!$B$30),Constants!$B$10,Constants!$B$9))))</f>
        <v/>
      </c>
      <c r="BN484" s="74" t="str">
        <f aca="false">IF($BL484&lt;&gt;Constants!$B$4,"",IF(NOT($AL484),0,MIN(Constants!$B$35,$BF484)))</f>
        <v/>
      </c>
      <c r="BO484" s="74" t="str">
        <f aca="false">IF($BL484&lt;&gt;Constants!$B$4,"",IF(NOT($AL484),0,IF($AW484,Constants!$B$18,IF($AV484,Constants!$B$17,0))))</f>
        <v/>
      </c>
      <c r="BP484" s="74" t="str">
        <f aca="false">IF($BL484&lt;&gt;Constants!$B$4,"",IF(NOT($AL484),0,Constants!$B$19*($AK484+$AX484+$AY484+$AZ484)))</f>
        <v/>
      </c>
      <c r="BQ484" s="74" t="str">
        <f aca="false">IF($BL484&lt;&gt;Constants!$B$4,"",IF(OR(NOT($AL484),NOT(ISNUMBER($BA484))),0,CHOOSE($BA484,Constants!$B$13,Constants!$B$14,Constants!$B$15,Constants!$B$16)))</f>
        <v/>
      </c>
      <c r="BR484" s="74" t="str">
        <f aca="false">IF($BL484&lt;&gt;Constants!$B$4,"",IF(NOT($AL484),0,Constants!$B$20*$BB484))</f>
        <v/>
      </c>
      <c r="BS484" s="74" t="str">
        <f aca="false">IF($BL484&lt;&gt;Constants!$B$4,"",IF(AND($AL484,$BD484,$BE484),Constants!$B$22,0))</f>
        <v/>
      </c>
      <c r="BT484" s="74" t="str">
        <f aca="false">IF($BL484&lt;&gt;Constants!$B$4,"",IF(OR(NOT($AL484),NOT($BD484)),0,IF($BJ484&gt;=2*$AH$9,0,Constants!$B$23*INT(ROUND(MIN($BJ484,$AH$9),6)))))</f>
        <v/>
      </c>
      <c r="BU484" s="74" t="str">
        <f aca="false">IF($BL484&lt;&gt;Constants!$B$4,"",IF(NOT($AL484),0,Constants!$B$24*INT(ROUND(MIN($BC484,$AH$9),6))))</f>
        <v/>
      </c>
      <c r="BV484" s="74" t="str">
        <f aca="false">IF($BL484&lt;&gt;Constants!$B$4,"",IF(AND($AL484,$BN484=0),Constants!$B$25,0))</f>
        <v/>
      </c>
      <c r="BW484" s="74" t="str">
        <f aca="false">IF($BL484&lt;&gt;Constants!$B$4,"",MIN(Constants!$B$29,MAX(0,Constants!$B$27*Constants!$B$28*INT(ROUND((Constants!$B$26-$AN484)/Constants!$B$28,6))))+MIN(Constants!$B$29,MAX(0,Constants!$B$27*Constants!$B$28*INT(ROUND((Constants!$B$26-$AO484)/Constants!$B$28,6))))+MIN(Constants!$B$29,MAX(0,Constants!$B$27*Constants!$B$28*INT(ROUND((Constants!$B$26-$AP484)/Constants!$B$28,6)))))</f>
        <v/>
      </c>
      <c r="BX484" s="74" t="str">
        <f aca="false">IF($BL484&lt;&gt;Constants!$B$4,"",IF(NOT($AL484),0,Constants!$B$31*INT(ROUND(MAX(0,MIN($BJ484,2*$AH$9)-$AH$9),6))))</f>
        <v/>
      </c>
      <c r="BY484" s="74" t="str">
        <f aca="false">IF($BL484&lt;&gt;Constants!$B$4,"",Constants!$B$32*(($AN484&gt;Constants!$B$26)+($AO484&gt;Constants!$B$26)+($AP484&gt;Constants!$B$26)))</f>
        <v/>
      </c>
      <c r="BZ484" s="74" t="str">
        <f aca="false">IF($BL484&lt;&gt;Constants!$B$4,"",IF(OR(NOT($AL484),$AQ484),0,Constants!$B$33))</f>
        <v/>
      </c>
      <c r="CA484" s="74" t="str">
        <f aca="false">IF($BL484&lt;&gt;Constants!$B$4,"",Constants!$B$34*$BN484)</f>
        <v/>
      </c>
      <c r="CB484" s="74" t="str">
        <f aca="false">IF($BL484&lt;&gt;Constants!$B$4,"",IF(OR(NOT($AL484),$BH484),0,Constants!$B$36))</f>
        <v/>
      </c>
      <c r="CC484" s="74" t="str">
        <f aca="false">IF($BL484&lt;&gt;Constants!$B$4,"",IF(OR(NOT($AL484),$BG484),0,Constants!$B$37))</f>
        <v/>
      </c>
      <c r="CD484" s="74" t="str">
        <f aca="false">IF($BL484&lt;&gt;Constants!$B$4,"",SUM($BX484:$CC484))</f>
        <v/>
      </c>
      <c r="CE484" s="74" t="str">
        <f aca="false">IF(ISBLANK($C484),"",IF($BL484&lt;&gt;Constants!$B$4,$BL484,SUM($BO484:$BW484)-$CD484))</f>
        <v/>
      </c>
      <c r="CF484" s="74" t="str">
        <f aca="false">IF(ISBLANK($C484),"",IF($BL484&lt;&gt;Constants!$B$4,$BL484,RANK($CE484,$CE$9:$CE$508)))</f>
        <v/>
      </c>
      <c r="CG484" s="74" t="str">
        <f aca="false">IF(ISBLANK($C484),"",IF($BL484&lt;&gt;Constants!$B$4,$BL484,COUNTIFS($BM$9:$BM$508,"&lt;"&amp;$BM484)+COUNTIFS($BM$9:$BM$508,$BM484,$CF$9:$CF$508,"&lt;"&amp;$CF484)+1))</f>
        <v/>
      </c>
      <c r="CH484" s="74" t="str">
        <f aca="false">IF(ISBLANK($C484),"",IF($BL484&lt;&gt;Constants!$B$4,$BL484,RANK($CD484,$CD$9:$CD$508,1)))</f>
        <v/>
      </c>
      <c r="CI484" s="74" t="str">
        <f aca="false">IF($BL484&lt;&gt;Constants!$B$4,"",$AN484+$AO484+$AP484)</f>
        <v/>
      </c>
      <c r="CJ484" s="74" t="str">
        <f aca="false">IF(ISBLANK($C484),"",IF($BL484&lt;&gt;Constants!$B$4,$BL484,RANK($CI484,$CI$9:$CI$508,1)))</f>
        <v/>
      </c>
      <c r="CK484" s="74" t="str">
        <f aca="false">IF(ISBLANK($C484),"",IF($BL484&lt;&gt;Constants!$B$4,$BL484,COUNTIFS($BM$9:$BM$508,"&lt;"&amp;$BM484)+COUNTIFS($BM$9:$BM$508,$BM484,$CF$9:$CF$508,"&lt;"&amp;$CF484)+COUNTIFS($BM$9:$BM$508,$BM484,$CF$9:$CF$508,$CF484,$CH$9:$CH$508,"&lt;"&amp;$CH484)+COUNTIFS($BM$9:$BM$508,$BM484,$CF$9:$CF$508,$CF484,$CH$9:$CH$508,$CH484,$CJ$9:$CJ$508,"&lt;"&amp;$CJ484)+1))</f>
        <v/>
      </c>
      <c r="CL484" s="74" t="str">
        <f aca="false">IF(ISBLANK($C484),"",IF($BL484&lt;&gt;Constants!$B$4,$BL484,$CG484-$CK484))</f>
        <v/>
      </c>
      <c r="CM484" s="74" t="str">
        <f aca="false">IF(ISBLANK($C484),"",IF(NOT($AL484),"",IF(ISBLANK($D$7),$CM$5,IF(NOT(ISNUMBER($D$7)),$CM$6,""))))</f>
        <v/>
      </c>
      <c r="CN484" s="74" t="str">
        <f aca="false">IF(ISBLANK($C484),"",OR($AN484="",$AO484="",$AP484=""))</f>
        <v/>
      </c>
      <c r="CO484" s="74" t="str">
        <f aca="false">IF(ISBLANK($C484),"",AND($AL484,$BA484=""))</f>
        <v/>
      </c>
      <c r="CP484" s="74" t="str">
        <f aca="false">IF(ISBLANK($C484),"",AND($AL484,$BB484=""))</f>
        <v/>
      </c>
      <c r="CQ484" s="74" t="str">
        <f aca="false">IF(ISBLANK($C484),"",AND($AL484,$BC484=""))</f>
        <v/>
      </c>
      <c r="CR484" s="74" t="str">
        <f aca="false">IF(ISBLANK($C484),"",AND($AL484,$BF484=""))</f>
        <v/>
      </c>
      <c r="CS484" s="74" t="str">
        <f aca="false">IF(ISBLANK($C484),"",AND($AL484,$BJ484=""))</f>
        <v/>
      </c>
      <c r="CT484" s="75"/>
      <c r="CU484" s="76"/>
      <c r="CV484" s="79" t="str">
        <f aca="false">IF(ISBLANK($C484),"",IF($BL484=Constants!$B$8,$CM484,""))</f>
        <v/>
      </c>
      <c r="CW484" s="76" t="str">
        <f aca="false">IF(ISBLANK($C484),"",IF($BL484&lt;&gt;Constants!$B$4,"",$BO484+$BP484))</f>
        <v/>
      </c>
      <c r="CX484" s="78" t="str">
        <f aca="false">IF(ISBLANK($C484),"",IF($BL484&lt;&gt;Constants!$B$4,"",$BQ484+$BR484+$BS484))</f>
        <v/>
      </c>
      <c r="CY484" s="78" t="str">
        <f aca="false">IF(ISBLANK($C484),"",IF($BL484&lt;&gt;Constants!$B$4,"",$BT484))</f>
        <v/>
      </c>
      <c r="CZ484" s="78" t="str">
        <f aca="false">IF(ISBLANK($C484),"",IF($BL484&lt;&gt;Constants!$B$4,"",$BU484+$BV484))</f>
        <v/>
      </c>
      <c r="DA484" s="78" t="str">
        <f aca="false">IF(ISBLANK($C484),"",IF($BL484&lt;&gt;Constants!$B$4,"",$BW484))</f>
        <v/>
      </c>
      <c r="DB484" s="78" t="str">
        <f aca="false">IF(ISBLANK($C484),"",IF($BL484&lt;&gt;Constants!$B$4,"",-$CD484))</f>
        <v/>
      </c>
      <c r="DC484" s="79" t="str">
        <f aca="false">IF(ISBLANK($C484),"",$CE484)</f>
        <v/>
      </c>
      <c r="DD484" s="80" t="str">
        <f aca="false">IF(ISBLANK($C484),"",$BM484)</f>
        <v/>
      </c>
      <c r="DE484" s="78" t="str">
        <f aca="false">IF(ISBLANK($C484),"",$CL484)</f>
        <v/>
      </c>
      <c r="DF484" s="78" t="str">
        <f aca="false">IF(ISBLANK($C484),"",$CK484)</f>
        <v/>
      </c>
      <c r="DG484" s="81" t="str">
        <f aca="false">IF(ISBLANK($C484),"",IF($DF484=Constants!$B$7,COUNTA($C$9:$C$508)+2,IF($DF484=Constants!$B$6,COUNTA($C$9:$C$508)+1,IF($DF484=Constants!$B$5,COUNTA($C$9:$C$508),$DF484))))</f>
        <v/>
      </c>
      <c r="DH484" s="7"/>
      <c r="DI484" s="82" t="n">
        <f aca="false">IF(OR(ISNUMBER($DF484),$DF484=Constants!$B$7,$DF484=Constants!$B$5,$DF484=Constants!$B$6),1,0)</f>
        <v>0</v>
      </c>
      <c r="DJ484" s="82" t="n">
        <v>476</v>
      </c>
      <c r="DK484" s="82" t="str">
        <f aca="false">IF(ISBLANK($C484),"",IF(ISNUMBER($DG484),$DG484+ROW($B484)/1000,""))</f>
        <v/>
      </c>
      <c r="DL484" s="82" t="str">
        <f aca="false">IF(ISNUMBER($DK484),RANK($DK484,$DK$9:$DK$508,1),"")</f>
        <v/>
      </c>
      <c r="DM484" s="82" t="str">
        <f aca="false">IF(ISBLANK($C484),"",$B484)</f>
        <v/>
      </c>
      <c r="DN484" s="82" t="str">
        <f aca="false">IF(ISBLANK($C484),"",$C484)</f>
        <v/>
      </c>
      <c r="DO484" s="82" t="str">
        <f aca="false">IF(ISBLANK($C484),"",$D484)</f>
        <v/>
      </c>
      <c r="DP484" s="83" t="str">
        <f aca="false">$DD484</f>
        <v/>
      </c>
      <c r="DQ484" s="84" t="str">
        <f aca="false">$DC484</f>
        <v/>
      </c>
      <c r="DR484" s="82" t="str">
        <f aca="false">IF(ISBLANK($C484),"",$DF484)</f>
        <v/>
      </c>
      <c r="DS484" s="85" t="str">
        <f aca="false">IF($DJ484&gt;$DI$8,"",VLOOKUP($DJ484,$DL$9:$DR$508,7,FALSE()))</f>
        <v/>
      </c>
      <c r="DT484" s="86" t="str">
        <f aca="false">IF($DJ484&gt;$DI$8,"",VLOOKUP($DJ484,$DL$9:$DR$508,2,FALSE()))</f>
        <v/>
      </c>
      <c r="DU484" s="86" t="str">
        <f aca="false">IF($DJ484&gt;$DI$8,"",VLOOKUP($DJ484,$DL$9:$DR$508,3,FALSE()))</f>
        <v/>
      </c>
      <c r="DV484" s="86" t="str">
        <f aca="false">IF($DJ484&gt;$DI$8,"",VLOOKUP($DJ484,$DL$9:$DR$508,4,FALSE()))</f>
        <v/>
      </c>
      <c r="DW484" s="86" t="str">
        <f aca="false">IF($DJ484&gt;$DI$8,"",VLOOKUP($DJ484,$DL$9:$DR$508,5,FALSE()))</f>
        <v/>
      </c>
      <c r="DX484" s="87" t="str">
        <f aca="false">IF($DJ484&gt;$DI$8,"",VLOOKUP($DJ484,$DL$9:$DR$508,6,FALSE()))</f>
        <v/>
      </c>
      <c r="DY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88"/>
      <c r="N485" s="88"/>
      <c r="O485" s="134"/>
      <c r="P485" s="134"/>
      <c r="Q485" s="88"/>
      <c r="R485" s="88"/>
      <c r="S485" s="88"/>
      <c r="T485" s="88"/>
      <c r="U485" s="134"/>
      <c r="V485" s="88"/>
      <c r="W485" s="70"/>
      <c r="X485" s="88"/>
      <c r="Y485" s="88"/>
      <c r="Z485" s="70"/>
      <c r="AA485" s="70"/>
      <c r="AB485" s="88"/>
      <c r="AC485" s="88"/>
      <c r="AD485" s="88"/>
      <c r="AE485" s="71"/>
      <c r="AF485" s="88"/>
      <c r="AG485" s="73"/>
      <c r="AH485" s="74"/>
      <c r="AI485" s="74"/>
      <c r="AJ485" s="74" t="str">
        <f aca="false">IF(ISBLANK($C485),"",IF($E485=Constants!$B$2,TRUE(),IF($E485=Constants!$B$3,FALSE(),TRUE())))</f>
        <v/>
      </c>
      <c r="AK485" s="74" t="str">
        <f aca="false">IF(ISBLANK($C485),"",IF($F485=Constants!$B$2,TRUE(),IF($F485=Constants!$B$3,FALSE(),FALSE())))</f>
        <v/>
      </c>
      <c r="AL485" s="74" t="str">
        <f aca="false">IF(ISBLANK($C485),"",IF($G485=Constants!$B$2,TRUE(),IF($G485=Constants!$B$3,FALSE(),TRUE())))</f>
        <v/>
      </c>
      <c r="AM485" s="74" t="str">
        <f aca="false">IF(ISBLANK($C485),"",IF($H485=Constants!$B$2,TRUE(),IF($H485=Constants!$B$3,FALSE(),TRUE())))</f>
        <v/>
      </c>
      <c r="AN485" s="74" t="str">
        <f aca="false">IF(ISBLANK($C485),"",IF(ISNUMBER($I485),IF($I485&gt;=0,$I485,""),""))</f>
        <v/>
      </c>
      <c r="AO485" s="74" t="str">
        <f aca="false">IF(ISBLANK($C485),"",IF(ISNUMBER($J485),IF($J485&gt;=0,$J485,""),""))</f>
        <v/>
      </c>
      <c r="AP485" s="74" t="str">
        <f aca="false">IF(ISBLANK($C485),"",IF(ISNUMBER($K485),IF($K485&gt;=0,$K485,""),""))</f>
        <v/>
      </c>
      <c r="AQ485" s="74" t="str">
        <f aca="false">IF(ISBLANK($C485),"",IF($L485=Constants!$B$2,TRUE(),IF($L485=Constants!$B$3,FALSE(),TRUE())))</f>
        <v/>
      </c>
      <c r="AR485" s="74" t="str">
        <f aca="false">IF(ISBLANK($C485),"",IF($M485=Constants!$B$2,TRUE(),IF($M485=Constants!$B$3,FALSE(),TRUE())))</f>
        <v/>
      </c>
      <c r="AS485" s="74" t="str">
        <f aca="false">IF(ISBLANK($C485),"",IF($N485=Constants!$B$2,TRUE(),IF($N485=Constants!$B$3,FALSE(),FALSE())))</f>
        <v/>
      </c>
      <c r="AT485" s="74" t="str">
        <f aca="false">IF(ISBLANK($C485),"",IF($O485=Constants!$B$2,TRUE(),IF($O485=Constants!$B$3,FALSE(),TRUE())))</f>
        <v/>
      </c>
      <c r="AU485" s="74" t="str">
        <f aca="false">IF(ISBLANK($C485),"",IF($P485=Constants!$B$2,TRUE(),IF($P485=Constants!$B$3,FALSE(),TRUE())))</f>
        <v/>
      </c>
      <c r="AV485" s="74" t="str">
        <f aca="false">IF(ISBLANK($C485),"",IF($Q485=Constants!$B$2,TRUE(),IF($Q485=Constants!$B$3,FALSE(),FALSE())))</f>
        <v/>
      </c>
      <c r="AW485" s="74" t="str">
        <f aca="false">IF(ISBLANK($C485),"",IF($R485=Constants!$B$2,TRUE(),IF($R485=Constants!$B$3,FALSE(),FALSE())))</f>
        <v/>
      </c>
      <c r="AX485" s="74" t="str">
        <f aca="false">IF(ISBLANK($C485),"",IF($S485=Constants!$B$2,TRUE(),IF($S485=Constants!$B$3,FALSE(),FALSE())))</f>
        <v/>
      </c>
      <c r="AY485" s="74" t="str">
        <f aca="false">IF(ISBLANK($C485),"",IF($T485=Constants!$B$2,TRUE(),IF($T485=Constants!$B$3,FALSE(),FALSE())))</f>
        <v/>
      </c>
      <c r="AZ485" s="74" t="str">
        <f aca="false">IF(ISBLANK($C485),"",IF($U485=Constants!$B$2,TRUE(),IF($U485=Constants!$B$3,FALSE(),FALSE())))</f>
        <v/>
      </c>
      <c r="BA485" s="74" t="str">
        <f aca="false">IF(ISBLANK($C485),"",IF(OR($V485&amp;""="1",$V485&amp;""="2",$V485&amp;""="3",$V485&amp;""="4"),VALUE($V485&amp;""),IF($V485=Constants!$B$12,Constants!$B$12,"")))</f>
        <v/>
      </c>
      <c r="BB485" s="74" t="str">
        <f aca="false">IF(ISBLANK($C485),"",IF(ISBLANK($W485),0,IF(ISNUMBER($W485),IF(AND($W485&gt;=0,$W485&lt;=Constants!$B$21,$W485=INT($W485)),$W485,""),"")))</f>
        <v/>
      </c>
      <c r="BC485" s="74" t="str">
        <f aca="false">IF(ISBLANK($C485),"",IF(ISBLANK($X485),0,IF(ISNUMBER($X485),IF($X485&gt;=0,$X485,""),"")))</f>
        <v/>
      </c>
      <c r="BD485" s="74" t="str">
        <f aca="false">IF(ISBLANK($C485),"",IF($Y485=Constants!$B$2,TRUE(),IF($Y485=Constants!$B$3,FALSE(),TRUE())))</f>
        <v/>
      </c>
      <c r="BE485" s="74" t="str">
        <f aca="false">IF(ISBLANK($C485),"",IF($Z485=Constants!$B$2,TRUE(),IF($Z485=Constants!$B$3,FALSE(),FALSE())))</f>
        <v/>
      </c>
      <c r="BF485" s="74" t="str">
        <f aca="false">IF(ISBLANK($C485),"",IF(ISBLANK($AA485),0,IF(ISNUMBER($AA485),IF(AND($AA485&gt;=0,$AA485&lt;=Constants!$B$35,$AA485=INT($AA485)),$AA485,""),"")))</f>
        <v/>
      </c>
      <c r="BG485" s="74" t="str">
        <f aca="false">IF(ISBLANK($C485),"",IF($AB485=Constants!$B$2,TRUE(),IF($AB485=Constants!$B$3,FALSE(),TRUE())))</f>
        <v/>
      </c>
      <c r="BH485" s="74" t="str">
        <f aca="false">IF(ISBLANK($C485),"",IF($AC485=Constants!$B$2,TRUE(),IF($AC485=Constants!$B$3,FALSE(),TRUE())))</f>
        <v/>
      </c>
      <c r="BI485" s="74" t="str">
        <f aca="false">IF(ISBLANK($C485),"",IF($AD485=Constants!$B$2,TRUE(),IF($AD485=Constants!$B$3,FALSE(),TRUE())))</f>
        <v/>
      </c>
      <c r="BJ485" s="74" t="str">
        <f aca="false">IF(ISBLANK($C485),"",IF(ISNUMBER($AE485),IF($AE485&gt;=0,$AE485,""),""))</f>
        <v/>
      </c>
      <c r="BK485" s="74" t="str">
        <f aca="false">IF(ISBLANK($C485),"",IF($AF485=Constants!$B$2,TRUE(),IF($AF485=Constants!$B$3,FALSE(),FALSE())))</f>
        <v/>
      </c>
      <c r="BL485" s="73" t="str">
        <f aca="false">IF(ISBLANK($C485),"",IF($BK485,Constants!$B$7,IF(COUNTA($E485:$AE485)=0,Constants!$B$6,IF(OR(COUNTA($G485:$AE485)=0,NOT($AM485),$AS485),Constants!$B$5,IF(OR($CM485&lt;&gt;"",$CN485,$CO485,$CP485,$CQ485,$CR485,$CS485),Constants!$B$8,Constants!$B$4)))))</f>
        <v/>
      </c>
      <c r="BM485" s="74" t="str">
        <f aca="false">IF(ISBLANK($C485),"",IF($BL485&lt;&gt;Constants!$B$4,$BL485,IF(OR(NOT($AJ485),NOT($AL485),NOT($AT485)),Constants!$B$11,IF(OR(NOT($AR485),NOT($AU485),NOT($BI485),MAX($AN485,$AO485,$AP485)&gt;Constants!$B$30),Constants!$B$10,Constants!$B$9))))</f>
        <v/>
      </c>
      <c r="BN485" s="74" t="str">
        <f aca="false">IF($BL485&lt;&gt;Constants!$B$4,"",IF(NOT($AL485),0,MIN(Constants!$B$35,$BF485)))</f>
        <v/>
      </c>
      <c r="BO485" s="74" t="str">
        <f aca="false">IF($BL485&lt;&gt;Constants!$B$4,"",IF(NOT($AL485),0,IF($AW485,Constants!$B$18,IF($AV485,Constants!$B$17,0))))</f>
        <v/>
      </c>
      <c r="BP485" s="74" t="str">
        <f aca="false">IF($BL485&lt;&gt;Constants!$B$4,"",IF(NOT($AL485),0,Constants!$B$19*($AK485+$AX485+$AY485+$AZ485)))</f>
        <v/>
      </c>
      <c r="BQ485" s="74" t="str">
        <f aca="false">IF($BL485&lt;&gt;Constants!$B$4,"",IF(OR(NOT($AL485),NOT(ISNUMBER($BA485))),0,CHOOSE($BA485,Constants!$B$13,Constants!$B$14,Constants!$B$15,Constants!$B$16)))</f>
        <v/>
      </c>
      <c r="BR485" s="74" t="str">
        <f aca="false">IF($BL485&lt;&gt;Constants!$B$4,"",IF(NOT($AL485),0,Constants!$B$20*$BB485))</f>
        <v/>
      </c>
      <c r="BS485" s="74" t="str">
        <f aca="false">IF($BL485&lt;&gt;Constants!$B$4,"",IF(AND($AL485,$BD485,$BE485),Constants!$B$22,0))</f>
        <v/>
      </c>
      <c r="BT485" s="74" t="str">
        <f aca="false">IF($BL485&lt;&gt;Constants!$B$4,"",IF(OR(NOT($AL485),NOT($BD485)),0,IF($BJ485&gt;=2*$AH$9,0,Constants!$B$23*INT(ROUND(MIN($BJ485,$AH$9),6)))))</f>
        <v/>
      </c>
      <c r="BU485" s="74" t="str">
        <f aca="false">IF($BL485&lt;&gt;Constants!$B$4,"",IF(NOT($AL485),0,Constants!$B$24*INT(ROUND(MIN($BC485,$AH$9),6))))</f>
        <v/>
      </c>
      <c r="BV485" s="74" t="str">
        <f aca="false">IF($BL485&lt;&gt;Constants!$B$4,"",IF(AND($AL485,$BN485=0),Constants!$B$25,0))</f>
        <v/>
      </c>
      <c r="BW485" s="74" t="str">
        <f aca="false">IF($BL485&lt;&gt;Constants!$B$4,"",MIN(Constants!$B$29,MAX(0,Constants!$B$27*Constants!$B$28*INT(ROUND((Constants!$B$26-$AN485)/Constants!$B$28,6))))+MIN(Constants!$B$29,MAX(0,Constants!$B$27*Constants!$B$28*INT(ROUND((Constants!$B$26-$AO485)/Constants!$B$28,6))))+MIN(Constants!$B$29,MAX(0,Constants!$B$27*Constants!$B$28*INT(ROUND((Constants!$B$26-$AP485)/Constants!$B$28,6)))))</f>
        <v/>
      </c>
      <c r="BX485" s="74" t="str">
        <f aca="false">IF($BL485&lt;&gt;Constants!$B$4,"",IF(NOT($AL485),0,Constants!$B$31*INT(ROUND(MAX(0,MIN($BJ485,2*$AH$9)-$AH$9),6))))</f>
        <v/>
      </c>
      <c r="BY485" s="74" t="str">
        <f aca="false">IF($BL485&lt;&gt;Constants!$B$4,"",Constants!$B$32*(($AN485&gt;Constants!$B$26)+($AO485&gt;Constants!$B$26)+($AP485&gt;Constants!$B$26)))</f>
        <v/>
      </c>
      <c r="BZ485" s="74" t="str">
        <f aca="false">IF($BL485&lt;&gt;Constants!$B$4,"",IF(OR(NOT($AL485),$AQ485),0,Constants!$B$33))</f>
        <v/>
      </c>
      <c r="CA485" s="74" t="str">
        <f aca="false">IF($BL485&lt;&gt;Constants!$B$4,"",Constants!$B$34*$BN485)</f>
        <v/>
      </c>
      <c r="CB485" s="74" t="str">
        <f aca="false">IF($BL485&lt;&gt;Constants!$B$4,"",IF(OR(NOT($AL485),$BH485),0,Constants!$B$36))</f>
        <v/>
      </c>
      <c r="CC485" s="74" t="str">
        <f aca="false">IF($BL485&lt;&gt;Constants!$B$4,"",IF(OR(NOT($AL485),$BG485),0,Constants!$B$37))</f>
        <v/>
      </c>
      <c r="CD485" s="74" t="str">
        <f aca="false">IF($BL485&lt;&gt;Constants!$B$4,"",SUM($BX485:$CC485))</f>
        <v/>
      </c>
      <c r="CE485" s="74" t="str">
        <f aca="false">IF(ISBLANK($C485),"",IF($BL485&lt;&gt;Constants!$B$4,$BL485,SUM($BO485:$BW485)-$CD485))</f>
        <v/>
      </c>
      <c r="CF485" s="74" t="str">
        <f aca="false">IF(ISBLANK($C485),"",IF($BL485&lt;&gt;Constants!$B$4,$BL485,RANK($CE485,$CE$9:$CE$508)))</f>
        <v/>
      </c>
      <c r="CG485" s="74" t="str">
        <f aca="false">IF(ISBLANK($C485),"",IF($BL485&lt;&gt;Constants!$B$4,$BL485,COUNTIFS($BM$9:$BM$508,"&lt;"&amp;$BM485)+COUNTIFS($BM$9:$BM$508,$BM485,$CF$9:$CF$508,"&lt;"&amp;$CF485)+1))</f>
        <v/>
      </c>
      <c r="CH485" s="74" t="str">
        <f aca="false">IF(ISBLANK($C485),"",IF($BL485&lt;&gt;Constants!$B$4,$BL485,RANK($CD485,$CD$9:$CD$508,1)))</f>
        <v/>
      </c>
      <c r="CI485" s="74" t="str">
        <f aca="false">IF($BL485&lt;&gt;Constants!$B$4,"",$AN485+$AO485+$AP485)</f>
        <v/>
      </c>
      <c r="CJ485" s="74" t="str">
        <f aca="false">IF(ISBLANK($C485),"",IF($BL485&lt;&gt;Constants!$B$4,$BL485,RANK($CI485,$CI$9:$CI$508,1)))</f>
        <v/>
      </c>
      <c r="CK485" s="74" t="str">
        <f aca="false">IF(ISBLANK($C485),"",IF($BL485&lt;&gt;Constants!$B$4,$BL485,COUNTIFS($BM$9:$BM$508,"&lt;"&amp;$BM485)+COUNTIFS($BM$9:$BM$508,$BM485,$CF$9:$CF$508,"&lt;"&amp;$CF485)+COUNTIFS($BM$9:$BM$508,$BM485,$CF$9:$CF$508,$CF485,$CH$9:$CH$508,"&lt;"&amp;$CH485)+COUNTIFS($BM$9:$BM$508,$BM485,$CF$9:$CF$508,$CF485,$CH$9:$CH$508,$CH485,$CJ$9:$CJ$508,"&lt;"&amp;$CJ485)+1))</f>
        <v/>
      </c>
      <c r="CL485" s="74" t="str">
        <f aca="false">IF(ISBLANK($C485),"",IF($BL485&lt;&gt;Constants!$B$4,$BL485,$CG485-$CK485))</f>
        <v/>
      </c>
      <c r="CM485" s="74" t="str">
        <f aca="false">IF(ISBLANK($C485),"",IF(NOT($AL485),"",IF(ISBLANK($D$7),$CM$5,IF(NOT(ISNUMBER($D$7)),$CM$6,""))))</f>
        <v/>
      </c>
      <c r="CN485" s="74" t="str">
        <f aca="false">IF(ISBLANK($C485),"",OR($AN485="",$AO485="",$AP485=""))</f>
        <v/>
      </c>
      <c r="CO485" s="74" t="str">
        <f aca="false">IF(ISBLANK($C485),"",AND($AL485,$BA485=""))</f>
        <v/>
      </c>
      <c r="CP485" s="74" t="str">
        <f aca="false">IF(ISBLANK($C485),"",AND($AL485,$BB485=""))</f>
        <v/>
      </c>
      <c r="CQ485" s="74" t="str">
        <f aca="false">IF(ISBLANK($C485),"",AND($AL485,$BC485=""))</f>
        <v/>
      </c>
      <c r="CR485" s="74" t="str">
        <f aca="false">IF(ISBLANK($C485),"",AND($AL485,$BF485=""))</f>
        <v/>
      </c>
      <c r="CS485" s="74" t="str">
        <f aca="false">IF(ISBLANK($C485),"",AND($AL485,$BJ485=""))</f>
        <v/>
      </c>
      <c r="CT485" s="75"/>
      <c r="CU485" s="76"/>
      <c r="CV485" s="79" t="str">
        <f aca="false">IF(ISBLANK($C485),"",IF($BL485=Constants!$B$8,$CM485,""))</f>
        <v/>
      </c>
      <c r="CW485" s="76" t="str">
        <f aca="false">IF(ISBLANK($C485),"",IF($BL485&lt;&gt;Constants!$B$4,"",$BO485+$BP485))</f>
        <v/>
      </c>
      <c r="CX485" s="78" t="str">
        <f aca="false">IF(ISBLANK($C485),"",IF($BL485&lt;&gt;Constants!$B$4,"",$BQ485+$BR485+$BS485))</f>
        <v/>
      </c>
      <c r="CY485" s="78" t="str">
        <f aca="false">IF(ISBLANK($C485),"",IF($BL485&lt;&gt;Constants!$B$4,"",$BT485))</f>
        <v/>
      </c>
      <c r="CZ485" s="78" t="str">
        <f aca="false">IF(ISBLANK($C485),"",IF($BL485&lt;&gt;Constants!$B$4,"",$BU485+$BV485))</f>
        <v/>
      </c>
      <c r="DA485" s="78" t="str">
        <f aca="false">IF(ISBLANK($C485),"",IF($BL485&lt;&gt;Constants!$B$4,"",$BW485))</f>
        <v/>
      </c>
      <c r="DB485" s="78" t="str">
        <f aca="false">IF(ISBLANK($C485),"",IF($BL485&lt;&gt;Constants!$B$4,"",-$CD485))</f>
        <v/>
      </c>
      <c r="DC485" s="79" t="str">
        <f aca="false">IF(ISBLANK($C485),"",$CE485)</f>
        <v/>
      </c>
      <c r="DD485" s="80" t="str">
        <f aca="false">IF(ISBLANK($C485),"",$BM485)</f>
        <v/>
      </c>
      <c r="DE485" s="78" t="str">
        <f aca="false">IF(ISBLANK($C485),"",$CL485)</f>
        <v/>
      </c>
      <c r="DF485" s="78" t="str">
        <f aca="false">IF(ISBLANK($C485),"",$CK485)</f>
        <v/>
      </c>
      <c r="DG485" s="81" t="str">
        <f aca="false">IF(ISBLANK($C485),"",IF($DF485=Constants!$B$7,COUNTA($C$9:$C$508)+2,IF($DF485=Constants!$B$6,COUNTA($C$9:$C$508)+1,IF($DF485=Constants!$B$5,COUNTA($C$9:$C$508),$DF485))))</f>
        <v/>
      </c>
      <c r="DH485" s="7"/>
      <c r="DI485" s="82" t="n">
        <f aca="false">IF(OR(ISNUMBER($DF485),$DF485=Constants!$B$7,$DF485=Constants!$B$5,$DF485=Constants!$B$6),1,0)</f>
        <v>0</v>
      </c>
      <c r="DJ485" s="82" t="n">
        <v>477</v>
      </c>
      <c r="DK485" s="82" t="str">
        <f aca="false">IF(ISBLANK($C485),"",IF(ISNUMBER($DG485),$DG485+ROW($B485)/1000,""))</f>
        <v/>
      </c>
      <c r="DL485" s="82" t="str">
        <f aca="false">IF(ISNUMBER($DK485),RANK($DK485,$DK$9:$DK$508,1),"")</f>
        <v/>
      </c>
      <c r="DM485" s="82" t="str">
        <f aca="false">IF(ISBLANK($C485),"",$B485)</f>
        <v/>
      </c>
      <c r="DN485" s="82" t="str">
        <f aca="false">IF(ISBLANK($C485),"",$C485)</f>
        <v/>
      </c>
      <c r="DO485" s="82" t="str">
        <f aca="false">IF(ISBLANK($C485),"",$D485)</f>
        <v/>
      </c>
      <c r="DP485" s="83" t="str">
        <f aca="false">$DD485</f>
        <v/>
      </c>
      <c r="DQ485" s="84" t="str">
        <f aca="false">$DC485</f>
        <v/>
      </c>
      <c r="DR485" s="82" t="str">
        <f aca="false">IF(ISBLANK($C485),"",$DF485)</f>
        <v/>
      </c>
      <c r="DS485" s="85" t="str">
        <f aca="false">IF($DJ485&gt;$DI$8,"",VLOOKUP($DJ485,$DL$9:$DR$508,7,FALSE()))</f>
        <v/>
      </c>
      <c r="DT485" s="86" t="str">
        <f aca="false">IF($DJ485&gt;$DI$8,"",VLOOKUP($DJ485,$DL$9:$DR$508,2,FALSE()))</f>
        <v/>
      </c>
      <c r="DU485" s="86" t="str">
        <f aca="false">IF($DJ485&gt;$DI$8,"",VLOOKUP($DJ485,$DL$9:$DR$508,3,FALSE()))</f>
        <v/>
      </c>
      <c r="DV485" s="86" t="str">
        <f aca="false">IF($DJ485&gt;$DI$8,"",VLOOKUP($DJ485,$DL$9:$DR$508,4,FALSE()))</f>
        <v/>
      </c>
      <c r="DW485" s="86" t="str">
        <f aca="false">IF($DJ485&gt;$DI$8,"",VLOOKUP($DJ485,$DL$9:$DR$508,5,FALSE()))</f>
        <v/>
      </c>
      <c r="DX485" s="87" t="str">
        <f aca="false">IF($DJ485&gt;$DI$8,"",VLOOKUP($DJ485,$DL$9:$DR$508,6,FALSE()))</f>
        <v/>
      </c>
      <c r="DY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130"/>
      <c r="N486" s="130"/>
      <c r="O486" s="135"/>
      <c r="P486" s="135"/>
      <c r="Q486" s="130"/>
      <c r="R486" s="130"/>
      <c r="S486" s="130"/>
      <c r="T486" s="130"/>
      <c r="U486" s="135"/>
      <c r="V486" s="130"/>
      <c r="W486" s="96"/>
      <c r="X486" s="130"/>
      <c r="Y486" s="130"/>
      <c r="Z486" s="96"/>
      <c r="AA486" s="96"/>
      <c r="AB486" s="130"/>
      <c r="AC486" s="130"/>
      <c r="AD486" s="130"/>
      <c r="AE486" s="97"/>
      <c r="AF486" s="130"/>
      <c r="AG486" s="99"/>
      <c r="AH486" s="100"/>
      <c r="AI486" s="100"/>
      <c r="AJ486" s="100" t="str">
        <f aca="false">IF(ISBLANK($C486),"",IF($E486=Constants!$B$2,TRUE(),IF($E486=Constants!$B$3,FALSE(),TRUE())))</f>
        <v/>
      </c>
      <c r="AK486" s="100" t="str">
        <f aca="false">IF(ISBLANK($C486),"",IF($F486=Constants!$B$2,TRUE(),IF($F486=Constants!$B$3,FALSE(),FALSE())))</f>
        <v/>
      </c>
      <c r="AL486" s="100" t="str">
        <f aca="false">IF(ISBLANK($C486),"",IF($G486=Constants!$B$2,TRUE(),IF($G486=Constants!$B$3,FALSE(),TRUE())))</f>
        <v/>
      </c>
      <c r="AM486" s="100" t="str">
        <f aca="false">IF(ISBLANK($C486),"",IF($H486=Constants!$B$2,TRUE(),IF($H486=Constants!$B$3,FALSE(),TRUE())))</f>
        <v/>
      </c>
      <c r="AN486" s="100" t="str">
        <f aca="false">IF(ISBLANK($C486),"",IF(ISNUMBER($I486),IF($I486&gt;=0,$I486,""),""))</f>
        <v/>
      </c>
      <c r="AO486" s="100" t="str">
        <f aca="false">IF(ISBLANK($C486),"",IF(ISNUMBER($J486),IF($J486&gt;=0,$J486,""),""))</f>
        <v/>
      </c>
      <c r="AP486" s="100" t="str">
        <f aca="false">IF(ISBLANK($C486),"",IF(ISNUMBER($K486),IF($K486&gt;=0,$K486,""),""))</f>
        <v/>
      </c>
      <c r="AQ486" s="100" t="str">
        <f aca="false">IF(ISBLANK($C486),"",IF($L486=Constants!$B$2,TRUE(),IF($L486=Constants!$B$3,FALSE(),TRUE())))</f>
        <v/>
      </c>
      <c r="AR486" s="100" t="str">
        <f aca="false">IF(ISBLANK($C486),"",IF($M486=Constants!$B$2,TRUE(),IF($M486=Constants!$B$3,FALSE(),TRUE())))</f>
        <v/>
      </c>
      <c r="AS486" s="100" t="str">
        <f aca="false">IF(ISBLANK($C486),"",IF($N486=Constants!$B$2,TRUE(),IF($N486=Constants!$B$3,FALSE(),FALSE())))</f>
        <v/>
      </c>
      <c r="AT486" s="100" t="str">
        <f aca="false">IF(ISBLANK($C486),"",IF($O486=Constants!$B$2,TRUE(),IF($O486=Constants!$B$3,FALSE(),TRUE())))</f>
        <v/>
      </c>
      <c r="AU486" s="100" t="str">
        <f aca="false">IF(ISBLANK($C486),"",IF($P486=Constants!$B$2,TRUE(),IF($P486=Constants!$B$3,FALSE(),TRUE())))</f>
        <v/>
      </c>
      <c r="AV486" s="100" t="str">
        <f aca="false">IF(ISBLANK($C486),"",IF($Q486=Constants!$B$2,TRUE(),IF($Q486=Constants!$B$3,FALSE(),FALSE())))</f>
        <v/>
      </c>
      <c r="AW486" s="100" t="str">
        <f aca="false">IF(ISBLANK($C486),"",IF($R486=Constants!$B$2,TRUE(),IF($R486=Constants!$B$3,FALSE(),FALSE())))</f>
        <v/>
      </c>
      <c r="AX486" s="100" t="str">
        <f aca="false">IF(ISBLANK($C486),"",IF($S486=Constants!$B$2,TRUE(),IF($S486=Constants!$B$3,FALSE(),FALSE())))</f>
        <v/>
      </c>
      <c r="AY486" s="100" t="str">
        <f aca="false">IF(ISBLANK($C486),"",IF($T486=Constants!$B$2,TRUE(),IF($T486=Constants!$B$3,FALSE(),FALSE())))</f>
        <v/>
      </c>
      <c r="AZ486" s="100" t="str">
        <f aca="false">IF(ISBLANK($C486),"",IF($U486=Constants!$B$2,TRUE(),IF($U486=Constants!$B$3,FALSE(),FALSE())))</f>
        <v/>
      </c>
      <c r="BA486" s="100" t="str">
        <f aca="false">IF(ISBLANK($C486),"",IF(OR($V486&amp;""="1",$V486&amp;""="2",$V486&amp;""="3",$V486&amp;""="4"),VALUE($V486&amp;""),IF($V486=Constants!$B$12,Constants!$B$12,"")))</f>
        <v/>
      </c>
      <c r="BB486" s="100" t="str">
        <f aca="false">IF(ISBLANK($C486),"",IF(ISBLANK($W486),0,IF(ISNUMBER($W486),IF(AND($W486&gt;=0,$W486&lt;=Constants!$B$21,$W486=INT($W486)),$W486,""),"")))</f>
        <v/>
      </c>
      <c r="BC486" s="100" t="str">
        <f aca="false">IF(ISBLANK($C486),"",IF(ISBLANK($X486),0,IF(ISNUMBER($X486),IF($X486&gt;=0,$X486,""),"")))</f>
        <v/>
      </c>
      <c r="BD486" s="100" t="str">
        <f aca="false">IF(ISBLANK($C486),"",IF($Y486=Constants!$B$2,TRUE(),IF($Y486=Constants!$B$3,FALSE(),TRUE())))</f>
        <v/>
      </c>
      <c r="BE486" s="100" t="str">
        <f aca="false">IF(ISBLANK($C486),"",IF($Z486=Constants!$B$2,TRUE(),IF($Z486=Constants!$B$3,FALSE(),FALSE())))</f>
        <v/>
      </c>
      <c r="BF486" s="100" t="str">
        <f aca="false">IF(ISBLANK($C486),"",IF(ISBLANK($AA486),0,IF(ISNUMBER($AA486),IF(AND($AA486&gt;=0,$AA486&lt;=Constants!$B$35,$AA486=INT($AA486)),$AA486,""),"")))</f>
        <v/>
      </c>
      <c r="BG486" s="100" t="str">
        <f aca="false">IF(ISBLANK($C486),"",IF($AB486=Constants!$B$2,TRUE(),IF($AB486=Constants!$B$3,FALSE(),TRUE())))</f>
        <v/>
      </c>
      <c r="BH486" s="100" t="str">
        <f aca="false">IF(ISBLANK($C486),"",IF($AC486=Constants!$B$2,TRUE(),IF($AC486=Constants!$B$3,FALSE(),TRUE())))</f>
        <v/>
      </c>
      <c r="BI486" s="100" t="str">
        <f aca="false">IF(ISBLANK($C486),"",IF($AD486=Constants!$B$2,TRUE(),IF($AD486=Constants!$B$3,FALSE(),TRUE())))</f>
        <v/>
      </c>
      <c r="BJ486" s="100" t="str">
        <f aca="false">IF(ISBLANK($C486),"",IF(ISNUMBER($AE486),IF($AE486&gt;=0,$AE486,""),""))</f>
        <v/>
      </c>
      <c r="BK486" s="100" t="str">
        <f aca="false">IF(ISBLANK($C486),"",IF($AF486=Constants!$B$2,TRUE(),IF($AF486=Constants!$B$3,FALSE(),FALSE())))</f>
        <v/>
      </c>
      <c r="BL486" s="99" t="str">
        <f aca="false">IF(ISBLANK($C486),"",IF($BK486,Constants!$B$7,IF(COUNTA($E486:$AE486)=0,Constants!$B$6,IF(OR(COUNTA($G486:$AE486)=0,NOT($AM486),$AS486),Constants!$B$5,IF(OR($CM486&lt;&gt;"",$CN486,$CO486,$CP486,$CQ486,$CR486,$CS486),Constants!$B$8,Constants!$B$4)))))</f>
        <v/>
      </c>
      <c r="BM486" s="100" t="str">
        <f aca="false">IF(ISBLANK($C486),"",IF($BL486&lt;&gt;Constants!$B$4,$BL486,IF(OR(NOT($AJ486),NOT($AL486),NOT($AT486)),Constants!$B$11,IF(OR(NOT($AR486),NOT($AU486),NOT($BI486),MAX($AN486,$AO486,$AP486)&gt;Constants!$B$30),Constants!$B$10,Constants!$B$9))))</f>
        <v/>
      </c>
      <c r="BN486" s="100" t="str">
        <f aca="false">IF($BL486&lt;&gt;Constants!$B$4,"",IF(NOT($AL486),0,MIN(Constants!$B$35,$BF486)))</f>
        <v/>
      </c>
      <c r="BO486" s="100" t="str">
        <f aca="false">IF($BL486&lt;&gt;Constants!$B$4,"",IF(NOT($AL486),0,IF($AW486,Constants!$B$18,IF($AV486,Constants!$B$17,0))))</f>
        <v/>
      </c>
      <c r="BP486" s="100" t="str">
        <f aca="false">IF($BL486&lt;&gt;Constants!$B$4,"",IF(NOT($AL486),0,Constants!$B$19*($AK486+$AX486+$AY486+$AZ486)))</f>
        <v/>
      </c>
      <c r="BQ486" s="100" t="str">
        <f aca="false">IF($BL486&lt;&gt;Constants!$B$4,"",IF(OR(NOT($AL486),NOT(ISNUMBER($BA486))),0,CHOOSE($BA486,Constants!$B$13,Constants!$B$14,Constants!$B$15,Constants!$B$16)))</f>
        <v/>
      </c>
      <c r="BR486" s="100" t="str">
        <f aca="false">IF($BL486&lt;&gt;Constants!$B$4,"",IF(NOT($AL486),0,Constants!$B$20*$BB486))</f>
        <v/>
      </c>
      <c r="BS486" s="100" t="str">
        <f aca="false">IF($BL486&lt;&gt;Constants!$B$4,"",IF(AND($AL486,$BD486,$BE486),Constants!$B$22,0))</f>
        <v/>
      </c>
      <c r="BT486" s="100" t="str">
        <f aca="false">IF($BL486&lt;&gt;Constants!$B$4,"",IF(OR(NOT($AL486),NOT($BD486)),0,IF($BJ486&gt;=2*$AH$9,0,Constants!$B$23*INT(ROUND(MIN($BJ486,$AH$9),6)))))</f>
        <v/>
      </c>
      <c r="BU486" s="100" t="str">
        <f aca="false">IF($BL486&lt;&gt;Constants!$B$4,"",IF(NOT($AL486),0,Constants!$B$24*INT(ROUND(MIN($BC486,$AH$9),6))))</f>
        <v/>
      </c>
      <c r="BV486" s="100" t="str">
        <f aca="false">IF($BL486&lt;&gt;Constants!$B$4,"",IF(AND($AL486,$BN486=0),Constants!$B$25,0))</f>
        <v/>
      </c>
      <c r="BW486" s="100" t="str">
        <f aca="false">IF($BL486&lt;&gt;Constants!$B$4,"",MIN(Constants!$B$29,MAX(0,Constants!$B$27*Constants!$B$28*INT(ROUND((Constants!$B$26-$AN486)/Constants!$B$28,6))))+MIN(Constants!$B$29,MAX(0,Constants!$B$27*Constants!$B$28*INT(ROUND((Constants!$B$26-$AO486)/Constants!$B$28,6))))+MIN(Constants!$B$29,MAX(0,Constants!$B$27*Constants!$B$28*INT(ROUND((Constants!$B$26-$AP486)/Constants!$B$28,6)))))</f>
        <v/>
      </c>
      <c r="BX486" s="100" t="str">
        <f aca="false">IF($BL486&lt;&gt;Constants!$B$4,"",IF(NOT($AL486),0,Constants!$B$31*INT(ROUND(MAX(0,MIN($BJ486,2*$AH$9)-$AH$9),6))))</f>
        <v/>
      </c>
      <c r="BY486" s="100" t="str">
        <f aca="false">IF($BL486&lt;&gt;Constants!$B$4,"",Constants!$B$32*(($AN486&gt;Constants!$B$26)+($AO486&gt;Constants!$B$26)+($AP486&gt;Constants!$B$26)))</f>
        <v/>
      </c>
      <c r="BZ486" s="100" t="str">
        <f aca="false">IF($BL486&lt;&gt;Constants!$B$4,"",IF(OR(NOT($AL486),$AQ486),0,Constants!$B$33))</f>
        <v/>
      </c>
      <c r="CA486" s="100" t="str">
        <f aca="false">IF($BL486&lt;&gt;Constants!$B$4,"",Constants!$B$34*$BN486)</f>
        <v/>
      </c>
      <c r="CB486" s="100" t="str">
        <f aca="false">IF($BL486&lt;&gt;Constants!$B$4,"",IF(OR(NOT($AL486),$BH486),0,Constants!$B$36))</f>
        <v/>
      </c>
      <c r="CC486" s="100" t="str">
        <f aca="false">IF($BL486&lt;&gt;Constants!$B$4,"",IF(OR(NOT($AL486),$BG486),0,Constants!$B$37))</f>
        <v/>
      </c>
      <c r="CD486" s="100" t="str">
        <f aca="false">IF($BL486&lt;&gt;Constants!$B$4,"",SUM($BX486:$CC486))</f>
        <v/>
      </c>
      <c r="CE486" s="100" t="str">
        <f aca="false">IF(ISBLANK($C486),"",IF($BL486&lt;&gt;Constants!$B$4,$BL486,SUM($BO486:$BW486)-$CD486))</f>
        <v/>
      </c>
      <c r="CF486" s="100" t="str">
        <f aca="false">IF(ISBLANK($C486),"",IF($BL486&lt;&gt;Constants!$B$4,$BL486,RANK($CE486,$CE$9:$CE$508)))</f>
        <v/>
      </c>
      <c r="CG486" s="100" t="str">
        <f aca="false">IF(ISBLANK($C486),"",IF($BL486&lt;&gt;Constants!$B$4,$BL486,COUNTIFS($BM$9:$BM$508,"&lt;"&amp;$BM486)+COUNTIFS($BM$9:$BM$508,$BM486,$CF$9:$CF$508,"&lt;"&amp;$CF486)+1))</f>
        <v/>
      </c>
      <c r="CH486" s="100" t="str">
        <f aca="false">IF(ISBLANK($C486),"",IF($BL486&lt;&gt;Constants!$B$4,$BL486,RANK($CD486,$CD$9:$CD$508,1)))</f>
        <v/>
      </c>
      <c r="CI486" s="100" t="str">
        <f aca="false">IF($BL486&lt;&gt;Constants!$B$4,"",$AN486+$AO486+$AP486)</f>
        <v/>
      </c>
      <c r="CJ486" s="100" t="str">
        <f aca="false">IF(ISBLANK($C486),"",IF($BL486&lt;&gt;Constants!$B$4,$BL486,RANK($CI486,$CI$9:$CI$508,1)))</f>
        <v/>
      </c>
      <c r="CK486" s="100" t="str">
        <f aca="false">IF(ISBLANK($C486),"",IF($BL486&lt;&gt;Constants!$B$4,$BL486,COUNTIFS($BM$9:$BM$508,"&lt;"&amp;$BM486)+COUNTIFS($BM$9:$BM$508,$BM486,$CF$9:$CF$508,"&lt;"&amp;$CF486)+COUNTIFS($BM$9:$BM$508,$BM486,$CF$9:$CF$508,$CF486,$CH$9:$CH$508,"&lt;"&amp;$CH486)+COUNTIFS($BM$9:$BM$508,$BM486,$CF$9:$CF$508,$CF486,$CH$9:$CH$508,$CH486,$CJ$9:$CJ$508,"&lt;"&amp;$CJ486)+1))</f>
        <v/>
      </c>
      <c r="CL486" s="100" t="str">
        <f aca="false">IF(ISBLANK($C486),"",IF($BL486&lt;&gt;Constants!$B$4,$BL486,$CG486-$CK486))</f>
        <v/>
      </c>
      <c r="CM486" s="100" t="str">
        <f aca="false">IF(ISBLANK($C486),"",IF(NOT($AL486),"",IF(ISBLANK($D$7),$CM$5,IF(NOT(ISNUMBER($D$7)),$CM$6,""))))</f>
        <v/>
      </c>
      <c r="CN486" s="100" t="str">
        <f aca="false">IF(ISBLANK($C486),"",OR($AN486="",$AO486="",$AP486=""))</f>
        <v/>
      </c>
      <c r="CO486" s="100" t="str">
        <f aca="false">IF(ISBLANK($C486),"",AND($AL486,$BA486=""))</f>
        <v/>
      </c>
      <c r="CP486" s="100" t="str">
        <f aca="false">IF(ISBLANK($C486),"",AND($AL486,$BB486=""))</f>
        <v/>
      </c>
      <c r="CQ486" s="100" t="str">
        <f aca="false">IF(ISBLANK($C486),"",AND($AL486,$BC486=""))</f>
        <v/>
      </c>
      <c r="CR486" s="100" t="str">
        <f aca="false">IF(ISBLANK($C486),"",AND($AL486,$BF486=""))</f>
        <v/>
      </c>
      <c r="CS486" s="100" t="str">
        <f aca="false">IF(ISBLANK($C486),"",AND($AL486,$BJ486=""))</f>
        <v/>
      </c>
      <c r="CT486" s="101"/>
      <c r="CU486" s="102"/>
      <c r="CV486" s="103" t="str">
        <f aca="false">IF(ISBLANK($C486),"",IF($BL486=Constants!$B$8,$CM486,""))</f>
        <v/>
      </c>
      <c r="CW486" s="102" t="str">
        <f aca="false">IF(ISBLANK($C486),"",IF($BL486&lt;&gt;Constants!$B$4,"",$BO486+$BP486))</f>
        <v/>
      </c>
      <c r="CX486" s="104" t="str">
        <f aca="false">IF(ISBLANK($C486),"",IF($BL486&lt;&gt;Constants!$B$4,"",$BQ486+$BR486+$BS486))</f>
        <v/>
      </c>
      <c r="CY486" s="104" t="str">
        <f aca="false">IF(ISBLANK($C486),"",IF($BL486&lt;&gt;Constants!$B$4,"",$BT486))</f>
        <v/>
      </c>
      <c r="CZ486" s="104" t="str">
        <f aca="false">IF(ISBLANK($C486),"",IF($BL486&lt;&gt;Constants!$B$4,"",$BU486+$BV486))</f>
        <v/>
      </c>
      <c r="DA486" s="104" t="str">
        <f aca="false">IF(ISBLANK($C486),"",IF($BL486&lt;&gt;Constants!$B$4,"",$BW486))</f>
        <v/>
      </c>
      <c r="DB486" s="104" t="str">
        <f aca="false">IF(ISBLANK($C486),"",IF($BL486&lt;&gt;Constants!$B$4,"",-$CD486))</f>
        <v/>
      </c>
      <c r="DC486" s="103" t="str">
        <f aca="false">IF(ISBLANK($C486),"",$CE486)</f>
        <v/>
      </c>
      <c r="DD486" s="105" t="str">
        <f aca="false">IF(ISBLANK($C486),"",$BM486)</f>
        <v/>
      </c>
      <c r="DE486" s="104" t="str">
        <f aca="false">IF(ISBLANK($C486),"",$CL486)</f>
        <v/>
      </c>
      <c r="DF486" s="104" t="str">
        <f aca="false">IF(ISBLANK($C486),"",$CK486)</f>
        <v/>
      </c>
      <c r="DG486" s="106" t="str">
        <f aca="false">IF(ISBLANK($C486),"",IF($DF486=Constants!$B$7,COUNTA($C$9:$C$508)+2,IF($DF486=Constants!$B$6,COUNTA($C$9:$C$508)+1,IF($DF486=Constants!$B$5,COUNTA($C$9:$C$508),$DF486))))</f>
        <v/>
      </c>
      <c r="DH486" s="7"/>
      <c r="DI486" s="107" t="n">
        <f aca="false">IF(OR(ISNUMBER($DF486),$DF486=Constants!$B$7,$DF486=Constants!$B$5,$DF486=Constants!$B$6),1,0)</f>
        <v>0</v>
      </c>
      <c r="DJ486" s="107" t="n">
        <v>478</v>
      </c>
      <c r="DK486" s="107" t="str">
        <f aca="false">IF(ISBLANK($C486),"",IF(ISNUMBER($DG486),$DG486+ROW($B486)/1000,""))</f>
        <v/>
      </c>
      <c r="DL486" s="107" t="str">
        <f aca="false">IF(ISNUMBER($DK486),RANK($DK486,$DK$9:$DK$508,1),"")</f>
        <v/>
      </c>
      <c r="DM486" s="107" t="str">
        <f aca="false">IF(ISBLANK($C486),"",$B486)</f>
        <v/>
      </c>
      <c r="DN486" s="107" t="str">
        <f aca="false">IF(ISBLANK($C486),"",$C486)</f>
        <v/>
      </c>
      <c r="DO486" s="107" t="str">
        <f aca="false">IF(ISBLANK($C486),"",$D486)</f>
        <v/>
      </c>
      <c r="DP486" s="108" t="str">
        <f aca="false">$DD486</f>
        <v/>
      </c>
      <c r="DQ486" s="109" t="str">
        <f aca="false">$DC486</f>
        <v/>
      </c>
      <c r="DR486" s="107" t="str">
        <f aca="false">IF(ISBLANK($C486),"",$DF486)</f>
        <v/>
      </c>
      <c r="DS486" s="110" t="str">
        <f aca="false">IF($DJ486&gt;$DI$8,"",VLOOKUP($DJ486,$DL$9:$DR$508,7,FALSE()))</f>
        <v/>
      </c>
      <c r="DT486" s="111" t="str">
        <f aca="false">IF($DJ486&gt;$DI$8,"",VLOOKUP($DJ486,$DL$9:$DR$508,2,FALSE()))</f>
        <v/>
      </c>
      <c r="DU486" s="111" t="str">
        <f aca="false">IF($DJ486&gt;$DI$8,"",VLOOKUP($DJ486,$DL$9:$DR$508,3,FALSE()))</f>
        <v/>
      </c>
      <c r="DV486" s="111" t="str">
        <f aca="false">IF($DJ486&gt;$DI$8,"",VLOOKUP($DJ486,$DL$9:$DR$508,4,FALSE()))</f>
        <v/>
      </c>
      <c r="DW486" s="111" t="str">
        <f aca="false">IF($DJ486&gt;$DI$8,"",VLOOKUP($DJ486,$DL$9:$DR$508,5,FALSE()))</f>
        <v/>
      </c>
      <c r="DX486" s="112" t="str">
        <f aca="false">IF($DJ486&gt;$DI$8,"",VLOOKUP($DJ486,$DL$9:$DR$508,6,FALSE()))</f>
        <v/>
      </c>
      <c r="DY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130"/>
      <c r="N487" s="130"/>
      <c r="O487" s="135"/>
      <c r="P487" s="135"/>
      <c r="Q487" s="130"/>
      <c r="R487" s="130"/>
      <c r="S487" s="130"/>
      <c r="T487" s="130"/>
      <c r="U487" s="135"/>
      <c r="V487" s="130"/>
      <c r="W487" s="96"/>
      <c r="X487" s="130"/>
      <c r="Y487" s="130"/>
      <c r="Z487" s="96"/>
      <c r="AA487" s="96"/>
      <c r="AB487" s="130"/>
      <c r="AC487" s="130"/>
      <c r="AD487" s="130"/>
      <c r="AE487" s="97"/>
      <c r="AF487" s="130"/>
      <c r="AG487" s="99"/>
      <c r="AH487" s="100"/>
      <c r="AI487" s="100"/>
      <c r="AJ487" s="100" t="str">
        <f aca="false">IF(ISBLANK($C487),"",IF($E487=Constants!$B$2,TRUE(),IF($E487=Constants!$B$3,FALSE(),TRUE())))</f>
        <v/>
      </c>
      <c r="AK487" s="100" t="str">
        <f aca="false">IF(ISBLANK($C487),"",IF($F487=Constants!$B$2,TRUE(),IF($F487=Constants!$B$3,FALSE(),FALSE())))</f>
        <v/>
      </c>
      <c r="AL487" s="100" t="str">
        <f aca="false">IF(ISBLANK($C487),"",IF($G487=Constants!$B$2,TRUE(),IF($G487=Constants!$B$3,FALSE(),TRUE())))</f>
        <v/>
      </c>
      <c r="AM487" s="100" t="str">
        <f aca="false">IF(ISBLANK($C487),"",IF($H487=Constants!$B$2,TRUE(),IF($H487=Constants!$B$3,FALSE(),TRUE())))</f>
        <v/>
      </c>
      <c r="AN487" s="100" t="str">
        <f aca="false">IF(ISBLANK($C487),"",IF(ISNUMBER($I487),IF($I487&gt;=0,$I487,""),""))</f>
        <v/>
      </c>
      <c r="AO487" s="100" t="str">
        <f aca="false">IF(ISBLANK($C487),"",IF(ISNUMBER($J487),IF($J487&gt;=0,$J487,""),""))</f>
        <v/>
      </c>
      <c r="AP487" s="100" t="str">
        <f aca="false">IF(ISBLANK($C487),"",IF(ISNUMBER($K487),IF($K487&gt;=0,$K487,""),""))</f>
        <v/>
      </c>
      <c r="AQ487" s="100" t="str">
        <f aca="false">IF(ISBLANK($C487),"",IF($L487=Constants!$B$2,TRUE(),IF($L487=Constants!$B$3,FALSE(),TRUE())))</f>
        <v/>
      </c>
      <c r="AR487" s="100" t="str">
        <f aca="false">IF(ISBLANK($C487),"",IF($M487=Constants!$B$2,TRUE(),IF($M487=Constants!$B$3,FALSE(),TRUE())))</f>
        <v/>
      </c>
      <c r="AS487" s="100" t="str">
        <f aca="false">IF(ISBLANK($C487),"",IF($N487=Constants!$B$2,TRUE(),IF($N487=Constants!$B$3,FALSE(),FALSE())))</f>
        <v/>
      </c>
      <c r="AT487" s="100" t="str">
        <f aca="false">IF(ISBLANK($C487),"",IF($O487=Constants!$B$2,TRUE(),IF($O487=Constants!$B$3,FALSE(),TRUE())))</f>
        <v/>
      </c>
      <c r="AU487" s="100" t="str">
        <f aca="false">IF(ISBLANK($C487),"",IF($P487=Constants!$B$2,TRUE(),IF($P487=Constants!$B$3,FALSE(),TRUE())))</f>
        <v/>
      </c>
      <c r="AV487" s="100" t="str">
        <f aca="false">IF(ISBLANK($C487),"",IF($Q487=Constants!$B$2,TRUE(),IF($Q487=Constants!$B$3,FALSE(),FALSE())))</f>
        <v/>
      </c>
      <c r="AW487" s="100" t="str">
        <f aca="false">IF(ISBLANK($C487),"",IF($R487=Constants!$B$2,TRUE(),IF($R487=Constants!$B$3,FALSE(),FALSE())))</f>
        <v/>
      </c>
      <c r="AX487" s="100" t="str">
        <f aca="false">IF(ISBLANK($C487),"",IF($S487=Constants!$B$2,TRUE(),IF($S487=Constants!$B$3,FALSE(),FALSE())))</f>
        <v/>
      </c>
      <c r="AY487" s="100" t="str">
        <f aca="false">IF(ISBLANK($C487),"",IF($T487=Constants!$B$2,TRUE(),IF($T487=Constants!$B$3,FALSE(),FALSE())))</f>
        <v/>
      </c>
      <c r="AZ487" s="100" t="str">
        <f aca="false">IF(ISBLANK($C487),"",IF($U487=Constants!$B$2,TRUE(),IF($U487=Constants!$B$3,FALSE(),FALSE())))</f>
        <v/>
      </c>
      <c r="BA487" s="100" t="str">
        <f aca="false">IF(ISBLANK($C487),"",IF(OR($V487&amp;""="1",$V487&amp;""="2",$V487&amp;""="3",$V487&amp;""="4"),VALUE($V487&amp;""),IF($V487=Constants!$B$12,Constants!$B$12,"")))</f>
        <v/>
      </c>
      <c r="BB487" s="100" t="str">
        <f aca="false">IF(ISBLANK($C487),"",IF(ISBLANK($W487),0,IF(ISNUMBER($W487),IF(AND($W487&gt;=0,$W487&lt;=Constants!$B$21,$W487=INT($W487)),$W487,""),"")))</f>
        <v/>
      </c>
      <c r="BC487" s="100" t="str">
        <f aca="false">IF(ISBLANK($C487),"",IF(ISBLANK($X487),0,IF(ISNUMBER($X487),IF($X487&gt;=0,$X487,""),"")))</f>
        <v/>
      </c>
      <c r="BD487" s="100" t="str">
        <f aca="false">IF(ISBLANK($C487),"",IF($Y487=Constants!$B$2,TRUE(),IF($Y487=Constants!$B$3,FALSE(),TRUE())))</f>
        <v/>
      </c>
      <c r="BE487" s="100" t="str">
        <f aca="false">IF(ISBLANK($C487),"",IF($Z487=Constants!$B$2,TRUE(),IF($Z487=Constants!$B$3,FALSE(),FALSE())))</f>
        <v/>
      </c>
      <c r="BF487" s="100" t="str">
        <f aca="false">IF(ISBLANK($C487),"",IF(ISBLANK($AA487),0,IF(ISNUMBER($AA487),IF(AND($AA487&gt;=0,$AA487&lt;=Constants!$B$35,$AA487=INT($AA487)),$AA487,""),"")))</f>
        <v/>
      </c>
      <c r="BG487" s="100" t="str">
        <f aca="false">IF(ISBLANK($C487),"",IF($AB487=Constants!$B$2,TRUE(),IF($AB487=Constants!$B$3,FALSE(),TRUE())))</f>
        <v/>
      </c>
      <c r="BH487" s="100" t="str">
        <f aca="false">IF(ISBLANK($C487),"",IF($AC487=Constants!$B$2,TRUE(),IF($AC487=Constants!$B$3,FALSE(),TRUE())))</f>
        <v/>
      </c>
      <c r="BI487" s="100" t="str">
        <f aca="false">IF(ISBLANK($C487),"",IF($AD487=Constants!$B$2,TRUE(),IF($AD487=Constants!$B$3,FALSE(),TRUE())))</f>
        <v/>
      </c>
      <c r="BJ487" s="100" t="str">
        <f aca="false">IF(ISBLANK($C487),"",IF(ISNUMBER($AE487),IF($AE487&gt;=0,$AE487,""),""))</f>
        <v/>
      </c>
      <c r="BK487" s="100" t="str">
        <f aca="false">IF(ISBLANK($C487),"",IF($AF487=Constants!$B$2,TRUE(),IF($AF487=Constants!$B$3,FALSE(),FALSE())))</f>
        <v/>
      </c>
      <c r="BL487" s="99" t="str">
        <f aca="false">IF(ISBLANK($C487),"",IF($BK487,Constants!$B$7,IF(COUNTA($E487:$AE487)=0,Constants!$B$6,IF(OR(COUNTA($G487:$AE487)=0,NOT($AM487),$AS487),Constants!$B$5,IF(OR($CM487&lt;&gt;"",$CN487,$CO487,$CP487,$CQ487,$CR487,$CS487),Constants!$B$8,Constants!$B$4)))))</f>
        <v/>
      </c>
      <c r="BM487" s="100" t="str">
        <f aca="false">IF(ISBLANK($C487),"",IF($BL487&lt;&gt;Constants!$B$4,$BL487,IF(OR(NOT($AJ487),NOT($AL487),NOT($AT487)),Constants!$B$11,IF(OR(NOT($AR487),NOT($AU487),NOT($BI487),MAX($AN487,$AO487,$AP487)&gt;Constants!$B$30),Constants!$B$10,Constants!$B$9))))</f>
        <v/>
      </c>
      <c r="BN487" s="100" t="str">
        <f aca="false">IF($BL487&lt;&gt;Constants!$B$4,"",IF(NOT($AL487),0,MIN(Constants!$B$35,$BF487)))</f>
        <v/>
      </c>
      <c r="BO487" s="100" t="str">
        <f aca="false">IF($BL487&lt;&gt;Constants!$B$4,"",IF(NOT($AL487),0,IF($AW487,Constants!$B$18,IF($AV487,Constants!$B$17,0))))</f>
        <v/>
      </c>
      <c r="BP487" s="100" t="str">
        <f aca="false">IF($BL487&lt;&gt;Constants!$B$4,"",IF(NOT($AL487),0,Constants!$B$19*($AK487+$AX487+$AY487+$AZ487)))</f>
        <v/>
      </c>
      <c r="BQ487" s="100" t="str">
        <f aca="false">IF($BL487&lt;&gt;Constants!$B$4,"",IF(OR(NOT($AL487),NOT(ISNUMBER($BA487))),0,CHOOSE($BA487,Constants!$B$13,Constants!$B$14,Constants!$B$15,Constants!$B$16)))</f>
        <v/>
      </c>
      <c r="BR487" s="100" t="str">
        <f aca="false">IF($BL487&lt;&gt;Constants!$B$4,"",IF(NOT($AL487),0,Constants!$B$20*$BB487))</f>
        <v/>
      </c>
      <c r="BS487" s="100" t="str">
        <f aca="false">IF($BL487&lt;&gt;Constants!$B$4,"",IF(AND($AL487,$BD487,$BE487),Constants!$B$22,0))</f>
        <v/>
      </c>
      <c r="BT487" s="100" t="str">
        <f aca="false">IF($BL487&lt;&gt;Constants!$B$4,"",IF(OR(NOT($AL487),NOT($BD487)),0,IF($BJ487&gt;=2*$AH$9,0,Constants!$B$23*INT(ROUND(MIN($BJ487,$AH$9),6)))))</f>
        <v/>
      </c>
      <c r="BU487" s="100" t="str">
        <f aca="false">IF($BL487&lt;&gt;Constants!$B$4,"",IF(NOT($AL487),0,Constants!$B$24*INT(ROUND(MIN($BC487,$AH$9),6))))</f>
        <v/>
      </c>
      <c r="BV487" s="100" t="str">
        <f aca="false">IF($BL487&lt;&gt;Constants!$B$4,"",IF(AND($AL487,$BN487=0),Constants!$B$25,0))</f>
        <v/>
      </c>
      <c r="BW487" s="100" t="str">
        <f aca="false">IF($BL487&lt;&gt;Constants!$B$4,"",MIN(Constants!$B$29,MAX(0,Constants!$B$27*Constants!$B$28*INT(ROUND((Constants!$B$26-$AN487)/Constants!$B$28,6))))+MIN(Constants!$B$29,MAX(0,Constants!$B$27*Constants!$B$28*INT(ROUND((Constants!$B$26-$AO487)/Constants!$B$28,6))))+MIN(Constants!$B$29,MAX(0,Constants!$B$27*Constants!$B$28*INT(ROUND((Constants!$B$26-$AP487)/Constants!$B$28,6)))))</f>
        <v/>
      </c>
      <c r="BX487" s="100" t="str">
        <f aca="false">IF($BL487&lt;&gt;Constants!$B$4,"",IF(NOT($AL487),0,Constants!$B$31*INT(ROUND(MAX(0,MIN($BJ487,2*$AH$9)-$AH$9),6))))</f>
        <v/>
      </c>
      <c r="BY487" s="100" t="str">
        <f aca="false">IF($BL487&lt;&gt;Constants!$B$4,"",Constants!$B$32*(($AN487&gt;Constants!$B$26)+($AO487&gt;Constants!$B$26)+($AP487&gt;Constants!$B$26)))</f>
        <v/>
      </c>
      <c r="BZ487" s="100" t="str">
        <f aca="false">IF($BL487&lt;&gt;Constants!$B$4,"",IF(OR(NOT($AL487),$AQ487),0,Constants!$B$33))</f>
        <v/>
      </c>
      <c r="CA487" s="100" t="str">
        <f aca="false">IF($BL487&lt;&gt;Constants!$B$4,"",Constants!$B$34*$BN487)</f>
        <v/>
      </c>
      <c r="CB487" s="100" t="str">
        <f aca="false">IF($BL487&lt;&gt;Constants!$B$4,"",IF(OR(NOT($AL487),$BH487),0,Constants!$B$36))</f>
        <v/>
      </c>
      <c r="CC487" s="100" t="str">
        <f aca="false">IF($BL487&lt;&gt;Constants!$B$4,"",IF(OR(NOT($AL487),$BG487),0,Constants!$B$37))</f>
        <v/>
      </c>
      <c r="CD487" s="100" t="str">
        <f aca="false">IF($BL487&lt;&gt;Constants!$B$4,"",SUM($BX487:$CC487))</f>
        <v/>
      </c>
      <c r="CE487" s="100" t="str">
        <f aca="false">IF(ISBLANK($C487),"",IF($BL487&lt;&gt;Constants!$B$4,$BL487,SUM($BO487:$BW487)-$CD487))</f>
        <v/>
      </c>
      <c r="CF487" s="100" t="str">
        <f aca="false">IF(ISBLANK($C487),"",IF($BL487&lt;&gt;Constants!$B$4,$BL487,RANK($CE487,$CE$9:$CE$508)))</f>
        <v/>
      </c>
      <c r="CG487" s="100" t="str">
        <f aca="false">IF(ISBLANK($C487),"",IF($BL487&lt;&gt;Constants!$B$4,$BL487,COUNTIFS($BM$9:$BM$508,"&lt;"&amp;$BM487)+COUNTIFS($BM$9:$BM$508,$BM487,$CF$9:$CF$508,"&lt;"&amp;$CF487)+1))</f>
        <v/>
      </c>
      <c r="CH487" s="100" t="str">
        <f aca="false">IF(ISBLANK($C487),"",IF($BL487&lt;&gt;Constants!$B$4,$BL487,RANK($CD487,$CD$9:$CD$508,1)))</f>
        <v/>
      </c>
      <c r="CI487" s="100" t="str">
        <f aca="false">IF($BL487&lt;&gt;Constants!$B$4,"",$AN487+$AO487+$AP487)</f>
        <v/>
      </c>
      <c r="CJ487" s="100" t="str">
        <f aca="false">IF(ISBLANK($C487),"",IF($BL487&lt;&gt;Constants!$B$4,$BL487,RANK($CI487,$CI$9:$CI$508,1)))</f>
        <v/>
      </c>
      <c r="CK487" s="100" t="str">
        <f aca="false">IF(ISBLANK($C487),"",IF($BL487&lt;&gt;Constants!$B$4,$BL487,COUNTIFS($BM$9:$BM$508,"&lt;"&amp;$BM487)+COUNTIFS($BM$9:$BM$508,$BM487,$CF$9:$CF$508,"&lt;"&amp;$CF487)+COUNTIFS($BM$9:$BM$508,$BM487,$CF$9:$CF$508,$CF487,$CH$9:$CH$508,"&lt;"&amp;$CH487)+COUNTIFS($BM$9:$BM$508,$BM487,$CF$9:$CF$508,$CF487,$CH$9:$CH$508,$CH487,$CJ$9:$CJ$508,"&lt;"&amp;$CJ487)+1))</f>
        <v/>
      </c>
      <c r="CL487" s="100" t="str">
        <f aca="false">IF(ISBLANK($C487),"",IF($BL487&lt;&gt;Constants!$B$4,$BL487,$CG487-$CK487))</f>
        <v/>
      </c>
      <c r="CM487" s="100" t="str">
        <f aca="false">IF(ISBLANK($C487),"",IF(NOT($AL487),"",IF(ISBLANK($D$7),$CM$5,IF(NOT(ISNUMBER($D$7)),$CM$6,""))))</f>
        <v/>
      </c>
      <c r="CN487" s="100" t="str">
        <f aca="false">IF(ISBLANK($C487),"",OR($AN487="",$AO487="",$AP487=""))</f>
        <v/>
      </c>
      <c r="CO487" s="100" t="str">
        <f aca="false">IF(ISBLANK($C487),"",AND($AL487,$BA487=""))</f>
        <v/>
      </c>
      <c r="CP487" s="100" t="str">
        <f aca="false">IF(ISBLANK($C487),"",AND($AL487,$BB487=""))</f>
        <v/>
      </c>
      <c r="CQ487" s="100" t="str">
        <f aca="false">IF(ISBLANK($C487),"",AND($AL487,$BC487=""))</f>
        <v/>
      </c>
      <c r="CR487" s="100" t="str">
        <f aca="false">IF(ISBLANK($C487),"",AND($AL487,$BF487=""))</f>
        <v/>
      </c>
      <c r="CS487" s="100" t="str">
        <f aca="false">IF(ISBLANK($C487),"",AND($AL487,$BJ487=""))</f>
        <v/>
      </c>
      <c r="CT487" s="101"/>
      <c r="CU487" s="102"/>
      <c r="CV487" s="103" t="str">
        <f aca="false">IF(ISBLANK($C487),"",IF($BL487=Constants!$B$8,$CM487,""))</f>
        <v/>
      </c>
      <c r="CW487" s="102" t="str">
        <f aca="false">IF(ISBLANK($C487),"",IF($BL487&lt;&gt;Constants!$B$4,"",$BO487+$BP487))</f>
        <v/>
      </c>
      <c r="CX487" s="104" t="str">
        <f aca="false">IF(ISBLANK($C487),"",IF($BL487&lt;&gt;Constants!$B$4,"",$BQ487+$BR487+$BS487))</f>
        <v/>
      </c>
      <c r="CY487" s="104" t="str">
        <f aca="false">IF(ISBLANK($C487),"",IF($BL487&lt;&gt;Constants!$B$4,"",$BT487))</f>
        <v/>
      </c>
      <c r="CZ487" s="104" t="str">
        <f aca="false">IF(ISBLANK($C487),"",IF($BL487&lt;&gt;Constants!$B$4,"",$BU487+$BV487))</f>
        <v/>
      </c>
      <c r="DA487" s="104" t="str">
        <f aca="false">IF(ISBLANK($C487),"",IF($BL487&lt;&gt;Constants!$B$4,"",$BW487))</f>
        <v/>
      </c>
      <c r="DB487" s="104" t="str">
        <f aca="false">IF(ISBLANK($C487),"",IF($BL487&lt;&gt;Constants!$B$4,"",-$CD487))</f>
        <v/>
      </c>
      <c r="DC487" s="103" t="str">
        <f aca="false">IF(ISBLANK($C487),"",$CE487)</f>
        <v/>
      </c>
      <c r="DD487" s="105" t="str">
        <f aca="false">IF(ISBLANK($C487),"",$BM487)</f>
        <v/>
      </c>
      <c r="DE487" s="104" t="str">
        <f aca="false">IF(ISBLANK($C487),"",$CL487)</f>
        <v/>
      </c>
      <c r="DF487" s="104" t="str">
        <f aca="false">IF(ISBLANK($C487),"",$CK487)</f>
        <v/>
      </c>
      <c r="DG487" s="106" t="str">
        <f aca="false">IF(ISBLANK($C487),"",IF($DF487=Constants!$B$7,COUNTA($C$9:$C$508)+2,IF($DF487=Constants!$B$6,COUNTA($C$9:$C$508)+1,IF($DF487=Constants!$B$5,COUNTA($C$9:$C$508),$DF487))))</f>
        <v/>
      </c>
      <c r="DH487" s="7"/>
      <c r="DI487" s="107" t="n">
        <f aca="false">IF(OR(ISNUMBER($DF487),$DF487=Constants!$B$7,$DF487=Constants!$B$5,$DF487=Constants!$B$6),1,0)</f>
        <v>0</v>
      </c>
      <c r="DJ487" s="107" t="n">
        <v>479</v>
      </c>
      <c r="DK487" s="107" t="str">
        <f aca="false">IF(ISBLANK($C487),"",IF(ISNUMBER($DG487),$DG487+ROW($B487)/1000,""))</f>
        <v/>
      </c>
      <c r="DL487" s="107" t="str">
        <f aca="false">IF(ISNUMBER($DK487),RANK($DK487,$DK$9:$DK$508,1),"")</f>
        <v/>
      </c>
      <c r="DM487" s="107" t="str">
        <f aca="false">IF(ISBLANK($C487),"",$B487)</f>
        <v/>
      </c>
      <c r="DN487" s="107" t="str">
        <f aca="false">IF(ISBLANK($C487),"",$C487)</f>
        <v/>
      </c>
      <c r="DO487" s="107" t="str">
        <f aca="false">IF(ISBLANK($C487),"",$D487)</f>
        <v/>
      </c>
      <c r="DP487" s="108" t="str">
        <f aca="false">$DD487</f>
        <v/>
      </c>
      <c r="DQ487" s="109" t="str">
        <f aca="false">$DC487</f>
        <v/>
      </c>
      <c r="DR487" s="107" t="str">
        <f aca="false">IF(ISBLANK($C487),"",$DF487)</f>
        <v/>
      </c>
      <c r="DS487" s="110" t="str">
        <f aca="false">IF($DJ487&gt;$DI$8,"",VLOOKUP($DJ487,$DL$9:$DR$508,7,FALSE()))</f>
        <v/>
      </c>
      <c r="DT487" s="111" t="str">
        <f aca="false">IF($DJ487&gt;$DI$8,"",VLOOKUP($DJ487,$DL$9:$DR$508,2,FALSE()))</f>
        <v/>
      </c>
      <c r="DU487" s="111" t="str">
        <f aca="false">IF($DJ487&gt;$DI$8,"",VLOOKUP($DJ487,$DL$9:$DR$508,3,FALSE()))</f>
        <v/>
      </c>
      <c r="DV487" s="111" t="str">
        <f aca="false">IF($DJ487&gt;$DI$8,"",VLOOKUP($DJ487,$DL$9:$DR$508,4,FALSE()))</f>
        <v/>
      </c>
      <c r="DW487" s="111" t="str">
        <f aca="false">IF($DJ487&gt;$DI$8,"",VLOOKUP($DJ487,$DL$9:$DR$508,5,FALSE()))</f>
        <v/>
      </c>
      <c r="DX487" s="112" t="str">
        <f aca="false">IF($DJ487&gt;$DI$8,"",VLOOKUP($DJ487,$DL$9:$DR$508,6,FALSE()))</f>
        <v/>
      </c>
      <c r="DY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130"/>
      <c r="N488" s="130"/>
      <c r="O488" s="135"/>
      <c r="P488" s="135"/>
      <c r="Q488" s="130"/>
      <c r="R488" s="130"/>
      <c r="S488" s="130"/>
      <c r="T488" s="130"/>
      <c r="U488" s="135"/>
      <c r="V488" s="130"/>
      <c r="W488" s="96"/>
      <c r="X488" s="130"/>
      <c r="Y488" s="130"/>
      <c r="Z488" s="96"/>
      <c r="AA488" s="96"/>
      <c r="AB488" s="130"/>
      <c r="AC488" s="130"/>
      <c r="AD488" s="130"/>
      <c r="AE488" s="97"/>
      <c r="AF488" s="130"/>
      <c r="AG488" s="99"/>
      <c r="AH488" s="100"/>
      <c r="AI488" s="100"/>
      <c r="AJ488" s="100" t="str">
        <f aca="false">IF(ISBLANK($C488),"",IF($E488=Constants!$B$2,TRUE(),IF($E488=Constants!$B$3,FALSE(),TRUE())))</f>
        <v/>
      </c>
      <c r="AK488" s="100" t="str">
        <f aca="false">IF(ISBLANK($C488),"",IF($F488=Constants!$B$2,TRUE(),IF($F488=Constants!$B$3,FALSE(),FALSE())))</f>
        <v/>
      </c>
      <c r="AL488" s="100" t="str">
        <f aca="false">IF(ISBLANK($C488),"",IF($G488=Constants!$B$2,TRUE(),IF($G488=Constants!$B$3,FALSE(),TRUE())))</f>
        <v/>
      </c>
      <c r="AM488" s="100" t="str">
        <f aca="false">IF(ISBLANK($C488),"",IF($H488=Constants!$B$2,TRUE(),IF($H488=Constants!$B$3,FALSE(),TRUE())))</f>
        <v/>
      </c>
      <c r="AN488" s="100" t="str">
        <f aca="false">IF(ISBLANK($C488),"",IF(ISNUMBER($I488),IF($I488&gt;=0,$I488,""),""))</f>
        <v/>
      </c>
      <c r="AO488" s="100" t="str">
        <f aca="false">IF(ISBLANK($C488),"",IF(ISNUMBER($J488),IF($J488&gt;=0,$J488,""),""))</f>
        <v/>
      </c>
      <c r="AP488" s="100" t="str">
        <f aca="false">IF(ISBLANK($C488),"",IF(ISNUMBER($K488),IF($K488&gt;=0,$K488,""),""))</f>
        <v/>
      </c>
      <c r="AQ488" s="100" t="str">
        <f aca="false">IF(ISBLANK($C488),"",IF($L488=Constants!$B$2,TRUE(),IF($L488=Constants!$B$3,FALSE(),TRUE())))</f>
        <v/>
      </c>
      <c r="AR488" s="100" t="str">
        <f aca="false">IF(ISBLANK($C488),"",IF($M488=Constants!$B$2,TRUE(),IF($M488=Constants!$B$3,FALSE(),TRUE())))</f>
        <v/>
      </c>
      <c r="AS488" s="100" t="str">
        <f aca="false">IF(ISBLANK($C488),"",IF($N488=Constants!$B$2,TRUE(),IF($N488=Constants!$B$3,FALSE(),FALSE())))</f>
        <v/>
      </c>
      <c r="AT488" s="100" t="str">
        <f aca="false">IF(ISBLANK($C488),"",IF($O488=Constants!$B$2,TRUE(),IF($O488=Constants!$B$3,FALSE(),TRUE())))</f>
        <v/>
      </c>
      <c r="AU488" s="100" t="str">
        <f aca="false">IF(ISBLANK($C488),"",IF($P488=Constants!$B$2,TRUE(),IF($P488=Constants!$B$3,FALSE(),TRUE())))</f>
        <v/>
      </c>
      <c r="AV488" s="100" t="str">
        <f aca="false">IF(ISBLANK($C488),"",IF($Q488=Constants!$B$2,TRUE(),IF($Q488=Constants!$B$3,FALSE(),FALSE())))</f>
        <v/>
      </c>
      <c r="AW488" s="100" t="str">
        <f aca="false">IF(ISBLANK($C488),"",IF($R488=Constants!$B$2,TRUE(),IF($R488=Constants!$B$3,FALSE(),FALSE())))</f>
        <v/>
      </c>
      <c r="AX488" s="100" t="str">
        <f aca="false">IF(ISBLANK($C488),"",IF($S488=Constants!$B$2,TRUE(),IF($S488=Constants!$B$3,FALSE(),FALSE())))</f>
        <v/>
      </c>
      <c r="AY488" s="100" t="str">
        <f aca="false">IF(ISBLANK($C488),"",IF($T488=Constants!$B$2,TRUE(),IF($T488=Constants!$B$3,FALSE(),FALSE())))</f>
        <v/>
      </c>
      <c r="AZ488" s="100" t="str">
        <f aca="false">IF(ISBLANK($C488),"",IF($U488=Constants!$B$2,TRUE(),IF($U488=Constants!$B$3,FALSE(),FALSE())))</f>
        <v/>
      </c>
      <c r="BA488" s="100" t="str">
        <f aca="false">IF(ISBLANK($C488),"",IF(OR($V488&amp;""="1",$V488&amp;""="2",$V488&amp;""="3",$V488&amp;""="4"),VALUE($V488&amp;""),IF($V488=Constants!$B$12,Constants!$B$12,"")))</f>
        <v/>
      </c>
      <c r="BB488" s="100" t="str">
        <f aca="false">IF(ISBLANK($C488),"",IF(ISBLANK($W488),0,IF(ISNUMBER($W488),IF(AND($W488&gt;=0,$W488&lt;=Constants!$B$21,$W488=INT($W488)),$W488,""),"")))</f>
        <v/>
      </c>
      <c r="BC488" s="100" t="str">
        <f aca="false">IF(ISBLANK($C488),"",IF(ISBLANK($X488),0,IF(ISNUMBER($X488),IF($X488&gt;=0,$X488,""),"")))</f>
        <v/>
      </c>
      <c r="BD488" s="100" t="str">
        <f aca="false">IF(ISBLANK($C488),"",IF($Y488=Constants!$B$2,TRUE(),IF($Y488=Constants!$B$3,FALSE(),TRUE())))</f>
        <v/>
      </c>
      <c r="BE488" s="100" t="str">
        <f aca="false">IF(ISBLANK($C488),"",IF($Z488=Constants!$B$2,TRUE(),IF($Z488=Constants!$B$3,FALSE(),FALSE())))</f>
        <v/>
      </c>
      <c r="BF488" s="100" t="str">
        <f aca="false">IF(ISBLANK($C488),"",IF(ISBLANK($AA488),0,IF(ISNUMBER($AA488),IF(AND($AA488&gt;=0,$AA488&lt;=Constants!$B$35,$AA488=INT($AA488)),$AA488,""),"")))</f>
        <v/>
      </c>
      <c r="BG488" s="100" t="str">
        <f aca="false">IF(ISBLANK($C488),"",IF($AB488=Constants!$B$2,TRUE(),IF($AB488=Constants!$B$3,FALSE(),TRUE())))</f>
        <v/>
      </c>
      <c r="BH488" s="100" t="str">
        <f aca="false">IF(ISBLANK($C488),"",IF($AC488=Constants!$B$2,TRUE(),IF($AC488=Constants!$B$3,FALSE(),TRUE())))</f>
        <v/>
      </c>
      <c r="BI488" s="100" t="str">
        <f aca="false">IF(ISBLANK($C488),"",IF($AD488=Constants!$B$2,TRUE(),IF($AD488=Constants!$B$3,FALSE(),TRUE())))</f>
        <v/>
      </c>
      <c r="BJ488" s="100" t="str">
        <f aca="false">IF(ISBLANK($C488),"",IF(ISNUMBER($AE488),IF($AE488&gt;=0,$AE488,""),""))</f>
        <v/>
      </c>
      <c r="BK488" s="100" t="str">
        <f aca="false">IF(ISBLANK($C488),"",IF($AF488=Constants!$B$2,TRUE(),IF($AF488=Constants!$B$3,FALSE(),FALSE())))</f>
        <v/>
      </c>
      <c r="BL488" s="99" t="str">
        <f aca="false">IF(ISBLANK($C488),"",IF($BK488,Constants!$B$7,IF(COUNTA($E488:$AE488)=0,Constants!$B$6,IF(OR(COUNTA($G488:$AE488)=0,NOT($AM488),$AS488),Constants!$B$5,IF(OR($CM488&lt;&gt;"",$CN488,$CO488,$CP488,$CQ488,$CR488,$CS488),Constants!$B$8,Constants!$B$4)))))</f>
        <v/>
      </c>
      <c r="BM488" s="100" t="str">
        <f aca="false">IF(ISBLANK($C488),"",IF($BL488&lt;&gt;Constants!$B$4,$BL488,IF(OR(NOT($AJ488),NOT($AL488),NOT($AT488)),Constants!$B$11,IF(OR(NOT($AR488),NOT($AU488),NOT($BI488),MAX($AN488,$AO488,$AP488)&gt;Constants!$B$30),Constants!$B$10,Constants!$B$9))))</f>
        <v/>
      </c>
      <c r="BN488" s="100" t="str">
        <f aca="false">IF($BL488&lt;&gt;Constants!$B$4,"",IF(NOT($AL488),0,MIN(Constants!$B$35,$BF488)))</f>
        <v/>
      </c>
      <c r="BO488" s="100" t="str">
        <f aca="false">IF($BL488&lt;&gt;Constants!$B$4,"",IF(NOT($AL488),0,IF($AW488,Constants!$B$18,IF($AV488,Constants!$B$17,0))))</f>
        <v/>
      </c>
      <c r="BP488" s="100" t="str">
        <f aca="false">IF($BL488&lt;&gt;Constants!$B$4,"",IF(NOT($AL488),0,Constants!$B$19*($AK488+$AX488+$AY488+$AZ488)))</f>
        <v/>
      </c>
      <c r="BQ488" s="100" t="str">
        <f aca="false">IF($BL488&lt;&gt;Constants!$B$4,"",IF(OR(NOT($AL488),NOT(ISNUMBER($BA488))),0,CHOOSE($BA488,Constants!$B$13,Constants!$B$14,Constants!$B$15,Constants!$B$16)))</f>
        <v/>
      </c>
      <c r="BR488" s="100" t="str">
        <f aca="false">IF($BL488&lt;&gt;Constants!$B$4,"",IF(NOT($AL488),0,Constants!$B$20*$BB488))</f>
        <v/>
      </c>
      <c r="BS488" s="100" t="str">
        <f aca="false">IF($BL488&lt;&gt;Constants!$B$4,"",IF(AND($AL488,$BD488,$BE488),Constants!$B$22,0))</f>
        <v/>
      </c>
      <c r="BT488" s="100" t="str">
        <f aca="false">IF($BL488&lt;&gt;Constants!$B$4,"",IF(OR(NOT($AL488),NOT($BD488)),0,IF($BJ488&gt;=2*$AH$9,0,Constants!$B$23*INT(ROUND(MIN($BJ488,$AH$9),6)))))</f>
        <v/>
      </c>
      <c r="BU488" s="100" t="str">
        <f aca="false">IF($BL488&lt;&gt;Constants!$B$4,"",IF(NOT($AL488),0,Constants!$B$24*INT(ROUND(MIN($BC488,$AH$9),6))))</f>
        <v/>
      </c>
      <c r="BV488" s="100" t="str">
        <f aca="false">IF($BL488&lt;&gt;Constants!$B$4,"",IF(AND($AL488,$BN488=0),Constants!$B$25,0))</f>
        <v/>
      </c>
      <c r="BW488" s="100" t="str">
        <f aca="false">IF($BL488&lt;&gt;Constants!$B$4,"",MIN(Constants!$B$29,MAX(0,Constants!$B$27*Constants!$B$28*INT(ROUND((Constants!$B$26-$AN488)/Constants!$B$28,6))))+MIN(Constants!$B$29,MAX(0,Constants!$B$27*Constants!$B$28*INT(ROUND((Constants!$B$26-$AO488)/Constants!$B$28,6))))+MIN(Constants!$B$29,MAX(0,Constants!$B$27*Constants!$B$28*INT(ROUND((Constants!$B$26-$AP488)/Constants!$B$28,6)))))</f>
        <v/>
      </c>
      <c r="BX488" s="100" t="str">
        <f aca="false">IF($BL488&lt;&gt;Constants!$B$4,"",IF(NOT($AL488),0,Constants!$B$31*INT(ROUND(MAX(0,MIN($BJ488,2*$AH$9)-$AH$9),6))))</f>
        <v/>
      </c>
      <c r="BY488" s="100" t="str">
        <f aca="false">IF($BL488&lt;&gt;Constants!$B$4,"",Constants!$B$32*(($AN488&gt;Constants!$B$26)+($AO488&gt;Constants!$B$26)+($AP488&gt;Constants!$B$26)))</f>
        <v/>
      </c>
      <c r="BZ488" s="100" t="str">
        <f aca="false">IF($BL488&lt;&gt;Constants!$B$4,"",IF(OR(NOT($AL488),$AQ488),0,Constants!$B$33))</f>
        <v/>
      </c>
      <c r="CA488" s="100" t="str">
        <f aca="false">IF($BL488&lt;&gt;Constants!$B$4,"",Constants!$B$34*$BN488)</f>
        <v/>
      </c>
      <c r="CB488" s="100" t="str">
        <f aca="false">IF($BL488&lt;&gt;Constants!$B$4,"",IF(OR(NOT($AL488),$BH488),0,Constants!$B$36))</f>
        <v/>
      </c>
      <c r="CC488" s="100" t="str">
        <f aca="false">IF($BL488&lt;&gt;Constants!$B$4,"",IF(OR(NOT($AL488),$BG488),0,Constants!$B$37))</f>
        <v/>
      </c>
      <c r="CD488" s="100" t="str">
        <f aca="false">IF($BL488&lt;&gt;Constants!$B$4,"",SUM($BX488:$CC488))</f>
        <v/>
      </c>
      <c r="CE488" s="100" t="str">
        <f aca="false">IF(ISBLANK($C488),"",IF($BL488&lt;&gt;Constants!$B$4,$BL488,SUM($BO488:$BW488)-$CD488))</f>
        <v/>
      </c>
      <c r="CF488" s="100" t="str">
        <f aca="false">IF(ISBLANK($C488),"",IF($BL488&lt;&gt;Constants!$B$4,$BL488,RANK($CE488,$CE$9:$CE$508)))</f>
        <v/>
      </c>
      <c r="CG488" s="100" t="str">
        <f aca="false">IF(ISBLANK($C488),"",IF($BL488&lt;&gt;Constants!$B$4,$BL488,COUNTIFS($BM$9:$BM$508,"&lt;"&amp;$BM488)+COUNTIFS($BM$9:$BM$508,$BM488,$CF$9:$CF$508,"&lt;"&amp;$CF488)+1))</f>
        <v/>
      </c>
      <c r="CH488" s="100" t="str">
        <f aca="false">IF(ISBLANK($C488),"",IF($BL488&lt;&gt;Constants!$B$4,$BL488,RANK($CD488,$CD$9:$CD$508,1)))</f>
        <v/>
      </c>
      <c r="CI488" s="100" t="str">
        <f aca="false">IF($BL488&lt;&gt;Constants!$B$4,"",$AN488+$AO488+$AP488)</f>
        <v/>
      </c>
      <c r="CJ488" s="100" t="str">
        <f aca="false">IF(ISBLANK($C488),"",IF($BL488&lt;&gt;Constants!$B$4,$BL488,RANK($CI488,$CI$9:$CI$508,1)))</f>
        <v/>
      </c>
      <c r="CK488" s="100" t="str">
        <f aca="false">IF(ISBLANK($C488),"",IF($BL488&lt;&gt;Constants!$B$4,$BL488,COUNTIFS($BM$9:$BM$508,"&lt;"&amp;$BM488)+COUNTIFS($BM$9:$BM$508,$BM488,$CF$9:$CF$508,"&lt;"&amp;$CF488)+COUNTIFS($BM$9:$BM$508,$BM488,$CF$9:$CF$508,$CF488,$CH$9:$CH$508,"&lt;"&amp;$CH488)+COUNTIFS($BM$9:$BM$508,$BM488,$CF$9:$CF$508,$CF488,$CH$9:$CH$508,$CH488,$CJ$9:$CJ$508,"&lt;"&amp;$CJ488)+1))</f>
        <v/>
      </c>
      <c r="CL488" s="100" t="str">
        <f aca="false">IF(ISBLANK($C488),"",IF($BL488&lt;&gt;Constants!$B$4,$BL488,$CG488-$CK488))</f>
        <v/>
      </c>
      <c r="CM488" s="100" t="str">
        <f aca="false">IF(ISBLANK($C488),"",IF(NOT($AL488),"",IF(ISBLANK($D$7),$CM$5,IF(NOT(ISNUMBER($D$7)),$CM$6,""))))</f>
        <v/>
      </c>
      <c r="CN488" s="100" t="str">
        <f aca="false">IF(ISBLANK($C488),"",OR($AN488="",$AO488="",$AP488=""))</f>
        <v/>
      </c>
      <c r="CO488" s="100" t="str">
        <f aca="false">IF(ISBLANK($C488),"",AND($AL488,$BA488=""))</f>
        <v/>
      </c>
      <c r="CP488" s="100" t="str">
        <f aca="false">IF(ISBLANK($C488),"",AND($AL488,$BB488=""))</f>
        <v/>
      </c>
      <c r="CQ488" s="100" t="str">
        <f aca="false">IF(ISBLANK($C488),"",AND($AL488,$BC488=""))</f>
        <v/>
      </c>
      <c r="CR488" s="100" t="str">
        <f aca="false">IF(ISBLANK($C488),"",AND($AL488,$BF488=""))</f>
        <v/>
      </c>
      <c r="CS488" s="100" t="str">
        <f aca="false">IF(ISBLANK($C488),"",AND($AL488,$BJ488=""))</f>
        <v/>
      </c>
      <c r="CT488" s="101"/>
      <c r="CU488" s="102"/>
      <c r="CV488" s="103" t="str">
        <f aca="false">IF(ISBLANK($C488),"",IF($BL488=Constants!$B$8,$CM488,""))</f>
        <v/>
      </c>
      <c r="CW488" s="102" t="str">
        <f aca="false">IF(ISBLANK($C488),"",IF($BL488&lt;&gt;Constants!$B$4,"",$BO488+$BP488))</f>
        <v/>
      </c>
      <c r="CX488" s="104" t="str">
        <f aca="false">IF(ISBLANK($C488),"",IF($BL488&lt;&gt;Constants!$B$4,"",$BQ488+$BR488+$BS488))</f>
        <v/>
      </c>
      <c r="CY488" s="104" t="str">
        <f aca="false">IF(ISBLANK($C488),"",IF($BL488&lt;&gt;Constants!$B$4,"",$BT488))</f>
        <v/>
      </c>
      <c r="CZ488" s="104" t="str">
        <f aca="false">IF(ISBLANK($C488),"",IF($BL488&lt;&gt;Constants!$B$4,"",$BU488+$BV488))</f>
        <v/>
      </c>
      <c r="DA488" s="104" t="str">
        <f aca="false">IF(ISBLANK($C488),"",IF($BL488&lt;&gt;Constants!$B$4,"",$BW488))</f>
        <v/>
      </c>
      <c r="DB488" s="104" t="str">
        <f aca="false">IF(ISBLANK($C488),"",IF($BL488&lt;&gt;Constants!$B$4,"",-$CD488))</f>
        <v/>
      </c>
      <c r="DC488" s="103" t="str">
        <f aca="false">IF(ISBLANK($C488),"",$CE488)</f>
        <v/>
      </c>
      <c r="DD488" s="105" t="str">
        <f aca="false">IF(ISBLANK($C488),"",$BM488)</f>
        <v/>
      </c>
      <c r="DE488" s="104" t="str">
        <f aca="false">IF(ISBLANK($C488),"",$CL488)</f>
        <v/>
      </c>
      <c r="DF488" s="104" t="str">
        <f aca="false">IF(ISBLANK($C488),"",$CK488)</f>
        <v/>
      </c>
      <c r="DG488" s="106" t="str">
        <f aca="false">IF(ISBLANK($C488),"",IF($DF488=Constants!$B$7,COUNTA($C$9:$C$508)+2,IF($DF488=Constants!$B$6,COUNTA($C$9:$C$508)+1,IF($DF488=Constants!$B$5,COUNTA($C$9:$C$508),$DF488))))</f>
        <v/>
      </c>
      <c r="DH488" s="7"/>
      <c r="DI488" s="107" t="n">
        <f aca="false">IF(OR(ISNUMBER($DF488),$DF488=Constants!$B$7,$DF488=Constants!$B$5,$DF488=Constants!$B$6),1,0)</f>
        <v>0</v>
      </c>
      <c r="DJ488" s="107" t="n">
        <v>480</v>
      </c>
      <c r="DK488" s="107" t="str">
        <f aca="false">IF(ISBLANK($C488),"",IF(ISNUMBER($DG488),$DG488+ROW($B488)/1000,""))</f>
        <v/>
      </c>
      <c r="DL488" s="107" t="str">
        <f aca="false">IF(ISNUMBER($DK488),RANK($DK488,$DK$9:$DK$508,1),"")</f>
        <v/>
      </c>
      <c r="DM488" s="107" t="str">
        <f aca="false">IF(ISBLANK($C488),"",$B488)</f>
        <v/>
      </c>
      <c r="DN488" s="107" t="str">
        <f aca="false">IF(ISBLANK($C488),"",$C488)</f>
        <v/>
      </c>
      <c r="DO488" s="107" t="str">
        <f aca="false">IF(ISBLANK($C488),"",$D488)</f>
        <v/>
      </c>
      <c r="DP488" s="108" t="str">
        <f aca="false">$DD488</f>
        <v/>
      </c>
      <c r="DQ488" s="109" t="str">
        <f aca="false">$DC488</f>
        <v/>
      </c>
      <c r="DR488" s="107" t="str">
        <f aca="false">IF(ISBLANK($C488),"",$DF488)</f>
        <v/>
      </c>
      <c r="DS488" s="110" t="str">
        <f aca="false">IF($DJ488&gt;$DI$8,"",VLOOKUP($DJ488,$DL$9:$DR$508,7,FALSE()))</f>
        <v/>
      </c>
      <c r="DT488" s="111" t="str">
        <f aca="false">IF($DJ488&gt;$DI$8,"",VLOOKUP($DJ488,$DL$9:$DR$508,2,FALSE()))</f>
        <v/>
      </c>
      <c r="DU488" s="111" t="str">
        <f aca="false">IF($DJ488&gt;$DI$8,"",VLOOKUP($DJ488,$DL$9:$DR$508,3,FALSE()))</f>
        <v/>
      </c>
      <c r="DV488" s="111" t="str">
        <f aca="false">IF($DJ488&gt;$DI$8,"",VLOOKUP($DJ488,$DL$9:$DR$508,4,FALSE()))</f>
        <v/>
      </c>
      <c r="DW488" s="111" t="str">
        <f aca="false">IF($DJ488&gt;$DI$8,"",VLOOKUP($DJ488,$DL$9:$DR$508,5,FALSE()))</f>
        <v/>
      </c>
      <c r="DX488" s="112" t="str">
        <f aca="false">IF($DJ488&gt;$DI$8,"",VLOOKUP($DJ488,$DL$9:$DR$508,6,FALSE()))</f>
        <v/>
      </c>
      <c r="DY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88"/>
      <c r="N489" s="88"/>
      <c r="O489" s="134"/>
      <c r="P489" s="134"/>
      <c r="Q489" s="88"/>
      <c r="R489" s="88"/>
      <c r="S489" s="88"/>
      <c r="T489" s="88"/>
      <c r="U489" s="134"/>
      <c r="V489" s="88"/>
      <c r="W489" s="70"/>
      <c r="X489" s="88"/>
      <c r="Y489" s="88"/>
      <c r="Z489" s="70"/>
      <c r="AA489" s="70"/>
      <c r="AB489" s="88"/>
      <c r="AC489" s="88"/>
      <c r="AD489" s="88"/>
      <c r="AE489" s="71"/>
      <c r="AF489" s="88"/>
      <c r="AG489" s="73"/>
      <c r="AH489" s="74"/>
      <c r="AI489" s="74"/>
      <c r="AJ489" s="74" t="str">
        <f aca="false">IF(ISBLANK($C489),"",IF($E489=Constants!$B$2,TRUE(),IF($E489=Constants!$B$3,FALSE(),TRUE())))</f>
        <v/>
      </c>
      <c r="AK489" s="74" t="str">
        <f aca="false">IF(ISBLANK($C489),"",IF($F489=Constants!$B$2,TRUE(),IF($F489=Constants!$B$3,FALSE(),FALSE())))</f>
        <v/>
      </c>
      <c r="AL489" s="74" t="str">
        <f aca="false">IF(ISBLANK($C489),"",IF($G489=Constants!$B$2,TRUE(),IF($G489=Constants!$B$3,FALSE(),TRUE())))</f>
        <v/>
      </c>
      <c r="AM489" s="74" t="str">
        <f aca="false">IF(ISBLANK($C489),"",IF($H489=Constants!$B$2,TRUE(),IF($H489=Constants!$B$3,FALSE(),TRUE())))</f>
        <v/>
      </c>
      <c r="AN489" s="74" t="str">
        <f aca="false">IF(ISBLANK($C489),"",IF(ISNUMBER($I489),IF($I489&gt;=0,$I489,""),""))</f>
        <v/>
      </c>
      <c r="AO489" s="74" t="str">
        <f aca="false">IF(ISBLANK($C489),"",IF(ISNUMBER($J489),IF($J489&gt;=0,$J489,""),""))</f>
        <v/>
      </c>
      <c r="AP489" s="74" t="str">
        <f aca="false">IF(ISBLANK($C489),"",IF(ISNUMBER($K489),IF($K489&gt;=0,$K489,""),""))</f>
        <v/>
      </c>
      <c r="AQ489" s="74" t="str">
        <f aca="false">IF(ISBLANK($C489),"",IF($L489=Constants!$B$2,TRUE(),IF($L489=Constants!$B$3,FALSE(),TRUE())))</f>
        <v/>
      </c>
      <c r="AR489" s="74" t="str">
        <f aca="false">IF(ISBLANK($C489),"",IF($M489=Constants!$B$2,TRUE(),IF($M489=Constants!$B$3,FALSE(),TRUE())))</f>
        <v/>
      </c>
      <c r="AS489" s="74" t="str">
        <f aca="false">IF(ISBLANK($C489),"",IF($N489=Constants!$B$2,TRUE(),IF($N489=Constants!$B$3,FALSE(),FALSE())))</f>
        <v/>
      </c>
      <c r="AT489" s="74" t="str">
        <f aca="false">IF(ISBLANK($C489),"",IF($O489=Constants!$B$2,TRUE(),IF($O489=Constants!$B$3,FALSE(),TRUE())))</f>
        <v/>
      </c>
      <c r="AU489" s="74" t="str">
        <f aca="false">IF(ISBLANK($C489),"",IF($P489=Constants!$B$2,TRUE(),IF($P489=Constants!$B$3,FALSE(),TRUE())))</f>
        <v/>
      </c>
      <c r="AV489" s="74" t="str">
        <f aca="false">IF(ISBLANK($C489),"",IF($Q489=Constants!$B$2,TRUE(),IF($Q489=Constants!$B$3,FALSE(),FALSE())))</f>
        <v/>
      </c>
      <c r="AW489" s="74" t="str">
        <f aca="false">IF(ISBLANK($C489),"",IF($R489=Constants!$B$2,TRUE(),IF($R489=Constants!$B$3,FALSE(),FALSE())))</f>
        <v/>
      </c>
      <c r="AX489" s="74" t="str">
        <f aca="false">IF(ISBLANK($C489),"",IF($S489=Constants!$B$2,TRUE(),IF($S489=Constants!$B$3,FALSE(),FALSE())))</f>
        <v/>
      </c>
      <c r="AY489" s="74" t="str">
        <f aca="false">IF(ISBLANK($C489),"",IF($T489=Constants!$B$2,TRUE(),IF($T489=Constants!$B$3,FALSE(),FALSE())))</f>
        <v/>
      </c>
      <c r="AZ489" s="74" t="str">
        <f aca="false">IF(ISBLANK($C489),"",IF($U489=Constants!$B$2,TRUE(),IF($U489=Constants!$B$3,FALSE(),FALSE())))</f>
        <v/>
      </c>
      <c r="BA489" s="74" t="str">
        <f aca="false">IF(ISBLANK($C489),"",IF(OR($V489&amp;""="1",$V489&amp;""="2",$V489&amp;""="3",$V489&amp;""="4"),VALUE($V489&amp;""),IF($V489=Constants!$B$12,Constants!$B$12,"")))</f>
        <v/>
      </c>
      <c r="BB489" s="74" t="str">
        <f aca="false">IF(ISBLANK($C489),"",IF(ISBLANK($W489),0,IF(ISNUMBER($W489),IF(AND($W489&gt;=0,$W489&lt;=Constants!$B$21,$W489=INT($W489)),$W489,""),"")))</f>
        <v/>
      </c>
      <c r="BC489" s="74" t="str">
        <f aca="false">IF(ISBLANK($C489),"",IF(ISBLANK($X489),0,IF(ISNUMBER($X489),IF($X489&gt;=0,$X489,""),"")))</f>
        <v/>
      </c>
      <c r="BD489" s="74" t="str">
        <f aca="false">IF(ISBLANK($C489),"",IF($Y489=Constants!$B$2,TRUE(),IF($Y489=Constants!$B$3,FALSE(),TRUE())))</f>
        <v/>
      </c>
      <c r="BE489" s="74" t="str">
        <f aca="false">IF(ISBLANK($C489),"",IF($Z489=Constants!$B$2,TRUE(),IF($Z489=Constants!$B$3,FALSE(),FALSE())))</f>
        <v/>
      </c>
      <c r="BF489" s="74" t="str">
        <f aca="false">IF(ISBLANK($C489),"",IF(ISBLANK($AA489),0,IF(ISNUMBER($AA489),IF(AND($AA489&gt;=0,$AA489&lt;=Constants!$B$35,$AA489=INT($AA489)),$AA489,""),"")))</f>
        <v/>
      </c>
      <c r="BG489" s="74" t="str">
        <f aca="false">IF(ISBLANK($C489),"",IF($AB489=Constants!$B$2,TRUE(),IF($AB489=Constants!$B$3,FALSE(),TRUE())))</f>
        <v/>
      </c>
      <c r="BH489" s="74" t="str">
        <f aca="false">IF(ISBLANK($C489),"",IF($AC489=Constants!$B$2,TRUE(),IF($AC489=Constants!$B$3,FALSE(),TRUE())))</f>
        <v/>
      </c>
      <c r="BI489" s="74" t="str">
        <f aca="false">IF(ISBLANK($C489),"",IF($AD489=Constants!$B$2,TRUE(),IF($AD489=Constants!$B$3,FALSE(),TRUE())))</f>
        <v/>
      </c>
      <c r="BJ489" s="74" t="str">
        <f aca="false">IF(ISBLANK($C489),"",IF(ISNUMBER($AE489),IF($AE489&gt;=0,$AE489,""),""))</f>
        <v/>
      </c>
      <c r="BK489" s="74" t="str">
        <f aca="false">IF(ISBLANK($C489),"",IF($AF489=Constants!$B$2,TRUE(),IF($AF489=Constants!$B$3,FALSE(),FALSE())))</f>
        <v/>
      </c>
      <c r="BL489" s="73" t="str">
        <f aca="false">IF(ISBLANK($C489),"",IF($BK489,Constants!$B$7,IF(COUNTA($E489:$AE489)=0,Constants!$B$6,IF(OR(COUNTA($G489:$AE489)=0,NOT($AM489),$AS489),Constants!$B$5,IF(OR($CM489&lt;&gt;"",$CN489,$CO489,$CP489,$CQ489,$CR489,$CS489),Constants!$B$8,Constants!$B$4)))))</f>
        <v/>
      </c>
      <c r="BM489" s="74" t="str">
        <f aca="false">IF(ISBLANK($C489),"",IF($BL489&lt;&gt;Constants!$B$4,$BL489,IF(OR(NOT($AJ489),NOT($AL489),NOT($AT489)),Constants!$B$11,IF(OR(NOT($AR489),NOT($AU489),NOT($BI489),MAX($AN489,$AO489,$AP489)&gt;Constants!$B$30),Constants!$B$10,Constants!$B$9))))</f>
        <v/>
      </c>
      <c r="BN489" s="74" t="str">
        <f aca="false">IF($BL489&lt;&gt;Constants!$B$4,"",IF(NOT($AL489),0,MIN(Constants!$B$35,$BF489)))</f>
        <v/>
      </c>
      <c r="BO489" s="74" t="str">
        <f aca="false">IF($BL489&lt;&gt;Constants!$B$4,"",IF(NOT($AL489),0,IF($AW489,Constants!$B$18,IF($AV489,Constants!$B$17,0))))</f>
        <v/>
      </c>
      <c r="BP489" s="74" t="str">
        <f aca="false">IF($BL489&lt;&gt;Constants!$B$4,"",IF(NOT($AL489),0,Constants!$B$19*($AK489+$AX489+$AY489+$AZ489)))</f>
        <v/>
      </c>
      <c r="BQ489" s="74" t="str">
        <f aca="false">IF($BL489&lt;&gt;Constants!$B$4,"",IF(OR(NOT($AL489),NOT(ISNUMBER($BA489))),0,CHOOSE($BA489,Constants!$B$13,Constants!$B$14,Constants!$B$15,Constants!$B$16)))</f>
        <v/>
      </c>
      <c r="BR489" s="74" t="str">
        <f aca="false">IF($BL489&lt;&gt;Constants!$B$4,"",IF(NOT($AL489),0,Constants!$B$20*$BB489))</f>
        <v/>
      </c>
      <c r="BS489" s="74" t="str">
        <f aca="false">IF($BL489&lt;&gt;Constants!$B$4,"",IF(AND($AL489,$BD489,$BE489),Constants!$B$22,0))</f>
        <v/>
      </c>
      <c r="BT489" s="74" t="str">
        <f aca="false">IF($BL489&lt;&gt;Constants!$B$4,"",IF(OR(NOT($AL489),NOT($BD489)),0,IF($BJ489&gt;=2*$AH$9,0,Constants!$B$23*INT(ROUND(MIN($BJ489,$AH$9),6)))))</f>
        <v/>
      </c>
      <c r="BU489" s="74" t="str">
        <f aca="false">IF($BL489&lt;&gt;Constants!$B$4,"",IF(NOT($AL489),0,Constants!$B$24*INT(ROUND(MIN($BC489,$AH$9),6))))</f>
        <v/>
      </c>
      <c r="BV489" s="74" t="str">
        <f aca="false">IF($BL489&lt;&gt;Constants!$B$4,"",IF(AND($AL489,$BN489=0),Constants!$B$25,0))</f>
        <v/>
      </c>
      <c r="BW489" s="74" t="str">
        <f aca="false">IF($BL489&lt;&gt;Constants!$B$4,"",MIN(Constants!$B$29,MAX(0,Constants!$B$27*Constants!$B$28*INT(ROUND((Constants!$B$26-$AN489)/Constants!$B$28,6))))+MIN(Constants!$B$29,MAX(0,Constants!$B$27*Constants!$B$28*INT(ROUND((Constants!$B$26-$AO489)/Constants!$B$28,6))))+MIN(Constants!$B$29,MAX(0,Constants!$B$27*Constants!$B$28*INT(ROUND((Constants!$B$26-$AP489)/Constants!$B$28,6)))))</f>
        <v/>
      </c>
      <c r="BX489" s="74" t="str">
        <f aca="false">IF($BL489&lt;&gt;Constants!$B$4,"",IF(NOT($AL489),0,Constants!$B$31*INT(ROUND(MAX(0,MIN($BJ489,2*$AH$9)-$AH$9),6))))</f>
        <v/>
      </c>
      <c r="BY489" s="74" t="str">
        <f aca="false">IF($BL489&lt;&gt;Constants!$B$4,"",Constants!$B$32*(($AN489&gt;Constants!$B$26)+($AO489&gt;Constants!$B$26)+($AP489&gt;Constants!$B$26)))</f>
        <v/>
      </c>
      <c r="BZ489" s="74" t="str">
        <f aca="false">IF($BL489&lt;&gt;Constants!$B$4,"",IF(OR(NOT($AL489),$AQ489),0,Constants!$B$33))</f>
        <v/>
      </c>
      <c r="CA489" s="74" t="str">
        <f aca="false">IF($BL489&lt;&gt;Constants!$B$4,"",Constants!$B$34*$BN489)</f>
        <v/>
      </c>
      <c r="CB489" s="74" t="str">
        <f aca="false">IF($BL489&lt;&gt;Constants!$B$4,"",IF(OR(NOT($AL489),$BH489),0,Constants!$B$36))</f>
        <v/>
      </c>
      <c r="CC489" s="74" t="str">
        <f aca="false">IF($BL489&lt;&gt;Constants!$B$4,"",IF(OR(NOT($AL489),$BG489),0,Constants!$B$37))</f>
        <v/>
      </c>
      <c r="CD489" s="74" t="str">
        <f aca="false">IF($BL489&lt;&gt;Constants!$B$4,"",SUM($BX489:$CC489))</f>
        <v/>
      </c>
      <c r="CE489" s="74" t="str">
        <f aca="false">IF(ISBLANK($C489),"",IF($BL489&lt;&gt;Constants!$B$4,$BL489,SUM($BO489:$BW489)-$CD489))</f>
        <v/>
      </c>
      <c r="CF489" s="74" t="str">
        <f aca="false">IF(ISBLANK($C489),"",IF($BL489&lt;&gt;Constants!$B$4,$BL489,RANK($CE489,$CE$9:$CE$508)))</f>
        <v/>
      </c>
      <c r="CG489" s="74" t="str">
        <f aca="false">IF(ISBLANK($C489),"",IF($BL489&lt;&gt;Constants!$B$4,$BL489,COUNTIFS($BM$9:$BM$508,"&lt;"&amp;$BM489)+COUNTIFS($BM$9:$BM$508,$BM489,$CF$9:$CF$508,"&lt;"&amp;$CF489)+1))</f>
        <v/>
      </c>
      <c r="CH489" s="74" t="str">
        <f aca="false">IF(ISBLANK($C489),"",IF($BL489&lt;&gt;Constants!$B$4,$BL489,RANK($CD489,$CD$9:$CD$508,1)))</f>
        <v/>
      </c>
      <c r="CI489" s="74" t="str">
        <f aca="false">IF($BL489&lt;&gt;Constants!$B$4,"",$AN489+$AO489+$AP489)</f>
        <v/>
      </c>
      <c r="CJ489" s="74" t="str">
        <f aca="false">IF(ISBLANK($C489),"",IF($BL489&lt;&gt;Constants!$B$4,$BL489,RANK($CI489,$CI$9:$CI$508,1)))</f>
        <v/>
      </c>
      <c r="CK489" s="74" t="str">
        <f aca="false">IF(ISBLANK($C489),"",IF($BL489&lt;&gt;Constants!$B$4,$BL489,COUNTIFS($BM$9:$BM$508,"&lt;"&amp;$BM489)+COUNTIFS($BM$9:$BM$508,$BM489,$CF$9:$CF$508,"&lt;"&amp;$CF489)+COUNTIFS($BM$9:$BM$508,$BM489,$CF$9:$CF$508,$CF489,$CH$9:$CH$508,"&lt;"&amp;$CH489)+COUNTIFS($BM$9:$BM$508,$BM489,$CF$9:$CF$508,$CF489,$CH$9:$CH$508,$CH489,$CJ$9:$CJ$508,"&lt;"&amp;$CJ489)+1))</f>
        <v/>
      </c>
      <c r="CL489" s="74" t="str">
        <f aca="false">IF(ISBLANK($C489),"",IF($BL489&lt;&gt;Constants!$B$4,$BL489,$CG489-$CK489))</f>
        <v/>
      </c>
      <c r="CM489" s="74" t="str">
        <f aca="false">IF(ISBLANK($C489),"",IF(NOT($AL489),"",IF(ISBLANK($D$7),$CM$5,IF(NOT(ISNUMBER($D$7)),$CM$6,""))))</f>
        <v/>
      </c>
      <c r="CN489" s="74" t="str">
        <f aca="false">IF(ISBLANK($C489),"",OR($AN489="",$AO489="",$AP489=""))</f>
        <v/>
      </c>
      <c r="CO489" s="74" t="str">
        <f aca="false">IF(ISBLANK($C489),"",AND($AL489,$BA489=""))</f>
        <v/>
      </c>
      <c r="CP489" s="74" t="str">
        <f aca="false">IF(ISBLANK($C489),"",AND($AL489,$BB489=""))</f>
        <v/>
      </c>
      <c r="CQ489" s="74" t="str">
        <f aca="false">IF(ISBLANK($C489),"",AND($AL489,$BC489=""))</f>
        <v/>
      </c>
      <c r="CR489" s="74" t="str">
        <f aca="false">IF(ISBLANK($C489),"",AND($AL489,$BF489=""))</f>
        <v/>
      </c>
      <c r="CS489" s="74" t="str">
        <f aca="false">IF(ISBLANK($C489),"",AND($AL489,$BJ489=""))</f>
        <v/>
      </c>
      <c r="CT489" s="75"/>
      <c r="CU489" s="76"/>
      <c r="CV489" s="79" t="str">
        <f aca="false">IF(ISBLANK($C489),"",IF($BL489=Constants!$B$8,$CM489,""))</f>
        <v/>
      </c>
      <c r="CW489" s="76" t="str">
        <f aca="false">IF(ISBLANK($C489),"",IF($BL489&lt;&gt;Constants!$B$4,"",$BO489+$BP489))</f>
        <v/>
      </c>
      <c r="CX489" s="78" t="str">
        <f aca="false">IF(ISBLANK($C489),"",IF($BL489&lt;&gt;Constants!$B$4,"",$BQ489+$BR489+$BS489))</f>
        <v/>
      </c>
      <c r="CY489" s="78" t="str">
        <f aca="false">IF(ISBLANK($C489),"",IF($BL489&lt;&gt;Constants!$B$4,"",$BT489))</f>
        <v/>
      </c>
      <c r="CZ489" s="78" t="str">
        <f aca="false">IF(ISBLANK($C489),"",IF($BL489&lt;&gt;Constants!$B$4,"",$BU489+$BV489))</f>
        <v/>
      </c>
      <c r="DA489" s="78" t="str">
        <f aca="false">IF(ISBLANK($C489),"",IF($BL489&lt;&gt;Constants!$B$4,"",$BW489))</f>
        <v/>
      </c>
      <c r="DB489" s="78" t="str">
        <f aca="false">IF(ISBLANK($C489),"",IF($BL489&lt;&gt;Constants!$B$4,"",-$CD489))</f>
        <v/>
      </c>
      <c r="DC489" s="79" t="str">
        <f aca="false">IF(ISBLANK($C489),"",$CE489)</f>
        <v/>
      </c>
      <c r="DD489" s="80" t="str">
        <f aca="false">IF(ISBLANK($C489),"",$BM489)</f>
        <v/>
      </c>
      <c r="DE489" s="78" t="str">
        <f aca="false">IF(ISBLANK($C489),"",$CL489)</f>
        <v/>
      </c>
      <c r="DF489" s="78" t="str">
        <f aca="false">IF(ISBLANK($C489),"",$CK489)</f>
        <v/>
      </c>
      <c r="DG489" s="81" t="str">
        <f aca="false">IF(ISBLANK($C489),"",IF($DF489=Constants!$B$7,COUNTA($C$9:$C$508)+2,IF($DF489=Constants!$B$6,COUNTA($C$9:$C$508)+1,IF($DF489=Constants!$B$5,COUNTA($C$9:$C$508),$DF489))))</f>
        <v/>
      </c>
      <c r="DH489" s="7"/>
      <c r="DI489" s="82" t="n">
        <f aca="false">IF(OR(ISNUMBER($DF489),$DF489=Constants!$B$7,$DF489=Constants!$B$5,$DF489=Constants!$B$6),1,0)</f>
        <v>0</v>
      </c>
      <c r="DJ489" s="82" t="n">
        <v>481</v>
      </c>
      <c r="DK489" s="82" t="str">
        <f aca="false">IF(ISBLANK($C489),"",IF(ISNUMBER($DG489),$DG489+ROW($B489)/1000,""))</f>
        <v/>
      </c>
      <c r="DL489" s="82" t="str">
        <f aca="false">IF(ISNUMBER($DK489),RANK($DK489,$DK$9:$DK$508,1),"")</f>
        <v/>
      </c>
      <c r="DM489" s="82" t="str">
        <f aca="false">IF(ISBLANK($C489),"",$B489)</f>
        <v/>
      </c>
      <c r="DN489" s="82" t="str">
        <f aca="false">IF(ISBLANK($C489),"",$C489)</f>
        <v/>
      </c>
      <c r="DO489" s="82" t="str">
        <f aca="false">IF(ISBLANK($C489),"",$D489)</f>
        <v/>
      </c>
      <c r="DP489" s="83" t="str">
        <f aca="false">$DD489</f>
        <v/>
      </c>
      <c r="DQ489" s="84" t="str">
        <f aca="false">$DC489</f>
        <v/>
      </c>
      <c r="DR489" s="82" t="str">
        <f aca="false">IF(ISBLANK($C489),"",$DF489)</f>
        <v/>
      </c>
      <c r="DS489" s="85" t="str">
        <f aca="false">IF($DJ489&gt;$DI$8,"",VLOOKUP($DJ489,$DL$9:$DR$508,7,FALSE()))</f>
        <v/>
      </c>
      <c r="DT489" s="86" t="str">
        <f aca="false">IF($DJ489&gt;$DI$8,"",VLOOKUP($DJ489,$DL$9:$DR$508,2,FALSE()))</f>
        <v/>
      </c>
      <c r="DU489" s="86" t="str">
        <f aca="false">IF($DJ489&gt;$DI$8,"",VLOOKUP($DJ489,$DL$9:$DR$508,3,FALSE()))</f>
        <v/>
      </c>
      <c r="DV489" s="86" t="str">
        <f aca="false">IF($DJ489&gt;$DI$8,"",VLOOKUP($DJ489,$DL$9:$DR$508,4,FALSE()))</f>
        <v/>
      </c>
      <c r="DW489" s="86" t="str">
        <f aca="false">IF($DJ489&gt;$DI$8,"",VLOOKUP($DJ489,$DL$9:$DR$508,5,FALSE()))</f>
        <v/>
      </c>
      <c r="DX489" s="87" t="str">
        <f aca="false">IF($DJ489&gt;$DI$8,"",VLOOKUP($DJ489,$DL$9:$DR$508,6,FALSE()))</f>
        <v/>
      </c>
      <c r="DY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88"/>
      <c r="N490" s="88"/>
      <c r="O490" s="134"/>
      <c r="P490" s="134"/>
      <c r="Q490" s="88"/>
      <c r="R490" s="88"/>
      <c r="S490" s="88"/>
      <c r="T490" s="88"/>
      <c r="U490" s="134"/>
      <c r="V490" s="88"/>
      <c r="W490" s="70"/>
      <c r="X490" s="88"/>
      <c r="Y490" s="88"/>
      <c r="Z490" s="70"/>
      <c r="AA490" s="70"/>
      <c r="AB490" s="88"/>
      <c r="AC490" s="88"/>
      <c r="AD490" s="88"/>
      <c r="AE490" s="71"/>
      <c r="AF490" s="88"/>
      <c r="AG490" s="73"/>
      <c r="AH490" s="74"/>
      <c r="AI490" s="74"/>
      <c r="AJ490" s="74" t="str">
        <f aca="false">IF(ISBLANK($C490),"",IF($E490=Constants!$B$2,TRUE(),IF($E490=Constants!$B$3,FALSE(),TRUE())))</f>
        <v/>
      </c>
      <c r="AK490" s="74" t="str">
        <f aca="false">IF(ISBLANK($C490),"",IF($F490=Constants!$B$2,TRUE(),IF($F490=Constants!$B$3,FALSE(),FALSE())))</f>
        <v/>
      </c>
      <c r="AL490" s="74" t="str">
        <f aca="false">IF(ISBLANK($C490),"",IF($G490=Constants!$B$2,TRUE(),IF($G490=Constants!$B$3,FALSE(),TRUE())))</f>
        <v/>
      </c>
      <c r="AM490" s="74" t="str">
        <f aca="false">IF(ISBLANK($C490),"",IF($H490=Constants!$B$2,TRUE(),IF($H490=Constants!$B$3,FALSE(),TRUE())))</f>
        <v/>
      </c>
      <c r="AN490" s="74" t="str">
        <f aca="false">IF(ISBLANK($C490),"",IF(ISNUMBER($I490),IF($I490&gt;=0,$I490,""),""))</f>
        <v/>
      </c>
      <c r="AO490" s="74" t="str">
        <f aca="false">IF(ISBLANK($C490),"",IF(ISNUMBER($J490),IF($J490&gt;=0,$J490,""),""))</f>
        <v/>
      </c>
      <c r="AP490" s="74" t="str">
        <f aca="false">IF(ISBLANK($C490),"",IF(ISNUMBER($K490),IF($K490&gt;=0,$K490,""),""))</f>
        <v/>
      </c>
      <c r="AQ490" s="74" t="str">
        <f aca="false">IF(ISBLANK($C490),"",IF($L490=Constants!$B$2,TRUE(),IF($L490=Constants!$B$3,FALSE(),TRUE())))</f>
        <v/>
      </c>
      <c r="AR490" s="74" t="str">
        <f aca="false">IF(ISBLANK($C490),"",IF($M490=Constants!$B$2,TRUE(),IF($M490=Constants!$B$3,FALSE(),TRUE())))</f>
        <v/>
      </c>
      <c r="AS490" s="74" t="str">
        <f aca="false">IF(ISBLANK($C490),"",IF($N490=Constants!$B$2,TRUE(),IF($N490=Constants!$B$3,FALSE(),FALSE())))</f>
        <v/>
      </c>
      <c r="AT490" s="74" t="str">
        <f aca="false">IF(ISBLANK($C490),"",IF($O490=Constants!$B$2,TRUE(),IF($O490=Constants!$B$3,FALSE(),TRUE())))</f>
        <v/>
      </c>
      <c r="AU490" s="74" t="str">
        <f aca="false">IF(ISBLANK($C490),"",IF($P490=Constants!$B$2,TRUE(),IF($P490=Constants!$B$3,FALSE(),TRUE())))</f>
        <v/>
      </c>
      <c r="AV490" s="74" t="str">
        <f aca="false">IF(ISBLANK($C490),"",IF($Q490=Constants!$B$2,TRUE(),IF($Q490=Constants!$B$3,FALSE(),FALSE())))</f>
        <v/>
      </c>
      <c r="AW490" s="74" t="str">
        <f aca="false">IF(ISBLANK($C490),"",IF($R490=Constants!$B$2,TRUE(),IF($R490=Constants!$B$3,FALSE(),FALSE())))</f>
        <v/>
      </c>
      <c r="AX490" s="74" t="str">
        <f aca="false">IF(ISBLANK($C490),"",IF($S490=Constants!$B$2,TRUE(),IF($S490=Constants!$B$3,FALSE(),FALSE())))</f>
        <v/>
      </c>
      <c r="AY490" s="74" t="str">
        <f aca="false">IF(ISBLANK($C490),"",IF($T490=Constants!$B$2,TRUE(),IF($T490=Constants!$B$3,FALSE(),FALSE())))</f>
        <v/>
      </c>
      <c r="AZ490" s="74" t="str">
        <f aca="false">IF(ISBLANK($C490),"",IF($U490=Constants!$B$2,TRUE(),IF($U490=Constants!$B$3,FALSE(),FALSE())))</f>
        <v/>
      </c>
      <c r="BA490" s="74" t="str">
        <f aca="false">IF(ISBLANK($C490),"",IF(OR($V490&amp;""="1",$V490&amp;""="2",$V490&amp;""="3",$V490&amp;""="4"),VALUE($V490&amp;""),IF($V490=Constants!$B$12,Constants!$B$12,"")))</f>
        <v/>
      </c>
      <c r="BB490" s="74" t="str">
        <f aca="false">IF(ISBLANK($C490),"",IF(ISBLANK($W490),0,IF(ISNUMBER($W490),IF(AND($W490&gt;=0,$W490&lt;=Constants!$B$21,$W490=INT($W490)),$W490,""),"")))</f>
        <v/>
      </c>
      <c r="BC490" s="74" t="str">
        <f aca="false">IF(ISBLANK($C490),"",IF(ISBLANK($X490),0,IF(ISNUMBER($X490),IF($X490&gt;=0,$X490,""),"")))</f>
        <v/>
      </c>
      <c r="BD490" s="74" t="str">
        <f aca="false">IF(ISBLANK($C490),"",IF($Y490=Constants!$B$2,TRUE(),IF($Y490=Constants!$B$3,FALSE(),TRUE())))</f>
        <v/>
      </c>
      <c r="BE490" s="74" t="str">
        <f aca="false">IF(ISBLANK($C490),"",IF($Z490=Constants!$B$2,TRUE(),IF($Z490=Constants!$B$3,FALSE(),FALSE())))</f>
        <v/>
      </c>
      <c r="BF490" s="74" t="str">
        <f aca="false">IF(ISBLANK($C490),"",IF(ISBLANK($AA490),0,IF(ISNUMBER($AA490),IF(AND($AA490&gt;=0,$AA490&lt;=Constants!$B$35,$AA490=INT($AA490)),$AA490,""),"")))</f>
        <v/>
      </c>
      <c r="BG490" s="74" t="str">
        <f aca="false">IF(ISBLANK($C490),"",IF($AB490=Constants!$B$2,TRUE(),IF($AB490=Constants!$B$3,FALSE(),TRUE())))</f>
        <v/>
      </c>
      <c r="BH490" s="74" t="str">
        <f aca="false">IF(ISBLANK($C490),"",IF($AC490=Constants!$B$2,TRUE(),IF($AC490=Constants!$B$3,FALSE(),TRUE())))</f>
        <v/>
      </c>
      <c r="BI490" s="74" t="str">
        <f aca="false">IF(ISBLANK($C490),"",IF($AD490=Constants!$B$2,TRUE(),IF($AD490=Constants!$B$3,FALSE(),TRUE())))</f>
        <v/>
      </c>
      <c r="BJ490" s="74" t="str">
        <f aca="false">IF(ISBLANK($C490),"",IF(ISNUMBER($AE490),IF($AE490&gt;=0,$AE490,""),""))</f>
        <v/>
      </c>
      <c r="BK490" s="74" t="str">
        <f aca="false">IF(ISBLANK($C490),"",IF($AF490=Constants!$B$2,TRUE(),IF($AF490=Constants!$B$3,FALSE(),FALSE())))</f>
        <v/>
      </c>
      <c r="BL490" s="73" t="str">
        <f aca="false">IF(ISBLANK($C490),"",IF($BK490,Constants!$B$7,IF(COUNTA($E490:$AE490)=0,Constants!$B$6,IF(OR(COUNTA($G490:$AE490)=0,NOT($AM490),$AS490),Constants!$B$5,IF(OR($CM490&lt;&gt;"",$CN490,$CO490,$CP490,$CQ490,$CR490,$CS490),Constants!$B$8,Constants!$B$4)))))</f>
        <v/>
      </c>
      <c r="BM490" s="74" t="str">
        <f aca="false">IF(ISBLANK($C490),"",IF($BL490&lt;&gt;Constants!$B$4,$BL490,IF(OR(NOT($AJ490),NOT($AL490),NOT($AT490)),Constants!$B$11,IF(OR(NOT($AR490),NOT($AU490),NOT($BI490),MAX($AN490,$AO490,$AP490)&gt;Constants!$B$30),Constants!$B$10,Constants!$B$9))))</f>
        <v/>
      </c>
      <c r="BN490" s="74" t="str">
        <f aca="false">IF($BL490&lt;&gt;Constants!$B$4,"",IF(NOT($AL490),0,MIN(Constants!$B$35,$BF490)))</f>
        <v/>
      </c>
      <c r="BO490" s="74" t="str">
        <f aca="false">IF($BL490&lt;&gt;Constants!$B$4,"",IF(NOT($AL490),0,IF($AW490,Constants!$B$18,IF($AV490,Constants!$B$17,0))))</f>
        <v/>
      </c>
      <c r="BP490" s="74" t="str">
        <f aca="false">IF($BL490&lt;&gt;Constants!$B$4,"",IF(NOT($AL490),0,Constants!$B$19*($AK490+$AX490+$AY490+$AZ490)))</f>
        <v/>
      </c>
      <c r="BQ490" s="74" t="str">
        <f aca="false">IF($BL490&lt;&gt;Constants!$B$4,"",IF(OR(NOT($AL490),NOT(ISNUMBER($BA490))),0,CHOOSE($BA490,Constants!$B$13,Constants!$B$14,Constants!$B$15,Constants!$B$16)))</f>
        <v/>
      </c>
      <c r="BR490" s="74" t="str">
        <f aca="false">IF($BL490&lt;&gt;Constants!$B$4,"",IF(NOT($AL490),0,Constants!$B$20*$BB490))</f>
        <v/>
      </c>
      <c r="BS490" s="74" t="str">
        <f aca="false">IF($BL490&lt;&gt;Constants!$B$4,"",IF(AND($AL490,$BD490,$BE490),Constants!$B$22,0))</f>
        <v/>
      </c>
      <c r="BT490" s="74" t="str">
        <f aca="false">IF($BL490&lt;&gt;Constants!$B$4,"",IF(OR(NOT($AL490),NOT($BD490)),0,IF($BJ490&gt;=2*$AH$9,0,Constants!$B$23*INT(ROUND(MIN($BJ490,$AH$9),6)))))</f>
        <v/>
      </c>
      <c r="BU490" s="74" t="str">
        <f aca="false">IF($BL490&lt;&gt;Constants!$B$4,"",IF(NOT($AL490),0,Constants!$B$24*INT(ROUND(MIN($BC490,$AH$9),6))))</f>
        <v/>
      </c>
      <c r="BV490" s="74" t="str">
        <f aca="false">IF($BL490&lt;&gt;Constants!$B$4,"",IF(AND($AL490,$BN490=0),Constants!$B$25,0))</f>
        <v/>
      </c>
      <c r="BW490" s="74" t="str">
        <f aca="false">IF($BL490&lt;&gt;Constants!$B$4,"",MIN(Constants!$B$29,MAX(0,Constants!$B$27*Constants!$B$28*INT(ROUND((Constants!$B$26-$AN490)/Constants!$B$28,6))))+MIN(Constants!$B$29,MAX(0,Constants!$B$27*Constants!$B$28*INT(ROUND((Constants!$B$26-$AO490)/Constants!$B$28,6))))+MIN(Constants!$B$29,MAX(0,Constants!$B$27*Constants!$B$28*INT(ROUND((Constants!$B$26-$AP490)/Constants!$B$28,6)))))</f>
        <v/>
      </c>
      <c r="BX490" s="74" t="str">
        <f aca="false">IF($BL490&lt;&gt;Constants!$B$4,"",IF(NOT($AL490),0,Constants!$B$31*INT(ROUND(MAX(0,MIN($BJ490,2*$AH$9)-$AH$9),6))))</f>
        <v/>
      </c>
      <c r="BY490" s="74" t="str">
        <f aca="false">IF($BL490&lt;&gt;Constants!$B$4,"",Constants!$B$32*(($AN490&gt;Constants!$B$26)+($AO490&gt;Constants!$B$26)+($AP490&gt;Constants!$B$26)))</f>
        <v/>
      </c>
      <c r="BZ490" s="74" t="str">
        <f aca="false">IF($BL490&lt;&gt;Constants!$B$4,"",IF(OR(NOT($AL490),$AQ490),0,Constants!$B$33))</f>
        <v/>
      </c>
      <c r="CA490" s="74" t="str">
        <f aca="false">IF($BL490&lt;&gt;Constants!$B$4,"",Constants!$B$34*$BN490)</f>
        <v/>
      </c>
      <c r="CB490" s="74" t="str">
        <f aca="false">IF($BL490&lt;&gt;Constants!$B$4,"",IF(OR(NOT($AL490),$BH490),0,Constants!$B$36))</f>
        <v/>
      </c>
      <c r="CC490" s="74" t="str">
        <f aca="false">IF($BL490&lt;&gt;Constants!$B$4,"",IF(OR(NOT($AL490),$BG490),0,Constants!$B$37))</f>
        <v/>
      </c>
      <c r="CD490" s="74" t="str">
        <f aca="false">IF($BL490&lt;&gt;Constants!$B$4,"",SUM($BX490:$CC490))</f>
        <v/>
      </c>
      <c r="CE490" s="74" t="str">
        <f aca="false">IF(ISBLANK($C490),"",IF($BL490&lt;&gt;Constants!$B$4,$BL490,SUM($BO490:$BW490)-$CD490))</f>
        <v/>
      </c>
      <c r="CF490" s="74" t="str">
        <f aca="false">IF(ISBLANK($C490),"",IF($BL490&lt;&gt;Constants!$B$4,$BL490,RANK($CE490,$CE$9:$CE$508)))</f>
        <v/>
      </c>
      <c r="CG490" s="74" t="str">
        <f aca="false">IF(ISBLANK($C490),"",IF($BL490&lt;&gt;Constants!$B$4,$BL490,COUNTIFS($BM$9:$BM$508,"&lt;"&amp;$BM490)+COUNTIFS($BM$9:$BM$508,$BM490,$CF$9:$CF$508,"&lt;"&amp;$CF490)+1))</f>
        <v/>
      </c>
      <c r="CH490" s="74" t="str">
        <f aca="false">IF(ISBLANK($C490),"",IF($BL490&lt;&gt;Constants!$B$4,$BL490,RANK($CD490,$CD$9:$CD$508,1)))</f>
        <v/>
      </c>
      <c r="CI490" s="74" t="str">
        <f aca="false">IF($BL490&lt;&gt;Constants!$B$4,"",$AN490+$AO490+$AP490)</f>
        <v/>
      </c>
      <c r="CJ490" s="74" t="str">
        <f aca="false">IF(ISBLANK($C490),"",IF($BL490&lt;&gt;Constants!$B$4,$BL490,RANK($CI490,$CI$9:$CI$508,1)))</f>
        <v/>
      </c>
      <c r="CK490" s="74" t="str">
        <f aca="false">IF(ISBLANK($C490),"",IF($BL490&lt;&gt;Constants!$B$4,$BL490,COUNTIFS($BM$9:$BM$508,"&lt;"&amp;$BM490)+COUNTIFS($BM$9:$BM$508,$BM490,$CF$9:$CF$508,"&lt;"&amp;$CF490)+COUNTIFS($BM$9:$BM$508,$BM490,$CF$9:$CF$508,$CF490,$CH$9:$CH$508,"&lt;"&amp;$CH490)+COUNTIFS($BM$9:$BM$508,$BM490,$CF$9:$CF$508,$CF490,$CH$9:$CH$508,$CH490,$CJ$9:$CJ$508,"&lt;"&amp;$CJ490)+1))</f>
        <v/>
      </c>
      <c r="CL490" s="74" t="str">
        <f aca="false">IF(ISBLANK($C490),"",IF($BL490&lt;&gt;Constants!$B$4,$BL490,$CG490-$CK490))</f>
        <v/>
      </c>
      <c r="CM490" s="74" t="str">
        <f aca="false">IF(ISBLANK($C490),"",IF(NOT($AL490),"",IF(ISBLANK($D$7),$CM$5,IF(NOT(ISNUMBER($D$7)),$CM$6,""))))</f>
        <v/>
      </c>
      <c r="CN490" s="74" t="str">
        <f aca="false">IF(ISBLANK($C490),"",OR($AN490="",$AO490="",$AP490=""))</f>
        <v/>
      </c>
      <c r="CO490" s="74" t="str">
        <f aca="false">IF(ISBLANK($C490),"",AND($AL490,$BA490=""))</f>
        <v/>
      </c>
      <c r="CP490" s="74" t="str">
        <f aca="false">IF(ISBLANK($C490),"",AND($AL490,$BB490=""))</f>
        <v/>
      </c>
      <c r="CQ490" s="74" t="str">
        <f aca="false">IF(ISBLANK($C490),"",AND($AL490,$BC490=""))</f>
        <v/>
      </c>
      <c r="CR490" s="74" t="str">
        <f aca="false">IF(ISBLANK($C490),"",AND($AL490,$BF490=""))</f>
        <v/>
      </c>
      <c r="CS490" s="74" t="str">
        <f aca="false">IF(ISBLANK($C490),"",AND($AL490,$BJ490=""))</f>
        <v/>
      </c>
      <c r="CT490" s="75"/>
      <c r="CU490" s="76"/>
      <c r="CV490" s="79" t="str">
        <f aca="false">IF(ISBLANK($C490),"",IF($BL490=Constants!$B$8,$CM490,""))</f>
        <v/>
      </c>
      <c r="CW490" s="76" t="str">
        <f aca="false">IF(ISBLANK($C490),"",IF($BL490&lt;&gt;Constants!$B$4,"",$BO490+$BP490))</f>
        <v/>
      </c>
      <c r="CX490" s="78" t="str">
        <f aca="false">IF(ISBLANK($C490),"",IF($BL490&lt;&gt;Constants!$B$4,"",$BQ490+$BR490+$BS490))</f>
        <v/>
      </c>
      <c r="CY490" s="78" t="str">
        <f aca="false">IF(ISBLANK($C490),"",IF($BL490&lt;&gt;Constants!$B$4,"",$BT490))</f>
        <v/>
      </c>
      <c r="CZ490" s="78" t="str">
        <f aca="false">IF(ISBLANK($C490),"",IF($BL490&lt;&gt;Constants!$B$4,"",$BU490+$BV490))</f>
        <v/>
      </c>
      <c r="DA490" s="78" t="str">
        <f aca="false">IF(ISBLANK($C490),"",IF($BL490&lt;&gt;Constants!$B$4,"",$BW490))</f>
        <v/>
      </c>
      <c r="DB490" s="78" t="str">
        <f aca="false">IF(ISBLANK($C490),"",IF($BL490&lt;&gt;Constants!$B$4,"",-$CD490))</f>
        <v/>
      </c>
      <c r="DC490" s="79" t="str">
        <f aca="false">IF(ISBLANK($C490),"",$CE490)</f>
        <v/>
      </c>
      <c r="DD490" s="80" t="str">
        <f aca="false">IF(ISBLANK($C490),"",$BM490)</f>
        <v/>
      </c>
      <c r="DE490" s="78" t="str">
        <f aca="false">IF(ISBLANK($C490),"",$CL490)</f>
        <v/>
      </c>
      <c r="DF490" s="78" t="str">
        <f aca="false">IF(ISBLANK($C490),"",$CK490)</f>
        <v/>
      </c>
      <c r="DG490" s="81" t="str">
        <f aca="false">IF(ISBLANK($C490),"",IF($DF490=Constants!$B$7,COUNTA($C$9:$C$508)+2,IF($DF490=Constants!$B$6,COUNTA($C$9:$C$508)+1,IF($DF490=Constants!$B$5,COUNTA($C$9:$C$508),$DF490))))</f>
        <v/>
      </c>
      <c r="DH490" s="7"/>
      <c r="DI490" s="82" t="n">
        <f aca="false">IF(OR(ISNUMBER($DF490),$DF490=Constants!$B$7,$DF490=Constants!$B$5,$DF490=Constants!$B$6),1,0)</f>
        <v>0</v>
      </c>
      <c r="DJ490" s="82" t="n">
        <v>482</v>
      </c>
      <c r="DK490" s="82" t="str">
        <f aca="false">IF(ISBLANK($C490),"",IF(ISNUMBER($DG490),$DG490+ROW($B490)/1000,""))</f>
        <v/>
      </c>
      <c r="DL490" s="82" t="str">
        <f aca="false">IF(ISNUMBER($DK490),RANK($DK490,$DK$9:$DK$508,1),"")</f>
        <v/>
      </c>
      <c r="DM490" s="82" t="str">
        <f aca="false">IF(ISBLANK($C490),"",$B490)</f>
        <v/>
      </c>
      <c r="DN490" s="82" t="str">
        <f aca="false">IF(ISBLANK($C490),"",$C490)</f>
        <v/>
      </c>
      <c r="DO490" s="82" t="str">
        <f aca="false">IF(ISBLANK($C490),"",$D490)</f>
        <v/>
      </c>
      <c r="DP490" s="83" t="str">
        <f aca="false">$DD490</f>
        <v/>
      </c>
      <c r="DQ490" s="84" t="str">
        <f aca="false">$DC490</f>
        <v/>
      </c>
      <c r="DR490" s="82" t="str">
        <f aca="false">IF(ISBLANK($C490),"",$DF490)</f>
        <v/>
      </c>
      <c r="DS490" s="85" t="str">
        <f aca="false">IF($DJ490&gt;$DI$8,"",VLOOKUP($DJ490,$DL$9:$DR$508,7,FALSE()))</f>
        <v/>
      </c>
      <c r="DT490" s="86" t="str">
        <f aca="false">IF($DJ490&gt;$DI$8,"",VLOOKUP($DJ490,$DL$9:$DR$508,2,FALSE()))</f>
        <v/>
      </c>
      <c r="DU490" s="86" t="str">
        <f aca="false">IF($DJ490&gt;$DI$8,"",VLOOKUP($DJ490,$DL$9:$DR$508,3,FALSE()))</f>
        <v/>
      </c>
      <c r="DV490" s="86" t="str">
        <f aca="false">IF($DJ490&gt;$DI$8,"",VLOOKUP($DJ490,$DL$9:$DR$508,4,FALSE()))</f>
        <v/>
      </c>
      <c r="DW490" s="86" t="str">
        <f aca="false">IF($DJ490&gt;$DI$8,"",VLOOKUP($DJ490,$DL$9:$DR$508,5,FALSE()))</f>
        <v/>
      </c>
      <c r="DX490" s="87" t="str">
        <f aca="false">IF($DJ490&gt;$DI$8,"",VLOOKUP($DJ490,$DL$9:$DR$508,6,FALSE()))</f>
        <v/>
      </c>
      <c r="DY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88"/>
      <c r="N491" s="88"/>
      <c r="O491" s="134"/>
      <c r="P491" s="134"/>
      <c r="Q491" s="88"/>
      <c r="R491" s="88"/>
      <c r="S491" s="88"/>
      <c r="T491" s="88"/>
      <c r="U491" s="134"/>
      <c r="V491" s="88"/>
      <c r="W491" s="70"/>
      <c r="X491" s="88"/>
      <c r="Y491" s="88"/>
      <c r="Z491" s="70"/>
      <c r="AA491" s="70"/>
      <c r="AB491" s="88"/>
      <c r="AC491" s="88"/>
      <c r="AD491" s="88"/>
      <c r="AE491" s="71"/>
      <c r="AF491" s="88"/>
      <c r="AG491" s="73"/>
      <c r="AH491" s="74"/>
      <c r="AI491" s="74"/>
      <c r="AJ491" s="74" t="str">
        <f aca="false">IF(ISBLANK($C491),"",IF($E491=Constants!$B$2,TRUE(),IF($E491=Constants!$B$3,FALSE(),TRUE())))</f>
        <v/>
      </c>
      <c r="AK491" s="74" t="str">
        <f aca="false">IF(ISBLANK($C491),"",IF($F491=Constants!$B$2,TRUE(),IF($F491=Constants!$B$3,FALSE(),FALSE())))</f>
        <v/>
      </c>
      <c r="AL491" s="74" t="str">
        <f aca="false">IF(ISBLANK($C491),"",IF($G491=Constants!$B$2,TRUE(),IF($G491=Constants!$B$3,FALSE(),TRUE())))</f>
        <v/>
      </c>
      <c r="AM491" s="74" t="str">
        <f aca="false">IF(ISBLANK($C491),"",IF($H491=Constants!$B$2,TRUE(),IF($H491=Constants!$B$3,FALSE(),TRUE())))</f>
        <v/>
      </c>
      <c r="AN491" s="74" t="str">
        <f aca="false">IF(ISBLANK($C491),"",IF(ISNUMBER($I491),IF($I491&gt;=0,$I491,""),""))</f>
        <v/>
      </c>
      <c r="AO491" s="74" t="str">
        <f aca="false">IF(ISBLANK($C491),"",IF(ISNUMBER($J491),IF($J491&gt;=0,$J491,""),""))</f>
        <v/>
      </c>
      <c r="AP491" s="74" t="str">
        <f aca="false">IF(ISBLANK($C491),"",IF(ISNUMBER($K491),IF($K491&gt;=0,$K491,""),""))</f>
        <v/>
      </c>
      <c r="AQ491" s="74" t="str">
        <f aca="false">IF(ISBLANK($C491),"",IF($L491=Constants!$B$2,TRUE(),IF($L491=Constants!$B$3,FALSE(),TRUE())))</f>
        <v/>
      </c>
      <c r="AR491" s="74" t="str">
        <f aca="false">IF(ISBLANK($C491),"",IF($M491=Constants!$B$2,TRUE(),IF($M491=Constants!$B$3,FALSE(),TRUE())))</f>
        <v/>
      </c>
      <c r="AS491" s="74" t="str">
        <f aca="false">IF(ISBLANK($C491),"",IF($N491=Constants!$B$2,TRUE(),IF($N491=Constants!$B$3,FALSE(),FALSE())))</f>
        <v/>
      </c>
      <c r="AT491" s="74" t="str">
        <f aca="false">IF(ISBLANK($C491),"",IF($O491=Constants!$B$2,TRUE(),IF($O491=Constants!$B$3,FALSE(),TRUE())))</f>
        <v/>
      </c>
      <c r="AU491" s="74" t="str">
        <f aca="false">IF(ISBLANK($C491),"",IF($P491=Constants!$B$2,TRUE(),IF($P491=Constants!$B$3,FALSE(),TRUE())))</f>
        <v/>
      </c>
      <c r="AV491" s="74" t="str">
        <f aca="false">IF(ISBLANK($C491),"",IF($Q491=Constants!$B$2,TRUE(),IF($Q491=Constants!$B$3,FALSE(),FALSE())))</f>
        <v/>
      </c>
      <c r="AW491" s="74" t="str">
        <f aca="false">IF(ISBLANK($C491),"",IF($R491=Constants!$B$2,TRUE(),IF($R491=Constants!$B$3,FALSE(),FALSE())))</f>
        <v/>
      </c>
      <c r="AX491" s="74" t="str">
        <f aca="false">IF(ISBLANK($C491),"",IF($S491=Constants!$B$2,TRUE(),IF($S491=Constants!$B$3,FALSE(),FALSE())))</f>
        <v/>
      </c>
      <c r="AY491" s="74" t="str">
        <f aca="false">IF(ISBLANK($C491),"",IF($T491=Constants!$B$2,TRUE(),IF($T491=Constants!$B$3,FALSE(),FALSE())))</f>
        <v/>
      </c>
      <c r="AZ491" s="74" t="str">
        <f aca="false">IF(ISBLANK($C491),"",IF($U491=Constants!$B$2,TRUE(),IF($U491=Constants!$B$3,FALSE(),FALSE())))</f>
        <v/>
      </c>
      <c r="BA491" s="74" t="str">
        <f aca="false">IF(ISBLANK($C491),"",IF(OR($V491&amp;""="1",$V491&amp;""="2",$V491&amp;""="3",$V491&amp;""="4"),VALUE($V491&amp;""),IF($V491=Constants!$B$12,Constants!$B$12,"")))</f>
        <v/>
      </c>
      <c r="BB491" s="74" t="str">
        <f aca="false">IF(ISBLANK($C491),"",IF(ISBLANK($W491),0,IF(ISNUMBER($W491),IF(AND($W491&gt;=0,$W491&lt;=Constants!$B$21,$W491=INT($W491)),$W491,""),"")))</f>
        <v/>
      </c>
      <c r="BC491" s="74" t="str">
        <f aca="false">IF(ISBLANK($C491),"",IF(ISBLANK($X491),0,IF(ISNUMBER($X491),IF($X491&gt;=0,$X491,""),"")))</f>
        <v/>
      </c>
      <c r="BD491" s="74" t="str">
        <f aca="false">IF(ISBLANK($C491),"",IF($Y491=Constants!$B$2,TRUE(),IF($Y491=Constants!$B$3,FALSE(),TRUE())))</f>
        <v/>
      </c>
      <c r="BE491" s="74" t="str">
        <f aca="false">IF(ISBLANK($C491),"",IF($Z491=Constants!$B$2,TRUE(),IF($Z491=Constants!$B$3,FALSE(),FALSE())))</f>
        <v/>
      </c>
      <c r="BF491" s="74" t="str">
        <f aca="false">IF(ISBLANK($C491),"",IF(ISBLANK($AA491),0,IF(ISNUMBER($AA491),IF(AND($AA491&gt;=0,$AA491&lt;=Constants!$B$35,$AA491=INT($AA491)),$AA491,""),"")))</f>
        <v/>
      </c>
      <c r="BG491" s="74" t="str">
        <f aca="false">IF(ISBLANK($C491),"",IF($AB491=Constants!$B$2,TRUE(),IF($AB491=Constants!$B$3,FALSE(),TRUE())))</f>
        <v/>
      </c>
      <c r="BH491" s="74" t="str">
        <f aca="false">IF(ISBLANK($C491),"",IF($AC491=Constants!$B$2,TRUE(),IF($AC491=Constants!$B$3,FALSE(),TRUE())))</f>
        <v/>
      </c>
      <c r="BI491" s="74" t="str">
        <f aca="false">IF(ISBLANK($C491),"",IF($AD491=Constants!$B$2,TRUE(),IF($AD491=Constants!$B$3,FALSE(),TRUE())))</f>
        <v/>
      </c>
      <c r="BJ491" s="74" t="str">
        <f aca="false">IF(ISBLANK($C491),"",IF(ISNUMBER($AE491),IF($AE491&gt;=0,$AE491,""),""))</f>
        <v/>
      </c>
      <c r="BK491" s="74" t="str">
        <f aca="false">IF(ISBLANK($C491),"",IF($AF491=Constants!$B$2,TRUE(),IF($AF491=Constants!$B$3,FALSE(),FALSE())))</f>
        <v/>
      </c>
      <c r="BL491" s="73" t="str">
        <f aca="false">IF(ISBLANK($C491),"",IF($BK491,Constants!$B$7,IF(COUNTA($E491:$AE491)=0,Constants!$B$6,IF(OR(COUNTA($G491:$AE491)=0,NOT($AM491),$AS491),Constants!$B$5,IF(OR($CM491&lt;&gt;"",$CN491,$CO491,$CP491,$CQ491,$CR491,$CS491),Constants!$B$8,Constants!$B$4)))))</f>
        <v/>
      </c>
      <c r="BM491" s="74" t="str">
        <f aca="false">IF(ISBLANK($C491),"",IF($BL491&lt;&gt;Constants!$B$4,$BL491,IF(OR(NOT($AJ491),NOT($AL491),NOT($AT491)),Constants!$B$11,IF(OR(NOT($AR491),NOT($AU491),NOT($BI491),MAX($AN491,$AO491,$AP491)&gt;Constants!$B$30),Constants!$B$10,Constants!$B$9))))</f>
        <v/>
      </c>
      <c r="BN491" s="74" t="str">
        <f aca="false">IF($BL491&lt;&gt;Constants!$B$4,"",IF(NOT($AL491),0,MIN(Constants!$B$35,$BF491)))</f>
        <v/>
      </c>
      <c r="BO491" s="74" t="str">
        <f aca="false">IF($BL491&lt;&gt;Constants!$B$4,"",IF(NOT($AL491),0,IF($AW491,Constants!$B$18,IF($AV491,Constants!$B$17,0))))</f>
        <v/>
      </c>
      <c r="BP491" s="74" t="str">
        <f aca="false">IF($BL491&lt;&gt;Constants!$B$4,"",IF(NOT($AL491),0,Constants!$B$19*($AK491+$AX491+$AY491+$AZ491)))</f>
        <v/>
      </c>
      <c r="BQ491" s="74" t="str">
        <f aca="false">IF($BL491&lt;&gt;Constants!$B$4,"",IF(OR(NOT($AL491),NOT(ISNUMBER($BA491))),0,CHOOSE($BA491,Constants!$B$13,Constants!$B$14,Constants!$B$15,Constants!$B$16)))</f>
        <v/>
      </c>
      <c r="BR491" s="74" t="str">
        <f aca="false">IF($BL491&lt;&gt;Constants!$B$4,"",IF(NOT($AL491),0,Constants!$B$20*$BB491))</f>
        <v/>
      </c>
      <c r="BS491" s="74" t="str">
        <f aca="false">IF($BL491&lt;&gt;Constants!$B$4,"",IF(AND($AL491,$BD491,$BE491),Constants!$B$22,0))</f>
        <v/>
      </c>
      <c r="BT491" s="74" t="str">
        <f aca="false">IF($BL491&lt;&gt;Constants!$B$4,"",IF(OR(NOT($AL491),NOT($BD491)),0,IF($BJ491&gt;=2*$AH$9,0,Constants!$B$23*INT(ROUND(MIN($BJ491,$AH$9),6)))))</f>
        <v/>
      </c>
      <c r="BU491" s="74" t="str">
        <f aca="false">IF($BL491&lt;&gt;Constants!$B$4,"",IF(NOT($AL491),0,Constants!$B$24*INT(ROUND(MIN($BC491,$AH$9),6))))</f>
        <v/>
      </c>
      <c r="BV491" s="74" t="str">
        <f aca="false">IF($BL491&lt;&gt;Constants!$B$4,"",IF(AND($AL491,$BN491=0),Constants!$B$25,0))</f>
        <v/>
      </c>
      <c r="BW491" s="74" t="str">
        <f aca="false">IF($BL491&lt;&gt;Constants!$B$4,"",MIN(Constants!$B$29,MAX(0,Constants!$B$27*Constants!$B$28*INT(ROUND((Constants!$B$26-$AN491)/Constants!$B$28,6))))+MIN(Constants!$B$29,MAX(0,Constants!$B$27*Constants!$B$28*INT(ROUND((Constants!$B$26-$AO491)/Constants!$B$28,6))))+MIN(Constants!$B$29,MAX(0,Constants!$B$27*Constants!$B$28*INT(ROUND((Constants!$B$26-$AP491)/Constants!$B$28,6)))))</f>
        <v/>
      </c>
      <c r="BX491" s="74" t="str">
        <f aca="false">IF($BL491&lt;&gt;Constants!$B$4,"",IF(NOT($AL491),0,Constants!$B$31*INT(ROUND(MAX(0,MIN($BJ491,2*$AH$9)-$AH$9),6))))</f>
        <v/>
      </c>
      <c r="BY491" s="74" t="str">
        <f aca="false">IF($BL491&lt;&gt;Constants!$B$4,"",Constants!$B$32*(($AN491&gt;Constants!$B$26)+($AO491&gt;Constants!$B$26)+($AP491&gt;Constants!$B$26)))</f>
        <v/>
      </c>
      <c r="BZ491" s="74" t="str">
        <f aca="false">IF($BL491&lt;&gt;Constants!$B$4,"",IF(OR(NOT($AL491),$AQ491),0,Constants!$B$33))</f>
        <v/>
      </c>
      <c r="CA491" s="74" t="str">
        <f aca="false">IF($BL491&lt;&gt;Constants!$B$4,"",Constants!$B$34*$BN491)</f>
        <v/>
      </c>
      <c r="CB491" s="74" t="str">
        <f aca="false">IF($BL491&lt;&gt;Constants!$B$4,"",IF(OR(NOT($AL491),$BH491),0,Constants!$B$36))</f>
        <v/>
      </c>
      <c r="CC491" s="74" t="str">
        <f aca="false">IF($BL491&lt;&gt;Constants!$B$4,"",IF(OR(NOT($AL491),$BG491),0,Constants!$B$37))</f>
        <v/>
      </c>
      <c r="CD491" s="74" t="str">
        <f aca="false">IF($BL491&lt;&gt;Constants!$B$4,"",SUM($BX491:$CC491))</f>
        <v/>
      </c>
      <c r="CE491" s="74" t="str">
        <f aca="false">IF(ISBLANK($C491),"",IF($BL491&lt;&gt;Constants!$B$4,$BL491,SUM($BO491:$BW491)-$CD491))</f>
        <v/>
      </c>
      <c r="CF491" s="74" t="str">
        <f aca="false">IF(ISBLANK($C491),"",IF($BL491&lt;&gt;Constants!$B$4,$BL491,RANK($CE491,$CE$9:$CE$508)))</f>
        <v/>
      </c>
      <c r="CG491" s="74" t="str">
        <f aca="false">IF(ISBLANK($C491),"",IF($BL491&lt;&gt;Constants!$B$4,$BL491,COUNTIFS($BM$9:$BM$508,"&lt;"&amp;$BM491)+COUNTIFS($BM$9:$BM$508,$BM491,$CF$9:$CF$508,"&lt;"&amp;$CF491)+1))</f>
        <v/>
      </c>
      <c r="CH491" s="74" t="str">
        <f aca="false">IF(ISBLANK($C491),"",IF($BL491&lt;&gt;Constants!$B$4,$BL491,RANK($CD491,$CD$9:$CD$508,1)))</f>
        <v/>
      </c>
      <c r="CI491" s="74" t="str">
        <f aca="false">IF($BL491&lt;&gt;Constants!$B$4,"",$AN491+$AO491+$AP491)</f>
        <v/>
      </c>
      <c r="CJ491" s="74" t="str">
        <f aca="false">IF(ISBLANK($C491),"",IF($BL491&lt;&gt;Constants!$B$4,$BL491,RANK($CI491,$CI$9:$CI$508,1)))</f>
        <v/>
      </c>
      <c r="CK491" s="74" t="str">
        <f aca="false">IF(ISBLANK($C491),"",IF($BL491&lt;&gt;Constants!$B$4,$BL491,COUNTIFS($BM$9:$BM$508,"&lt;"&amp;$BM491)+COUNTIFS($BM$9:$BM$508,$BM491,$CF$9:$CF$508,"&lt;"&amp;$CF491)+COUNTIFS($BM$9:$BM$508,$BM491,$CF$9:$CF$508,$CF491,$CH$9:$CH$508,"&lt;"&amp;$CH491)+COUNTIFS($BM$9:$BM$508,$BM491,$CF$9:$CF$508,$CF491,$CH$9:$CH$508,$CH491,$CJ$9:$CJ$508,"&lt;"&amp;$CJ491)+1))</f>
        <v/>
      </c>
      <c r="CL491" s="74" t="str">
        <f aca="false">IF(ISBLANK($C491),"",IF($BL491&lt;&gt;Constants!$B$4,$BL491,$CG491-$CK491))</f>
        <v/>
      </c>
      <c r="CM491" s="74" t="str">
        <f aca="false">IF(ISBLANK($C491),"",IF(NOT($AL491),"",IF(ISBLANK($D$7),$CM$5,IF(NOT(ISNUMBER($D$7)),$CM$6,""))))</f>
        <v/>
      </c>
      <c r="CN491" s="74" t="str">
        <f aca="false">IF(ISBLANK($C491),"",OR($AN491="",$AO491="",$AP491=""))</f>
        <v/>
      </c>
      <c r="CO491" s="74" t="str">
        <f aca="false">IF(ISBLANK($C491),"",AND($AL491,$BA491=""))</f>
        <v/>
      </c>
      <c r="CP491" s="74" t="str">
        <f aca="false">IF(ISBLANK($C491),"",AND($AL491,$BB491=""))</f>
        <v/>
      </c>
      <c r="CQ491" s="74" t="str">
        <f aca="false">IF(ISBLANK($C491),"",AND($AL491,$BC491=""))</f>
        <v/>
      </c>
      <c r="CR491" s="74" t="str">
        <f aca="false">IF(ISBLANK($C491),"",AND($AL491,$BF491=""))</f>
        <v/>
      </c>
      <c r="CS491" s="74" t="str">
        <f aca="false">IF(ISBLANK($C491),"",AND($AL491,$BJ491=""))</f>
        <v/>
      </c>
      <c r="CT491" s="75"/>
      <c r="CU491" s="76"/>
      <c r="CV491" s="79" t="str">
        <f aca="false">IF(ISBLANK($C491),"",IF($BL491=Constants!$B$8,$CM491,""))</f>
        <v/>
      </c>
      <c r="CW491" s="76" t="str">
        <f aca="false">IF(ISBLANK($C491),"",IF($BL491&lt;&gt;Constants!$B$4,"",$BO491+$BP491))</f>
        <v/>
      </c>
      <c r="CX491" s="78" t="str">
        <f aca="false">IF(ISBLANK($C491),"",IF($BL491&lt;&gt;Constants!$B$4,"",$BQ491+$BR491+$BS491))</f>
        <v/>
      </c>
      <c r="CY491" s="78" t="str">
        <f aca="false">IF(ISBLANK($C491),"",IF($BL491&lt;&gt;Constants!$B$4,"",$BT491))</f>
        <v/>
      </c>
      <c r="CZ491" s="78" t="str">
        <f aca="false">IF(ISBLANK($C491),"",IF($BL491&lt;&gt;Constants!$B$4,"",$BU491+$BV491))</f>
        <v/>
      </c>
      <c r="DA491" s="78" t="str">
        <f aca="false">IF(ISBLANK($C491),"",IF($BL491&lt;&gt;Constants!$B$4,"",$BW491))</f>
        <v/>
      </c>
      <c r="DB491" s="78" t="str">
        <f aca="false">IF(ISBLANK($C491),"",IF($BL491&lt;&gt;Constants!$B$4,"",-$CD491))</f>
        <v/>
      </c>
      <c r="DC491" s="79" t="str">
        <f aca="false">IF(ISBLANK($C491),"",$CE491)</f>
        <v/>
      </c>
      <c r="DD491" s="80" t="str">
        <f aca="false">IF(ISBLANK($C491),"",$BM491)</f>
        <v/>
      </c>
      <c r="DE491" s="78" t="str">
        <f aca="false">IF(ISBLANK($C491),"",$CL491)</f>
        <v/>
      </c>
      <c r="DF491" s="78" t="str">
        <f aca="false">IF(ISBLANK($C491),"",$CK491)</f>
        <v/>
      </c>
      <c r="DG491" s="81" t="str">
        <f aca="false">IF(ISBLANK($C491),"",IF($DF491=Constants!$B$7,COUNTA($C$9:$C$508)+2,IF($DF491=Constants!$B$6,COUNTA($C$9:$C$508)+1,IF($DF491=Constants!$B$5,COUNTA($C$9:$C$508),$DF491))))</f>
        <v/>
      </c>
      <c r="DH491" s="7"/>
      <c r="DI491" s="82" t="n">
        <f aca="false">IF(OR(ISNUMBER($DF491),$DF491=Constants!$B$7,$DF491=Constants!$B$5,$DF491=Constants!$B$6),1,0)</f>
        <v>0</v>
      </c>
      <c r="DJ491" s="82" t="n">
        <v>483</v>
      </c>
      <c r="DK491" s="82" t="str">
        <f aca="false">IF(ISBLANK($C491),"",IF(ISNUMBER($DG491),$DG491+ROW($B491)/1000,""))</f>
        <v/>
      </c>
      <c r="DL491" s="82" t="str">
        <f aca="false">IF(ISNUMBER($DK491),RANK($DK491,$DK$9:$DK$508,1),"")</f>
        <v/>
      </c>
      <c r="DM491" s="82" t="str">
        <f aca="false">IF(ISBLANK($C491),"",$B491)</f>
        <v/>
      </c>
      <c r="DN491" s="82" t="str">
        <f aca="false">IF(ISBLANK($C491),"",$C491)</f>
        <v/>
      </c>
      <c r="DO491" s="82" t="str">
        <f aca="false">IF(ISBLANK($C491),"",$D491)</f>
        <v/>
      </c>
      <c r="DP491" s="83" t="str">
        <f aca="false">$DD491</f>
        <v/>
      </c>
      <c r="DQ491" s="84" t="str">
        <f aca="false">$DC491</f>
        <v/>
      </c>
      <c r="DR491" s="82" t="str">
        <f aca="false">IF(ISBLANK($C491),"",$DF491)</f>
        <v/>
      </c>
      <c r="DS491" s="85" t="str">
        <f aca="false">IF($DJ491&gt;$DI$8,"",VLOOKUP($DJ491,$DL$9:$DR$508,7,FALSE()))</f>
        <v/>
      </c>
      <c r="DT491" s="86" t="str">
        <f aca="false">IF($DJ491&gt;$DI$8,"",VLOOKUP($DJ491,$DL$9:$DR$508,2,FALSE()))</f>
        <v/>
      </c>
      <c r="DU491" s="86" t="str">
        <f aca="false">IF($DJ491&gt;$DI$8,"",VLOOKUP($DJ491,$DL$9:$DR$508,3,FALSE()))</f>
        <v/>
      </c>
      <c r="DV491" s="86" t="str">
        <f aca="false">IF($DJ491&gt;$DI$8,"",VLOOKUP($DJ491,$DL$9:$DR$508,4,FALSE()))</f>
        <v/>
      </c>
      <c r="DW491" s="86" t="str">
        <f aca="false">IF($DJ491&gt;$DI$8,"",VLOOKUP($DJ491,$DL$9:$DR$508,5,FALSE()))</f>
        <v/>
      </c>
      <c r="DX491" s="87" t="str">
        <f aca="false">IF($DJ491&gt;$DI$8,"",VLOOKUP($DJ491,$DL$9:$DR$508,6,FALSE()))</f>
        <v/>
      </c>
      <c r="DY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130"/>
      <c r="N492" s="130"/>
      <c r="O492" s="135"/>
      <c r="P492" s="135"/>
      <c r="Q492" s="130"/>
      <c r="R492" s="130"/>
      <c r="S492" s="130"/>
      <c r="T492" s="130"/>
      <c r="U492" s="135"/>
      <c r="V492" s="130"/>
      <c r="W492" s="96"/>
      <c r="X492" s="130"/>
      <c r="Y492" s="130"/>
      <c r="Z492" s="96"/>
      <c r="AA492" s="96"/>
      <c r="AB492" s="130"/>
      <c r="AC492" s="130"/>
      <c r="AD492" s="130"/>
      <c r="AE492" s="97"/>
      <c r="AF492" s="130"/>
      <c r="AG492" s="99"/>
      <c r="AH492" s="100"/>
      <c r="AI492" s="100"/>
      <c r="AJ492" s="100" t="str">
        <f aca="false">IF(ISBLANK($C492),"",IF($E492=Constants!$B$2,TRUE(),IF($E492=Constants!$B$3,FALSE(),TRUE())))</f>
        <v/>
      </c>
      <c r="AK492" s="100" t="str">
        <f aca="false">IF(ISBLANK($C492),"",IF($F492=Constants!$B$2,TRUE(),IF($F492=Constants!$B$3,FALSE(),FALSE())))</f>
        <v/>
      </c>
      <c r="AL492" s="100" t="str">
        <f aca="false">IF(ISBLANK($C492),"",IF($G492=Constants!$B$2,TRUE(),IF($G492=Constants!$B$3,FALSE(),TRUE())))</f>
        <v/>
      </c>
      <c r="AM492" s="100" t="str">
        <f aca="false">IF(ISBLANK($C492),"",IF($H492=Constants!$B$2,TRUE(),IF($H492=Constants!$B$3,FALSE(),TRUE())))</f>
        <v/>
      </c>
      <c r="AN492" s="100" t="str">
        <f aca="false">IF(ISBLANK($C492),"",IF(ISNUMBER($I492),IF($I492&gt;=0,$I492,""),""))</f>
        <v/>
      </c>
      <c r="AO492" s="100" t="str">
        <f aca="false">IF(ISBLANK($C492),"",IF(ISNUMBER($J492),IF($J492&gt;=0,$J492,""),""))</f>
        <v/>
      </c>
      <c r="AP492" s="100" t="str">
        <f aca="false">IF(ISBLANK($C492),"",IF(ISNUMBER($K492),IF($K492&gt;=0,$K492,""),""))</f>
        <v/>
      </c>
      <c r="AQ492" s="100" t="str">
        <f aca="false">IF(ISBLANK($C492),"",IF($L492=Constants!$B$2,TRUE(),IF($L492=Constants!$B$3,FALSE(),TRUE())))</f>
        <v/>
      </c>
      <c r="AR492" s="100" t="str">
        <f aca="false">IF(ISBLANK($C492),"",IF($M492=Constants!$B$2,TRUE(),IF($M492=Constants!$B$3,FALSE(),TRUE())))</f>
        <v/>
      </c>
      <c r="AS492" s="100" t="str">
        <f aca="false">IF(ISBLANK($C492),"",IF($N492=Constants!$B$2,TRUE(),IF($N492=Constants!$B$3,FALSE(),FALSE())))</f>
        <v/>
      </c>
      <c r="AT492" s="100" t="str">
        <f aca="false">IF(ISBLANK($C492),"",IF($O492=Constants!$B$2,TRUE(),IF($O492=Constants!$B$3,FALSE(),TRUE())))</f>
        <v/>
      </c>
      <c r="AU492" s="100" t="str">
        <f aca="false">IF(ISBLANK($C492),"",IF($P492=Constants!$B$2,TRUE(),IF($P492=Constants!$B$3,FALSE(),TRUE())))</f>
        <v/>
      </c>
      <c r="AV492" s="100" t="str">
        <f aca="false">IF(ISBLANK($C492),"",IF($Q492=Constants!$B$2,TRUE(),IF($Q492=Constants!$B$3,FALSE(),FALSE())))</f>
        <v/>
      </c>
      <c r="AW492" s="100" t="str">
        <f aca="false">IF(ISBLANK($C492),"",IF($R492=Constants!$B$2,TRUE(),IF($R492=Constants!$B$3,FALSE(),FALSE())))</f>
        <v/>
      </c>
      <c r="AX492" s="100" t="str">
        <f aca="false">IF(ISBLANK($C492),"",IF($S492=Constants!$B$2,TRUE(),IF($S492=Constants!$B$3,FALSE(),FALSE())))</f>
        <v/>
      </c>
      <c r="AY492" s="100" t="str">
        <f aca="false">IF(ISBLANK($C492),"",IF($T492=Constants!$B$2,TRUE(),IF($T492=Constants!$B$3,FALSE(),FALSE())))</f>
        <v/>
      </c>
      <c r="AZ492" s="100" t="str">
        <f aca="false">IF(ISBLANK($C492),"",IF($U492=Constants!$B$2,TRUE(),IF($U492=Constants!$B$3,FALSE(),FALSE())))</f>
        <v/>
      </c>
      <c r="BA492" s="100" t="str">
        <f aca="false">IF(ISBLANK($C492),"",IF(OR($V492&amp;""="1",$V492&amp;""="2",$V492&amp;""="3",$V492&amp;""="4"),VALUE($V492&amp;""),IF($V492=Constants!$B$12,Constants!$B$12,"")))</f>
        <v/>
      </c>
      <c r="BB492" s="100" t="str">
        <f aca="false">IF(ISBLANK($C492),"",IF(ISBLANK($W492),0,IF(ISNUMBER($W492),IF(AND($W492&gt;=0,$W492&lt;=Constants!$B$21,$W492=INT($W492)),$W492,""),"")))</f>
        <v/>
      </c>
      <c r="BC492" s="100" t="str">
        <f aca="false">IF(ISBLANK($C492),"",IF(ISBLANK($X492),0,IF(ISNUMBER($X492),IF($X492&gt;=0,$X492,""),"")))</f>
        <v/>
      </c>
      <c r="BD492" s="100" t="str">
        <f aca="false">IF(ISBLANK($C492),"",IF($Y492=Constants!$B$2,TRUE(),IF($Y492=Constants!$B$3,FALSE(),TRUE())))</f>
        <v/>
      </c>
      <c r="BE492" s="100" t="str">
        <f aca="false">IF(ISBLANK($C492),"",IF($Z492=Constants!$B$2,TRUE(),IF($Z492=Constants!$B$3,FALSE(),FALSE())))</f>
        <v/>
      </c>
      <c r="BF492" s="100" t="str">
        <f aca="false">IF(ISBLANK($C492),"",IF(ISBLANK($AA492),0,IF(ISNUMBER($AA492),IF(AND($AA492&gt;=0,$AA492&lt;=Constants!$B$35,$AA492=INT($AA492)),$AA492,""),"")))</f>
        <v/>
      </c>
      <c r="BG492" s="100" t="str">
        <f aca="false">IF(ISBLANK($C492),"",IF($AB492=Constants!$B$2,TRUE(),IF($AB492=Constants!$B$3,FALSE(),TRUE())))</f>
        <v/>
      </c>
      <c r="BH492" s="100" t="str">
        <f aca="false">IF(ISBLANK($C492),"",IF($AC492=Constants!$B$2,TRUE(),IF($AC492=Constants!$B$3,FALSE(),TRUE())))</f>
        <v/>
      </c>
      <c r="BI492" s="100" t="str">
        <f aca="false">IF(ISBLANK($C492),"",IF($AD492=Constants!$B$2,TRUE(),IF($AD492=Constants!$B$3,FALSE(),TRUE())))</f>
        <v/>
      </c>
      <c r="BJ492" s="100" t="str">
        <f aca="false">IF(ISBLANK($C492),"",IF(ISNUMBER($AE492),IF($AE492&gt;=0,$AE492,""),""))</f>
        <v/>
      </c>
      <c r="BK492" s="100" t="str">
        <f aca="false">IF(ISBLANK($C492),"",IF($AF492=Constants!$B$2,TRUE(),IF($AF492=Constants!$B$3,FALSE(),FALSE())))</f>
        <v/>
      </c>
      <c r="BL492" s="99" t="str">
        <f aca="false">IF(ISBLANK($C492),"",IF($BK492,Constants!$B$7,IF(COUNTA($E492:$AE492)=0,Constants!$B$6,IF(OR(COUNTA($G492:$AE492)=0,NOT($AM492),$AS492),Constants!$B$5,IF(OR($CM492&lt;&gt;"",$CN492,$CO492,$CP492,$CQ492,$CR492,$CS492),Constants!$B$8,Constants!$B$4)))))</f>
        <v/>
      </c>
      <c r="BM492" s="100" t="str">
        <f aca="false">IF(ISBLANK($C492),"",IF($BL492&lt;&gt;Constants!$B$4,$BL492,IF(OR(NOT($AJ492),NOT($AL492),NOT($AT492)),Constants!$B$11,IF(OR(NOT($AR492),NOT($AU492),NOT($BI492),MAX($AN492,$AO492,$AP492)&gt;Constants!$B$30),Constants!$B$10,Constants!$B$9))))</f>
        <v/>
      </c>
      <c r="BN492" s="100" t="str">
        <f aca="false">IF($BL492&lt;&gt;Constants!$B$4,"",IF(NOT($AL492),0,MIN(Constants!$B$35,$BF492)))</f>
        <v/>
      </c>
      <c r="BO492" s="100" t="str">
        <f aca="false">IF($BL492&lt;&gt;Constants!$B$4,"",IF(NOT($AL492),0,IF($AW492,Constants!$B$18,IF($AV492,Constants!$B$17,0))))</f>
        <v/>
      </c>
      <c r="BP492" s="100" t="str">
        <f aca="false">IF($BL492&lt;&gt;Constants!$B$4,"",IF(NOT($AL492),0,Constants!$B$19*($AK492+$AX492+$AY492+$AZ492)))</f>
        <v/>
      </c>
      <c r="BQ492" s="100" t="str">
        <f aca="false">IF($BL492&lt;&gt;Constants!$B$4,"",IF(OR(NOT($AL492),NOT(ISNUMBER($BA492))),0,CHOOSE($BA492,Constants!$B$13,Constants!$B$14,Constants!$B$15,Constants!$B$16)))</f>
        <v/>
      </c>
      <c r="BR492" s="100" t="str">
        <f aca="false">IF($BL492&lt;&gt;Constants!$B$4,"",IF(NOT($AL492),0,Constants!$B$20*$BB492))</f>
        <v/>
      </c>
      <c r="BS492" s="100" t="str">
        <f aca="false">IF($BL492&lt;&gt;Constants!$B$4,"",IF(AND($AL492,$BD492,$BE492),Constants!$B$22,0))</f>
        <v/>
      </c>
      <c r="BT492" s="100" t="str">
        <f aca="false">IF($BL492&lt;&gt;Constants!$B$4,"",IF(OR(NOT($AL492),NOT($BD492)),0,IF($BJ492&gt;=2*$AH$9,0,Constants!$B$23*INT(ROUND(MIN($BJ492,$AH$9),6)))))</f>
        <v/>
      </c>
      <c r="BU492" s="100" t="str">
        <f aca="false">IF($BL492&lt;&gt;Constants!$B$4,"",IF(NOT($AL492),0,Constants!$B$24*INT(ROUND(MIN($BC492,$AH$9),6))))</f>
        <v/>
      </c>
      <c r="BV492" s="100" t="str">
        <f aca="false">IF($BL492&lt;&gt;Constants!$B$4,"",IF(AND($AL492,$BN492=0),Constants!$B$25,0))</f>
        <v/>
      </c>
      <c r="BW492" s="100" t="str">
        <f aca="false">IF($BL492&lt;&gt;Constants!$B$4,"",MIN(Constants!$B$29,MAX(0,Constants!$B$27*Constants!$B$28*INT(ROUND((Constants!$B$26-$AN492)/Constants!$B$28,6))))+MIN(Constants!$B$29,MAX(0,Constants!$B$27*Constants!$B$28*INT(ROUND((Constants!$B$26-$AO492)/Constants!$B$28,6))))+MIN(Constants!$B$29,MAX(0,Constants!$B$27*Constants!$B$28*INT(ROUND((Constants!$B$26-$AP492)/Constants!$B$28,6)))))</f>
        <v/>
      </c>
      <c r="BX492" s="100" t="str">
        <f aca="false">IF($BL492&lt;&gt;Constants!$B$4,"",IF(NOT($AL492),0,Constants!$B$31*INT(ROUND(MAX(0,MIN($BJ492,2*$AH$9)-$AH$9),6))))</f>
        <v/>
      </c>
      <c r="BY492" s="100" t="str">
        <f aca="false">IF($BL492&lt;&gt;Constants!$B$4,"",Constants!$B$32*(($AN492&gt;Constants!$B$26)+($AO492&gt;Constants!$B$26)+($AP492&gt;Constants!$B$26)))</f>
        <v/>
      </c>
      <c r="BZ492" s="100" t="str">
        <f aca="false">IF($BL492&lt;&gt;Constants!$B$4,"",IF(OR(NOT($AL492),$AQ492),0,Constants!$B$33))</f>
        <v/>
      </c>
      <c r="CA492" s="100" t="str">
        <f aca="false">IF($BL492&lt;&gt;Constants!$B$4,"",Constants!$B$34*$BN492)</f>
        <v/>
      </c>
      <c r="CB492" s="100" t="str">
        <f aca="false">IF($BL492&lt;&gt;Constants!$B$4,"",IF(OR(NOT($AL492),$BH492),0,Constants!$B$36))</f>
        <v/>
      </c>
      <c r="CC492" s="100" t="str">
        <f aca="false">IF($BL492&lt;&gt;Constants!$B$4,"",IF(OR(NOT($AL492),$BG492),0,Constants!$B$37))</f>
        <v/>
      </c>
      <c r="CD492" s="100" t="str">
        <f aca="false">IF($BL492&lt;&gt;Constants!$B$4,"",SUM($BX492:$CC492))</f>
        <v/>
      </c>
      <c r="CE492" s="100" t="str">
        <f aca="false">IF(ISBLANK($C492),"",IF($BL492&lt;&gt;Constants!$B$4,$BL492,SUM($BO492:$BW492)-$CD492))</f>
        <v/>
      </c>
      <c r="CF492" s="100" t="str">
        <f aca="false">IF(ISBLANK($C492),"",IF($BL492&lt;&gt;Constants!$B$4,$BL492,RANK($CE492,$CE$9:$CE$508)))</f>
        <v/>
      </c>
      <c r="CG492" s="100" t="str">
        <f aca="false">IF(ISBLANK($C492),"",IF($BL492&lt;&gt;Constants!$B$4,$BL492,COUNTIFS($BM$9:$BM$508,"&lt;"&amp;$BM492)+COUNTIFS($BM$9:$BM$508,$BM492,$CF$9:$CF$508,"&lt;"&amp;$CF492)+1))</f>
        <v/>
      </c>
      <c r="CH492" s="100" t="str">
        <f aca="false">IF(ISBLANK($C492),"",IF($BL492&lt;&gt;Constants!$B$4,$BL492,RANK($CD492,$CD$9:$CD$508,1)))</f>
        <v/>
      </c>
      <c r="CI492" s="100" t="str">
        <f aca="false">IF($BL492&lt;&gt;Constants!$B$4,"",$AN492+$AO492+$AP492)</f>
        <v/>
      </c>
      <c r="CJ492" s="100" t="str">
        <f aca="false">IF(ISBLANK($C492),"",IF($BL492&lt;&gt;Constants!$B$4,$BL492,RANK($CI492,$CI$9:$CI$508,1)))</f>
        <v/>
      </c>
      <c r="CK492" s="100" t="str">
        <f aca="false">IF(ISBLANK($C492),"",IF($BL492&lt;&gt;Constants!$B$4,$BL492,COUNTIFS($BM$9:$BM$508,"&lt;"&amp;$BM492)+COUNTIFS($BM$9:$BM$508,$BM492,$CF$9:$CF$508,"&lt;"&amp;$CF492)+COUNTIFS($BM$9:$BM$508,$BM492,$CF$9:$CF$508,$CF492,$CH$9:$CH$508,"&lt;"&amp;$CH492)+COUNTIFS($BM$9:$BM$508,$BM492,$CF$9:$CF$508,$CF492,$CH$9:$CH$508,$CH492,$CJ$9:$CJ$508,"&lt;"&amp;$CJ492)+1))</f>
        <v/>
      </c>
      <c r="CL492" s="100" t="str">
        <f aca="false">IF(ISBLANK($C492),"",IF($BL492&lt;&gt;Constants!$B$4,$BL492,$CG492-$CK492))</f>
        <v/>
      </c>
      <c r="CM492" s="100" t="str">
        <f aca="false">IF(ISBLANK($C492),"",IF(NOT($AL492),"",IF(ISBLANK($D$7),$CM$5,IF(NOT(ISNUMBER($D$7)),$CM$6,""))))</f>
        <v/>
      </c>
      <c r="CN492" s="100" t="str">
        <f aca="false">IF(ISBLANK($C492),"",OR($AN492="",$AO492="",$AP492=""))</f>
        <v/>
      </c>
      <c r="CO492" s="100" t="str">
        <f aca="false">IF(ISBLANK($C492),"",AND($AL492,$BA492=""))</f>
        <v/>
      </c>
      <c r="CP492" s="100" t="str">
        <f aca="false">IF(ISBLANK($C492),"",AND($AL492,$BB492=""))</f>
        <v/>
      </c>
      <c r="CQ492" s="100" t="str">
        <f aca="false">IF(ISBLANK($C492),"",AND($AL492,$BC492=""))</f>
        <v/>
      </c>
      <c r="CR492" s="100" t="str">
        <f aca="false">IF(ISBLANK($C492),"",AND($AL492,$BF492=""))</f>
        <v/>
      </c>
      <c r="CS492" s="100" t="str">
        <f aca="false">IF(ISBLANK($C492),"",AND($AL492,$BJ492=""))</f>
        <v/>
      </c>
      <c r="CT492" s="101"/>
      <c r="CU492" s="102"/>
      <c r="CV492" s="103" t="str">
        <f aca="false">IF(ISBLANK($C492),"",IF($BL492=Constants!$B$8,$CM492,""))</f>
        <v/>
      </c>
      <c r="CW492" s="102" t="str">
        <f aca="false">IF(ISBLANK($C492),"",IF($BL492&lt;&gt;Constants!$B$4,"",$BO492+$BP492))</f>
        <v/>
      </c>
      <c r="CX492" s="104" t="str">
        <f aca="false">IF(ISBLANK($C492),"",IF($BL492&lt;&gt;Constants!$B$4,"",$BQ492+$BR492+$BS492))</f>
        <v/>
      </c>
      <c r="CY492" s="104" t="str">
        <f aca="false">IF(ISBLANK($C492),"",IF($BL492&lt;&gt;Constants!$B$4,"",$BT492))</f>
        <v/>
      </c>
      <c r="CZ492" s="104" t="str">
        <f aca="false">IF(ISBLANK($C492),"",IF($BL492&lt;&gt;Constants!$B$4,"",$BU492+$BV492))</f>
        <v/>
      </c>
      <c r="DA492" s="104" t="str">
        <f aca="false">IF(ISBLANK($C492),"",IF($BL492&lt;&gt;Constants!$B$4,"",$BW492))</f>
        <v/>
      </c>
      <c r="DB492" s="104" t="str">
        <f aca="false">IF(ISBLANK($C492),"",IF($BL492&lt;&gt;Constants!$B$4,"",-$CD492))</f>
        <v/>
      </c>
      <c r="DC492" s="103" t="str">
        <f aca="false">IF(ISBLANK($C492),"",$CE492)</f>
        <v/>
      </c>
      <c r="DD492" s="105" t="str">
        <f aca="false">IF(ISBLANK($C492),"",$BM492)</f>
        <v/>
      </c>
      <c r="DE492" s="104" t="str">
        <f aca="false">IF(ISBLANK($C492),"",$CL492)</f>
        <v/>
      </c>
      <c r="DF492" s="104" t="str">
        <f aca="false">IF(ISBLANK($C492),"",$CK492)</f>
        <v/>
      </c>
      <c r="DG492" s="106" t="str">
        <f aca="false">IF(ISBLANK($C492),"",IF($DF492=Constants!$B$7,COUNTA($C$9:$C$508)+2,IF($DF492=Constants!$B$6,COUNTA($C$9:$C$508)+1,IF($DF492=Constants!$B$5,COUNTA($C$9:$C$508),$DF492))))</f>
        <v/>
      </c>
      <c r="DH492" s="7"/>
      <c r="DI492" s="107" t="n">
        <f aca="false">IF(OR(ISNUMBER($DF492),$DF492=Constants!$B$7,$DF492=Constants!$B$5,$DF492=Constants!$B$6),1,0)</f>
        <v>0</v>
      </c>
      <c r="DJ492" s="107" t="n">
        <v>484</v>
      </c>
      <c r="DK492" s="107" t="str">
        <f aca="false">IF(ISBLANK($C492),"",IF(ISNUMBER($DG492),$DG492+ROW($B492)/1000,""))</f>
        <v/>
      </c>
      <c r="DL492" s="107" t="str">
        <f aca="false">IF(ISNUMBER($DK492),RANK($DK492,$DK$9:$DK$508,1),"")</f>
        <v/>
      </c>
      <c r="DM492" s="107" t="str">
        <f aca="false">IF(ISBLANK($C492),"",$B492)</f>
        <v/>
      </c>
      <c r="DN492" s="107" t="str">
        <f aca="false">IF(ISBLANK($C492),"",$C492)</f>
        <v/>
      </c>
      <c r="DO492" s="107" t="str">
        <f aca="false">IF(ISBLANK($C492),"",$D492)</f>
        <v/>
      </c>
      <c r="DP492" s="108" t="str">
        <f aca="false">$DD492</f>
        <v/>
      </c>
      <c r="DQ492" s="109" t="str">
        <f aca="false">$DC492</f>
        <v/>
      </c>
      <c r="DR492" s="107" t="str">
        <f aca="false">IF(ISBLANK($C492),"",$DF492)</f>
        <v/>
      </c>
      <c r="DS492" s="110" t="str">
        <f aca="false">IF($DJ492&gt;$DI$8,"",VLOOKUP($DJ492,$DL$9:$DR$508,7,FALSE()))</f>
        <v/>
      </c>
      <c r="DT492" s="111" t="str">
        <f aca="false">IF($DJ492&gt;$DI$8,"",VLOOKUP($DJ492,$DL$9:$DR$508,2,FALSE()))</f>
        <v/>
      </c>
      <c r="DU492" s="111" t="str">
        <f aca="false">IF($DJ492&gt;$DI$8,"",VLOOKUP($DJ492,$DL$9:$DR$508,3,FALSE()))</f>
        <v/>
      </c>
      <c r="DV492" s="111" t="str">
        <f aca="false">IF($DJ492&gt;$DI$8,"",VLOOKUP($DJ492,$DL$9:$DR$508,4,FALSE()))</f>
        <v/>
      </c>
      <c r="DW492" s="111" t="str">
        <f aca="false">IF($DJ492&gt;$DI$8,"",VLOOKUP($DJ492,$DL$9:$DR$508,5,FALSE()))</f>
        <v/>
      </c>
      <c r="DX492" s="112" t="str">
        <f aca="false">IF($DJ492&gt;$DI$8,"",VLOOKUP($DJ492,$DL$9:$DR$508,6,FALSE()))</f>
        <v/>
      </c>
      <c r="DY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130"/>
      <c r="N493" s="130"/>
      <c r="O493" s="135"/>
      <c r="P493" s="135"/>
      <c r="Q493" s="130"/>
      <c r="R493" s="130"/>
      <c r="S493" s="130"/>
      <c r="T493" s="130"/>
      <c r="U493" s="135"/>
      <c r="V493" s="130"/>
      <c r="W493" s="96"/>
      <c r="X493" s="130"/>
      <c r="Y493" s="130"/>
      <c r="Z493" s="96"/>
      <c r="AA493" s="96"/>
      <c r="AB493" s="130"/>
      <c r="AC493" s="130"/>
      <c r="AD493" s="130"/>
      <c r="AE493" s="97"/>
      <c r="AF493" s="130"/>
      <c r="AG493" s="99"/>
      <c r="AH493" s="100"/>
      <c r="AI493" s="100"/>
      <c r="AJ493" s="100" t="str">
        <f aca="false">IF(ISBLANK($C493),"",IF($E493=Constants!$B$2,TRUE(),IF($E493=Constants!$B$3,FALSE(),TRUE())))</f>
        <v/>
      </c>
      <c r="AK493" s="100" t="str">
        <f aca="false">IF(ISBLANK($C493),"",IF($F493=Constants!$B$2,TRUE(),IF($F493=Constants!$B$3,FALSE(),FALSE())))</f>
        <v/>
      </c>
      <c r="AL493" s="100" t="str">
        <f aca="false">IF(ISBLANK($C493),"",IF($G493=Constants!$B$2,TRUE(),IF($G493=Constants!$B$3,FALSE(),TRUE())))</f>
        <v/>
      </c>
      <c r="AM493" s="100" t="str">
        <f aca="false">IF(ISBLANK($C493),"",IF($H493=Constants!$B$2,TRUE(),IF($H493=Constants!$B$3,FALSE(),TRUE())))</f>
        <v/>
      </c>
      <c r="AN493" s="100" t="str">
        <f aca="false">IF(ISBLANK($C493),"",IF(ISNUMBER($I493),IF($I493&gt;=0,$I493,""),""))</f>
        <v/>
      </c>
      <c r="AO493" s="100" t="str">
        <f aca="false">IF(ISBLANK($C493),"",IF(ISNUMBER($J493),IF($J493&gt;=0,$J493,""),""))</f>
        <v/>
      </c>
      <c r="AP493" s="100" t="str">
        <f aca="false">IF(ISBLANK($C493),"",IF(ISNUMBER($K493),IF($K493&gt;=0,$K493,""),""))</f>
        <v/>
      </c>
      <c r="AQ493" s="100" t="str">
        <f aca="false">IF(ISBLANK($C493),"",IF($L493=Constants!$B$2,TRUE(),IF($L493=Constants!$B$3,FALSE(),TRUE())))</f>
        <v/>
      </c>
      <c r="AR493" s="100" t="str">
        <f aca="false">IF(ISBLANK($C493),"",IF($M493=Constants!$B$2,TRUE(),IF($M493=Constants!$B$3,FALSE(),TRUE())))</f>
        <v/>
      </c>
      <c r="AS493" s="100" t="str">
        <f aca="false">IF(ISBLANK($C493),"",IF($N493=Constants!$B$2,TRUE(),IF($N493=Constants!$B$3,FALSE(),FALSE())))</f>
        <v/>
      </c>
      <c r="AT493" s="100" t="str">
        <f aca="false">IF(ISBLANK($C493),"",IF($O493=Constants!$B$2,TRUE(),IF($O493=Constants!$B$3,FALSE(),TRUE())))</f>
        <v/>
      </c>
      <c r="AU493" s="100" t="str">
        <f aca="false">IF(ISBLANK($C493),"",IF($P493=Constants!$B$2,TRUE(),IF($P493=Constants!$B$3,FALSE(),TRUE())))</f>
        <v/>
      </c>
      <c r="AV493" s="100" t="str">
        <f aca="false">IF(ISBLANK($C493),"",IF($Q493=Constants!$B$2,TRUE(),IF($Q493=Constants!$B$3,FALSE(),FALSE())))</f>
        <v/>
      </c>
      <c r="AW493" s="100" t="str">
        <f aca="false">IF(ISBLANK($C493),"",IF($R493=Constants!$B$2,TRUE(),IF($R493=Constants!$B$3,FALSE(),FALSE())))</f>
        <v/>
      </c>
      <c r="AX493" s="100" t="str">
        <f aca="false">IF(ISBLANK($C493),"",IF($S493=Constants!$B$2,TRUE(),IF($S493=Constants!$B$3,FALSE(),FALSE())))</f>
        <v/>
      </c>
      <c r="AY493" s="100" t="str">
        <f aca="false">IF(ISBLANK($C493),"",IF($T493=Constants!$B$2,TRUE(),IF($T493=Constants!$B$3,FALSE(),FALSE())))</f>
        <v/>
      </c>
      <c r="AZ493" s="100" t="str">
        <f aca="false">IF(ISBLANK($C493),"",IF($U493=Constants!$B$2,TRUE(),IF($U493=Constants!$B$3,FALSE(),FALSE())))</f>
        <v/>
      </c>
      <c r="BA493" s="100" t="str">
        <f aca="false">IF(ISBLANK($C493),"",IF(OR($V493&amp;""="1",$V493&amp;""="2",$V493&amp;""="3",$V493&amp;""="4"),VALUE($V493&amp;""),IF($V493=Constants!$B$12,Constants!$B$12,"")))</f>
        <v/>
      </c>
      <c r="BB493" s="100" t="str">
        <f aca="false">IF(ISBLANK($C493),"",IF(ISBLANK($W493),0,IF(ISNUMBER($W493),IF(AND($W493&gt;=0,$W493&lt;=Constants!$B$21,$W493=INT($W493)),$W493,""),"")))</f>
        <v/>
      </c>
      <c r="BC493" s="100" t="str">
        <f aca="false">IF(ISBLANK($C493),"",IF(ISBLANK($X493),0,IF(ISNUMBER($X493),IF($X493&gt;=0,$X493,""),"")))</f>
        <v/>
      </c>
      <c r="BD493" s="100" t="str">
        <f aca="false">IF(ISBLANK($C493),"",IF($Y493=Constants!$B$2,TRUE(),IF($Y493=Constants!$B$3,FALSE(),TRUE())))</f>
        <v/>
      </c>
      <c r="BE493" s="100" t="str">
        <f aca="false">IF(ISBLANK($C493),"",IF($Z493=Constants!$B$2,TRUE(),IF($Z493=Constants!$B$3,FALSE(),FALSE())))</f>
        <v/>
      </c>
      <c r="BF493" s="100" t="str">
        <f aca="false">IF(ISBLANK($C493),"",IF(ISBLANK($AA493),0,IF(ISNUMBER($AA493),IF(AND($AA493&gt;=0,$AA493&lt;=Constants!$B$35,$AA493=INT($AA493)),$AA493,""),"")))</f>
        <v/>
      </c>
      <c r="BG493" s="100" t="str">
        <f aca="false">IF(ISBLANK($C493),"",IF($AB493=Constants!$B$2,TRUE(),IF($AB493=Constants!$B$3,FALSE(),TRUE())))</f>
        <v/>
      </c>
      <c r="BH493" s="100" t="str">
        <f aca="false">IF(ISBLANK($C493),"",IF($AC493=Constants!$B$2,TRUE(),IF($AC493=Constants!$B$3,FALSE(),TRUE())))</f>
        <v/>
      </c>
      <c r="BI493" s="100" t="str">
        <f aca="false">IF(ISBLANK($C493),"",IF($AD493=Constants!$B$2,TRUE(),IF($AD493=Constants!$B$3,FALSE(),TRUE())))</f>
        <v/>
      </c>
      <c r="BJ493" s="100" t="str">
        <f aca="false">IF(ISBLANK($C493),"",IF(ISNUMBER($AE493),IF($AE493&gt;=0,$AE493,""),""))</f>
        <v/>
      </c>
      <c r="BK493" s="100" t="str">
        <f aca="false">IF(ISBLANK($C493),"",IF($AF493=Constants!$B$2,TRUE(),IF($AF493=Constants!$B$3,FALSE(),FALSE())))</f>
        <v/>
      </c>
      <c r="BL493" s="99" t="str">
        <f aca="false">IF(ISBLANK($C493),"",IF($BK493,Constants!$B$7,IF(COUNTA($E493:$AE493)=0,Constants!$B$6,IF(OR(COUNTA($G493:$AE493)=0,NOT($AM493),$AS493),Constants!$B$5,IF(OR($CM493&lt;&gt;"",$CN493,$CO493,$CP493,$CQ493,$CR493,$CS493),Constants!$B$8,Constants!$B$4)))))</f>
        <v/>
      </c>
      <c r="BM493" s="100" t="str">
        <f aca="false">IF(ISBLANK($C493),"",IF($BL493&lt;&gt;Constants!$B$4,$BL493,IF(OR(NOT($AJ493),NOT($AL493),NOT($AT493)),Constants!$B$11,IF(OR(NOT($AR493),NOT($AU493),NOT($BI493),MAX($AN493,$AO493,$AP493)&gt;Constants!$B$30),Constants!$B$10,Constants!$B$9))))</f>
        <v/>
      </c>
      <c r="BN493" s="100" t="str">
        <f aca="false">IF($BL493&lt;&gt;Constants!$B$4,"",IF(NOT($AL493),0,MIN(Constants!$B$35,$BF493)))</f>
        <v/>
      </c>
      <c r="BO493" s="100" t="str">
        <f aca="false">IF($BL493&lt;&gt;Constants!$B$4,"",IF(NOT($AL493),0,IF($AW493,Constants!$B$18,IF($AV493,Constants!$B$17,0))))</f>
        <v/>
      </c>
      <c r="BP493" s="100" t="str">
        <f aca="false">IF($BL493&lt;&gt;Constants!$B$4,"",IF(NOT($AL493),0,Constants!$B$19*($AK493+$AX493+$AY493+$AZ493)))</f>
        <v/>
      </c>
      <c r="BQ493" s="100" t="str">
        <f aca="false">IF($BL493&lt;&gt;Constants!$B$4,"",IF(OR(NOT($AL493),NOT(ISNUMBER($BA493))),0,CHOOSE($BA493,Constants!$B$13,Constants!$B$14,Constants!$B$15,Constants!$B$16)))</f>
        <v/>
      </c>
      <c r="BR493" s="100" t="str">
        <f aca="false">IF($BL493&lt;&gt;Constants!$B$4,"",IF(NOT($AL493),0,Constants!$B$20*$BB493))</f>
        <v/>
      </c>
      <c r="BS493" s="100" t="str">
        <f aca="false">IF($BL493&lt;&gt;Constants!$B$4,"",IF(AND($AL493,$BD493,$BE493),Constants!$B$22,0))</f>
        <v/>
      </c>
      <c r="BT493" s="100" t="str">
        <f aca="false">IF($BL493&lt;&gt;Constants!$B$4,"",IF(OR(NOT($AL493),NOT($BD493)),0,IF($BJ493&gt;=2*$AH$9,0,Constants!$B$23*INT(ROUND(MIN($BJ493,$AH$9),6)))))</f>
        <v/>
      </c>
      <c r="BU493" s="100" t="str">
        <f aca="false">IF($BL493&lt;&gt;Constants!$B$4,"",IF(NOT($AL493),0,Constants!$B$24*INT(ROUND(MIN($BC493,$AH$9),6))))</f>
        <v/>
      </c>
      <c r="BV493" s="100" t="str">
        <f aca="false">IF($BL493&lt;&gt;Constants!$B$4,"",IF(AND($AL493,$BN493=0),Constants!$B$25,0))</f>
        <v/>
      </c>
      <c r="BW493" s="100" t="str">
        <f aca="false">IF($BL493&lt;&gt;Constants!$B$4,"",MIN(Constants!$B$29,MAX(0,Constants!$B$27*Constants!$B$28*INT(ROUND((Constants!$B$26-$AN493)/Constants!$B$28,6))))+MIN(Constants!$B$29,MAX(0,Constants!$B$27*Constants!$B$28*INT(ROUND((Constants!$B$26-$AO493)/Constants!$B$28,6))))+MIN(Constants!$B$29,MAX(0,Constants!$B$27*Constants!$B$28*INT(ROUND((Constants!$B$26-$AP493)/Constants!$B$28,6)))))</f>
        <v/>
      </c>
      <c r="BX493" s="100" t="str">
        <f aca="false">IF($BL493&lt;&gt;Constants!$B$4,"",IF(NOT($AL493),0,Constants!$B$31*INT(ROUND(MAX(0,MIN($BJ493,2*$AH$9)-$AH$9),6))))</f>
        <v/>
      </c>
      <c r="BY493" s="100" t="str">
        <f aca="false">IF($BL493&lt;&gt;Constants!$B$4,"",Constants!$B$32*(($AN493&gt;Constants!$B$26)+($AO493&gt;Constants!$B$26)+($AP493&gt;Constants!$B$26)))</f>
        <v/>
      </c>
      <c r="BZ493" s="100" t="str">
        <f aca="false">IF($BL493&lt;&gt;Constants!$B$4,"",IF(OR(NOT($AL493),$AQ493),0,Constants!$B$33))</f>
        <v/>
      </c>
      <c r="CA493" s="100" t="str">
        <f aca="false">IF($BL493&lt;&gt;Constants!$B$4,"",Constants!$B$34*$BN493)</f>
        <v/>
      </c>
      <c r="CB493" s="100" t="str">
        <f aca="false">IF($BL493&lt;&gt;Constants!$B$4,"",IF(OR(NOT($AL493),$BH493),0,Constants!$B$36))</f>
        <v/>
      </c>
      <c r="CC493" s="100" t="str">
        <f aca="false">IF($BL493&lt;&gt;Constants!$B$4,"",IF(OR(NOT($AL493),$BG493),0,Constants!$B$37))</f>
        <v/>
      </c>
      <c r="CD493" s="100" t="str">
        <f aca="false">IF($BL493&lt;&gt;Constants!$B$4,"",SUM($BX493:$CC493))</f>
        <v/>
      </c>
      <c r="CE493" s="100" t="str">
        <f aca="false">IF(ISBLANK($C493),"",IF($BL493&lt;&gt;Constants!$B$4,$BL493,SUM($BO493:$BW493)-$CD493))</f>
        <v/>
      </c>
      <c r="CF493" s="100" t="str">
        <f aca="false">IF(ISBLANK($C493),"",IF($BL493&lt;&gt;Constants!$B$4,$BL493,RANK($CE493,$CE$9:$CE$508)))</f>
        <v/>
      </c>
      <c r="CG493" s="100" t="str">
        <f aca="false">IF(ISBLANK($C493),"",IF($BL493&lt;&gt;Constants!$B$4,$BL493,COUNTIFS($BM$9:$BM$508,"&lt;"&amp;$BM493)+COUNTIFS($BM$9:$BM$508,$BM493,$CF$9:$CF$508,"&lt;"&amp;$CF493)+1))</f>
        <v/>
      </c>
      <c r="CH493" s="100" t="str">
        <f aca="false">IF(ISBLANK($C493),"",IF($BL493&lt;&gt;Constants!$B$4,$BL493,RANK($CD493,$CD$9:$CD$508,1)))</f>
        <v/>
      </c>
      <c r="CI493" s="100" t="str">
        <f aca="false">IF($BL493&lt;&gt;Constants!$B$4,"",$AN493+$AO493+$AP493)</f>
        <v/>
      </c>
      <c r="CJ493" s="100" t="str">
        <f aca="false">IF(ISBLANK($C493),"",IF($BL493&lt;&gt;Constants!$B$4,$BL493,RANK($CI493,$CI$9:$CI$508,1)))</f>
        <v/>
      </c>
      <c r="CK493" s="100" t="str">
        <f aca="false">IF(ISBLANK($C493),"",IF($BL493&lt;&gt;Constants!$B$4,$BL493,COUNTIFS($BM$9:$BM$508,"&lt;"&amp;$BM493)+COUNTIFS($BM$9:$BM$508,$BM493,$CF$9:$CF$508,"&lt;"&amp;$CF493)+COUNTIFS($BM$9:$BM$508,$BM493,$CF$9:$CF$508,$CF493,$CH$9:$CH$508,"&lt;"&amp;$CH493)+COUNTIFS($BM$9:$BM$508,$BM493,$CF$9:$CF$508,$CF493,$CH$9:$CH$508,$CH493,$CJ$9:$CJ$508,"&lt;"&amp;$CJ493)+1))</f>
        <v/>
      </c>
      <c r="CL493" s="100" t="str">
        <f aca="false">IF(ISBLANK($C493),"",IF($BL493&lt;&gt;Constants!$B$4,$BL493,$CG493-$CK493))</f>
        <v/>
      </c>
      <c r="CM493" s="100" t="str">
        <f aca="false">IF(ISBLANK($C493),"",IF(NOT($AL493),"",IF(ISBLANK($D$7),$CM$5,IF(NOT(ISNUMBER($D$7)),$CM$6,""))))</f>
        <v/>
      </c>
      <c r="CN493" s="100" t="str">
        <f aca="false">IF(ISBLANK($C493),"",OR($AN493="",$AO493="",$AP493=""))</f>
        <v/>
      </c>
      <c r="CO493" s="100" t="str">
        <f aca="false">IF(ISBLANK($C493),"",AND($AL493,$BA493=""))</f>
        <v/>
      </c>
      <c r="CP493" s="100" t="str">
        <f aca="false">IF(ISBLANK($C493),"",AND($AL493,$BB493=""))</f>
        <v/>
      </c>
      <c r="CQ493" s="100" t="str">
        <f aca="false">IF(ISBLANK($C493),"",AND($AL493,$BC493=""))</f>
        <v/>
      </c>
      <c r="CR493" s="100" t="str">
        <f aca="false">IF(ISBLANK($C493),"",AND($AL493,$BF493=""))</f>
        <v/>
      </c>
      <c r="CS493" s="100" t="str">
        <f aca="false">IF(ISBLANK($C493),"",AND($AL493,$BJ493=""))</f>
        <v/>
      </c>
      <c r="CT493" s="101"/>
      <c r="CU493" s="102"/>
      <c r="CV493" s="103" t="str">
        <f aca="false">IF(ISBLANK($C493),"",IF($BL493=Constants!$B$8,$CM493,""))</f>
        <v/>
      </c>
      <c r="CW493" s="102" t="str">
        <f aca="false">IF(ISBLANK($C493),"",IF($BL493&lt;&gt;Constants!$B$4,"",$BO493+$BP493))</f>
        <v/>
      </c>
      <c r="CX493" s="104" t="str">
        <f aca="false">IF(ISBLANK($C493),"",IF($BL493&lt;&gt;Constants!$B$4,"",$BQ493+$BR493+$BS493))</f>
        <v/>
      </c>
      <c r="CY493" s="104" t="str">
        <f aca="false">IF(ISBLANK($C493),"",IF($BL493&lt;&gt;Constants!$B$4,"",$BT493))</f>
        <v/>
      </c>
      <c r="CZ493" s="104" t="str">
        <f aca="false">IF(ISBLANK($C493),"",IF($BL493&lt;&gt;Constants!$B$4,"",$BU493+$BV493))</f>
        <v/>
      </c>
      <c r="DA493" s="104" t="str">
        <f aca="false">IF(ISBLANK($C493),"",IF($BL493&lt;&gt;Constants!$B$4,"",$BW493))</f>
        <v/>
      </c>
      <c r="DB493" s="104" t="str">
        <f aca="false">IF(ISBLANK($C493),"",IF($BL493&lt;&gt;Constants!$B$4,"",-$CD493))</f>
        <v/>
      </c>
      <c r="DC493" s="103" t="str">
        <f aca="false">IF(ISBLANK($C493),"",$CE493)</f>
        <v/>
      </c>
      <c r="DD493" s="105" t="str">
        <f aca="false">IF(ISBLANK($C493),"",$BM493)</f>
        <v/>
      </c>
      <c r="DE493" s="104" t="str">
        <f aca="false">IF(ISBLANK($C493),"",$CL493)</f>
        <v/>
      </c>
      <c r="DF493" s="104" t="str">
        <f aca="false">IF(ISBLANK($C493),"",$CK493)</f>
        <v/>
      </c>
      <c r="DG493" s="106" t="str">
        <f aca="false">IF(ISBLANK($C493),"",IF($DF493=Constants!$B$7,COUNTA($C$9:$C$508)+2,IF($DF493=Constants!$B$6,COUNTA($C$9:$C$508)+1,IF($DF493=Constants!$B$5,COUNTA($C$9:$C$508),$DF493))))</f>
        <v/>
      </c>
      <c r="DH493" s="7"/>
      <c r="DI493" s="107" t="n">
        <f aca="false">IF(OR(ISNUMBER($DF493),$DF493=Constants!$B$7,$DF493=Constants!$B$5,$DF493=Constants!$B$6),1,0)</f>
        <v>0</v>
      </c>
      <c r="DJ493" s="107" t="n">
        <v>485</v>
      </c>
      <c r="DK493" s="107" t="str">
        <f aca="false">IF(ISBLANK($C493),"",IF(ISNUMBER($DG493),$DG493+ROW($B493)/1000,""))</f>
        <v/>
      </c>
      <c r="DL493" s="107" t="str">
        <f aca="false">IF(ISNUMBER($DK493),RANK($DK493,$DK$9:$DK$508,1),"")</f>
        <v/>
      </c>
      <c r="DM493" s="107" t="str">
        <f aca="false">IF(ISBLANK($C493),"",$B493)</f>
        <v/>
      </c>
      <c r="DN493" s="107" t="str">
        <f aca="false">IF(ISBLANK($C493),"",$C493)</f>
        <v/>
      </c>
      <c r="DO493" s="107" t="str">
        <f aca="false">IF(ISBLANK($C493),"",$D493)</f>
        <v/>
      </c>
      <c r="DP493" s="108" t="str">
        <f aca="false">$DD493</f>
        <v/>
      </c>
      <c r="DQ493" s="109" t="str">
        <f aca="false">$DC493</f>
        <v/>
      </c>
      <c r="DR493" s="107" t="str">
        <f aca="false">IF(ISBLANK($C493),"",$DF493)</f>
        <v/>
      </c>
      <c r="DS493" s="110" t="str">
        <f aca="false">IF($DJ493&gt;$DI$8,"",VLOOKUP($DJ493,$DL$9:$DR$508,7,FALSE()))</f>
        <v/>
      </c>
      <c r="DT493" s="111" t="str">
        <f aca="false">IF($DJ493&gt;$DI$8,"",VLOOKUP($DJ493,$DL$9:$DR$508,2,FALSE()))</f>
        <v/>
      </c>
      <c r="DU493" s="111" t="str">
        <f aca="false">IF($DJ493&gt;$DI$8,"",VLOOKUP($DJ493,$DL$9:$DR$508,3,FALSE()))</f>
        <v/>
      </c>
      <c r="DV493" s="111" t="str">
        <f aca="false">IF($DJ493&gt;$DI$8,"",VLOOKUP($DJ493,$DL$9:$DR$508,4,FALSE()))</f>
        <v/>
      </c>
      <c r="DW493" s="111" t="str">
        <f aca="false">IF($DJ493&gt;$DI$8,"",VLOOKUP($DJ493,$DL$9:$DR$508,5,FALSE()))</f>
        <v/>
      </c>
      <c r="DX493" s="112" t="str">
        <f aca="false">IF($DJ493&gt;$DI$8,"",VLOOKUP($DJ493,$DL$9:$DR$508,6,FALSE()))</f>
        <v/>
      </c>
      <c r="DY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130"/>
      <c r="N494" s="130"/>
      <c r="O494" s="135"/>
      <c r="P494" s="135"/>
      <c r="Q494" s="130"/>
      <c r="R494" s="130"/>
      <c r="S494" s="130"/>
      <c r="T494" s="130"/>
      <c r="U494" s="135"/>
      <c r="V494" s="130"/>
      <c r="W494" s="96"/>
      <c r="X494" s="130"/>
      <c r="Y494" s="130"/>
      <c r="Z494" s="96"/>
      <c r="AA494" s="96"/>
      <c r="AB494" s="130"/>
      <c r="AC494" s="130"/>
      <c r="AD494" s="130"/>
      <c r="AE494" s="97"/>
      <c r="AF494" s="130"/>
      <c r="AG494" s="99"/>
      <c r="AH494" s="100"/>
      <c r="AI494" s="100"/>
      <c r="AJ494" s="100" t="str">
        <f aca="false">IF(ISBLANK($C494),"",IF($E494=Constants!$B$2,TRUE(),IF($E494=Constants!$B$3,FALSE(),TRUE())))</f>
        <v/>
      </c>
      <c r="AK494" s="100" t="str">
        <f aca="false">IF(ISBLANK($C494),"",IF($F494=Constants!$B$2,TRUE(),IF($F494=Constants!$B$3,FALSE(),FALSE())))</f>
        <v/>
      </c>
      <c r="AL494" s="100" t="str">
        <f aca="false">IF(ISBLANK($C494),"",IF($G494=Constants!$B$2,TRUE(),IF($G494=Constants!$B$3,FALSE(),TRUE())))</f>
        <v/>
      </c>
      <c r="AM494" s="100" t="str">
        <f aca="false">IF(ISBLANK($C494),"",IF($H494=Constants!$B$2,TRUE(),IF($H494=Constants!$B$3,FALSE(),TRUE())))</f>
        <v/>
      </c>
      <c r="AN494" s="100" t="str">
        <f aca="false">IF(ISBLANK($C494),"",IF(ISNUMBER($I494),IF($I494&gt;=0,$I494,""),""))</f>
        <v/>
      </c>
      <c r="AO494" s="100" t="str">
        <f aca="false">IF(ISBLANK($C494),"",IF(ISNUMBER($J494),IF($J494&gt;=0,$J494,""),""))</f>
        <v/>
      </c>
      <c r="AP494" s="100" t="str">
        <f aca="false">IF(ISBLANK($C494),"",IF(ISNUMBER($K494),IF($K494&gt;=0,$K494,""),""))</f>
        <v/>
      </c>
      <c r="AQ494" s="100" t="str">
        <f aca="false">IF(ISBLANK($C494),"",IF($L494=Constants!$B$2,TRUE(),IF($L494=Constants!$B$3,FALSE(),TRUE())))</f>
        <v/>
      </c>
      <c r="AR494" s="100" t="str">
        <f aca="false">IF(ISBLANK($C494),"",IF($M494=Constants!$B$2,TRUE(),IF($M494=Constants!$B$3,FALSE(),TRUE())))</f>
        <v/>
      </c>
      <c r="AS494" s="100" t="str">
        <f aca="false">IF(ISBLANK($C494),"",IF($N494=Constants!$B$2,TRUE(),IF($N494=Constants!$B$3,FALSE(),FALSE())))</f>
        <v/>
      </c>
      <c r="AT494" s="100" t="str">
        <f aca="false">IF(ISBLANK($C494),"",IF($O494=Constants!$B$2,TRUE(),IF($O494=Constants!$B$3,FALSE(),TRUE())))</f>
        <v/>
      </c>
      <c r="AU494" s="100" t="str">
        <f aca="false">IF(ISBLANK($C494),"",IF($P494=Constants!$B$2,TRUE(),IF($P494=Constants!$B$3,FALSE(),TRUE())))</f>
        <v/>
      </c>
      <c r="AV494" s="100" t="str">
        <f aca="false">IF(ISBLANK($C494),"",IF($Q494=Constants!$B$2,TRUE(),IF($Q494=Constants!$B$3,FALSE(),FALSE())))</f>
        <v/>
      </c>
      <c r="AW494" s="100" t="str">
        <f aca="false">IF(ISBLANK($C494),"",IF($R494=Constants!$B$2,TRUE(),IF($R494=Constants!$B$3,FALSE(),FALSE())))</f>
        <v/>
      </c>
      <c r="AX494" s="100" t="str">
        <f aca="false">IF(ISBLANK($C494),"",IF($S494=Constants!$B$2,TRUE(),IF($S494=Constants!$B$3,FALSE(),FALSE())))</f>
        <v/>
      </c>
      <c r="AY494" s="100" t="str">
        <f aca="false">IF(ISBLANK($C494),"",IF($T494=Constants!$B$2,TRUE(),IF($T494=Constants!$B$3,FALSE(),FALSE())))</f>
        <v/>
      </c>
      <c r="AZ494" s="100" t="str">
        <f aca="false">IF(ISBLANK($C494),"",IF($U494=Constants!$B$2,TRUE(),IF($U494=Constants!$B$3,FALSE(),FALSE())))</f>
        <v/>
      </c>
      <c r="BA494" s="100" t="str">
        <f aca="false">IF(ISBLANK($C494),"",IF(OR($V494&amp;""="1",$V494&amp;""="2",$V494&amp;""="3",$V494&amp;""="4"),VALUE($V494&amp;""),IF($V494=Constants!$B$12,Constants!$B$12,"")))</f>
        <v/>
      </c>
      <c r="BB494" s="100" t="str">
        <f aca="false">IF(ISBLANK($C494),"",IF(ISBLANK($W494),0,IF(ISNUMBER($W494),IF(AND($W494&gt;=0,$W494&lt;=Constants!$B$21,$W494=INT($W494)),$W494,""),"")))</f>
        <v/>
      </c>
      <c r="BC494" s="100" t="str">
        <f aca="false">IF(ISBLANK($C494),"",IF(ISBLANK($X494),0,IF(ISNUMBER($X494),IF($X494&gt;=0,$X494,""),"")))</f>
        <v/>
      </c>
      <c r="BD494" s="100" t="str">
        <f aca="false">IF(ISBLANK($C494),"",IF($Y494=Constants!$B$2,TRUE(),IF($Y494=Constants!$B$3,FALSE(),TRUE())))</f>
        <v/>
      </c>
      <c r="BE494" s="100" t="str">
        <f aca="false">IF(ISBLANK($C494),"",IF($Z494=Constants!$B$2,TRUE(),IF($Z494=Constants!$B$3,FALSE(),FALSE())))</f>
        <v/>
      </c>
      <c r="BF494" s="100" t="str">
        <f aca="false">IF(ISBLANK($C494),"",IF(ISBLANK($AA494),0,IF(ISNUMBER($AA494),IF(AND($AA494&gt;=0,$AA494&lt;=Constants!$B$35,$AA494=INT($AA494)),$AA494,""),"")))</f>
        <v/>
      </c>
      <c r="BG494" s="100" t="str">
        <f aca="false">IF(ISBLANK($C494),"",IF($AB494=Constants!$B$2,TRUE(),IF($AB494=Constants!$B$3,FALSE(),TRUE())))</f>
        <v/>
      </c>
      <c r="BH494" s="100" t="str">
        <f aca="false">IF(ISBLANK($C494),"",IF($AC494=Constants!$B$2,TRUE(),IF($AC494=Constants!$B$3,FALSE(),TRUE())))</f>
        <v/>
      </c>
      <c r="BI494" s="100" t="str">
        <f aca="false">IF(ISBLANK($C494),"",IF($AD494=Constants!$B$2,TRUE(),IF($AD494=Constants!$B$3,FALSE(),TRUE())))</f>
        <v/>
      </c>
      <c r="BJ494" s="100" t="str">
        <f aca="false">IF(ISBLANK($C494),"",IF(ISNUMBER($AE494),IF($AE494&gt;=0,$AE494,""),""))</f>
        <v/>
      </c>
      <c r="BK494" s="100" t="str">
        <f aca="false">IF(ISBLANK($C494),"",IF($AF494=Constants!$B$2,TRUE(),IF($AF494=Constants!$B$3,FALSE(),FALSE())))</f>
        <v/>
      </c>
      <c r="BL494" s="99" t="str">
        <f aca="false">IF(ISBLANK($C494),"",IF($BK494,Constants!$B$7,IF(COUNTA($E494:$AE494)=0,Constants!$B$6,IF(OR(COUNTA($G494:$AE494)=0,NOT($AM494),$AS494),Constants!$B$5,IF(OR($CM494&lt;&gt;"",$CN494,$CO494,$CP494,$CQ494,$CR494,$CS494),Constants!$B$8,Constants!$B$4)))))</f>
        <v/>
      </c>
      <c r="BM494" s="100" t="str">
        <f aca="false">IF(ISBLANK($C494),"",IF($BL494&lt;&gt;Constants!$B$4,$BL494,IF(OR(NOT($AJ494),NOT($AL494),NOT($AT494)),Constants!$B$11,IF(OR(NOT($AR494),NOT($AU494),NOT($BI494),MAX($AN494,$AO494,$AP494)&gt;Constants!$B$30),Constants!$B$10,Constants!$B$9))))</f>
        <v/>
      </c>
      <c r="BN494" s="100" t="str">
        <f aca="false">IF($BL494&lt;&gt;Constants!$B$4,"",IF(NOT($AL494),0,MIN(Constants!$B$35,$BF494)))</f>
        <v/>
      </c>
      <c r="BO494" s="100" t="str">
        <f aca="false">IF($BL494&lt;&gt;Constants!$B$4,"",IF(NOT($AL494),0,IF($AW494,Constants!$B$18,IF($AV494,Constants!$B$17,0))))</f>
        <v/>
      </c>
      <c r="BP494" s="100" t="str">
        <f aca="false">IF($BL494&lt;&gt;Constants!$B$4,"",IF(NOT($AL494),0,Constants!$B$19*($AK494+$AX494+$AY494+$AZ494)))</f>
        <v/>
      </c>
      <c r="BQ494" s="100" t="str">
        <f aca="false">IF($BL494&lt;&gt;Constants!$B$4,"",IF(OR(NOT($AL494),NOT(ISNUMBER($BA494))),0,CHOOSE($BA494,Constants!$B$13,Constants!$B$14,Constants!$B$15,Constants!$B$16)))</f>
        <v/>
      </c>
      <c r="BR494" s="100" t="str">
        <f aca="false">IF($BL494&lt;&gt;Constants!$B$4,"",IF(NOT($AL494),0,Constants!$B$20*$BB494))</f>
        <v/>
      </c>
      <c r="BS494" s="100" t="str">
        <f aca="false">IF($BL494&lt;&gt;Constants!$B$4,"",IF(AND($AL494,$BD494,$BE494),Constants!$B$22,0))</f>
        <v/>
      </c>
      <c r="BT494" s="100" t="str">
        <f aca="false">IF($BL494&lt;&gt;Constants!$B$4,"",IF(OR(NOT($AL494),NOT($BD494)),0,IF($BJ494&gt;=2*$AH$9,0,Constants!$B$23*INT(ROUND(MIN($BJ494,$AH$9),6)))))</f>
        <v/>
      </c>
      <c r="BU494" s="100" t="str">
        <f aca="false">IF($BL494&lt;&gt;Constants!$B$4,"",IF(NOT($AL494),0,Constants!$B$24*INT(ROUND(MIN($BC494,$AH$9),6))))</f>
        <v/>
      </c>
      <c r="BV494" s="100" t="str">
        <f aca="false">IF($BL494&lt;&gt;Constants!$B$4,"",IF(AND($AL494,$BN494=0),Constants!$B$25,0))</f>
        <v/>
      </c>
      <c r="BW494" s="100" t="str">
        <f aca="false">IF($BL494&lt;&gt;Constants!$B$4,"",MIN(Constants!$B$29,MAX(0,Constants!$B$27*Constants!$B$28*INT(ROUND((Constants!$B$26-$AN494)/Constants!$B$28,6))))+MIN(Constants!$B$29,MAX(0,Constants!$B$27*Constants!$B$28*INT(ROUND((Constants!$B$26-$AO494)/Constants!$B$28,6))))+MIN(Constants!$B$29,MAX(0,Constants!$B$27*Constants!$B$28*INT(ROUND((Constants!$B$26-$AP494)/Constants!$B$28,6)))))</f>
        <v/>
      </c>
      <c r="BX494" s="100" t="str">
        <f aca="false">IF($BL494&lt;&gt;Constants!$B$4,"",IF(NOT($AL494),0,Constants!$B$31*INT(ROUND(MAX(0,MIN($BJ494,2*$AH$9)-$AH$9),6))))</f>
        <v/>
      </c>
      <c r="BY494" s="100" t="str">
        <f aca="false">IF($BL494&lt;&gt;Constants!$B$4,"",Constants!$B$32*(($AN494&gt;Constants!$B$26)+($AO494&gt;Constants!$B$26)+($AP494&gt;Constants!$B$26)))</f>
        <v/>
      </c>
      <c r="BZ494" s="100" t="str">
        <f aca="false">IF($BL494&lt;&gt;Constants!$B$4,"",IF(OR(NOT($AL494),$AQ494),0,Constants!$B$33))</f>
        <v/>
      </c>
      <c r="CA494" s="100" t="str">
        <f aca="false">IF($BL494&lt;&gt;Constants!$B$4,"",Constants!$B$34*$BN494)</f>
        <v/>
      </c>
      <c r="CB494" s="100" t="str">
        <f aca="false">IF($BL494&lt;&gt;Constants!$B$4,"",IF(OR(NOT($AL494),$BH494),0,Constants!$B$36))</f>
        <v/>
      </c>
      <c r="CC494" s="100" t="str">
        <f aca="false">IF($BL494&lt;&gt;Constants!$B$4,"",IF(OR(NOT($AL494),$BG494),0,Constants!$B$37))</f>
        <v/>
      </c>
      <c r="CD494" s="100" t="str">
        <f aca="false">IF($BL494&lt;&gt;Constants!$B$4,"",SUM($BX494:$CC494))</f>
        <v/>
      </c>
      <c r="CE494" s="100" t="str">
        <f aca="false">IF(ISBLANK($C494),"",IF($BL494&lt;&gt;Constants!$B$4,$BL494,SUM($BO494:$BW494)-$CD494))</f>
        <v/>
      </c>
      <c r="CF494" s="100" t="str">
        <f aca="false">IF(ISBLANK($C494),"",IF($BL494&lt;&gt;Constants!$B$4,$BL494,RANK($CE494,$CE$9:$CE$508)))</f>
        <v/>
      </c>
      <c r="CG494" s="100" t="str">
        <f aca="false">IF(ISBLANK($C494),"",IF($BL494&lt;&gt;Constants!$B$4,$BL494,COUNTIFS($BM$9:$BM$508,"&lt;"&amp;$BM494)+COUNTIFS($BM$9:$BM$508,$BM494,$CF$9:$CF$508,"&lt;"&amp;$CF494)+1))</f>
        <v/>
      </c>
      <c r="CH494" s="100" t="str">
        <f aca="false">IF(ISBLANK($C494),"",IF($BL494&lt;&gt;Constants!$B$4,$BL494,RANK($CD494,$CD$9:$CD$508,1)))</f>
        <v/>
      </c>
      <c r="CI494" s="100" t="str">
        <f aca="false">IF($BL494&lt;&gt;Constants!$B$4,"",$AN494+$AO494+$AP494)</f>
        <v/>
      </c>
      <c r="CJ494" s="100" t="str">
        <f aca="false">IF(ISBLANK($C494),"",IF($BL494&lt;&gt;Constants!$B$4,$BL494,RANK($CI494,$CI$9:$CI$508,1)))</f>
        <v/>
      </c>
      <c r="CK494" s="100" t="str">
        <f aca="false">IF(ISBLANK($C494),"",IF($BL494&lt;&gt;Constants!$B$4,$BL494,COUNTIFS($BM$9:$BM$508,"&lt;"&amp;$BM494)+COUNTIFS($BM$9:$BM$508,$BM494,$CF$9:$CF$508,"&lt;"&amp;$CF494)+COUNTIFS($BM$9:$BM$508,$BM494,$CF$9:$CF$508,$CF494,$CH$9:$CH$508,"&lt;"&amp;$CH494)+COUNTIFS($BM$9:$BM$508,$BM494,$CF$9:$CF$508,$CF494,$CH$9:$CH$508,$CH494,$CJ$9:$CJ$508,"&lt;"&amp;$CJ494)+1))</f>
        <v/>
      </c>
      <c r="CL494" s="100" t="str">
        <f aca="false">IF(ISBLANK($C494),"",IF($BL494&lt;&gt;Constants!$B$4,$BL494,$CG494-$CK494))</f>
        <v/>
      </c>
      <c r="CM494" s="100" t="str">
        <f aca="false">IF(ISBLANK($C494),"",IF(NOT($AL494),"",IF(ISBLANK($D$7),$CM$5,IF(NOT(ISNUMBER($D$7)),$CM$6,""))))</f>
        <v/>
      </c>
      <c r="CN494" s="100" t="str">
        <f aca="false">IF(ISBLANK($C494),"",OR($AN494="",$AO494="",$AP494=""))</f>
        <v/>
      </c>
      <c r="CO494" s="100" t="str">
        <f aca="false">IF(ISBLANK($C494),"",AND($AL494,$BA494=""))</f>
        <v/>
      </c>
      <c r="CP494" s="100" t="str">
        <f aca="false">IF(ISBLANK($C494),"",AND($AL494,$BB494=""))</f>
        <v/>
      </c>
      <c r="CQ494" s="100" t="str">
        <f aca="false">IF(ISBLANK($C494),"",AND($AL494,$BC494=""))</f>
        <v/>
      </c>
      <c r="CR494" s="100" t="str">
        <f aca="false">IF(ISBLANK($C494),"",AND($AL494,$BF494=""))</f>
        <v/>
      </c>
      <c r="CS494" s="100" t="str">
        <f aca="false">IF(ISBLANK($C494),"",AND($AL494,$BJ494=""))</f>
        <v/>
      </c>
      <c r="CT494" s="101"/>
      <c r="CU494" s="102"/>
      <c r="CV494" s="103" t="str">
        <f aca="false">IF(ISBLANK($C494),"",IF($BL494=Constants!$B$8,$CM494,""))</f>
        <v/>
      </c>
      <c r="CW494" s="102" t="str">
        <f aca="false">IF(ISBLANK($C494),"",IF($BL494&lt;&gt;Constants!$B$4,"",$BO494+$BP494))</f>
        <v/>
      </c>
      <c r="CX494" s="104" t="str">
        <f aca="false">IF(ISBLANK($C494),"",IF($BL494&lt;&gt;Constants!$B$4,"",$BQ494+$BR494+$BS494))</f>
        <v/>
      </c>
      <c r="CY494" s="104" t="str">
        <f aca="false">IF(ISBLANK($C494),"",IF($BL494&lt;&gt;Constants!$B$4,"",$BT494))</f>
        <v/>
      </c>
      <c r="CZ494" s="104" t="str">
        <f aca="false">IF(ISBLANK($C494),"",IF($BL494&lt;&gt;Constants!$B$4,"",$BU494+$BV494))</f>
        <v/>
      </c>
      <c r="DA494" s="104" t="str">
        <f aca="false">IF(ISBLANK($C494),"",IF($BL494&lt;&gt;Constants!$B$4,"",$BW494))</f>
        <v/>
      </c>
      <c r="DB494" s="104" t="str">
        <f aca="false">IF(ISBLANK($C494),"",IF($BL494&lt;&gt;Constants!$B$4,"",-$CD494))</f>
        <v/>
      </c>
      <c r="DC494" s="103" t="str">
        <f aca="false">IF(ISBLANK($C494),"",$CE494)</f>
        <v/>
      </c>
      <c r="DD494" s="105" t="str">
        <f aca="false">IF(ISBLANK($C494),"",$BM494)</f>
        <v/>
      </c>
      <c r="DE494" s="104" t="str">
        <f aca="false">IF(ISBLANK($C494),"",$CL494)</f>
        <v/>
      </c>
      <c r="DF494" s="104" t="str">
        <f aca="false">IF(ISBLANK($C494),"",$CK494)</f>
        <v/>
      </c>
      <c r="DG494" s="106" t="str">
        <f aca="false">IF(ISBLANK($C494),"",IF($DF494=Constants!$B$7,COUNTA($C$9:$C$508)+2,IF($DF494=Constants!$B$6,COUNTA($C$9:$C$508)+1,IF($DF494=Constants!$B$5,COUNTA($C$9:$C$508),$DF494))))</f>
        <v/>
      </c>
      <c r="DH494" s="7"/>
      <c r="DI494" s="107" t="n">
        <f aca="false">IF(OR(ISNUMBER($DF494),$DF494=Constants!$B$7,$DF494=Constants!$B$5,$DF494=Constants!$B$6),1,0)</f>
        <v>0</v>
      </c>
      <c r="DJ494" s="107" t="n">
        <v>486</v>
      </c>
      <c r="DK494" s="107" t="str">
        <f aca="false">IF(ISBLANK($C494),"",IF(ISNUMBER($DG494),$DG494+ROW($B494)/1000,""))</f>
        <v/>
      </c>
      <c r="DL494" s="107" t="str">
        <f aca="false">IF(ISNUMBER($DK494),RANK($DK494,$DK$9:$DK$508,1),"")</f>
        <v/>
      </c>
      <c r="DM494" s="107" t="str">
        <f aca="false">IF(ISBLANK($C494),"",$B494)</f>
        <v/>
      </c>
      <c r="DN494" s="107" t="str">
        <f aca="false">IF(ISBLANK($C494),"",$C494)</f>
        <v/>
      </c>
      <c r="DO494" s="107" t="str">
        <f aca="false">IF(ISBLANK($C494),"",$D494)</f>
        <v/>
      </c>
      <c r="DP494" s="108" t="str">
        <f aca="false">$DD494</f>
        <v/>
      </c>
      <c r="DQ494" s="109" t="str">
        <f aca="false">$DC494</f>
        <v/>
      </c>
      <c r="DR494" s="107" t="str">
        <f aca="false">IF(ISBLANK($C494),"",$DF494)</f>
        <v/>
      </c>
      <c r="DS494" s="110" t="str">
        <f aca="false">IF($DJ494&gt;$DI$8,"",VLOOKUP($DJ494,$DL$9:$DR$508,7,FALSE()))</f>
        <v/>
      </c>
      <c r="DT494" s="111" t="str">
        <f aca="false">IF($DJ494&gt;$DI$8,"",VLOOKUP($DJ494,$DL$9:$DR$508,2,FALSE()))</f>
        <v/>
      </c>
      <c r="DU494" s="111" t="str">
        <f aca="false">IF($DJ494&gt;$DI$8,"",VLOOKUP($DJ494,$DL$9:$DR$508,3,FALSE()))</f>
        <v/>
      </c>
      <c r="DV494" s="111" t="str">
        <f aca="false">IF($DJ494&gt;$DI$8,"",VLOOKUP($DJ494,$DL$9:$DR$508,4,FALSE()))</f>
        <v/>
      </c>
      <c r="DW494" s="111" t="str">
        <f aca="false">IF($DJ494&gt;$DI$8,"",VLOOKUP($DJ494,$DL$9:$DR$508,5,FALSE()))</f>
        <v/>
      </c>
      <c r="DX494" s="112" t="str">
        <f aca="false">IF($DJ494&gt;$DI$8,"",VLOOKUP($DJ494,$DL$9:$DR$508,6,FALSE()))</f>
        <v/>
      </c>
      <c r="DY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88"/>
      <c r="N495" s="88"/>
      <c r="O495" s="134"/>
      <c r="P495" s="134"/>
      <c r="Q495" s="88"/>
      <c r="R495" s="88"/>
      <c r="S495" s="88"/>
      <c r="T495" s="88"/>
      <c r="U495" s="134"/>
      <c r="V495" s="88"/>
      <c r="W495" s="70"/>
      <c r="X495" s="88"/>
      <c r="Y495" s="88"/>
      <c r="Z495" s="70"/>
      <c r="AA495" s="70"/>
      <c r="AB495" s="88"/>
      <c r="AC495" s="88"/>
      <c r="AD495" s="88"/>
      <c r="AE495" s="71"/>
      <c r="AF495" s="88"/>
      <c r="AG495" s="73"/>
      <c r="AH495" s="74"/>
      <c r="AI495" s="74"/>
      <c r="AJ495" s="74" t="str">
        <f aca="false">IF(ISBLANK($C495),"",IF($E495=Constants!$B$2,TRUE(),IF($E495=Constants!$B$3,FALSE(),TRUE())))</f>
        <v/>
      </c>
      <c r="AK495" s="74" t="str">
        <f aca="false">IF(ISBLANK($C495),"",IF($F495=Constants!$B$2,TRUE(),IF($F495=Constants!$B$3,FALSE(),FALSE())))</f>
        <v/>
      </c>
      <c r="AL495" s="74" t="str">
        <f aca="false">IF(ISBLANK($C495),"",IF($G495=Constants!$B$2,TRUE(),IF($G495=Constants!$B$3,FALSE(),TRUE())))</f>
        <v/>
      </c>
      <c r="AM495" s="74" t="str">
        <f aca="false">IF(ISBLANK($C495),"",IF($H495=Constants!$B$2,TRUE(),IF($H495=Constants!$B$3,FALSE(),TRUE())))</f>
        <v/>
      </c>
      <c r="AN495" s="74" t="str">
        <f aca="false">IF(ISBLANK($C495),"",IF(ISNUMBER($I495),IF($I495&gt;=0,$I495,""),""))</f>
        <v/>
      </c>
      <c r="AO495" s="74" t="str">
        <f aca="false">IF(ISBLANK($C495),"",IF(ISNUMBER($J495),IF($J495&gt;=0,$J495,""),""))</f>
        <v/>
      </c>
      <c r="AP495" s="74" t="str">
        <f aca="false">IF(ISBLANK($C495),"",IF(ISNUMBER($K495),IF($K495&gt;=0,$K495,""),""))</f>
        <v/>
      </c>
      <c r="AQ495" s="74" t="str">
        <f aca="false">IF(ISBLANK($C495),"",IF($L495=Constants!$B$2,TRUE(),IF($L495=Constants!$B$3,FALSE(),TRUE())))</f>
        <v/>
      </c>
      <c r="AR495" s="74" t="str">
        <f aca="false">IF(ISBLANK($C495),"",IF($M495=Constants!$B$2,TRUE(),IF($M495=Constants!$B$3,FALSE(),TRUE())))</f>
        <v/>
      </c>
      <c r="AS495" s="74" t="str">
        <f aca="false">IF(ISBLANK($C495),"",IF($N495=Constants!$B$2,TRUE(),IF($N495=Constants!$B$3,FALSE(),FALSE())))</f>
        <v/>
      </c>
      <c r="AT495" s="74" t="str">
        <f aca="false">IF(ISBLANK($C495),"",IF($O495=Constants!$B$2,TRUE(),IF($O495=Constants!$B$3,FALSE(),TRUE())))</f>
        <v/>
      </c>
      <c r="AU495" s="74" t="str">
        <f aca="false">IF(ISBLANK($C495),"",IF($P495=Constants!$B$2,TRUE(),IF($P495=Constants!$B$3,FALSE(),TRUE())))</f>
        <v/>
      </c>
      <c r="AV495" s="74" t="str">
        <f aca="false">IF(ISBLANK($C495),"",IF($Q495=Constants!$B$2,TRUE(),IF($Q495=Constants!$B$3,FALSE(),FALSE())))</f>
        <v/>
      </c>
      <c r="AW495" s="74" t="str">
        <f aca="false">IF(ISBLANK($C495),"",IF($R495=Constants!$B$2,TRUE(),IF($R495=Constants!$B$3,FALSE(),FALSE())))</f>
        <v/>
      </c>
      <c r="AX495" s="74" t="str">
        <f aca="false">IF(ISBLANK($C495),"",IF($S495=Constants!$B$2,TRUE(),IF($S495=Constants!$B$3,FALSE(),FALSE())))</f>
        <v/>
      </c>
      <c r="AY495" s="74" t="str">
        <f aca="false">IF(ISBLANK($C495),"",IF($T495=Constants!$B$2,TRUE(),IF($T495=Constants!$B$3,FALSE(),FALSE())))</f>
        <v/>
      </c>
      <c r="AZ495" s="74" t="str">
        <f aca="false">IF(ISBLANK($C495),"",IF($U495=Constants!$B$2,TRUE(),IF($U495=Constants!$B$3,FALSE(),FALSE())))</f>
        <v/>
      </c>
      <c r="BA495" s="74" t="str">
        <f aca="false">IF(ISBLANK($C495),"",IF(OR($V495&amp;""="1",$V495&amp;""="2",$V495&amp;""="3",$V495&amp;""="4"),VALUE($V495&amp;""),IF($V495=Constants!$B$12,Constants!$B$12,"")))</f>
        <v/>
      </c>
      <c r="BB495" s="74" t="str">
        <f aca="false">IF(ISBLANK($C495),"",IF(ISBLANK($W495),0,IF(ISNUMBER($W495),IF(AND($W495&gt;=0,$W495&lt;=Constants!$B$21,$W495=INT($W495)),$W495,""),"")))</f>
        <v/>
      </c>
      <c r="BC495" s="74" t="str">
        <f aca="false">IF(ISBLANK($C495),"",IF(ISBLANK($X495),0,IF(ISNUMBER($X495),IF($X495&gt;=0,$X495,""),"")))</f>
        <v/>
      </c>
      <c r="BD495" s="74" t="str">
        <f aca="false">IF(ISBLANK($C495),"",IF($Y495=Constants!$B$2,TRUE(),IF($Y495=Constants!$B$3,FALSE(),TRUE())))</f>
        <v/>
      </c>
      <c r="BE495" s="74" t="str">
        <f aca="false">IF(ISBLANK($C495),"",IF($Z495=Constants!$B$2,TRUE(),IF($Z495=Constants!$B$3,FALSE(),FALSE())))</f>
        <v/>
      </c>
      <c r="BF495" s="74" t="str">
        <f aca="false">IF(ISBLANK($C495),"",IF(ISBLANK($AA495),0,IF(ISNUMBER($AA495),IF(AND($AA495&gt;=0,$AA495&lt;=Constants!$B$35,$AA495=INT($AA495)),$AA495,""),"")))</f>
        <v/>
      </c>
      <c r="BG495" s="74" t="str">
        <f aca="false">IF(ISBLANK($C495),"",IF($AB495=Constants!$B$2,TRUE(),IF($AB495=Constants!$B$3,FALSE(),TRUE())))</f>
        <v/>
      </c>
      <c r="BH495" s="74" t="str">
        <f aca="false">IF(ISBLANK($C495),"",IF($AC495=Constants!$B$2,TRUE(),IF($AC495=Constants!$B$3,FALSE(),TRUE())))</f>
        <v/>
      </c>
      <c r="BI495" s="74" t="str">
        <f aca="false">IF(ISBLANK($C495),"",IF($AD495=Constants!$B$2,TRUE(),IF($AD495=Constants!$B$3,FALSE(),TRUE())))</f>
        <v/>
      </c>
      <c r="BJ495" s="74" t="str">
        <f aca="false">IF(ISBLANK($C495),"",IF(ISNUMBER($AE495),IF($AE495&gt;=0,$AE495,""),""))</f>
        <v/>
      </c>
      <c r="BK495" s="74" t="str">
        <f aca="false">IF(ISBLANK($C495),"",IF($AF495=Constants!$B$2,TRUE(),IF($AF495=Constants!$B$3,FALSE(),FALSE())))</f>
        <v/>
      </c>
      <c r="BL495" s="73" t="str">
        <f aca="false">IF(ISBLANK($C495),"",IF($BK495,Constants!$B$7,IF(COUNTA($E495:$AE495)=0,Constants!$B$6,IF(OR(COUNTA($G495:$AE495)=0,NOT($AM495),$AS495),Constants!$B$5,IF(OR($CM495&lt;&gt;"",$CN495,$CO495,$CP495,$CQ495,$CR495,$CS495),Constants!$B$8,Constants!$B$4)))))</f>
        <v/>
      </c>
      <c r="BM495" s="74" t="str">
        <f aca="false">IF(ISBLANK($C495),"",IF($BL495&lt;&gt;Constants!$B$4,$BL495,IF(OR(NOT($AJ495),NOT($AL495),NOT($AT495)),Constants!$B$11,IF(OR(NOT($AR495),NOT($AU495),NOT($BI495),MAX($AN495,$AO495,$AP495)&gt;Constants!$B$30),Constants!$B$10,Constants!$B$9))))</f>
        <v/>
      </c>
      <c r="BN495" s="74" t="str">
        <f aca="false">IF($BL495&lt;&gt;Constants!$B$4,"",IF(NOT($AL495),0,MIN(Constants!$B$35,$BF495)))</f>
        <v/>
      </c>
      <c r="BO495" s="74" t="str">
        <f aca="false">IF($BL495&lt;&gt;Constants!$B$4,"",IF(NOT($AL495),0,IF($AW495,Constants!$B$18,IF($AV495,Constants!$B$17,0))))</f>
        <v/>
      </c>
      <c r="BP495" s="74" t="str">
        <f aca="false">IF($BL495&lt;&gt;Constants!$B$4,"",IF(NOT($AL495),0,Constants!$B$19*($AK495+$AX495+$AY495+$AZ495)))</f>
        <v/>
      </c>
      <c r="BQ495" s="74" t="str">
        <f aca="false">IF($BL495&lt;&gt;Constants!$B$4,"",IF(OR(NOT($AL495),NOT(ISNUMBER($BA495))),0,CHOOSE($BA495,Constants!$B$13,Constants!$B$14,Constants!$B$15,Constants!$B$16)))</f>
        <v/>
      </c>
      <c r="BR495" s="74" t="str">
        <f aca="false">IF($BL495&lt;&gt;Constants!$B$4,"",IF(NOT($AL495),0,Constants!$B$20*$BB495))</f>
        <v/>
      </c>
      <c r="BS495" s="74" t="str">
        <f aca="false">IF($BL495&lt;&gt;Constants!$B$4,"",IF(AND($AL495,$BD495,$BE495),Constants!$B$22,0))</f>
        <v/>
      </c>
      <c r="BT495" s="74" t="str">
        <f aca="false">IF($BL495&lt;&gt;Constants!$B$4,"",IF(OR(NOT($AL495),NOT($BD495)),0,IF($BJ495&gt;=2*$AH$9,0,Constants!$B$23*INT(ROUND(MIN($BJ495,$AH$9),6)))))</f>
        <v/>
      </c>
      <c r="BU495" s="74" t="str">
        <f aca="false">IF($BL495&lt;&gt;Constants!$B$4,"",IF(NOT($AL495),0,Constants!$B$24*INT(ROUND(MIN($BC495,$AH$9),6))))</f>
        <v/>
      </c>
      <c r="BV495" s="74" t="str">
        <f aca="false">IF($BL495&lt;&gt;Constants!$B$4,"",IF(AND($AL495,$BN495=0),Constants!$B$25,0))</f>
        <v/>
      </c>
      <c r="BW495" s="74" t="str">
        <f aca="false">IF($BL495&lt;&gt;Constants!$B$4,"",MIN(Constants!$B$29,MAX(0,Constants!$B$27*Constants!$B$28*INT(ROUND((Constants!$B$26-$AN495)/Constants!$B$28,6))))+MIN(Constants!$B$29,MAX(0,Constants!$B$27*Constants!$B$28*INT(ROUND((Constants!$B$26-$AO495)/Constants!$B$28,6))))+MIN(Constants!$B$29,MAX(0,Constants!$B$27*Constants!$B$28*INT(ROUND((Constants!$B$26-$AP495)/Constants!$B$28,6)))))</f>
        <v/>
      </c>
      <c r="BX495" s="74" t="str">
        <f aca="false">IF($BL495&lt;&gt;Constants!$B$4,"",IF(NOT($AL495),0,Constants!$B$31*INT(ROUND(MAX(0,MIN($BJ495,2*$AH$9)-$AH$9),6))))</f>
        <v/>
      </c>
      <c r="BY495" s="74" t="str">
        <f aca="false">IF($BL495&lt;&gt;Constants!$B$4,"",Constants!$B$32*(($AN495&gt;Constants!$B$26)+($AO495&gt;Constants!$B$26)+($AP495&gt;Constants!$B$26)))</f>
        <v/>
      </c>
      <c r="BZ495" s="74" t="str">
        <f aca="false">IF($BL495&lt;&gt;Constants!$B$4,"",IF(OR(NOT($AL495),$AQ495),0,Constants!$B$33))</f>
        <v/>
      </c>
      <c r="CA495" s="74" t="str">
        <f aca="false">IF($BL495&lt;&gt;Constants!$B$4,"",Constants!$B$34*$BN495)</f>
        <v/>
      </c>
      <c r="CB495" s="74" t="str">
        <f aca="false">IF($BL495&lt;&gt;Constants!$B$4,"",IF(OR(NOT($AL495),$BH495),0,Constants!$B$36))</f>
        <v/>
      </c>
      <c r="CC495" s="74" t="str">
        <f aca="false">IF($BL495&lt;&gt;Constants!$B$4,"",IF(OR(NOT($AL495),$BG495),0,Constants!$B$37))</f>
        <v/>
      </c>
      <c r="CD495" s="74" t="str">
        <f aca="false">IF($BL495&lt;&gt;Constants!$B$4,"",SUM($BX495:$CC495))</f>
        <v/>
      </c>
      <c r="CE495" s="74" t="str">
        <f aca="false">IF(ISBLANK($C495),"",IF($BL495&lt;&gt;Constants!$B$4,$BL495,SUM($BO495:$BW495)-$CD495))</f>
        <v/>
      </c>
      <c r="CF495" s="74" t="str">
        <f aca="false">IF(ISBLANK($C495),"",IF($BL495&lt;&gt;Constants!$B$4,$BL495,RANK($CE495,$CE$9:$CE$508)))</f>
        <v/>
      </c>
      <c r="CG495" s="74" t="str">
        <f aca="false">IF(ISBLANK($C495),"",IF($BL495&lt;&gt;Constants!$B$4,$BL495,COUNTIFS($BM$9:$BM$508,"&lt;"&amp;$BM495)+COUNTIFS($BM$9:$BM$508,$BM495,$CF$9:$CF$508,"&lt;"&amp;$CF495)+1))</f>
        <v/>
      </c>
      <c r="CH495" s="74" t="str">
        <f aca="false">IF(ISBLANK($C495),"",IF($BL495&lt;&gt;Constants!$B$4,$BL495,RANK($CD495,$CD$9:$CD$508,1)))</f>
        <v/>
      </c>
      <c r="CI495" s="74" t="str">
        <f aca="false">IF($BL495&lt;&gt;Constants!$B$4,"",$AN495+$AO495+$AP495)</f>
        <v/>
      </c>
      <c r="CJ495" s="74" t="str">
        <f aca="false">IF(ISBLANK($C495),"",IF($BL495&lt;&gt;Constants!$B$4,$BL495,RANK($CI495,$CI$9:$CI$508,1)))</f>
        <v/>
      </c>
      <c r="CK495" s="74" t="str">
        <f aca="false">IF(ISBLANK($C495),"",IF($BL495&lt;&gt;Constants!$B$4,$BL495,COUNTIFS($BM$9:$BM$508,"&lt;"&amp;$BM495)+COUNTIFS($BM$9:$BM$508,$BM495,$CF$9:$CF$508,"&lt;"&amp;$CF495)+COUNTIFS($BM$9:$BM$508,$BM495,$CF$9:$CF$508,$CF495,$CH$9:$CH$508,"&lt;"&amp;$CH495)+COUNTIFS($BM$9:$BM$508,$BM495,$CF$9:$CF$508,$CF495,$CH$9:$CH$508,$CH495,$CJ$9:$CJ$508,"&lt;"&amp;$CJ495)+1))</f>
        <v/>
      </c>
      <c r="CL495" s="74" t="str">
        <f aca="false">IF(ISBLANK($C495),"",IF($BL495&lt;&gt;Constants!$B$4,$BL495,$CG495-$CK495))</f>
        <v/>
      </c>
      <c r="CM495" s="74" t="str">
        <f aca="false">IF(ISBLANK($C495),"",IF(NOT($AL495),"",IF(ISBLANK($D$7),$CM$5,IF(NOT(ISNUMBER($D$7)),$CM$6,""))))</f>
        <v/>
      </c>
      <c r="CN495" s="74" t="str">
        <f aca="false">IF(ISBLANK($C495),"",OR($AN495="",$AO495="",$AP495=""))</f>
        <v/>
      </c>
      <c r="CO495" s="74" t="str">
        <f aca="false">IF(ISBLANK($C495),"",AND($AL495,$BA495=""))</f>
        <v/>
      </c>
      <c r="CP495" s="74" t="str">
        <f aca="false">IF(ISBLANK($C495),"",AND($AL495,$BB495=""))</f>
        <v/>
      </c>
      <c r="CQ495" s="74" t="str">
        <f aca="false">IF(ISBLANK($C495),"",AND($AL495,$BC495=""))</f>
        <v/>
      </c>
      <c r="CR495" s="74" t="str">
        <f aca="false">IF(ISBLANK($C495),"",AND($AL495,$BF495=""))</f>
        <v/>
      </c>
      <c r="CS495" s="74" t="str">
        <f aca="false">IF(ISBLANK($C495),"",AND($AL495,$BJ495=""))</f>
        <v/>
      </c>
      <c r="CT495" s="75"/>
      <c r="CU495" s="76"/>
      <c r="CV495" s="79" t="str">
        <f aca="false">IF(ISBLANK($C495),"",IF($BL495=Constants!$B$8,$CM495,""))</f>
        <v/>
      </c>
      <c r="CW495" s="76" t="str">
        <f aca="false">IF(ISBLANK($C495),"",IF($BL495&lt;&gt;Constants!$B$4,"",$BO495+$BP495))</f>
        <v/>
      </c>
      <c r="CX495" s="78" t="str">
        <f aca="false">IF(ISBLANK($C495),"",IF($BL495&lt;&gt;Constants!$B$4,"",$BQ495+$BR495+$BS495))</f>
        <v/>
      </c>
      <c r="CY495" s="78" t="str">
        <f aca="false">IF(ISBLANK($C495),"",IF($BL495&lt;&gt;Constants!$B$4,"",$BT495))</f>
        <v/>
      </c>
      <c r="CZ495" s="78" t="str">
        <f aca="false">IF(ISBLANK($C495),"",IF($BL495&lt;&gt;Constants!$B$4,"",$BU495+$BV495))</f>
        <v/>
      </c>
      <c r="DA495" s="78" t="str">
        <f aca="false">IF(ISBLANK($C495),"",IF($BL495&lt;&gt;Constants!$B$4,"",$BW495))</f>
        <v/>
      </c>
      <c r="DB495" s="78" t="str">
        <f aca="false">IF(ISBLANK($C495),"",IF($BL495&lt;&gt;Constants!$B$4,"",-$CD495))</f>
        <v/>
      </c>
      <c r="DC495" s="79" t="str">
        <f aca="false">IF(ISBLANK($C495),"",$CE495)</f>
        <v/>
      </c>
      <c r="DD495" s="80" t="str">
        <f aca="false">IF(ISBLANK($C495),"",$BM495)</f>
        <v/>
      </c>
      <c r="DE495" s="78" t="str">
        <f aca="false">IF(ISBLANK($C495),"",$CL495)</f>
        <v/>
      </c>
      <c r="DF495" s="78" t="str">
        <f aca="false">IF(ISBLANK($C495),"",$CK495)</f>
        <v/>
      </c>
      <c r="DG495" s="81" t="str">
        <f aca="false">IF(ISBLANK($C495),"",IF($DF495=Constants!$B$7,COUNTA($C$9:$C$508)+2,IF($DF495=Constants!$B$6,COUNTA($C$9:$C$508)+1,IF($DF495=Constants!$B$5,COUNTA($C$9:$C$508),$DF495))))</f>
        <v/>
      </c>
      <c r="DH495" s="7"/>
      <c r="DI495" s="82" t="n">
        <f aca="false">IF(OR(ISNUMBER($DF495),$DF495=Constants!$B$7,$DF495=Constants!$B$5,$DF495=Constants!$B$6),1,0)</f>
        <v>0</v>
      </c>
      <c r="DJ495" s="82" t="n">
        <v>487</v>
      </c>
      <c r="DK495" s="82" t="str">
        <f aca="false">IF(ISBLANK($C495),"",IF(ISNUMBER($DG495),$DG495+ROW($B495)/1000,""))</f>
        <v/>
      </c>
      <c r="DL495" s="82" t="str">
        <f aca="false">IF(ISNUMBER($DK495),RANK($DK495,$DK$9:$DK$508,1),"")</f>
        <v/>
      </c>
      <c r="DM495" s="82" t="str">
        <f aca="false">IF(ISBLANK($C495),"",$B495)</f>
        <v/>
      </c>
      <c r="DN495" s="82" t="str">
        <f aca="false">IF(ISBLANK($C495),"",$C495)</f>
        <v/>
      </c>
      <c r="DO495" s="82" t="str">
        <f aca="false">IF(ISBLANK($C495),"",$D495)</f>
        <v/>
      </c>
      <c r="DP495" s="83" t="str">
        <f aca="false">$DD495</f>
        <v/>
      </c>
      <c r="DQ495" s="84" t="str">
        <f aca="false">$DC495</f>
        <v/>
      </c>
      <c r="DR495" s="82" t="str">
        <f aca="false">IF(ISBLANK($C495),"",$DF495)</f>
        <v/>
      </c>
      <c r="DS495" s="85" t="str">
        <f aca="false">IF($DJ495&gt;$DI$8,"",VLOOKUP($DJ495,$DL$9:$DR$508,7,FALSE()))</f>
        <v/>
      </c>
      <c r="DT495" s="86" t="str">
        <f aca="false">IF($DJ495&gt;$DI$8,"",VLOOKUP($DJ495,$DL$9:$DR$508,2,FALSE()))</f>
        <v/>
      </c>
      <c r="DU495" s="86" t="str">
        <f aca="false">IF($DJ495&gt;$DI$8,"",VLOOKUP($DJ495,$DL$9:$DR$508,3,FALSE()))</f>
        <v/>
      </c>
      <c r="DV495" s="86" t="str">
        <f aca="false">IF($DJ495&gt;$DI$8,"",VLOOKUP($DJ495,$DL$9:$DR$508,4,FALSE()))</f>
        <v/>
      </c>
      <c r="DW495" s="86" t="str">
        <f aca="false">IF($DJ495&gt;$DI$8,"",VLOOKUP($DJ495,$DL$9:$DR$508,5,FALSE()))</f>
        <v/>
      </c>
      <c r="DX495" s="87" t="str">
        <f aca="false">IF($DJ495&gt;$DI$8,"",VLOOKUP($DJ495,$DL$9:$DR$508,6,FALSE()))</f>
        <v/>
      </c>
      <c r="DY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88"/>
      <c r="N496" s="88"/>
      <c r="O496" s="134"/>
      <c r="P496" s="134"/>
      <c r="Q496" s="88"/>
      <c r="R496" s="88"/>
      <c r="S496" s="88"/>
      <c r="T496" s="88"/>
      <c r="U496" s="134"/>
      <c r="V496" s="88"/>
      <c r="W496" s="70"/>
      <c r="X496" s="88"/>
      <c r="Y496" s="88"/>
      <c r="Z496" s="70"/>
      <c r="AA496" s="70"/>
      <c r="AB496" s="88"/>
      <c r="AC496" s="88"/>
      <c r="AD496" s="88"/>
      <c r="AE496" s="71"/>
      <c r="AF496" s="88"/>
      <c r="AG496" s="73"/>
      <c r="AH496" s="74"/>
      <c r="AI496" s="74"/>
      <c r="AJ496" s="74" t="str">
        <f aca="false">IF(ISBLANK($C496),"",IF($E496=Constants!$B$2,TRUE(),IF($E496=Constants!$B$3,FALSE(),TRUE())))</f>
        <v/>
      </c>
      <c r="AK496" s="74" t="str">
        <f aca="false">IF(ISBLANK($C496),"",IF($F496=Constants!$B$2,TRUE(),IF($F496=Constants!$B$3,FALSE(),FALSE())))</f>
        <v/>
      </c>
      <c r="AL496" s="74" t="str">
        <f aca="false">IF(ISBLANK($C496),"",IF($G496=Constants!$B$2,TRUE(),IF($G496=Constants!$B$3,FALSE(),TRUE())))</f>
        <v/>
      </c>
      <c r="AM496" s="74" t="str">
        <f aca="false">IF(ISBLANK($C496),"",IF($H496=Constants!$B$2,TRUE(),IF($H496=Constants!$B$3,FALSE(),TRUE())))</f>
        <v/>
      </c>
      <c r="AN496" s="74" t="str">
        <f aca="false">IF(ISBLANK($C496),"",IF(ISNUMBER($I496),IF($I496&gt;=0,$I496,""),""))</f>
        <v/>
      </c>
      <c r="AO496" s="74" t="str">
        <f aca="false">IF(ISBLANK($C496),"",IF(ISNUMBER($J496),IF($J496&gt;=0,$J496,""),""))</f>
        <v/>
      </c>
      <c r="AP496" s="74" t="str">
        <f aca="false">IF(ISBLANK($C496),"",IF(ISNUMBER($K496),IF($K496&gt;=0,$K496,""),""))</f>
        <v/>
      </c>
      <c r="AQ496" s="74" t="str">
        <f aca="false">IF(ISBLANK($C496),"",IF($L496=Constants!$B$2,TRUE(),IF($L496=Constants!$B$3,FALSE(),TRUE())))</f>
        <v/>
      </c>
      <c r="AR496" s="74" t="str">
        <f aca="false">IF(ISBLANK($C496),"",IF($M496=Constants!$B$2,TRUE(),IF($M496=Constants!$B$3,FALSE(),TRUE())))</f>
        <v/>
      </c>
      <c r="AS496" s="74" t="str">
        <f aca="false">IF(ISBLANK($C496),"",IF($N496=Constants!$B$2,TRUE(),IF($N496=Constants!$B$3,FALSE(),FALSE())))</f>
        <v/>
      </c>
      <c r="AT496" s="74" t="str">
        <f aca="false">IF(ISBLANK($C496),"",IF($O496=Constants!$B$2,TRUE(),IF($O496=Constants!$B$3,FALSE(),TRUE())))</f>
        <v/>
      </c>
      <c r="AU496" s="74" t="str">
        <f aca="false">IF(ISBLANK($C496),"",IF($P496=Constants!$B$2,TRUE(),IF($P496=Constants!$B$3,FALSE(),TRUE())))</f>
        <v/>
      </c>
      <c r="AV496" s="74" t="str">
        <f aca="false">IF(ISBLANK($C496),"",IF($Q496=Constants!$B$2,TRUE(),IF($Q496=Constants!$B$3,FALSE(),FALSE())))</f>
        <v/>
      </c>
      <c r="AW496" s="74" t="str">
        <f aca="false">IF(ISBLANK($C496),"",IF($R496=Constants!$B$2,TRUE(),IF($R496=Constants!$B$3,FALSE(),FALSE())))</f>
        <v/>
      </c>
      <c r="AX496" s="74" t="str">
        <f aca="false">IF(ISBLANK($C496),"",IF($S496=Constants!$B$2,TRUE(),IF($S496=Constants!$B$3,FALSE(),FALSE())))</f>
        <v/>
      </c>
      <c r="AY496" s="74" t="str">
        <f aca="false">IF(ISBLANK($C496),"",IF($T496=Constants!$B$2,TRUE(),IF($T496=Constants!$B$3,FALSE(),FALSE())))</f>
        <v/>
      </c>
      <c r="AZ496" s="74" t="str">
        <f aca="false">IF(ISBLANK($C496),"",IF($U496=Constants!$B$2,TRUE(),IF($U496=Constants!$B$3,FALSE(),FALSE())))</f>
        <v/>
      </c>
      <c r="BA496" s="74" t="str">
        <f aca="false">IF(ISBLANK($C496),"",IF(OR($V496&amp;""="1",$V496&amp;""="2",$V496&amp;""="3",$V496&amp;""="4"),VALUE($V496&amp;""),IF($V496=Constants!$B$12,Constants!$B$12,"")))</f>
        <v/>
      </c>
      <c r="BB496" s="74" t="str">
        <f aca="false">IF(ISBLANK($C496),"",IF(ISBLANK($W496),0,IF(ISNUMBER($W496),IF(AND($W496&gt;=0,$W496&lt;=Constants!$B$21,$W496=INT($W496)),$W496,""),"")))</f>
        <v/>
      </c>
      <c r="BC496" s="74" t="str">
        <f aca="false">IF(ISBLANK($C496),"",IF(ISBLANK($X496),0,IF(ISNUMBER($X496),IF($X496&gt;=0,$X496,""),"")))</f>
        <v/>
      </c>
      <c r="BD496" s="74" t="str">
        <f aca="false">IF(ISBLANK($C496),"",IF($Y496=Constants!$B$2,TRUE(),IF($Y496=Constants!$B$3,FALSE(),TRUE())))</f>
        <v/>
      </c>
      <c r="BE496" s="74" t="str">
        <f aca="false">IF(ISBLANK($C496),"",IF($Z496=Constants!$B$2,TRUE(),IF($Z496=Constants!$B$3,FALSE(),FALSE())))</f>
        <v/>
      </c>
      <c r="BF496" s="74" t="str">
        <f aca="false">IF(ISBLANK($C496),"",IF(ISBLANK($AA496),0,IF(ISNUMBER($AA496),IF(AND($AA496&gt;=0,$AA496&lt;=Constants!$B$35,$AA496=INT($AA496)),$AA496,""),"")))</f>
        <v/>
      </c>
      <c r="BG496" s="74" t="str">
        <f aca="false">IF(ISBLANK($C496),"",IF($AB496=Constants!$B$2,TRUE(),IF($AB496=Constants!$B$3,FALSE(),TRUE())))</f>
        <v/>
      </c>
      <c r="BH496" s="74" t="str">
        <f aca="false">IF(ISBLANK($C496),"",IF($AC496=Constants!$B$2,TRUE(),IF($AC496=Constants!$B$3,FALSE(),TRUE())))</f>
        <v/>
      </c>
      <c r="BI496" s="74" t="str">
        <f aca="false">IF(ISBLANK($C496),"",IF($AD496=Constants!$B$2,TRUE(),IF($AD496=Constants!$B$3,FALSE(),TRUE())))</f>
        <v/>
      </c>
      <c r="BJ496" s="74" t="str">
        <f aca="false">IF(ISBLANK($C496),"",IF(ISNUMBER($AE496),IF($AE496&gt;=0,$AE496,""),""))</f>
        <v/>
      </c>
      <c r="BK496" s="74" t="str">
        <f aca="false">IF(ISBLANK($C496),"",IF($AF496=Constants!$B$2,TRUE(),IF($AF496=Constants!$B$3,FALSE(),FALSE())))</f>
        <v/>
      </c>
      <c r="BL496" s="73" t="str">
        <f aca="false">IF(ISBLANK($C496),"",IF($BK496,Constants!$B$7,IF(COUNTA($E496:$AE496)=0,Constants!$B$6,IF(OR(COUNTA($G496:$AE496)=0,NOT($AM496),$AS496),Constants!$B$5,IF(OR($CM496&lt;&gt;"",$CN496,$CO496,$CP496,$CQ496,$CR496,$CS496),Constants!$B$8,Constants!$B$4)))))</f>
        <v/>
      </c>
      <c r="BM496" s="74" t="str">
        <f aca="false">IF(ISBLANK($C496),"",IF($BL496&lt;&gt;Constants!$B$4,$BL496,IF(OR(NOT($AJ496),NOT($AL496),NOT($AT496)),Constants!$B$11,IF(OR(NOT($AR496),NOT($AU496),NOT($BI496),MAX($AN496,$AO496,$AP496)&gt;Constants!$B$30),Constants!$B$10,Constants!$B$9))))</f>
        <v/>
      </c>
      <c r="BN496" s="74" t="str">
        <f aca="false">IF($BL496&lt;&gt;Constants!$B$4,"",IF(NOT($AL496),0,MIN(Constants!$B$35,$BF496)))</f>
        <v/>
      </c>
      <c r="BO496" s="74" t="str">
        <f aca="false">IF($BL496&lt;&gt;Constants!$B$4,"",IF(NOT($AL496),0,IF($AW496,Constants!$B$18,IF($AV496,Constants!$B$17,0))))</f>
        <v/>
      </c>
      <c r="BP496" s="74" t="str">
        <f aca="false">IF($BL496&lt;&gt;Constants!$B$4,"",IF(NOT($AL496),0,Constants!$B$19*($AK496+$AX496+$AY496+$AZ496)))</f>
        <v/>
      </c>
      <c r="BQ496" s="74" t="str">
        <f aca="false">IF($BL496&lt;&gt;Constants!$B$4,"",IF(OR(NOT($AL496),NOT(ISNUMBER($BA496))),0,CHOOSE($BA496,Constants!$B$13,Constants!$B$14,Constants!$B$15,Constants!$B$16)))</f>
        <v/>
      </c>
      <c r="BR496" s="74" t="str">
        <f aca="false">IF($BL496&lt;&gt;Constants!$B$4,"",IF(NOT($AL496),0,Constants!$B$20*$BB496))</f>
        <v/>
      </c>
      <c r="BS496" s="74" t="str">
        <f aca="false">IF($BL496&lt;&gt;Constants!$B$4,"",IF(AND($AL496,$BD496,$BE496),Constants!$B$22,0))</f>
        <v/>
      </c>
      <c r="BT496" s="74" t="str">
        <f aca="false">IF($BL496&lt;&gt;Constants!$B$4,"",IF(OR(NOT($AL496),NOT($BD496)),0,IF($BJ496&gt;=2*$AH$9,0,Constants!$B$23*INT(ROUND(MIN($BJ496,$AH$9),6)))))</f>
        <v/>
      </c>
      <c r="BU496" s="74" t="str">
        <f aca="false">IF($BL496&lt;&gt;Constants!$B$4,"",IF(NOT($AL496),0,Constants!$B$24*INT(ROUND(MIN($BC496,$AH$9),6))))</f>
        <v/>
      </c>
      <c r="BV496" s="74" t="str">
        <f aca="false">IF($BL496&lt;&gt;Constants!$B$4,"",IF(AND($AL496,$BN496=0),Constants!$B$25,0))</f>
        <v/>
      </c>
      <c r="BW496" s="74" t="str">
        <f aca="false">IF($BL496&lt;&gt;Constants!$B$4,"",MIN(Constants!$B$29,MAX(0,Constants!$B$27*Constants!$B$28*INT(ROUND((Constants!$B$26-$AN496)/Constants!$B$28,6))))+MIN(Constants!$B$29,MAX(0,Constants!$B$27*Constants!$B$28*INT(ROUND((Constants!$B$26-$AO496)/Constants!$B$28,6))))+MIN(Constants!$B$29,MAX(0,Constants!$B$27*Constants!$B$28*INT(ROUND((Constants!$B$26-$AP496)/Constants!$B$28,6)))))</f>
        <v/>
      </c>
      <c r="BX496" s="74" t="str">
        <f aca="false">IF($BL496&lt;&gt;Constants!$B$4,"",IF(NOT($AL496),0,Constants!$B$31*INT(ROUND(MAX(0,MIN($BJ496,2*$AH$9)-$AH$9),6))))</f>
        <v/>
      </c>
      <c r="BY496" s="74" t="str">
        <f aca="false">IF($BL496&lt;&gt;Constants!$B$4,"",Constants!$B$32*(($AN496&gt;Constants!$B$26)+($AO496&gt;Constants!$B$26)+($AP496&gt;Constants!$B$26)))</f>
        <v/>
      </c>
      <c r="BZ496" s="74" t="str">
        <f aca="false">IF($BL496&lt;&gt;Constants!$B$4,"",IF(OR(NOT($AL496),$AQ496),0,Constants!$B$33))</f>
        <v/>
      </c>
      <c r="CA496" s="74" t="str">
        <f aca="false">IF($BL496&lt;&gt;Constants!$B$4,"",Constants!$B$34*$BN496)</f>
        <v/>
      </c>
      <c r="CB496" s="74" t="str">
        <f aca="false">IF($BL496&lt;&gt;Constants!$B$4,"",IF(OR(NOT($AL496),$BH496),0,Constants!$B$36))</f>
        <v/>
      </c>
      <c r="CC496" s="74" t="str">
        <f aca="false">IF($BL496&lt;&gt;Constants!$B$4,"",IF(OR(NOT($AL496),$BG496),0,Constants!$B$37))</f>
        <v/>
      </c>
      <c r="CD496" s="74" t="str">
        <f aca="false">IF($BL496&lt;&gt;Constants!$B$4,"",SUM($BX496:$CC496))</f>
        <v/>
      </c>
      <c r="CE496" s="74" t="str">
        <f aca="false">IF(ISBLANK($C496),"",IF($BL496&lt;&gt;Constants!$B$4,$BL496,SUM($BO496:$BW496)-$CD496))</f>
        <v/>
      </c>
      <c r="CF496" s="74" t="str">
        <f aca="false">IF(ISBLANK($C496),"",IF($BL496&lt;&gt;Constants!$B$4,$BL496,RANK($CE496,$CE$9:$CE$508)))</f>
        <v/>
      </c>
      <c r="CG496" s="74" t="str">
        <f aca="false">IF(ISBLANK($C496),"",IF($BL496&lt;&gt;Constants!$B$4,$BL496,COUNTIFS($BM$9:$BM$508,"&lt;"&amp;$BM496)+COUNTIFS($BM$9:$BM$508,$BM496,$CF$9:$CF$508,"&lt;"&amp;$CF496)+1))</f>
        <v/>
      </c>
      <c r="CH496" s="74" t="str">
        <f aca="false">IF(ISBLANK($C496),"",IF($BL496&lt;&gt;Constants!$B$4,$BL496,RANK($CD496,$CD$9:$CD$508,1)))</f>
        <v/>
      </c>
      <c r="CI496" s="74" t="str">
        <f aca="false">IF($BL496&lt;&gt;Constants!$B$4,"",$AN496+$AO496+$AP496)</f>
        <v/>
      </c>
      <c r="CJ496" s="74" t="str">
        <f aca="false">IF(ISBLANK($C496),"",IF($BL496&lt;&gt;Constants!$B$4,$BL496,RANK($CI496,$CI$9:$CI$508,1)))</f>
        <v/>
      </c>
      <c r="CK496" s="74" t="str">
        <f aca="false">IF(ISBLANK($C496),"",IF($BL496&lt;&gt;Constants!$B$4,$BL496,COUNTIFS($BM$9:$BM$508,"&lt;"&amp;$BM496)+COUNTIFS($BM$9:$BM$508,$BM496,$CF$9:$CF$508,"&lt;"&amp;$CF496)+COUNTIFS($BM$9:$BM$508,$BM496,$CF$9:$CF$508,$CF496,$CH$9:$CH$508,"&lt;"&amp;$CH496)+COUNTIFS($BM$9:$BM$508,$BM496,$CF$9:$CF$508,$CF496,$CH$9:$CH$508,$CH496,$CJ$9:$CJ$508,"&lt;"&amp;$CJ496)+1))</f>
        <v/>
      </c>
      <c r="CL496" s="74" t="str">
        <f aca="false">IF(ISBLANK($C496),"",IF($BL496&lt;&gt;Constants!$B$4,$BL496,$CG496-$CK496))</f>
        <v/>
      </c>
      <c r="CM496" s="74" t="str">
        <f aca="false">IF(ISBLANK($C496),"",IF(NOT($AL496),"",IF(ISBLANK($D$7),$CM$5,IF(NOT(ISNUMBER($D$7)),$CM$6,""))))</f>
        <v/>
      </c>
      <c r="CN496" s="74" t="str">
        <f aca="false">IF(ISBLANK($C496),"",OR($AN496="",$AO496="",$AP496=""))</f>
        <v/>
      </c>
      <c r="CO496" s="74" t="str">
        <f aca="false">IF(ISBLANK($C496),"",AND($AL496,$BA496=""))</f>
        <v/>
      </c>
      <c r="CP496" s="74" t="str">
        <f aca="false">IF(ISBLANK($C496),"",AND($AL496,$BB496=""))</f>
        <v/>
      </c>
      <c r="CQ496" s="74" t="str">
        <f aca="false">IF(ISBLANK($C496),"",AND($AL496,$BC496=""))</f>
        <v/>
      </c>
      <c r="CR496" s="74" t="str">
        <f aca="false">IF(ISBLANK($C496),"",AND($AL496,$BF496=""))</f>
        <v/>
      </c>
      <c r="CS496" s="74" t="str">
        <f aca="false">IF(ISBLANK($C496),"",AND($AL496,$BJ496=""))</f>
        <v/>
      </c>
      <c r="CT496" s="75"/>
      <c r="CU496" s="76"/>
      <c r="CV496" s="79" t="str">
        <f aca="false">IF(ISBLANK($C496),"",IF($BL496=Constants!$B$8,$CM496,""))</f>
        <v/>
      </c>
      <c r="CW496" s="76" t="str">
        <f aca="false">IF(ISBLANK($C496),"",IF($BL496&lt;&gt;Constants!$B$4,"",$BO496+$BP496))</f>
        <v/>
      </c>
      <c r="CX496" s="78" t="str">
        <f aca="false">IF(ISBLANK($C496),"",IF($BL496&lt;&gt;Constants!$B$4,"",$BQ496+$BR496+$BS496))</f>
        <v/>
      </c>
      <c r="CY496" s="78" t="str">
        <f aca="false">IF(ISBLANK($C496),"",IF($BL496&lt;&gt;Constants!$B$4,"",$BT496))</f>
        <v/>
      </c>
      <c r="CZ496" s="78" t="str">
        <f aca="false">IF(ISBLANK($C496),"",IF($BL496&lt;&gt;Constants!$B$4,"",$BU496+$BV496))</f>
        <v/>
      </c>
      <c r="DA496" s="78" t="str">
        <f aca="false">IF(ISBLANK($C496),"",IF($BL496&lt;&gt;Constants!$B$4,"",$BW496))</f>
        <v/>
      </c>
      <c r="DB496" s="78" t="str">
        <f aca="false">IF(ISBLANK($C496),"",IF($BL496&lt;&gt;Constants!$B$4,"",-$CD496))</f>
        <v/>
      </c>
      <c r="DC496" s="79" t="str">
        <f aca="false">IF(ISBLANK($C496),"",$CE496)</f>
        <v/>
      </c>
      <c r="DD496" s="80" t="str">
        <f aca="false">IF(ISBLANK($C496),"",$BM496)</f>
        <v/>
      </c>
      <c r="DE496" s="78" t="str">
        <f aca="false">IF(ISBLANK($C496),"",$CL496)</f>
        <v/>
      </c>
      <c r="DF496" s="78" t="str">
        <f aca="false">IF(ISBLANK($C496),"",$CK496)</f>
        <v/>
      </c>
      <c r="DG496" s="81" t="str">
        <f aca="false">IF(ISBLANK($C496),"",IF($DF496=Constants!$B$7,COUNTA($C$9:$C$508)+2,IF($DF496=Constants!$B$6,COUNTA($C$9:$C$508)+1,IF($DF496=Constants!$B$5,COUNTA($C$9:$C$508),$DF496))))</f>
        <v/>
      </c>
      <c r="DH496" s="7"/>
      <c r="DI496" s="82" t="n">
        <f aca="false">IF(OR(ISNUMBER($DF496),$DF496=Constants!$B$7,$DF496=Constants!$B$5,$DF496=Constants!$B$6),1,0)</f>
        <v>0</v>
      </c>
      <c r="DJ496" s="82" t="n">
        <v>488</v>
      </c>
      <c r="DK496" s="82" t="str">
        <f aca="false">IF(ISBLANK($C496),"",IF(ISNUMBER($DG496),$DG496+ROW($B496)/1000,""))</f>
        <v/>
      </c>
      <c r="DL496" s="82" t="str">
        <f aca="false">IF(ISNUMBER($DK496),RANK($DK496,$DK$9:$DK$508,1),"")</f>
        <v/>
      </c>
      <c r="DM496" s="82" t="str">
        <f aca="false">IF(ISBLANK($C496),"",$B496)</f>
        <v/>
      </c>
      <c r="DN496" s="82" t="str">
        <f aca="false">IF(ISBLANK($C496),"",$C496)</f>
        <v/>
      </c>
      <c r="DO496" s="82" t="str">
        <f aca="false">IF(ISBLANK($C496),"",$D496)</f>
        <v/>
      </c>
      <c r="DP496" s="83" t="str">
        <f aca="false">$DD496</f>
        <v/>
      </c>
      <c r="DQ496" s="84" t="str">
        <f aca="false">$DC496</f>
        <v/>
      </c>
      <c r="DR496" s="82" t="str">
        <f aca="false">IF(ISBLANK($C496),"",$DF496)</f>
        <v/>
      </c>
      <c r="DS496" s="85" t="str">
        <f aca="false">IF($DJ496&gt;$DI$8,"",VLOOKUP($DJ496,$DL$9:$DR$508,7,FALSE()))</f>
        <v/>
      </c>
      <c r="DT496" s="86" t="str">
        <f aca="false">IF($DJ496&gt;$DI$8,"",VLOOKUP($DJ496,$DL$9:$DR$508,2,FALSE()))</f>
        <v/>
      </c>
      <c r="DU496" s="86" t="str">
        <f aca="false">IF($DJ496&gt;$DI$8,"",VLOOKUP($DJ496,$DL$9:$DR$508,3,FALSE()))</f>
        <v/>
      </c>
      <c r="DV496" s="86" t="str">
        <f aca="false">IF($DJ496&gt;$DI$8,"",VLOOKUP($DJ496,$DL$9:$DR$508,4,FALSE()))</f>
        <v/>
      </c>
      <c r="DW496" s="86" t="str">
        <f aca="false">IF($DJ496&gt;$DI$8,"",VLOOKUP($DJ496,$DL$9:$DR$508,5,FALSE()))</f>
        <v/>
      </c>
      <c r="DX496" s="87" t="str">
        <f aca="false">IF($DJ496&gt;$DI$8,"",VLOOKUP($DJ496,$DL$9:$DR$508,6,FALSE()))</f>
        <v/>
      </c>
      <c r="DY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88"/>
      <c r="N497" s="88"/>
      <c r="O497" s="134"/>
      <c r="P497" s="134"/>
      <c r="Q497" s="88"/>
      <c r="R497" s="88"/>
      <c r="S497" s="88"/>
      <c r="T497" s="88"/>
      <c r="U497" s="134"/>
      <c r="V497" s="88"/>
      <c r="W497" s="70"/>
      <c r="X497" s="88"/>
      <c r="Y497" s="88"/>
      <c r="Z497" s="70"/>
      <c r="AA497" s="70"/>
      <c r="AB497" s="88"/>
      <c r="AC497" s="88"/>
      <c r="AD497" s="88"/>
      <c r="AE497" s="71"/>
      <c r="AF497" s="88"/>
      <c r="AG497" s="73"/>
      <c r="AH497" s="74"/>
      <c r="AI497" s="74"/>
      <c r="AJ497" s="74" t="str">
        <f aca="false">IF(ISBLANK($C497),"",IF($E497=Constants!$B$2,TRUE(),IF($E497=Constants!$B$3,FALSE(),TRUE())))</f>
        <v/>
      </c>
      <c r="AK497" s="74" t="str">
        <f aca="false">IF(ISBLANK($C497),"",IF($F497=Constants!$B$2,TRUE(),IF($F497=Constants!$B$3,FALSE(),FALSE())))</f>
        <v/>
      </c>
      <c r="AL497" s="74" t="str">
        <f aca="false">IF(ISBLANK($C497),"",IF($G497=Constants!$B$2,TRUE(),IF($G497=Constants!$B$3,FALSE(),TRUE())))</f>
        <v/>
      </c>
      <c r="AM497" s="74" t="str">
        <f aca="false">IF(ISBLANK($C497),"",IF($H497=Constants!$B$2,TRUE(),IF($H497=Constants!$B$3,FALSE(),TRUE())))</f>
        <v/>
      </c>
      <c r="AN497" s="74" t="str">
        <f aca="false">IF(ISBLANK($C497),"",IF(ISNUMBER($I497),IF($I497&gt;=0,$I497,""),""))</f>
        <v/>
      </c>
      <c r="AO497" s="74" t="str">
        <f aca="false">IF(ISBLANK($C497),"",IF(ISNUMBER($J497),IF($J497&gt;=0,$J497,""),""))</f>
        <v/>
      </c>
      <c r="AP497" s="74" t="str">
        <f aca="false">IF(ISBLANK($C497),"",IF(ISNUMBER($K497),IF($K497&gt;=0,$K497,""),""))</f>
        <v/>
      </c>
      <c r="AQ497" s="74" t="str">
        <f aca="false">IF(ISBLANK($C497),"",IF($L497=Constants!$B$2,TRUE(),IF($L497=Constants!$B$3,FALSE(),TRUE())))</f>
        <v/>
      </c>
      <c r="AR497" s="74" t="str">
        <f aca="false">IF(ISBLANK($C497),"",IF($M497=Constants!$B$2,TRUE(),IF($M497=Constants!$B$3,FALSE(),TRUE())))</f>
        <v/>
      </c>
      <c r="AS497" s="74" t="str">
        <f aca="false">IF(ISBLANK($C497),"",IF($N497=Constants!$B$2,TRUE(),IF($N497=Constants!$B$3,FALSE(),FALSE())))</f>
        <v/>
      </c>
      <c r="AT497" s="74" t="str">
        <f aca="false">IF(ISBLANK($C497),"",IF($O497=Constants!$B$2,TRUE(),IF($O497=Constants!$B$3,FALSE(),TRUE())))</f>
        <v/>
      </c>
      <c r="AU497" s="74" t="str">
        <f aca="false">IF(ISBLANK($C497),"",IF($P497=Constants!$B$2,TRUE(),IF($P497=Constants!$B$3,FALSE(),TRUE())))</f>
        <v/>
      </c>
      <c r="AV497" s="74" t="str">
        <f aca="false">IF(ISBLANK($C497),"",IF($Q497=Constants!$B$2,TRUE(),IF($Q497=Constants!$B$3,FALSE(),FALSE())))</f>
        <v/>
      </c>
      <c r="AW497" s="74" t="str">
        <f aca="false">IF(ISBLANK($C497),"",IF($R497=Constants!$B$2,TRUE(),IF($R497=Constants!$B$3,FALSE(),FALSE())))</f>
        <v/>
      </c>
      <c r="AX497" s="74" t="str">
        <f aca="false">IF(ISBLANK($C497),"",IF($S497=Constants!$B$2,TRUE(),IF($S497=Constants!$B$3,FALSE(),FALSE())))</f>
        <v/>
      </c>
      <c r="AY497" s="74" t="str">
        <f aca="false">IF(ISBLANK($C497),"",IF($T497=Constants!$B$2,TRUE(),IF($T497=Constants!$B$3,FALSE(),FALSE())))</f>
        <v/>
      </c>
      <c r="AZ497" s="74" t="str">
        <f aca="false">IF(ISBLANK($C497),"",IF($U497=Constants!$B$2,TRUE(),IF($U497=Constants!$B$3,FALSE(),FALSE())))</f>
        <v/>
      </c>
      <c r="BA497" s="74" t="str">
        <f aca="false">IF(ISBLANK($C497),"",IF(OR($V497&amp;""="1",$V497&amp;""="2",$V497&amp;""="3",$V497&amp;""="4"),VALUE($V497&amp;""),IF($V497=Constants!$B$12,Constants!$B$12,"")))</f>
        <v/>
      </c>
      <c r="BB497" s="74" t="str">
        <f aca="false">IF(ISBLANK($C497),"",IF(ISBLANK($W497),0,IF(ISNUMBER($W497),IF(AND($W497&gt;=0,$W497&lt;=Constants!$B$21,$W497=INT($W497)),$W497,""),"")))</f>
        <v/>
      </c>
      <c r="BC497" s="74" t="str">
        <f aca="false">IF(ISBLANK($C497),"",IF(ISBLANK($X497),0,IF(ISNUMBER($X497),IF($X497&gt;=0,$X497,""),"")))</f>
        <v/>
      </c>
      <c r="BD497" s="74" t="str">
        <f aca="false">IF(ISBLANK($C497),"",IF($Y497=Constants!$B$2,TRUE(),IF($Y497=Constants!$B$3,FALSE(),TRUE())))</f>
        <v/>
      </c>
      <c r="BE497" s="74" t="str">
        <f aca="false">IF(ISBLANK($C497),"",IF($Z497=Constants!$B$2,TRUE(),IF($Z497=Constants!$B$3,FALSE(),FALSE())))</f>
        <v/>
      </c>
      <c r="BF497" s="74" t="str">
        <f aca="false">IF(ISBLANK($C497),"",IF(ISBLANK($AA497),0,IF(ISNUMBER($AA497),IF(AND($AA497&gt;=0,$AA497&lt;=Constants!$B$35,$AA497=INT($AA497)),$AA497,""),"")))</f>
        <v/>
      </c>
      <c r="BG497" s="74" t="str">
        <f aca="false">IF(ISBLANK($C497),"",IF($AB497=Constants!$B$2,TRUE(),IF($AB497=Constants!$B$3,FALSE(),TRUE())))</f>
        <v/>
      </c>
      <c r="BH497" s="74" t="str">
        <f aca="false">IF(ISBLANK($C497),"",IF($AC497=Constants!$B$2,TRUE(),IF($AC497=Constants!$B$3,FALSE(),TRUE())))</f>
        <v/>
      </c>
      <c r="BI497" s="74" t="str">
        <f aca="false">IF(ISBLANK($C497),"",IF($AD497=Constants!$B$2,TRUE(),IF($AD497=Constants!$B$3,FALSE(),TRUE())))</f>
        <v/>
      </c>
      <c r="BJ497" s="74" t="str">
        <f aca="false">IF(ISBLANK($C497),"",IF(ISNUMBER($AE497),IF($AE497&gt;=0,$AE497,""),""))</f>
        <v/>
      </c>
      <c r="BK497" s="74" t="str">
        <f aca="false">IF(ISBLANK($C497),"",IF($AF497=Constants!$B$2,TRUE(),IF($AF497=Constants!$B$3,FALSE(),FALSE())))</f>
        <v/>
      </c>
      <c r="BL497" s="73" t="str">
        <f aca="false">IF(ISBLANK($C497),"",IF($BK497,Constants!$B$7,IF(COUNTA($E497:$AE497)=0,Constants!$B$6,IF(OR(COUNTA($G497:$AE497)=0,NOT($AM497),$AS497),Constants!$B$5,IF(OR($CM497&lt;&gt;"",$CN497,$CO497,$CP497,$CQ497,$CR497,$CS497),Constants!$B$8,Constants!$B$4)))))</f>
        <v/>
      </c>
      <c r="BM497" s="74" t="str">
        <f aca="false">IF(ISBLANK($C497),"",IF($BL497&lt;&gt;Constants!$B$4,$BL497,IF(OR(NOT($AJ497),NOT($AL497),NOT($AT497)),Constants!$B$11,IF(OR(NOT($AR497),NOT($AU497),NOT($BI497),MAX($AN497,$AO497,$AP497)&gt;Constants!$B$30),Constants!$B$10,Constants!$B$9))))</f>
        <v/>
      </c>
      <c r="BN497" s="74" t="str">
        <f aca="false">IF($BL497&lt;&gt;Constants!$B$4,"",IF(NOT($AL497),0,MIN(Constants!$B$35,$BF497)))</f>
        <v/>
      </c>
      <c r="BO497" s="74" t="str">
        <f aca="false">IF($BL497&lt;&gt;Constants!$B$4,"",IF(NOT($AL497),0,IF($AW497,Constants!$B$18,IF($AV497,Constants!$B$17,0))))</f>
        <v/>
      </c>
      <c r="BP497" s="74" t="str">
        <f aca="false">IF($BL497&lt;&gt;Constants!$B$4,"",IF(NOT($AL497),0,Constants!$B$19*($AK497+$AX497+$AY497+$AZ497)))</f>
        <v/>
      </c>
      <c r="BQ497" s="74" t="str">
        <f aca="false">IF($BL497&lt;&gt;Constants!$B$4,"",IF(OR(NOT($AL497),NOT(ISNUMBER($BA497))),0,CHOOSE($BA497,Constants!$B$13,Constants!$B$14,Constants!$B$15,Constants!$B$16)))</f>
        <v/>
      </c>
      <c r="BR497" s="74" t="str">
        <f aca="false">IF($BL497&lt;&gt;Constants!$B$4,"",IF(NOT($AL497),0,Constants!$B$20*$BB497))</f>
        <v/>
      </c>
      <c r="BS497" s="74" t="str">
        <f aca="false">IF($BL497&lt;&gt;Constants!$B$4,"",IF(AND($AL497,$BD497,$BE497),Constants!$B$22,0))</f>
        <v/>
      </c>
      <c r="BT497" s="74" t="str">
        <f aca="false">IF($BL497&lt;&gt;Constants!$B$4,"",IF(OR(NOT($AL497),NOT($BD497)),0,IF($BJ497&gt;=2*$AH$9,0,Constants!$B$23*INT(ROUND(MIN($BJ497,$AH$9),6)))))</f>
        <v/>
      </c>
      <c r="BU497" s="74" t="str">
        <f aca="false">IF($BL497&lt;&gt;Constants!$B$4,"",IF(NOT($AL497),0,Constants!$B$24*INT(ROUND(MIN($BC497,$AH$9),6))))</f>
        <v/>
      </c>
      <c r="BV497" s="74" t="str">
        <f aca="false">IF($BL497&lt;&gt;Constants!$B$4,"",IF(AND($AL497,$BN497=0),Constants!$B$25,0))</f>
        <v/>
      </c>
      <c r="BW497" s="74" t="str">
        <f aca="false">IF($BL497&lt;&gt;Constants!$B$4,"",MIN(Constants!$B$29,MAX(0,Constants!$B$27*Constants!$B$28*INT(ROUND((Constants!$B$26-$AN497)/Constants!$B$28,6))))+MIN(Constants!$B$29,MAX(0,Constants!$B$27*Constants!$B$28*INT(ROUND((Constants!$B$26-$AO497)/Constants!$B$28,6))))+MIN(Constants!$B$29,MAX(0,Constants!$B$27*Constants!$B$28*INT(ROUND((Constants!$B$26-$AP497)/Constants!$B$28,6)))))</f>
        <v/>
      </c>
      <c r="BX497" s="74" t="str">
        <f aca="false">IF($BL497&lt;&gt;Constants!$B$4,"",IF(NOT($AL497),0,Constants!$B$31*INT(ROUND(MAX(0,MIN($BJ497,2*$AH$9)-$AH$9),6))))</f>
        <v/>
      </c>
      <c r="BY497" s="74" t="str">
        <f aca="false">IF($BL497&lt;&gt;Constants!$B$4,"",Constants!$B$32*(($AN497&gt;Constants!$B$26)+($AO497&gt;Constants!$B$26)+($AP497&gt;Constants!$B$26)))</f>
        <v/>
      </c>
      <c r="BZ497" s="74" t="str">
        <f aca="false">IF($BL497&lt;&gt;Constants!$B$4,"",IF(OR(NOT($AL497),$AQ497),0,Constants!$B$33))</f>
        <v/>
      </c>
      <c r="CA497" s="74" t="str">
        <f aca="false">IF($BL497&lt;&gt;Constants!$B$4,"",Constants!$B$34*$BN497)</f>
        <v/>
      </c>
      <c r="CB497" s="74" t="str">
        <f aca="false">IF($BL497&lt;&gt;Constants!$B$4,"",IF(OR(NOT($AL497),$BH497),0,Constants!$B$36))</f>
        <v/>
      </c>
      <c r="CC497" s="74" t="str">
        <f aca="false">IF($BL497&lt;&gt;Constants!$B$4,"",IF(OR(NOT($AL497),$BG497),0,Constants!$B$37))</f>
        <v/>
      </c>
      <c r="CD497" s="74" t="str">
        <f aca="false">IF($BL497&lt;&gt;Constants!$B$4,"",SUM($BX497:$CC497))</f>
        <v/>
      </c>
      <c r="CE497" s="74" t="str">
        <f aca="false">IF(ISBLANK($C497),"",IF($BL497&lt;&gt;Constants!$B$4,$BL497,SUM($BO497:$BW497)-$CD497))</f>
        <v/>
      </c>
      <c r="CF497" s="74" t="str">
        <f aca="false">IF(ISBLANK($C497),"",IF($BL497&lt;&gt;Constants!$B$4,$BL497,RANK($CE497,$CE$9:$CE$508)))</f>
        <v/>
      </c>
      <c r="CG497" s="74" t="str">
        <f aca="false">IF(ISBLANK($C497),"",IF($BL497&lt;&gt;Constants!$B$4,$BL497,COUNTIFS($BM$9:$BM$508,"&lt;"&amp;$BM497)+COUNTIFS($BM$9:$BM$508,$BM497,$CF$9:$CF$508,"&lt;"&amp;$CF497)+1))</f>
        <v/>
      </c>
      <c r="CH497" s="74" t="str">
        <f aca="false">IF(ISBLANK($C497),"",IF($BL497&lt;&gt;Constants!$B$4,$BL497,RANK($CD497,$CD$9:$CD$508,1)))</f>
        <v/>
      </c>
      <c r="CI497" s="74" t="str">
        <f aca="false">IF($BL497&lt;&gt;Constants!$B$4,"",$AN497+$AO497+$AP497)</f>
        <v/>
      </c>
      <c r="CJ497" s="74" t="str">
        <f aca="false">IF(ISBLANK($C497),"",IF($BL497&lt;&gt;Constants!$B$4,$BL497,RANK($CI497,$CI$9:$CI$508,1)))</f>
        <v/>
      </c>
      <c r="CK497" s="74" t="str">
        <f aca="false">IF(ISBLANK($C497),"",IF($BL497&lt;&gt;Constants!$B$4,$BL497,COUNTIFS($BM$9:$BM$508,"&lt;"&amp;$BM497)+COUNTIFS($BM$9:$BM$508,$BM497,$CF$9:$CF$508,"&lt;"&amp;$CF497)+COUNTIFS($BM$9:$BM$508,$BM497,$CF$9:$CF$508,$CF497,$CH$9:$CH$508,"&lt;"&amp;$CH497)+COUNTIFS($BM$9:$BM$508,$BM497,$CF$9:$CF$508,$CF497,$CH$9:$CH$508,$CH497,$CJ$9:$CJ$508,"&lt;"&amp;$CJ497)+1))</f>
        <v/>
      </c>
      <c r="CL497" s="74" t="str">
        <f aca="false">IF(ISBLANK($C497),"",IF($BL497&lt;&gt;Constants!$B$4,$BL497,$CG497-$CK497))</f>
        <v/>
      </c>
      <c r="CM497" s="74" t="str">
        <f aca="false">IF(ISBLANK($C497),"",IF(NOT($AL497),"",IF(ISBLANK($D$7),$CM$5,IF(NOT(ISNUMBER($D$7)),$CM$6,""))))</f>
        <v/>
      </c>
      <c r="CN497" s="74" t="str">
        <f aca="false">IF(ISBLANK($C497),"",OR($AN497="",$AO497="",$AP497=""))</f>
        <v/>
      </c>
      <c r="CO497" s="74" t="str">
        <f aca="false">IF(ISBLANK($C497),"",AND($AL497,$BA497=""))</f>
        <v/>
      </c>
      <c r="CP497" s="74" t="str">
        <f aca="false">IF(ISBLANK($C497),"",AND($AL497,$BB497=""))</f>
        <v/>
      </c>
      <c r="CQ497" s="74" t="str">
        <f aca="false">IF(ISBLANK($C497),"",AND($AL497,$BC497=""))</f>
        <v/>
      </c>
      <c r="CR497" s="74" t="str">
        <f aca="false">IF(ISBLANK($C497),"",AND($AL497,$BF497=""))</f>
        <v/>
      </c>
      <c r="CS497" s="74" t="str">
        <f aca="false">IF(ISBLANK($C497),"",AND($AL497,$BJ497=""))</f>
        <v/>
      </c>
      <c r="CT497" s="75"/>
      <c r="CU497" s="76"/>
      <c r="CV497" s="79" t="str">
        <f aca="false">IF(ISBLANK($C497),"",IF($BL497=Constants!$B$8,$CM497,""))</f>
        <v/>
      </c>
      <c r="CW497" s="76" t="str">
        <f aca="false">IF(ISBLANK($C497),"",IF($BL497&lt;&gt;Constants!$B$4,"",$BO497+$BP497))</f>
        <v/>
      </c>
      <c r="CX497" s="78" t="str">
        <f aca="false">IF(ISBLANK($C497),"",IF($BL497&lt;&gt;Constants!$B$4,"",$BQ497+$BR497+$BS497))</f>
        <v/>
      </c>
      <c r="CY497" s="78" t="str">
        <f aca="false">IF(ISBLANK($C497),"",IF($BL497&lt;&gt;Constants!$B$4,"",$BT497))</f>
        <v/>
      </c>
      <c r="CZ497" s="78" t="str">
        <f aca="false">IF(ISBLANK($C497),"",IF($BL497&lt;&gt;Constants!$B$4,"",$BU497+$BV497))</f>
        <v/>
      </c>
      <c r="DA497" s="78" t="str">
        <f aca="false">IF(ISBLANK($C497),"",IF($BL497&lt;&gt;Constants!$B$4,"",$BW497))</f>
        <v/>
      </c>
      <c r="DB497" s="78" t="str">
        <f aca="false">IF(ISBLANK($C497),"",IF($BL497&lt;&gt;Constants!$B$4,"",-$CD497))</f>
        <v/>
      </c>
      <c r="DC497" s="79" t="str">
        <f aca="false">IF(ISBLANK($C497),"",$CE497)</f>
        <v/>
      </c>
      <c r="DD497" s="80" t="str">
        <f aca="false">IF(ISBLANK($C497),"",$BM497)</f>
        <v/>
      </c>
      <c r="DE497" s="78" t="str">
        <f aca="false">IF(ISBLANK($C497),"",$CL497)</f>
        <v/>
      </c>
      <c r="DF497" s="78" t="str">
        <f aca="false">IF(ISBLANK($C497),"",$CK497)</f>
        <v/>
      </c>
      <c r="DG497" s="81" t="str">
        <f aca="false">IF(ISBLANK($C497),"",IF($DF497=Constants!$B$7,COUNTA($C$9:$C$508)+2,IF($DF497=Constants!$B$6,COUNTA($C$9:$C$508)+1,IF($DF497=Constants!$B$5,COUNTA($C$9:$C$508),$DF497))))</f>
        <v/>
      </c>
      <c r="DH497" s="7"/>
      <c r="DI497" s="82" t="n">
        <f aca="false">IF(OR(ISNUMBER($DF497),$DF497=Constants!$B$7,$DF497=Constants!$B$5,$DF497=Constants!$B$6),1,0)</f>
        <v>0</v>
      </c>
      <c r="DJ497" s="82" t="n">
        <v>489</v>
      </c>
      <c r="DK497" s="82" t="str">
        <f aca="false">IF(ISBLANK($C497),"",IF(ISNUMBER($DG497),$DG497+ROW($B497)/1000,""))</f>
        <v/>
      </c>
      <c r="DL497" s="82" t="str">
        <f aca="false">IF(ISNUMBER($DK497),RANK($DK497,$DK$9:$DK$508,1),"")</f>
        <v/>
      </c>
      <c r="DM497" s="82" t="str">
        <f aca="false">IF(ISBLANK($C497),"",$B497)</f>
        <v/>
      </c>
      <c r="DN497" s="82" t="str">
        <f aca="false">IF(ISBLANK($C497),"",$C497)</f>
        <v/>
      </c>
      <c r="DO497" s="82" t="str">
        <f aca="false">IF(ISBLANK($C497),"",$D497)</f>
        <v/>
      </c>
      <c r="DP497" s="83" t="str">
        <f aca="false">$DD497</f>
        <v/>
      </c>
      <c r="DQ497" s="84" t="str">
        <f aca="false">$DC497</f>
        <v/>
      </c>
      <c r="DR497" s="82" t="str">
        <f aca="false">IF(ISBLANK($C497),"",$DF497)</f>
        <v/>
      </c>
      <c r="DS497" s="85" t="str">
        <f aca="false">IF($DJ497&gt;$DI$8,"",VLOOKUP($DJ497,$DL$9:$DR$508,7,FALSE()))</f>
        <v/>
      </c>
      <c r="DT497" s="86" t="str">
        <f aca="false">IF($DJ497&gt;$DI$8,"",VLOOKUP($DJ497,$DL$9:$DR$508,2,FALSE()))</f>
        <v/>
      </c>
      <c r="DU497" s="86" t="str">
        <f aca="false">IF($DJ497&gt;$DI$8,"",VLOOKUP($DJ497,$DL$9:$DR$508,3,FALSE()))</f>
        <v/>
      </c>
      <c r="DV497" s="86" t="str">
        <f aca="false">IF($DJ497&gt;$DI$8,"",VLOOKUP($DJ497,$DL$9:$DR$508,4,FALSE()))</f>
        <v/>
      </c>
      <c r="DW497" s="86" t="str">
        <f aca="false">IF($DJ497&gt;$DI$8,"",VLOOKUP($DJ497,$DL$9:$DR$508,5,FALSE()))</f>
        <v/>
      </c>
      <c r="DX497" s="87" t="str">
        <f aca="false">IF($DJ497&gt;$DI$8,"",VLOOKUP($DJ497,$DL$9:$DR$508,6,FALSE()))</f>
        <v/>
      </c>
      <c r="DY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130"/>
      <c r="N498" s="130"/>
      <c r="O498" s="135"/>
      <c r="P498" s="135"/>
      <c r="Q498" s="130"/>
      <c r="R498" s="130"/>
      <c r="S498" s="130"/>
      <c r="T498" s="130"/>
      <c r="U498" s="135"/>
      <c r="V498" s="130"/>
      <c r="W498" s="96"/>
      <c r="X498" s="130"/>
      <c r="Y498" s="130"/>
      <c r="Z498" s="96"/>
      <c r="AA498" s="96"/>
      <c r="AB498" s="130"/>
      <c r="AC498" s="130"/>
      <c r="AD498" s="130"/>
      <c r="AE498" s="97"/>
      <c r="AF498" s="130"/>
      <c r="AG498" s="99"/>
      <c r="AH498" s="100"/>
      <c r="AI498" s="100"/>
      <c r="AJ498" s="100" t="str">
        <f aca="false">IF(ISBLANK($C498),"",IF($E498=Constants!$B$2,TRUE(),IF($E498=Constants!$B$3,FALSE(),TRUE())))</f>
        <v/>
      </c>
      <c r="AK498" s="100" t="str">
        <f aca="false">IF(ISBLANK($C498),"",IF($F498=Constants!$B$2,TRUE(),IF($F498=Constants!$B$3,FALSE(),FALSE())))</f>
        <v/>
      </c>
      <c r="AL498" s="100" t="str">
        <f aca="false">IF(ISBLANK($C498),"",IF($G498=Constants!$B$2,TRUE(),IF($G498=Constants!$B$3,FALSE(),TRUE())))</f>
        <v/>
      </c>
      <c r="AM498" s="100" t="str">
        <f aca="false">IF(ISBLANK($C498),"",IF($H498=Constants!$B$2,TRUE(),IF($H498=Constants!$B$3,FALSE(),TRUE())))</f>
        <v/>
      </c>
      <c r="AN498" s="100" t="str">
        <f aca="false">IF(ISBLANK($C498),"",IF(ISNUMBER($I498),IF($I498&gt;=0,$I498,""),""))</f>
        <v/>
      </c>
      <c r="AO498" s="100" t="str">
        <f aca="false">IF(ISBLANK($C498),"",IF(ISNUMBER($J498),IF($J498&gt;=0,$J498,""),""))</f>
        <v/>
      </c>
      <c r="AP498" s="100" t="str">
        <f aca="false">IF(ISBLANK($C498),"",IF(ISNUMBER($K498),IF($K498&gt;=0,$K498,""),""))</f>
        <v/>
      </c>
      <c r="AQ498" s="100" t="str">
        <f aca="false">IF(ISBLANK($C498),"",IF($L498=Constants!$B$2,TRUE(),IF($L498=Constants!$B$3,FALSE(),TRUE())))</f>
        <v/>
      </c>
      <c r="AR498" s="100" t="str">
        <f aca="false">IF(ISBLANK($C498),"",IF($M498=Constants!$B$2,TRUE(),IF($M498=Constants!$B$3,FALSE(),TRUE())))</f>
        <v/>
      </c>
      <c r="AS498" s="100" t="str">
        <f aca="false">IF(ISBLANK($C498),"",IF($N498=Constants!$B$2,TRUE(),IF($N498=Constants!$B$3,FALSE(),FALSE())))</f>
        <v/>
      </c>
      <c r="AT498" s="100" t="str">
        <f aca="false">IF(ISBLANK($C498),"",IF($O498=Constants!$B$2,TRUE(),IF($O498=Constants!$B$3,FALSE(),TRUE())))</f>
        <v/>
      </c>
      <c r="AU498" s="100" t="str">
        <f aca="false">IF(ISBLANK($C498),"",IF($P498=Constants!$B$2,TRUE(),IF($P498=Constants!$B$3,FALSE(),TRUE())))</f>
        <v/>
      </c>
      <c r="AV498" s="100" t="str">
        <f aca="false">IF(ISBLANK($C498),"",IF($Q498=Constants!$B$2,TRUE(),IF($Q498=Constants!$B$3,FALSE(),FALSE())))</f>
        <v/>
      </c>
      <c r="AW498" s="100" t="str">
        <f aca="false">IF(ISBLANK($C498),"",IF($R498=Constants!$B$2,TRUE(),IF($R498=Constants!$B$3,FALSE(),FALSE())))</f>
        <v/>
      </c>
      <c r="AX498" s="100" t="str">
        <f aca="false">IF(ISBLANK($C498),"",IF($S498=Constants!$B$2,TRUE(),IF($S498=Constants!$B$3,FALSE(),FALSE())))</f>
        <v/>
      </c>
      <c r="AY498" s="100" t="str">
        <f aca="false">IF(ISBLANK($C498),"",IF($T498=Constants!$B$2,TRUE(),IF($T498=Constants!$B$3,FALSE(),FALSE())))</f>
        <v/>
      </c>
      <c r="AZ498" s="100" t="str">
        <f aca="false">IF(ISBLANK($C498),"",IF($U498=Constants!$B$2,TRUE(),IF($U498=Constants!$B$3,FALSE(),FALSE())))</f>
        <v/>
      </c>
      <c r="BA498" s="100" t="str">
        <f aca="false">IF(ISBLANK($C498),"",IF(OR($V498&amp;""="1",$V498&amp;""="2",$V498&amp;""="3",$V498&amp;""="4"),VALUE($V498&amp;""),IF($V498=Constants!$B$12,Constants!$B$12,"")))</f>
        <v/>
      </c>
      <c r="BB498" s="100" t="str">
        <f aca="false">IF(ISBLANK($C498),"",IF(ISBLANK($W498),0,IF(ISNUMBER($W498),IF(AND($W498&gt;=0,$W498&lt;=Constants!$B$21,$W498=INT($W498)),$W498,""),"")))</f>
        <v/>
      </c>
      <c r="BC498" s="100" t="str">
        <f aca="false">IF(ISBLANK($C498),"",IF(ISBLANK($X498),0,IF(ISNUMBER($X498),IF($X498&gt;=0,$X498,""),"")))</f>
        <v/>
      </c>
      <c r="BD498" s="100" t="str">
        <f aca="false">IF(ISBLANK($C498),"",IF($Y498=Constants!$B$2,TRUE(),IF($Y498=Constants!$B$3,FALSE(),TRUE())))</f>
        <v/>
      </c>
      <c r="BE498" s="100" t="str">
        <f aca="false">IF(ISBLANK($C498),"",IF($Z498=Constants!$B$2,TRUE(),IF($Z498=Constants!$B$3,FALSE(),FALSE())))</f>
        <v/>
      </c>
      <c r="BF498" s="100" t="str">
        <f aca="false">IF(ISBLANK($C498),"",IF(ISBLANK($AA498),0,IF(ISNUMBER($AA498),IF(AND($AA498&gt;=0,$AA498&lt;=Constants!$B$35,$AA498=INT($AA498)),$AA498,""),"")))</f>
        <v/>
      </c>
      <c r="BG498" s="100" t="str">
        <f aca="false">IF(ISBLANK($C498),"",IF($AB498=Constants!$B$2,TRUE(),IF($AB498=Constants!$B$3,FALSE(),TRUE())))</f>
        <v/>
      </c>
      <c r="BH498" s="100" t="str">
        <f aca="false">IF(ISBLANK($C498),"",IF($AC498=Constants!$B$2,TRUE(),IF($AC498=Constants!$B$3,FALSE(),TRUE())))</f>
        <v/>
      </c>
      <c r="BI498" s="100" t="str">
        <f aca="false">IF(ISBLANK($C498),"",IF($AD498=Constants!$B$2,TRUE(),IF($AD498=Constants!$B$3,FALSE(),TRUE())))</f>
        <v/>
      </c>
      <c r="BJ498" s="100" t="str">
        <f aca="false">IF(ISBLANK($C498),"",IF(ISNUMBER($AE498),IF($AE498&gt;=0,$AE498,""),""))</f>
        <v/>
      </c>
      <c r="BK498" s="100" t="str">
        <f aca="false">IF(ISBLANK($C498),"",IF($AF498=Constants!$B$2,TRUE(),IF($AF498=Constants!$B$3,FALSE(),FALSE())))</f>
        <v/>
      </c>
      <c r="BL498" s="99" t="str">
        <f aca="false">IF(ISBLANK($C498),"",IF($BK498,Constants!$B$7,IF(COUNTA($E498:$AE498)=0,Constants!$B$6,IF(OR(COUNTA($G498:$AE498)=0,NOT($AM498),$AS498),Constants!$B$5,IF(OR($CM498&lt;&gt;"",$CN498,$CO498,$CP498,$CQ498,$CR498,$CS498),Constants!$B$8,Constants!$B$4)))))</f>
        <v/>
      </c>
      <c r="BM498" s="100" t="str">
        <f aca="false">IF(ISBLANK($C498),"",IF($BL498&lt;&gt;Constants!$B$4,$BL498,IF(OR(NOT($AJ498),NOT($AL498),NOT($AT498)),Constants!$B$11,IF(OR(NOT($AR498),NOT($AU498),NOT($BI498),MAX($AN498,$AO498,$AP498)&gt;Constants!$B$30),Constants!$B$10,Constants!$B$9))))</f>
        <v/>
      </c>
      <c r="BN498" s="100" t="str">
        <f aca="false">IF($BL498&lt;&gt;Constants!$B$4,"",IF(NOT($AL498),0,MIN(Constants!$B$35,$BF498)))</f>
        <v/>
      </c>
      <c r="BO498" s="100" t="str">
        <f aca="false">IF($BL498&lt;&gt;Constants!$B$4,"",IF(NOT($AL498),0,IF($AW498,Constants!$B$18,IF($AV498,Constants!$B$17,0))))</f>
        <v/>
      </c>
      <c r="BP498" s="100" t="str">
        <f aca="false">IF($BL498&lt;&gt;Constants!$B$4,"",IF(NOT($AL498),0,Constants!$B$19*($AK498+$AX498+$AY498+$AZ498)))</f>
        <v/>
      </c>
      <c r="BQ498" s="100" t="str">
        <f aca="false">IF($BL498&lt;&gt;Constants!$B$4,"",IF(OR(NOT($AL498),NOT(ISNUMBER($BA498))),0,CHOOSE($BA498,Constants!$B$13,Constants!$B$14,Constants!$B$15,Constants!$B$16)))</f>
        <v/>
      </c>
      <c r="BR498" s="100" t="str">
        <f aca="false">IF($BL498&lt;&gt;Constants!$B$4,"",IF(NOT($AL498),0,Constants!$B$20*$BB498))</f>
        <v/>
      </c>
      <c r="BS498" s="100" t="str">
        <f aca="false">IF($BL498&lt;&gt;Constants!$B$4,"",IF(AND($AL498,$BD498,$BE498),Constants!$B$22,0))</f>
        <v/>
      </c>
      <c r="BT498" s="100" t="str">
        <f aca="false">IF($BL498&lt;&gt;Constants!$B$4,"",IF(OR(NOT($AL498),NOT($BD498)),0,IF($BJ498&gt;=2*$AH$9,0,Constants!$B$23*INT(ROUND(MIN($BJ498,$AH$9),6)))))</f>
        <v/>
      </c>
      <c r="BU498" s="100" t="str">
        <f aca="false">IF($BL498&lt;&gt;Constants!$B$4,"",IF(NOT($AL498),0,Constants!$B$24*INT(ROUND(MIN($BC498,$AH$9),6))))</f>
        <v/>
      </c>
      <c r="BV498" s="100" t="str">
        <f aca="false">IF($BL498&lt;&gt;Constants!$B$4,"",IF(AND($AL498,$BN498=0),Constants!$B$25,0))</f>
        <v/>
      </c>
      <c r="BW498" s="100" t="str">
        <f aca="false">IF($BL498&lt;&gt;Constants!$B$4,"",MIN(Constants!$B$29,MAX(0,Constants!$B$27*Constants!$B$28*INT(ROUND((Constants!$B$26-$AN498)/Constants!$B$28,6))))+MIN(Constants!$B$29,MAX(0,Constants!$B$27*Constants!$B$28*INT(ROUND((Constants!$B$26-$AO498)/Constants!$B$28,6))))+MIN(Constants!$B$29,MAX(0,Constants!$B$27*Constants!$B$28*INT(ROUND((Constants!$B$26-$AP498)/Constants!$B$28,6)))))</f>
        <v/>
      </c>
      <c r="BX498" s="100" t="str">
        <f aca="false">IF($BL498&lt;&gt;Constants!$B$4,"",IF(NOT($AL498),0,Constants!$B$31*INT(ROUND(MAX(0,MIN($BJ498,2*$AH$9)-$AH$9),6))))</f>
        <v/>
      </c>
      <c r="BY498" s="100" t="str">
        <f aca="false">IF($BL498&lt;&gt;Constants!$B$4,"",Constants!$B$32*(($AN498&gt;Constants!$B$26)+($AO498&gt;Constants!$B$26)+($AP498&gt;Constants!$B$26)))</f>
        <v/>
      </c>
      <c r="BZ498" s="100" t="str">
        <f aca="false">IF($BL498&lt;&gt;Constants!$B$4,"",IF(OR(NOT($AL498),$AQ498),0,Constants!$B$33))</f>
        <v/>
      </c>
      <c r="CA498" s="100" t="str">
        <f aca="false">IF($BL498&lt;&gt;Constants!$B$4,"",Constants!$B$34*$BN498)</f>
        <v/>
      </c>
      <c r="CB498" s="100" t="str">
        <f aca="false">IF($BL498&lt;&gt;Constants!$B$4,"",IF(OR(NOT($AL498),$BH498),0,Constants!$B$36))</f>
        <v/>
      </c>
      <c r="CC498" s="100" t="str">
        <f aca="false">IF($BL498&lt;&gt;Constants!$B$4,"",IF(OR(NOT($AL498),$BG498),0,Constants!$B$37))</f>
        <v/>
      </c>
      <c r="CD498" s="100" t="str">
        <f aca="false">IF($BL498&lt;&gt;Constants!$B$4,"",SUM($BX498:$CC498))</f>
        <v/>
      </c>
      <c r="CE498" s="100" t="str">
        <f aca="false">IF(ISBLANK($C498),"",IF($BL498&lt;&gt;Constants!$B$4,$BL498,SUM($BO498:$BW498)-$CD498))</f>
        <v/>
      </c>
      <c r="CF498" s="100" t="str">
        <f aca="false">IF(ISBLANK($C498),"",IF($BL498&lt;&gt;Constants!$B$4,$BL498,RANK($CE498,$CE$9:$CE$508)))</f>
        <v/>
      </c>
      <c r="CG498" s="100" t="str">
        <f aca="false">IF(ISBLANK($C498),"",IF($BL498&lt;&gt;Constants!$B$4,$BL498,COUNTIFS($BM$9:$BM$508,"&lt;"&amp;$BM498)+COUNTIFS($BM$9:$BM$508,$BM498,$CF$9:$CF$508,"&lt;"&amp;$CF498)+1))</f>
        <v/>
      </c>
      <c r="CH498" s="100" t="str">
        <f aca="false">IF(ISBLANK($C498),"",IF($BL498&lt;&gt;Constants!$B$4,$BL498,RANK($CD498,$CD$9:$CD$508,1)))</f>
        <v/>
      </c>
      <c r="CI498" s="100" t="str">
        <f aca="false">IF($BL498&lt;&gt;Constants!$B$4,"",$AN498+$AO498+$AP498)</f>
        <v/>
      </c>
      <c r="CJ498" s="100" t="str">
        <f aca="false">IF(ISBLANK($C498),"",IF($BL498&lt;&gt;Constants!$B$4,$BL498,RANK($CI498,$CI$9:$CI$508,1)))</f>
        <v/>
      </c>
      <c r="CK498" s="100" t="str">
        <f aca="false">IF(ISBLANK($C498),"",IF($BL498&lt;&gt;Constants!$B$4,$BL498,COUNTIFS($BM$9:$BM$508,"&lt;"&amp;$BM498)+COUNTIFS($BM$9:$BM$508,$BM498,$CF$9:$CF$508,"&lt;"&amp;$CF498)+COUNTIFS($BM$9:$BM$508,$BM498,$CF$9:$CF$508,$CF498,$CH$9:$CH$508,"&lt;"&amp;$CH498)+COUNTIFS($BM$9:$BM$508,$BM498,$CF$9:$CF$508,$CF498,$CH$9:$CH$508,$CH498,$CJ$9:$CJ$508,"&lt;"&amp;$CJ498)+1))</f>
        <v/>
      </c>
      <c r="CL498" s="100" t="str">
        <f aca="false">IF(ISBLANK($C498),"",IF($BL498&lt;&gt;Constants!$B$4,$BL498,$CG498-$CK498))</f>
        <v/>
      </c>
      <c r="CM498" s="100" t="str">
        <f aca="false">IF(ISBLANK($C498),"",IF(NOT($AL498),"",IF(ISBLANK($D$7),$CM$5,IF(NOT(ISNUMBER($D$7)),$CM$6,""))))</f>
        <v/>
      </c>
      <c r="CN498" s="100" t="str">
        <f aca="false">IF(ISBLANK($C498),"",OR($AN498="",$AO498="",$AP498=""))</f>
        <v/>
      </c>
      <c r="CO498" s="100" t="str">
        <f aca="false">IF(ISBLANK($C498),"",AND($AL498,$BA498=""))</f>
        <v/>
      </c>
      <c r="CP498" s="100" t="str">
        <f aca="false">IF(ISBLANK($C498),"",AND($AL498,$BB498=""))</f>
        <v/>
      </c>
      <c r="CQ498" s="100" t="str">
        <f aca="false">IF(ISBLANK($C498),"",AND($AL498,$BC498=""))</f>
        <v/>
      </c>
      <c r="CR498" s="100" t="str">
        <f aca="false">IF(ISBLANK($C498),"",AND($AL498,$BF498=""))</f>
        <v/>
      </c>
      <c r="CS498" s="100" t="str">
        <f aca="false">IF(ISBLANK($C498),"",AND($AL498,$BJ498=""))</f>
        <v/>
      </c>
      <c r="CT498" s="101"/>
      <c r="CU498" s="102"/>
      <c r="CV498" s="103" t="str">
        <f aca="false">IF(ISBLANK($C498),"",IF($BL498=Constants!$B$8,$CM498,""))</f>
        <v/>
      </c>
      <c r="CW498" s="102" t="str">
        <f aca="false">IF(ISBLANK($C498),"",IF($BL498&lt;&gt;Constants!$B$4,"",$BO498+$BP498))</f>
        <v/>
      </c>
      <c r="CX498" s="104" t="str">
        <f aca="false">IF(ISBLANK($C498),"",IF($BL498&lt;&gt;Constants!$B$4,"",$BQ498+$BR498+$BS498))</f>
        <v/>
      </c>
      <c r="CY498" s="104" t="str">
        <f aca="false">IF(ISBLANK($C498),"",IF($BL498&lt;&gt;Constants!$B$4,"",$BT498))</f>
        <v/>
      </c>
      <c r="CZ498" s="104" t="str">
        <f aca="false">IF(ISBLANK($C498),"",IF($BL498&lt;&gt;Constants!$B$4,"",$BU498+$BV498))</f>
        <v/>
      </c>
      <c r="DA498" s="104" t="str">
        <f aca="false">IF(ISBLANK($C498),"",IF($BL498&lt;&gt;Constants!$B$4,"",$BW498))</f>
        <v/>
      </c>
      <c r="DB498" s="104" t="str">
        <f aca="false">IF(ISBLANK($C498),"",IF($BL498&lt;&gt;Constants!$B$4,"",-$CD498))</f>
        <v/>
      </c>
      <c r="DC498" s="103" t="str">
        <f aca="false">IF(ISBLANK($C498),"",$CE498)</f>
        <v/>
      </c>
      <c r="DD498" s="105" t="str">
        <f aca="false">IF(ISBLANK($C498),"",$BM498)</f>
        <v/>
      </c>
      <c r="DE498" s="104" t="str">
        <f aca="false">IF(ISBLANK($C498),"",$CL498)</f>
        <v/>
      </c>
      <c r="DF498" s="104" t="str">
        <f aca="false">IF(ISBLANK($C498),"",$CK498)</f>
        <v/>
      </c>
      <c r="DG498" s="106" t="str">
        <f aca="false">IF(ISBLANK($C498),"",IF($DF498=Constants!$B$7,COUNTA($C$9:$C$508)+2,IF($DF498=Constants!$B$6,COUNTA($C$9:$C$508)+1,IF($DF498=Constants!$B$5,COUNTA($C$9:$C$508),$DF498))))</f>
        <v/>
      </c>
      <c r="DH498" s="7"/>
      <c r="DI498" s="107" t="n">
        <f aca="false">IF(OR(ISNUMBER($DF498),$DF498=Constants!$B$7,$DF498=Constants!$B$5,$DF498=Constants!$B$6),1,0)</f>
        <v>0</v>
      </c>
      <c r="DJ498" s="107" t="n">
        <v>490</v>
      </c>
      <c r="DK498" s="107" t="str">
        <f aca="false">IF(ISBLANK($C498),"",IF(ISNUMBER($DG498),$DG498+ROW($B498)/1000,""))</f>
        <v/>
      </c>
      <c r="DL498" s="107" t="str">
        <f aca="false">IF(ISNUMBER($DK498),RANK($DK498,$DK$9:$DK$508,1),"")</f>
        <v/>
      </c>
      <c r="DM498" s="107" t="str">
        <f aca="false">IF(ISBLANK($C498),"",$B498)</f>
        <v/>
      </c>
      <c r="DN498" s="107" t="str">
        <f aca="false">IF(ISBLANK($C498),"",$C498)</f>
        <v/>
      </c>
      <c r="DO498" s="107" t="str">
        <f aca="false">IF(ISBLANK($C498),"",$D498)</f>
        <v/>
      </c>
      <c r="DP498" s="108" t="str">
        <f aca="false">$DD498</f>
        <v/>
      </c>
      <c r="DQ498" s="109" t="str">
        <f aca="false">$DC498</f>
        <v/>
      </c>
      <c r="DR498" s="107" t="str">
        <f aca="false">IF(ISBLANK($C498),"",$DF498)</f>
        <v/>
      </c>
      <c r="DS498" s="110" t="str">
        <f aca="false">IF($DJ498&gt;$DI$8,"",VLOOKUP($DJ498,$DL$9:$DR$508,7,FALSE()))</f>
        <v/>
      </c>
      <c r="DT498" s="111" t="str">
        <f aca="false">IF($DJ498&gt;$DI$8,"",VLOOKUP($DJ498,$DL$9:$DR$508,2,FALSE()))</f>
        <v/>
      </c>
      <c r="DU498" s="111" t="str">
        <f aca="false">IF($DJ498&gt;$DI$8,"",VLOOKUP($DJ498,$DL$9:$DR$508,3,FALSE()))</f>
        <v/>
      </c>
      <c r="DV498" s="111" t="str">
        <f aca="false">IF($DJ498&gt;$DI$8,"",VLOOKUP($DJ498,$DL$9:$DR$508,4,FALSE()))</f>
        <v/>
      </c>
      <c r="DW498" s="111" t="str">
        <f aca="false">IF($DJ498&gt;$DI$8,"",VLOOKUP($DJ498,$DL$9:$DR$508,5,FALSE()))</f>
        <v/>
      </c>
      <c r="DX498" s="112" t="str">
        <f aca="false">IF($DJ498&gt;$DI$8,"",VLOOKUP($DJ498,$DL$9:$DR$508,6,FALSE()))</f>
        <v/>
      </c>
      <c r="DY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130"/>
      <c r="N499" s="130"/>
      <c r="O499" s="135"/>
      <c r="P499" s="135"/>
      <c r="Q499" s="130"/>
      <c r="R499" s="130"/>
      <c r="S499" s="130"/>
      <c r="T499" s="130"/>
      <c r="U499" s="135"/>
      <c r="V499" s="130"/>
      <c r="W499" s="96"/>
      <c r="X499" s="130"/>
      <c r="Y499" s="130"/>
      <c r="Z499" s="96"/>
      <c r="AA499" s="96"/>
      <c r="AB499" s="130"/>
      <c r="AC499" s="130"/>
      <c r="AD499" s="130"/>
      <c r="AE499" s="97"/>
      <c r="AF499" s="130"/>
      <c r="AG499" s="99"/>
      <c r="AH499" s="100"/>
      <c r="AI499" s="100"/>
      <c r="AJ499" s="100" t="str">
        <f aca="false">IF(ISBLANK($C499),"",IF($E499=Constants!$B$2,TRUE(),IF($E499=Constants!$B$3,FALSE(),TRUE())))</f>
        <v/>
      </c>
      <c r="AK499" s="100" t="str">
        <f aca="false">IF(ISBLANK($C499),"",IF($F499=Constants!$B$2,TRUE(),IF($F499=Constants!$B$3,FALSE(),FALSE())))</f>
        <v/>
      </c>
      <c r="AL499" s="100" t="str">
        <f aca="false">IF(ISBLANK($C499),"",IF($G499=Constants!$B$2,TRUE(),IF($G499=Constants!$B$3,FALSE(),TRUE())))</f>
        <v/>
      </c>
      <c r="AM499" s="100" t="str">
        <f aca="false">IF(ISBLANK($C499),"",IF($H499=Constants!$B$2,TRUE(),IF($H499=Constants!$B$3,FALSE(),TRUE())))</f>
        <v/>
      </c>
      <c r="AN499" s="100" t="str">
        <f aca="false">IF(ISBLANK($C499),"",IF(ISNUMBER($I499),IF($I499&gt;=0,$I499,""),""))</f>
        <v/>
      </c>
      <c r="AO499" s="100" t="str">
        <f aca="false">IF(ISBLANK($C499),"",IF(ISNUMBER($J499),IF($J499&gt;=0,$J499,""),""))</f>
        <v/>
      </c>
      <c r="AP499" s="100" t="str">
        <f aca="false">IF(ISBLANK($C499),"",IF(ISNUMBER($K499),IF($K499&gt;=0,$K499,""),""))</f>
        <v/>
      </c>
      <c r="AQ499" s="100" t="str">
        <f aca="false">IF(ISBLANK($C499),"",IF($L499=Constants!$B$2,TRUE(),IF($L499=Constants!$B$3,FALSE(),TRUE())))</f>
        <v/>
      </c>
      <c r="AR499" s="100" t="str">
        <f aca="false">IF(ISBLANK($C499),"",IF($M499=Constants!$B$2,TRUE(),IF($M499=Constants!$B$3,FALSE(),TRUE())))</f>
        <v/>
      </c>
      <c r="AS499" s="100" t="str">
        <f aca="false">IF(ISBLANK($C499),"",IF($N499=Constants!$B$2,TRUE(),IF($N499=Constants!$B$3,FALSE(),FALSE())))</f>
        <v/>
      </c>
      <c r="AT499" s="100" t="str">
        <f aca="false">IF(ISBLANK($C499),"",IF($O499=Constants!$B$2,TRUE(),IF($O499=Constants!$B$3,FALSE(),TRUE())))</f>
        <v/>
      </c>
      <c r="AU499" s="100" t="str">
        <f aca="false">IF(ISBLANK($C499),"",IF($P499=Constants!$B$2,TRUE(),IF($P499=Constants!$B$3,FALSE(),TRUE())))</f>
        <v/>
      </c>
      <c r="AV499" s="100" t="str">
        <f aca="false">IF(ISBLANK($C499),"",IF($Q499=Constants!$B$2,TRUE(),IF($Q499=Constants!$B$3,FALSE(),FALSE())))</f>
        <v/>
      </c>
      <c r="AW499" s="100" t="str">
        <f aca="false">IF(ISBLANK($C499),"",IF($R499=Constants!$B$2,TRUE(),IF($R499=Constants!$B$3,FALSE(),FALSE())))</f>
        <v/>
      </c>
      <c r="AX499" s="100" t="str">
        <f aca="false">IF(ISBLANK($C499),"",IF($S499=Constants!$B$2,TRUE(),IF($S499=Constants!$B$3,FALSE(),FALSE())))</f>
        <v/>
      </c>
      <c r="AY499" s="100" t="str">
        <f aca="false">IF(ISBLANK($C499),"",IF($T499=Constants!$B$2,TRUE(),IF($T499=Constants!$B$3,FALSE(),FALSE())))</f>
        <v/>
      </c>
      <c r="AZ499" s="100" t="str">
        <f aca="false">IF(ISBLANK($C499),"",IF($U499=Constants!$B$2,TRUE(),IF($U499=Constants!$B$3,FALSE(),FALSE())))</f>
        <v/>
      </c>
      <c r="BA499" s="100" t="str">
        <f aca="false">IF(ISBLANK($C499),"",IF(OR($V499&amp;""="1",$V499&amp;""="2",$V499&amp;""="3",$V499&amp;""="4"),VALUE($V499&amp;""),IF($V499=Constants!$B$12,Constants!$B$12,"")))</f>
        <v/>
      </c>
      <c r="BB499" s="100" t="str">
        <f aca="false">IF(ISBLANK($C499),"",IF(ISBLANK($W499),0,IF(ISNUMBER($W499),IF(AND($W499&gt;=0,$W499&lt;=Constants!$B$21,$W499=INT($W499)),$W499,""),"")))</f>
        <v/>
      </c>
      <c r="BC499" s="100" t="str">
        <f aca="false">IF(ISBLANK($C499),"",IF(ISBLANK($X499),0,IF(ISNUMBER($X499),IF($X499&gt;=0,$X499,""),"")))</f>
        <v/>
      </c>
      <c r="BD499" s="100" t="str">
        <f aca="false">IF(ISBLANK($C499),"",IF($Y499=Constants!$B$2,TRUE(),IF($Y499=Constants!$B$3,FALSE(),TRUE())))</f>
        <v/>
      </c>
      <c r="BE499" s="100" t="str">
        <f aca="false">IF(ISBLANK($C499),"",IF($Z499=Constants!$B$2,TRUE(),IF($Z499=Constants!$B$3,FALSE(),FALSE())))</f>
        <v/>
      </c>
      <c r="BF499" s="100" t="str">
        <f aca="false">IF(ISBLANK($C499),"",IF(ISBLANK($AA499),0,IF(ISNUMBER($AA499),IF(AND($AA499&gt;=0,$AA499&lt;=Constants!$B$35,$AA499=INT($AA499)),$AA499,""),"")))</f>
        <v/>
      </c>
      <c r="BG499" s="100" t="str">
        <f aca="false">IF(ISBLANK($C499),"",IF($AB499=Constants!$B$2,TRUE(),IF($AB499=Constants!$B$3,FALSE(),TRUE())))</f>
        <v/>
      </c>
      <c r="BH499" s="100" t="str">
        <f aca="false">IF(ISBLANK($C499),"",IF($AC499=Constants!$B$2,TRUE(),IF($AC499=Constants!$B$3,FALSE(),TRUE())))</f>
        <v/>
      </c>
      <c r="BI499" s="100" t="str">
        <f aca="false">IF(ISBLANK($C499),"",IF($AD499=Constants!$B$2,TRUE(),IF($AD499=Constants!$B$3,FALSE(),TRUE())))</f>
        <v/>
      </c>
      <c r="BJ499" s="100" t="str">
        <f aca="false">IF(ISBLANK($C499),"",IF(ISNUMBER($AE499),IF($AE499&gt;=0,$AE499,""),""))</f>
        <v/>
      </c>
      <c r="BK499" s="100" t="str">
        <f aca="false">IF(ISBLANK($C499),"",IF($AF499=Constants!$B$2,TRUE(),IF($AF499=Constants!$B$3,FALSE(),FALSE())))</f>
        <v/>
      </c>
      <c r="BL499" s="99" t="str">
        <f aca="false">IF(ISBLANK($C499),"",IF($BK499,Constants!$B$7,IF(COUNTA($E499:$AE499)=0,Constants!$B$6,IF(OR(COUNTA($G499:$AE499)=0,NOT($AM499),$AS499),Constants!$B$5,IF(OR($CM499&lt;&gt;"",$CN499,$CO499,$CP499,$CQ499,$CR499,$CS499),Constants!$B$8,Constants!$B$4)))))</f>
        <v/>
      </c>
      <c r="BM499" s="100" t="str">
        <f aca="false">IF(ISBLANK($C499),"",IF($BL499&lt;&gt;Constants!$B$4,$BL499,IF(OR(NOT($AJ499),NOT($AL499),NOT($AT499)),Constants!$B$11,IF(OR(NOT($AR499),NOT($AU499),NOT($BI499),MAX($AN499,$AO499,$AP499)&gt;Constants!$B$30),Constants!$B$10,Constants!$B$9))))</f>
        <v/>
      </c>
      <c r="BN499" s="100" t="str">
        <f aca="false">IF($BL499&lt;&gt;Constants!$B$4,"",IF(NOT($AL499),0,MIN(Constants!$B$35,$BF499)))</f>
        <v/>
      </c>
      <c r="BO499" s="100" t="str">
        <f aca="false">IF($BL499&lt;&gt;Constants!$B$4,"",IF(NOT($AL499),0,IF($AW499,Constants!$B$18,IF($AV499,Constants!$B$17,0))))</f>
        <v/>
      </c>
      <c r="BP499" s="100" t="str">
        <f aca="false">IF($BL499&lt;&gt;Constants!$B$4,"",IF(NOT($AL499),0,Constants!$B$19*($AK499+$AX499+$AY499+$AZ499)))</f>
        <v/>
      </c>
      <c r="BQ499" s="100" t="str">
        <f aca="false">IF($BL499&lt;&gt;Constants!$B$4,"",IF(OR(NOT($AL499),NOT(ISNUMBER($BA499))),0,CHOOSE($BA499,Constants!$B$13,Constants!$B$14,Constants!$B$15,Constants!$B$16)))</f>
        <v/>
      </c>
      <c r="BR499" s="100" t="str">
        <f aca="false">IF($BL499&lt;&gt;Constants!$B$4,"",IF(NOT($AL499),0,Constants!$B$20*$BB499))</f>
        <v/>
      </c>
      <c r="BS499" s="100" t="str">
        <f aca="false">IF($BL499&lt;&gt;Constants!$B$4,"",IF(AND($AL499,$BD499,$BE499),Constants!$B$22,0))</f>
        <v/>
      </c>
      <c r="BT499" s="100" t="str">
        <f aca="false">IF($BL499&lt;&gt;Constants!$B$4,"",IF(OR(NOT($AL499),NOT($BD499)),0,IF($BJ499&gt;=2*$AH$9,0,Constants!$B$23*INT(ROUND(MIN($BJ499,$AH$9),6)))))</f>
        <v/>
      </c>
      <c r="BU499" s="100" t="str">
        <f aca="false">IF($BL499&lt;&gt;Constants!$B$4,"",IF(NOT($AL499),0,Constants!$B$24*INT(ROUND(MIN($BC499,$AH$9),6))))</f>
        <v/>
      </c>
      <c r="BV499" s="100" t="str">
        <f aca="false">IF($BL499&lt;&gt;Constants!$B$4,"",IF(AND($AL499,$BN499=0),Constants!$B$25,0))</f>
        <v/>
      </c>
      <c r="BW499" s="100" t="str">
        <f aca="false">IF($BL499&lt;&gt;Constants!$B$4,"",MIN(Constants!$B$29,MAX(0,Constants!$B$27*Constants!$B$28*INT(ROUND((Constants!$B$26-$AN499)/Constants!$B$28,6))))+MIN(Constants!$B$29,MAX(0,Constants!$B$27*Constants!$B$28*INT(ROUND((Constants!$B$26-$AO499)/Constants!$B$28,6))))+MIN(Constants!$B$29,MAX(0,Constants!$B$27*Constants!$B$28*INT(ROUND((Constants!$B$26-$AP499)/Constants!$B$28,6)))))</f>
        <v/>
      </c>
      <c r="BX499" s="100" t="str">
        <f aca="false">IF($BL499&lt;&gt;Constants!$B$4,"",IF(NOT($AL499),0,Constants!$B$31*INT(ROUND(MAX(0,MIN($BJ499,2*$AH$9)-$AH$9),6))))</f>
        <v/>
      </c>
      <c r="BY499" s="100" t="str">
        <f aca="false">IF($BL499&lt;&gt;Constants!$B$4,"",Constants!$B$32*(($AN499&gt;Constants!$B$26)+($AO499&gt;Constants!$B$26)+($AP499&gt;Constants!$B$26)))</f>
        <v/>
      </c>
      <c r="BZ499" s="100" t="str">
        <f aca="false">IF($BL499&lt;&gt;Constants!$B$4,"",IF(OR(NOT($AL499),$AQ499),0,Constants!$B$33))</f>
        <v/>
      </c>
      <c r="CA499" s="100" t="str">
        <f aca="false">IF($BL499&lt;&gt;Constants!$B$4,"",Constants!$B$34*$BN499)</f>
        <v/>
      </c>
      <c r="CB499" s="100" t="str">
        <f aca="false">IF($BL499&lt;&gt;Constants!$B$4,"",IF(OR(NOT($AL499),$BH499),0,Constants!$B$36))</f>
        <v/>
      </c>
      <c r="CC499" s="100" t="str">
        <f aca="false">IF($BL499&lt;&gt;Constants!$B$4,"",IF(OR(NOT($AL499),$BG499),0,Constants!$B$37))</f>
        <v/>
      </c>
      <c r="CD499" s="100" t="str">
        <f aca="false">IF($BL499&lt;&gt;Constants!$B$4,"",SUM($BX499:$CC499))</f>
        <v/>
      </c>
      <c r="CE499" s="100" t="str">
        <f aca="false">IF(ISBLANK($C499),"",IF($BL499&lt;&gt;Constants!$B$4,$BL499,SUM($BO499:$BW499)-$CD499))</f>
        <v/>
      </c>
      <c r="CF499" s="100" t="str">
        <f aca="false">IF(ISBLANK($C499),"",IF($BL499&lt;&gt;Constants!$B$4,$BL499,RANK($CE499,$CE$9:$CE$508)))</f>
        <v/>
      </c>
      <c r="CG499" s="100" t="str">
        <f aca="false">IF(ISBLANK($C499),"",IF($BL499&lt;&gt;Constants!$B$4,$BL499,COUNTIFS($BM$9:$BM$508,"&lt;"&amp;$BM499)+COUNTIFS($BM$9:$BM$508,$BM499,$CF$9:$CF$508,"&lt;"&amp;$CF499)+1))</f>
        <v/>
      </c>
      <c r="CH499" s="100" t="str">
        <f aca="false">IF(ISBLANK($C499),"",IF($BL499&lt;&gt;Constants!$B$4,$BL499,RANK($CD499,$CD$9:$CD$508,1)))</f>
        <v/>
      </c>
      <c r="CI499" s="100" t="str">
        <f aca="false">IF($BL499&lt;&gt;Constants!$B$4,"",$AN499+$AO499+$AP499)</f>
        <v/>
      </c>
      <c r="CJ499" s="100" t="str">
        <f aca="false">IF(ISBLANK($C499),"",IF($BL499&lt;&gt;Constants!$B$4,$BL499,RANK($CI499,$CI$9:$CI$508,1)))</f>
        <v/>
      </c>
      <c r="CK499" s="100" t="str">
        <f aca="false">IF(ISBLANK($C499),"",IF($BL499&lt;&gt;Constants!$B$4,$BL499,COUNTIFS($BM$9:$BM$508,"&lt;"&amp;$BM499)+COUNTIFS($BM$9:$BM$508,$BM499,$CF$9:$CF$508,"&lt;"&amp;$CF499)+COUNTIFS($BM$9:$BM$508,$BM499,$CF$9:$CF$508,$CF499,$CH$9:$CH$508,"&lt;"&amp;$CH499)+COUNTIFS($BM$9:$BM$508,$BM499,$CF$9:$CF$508,$CF499,$CH$9:$CH$508,$CH499,$CJ$9:$CJ$508,"&lt;"&amp;$CJ499)+1))</f>
        <v/>
      </c>
      <c r="CL499" s="100" t="str">
        <f aca="false">IF(ISBLANK($C499),"",IF($BL499&lt;&gt;Constants!$B$4,$BL499,$CG499-$CK499))</f>
        <v/>
      </c>
      <c r="CM499" s="100" t="str">
        <f aca="false">IF(ISBLANK($C499),"",IF(NOT($AL499),"",IF(ISBLANK($D$7),$CM$5,IF(NOT(ISNUMBER($D$7)),$CM$6,""))))</f>
        <v/>
      </c>
      <c r="CN499" s="100" t="str">
        <f aca="false">IF(ISBLANK($C499),"",OR($AN499="",$AO499="",$AP499=""))</f>
        <v/>
      </c>
      <c r="CO499" s="100" t="str">
        <f aca="false">IF(ISBLANK($C499),"",AND($AL499,$BA499=""))</f>
        <v/>
      </c>
      <c r="CP499" s="100" t="str">
        <f aca="false">IF(ISBLANK($C499),"",AND($AL499,$BB499=""))</f>
        <v/>
      </c>
      <c r="CQ499" s="100" t="str">
        <f aca="false">IF(ISBLANK($C499),"",AND($AL499,$BC499=""))</f>
        <v/>
      </c>
      <c r="CR499" s="100" t="str">
        <f aca="false">IF(ISBLANK($C499),"",AND($AL499,$BF499=""))</f>
        <v/>
      </c>
      <c r="CS499" s="100" t="str">
        <f aca="false">IF(ISBLANK($C499),"",AND($AL499,$BJ499=""))</f>
        <v/>
      </c>
      <c r="CT499" s="101"/>
      <c r="CU499" s="102"/>
      <c r="CV499" s="103" t="str">
        <f aca="false">IF(ISBLANK($C499),"",IF($BL499=Constants!$B$8,$CM499,""))</f>
        <v/>
      </c>
      <c r="CW499" s="102" t="str">
        <f aca="false">IF(ISBLANK($C499),"",IF($BL499&lt;&gt;Constants!$B$4,"",$BO499+$BP499))</f>
        <v/>
      </c>
      <c r="CX499" s="104" t="str">
        <f aca="false">IF(ISBLANK($C499),"",IF($BL499&lt;&gt;Constants!$B$4,"",$BQ499+$BR499+$BS499))</f>
        <v/>
      </c>
      <c r="CY499" s="104" t="str">
        <f aca="false">IF(ISBLANK($C499),"",IF($BL499&lt;&gt;Constants!$B$4,"",$BT499))</f>
        <v/>
      </c>
      <c r="CZ499" s="104" t="str">
        <f aca="false">IF(ISBLANK($C499),"",IF($BL499&lt;&gt;Constants!$B$4,"",$BU499+$BV499))</f>
        <v/>
      </c>
      <c r="DA499" s="104" t="str">
        <f aca="false">IF(ISBLANK($C499),"",IF($BL499&lt;&gt;Constants!$B$4,"",$BW499))</f>
        <v/>
      </c>
      <c r="DB499" s="104" t="str">
        <f aca="false">IF(ISBLANK($C499),"",IF($BL499&lt;&gt;Constants!$B$4,"",-$CD499))</f>
        <v/>
      </c>
      <c r="DC499" s="103" t="str">
        <f aca="false">IF(ISBLANK($C499),"",$CE499)</f>
        <v/>
      </c>
      <c r="DD499" s="105" t="str">
        <f aca="false">IF(ISBLANK($C499),"",$BM499)</f>
        <v/>
      </c>
      <c r="DE499" s="104" t="str">
        <f aca="false">IF(ISBLANK($C499),"",$CL499)</f>
        <v/>
      </c>
      <c r="DF499" s="104" t="str">
        <f aca="false">IF(ISBLANK($C499),"",$CK499)</f>
        <v/>
      </c>
      <c r="DG499" s="106" t="str">
        <f aca="false">IF(ISBLANK($C499),"",IF($DF499=Constants!$B$7,COUNTA($C$9:$C$508)+2,IF($DF499=Constants!$B$6,COUNTA($C$9:$C$508)+1,IF($DF499=Constants!$B$5,COUNTA($C$9:$C$508),$DF499))))</f>
        <v/>
      </c>
      <c r="DH499" s="7"/>
      <c r="DI499" s="107" t="n">
        <f aca="false">IF(OR(ISNUMBER($DF499),$DF499=Constants!$B$7,$DF499=Constants!$B$5,$DF499=Constants!$B$6),1,0)</f>
        <v>0</v>
      </c>
      <c r="DJ499" s="107" t="n">
        <v>491</v>
      </c>
      <c r="DK499" s="107" t="str">
        <f aca="false">IF(ISBLANK($C499),"",IF(ISNUMBER($DG499),$DG499+ROW($B499)/1000,""))</f>
        <v/>
      </c>
      <c r="DL499" s="107" t="str">
        <f aca="false">IF(ISNUMBER($DK499),RANK($DK499,$DK$9:$DK$508,1),"")</f>
        <v/>
      </c>
      <c r="DM499" s="107" t="str">
        <f aca="false">IF(ISBLANK($C499),"",$B499)</f>
        <v/>
      </c>
      <c r="DN499" s="107" t="str">
        <f aca="false">IF(ISBLANK($C499),"",$C499)</f>
        <v/>
      </c>
      <c r="DO499" s="107" t="str">
        <f aca="false">IF(ISBLANK($C499),"",$D499)</f>
        <v/>
      </c>
      <c r="DP499" s="108" t="str">
        <f aca="false">$DD499</f>
        <v/>
      </c>
      <c r="DQ499" s="109" t="str">
        <f aca="false">$DC499</f>
        <v/>
      </c>
      <c r="DR499" s="107" t="str">
        <f aca="false">IF(ISBLANK($C499),"",$DF499)</f>
        <v/>
      </c>
      <c r="DS499" s="110" t="str">
        <f aca="false">IF($DJ499&gt;$DI$8,"",VLOOKUP($DJ499,$DL$9:$DR$508,7,FALSE()))</f>
        <v/>
      </c>
      <c r="DT499" s="111" t="str">
        <f aca="false">IF($DJ499&gt;$DI$8,"",VLOOKUP($DJ499,$DL$9:$DR$508,2,FALSE()))</f>
        <v/>
      </c>
      <c r="DU499" s="111" t="str">
        <f aca="false">IF($DJ499&gt;$DI$8,"",VLOOKUP($DJ499,$DL$9:$DR$508,3,FALSE()))</f>
        <v/>
      </c>
      <c r="DV499" s="111" t="str">
        <f aca="false">IF($DJ499&gt;$DI$8,"",VLOOKUP($DJ499,$DL$9:$DR$508,4,FALSE()))</f>
        <v/>
      </c>
      <c r="DW499" s="111" t="str">
        <f aca="false">IF($DJ499&gt;$DI$8,"",VLOOKUP($DJ499,$DL$9:$DR$508,5,FALSE()))</f>
        <v/>
      </c>
      <c r="DX499" s="112" t="str">
        <f aca="false">IF($DJ499&gt;$DI$8,"",VLOOKUP($DJ499,$DL$9:$DR$508,6,FALSE()))</f>
        <v/>
      </c>
      <c r="DY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130"/>
      <c r="N500" s="130"/>
      <c r="O500" s="135"/>
      <c r="P500" s="135"/>
      <c r="Q500" s="130"/>
      <c r="R500" s="130"/>
      <c r="S500" s="130"/>
      <c r="T500" s="130"/>
      <c r="U500" s="135"/>
      <c r="V500" s="130"/>
      <c r="W500" s="96"/>
      <c r="X500" s="130"/>
      <c r="Y500" s="130"/>
      <c r="Z500" s="96"/>
      <c r="AA500" s="96"/>
      <c r="AB500" s="130"/>
      <c r="AC500" s="130"/>
      <c r="AD500" s="130"/>
      <c r="AE500" s="97"/>
      <c r="AF500" s="130"/>
      <c r="AG500" s="99"/>
      <c r="AH500" s="100"/>
      <c r="AI500" s="100"/>
      <c r="AJ500" s="100" t="str">
        <f aca="false">IF(ISBLANK($C500),"",IF($E500=Constants!$B$2,TRUE(),IF($E500=Constants!$B$3,FALSE(),TRUE())))</f>
        <v/>
      </c>
      <c r="AK500" s="100" t="str">
        <f aca="false">IF(ISBLANK($C500),"",IF($F500=Constants!$B$2,TRUE(),IF($F500=Constants!$B$3,FALSE(),FALSE())))</f>
        <v/>
      </c>
      <c r="AL500" s="100" t="str">
        <f aca="false">IF(ISBLANK($C500),"",IF($G500=Constants!$B$2,TRUE(),IF($G500=Constants!$B$3,FALSE(),TRUE())))</f>
        <v/>
      </c>
      <c r="AM500" s="100" t="str">
        <f aca="false">IF(ISBLANK($C500),"",IF($H500=Constants!$B$2,TRUE(),IF($H500=Constants!$B$3,FALSE(),TRUE())))</f>
        <v/>
      </c>
      <c r="AN500" s="100" t="str">
        <f aca="false">IF(ISBLANK($C500),"",IF(ISNUMBER($I500),IF($I500&gt;=0,$I500,""),""))</f>
        <v/>
      </c>
      <c r="AO500" s="100" t="str">
        <f aca="false">IF(ISBLANK($C500),"",IF(ISNUMBER($J500),IF($J500&gt;=0,$J500,""),""))</f>
        <v/>
      </c>
      <c r="AP500" s="100" t="str">
        <f aca="false">IF(ISBLANK($C500),"",IF(ISNUMBER($K500),IF($K500&gt;=0,$K500,""),""))</f>
        <v/>
      </c>
      <c r="AQ500" s="100" t="str">
        <f aca="false">IF(ISBLANK($C500),"",IF($L500=Constants!$B$2,TRUE(),IF($L500=Constants!$B$3,FALSE(),TRUE())))</f>
        <v/>
      </c>
      <c r="AR500" s="100" t="str">
        <f aca="false">IF(ISBLANK($C500),"",IF($M500=Constants!$B$2,TRUE(),IF($M500=Constants!$B$3,FALSE(),TRUE())))</f>
        <v/>
      </c>
      <c r="AS500" s="100" t="str">
        <f aca="false">IF(ISBLANK($C500),"",IF($N500=Constants!$B$2,TRUE(),IF($N500=Constants!$B$3,FALSE(),FALSE())))</f>
        <v/>
      </c>
      <c r="AT500" s="100" t="str">
        <f aca="false">IF(ISBLANK($C500),"",IF($O500=Constants!$B$2,TRUE(),IF($O500=Constants!$B$3,FALSE(),TRUE())))</f>
        <v/>
      </c>
      <c r="AU500" s="100" t="str">
        <f aca="false">IF(ISBLANK($C500),"",IF($P500=Constants!$B$2,TRUE(),IF($P500=Constants!$B$3,FALSE(),TRUE())))</f>
        <v/>
      </c>
      <c r="AV500" s="100" t="str">
        <f aca="false">IF(ISBLANK($C500),"",IF($Q500=Constants!$B$2,TRUE(),IF($Q500=Constants!$B$3,FALSE(),FALSE())))</f>
        <v/>
      </c>
      <c r="AW500" s="100" t="str">
        <f aca="false">IF(ISBLANK($C500),"",IF($R500=Constants!$B$2,TRUE(),IF($R500=Constants!$B$3,FALSE(),FALSE())))</f>
        <v/>
      </c>
      <c r="AX500" s="100" t="str">
        <f aca="false">IF(ISBLANK($C500),"",IF($S500=Constants!$B$2,TRUE(),IF($S500=Constants!$B$3,FALSE(),FALSE())))</f>
        <v/>
      </c>
      <c r="AY500" s="100" t="str">
        <f aca="false">IF(ISBLANK($C500),"",IF($T500=Constants!$B$2,TRUE(),IF($T500=Constants!$B$3,FALSE(),FALSE())))</f>
        <v/>
      </c>
      <c r="AZ500" s="100" t="str">
        <f aca="false">IF(ISBLANK($C500),"",IF($U500=Constants!$B$2,TRUE(),IF($U500=Constants!$B$3,FALSE(),FALSE())))</f>
        <v/>
      </c>
      <c r="BA500" s="100" t="str">
        <f aca="false">IF(ISBLANK($C500),"",IF(OR($V500&amp;""="1",$V500&amp;""="2",$V500&amp;""="3",$V500&amp;""="4"),VALUE($V500&amp;""),IF($V500=Constants!$B$12,Constants!$B$12,"")))</f>
        <v/>
      </c>
      <c r="BB500" s="100" t="str">
        <f aca="false">IF(ISBLANK($C500),"",IF(ISBLANK($W500),0,IF(ISNUMBER($W500),IF(AND($W500&gt;=0,$W500&lt;=Constants!$B$21,$W500=INT($W500)),$W500,""),"")))</f>
        <v/>
      </c>
      <c r="BC500" s="100" t="str">
        <f aca="false">IF(ISBLANK($C500),"",IF(ISBLANK($X500),0,IF(ISNUMBER($X500),IF($X500&gt;=0,$X500,""),"")))</f>
        <v/>
      </c>
      <c r="BD500" s="100" t="str">
        <f aca="false">IF(ISBLANK($C500),"",IF($Y500=Constants!$B$2,TRUE(),IF($Y500=Constants!$B$3,FALSE(),TRUE())))</f>
        <v/>
      </c>
      <c r="BE500" s="100" t="str">
        <f aca="false">IF(ISBLANK($C500),"",IF($Z500=Constants!$B$2,TRUE(),IF($Z500=Constants!$B$3,FALSE(),FALSE())))</f>
        <v/>
      </c>
      <c r="BF500" s="100" t="str">
        <f aca="false">IF(ISBLANK($C500),"",IF(ISBLANK($AA500),0,IF(ISNUMBER($AA500),IF(AND($AA500&gt;=0,$AA500&lt;=Constants!$B$35,$AA500=INT($AA500)),$AA500,""),"")))</f>
        <v/>
      </c>
      <c r="BG500" s="100" t="str">
        <f aca="false">IF(ISBLANK($C500),"",IF($AB500=Constants!$B$2,TRUE(),IF($AB500=Constants!$B$3,FALSE(),TRUE())))</f>
        <v/>
      </c>
      <c r="BH500" s="100" t="str">
        <f aca="false">IF(ISBLANK($C500),"",IF($AC500=Constants!$B$2,TRUE(),IF($AC500=Constants!$B$3,FALSE(),TRUE())))</f>
        <v/>
      </c>
      <c r="BI500" s="100" t="str">
        <f aca="false">IF(ISBLANK($C500),"",IF($AD500=Constants!$B$2,TRUE(),IF($AD500=Constants!$B$3,FALSE(),TRUE())))</f>
        <v/>
      </c>
      <c r="BJ500" s="100" t="str">
        <f aca="false">IF(ISBLANK($C500),"",IF(ISNUMBER($AE500),IF($AE500&gt;=0,$AE500,""),""))</f>
        <v/>
      </c>
      <c r="BK500" s="100" t="str">
        <f aca="false">IF(ISBLANK($C500),"",IF($AF500=Constants!$B$2,TRUE(),IF($AF500=Constants!$B$3,FALSE(),FALSE())))</f>
        <v/>
      </c>
      <c r="BL500" s="99" t="str">
        <f aca="false">IF(ISBLANK($C500),"",IF($BK500,Constants!$B$7,IF(COUNTA($E500:$AE500)=0,Constants!$B$6,IF(OR(COUNTA($G500:$AE500)=0,NOT($AM500),$AS500),Constants!$B$5,IF(OR($CM500&lt;&gt;"",$CN500,$CO500,$CP500,$CQ500,$CR500,$CS500),Constants!$B$8,Constants!$B$4)))))</f>
        <v/>
      </c>
      <c r="BM500" s="100" t="str">
        <f aca="false">IF(ISBLANK($C500),"",IF($BL500&lt;&gt;Constants!$B$4,$BL500,IF(OR(NOT($AJ500),NOT($AL500),NOT($AT500)),Constants!$B$11,IF(OR(NOT($AR500),NOT($AU500),NOT($BI500),MAX($AN500,$AO500,$AP500)&gt;Constants!$B$30),Constants!$B$10,Constants!$B$9))))</f>
        <v/>
      </c>
      <c r="BN500" s="100" t="str">
        <f aca="false">IF($BL500&lt;&gt;Constants!$B$4,"",IF(NOT($AL500),0,MIN(Constants!$B$35,$BF500)))</f>
        <v/>
      </c>
      <c r="BO500" s="100" t="str">
        <f aca="false">IF($BL500&lt;&gt;Constants!$B$4,"",IF(NOT($AL500),0,IF($AW500,Constants!$B$18,IF($AV500,Constants!$B$17,0))))</f>
        <v/>
      </c>
      <c r="BP500" s="100" t="str">
        <f aca="false">IF($BL500&lt;&gt;Constants!$B$4,"",IF(NOT($AL500),0,Constants!$B$19*($AK500+$AX500+$AY500+$AZ500)))</f>
        <v/>
      </c>
      <c r="BQ500" s="100" t="str">
        <f aca="false">IF($BL500&lt;&gt;Constants!$B$4,"",IF(OR(NOT($AL500),NOT(ISNUMBER($BA500))),0,CHOOSE($BA500,Constants!$B$13,Constants!$B$14,Constants!$B$15,Constants!$B$16)))</f>
        <v/>
      </c>
      <c r="BR500" s="100" t="str">
        <f aca="false">IF($BL500&lt;&gt;Constants!$B$4,"",IF(NOT($AL500),0,Constants!$B$20*$BB500))</f>
        <v/>
      </c>
      <c r="BS500" s="100" t="str">
        <f aca="false">IF($BL500&lt;&gt;Constants!$B$4,"",IF(AND($AL500,$BD500,$BE500),Constants!$B$22,0))</f>
        <v/>
      </c>
      <c r="BT500" s="100" t="str">
        <f aca="false">IF($BL500&lt;&gt;Constants!$B$4,"",IF(OR(NOT($AL500),NOT($BD500)),0,IF($BJ500&gt;=2*$AH$9,0,Constants!$B$23*INT(ROUND(MIN($BJ500,$AH$9),6)))))</f>
        <v/>
      </c>
      <c r="BU500" s="100" t="str">
        <f aca="false">IF($BL500&lt;&gt;Constants!$B$4,"",IF(NOT($AL500),0,Constants!$B$24*INT(ROUND(MIN($BC500,$AH$9),6))))</f>
        <v/>
      </c>
      <c r="BV500" s="100" t="str">
        <f aca="false">IF($BL500&lt;&gt;Constants!$B$4,"",IF(AND($AL500,$BN500=0),Constants!$B$25,0))</f>
        <v/>
      </c>
      <c r="BW500" s="100" t="str">
        <f aca="false">IF($BL500&lt;&gt;Constants!$B$4,"",MIN(Constants!$B$29,MAX(0,Constants!$B$27*Constants!$B$28*INT(ROUND((Constants!$B$26-$AN500)/Constants!$B$28,6))))+MIN(Constants!$B$29,MAX(0,Constants!$B$27*Constants!$B$28*INT(ROUND((Constants!$B$26-$AO500)/Constants!$B$28,6))))+MIN(Constants!$B$29,MAX(0,Constants!$B$27*Constants!$B$28*INT(ROUND((Constants!$B$26-$AP500)/Constants!$B$28,6)))))</f>
        <v/>
      </c>
      <c r="BX500" s="100" t="str">
        <f aca="false">IF($BL500&lt;&gt;Constants!$B$4,"",IF(NOT($AL500),0,Constants!$B$31*INT(ROUND(MAX(0,MIN($BJ500,2*$AH$9)-$AH$9),6))))</f>
        <v/>
      </c>
      <c r="BY500" s="100" t="str">
        <f aca="false">IF($BL500&lt;&gt;Constants!$B$4,"",Constants!$B$32*(($AN500&gt;Constants!$B$26)+($AO500&gt;Constants!$B$26)+($AP500&gt;Constants!$B$26)))</f>
        <v/>
      </c>
      <c r="BZ500" s="100" t="str">
        <f aca="false">IF($BL500&lt;&gt;Constants!$B$4,"",IF(OR(NOT($AL500),$AQ500),0,Constants!$B$33))</f>
        <v/>
      </c>
      <c r="CA500" s="100" t="str">
        <f aca="false">IF($BL500&lt;&gt;Constants!$B$4,"",Constants!$B$34*$BN500)</f>
        <v/>
      </c>
      <c r="CB500" s="100" t="str">
        <f aca="false">IF($BL500&lt;&gt;Constants!$B$4,"",IF(OR(NOT($AL500),$BH500),0,Constants!$B$36))</f>
        <v/>
      </c>
      <c r="CC500" s="100" t="str">
        <f aca="false">IF($BL500&lt;&gt;Constants!$B$4,"",IF(OR(NOT($AL500),$BG500),0,Constants!$B$37))</f>
        <v/>
      </c>
      <c r="CD500" s="100" t="str">
        <f aca="false">IF($BL500&lt;&gt;Constants!$B$4,"",SUM($BX500:$CC500))</f>
        <v/>
      </c>
      <c r="CE500" s="100" t="str">
        <f aca="false">IF(ISBLANK($C500),"",IF($BL500&lt;&gt;Constants!$B$4,$BL500,SUM($BO500:$BW500)-$CD500))</f>
        <v/>
      </c>
      <c r="CF500" s="100" t="str">
        <f aca="false">IF(ISBLANK($C500),"",IF($BL500&lt;&gt;Constants!$B$4,$BL500,RANK($CE500,$CE$9:$CE$508)))</f>
        <v/>
      </c>
      <c r="CG500" s="100" t="str">
        <f aca="false">IF(ISBLANK($C500),"",IF($BL500&lt;&gt;Constants!$B$4,$BL500,COUNTIFS($BM$9:$BM$508,"&lt;"&amp;$BM500)+COUNTIFS($BM$9:$BM$508,$BM500,$CF$9:$CF$508,"&lt;"&amp;$CF500)+1))</f>
        <v/>
      </c>
      <c r="CH500" s="100" t="str">
        <f aca="false">IF(ISBLANK($C500),"",IF($BL500&lt;&gt;Constants!$B$4,$BL500,RANK($CD500,$CD$9:$CD$508,1)))</f>
        <v/>
      </c>
      <c r="CI500" s="100" t="str">
        <f aca="false">IF($BL500&lt;&gt;Constants!$B$4,"",$AN500+$AO500+$AP500)</f>
        <v/>
      </c>
      <c r="CJ500" s="100" t="str">
        <f aca="false">IF(ISBLANK($C500),"",IF($BL500&lt;&gt;Constants!$B$4,$BL500,RANK($CI500,$CI$9:$CI$508,1)))</f>
        <v/>
      </c>
      <c r="CK500" s="100" t="str">
        <f aca="false">IF(ISBLANK($C500),"",IF($BL500&lt;&gt;Constants!$B$4,$BL500,COUNTIFS($BM$9:$BM$508,"&lt;"&amp;$BM500)+COUNTIFS($BM$9:$BM$508,$BM500,$CF$9:$CF$508,"&lt;"&amp;$CF500)+COUNTIFS($BM$9:$BM$508,$BM500,$CF$9:$CF$508,$CF500,$CH$9:$CH$508,"&lt;"&amp;$CH500)+COUNTIFS($BM$9:$BM$508,$BM500,$CF$9:$CF$508,$CF500,$CH$9:$CH$508,$CH500,$CJ$9:$CJ$508,"&lt;"&amp;$CJ500)+1))</f>
        <v/>
      </c>
      <c r="CL500" s="100" t="str">
        <f aca="false">IF(ISBLANK($C500),"",IF($BL500&lt;&gt;Constants!$B$4,$BL500,$CG500-$CK500))</f>
        <v/>
      </c>
      <c r="CM500" s="100" t="str">
        <f aca="false">IF(ISBLANK($C500),"",IF(NOT($AL500),"",IF(ISBLANK($D$7),$CM$5,IF(NOT(ISNUMBER($D$7)),$CM$6,""))))</f>
        <v/>
      </c>
      <c r="CN500" s="100" t="str">
        <f aca="false">IF(ISBLANK($C500),"",OR($AN500="",$AO500="",$AP500=""))</f>
        <v/>
      </c>
      <c r="CO500" s="100" t="str">
        <f aca="false">IF(ISBLANK($C500),"",AND($AL500,$BA500=""))</f>
        <v/>
      </c>
      <c r="CP500" s="100" t="str">
        <f aca="false">IF(ISBLANK($C500),"",AND($AL500,$BB500=""))</f>
        <v/>
      </c>
      <c r="CQ500" s="100" t="str">
        <f aca="false">IF(ISBLANK($C500),"",AND($AL500,$BC500=""))</f>
        <v/>
      </c>
      <c r="CR500" s="100" t="str">
        <f aca="false">IF(ISBLANK($C500),"",AND($AL500,$BF500=""))</f>
        <v/>
      </c>
      <c r="CS500" s="100" t="str">
        <f aca="false">IF(ISBLANK($C500),"",AND($AL500,$BJ500=""))</f>
        <v/>
      </c>
      <c r="CT500" s="101"/>
      <c r="CU500" s="102"/>
      <c r="CV500" s="103" t="str">
        <f aca="false">IF(ISBLANK($C500),"",IF($BL500=Constants!$B$8,$CM500,""))</f>
        <v/>
      </c>
      <c r="CW500" s="102" t="str">
        <f aca="false">IF(ISBLANK($C500),"",IF($BL500&lt;&gt;Constants!$B$4,"",$BO500+$BP500))</f>
        <v/>
      </c>
      <c r="CX500" s="104" t="str">
        <f aca="false">IF(ISBLANK($C500),"",IF($BL500&lt;&gt;Constants!$B$4,"",$BQ500+$BR500+$BS500))</f>
        <v/>
      </c>
      <c r="CY500" s="104" t="str">
        <f aca="false">IF(ISBLANK($C500),"",IF($BL500&lt;&gt;Constants!$B$4,"",$BT500))</f>
        <v/>
      </c>
      <c r="CZ500" s="104" t="str">
        <f aca="false">IF(ISBLANK($C500),"",IF($BL500&lt;&gt;Constants!$B$4,"",$BU500+$BV500))</f>
        <v/>
      </c>
      <c r="DA500" s="104" t="str">
        <f aca="false">IF(ISBLANK($C500),"",IF($BL500&lt;&gt;Constants!$B$4,"",$BW500))</f>
        <v/>
      </c>
      <c r="DB500" s="104" t="str">
        <f aca="false">IF(ISBLANK($C500),"",IF($BL500&lt;&gt;Constants!$B$4,"",-$CD500))</f>
        <v/>
      </c>
      <c r="DC500" s="103" t="str">
        <f aca="false">IF(ISBLANK($C500),"",$CE500)</f>
        <v/>
      </c>
      <c r="DD500" s="105" t="str">
        <f aca="false">IF(ISBLANK($C500),"",$BM500)</f>
        <v/>
      </c>
      <c r="DE500" s="104" t="str">
        <f aca="false">IF(ISBLANK($C500),"",$CL500)</f>
        <v/>
      </c>
      <c r="DF500" s="104" t="str">
        <f aca="false">IF(ISBLANK($C500),"",$CK500)</f>
        <v/>
      </c>
      <c r="DG500" s="106" t="str">
        <f aca="false">IF(ISBLANK($C500),"",IF($DF500=Constants!$B$7,COUNTA($C$9:$C$508)+2,IF($DF500=Constants!$B$6,COUNTA($C$9:$C$508)+1,IF($DF500=Constants!$B$5,COUNTA($C$9:$C$508),$DF500))))</f>
        <v/>
      </c>
      <c r="DH500" s="7"/>
      <c r="DI500" s="107" t="n">
        <f aca="false">IF(OR(ISNUMBER($DF500),$DF500=Constants!$B$7,$DF500=Constants!$B$5,$DF500=Constants!$B$6),1,0)</f>
        <v>0</v>
      </c>
      <c r="DJ500" s="107" t="n">
        <v>492</v>
      </c>
      <c r="DK500" s="107" t="str">
        <f aca="false">IF(ISBLANK($C500),"",IF(ISNUMBER($DG500),$DG500+ROW($B500)/1000,""))</f>
        <v/>
      </c>
      <c r="DL500" s="107" t="str">
        <f aca="false">IF(ISNUMBER($DK500),RANK($DK500,$DK$9:$DK$508,1),"")</f>
        <v/>
      </c>
      <c r="DM500" s="107" t="str">
        <f aca="false">IF(ISBLANK($C500),"",$B500)</f>
        <v/>
      </c>
      <c r="DN500" s="107" t="str">
        <f aca="false">IF(ISBLANK($C500),"",$C500)</f>
        <v/>
      </c>
      <c r="DO500" s="107" t="str">
        <f aca="false">IF(ISBLANK($C500),"",$D500)</f>
        <v/>
      </c>
      <c r="DP500" s="108" t="str">
        <f aca="false">$DD500</f>
        <v/>
      </c>
      <c r="DQ500" s="109" t="str">
        <f aca="false">$DC500</f>
        <v/>
      </c>
      <c r="DR500" s="107" t="str">
        <f aca="false">IF(ISBLANK($C500),"",$DF500)</f>
        <v/>
      </c>
      <c r="DS500" s="110" t="str">
        <f aca="false">IF($DJ500&gt;$DI$8,"",VLOOKUP($DJ500,$DL$9:$DR$508,7,FALSE()))</f>
        <v/>
      </c>
      <c r="DT500" s="111" t="str">
        <f aca="false">IF($DJ500&gt;$DI$8,"",VLOOKUP($DJ500,$DL$9:$DR$508,2,FALSE()))</f>
        <v/>
      </c>
      <c r="DU500" s="111" t="str">
        <f aca="false">IF($DJ500&gt;$DI$8,"",VLOOKUP($DJ500,$DL$9:$DR$508,3,FALSE()))</f>
        <v/>
      </c>
      <c r="DV500" s="111" t="str">
        <f aca="false">IF($DJ500&gt;$DI$8,"",VLOOKUP($DJ500,$DL$9:$DR$508,4,FALSE()))</f>
        <v/>
      </c>
      <c r="DW500" s="111" t="str">
        <f aca="false">IF($DJ500&gt;$DI$8,"",VLOOKUP($DJ500,$DL$9:$DR$508,5,FALSE()))</f>
        <v/>
      </c>
      <c r="DX500" s="112" t="str">
        <f aca="false">IF($DJ500&gt;$DI$8,"",VLOOKUP($DJ500,$DL$9:$DR$508,6,FALSE()))</f>
        <v/>
      </c>
      <c r="DY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88"/>
      <c r="N501" s="88"/>
      <c r="O501" s="134"/>
      <c r="P501" s="134"/>
      <c r="Q501" s="88"/>
      <c r="R501" s="88"/>
      <c r="S501" s="88"/>
      <c r="T501" s="88"/>
      <c r="U501" s="134"/>
      <c r="V501" s="88"/>
      <c r="W501" s="70"/>
      <c r="X501" s="88"/>
      <c r="Y501" s="88"/>
      <c r="Z501" s="70"/>
      <c r="AA501" s="70"/>
      <c r="AB501" s="88"/>
      <c r="AC501" s="88"/>
      <c r="AD501" s="88"/>
      <c r="AE501" s="71"/>
      <c r="AF501" s="88"/>
      <c r="AG501" s="73"/>
      <c r="AH501" s="74"/>
      <c r="AI501" s="74"/>
      <c r="AJ501" s="74" t="str">
        <f aca="false">IF(ISBLANK($C501),"",IF($E501=Constants!$B$2,TRUE(),IF($E501=Constants!$B$3,FALSE(),TRUE())))</f>
        <v/>
      </c>
      <c r="AK501" s="74" t="str">
        <f aca="false">IF(ISBLANK($C501),"",IF($F501=Constants!$B$2,TRUE(),IF($F501=Constants!$B$3,FALSE(),FALSE())))</f>
        <v/>
      </c>
      <c r="AL501" s="74" t="str">
        <f aca="false">IF(ISBLANK($C501),"",IF($G501=Constants!$B$2,TRUE(),IF($G501=Constants!$B$3,FALSE(),TRUE())))</f>
        <v/>
      </c>
      <c r="AM501" s="74" t="str">
        <f aca="false">IF(ISBLANK($C501),"",IF($H501=Constants!$B$2,TRUE(),IF($H501=Constants!$B$3,FALSE(),TRUE())))</f>
        <v/>
      </c>
      <c r="AN501" s="74" t="str">
        <f aca="false">IF(ISBLANK($C501),"",IF(ISNUMBER($I501),IF($I501&gt;=0,$I501,""),""))</f>
        <v/>
      </c>
      <c r="AO501" s="74" t="str">
        <f aca="false">IF(ISBLANK($C501),"",IF(ISNUMBER($J501),IF($J501&gt;=0,$J501,""),""))</f>
        <v/>
      </c>
      <c r="AP501" s="74" t="str">
        <f aca="false">IF(ISBLANK($C501),"",IF(ISNUMBER($K501),IF($K501&gt;=0,$K501,""),""))</f>
        <v/>
      </c>
      <c r="AQ501" s="74" t="str">
        <f aca="false">IF(ISBLANK($C501),"",IF($L501=Constants!$B$2,TRUE(),IF($L501=Constants!$B$3,FALSE(),TRUE())))</f>
        <v/>
      </c>
      <c r="AR501" s="74" t="str">
        <f aca="false">IF(ISBLANK($C501),"",IF($M501=Constants!$B$2,TRUE(),IF($M501=Constants!$B$3,FALSE(),TRUE())))</f>
        <v/>
      </c>
      <c r="AS501" s="74" t="str">
        <f aca="false">IF(ISBLANK($C501),"",IF($N501=Constants!$B$2,TRUE(),IF($N501=Constants!$B$3,FALSE(),FALSE())))</f>
        <v/>
      </c>
      <c r="AT501" s="74" t="str">
        <f aca="false">IF(ISBLANK($C501),"",IF($O501=Constants!$B$2,TRUE(),IF($O501=Constants!$B$3,FALSE(),TRUE())))</f>
        <v/>
      </c>
      <c r="AU501" s="74" t="str">
        <f aca="false">IF(ISBLANK($C501),"",IF($P501=Constants!$B$2,TRUE(),IF($P501=Constants!$B$3,FALSE(),TRUE())))</f>
        <v/>
      </c>
      <c r="AV501" s="74" t="str">
        <f aca="false">IF(ISBLANK($C501),"",IF($Q501=Constants!$B$2,TRUE(),IF($Q501=Constants!$B$3,FALSE(),FALSE())))</f>
        <v/>
      </c>
      <c r="AW501" s="74" t="str">
        <f aca="false">IF(ISBLANK($C501),"",IF($R501=Constants!$B$2,TRUE(),IF($R501=Constants!$B$3,FALSE(),FALSE())))</f>
        <v/>
      </c>
      <c r="AX501" s="74" t="str">
        <f aca="false">IF(ISBLANK($C501),"",IF($S501=Constants!$B$2,TRUE(),IF($S501=Constants!$B$3,FALSE(),FALSE())))</f>
        <v/>
      </c>
      <c r="AY501" s="74" t="str">
        <f aca="false">IF(ISBLANK($C501),"",IF($T501=Constants!$B$2,TRUE(),IF($T501=Constants!$B$3,FALSE(),FALSE())))</f>
        <v/>
      </c>
      <c r="AZ501" s="74" t="str">
        <f aca="false">IF(ISBLANK($C501),"",IF($U501=Constants!$B$2,TRUE(),IF($U501=Constants!$B$3,FALSE(),FALSE())))</f>
        <v/>
      </c>
      <c r="BA501" s="74" t="str">
        <f aca="false">IF(ISBLANK($C501),"",IF(OR($V501&amp;""="1",$V501&amp;""="2",$V501&amp;""="3",$V501&amp;""="4"),VALUE($V501&amp;""),IF($V501=Constants!$B$12,Constants!$B$12,"")))</f>
        <v/>
      </c>
      <c r="BB501" s="74" t="str">
        <f aca="false">IF(ISBLANK($C501),"",IF(ISBLANK($W501),0,IF(ISNUMBER($W501),IF(AND($W501&gt;=0,$W501&lt;=Constants!$B$21,$W501=INT($W501)),$W501,""),"")))</f>
        <v/>
      </c>
      <c r="BC501" s="74" t="str">
        <f aca="false">IF(ISBLANK($C501),"",IF(ISBLANK($X501),0,IF(ISNUMBER($X501),IF($X501&gt;=0,$X501,""),"")))</f>
        <v/>
      </c>
      <c r="BD501" s="74" t="str">
        <f aca="false">IF(ISBLANK($C501),"",IF($Y501=Constants!$B$2,TRUE(),IF($Y501=Constants!$B$3,FALSE(),TRUE())))</f>
        <v/>
      </c>
      <c r="BE501" s="74" t="str">
        <f aca="false">IF(ISBLANK($C501),"",IF($Z501=Constants!$B$2,TRUE(),IF($Z501=Constants!$B$3,FALSE(),FALSE())))</f>
        <v/>
      </c>
      <c r="BF501" s="74" t="str">
        <f aca="false">IF(ISBLANK($C501),"",IF(ISBLANK($AA501),0,IF(ISNUMBER($AA501),IF(AND($AA501&gt;=0,$AA501&lt;=Constants!$B$35,$AA501=INT($AA501)),$AA501,""),"")))</f>
        <v/>
      </c>
      <c r="BG501" s="74" t="str">
        <f aca="false">IF(ISBLANK($C501),"",IF($AB501=Constants!$B$2,TRUE(),IF($AB501=Constants!$B$3,FALSE(),TRUE())))</f>
        <v/>
      </c>
      <c r="BH501" s="74" t="str">
        <f aca="false">IF(ISBLANK($C501),"",IF($AC501=Constants!$B$2,TRUE(),IF($AC501=Constants!$B$3,FALSE(),TRUE())))</f>
        <v/>
      </c>
      <c r="BI501" s="74" t="str">
        <f aca="false">IF(ISBLANK($C501),"",IF($AD501=Constants!$B$2,TRUE(),IF($AD501=Constants!$B$3,FALSE(),TRUE())))</f>
        <v/>
      </c>
      <c r="BJ501" s="74" t="str">
        <f aca="false">IF(ISBLANK($C501),"",IF(ISNUMBER($AE501),IF($AE501&gt;=0,$AE501,""),""))</f>
        <v/>
      </c>
      <c r="BK501" s="74" t="str">
        <f aca="false">IF(ISBLANK($C501),"",IF($AF501=Constants!$B$2,TRUE(),IF($AF501=Constants!$B$3,FALSE(),FALSE())))</f>
        <v/>
      </c>
      <c r="BL501" s="73" t="str">
        <f aca="false">IF(ISBLANK($C501),"",IF($BK501,Constants!$B$7,IF(COUNTA($E501:$AE501)=0,Constants!$B$6,IF(OR(COUNTA($G501:$AE501)=0,NOT($AM501),$AS501),Constants!$B$5,IF(OR($CM501&lt;&gt;"",$CN501,$CO501,$CP501,$CQ501,$CR501,$CS501),Constants!$B$8,Constants!$B$4)))))</f>
        <v/>
      </c>
      <c r="BM501" s="74" t="str">
        <f aca="false">IF(ISBLANK($C501),"",IF($BL501&lt;&gt;Constants!$B$4,$BL501,IF(OR(NOT($AJ501),NOT($AL501),NOT($AT501)),Constants!$B$11,IF(OR(NOT($AR501),NOT($AU501),NOT($BI501),MAX($AN501,$AO501,$AP501)&gt;Constants!$B$30),Constants!$B$10,Constants!$B$9))))</f>
        <v/>
      </c>
      <c r="BN501" s="74" t="str">
        <f aca="false">IF($BL501&lt;&gt;Constants!$B$4,"",IF(NOT($AL501),0,MIN(Constants!$B$35,$BF501)))</f>
        <v/>
      </c>
      <c r="BO501" s="74" t="str">
        <f aca="false">IF($BL501&lt;&gt;Constants!$B$4,"",IF(NOT($AL501),0,IF($AW501,Constants!$B$18,IF($AV501,Constants!$B$17,0))))</f>
        <v/>
      </c>
      <c r="BP501" s="74" t="str">
        <f aca="false">IF($BL501&lt;&gt;Constants!$B$4,"",IF(NOT($AL501),0,Constants!$B$19*($AK501+$AX501+$AY501+$AZ501)))</f>
        <v/>
      </c>
      <c r="BQ501" s="74" t="str">
        <f aca="false">IF($BL501&lt;&gt;Constants!$B$4,"",IF(OR(NOT($AL501),NOT(ISNUMBER($BA501))),0,CHOOSE($BA501,Constants!$B$13,Constants!$B$14,Constants!$B$15,Constants!$B$16)))</f>
        <v/>
      </c>
      <c r="BR501" s="74" t="str">
        <f aca="false">IF($BL501&lt;&gt;Constants!$B$4,"",IF(NOT($AL501),0,Constants!$B$20*$BB501))</f>
        <v/>
      </c>
      <c r="BS501" s="74" t="str">
        <f aca="false">IF($BL501&lt;&gt;Constants!$B$4,"",IF(AND($AL501,$BD501,$BE501),Constants!$B$22,0))</f>
        <v/>
      </c>
      <c r="BT501" s="74" t="str">
        <f aca="false">IF($BL501&lt;&gt;Constants!$B$4,"",IF(OR(NOT($AL501),NOT($BD501)),0,IF($BJ501&gt;=2*$AH$9,0,Constants!$B$23*INT(ROUND(MIN($BJ501,$AH$9),6)))))</f>
        <v/>
      </c>
      <c r="BU501" s="74" t="str">
        <f aca="false">IF($BL501&lt;&gt;Constants!$B$4,"",IF(NOT($AL501),0,Constants!$B$24*INT(ROUND(MIN($BC501,$AH$9),6))))</f>
        <v/>
      </c>
      <c r="BV501" s="74" t="str">
        <f aca="false">IF($BL501&lt;&gt;Constants!$B$4,"",IF(AND($AL501,$BN501=0),Constants!$B$25,0))</f>
        <v/>
      </c>
      <c r="BW501" s="74" t="str">
        <f aca="false">IF($BL501&lt;&gt;Constants!$B$4,"",MIN(Constants!$B$29,MAX(0,Constants!$B$27*Constants!$B$28*INT(ROUND((Constants!$B$26-$AN501)/Constants!$B$28,6))))+MIN(Constants!$B$29,MAX(0,Constants!$B$27*Constants!$B$28*INT(ROUND((Constants!$B$26-$AO501)/Constants!$B$28,6))))+MIN(Constants!$B$29,MAX(0,Constants!$B$27*Constants!$B$28*INT(ROUND((Constants!$B$26-$AP501)/Constants!$B$28,6)))))</f>
        <v/>
      </c>
      <c r="BX501" s="74" t="str">
        <f aca="false">IF($BL501&lt;&gt;Constants!$B$4,"",IF(NOT($AL501),0,Constants!$B$31*INT(ROUND(MAX(0,MIN($BJ501,2*$AH$9)-$AH$9),6))))</f>
        <v/>
      </c>
      <c r="BY501" s="74" t="str">
        <f aca="false">IF($BL501&lt;&gt;Constants!$B$4,"",Constants!$B$32*(($AN501&gt;Constants!$B$26)+($AO501&gt;Constants!$B$26)+($AP501&gt;Constants!$B$26)))</f>
        <v/>
      </c>
      <c r="BZ501" s="74" t="str">
        <f aca="false">IF($BL501&lt;&gt;Constants!$B$4,"",IF(OR(NOT($AL501),$AQ501),0,Constants!$B$33))</f>
        <v/>
      </c>
      <c r="CA501" s="74" t="str">
        <f aca="false">IF($BL501&lt;&gt;Constants!$B$4,"",Constants!$B$34*$BN501)</f>
        <v/>
      </c>
      <c r="CB501" s="74" t="str">
        <f aca="false">IF($BL501&lt;&gt;Constants!$B$4,"",IF(OR(NOT($AL501),$BH501),0,Constants!$B$36))</f>
        <v/>
      </c>
      <c r="CC501" s="74" t="str">
        <f aca="false">IF($BL501&lt;&gt;Constants!$B$4,"",IF(OR(NOT($AL501),$BG501),0,Constants!$B$37))</f>
        <v/>
      </c>
      <c r="CD501" s="74" t="str">
        <f aca="false">IF($BL501&lt;&gt;Constants!$B$4,"",SUM($BX501:$CC501))</f>
        <v/>
      </c>
      <c r="CE501" s="74" t="str">
        <f aca="false">IF(ISBLANK($C501),"",IF($BL501&lt;&gt;Constants!$B$4,$BL501,SUM($BO501:$BW501)-$CD501))</f>
        <v/>
      </c>
      <c r="CF501" s="74" t="str">
        <f aca="false">IF(ISBLANK($C501),"",IF($BL501&lt;&gt;Constants!$B$4,$BL501,RANK($CE501,$CE$9:$CE$508)))</f>
        <v/>
      </c>
      <c r="CG501" s="74" t="str">
        <f aca="false">IF(ISBLANK($C501),"",IF($BL501&lt;&gt;Constants!$B$4,$BL501,COUNTIFS($BM$9:$BM$508,"&lt;"&amp;$BM501)+COUNTIFS($BM$9:$BM$508,$BM501,$CF$9:$CF$508,"&lt;"&amp;$CF501)+1))</f>
        <v/>
      </c>
      <c r="CH501" s="74" t="str">
        <f aca="false">IF(ISBLANK($C501),"",IF($BL501&lt;&gt;Constants!$B$4,$BL501,RANK($CD501,$CD$9:$CD$508,1)))</f>
        <v/>
      </c>
      <c r="CI501" s="74" t="str">
        <f aca="false">IF($BL501&lt;&gt;Constants!$B$4,"",$AN501+$AO501+$AP501)</f>
        <v/>
      </c>
      <c r="CJ501" s="74" t="str">
        <f aca="false">IF(ISBLANK($C501),"",IF($BL501&lt;&gt;Constants!$B$4,$BL501,RANK($CI501,$CI$9:$CI$508,1)))</f>
        <v/>
      </c>
      <c r="CK501" s="74" t="str">
        <f aca="false">IF(ISBLANK($C501),"",IF($BL501&lt;&gt;Constants!$B$4,$BL501,COUNTIFS($BM$9:$BM$508,"&lt;"&amp;$BM501)+COUNTIFS($BM$9:$BM$508,$BM501,$CF$9:$CF$508,"&lt;"&amp;$CF501)+COUNTIFS($BM$9:$BM$508,$BM501,$CF$9:$CF$508,$CF501,$CH$9:$CH$508,"&lt;"&amp;$CH501)+COUNTIFS($BM$9:$BM$508,$BM501,$CF$9:$CF$508,$CF501,$CH$9:$CH$508,$CH501,$CJ$9:$CJ$508,"&lt;"&amp;$CJ501)+1))</f>
        <v/>
      </c>
      <c r="CL501" s="74" t="str">
        <f aca="false">IF(ISBLANK($C501),"",IF($BL501&lt;&gt;Constants!$B$4,$BL501,$CG501-$CK501))</f>
        <v/>
      </c>
      <c r="CM501" s="74" t="str">
        <f aca="false">IF(ISBLANK($C501),"",IF(NOT($AL501),"",IF(ISBLANK($D$7),$CM$5,IF(NOT(ISNUMBER($D$7)),$CM$6,""))))</f>
        <v/>
      </c>
      <c r="CN501" s="74" t="str">
        <f aca="false">IF(ISBLANK($C501),"",OR($AN501="",$AO501="",$AP501=""))</f>
        <v/>
      </c>
      <c r="CO501" s="74" t="str">
        <f aca="false">IF(ISBLANK($C501),"",AND($AL501,$BA501=""))</f>
        <v/>
      </c>
      <c r="CP501" s="74" t="str">
        <f aca="false">IF(ISBLANK($C501),"",AND($AL501,$BB501=""))</f>
        <v/>
      </c>
      <c r="CQ501" s="74" t="str">
        <f aca="false">IF(ISBLANK($C501),"",AND($AL501,$BC501=""))</f>
        <v/>
      </c>
      <c r="CR501" s="74" t="str">
        <f aca="false">IF(ISBLANK($C501),"",AND($AL501,$BF501=""))</f>
        <v/>
      </c>
      <c r="CS501" s="74" t="str">
        <f aca="false">IF(ISBLANK($C501),"",AND($AL501,$BJ501=""))</f>
        <v/>
      </c>
      <c r="CT501" s="75"/>
      <c r="CU501" s="76"/>
      <c r="CV501" s="79" t="str">
        <f aca="false">IF(ISBLANK($C501),"",IF($BL501=Constants!$B$8,$CM501,""))</f>
        <v/>
      </c>
      <c r="CW501" s="76" t="str">
        <f aca="false">IF(ISBLANK($C501),"",IF($BL501&lt;&gt;Constants!$B$4,"",$BO501+$BP501))</f>
        <v/>
      </c>
      <c r="CX501" s="78" t="str">
        <f aca="false">IF(ISBLANK($C501),"",IF($BL501&lt;&gt;Constants!$B$4,"",$BQ501+$BR501+$BS501))</f>
        <v/>
      </c>
      <c r="CY501" s="78" t="str">
        <f aca="false">IF(ISBLANK($C501),"",IF($BL501&lt;&gt;Constants!$B$4,"",$BT501))</f>
        <v/>
      </c>
      <c r="CZ501" s="78" t="str">
        <f aca="false">IF(ISBLANK($C501),"",IF($BL501&lt;&gt;Constants!$B$4,"",$BU501+$BV501))</f>
        <v/>
      </c>
      <c r="DA501" s="78" t="str">
        <f aca="false">IF(ISBLANK($C501),"",IF($BL501&lt;&gt;Constants!$B$4,"",$BW501))</f>
        <v/>
      </c>
      <c r="DB501" s="78" t="str">
        <f aca="false">IF(ISBLANK($C501),"",IF($BL501&lt;&gt;Constants!$B$4,"",-$CD501))</f>
        <v/>
      </c>
      <c r="DC501" s="79" t="str">
        <f aca="false">IF(ISBLANK($C501),"",$CE501)</f>
        <v/>
      </c>
      <c r="DD501" s="80" t="str">
        <f aca="false">IF(ISBLANK($C501),"",$BM501)</f>
        <v/>
      </c>
      <c r="DE501" s="78" t="str">
        <f aca="false">IF(ISBLANK($C501),"",$CL501)</f>
        <v/>
      </c>
      <c r="DF501" s="78" t="str">
        <f aca="false">IF(ISBLANK($C501),"",$CK501)</f>
        <v/>
      </c>
      <c r="DG501" s="81" t="str">
        <f aca="false">IF(ISBLANK($C501),"",IF($DF501=Constants!$B$7,COUNTA($C$9:$C$508)+2,IF($DF501=Constants!$B$6,COUNTA($C$9:$C$508)+1,IF($DF501=Constants!$B$5,COUNTA($C$9:$C$508),$DF501))))</f>
        <v/>
      </c>
      <c r="DH501" s="7"/>
      <c r="DI501" s="82" t="n">
        <f aca="false">IF(OR(ISNUMBER($DF501),$DF501=Constants!$B$7,$DF501=Constants!$B$5,$DF501=Constants!$B$6),1,0)</f>
        <v>0</v>
      </c>
      <c r="DJ501" s="82" t="n">
        <v>493</v>
      </c>
      <c r="DK501" s="82" t="str">
        <f aca="false">IF(ISBLANK($C501),"",IF(ISNUMBER($DG501),$DG501+ROW($B501)/1000,""))</f>
        <v/>
      </c>
      <c r="DL501" s="82" t="str">
        <f aca="false">IF(ISNUMBER($DK501),RANK($DK501,$DK$9:$DK$508,1),"")</f>
        <v/>
      </c>
      <c r="DM501" s="82" t="str">
        <f aca="false">IF(ISBLANK($C501),"",$B501)</f>
        <v/>
      </c>
      <c r="DN501" s="82" t="str">
        <f aca="false">IF(ISBLANK($C501),"",$C501)</f>
        <v/>
      </c>
      <c r="DO501" s="82" t="str">
        <f aca="false">IF(ISBLANK($C501),"",$D501)</f>
        <v/>
      </c>
      <c r="DP501" s="83" t="str">
        <f aca="false">$DD501</f>
        <v/>
      </c>
      <c r="DQ501" s="84" t="str">
        <f aca="false">$DC501</f>
        <v/>
      </c>
      <c r="DR501" s="82" t="str">
        <f aca="false">IF(ISBLANK($C501),"",$DF501)</f>
        <v/>
      </c>
      <c r="DS501" s="85" t="str">
        <f aca="false">IF($DJ501&gt;$DI$8,"",VLOOKUP($DJ501,$DL$9:$DR$508,7,FALSE()))</f>
        <v/>
      </c>
      <c r="DT501" s="86" t="str">
        <f aca="false">IF($DJ501&gt;$DI$8,"",VLOOKUP($DJ501,$DL$9:$DR$508,2,FALSE()))</f>
        <v/>
      </c>
      <c r="DU501" s="86" t="str">
        <f aca="false">IF($DJ501&gt;$DI$8,"",VLOOKUP($DJ501,$DL$9:$DR$508,3,FALSE()))</f>
        <v/>
      </c>
      <c r="DV501" s="86" t="str">
        <f aca="false">IF($DJ501&gt;$DI$8,"",VLOOKUP($DJ501,$DL$9:$DR$508,4,FALSE()))</f>
        <v/>
      </c>
      <c r="DW501" s="86" t="str">
        <f aca="false">IF($DJ501&gt;$DI$8,"",VLOOKUP($DJ501,$DL$9:$DR$508,5,FALSE()))</f>
        <v/>
      </c>
      <c r="DX501" s="87" t="str">
        <f aca="false">IF($DJ501&gt;$DI$8,"",VLOOKUP($DJ501,$DL$9:$DR$508,6,FALSE()))</f>
        <v/>
      </c>
      <c r="DY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88"/>
      <c r="N502" s="88"/>
      <c r="O502" s="134"/>
      <c r="P502" s="134"/>
      <c r="Q502" s="88"/>
      <c r="R502" s="88"/>
      <c r="S502" s="88"/>
      <c r="T502" s="88"/>
      <c r="U502" s="134"/>
      <c r="V502" s="88"/>
      <c r="W502" s="70"/>
      <c r="X502" s="88"/>
      <c r="Y502" s="88"/>
      <c r="Z502" s="70"/>
      <c r="AA502" s="70"/>
      <c r="AB502" s="88"/>
      <c r="AC502" s="88"/>
      <c r="AD502" s="88"/>
      <c r="AE502" s="71"/>
      <c r="AF502" s="88"/>
      <c r="AG502" s="73"/>
      <c r="AH502" s="74"/>
      <c r="AI502" s="74"/>
      <c r="AJ502" s="74" t="str">
        <f aca="false">IF(ISBLANK($C502),"",IF($E502=Constants!$B$2,TRUE(),IF($E502=Constants!$B$3,FALSE(),TRUE())))</f>
        <v/>
      </c>
      <c r="AK502" s="74" t="str">
        <f aca="false">IF(ISBLANK($C502),"",IF($F502=Constants!$B$2,TRUE(),IF($F502=Constants!$B$3,FALSE(),FALSE())))</f>
        <v/>
      </c>
      <c r="AL502" s="74" t="str">
        <f aca="false">IF(ISBLANK($C502),"",IF($G502=Constants!$B$2,TRUE(),IF($G502=Constants!$B$3,FALSE(),TRUE())))</f>
        <v/>
      </c>
      <c r="AM502" s="74" t="str">
        <f aca="false">IF(ISBLANK($C502),"",IF($H502=Constants!$B$2,TRUE(),IF($H502=Constants!$B$3,FALSE(),TRUE())))</f>
        <v/>
      </c>
      <c r="AN502" s="74" t="str">
        <f aca="false">IF(ISBLANK($C502),"",IF(ISNUMBER($I502),IF($I502&gt;=0,$I502,""),""))</f>
        <v/>
      </c>
      <c r="AO502" s="74" t="str">
        <f aca="false">IF(ISBLANK($C502),"",IF(ISNUMBER($J502),IF($J502&gt;=0,$J502,""),""))</f>
        <v/>
      </c>
      <c r="AP502" s="74" t="str">
        <f aca="false">IF(ISBLANK($C502),"",IF(ISNUMBER($K502),IF($K502&gt;=0,$K502,""),""))</f>
        <v/>
      </c>
      <c r="AQ502" s="74" t="str">
        <f aca="false">IF(ISBLANK($C502),"",IF($L502=Constants!$B$2,TRUE(),IF($L502=Constants!$B$3,FALSE(),TRUE())))</f>
        <v/>
      </c>
      <c r="AR502" s="74" t="str">
        <f aca="false">IF(ISBLANK($C502),"",IF($M502=Constants!$B$2,TRUE(),IF($M502=Constants!$B$3,FALSE(),TRUE())))</f>
        <v/>
      </c>
      <c r="AS502" s="74" t="str">
        <f aca="false">IF(ISBLANK($C502),"",IF($N502=Constants!$B$2,TRUE(),IF($N502=Constants!$B$3,FALSE(),FALSE())))</f>
        <v/>
      </c>
      <c r="AT502" s="74" t="str">
        <f aca="false">IF(ISBLANK($C502),"",IF($O502=Constants!$B$2,TRUE(),IF($O502=Constants!$B$3,FALSE(),TRUE())))</f>
        <v/>
      </c>
      <c r="AU502" s="74" t="str">
        <f aca="false">IF(ISBLANK($C502),"",IF($P502=Constants!$B$2,TRUE(),IF($P502=Constants!$B$3,FALSE(),TRUE())))</f>
        <v/>
      </c>
      <c r="AV502" s="74" t="str">
        <f aca="false">IF(ISBLANK($C502),"",IF($Q502=Constants!$B$2,TRUE(),IF($Q502=Constants!$B$3,FALSE(),FALSE())))</f>
        <v/>
      </c>
      <c r="AW502" s="74" t="str">
        <f aca="false">IF(ISBLANK($C502),"",IF($R502=Constants!$B$2,TRUE(),IF($R502=Constants!$B$3,FALSE(),FALSE())))</f>
        <v/>
      </c>
      <c r="AX502" s="74" t="str">
        <f aca="false">IF(ISBLANK($C502),"",IF($S502=Constants!$B$2,TRUE(),IF($S502=Constants!$B$3,FALSE(),FALSE())))</f>
        <v/>
      </c>
      <c r="AY502" s="74" t="str">
        <f aca="false">IF(ISBLANK($C502),"",IF($T502=Constants!$B$2,TRUE(),IF($T502=Constants!$B$3,FALSE(),FALSE())))</f>
        <v/>
      </c>
      <c r="AZ502" s="74" t="str">
        <f aca="false">IF(ISBLANK($C502),"",IF($U502=Constants!$B$2,TRUE(),IF($U502=Constants!$B$3,FALSE(),FALSE())))</f>
        <v/>
      </c>
      <c r="BA502" s="74" t="str">
        <f aca="false">IF(ISBLANK($C502),"",IF(OR($V502&amp;""="1",$V502&amp;""="2",$V502&amp;""="3",$V502&amp;""="4"),VALUE($V502&amp;""),IF($V502=Constants!$B$12,Constants!$B$12,"")))</f>
        <v/>
      </c>
      <c r="BB502" s="74" t="str">
        <f aca="false">IF(ISBLANK($C502),"",IF(ISBLANK($W502),0,IF(ISNUMBER($W502),IF(AND($W502&gt;=0,$W502&lt;=Constants!$B$21,$W502=INT($W502)),$W502,""),"")))</f>
        <v/>
      </c>
      <c r="BC502" s="74" t="str">
        <f aca="false">IF(ISBLANK($C502),"",IF(ISBLANK($X502),0,IF(ISNUMBER($X502),IF($X502&gt;=0,$X502,""),"")))</f>
        <v/>
      </c>
      <c r="BD502" s="74" t="str">
        <f aca="false">IF(ISBLANK($C502),"",IF($Y502=Constants!$B$2,TRUE(),IF($Y502=Constants!$B$3,FALSE(),TRUE())))</f>
        <v/>
      </c>
      <c r="BE502" s="74" t="str">
        <f aca="false">IF(ISBLANK($C502),"",IF($Z502=Constants!$B$2,TRUE(),IF($Z502=Constants!$B$3,FALSE(),FALSE())))</f>
        <v/>
      </c>
      <c r="BF502" s="74" t="str">
        <f aca="false">IF(ISBLANK($C502),"",IF(ISBLANK($AA502),0,IF(ISNUMBER($AA502),IF(AND($AA502&gt;=0,$AA502&lt;=Constants!$B$35,$AA502=INT($AA502)),$AA502,""),"")))</f>
        <v/>
      </c>
      <c r="BG502" s="74" t="str">
        <f aca="false">IF(ISBLANK($C502),"",IF($AB502=Constants!$B$2,TRUE(),IF($AB502=Constants!$B$3,FALSE(),TRUE())))</f>
        <v/>
      </c>
      <c r="BH502" s="74" t="str">
        <f aca="false">IF(ISBLANK($C502),"",IF($AC502=Constants!$B$2,TRUE(),IF($AC502=Constants!$B$3,FALSE(),TRUE())))</f>
        <v/>
      </c>
      <c r="BI502" s="74" t="str">
        <f aca="false">IF(ISBLANK($C502),"",IF($AD502=Constants!$B$2,TRUE(),IF($AD502=Constants!$B$3,FALSE(),TRUE())))</f>
        <v/>
      </c>
      <c r="BJ502" s="74" t="str">
        <f aca="false">IF(ISBLANK($C502),"",IF(ISNUMBER($AE502),IF($AE502&gt;=0,$AE502,""),""))</f>
        <v/>
      </c>
      <c r="BK502" s="74" t="str">
        <f aca="false">IF(ISBLANK($C502),"",IF($AF502=Constants!$B$2,TRUE(),IF($AF502=Constants!$B$3,FALSE(),FALSE())))</f>
        <v/>
      </c>
      <c r="BL502" s="73" t="str">
        <f aca="false">IF(ISBLANK($C502),"",IF($BK502,Constants!$B$7,IF(COUNTA($E502:$AE502)=0,Constants!$B$6,IF(OR(COUNTA($G502:$AE502)=0,NOT($AM502),$AS502),Constants!$B$5,IF(OR($CM502&lt;&gt;"",$CN502,$CO502,$CP502,$CQ502,$CR502,$CS502),Constants!$B$8,Constants!$B$4)))))</f>
        <v/>
      </c>
      <c r="BM502" s="74" t="str">
        <f aca="false">IF(ISBLANK($C502),"",IF($BL502&lt;&gt;Constants!$B$4,$BL502,IF(OR(NOT($AJ502),NOT($AL502),NOT($AT502)),Constants!$B$11,IF(OR(NOT($AR502),NOT($AU502),NOT($BI502),MAX($AN502,$AO502,$AP502)&gt;Constants!$B$30),Constants!$B$10,Constants!$B$9))))</f>
        <v/>
      </c>
      <c r="BN502" s="74" t="str">
        <f aca="false">IF($BL502&lt;&gt;Constants!$B$4,"",IF(NOT($AL502),0,MIN(Constants!$B$35,$BF502)))</f>
        <v/>
      </c>
      <c r="BO502" s="74" t="str">
        <f aca="false">IF($BL502&lt;&gt;Constants!$B$4,"",IF(NOT($AL502),0,IF($AW502,Constants!$B$18,IF($AV502,Constants!$B$17,0))))</f>
        <v/>
      </c>
      <c r="BP502" s="74" t="str">
        <f aca="false">IF($BL502&lt;&gt;Constants!$B$4,"",IF(NOT($AL502),0,Constants!$B$19*($AK502+$AX502+$AY502+$AZ502)))</f>
        <v/>
      </c>
      <c r="BQ502" s="74" t="str">
        <f aca="false">IF($BL502&lt;&gt;Constants!$B$4,"",IF(OR(NOT($AL502),NOT(ISNUMBER($BA502))),0,CHOOSE($BA502,Constants!$B$13,Constants!$B$14,Constants!$B$15,Constants!$B$16)))</f>
        <v/>
      </c>
      <c r="BR502" s="74" t="str">
        <f aca="false">IF($BL502&lt;&gt;Constants!$B$4,"",IF(NOT($AL502),0,Constants!$B$20*$BB502))</f>
        <v/>
      </c>
      <c r="BS502" s="74" t="str">
        <f aca="false">IF($BL502&lt;&gt;Constants!$B$4,"",IF(AND($AL502,$BD502,$BE502),Constants!$B$22,0))</f>
        <v/>
      </c>
      <c r="BT502" s="74" t="str">
        <f aca="false">IF($BL502&lt;&gt;Constants!$B$4,"",IF(OR(NOT($AL502),NOT($BD502)),0,IF($BJ502&gt;=2*$AH$9,0,Constants!$B$23*INT(ROUND(MIN($BJ502,$AH$9),6)))))</f>
        <v/>
      </c>
      <c r="BU502" s="74" t="str">
        <f aca="false">IF($BL502&lt;&gt;Constants!$B$4,"",IF(NOT($AL502),0,Constants!$B$24*INT(ROUND(MIN($BC502,$AH$9),6))))</f>
        <v/>
      </c>
      <c r="BV502" s="74" t="str">
        <f aca="false">IF($BL502&lt;&gt;Constants!$B$4,"",IF(AND($AL502,$BN502=0),Constants!$B$25,0))</f>
        <v/>
      </c>
      <c r="BW502" s="74" t="str">
        <f aca="false">IF($BL502&lt;&gt;Constants!$B$4,"",MIN(Constants!$B$29,MAX(0,Constants!$B$27*Constants!$B$28*INT(ROUND((Constants!$B$26-$AN502)/Constants!$B$28,6))))+MIN(Constants!$B$29,MAX(0,Constants!$B$27*Constants!$B$28*INT(ROUND((Constants!$B$26-$AO502)/Constants!$B$28,6))))+MIN(Constants!$B$29,MAX(0,Constants!$B$27*Constants!$B$28*INT(ROUND((Constants!$B$26-$AP502)/Constants!$B$28,6)))))</f>
        <v/>
      </c>
      <c r="BX502" s="74" t="str">
        <f aca="false">IF($BL502&lt;&gt;Constants!$B$4,"",IF(NOT($AL502),0,Constants!$B$31*INT(ROUND(MAX(0,MIN($BJ502,2*$AH$9)-$AH$9),6))))</f>
        <v/>
      </c>
      <c r="BY502" s="74" t="str">
        <f aca="false">IF($BL502&lt;&gt;Constants!$B$4,"",Constants!$B$32*(($AN502&gt;Constants!$B$26)+($AO502&gt;Constants!$B$26)+($AP502&gt;Constants!$B$26)))</f>
        <v/>
      </c>
      <c r="BZ502" s="74" t="str">
        <f aca="false">IF($BL502&lt;&gt;Constants!$B$4,"",IF(OR(NOT($AL502),$AQ502),0,Constants!$B$33))</f>
        <v/>
      </c>
      <c r="CA502" s="74" t="str">
        <f aca="false">IF($BL502&lt;&gt;Constants!$B$4,"",Constants!$B$34*$BN502)</f>
        <v/>
      </c>
      <c r="CB502" s="74" t="str">
        <f aca="false">IF($BL502&lt;&gt;Constants!$B$4,"",IF(OR(NOT($AL502),$BH502),0,Constants!$B$36))</f>
        <v/>
      </c>
      <c r="CC502" s="74" t="str">
        <f aca="false">IF($BL502&lt;&gt;Constants!$B$4,"",IF(OR(NOT($AL502),$BG502),0,Constants!$B$37))</f>
        <v/>
      </c>
      <c r="CD502" s="74" t="str">
        <f aca="false">IF($BL502&lt;&gt;Constants!$B$4,"",SUM($BX502:$CC502))</f>
        <v/>
      </c>
      <c r="CE502" s="74" t="str">
        <f aca="false">IF(ISBLANK($C502),"",IF($BL502&lt;&gt;Constants!$B$4,$BL502,SUM($BO502:$BW502)-$CD502))</f>
        <v/>
      </c>
      <c r="CF502" s="74" t="str">
        <f aca="false">IF(ISBLANK($C502),"",IF($BL502&lt;&gt;Constants!$B$4,$BL502,RANK($CE502,$CE$9:$CE$508)))</f>
        <v/>
      </c>
      <c r="CG502" s="74" t="str">
        <f aca="false">IF(ISBLANK($C502),"",IF($BL502&lt;&gt;Constants!$B$4,$BL502,COUNTIFS($BM$9:$BM$508,"&lt;"&amp;$BM502)+COUNTIFS($BM$9:$BM$508,$BM502,$CF$9:$CF$508,"&lt;"&amp;$CF502)+1))</f>
        <v/>
      </c>
      <c r="CH502" s="74" t="str">
        <f aca="false">IF(ISBLANK($C502),"",IF($BL502&lt;&gt;Constants!$B$4,$BL502,RANK($CD502,$CD$9:$CD$508,1)))</f>
        <v/>
      </c>
      <c r="CI502" s="74" t="str">
        <f aca="false">IF($BL502&lt;&gt;Constants!$B$4,"",$AN502+$AO502+$AP502)</f>
        <v/>
      </c>
      <c r="CJ502" s="74" t="str">
        <f aca="false">IF(ISBLANK($C502),"",IF($BL502&lt;&gt;Constants!$B$4,$BL502,RANK($CI502,$CI$9:$CI$508,1)))</f>
        <v/>
      </c>
      <c r="CK502" s="74" t="str">
        <f aca="false">IF(ISBLANK($C502),"",IF($BL502&lt;&gt;Constants!$B$4,$BL502,COUNTIFS($BM$9:$BM$508,"&lt;"&amp;$BM502)+COUNTIFS($BM$9:$BM$508,$BM502,$CF$9:$CF$508,"&lt;"&amp;$CF502)+COUNTIFS($BM$9:$BM$508,$BM502,$CF$9:$CF$508,$CF502,$CH$9:$CH$508,"&lt;"&amp;$CH502)+COUNTIFS($BM$9:$BM$508,$BM502,$CF$9:$CF$508,$CF502,$CH$9:$CH$508,$CH502,$CJ$9:$CJ$508,"&lt;"&amp;$CJ502)+1))</f>
        <v/>
      </c>
      <c r="CL502" s="74" t="str">
        <f aca="false">IF(ISBLANK($C502),"",IF($BL502&lt;&gt;Constants!$B$4,$BL502,$CG502-$CK502))</f>
        <v/>
      </c>
      <c r="CM502" s="74" t="str">
        <f aca="false">IF(ISBLANK($C502),"",IF(NOT($AL502),"",IF(ISBLANK($D$7),$CM$5,IF(NOT(ISNUMBER($D$7)),$CM$6,""))))</f>
        <v/>
      </c>
      <c r="CN502" s="74" t="str">
        <f aca="false">IF(ISBLANK($C502),"",OR($AN502="",$AO502="",$AP502=""))</f>
        <v/>
      </c>
      <c r="CO502" s="74" t="str">
        <f aca="false">IF(ISBLANK($C502),"",AND($AL502,$BA502=""))</f>
        <v/>
      </c>
      <c r="CP502" s="74" t="str">
        <f aca="false">IF(ISBLANK($C502),"",AND($AL502,$BB502=""))</f>
        <v/>
      </c>
      <c r="CQ502" s="74" t="str">
        <f aca="false">IF(ISBLANK($C502),"",AND($AL502,$BC502=""))</f>
        <v/>
      </c>
      <c r="CR502" s="74" t="str">
        <f aca="false">IF(ISBLANK($C502),"",AND($AL502,$BF502=""))</f>
        <v/>
      </c>
      <c r="CS502" s="74" t="str">
        <f aca="false">IF(ISBLANK($C502),"",AND($AL502,$BJ502=""))</f>
        <v/>
      </c>
      <c r="CT502" s="75"/>
      <c r="CU502" s="76"/>
      <c r="CV502" s="79" t="str">
        <f aca="false">IF(ISBLANK($C502),"",IF($BL502=Constants!$B$8,$CM502,""))</f>
        <v/>
      </c>
      <c r="CW502" s="76" t="str">
        <f aca="false">IF(ISBLANK($C502),"",IF($BL502&lt;&gt;Constants!$B$4,"",$BO502+$BP502))</f>
        <v/>
      </c>
      <c r="CX502" s="78" t="str">
        <f aca="false">IF(ISBLANK($C502),"",IF($BL502&lt;&gt;Constants!$B$4,"",$BQ502+$BR502+$BS502))</f>
        <v/>
      </c>
      <c r="CY502" s="78" t="str">
        <f aca="false">IF(ISBLANK($C502),"",IF($BL502&lt;&gt;Constants!$B$4,"",$BT502))</f>
        <v/>
      </c>
      <c r="CZ502" s="78" t="str">
        <f aca="false">IF(ISBLANK($C502),"",IF($BL502&lt;&gt;Constants!$B$4,"",$BU502+$BV502))</f>
        <v/>
      </c>
      <c r="DA502" s="78" t="str">
        <f aca="false">IF(ISBLANK($C502),"",IF($BL502&lt;&gt;Constants!$B$4,"",$BW502))</f>
        <v/>
      </c>
      <c r="DB502" s="78" t="str">
        <f aca="false">IF(ISBLANK($C502),"",IF($BL502&lt;&gt;Constants!$B$4,"",-$CD502))</f>
        <v/>
      </c>
      <c r="DC502" s="79" t="str">
        <f aca="false">IF(ISBLANK($C502),"",$CE502)</f>
        <v/>
      </c>
      <c r="DD502" s="80" t="str">
        <f aca="false">IF(ISBLANK($C502),"",$BM502)</f>
        <v/>
      </c>
      <c r="DE502" s="78" t="str">
        <f aca="false">IF(ISBLANK($C502),"",$CL502)</f>
        <v/>
      </c>
      <c r="DF502" s="78" t="str">
        <f aca="false">IF(ISBLANK($C502),"",$CK502)</f>
        <v/>
      </c>
      <c r="DG502" s="81" t="str">
        <f aca="false">IF(ISBLANK($C502),"",IF($DF502=Constants!$B$7,COUNTA($C$9:$C$508)+2,IF($DF502=Constants!$B$6,COUNTA($C$9:$C$508)+1,IF($DF502=Constants!$B$5,COUNTA($C$9:$C$508),$DF502))))</f>
        <v/>
      </c>
      <c r="DH502" s="7"/>
      <c r="DI502" s="82" t="n">
        <f aca="false">IF(OR(ISNUMBER($DF502),$DF502=Constants!$B$7,$DF502=Constants!$B$5,$DF502=Constants!$B$6),1,0)</f>
        <v>0</v>
      </c>
      <c r="DJ502" s="82" t="n">
        <v>494</v>
      </c>
      <c r="DK502" s="82" t="str">
        <f aca="false">IF(ISBLANK($C502),"",IF(ISNUMBER($DG502),$DG502+ROW($B502)/1000,""))</f>
        <v/>
      </c>
      <c r="DL502" s="82" t="str">
        <f aca="false">IF(ISNUMBER($DK502),RANK($DK502,$DK$9:$DK$508,1),"")</f>
        <v/>
      </c>
      <c r="DM502" s="82" t="str">
        <f aca="false">IF(ISBLANK($C502),"",$B502)</f>
        <v/>
      </c>
      <c r="DN502" s="82" t="str">
        <f aca="false">IF(ISBLANK($C502),"",$C502)</f>
        <v/>
      </c>
      <c r="DO502" s="82" t="str">
        <f aca="false">IF(ISBLANK($C502),"",$D502)</f>
        <v/>
      </c>
      <c r="DP502" s="83" t="str">
        <f aca="false">$DD502</f>
        <v/>
      </c>
      <c r="DQ502" s="84" t="str">
        <f aca="false">$DC502</f>
        <v/>
      </c>
      <c r="DR502" s="82" t="str">
        <f aca="false">IF(ISBLANK($C502),"",$DF502)</f>
        <v/>
      </c>
      <c r="DS502" s="85" t="str">
        <f aca="false">IF($DJ502&gt;$DI$8,"",VLOOKUP($DJ502,$DL$9:$DR$508,7,FALSE()))</f>
        <v/>
      </c>
      <c r="DT502" s="86" t="str">
        <f aca="false">IF($DJ502&gt;$DI$8,"",VLOOKUP($DJ502,$DL$9:$DR$508,2,FALSE()))</f>
        <v/>
      </c>
      <c r="DU502" s="86" t="str">
        <f aca="false">IF($DJ502&gt;$DI$8,"",VLOOKUP($DJ502,$DL$9:$DR$508,3,FALSE()))</f>
        <v/>
      </c>
      <c r="DV502" s="86" t="str">
        <f aca="false">IF($DJ502&gt;$DI$8,"",VLOOKUP($DJ502,$DL$9:$DR$508,4,FALSE()))</f>
        <v/>
      </c>
      <c r="DW502" s="86" t="str">
        <f aca="false">IF($DJ502&gt;$DI$8,"",VLOOKUP($DJ502,$DL$9:$DR$508,5,FALSE()))</f>
        <v/>
      </c>
      <c r="DX502" s="87" t="str">
        <f aca="false">IF($DJ502&gt;$DI$8,"",VLOOKUP($DJ502,$DL$9:$DR$508,6,FALSE()))</f>
        <v/>
      </c>
      <c r="DY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88"/>
      <c r="N503" s="88"/>
      <c r="O503" s="134"/>
      <c r="P503" s="134"/>
      <c r="Q503" s="88"/>
      <c r="R503" s="88"/>
      <c r="S503" s="88"/>
      <c r="T503" s="88"/>
      <c r="U503" s="134"/>
      <c r="V503" s="88"/>
      <c r="W503" s="70"/>
      <c r="X503" s="88"/>
      <c r="Y503" s="88"/>
      <c r="Z503" s="70"/>
      <c r="AA503" s="70"/>
      <c r="AB503" s="88"/>
      <c r="AC503" s="88"/>
      <c r="AD503" s="88"/>
      <c r="AE503" s="71"/>
      <c r="AF503" s="88"/>
      <c r="AG503" s="73"/>
      <c r="AH503" s="74"/>
      <c r="AI503" s="74"/>
      <c r="AJ503" s="74" t="str">
        <f aca="false">IF(ISBLANK($C503),"",IF($E503=Constants!$B$2,TRUE(),IF($E503=Constants!$B$3,FALSE(),TRUE())))</f>
        <v/>
      </c>
      <c r="AK503" s="74" t="str">
        <f aca="false">IF(ISBLANK($C503),"",IF($F503=Constants!$B$2,TRUE(),IF($F503=Constants!$B$3,FALSE(),FALSE())))</f>
        <v/>
      </c>
      <c r="AL503" s="74" t="str">
        <f aca="false">IF(ISBLANK($C503),"",IF($G503=Constants!$B$2,TRUE(),IF($G503=Constants!$B$3,FALSE(),TRUE())))</f>
        <v/>
      </c>
      <c r="AM503" s="74" t="str">
        <f aca="false">IF(ISBLANK($C503),"",IF($H503=Constants!$B$2,TRUE(),IF($H503=Constants!$B$3,FALSE(),TRUE())))</f>
        <v/>
      </c>
      <c r="AN503" s="74" t="str">
        <f aca="false">IF(ISBLANK($C503),"",IF(ISNUMBER($I503),IF($I503&gt;=0,$I503,""),""))</f>
        <v/>
      </c>
      <c r="AO503" s="74" t="str">
        <f aca="false">IF(ISBLANK($C503),"",IF(ISNUMBER($J503),IF($J503&gt;=0,$J503,""),""))</f>
        <v/>
      </c>
      <c r="AP503" s="74" t="str">
        <f aca="false">IF(ISBLANK($C503),"",IF(ISNUMBER($K503),IF($K503&gt;=0,$K503,""),""))</f>
        <v/>
      </c>
      <c r="AQ503" s="74" t="str">
        <f aca="false">IF(ISBLANK($C503),"",IF($L503=Constants!$B$2,TRUE(),IF($L503=Constants!$B$3,FALSE(),TRUE())))</f>
        <v/>
      </c>
      <c r="AR503" s="74" t="str">
        <f aca="false">IF(ISBLANK($C503),"",IF($M503=Constants!$B$2,TRUE(),IF($M503=Constants!$B$3,FALSE(),TRUE())))</f>
        <v/>
      </c>
      <c r="AS503" s="74" t="str">
        <f aca="false">IF(ISBLANK($C503),"",IF($N503=Constants!$B$2,TRUE(),IF($N503=Constants!$B$3,FALSE(),FALSE())))</f>
        <v/>
      </c>
      <c r="AT503" s="74" t="str">
        <f aca="false">IF(ISBLANK($C503),"",IF($O503=Constants!$B$2,TRUE(),IF($O503=Constants!$B$3,FALSE(),TRUE())))</f>
        <v/>
      </c>
      <c r="AU503" s="74" t="str">
        <f aca="false">IF(ISBLANK($C503),"",IF($P503=Constants!$B$2,TRUE(),IF($P503=Constants!$B$3,FALSE(),TRUE())))</f>
        <v/>
      </c>
      <c r="AV503" s="74" t="str">
        <f aca="false">IF(ISBLANK($C503),"",IF($Q503=Constants!$B$2,TRUE(),IF($Q503=Constants!$B$3,FALSE(),FALSE())))</f>
        <v/>
      </c>
      <c r="AW503" s="74" t="str">
        <f aca="false">IF(ISBLANK($C503),"",IF($R503=Constants!$B$2,TRUE(),IF($R503=Constants!$B$3,FALSE(),FALSE())))</f>
        <v/>
      </c>
      <c r="AX503" s="74" t="str">
        <f aca="false">IF(ISBLANK($C503),"",IF($S503=Constants!$B$2,TRUE(),IF($S503=Constants!$B$3,FALSE(),FALSE())))</f>
        <v/>
      </c>
      <c r="AY503" s="74" t="str">
        <f aca="false">IF(ISBLANK($C503),"",IF($T503=Constants!$B$2,TRUE(),IF($T503=Constants!$B$3,FALSE(),FALSE())))</f>
        <v/>
      </c>
      <c r="AZ503" s="74" t="str">
        <f aca="false">IF(ISBLANK($C503),"",IF($U503=Constants!$B$2,TRUE(),IF($U503=Constants!$B$3,FALSE(),FALSE())))</f>
        <v/>
      </c>
      <c r="BA503" s="74" t="str">
        <f aca="false">IF(ISBLANK($C503),"",IF(OR($V503&amp;""="1",$V503&amp;""="2",$V503&amp;""="3",$V503&amp;""="4"),VALUE($V503&amp;""),IF($V503=Constants!$B$12,Constants!$B$12,"")))</f>
        <v/>
      </c>
      <c r="BB503" s="74" t="str">
        <f aca="false">IF(ISBLANK($C503),"",IF(ISBLANK($W503),0,IF(ISNUMBER($W503),IF(AND($W503&gt;=0,$W503&lt;=Constants!$B$21,$W503=INT($W503)),$W503,""),"")))</f>
        <v/>
      </c>
      <c r="BC503" s="74" t="str">
        <f aca="false">IF(ISBLANK($C503),"",IF(ISBLANK($X503),0,IF(ISNUMBER($X503),IF($X503&gt;=0,$X503,""),"")))</f>
        <v/>
      </c>
      <c r="BD503" s="74" t="str">
        <f aca="false">IF(ISBLANK($C503),"",IF($Y503=Constants!$B$2,TRUE(),IF($Y503=Constants!$B$3,FALSE(),TRUE())))</f>
        <v/>
      </c>
      <c r="BE503" s="74" t="str">
        <f aca="false">IF(ISBLANK($C503),"",IF($Z503=Constants!$B$2,TRUE(),IF($Z503=Constants!$B$3,FALSE(),FALSE())))</f>
        <v/>
      </c>
      <c r="BF503" s="74" t="str">
        <f aca="false">IF(ISBLANK($C503),"",IF(ISBLANK($AA503),0,IF(ISNUMBER($AA503),IF(AND($AA503&gt;=0,$AA503&lt;=Constants!$B$35,$AA503=INT($AA503)),$AA503,""),"")))</f>
        <v/>
      </c>
      <c r="BG503" s="74" t="str">
        <f aca="false">IF(ISBLANK($C503),"",IF($AB503=Constants!$B$2,TRUE(),IF($AB503=Constants!$B$3,FALSE(),TRUE())))</f>
        <v/>
      </c>
      <c r="BH503" s="74" t="str">
        <f aca="false">IF(ISBLANK($C503),"",IF($AC503=Constants!$B$2,TRUE(),IF($AC503=Constants!$B$3,FALSE(),TRUE())))</f>
        <v/>
      </c>
      <c r="BI503" s="74" t="str">
        <f aca="false">IF(ISBLANK($C503),"",IF($AD503=Constants!$B$2,TRUE(),IF($AD503=Constants!$B$3,FALSE(),TRUE())))</f>
        <v/>
      </c>
      <c r="BJ503" s="74" t="str">
        <f aca="false">IF(ISBLANK($C503),"",IF(ISNUMBER($AE503),IF($AE503&gt;=0,$AE503,""),""))</f>
        <v/>
      </c>
      <c r="BK503" s="74" t="str">
        <f aca="false">IF(ISBLANK($C503),"",IF($AF503=Constants!$B$2,TRUE(),IF($AF503=Constants!$B$3,FALSE(),FALSE())))</f>
        <v/>
      </c>
      <c r="BL503" s="73" t="str">
        <f aca="false">IF(ISBLANK($C503),"",IF($BK503,Constants!$B$7,IF(COUNTA($E503:$AE503)=0,Constants!$B$6,IF(OR(COUNTA($G503:$AE503)=0,NOT($AM503),$AS503),Constants!$B$5,IF(OR($CM503&lt;&gt;"",$CN503,$CO503,$CP503,$CQ503,$CR503,$CS503),Constants!$B$8,Constants!$B$4)))))</f>
        <v/>
      </c>
      <c r="BM503" s="74" t="str">
        <f aca="false">IF(ISBLANK($C503),"",IF($BL503&lt;&gt;Constants!$B$4,$BL503,IF(OR(NOT($AJ503),NOT($AL503),NOT($AT503)),Constants!$B$11,IF(OR(NOT($AR503),NOT($AU503),NOT($BI503),MAX($AN503,$AO503,$AP503)&gt;Constants!$B$30),Constants!$B$10,Constants!$B$9))))</f>
        <v/>
      </c>
      <c r="BN503" s="74" t="str">
        <f aca="false">IF($BL503&lt;&gt;Constants!$B$4,"",IF(NOT($AL503),0,MIN(Constants!$B$35,$BF503)))</f>
        <v/>
      </c>
      <c r="BO503" s="74" t="str">
        <f aca="false">IF($BL503&lt;&gt;Constants!$B$4,"",IF(NOT($AL503),0,IF($AW503,Constants!$B$18,IF($AV503,Constants!$B$17,0))))</f>
        <v/>
      </c>
      <c r="BP503" s="74" t="str">
        <f aca="false">IF($BL503&lt;&gt;Constants!$B$4,"",IF(NOT($AL503),0,Constants!$B$19*($AK503+$AX503+$AY503+$AZ503)))</f>
        <v/>
      </c>
      <c r="BQ503" s="74" t="str">
        <f aca="false">IF($BL503&lt;&gt;Constants!$B$4,"",IF(OR(NOT($AL503),NOT(ISNUMBER($BA503))),0,CHOOSE($BA503,Constants!$B$13,Constants!$B$14,Constants!$B$15,Constants!$B$16)))</f>
        <v/>
      </c>
      <c r="BR503" s="74" t="str">
        <f aca="false">IF($BL503&lt;&gt;Constants!$B$4,"",IF(NOT($AL503),0,Constants!$B$20*$BB503))</f>
        <v/>
      </c>
      <c r="BS503" s="74" t="str">
        <f aca="false">IF($BL503&lt;&gt;Constants!$B$4,"",IF(AND($AL503,$BD503,$BE503),Constants!$B$22,0))</f>
        <v/>
      </c>
      <c r="BT503" s="74" t="str">
        <f aca="false">IF($BL503&lt;&gt;Constants!$B$4,"",IF(OR(NOT($AL503),NOT($BD503)),0,IF($BJ503&gt;=2*$AH$9,0,Constants!$B$23*INT(ROUND(MIN($BJ503,$AH$9),6)))))</f>
        <v/>
      </c>
      <c r="BU503" s="74" t="str">
        <f aca="false">IF($BL503&lt;&gt;Constants!$B$4,"",IF(NOT($AL503),0,Constants!$B$24*INT(ROUND(MIN($BC503,$AH$9),6))))</f>
        <v/>
      </c>
      <c r="BV503" s="74" t="str">
        <f aca="false">IF($BL503&lt;&gt;Constants!$B$4,"",IF(AND($AL503,$BN503=0),Constants!$B$25,0))</f>
        <v/>
      </c>
      <c r="BW503" s="74" t="str">
        <f aca="false">IF($BL503&lt;&gt;Constants!$B$4,"",MIN(Constants!$B$29,MAX(0,Constants!$B$27*Constants!$B$28*INT(ROUND((Constants!$B$26-$AN503)/Constants!$B$28,6))))+MIN(Constants!$B$29,MAX(0,Constants!$B$27*Constants!$B$28*INT(ROUND((Constants!$B$26-$AO503)/Constants!$B$28,6))))+MIN(Constants!$B$29,MAX(0,Constants!$B$27*Constants!$B$28*INT(ROUND((Constants!$B$26-$AP503)/Constants!$B$28,6)))))</f>
        <v/>
      </c>
      <c r="BX503" s="74" t="str">
        <f aca="false">IF($BL503&lt;&gt;Constants!$B$4,"",IF(NOT($AL503),0,Constants!$B$31*INT(ROUND(MAX(0,MIN($BJ503,2*$AH$9)-$AH$9),6))))</f>
        <v/>
      </c>
      <c r="BY503" s="74" t="str">
        <f aca="false">IF($BL503&lt;&gt;Constants!$B$4,"",Constants!$B$32*(($AN503&gt;Constants!$B$26)+($AO503&gt;Constants!$B$26)+($AP503&gt;Constants!$B$26)))</f>
        <v/>
      </c>
      <c r="BZ503" s="74" t="str">
        <f aca="false">IF($BL503&lt;&gt;Constants!$B$4,"",IF(OR(NOT($AL503),$AQ503),0,Constants!$B$33))</f>
        <v/>
      </c>
      <c r="CA503" s="74" t="str">
        <f aca="false">IF($BL503&lt;&gt;Constants!$B$4,"",Constants!$B$34*$BN503)</f>
        <v/>
      </c>
      <c r="CB503" s="74" t="str">
        <f aca="false">IF($BL503&lt;&gt;Constants!$B$4,"",IF(OR(NOT($AL503),$BH503),0,Constants!$B$36))</f>
        <v/>
      </c>
      <c r="CC503" s="74" t="str">
        <f aca="false">IF($BL503&lt;&gt;Constants!$B$4,"",IF(OR(NOT($AL503),$BG503),0,Constants!$B$37))</f>
        <v/>
      </c>
      <c r="CD503" s="74" t="str">
        <f aca="false">IF($BL503&lt;&gt;Constants!$B$4,"",SUM($BX503:$CC503))</f>
        <v/>
      </c>
      <c r="CE503" s="74" t="str">
        <f aca="false">IF(ISBLANK($C503),"",IF($BL503&lt;&gt;Constants!$B$4,$BL503,SUM($BO503:$BW503)-$CD503))</f>
        <v/>
      </c>
      <c r="CF503" s="74" t="str">
        <f aca="false">IF(ISBLANK($C503),"",IF($BL503&lt;&gt;Constants!$B$4,$BL503,RANK($CE503,$CE$9:$CE$508)))</f>
        <v/>
      </c>
      <c r="CG503" s="74" t="str">
        <f aca="false">IF(ISBLANK($C503),"",IF($BL503&lt;&gt;Constants!$B$4,$BL503,COUNTIFS($BM$9:$BM$508,"&lt;"&amp;$BM503)+COUNTIFS($BM$9:$BM$508,$BM503,$CF$9:$CF$508,"&lt;"&amp;$CF503)+1))</f>
        <v/>
      </c>
      <c r="CH503" s="74" t="str">
        <f aca="false">IF(ISBLANK($C503),"",IF($BL503&lt;&gt;Constants!$B$4,$BL503,RANK($CD503,$CD$9:$CD$508,1)))</f>
        <v/>
      </c>
      <c r="CI503" s="74" t="str">
        <f aca="false">IF($BL503&lt;&gt;Constants!$B$4,"",$AN503+$AO503+$AP503)</f>
        <v/>
      </c>
      <c r="CJ503" s="74" t="str">
        <f aca="false">IF(ISBLANK($C503),"",IF($BL503&lt;&gt;Constants!$B$4,$BL503,RANK($CI503,$CI$9:$CI$508,1)))</f>
        <v/>
      </c>
      <c r="CK503" s="74" t="str">
        <f aca="false">IF(ISBLANK($C503),"",IF($BL503&lt;&gt;Constants!$B$4,$BL503,COUNTIFS($BM$9:$BM$508,"&lt;"&amp;$BM503)+COUNTIFS($BM$9:$BM$508,$BM503,$CF$9:$CF$508,"&lt;"&amp;$CF503)+COUNTIFS($BM$9:$BM$508,$BM503,$CF$9:$CF$508,$CF503,$CH$9:$CH$508,"&lt;"&amp;$CH503)+COUNTIFS($BM$9:$BM$508,$BM503,$CF$9:$CF$508,$CF503,$CH$9:$CH$508,$CH503,$CJ$9:$CJ$508,"&lt;"&amp;$CJ503)+1))</f>
        <v/>
      </c>
      <c r="CL503" s="74" t="str">
        <f aca="false">IF(ISBLANK($C503),"",IF($BL503&lt;&gt;Constants!$B$4,$BL503,$CG503-$CK503))</f>
        <v/>
      </c>
      <c r="CM503" s="74" t="str">
        <f aca="false">IF(ISBLANK($C503),"",IF(NOT($AL503),"",IF(ISBLANK($D$7),$CM$5,IF(NOT(ISNUMBER($D$7)),$CM$6,""))))</f>
        <v/>
      </c>
      <c r="CN503" s="74" t="str">
        <f aca="false">IF(ISBLANK($C503),"",OR($AN503="",$AO503="",$AP503=""))</f>
        <v/>
      </c>
      <c r="CO503" s="74" t="str">
        <f aca="false">IF(ISBLANK($C503),"",AND($AL503,$BA503=""))</f>
        <v/>
      </c>
      <c r="CP503" s="74" t="str">
        <f aca="false">IF(ISBLANK($C503),"",AND($AL503,$BB503=""))</f>
        <v/>
      </c>
      <c r="CQ503" s="74" t="str">
        <f aca="false">IF(ISBLANK($C503),"",AND($AL503,$BC503=""))</f>
        <v/>
      </c>
      <c r="CR503" s="74" t="str">
        <f aca="false">IF(ISBLANK($C503),"",AND($AL503,$BF503=""))</f>
        <v/>
      </c>
      <c r="CS503" s="74" t="str">
        <f aca="false">IF(ISBLANK($C503),"",AND($AL503,$BJ503=""))</f>
        <v/>
      </c>
      <c r="CT503" s="75"/>
      <c r="CU503" s="76"/>
      <c r="CV503" s="79" t="str">
        <f aca="false">IF(ISBLANK($C503),"",IF($BL503=Constants!$B$8,$CM503,""))</f>
        <v/>
      </c>
      <c r="CW503" s="76" t="str">
        <f aca="false">IF(ISBLANK($C503),"",IF($BL503&lt;&gt;Constants!$B$4,"",$BO503+$BP503))</f>
        <v/>
      </c>
      <c r="CX503" s="78" t="str">
        <f aca="false">IF(ISBLANK($C503),"",IF($BL503&lt;&gt;Constants!$B$4,"",$BQ503+$BR503+$BS503))</f>
        <v/>
      </c>
      <c r="CY503" s="78" t="str">
        <f aca="false">IF(ISBLANK($C503),"",IF($BL503&lt;&gt;Constants!$B$4,"",$BT503))</f>
        <v/>
      </c>
      <c r="CZ503" s="78" t="str">
        <f aca="false">IF(ISBLANK($C503),"",IF($BL503&lt;&gt;Constants!$B$4,"",$BU503+$BV503))</f>
        <v/>
      </c>
      <c r="DA503" s="78" t="str">
        <f aca="false">IF(ISBLANK($C503),"",IF($BL503&lt;&gt;Constants!$B$4,"",$BW503))</f>
        <v/>
      </c>
      <c r="DB503" s="78" t="str">
        <f aca="false">IF(ISBLANK($C503),"",IF($BL503&lt;&gt;Constants!$B$4,"",-$CD503))</f>
        <v/>
      </c>
      <c r="DC503" s="79" t="str">
        <f aca="false">IF(ISBLANK($C503),"",$CE503)</f>
        <v/>
      </c>
      <c r="DD503" s="80" t="str">
        <f aca="false">IF(ISBLANK($C503),"",$BM503)</f>
        <v/>
      </c>
      <c r="DE503" s="78" t="str">
        <f aca="false">IF(ISBLANK($C503),"",$CL503)</f>
        <v/>
      </c>
      <c r="DF503" s="78" t="str">
        <f aca="false">IF(ISBLANK($C503),"",$CK503)</f>
        <v/>
      </c>
      <c r="DG503" s="81" t="str">
        <f aca="false">IF(ISBLANK($C503),"",IF($DF503=Constants!$B$7,COUNTA($C$9:$C$508)+2,IF($DF503=Constants!$B$6,COUNTA($C$9:$C$508)+1,IF($DF503=Constants!$B$5,COUNTA($C$9:$C$508),$DF503))))</f>
        <v/>
      </c>
      <c r="DH503" s="7"/>
      <c r="DI503" s="82" t="n">
        <f aca="false">IF(OR(ISNUMBER($DF503),$DF503=Constants!$B$7,$DF503=Constants!$B$5,$DF503=Constants!$B$6),1,0)</f>
        <v>0</v>
      </c>
      <c r="DJ503" s="82" t="n">
        <v>495</v>
      </c>
      <c r="DK503" s="82" t="str">
        <f aca="false">IF(ISBLANK($C503),"",IF(ISNUMBER($DG503),$DG503+ROW($B503)/1000,""))</f>
        <v/>
      </c>
      <c r="DL503" s="82" t="str">
        <f aca="false">IF(ISNUMBER($DK503),RANK($DK503,$DK$9:$DK$508,1),"")</f>
        <v/>
      </c>
      <c r="DM503" s="82" t="str">
        <f aca="false">IF(ISBLANK($C503),"",$B503)</f>
        <v/>
      </c>
      <c r="DN503" s="82" t="str">
        <f aca="false">IF(ISBLANK($C503),"",$C503)</f>
        <v/>
      </c>
      <c r="DO503" s="82" t="str">
        <f aca="false">IF(ISBLANK($C503),"",$D503)</f>
        <v/>
      </c>
      <c r="DP503" s="83" t="str">
        <f aca="false">$DD503</f>
        <v/>
      </c>
      <c r="DQ503" s="84" t="str">
        <f aca="false">$DC503</f>
        <v/>
      </c>
      <c r="DR503" s="82" t="str">
        <f aca="false">IF(ISBLANK($C503),"",$DF503)</f>
        <v/>
      </c>
      <c r="DS503" s="85" t="str">
        <f aca="false">IF($DJ503&gt;$DI$8,"",VLOOKUP($DJ503,$DL$9:$DR$508,7,FALSE()))</f>
        <v/>
      </c>
      <c r="DT503" s="86" t="str">
        <f aca="false">IF($DJ503&gt;$DI$8,"",VLOOKUP($DJ503,$DL$9:$DR$508,2,FALSE()))</f>
        <v/>
      </c>
      <c r="DU503" s="86" t="str">
        <f aca="false">IF($DJ503&gt;$DI$8,"",VLOOKUP($DJ503,$DL$9:$DR$508,3,FALSE()))</f>
        <v/>
      </c>
      <c r="DV503" s="86" t="str">
        <f aca="false">IF($DJ503&gt;$DI$8,"",VLOOKUP($DJ503,$DL$9:$DR$508,4,FALSE()))</f>
        <v/>
      </c>
      <c r="DW503" s="86" t="str">
        <f aca="false">IF($DJ503&gt;$DI$8,"",VLOOKUP($DJ503,$DL$9:$DR$508,5,FALSE()))</f>
        <v/>
      </c>
      <c r="DX503" s="87" t="str">
        <f aca="false">IF($DJ503&gt;$DI$8,"",VLOOKUP($DJ503,$DL$9:$DR$508,6,FALSE()))</f>
        <v/>
      </c>
      <c r="DY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130"/>
      <c r="N504" s="130"/>
      <c r="O504" s="135"/>
      <c r="P504" s="135"/>
      <c r="Q504" s="130"/>
      <c r="R504" s="130"/>
      <c r="S504" s="130"/>
      <c r="T504" s="130"/>
      <c r="U504" s="135"/>
      <c r="V504" s="130"/>
      <c r="W504" s="96"/>
      <c r="X504" s="130"/>
      <c r="Y504" s="130"/>
      <c r="Z504" s="96"/>
      <c r="AA504" s="96"/>
      <c r="AB504" s="130"/>
      <c r="AC504" s="130"/>
      <c r="AD504" s="130"/>
      <c r="AE504" s="97"/>
      <c r="AF504" s="130"/>
      <c r="AG504" s="99"/>
      <c r="AH504" s="100"/>
      <c r="AI504" s="100"/>
      <c r="AJ504" s="100" t="str">
        <f aca="false">IF(ISBLANK($C504),"",IF($E504=Constants!$B$2,TRUE(),IF($E504=Constants!$B$3,FALSE(),TRUE())))</f>
        <v/>
      </c>
      <c r="AK504" s="100" t="str">
        <f aca="false">IF(ISBLANK($C504),"",IF($F504=Constants!$B$2,TRUE(),IF($F504=Constants!$B$3,FALSE(),FALSE())))</f>
        <v/>
      </c>
      <c r="AL504" s="100" t="str">
        <f aca="false">IF(ISBLANK($C504),"",IF($G504=Constants!$B$2,TRUE(),IF($G504=Constants!$B$3,FALSE(),TRUE())))</f>
        <v/>
      </c>
      <c r="AM504" s="100" t="str">
        <f aca="false">IF(ISBLANK($C504),"",IF($H504=Constants!$B$2,TRUE(),IF($H504=Constants!$B$3,FALSE(),TRUE())))</f>
        <v/>
      </c>
      <c r="AN504" s="100" t="str">
        <f aca="false">IF(ISBLANK($C504),"",IF(ISNUMBER($I504),IF($I504&gt;=0,$I504,""),""))</f>
        <v/>
      </c>
      <c r="AO504" s="100" t="str">
        <f aca="false">IF(ISBLANK($C504),"",IF(ISNUMBER($J504),IF($J504&gt;=0,$J504,""),""))</f>
        <v/>
      </c>
      <c r="AP504" s="100" t="str">
        <f aca="false">IF(ISBLANK($C504),"",IF(ISNUMBER($K504),IF($K504&gt;=0,$K504,""),""))</f>
        <v/>
      </c>
      <c r="AQ504" s="100" t="str">
        <f aca="false">IF(ISBLANK($C504),"",IF($L504=Constants!$B$2,TRUE(),IF($L504=Constants!$B$3,FALSE(),TRUE())))</f>
        <v/>
      </c>
      <c r="AR504" s="100" t="str">
        <f aca="false">IF(ISBLANK($C504),"",IF($M504=Constants!$B$2,TRUE(),IF($M504=Constants!$B$3,FALSE(),TRUE())))</f>
        <v/>
      </c>
      <c r="AS504" s="100" t="str">
        <f aca="false">IF(ISBLANK($C504),"",IF($N504=Constants!$B$2,TRUE(),IF($N504=Constants!$B$3,FALSE(),FALSE())))</f>
        <v/>
      </c>
      <c r="AT504" s="100" t="str">
        <f aca="false">IF(ISBLANK($C504),"",IF($O504=Constants!$B$2,TRUE(),IF($O504=Constants!$B$3,FALSE(),TRUE())))</f>
        <v/>
      </c>
      <c r="AU504" s="100" t="str">
        <f aca="false">IF(ISBLANK($C504),"",IF($P504=Constants!$B$2,TRUE(),IF($P504=Constants!$B$3,FALSE(),TRUE())))</f>
        <v/>
      </c>
      <c r="AV504" s="100" t="str">
        <f aca="false">IF(ISBLANK($C504),"",IF($Q504=Constants!$B$2,TRUE(),IF($Q504=Constants!$B$3,FALSE(),FALSE())))</f>
        <v/>
      </c>
      <c r="AW504" s="100" t="str">
        <f aca="false">IF(ISBLANK($C504),"",IF($R504=Constants!$B$2,TRUE(),IF($R504=Constants!$B$3,FALSE(),FALSE())))</f>
        <v/>
      </c>
      <c r="AX504" s="100" t="str">
        <f aca="false">IF(ISBLANK($C504),"",IF($S504=Constants!$B$2,TRUE(),IF($S504=Constants!$B$3,FALSE(),FALSE())))</f>
        <v/>
      </c>
      <c r="AY504" s="100" t="str">
        <f aca="false">IF(ISBLANK($C504),"",IF($T504=Constants!$B$2,TRUE(),IF($T504=Constants!$B$3,FALSE(),FALSE())))</f>
        <v/>
      </c>
      <c r="AZ504" s="100" t="str">
        <f aca="false">IF(ISBLANK($C504),"",IF($U504=Constants!$B$2,TRUE(),IF($U504=Constants!$B$3,FALSE(),FALSE())))</f>
        <v/>
      </c>
      <c r="BA504" s="100" t="str">
        <f aca="false">IF(ISBLANK($C504),"",IF(OR($V504&amp;""="1",$V504&amp;""="2",$V504&amp;""="3",$V504&amp;""="4"),VALUE($V504&amp;""),IF($V504=Constants!$B$12,Constants!$B$12,"")))</f>
        <v/>
      </c>
      <c r="BB504" s="100" t="str">
        <f aca="false">IF(ISBLANK($C504),"",IF(ISBLANK($W504),0,IF(ISNUMBER($W504),IF(AND($W504&gt;=0,$W504&lt;=Constants!$B$21,$W504=INT($W504)),$W504,""),"")))</f>
        <v/>
      </c>
      <c r="BC504" s="100" t="str">
        <f aca="false">IF(ISBLANK($C504),"",IF(ISBLANK($X504),0,IF(ISNUMBER($X504),IF($X504&gt;=0,$X504,""),"")))</f>
        <v/>
      </c>
      <c r="BD504" s="100" t="str">
        <f aca="false">IF(ISBLANK($C504),"",IF($Y504=Constants!$B$2,TRUE(),IF($Y504=Constants!$B$3,FALSE(),TRUE())))</f>
        <v/>
      </c>
      <c r="BE504" s="100" t="str">
        <f aca="false">IF(ISBLANK($C504),"",IF($Z504=Constants!$B$2,TRUE(),IF($Z504=Constants!$B$3,FALSE(),FALSE())))</f>
        <v/>
      </c>
      <c r="BF504" s="100" t="str">
        <f aca="false">IF(ISBLANK($C504),"",IF(ISBLANK($AA504),0,IF(ISNUMBER($AA504),IF(AND($AA504&gt;=0,$AA504&lt;=Constants!$B$35,$AA504=INT($AA504)),$AA504,""),"")))</f>
        <v/>
      </c>
      <c r="BG504" s="100" t="str">
        <f aca="false">IF(ISBLANK($C504),"",IF($AB504=Constants!$B$2,TRUE(),IF($AB504=Constants!$B$3,FALSE(),TRUE())))</f>
        <v/>
      </c>
      <c r="BH504" s="100" t="str">
        <f aca="false">IF(ISBLANK($C504),"",IF($AC504=Constants!$B$2,TRUE(),IF($AC504=Constants!$B$3,FALSE(),TRUE())))</f>
        <v/>
      </c>
      <c r="BI504" s="100" t="str">
        <f aca="false">IF(ISBLANK($C504),"",IF($AD504=Constants!$B$2,TRUE(),IF($AD504=Constants!$B$3,FALSE(),TRUE())))</f>
        <v/>
      </c>
      <c r="BJ504" s="100" t="str">
        <f aca="false">IF(ISBLANK($C504),"",IF(ISNUMBER($AE504),IF($AE504&gt;=0,$AE504,""),""))</f>
        <v/>
      </c>
      <c r="BK504" s="100" t="str">
        <f aca="false">IF(ISBLANK($C504),"",IF($AF504=Constants!$B$2,TRUE(),IF($AF504=Constants!$B$3,FALSE(),FALSE())))</f>
        <v/>
      </c>
      <c r="BL504" s="99" t="str">
        <f aca="false">IF(ISBLANK($C504),"",IF($BK504,Constants!$B$7,IF(COUNTA($E504:$AE504)=0,Constants!$B$6,IF(OR(COUNTA($G504:$AE504)=0,NOT($AM504),$AS504),Constants!$B$5,IF(OR($CM504&lt;&gt;"",$CN504,$CO504,$CP504,$CQ504,$CR504,$CS504),Constants!$B$8,Constants!$B$4)))))</f>
        <v/>
      </c>
      <c r="BM504" s="100" t="str">
        <f aca="false">IF(ISBLANK($C504),"",IF($BL504&lt;&gt;Constants!$B$4,$BL504,IF(OR(NOT($AJ504),NOT($AL504),NOT($AT504)),Constants!$B$11,IF(OR(NOT($AR504),NOT($AU504),NOT($BI504),MAX($AN504,$AO504,$AP504)&gt;Constants!$B$30),Constants!$B$10,Constants!$B$9))))</f>
        <v/>
      </c>
      <c r="BN504" s="100" t="str">
        <f aca="false">IF($BL504&lt;&gt;Constants!$B$4,"",IF(NOT($AL504),0,MIN(Constants!$B$35,$BF504)))</f>
        <v/>
      </c>
      <c r="BO504" s="100" t="str">
        <f aca="false">IF($BL504&lt;&gt;Constants!$B$4,"",IF(NOT($AL504),0,IF($AW504,Constants!$B$18,IF($AV504,Constants!$B$17,0))))</f>
        <v/>
      </c>
      <c r="BP504" s="100" t="str">
        <f aca="false">IF($BL504&lt;&gt;Constants!$B$4,"",IF(NOT($AL504),0,Constants!$B$19*($AK504+$AX504+$AY504+$AZ504)))</f>
        <v/>
      </c>
      <c r="BQ504" s="100" t="str">
        <f aca="false">IF($BL504&lt;&gt;Constants!$B$4,"",IF(OR(NOT($AL504),NOT(ISNUMBER($BA504))),0,CHOOSE($BA504,Constants!$B$13,Constants!$B$14,Constants!$B$15,Constants!$B$16)))</f>
        <v/>
      </c>
      <c r="BR504" s="100" t="str">
        <f aca="false">IF($BL504&lt;&gt;Constants!$B$4,"",IF(NOT($AL504),0,Constants!$B$20*$BB504))</f>
        <v/>
      </c>
      <c r="BS504" s="100" t="str">
        <f aca="false">IF($BL504&lt;&gt;Constants!$B$4,"",IF(AND($AL504,$BD504,$BE504),Constants!$B$22,0))</f>
        <v/>
      </c>
      <c r="BT504" s="100" t="str">
        <f aca="false">IF($BL504&lt;&gt;Constants!$B$4,"",IF(OR(NOT($AL504),NOT($BD504)),0,IF($BJ504&gt;=2*$AH$9,0,Constants!$B$23*INT(ROUND(MIN($BJ504,$AH$9),6)))))</f>
        <v/>
      </c>
      <c r="BU504" s="100" t="str">
        <f aca="false">IF($BL504&lt;&gt;Constants!$B$4,"",IF(NOT($AL504),0,Constants!$B$24*INT(ROUND(MIN($BC504,$AH$9),6))))</f>
        <v/>
      </c>
      <c r="BV504" s="100" t="str">
        <f aca="false">IF($BL504&lt;&gt;Constants!$B$4,"",IF(AND($AL504,$BN504=0),Constants!$B$25,0))</f>
        <v/>
      </c>
      <c r="BW504" s="100" t="str">
        <f aca="false">IF($BL504&lt;&gt;Constants!$B$4,"",MIN(Constants!$B$29,MAX(0,Constants!$B$27*Constants!$B$28*INT(ROUND((Constants!$B$26-$AN504)/Constants!$B$28,6))))+MIN(Constants!$B$29,MAX(0,Constants!$B$27*Constants!$B$28*INT(ROUND((Constants!$B$26-$AO504)/Constants!$B$28,6))))+MIN(Constants!$B$29,MAX(0,Constants!$B$27*Constants!$B$28*INT(ROUND((Constants!$B$26-$AP504)/Constants!$B$28,6)))))</f>
        <v/>
      </c>
      <c r="BX504" s="100" t="str">
        <f aca="false">IF($BL504&lt;&gt;Constants!$B$4,"",IF(NOT($AL504),0,Constants!$B$31*INT(ROUND(MAX(0,MIN($BJ504,2*$AH$9)-$AH$9),6))))</f>
        <v/>
      </c>
      <c r="BY504" s="100" t="str">
        <f aca="false">IF($BL504&lt;&gt;Constants!$B$4,"",Constants!$B$32*(($AN504&gt;Constants!$B$26)+($AO504&gt;Constants!$B$26)+($AP504&gt;Constants!$B$26)))</f>
        <v/>
      </c>
      <c r="BZ504" s="100" t="str">
        <f aca="false">IF($BL504&lt;&gt;Constants!$B$4,"",IF(OR(NOT($AL504),$AQ504),0,Constants!$B$33))</f>
        <v/>
      </c>
      <c r="CA504" s="100" t="str">
        <f aca="false">IF($BL504&lt;&gt;Constants!$B$4,"",Constants!$B$34*$BN504)</f>
        <v/>
      </c>
      <c r="CB504" s="100" t="str">
        <f aca="false">IF($BL504&lt;&gt;Constants!$B$4,"",IF(OR(NOT($AL504),$BH504),0,Constants!$B$36))</f>
        <v/>
      </c>
      <c r="CC504" s="100" t="str">
        <f aca="false">IF($BL504&lt;&gt;Constants!$B$4,"",IF(OR(NOT($AL504),$BG504),0,Constants!$B$37))</f>
        <v/>
      </c>
      <c r="CD504" s="100" t="str">
        <f aca="false">IF($BL504&lt;&gt;Constants!$B$4,"",SUM($BX504:$CC504))</f>
        <v/>
      </c>
      <c r="CE504" s="100" t="str">
        <f aca="false">IF(ISBLANK($C504),"",IF($BL504&lt;&gt;Constants!$B$4,$BL504,SUM($BO504:$BW504)-$CD504))</f>
        <v/>
      </c>
      <c r="CF504" s="100" t="str">
        <f aca="false">IF(ISBLANK($C504),"",IF($BL504&lt;&gt;Constants!$B$4,$BL504,RANK($CE504,$CE$9:$CE$508)))</f>
        <v/>
      </c>
      <c r="CG504" s="100" t="str">
        <f aca="false">IF(ISBLANK($C504),"",IF($BL504&lt;&gt;Constants!$B$4,$BL504,COUNTIFS($BM$9:$BM$508,"&lt;"&amp;$BM504)+COUNTIFS($BM$9:$BM$508,$BM504,$CF$9:$CF$508,"&lt;"&amp;$CF504)+1))</f>
        <v/>
      </c>
      <c r="CH504" s="100" t="str">
        <f aca="false">IF(ISBLANK($C504),"",IF($BL504&lt;&gt;Constants!$B$4,$BL504,RANK($CD504,$CD$9:$CD$508,1)))</f>
        <v/>
      </c>
      <c r="CI504" s="100" t="str">
        <f aca="false">IF($BL504&lt;&gt;Constants!$B$4,"",$AN504+$AO504+$AP504)</f>
        <v/>
      </c>
      <c r="CJ504" s="100" t="str">
        <f aca="false">IF(ISBLANK($C504),"",IF($BL504&lt;&gt;Constants!$B$4,$BL504,RANK($CI504,$CI$9:$CI$508,1)))</f>
        <v/>
      </c>
      <c r="CK504" s="100" t="str">
        <f aca="false">IF(ISBLANK($C504),"",IF($BL504&lt;&gt;Constants!$B$4,$BL504,COUNTIFS($BM$9:$BM$508,"&lt;"&amp;$BM504)+COUNTIFS($BM$9:$BM$508,$BM504,$CF$9:$CF$508,"&lt;"&amp;$CF504)+COUNTIFS($BM$9:$BM$508,$BM504,$CF$9:$CF$508,$CF504,$CH$9:$CH$508,"&lt;"&amp;$CH504)+COUNTIFS($BM$9:$BM$508,$BM504,$CF$9:$CF$508,$CF504,$CH$9:$CH$508,$CH504,$CJ$9:$CJ$508,"&lt;"&amp;$CJ504)+1))</f>
        <v/>
      </c>
      <c r="CL504" s="100" t="str">
        <f aca="false">IF(ISBLANK($C504),"",IF($BL504&lt;&gt;Constants!$B$4,$BL504,$CG504-$CK504))</f>
        <v/>
      </c>
      <c r="CM504" s="100" t="str">
        <f aca="false">IF(ISBLANK($C504),"",IF(NOT($AL504),"",IF(ISBLANK($D$7),$CM$5,IF(NOT(ISNUMBER($D$7)),$CM$6,""))))</f>
        <v/>
      </c>
      <c r="CN504" s="100" t="str">
        <f aca="false">IF(ISBLANK($C504),"",OR($AN504="",$AO504="",$AP504=""))</f>
        <v/>
      </c>
      <c r="CO504" s="100" t="str">
        <f aca="false">IF(ISBLANK($C504),"",AND($AL504,$BA504=""))</f>
        <v/>
      </c>
      <c r="CP504" s="100" t="str">
        <f aca="false">IF(ISBLANK($C504),"",AND($AL504,$BB504=""))</f>
        <v/>
      </c>
      <c r="CQ504" s="100" t="str">
        <f aca="false">IF(ISBLANK($C504),"",AND($AL504,$BC504=""))</f>
        <v/>
      </c>
      <c r="CR504" s="100" t="str">
        <f aca="false">IF(ISBLANK($C504),"",AND($AL504,$BF504=""))</f>
        <v/>
      </c>
      <c r="CS504" s="100" t="str">
        <f aca="false">IF(ISBLANK($C504),"",AND($AL504,$BJ504=""))</f>
        <v/>
      </c>
      <c r="CT504" s="101"/>
      <c r="CU504" s="102"/>
      <c r="CV504" s="103" t="str">
        <f aca="false">IF(ISBLANK($C504),"",IF($BL504=Constants!$B$8,$CM504,""))</f>
        <v/>
      </c>
      <c r="CW504" s="102" t="str">
        <f aca="false">IF(ISBLANK($C504),"",IF($BL504&lt;&gt;Constants!$B$4,"",$BO504+$BP504))</f>
        <v/>
      </c>
      <c r="CX504" s="104" t="str">
        <f aca="false">IF(ISBLANK($C504),"",IF($BL504&lt;&gt;Constants!$B$4,"",$BQ504+$BR504+$BS504))</f>
        <v/>
      </c>
      <c r="CY504" s="104" t="str">
        <f aca="false">IF(ISBLANK($C504),"",IF($BL504&lt;&gt;Constants!$B$4,"",$BT504))</f>
        <v/>
      </c>
      <c r="CZ504" s="104" t="str">
        <f aca="false">IF(ISBLANK($C504),"",IF($BL504&lt;&gt;Constants!$B$4,"",$BU504+$BV504))</f>
        <v/>
      </c>
      <c r="DA504" s="104" t="str">
        <f aca="false">IF(ISBLANK($C504),"",IF($BL504&lt;&gt;Constants!$B$4,"",$BW504))</f>
        <v/>
      </c>
      <c r="DB504" s="104" t="str">
        <f aca="false">IF(ISBLANK($C504),"",IF($BL504&lt;&gt;Constants!$B$4,"",-$CD504))</f>
        <v/>
      </c>
      <c r="DC504" s="103" t="str">
        <f aca="false">IF(ISBLANK($C504),"",$CE504)</f>
        <v/>
      </c>
      <c r="DD504" s="105" t="str">
        <f aca="false">IF(ISBLANK($C504),"",$BM504)</f>
        <v/>
      </c>
      <c r="DE504" s="104" t="str">
        <f aca="false">IF(ISBLANK($C504),"",$CL504)</f>
        <v/>
      </c>
      <c r="DF504" s="104" t="str">
        <f aca="false">IF(ISBLANK($C504),"",$CK504)</f>
        <v/>
      </c>
      <c r="DG504" s="106" t="str">
        <f aca="false">IF(ISBLANK($C504),"",IF($DF504=Constants!$B$7,COUNTA($C$9:$C$508)+2,IF($DF504=Constants!$B$6,COUNTA($C$9:$C$508)+1,IF($DF504=Constants!$B$5,COUNTA($C$9:$C$508),$DF504))))</f>
        <v/>
      </c>
      <c r="DH504" s="7"/>
      <c r="DI504" s="107" t="n">
        <f aca="false">IF(OR(ISNUMBER($DF504),$DF504=Constants!$B$7,$DF504=Constants!$B$5,$DF504=Constants!$B$6),1,0)</f>
        <v>0</v>
      </c>
      <c r="DJ504" s="107" t="n">
        <v>496</v>
      </c>
      <c r="DK504" s="107" t="str">
        <f aca="false">IF(ISBLANK($C504),"",IF(ISNUMBER($DG504),$DG504+ROW($B504)/1000,""))</f>
        <v/>
      </c>
      <c r="DL504" s="107" t="str">
        <f aca="false">IF(ISNUMBER($DK504),RANK($DK504,$DK$9:$DK$508,1),"")</f>
        <v/>
      </c>
      <c r="DM504" s="107" t="str">
        <f aca="false">IF(ISBLANK($C504),"",$B504)</f>
        <v/>
      </c>
      <c r="DN504" s="107" t="str">
        <f aca="false">IF(ISBLANK($C504),"",$C504)</f>
        <v/>
      </c>
      <c r="DO504" s="107" t="str">
        <f aca="false">IF(ISBLANK($C504),"",$D504)</f>
        <v/>
      </c>
      <c r="DP504" s="108" t="str">
        <f aca="false">$DD504</f>
        <v/>
      </c>
      <c r="DQ504" s="109" t="str">
        <f aca="false">$DC504</f>
        <v/>
      </c>
      <c r="DR504" s="107" t="str">
        <f aca="false">IF(ISBLANK($C504),"",$DF504)</f>
        <v/>
      </c>
      <c r="DS504" s="110" t="str">
        <f aca="false">IF($DJ504&gt;$DI$8,"",VLOOKUP($DJ504,$DL$9:$DR$508,7,FALSE()))</f>
        <v/>
      </c>
      <c r="DT504" s="111" t="str">
        <f aca="false">IF($DJ504&gt;$DI$8,"",VLOOKUP($DJ504,$DL$9:$DR$508,2,FALSE()))</f>
        <v/>
      </c>
      <c r="DU504" s="111" t="str">
        <f aca="false">IF($DJ504&gt;$DI$8,"",VLOOKUP($DJ504,$DL$9:$DR$508,3,FALSE()))</f>
        <v/>
      </c>
      <c r="DV504" s="111" t="str">
        <f aca="false">IF($DJ504&gt;$DI$8,"",VLOOKUP($DJ504,$DL$9:$DR$508,4,FALSE()))</f>
        <v/>
      </c>
      <c r="DW504" s="111" t="str">
        <f aca="false">IF($DJ504&gt;$DI$8,"",VLOOKUP($DJ504,$DL$9:$DR$508,5,FALSE()))</f>
        <v/>
      </c>
      <c r="DX504" s="112" t="str">
        <f aca="false">IF($DJ504&gt;$DI$8,"",VLOOKUP($DJ504,$DL$9:$DR$508,6,FALSE()))</f>
        <v/>
      </c>
      <c r="DY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130"/>
      <c r="N505" s="130"/>
      <c r="O505" s="135"/>
      <c r="P505" s="135"/>
      <c r="Q505" s="130"/>
      <c r="R505" s="130"/>
      <c r="S505" s="130"/>
      <c r="T505" s="130"/>
      <c r="U505" s="135"/>
      <c r="V505" s="130"/>
      <c r="W505" s="96"/>
      <c r="X505" s="130"/>
      <c r="Y505" s="130"/>
      <c r="Z505" s="96"/>
      <c r="AA505" s="96"/>
      <c r="AB505" s="130"/>
      <c r="AC505" s="130"/>
      <c r="AD505" s="130"/>
      <c r="AE505" s="97"/>
      <c r="AF505" s="130"/>
      <c r="AG505" s="99"/>
      <c r="AH505" s="100"/>
      <c r="AI505" s="100"/>
      <c r="AJ505" s="100" t="str">
        <f aca="false">IF(ISBLANK($C505),"",IF($E505=Constants!$B$2,TRUE(),IF($E505=Constants!$B$3,FALSE(),TRUE())))</f>
        <v/>
      </c>
      <c r="AK505" s="100" t="str">
        <f aca="false">IF(ISBLANK($C505),"",IF($F505=Constants!$B$2,TRUE(),IF($F505=Constants!$B$3,FALSE(),FALSE())))</f>
        <v/>
      </c>
      <c r="AL505" s="100" t="str">
        <f aca="false">IF(ISBLANK($C505),"",IF($G505=Constants!$B$2,TRUE(),IF($G505=Constants!$B$3,FALSE(),TRUE())))</f>
        <v/>
      </c>
      <c r="AM505" s="100" t="str">
        <f aca="false">IF(ISBLANK($C505),"",IF($H505=Constants!$B$2,TRUE(),IF($H505=Constants!$B$3,FALSE(),TRUE())))</f>
        <v/>
      </c>
      <c r="AN505" s="100" t="str">
        <f aca="false">IF(ISBLANK($C505),"",IF(ISNUMBER($I505),IF($I505&gt;=0,$I505,""),""))</f>
        <v/>
      </c>
      <c r="AO505" s="100" t="str">
        <f aca="false">IF(ISBLANK($C505),"",IF(ISNUMBER($J505),IF($J505&gt;=0,$J505,""),""))</f>
        <v/>
      </c>
      <c r="AP505" s="100" t="str">
        <f aca="false">IF(ISBLANK($C505),"",IF(ISNUMBER($K505),IF($K505&gt;=0,$K505,""),""))</f>
        <v/>
      </c>
      <c r="AQ505" s="100" t="str">
        <f aca="false">IF(ISBLANK($C505),"",IF($L505=Constants!$B$2,TRUE(),IF($L505=Constants!$B$3,FALSE(),TRUE())))</f>
        <v/>
      </c>
      <c r="AR505" s="100" t="str">
        <f aca="false">IF(ISBLANK($C505),"",IF($M505=Constants!$B$2,TRUE(),IF($M505=Constants!$B$3,FALSE(),TRUE())))</f>
        <v/>
      </c>
      <c r="AS505" s="100" t="str">
        <f aca="false">IF(ISBLANK($C505),"",IF($N505=Constants!$B$2,TRUE(),IF($N505=Constants!$B$3,FALSE(),FALSE())))</f>
        <v/>
      </c>
      <c r="AT505" s="100" t="str">
        <f aca="false">IF(ISBLANK($C505),"",IF($O505=Constants!$B$2,TRUE(),IF($O505=Constants!$B$3,FALSE(),TRUE())))</f>
        <v/>
      </c>
      <c r="AU505" s="100" t="str">
        <f aca="false">IF(ISBLANK($C505),"",IF($P505=Constants!$B$2,TRUE(),IF($P505=Constants!$B$3,FALSE(),TRUE())))</f>
        <v/>
      </c>
      <c r="AV505" s="100" t="str">
        <f aca="false">IF(ISBLANK($C505),"",IF($Q505=Constants!$B$2,TRUE(),IF($Q505=Constants!$B$3,FALSE(),FALSE())))</f>
        <v/>
      </c>
      <c r="AW505" s="100" t="str">
        <f aca="false">IF(ISBLANK($C505),"",IF($R505=Constants!$B$2,TRUE(),IF($R505=Constants!$B$3,FALSE(),FALSE())))</f>
        <v/>
      </c>
      <c r="AX505" s="100" t="str">
        <f aca="false">IF(ISBLANK($C505),"",IF($S505=Constants!$B$2,TRUE(),IF($S505=Constants!$B$3,FALSE(),FALSE())))</f>
        <v/>
      </c>
      <c r="AY505" s="100" t="str">
        <f aca="false">IF(ISBLANK($C505),"",IF($T505=Constants!$B$2,TRUE(),IF($T505=Constants!$B$3,FALSE(),FALSE())))</f>
        <v/>
      </c>
      <c r="AZ505" s="100" t="str">
        <f aca="false">IF(ISBLANK($C505),"",IF($U505=Constants!$B$2,TRUE(),IF($U505=Constants!$B$3,FALSE(),FALSE())))</f>
        <v/>
      </c>
      <c r="BA505" s="100" t="str">
        <f aca="false">IF(ISBLANK($C505),"",IF(OR($V505&amp;""="1",$V505&amp;""="2",$V505&amp;""="3",$V505&amp;""="4"),VALUE($V505&amp;""),IF($V505=Constants!$B$12,Constants!$B$12,"")))</f>
        <v/>
      </c>
      <c r="BB505" s="100" t="str">
        <f aca="false">IF(ISBLANK($C505),"",IF(ISBLANK($W505),0,IF(ISNUMBER($W505),IF(AND($W505&gt;=0,$W505&lt;=Constants!$B$21,$W505=INT($W505)),$W505,""),"")))</f>
        <v/>
      </c>
      <c r="BC505" s="100" t="str">
        <f aca="false">IF(ISBLANK($C505),"",IF(ISBLANK($X505),0,IF(ISNUMBER($X505),IF($X505&gt;=0,$X505,""),"")))</f>
        <v/>
      </c>
      <c r="BD505" s="100" t="str">
        <f aca="false">IF(ISBLANK($C505),"",IF($Y505=Constants!$B$2,TRUE(),IF($Y505=Constants!$B$3,FALSE(),TRUE())))</f>
        <v/>
      </c>
      <c r="BE505" s="100" t="str">
        <f aca="false">IF(ISBLANK($C505),"",IF($Z505=Constants!$B$2,TRUE(),IF($Z505=Constants!$B$3,FALSE(),FALSE())))</f>
        <v/>
      </c>
      <c r="BF505" s="100" t="str">
        <f aca="false">IF(ISBLANK($C505),"",IF(ISBLANK($AA505),0,IF(ISNUMBER($AA505),IF(AND($AA505&gt;=0,$AA505&lt;=Constants!$B$35,$AA505=INT($AA505)),$AA505,""),"")))</f>
        <v/>
      </c>
      <c r="BG505" s="100" t="str">
        <f aca="false">IF(ISBLANK($C505),"",IF($AB505=Constants!$B$2,TRUE(),IF($AB505=Constants!$B$3,FALSE(),TRUE())))</f>
        <v/>
      </c>
      <c r="BH505" s="100" t="str">
        <f aca="false">IF(ISBLANK($C505),"",IF($AC505=Constants!$B$2,TRUE(),IF($AC505=Constants!$B$3,FALSE(),TRUE())))</f>
        <v/>
      </c>
      <c r="BI505" s="100" t="str">
        <f aca="false">IF(ISBLANK($C505),"",IF($AD505=Constants!$B$2,TRUE(),IF($AD505=Constants!$B$3,FALSE(),TRUE())))</f>
        <v/>
      </c>
      <c r="BJ505" s="100" t="str">
        <f aca="false">IF(ISBLANK($C505),"",IF(ISNUMBER($AE505),IF($AE505&gt;=0,$AE505,""),""))</f>
        <v/>
      </c>
      <c r="BK505" s="100" t="str">
        <f aca="false">IF(ISBLANK($C505),"",IF($AF505=Constants!$B$2,TRUE(),IF($AF505=Constants!$B$3,FALSE(),FALSE())))</f>
        <v/>
      </c>
      <c r="BL505" s="99" t="str">
        <f aca="false">IF(ISBLANK($C505),"",IF($BK505,Constants!$B$7,IF(COUNTA($E505:$AE505)=0,Constants!$B$6,IF(OR(COUNTA($G505:$AE505)=0,NOT($AM505),$AS505),Constants!$B$5,IF(OR($CM505&lt;&gt;"",$CN505,$CO505,$CP505,$CQ505,$CR505,$CS505),Constants!$B$8,Constants!$B$4)))))</f>
        <v/>
      </c>
      <c r="BM505" s="100" t="str">
        <f aca="false">IF(ISBLANK($C505),"",IF($BL505&lt;&gt;Constants!$B$4,$BL505,IF(OR(NOT($AJ505),NOT($AL505),NOT($AT505)),Constants!$B$11,IF(OR(NOT($AR505),NOT($AU505),NOT($BI505),MAX($AN505,$AO505,$AP505)&gt;Constants!$B$30),Constants!$B$10,Constants!$B$9))))</f>
        <v/>
      </c>
      <c r="BN505" s="100" t="str">
        <f aca="false">IF($BL505&lt;&gt;Constants!$B$4,"",IF(NOT($AL505),0,MIN(Constants!$B$35,$BF505)))</f>
        <v/>
      </c>
      <c r="BO505" s="100" t="str">
        <f aca="false">IF($BL505&lt;&gt;Constants!$B$4,"",IF(NOT($AL505),0,IF($AW505,Constants!$B$18,IF($AV505,Constants!$B$17,0))))</f>
        <v/>
      </c>
      <c r="BP505" s="100" t="str">
        <f aca="false">IF($BL505&lt;&gt;Constants!$B$4,"",IF(NOT($AL505),0,Constants!$B$19*($AK505+$AX505+$AY505+$AZ505)))</f>
        <v/>
      </c>
      <c r="BQ505" s="100" t="str">
        <f aca="false">IF($BL505&lt;&gt;Constants!$B$4,"",IF(OR(NOT($AL505),NOT(ISNUMBER($BA505))),0,CHOOSE($BA505,Constants!$B$13,Constants!$B$14,Constants!$B$15,Constants!$B$16)))</f>
        <v/>
      </c>
      <c r="BR505" s="100" t="str">
        <f aca="false">IF($BL505&lt;&gt;Constants!$B$4,"",IF(NOT($AL505),0,Constants!$B$20*$BB505))</f>
        <v/>
      </c>
      <c r="BS505" s="100" t="str">
        <f aca="false">IF($BL505&lt;&gt;Constants!$B$4,"",IF(AND($AL505,$BD505,$BE505),Constants!$B$22,0))</f>
        <v/>
      </c>
      <c r="BT505" s="100" t="str">
        <f aca="false">IF($BL505&lt;&gt;Constants!$B$4,"",IF(OR(NOT($AL505),NOT($BD505)),0,IF($BJ505&gt;=2*$AH$9,0,Constants!$B$23*INT(ROUND(MIN($BJ505,$AH$9),6)))))</f>
        <v/>
      </c>
      <c r="BU505" s="100" t="str">
        <f aca="false">IF($BL505&lt;&gt;Constants!$B$4,"",IF(NOT($AL505),0,Constants!$B$24*INT(ROUND(MIN($BC505,$AH$9),6))))</f>
        <v/>
      </c>
      <c r="BV505" s="100" t="str">
        <f aca="false">IF($BL505&lt;&gt;Constants!$B$4,"",IF(AND($AL505,$BN505=0),Constants!$B$25,0))</f>
        <v/>
      </c>
      <c r="BW505" s="100" t="str">
        <f aca="false">IF($BL505&lt;&gt;Constants!$B$4,"",MIN(Constants!$B$29,MAX(0,Constants!$B$27*Constants!$B$28*INT(ROUND((Constants!$B$26-$AN505)/Constants!$B$28,6))))+MIN(Constants!$B$29,MAX(0,Constants!$B$27*Constants!$B$28*INT(ROUND((Constants!$B$26-$AO505)/Constants!$B$28,6))))+MIN(Constants!$B$29,MAX(0,Constants!$B$27*Constants!$B$28*INT(ROUND((Constants!$B$26-$AP505)/Constants!$B$28,6)))))</f>
        <v/>
      </c>
      <c r="BX505" s="100" t="str">
        <f aca="false">IF($BL505&lt;&gt;Constants!$B$4,"",IF(NOT($AL505),0,Constants!$B$31*INT(ROUND(MAX(0,MIN($BJ505,2*$AH$9)-$AH$9),6))))</f>
        <v/>
      </c>
      <c r="BY505" s="100" t="str">
        <f aca="false">IF($BL505&lt;&gt;Constants!$B$4,"",Constants!$B$32*(($AN505&gt;Constants!$B$26)+($AO505&gt;Constants!$B$26)+($AP505&gt;Constants!$B$26)))</f>
        <v/>
      </c>
      <c r="BZ505" s="100" t="str">
        <f aca="false">IF($BL505&lt;&gt;Constants!$B$4,"",IF(OR(NOT($AL505),$AQ505),0,Constants!$B$33))</f>
        <v/>
      </c>
      <c r="CA505" s="100" t="str">
        <f aca="false">IF($BL505&lt;&gt;Constants!$B$4,"",Constants!$B$34*$BN505)</f>
        <v/>
      </c>
      <c r="CB505" s="100" t="str">
        <f aca="false">IF($BL505&lt;&gt;Constants!$B$4,"",IF(OR(NOT($AL505),$BH505),0,Constants!$B$36))</f>
        <v/>
      </c>
      <c r="CC505" s="100" t="str">
        <f aca="false">IF($BL505&lt;&gt;Constants!$B$4,"",IF(OR(NOT($AL505),$BG505),0,Constants!$B$37))</f>
        <v/>
      </c>
      <c r="CD505" s="100" t="str">
        <f aca="false">IF($BL505&lt;&gt;Constants!$B$4,"",SUM($BX505:$CC505))</f>
        <v/>
      </c>
      <c r="CE505" s="100" t="str">
        <f aca="false">IF(ISBLANK($C505),"",IF($BL505&lt;&gt;Constants!$B$4,$BL505,SUM($BO505:$BW505)-$CD505))</f>
        <v/>
      </c>
      <c r="CF505" s="100" t="str">
        <f aca="false">IF(ISBLANK($C505),"",IF($BL505&lt;&gt;Constants!$B$4,$BL505,RANK($CE505,$CE$9:$CE$508)))</f>
        <v/>
      </c>
      <c r="CG505" s="100" t="str">
        <f aca="false">IF(ISBLANK($C505),"",IF($BL505&lt;&gt;Constants!$B$4,$BL505,COUNTIFS($BM$9:$BM$508,"&lt;"&amp;$BM505)+COUNTIFS($BM$9:$BM$508,$BM505,$CF$9:$CF$508,"&lt;"&amp;$CF505)+1))</f>
        <v/>
      </c>
      <c r="CH505" s="100" t="str">
        <f aca="false">IF(ISBLANK($C505),"",IF($BL505&lt;&gt;Constants!$B$4,$BL505,RANK($CD505,$CD$9:$CD$508,1)))</f>
        <v/>
      </c>
      <c r="CI505" s="100" t="str">
        <f aca="false">IF($BL505&lt;&gt;Constants!$B$4,"",$AN505+$AO505+$AP505)</f>
        <v/>
      </c>
      <c r="CJ505" s="100" t="str">
        <f aca="false">IF(ISBLANK($C505),"",IF($BL505&lt;&gt;Constants!$B$4,$BL505,RANK($CI505,$CI$9:$CI$508,1)))</f>
        <v/>
      </c>
      <c r="CK505" s="100" t="str">
        <f aca="false">IF(ISBLANK($C505),"",IF($BL505&lt;&gt;Constants!$B$4,$BL505,COUNTIFS($BM$9:$BM$508,"&lt;"&amp;$BM505)+COUNTIFS($BM$9:$BM$508,$BM505,$CF$9:$CF$508,"&lt;"&amp;$CF505)+COUNTIFS($BM$9:$BM$508,$BM505,$CF$9:$CF$508,$CF505,$CH$9:$CH$508,"&lt;"&amp;$CH505)+COUNTIFS($BM$9:$BM$508,$BM505,$CF$9:$CF$508,$CF505,$CH$9:$CH$508,$CH505,$CJ$9:$CJ$508,"&lt;"&amp;$CJ505)+1))</f>
        <v/>
      </c>
      <c r="CL505" s="100" t="str">
        <f aca="false">IF(ISBLANK($C505),"",IF($BL505&lt;&gt;Constants!$B$4,$BL505,$CG505-$CK505))</f>
        <v/>
      </c>
      <c r="CM505" s="100" t="str">
        <f aca="false">IF(ISBLANK($C505),"",IF(NOT($AL505),"",IF(ISBLANK($D$7),$CM$5,IF(NOT(ISNUMBER($D$7)),$CM$6,""))))</f>
        <v/>
      </c>
      <c r="CN505" s="100" t="str">
        <f aca="false">IF(ISBLANK($C505),"",OR($AN505="",$AO505="",$AP505=""))</f>
        <v/>
      </c>
      <c r="CO505" s="100" t="str">
        <f aca="false">IF(ISBLANK($C505),"",AND($AL505,$BA505=""))</f>
        <v/>
      </c>
      <c r="CP505" s="100" t="str">
        <f aca="false">IF(ISBLANK($C505),"",AND($AL505,$BB505=""))</f>
        <v/>
      </c>
      <c r="CQ505" s="100" t="str">
        <f aca="false">IF(ISBLANK($C505),"",AND($AL505,$BC505=""))</f>
        <v/>
      </c>
      <c r="CR505" s="100" t="str">
        <f aca="false">IF(ISBLANK($C505),"",AND($AL505,$BF505=""))</f>
        <v/>
      </c>
      <c r="CS505" s="100" t="str">
        <f aca="false">IF(ISBLANK($C505),"",AND($AL505,$BJ505=""))</f>
        <v/>
      </c>
      <c r="CT505" s="101"/>
      <c r="CU505" s="102"/>
      <c r="CV505" s="103" t="str">
        <f aca="false">IF(ISBLANK($C505),"",IF($BL505=Constants!$B$8,$CM505,""))</f>
        <v/>
      </c>
      <c r="CW505" s="102" t="str">
        <f aca="false">IF(ISBLANK($C505),"",IF($BL505&lt;&gt;Constants!$B$4,"",$BO505+$BP505))</f>
        <v/>
      </c>
      <c r="CX505" s="104" t="str">
        <f aca="false">IF(ISBLANK($C505),"",IF($BL505&lt;&gt;Constants!$B$4,"",$BQ505+$BR505+$BS505))</f>
        <v/>
      </c>
      <c r="CY505" s="104" t="str">
        <f aca="false">IF(ISBLANK($C505),"",IF($BL505&lt;&gt;Constants!$B$4,"",$BT505))</f>
        <v/>
      </c>
      <c r="CZ505" s="104" t="str">
        <f aca="false">IF(ISBLANK($C505),"",IF($BL505&lt;&gt;Constants!$B$4,"",$BU505+$BV505))</f>
        <v/>
      </c>
      <c r="DA505" s="104" t="str">
        <f aca="false">IF(ISBLANK($C505),"",IF($BL505&lt;&gt;Constants!$B$4,"",$BW505))</f>
        <v/>
      </c>
      <c r="DB505" s="104" t="str">
        <f aca="false">IF(ISBLANK($C505),"",IF($BL505&lt;&gt;Constants!$B$4,"",-$CD505))</f>
        <v/>
      </c>
      <c r="DC505" s="103" t="str">
        <f aca="false">IF(ISBLANK($C505),"",$CE505)</f>
        <v/>
      </c>
      <c r="DD505" s="105" t="str">
        <f aca="false">IF(ISBLANK($C505),"",$BM505)</f>
        <v/>
      </c>
      <c r="DE505" s="104" t="str">
        <f aca="false">IF(ISBLANK($C505),"",$CL505)</f>
        <v/>
      </c>
      <c r="DF505" s="104" t="str">
        <f aca="false">IF(ISBLANK($C505),"",$CK505)</f>
        <v/>
      </c>
      <c r="DG505" s="106" t="str">
        <f aca="false">IF(ISBLANK($C505),"",IF($DF505=Constants!$B$7,COUNTA($C$9:$C$508)+2,IF($DF505=Constants!$B$6,COUNTA($C$9:$C$508)+1,IF($DF505=Constants!$B$5,COUNTA($C$9:$C$508),$DF505))))</f>
        <v/>
      </c>
      <c r="DH505" s="7"/>
      <c r="DI505" s="107" t="n">
        <f aca="false">IF(OR(ISNUMBER($DF505),$DF505=Constants!$B$7,$DF505=Constants!$B$5,$DF505=Constants!$B$6),1,0)</f>
        <v>0</v>
      </c>
      <c r="DJ505" s="107" t="n">
        <v>497</v>
      </c>
      <c r="DK505" s="107" t="str">
        <f aca="false">IF(ISBLANK($C505),"",IF(ISNUMBER($DG505),$DG505+ROW($B505)/1000,""))</f>
        <v/>
      </c>
      <c r="DL505" s="107" t="str">
        <f aca="false">IF(ISNUMBER($DK505),RANK($DK505,$DK$9:$DK$508,1),"")</f>
        <v/>
      </c>
      <c r="DM505" s="107" t="str">
        <f aca="false">IF(ISBLANK($C505),"",$B505)</f>
        <v/>
      </c>
      <c r="DN505" s="107" t="str">
        <f aca="false">IF(ISBLANK($C505),"",$C505)</f>
        <v/>
      </c>
      <c r="DO505" s="107" t="str">
        <f aca="false">IF(ISBLANK($C505),"",$D505)</f>
        <v/>
      </c>
      <c r="DP505" s="108" t="str">
        <f aca="false">$DD505</f>
        <v/>
      </c>
      <c r="DQ505" s="109" t="str">
        <f aca="false">$DC505</f>
        <v/>
      </c>
      <c r="DR505" s="107" t="str">
        <f aca="false">IF(ISBLANK($C505),"",$DF505)</f>
        <v/>
      </c>
      <c r="DS505" s="110" t="str">
        <f aca="false">IF($DJ505&gt;$DI$8,"",VLOOKUP($DJ505,$DL$9:$DR$508,7,FALSE()))</f>
        <v/>
      </c>
      <c r="DT505" s="111" t="str">
        <f aca="false">IF($DJ505&gt;$DI$8,"",VLOOKUP($DJ505,$DL$9:$DR$508,2,FALSE()))</f>
        <v/>
      </c>
      <c r="DU505" s="111" t="str">
        <f aca="false">IF($DJ505&gt;$DI$8,"",VLOOKUP($DJ505,$DL$9:$DR$508,3,FALSE()))</f>
        <v/>
      </c>
      <c r="DV505" s="111" t="str">
        <f aca="false">IF($DJ505&gt;$DI$8,"",VLOOKUP($DJ505,$DL$9:$DR$508,4,FALSE()))</f>
        <v/>
      </c>
      <c r="DW505" s="111" t="str">
        <f aca="false">IF($DJ505&gt;$DI$8,"",VLOOKUP($DJ505,$DL$9:$DR$508,5,FALSE()))</f>
        <v/>
      </c>
      <c r="DX505" s="112" t="str">
        <f aca="false">IF($DJ505&gt;$DI$8,"",VLOOKUP($DJ505,$DL$9:$DR$508,6,FALSE()))</f>
        <v/>
      </c>
      <c r="DY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130"/>
      <c r="N506" s="130"/>
      <c r="O506" s="135"/>
      <c r="P506" s="135"/>
      <c r="Q506" s="130"/>
      <c r="R506" s="130"/>
      <c r="S506" s="130"/>
      <c r="T506" s="130"/>
      <c r="U506" s="135"/>
      <c r="V506" s="130"/>
      <c r="W506" s="96"/>
      <c r="X506" s="130"/>
      <c r="Y506" s="130"/>
      <c r="Z506" s="96"/>
      <c r="AA506" s="96"/>
      <c r="AB506" s="130"/>
      <c r="AC506" s="130"/>
      <c r="AD506" s="130"/>
      <c r="AE506" s="97"/>
      <c r="AF506" s="130"/>
      <c r="AG506" s="99"/>
      <c r="AH506" s="100"/>
      <c r="AI506" s="100"/>
      <c r="AJ506" s="100" t="str">
        <f aca="false">IF(ISBLANK($C506),"",IF($E506=Constants!$B$2,TRUE(),IF($E506=Constants!$B$3,FALSE(),TRUE())))</f>
        <v/>
      </c>
      <c r="AK506" s="100" t="str">
        <f aca="false">IF(ISBLANK($C506),"",IF($F506=Constants!$B$2,TRUE(),IF($F506=Constants!$B$3,FALSE(),FALSE())))</f>
        <v/>
      </c>
      <c r="AL506" s="100" t="str">
        <f aca="false">IF(ISBLANK($C506),"",IF($G506=Constants!$B$2,TRUE(),IF($G506=Constants!$B$3,FALSE(),TRUE())))</f>
        <v/>
      </c>
      <c r="AM506" s="100" t="str">
        <f aca="false">IF(ISBLANK($C506),"",IF($H506=Constants!$B$2,TRUE(),IF($H506=Constants!$B$3,FALSE(),TRUE())))</f>
        <v/>
      </c>
      <c r="AN506" s="100" t="str">
        <f aca="false">IF(ISBLANK($C506),"",IF(ISNUMBER($I506),IF($I506&gt;=0,$I506,""),""))</f>
        <v/>
      </c>
      <c r="AO506" s="100" t="str">
        <f aca="false">IF(ISBLANK($C506),"",IF(ISNUMBER($J506),IF($J506&gt;=0,$J506,""),""))</f>
        <v/>
      </c>
      <c r="AP506" s="100" t="str">
        <f aca="false">IF(ISBLANK($C506),"",IF(ISNUMBER($K506),IF($K506&gt;=0,$K506,""),""))</f>
        <v/>
      </c>
      <c r="AQ506" s="100" t="str">
        <f aca="false">IF(ISBLANK($C506),"",IF($L506=Constants!$B$2,TRUE(),IF($L506=Constants!$B$3,FALSE(),TRUE())))</f>
        <v/>
      </c>
      <c r="AR506" s="100" t="str">
        <f aca="false">IF(ISBLANK($C506),"",IF($M506=Constants!$B$2,TRUE(),IF($M506=Constants!$B$3,FALSE(),TRUE())))</f>
        <v/>
      </c>
      <c r="AS506" s="100" t="str">
        <f aca="false">IF(ISBLANK($C506),"",IF($N506=Constants!$B$2,TRUE(),IF($N506=Constants!$B$3,FALSE(),FALSE())))</f>
        <v/>
      </c>
      <c r="AT506" s="100" t="str">
        <f aca="false">IF(ISBLANK($C506),"",IF($O506=Constants!$B$2,TRUE(),IF($O506=Constants!$B$3,FALSE(),TRUE())))</f>
        <v/>
      </c>
      <c r="AU506" s="100" t="str">
        <f aca="false">IF(ISBLANK($C506),"",IF($P506=Constants!$B$2,TRUE(),IF($P506=Constants!$B$3,FALSE(),TRUE())))</f>
        <v/>
      </c>
      <c r="AV506" s="100" t="str">
        <f aca="false">IF(ISBLANK($C506),"",IF($Q506=Constants!$B$2,TRUE(),IF($Q506=Constants!$B$3,FALSE(),FALSE())))</f>
        <v/>
      </c>
      <c r="AW506" s="100" t="str">
        <f aca="false">IF(ISBLANK($C506),"",IF($R506=Constants!$B$2,TRUE(),IF($R506=Constants!$B$3,FALSE(),FALSE())))</f>
        <v/>
      </c>
      <c r="AX506" s="100" t="str">
        <f aca="false">IF(ISBLANK($C506),"",IF($S506=Constants!$B$2,TRUE(),IF($S506=Constants!$B$3,FALSE(),FALSE())))</f>
        <v/>
      </c>
      <c r="AY506" s="100" t="str">
        <f aca="false">IF(ISBLANK($C506),"",IF($T506=Constants!$B$2,TRUE(),IF($T506=Constants!$B$3,FALSE(),FALSE())))</f>
        <v/>
      </c>
      <c r="AZ506" s="100" t="str">
        <f aca="false">IF(ISBLANK($C506),"",IF($U506=Constants!$B$2,TRUE(),IF($U506=Constants!$B$3,FALSE(),FALSE())))</f>
        <v/>
      </c>
      <c r="BA506" s="100" t="str">
        <f aca="false">IF(ISBLANK($C506),"",IF(OR($V506&amp;""="1",$V506&amp;""="2",$V506&amp;""="3",$V506&amp;""="4"),VALUE($V506&amp;""),IF($V506=Constants!$B$12,Constants!$B$12,"")))</f>
        <v/>
      </c>
      <c r="BB506" s="100" t="str">
        <f aca="false">IF(ISBLANK($C506),"",IF(ISBLANK($W506),0,IF(ISNUMBER($W506),IF(AND($W506&gt;=0,$W506&lt;=Constants!$B$21,$W506=INT($W506)),$W506,""),"")))</f>
        <v/>
      </c>
      <c r="BC506" s="100" t="str">
        <f aca="false">IF(ISBLANK($C506),"",IF(ISBLANK($X506),0,IF(ISNUMBER($X506),IF($X506&gt;=0,$X506,""),"")))</f>
        <v/>
      </c>
      <c r="BD506" s="100" t="str">
        <f aca="false">IF(ISBLANK($C506),"",IF($Y506=Constants!$B$2,TRUE(),IF($Y506=Constants!$B$3,FALSE(),TRUE())))</f>
        <v/>
      </c>
      <c r="BE506" s="100" t="str">
        <f aca="false">IF(ISBLANK($C506),"",IF($Z506=Constants!$B$2,TRUE(),IF($Z506=Constants!$B$3,FALSE(),FALSE())))</f>
        <v/>
      </c>
      <c r="BF506" s="100" t="str">
        <f aca="false">IF(ISBLANK($C506),"",IF(ISBLANK($AA506),0,IF(ISNUMBER($AA506),IF(AND($AA506&gt;=0,$AA506&lt;=Constants!$B$35,$AA506=INT($AA506)),$AA506,""),"")))</f>
        <v/>
      </c>
      <c r="BG506" s="100" t="str">
        <f aca="false">IF(ISBLANK($C506),"",IF($AB506=Constants!$B$2,TRUE(),IF($AB506=Constants!$B$3,FALSE(),TRUE())))</f>
        <v/>
      </c>
      <c r="BH506" s="100" t="str">
        <f aca="false">IF(ISBLANK($C506),"",IF($AC506=Constants!$B$2,TRUE(),IF($AC506=Constants!$B$3,FALSE(),TRUE())))</f>
        <v/>
      </c>
      <c r="BI506" s="100" t="str">
        <f aca="false">IF(ISBLANK($C506),"",IF($AD506=Constants!$B$2,TRUE(),IF($AD506=Constants!$B$3,FALSE(),TRUE())))</f>
        <v/>
      </c>
      <c r="BJ506" s="100" t="str">
        <f aca="false">IF(ISBLANK($C506),"",IF(ISNUMBER($AE506),IF($AE506&gt;=0,$AE506,""),""))</f>
        <v/>
      </c>
      <c r="BK506" s="100" t="str">
        <f aca="false">IF(ISBLANK($C506),"",IF($AF506=Constants!$B$2,TRUE(),IF($AF506=Constants!$B$3,FALSE(),FALSE())))</f>
        <v/>
      </c>
      <c r="BL506" s="99" t="str">
        <f aca="false">IF(ISBLANK($C506),"",IF($BK506,Constants!$B$7,IF(COUNTA($E506:$AE506)=0,Constants!$B$6,IF(OR(COUNTA($G506:$AE506)=0,NOT($AM506),$AS506),Constants!$B$5,IF(OR($CM506&lt;&gt;"",$CN506,$CO506,$CP506,$CQ506,$CR506,$CS506),Constants!$B$8,Constants!$B$4)))))</f>
        <v/>
      </c>
      <c r="BM506" s="100" t="str">
        <f aca="false">IF(ISBLANK($C506),"",IF($BL506&lt;&gt;Constants!$B$4,$BL506,IF(OR(NOT($AJ506),NOT($AL506),NOT($AT506)),Constants!$B$11,IF(OR(NOT($AR506),NOT($AU506),NOT($BI506),MAX($AN506,$AO506,$AP506)&gt;Constants!$B$30),Constants!$B$10,Constants!$B$9))))</f>
        <v/>
      </c>
      <c r="BN506" s="100" t="str">
        <f aca="false">IF($BL506&lt;&gt;Constants!$B$4,"",IF(NOT($AL506),0,MIN(Constants!$B$35,$BF506)))</f>
        <v/>
      </c>
      <c r="BO506" s="100" t="str">
        <f aca="false">IF($BL506&lt;&gt;Constants!$B$4,"",IF(NOT($AL506),0,IF($AW506,Constants!$B$18,IF($AV506,Constants!$B$17,0))))</f>
        <v/>
      </c>
      <c r="BP506" s="100" t="str">
        <f aca="false">IF($BL506&lt;&gt;Constants!$B$4,"",IF(NOT($AL506),0,Constants!$B$19*($AK506+$AX506+$AY506+$AZ506)))</f>
        <v/>
      </c>
      <c r="BQ506" s="100" t="str">
        <f aca="false">IF($BL506&lt;&gt;Constants!$B$4,"",IF(OR(NOT($AL506),NOT(ISNUMBER($BA506))),0,CHOOSE($BA506,Constants!$B$13,Constants!$B$14,Constants!$B$15,Constants!$B$16)))</f>
        <v/>
      </c>
      <c r="BR506" s="100" t="str">
        <f aca="false">IF($BL506&lt;&gt;Constants!$B$4,"",IF(NOT($AL506),0,Constants!$B$20*$BB506))</f>
        <v/>
      </c>
      <c r="BS506" s="100" t="str">
        <f aca="false">IF($BL506&lt;&gt;Constants!$B$4,"",IF(AND($AL506,$BD506,$BE506),Constants!$B$22,0))</f>
        <v/>
      </c>
      <c r="BT506" s="100" t="str">
        <f aca="false">IF($BL506&lt;&gt;Constants!$B$4,"",IF(OR(NOT($AL506),NOT($BD506)),0,IF($BJ506&gt;=2*$AH$9,0,Constants!$B$23*INT(ROUND(MIN($BJ506,$AH$9),6)))))</f>
        <v/>
      </c>
      <c r="BU506" s="100" t="str">
        <f aca="false">IF($BL506&lt;&gt;Constants!$B$4,"",IF(NOT($AL506),0,Constants!$B$24*INT(ROUND(MIN($BC506,$AH$9),6))))</f>
        <v/>
      </c>
      <c r="BV506" s="100" t="str">
        <f aca="false">IF($BL506&lt;&gt;Constants!$B$4,"",IF(AND($AL506,$BN506=0),Constants!$B$25,0))</f>
        <v/>
      </c>
      <c r="BW506" s="100" t="str">
        <f aca="false">IF($BL506&lt;&gt;Constants!$B$4,"",MIN(Constants!$B$29,MAX(0,Constants!$B$27*Constants!$B$28*INT(ROUND((Constants!$B$26-$AN506)/Constants!$B$28,6))))+MIN(Constants!$B$29,MAX(0,Constants!$B$27*Constants!$B$28*INT(ROUND((Constants!$B$26-$AO506)/Constants!$B$28,6))))+MIN(Constants!$B$29,MAX(0,Constants!$B$27*Constants!$B$28*INT(ROUND((Constants!$B$26-$AP506)/Constants!$B$28,6)))))</f>
        <v/>
      </c>
      <c r="BX506" s="100" t="str">
        <f aca="false">IF($BL506&lt;&gt;Constants!$B$4,"",IF(NOT($AL506),0,Constants!$B$31*INT(ROUND(MAX(0,MIN($BJ506,2*$AH$9)-$AH$9),6))))</f>
        <v/>
      </c>
      <c r="BY506" s="100" t="str">
        <f aca="false">IF($BL506&lt;&gt;Constants!$B$4,"",Constants!$B$32*(($AN506&gt;Constants!$B$26)+($AO506&gt;Constants!$B$26)+($AP506&gt;Constants!$B$26)))</f>
        <v/>
      </c>
      <c r="BZ506" s="100" t="str">
        <f aca="false">IF($BL506&lt;&gt;Constants!$B$4,"",IF(OR(NOT($AL506),$AQ506),0,Constants!$B$33))</f>
        <v/>
      </c>
      <c r="CA506" s="100" t="str">
        <f aca="false">IF($BL506&lt;&gt;Constants!$B$4,"",Constants!$B$34*$BN506)</f>
        <v/>
      </c>
      <c r="CB506" s="100" t="str">
        <f aca="false">IF($BL506&lt;&gt;Constants!$B$4,"",IF(OR(NOT($AL506),$BH506),0,Constants!$B$36))</f>
        <v/>
      </c>
      <c r="CC506" s="100" t="str">
        <f aca="false">IF($BL506&lt;&gt;Constants!$B$4,"",IF(OR(NOT($AL506),$BG506),0,Constants!$B$37))</f>
        <v/>
      </c>
      <c r="CD506" s="100" t="str">
        <f aca="false">IF($BL506&lt;&gt;Constants!$B$4,"",SUM($BX506:$CC506))</f>
        <v/>
      </c>
      <c r="CE506" s="100" t="str">
        <f aca="false">IF(ISBLANK($C506),"",IF($BL506&lt;&gt;Constants!$B$4,$BL506,SUM($BO506:$BW506)-$CD506))</f>
        <v/>
      </c>
      <c r="CF506" s="100" t="str">
        <f aca="false">IF(ISBLANK($C506),"",IF($BL506&lt;&gt;Constants!$B$4,$BL506,RANK($CE506,$CE$9:$CE$508)))</f>
        <v/>
      </c>
      <c r="CG506" s="100" t="str">
        <f aca="false">IF(ISBLANK($C506),"",IF($BL506&lt;&gt;Constants!$B$4,$BL506,COUNTIFS($BM$9:$BM$508,"&lt;"&amp;$BM506)+COUNTIFS($BM$9:$BM$508,$BM506,$CF$9:$CF$508,"&lt;"&amp;$CF506)+1))</f>
        <v/>
      </c>
      <c r="CH506" s="100" t="str">
        <f aca="false">IF(ISBLANK($C506),"",IF($BL506&lt;&gt;Constants!$B$4,$BL506,RANK($CD506,$CD$9:$CD$508,1)))</f>
        <v/>
      </c>
      <c r="CI506" s="100" t="str">
        <f aca="false">IF($BL506&lt;&gt;Constants!$B$4,"",$AN506+$AO506+$AP506)</f>
        <v/>
      </c>
      <c r="CJ506" s="100" t="str">
        <f aca="false">IF(ISBLANK($C506),"",IF($BL506&lt;&gt;Constants!$B$4,$BL506,RANK($CI506,$CI$9:$CI$508,1)))</f>
        <v/>
      </c>
      <c r="CK506" s="100" t="str">
        <f aca="false">IF(ISBLANK($C506),"",IF($BL506&lt;&gt;Constants!$B$4,$BL506,COUNTIFS($BM$9:$BM$508,"&lt;"&amp;$BM506)+COUNTIFS($BM$9:$BM$508,$BM506,$CF$9:$CF$508,"&lt;"&amp;$CF506)+COUNTIFS($BM$9:$BM$508,$BM506,$CF$9:$CF$508,$CF506,$CH$9:$CH$508,"&lt;"&amp;$CH506)+COUNTIFS($BM$9:$BM$508,$BM506,$CF$9:$CF$508,$CF506,$CH$9:$CH$508,$CH506,$CJ$9:$CJ$508,"&lt;"&amp;$CJ506)+1))</f>
        <v/>
      </c>
      <c r="CL506" s="100" t="str">
        <f aca="false">IF(ISBLANK($C506),"",IF($BL506&lt;&gt;Constants!$B$4,$BL506,$CG506-$CK506))</f>
        <v/>
      </c>
      <c r="CM506" s="100" t="str">
        <f aca="false">IF(ISBLANK($C506),"",IF(NOT($AL506),"",IF(ISBLANK($D$7),$CM$5,IF(NOT(ISNUMBER($D$7)),$CM$6,""))))</f>
        <v/>
      </c>
      <c r="CN506" s="100" t="str">
        <f aca="false">IF(ISBLANK($C506),"",OR($AN506="",$AO506="",$AP506=""))</f>
        <v/>
      </c>
      <c r="CO506" s="100" t="str">
        <f aca="false">IF(ISBLANK($C506),"",AND($AL506,$BA506=""))</f>
        <v/>
      </c>
      <c r="CP506" s="100" t="str">
        <f aca="false">IF(ISBLANK($C506),"",AND($AL506,$BB506=""))</f>
        <v/>
      </c>
      <c r="CQ506" s="100" t="str">
        <f aca="false">IF(ISBLANK($C506),"",AND($AL506,$BC506=""))</f>
        <v/>
      </c>
      <c r="CR506" s="100" t="str">
        <f aca="false">IF(ISBLANK($C506),"",AND($AL506,$BF506=""))</f>
        <v/>
      </c>
      <c r="CS506" s="100" t="str">
        <f aca="false">IF(ISBLANK($C506),"",AND($AL506,$BJ506=""))</f>
        <v/>
      </c>
      <c r="CT506" s="101"/>
      <c r="CU506" s="102"/>
      <c r="CV506" s="103" t="str">
        <f aca="false">IF(ISBLANK($C506),"",IF($BL506=Constants!$B$8,$CM506,""))</f>
        <v/>
      </c>
      <c r="CW506" s="102" t="str">
        <f aca="false">IF(ISBLANK($C506),"",IF($BL506&lt;&gt;Constants!$B$4,"",$BO506+$BP506))</f>
        <v/>
      </c>
      <c r="CX506" s="104" t="str">
        <f aca="false">IF(ISBLANK($C506),"",IF($BL506&lt;&gt;Constants!$B$4,"",$BQ506+$BR506+$BS506))</f>
        <v/>
      </c>
      <c r="CY506" s="104" t="str">
        <f aca="false">IF(ISBLANK($C506),"",IF($BL506&lt;&gt;Constants!$B$4,"",$BT506))</f>
        <v/>
      </c>
      <c r="CZ506" s="104" t="str">
        <f aca="false">IF(ISBLANK($C506),"",IF($BL506&lt;&gt;Constants!$B$4,"",$BU506+$BV506))</f>
        <v/>
      </c>
      <c r="DA506" s="104" t="str">
        <f aca="false">IF(ISBLANK($C506),"",IF($BL506&lt;&gt;Constants!$B$4,"",$BW506))</f>
        <v/>
      </c>
      <c r="DB506" s="104" t="str">
        <f aca="false">IF(ISBLANK($C506),"",IF($BL506&lt;&gt;Constants!$B$4,"",-$CD506))</f>
        <v/>
      </c>
      <c r="DC506" s="103" t="str">
        <f aca="false">IF(ISBLANK($C506),"",$CE506)</f>
        <v/>
      </c>
      <c r="DD506" s="105" t="str">
        <f aca="false">IF(ISBLANK($C506),"",$BM506)</f>
        <v/>
      </c>
      <c r="DE506" s="104" t="str">
        <f aca="false">IF(ISBLANK($C506),"",$CL506)</f>
        <v/>
      </c>
      <c r="DF506" s="104" t="str">
        <f aca="false">IF(ISBLANK($C506),"",$CK506)</f>
        <v/>
      </c>
      <c r="DG506" s="106" t="str">
        <f aca="false">IF(ISBLANK($C506),"",IF($DF506=Constants!$B$7,COUNTA($C$9:$C$508)+2,IF($DF506=Constants!$B$6,COUNTA($C$9:$C$508)+1,IF($DF506=Constants!$B$5,COUNTA($C$9:$C$508),$DF506))))</f>
        <v/>
      </c>
      <c r="DH506" s="7"/>
      <c r="DI506" s="107" t="n">
        <f aca="false">IF(OR(ISNUMBER($DF506),$DF506=Constants!$B$7,$DF506=Constants!$B$5,$DF506=Constants!$B$6),1,0)</f>
        <v>0</v>
      </c>
      <c r="DJ506" s="107" t="n">
        <v>498</v>
      </c>
      <c r="DK506" s="107" t="str">
        <f aca="false">IF(ISBLANK($C506),"",IF(ISNUMBER($DG506),$DG506+ROW($B506)/1000,""))</f>
        <v/>
      </c>
      <c r="DL506" s="107" t="str">
        <f aca="false">IF(ISNUMBER($DK506),RANK($DK506,$DK$9:$DK$508,1),"")</f>
        <v/>
      </c>
      <c r="DM506" s="107" t="str">
        <f aca="false">IF(ISBLANK($C506),"",$B506)</f>
        <v/>
      </c>
      <c r="DN506" s="107" t="str">
        <f aca="false">IF(ISBLANK($C506),"",$C506)</f>
        <v/>
      </c>
      <c r="DO506" s="107" t="str">
        <f aca="false">IF(ISBLANK($C506),"",$D506)</f>
        <v/>
      </c>
      <c r="DP506" s="108" t="str">
        <f aca="false">$DD506</f>
        <v/>
      </c>
      <c r="DQ506" s="109" t="str">
        <f aca="false">$DC506</f>
        <v/>
      </c>
      <c r="DR506" s="107" t="str">
        <f aca="false">IF(ISBLANK($C506),"",$DF506)</f>
        <v/>
      </c>
      <c r="DS506" s="110" t="str">
        <f aca="false">IF($DJ506&gt;$DI$8,"",VLOOKUP($DJ506,$DL$9:$DR$508,7,FALSE()))</f>
        <v/>
      </c>
      <c r="DT506" s="111" t="str">
        <f aca="false">IF($DJ506&gt;$DI$8,"",VLOOKUP($DJ506,$DL$9:$DR$508,2,FALSE()))</f>
        <v/>
      </c>
      <c r="DU506" s="111" t="str">
        <f aca="false">IF($DJ506&gt;$DI$8,"",VLOOKUP($DJ506,$DL$9:$DR$508,3,FALSE()))</f>
        <v/>
      </c>
      <c r="DV506" s="111" t="str">
        <f aca="false">IF($DJ506&gt;$DI$8,"",VLOOKUP($DJ506,$DL$9:$DR$508,4,FALSE()))</f>
        <v/>
      </c>
      <c r="DW506" s="111" t="str">
        <f aca="false">IF($DJ506&gt;$DI$8,"",VLOOKUP($DJ506,$DL$9:$DR$508,5,FALSE()))</f>
        <v/>
      </c>
      <c r="DX506" s="112" t="str">
        <f aca="false">IF($DJ506&gt;$DI$8,"",VLOOKUP($DJ506,$DL$9:$DR$508,6,FALSE()))</f>
        <v/>
      </c>
      <c r="DY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88"/>
      <c r="N507" s="88"/>
      <c r="O507" s="134"/>
      <c r="P507" s="134"/>
      <c r="Q507" s="88"/>
      <c r="R507" s="88"/>
      <c r="S507" s="88"/>
      <c r="T507" s="88"/>
      <c r="U507" s="134"/>
      <c r="V507" s="88"/>
      <c r="W507" s="70"/>
      <c r="X507" s="88"/>
      <c r="Y507" s="88"/>
      <c r="Z507" s="70"/>
      <c r="AA507" s="70"/>
      <c r="AB507" s="88"/>
      <c r="AC507" s="88"/>
      <c r="AD507" s="88"/>
      <c r="AE507" s="71"/>
      <c r="AF507" s="88"/>
      <c r="AG507" s="73"/>
      <c r="AH507" s="74"/>
      <c r="AI507" s="74"/>
      <c r="AJ507" s="74" t="str">
        <f aca="false">IF(ISBLANK($C507),"",IF($E507=Constants!$B$2,TRUE(),IF($E507=Constants!$B$3,FALSE(),TRUE())))</f>
        <v/>
      </c>
      <c r="AK507" s="74" t="str">
        <f aca="false">IF(ISBLANK($C507),"",IF($F507=Constants!$B$2,TRUE(),IF($F507=Constants!$B$3,FALSE(),FALSE())))</f>
        <v/>
      </c>
      <c r="AL507" s="74" t="str">
        <f aca="false">IF(ISBLANK($C507),"",IF($G507=Constants!$B$2,TRUE(),IF($G507=Constants!$B$3,FALSE(),TRUE())))</f>
        <v/>
      </c>
      <c r="AM507" s="74" t="str">
        <f aca="false">IF(ISBLANK($C507),"",IF($H507=Constants!$B$2,TRUE(),IF($H507=Constants!$B$3,FALSE(),TRUE())))</f>
        <v/>
      </c>
      <c r="AN507" s="74" t="str">
        <f aca="false">IF(ISBLANK($C507),"",IF(ISNUMBER($I507),IF($I507&gt;=0,$I507,""),""))</f>
        <v/>
      </c>
      <c r="AO507" s="74" t="str">
        <f aca="false">IF(ISBLANK($C507),"",IF(ISNUMBER($J507),IF($J507&gt;=0,$J507,""),""))</f>
        <v/>
      </c>
      <c r="AP507" s="74" t="str">
        <f aca="false">IF(ISBLANK($C507),"",IF(ISNUMBER($K507),IF($K507&gt;=0,$K507,""),""))</f>
        <v/>
      </c>
      <c r="AQ507" s="74" t="str">
        <f aca="false">IF(ISBLANK($C507),"",IF($L507=Constants!$B$2,TRUE(),IF($L507=Constants!$B$3,FALSE(),TRUE())))</f>
        <v/>
      </c>
      <c r="AR507" s="74" t="str">
        <f aca="false">IF(ISBLANK($C507),"",IF($M507=Constants!$B$2,TRUE(),IF($M507=Constants!$B$3,FALSE(),TRUE())))</f>
        <v/>
      </c>
      <c r="AS507" s="74" t="str">
        <f aca="false">IF(ISBLANK($C507),"",IF($N507=Constants!$B$2,TRUE(),IF($N507=Constants!$B$3,FALSE(),FALSE())))</f>
        <v/>
      </c>
      <c r="AT507" s="74" t="str">
        <f aca="false">IF(ISBLANK($C507),"",IF($O507=Constants!$B$2,TRUE(),IF($O507=Constants!$B$3,FALSE(),TRUE())))</f>
        <v/>
      </c>
      <c r="AU507" s="74" t="str">
        <f aca="false">IF(ISBLANK($C507),"",IF($P507=Constants!$B$2,TRUE(),IF($P507=Constants!$B$3,FALSE(),TRUE())))</f>
        <v/>
      </c>
      <c r="AV507" s="74" t="str">
        <f aca="false">IF(ISBLANK($C507),"",IF($Q507=Constants!$B$2,TRUE(),IF($Q507=Constants!$B$3,FALSE(),FALSE())))</f>
        <v/>
      </c>
      <c r="AW507" s="74" t="str">
        <f aca="false">IF(ISBLANK($C507),"",IF($R507=Constants!$B$2,TRUE(),IF($R507=Constants!$B$3,FALSE(),FALSE())))</f>
        <v/>
      </c>
      <c r="AX507" s="74" t="str">
        <f aca="false">IF(ISBLANK($C507),"",IF($S507=Constants!$B$2,TRUE(),IF($S507=Constants!$B$3,FALSE(),FALSE())))</f>
        <v/>
      </c>
      <c r="AY507" s="74" t="str">
        <f aca="false">IF(ISBLANK($C507),"",IF($T507=Constants!$B$2,TRUE(),IF($T507=Constants!$B$3,FALSE(),FALSE())))</f>
        <v/>
      </c>
      <c r="AZ507" s="74" t="str">
        <f aca="false">IF(ISBLANK($C507),"",IF($U507=Constants!$B$2,TRUE(),IF($U507=Constants!$B$3,FALSE(),FALSE())))</f>
        <v/>
      </c>
      <c r="BA507" s="74" t="str">
        <f aca="false">IF(ISBLANK($C507),"",IF(OR($V507&amp;""="1",$V507&amp;""="2",$V507&amp;""="3",$V507&amp;""="4"),VALUE($V507&amp;""),IF($V507=Constants!$B$12,Constants!$B$12,"")))</f>
        <v/>
      </c>
      <c r="BB507" s="74" t="str">
        <f aca="false">IF(ISBLANK($C507),"",IF(ISBLANK($W507),0,IF(ISNUMBER($W507),IF(AND($W507&gt;=0,$W507&lt;=Constants!$B$21,$W507=INT($W507)),$W507,""),"")))</f>
        <v/>
      </c>
      <c r="BC507" s="74" t="str">
        <f aca="false">IF(ISBLANK($C507),"",IF(ISBLANK($X507),0,IF(ISNUMBER($X507),IF($X507&gt;=0,$X507,""),"")))</f>
        <v/>
      </c>
      <c r="BD507" s="74" t="str">
        <f aca="false">IF(ISBLANK($C507),"",IF($Y507=Constants!$B$2,TRUE(),IF($Y507=Constants!$B$3,FALSE(),TRUE())))</f>
        <v/>
      </c>
      <c r="BE507" s="74" t="str">
        <f aca="false">IF(ISBLANK($C507),"",IF($Z507=Constants!$B$2,TRUE(),IF($Z507=Constants!$B$3,FALSE(),FALSE())))</f>
        <v/>
      </c>
      <c r="BF507" s="74" t="str">
        <f aca="false">IF(ISBLANK($C507),"",IF(ISBLANK($AA507),0,IF(ISNUMBER($AA507),IF(AND($AA507&gt;=0,$AA507&lt;=Constants!$B$35,$AA507=INT($AA507)),$AA507,""),"")))</f>
        <v/>
      </c>
      <c r="BG507" s="74" t="str">
        <f aca="false">IF(ISBLANK($C507),"",IF($AB507=Constants!$B$2,TRUE(),IF($AB507=Constants!$B$3,FALSE(),TRUE())))</f>
        <v/>
      </c>
      <c r="BH507" s="74" t="str">
        <f aca="false">IF(ISBLANK($C507),"",IF($AC507=Constants!$B$2,TRUE(),IF($AC507=Constants!$B$3,FALSE(),TRUE())))</f>
        <v/>
      </c>
      <c r="BI507" s="74" t="str">
        <f aca="false">IF(ISBLANK($C507),"",IF($AD507=Constants!$B$2,TRUE(),IF($AD507=Constants!$B$3,FALSE(),TRUE())))</f>
        <v/>
      </c>
      <c r="BJ507" s="74" t="str">
        <f aca="false">IF(ISBLANK($C507),"",IF(ISNUMBER($AE507),IF($AE507&gt;=0,$AE507,""),""))</f>
        <v/>
      </c>
      <c r="BK507" s="74" t="str">
        <f aca="false">IF(ISBLANK($C507),"",IF($AF507=Constants!$B$2,TRUE(),IF($AF507=Constants!$B$3,FALSE(),FALSE())))</f>
        <v/>
      </c>
      <c r="BL507" s="73" t="str">
        <f aca="false">IF(ISBLANK($C507),"",IF($BK507,Constants!$B$7,IF(COUNTA($E507:$AE507)=0,Constants!$B$6,IF(OR(COUNTA($G507:$AE507)=0,NOT($AM507),$AS507),Constants!$B$5,IF(OR($CM507&lt;&gt;"",$CN507,$CO507,$CP507,$CQ507,$CR507,$CS507),Constants!$B$8,Constants!$B$4)))))</f>
        <v/>
      </c>
      <c r="BM507" s="74" t="str">
        <f aca="false">IF(ISBLANK($C507),"",IF($BL507&lt;&gt;Constants!$B$4,$BL507,IF(OR(NOT($AJ507),NOT($AL507),NOT($AT507)),Constants!$B$11,IF(OR(NOT($AR507),NOT($AU507),NOT($BI507),MAX($AN507,$AO507,$AP507)&gt;Constants!$B$30),Constants!$B$10,Constants!$B$9))))</f>
        <v/>
      </c>
      <c r="BN507" s="74" t="str">
        <f aca="false">IF($BL507&lt;&gt;Constants!$B$4,"",IF(NOT($AL507),0,MIN(Constants!$B$35,$BF507)))</f>
        <v/>
      </c>
      <c r="BO507" s="74" t="str">
        <f aca="false">IF($BL507&lt;&gt;Constants!$B$4,"",IF(NOT($AL507),0,IF($AW507,Constants!$B$18,IF($AV507,Constants!$B$17,0))))</f>
        <v/>
      </c>
      <c r="BP507" s="74" t="str">
        <f aca="false">IF($BL507&lt;&gt;Constants!$B$4,"",IF(NOT($AL507),0,Constants!$B$19*($AK507+$AX507+$AY507+$AZ507)))</f>
        <v/>
      </c>
      <c r="BQ507" s="74" t="str">
        <f aca="false">IF($BL507&lt;&gt;Constants!$B$4,"",IF(OR(NOT($AL507),NOT(ISNUMBER($BA507))),0,CHOOSE($BA507,Constants!$B$13,Constants!$B$14,Constants!$B$15,Constants!$B$16)))</f>
        <v/>
      </c>
      <c r="BR507" s="74" t="str">
        <f aca="false">IF($BL507&lt;&gt;Constants!$B$4,"",IF(NOT($AL507),0,Constants!$B$20*$BB507))</f>
        <v/>
      </c>
      <c r="BS507" s="74" t="str">
        <f aca="false">IF($BL507&lt;&gt;Constants!$B$4,"",IF(AND($AL507,$BD507,$BE507),Constants!$B$22,0))</f>
        <v/>
      </c>
      <c r="BT507" s="74" t="str">
        <f aca="false">IF($BL507&lt;&gt;Constants!$B$4,"",IF(OR(NOT($AL507),NOT($BD507)),0,IF($BJ507&gt;=2*$AH$9,0,Constants!$B$23*INT(ROUND(MIN($BJ507,$AH$9),6)))))</f>
        <v/>
      </c>
      <c r="BU507" s="74" t="str">
        <f aca="false">IF($BL507&lt;&gt;Constants!$B$4,"",IF(NOT($AL507),0,Constants!$B$24*INT(ROUND(MIN($BC507,$AH$9),6))))</f>
        <v/>
      </c>
      <c r="BV507" s="74" t="str">
        <f aca="false">IF($BL507&lt;&gt;Constants!$B$4,"",IF(AND($AL507,$BN507=0),Constants!$B$25,0))</f>
        <v/>
      </c>
      <c r="BW507" s="74" t="str">
        <f aca="false">IF($BL507&lt;&gt;Constants!$B$4,"",MIN(Constants!$B$29,MAX(0,Constants!$B$27*Constants!$B$28*INT(ROUND((Constants!$B$26-$AN507)/Constants!$B$28,6))))+MIN(Constants!$B$29,MAX(0,Constants!$B$27*Constants!$B$28*INT(ROUND((Constants!$B$26-$AO507)/Constants!$B$28,6))))+MIN(Constants!$B$29,MAX(0,Constants!$B$27*Constants!$B$28*INT(ROUND((Constants!$B$26-$AP507)/Constants!$B$28,6)))))</f>
        <v/>
      </c>
      <c r="BX507" s="74" t="str">
        <f aca="false">IF($BL507&lt;&gt;Constants!$B$4,"",IF(NOT($AL507),0,Constants!$B$31*INT(ROUND(MAX(0,MIN($BJ507,2*$AH$9)-$AH$9),6))))</f>
        <v/>
      </c>
      <c r="BY507" s="74" t="str">
        <f aca="false">IF($BL507&lt;&gt;Constants!$B$4,"",Constants!$B$32*(($AN507&gt;Constants!$B$26)+($AO507&gt;Constants!$B$26)+($AP507&gt;Constants!$B$26)))</f>
        <v/>
      </c>
      <c r="BZ507" s="74" t="str">
        <f aca="false">IF($BL507&lt;&gt;Constants!$B$4,"",IF(OR(NOT($AL507),$AQ507),0,Constants!$B$33))</f>
        <v/>
      </c>
      <c r="CA507" s="74" t="str">
        <f aca="false">IF($BL507&lt;&gt;Constants!$B$4,"",Constants!$B$34*$BN507)</f>
        <v/>
      </c>
      <c r="CB507" s="74" t="str">
        <f aca="false">IF($BL507&lt;&gt;Constants!$B$4,"",IF(OR(NOT($AL507),$BH507),0,Constants!$B$36))</f>
        <v/>
      </c>
      <c r="CC507" s="74" t="str">
        <f aca="false">IF($BL507&lt;&gt;Constants!$B$4,"",IF(OR(NOT($AL507),$BG507),0,Constants!$B$37))</f>
        <v/>
      </c>
      <c r="CD507" s="74" t="str">
        <f aca="false">IF($BL507&lt;&gt;Constants!$B$4,"",SUM($BX507:$CC507))</f>
        <v/>
      </c>
      <c r="CE507" s="74" t="str">
        <f aca="false">IF(ISBLANK($C507),"",IF($BL507&lt;&gt;Constants!$B$4,$BL507,SUM($BO507:$BW507)-$CD507))</f>
        <v/>
      </c>
      <c r="CF507" s="74" t="str">
        <f aca="false">IF(ISBLANK($C507),"",IF($BL507&lt;&gt;Constants!$B$4,$BL507,RANK($CE507,$CE$9:$CE$508)))</f>
        <v/>
      </c>
      <c r="CG507" s="74" t="str">
        <f aca="false">IF(ISBLANK($C507),"",IF($BL507&lt;&gt;Constants!$B$4,$BL507,COUNTIFS($BM$9:$BM$508,"&lt;"&amp;$BM507)+COUNTIFS($BM$9:$BM$508,$BM507,$CF$9:$CF$508,"&lt;"&amp;$CF507)+1))</f>
        <v/>
      </c>
      <c r="CH507" s="74" t="str">
        <f aca="false">IF(ISBLANK($C507),"",IF($BL507&lt;&gt;Constants!$B$4,$BL507,RANK($CD507,$CD$9:$CD$508,1)))</f>
        <v/>
      </c>
      <c r="CI507" s="74" t="str">
        <f aca="false">IF($BL507&lt;&gt;Constants!$B$4,"",$AN507+$AO507+$AP507)</f>
        <v/>
      </c>
      <c r="CJ507" s="74" t="str">
        <f aca="false">IF(ISBLANK($C507),"",IF($BL507&lt;&gt;Constants!$B$4,$BL507,RANK($CI507,$CI$9:$CI$508,1)))</f>
        <v/>
      </c>
      <c r="CK507" s="74" t="str">
        <f aca="false">IF(ISBLANK($C507),"",IF($BL507&lt;&gt;Constants!$B$4,$BL507,COUNTIFS($BM$9:$BM$508,"&lt;"&amp;$BM507)+COUNTIFS($BM$9:$BM$508,$BM507,$CF$9:$CF$508,"&lt;"&amp;$CF507)+COUNTIFS($BM$9:$BM$508,$BM507,$CF$9:$CF$508,$CF507,$CH$9:$CH$508,"&lt;"&amp;$CH507)+COUNTIFS($BM$9:$BM$508,$BM507,$CF$9:$CF$508,$CF507,$CH$9:$CH$508,$CH507,$CJ$9:$CJ$508,"&lt;"&amp;$CJ507)+1))</f>
        <v/>
      </c>
      <c r="CL507" s="74" t="str">
        <f aca="false">IF(ISBLANK($C507),"",IF($BL507&lt;&gt;Constants!$B$4,$BL507,$CG507-$CK507))</f>
        <v/>
      </c>
      <c r="CM507" s="74" t="str">
        <f aca="false">IF(ISBLANK($C507),"",IF(NOT($AL507),"",IF(ISBLANK($D$7),$CM$5,IF(NOT(ISNUMBER($D$7)),$CM$6,""))))</f>
        <v/>
      </c>
      <c r="CN507" s="74" t="str">
        <f aca="false">IF(ISBLANK($C507),"",OR($AN507="",$AO507="",$AP507=""))</f>
        <v/>
      </c>
      <c r="CO507" s="74" t="str">
        <f aca="false">IF(ISBLANK($C507),"",AND($AL507,$BA507=""))</f>
        <v/>
      </c>
      <c r="CP507" s="74" t="str">
        <f aca="false">IF(ISBLANK($C507),"",AND($AL507,$BB507=""))</f>
        <v/>
      </c>
      <c r="CQ507" s="74" t="str">
        <f aca="false">IF(ISBLANK($C507),"",AND($AL507,$BC507=""))</f>
        <v/>
      </c>
      <c r="CR507" s="74" t="str">
        <f aca="false">IF(ISBLANK($C507),"",AND($AL507,$BF507=""))</f>
        <v/>
      </c>
      <c r="CS507" s="74" t="str">
        <f aca="false">IF(ISBLANK($C507),"",AND($AL507,$BJ507=""))</f>
        <v/>
      </c>
      <c r="CT507" s="75"/>
      <c r="CU507" s="76"/>
      <c r="CV507" s="79" t="str">
        <f aca="false">IF(ISBLANK($C507),"",IF($BL507=Constants!$B$8,$CM507,""))</f>
        <v/>
      </c>
      <c r="CW507" s="76" t="str">
        <f aca="false">IF(ISBLANK($C507),"",IF($BL507&lt;&gt;Constants!$B$4,"",$BO507+$BP507))</f>
        <v/>
      </c>
      <c r="CX507" s="78" t="str">
        <f aca="false">IF(ISBLANK($C507),"",IF($BL507&lt;&gt;Constants!$B$4,"",$BQ507+$BR507+$BS507))</f>
        <v/>
      </c>
      <c r="CY507" s="78" t="str">
        <f aca="false">IF(ISBLANK($C507),"",IF($BL507&lt;&gt;Constants!$B$4,"",$BT507))</f>
        <v/>
      </c>
      <c r="CZ507" s="78" t="str">
        <f aca="false">IF(ISBLANK($C507),"",IF($BL507&lt;&gt;Constants!$B$4,"",$BU507+$BV507))</f>
        <v/>
      </c>
      <c r="DA507" s="78" t="str">
        <f aca="false">IF(ISBLANK($C507),"",IF($BL507&lt;&gt;Constants!$B$4,"",$BW507))</f>
        <v/>
      </c>
      <c r="DB507" s="78" t="str">
        <f aca="false">IF(ISBLANK($C507),"",IF($BL507&lt;&gt;Constants!$B$4,"",-$CD507))</f>
        <v/>
      </c>
      <c r="DC507" s="79" t="str">
        <f aca="false">IF(ISBLANK($C507),"",$CE507)</f>
        <v/>
      </c>
      <c r="DD507" s="80" t="str">
        <f aca="false">IF(ISBLANK($C507),"",$BM507)</f>
        <v/>
      </c>
      <c r="DE507" s="78" t="str">
        <f aca="false">IF(ISBLANK($C507),"",$CL507)</f>
        <v/>
      </c>
      <c r="DF507" s="78" t="str">
        <f aca="false">IF(ISBLANK($C507),"",$CK507)</f>
        <v/>
      </c>
      <c r="DG507" s="81" t="str">
        <f aca="false">IF(ISBLANK($C507),"",IF($DF507=Constants!$B$7,COUNTA($C$9:$C$508)+2,IF($DF507=Constants!$B$6,COUNTA($C$9:$C$508)+1,IF($DF507=Constants!$B$5,COUNTA($C$9:$C$508),$DF507))))</f>
        <v/>
      </c>
      <c r="DH507" s="7"/>
      <c r="DI507" s="82" t="n">
        <f aca="false">IF(OR(ISNUMBER($DF507),$DF507=Constants!$B$7,$DF507=Constants!$B$5,$DF507=Constants!$B$6),1,0)</f>
        <v>0</v>
      </c>
      <c r="DJ507" s="82" t="n">
        <v>499</v>
      </c>
      <c r="DK507" s="82" t="str">
        <f aca="false">IF(ISBLANK($C507),"",IF(ISNUMBER($DG507),$DG507+ROW($B507)/1000,""))</f>
        <v/>
      </c>
      <c r="DL507" s="82" t="str">
        <f aca="false">IF(ISNUMBER($DK507),RANK($DK507,$DK$9:$DK$508,1),"")</f>
        <v/>
      </c>
      <c r="DM507" s="82" t="str">
        <f aca="false">IF(ISBLANK($C507),"",$B507)</f>
        <v/>
      </c>
      <c r="DN507" s="82" t="str">
        <f aca="false">IF(ISBLANK($C507),"",$C507)</f>
        <v/>
      </c>
      <c r="DO507" s="82" t="str">
        <f aca="false">IF(ISBLANK($C507),"",$D507)</f>
        <v/>
      </c>
      <c r="DP507" s="83" t="str">
        <f aca="false">$DD507</f>
        <v/>
      </c>
      <c r="DQ507" s="84" t="str">
        <f aca="false">$DC507</f>
        <v/>
      </c>
      <c r="DR507" s="82" t="str">
        <f aca="false">IF(ISBLANK($C507),"",$DF507)</f>
        <v/>
      </c>
      <c r="DS507" s="85" t="str">
        <f aca="false">IF($DJ507&gt;$DI$8,"",VLOOKUP($DJ507,$DL$9:$DR$508,7,FALSE()))</f>
        <v/>
      </c>
      <c r="DT507" s="86" t="str">
        <f aca="false">IF($DJ507&gt;$DI$8,"",VLOOKUP($DJ507,$DL$9:$DR$508,2,FALSE()))</f>
        <v/>
      </c>
      <c r="DU507" s="86" t="str">
        <f aca="false">IF($DJ507&gt;$DI$8,"",VLOOKUP($DJ507,$DL$9:$DR$508,3,FALSE()))</f>
        <v/>
      </c>
      <c r="DV507" s="86" t="str">
        <f aca="false">IF($DJ507&gt;$DI$8,"",VLOOKUP($DJ507,$DL$9:$DR$508,4,FALSE()))</f>
        <v/>
      </c>
      <c r="DW507" s="86" t="str">
        <f aca="false">IF($DJ507&gt;$DI$8,"",VLOOKUP($DJ507,$DL$9:$DR$508,5,FALSE()))</f>
        <v/>
      </c>
      <c r="DX507" s="87" t="str">
        <f aca="false">IF($DJ507&gt;$DI$8,"",VLOOKUP($DJ507,$DL$9:$DR$508,6,FALSE()))</f>
        <v/>
      </c>
      <c r="DY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88"/>
      <c r="N508" s="88"/>
      <c r="O508" s="134"/>
      <c r="P508" s="134"/>
      <c r="Q508" s="88"/>
      <c r="R508" s="88"/>
      <c r="S508" s="88"/>
      <c r="T508" s="88"/>
      <c r="U508" s="134"/>
      <c r="V508" s="88"/>
      <c r="W508" s="70"/>
      <c r="X508" s="88"/>
      <c r="Y508" s="88"/>
      <c r="Z508" s="70"/>
      <c r="AA508" s="70"/>
      <c r="AB508" s="88"/>
      <c r="AC508" s="88"/>
      <c r="AD508" s="88"/>
      <c r="AE508" s="71"/>
      <c r="AF508" s="88"/>
      <c r="AG508" s="73"/>
      <c r="AH508" s="74"/>
      <c r="AI508" s="74"/>
      <c r="AJ508" s="74" t="str">
        <f aca="false">IF(ISBLANK($C508),"",IF($E508=Constants!$B$2,TRUE(),IF($E508=Constants!$B$3,FALSE(),TRUE())))</f>
        <v/>
      </c>
      <c r="AK508" s="74" t="str">
        <f aca="false">IF(ISBLANK($C508),"",IF($F508=Constants!$B$2,TRUE(),IF($F508=Constants!$B$3,FALSE(),FALSE())))</f>
        <v/>
      </c>
      <c r="AL508" s="74" t="str">
        <f aca="false">IF(ISBLANK($C508),"",IF($G508=Constants!$B$2,TRUE(),IF($G508=Constants!$B$3,FALSE(),TRUE())))</f>
        <v/>
      </c>
      <c r="AM508" s="74" t="str">
        <f aca="false">IF(ISBLANK($C508),"",IF($H508=Constants!$B$2,TRUE(),IF($H508=Constants!$B$3,FALSE(),TRUE())))</f>
        <v/>
      </c>
      <c r="AN508" s="74" t="str">
        <f aca="false">IF(ISBLANK($C508),"",IF(ISNUMBER($I508),IF($I508&gt;=0,$I508,""),""))</f>
        <v/>
      </c>
      <c r="AO508" s="74" t="str">
        <f aca="false">IF(ISBLANK($C508),"",IF(ISNUMBER($J508),IF($J508&gt;=0,$J508,""),""))</f>
        <v/>
      </c>
      <c r="AP508" s="74" t="str">
        <f aca="false">IF(ISBLANK($C508),"",IF(ISNUMBER($K508),IF($K508&gt;=0,$K508,""),""))</f>
        <v/>
      </c>
      <c r="AQ508" s="74" t="str">
        <f aca="false">IF(ISBLANK($C508),"",IF($L508=Constants!$B$2,TRUE(),IF($L508=Constants!$B$3,FALSE(),TRUE())))</f>
        <v/>
      </c>
      <c r="AR508" s="74" t="str">
        <f aca="false">IF(ISBLANK($C508),"",IF($M508=Constants!$B$2,TRUE(),IF($M508=Constants!$B$3,FALSE(),TRUE())))</f>
        <v/>
      </c>
      <c r="AS508" s="74" t="str">
        <f aca="false">IF(ISBLANK($C508),"",IF($N508=Constants!$B$2,TRUE(),IF($N508=Constants!$B$3,FALSE(),FALSE())))</f>
        <v/>
      </c>
      <c r="AT508" s="74" t="str">
        <f aca="false">IF(ISBLANK($C508),"",IF($O508=Constants!$B$2,TRUE(),IF($O508=Constants!$B$3,FALSE(),TRUE())))</f>
        <v/>
      </c>
      <c r="AU508" s="74" t="str">
        <f aca="false">IF(ISBLANK($C508),"",IF($P508=Constants!$B$2,TRUE(),IF($P508=Constants!$B$3,FALSE(),TRUE())))</f>
        <v/>
      </c>
      <c r="AV508" s="74" t="str">
        <f aca="false">IF(ISBLANK($C508),"",IF($Q508=Constants!$B$2,TRUE(),IF($Q508=Constants!$B$3,FALSE(),FALSE())))</f>
        <v/>
      </c>
      <c r="AW508" s="74" t="str">
        <f aca="false">IF(ISBLANK($C508),"",IF($R508=Constants!$B$2,TRUE(),IF($R508=Constants!$B$3,FALSE(),FALSE())))</f>
        <v/>
      </c>
      <c r="AX508" s="74" t="str">
        <f aca="false">IF(ISBLANK($C508),"",IF($S508=Constants!$B$2,TRUE(),IF($S508=Constants!$B$3,FALSE(),FALSE())))</f>
        <v/>
      </c>
      <c r="AY508" s="74" t="str">
        <f aca="false">IF(ISBLANK($C508),"",IF($T508=Constants!$B$2,TRUE(),IF($T508=Constants!$B$3,FALSE(),FALSE())))</f>
        <v/>
      </c>
      <c r="AZ508" s="74" t="str">
        <f aca="false">IF(ISBLANK($C508),"",IF($U508=Constants!$B$2,TRUE(),IF($U508=Constants!$B$3,FALSE(),FALSE())))</f>
        <v/>
      </c>
      <c r="BA508" s="74" t="str">
        <f aca="false">IF(ISBLANK($C508),"",IF(OR($V508&amp;""="1",$V508&amp;""="2",$V508&amp;""="3",$V508&amp;""="4"),VALUE($V508&amp;""),IF($V508=Constants!$B$12,Constants!$B$12,"")))</f>
        <v/>
      </c>
      <c r="BB508" s="74" t="str">
        <f aca="false">IF(ISBLANK($C508),"",IF(ISBLANK($W508),0,IF(ISNUMBER($W508),IF(AND($W508&gt;=0,$W508&lt;=Constants!$B$21,$W508=INT($W508)),$W508,""),"")))</f>
        <v/>
      </c>
      <c r="BC508" s="74" t="str">
        <f aca="false">IF(ISBLANK($C508),"",IF(ISBLANK($X508),0,IF(ISNUMBER($X508),IF($X508&gt;=0,$X508,""),"")))</f>
        <v/>
      </c>
      <c r="BD508" s="74" t="str">
        <f aca="false">IF(ISBLANK($C508),"",IF($Y508=Constants!$B$2,TRUE(),IF($Y508=Constants!$B$3,FALSE(),TRUE())))</f>
        <v/>
      </c>
      <c r="BE508" s="74" t="str">
        <f aca="false">IF(ISBLANK($C508),"",IF($Z508=Constants!$B$2,TRUE(),IF($Z508=Constants!$B$3,FALSE(),FALSE())))</f>
        <v/>
      </c>
      <c r="BF508" s="74" t="str">
        <f aca="false">IF(ISBLANK($C508),"",IF(ISBLANK($AA508),0,IF(ISNUMBER($AA508),IF(AND($AA508&gt;=0,$AA508&lt;=Constants!$B$35,$AA508=INT($AA508)),$AA508,""),"")))</f>
        <v/>
      </c>
      <c r="BG508" s="74" t="str">
        <f aca="false">IF(ISBLANK($C508),"",IF($AB508=Constants!$B$2,TRUE(),IF($AB508=Constants!$B$3,FALSE(),TRUE())))</f>
        <v/>
      </c>
      <c r="BH508" s="74" t="str">
        <f aca="false">IF(ISBLANK($C508),"",IF($AC508=Constants!$B$2,TRUE(),IF($AC508=Constants!$B$3,FALSE(),TRUE())))</f>
        <v/>
      </c>
      <c r="BI508" s="74" t="str">
        <f aca="false">IF(ISBLANK($C508),"",IF($AD508=Constants!$B$2,TRUE(),IF($AD508=Constants!$B$3,FALSE(),TRUE())))</f>
        <v/>
      </c>
      <c r="BJ508" s="74" t="str">
        <f aca="false">IF(ISBLANK($C508),"",IF(ISNUMBER($AE508),IF($AE508&gt;=0,$AE508,""),""))</f>
        <v/>
      </c>
      <c r="BK508" s="74" t="str">
        <f aca="false">IF(ISBLANK($C508),"",IF($AF508=Constants!$B$2,TRUE(),IF($AF508=Constants!$B$3,FALSE(),FALSE())))</f>
        <v/>
      </c>
      <c r="BL508" s="73" t="str">
        <f aca="false">IF(ISBLANK($C508),"",IF($BK508,Constants!$B$7,IF(COUNTA($E508:$AE508)=0,Constants!$B$6,IF(OR(COUNTA($G508:$AE508)=0,NOT($AM508),$AS508),Constants!$B$5,IF(OR($CM508&lt;&gt;"",$CN508,$CO508,$CP508,$CQ508,$CR508,$CS508),Constants!$B$8,Constants!$B$4)))))</f>
        <v/>
      </c>
      <c r="BM508" s="74" t="str">
        <f aca="false">IF(ISBLANK($C508),"",IF($BL508&lt;&gt;Constants!$B$4,$BL508,IF(OR(NOT($AJ508),NOT($AL508),NOT($AT508)),Constants!$B$11,IF(OR(NOT($AR508),NOT($AU508),NOT($BI508),MAX($AN508,$AO508,$AP508)&gt;Constants!$B$30),Constants!$B$10,Constants!$B$9))))</f>
        <v/>
      </c>
      <c r="BN508" s="74" t="str">
        <f aca="false">IF($BL508&lt;&gt;Constants!$B$4,"",IF(NOT($AL508),0,MIN(Constants!$B$35,$BF508)))</f>
        <v/>
      </c>
      <c r="BO508" s="74" t="str">
        <f aca="false">IF($BL508&lt;&gt;Constants!$B$4,"",IF(NOT($AL508),0,IF($AW508,Constants!$B$18,IF($AV508,Constants!$B$17,0))))</f>
        <v/>
      </c>
      <c r="BP508" s="74" t="str">
        <f aca="false">IF($BL508&lt;&gt;Constants!$B$4,"",IF(NOT($AL508),0,Constants!$B$19*($AK508+$AX508+$AY508+$AZ508)))</f>
        <v/>
      </c>
      <c r="BQ508" s="74" t="str">
        <f aca="false">IF($BL508&lt;&gt;Constants!$B$4,"",IF(OR(NOT($AL508),NOT(ISNUMBER($BA508))),0,CHOOSE($BA508,Constants!$B$13,Constants!$B$14,Constants!$B$15,Constants!$B$16)))</f>
        <v/>
      </c>
      <c r="BR508" s="74" t="str">
        <f aca="false">IF($BL508&lt;&gt;Constants!$B$4,"",IF(NOT($AL508),0,Constants!$B$20*$BB508))</f>
        <v/>
      </c>
      <c r="BS508" s="74" t="str">
        <f aca="false">IF($BL508&lt;&gt;Constants!$B$4,"",IF(AND($AL508,$BD508,$BE508),Constants!$B$22,0))</f>
        <v/>
      </c>
      <c r="BT508" s="74" t="str">
        <f aca="false">IF($BL508&lt;&gt;Constants!$B$4,"",IF(OR(NOT($AL508),NOT($BD508)),0,IF($BJ508&gt;=2*$AH$9,0,Constants!$B$23*INT(ROUND(MIN($BJ508,$AH$9),6)))))</f>
        <v/>
      </c>
      <c r="BU508" s="74" t="str">
        <f aca="false">IF($BL508&lt;&gt;Constants!$B$4,"",IF(NOT($AL508),0,Constants!$B$24*INT(ROUND(MIN($BC508,$AH$9),6))))</f>
        <v/>
      </c>
      <c r="BV508" s="74" t="str">
        <f aca="false">IF($BL508&lt;&gt;Constants!$B$4,"",IF(AND($AL508,$BN508=0),Constants!$B$25,0))</f>
        <v/>
      </c>
      <c r="BW508" s="74" t="str">
        <f aca="false">IF($BL508&lt;&gt;Constants!$B$4,"",MIN(Constants!$B$29,MAX(0,Constants!$B$27*Constants!$B$28*INT(ROUND((Constants!$B$26-$AN508)/Constants!$B$28,6))))+MIN(Constants!$B$29,MAX(0,Constants!$B$27*Constants!$B$28*INT(ROUND((Constants!$B$26-$AO508)/Constants!$B$28,6))))+MIN(Constants!$B$29,MAX(0,Constants!$B$27*Constants!$B$28*INT(ROUND((Constants!$B$26-$AP508)/Constants!$B$28,6)))))</f>
        <v/>
      </c>
      <c r="BX508" s="74" t="str">
        <f aca="false">IF($BL508&lt;&gt;Constants!$B$4,"",IF(NOT($AL508),0,Constants!$B$31*INT(ROUND(MAX(0,MIN($BJ508,2*$AH$9)-$AH$9),6))))</f>
        <v/>
      </c>
      <c r="BY508" s="74" t="str">
        <f aca="false">IF($BL508&lt;&gt;Constants!$B$4,"",Constants!$B$32*(($AN508&gt;Constants!$B$26)+($AO508&gt;Constants!$B$26)+($AP508&gt;Constants!$B$26)))</f>
        <v/>
      </c>
      <c r="BZ508" s="74" t="str">
        <f aca="false">IF($BL508&lt;&gt;Constants!$B$4,"",IF(OR(NOT($AL508),$AQ508),0,Constants!$B$33))</f>
        <v/>
      </c>
      <c r="CA508" s="74" t="str">
        <f aca="false">IF($BL508&lt;&gt;Constants!$B$4,"",Constants!$B$34*$BN508)</f>
        <v/>
      </c>
      <c r="CB508" s="74" t="str">
        <f aca="false">IF($BL508&lt;&gt;Constants!$B$4,"",IF(OR(NOT($AL508),$BH508),0,Constants!$B$36))</f>
        <v/>
      </c>
      <c r="CC508" s="74" t="str">
        <f aca="false">IF($BL508&lt;&gt;Constants!$B$4,"",IF(OR(NOT($AL508),$BG508),0,Constants!$B$37))</f>
        <v/>
      </c>
      <c r="CD508" s="74" t="str">
        <f aca="false">IF($BL508&lt;&gt;Constants!$B$4,"",SUM($BX508:$CC508))</f>
        <v/>
      </c>
      <c r="CE508" s="74" t="str">
        <f aca="false">IF(ISBLANK($C508),"",IF($BL508&lt;&gt;Constants!$B$4,$BL508,SUM($BO508:$BW508)-$CD508))</f>
        <v/>
      </c>
      <c r="CF508" s="74" t="str">
        <f aca="false">IF(ISBLANK($C508),"",IF($BL508&lt;&gt;Constants!$B$4,$BL508,RANK($CE508,$CE$9:$CE$508)))</f>
        <v/>
      </c>
      <c r="CG508" s="74" t="str">
        <f aca="false">IF(ISBLANK($C508),"",IF($BL508&lt;&gt;Constants!$B$4,$BL508,COUNTIFS($BM$9:$BM$508,"&lt;"&amp;$BM508)+COUNTIFS($BM$9:$BM$508,$BM508,$CF$9:$CF$508,"&lt;"&amp;$CF508)+1))</f>
        <v/>
      </c>
      <c r="CH508" s="74" t="str">
        <f aca="false">IF(ISBLANK($C508),"",IF($BL508&lt;&gt;Constants!$B$4,$BL508,RANK($CD508,$CD$9:$CD$508,1)))</f>
        <v/>
      </c>
      <c r="CI508" s="74" t="str">
        <f aca="false">IF($BL508&lt;&gt;Constants!$B$4,"",$AN508+$AO508+$AP508)</f>
        <v/>
      </c>
      <c r="CJ508" s="74" t="str">
        <f aca="false">IF(ISBLANK($C508),"",IF($BL508&lt;&gt;Constants!$B$4,$BL508,RANK($CI508,$CI$9:$CI$508,1)))</f>
        <v/>
      </c>
      <c r="CK508" s="74" t="str">
        <f aca="false">IF(ISBLANK($C508),"",IF($BL508&lt;&gt;Constants!$B$4,$BL508,COUNTIFS($BM$9:$BM$508,"&lt;"&amp;$BM508)+COUNTIFS($BM$9:$BM$508,$BM508,$CF$9:$CF$508,"&lt;"&amp;$CF508)+COUNTIFS($BM$9:$BM$508,$BM508,$CF$9:$CF$508,$CF508,$CH$9:$CH$508,"&lt;"&amp;$CH508)+COUNTIFS($BM$9:$BM$508,$BM508,$CF$9:$CF$508,$CF508,$CH$9:$CH$508,$CH508,$CJ$9:$CJ$508,"&lt;"&amp;$CJ508)+1))</f>
        <v/>
      </c>
      <c r="CL508" s="74" t="str">
        <f aca="false">IF(ISBLANK($C508),"",IF($BL508&lt;&gt;Constants!$B$4,$BL508,$CG508-$CK508))</f>
        <v/>
      </c>
      <c r="CM508" s="74" t="str">
        <f aca="false">IF(ISBLANK($C508),"",IF(NOT($AL508),"",IF(ISBLANK($D$7),$CM$5,IF(NOT(ISNUMBER($D$7)),$CM$6,""))))</f>
        <v/>
      </c>
      <c r="CN508" s="74" t="str">
        <f aca="false">IF(ISBLANK($C508),"",OR($AN508="",$AO508="",$AP508=""))</f>
        <v/>
      </c>
      <c r="CO508" s="74" t="str">
        <f aca="false">IF(ISBLANK($C508),"",AND($AL508,$BA508=""))</f>
        <v/>
      </c>
      <c r="CP508" s="74" t="str">
        <f aca="false">IF(ISBLANK($C508),"",AND($AL508,$BB508=""))</f>
        <v/>
      </c>
      <c r="CQ508" s="74" t="str">
        <f aca="false">IF(ISBLANK($C508),"",AND($AL508,$BC508=""))</f>
        <v/>
      </c>
      <c r="CR508" s="74" t="str">
        <f aca="false">IF(ISBLANK($C508),"",AND($AL508,$BF508=""))</f>
        <v/>
      </c>
      <c r="CS508" s="74" t="str">
        <f aca="false">IF(ISBLANK($C508),"",AND($AL508,$BJ508=""))</f>
        <v/>
      </c>
      <c r="CT508" s="75"/>
      <c r="CU508" s="76"/>
      <c r="CV508" s="79" t="str">
        <f aca="false">IF(ISBLANK($C508),"",IF($BL508=Constants!$B$8,$CM508,""))</f>
        <v/>
      </c>
      <c r="CW508" s="76" t="str">
        <f aca="false">IF(ISBLANK($C508),"",IF($BL508&lt;&gt;Constants!$B$4,"",$BO508+$BP508))</f>
        <v/>
      </c>
      <c r="CX508" s="78" t="str">
        <f aca="false">IF(ISBLANK($C508),"",IF($BL508&lt;&gt;Constants!$B$4,"",$BQ508+$BR508+$BS508))</f>
        <v/>
      </c>
      <c r="CY508" s="78" t="str">
        <f aca="false">IF(ISBLANK($C508),"",IF($BL508&lt;&gt;Constants!$B$4,"",$BT508))</f>
        <v/>
      </c>
      <c r="CZ508" s="78" t="str">
        <f aca="false">IF(ISBLANK($C508),"",IF($BL508&lt;&gt;Constants!$B$4,"",$BU508+$BV508))</f>
        <v/>
      </c>
      <c r="DA508" s="78" t="str">
        <f aca="false">IF(ISBLANK($C508),"",IF($BL508&lt;&gt;Constants!$B$4,"",$BW508))</f>
        <v/>
      </c>
      <c r="DB508" s="78" t="str">
        <f aca="false">IF(ISBLANK($C508),"",IF($BL508&lt;&gt;Constants!$B$4,"",-$CD508))</f>
        <v/>
      </c>
      <c r="DC508" s="79" t="str">
        <f aca="false">IF(ISBLANK($C508),"",$CE508)</f>
        <v/>
      </c>
      <c r="DD508" s="80" t="str">
        <f aca="false">IF(ISBLANK($C508),"",$BM508)</f>
        <v/>
      </c>
      <c r="DE508" s="78" t="str">
        <f aca="false">IF(ISBLANK($C508),"",$CL508)</f>
        <v/>
      </c>
      <c r="DF508" s="78" t="str">
        <f aca="false">IF(ISBLANK($C508),"",$CK508)</f>
        <v/>
      </c>
      <c r="DG508" s="81" t="str">
        <f aca="false">IF(ISBLANK($C508),"",IF($DF508=Constants!$B$7,COUNTA($C$9:$C$508)+2,IF($DF508=Constants!$B$6,COUNTA($C$9:$C$508)+1,IF($DF508=Constants!$B$5,COUNTA($C$9:$C$508),$DF508))))</f>
        <v/>
      </c>
      <c r="DH508" s="7"/>
      <c r="DI508" s="82" t="n">
        <f aca="false">IF(OR(ISNUMBER($DF508),$DF508=Constants!$B$7,$DF508=Constants!$B$5,$DF508=Constants!$B$6),1,0)</f>
        <v>0</v>
      </c>
      <c r="DJ508" s="82" t="n">
        <v>500</v>
      </c>
      <c r="DK508" s="82" t="str">
        <f aca="false">IF(ISBLANK($C508),"",IF(ISNUMBER($DG508),$DG508+ROW($B508)/1000,""))</f>
        <v/>
      </c>
      <c r="DL508" s="82" t="str">
        <f aca="false">IF(ISNUMBER($DK508),RANK($DK508,$DK$9:$DK$508,1),"")</f>
        <v/>
      </c>
      <c r="DM508" s="82" t="str">
        <f aca="false">IF(ISBLANK($C508),"",$B508)</f>
        <v/>
      </c>
      <c r="DN508" s="82" t="str">
        <f aca="false">IF(ISBLANK($C508),"",$C508)</f>
        <v/>
      </c>
      <c r="DO508" s="82" t="str">
        <f aca="false">IF(ISBLANK($C508),"",$D508)</f>
        <v/>
      </c>
      <c r="DP508" s="83" t="str">
        <f aca="false">$DD508</f>
        <v/>
      </c>
      <c r="DQ508" s="84" t="str">
        <f aca="false">$DC508</f>
        <v/>
      </c>
      <c r="DR508" s="82" t="str">
        <f aca="false">IF(ISBLANK($C508),"",$DF508)</f>
        <v/>
      </c>
      <c r="DS508" s="85" t="str">
        <f aca="false">IF($DJ508&gt;$DI$8,"",VLOOKUP($DJ508,$DL$9:$DR$508,7,FALSE()))</f>
        <v/>
      </c>
      <c r="DT508" s="86" t="str">
        <f aca="false">IF($DJ508&gt;$DI$8,"",VLOOKUP($DJ508,$DL$9:$DR$508,2,FALSE()))</f>
        <v/>
      </c>
      <c r="DU508" s="86" t="str">
        <f aca="false">IF($DJ508&gt;$DI$8,"",VLOOKUP($DJ508,$DL$9:$DR$508,3,FALSE()))</f>
        <v/>
      </c>
      <c r="DV508" s="86" t="str">
        <f aca="false">IF($DJ508&gt;$DI$8,"",VLOOKUP($DJ508,$DL$9:$DR$508,4,FALSE()))</f>
        <v/>
      </c>
      <c r="DW508" s="86" t="str">
        <f aca="false">IF($DJ508&gt;$DI$8,"",VLOOKUP($DJ508,$DL$9:$DR$508,5,FALSE()))</f>
        <v/>
      </c>
      <c r="DX508" s="87" t="str">
        <f aca="false">IF($DJ508&gt;$DI$8,"",VLOOKUP($DJ508,$DL$9:$DR$508,6,FALSE()))</f>
        <v/>
      </c>
      <c r="DY508" s="62"/>
    </row>
  </sheetData>
  <mergeCells count="104">
    <mergeCell ref="B2:D3"/>
    <mergeCell ref="E2:F2"/>
    <mergeCell ref="G2:P2"/>
    <mergeCell ref="Q2:U2"/>
    <mergeCell ref="V2:AE2"/>
    <mergeCell ref="AG2:AG6"/>
    <mergeCell ref="AJ2:BK2"/>
    <mergeCell ref="BL2:CL2"/>
    <mergeCell ref="CT2:CT6"/>
    <mergeCell ref="CW2:DB2"/>
    <mergeCell ref="DK2:DK8"/>
    <mergeCell ref="DL2:DL8"/>
    <mergeCell ref="DM2:DM8"/>
    <mergeCell ref="DN2:DN8"/>
    <mergeCell ref="DO2:DO8"/>
    <mergeCell ref="DP2:DP8"/>
    <mergeCell ref="DQ2:DQ8"/>
    <mergeCell ref="DR2:DR8"/>
    <mergeCell ref="DS2:DX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BH3:BH8"/>
    <mergeCell ref="BI3:BI8"/>
    <mergeCell ref="BJ3:BJ8"/>
    <mergeCell ref="BK3:BK8"/>
    <mergeCell ref="CU3:CU8"/>
    <mergeCell ref="CW3:CW8"/>
    <mergeCell ref="CX3:CX8"/>
    <mergeCell ref="CY3:CY8"/>
    <mergeCell ref="CZ3:CZ8"/>
    <mergeCell ref="DA3:DA8"/>
    <mergeCell ref="DB3:DB8"/>
    <mergeCell ref="DC3:DC8"/>
    <mergeCell ref="DD3:DD8"/>
    <mergeCell ref="DE3:DE8"/>
    <mergeCell ref="DF3:DF8"/>
    <mergeCell ref="DG3:DG8"/>
    <mergeCell ref="DH3:DH8"/>
    <mergeCell ref="DS3:DS8"/>
    <mergeCell ref="DT3:DT8"/>
    <mergeCell ref="DU3:DU8"/>
    <mergeCell ref="DV3:DV8"/>
    <mergeCell ref="DW3:DW8"/>
    <mergeCell ref="DX3:DX8"/>
    <mergeCell ref="B4:D4"/>
    <mergeCell ref="B5:D5"/>
    <mergeCell ref="B6:D6"/>
    <mergeCell ref="B7:C7"/>
    <mergeCell ref="BO7:BW7"/>
    <mergeCell ref="BX7:CC7"/>
    <mergeCell ref="CF7:CL7"/>
    <mergeCell ref="CM7:CS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V9:CV508">
    <cfRule type="expression" priority="4" aboveAverage="0" equalAverage="0" bottom="0" percent="0" rank="0" text="" dxfId="2">
      <formula>LEN(TRIM(CV9))&gt;0</formula>
    </cfRule>
  </conditionalFormatting>
  <conditionalFormatting sqref="I9:I508">
    <cfRule type="expression" priority="5" aboveAverage="0" equalAverage="0" bottom="0" percent="0" rank="0" text="" dxfId="3">
      <formula>AND($BL9="ERR",$CN9=TRUE(),$AN9="")</formula>
    </cfRule>
  </conditionalFormatting>
  <conditionalFormatting sqref="J9:J508">
    <cfRule type="expression" priority="6" aboveAverage="0" equalAverage="0" bottom="0" percent="0" rank="0" text="" dxfId="3">
      <formula>AND($BL9="ERR",$CN9=TRUE(),$AO9="")</formula>
    </cfRule>
  </conditionalFormatting>
  <conditionalFormatting sqref="K9:K508">
    <cfRule type="expression" priority="7" aboveAverage="0" equalAverage="0" bottom="0" percent="0" rank="0" text="" dxfId="3">
      <formula>AND($BL9="ERR",$CN9=TRUE(),$AP9="")</formula>
    </cfRule>
  </conditionalFormatting>
  <conditionalFormatting sqref="V9:V508">
    <cfRule type="expression" priority="8" aboveAverage="0" equalAverage="0" bottom="0" percent="0" rank="0" text="" dxfId="3">
      <formula>AND($BL9="ERR",$CO9=TRUE())</formula>
    </cfRule>
  </conditionalFormatting>
  <conditionalFormatting sqref="W9:W508">
    <cfRule type="expression" priority="9" aboveAverage="0" equalAverage="0" bottom="0" percent="0" rank="0" text="" dxfId="3">
      <formula>AND($BL9="ERR",$CP9=TRUE())</formula>
    </cfRule>
  </conditionalFormatting>
  <conditionalFormatting sqref="X9:X508">
    <cfRule type="expression" priority="10" aboveAverage="0" equalAverage="0" bottom="0" percent="0" rank="0" text="" dxfId="3">
      <formula>AND($BL9="ERR",$CQ9=TRUE())</formula>
    </cfRule>
  </conditionalFormatting>
  <conditionalFormatting sqref="AA9:AA508">
    <cfRule type="expression" priority="11" aboveAverage="0" equalAverage="0" bottom="0" percent="0" rank="0" text="" dxfId="3">
      <formula>AND($BL9="ERR",$CR9=TRUE())</formula>
    </cfRule>
  </conditionalFormatting>
  <conditionalFormatting sqref="AE9:AE508">
    <cfRule type="expression" priority="12" aboveAverage="0" equalAverage="0" bottom="0" percent="0" rank="0" text="" dxfId="3">
      <formula>AND($BL9="ERR",$CS9=TRUE())</formula>
    </cfRule>
  </conditionalFormatting>
  <conditionalFormatting sqref="E9:H508 L9:M508 O9:U508 Y9:Z508 AB9:AD508">
    <cfRule type="cellIs" priority="13" operator="equal" aboveAverage="0" equalAverage="0" bottom="0" percent="0" rank="0" text="" dxfId="1">
      <formula>"F"</formula>
    </cfRule>
  </conditionalFormatting>
  <conditionalFormatting sqref="N9:N508 AF9:AF508">
    <cfRule type="cellIs" priority="14" operator="equal" aboveAverage="0" equalAverage="0" bottom="0" percent="0" rank="0" text="" dxfId="1">
      <formula>"T"</formula>
    </cfRule>
  </conditionalFormatting>
  <conditionalFormatting sqref="V9:V508">
    <cfRule type="cellIs" priority="15" operator="equal" aboveAverage="0" equalAverage="0" bottom="0" percent="0" rank="0" text="" dxfId="1">
      <formula>"Touch"</formula>
    </cfRule>
  </conditionalFormatting>
  <conditionalFormatting sqref="AA9:AA508">
    <cfRule type="expression" priority="16" aboveAverage="0" equalAverage="0" bottom="0" percent="0" rank="0" text="" dxfId="1">
      <formula>AND(ISNUMBER(AA9),AA9&gt;0)</formula>
    </cfRule>
  </conditionalFormatting>
  <conditionalFormatting sqref="I9:K508">
    <cfRule type="expression" priority="17" aboveAverage="0" equalAverage="0" bottom="0" percent="0" rank="0" text="" dxfId="1">
      <formula>AND(ISNUMBER(I9),I9&gt;80)</formula>
    </cfRule>
  </conditionalFormatting>
  <conditionalFormatting sqref="I9:K508">
    <cfRule type="expression" priority="18" aboveAverage="0" equalAverage="0" bottom="0" percent="0" rank="0" text="" dxfId="4">
      <formula>AND(ISNUMBER(I9),I9&lt;80)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IF(ISBLANK($D$7),"",IF(NOT(ISNUMBER($D$7)),0,IF($D$7&lt;60,0,IF($D$7&gt;120,0,MOD($D$7,1)=0))))</formula1>
      <formula2>0</formula2>
    </dataValidation>
    <dataValidation allowBlank="true" errorStyle="stop" operator="between" prompt="True (T)/False (F)" showDropDown="false" showErrorMessage="true" showInputMessage="true" sqref="F9:H508 L9:Q508 S9:U508 Y9:Z508 AB9:AD508 AF9:AF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R9:R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V9:V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4)." showDropDown="false" showErrorMessage="true" showInputMessage="true" sqref="W9:W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X9:X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8 instead." showDropDown="false" showErrorMessage="true" showInputMessage="true" sqref="AA9:AA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E9:AE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100</v>
      </c>
      <c r="B1" s="136" t="s">
        <v>101</v>
      </c>
    </row>
    <row r="2" customFormat="false" ht="15.75" hidden="false" customHeight="false" outlineLevel="0" collapsed="false">
      <c r="A2" s="136" t="s">
        <v>102</v>
      </c>
      <c r="B2" s="136" t="s">
        <v>103</v>
      </c>
    </row>
    <row r="3" customFormat="false" ht="15.75" hidden="false" customHeight="false" outlineLevel="0" collapsed="false">
      <c r="A3" s="136" t="s">
        <v>104</v>
      </c>
      <c r="B3" s="136" t="s">
        <v>105</v>
      </c>
    </row>
    <row r="4" customFormat="false" ht="15.75" hidden="false" customHeight="false" outlineLevel="0" collapsed="false">
      <c r="A4" s="136" t="s">
        <v>106</v>
      </c>
      <c r="B4" s="136" t="s">
        <v>107</v>
      </c>
    </row>
    <row r="5" customFormat="false" ht="15.75" hidden="false" customHeight="false" outlineLevel="0" collapsed="false">
      <c r="A5" s="136" t="s">
        <v>108</v>
      </c>
      <c r="B5" s="136" t="s">
        <v>109</v>
      </c>
    </row>
    <row r="6" customFormat="false" ht="15.75" hidden="false" customHeight="false" outlineLevel="0" collapsed="false">
      <c r="A6" s="136" t="s">
        <v>110</v>
      </c>
      <c r="B6" s="136" t="s">
        <v>111</v>
      </c>
    </row>
    <row r="7" customFormat="false" ht="15.75" hidden="false" customHeight="false" outlineLevel="0" collapsed="false">
      <c r="A7" s="136" t="s">
        <v>112</v>
      </c>
      <c r="B7" s="136" t="s">
        <v>113</v>
      </c>
    </row>
    <row r="8" customFormat="false" ht="15.75" hidden="false" customHeight="false" outlineLevel="0" collapsed="false">
      <c r="A8" s="136" t="s">
        <v>114</v>
      </c>
      <c r="B8" s="136" t="s">
        <v>115</v>
      </c>
    </row>
    <row r="9" customFormat="false" ht="15.75" hidden="false" customHeight="false" outlineLevel="0" collapsed="false">
      <c r="A9" s="136" t="s">
        <v>116</v>
      </c>
      <c r="B9" s="136" t="n">
        <v>1</v>
      </c>
    </row>
    <row r="10" customFormat="false" ht="15.75" hidden="false" customHeight="false" outlineLevel="0" collapsed="false">
      <c r="A10" s="136" t="s">
        <v>117</v>
      </c>
      <c r="B10" s="136" t="n">
        <v>2</v>
      </c>
    </row>
    <row r="11" customFormat="false" ht="15.75" hidden="false" customHeight="false" outlineLevel="0" collapsed="false">
      <c r="A11" s="136" t="s">
        <v>118</v>
      </c>
      <c r="B11" s="136" t="n">
        <v>3</v>
      </c>
    </row>
    <row r="12" customFormat="false" ht="15.75" hidden="false" customHeight="false" outlineLevel="0" collapsed="false">
      <c r="A12" s="136" t="s">
        <v>119</v>
      </c>
      <c r="B12" s="136" t="s">
        <v>120</v>
      </c>
    </row>
    <row r="13" customFormat="false" ht="15.75" hidden="false" customHeight="false" outlineLevel="0" collapsed="false">
      <c r="A13" s="136" t="s">
        <v>121</v>
      </c>
      <c r="B13" s="136" t="n">
        <v>25</v>
      </c>
    </row>
    <row r="14" customFormat="false" ht="15.75" hidden="false" customHeight="false" outlineLevel="0" collapsed="false">
      <c r="A14" s="136" t="s">
        <v>122</v>
      </c>
      <c r="B14" s="136" t="n">
        <v>50</v>
      </c>
    </row>
    <row r="15" customFormat="false" ht="15.75" hidden="false" customHeight="false" outlineLevel="0" collapsed="false">
      <c r="A15" s="136" t="s">
        <v>123</v>
      </c>
      <c r="B15" s="136" t="n">
        <v>200</v>
      </c>
    </row>
    <row r="16" customFormat="false" ht="15.75" hidden="false" customHeight="false" outlineLevel="0" collapsed="false">
      <c r="A16" s="136" t="s">
        <v>124</v>
      </c>
      <c r="B16" s="136" t="n">
        <v>0</v>
      </c>
    </row>
    <row r="17" customFormat="false" ht="15.75" hidden="false" customHeight="false" outlineLevel="0" collapsed="false">
      <c r="A17" s="136" t="s">
        <v>125</v>
      </c>
      <c r="B17" s="136" t="n">
        <v>50</v>
      </c>
    </row>
    <row r="18" customFormat="false" ht="15.75" hidden="false" customHeight="false" outlineLevel="0" collapsed="false">
      <c r="A18" s="136" t="s">
        <v>126</v>
      </c>
      <c r="B18" s="136" t="n">
        <v>75</v>
      </c>
    </row>
    <row r="19" customFormat="false" ht="15.75" hidden="false" customHeight="false" outlineLevel="0" collapsed="false">
      <c r="A19" s="136" t="s">
        <v>127</v>
      </c>
      <c r="B19" s="136" t="n">
        <v>25</v>
      </c>
    </row>
    <row r="20" customFormat="false" ht="15.75" hidden="false" customHeight="false" outlineLevel="0" collapsed="false">
      <c r="A20" s="136" t="s">
        <v>128</v>
      </c>
      <c r="B20" s="136" t="n">
        <v>50</v>
      </c>
    </row>
    <row r="21" customFormat="false" ht="15.75" hidden="false" customHeight="false" outlineLevel="0" collapsed="false">
      <c r="A21" s="136" t="s">
        <v>129</v>
      </c>
      <c r="B21" s="136" t="n">
        <v>12</v>
      </c>
    </row>
    <row r="22" customFormat="false" ht="15.75" hidden="false" customHeight="false" outlineLevel="0" collapsed="false">
      <c r="A22" s="136" t="s">
        <v>130</v>
      </c>
      <c r="B22" s="136" t="n">
        <v>250</v>
      </c>
    </row>
    <row r="23" customFormat="false" ht="15.75" hidden="false" customHeight="false" outlineLevel="0" collapsed="false">
      <c r="A23" s="136" t="s">
        <v>131</v>
      </c>
      <c r="B23" s="136" t="n">
        <v>2</v>
      </c>
    </row>
    <row r="24" customFormat="false" ht="15.75" hidden="false" customHeight="false" outlineLevel="0" collapsed="false">
      <c r="A24" s="136" t="s">
        <v>132</v>
      </c>
      <c r="B24" s="136" t="n">
        <v>1</v>
      </c>
    </row>
    <row r="25" customFormat="false" ht="15.75" hidden="false" customHeight="false" outlineLevel="0" collapsed="false">
      <c r="A25" s="136" t="s">
        <v>133</v>
      </c>
      <c r="B25" s="136" t="n">
        <v>75</v>
      </c>
    </row>
    <row r="26" customFormat="false" ht="15.75" hidden="false" customHeight="false" outlineLevel="0" collapsed="false">
      <c r="A26" s="136" t="s">
        <v>134</v>
      </c>
      <c r="B26" s="136" t="n">
        <v>80</v>
      </c>
    </row>
    <row r="27" customFormat="false" ht="15.75" hidden="false" customHeight="false" outlineLevel="0" collapsed="false">
      <c r="A27" s="136" t="s">
        <v>135</v>
      </c>
      <c r="B27" s="136" t="n">
        <v>1</v>
      </c>
    </row>
    <row r="28" customFormat="false" ht="15.75" hidden="false" customHeight="false" outlineLevel="0" collapsed="false">
      <c r="A28" s="136" t="s">
        <v>136</v>
      </c>
      <c r="B28" s="136" t="n">
        <v>0.1</v>
      </c>
    </row>
    <row r="29" customFormat="false" ht="15.75" hidden="false" customHeight="false" outlineLevel="0" collapsed="false">
      <c r="A29" s="136" t="s">
        <v>137</v>
      </c>
      <c r="B29" s="136" t="n">
        <v>30</v>
      </c>
    </row>
    <row r="30" customFormat="false" ht="15.75" hidden="false" customHeight="false" outlineLevel="0" collapsed="false">
      <c r="A30" s="136" t="s">
        <v>138</v>
      </c>
      <c r="B30" s="136" t="n">
        <v>82</v>
      </c>
    </row>
    <row r="31" customFormat="false" ht="15.75" hidden="false" customHeight="false" outlineLevel="0" collapsed="false">
      <c r="A31" s="136" t="s">
        <v>139</v>
      </c>
      <c r="B31" s="136" t="n">
        <v>2</v>
      </c>
    </row>
    <row r="32" customFormat="false" ht="15.75" hidden="false" customHeight="false" outlineLevel="0" collapsed="false">
      <c r="A32" s="136" t="s">
        <v>140</v>
      </c>
      <c r="B32" s="136" t="n">
        <v>25</v>
      </c>
    </row>
    <row r="33" customFormat="false" ht="15.75" hidden="false" customHeight="false" outlineLevel="0" collapsed="false">
      <c r="A33" s="136" t="s">
        <v>141</v>
      </c>
      <c r="B33" s="136" t="n">
        <v>25</v>
      </c>
    </row>
    <row r="34" customFormat="false" ht="15.75" hidden="false" customHeight="false" outlineLevel="0" collapsed="false">
      <c r="A34" s="136" t="s">
        <v>142</v>
      </c>
      <c r="B34" s="136" t="n">
        <v>25</v>
      </c>
    </row>
    <row r="35" customFormat="false" ht="15.75" hidden="false" customHeight="false" outlineLevel="0" collapsed="false">
      <c r="A35" s="136" t="s">
        <v>143</v>
      </c>
      <c r="B35" s="136" t="n">
        <v>3</v>
      </c>
    </row>
    <row r="36" customFormat="false" ht="15.75" hidden="false" customHeight="false" outlineLevel="0" collapsed="false">
      <c r="A36" s="136" t="s">
        <v>144</v>
      </c>
      <c r="B36" s="136" t="n">
        <v>50</v>
      </c>
    </row>
    <row r="37" customFormat="false" ht="15.75" hidden="false" customHeight="false" outlineLevel="0" collapsed="false">
      <c r="A37" s="136" t="s">
        <v>145</v>
      </c>
      <c r="B37" s="136" t="n">
        <v>250</v>
      </c>
    </row>
    <row r="38" customFormat="false" ht="15.75" hidden="false" customHeight="false" outlineLevel="0" collapsed="false">
      <c r="A38" s="136" t="s">
        <v>146</v>
      </c>
      <c r="B38" s="136" t="n">
        <v>60</v>
      </c>
    </row>
    <row r="39" customFormat="false" ht="15.75" hidden="false" customHeight="false" outlineLevel="0" collapsed="false">
      <c r="A39" s="136" t="s">
        <v>147</v>
      </c>
      <c r="B39" s="136" t="n">
        <v>120</v>
      </c>
    </row>
    <row r="40" customFormat="false" ht="15.75" hidden="false" customHeight="false" outlineLevel="0" collapsed="false">
      <c r="A40" s="136" t="s">
        <v>148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57</v>
      </c>
      <c r="B1" s="137" t="s">
        <v>58</v>
      </c>
      <c r="C1" s="137" t="s">
        <v>59</v>
      </c>
      <c r="D1" s="137" t="s">
        <v>67</v>
      </c>
      <c r="E1" s="137" t="s">
        <v>52</v>
      </c>
      <c r="F1" s="137" t="s">
        <v>54</v>
      </c>
      <c r="G1" s="137" t="s">
        <v>53</v>
      </c>
      <c r="H1" s="137" t="s">
        <v>56</v>
      </c>
      <c r="I1" s="137" t="s">
        <v>55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149</v>
      </c>
      <c r="B1" s="137" t="s">
        <v>150</v>
      </c>
      <c r="C1" s="137" t="s">
        <v>151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45977</v>
      </c>
      <c r="B2" s="138" t="s">
        <v>152</v>
      </c>
      <c r="C2" s="138" t="s">
        <v>153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46032</v>
      </c>
      <c r="B3" s="138" t="s">
        <v>154</v>
      </c>
      <c r="C3" s="138" t="s">
        <v>155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 t="n">
        <v>46036</v>
      </c>
      <c r="B4" s="138" t="s">
        <v>156</v>
      </c>
      <c r="C4" s="138" t="s">
        <v>157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 t="n">
        <v>46042</v>
      </c>
      <c r="B5" s="138" t="s">
        <v>158</v>
      </c>
      <c r="C5" s="138" t="s">
        <v>159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 t="n">
        <v>46050</v>
      </c>
      <c r="B6" s="138" t="s">
        <v>160</v>
      </c>
      <c r="C6" s="138" t="s">
        <v>161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 t="n">
        <v>46053</v>
      </c>
      <c r="B7" s="138" t="s">
        <v>162</v>
      </c>
      <c r="C7" s="138" t="s">
        <v>163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 t="n">
        <v>46058</v>
      </c>
      <c r="B8" s="138" t="s">
        <v>164</v>
      </c>
      <c r="C8" s="138" t="s">
        <v>165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 t="n">
        <v>46077</v>
      </c>
      <c r="B9" s="138" t="s">
        <v>166</v>
      </c>
      <c r="C9" s="138" t="s">
        <v>167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168</v>
      </c>
      <c r="B1" s="138" t="s">
        <v>169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170</v>
      </c>
      <c r="B2" s="145" t="n">
        <v>46292</v>
      </c>
      <c r="C2" s="138"/>
      <c r="D2" s="138" t="s">
        <v>171</v>
      </c>
      <c r="E2" s="138" t="s">
        <v>172</v>
      </c>
      <c r="F2" s="138" t="s">
        <v>173</v>
      </c>
      <c r="G2" s="138" t="s">
        <v>174</v>
      </c>
      <c r="H2" s="138" t="s">
        <v>175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176</v>
      </c>
      <c r="B3" s="146" t="s">
        <v>156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0</v>
      </c>
      <c r="G3" s="138" t="str">
        <f aca="false">MID(B3,D3+1,E3-D3-1)</f>
        <v>1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177</v>
      </c>
      <c r="B4" s="138" t="s">
        <v>107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178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179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180</v>
      </c>
      <c r="B7" s="138" t="s">
        <v>156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0</v>
      </c>
      <c r="G7" s="138" t="str">
        <f aca="false">MID(B7,D7+1,E7-D7-1)</f>
        <v>1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181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182</v>
      </c>
      <c r="B1" s="138" t="s">
        <v>183</v>
      </c>
      <c r="C1" s="138" t="s">
        <v>56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184</v>
      </c>
      <c r="B2" s="138" t="s">
        <v>184</v>
      </c>
      <c r="C2" s="138" t="s">
        <v>55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185</v>
      </c>
      <c r="B3" s="138" t="s">
        <v>186</v>
      </c>
      <c r="C3" s="138" t="s">
        <v>58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186</v>
      </c>
      <c r="B4" s="138"/>
      <c r="C4" s="138" t="s">
        <v>52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57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59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54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53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56</v>
      </c>
      <c r="B1" s="146" t="s">
        <v>55</v>
      </c>
      <c r="C1" s="146" t="s">
        <v>58</v>
      </c>
      <c r="D1" s="146" t="s">
        <v>52</v>
      </c>
      <c r="E1" s="146" t="s">
        <v>67</v>
      </c>
      <c r="F1" s="146" t="s">
        <v>57</v>
      </c>
      <c r="G1" s="146" t="s">
        <v>59</v>
      </c>
      <c r="H1" s="146" t="s">
        <v>54</v>
      </c>
      <c r="I1" s="146" t="s">
        <v>53</v>
      </c>
    </row>
    <row r="2" customFormat="false" ht="15.75" hidden="false" customHeight="false" outlineLevel="0" collapsed="false">
      <c r="A2" s="146" t="str">
        <f aca="false">Scoring!DG9</f>
        <v/>
      </c>
      <c r="B2" s="146" t="str">
        <f aca="false">Scoring!DF9</f>
        <v/>
      </c>
      <c r="C2" s="146" t="n">
        <f aca="false">Scoring!C9</f>
        <v>0</v>
      </c>
      <c r="D2" s="147" t="str">
        <f aca="false">Scoring!DC9</f>
        <v/>
      </c>
      <c r="E2" s="146" t="str">
        <f aca="false">Scoring!BL9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Scoring!DE9</f>
        <v/>
      </c>
      <c r="I2" s="148" t="str">
        <f aca="false">Scoring!DD9</f>
        <v/>
      </c>
    </row>
    <row r="3" customFormat="false" ht="15.75" hidden="false" customHeight="false" outlineLevel="0" collapsed="false">
      <c r="A3" s="146" t="str">
        <f aca="false">Scoring!DG10</f>
        <v/>
      </c>
      <c r="B3" s="146" t="str">
        <f aca="false">Scoring!DF10</f>
        <v/>
      </c>
      <c r="C3" s="146" t="n">
        <f aca="false">Scoring!C10</f>
        <v>0</v>
      </c>
      <c r="D3" s="147" t="str">
        <f aca="false">Scoring!DC10</f>
        <v/>
      </c>
      <c r="E3" s="146" t="str">
        <f aca="false">Scoring!BL10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Scoring!DE10</f>
        <v/>
      </c>
      <c r="I3" s="148" t="str">
        <f aca="false">Scoring!DD10</f>
        <v/>
      </c>
    </row>
    <row r="4" customFormat="false" ht="15.75" hidden="false" customHeight="false" outlineLevel="0" collapsed="false">
      <c r="A4" s="146" t="str">
        <f aca="false">Scoring!DG11</f>
        <v/>
      </c>
      <c r="B4" s="146" t="str">
        <f aca="false">Scoring!DF11</f>
        <v/>
      </c>
      <c r="C4" s="146" t="n">
        <f aca="false">Scoring!C11</f>
        <v>0</v>
      </c>
      <c r="D4" s="147" t="str">
        <f aca="false">Scoring!DC11</f>
        <v/>
      </c>
      <c r="E4" s="146" t="str">
        <f aca="false">Scoring!BL11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Scoring!DE11</f>
        <v/>
      </c>
      <c r="I4" s="148" t="str">
        <f aca="false">Scoring!DD11</f>
        <v/>
      </c>
    </row>
    <row r="5" customFormat="false" ht="15.75" hidden="false" customHeight="false" outlineLevel="0" collapsed="false">
      <c r="A5" s="146" t="str">
        <f aca="false">Scoring!DG12</f>
        <v/>
      </c>
      <c r="B5" s="146" t="str">
        <f aca="false">Scoring!DF12</f>
        <v/>
      </c>
      <c r="C5" s="146" t="n">
        <f aca="false">Scoring!C12</f>
        <v>0</v>
      </c>
      <c r="D5" s="147" t="str">
        <f aca="false">Scoring!DC12</f>
        <v/>
      </c>
      <c r="E5" s="146" t="str">
        <f aca="false">Scoring!BL12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Scoring!DE12</f>
        <v/>
      </c>
      <c r="I5" s="148" t="str">
        <f aca="false">Scoring!DD12</f>
        <v/>
      </c>
    </row>
    <row r="6" customFormat="false" ht="15.75" hidden="false" customHeight="false" outlineLevel="0" collapsed="false">
      <c r="A6" s="146" t="str">
        <f aca="false">Scoring!DG13</f>
        <v/>
      </c>
      <c r="B6" s="146" t="str">
        <f aca="false">Scoring!DF13</f>
        <v/>
      </c>
      <c r="C6" s="146" t="n">
        <f aca="false">Scoring!C13</f>
        <v>0</v>
      </c>
      <c r="D6" s="147" t="str">
        <f aca="false">Scoring!DC13</f>
        <v/>
      </c>
      <c r="E6" s="146" t="str">
        <f aca="false">Scoring!BL13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Scoring!DE13</f>
        <v/>
      </c>
      <c r="I6" s="148" t="str">
        <f aca="false">Scoring!DD13</f>
        <v/>
      </c>
    </row>
    <row r="7" customFormat="false" ht="15.75" hidden="false" customHeight="false" outlineLevel="0" collapsed="false">
      <c r="A7" s="146" t="str">
        <f aca="false">Scoring!DG14</f>
        <v/>
      </c>
      <c r="B7" s="146" t="str">
        <f aca="false">Scoring!DF14</f>
        <v/>
      </c>
      <c r="C7" s="146" t="n">
        <f aca="false">Scoring!C14</f>
        <v>0</v>
      </c>
      <c r="D7" s="147" t="str">
        <f aca="false">Scoring!DC14</f>
        <v/>
      </c>
      <c r="E7" s="146" t="str">
        <f aca="false">Scoring!BL14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Scoring!DE14</f>
        <v/>
      </c>
      <c r="I7" s="148" t="str">
        <f aca="false">Scoring!DD14</f>
        <v/>
      </c>
    </row>
    <row r="8" customFormat="false" ht="15.75" hidden="false" customHeight="false" outlineLevel="0" collapsed="false">
      <c r="A8" s="146" t="str">
        <f aca="false">Scoring!DG15</f>
        <v/>
      </c>
      <c r="B8" s="146" t="str">
        <f aca="false">Scoring!DF15</f>
        <v/>
      </c>
      <c r="C8" s="146" t="n">
        <f aca="false">Scoring!C15</f>
        <v>0</v>
      </c>
      <c r="D8" s="147" t="str">
        <f aca="false">Scoring!DC15</f>
        <v/>
      </c>
      <c r="E8" s="146" t="str">
        <f aca="false">Scoring!BL15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Scoring!DE15</f>
        <v/>
      </c>
      <c r="I8" s="148" t="str">
        <f aca="false">Scoring!DD15</f>
        <v/>
      </c>
    </row>
    <row r="9" customFormat="false" ht="15.75" hidden="false" customHeight="false" outlineLevel="0" collapsed="false">
      <c r="A9" s="146" t="str">
        <f aca="false">Scoring!DG16</f>
        <v/>
      </c>
      <c r="B9" s="146" t="str">
        <f aca="false">Scoring!DF16</f>
        <v/>
      </c>
      <c r="C9" s="146" t="n">
        <f aca="false">Scoring!C16</f>
        <v>0</v>
      </c>
      <c r="D9" s="147" t="str">
        <f aca="false">Scoring!DC16</f>
        <v/>
      </c>
      <c r="E9" s="146" t="str">
        <f aca="false">Scoring!BL16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Scoring!DE16</f>
        <v/>
      </c>
      <c r="I9" s="148" t="str">
        <f aca="false">Scoring!DD16</f>
        <v/>
      </c>
    </row>
    <row r="10" customFormat="false" ht="15.75" hidden="false" customHeight="false" outlineLevel="0" collapsed="false">
      <c r="A10" s="146" t="str">
        <f aca="false">Scoring!DG17</f>
        <v/>
      </c>
      <c r="B10" s="146" t="str">
        <f aca="false">Scoring!DF17</f>
        <v/>
      </c>
      <c r="C10" s="146" t="n">
        <f aca="false">Scoring!C17</f>
        <v>0</v>
      </c>
      <c r="D10" s="147" t="str">
        <f aca="false">Scoring!DC17</f>
        <v/>
      </c>
      <c r="E10" s="146" t="str">
        <f aca="false">Scoring!BL17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Scoring!DE17</f>
        <v/>
      </c>
      <c r="I10" s="148" t="str">
        <f aca="false">Scoring!DD17</f>
        <v/>
      </c>
    </row>
    <row r="11" customFormat="false" ht="15.75" hidden="false" customHeight="false" outlineLevel="0" collapsed="false">
      <c r="A11" s="146" t="str">
        <f aca="false">Scoring!DG18</f>
        <v/>
      </c>
      <c r="B11" s="146" t="str">
        <f aca="false">Scoring!DF18</f>
        <v/>
      </c>
      <c r="C11" s="146" t="n">
        <f aca="false">Scoring!C18</f>
        <v>0</v>
      </c>
      <c r="D11" s="147" t="str">
        <f aca="false">Scoring!DC18</f>
        <v/>
      </c>
      <c r="E11" s="146" t="str">
        <f aca="false">Scoring!BL18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Scoring!DE18</f>
        <v/>
      </c>
      <c r="I11" s="148" t="str">
        <f aca="false">Scoring!DD18</f>
        <v/>
      </c>
    </row>
    <row r="12" customFormat="false" ht="15.75" hidden="false" customHeight="false" outlineLevel="0" collapsed="false">
      <c r="A12" s="146" t="str">
        <f aca="false">Scoring!DG19</f>
        <v/>
      </c>
      <c r="B12" s="146" t="str">
        <f aca="false">Scoring!DF19</f>
        <v/>
      </c>
      <c r="C12" s="146" t="n">
        <f aca="false">Scoring!C19</f>
        <v>0</v>
      </c>
      <c r="D12" s="147" t="str">
        <f aca="false">Scoring!DC19</f>
        <v/>
      </c>
      <c r="E12" s="146" t="str">
        <f aca="false">Scoring!BL19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Scoring!DE19</f>
        <v/>
      </c>
      <c r="I12" s="148" t="str">
        <f aca="false">Scoring!DD19</f>
        <v/>
      </c>
    </row>
    <row r="13" customFormat="false" ht="15.75" hidden="false" customHeight="false" outlineLevel="0" collapsed="false">
      <c r="A13" s="146" t="str">
        <f aca="false">Scoring!DG20</f>
        <v/>
      </c>
      <c r="B13" s="146" t="str">
        <f aca="false">Scoring!DF20</f>
        <v/>
      </c>
      <c r="C13" s="146" t="n">
        <f aca="false">Scoring!C20</f>
        <v>0</v>
      </c>
      <c r="D13" s="147" t="str">
        <f aca="false">Scoring!DC20</f>
        <v/>
      </c>
      <c r="E13" s="146" t="str">
        <f aca="false">Scoring!BL20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Scoring!DE20</f>
        <v/>
      </c>
      <c r="I13" s="148" t="str">
        <f aca="false">Scoring!DD20</f>
        <v/>
      </c>
    </row>
    <row r="14" customFormat="false" ht="15.75" hidden="false" customHeight="false" outlineLevel="0" collapsed="false">
      <c r="A14" s="146" t="str">
        <f aca="false">Scoring!DG21</f>
        <v/>
      </c>
      <c r="B14" s="146" t="str">
        <f aca="false">Scoring!DF21</f>
        <v/>
      </c>
      <c r="C14" s="146" t="n">
        <f aca="false">Scoring!C21</f>
        <v>0</v>
      </c>
      <c r="D14" s="147" t="str">
        <f aca="false">Scoring!DC21</f>
        <v/>
      </c>
      <c r="E14" s="146" t="str">
        <f aca="false">Scoring!BL21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Scoring!DE21</f>
        <v/>
      </c>
      <c r="I14" s="148" t="str">
        <f aca="false">Scoring!DD21</f>
        <v/>
      </c>
    </row>
    <row r="15" customFormat="false" ht="15.75" hidden="false" customHeight="false" outlineLevel="0" collapsed="false">
      <c r="A15" s="146" t="str">
        <f aca="false">Scoring!DG22</f>
        <v/>
      </c>
      <c r="B15" s="146" t="str">
        <f aca="false">Scoring!DF22</f>
        <v/>
      </c>
      <c r="C15" s="146" t="n">
        <f aca="false">Scoring!C22</f>
        <v>0</v>
      </c>
      <c r="D15" s="147" t="str">
        <f aca="false">Scoring!DC22</f>
        <v/>
      </c>
      <c r="E15" s="146" t="str">
        <f aca="false">Scoring!BL22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Scoring!DE22</f>
        <v/>
      </c>
      <c r="I15" s="148" t="str">
        <f aca="false">Scoring!DD22</f>
        <v/>
      </c>
    </row>
    <row r="16" customFormat="false" ht="15.75" hidden="false" customHeight="false" outlineLevel="0" collapsed="false">
      <c r="A16" s="146" t="str">
        <f aca="false">Scoring!DG23</f>
        <v/>
      </c>
      <c r="B16" s="146" t="str">
        <f aca="false">Scoring!DF23</f>
        <v/>
      </c>
      <c r="C16" s="146" t="n">
        <f aca="false">Scoring!C23</f>
        <v>0</v>
      </c>
      <c r="D16" s="147" t="str">
        <f aca="false">Scoring!DC23</f>
        <v/>
      </c>
      <c r="E16" s="146" t="str">
        <f aca="false">Scoring!BL23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Scoring!DE23</f>
        <v/>
      </c>
      <c r="I16" s="148" t="str">
        <f aca="false">Scoring!DD23</f>
        <v/>
      </c>
    </row>
    <row r="17" customFormat="false" ht="15.75" hidden="false" customHeight="false" outlineLevel="0" collapsed="false">
      <c r="A17" s="146" t="str">
        <f aca="false">Scoring!DG24</f>
        <v/>
      </c>
      <c r="B17" s="146" t="str">
        <f aca="false">Scoring!DF24</f>
        <v/>
      </c>
      <c r="C17" s="146" t="n">
        <f aca="false">Scoring!C24</f>
        <v>0</v>
      </c>
      <c r="D17" s="147" t="str">
        <f aca="false">Scoring!DC24</f>
        <v/>
      </c>
      <c r="E17" s="146" t="str">
        <f aca="false">Scoring!BL24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Scoring!DE24</f>
        <v/>
      </c>
      <c r="I17" s="148" t="str">
        <f aca="false">Scoring!DD24</f>
        <v/>
      </c>
    </row>
    <row r="18" customFormat="false" ht="15.75" hidden="false" customHeight="false" outlineLevel="0" collapsed="false">
      <c r="A18" s="146" t="str">
        <f aca="false">Scoring!DG25</f>
        <v/>
      </c>
      <c r="B18" s="146" t="str">
        <f aca="false">Scoring!DF25</f>
        <v/>
      </c>
      <c r="C18" s="146" t="n">
        <f aca="false">Scoring!C25</f>
        <v>0</v>
      </c>
      <c r="D18" s="147" t="str">
        <f aca="false">Scoring!DC25</f>
        <v/>
      </c>
      <c r="E18" s="146" t="str">
        <f aca="false">Scoring!BL25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Scoring!DE25</f>
        <v/>
      </c>
      <c r="I18" s="148" t="str">
        <f aca="false">Scoring!DD25</f>
        <v/>
      </c>
    </row>
    <row r="19" customFormat="false" ht="15.75" hidden="false" customHeight="false" outlineLevel="0" collapsed="false">
      <c r="A19" s="146" t="str">
        <f aca="false">Scoring!DG26</f>
        <v/>
      </c>
      <c r="B19" s="146" t="str">
        <f aca="false">Scoring!DF26</f>
        <v/>
      </c>
      <c r="C19" s="146" t="n">
        <f aca="false">Scoring!C26</f>
        <v>0</v>
      </c>
      <c r="D19" s="147" t="str">
        <f aca="false">Scoring!DC26</f>
        <v/>
      </c>
      <c r="E19" s="146" t="str">
        <f aca="false">Scoring!BL26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Scoring!DE26</f>
        <v/>
      </c>
      <c r="I19" s="148" t="str">
        <f aca="false">Scoring!DD26</f>
        <v/>
      </c>
    </row>
    <row r="20" customFormat="false" ht="15.75" hidden="false" customHeight="false" outlineLevel="0" collapsed="false">
      <c r="A20" s="146" t="str">
        <f aca="false">Scoring!DG27</f>
        <v/>
      </c>
      <c r="B20" s="146" t="str">
        <f aca="false">Scoring!DF27</f>
        <v/>
      </c>
      <c r="C20" s="146" t="n">
        <f aca="false">Scoring!C27</f>
        <v>0</v>
      </c>
      <c r="D20" s="147" t="str">
        <f aca="false">Scoring!DC27</f>
        <v/>
      </c>
      <c r="E20" s="146" t="str">
        <f aca="false">Scoring!BL27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Scoring!DE27</f>
        <v/>
      </c>
      <c r="I20" s="148" t="str">
        <f aca="false">Scoring!DD27</f>
        <v/>
      </c>
    </row>
    <row r="21" customFormat="false" ht="15.75" hidden="false" customHeight="false" outlineLevel="0" collapsed="false">
      <c r="A21" s="146" t="str">
        <f aca="false">Scoring!DG28</f>
        <v/>
      </c>
      <c r="B21" s="146" t="str">
        <f aca="false">Scoring!DF28</f>
        <v/>
      </c>
      <c r="C21" s="146" t="n">
        <f aca="false">Scoring!C28</f>
        <v>0</v>
      </c>
      <c r="D21" s="147" t="str">
        <f aca="false">Scoring!DC28</f>
        <v/>
      </c>
      <c r="E21" s="146" t="str">
        <f aca="false">Scoring!BL28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Scoring!DE28</f>
        <v/>
      </c>
      <c r="I21" s="148" t="str">
        <f aca="false">Scoring!DD28</f>
        <v/>
      </c>
    </row>
    <row r="22" customFormat="false" ht="15.75" hidden="false" customHeight="false" outlineLevel="0" collapsed="false">
      <c r="A22" s="146" t="str">
        <f aca="false">Scoring!DG29</f>
        <v/>
      </c>
      <c r="B22" s="146" t="str">
        <f aca="false">Scoring!DF29</f>
        <v/>
      </c>
      <c r="C22" s="146" t="n">
        <f aca="false">Scoring!C29</f>
        <v>0</v>
      </c>
      <c r="D22" s="147" t="str">
        <f aca="false">Scoring!DC29</f>
        <v/>
      </c>
      <c r="E22" s="146" t="str">
        <f aca="false">Scoring!BL29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Scoring!DE29</f>
        <v/>
      </c>
      <c r="I22" s="148" t="str">
        <f aca="false">Scoring!DD29</f>
        <v/>
      </c>
    </row>
    <row r="23" customFormat="false" ht="15.75" hidden="false" customHeight="false" outlineLevel="0" collapsed="false">
      <c r="A23" s="146" t="str">
        <f aca="false">Scoring!DG30</f>
        <v/>
      </c>
      <c r="B23" s="146" t="str">
        <f aca="false">Scoring!DF30</f>
        <v/>
      </c>
      <c r="C23" s="146" t="n">
        <f aca="false">Scoring!C30</f>
        <v>0</v>
      </c>
      <c r="D23" s="147" t="str">
        <f aca="false">Scoring!DC30</f>
        <v/>
      </c>
      <c r="E23" s="146" t="str">
        <f aca="false">Scoring!BL30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Scoring!DE30</f>
        <v/>
      </c>
      <c r="I23" s="148" t="str">
        <f aca="false">Scoring!DD30</f>
        <v/>
      </c>
    </row>
    <row r="24" customFormat="false" ht="15.75" hidden="false" customHeight="false" outlineLevel="0" collapsed="false">
      <c r="A24" s="146" t="str">
        <f aca="false">Scoring!DG31</f>
        <v/>
      </c>
      <c r="B24" s="146" t="str">
        <f aca="false">Scoring!DF31</f>
        <v/>
      </c>
      <c r="C24" s="146" t="n">
        <f aca="false">Scoring!C31</f>
        <v>0</v>
      </c>
      <c r="D24" s="147" t="str">
        <f aca="false">Scoring!DC31</f>
        <v/>
      </c>
      <c r="E24" s="146" t="str">
        <f aca="false">Scoring!BL31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Scoring!DE31</f>
        <v/>
      </c>
      <c r="I24" s="148" t="str">
        <f aca="false">Scoring!DD31</f>
        <v/>
      </c>
    </row>
    <row r="25" customFormat="false" ht="15.75" hidden="false" customHeight="false" outlineLevel="0" collapsed="false">
      <c r="A25" s="146" t="str">
        <f aca="false">Scoring!DG32</f>
        <v/>
      </c>
      <c r="B25" s="146" t="str">
        <f aca="false">Scoring!DF32</f>
        <v/>
      </c>
      <c r="C25" s="146" t="n">
        <f aca="false">Scoring!C32</f>
        <v>0</v>
      </c>
      <c r="D25" s="147" t="str">
        <f aca="false">Scoring!DC32</f>
        <v/>
      </c>
      <c r="E25" s="146" t="str">
        <f aca="false">Scoring!BL32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Scoring!DE32</f>
        <v/>
      </c>
      <c r="I25" s="148" t="str">
        <f aca="false">Scoring!DD32</f>
        <v/>
      </c>
    </row>
    <row r="26" customFormat="false" ht="15.75" hidden="false" customHeight="false" outlineLevel="0" collapsed="false">
      <c r="A26" s="146" t="str">
        <f aca="false">Scoring!DG33</f>
        <v/>
      </c>
      <c r="B26" s="146" t="str">
        <f aca="false">Scoring!DF33</f>
        <v/>
      </c>
      <c r="C26" s="146" t="n">
        <f aca="false">Scoring!C33</f>
        <v>0</v>
      </c>
      <c r="D26" s="147" t="str">
        <f aca="false">Scoring!DC33</f>
        <v/>
      </c>
      <c r="E26" s="146" t="str">
        <f aca="false">Scoring!BL33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Scoring!DE33</f>
        <v/>
      </c>
      <c r="I26" s="148" t="str">
        <f aca="false">Scoring!DD33</f>
        <v/>
      </c>
    </row>
    <row r="27" customFormat="false" ht="15.75" hidden="false" customHeight="false" outlineLevel="0" collapsed="false">
      <c r="A27" s="146" t="str">
        <f aca="false">Scoring!DG34</f>
        <v/>
      </c>
      <c r="B27" s="146" t="str">
        <f aca="false">Scoring!DF34</f>
        <v/>
      </c>
      <c r="C27" s="146" t="n">
        <f aca="false">Scoring!C34</f>
        <v>0</v>
      </c>
      <c r="D27" s="147" t="str">
        <f aca="false">Scoring!DC34</f>
        <v/>
      </c>
      <c r="E27" s="146" t="str">
        <f aca="false">Scoring!BL34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Scoring!DE34</f>
        <v/>
      </c>
      <c r="I27" s="148" t="str">
        <f aca="false">Scoring!DD34</f>
        <v/>
      </c>
    </row>
    <row r="28" customFormat="false" ht="15.75" hidden="false" customHeight="false" outlineLevel="0" collapsed="false">
      <c r="A28" s="146" t="str">
        <f aca="false">Scoring!DG35</f>
        <v/>
      </c>
      <c r="B28" s="146" t="str">
        <f aca="false">Scoring!DF35</f>
        <v/>
      </c>
      <c r="C28" s="146" t="n">
        <f aca="false">Scoring!C35</f>
        <v>0</v>
      </c>
      <c r="D28" s="147" t="str">
        <f aca="false">Scoring!DC35</f>
        <v/>
      </c>
      <c r="E28" s="146" t="str">
        <f aca="false">Scoring!BL35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Scoring!DE35</f>
        <v/>
      </c>
      <c r="I28" s="148" t="str">
        <f aca="false">Scoring!DD35</f>
        <v/>
      </c>
    </row>
    <row r="29" customFormat="false" ht="15.75" hidden="false" customHeight="false" outlineLevel="0" collapsed="false">
      <c r="A29" s="146" t="str">
        <f aca="false">Scoring!DG36</f>
        <v/>
      </c>
      <c r="B29" s="146" t="str">
        <f aca="false">Scoring!DF36</f>
        <v/>
      </c>
      <c r="C29" s="146" t="n">
        <f aca="false">Scoring!C36</f>
        <v>0</v>
      </c>
      <c r="D29" s="147" t="str">
        <f aca="false">Scoring!DC36</f>
        <v/>
      </c>
      <c r="E29" s="146" t="str">
        <f aca="false">Scoring!BL36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Scoring!DE36</f>
        <v/>
      </c>
      <c r="I29" s="148" t="str">
        <f aca="false">Scoring!DD36</f>
        <v/>
      </c>
    </row>
    <row r="30" customFormat="false" ht="15.75" hidden="false" customHeight="false" outlineLevel="0" collapsed="false">
      <c r="A30" s="146" t="str">
        <f aca="false">Scoring!DG37</f>
        <v/>
      </c>
      <c r="B30" s="146" t="str">
        <f aca="false">Scoring!DF37</f>
        <v/>
      </c>
      <c r="C30" s="146" t="n">
        <f aca="false">Scoring!C37</f>
        <v>0</v>
      </c>
      <c r="D30" s="147" t="str">
        <f aca="false">Scoring!DC37</f>
        <v/>
      </c>
      <c r="E30" s="146" t="str">
        <f aca="false">Scoring!BL37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Scoring!DE37</f>
        <v/>
      </c>
      <c r="I30" s="148" t="str">
        <f aca="false">Scoring!DD37</f>
        <v/>
      </c>
    </row>
    <row r="31" customFormat="false" ht="15.75" hidden="false" customHeight="false" outlineLevel="0" collapsed="false">
      <c r="A31" s="146" t="str">
        <f aca="false">Scoring!DG38</f>
        <v/>
      </c>
      <c r="B31" s="146" t="str">
        <f aca="false">Scoring!DF38</f>
        <v/>
      </c>
      <c r="C31" s="146" t="n">
        <f aca="false">Scoring!C38</f>
        <v>0</v>
      </c>
      <c r="D31" s="147" t="str">
        <f aca="false">Scoring!DC38</f>
        <v/>
      </c>
      <c r="E31" s="146" t="str">
        <f aca="false">Scoring!BL38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Scoring!DE38</f>
        <v/>
      </c>
      <c r="I31" s="148" t="str">
        <f aca="false">Scoring!DD38</f>
        <v/>
      </c>
    </row>
    <row r="32" customFormat="false" ht="15.75" hidden="false" customHeight="false" outlineLevel="0" collapsed="false">
      <c r="A32" s="146" t="str">
        <f aca="false">Scoring!DG39</f>
        <v/>
      </c>
      <c r="B32" s="146" t="str">
        <f aca="false">Scoring!DF39</f>
        <v/>
      </c>
      <c r="C32" s="146" t="n">
        <f aca="false">Scoring!C39</f>
        <v>0</v>
      </c>
      <c r="D32" s="147" t="str">
        <f aca="false">Scoring!DC39</f>
        <v/>
      </c>
      <c r="E32" s="146" t="str">
        <f aca="false">Scoring!BL39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Scoring!DE39</f>
        <v/>
      </c>
      <c r="I32" s="148" t="str">
        <f aca="false">Scoring!DD39</f>
        <v/>
      </c>
    </row>
    <row r="33" customFormat="false" ht="15.75" hidden="false" customHeight="false" outlineLevel="0" collapsed="false">
      <c r="A33" s="146" t="str">
        <f aca="false">Scoring!DG40</f>
        <v/>
      </c>
      <c r="B33" s="146" t="str">
        <f aca="false">Scoring!DF40</f>
        <v/>
      </c>
      <c r="C33" s="146" t="n">
        <f aca="false">Scoring!C40</f>
        <v>0</v>
      </c>
      <c r="D33" s="147" t="str">
        <f aca="false">Scoring!DC40</f>
        <v/>
      </c>
      <c r="E33" s="146" t="str">
        <f aca="false">Scoring!BL40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Scoring!DE40</f>
        <v/>
      </c>
      <c r="I33" s="148" t="str">
        <f aca="false">Scoring!DD40</f>
        <v/>
      </c>
    </row>
    <row r="34" customFormat="false" ht="15.75" hidden="false" customHeight="false" outlineLevel="0" collapsed="false">
      <c r="A34" s="146" t="str">
        <f aca="false">Scoring!DG41</f>
        <v/>
      </c>
      <c r="B34" s="146" t="str">
        <f aca="false">Scoring!DF41</f>
        <v/>
      </c>
      <c r="C34" s="146" t="n">
        <f aca="false">Scoring!C41</f>
        <v>0</v>
      </c>
      <c r="D34" s="147" t="str">
        <f aca="false">Scoring!DC41</f>
        <v/>
      </c>
      <c r="E34" s="146" t="str">
        <f aca="false">Scoring!BL41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Scoring!DE41</f>
        <v/>
      </c>
      <c r="I34" s="148" t="str">
        <f aca="false">Scoring!DD41</f>
        <v/>
      </c>
    </row>
    <row r="35" customFormat="false" ht="15.75" hidden="false" customHeight="false" outlineLevel="0" collapsed="false">
      <c r="A35" s="146" t="str">
        <f aca="false">Scoring!DG42</f>
        <v/>
      </c>
      <c r="B35" s="146" t="str">
        <f aca="false">Scoring!DF42</f>
        <v/>
      </c>
      <c r="C35" s="146" t="n">
        <f aca="false">Scoring!C42</f>
        <v>0</v>
      </c>
      <c r="D35" s="147" t="str">
        <f aca="false">Scoring!DC42</f>
        <v/>
      </c>
      <c r="E35" s="146" t="str">
        <f aca="false">Scoring!BL42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Scoring!DE42</f>
        <v/>
      </c>
      <c r="I35" s="148" t="str">
        <f aca="false">Scoring!DD42</f>
        <v/>
      </c>
    </row>
    <row r="36" customFormat="false" ht="15.75" hidden="false" customHeight="false" outlineLevel="0" collapsed="false">
      <c r="A36" s="146" t="str">
        <f aca="false">Scoring!DG43</f>
        <v/>
      </c>
      <c r="B36" s="146" t="str">
        <f aca="false">Scoring!DF43</f>
        <v/>
      </c>
      <c r="C36" s="146" t="n">
        <f aca="false">Scoring!C43</f>
        <v>0</v>
      </c>
      <c r="D36" s="147" t="str">
        <f aca="false">Scoring!DC43</f>
        <v/>
      </c>
      <c r="E36" s="146" t="str">
        <f aca="false">Scoring!BL43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Scoring!DE43</f>
        <v/>
      </c>
      <c r="I36" s="148" t="str">
        <f aca="false">Scoring!DD43</f>
        <v/>
      </c>
    </row>
    <row r="37" customFormat="false" ht="15.75" hidden="false" customHeight="false" outlineLevel="0" collapsed="false">
      <c r="A37" s="146" t="str">
        <f aca="false">Scoring!DG44</f>
        <v/>
      </c>
      <c r="B37" s="146" t="str">
        <f aca="false">Scoring!DF44</f>
        <v/>
      </c>
      <c r="C37" s="146" t="n">
        <f aca="false">Scoring!C44</f>
        <v>0</v>
      </c>
      <c r="D37" s="147" t="str">
        <f aca="false">Scoring!DC44</f>
        <v/>
      </c>
      <c r="E37" s="146" t="str">
        <f aca="false">Scoring!BL44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Scoring!DE44</f>
        <v/>
      </c>
      <c r="I37" s="148" t="str">
        <f aca="false">Scoring!DD44</f>
        <v/>
      </c>
    </row>
    <row r="38" customFormat="false" ht="15.75" hidden="false" customHeight="false" outlineLevel="0" collapsed="false">
      <c r="A38" s="146" t="str">
        <f aca="false">Scoring!DG45</f>
        <v/>
      </c>
      <c r="B38" s="146" t="str">
        <f aca="false">Scoring!DF45</f>
        <v/>
      </c>
      <c r="C38" s="146" t="n">
        <f aca="false">Scoring!C45</f>
        <v>0</v>
      </c>
      <c r="D38" s="147" t="str">
        <f aca="false">Scoring!DC45</f>
        <v/>
      </c>
      <c r="E38" s="146" t="str">
        <f aca="false">Scoring!BL45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Scoring!DE45</f>
        <v/>
      </c>
      <c r="I38" s="148" t="str">
        <f aca="false">Scoring!DD45</f>
        <v/>
      </c>
    </row>
    <row r="39" customFormat="false" ht="15.75" hidden="false" customHeight="false" outlineLevel="0" collapsed="false">
      <c r="A39" s="146" t="str">
        <f aca="false">Scoring!DG46</f>
        <v/>
      </c>
      <c r="B39" s="146" t="str">
        <f aca="false">Scoring!DF46</f>
        <v/>
      </c>
      <c r="C39" s="146" t="n">
        <f aca="false">Scoring!C46</f>
        <v>0</v>
      </c>
      <c r="D39" s="147" t="str">
        <f aca="false">Scoring!DC46</f>
        <v/>
      </c>
      <c r="E39" s="146" t="str">
        <f aca="false">Scoring!BL46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Scoring!DE46</f>
        <v/>
      </c>
      <c r="I39" s="148" t="str">
        <f aca="false">Scoring!DD46</f>
        <v/>
      </c>
    </row>
    <row r="40" customFormat="false" ht="15.75" hidden="false" customHeight="false" outlineLevel="0" collapsed="false">
      <c r="A40" s="146" t="str">
        <f aca="false">Scoring!DG47</f>
        <v/>
      </c>
      <c r="B40" s="146" t="str">
        <f aca="false">Scoring!DF47</f>
        <v/>
      </c>
      <c r="C40" s="146" t="n">
        <f aca="false">Scoring!C47</f>
        <v>0</v>
      </c>
      <c r="D40" s="147" t="str">
        <f aca="false">Scoring!DC47</f>
        <v/>
      </c>
      <c r="E40" s="146" t="str">
        <f aca="false">Scoring!BL47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Scoring!DE47</f>
        <v/>
      </c>
      <c r="I40" s="148" t="str">
        <f aca="false">Scoring!DD47</f>
        <v/>
      </c>
    </row>
    <row r="41" customFormat="false" ht="15.75" hidden="false" customHeight="false" outlineLevel="0" collapsed="false">
      <c r="A41" s="146" t="str">
        <f aca="false">Scoring!DG48</f>
        <v/>
      </c>
      <c r="B41" s="146" t="str">
        <f aca="false">Scoring!DF48</f>
        <v/>
      </c>
      <c r="C41" s="146" t="n">
        <f aca="false">Scoring!C48</f>
        <v>0</v>
      </c>
      <c r="D41" s="147" t="str">
        <f aca="false">Scoring!DC48</f>
        <v/>
      </c>
      <c r="E41" s="146" t="str">
        <f aca="false">Scoring!BL48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Scoring!DE48</f>
        <v/>
      </c>
      <c r="I41" s="148" t="str">
        <f aca="false">Scoring!DD48</f>
        <v/>
      </c>
    </row>
    <row r="42" customFormat="false" ht="15.75" hidden="false" customHeight="false" outlineLevel="0" collapsed="false">
      <c r="A42" s="146" t="str">
        <f aca="false">Scoring!DG49</f>
        <v/>
      </c>
      <c r="B42" s="146" t="str">
        <f aca="false">Scoring!DF49</f>
        <v/>
      </c>
      <c r="C42" s="146" t="n">
        <f aca="false">Scoring!C49</f>
        <v>0</v>
      </c>
      <c r="D42" s="147" t="str">
        <f aca="false">Scoring!DC49</f>
        <v/>
      </c>
      <c r="E42" s="146" t="str">
        <f aca="false">Scoring!BL49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Scoring!DE49</f>
        <v/>
      </c>
      <c r="I42" s="148" t="str">
        <f aca="false">Scoring!DD49</f>
        <v/>
      </c>
    </row>
    <row r="43" customFormat="false" ht="15.75" hidden="false" customHeight="false" outlineLevel="0" collapsed="false">
      <c r="A43" s="146" t="str">
        <f aca="false">Scoring!DG50</f>
        <v/>
      </c>
      <c r="B43" s="146" t="str">
        <f aca="false">Scoring!DF50</f>
        <v/>
      </c>
      <c r="C43" s="146" t="n">
        <f aca="false">Scoring!C50</f>
        <v>0</v>
      </c>
      <c r="D43" s="147" t="str">
        <f aca="false">Scoring!DC50</f>
        <v/>
      </c>
      <c r="E43" s="146" t="str">
        <f aca="false">Scoring!BL50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Scoring!DE50</f>
        <v/>
      </c>
      <c r="I43" s="148" t="str">
        <f aca="false">Scoring!DD50</f>
        <v/>
      </c>
    </row>
    <row r="44" customFormat="false" ht="15.75" hidden="false" customHeight="false" outlineLevel="0" collapsed="false">
      <c r="A44" s="146" t="str">
        <f aca="false">Scoring!DG51</f>
        <v/>
      </c>
      <c r="B44" s="146" t="str">
        <f aca="false">Scoring!DF51</f>
        <v/>
      </c>
      <c r="C44" s="146" t="n">
        <f aca="false">Scoring!C51</f>
        <v>0</v>
      </c>
      <c r="D44" s="147" t="str">
        <f aca="false">Scoring!DC51</f>
        <v/>
      </c>
      <c r="E44" s="146" t="str">
        <f aca="false">Scoring!BL51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Scoring!DE51</f>
        <v/>
      </c>
      <c r="I44" s="148" t="str">
        <f aca="false">Scoring!DD51</f>
        <v/>
      </c>
    </row>
    <row r="45" customFormat="false" ht="15.75" hidden="false" customHeight="false" outlineLevel="0" collapsed="false">
      <c r="A45" s="146" t="str">
        <f aca="false">Scoring!DG52</f>
        <v/>
      </c>
      <c r="B45" s="146" t="str">
        <f aca="false">Scoring!DF52</f>
        <v/>
      </c>
      <c r="C45" s="146" t="n">
        <f aca="false">Scoring!C52</f>
        <v>0</v>
      </c>
      <c r="D45" s="147" t="str">
        <f aca="false">Scoring!DC52</f>
        <v/>
      </c>
      <c r="E45" s="146" t="str">
        <f aca="false">Scoring!BL52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Scoring!DE52</f>
        <v/>
      </c>
      <c r="I45" s="148" t="str">
        <f aca="false">Scoring!DD52</f>
        <v/>
      </c>
    </row>
    <row r="46" customFormat="false" ht="15.75" hidden="false" customHeight="false" outlineLevel="0" collapsed="false">
      <c r="A46" s="146" t="str">
        <f aca="false">Scoring!DG53</f>
        <v/>
      </c>
      <c r="B46" s="146" t="str">
        <f aca="false">Scoring!DF53</f>
        <v/>
      </c>
      <c r="C46" s="146" t="n">
        <f aca="false">Scoring!C53</f>
        <v>0</v>
      </c>
      <c r="D46" s="147" t="str">
        <f aca="false">Scoring!DC53</f>
        <v/>
      </c>
      <c r="E46" s="146" t="str">
        <f aca="false">Scoring!BL53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Scoring!DE53</f>
        <v/>
      </c>
      <c r="I46" s="148" t="str">
        <f aca="false">Scoring!DD53</f>
        <v/>
      </c>
    </row>
    <row r="47" customFormat="false" ht="15.75" hidden="false" customHeight="false" outlineLevel="0" collapsed="false">
      <c r="A47" s="146" t="str">
        <f aca="false">Scoring!DG54</f>
        <v/>
      </c>
      <c r="B47" s="146" t="str">
        <f aca="false">Scoring!DF54</f>
        <v/>
      </c>
      <c r="C47" s="146" t="n">
        <f aca="false">Scoring!C54</f>
        <v>0</v>
      </c>
      <c r="D47" s="147" t="str">
        <f aca="false">Scoring!DC54</f>
        <v/>
      </c>
      <c r="E47" s="146" t="str">
        <f aca="false">Scoring!BL54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Scoring!DE54</f>
        <v/>
      </c>
      <c r="I47" s="148" t="str">
        <f aca="false">Scoring!DD54</f>
        <v/>
      </c>
    </row>
    <row r="48" customFormat="false" ht="15.75" hidden="false" customHeight="false" outlineLevel="0" collapsed="false">
      <c r="A48" s="146" t="str">
        <f aca="false">Scoring!DG55</f>
        <v/>
      </c>
      <c r="B48" s="146" t="str">
        <f aca="false">Scoring!DF55</f>
        <v/>
      </c>
      <c r="C48" s="146" t="n">
        <f aca="false">Scoring!C55</f>
        <v>0</v>
      </c>
      <c r="D48" s="147" t="str">
        <f aca="false">Scoring!DC55</f>
        <v/>
      </c>
      <c r="E48" s="146" t="str">
        <f aca="false">Scoring!BL55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Scoring!DE55</f>
        <v/>
      </c>
      <c r="I48" s="148" t="str">
        <f aca="false">Scoring!DD55</f>
        <v/>
      </c>
    </row>
    <row r="49" customFormat="false" ht="15.75" hidden="false" customHeight="false" outlineLevel="0" collapsed="false">
      <c r="A49" s="146" t="str">
        <f aca="false">Scoring!DG56</f>
        <v/>
      </c>
      <c r="B49" s="146" t="str">
        <f aca="false">Scoring!DF56</f>
        <v/>
      </c>
      <c r="C49" s="146" t="n">
        <f aca="false">Scoring!C56</f>
        <v>0</v>
      </c>
      <c r="D49" s="147" t="str">
        <f aca="false">Scoring!DC56</f>
        <v/>
      </c>
      <c r="E49" s="146" t="str">
        <f aca="false">Scoring!BL56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Scoring!DE56</f>
        <v/>
      </c>
      <c r="I49" s="148" t="str">
        <f aca="false">Scoring!DD56</f>
        <v/>
      </c>
    </row>
    <row r="50" customFormat="false" ht="15.75" hidden="false" customHeight="false" outlineLevel="0" collapsed="false">
      <c r="A50" s="146" t="str">
        <f aca="false">Scoring!DG57</f>
        <v/>
      </c>
      <c r="B50" s="146" t="str">
        <f aca="false">Scoring!DF57</f>
        <v/>
      </c>
      <c r="C50" s="146" t="n">
        <f aca="false">Scoring!C57</f>
        <v>0</v>
      </c>
      <c r="D50" s="147" t="str">
        <f aca="false">Scoring!DC57</f>
        <v/>
      </c>
      <c r="E50" s="146" t="str">
        <f aca="false">Scoring!BL57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Scoring!DE57</f>
        <v/>
      </c>
      <c r="I50" s="148" t="str">
        <f aca="false">Scoring!DD57</f>
        <v/>
      </c>
    </row>
    <row r="51" customFormat="false" ht="15.75" hidden="false" customHeight="false" outlineLevel="0" collapsed="false">
      <c r="A51" s="146" t="str">
        <f aca="false">Scoring!DG58</f>
        <v/>
      </c>
      <c r="B51" s="146" t="str">
        <f aca="false">Scoring!DF58</f>
        <v/>
      </c>
      <c r="C51" s="146" t="n">
        <f aca="false">Scoring!C58</f>
        <v>0</v>
      </c>
      <c r="D51" s="147" t="str">
        <f aca="false">Scoring!DC58</f>
        <v/>
      </c>
      <c r="E51" s="146" t="str">
        <f aca="false">Scoring!BL58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Scoring!DE58</f>
        <v/>
      </c>
      <c r="I51" s="148" t="str">
        <f aca="false">Scoring!DD58</f>
        <v/>
      </c>
    </row>
    <row r="52" customFormat="false" ht="15.75" hidden="false" customHeight="false" outlineLevel="0" collapsed="false">
      <c r="A52" s="146" t="str">
        <f aca="false">Scoring!DG59</f>
        <v/>
      </c>
      <c r="B52" s="146" t="str">
        <f aca="false">Scoring!DF59</f>
        <v/>
      </c>
      <c r="C52" s="146" t="n">
        <f aca="false">Scoring!C59</f>
        <v>0</v>
      </c>
      <c r="D52" s="147" t="str">
        <f aca="false">Scoring!DC59</f>
        <v/>
      </c>
      <c r="E52" s="146" t="str">
        <f aca="false">Scoring!BL59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Scoring!DE59</f>
        <v/>
      </c>
      <c r="I52" s="148" t="str">
        <f aca="false">Scoring!DD59</f>
        <v/>
      </c>
    </row>
    <row r="53" customFormat="false" ht="15.75" hidden="false" customHeight="false" outlineLevel="0" collapsed="false">
      <c r="A53" s="146" t="str">
        <f aca="false">Scoring!DG60</f>
        <v/>
      </c>
      <c r="B53" s="146" t="str">
        <f aca="false">Scoring!DF60</f>
        <v/>
      </c>
      <c r="C53" s="146" t="n">
        <f aca="false">Scoring!C60</f>
        <v>0</v>
      </c>
      <c r="D53" s="147" t="str">
        <f aca="false">Scoring!DC60</f>
        <v/>
      </c>
      <c r="E53" s="146" t="str">
        <f aca="false">Scoring!BL60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Scoring!DE60</f>
        <v/>
      </c>
      <c r="I53" s="148" t="str">
        <f aca="false">Scoring!DD60</f>
        <v/>
      </c>
    </row>
    <row r="54" customFormat="false" ht="15.75" hidden="false" customHeight="false" outlineLevel="0" collapsed="false">
      <c r="A54" s="146" t="str">
        <f aca="false">Scoring!DG61</f>
        <v/>
      </c>
      <c r="B54" s="146" t="str">
        <f aca="false">Scoring!DF61</f>
        <v/>
      </c>
      <c r="C54" s="146" t="n">
        <f aca="false">Scoring!C61</f>
        <v>0</v>
      </c>
      <c r="D54" s="147" t="str">
        <f aca="false">Scoring!DC61</f>
        <v/>
      </c>
      <c r="E54" s="146" t="str">
        <f aca="false">Scoring!BL61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Scoring!DE61</f>
        <v/>
      </c>
      <c r="I54" s="148" t="str">
        <f aca="false">Scoring!DD61</f>
        <v/>
      </c>
    </row>
    <row r="55" customFormat="false" ht="15.75" hidden="false" customHeight="false" outlineLevel="0" collapsed="false">
      <c r="A55" s="146" t="str">
        <f aca="false">Scoring!DG62</f>
        <v/>
      </c>
      <c r="B55" s="146" t="str">
        <f aca="false">Scoring!DF62</f>
        <v/>
      </c>
      <c r="C55" s="146" t="n">
        <f aca="false">Scoring!C62</f>
        <v>0</v>
      </c>
      <c r="D55" s="147" t="str">
        <f aca="false">Scoring!DC62</f>
        <v/>
      </c>
      <c r="E55" s="146" t="str">
        <f aca="false">Scoring!BL62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Scoring!DE62</f>
        <v/>
      </c>
      <c r="I55" s="148" t="str">
        <f aca="false">Scoring!DD62</f>
        <v/>
      </c>
    </row>
    <row r="56" customFormat="false" ht="15.75" hidden="false" customHeight="false" outlineLevel="0" collapsed="false">
      <c r="A56" s="146" t="str">
        <f aca="false">Scoring!DG63</f>
        <v/>
      </c>
      <c r="B56" s="146" t="str">
        <f aca="false">Scoring!DF63</f>
        <v/>
      </c>
      <c r="C56" s="146" t="n">
        <f aca="false">Scoring!C63</f>
        <v>0</v>
      </c>
      <c r="D56" s="147" t="str">
        <f aca="false">Scoring!DC63</f>
        <v/>
      </c>
      <c r="E56" s="146" t="str">
        <f aca="false">Scoring!BL63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Scoring!DE63</f>
        <v/>
      </c>
      <c r="I56" s="148" t="str">
        <f aca="false">Scoring!DD63</f>
        <v/>
      </c>
    </row>
    <row r="57" customFormat="false" ht="15.75" hidden="false" customHeight="false" outlineLevel="0" collapsed="false">
      <c r="A57" s="146" t="str">
        <f aca="false">Scoring!DG64</f>
        <v/>
      </c>
      <c r="B57" s="146" t="str">
        <f aca="false">Scoring!DF64</f>
        <v/>
      </c>
      <c r="C57" s="146" t="n">
        <f aca="false">Scoring!C64</f>
        <v>0</v>
      </c>
      <c r="D57" s="147" t="str">
        <f aca="false">Scoring!DC64</f>
        <v/>
      </c>
      <c r="E57" s="146" t="str">
        <f aca="false">Scoring!BL64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Scoring!DE64</f>
        <v/>
      </c>
      <c r="I57" s="148" t="str">
        <f aca="false">Scoring!DD64</f>
        <v/>
      </c>
    </row>
    <row r="58" customFormat="false" ht="15.75" hidden="false" customHeight="false" outlineLevel="0" collapsed="false">
      <c r="A58" s="146" t="str">
        <f aca="false">Scoring!DG65</f>
        <v/>
      </c>
      <c r="B58" s="146" t="str">
        <f aca="false">Scoring!DF65</f>
        <v/>
      </c>
      <c r="C58" s="146" t="n">
        <f aca="false">Scoring!C65</f>
        <v>0</v>
      </c>
      <c r="D58" s="147" t="str">
        <f aca="false">Scoring!DC65</f>
        <v/>
      </c>
      <c r="E58" s="146" t="str">
        <f aca="false">Scoring!BL65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Scoring!DE65</f>
        <v/>
      </c>
      <c r="I58" s="148" t="str">
        <f aca="false">Scoring!DD65</f>
        <v/>
      </c>
    </row>
    <row r="59" customFormat="false" ht="15.75" hidden="false" customHeight="false" outlineLevel="0" collapsed="false">
      <c r="A59" s="146" t="str">
        <f aca="false">Scoring!DG66</f>
        <v/>
      </c>
      <c r="B59" s="146" t="str">
        <f aca="false">Scoring!DF66</f>
        <v/>
      </c>
      <c r="C59" s="146" t="n">
        <f aca="false">Scoring!C66</f>
        <v>0</v>
      </c>
      <c r="D59" s="147" t="str">
        <f aca="false">Scoring!DC66</f>
        <v/>
      </c>
      <c r="E59" s="146" t="str">
        <f aca="false">Scoring!BL66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Scoring!DE66</f>
        <v/>
      </c>
      <c r="I59" s="148" t="str">
        <f aca="false">Scoring!DD66</f>
        <v/>
      </c>
    </row>
    <row r="60" customFormat="false" ht="15.75" hidden="false" customHeight="false" outlineLevel="0" collapsed="false">
      <c r="A60" s="146" t="str">
        <f aca="false">Scoring!DG67</f>
        <v/>
      </c>
      <c r="B60" s="146" t="str">
        <f aca="false">Scoring!DF67</f>
        <v/>
      </c>
      <c r="C60" s="146" t="n">
        <f aca="false">Scoring!C67</f>
        <v>0</v>
      </c>
      <c r="D60" s="147" t="str">
        <f aca="false">Scoring!DC67</f>
        <v/>
      </c>
      <c r="E60" s="146" t="str">
        <f aca="false">Scoring!BL67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Scoring!DE67</f>
        <v/>
      </c>
      <c r="I60" s="148" t="str">
        <f aca="false">Scoring!DD67</f>
        <v/>
      </c>
    </row>
    <row r="61" customFormat="false" ht="15.75" hidden="false" customHeight="false" outlineLevel="0" collapsed="false">
      <c r="A61" s="146" t="str">
        <f aca="false">Scoring!DG68</f>
        <v/>
      </c>
      <c r="B61" s="146" t="str">
        <f aca="false">Scoring!DF68</f>
        <v/>
      </c>
      <c r="C61" s="146" t="n">
        <f aca="false">Scoring!C68</f>
        <v>0</v>
      </c>
      <c r="D61" s="147" t="str">
        <f aca="false">Scoring!DC68</f>
        <v/>
      </c>
      <c r="E61" s="146" t="str">
        <f aca="false">Scoring!BL68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Scoring!DE68</f>
        <v/>
      </c>
      <c r="I61" s="148" t="str">
        <f aca="false">Scoring!DD68</f>
        <v/>
      </c>
    </row>
    <row r="62" customFormat="false" ht="15.75" hidden="false" customHeight="false" outlineLevel="0" collapsed="false">
      <c r="A62" s="146" t="str">
        <f aca="false">Scoring!DG69</f>
        <v/>
      </c>
      <c r="B62" s="146" t="str">
        <f aca="false">Scoring!DF69</f>
        <v/>
      </c>
      <c r="C62" s="146" t="n">
        <f aca="false">Scoring!C69</f>
        <v>0</v>
      </c>
      <c r="D62" s="147" t="str">
        <f aca="false">Scoring!DC69</f>
        <v/>
      </c>
      <c r="E62" s="146" t="str">
        <f aca="false">Scoring!BL69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Scoring!DE69</f>
        <v/>
      </c>
      <c r="I62" s="148" t="str">
        <f aca="false">Scoring!DD69</f>
        <v/>
      </c>
    </row>
    <row r="63" customFormat="false" ht="15.75" hidden="false" customHeight="false" outlineLevel="0" collapsed="false">
      <c r="A63" s="146" t="str">
        <f aca="false">Scoring!DG70</f>
        <v/>
      </c>
      <c r="B63" s="146" t="str">
        <f aca="false">Scoring!DF70</f>
        <v/>
      </c>
      <c r="C63" s="146" t="n">
        <f aca="false">Scoring!C70</f>
        <v>0</v>
      </c>
      <c r="D63" s="147" t="str">
        <f aca="false">Scoring!DC70</f>
        <v/>
      </c>
      <c r="E63" s="146" t="str">
        <f aca="false">Scoring!BL70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Scoring!DE70</f>
        <v/>
      </c>
      <c r="I63" s="148" t="str">
        <f aca="false">Scoring!DD70</f>
        <v/>
      </c>
    </row>
    <row r="64" customFormat="false" ht="15.75" hidden="false" customHeight="false" outlineLevel="0" collapsed="false">
      <c r="A64" s="146" t="str">
        <f aca="false">Scoring!DG71</f>
        <v/>
      </c>
      <c r="B64" s="146" t="str">
        <f aca="false">Scoring!DF71</f>
        <v/>
      </c>
      <c r="C64" s="146" t="n">
        <f aca="false">Scoring!C71</f>
        <v>0</v>
      </c>
      <c r="D64" s="147" t="str">
        <f aca="false">Scoring!DC71</f>
        <v/>
      </c>
      <c r="E64" s="146" t="str">
        <f aca="false">Scoring!BL71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Scoring!DE71</f>
        <v/>
      </c>
      <c r="I64" s="148" t="str">
        <f aca="false">Scoring!DD71</f>
        <v/>
      </c>
    </row>
    <row r="65" customFormat="false" ht="15.75" hidden="false" customHeight="false" outlineLevel="0" collapsed="false">
      <c r="A65" s="146" t="str">
        <f aca="false">Scoring!DG72</f>
        <v/>
      </c>
      <c r="B65" s="146" t="str">
        <f aca="false">Scoring!DF72</f>
        <v/>
      </c>
      <c r="C65" s="146" t="n">
        <f aca="false">Scoring!C72</f>
        <v>0</v>
      </c>
      <c r="D65" s="147" t="str">
        <f aca="false">Scoring!DC72</f>
        <v/>
      </c>
      <c r="E65" s="146" t="str">
        <f aca="false">Scoring!BL72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Scoring!DE72</f>
        <v/>
      </c>
      <c r="I65" s="148" t="str">
        <f aca="false">Scoring!DD72</f>
        <v/>
      </c>
    </row>
    <row r="66" customFormat="false" ht="15.75" hidden="false" customHeight="false" outlineLevel="0" collapsed="false">
      <c r="A66" s="146" t="str">
        <f aca="false">Scoring!DG73</f>
        <v/>
      </c>
      <c r="B66" s="146" t="str">
        <f aca="false">Scoring!DF73</f>
        <v/>
      </c>
      <c r="C66" s="146" t="n">
        <f aca="false">Scoring!C73</f>
        <v>0</v>
      </c>
      <c r="D66" s="147" t="str">
        <f aca="false">Scoring!DC73</f>
        <v/>
      </c>
      <c r="E66" s="146" t="str">
        <f aca="false">Scoring!BL73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Scoring!DE73</f>
        <v/>
      </c>
      <c r="I66" s="148" t="str">
        <f aca="false">Scoring!DD73</f>
        <v/>
      </c>
    </row>
    <row r="67" customFormat="false" ht="15.75" hidden="false" customHeight="false" outlineLevel="0" collapsed="false">
      <c r="A67" s="146" t="str">
        <f aca="false">Scoring!DG74</f>
        <v/>
      </c>
      <c r="B67" s="146" t="str">
        <f aca="false">Scoring!DF74</f>
        <v/>
      </c>
      <c r="C67" s="146" t="n">
        <f aca="false">Scoring!C74</f>
        <v>0</v>
      </c>
      <c r="D67" s="147" t="str">
        <f aca="false">Scoring!DC74</f>
        <v/>
      </c>
      <c r="E67" s="146" t="str">
        <f aca="false">Scoring!BL74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Scoring!DE74</f>
        <v/>
      </c>
      <c r="I67" s="148" t="str">
        <f aca="false">Scoring!DD74</f>
        <v/>
      </c>
    </row>
    <row r="68" customFormat="false" ht="15.75" hidden="false" customHeight="false" outlineLevel="0" collapsed="false">
      <c r="A68" s="146" t="str">
        <f aca="false">Scoring!DG75</f>
        <v/>
      </c>
      <c r="B68" s="146" t="str">
        <f aca="false">Scoring!DF75</f>
        <v/>
      </c>
      <c r="C68" s="146" t="n">
        <f aca="false">Scoring!C75</f>
        <v>0</v>
      </c>
      <c r="D68" s="147" t="str">
        <f aca="false">Scoring!DC75</f>
        <v/>
      </c>
      <c r="E68" s="146" t="str">
        <f aca="false">Scoring!BL75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Scoring!DE75</f>
        <v/>
      </c>
      <c r="I68" s="148" t="str">
        <f aca="false">Scoring!DD75</f>
        <v/>
      </c>
    </row>
    <row r="69" customFormat="false" ht="15.75" hidden="false" customHeight="false" outlineLevel="0" collapsed="false">
      <c r="A69" s="146" t="str">
        <f aca="false">Scoring!DG76</f>
        <v/>
      </c>
      <c r="B69" s="146" t="str">
        <f aca="false">Scoring!DF76</f>
        <v/>
      </c>
      <c r="C69" s="146" t="n">
        <f aca="false">Scoring!C76</f>
        <v>0</v>
      </c>
      <c r="D69" s="147" t="str">
        <f aca="false">Scoring!DC76</f>
        <v/>
      </c>
      <c r="E69" s="146" t="str">
        <f aca="false">Scoring!BL76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Scoring!DE76</f>
        <v/>
      </c>
      <c r="I69" s="148" t="str">
        <f aca="false">Scoring!DD76</f>
        <v/>
      </c>
    </row>
    <row r="70" customFormat="false" ht="15.75" hidden="false" customHeight="false" outlineLevel="0" collapsed="false">
      <c r="A70" s="146" t="str">
        <f aca="false">Scoring!DG77</f>
        <v/>
      </c>
      <c r="B70" s="146" t="str">
        <f aca="false">Scoring!DF77</f>
        <v/>
      </c>
      <c r="C70" s="146" t="n">
        <f aca="false">Scoring!C77</f>
        <v>0</v>
      </c>
      <c r="D70" s="147" t="str">
        <f aca="false">Scoring!DC77</f>
        <v/>
      </c>
      <c r="E70" s="146" t="str">
        <f aca="false">Scoring!BL77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Scoring!DE77</f>
        <v/>
      </c>
      <c r="I70" s="148" t="str">
        <f aca="false">Scoring!DD77</f>
        <v/>
      </c>
    </row>
    <row r="71" customFormat="false" ht="15.75" hidden="false" customHeight="false" outlineLevel="0" collapsed="false">
      <c r="A71" s="146" t="str">
        <f aca="false">Scoring!DG78</f>
        <v/>
      </c>
      <c r="B71" s="146" t="str">
        <f aca="false">Scoring!DF78</f>
        <v/>
      </c>
      <c r="C71" s="146" t="n">
        <f aca="false">Scoring!C78</f>
        <v>0</v>
      </c>
      <c r="D71" s="147" t="str">
        <f aca="false">Scoring!DC78</f>
        <v/>
      </c>
      <c r="E71" s="146" t="str">
        <f aca="false">Scoring!BL78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Scoring!DE78</f>
        <v/>
      </c>
      <c r="I71" s="148" t="str">
        <f aca="false">Scoring!DD78</f>
        <v/>
      </c>
    </row>
    <row r="72" customFormat="false" ht="15.75" hidden="false" customHeight="false" outlineLevel="0" collapsed="false">
      <c r="A72" s="146" t="str">
        <f aca="false">Scoring!DG79</f>
        <v/>
      </c>
      <c r="B72" s="146" t="str">
        <f aca="false">Scoring!DF79</f>
        <v/>
      </c>
      <c r="C72" s="146" t="n">
        <f aca="false">Scoring!C79</f>
        <v>0</v>
      </c>
      <c r="D72" s="147" t="str">
        <f aca="false">Scoring!DC79</f>
        <v/>
      </c>
      <c r="E72" s="146" t="str">
        <f aca="false">Scoring!BL79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Scoring!DE79</f>
        <v/>
      </c>
      <c r="I72" s="148" t="str">
        <f aca="false">Scoring!DD79</f>
        <v/>
      </c>
    </row>
    <row r="73" customFormat="false" ht="15.75" hidden="false" customHeight="false" outlineLevel="0" collapsed="false">
      <c r="A73" s="146" t="str">
        <f aca="false">Scoring!DG80</f>
        <v/>
      </c>
      <c r="B73" s="146" t="str">
        <f aca="false">Scoring!DF80</f>
        <v/>
      </c>
      <c r="C73" s="146" t="n">
        <f aca="false">Scoring!C80</f>
        <v>0</v>
      </c>
      <c r="D73" s="147" t="str">
        <f aca="false">Scoring!DC80</f>
        <v/>
      </c>
      <c r="E73" s="146" t="str">
        <f aca="false">Scoring!BL80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Scoring!DE80</f>
        <v/>
      </c>
      <c r="I73" s="148" t="str">
        <f aca="false">Scoring!DD80</f>
        <v/>
      </c>
    </row>
    <row r="74" customFormat="false" ht="15.75" hidden="false" customHeight="false" outlineLevel="0" collapsed="false">
      <c r="A74" s="146" t="str">
        <f aca="false">Scoring!DG81</f>
        <v/>
      </c>
      <c r="B74" s="146" t="str">
        <f aca="false">Scoring!DF81</f>
        <v/>
      </c>
      <c r="C74" s="146" t="n">
        <f aca="false">Scoring!C81</f>
        <v>0</v>
      </c>
      <c r="D74" s="147" t="str">
        <f aca="false">Scoring!DC81</f>
        <v/>
      </c>
      <c r="E74" s="146" t="str">
        <f aca="false">Scoring!BL81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Scoring!DE81</f>
        <v/>
      </c>
      <c r="I74" s="148" t="str">
        <f aca="false">Scoring!DD81</f>
        <v/>
      </c>
    </row>
    <row r="75" customFormat="false" ht="15.75" hidden="false" customHeight="false" outlineLevel="0" collapsed="false">
      <c r="A75" s="146" t="str">
        <f aca="false">Scoring!DG82</f>
        <v/>
      </c>
      <c r="B75" s="146" t="str">
        <f aca="false">Scoring!DF82</f>
        <v/>
      </c>
      <c r="C75" s="146" t="n">
        <f aca="false">Scoring!C82</f>
        <v>0</v>
      </c>
      <c r="D75" s="147" t="str">
        <f aca="false">Scoring!DC82</f>
        <v/>
      </c>
      <c r="E75" s="146" t="str">
        <f aca="false">Scoring!BL82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Scoring!DE82</f>
        <v/>
      </c>
      <c r="I75" s="148" t="str">
        <f aca="false">Scoring!DD82</f>
        <v/>
      </c>
    </row>
    <row r="76" customFormat="false" ht="15.75" hidden="false" customHeight="false" outlineLevel="0" collapsed="false">
      <c r="A76" s="146" t="str">
        <f aca="false">Scoring!DG83</f>
        <v/>
      </c>
      <c r="B76" s="146" t="str">
        <f aca="false">Scoring!DF83</f>
        <v/>
      </c>
      <c r="C76" s="146" t="n">
        <f aca="false">Scoring!C83</f>
        <v>0</v>
      </c>
      <c r="D76" s="147" t="str">
        <f aca="false">Scoring!DC83</f>
        <v/>
      </c>
      <c r="E76" s="146" t="str">
        <f aca="false">Scoring!BL83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Scoring!DE83</f>
        <v/>
      </c>
      <c r="I76" s="148" t="str">
        <f aca="false">Scoring!DD83</f>
        <v/>
      </c>
    </row>
    <row r="77" customFormat="false" ht="15.75" hidden="false" customHeight="false" outlineLevel="0" collapsed="false">
      <c r="A77" s="146" t="str">
        <f aca="false">Scoring!DG84</f>
        <v/>
      </c>
      <c r="B77" s="146" t="str">
        <f aca="false">Scoring!DF84</f>
        <v/>
      </c>
      <c r="C77" s="146" t="n">
        <f aca="false">Scoring!C84</f>
        <v>0</v>
      </c>
      <c r="D77" s="147" t="str">
        <f aca="false">Scoring!DC84</f>
        <v/>
      </c>
      <c r="E77" s="146" t="str">
        <f aca="false">Scoring!BL84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Scoring!DE84</f>
        <v/>
      </c>
      <c r="I77" s="148" t="str">
        <f aca="false">Scoring!DD84</f>
        <v/>
      </c>
    </row>
    <row r="78" customFormat="false" ht="15.75" hidden="false" customHeight="false" outlineLevel="0" collapsed="false">
      <c r="A78" s="146" t="str">
        <f aca="false">Scoring!DG85</f>
        <v/>
      </c>
      <c r="B78" s="146" t="str">
        <f aca="false">Scoring!DF85</f>
        <v/>
      </c>
      <c r="C78" s="146" t="n">
        <f aca="false">Scoring!C85</f>
        <v>0</v>
      </c>
      <c r="D78" s="147" t="str">
        <f aca="false">Scoring!DC85</f>
        <v/>
      </c>
      <c r="E78" s="146" t="str">
        <f aca="false">Scoring!BL85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Scoring!DE85</f>
        <v/>
      </c>
      <c r="I78" s="148" t="str">
        <f aca="false">Scoring!DD85</f>
        <v/>
      </c>
    </row>
    <row r="79" customFormat="false" ht="15.75" hidden="false" customHeight="false" outlineLevel="0" collapsed="false">
      <c r="A79" s="146" t="str">
        <f aca="false">Scoring!DG86</f>
        <v/>
      </c>
      <c r="B79" s="146" t="str">
        <f aca="false">Scoring!DF86</f>
        <v/>
      </c>
      <c r="C79" s="146" t="n">
        <f aca="false">Scoring!C86</f>
        <v>0</v>
      </c>
      <c r="D79" s="147" t="str">
        <f aca="false">Scoring!DC86</f>
        <v/>
      </c>
      <c r="E79" s="146" t="str">
        <f aca="false">Scoring!BL86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Scoring!DE86</f>
        <v/>
      </c>
      <c r="I79" s="148" t="str">
        <f aca="false">Scoring!DD86</f>
        <v/>
      </c>
    </row>
    <row r="80" customFormat="false" ht="15.75" hidden="false" customHeight="false" outlineLevel="0" collapsed="false">
      <c r="A80" s="146" t="str">
        <f aca="false">Scoring!DG87</f>
        <v/>
      </c>
      <c r="B80" s="146" t="str">
        <f aca="false">Scoring!DF87</f>
        <v/>
      </c>
      <c r="C80" s="146" t="n">
        <f aca="false">Scoring!C87</f>
        <v>0</v>
      </c>
      <c r="D80" s="147" t="str">
        <f aca="false">Scoring!DC87</f>
        <v/>
      </c>
      <c r="E80" s="146" t="str">
        <f aca="false">Scoring!BL87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Scoring!DE87</f>
        <v/>
      </c>
      <c r="I80" s="148" t="str">
        <f aca="false">Scoring!DD87</f>
        <v/>
      </c>
    </row>
    <row r="81" customFormat="false" ht="15.75" hidden="false" customHeight="false" outlineLevel="0" collapsed="false">
      <c r="A81" s="146" t="str">
        <f aca="false">Scoring!DG88</f>
        <v/>
      </c>
      <c r="B81" s="146" t="str">
        <f aca="false">Scoring!DF88</f>
        <v/>
      </c>
      <c r="C81" s="146" t="n">
        <f aca="false">Scoring!C88</f>
        <v>0</v>
      </c>
      <c r="D81" s="147" t="str">
        <f aca="false">Scoring!DC88</f>
        <v/>
      </c>
      <c r="E81" s="146" t="str">
        <f aca="false">Scoring!BL88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Scoring!DE88</f>
        <v/>
      </c>
      <c r="I81" s="148" t="str">
        <f aca="false">Scoring!DD88</f>
        <v/>
      </c>
    </row>
    <row r="82" customFormat="false" ht="15.75" hidden="false" customHeight="false" outlineLevel="0" collapsed="false">
      <c r="A82" s="146" t="str">
        <f aca="false">Scoring!DG89</f>
        <v/>
      </c>
      <c r="B82" s="146" t="str">
        <f aca="false">Scoring!DF89</f>
        <v/>
      </c>
      <c r="C82" s="146" t="n">
        <f aca="false">Scoring!C89</f>
        <v>0</v>
      </c>
      <c r="D82" s="147" t="str">
        <f aca="false">Scoring!DC89</f>
        <v/>
      </c>
      <c r="E82" s="146" t="str">
        <f aca="false">Scoring!BL89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Scoring!DE89</f>
        <v/>
      </c>
      <c r="I82" s="148" t="str">
        <f aca="false">Scoring!DD89</f>
        <v/>
      </c>
    </row>
    <row r="83" customFormat="false" ht="15.75" hidden="false" customHeight="false" outlineLevel="0" collapsed="false">
      <c r="A83" s="146" t="str">
        <f aca="false">Scoring!DG90</f>
        <v/>
      </c>
      <c r="B83" s="146" t="str">
        <f aca="false">Scoring!DF90</f>
        <v/>
      </c>
      <c r="C83" s="146" t="n">
        <f aca="false">Scoring!C90</f>
        <v>0</v>
      </c>
      <c r="D83" s="147" t="str">
        <f aca="false">Scoring!DC90</f>
        <v/>
      </c>
      <c r="E83" s="146" t="str">
        <f aca="false">Scoring!BL90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Scoring!DE90</f>
        <v/>
      </c>
      <c r="I83" s="148" t="str">
        <f aca="false">Scoring!DD90</f>
        <v/>
      </c>
    </row>
    <row r="84" customFormat="false" ht="15.75" hidden="false" customHeight="false" outlineLevel="0" collapsed="false">
      <c r="A84" s="146" t="str">
        <f aca="false">Scoring!DG91</f>
        <v/>
      </c>
      <c r="B84" s="146" t="str">
        <f aca="false">Scoring!DF91</f>
        <v/>
      </c>
      <c r="C84" s="146" t="n">
        <f aca="false">Scoring!C91</f>
        <v>0</v>
      </c>
      <c r="D84" s="147" t="str">
        <f aca="false">Scoring!DC91</f>
        <v/>
      </c>
      <c r="E84" s="146" t="str">
        <f aca="false">Scoring!BL91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Scoring!DE91</f>
        <v/>
      </c>
      <c r="I84" s="148" t="str">
        <f aca="false">Scoring!DD91</f>
        <v/>
      </c>
    </row>
    <row r="85" customFormat="false" ht="15.75" hidden="false" customHeight="false" outlineLevel="0" collapsed="false">
      <c r="A85" s="146" t="str">
        <f aca="false">Scoring!DG92</f>
        <v/>
      </c>
      <c r="B85" s="146" t="str">
        <f aca="false">Scoring!DF92</f>
        <v/>
      </c>
      <c r="C85" s="146" t="n">
        <f aca="false">Scoring!C92</f>
        <v>0</v>
      </c>
      <c r="D85" s="147" t="str">
        <f aca="false">Scoring!DC92</f>
        <v/>
      </c>
      <c r="E85" s="146" t="str">
        <f aca="false">Scoring!BL92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Scoring!DE92</f>
        <v/>
      </c>
      <c r="I85" s="148" t="str">
        <f aca="false">Scoring!DD92</f>
        <v/>
      </c>
    </row>
    <row r="86" customFormat="false" ht="15.75" hidden="false" customHeight="false" outlineLevel="0" collapsed="false">
      <c r="A86" s="146" t="str">
        <f aca="false">Scoring!DG93</f>
        <v/>
      </c>
      <c r="B86" s="146" t="str">
        <f aca="false">Scoring!DF93</f>
        <v/>
      </c>
      <c r="C86" s="146" t="n">
        <f aca="false">Scoring!C93</f>
        <v>0</v>
      </c>
      <c r="D86" s="147" t="str">
        <f aca="false">Scoring!DC93</f>
        <v/>
      </c>
      <c r="E86" s="146" t="str">
        <f aca="false">Scoring!BL93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Scoring!DE93</f>
        <v/>
      </c>
      <c r="I86" s="148" t="str">
        <f aca="false">Scoring!DD93</f>
        <v/>
      </c>
    </row>
    <row r="87" customFormat="false" ht="15.75" hidden="false" customHeight="false" outlineLevel="0" collapsed="false">
      <c r="A87" s="146" t="str">
        <f aca="false">Scoring!DG94</f>
        <v/>
      </c>
      <c r="B87" s="146" t="str">
        <f aca="false">Scoring!DF94</f>
        <v/>
      </c>
      <c r="C87" s="146" t="n">
        <f aca="false">Scoring!C94</f>
        <v>0</v>
      </c>
      <c r="D87" s="147" t="str">
        <f aca="false">Scoring!DC94</f>
        <v/>
      </c>
      <c r="E87" s="146" t="str">
        <f aca="false">Scoring!BL94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Scoring!DE94</f>
        <v/>
      </c>
      <c r="I87" s="148" t="str">
        <f aca="false">Scoring!DD94</f>
        <v/>
      </c>
    </row>
    <row r="88" customFormat="false" ht="15.75" hidden="false" customHeight="false" outlineLevel="0" collapsed="false">
      <c r="A88" s="146" t="str">
        <f aca="false">Scoring!DG95</f>
        <v/>
      </c>
      <c r="B88" s="146" t="str">
        <f aca="false">Scoring!DF95</f>
        <v/>
      </c>
      <c r="C88" s="146" t="n">
        <f aca="false">Scoring!C95</f>
        <v>0</v>
      </c>
      <c r="D88" s="147" t="str">
        <f aca="false">Scoring!DC95</f>
        <v/>
      </c>
      <c r="E88" s="146" t="str">
        <f aca="false">Scoring!BL95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Scoring!DE95</f>
        <v/>
      </c>
      <c r="I88" s="148" t="str">
        <f aca="false">Scoring!DD95</f>
        <v/>
      </c>
    </row>
    <row r="89" customFormat="false" ht="15.75" hidden="false" customHeight="false" outlineLevel="0" collapsed="false">
      <c r="A89" s="146" t="str">
        <f aca="false">Scoring!DG96</f>
        <v/>
      </c>
      <c r="B89" s="146" t="str">
        <f aca="false">Scoring!DF96</f>
        <v/>
      </c>
      <c r="C89" s="146" t="n">
        <f aca="false">Scoring!C96</f>
        <v>0</v>
      </c>
      <c r="D89" s="147" t="str">
        <f aca="false">Scoring!DC96</f>
        <v/>
      </c>
      <c r="E89" s="146" t="str">
        <f aca="false">Scoring!BL96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Scoring!DE96</f>
        <v/>
      </c>
      <c r="I89" s="148" t="str">
        <f aca="false">Scoring!DD96</f>
        <v/>
      </c>
    </row>
    <row r="90" customFormat="false" ht="15.75" hidden="false" customHeight="false" outlineLevel="0" collapsed="false">
      <c r="A90" s="146" t="str">
        <f aca="false">Scoring!DG97</f>
        <v/>
      </c>
      <c r="B90" s="146" t="str">
        <f aca="false">Scoring!DF97</f>
        <v/>
      </c>
      <c r="C90" s="146" t="n">
        <f aca="false">Scoring!C97</f>
        <v>0</v>
      </c>
      <c r="D90" s="147" t="str">
        <f aca="false">Scoring!DC97</f>
        <v/>
      </c>
      <c r="E90" s="146" t="str">
        <f aca="false">Scoring!BL97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Scoring!DE97</f>
        <v/>
      </c>
      <c r="I90" s="148" t="str">
        <f aca="false">Scoring!DD97</f>
        <v/>
      </c>
    </row>
    <row r="91" customFormat="false" ht="15.75" hidden="false" customHeight="false" outlineLevel="0" collapsed="false">
      <c r="A91" s="146" t="str">
        <f aca="false">Scoring!DG98</f>
        <v/>
      </c>
      <c r="B91" s="146" t="str">
        <f aca="false">Scoring!DF98</f>
        <v/>
      </c>
      <c r="C91" s="146" t="n">
        <f aca="false">Scoring!C98</f>
        <v>0</v>
      </c>
      <c r="D91" s="147" t="str">
        <f aca="false">Scoring!DC98</f>
        <v/>
      </c>
      <c r="E91" s="146" t="str">
        <f aca="false">Scoring!BL98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Scoring!DE98</f>
        <v/>
      </c>
      <c r="I91" s="148" t="str">
        <f aca="false">Scoring!DD98</f>
        <v/>
      </c>
    </row>
    <row r="92" customFormat="false" ht="15.75" hidden="false" customHeight="false" outlineLevel="0" collapsed="false">
      <c r="A92" s="146" t="str">
        <f aca="false">Scoring!DG99</f>
        <v/>
      </c>
      <c r="B92" s="146" t="str">
        <f aca="false">Scoring!DF99</f>
        <v/>
      </c>
      <c r="C92" s="146" t="n">
        <f aca="false">Scoring!C99</f>
        <v>0</v>
      </c>
      <c r="D92" s="147" t="str">
        <f aca="false">Scoring!DC99</f>
        <v/>
      </c>
      <c r="E92" s="146" t="str">
        <f aca="false">Scoring!BL99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Scoring!DE99</f>
        <v/>
      </c>
      <c r="I92" s="148" t="str">
        <f aca="false">Scoring!DD99</f>
        <v/>
      </c>
    </row>
    <row r="93" customFormat="false" ht="15.75" hidden="false" customHeight="false" outlineLevel="0" collapsed="false">
      <c r="A93" s="146" t="str">
        <f aca="false">Scoring!DG100</f>
        <v/>
      </c>
      <c r="B93" s="146" t="str">
        <f aca="false">Scoring!DF100</f>
        <v/>
      </c>
      <c r="C93" s="146" t="n">
        <f aca="false">Scoring!C100</f>
        <v>0</v>
      </c>
      <c r="D93" s="147" t="str">
        <f aca="false">Scoring!DC100</f>
        <v/>
      </c>
      <c r="E93" s="146" t="str">
        <f aca="false">Scoring!BL100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Scoring!DE100</f>
        <v/>
      </c>
      <c r="I93" s="148" t="str">
        <f aca="false">Scoring!DD100</f>
        <v/>
      </c>
    </row>
    <row r="94" customFormat="false" ht="15.75" hidden="false" customHeight="false" outlineLevel="0" collapsed="false">
      <c r="A94" s="146" t="str">
        <f aca="false">Scoring!DG101</f>
        <v/>
      </c>
      <c r="B94" s="146" t="str">
        <f aca="false">Scoring!DF101</f>
        <v/>
      </c>
      <c r="C94" s="146" t="n">
        <f aca="false">Scoring!C101</f>
        <v>0</v>
      </c>
      <c r="D94" s="147" t="str">
        <f aca="false">Scoring!DC101</f>
        <v/>
      </c>
      <c r="E94" s="146" t="str">
        <f aca="false">Scoring!BL101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Scoring!DE101</f>
        <v/>
      </c>
      <c r="I94" s="148" t="str">
        <f aca="false">Scoring!DD101</f>
        <v/>
      </c>
    </row>
    <row r="95" customFormat="false" ht="15.75" hidden="false" customHeight="false" outlineLevel="0" collapsed="false">
      <c r="A95" s="146" t="str">
        <f aca="false">Scoring!DG102</f>
        <v/>
      </c>
      <c r="B95" s="146" t="str">
        <f aca="false">Scoring!DF102</f>
        <v/>
      </c>
      <c r="C95" s="146" t="n">
        <f aca="false">Scoring!C102</f>
        <v>0</v>
      </c>
      <c r="D95" s="147" t="str">
        <f aca="false">Scoring!DC102</f>
        <v/>
      </c>
      <c r="E95" s="146" t="str">
        <f aca="false">Scoring!BL102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Scoring!DE102</f>
        <v/>
      </c>
      <c r="I95" s="148" t="str">
        <f aca="false">Scoring!DD102</f>
        <v/>
      </c>
    </row>
    <row r="96" customFormat="false" ht="15.75" hidden="false" customHeight="false" outlineLevel="0" collapsed="false">
      <c r="A96" s="146" t="str">
        <f aca="false">Scoring!DG103</f>
        <v/>
      </c>
      <c r="B96" s="146" t="str">
        <f aca="false">Scoring!DF103</f>
        <v/>
      </c>
      <c r="C96" s="146" t="n">
        <f aca="false">Scoring!C103</f>
        <v>0</v>
      </c>
      <c r="D96" s="147" t="str">
        <f aca="false">Scoring!DC103</f>
        <v/>
      </c>
      <c r="E96" s="146" t="str">
        <f aca="false">Scoring!BL103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Scoring!DE103</f>
        <v/>
      </c>
      <c r="I96" s="148" t="str">
        <f aca="false">Scoring!DD103</f>
        <v/>
      </c>
    </row>
    <row r="97" customFormat="false" ht="15.75" hidden="false" customHeight="false" outlineLevel="0" collapsed="false">
      <c r="A97" s="146" t="str">
        <f aca="false">Scoring!DG104</f>
        <v/>
      </c>
      <c r="B97" s="146" t="str">
        <f aca="false">Scoring!DF104</f>
        <v/>
      </c>
      <c r="C97" s="146" t="n">
        <f aca="false">Scoring!C104</f>
        <v>0</v>
      </c>
      <c r="D97" s="147" t="str">
        <f aca="false">Scoring!DC104</f>
        <v/>
      </c>
      <c r="E97" s="146" t="str">
        <f aca="false">Scoring!BL104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Scoring!DE104</f>
        <v/>
      </c>
      <c r="I97" s="148" t="str">
        <f aca="false">Scoring!DD104</f>
        <v/>
      </c>
    </row>
    <row r="98" customFormat="false" ht="15.75" hidden="false" customHeight="false" outlineLevel="0" collapsed="false">
      <c r="A98" s="146" t="str">
        <f aca="false">Scoring!DG105</f>
        <v/>
      </c>
      <c r="B98" s="146" t="str">
        <f aca="false">Scoring!DF105</f>
        <v/>
      </c>
      <c r="C98" s="146" t="n">
        <f aca="false">Scoring!C105</f>
        <v>0</v>
      </c>
      <c r="D98" s="147" t="str">
        <f aca="false">Scoring!DC105</f>
        <v/>
      </c>
      <c r="E98" s="146" t="str">
        <f aca="false">Scoring!BL105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Scoring!DE105</f>
        <v/>
      </c>
      <c r="I98" s="148" t="str">
        <f aca="false">Scoring!DD105</f>
        <v/>
      </c>
    </row>
    <row r="99" customFormat="false" ht="15.75" hidden="false" customHeight="false" outlineLevel="0" collapsed="false">
      <c r="A99" s="146" t="str">
        <f aca="false">Scoring!DG106</f>
        <v/>
      </c>
      <c r="B99" s="146" t="str">
        <f aca="false">Scoring!DF106</f>
        <v/>
      </c>
      <c r="C99" s="146" t="n">
        <f aca="false">Scoring!C106</f>
        <v>0</v>
      </c>
      <c r="D99" s="147" t="str">
        <f aca="false">Scoring!DC106</f>
        <v/>
      </c>
      <c r="E99" s="146" t="str">
        <f aca="false">Scoring!BL106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Scoring!DE106</f>
        <v/>
      </c>
      <c r="I99" s="148" t="str">
        <f aca="false">Scoring!DD106</f>
        <v/>
      </c>
    </row>
    <row r="100" customFormat="false" ht="15.75" hidden="false" customHeight="false" outlineLevel="0" collapsed="false">
      <c r="A100" s="146" t="str">
        <f aca="false">Scoring!DG107</f>
        <v/>
      </c>
      <c r="B100" s="146" t="str">
        <f aca="false">Scoring!DF107</f>
        <v/>
      </c>
      <c r="C100" s="146" t="n">
        <f aca="false">Scoring!C107</f>
        <v>0</v>
      </c>
      <c r="D100" s="147" t="str">
        <f aca="false">Scoring!DC107</f>
        <v/>
      </c>
      <c r="E100" s="146" t="str">
        <f aca="false">Scoring!BL107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Scoring!DE107</f>
        <v/>
      </c>
      <c r="I100" s="148" t="str">
        <f aca="false">Scoring!DD107</f>
        <v/>
      </c>
    </row>
    <row r="101" customFormat="false" ht="15.75" hidden="false" customHeight="false" outlineLevel="0" collapsed="false">
      <c r="A101" s="146" t="str">
        <f aca="false">Scoring!DG108</f>
        <v/>
      </c>
      <c r="B101" s="146" t="str">
        <f aca="false">Scoring!DF108</f>
        <v/>
      </c>
      <c r="C101" s="146" t="n">
        <f aca="false">Scoring!C108</f>
        <v>0</v>
      </c>
      <c r="D101" s="147" t="str">
        <f aca="false">Scoring!DC108</f>
        <v/>
      </c>
      <c r="E101" s="146" t="str">
        <f aca="false">Scoring!BL108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Scoring!DE108</f>
        <v/>
      </c>
      <c r="I101" s="148" t="str">
        <f aca="false">Scoring!DD108</f>
        <v/>
      </c>
    </row>
    <row r="102" customFormat="false" ht="15.75" hidden="false" customHeight="false" outlineLevel="0" collapsed="false">
      <c r="A102" s="146" t="str">
        <f aca="false">Scoring!DG109</f>
        <v/>
      </c>
      <c r="B102" s="146" t="str">
        <f aca="false">Scoring!DF109</f>
        <v/>
      </c>
      <c r="C102" s="146" t="n">
        <f aca="false">Scoring!C109</f>
        <v>0</v>
      </c>
      <c r="D102" s="147" t="str">
        <f aca="false">Scoring!DC109</f>
        <v/>
      </c>
      <c r="E102" s="146" t="str">
        <f aca="false">Scoring!BL109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Scoring!DE109</f>
        <v/>
      </c>
      <c r="I102" s="148" t="str">
        <f aca="false">Scoring!DD109</f>
        <v/>
      </c>
    </row>
    <row r="103" customFormat="false" ht="15.75" hidden="false" customHeight="false" outlineLevel="0" collapsed="false">
      <c r="A103" s="146" t="str">
        <f aca="false">Scoring!DG110</f>
        <v/>
      </c>
      <c r="B103" s="146" t="str">
        <f aca="false">Scoring!DF110</f>
        <v/>
      </c>
      <c r="C103" s="146" t="n">
        <f aca="false">Scoring!C110</f>
        <v>0</v>
      </c>
      <c r="D103" s="147" t="str">
        <f aca="false">Scoring!DC110</f>
        <v/>
      </c>
      <c r="E103" s="146" t="str">
        <f aca="false">Scoring!BL110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Scoring!DE110</f>
        <v/>
      </c>
      <c r="I103" s="148" t="str">
        <f aca="false">Scoring!DD110</f>
        <v/>
      </c>
    </row>
    <row r="104" customFormat="false" ht="15.75" hidden="false" customHeight="false" outlineLevel="0" collapsed="false">
      <c r="A104" s="146" t="str">
        <f aca="false">Scoring!DG111</f>
        <v/>
      </c>
      <c r="B104" s="146" t="str">
        <f aca="false">Scoring!DF111</f>
        <v/>
      </c>
      <c r="C104" s="146" t="n">
        <f aca="false">Scoring!C111</f>
        <v>0</v>
      </c>
      <c r="D104" s="147" t="str">
        <f aca="false">Scoring!DC111</f>
        <v/>
      </c>
      <c r="E104" s="146" t="str">
        <f aca="false">Scoring!BL111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Scoring!DE111</f>
        <v/>
      </c>
      <c r="I104" s="148" t="str">
        <f aca="false">Scoring!DD111</f>
        <v/>
      </c>
    </row>
    <row r="105" customFormat="false" ht="15.75" hidden="false" customHeight="false" outlineLevel="0" collapsed="false">
      <c r="A105" s="146" t="str">
        <f aca="false">Scoring!DG112</f>
        <v/>
      </c>
      <c r="B105" s="146" t="str">
        <f aca="false">Scoring!DF112</f>
        <v/>
      </c>
      <c r="C105" s="146" t="n">
        <f aca="false">Scoring!C112</f>
        <v>0</v>
      </c>
      <c r="D105" s="147" t="str">
        <f aca="false">Scoring!DC112</f>
        <v/>
      </c>
      <c r="E105" s="146" t="str">
        <f aca="false">Scoring!BL112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Scoring!DE112</f>
        <v/>
      </c>
      <c r="I105" s="148" t="str">
        <f aca="false">Scoring!DD112</f>
        <v/>
      </c>
    </row>
    <row r="106" customFormat="false" ht="15.75" hidden="false" customHeight="false" outlineLevel="0" collapsed="false">
      <c r="A106" s="146" t="str">
        <f aca="false">Scoring!DG113</f>
        <v/>
      </c>
      <c r="B106" s="146" t="str">
        <f aca="false">Scoring!DF113</f>
        <v/>
      </c>
      <c r="C106" s="146" t="n">
        <f aca="false">Scoring!C113</f>
        <v>0</v>
      </c>
      <c r="D106" s="147" t="str">
        <f aca="false">Scoring!DC113</f>
        <v/>
      </c>
      <c r="E106" s="146" t="str">
        <f aca="false">Scoring!BL113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Scoring!DE113</f>
        <v/>
      </c>
      <c r="I106" s="148" t="str">
        <f aca="false">Scoring!DD113</f>
        <v/>
      </c>
    </row>
    <row r="107" customFormat="false" ht="15.75" hidden="false" customHeight="false" outlineLevel="0" collapsed="false">
      <c r="A107" s="146" t="str">
        <f aca="false">Scoring!DG114</f>
        <v/>
      </c>
      <c r="B107" s="146" t="str">
        <f aca="false">Scoring!DF114</f>
        <v/>
      </c>
      <c r="C107" s="146" t="n">
        <f aca="false">Scoring!C114</f>
        <v>0</v>
      </c>
      <c r="D107" s="147" t="str">
        <f aca="false">Scoring!DC114</f>
        <v/>
      </c>
      <c r="E107" s="146" t="str">
        <f aca="false">Scoring!BL114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Scoring!DE114</f>
        <v/>
      </c>
      <c r="I107" s="148" t="str">
        <f aca="false">Scoring!DD114</f>
        <v/>
      </c>
    </row>
    <row r="108" customFormat="false" ht="15.75" hidden="false" customHeight="false" outlineLevel="0" collapsed="false">
      <c r="A108" s="146" t="str">
        <f aca="false">Scoring!DG115</f>
        <v/>
      </c>
      <c r="B108" s="146" t="str">
        <f aca="false">Scoring!DF115</f>
        <v/>
      </c>
      <c r="C108" s="146" t="n">
        <f aca="false">Scoring!C115</f>
        <v>0</v>
      </c>
      <c r="D108" s="147" t="str">
        <f aca="false">Scoring!DC115</f>
        <v/>
      </c>
      <c r="E108" s="146" t="str">
        <f aca="false">Scoring!BL115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Scoring!DE115</f>
        <v/>
      </c>
      <c r="I108" s="148" t="str">
        <f aca="false">Scoring!DD115</f>
        <v/>
      </c>
    </row>
    <row r="109" customFormat="false" ht="15.75" hidden="false" customHeight="false" outlineLevel="0" collapsed="false">
      <c r="A109" s="146" t="str">
        <f aca="false">Scoring!DG116</f>
        <v/>
      </c>
      <c r="B109" s="146" t="str">
        <f aca="false">Scoring!DF116</f>
        <v/>
      </c>
      <c r="C109" s="146" t="n">
        <f aca="false">Scoring!C116</f>
        <v>0</v>
      </c>
      <c r="D109" s="147" t="str">
        <f aca="false">Scoring!DC116</f>
        <v/>
      </c>
      <c r="E109" s="146" t="str">
        <f aca="false">Scoring!BL116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Scoring!DE116</f>
        <v/>
      </c>
      <c r="I109" s="148" t="str">
        <f aca="false">Scoring!DD116</f>
        <v/>
      </c>
    </row>
    <row r="110" customFormat="false" ht="15.75" hidden="false" customHeight="false" outlineLevel="0" collapsed="false">
      <c r="A110" s="146" t="str">
        <f aca="false">Scoring!DG117</f>
        <v/>
      </c>
      <c r="B110" s="146" t="str">
        <f aca="false">Scoring!DF117</f>
        <v/>
      </c>
      <c r="C110" s="146" t="n">
        <f aca="false">Scoring!C117</f>
        <v>0</v>
      </c>
      <c r="D110" s="147" t="str">
        <f aca="false">Scoring!DC117</f>
        <v/>
      </c>
      <c r="E110" s="146" t="str">
        <f aca="false">Scoring!BL117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Scoring!DE117</f>
        <v/>
      </c>
      <c r="I110" s="148" t="str">
        <f aca="false">Scoring!DD117</f>
        <v/>
      </c>
    </row>
    <row r="111" customFormat="false" ht="15.75" hidden="false" customHeight="false" outlineLevel="0" collapsed="false">
      <c r="A111" s="146" t="str">
        <f aca="false">Scoring!DG118</f>
        <v/>
      </c>
      <c r="B111" s="146" t="str">
        <f aca="false">Scoring!DF118</f>
        <v/>
      </c>
      <c r="C111" s="146" t="n">
        <f aca="false">Scoring!C118</f>
        <v>0</v>
      </c>
      <c r="D111" s="147" t="str">
        <f aca="false">Scoring!DC118</f>
        <v/>
      </c>
      <c r="E111" s="146" t="str">
        <f aca="false">Scoring!BL118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Scoring!DE118</f>
        <v/>
      </c>
      <c r="I111" s="148" t="str">
        <f aca="false">Scoring!DD118</f>
        <v/>
      </c>
    </row>
    <row r="112" customFormat="false" ht="15.75" hidden="false" customHeight="false" outlineLevel="0" collapsed="false">
      <c r="A112" s="146" t="str">
        <f aca="false">Scoring!DG119</f>
        <v/>
      </c>
      <c r="B112" s="146" t="str">
        <f aca="false">Scoring!DF119</f>
        <v/>
      </c>
      <c r="C112" s="146" t="n">
        <f aca="false">Scoring!C119</f>
        <v>0</v>
      </c>
      <c r="D112" s="147" t="str">
        <f aca="false">Scoring!DC119</f>
        <v/>
      </c>
      <c r="E112" s="146" t="str">
        <f aca="false">Scoring!BL119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Scoring!DE119</f>
        <v/>
      </c>
      <c r="I112" s="148" t="str">
        <f aca="false">Scoring!DD119</f>
        <v/>
      </c>
    </row>
    <row r="113" customFormat="false" ht="15.75" hidden="false" customHeight="false" outlineLevel="0" collapsed="false">
      <c r="A113" s="146" t="str">
        <f aca="false">Scoring!DG120</f>
        <v/>
      </c>
      <c r="B113" s="146" t="str">
        <f aca="false">Scoring!DF120</f>
        <v/>
      </c>
      <c r="C113" s="146" t="n">
        <f aca="false">Scoring!C120</f>
        <v>0</v>
      </c>
      <c r="D113" s="147" t="str">
        <f aca="false">Scoring!DC120</f>
        <v/>
      </c>
      <c r="E113" s="146" t="str">
        <f aca="false">Scoring!BL120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Scoring!DE120</f>
        <v/>
      </c>
      <c r="I113" s="148" t="str">
        <f aca="false">Scoring!DD120</f>
        <v/>
      </c>
    </row>
    <row r="114" customFormat="false" ht="15.75" hidden="false" customHeight="false" outlineLevel="0" collapsed="false">
      <c r="A114" s="146" t="str">
        <f aca="false">Scoring!DG121</f>
        <v/>
      </c>
      <c r="B114" s="146" t="str">
        <f aca="false">Scoring!DF121</f>
        <v/>
      </c>
      <c r="C114" s="146" t="n">
        <f aca="false">Scoring!C121</f>
        <v>0</v>
      </c>
      <c r="D114" s="147" t="str">
        <f aca="false">Scoring!DC121</f>
        <v/>
      </c>
      <c r="E114" s="146" t="str">
        <f aca="false">Scoring!BL121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Scoring!DE121</f>
        <v/>
      </c>
      <c r="I114" s="148" t="str">
        <f aca="false">Scoring!DD121</f>
        <v/>
      </c>
    </row>
    <row r="115" customFormat="false" ht="15.75" hidden="false" customHeight="false" outlineLevel="0" collapsed="false">
      <c r="A115" s="146" t="str">
        <f aca="false">Scoring!DG122</f>
        <v/>
      </c>
      <c r="B115" s="146" t="str">
        <f aca="false">Scoring!DF122</f>
        <v/>
      </c>
      <c r="C115" s="146" t="n">
        <f aca="false">Scoring!C122</f>
        <v>0</v>
      </c>
      <c r="D115" s="147" t="str">
        <f aca="false">Scoring!DC122</f>
        <v/>
      </c>
      <c r="E115" s="146" t="str">
        <f aca="false">Scoring!BL122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Scoring!DE122</f>
        <v/>
      </c>
      <c r="I115" s="148" t="str">
        <f aca="false">Scoring!DD122</f>
        <v/>
      </c>
    </row>
    <row r="116" customFormat="false" ht="15.75" hidden="false" customHeight="false" outlineLevel="0" collapsed="false">
      <c r="A116" s="146" t="str">
        <f aca="false">Scoring!DG123</f>
        <v/>
      </c>
      <c r="B116" s="146" t="str">
        <f aca="false">Scoring!DF123</f>
        <v/>
      </c>
      <c r="C116" s="146" t="n">
        <f aca="false">Scoring!C123</f>
        <v>0</v>
      </c>
      <c r="D116" s="147" t="str">
        <f aca="false">Scoring!DC123</f>
        <v/>
      </c>
      <c r="E116" s="146" t="str">
        <f aca="false">Scoring!BL123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Scoring!DE123</f>
        <v/>
      </c>
      <c r="I116" s="148" t="str">
        <f aca="false">Scoring!DD123</f>
        <v/>
      </c>
    </row>
    <row r="117" customFormat="false" ht="15.75" hidden="false" customHeight="false" outlineLevel="0" collapsed="false">
      <c r="A117" s="146" t="str">
        <f aca="false">Scoring!DG124</f>
        <v/>
      </c>
      <c r="B117" s="146" t="str">
        <f aca="false">Scoring!DF124</f>
        <v/>
      </c>
      <c r="C117" s="146" t="n">
        <f aca="false">Scoring!C124</f>
        <v>0</v>
      </c>
      <c r="D117" s="147" t="str">
        <f aca="false">Scoring!DC124</f>
        <v/>
      </c>
      <c r="E117" s="146" t="str">
        <f aca="false">Scoring!BL124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Scoring!DE124</f>
        <v/>
      </c>
      <c r="I117" s="148" t="str">
        <f aca="false">Scoring!DD124</f>
        <v/>
      </c>
    </row>
    <row r="118" customFormat="false" ht="15.75" hidden="false" customHeight="false" outlineLevel="0" collapsed="false">
      <c r="A118" s="146" t="str">
        <f aca="false">Scoring!DG125</f>
        <v/>
      </c>
      <c r="B118" s="146" t="str">
        <f aca="false">Scoring!DF125</f>
        <v/>
      </c>
      <c r="C118" s="146" t="n">
        <f aca="false">Scoring!C125</f>
        <v>0</v>
      </c>
      <c r="D118" s="147" t="str">
        <f aca="false">Scoring!DC125</f>
        <v/>
      </c>
      <c r="E118" s="146" t="str">
        <f aca="false">Scoring!BL125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Scoring!DE125</f>
        <v/>
      </c>
      <c r="I118" s="148" t="str">
        <f aca="false">Scoring!DD125</f>
        <v/>
      </c>
    </row>
    <row r="119" customFormat="false" ht="15.75" hidden="false" customHeight="false" outlineLevel="0" collapsed="false">
      <c r="A119" s="146" t="str">
        <f aca="false">Scoring!DG126</f>
        <v/>
      </c>
      <c r="B119" s="146" t="str">
        <f aca="false">Scoring!DF126</f>
        <v/>
      </c>
      <c r="C119" s="146" t="n">
        <f aca="false">Scoring!C126</f>
        <v>0</v>
      </c>
      <c r="D119" s="147" t="str">
        <f aca="false">Scoring!DC126</f>
        <v/>
      </c>
      <c r="E119" s="146" t="str">
        <f aca="false">Scoring!BL126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Scoring!DE126</f>
        <v/>
      </c>
      <c r="I119" s="148" t="str">
        <f aca="false">Scoring!DD126</f>
        <v/>
      </c>
    </row>
    <row r="120" customFormat="false" ht="15.75" hidden="false" customHeight="false" outlineLevel="0" collapsed="false">
      <c r="A120" s="146" t="str">
        <f aca="false">Scoring!DG127</f>
        <v/>
      </c>
      <c r="B120" s="146" t="str">
        <f aca="false">Scoring!DF127</f>
        <v/>
      </c>
      <c r="C120" s="146" t="n">
        <f aca="false">Scoring!C127</f>
        <v>0</v>
      </c>
      <c r="D120" s="147" t="str">
        <f aca="false">Scoring!DC127</f>
        <v/>
      </c>
      <c r="E120" s="146" t="str">
        <f aca="false">Scoring!BL127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Scoring!DE127</f>
        <v/>
      </c>
      <c r="I120" s="148" t="str">
        <f aca="false">Scoring!DD127</f>
        <v/>
      </c>
    </row>
    <row r="121" customFormat="false" ht="15.75" hidden="false" customHeight="false" outlineLevel="0" collapsed="false">
      <c r="A121" s="146" t="str">
        <f aca="false">Scoring!DG128</f>
        <v/>
      </c>
      <c r="B121" s="146" t="str">
        <f aca="false">Scoring!DF128</f>
        <v/>
      </c>
      <c r="C121" s="146" t="n">
        <f aca="false">Scoring!C128</f>
        <v>0</v>
      </c>
      <c r="D121" s="147" t="str">
        <f aca="false">Scoring!DC128</f>
        <v/>
      </c>
      <c r="E121" s="146" t="str">
        <f aca="false">Scoring!BL128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Scoring!DE128</f>
        <v/>
      </c>
      <c r="I121" s="148" t="str">
        <f aca="false">Scoring!DD128</f>
        <v/>
      </c>
    </row>
    <row r="122" customFormat="false" ht="15.75" hidden="false" customHeight="false" outlineLevel="0" collapsed="false">
      <c r="A122" s="146" t="str">
        <f aca="false">Scoring!DG129</f>
        <v/>
      </c>
      <c r="B122" s="146" t="str">
        <f aca="false">Scoring!DF129</f>
        <v/>
      </c>
      <c r="C122" s="146" t="n">
        <f aca="false">Scoring!C129</f>
        <v>0</v>
      </c>
      <c r="D122" s="147" t="str">
        <f aca="false">Scoring!DC129</f>
        <v/>
      </c>
      <c r="E122" s="146" t="str">
        <f aca="false">Scoring!BL129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Scoring!DE129</f>
        <v/>
      </c>
      <c r="I122" s="148" t="str">
        <f aca="false">Scoring!DD129</f>
        <v/>
      </c>
    </row>
    <row r="123" customFormat="false" ht="15.75" hidden="false" customHeight="false" outlineLevel="0" collapsed="false">
      <c r="A123" s="146" t="str">
        <f aca="false">Scoring!DG130</f>
        <v/>
      </c>
      <c r="B123" s="146" t="str">
        <f aca="false">Scoring!DF130</f>
        <v/>
      </c>
      <c r="C123" s="146" t="n">
        <f aca="false">Scoring!C130</f>
        <v>0</v>
      </c>
      <c r="D123" s="147" t="str">
        <f aca="false">Scoring!DC130</f>
        <v/>
      </c>
      <c r="E123" s="146" t="str">
        <f aca="false">Scoring!BL130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Scoring!DE130</f>
        <v/>
      </c>
      <c r="I123" s="148" t="str">
        <f aca="false">Scoring!DD130</f>
        <v/>
      </c>
    </row>
    <row r="124" customFormat="false" ht="15.75" hidden="false" customHeight="false" outlineLevel="0" collapsed="false">
      <c r="A124" s="146" t="str">
        <f aca="false">Scoring!DG131</f>
        <v/>
      </c>
      <c r="B124" s="146" t="str">
        <f aca="false">Scoring!DF131</f>
        <v/>
      </c>
      <c r="C124" s="146" t="n">
        <f aca="false">Scoring!C131</f>
        <v>0</v>
      </c>
      <c r="D124" s="147" t="str">
        <f aca="false">Scoring!DC131</f>
        <v/>
      </c>
      <c r="E124" s="146" t="str">
        <f aca="false">Scoring!BL131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Scoring!DE131</f>
        <v/>
      </c>
      <c r="I124" s="148" t="str">
        <f aca="false">Scoring!DD131</f>
        <v/>
      </c>
    </row>
    <row r="125" customFormat="false" ht="15.75" hidden="false" customHeight="false" outlineLevel="0" collapsed="false">
      <c r="A125" s="146" t="str">
        <f aca="false">Scoring!DG132</f>
        <v/>
      </c>
      <c r="B125" s="146" t="str">
        <f aca="false">Scoring!DF132</f>
        <v/>
      </c>
      <c r="C125" s="146" t="n">
        <f aca="false">Scoring!C132</f>
        <v>0</v>
      </c>
      <c r="D125" s="147" t="str">
        <f aca="false">Scoring!DC132</f>
        <v/>
      </c>
      <c r="E125" s="146" t="str">
        <f aca="false">Scoring!BL132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Scoring!DE132</f>
        <v/>
      </c>
      <c r="I125" s="148" t="str">
        <f aca="false">Scoring!DD132</f>
        <v/>
      </c>
    </row>
    <row r="126" customFormat="false" ht="15.75" hidden="false" customHeight="false" outlineLevel="0" collapsed="false">
      <c r="A126" s="146" t="str">
        <f aca="false">Scoring!DG133</f>
        <v/>
      </c>
      <c r="B126" s="146" t="str">
        <f aca="false">Scoring!DF133</f>
        <v/>
      </c>
      <c r="C126" s="146" t="n">
        <f aca="false">Scoring!C133</f>
        <v>0</v>
      </c>
      <c r="D126" s="147" t="str">
        <f aca="false">Scoring!DC133</f>
        <v/>
      </c>
      <c r="E126" s="146" t="str">
        <f aca="false">Scoring!BL133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Scoring!DE133</f>
        <v/>
      </c>
      <c r="I126" s="148" t="str">
        <f aca="false">Scoring!DD133</f>
        <v/>
      </c>
    </row>
    <row r="127" customFormat="false" ht="15.75" hidden="false" customHeight="false" outlineLevel="0" collapsed="false">
      <c r="A127" s="146" t="str">
        <f aca="false">Scoring!DG134</f>
        <v/>
      </c>
      <c r="B127" s="146" t="str">
        <f aca="false">Scoring!DF134</f>
        <v/>
      </c>
      <c r="C127" s="146" t="n">
        <f aca="false">Scoring!C134</f>
        <v>0</v>
      </c>
      <c r="D127" s="147" t="str">
        <f aca="false">Scoring!DC134</f>
        <v/>
      </c>
      <c r="E127" s="146" t="str">
        <f aca="false">Scoring!BL134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Scoring!DE134</f>
        <v/>
      </c>
      <c r="I127" s="148" t="str">
        <f aca="false">Scoring!DD134</f>
        <v/>
      </c>
    </row>
    <row r="128" customFormat="false" ht="15.75" hidden="false" customHeight="false" outlineLevel="0" collapsed="false">
      <c r="A128" s="146" t="str">
        <f aca="false">Scoring!DG135</f>
        <v/>
      </c>
      <c r="B128" s="146" t="str">
        <f aca="false">Scoring!DF135</f>
        <v/>
      </c>
      <c r="C128" s="146" t="n">
        <f aca="false">Scoring!C135</f>
        <v>0</v>
      </c>
      <c r="D128" s="147" t="str">
        <f aca="false">Scoring!DC135</f>
        <v/>
      </c>
      <c r="E128" s="146" t="str">
        <f aca="false">Scoring!BL135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Scoring!DE135</f>
        <v/>
      </c>
      <c r="I128" s="148" t="str">
        <f aca="false">Scoring!DD135</f>
        <v/>
      </c>
    </row>
    <row r="129" customFormat="false" ht="15.75" hidden="false" customHeight="false" outlineLevel="0" collapsed="false">
      <c r="A129" s="146" t="str">
        <f aca="false">Scoring!DG136</f>
        <v/>
      </c>
      <c r="B129" s="146" t="str">
        <f aca="false">Scoring!DF136</f>
        <v/>
      </c>
      <c r="C129" s="146" t="n">
        <f aca="false">Scoring!C136</f>
        <v>0</v>
      </c>
      <c r="D129" s="147" t="str">
        <f aca="false">Scoring!DC136</f>
        <v/>
      </c>
      <c r="E129" s="146" t="str">
        <f aca="false">Scoring!BL136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Scoring!DE136</f>
        <v/>
      </c>
      <c r="I129" s="148" t="str">
        <f aca="false">Scoring!DD136</f>
        <v/>
      </c>
    </row>
    <row r="130" customFormat="false" ht="15.75" hidden="false" customHeight="false" outlineLevel="0" collapsed="false">
      <c r="A130" s="146" t="str">
        <f aca="false">Scoring!DG137</f>
        <v/>
      </c>
      <c r="B130" s="146" t="str">
        <f aca="false">Scoring!DF137</f>
        <v/>
      </c>
      <c r="C130" s="146" t="n">
        <f aca="false">Scoring!C137</f>
        <v>0</v>
      </c>
      <c r="D130" s="147" t="str">
        <f aca="false">Scoring!DC137</f>
        <v/>
      </c>
      <c r="E130" s="146" t="str">
        <f aca="false">Scoring!BL137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Scoring!DE137</f>
        <v/>
      </c>
      <c r="I130" s="148" t="str">
        <f aca="false">Scoring!DD137</f>
        <v/>
      </c>
    </row>
    <row r="131" customFormat="false" ht="15.75" hidden="false" customHeight="false" outlineLevel="0" collapsed="false">
      <c r="A131" s="146" t="str">
        <f aca="false">Scoring!DG138</f>
        <v/>
      </c>
      <c r="B131" s="146" t="str">
        <f aca="false">Scoring!DF138</f>
        <v/>
      </c>
      <c r="C131" s="146" t="n">
        <f aca="false">Scoring!C138</f>
        <v>0</v>
      </c>
      <c r="D131" s="147" t="str">
        <f aca="false">Scoring!DC138</f>
        <v/>
      </c>
      <c r="E131" s="146" t="str">
        <f aca="false">Scoring!BL138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Scoring!DE138</f>
        <v/>
      </c>
      <c r="I131" s="148" t="str">
        <f aca="false">Scoring!DD138</f>
        <v/>
      </c>
    </row>
    <row r="132" customFormat="false" ht="15.75" hidden="false" customHeight="false" outlineLevel="0" collapsed="false">
      <c r="A132" s="146" t="str">
        <f aca="false">Scoring!DG139</f>
        <v/>
      </c>
      <c r="B132" s="146" t="str">
        <f aca="false">Scoring!DF139</f>
        <v/>
      </c>
      <c r="C132" s="146" t="n">
        <f aca="false">Scoring!C139</f>
        <v>0</v>
      </c>
      <c r="D132" s="147" t="str">
        <f aca="false">Scoring!DC139</f>
        <v/>
      </c>
      <c r="E132" s="146" t="str">
        <f aca="false">Scoring!BL139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Scoring!DE139</f>
        <v/>
      </c>
      <c r="I132" s="148" t="str">
        <f aca="false">Scoring!DD139</f>
        <v/>
      </c>
    </row>
    <row r="133" customFormat="false" ht="15.75" hidden="false" customHeight="false" outlineLevel="0" collapsed="false">
      <c r="A133" s="146" t="str">
        <f aca="false">Scoring!DG140</f>
        <v/>
      </c>
      <c r="B133" s="146" t="str">
        <f aca="false">Scoring!DF140</f>
        <v/>
      </c>
      <c r="C133" s="146" t="n">
        <f aca="false">Scoring!C140</f>
        <v>0</v>
      </c>
      <c r="D133" s="147" t="str">
        <f aca="false">Scoring!DC140</f>
        <v/>
      </c>
      <c r="E133" s="146" t="str">
        <f aca="false">Scoring!BL140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Scoring!DE140</f>
        <v/>
      </c>
      <c r="I133" s="148" t="str">
        <f aca="false">Scoring!DD140</f>
        <v/>
      </c>
    </row>
    <row r="134" customFormat="false" ht="15.75" hidden="false" customHeight="false" outlineLevel="0" collapsed="false">
      <c r="A134" s="146" t="str">
        <f aca="false">Scoring!DG141</f>
        <v/>
      </c>
      <c r="B134" s="146" t="str">
        <f aca="false">Scoring!DF141</f>
        <v/>
      </c>
      <c r="C134" s="146" t="n">
        <f aca="false">Scoring!C141</f>
        <v>0</v>
      </c>
      <c r="D134" s="147" t="str">
        <f aca="false">Scoring!DC141</f>
        <v/>
      </c>
      <c r="E134" s="146" t="str">
        <f aca="false">Scoring!BL141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Scoring!DE141</f>
        <v/>
      </c>
      <c r="I134" s="148" t="str">
        <f aca="false">Scoring!DD141</f>
        <v/>
      </c>
    </row>
    <row r="135" customFormat="false" ht="15.75" hidden="false" customHeight="false" outlineLevel="0" collapsed="false">
      <c r="A135" s="146" t="str">
        <f aca="false">Scoring!DG142</f>
        <v/>
      </c>
      <c r="B135" s="146" t="str">
        <f aca="false">Scoring!DF142</f>
        <v/>
      </c>
      <c r="C135" s="146" t="n">
        <f aca="false">Scoring!C142</f>
        <v>0</v>
      </c>
      <c r="D135" s="147" t="str">
        <f aca="false">Scoring!DC142</f>
        <v/>
      </c>
      <c r="E135" s="146" t="str">
        <f aca="false">Scoring!BL142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Scoring!DE142</f>
        <v/>
      </c>
      <c r="I135" s="148" t="str">
        <f aca="false">Scoring!DD142</f>
        <v/>
      </c>
    </row>
    <row r="136" customFormat="false" ht="15.75" hidden="false" customHeight="false" outlineLevel="0" collapsed="false">
      <c r="A136" s="146" t="str">
        <f aca="false">Scoring!DG143</f>
        <v/>
      </c>
      <c r="B136" s="146" t="str">
        <f aca="false">Scoring!DF143</f>
        <v/>
      </c>
      <c r="C136" s="146" t="n">
        <f aca="false">Scoring!C143</f>
        <v>0</v>
      </c>
      <c r="D136" s="147" t="str">
        <f aca="false">Scoring!DC143</f>
        <v/>
      </c>
      <c r="E136" s="146" t="str">
        <f aca="false">Scoring!BL143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Scoring!DE143</f>
        <v/>
      </c>
      <c r="I136" s="148" t="str">
        <f aca="false">Scoring!DD143</f>
        <v/>
      </c>
    </row>
    <row r="137" customFormat="false" ht="15.75" hidden="false" customHeight="false" outlineLevel="0" collapsed="false">
      <c r="A137" s="146" t="str">
        <f aca="false">Scoring!DG144</f>
        <v/>
      </c>
      <c r="B137" s="146" t="str">
        <f aca="false">Scoring!DF144</f>
        <v/>
      </c>
      <c r="C137" s="146" t="n">
        <f aca="false">Scoring!C144</f>
        <v>0</v>
      </c>
      <c r="D137" s="147" t="str">
        <f aca="false">Scoring!DC144</f>
        <v/>
      </c>
      <c r="E137" s="146" t="str">
        <f aca="false">Scoring!BL144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Scoring!DE144</f>
        <v/>
      </c>
      <c r="I137" s="148" t="str">
        <f aca="false">Scoring!DD144</f>
        <v/>
      </c>
    </row>
    <row r="138" customFormat="false" ht="15.75" hidden="false" customHeight="false" outlineLevel="0" collapsed="false">
      <c r="A138" s="146" t="str">
        <f aca="false">Scoring!DG145</f>
        <v/>
      </c>
      <c r="B138" s="146" t="str">
        <f aca="false">Scoring!DF145</f>
        <v/>
      </c>
      <c r="C138" s="146" t="n">
        <f aca="false">Scoring!C145</f>
        <v>0</v>
      </c>
      <c r="D138" s="147" t="str">
        <f aca="false">Scoring!DC145</f>
        <v/>
      </c>
      <c r="E138" s="146" t="str">
        <f aca="false">Scoring!BL145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Scoring!DE145</f>
        <v/>
      </c>
      <c r="I138" s="148" t="str">
        <f aca="false">Scoring!DD145</f>
        <v/>
      </c>
    </row>
    <row r="139" customFormat="false" ht="15.75" hidden="false" customHeight="false" outlineLevel="0" collapsed="false">
      <c r="A139" s="146" t="str">
        <f aca="false">Scoring!DG146</f>
        <v/>
      </c>
      <c r="B139" s="146" t="str">
        <f aca="false">Scoring!DF146</f>
        <v/>
      </c>
      <c r="C139" s="146" t="n">
        <f aca="false">Scoring!C146</f>
        <v>0</v>
      </c>
      <c r="D139" s="147" t="str">
        <f aca="false">Scoring!DC146</f>
        <v/>
      </c>
      <c r="E139" s="146" t="str">
        <f aca="false">Scoring!BL146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Scoring!DE146</f>
        <v/>
      </c>
      <c r="I139" s="148" t="str">
        <f aca="false">Scoring!DD146</f>
        <v/>
      </c>
    </row>
    <row r="140" customFormat="false" ht="15.75" hidden="false" customHeight="false" outlineLevel="0" collapsed="false">
      <c r="A140" s="146" t="str">
        <f aca="false">Scoring!DG147</f>
        <v/>
      </c>
      <c r="B140" s="146" t="str">
        <f aca="false">Scoring!DF147</f>
        <v/>
      </c>
      <c r="C140" s="146" t="n">
        <f aca="false">Scoring!C147</f>
        <v>0</v>
      </c>
      <c r="D140" s="147" t="str">
        <f aca="false">Scoring!DC147</f>
        <v/>
      </c>
      <c r="E140" s="146" t="str">
        <f aca="false">Scoring!BL147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Scoring!DE147</f>
        <v/>
      </c>
      <c r="I140" s="148" t="str">
        <f aca="false">Scoring!DD147</f>
        <v/>
      </c>
    </row>
    <row r="141" customFormat="false" ht="15.75" hidden="false" customHeight="false" outlineLevel="0" collapsed="false">
      <c r="A141" s="146" t="str">
        <f aca="false">Scoring!DG148</f>
        <v/>
      </c>
      <c r="B141" s="146" t="str">
        <f aca="false">Scoring!DF148</f>
        <v/>
      </c>
      <c r="C141" s="146" t="n">
        <f aca="false">Scoring!C148</f>
        <v>0</v>
      </c>
      <c r="D141" s="147" t="str">
        <f aca="false">Scoring!DC148</f>
        <v/>
      </c>
      <c r="E141" s="146" t="str">
        <f aca="false">Scoring!BL148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Scoring!DE148</f>
        <v/>
      </c>
      <c r="I141" s="148" t="str">
        <f aca="false">Scoring!DD148</f>
        <v/>
      </c>
    </row>
    <row r="142" customFormat="false" ht="15.75" hidden="false" customHeight="false" outlineLevel="0" collapsed="false">
      <c r="A142" s="146" t="str">
        <f aca="false">Scoring!DG149</f>
        <v/>
      </c>
      <c r="B142" s="146" t="str">
        <f aca="false">Scoring!DF149</f>
        <v/>
      </c>
      <c r="C142" s="146" t="n">
        <f aca="false">Scoring!C149</f>
        <v>0</v>
      </c>
      <c r="D142" s="147" t="str">
        <f aca="false">Scoring!DC149</f>
        <v/>
      </c>
      <c r="E142" s="146" t="str">
        <f aca="false">Scoring!BL149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Scoring!DE149</f>
        <v/>
      </c>
      <c r="I142" s="148" t="str">
        <f aca="false">Scoring!DD149</f>
        <v/>
      </c>
    </row>
    <row r="143" customFormat="false" ht="15.75" hidden="false" customHeight="false" outlineLevel="0" collapsed="false">
      <c r="A143" s="146" t="str">
        <f aca="false">Scoring!DG150</f>
        <v/>
      </c>
      <c r="B143" s="146" t="str">
        <f aca="false">Scoring!DF150</f>
        <v/>
      </c>
      <c r="C143" s="146" t="n">
        <f aca="false">Scoring!C150</f>
        <v>0</v>
      </c>
      <c r="D143" s="147" t="str">
        <f aca="false">Scoring!DC150</f>
        <v/>
      </c>
      <c r="E143" s="146" t="str">
        <f aca="false">Scoring!BL150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Scoring!DE150</f>
        <v/>
      </c>
      <c r="I143" s="148" t="str">
        <f aca="false">Scoring!DD150</f>
        <v/>
      </c>
    </row>
    <row r="144" customFormat="false" ht="15.75" hidden="false" customHeight="false" outlineLevel="0" collapsed="false">
      <c r="A144" s="146" t="str">
        <f aca="false">Scoring!DG151</f>
        <v/>
      </c>
      <c r="B144" s="146" t="str">
        <f aca="false">Scoring!DF151</f>
        <v/>
      </c>
      <c r="C144" s="146" t="n">
        <f aca="false">Scoring!C151</f>
        <v>0</v>
      </c>
      <c r="D144" s="147" t="str">
        <f aca="false">Scoring!DC151</f>
        <v/>
      </c>
      <c r="E144" s="146" t="str">
        <f aca="false">Scoring!BL151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Scoring!DE151</f>
        <v/>
      </c>
      <c r="I144" s="148" t="str">
        <f aca="false">Scoring!DD151</f>
        <v/>
      </c>
    </row>
    <row r="145" customFormat="false" ht="15.75" hidden="false" customHeight="false" outlineLevel="0" collapsed="false">
      <c r="A145" s="146" t="str">
        <f aca="false">Scoring!DG152</f>
        <v/>
      </c>
      <c r="B145" s="146" t="str">
        <f aca="false">Scoring!DF152</f>
        <v/>
      </c>
      <c r="C145" s="146" t="n">
        <f aca="false">Scoring!C152</f>
        <v>0</v>
      </c>
      <c r="D145" s="147" t="str">
        <f aca="false">Scoring!DC152</f>
        <v/>
      </c>
      <c r="E145" s="146" t="str">
        <f aca="false">Scoring!BL152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Scoring!DE152</f>
        <v/>
      </c>
      <c r="I145" s="148" t="str">
        <f aca="false">Scoring!DD152</f>
        <v/>
      </c>
    </row>
    <row r="146" customFormat="false" ht="15.75" hidden="false" customHeight="false" outlineLevel="0" collapsed="false">
      <c r="A146" s="146" t="str">
        <f aca="false">Scoring!DG153</f>
        <v/>
      </c>
      <c r="B146" s="146" t="str">
        <f aca="false">Scoring!DF153</f>
        <v/>
      </c>
      <c r="C146" s="146" t="n">
        <f aca="false">Scoring!C153</f>
        <v>0</v>
      </c>
      <c r="D146" s="147" t="str">
        <f aca="false">Scoring!DC153</f>
        <v/>
      </c>
      <c r="E146" s="146" t="str">
        <f aca="false">Scoring!BL153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Scoring!DE153</f>
        <v/>
      </c>
      <c r="I146" s="148" t="str">
        <f aca="false">Scoring!DD153</f>
        <v/>
      </c>
    </row>
    <row r="147" customFormat="false" ht="15.75" hidden="false" customHeight="false" outlineLevel="0" collapsed="false">
      <c r="A147" s="146" t="str">
        <f aca="false">Scoring!DG154</f>
        <v/>
      </c>
      <c r="B147" s="146" t="str">
        <f aca="false">Scoring!DF154</f>
        <v/>
      </c>
      <c r="C147" s="146" t="n">
        <f aca="false">Scoring!C154</f>
        <v>0</v>
      </c>
      <c r="D147" s="147" t="str">
        <f aca="false">Scoring!DC154</f>
        <v/>
      </c>
      <c r="E147" s="146" t="str">
        <f aca="false">Scoring!BL154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Scoring!DE154</f>
        <v/>
      </c>
      <c r="I147" s="148" t="str">
        <f aca="false">Scoring!DD154</f>
        <v/>
      </c>
    </row>
    <row r="148" customFormat="false" ht="15.75" hidden="false" customHeight="false" outlineLevel="0" collapsed="false">
      <c r="A148" s="146" t="str">
        <f aca="false">Scoring!DG155</f>
        <v/>
      </c>
      <c r="B148" s="146" t="str">
        <f aca="false">Scoring!DF155</f>
        <v/>
      </c>
      <c r="C148" s="146" t="n">
        <f aca="false">Scoring!C155</f>
        <v>0</v>
      </c>
      <c r="D148" s="147" t="str">
        <f aca="false">Scoring!DC155</f>
        <v/>
      </c>
      <c r="E148" s="146" t="str">
        <f aca="false">Scoring!BL155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Scoring!DE155</f>
        <v/>
      </c>
      <c r="I148" s="148" t="str">
        <f aca="false">Scoring!DD155</f>
        <v/>
      </c>
    </row>
    <row r="149" customFormat="false" ht="15.75" hidden="false" customHeight="false" outlineLevel="0" collapsed="false">
      <c r="A149" s="146" t="str">
        <f aca="false">Scoring!DG156</f>
        <v/>
      </c>
      <c r="B149" s="146" t="str">
        <f aca="false">Scoring!DF156</f>
        <v/>
      </c>
      <c r="C149" s="146" t="n">
        <f aca="false">Scoring!C156</f>
        <v>0</v>
      </c>
      <c r="D149" s="147" t="str">
        <f aca="false">Scoring!DC156</f>
        <v/>
      </c>
      <c r="E149" s="146" t="str">
        <f aca="false">Scoring!BL156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Scoring!DE156</f>
        <v/>
      </c>
      <c r="I149" s="148" t="str">
        <f aca="false">Scoring!DD156</f>
        <v/>
      </c>
    </row>
    <row r="150" customFormat="false" ht="15.75" hidden="false" customHeight="false" outlineLevel="0" collapsed="false">
      <c r="A150" s="146" t="str">
        <f aca="false">Scoring!DG157</f>
        <v/>
      </c>
      <c r="B150" s="146" t="str">
        <f aca="false">Scoring!DF157</f>
        <v/>
      </c>
      <c r="C150" s="146" t="n">
        <f aca="false">Scoring!C157</f>
        <v>0</v>
      </c>
      <c r="D150" s="147" t="str">
        <f aca="false">Scoring!DC157</f>
        <v/>
      </c>
      <c r="E150" s="146" t="str">
        <f aca="false">Scoring!BL157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Scoring!DE157</f>
        <v/>
      </c>
      <c r="I150" s="148" t="str">
        <f aca="false">Scoring!DD157</f>
        <v/>
      </c>
    </row>
    <row r="151" customFormat="false" ht="15.75" hidden="false" customHeight="false" outlineLevel="0" collapsed="false">
      <c r="A151" s="146" t="str">
        <f aca="false">Scoring!DG158</f>
        <v/>
      </c>
      <c r="B151" s="146" t="str">
        <f aca="false">Scoring!DF158</f>
        <v/>
      </c>
      <c r="C151" s="146" t="n">
        <f aca="false">Scoring!C158</f>
        <v>0</v>
      </c>
      <c r="D151" s="147" t="str">
        <f aca="false">Scoring!DC158</f>
        <v/>
      </c>
      <c r="E151" s="146" t="str">
        <f aca="false">Scoring!BL158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Scoring!DE158</f>
        <v/>
      </c>
      <c r="I151" s="148" t="str">
        <f aca="false">Scoring!DD158</f>
        <v/>
      </c>
    </row>
    <row r="152" customFormat="false" ht="15.75" hidden="false" customHeight="false" outlineLevel="0" collapsed="false">
      <c r="A152" s="146" t="str">
        <f aca="false">Scoring!DG159</f>
        <v/>
      </c>
      <c r="B152" s="146" t="str">
        <f aca="false">Scoring!DF159</f>
        <v/>
      </c>
      <c r="C152" s="146" t="n">
        <f aca="false">Scoring!C159</f>
        <v>0</v>
      </c>
      <c r="D152" s="147" t="str">
        <f aca="false">Scoring!DC159</f>
        <v/>
      </c>
      <c r="E152" s="146" t="str">
        <f aca="false">Scoring!BL159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Scoring!DE159</f>
        <v/>
      </c>
      <c r="I152" s="148" t="str">
        <f aca="false">Scoring!DD159</f>
        <v/>
      </c>
    </row>
    <row r="153" customFormat="false" ht="15.75" hidden="false" customHeight="false" outlineLevel="0" collapsed="false">
      <c r="A153" s="146" t="str">
        <f aca="false">Scoring!DG160</f>
        <v/>
      </c>
      <c r="B153" s="146" t="str">
        <f aca="false">Scoring!DF160</f>
        <v/>
      </c>
      <c r="C153" s="146" t="n">
        <f aca="false">Scoring!C160</f>
        <v>0</v>
      </c>
      <c r="D153" s="147" t="str">
        <f aca="false">Scoring!DC160</f>
        <v/>
      </c>
      <c r="E153" s="146" t="str">
        <f aca="false">Scoring!BL160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Scoring!DE160</f>
        <v/>
      </c>
      <c r="I153" s="148" t="str">
        <f aca="false">Scoring!DD160</f>
        <v/>
      </c>
    </row>
    <row r="154" customFormat="false" ht="15.75" hidden="false" customHeight="false" outlineLevel="0" collapsed="false">
      <c r="A154" s="146" t="str">
        <f aca="false">Scoring!DG161</f>
        <v/>
      </c>
      <c r="B154" s="146" t="str">
        <f aca="false">Scoring!DF161</f>
        <v/>
      </c>
      <c r="C154" s="146" t="n">
        <f aca="false">Scoring!C161</f>
        <v>0</v>
      </c>
      <c r="D154" s="147" t="str">
        <f aca="false">Scoring!DC161</f>
        <v/>
      </c>
      <c r="E154" s="146" t="str">
        <f aca="false">Scoring!BL161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Scoring!DE161</f>
        <v/>
      </c>
      <c r="I154" s="148" t="str">
        <f aca="false">Scoring!DD161</f>
        <v/>
      </c>
    </row>
    <row r="155" customFormat="false" ht="15.75" hidden="false" customHeight="false" outlineLevel="0" collapsed="false">
      <c r="A155" s="146" t="str">
        <f aca="false">Scoring!DG162</f>
        <v/>
      </c>
      <c r="B155" s="146" t="str">
        <f aca="false">Scoring!DF162</f>
        <v/>
      </c>
      <c r="C155" s="146" t="n">
        <f aca="false">Scoring!C162</f>
        <v>0</v>
      </c>
      <c r="D155" s="147" t="str">
        <f aca="false">Scoring!DC162</f>
        <v/>
      </c>
      <c r="E155" s="146" t="str">
        <f aca="false">Scoring!BL162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Scoring!DE162</f>
        <v/>
      </c>
      <c r="I155" s="148" t="str">
        <f aca="false">Scoring!DD162</f>
        <v/>
      </c>
    </row>
    <row r="156" customFormat="false" ht="15.75" hidden="false" customHeight="false" outlineLevel="0" collapsed="false">
      <c r="A156" s="146" t="str">
        <f aca="false">Scoring!DG163</f>
        <v/>
      </c>
      <c r="B156" s="146" t="str">
        <f aca="false">Scoring!DF163</f>
        <v/>
      </c>
      <c r="C156" s="146" t="n">
        <f aca="false">Scoring!C163</f>
        <v>0</v>
      </c>
      <c r="D156" s="147" t="str">
        <f aca="false">Scoring!DC163</f>
        <v/>
      </c>
      <c r="E156" s="146" t="str">
        <f aca="false">Scoring!BL163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Scoring!DE163</f>
        <v/>
      </c>
      <c r="I156" s="148" t="str">
        <f aca="false">Scoring!DD163</f>
        <v/>
      </c>
    </row>
    <row r="157" customFormat="false" ht="15.75" hidden="false" customHeight="false" outlineLevel="0" collapsed="false">
      <c r="A157" s="146" t="str">
        <f aca="false">Scoring!DG164</f>
        <v/>
      </c>
      <c r="B157" s="146" t="str">
        <f aca="false">Scoring!DF164</f>
        <v/>
      </c>
      <c r="C157" s="146" t="n">
        <f aca="false">Scoring!C164</f>
        <v>0</v>
      </c>
      <c r="D157" s="147" t="str">
        <f aca="false">Scoring!DC164</f>
        <v/>
      </c>
      <c r="E157" s="146" t="str">
        <f aca="false">Scoring!BL164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Scoring!DE164</f>
        <v/>
      </c>
      <c r="I157" s="148" t="str">
        <f aca="false">Scoring!DD164</f>
        <v/>
      </c>
    </row>
    <row r="158" customFormat="false" ht="15.75" hidden="false" customHeight="false" outlineLevel="0" collapsed="false">
      <c r="A158" s="146" t="str">
        <f aca="false">Scoring!DG165</f>
        <v/>
      </c>
      <c r="B158" s="146" t="str">
        <f aca="false">Scoring!DF165</f>
        <v/>
      </c>
      <c r="C158" s="146" t="n">
        <f aca="false">Scoring!C165</f>
        <v>0</v>
      </c>
      <c r="D158" s="147" t="str">
        <f aca="false">Scoring!DC165</f>
        <v/>
      </c>
      <c r="E158" s="146" t="str">
        <f aca="false">Scoring!BL165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Scoring!DE165</f>
        <v/>
      </c>
      <c r="I158" s="148" t="str">
        <f aca="false">Scoring!DD165</f>
        <v/>
      </c>
    </row>
    <row r="159" customFormat="false" ht="15.75" hidden="false" customHeight="false" outlineLevel="0" collapsed="false">
      <c r="A159" s="146" t="str">
        <f aca="false">Scoring!DG166</f>
        <v/>
      </c>
      <c r="B159" s="146" t="str">
        <f aca="false">Scoring!DF166</f>
        <v/>
      </c>
      <c r="C159" s="146" t="n">
        <f aca="false">Scoring!C166</f>
        <v>0</v>
      </c>
      <c r="D159" s="147" t="str">
        <f aca="false">Scoring!DC166</f>
        <v/>
      </c>
      <c r="E159" s="146" t="str">
        <f aca="false">Scoring!BL166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Scoring!DE166</f>
        <v/>
      </c>
      <c r="I159" s="148" t="str">
        <f aca="false">Scoring!DD166</f>
        <v/>
      </c>
    </row>
    <row r="160" customFormat="false" ht="15.75" hidden="false" customHeight="false" outlineLevel="0" collapsed="false">
      <c r="A160" s="146" t="str">
        <f aca="false">Scoring!DG167</f>
        <v/>
      </c>
      <c r="B160" s="146" t="str">
        <f aca="false">Scoring!DF167</f>
        <v/>
      </c>
      <c r="C160" s="146" t="n">
        <f aca="false">Scoring!C167</f>
        <v>0</v>
      </c>
      <c r="D160" s="147" t="str">
        <f aca="false">Scoring!DC167</f>
        <v/>
      </c>
      <c r="E160" s="146" t="str">
        <f aca="false">Scoring!BL167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Scoring!DE167</f>
        <v/>
      </c>
      <c r="I160" s="148" t="str">
        <f aca="false">Scoring!DD167</f>
        <v/>
      </c>
    </row>
    <row r="161" customFormat="false" ht="15.75" hidden="false" customHeight="false" outlineLevel="0" collapsed="false">
      <c r="A161" s="146" t="str">
        <f aca="false">Scoring!DG168</f>
        <v/>
      </c>
      <c r="B161" s="146" t="str">
        <f aca="false">Scoring!DF168</f>
        <v/>
      </c>
      <c r="C161" s="146" t="n">
        <f aca="false">Scoring!C168</f>
        <v>0</v>
      </c>
      <c r="D161" s="147" t="str">
        <f aca="false">Scoring!DC168</f>
        <v/>
      </c>
      <c r="E161" s="146" t="str">
        <f aca="false">Scoring!BL168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Scoring!DE168</f>
        <v/>
      </c>
      <c r="I161" s="148" t="str">
        <f aca="false">Scoring!DD168</f>
        <v/>
      </c>
    </row>
    <row r="162" customFormat="false" ht="15.75" hidden="false" customHeight="false" outlineLevel="0" collapsed="false">
      <c r="A162" s="146" t="str">
        <f aca="false">Scoring!DG169</f>
        <v/>
      </c>
      <c r="B162" s="146" t="str">
        <f aca="false">Scoring!DF169</f>
        <v/>
      </c>
      <c r="C162" s="146" t="n">
        <f aca="false">Scoring!C169</f>
        <v>0</v>
      </c>
      <c r="D162" s="147" t="str">
        <f aca="false">Scoring!DC169</f>
        <v/>
      </c>
      <c r="E162" s="146" t="str">
        <f aca="false">Scoring!BL169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Scoring!DE169</f>
        <v/>
      </c>
      <c r="I162" s="148" t="str">
        <f aca="false">Scoring!DD169</f>
        <v/>
      </c>
    </row>
    <row r="163" customFormat="false" ht="15.75" hidden="false" customHeight="false" outlineLevel="0" collapsed="false">
      <c r="A163" s="146" t="str">
        <f aca="false">Scoring!DG170</f>
        <v/>
      </c>
      <c r="B163" s="146" t="str">
        <f aca="false">Scoring!DF170</f>
        <v/>
      </c>
      <c r="C163" s="146" t="n">
        <f aca="false">Scoring!C170</f>
        <v>0</v>
      </c>
      <c r="D163" s="147" t="str">
        <f aca="false">Scoring!DC170</f>
        <v/>
      </c>
      <c r="E163" s="146" t="str">
        <f aca="false">Scoring!BL170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Scoring!DE170</f>
        <v/>
      </c>
      <c r="I163" s="148" t="str">
        <f aca="false">Scoring!DD170</f>
        <v/>
      </c>
    </row>
    <row r="164" customFormat="false" ht="15.75" hidden="false" customHeight="false" outlineLevel="0" collapsed="false">
      <c r="A164" s="146" t="str">
        <f aca="false">Scoring!DG171</f>
        <v/>
      </c>
      <c r="B164" s="146" t="str">
        <f aca="false">Scoring!DF171</f>
        <v/>
      </c>
      <c r="C164" s="146" t="n">
        <f aca="false">Scoring!C171</f>
        <v>0</v>
      </c>
      <c r="D164" s="147" t="str">
        <f aca="false">Scoring!DC171</f>
        <v/>
      </c>
      <c r="E164" s="146" t="str">
        <f aca="false">Scoring!BL171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Scoring!DE171</f>
        <v/>
      </c>
      <c r="I164" s="148" t="str">
        <f aca="false">Scoring!DD171</f>
        <v/>
      </c>
    </row>
    <row r="165" customFormat="false" ht="15.75" hidden="false" customHeight="false" outlineLevel="0" collapsed="false">
      <c r="A165" s="146" t="str">
        <f aca="false">Scoring!DG172</f>
        <v/>
      </c>
      <c r="B165" s="146" t="str">
        <f aca="false">Scoring!DF172</f>
        <v/>
      </c>
      <c r="C165" s="146" t="n">
        <f aca="false">Scoring!C172</f>
        <v>0</v>
      </c>
      <c r="D165" s="147" t="str">
        <f aca="false">Scoring!DC172</f>
        <v/>
      </c>
      <c r="E165" s="146" t="str">
        <f aca="false">Scoring!BL172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Scoring!DE172</f>
        <v/>
      </c>
      <c r="I165" s="148" t="str">
        <f aca="false">Scoring!DD172</f>
        <v/>
      </c>
    </row>
    <row r="166" customFormat="false" ht="15.75" hidden="false" customHeight="false" outlineLevel="0" collapsed="false">
      <c r="A166" s="146" t="str">
        <f aca="false">Scoring!DG173</f>
        <v/>
      </c>
      <c r="B166" s="146" t="str">
        <f aca="false">Scoring!DF173</f>
        <v/>
      </c>
      <c r="C166" s="146" t="n">
        <f aca="false">Scoring!C173</f>
        <v>0</v>
      </c>
      <c r="D166" s="147" t="str">
        <f aca="false">Scoring!DC173</f>
        <v/>
      </c>
      <c r="E166" s="146" t="str">
        <f aca="false">Scoring!BL173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Scoring!DE173</f>
        <v/>
      </c>
      <c r="I166" s="148" t="str">
        <f aca="false">Scoring!DD173</f>
        <v/>
      </c>
    </row>
    <row r="167" customFormat="false" ht="15.75" hidden="false" customHeight="false" outlineLevel="0" collapsed="false">
      <c r="A167" s="146" t="str">
        <f aca="false">Scoring!DG174</f>
        <v/>
      </c>
      <c r="B167" s="146" t="str">
        <f aca="false">Scoring!DF174</f>
        <v/>
      </c>
      <c r="C167" s="146" t="n">
        <f aca="false">Scoring!C174</f>
        <v>0</v>
      </c>
      <c r="D167" s="147" t="str">
        <f aca="false">Scoring!DC174</f>
        <v/>
      </c>
      <c r="E167" s="146" t="str">
        <f aca="false">Scoring!BL174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Scoring!DE174</f>
        <v/>
      </c>
      <c r="I167" s="148" t="str">
        <f aca="false">Scoring!DD174</f>
        <v/>
      </c>
    </row>
    <row r="168" customFormat="false" ht="15.75" hidden="false" customHeight="false" outlineLevel="0" collapsed="false">
      <c r="A168" s="146" t="str">
        <f aca="false">Scoring!DG175</f>
        <v/>
      </c>
      <c r="B168" s="146" t="str">
        <f aca="false">Scoring!DF175</f>
        <v/>
      </c>
      <c r="C168" s="146" t="n">
        <f aca="false">Scoring!C175</f>
        <v>0</v>
      </c>
      <c r="D168" s="147" t="str">
        <f aca="false">Scoring!DC175</f>
        <v/>
      </c>
      <c r="E168" s="146" t="str">
        <f aca="false">Scoring!BL175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Scoring!DE175</f>
        <v/>
      </c>
      <c r="I168" s="148" t="str">
        <f aca="false">Scoring!DD175</f>
        <v/>
      </c>
    </row>
    <row r="169" customFormat="false" ht="15.75" hidden="false" customHeight="false" outlineLevel="0" collapsed="false">
      <c r="A169" s="146" t="str">
        <f aca="false">Scoring!DG176</f>
        <v/>
      </c>
      <c r="B169" s="146" t="str">
        <f aca="false">Scoring!DF176</f>
        <v/>
      </c>
      <c r="C169" s="146" t="n">
        <f aca="false">Scoring!C176</f>
        <v>0</v>
      </c>
      <c r="D169" s="147" t="str">
        <f aca="false">Scoring!DC176</f>
        <v/>
      </c>
      <c r="E169" s="146" t="str">
        <f aca="false">Scoring!BL176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Scoring!DE176</f>
        <v/>
      </c>
      <c r="I169" s="148" t="str">
        <f aca="false">Scoring!DD176</f>
        <v/>
      </c>
    </row>
    <row r="170" customFormat="false" ht="15.75" hidden="false" customHeight="false" outlineLevel="0" collapsed="false">
      <c r="A170" s="146" t="str">
        <f aca="false">Scoring!DG177</f>
        <v/>
      </c>
      <c r="B170" s="146" t="str">
        <f aca="false">Scoring!DF177</f>
        <v/>
      </c>
      <c r="C170" s="146" t="n">
        <f aca="false">Scoring!C177</f>
        <v>0</v>
      </c>
      <c r="D170" s="147" t="str">
        <f aca="false">Scoring!DC177</f>
        <v/>
      </c>
      <c r="E170" s="146" t="str">
        <f aca="false">Scoring!BL177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Scoring!DE177</f>
        <v/>
      </c>
      <c r="I170" s="148" t="str">
        <f aca="false">Scoring!DD177</f>
        <v/>
      </c>
    </row>
    <row r="171" customFormat="false" ht="15.75" hidden="false" customHeight="false" outlineLevel="0" collapsed="false">
      <c r="A171" s="146" t="str">
        <f aca="false">Scoring!DG178</f>
        <v/>
      </c>
      <c r="B171" s="146" t="str">
        <f aca="false">Scoring!DF178</f>
        <v/>
      </c>
      <c r="C171" s="146" t="n">
        <f aca="false">Scoring!C178</f>
        <v>0</v>
      </c>
      <c r="D171" s="147" t="str">
        <f aca="false">Scoring!DC178</f>
        <v/>
      </c>
      <c r="E171" s="146" t="str">
        <f aca="false">Scoring!BL178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Scoring!DE178</f>
        <v/>
      </c>
      <c r="I171" s="148" t="str">
        <f aca="false">Scoring!DD178</f>
        <v/>
      </c>
    </row>
    <row r="172" customFormat="false" ht="15.75" hidden="false" customHeight="false" outlineLevel="0" collapsed="false">
      <c r="A172" s="146" t="str">
        <f aca="false">Scoring!DG179</f>
        <v/>
      </c>
      <c r="B172" s="146" t="str">
        <f aca="false">Scoring!DF179</f>
        <v/>
      </c>
      <c r="C172" s="146" t="n">
        <f aca="false">Scoring!C179</f>
        <v>0</v>
      </c>
      <c r="D172" s="147" t="str">
        <f aca="false">Scoring!DC179</f>
        <v/>
      </c>
      <c r="E172" s="146" t="str">
        <f aca="false">Scoring!BL179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Scoring!DE179</f>
        <v/>
      </c>
      <c r="I172" s="148" t="str">
        <f aca="false">Scoring!DD179</f>
        <v/>
      </c>
    </row>
    <row r="173" customFormat="false" ht="15.75" hidden="false" customHeight="false" outlineLevel="0" collapsed="false">
      <c r="A173" s="146" t="str">
        <f aca="false">Scoring!DG180</f>
        <v/>
      </c>
      <c r="B173" s="146" t="str">
        <f aca="false">Scoring!DF180</f>
        <v/>
      </c>
      <c r="C173" s="146" t="n">
        <f aca="false">Scoring!C180</f>
        <v>0</v>
      </c>
      <c r="D173" s="147" t="str">
        <f aca="false">Scoring!DC180</f>
        <v/>
      </c>
      <c r="E173" s="146" t="str">
        <f aca="false">Scoring!BL180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Scoring!DE180</f>
        <v/>
      </c>
      <c r="I173" s="148" t="str">
        <f aca="false">Scoring!DD180</f>
        <v/>
      </c>
    </row>
    <row r="174" customFormat="false" ht="15.75" hidden="false" customHeight="false" outlineLevel="0" collapsed="false">
      <c r="A174" s="146" t="str">
        <f aca="false">Scoring!DG181</f>
        <v/>
      </c>
      <c r="B174" s="146" t="str">
        <f aca="false">Scoring!DF181</f>
        <v/>
      </c>
      <c r="C174" s="146" t="n">
        <f aca="false">Scoring!C181</f>
        <v>0</v>
      </c>
      <c r="D174" s="147" t="str">
        <f aca="false">Scoring!DC181</f>
        <v/>
      </c>
      <c r="E174" s="146" t="str">
        <f aca="false">Scoring!BL181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Scoring!DE181</f>
        <v/>
      </c>
      <c r="I174" s="148" t="str">
        <f aca="false">Scoring!DD181</f>
        <v/>
      </c>
    </row>
    <row r="175" customFormat="false" ht="15.75" hidden="false" customHeight="false" outlineLevel="0" collapsed="false">
      <c r="A175" s="146" t="str">
        <f aca="false">Scoring!DG182</f>
        <v/>
      </c>
      <c r="B175" s="146" t="str">
        <f aca="false">Scoring!DF182</f>
        <v/>
      </c>
      <c r="C175" s="146" t="n">
        <f aca="false">Scoring!C182</f>
        <v>0</v>
      </c>
      <c r="D175" s="147" t="str">
        <f aca="false">Scoring!DC182</f>
        <v/>
      </c>
      <c r="E175" s="146" t="str">
        <f aca="false">Scoring!BL182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Scoring!DE182</f>
        <v/>
      </c>
      <c r="I175" s="148" t="str">
        <f aca="false">Scoring!DD182</f>
        <v/>
      </c>
    </row>
    <row r="176" customFormat="false" ht="15.75" hidden="false" customHeight="false" outlineLevel="0" collapsed="false">
      <c r="A176" s="146" t="str">
        <f aca="false">Scoring!DG183</f>
        <v/>
      </c>
      <c r="B176" s="146" t="str">
        <f aca="false">Scoring!DF183</f>
        <v/>
      </c>
      <c r="C176" s="146" t="n">
        <f aca="false">Scoring!C183</f>
        <v>0</v>
      </c>
      <c r="D176" s="147" t="str">
        <f aca="false">Scoring!DC183</f>
        <v/>
      </c>
      <c r="E176" s="146" t="str">
        <f aca="false">Scoring!BL183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Scoring!DE183</f>
        <v/>
      </c>
      <c r="I176" s="148" t="str">
        <f aca="false">Scoring!DD183</f>
        <v/>
      </c>
    </row>
    <row r="177" customFormat="false" ht="15.75" hidden="false" customHeight="false" outlineLevel="0" collapsed="false">
      <c r="A177" s="146" t="str">
        <f aca="false">Scoring!DG184</f>
        <v/>
      </c>
      <c r="B177" s="146" t="str">
        <f aca="false">Scoring!DF184</f>
        <v/>
      </c>
      <c r="C177" s="146" t="n">
        <f aca="false">Scoring!C184</f>
        <v>0</v>
      </c>
      <c r="D177" s="147" t="str">
        <f aca="false">Scoring!DC184</f>
        <v/>
      </c>
      <c r="E177" s="146" t="str">
        <f aca="false">Scoring!BL184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Scoring!DE184</f>
        <v/>
      </c>
      <c r="I177" s="148" t="str">
        <f aca="false">Scoring!DD184</f>
        <v/>
      </c>
    </row>
    <row r="178" customFormat="false" ht="15.75" hidden="false" customHeight="false" outlineLevel="0" collapsed="false">
      <c r="A178" s="146" t="str">
        <f aca="false">Scoring!DG185</f>
        <v/>
      </c>
      <c r="B178" s="146" t="str">
        <f aca="false">Scoring!DF185</f>
        <v/>
      </c>
      <c r="C178" s="146" t="n">
        <f aca="false">Scoring!C185</f>
        <v>0</v>
      </c>
      <c r="D178" s="147" t="str">
        <f aca="false">Scoring!DC185</f>
        <v/>
      </c>
      <c r="E178" s="146" t="str">
        <f aca="false">Scoring!BL185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Scoring!DE185</f>
        <v/>
      </c>
      <c r="I178" s="148" t="str">
        <f aca="false">Scoring!DD185</f>
        <v/>
      </c>
    </row>
    <row r="179" customFormat="false" ht="15.75" hidden="false" customHeight="false" outlineLevel="0" collapsed="false">
      <c r="A179" s="146" t="str">
        <f aca="false">Scoring!DG186</f>
        <v/>
      </c>
      <c r="B179" s="146" t="str">
        <f aca="false">Scoring!DF186</f>
        <v/>
      </c>
      <c r="C179" s="146" t="n">
        <f aca="false">Scoring!C186</f>
        <v>0</v>
      </c>
      <c r="D179" s="147" t="str">
        <f aca="false">Scoring!DC186</f>
        <v/>
      </c>
      <c r="E179" s="146" t="str">
        <f aca="false">Scoring!BL186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Scoring!DE186</f>
        <v/>
      </c>
      <c r="I179" s="148" t="str">
        <f aca="false">Scoring!DD186</f>
        <v/>
      </c>
    </row>
    <row r="180" customFormat="false" ht="15.75" hidden="false" customHeight="false" outlineLevel="0" collapsed="false">
      <c r="A180" s="146" t="str">
        <f aca="false">Scoring!DG187</f>
        <v/>
      </c>
      <c r="B180" s="146" t="str">
        <f aca="false">Scoring!DF187</f>
        <v/>
      </c>
      <c r="C180" s="146" t="n">
        <f aca="false">Scoring!C187</f>
        <v>0</v>
      </c>
      <c r="D180" s="147" t="str">
        <f aca="false">Scoring!DC187</f>
        <v/>
      </c>
      <c r="E180" s="146" t="str">
        <f aca="false">Scoring!BL187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Scoring!DE187</f>
        <v/>
      </c>
      <c r="I180" s="148" t="str">
        <f aca="false">Scoring!DD187</f>
        <v/>
      </c>
    </row>
    <row r="181" customFormat="false" ht="15.75" hidden="false" customHeight="false" outlineLevel="0" collapsed="false">
      <c r="A181" s="146" t="str">
        <f aca="false">Scoring!DG188</f>
        <v/>
      </c>
      <c r="B181" s="146" t="str">
        <f aca="false">Scoring!DF188</f>
        <v/>
      </c>
      <c r="C181" s="146" t="n">
        <f aca="false">Scoring!C188</f>
        <v>0</v>
      </c>
      <c r="D181" s="147" t="str">
        <f aca="false">Scoring!DC188</f>
        <v/>
      </c>
      <c r="E181" s="146" t="str">
        <f aca="false">Scoring!BL188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Scoring!DE188</f>
        <v/>
      </c>
      <c r="I181" s="148" t="str">
        <f aca="false">Scoring!DD188</f>
        <v/>
      </c>
    </row>
    <row r="182" customFormat="false" ht="15.75" hidden="false" customHeight="false" outlineLevel="0" collapsed="false">
      <c r="A182" s="146" t="str">
        <f aca="false">Scoring!DG189</f>
        <v/>
      </c>
      <c r="B182" s="146" t="str">
        <f aca="false">Scoring!DF189</f>
        <v/>
      </c>
      <c r="C182" s="146" t="n">
        <f aca="false">Scoring!C189</f>
        <v>0</v>
      </c>
      <c r="D182" s="147" t="str">
        <f aca="false">Scoring!DC189</f>
        <v/>
      </c>
      <c r="E182" s="146" t="str">
        <f aca="false">Scoring!BL189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Scoring!DE189</f>
        <v/>
      </c>
      <c r="I182" s="148" t="str">
        <f aca="false">Scoring!DD189</f>
        <v/>
      </c>
    </row>
    <row r="183" customFormat="false" ht="15.75" hidden="false" customHeight="false" outlineLevel="0" collapsed="false">
      <c r="A183" s="146" t="str">
        <f aca="false">Scoring!DG190</f>
        <v/>
      </c>
      <c r="B183" s="146" t="str">
        <f aca="false">Scoring!DF190</f>
        <v/>
      </c>
      <c r="C183" s="146" t="n">
        <f aca="false">Scoring!C190</f>
        <v>0</v>
      </c>
      <c r="D183" s="147" t="str">
        <f aca="false">Scoring!DC190</f>
        <v/>
      </c>
      <c r="E183" s="146" t="str">
        <f aca="false">Scoring!BL190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Scoring!DE190</f>
        <v/>
      </c>
      <c r="I183" s="148" t="str">
        <f aca="false">Scoring!DD190</f>
        <v/>
      </c>
    </row>
    <row r="184" customFormat="false" ht="15.75" hidden="false" customHeight="false" outlineLevel="0" collapsed="false">
      <c r="A184" s="146" t="str">
        <f aca="false">Scoring!DG191</f>
        <v/>
      </c>
      <c r="B184" s="146" t="str">
        <f aca="false">Scoring!DF191</f>
        <v/>
      </c>
      <c r="C184" s="146" t="n">
        <f aca="false">Scoring!C191</f>
        <v>0</v>
      </c>
      <c r="D184" s="147" t="str">
        <f aca="false">Scoring!DC191</f>
        <v/>
      </c>
      <c r="E184" s="146" t="str">
        <f aca="false">Scoring!BL191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Scoring!DE191</f>
        <v/>
      </c>
      <c r="I184" s="148" t="str">
        <f aca="false">Scoring!DD191</f>
        <v/>
      </c>
    </row>
    <row r="185" customFormat="false" ht="15.75" hidden="false" customHeight="false" outlineLevel="0" collapsed="false">
      <c r="A185" s="146" t="str">
        <f aca="false">Scoring!DG192</f>
        <v/>
      </c>
      <c r="B185" s="146" t="str">
        <f aca="false">Scoring!DF192</f>
        <v/>
      </c>
      <c r="C185" s="146" t="n">
        <f aca="false">Scoring!C192</f>
        <v>0</v>
      </c>
      <c r="D185" s="147" t="str">
        <f aca="false">Scoring!DC192</f>
        <v/>
      </c>
      <c r="E185" s="146" t="str">
        <f aca="false">Scoring!BL192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Scoring!DE192</f>
        <v/>
      </c>
      <c r="I185" s="148" t="str">
        <f aca="false">Scoring!DD192</f>
        <v/>
      </c>
    </row>
    <row r="186" customFormat="false" ht="15.75" hidden="false" customHeight="false" outlineLevel="0" collapsed="false">
      <c r="A186" s="146" t="str">
        <f aca="false">Scoring!DG193</f>
        <v/>
      </c>
      <c r="B186" s="146" t="str">
        <f aca="false">Scoring!DF193</f>
        <v/>
      </c>
      <c r="C186" s="146" t="n">
        <f aca="false">Scoring!C193</f>
        <v>0</v>
      </c>
      <c r="D186" s="147" t="str">
        <f aca="false">Scoring!DC193</f>
        <v/>
      </c>
      <c r="E186" s="146" t="str">
        <f aca="false">Scoring!BL193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Scoring!DE193</f>
        <v/>
      </c>
      <c r="I186" s="148" t="str">
        <f aca="false">Scoring!DD193</f>
        <v/>
      </c>
    </row>
    <row r="187" customFormat="false" ht="15.75" hidden="false" customHeight="false" outlineLevel="0" collapsed="false">
      <c r="A187" s="146" t="str">
        <f aca="false">Scoring!DG194</f>
        <v/>
      </c>
      <c r="B187" s="146" t="str">
        <f aca="false">Scoring!DF194</f>
        <v/>
      </c>
      <c r="C187" s="146" t="n">
        <f aca="false">Scoring!C194</f>
        <v>0</v>
      </c>
      <c r="D187" s="147" t="str">
        <f aca="false">Scoring!DC194</f>
        <v/>
      </c>
      <c r="E187" s="146" t="str">
        <f aca="false">Scoring!BL194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Scoring!DE194</f>
        <v/>
      </c>
      <c r="I187" s="148" t="str">
        <f aca="false">Scoring!DD194</f>
        <v/>
      </c>
    </row>
    <row r="188" customFormat="false" ht="15.75" hidden="false" customHeight="false" outlineLevel="0" collapsed="false">
      <c r="A188" s="146" t="str">
        <f aca="false">Scoring!DG195</f>
        <v/>
      </c>
      <c r="B188" s="146" t="str">
        <f aca="false">Scoring!DF195</f>
        <v/>
      </c>
      <c r="C188" s="146" t="n">
        <f aca="false">Scoring!C195</f>
        <v>0</v>
      </c>
      <c r="D188" s="147" t="str">
        <f aca="false">Scoring!DC195</f>
        <v/>
      </c>
      <c r="E188" s="146" t="str">
        <f aca="false">Scoring!BL195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Scoring!DE195</f>
        <v/>
      </c>
      <c r="I188" s="148" t="str">
        <f aca="false">Scoring!DD195</f>
        <v/>
      </c>
    </row>
    <row r="189" customFormat="false" ht="15.75" hidden="false" customHeight="false" outlineLevel="0" collapsed="false">
      <c r="A189" s="146" t="str">
        <f aca="false">Scoring!DG196</f>
        <v/>
      </c>
      <c r="B189" s="146" t="str">
        <f aca="false">Scoring!DF196</f>
        <v/>
      </c>
      <c r="C189" s="146" t="n">
        <f aca="false">Scoring!C196</f>
        <v>0</v>
      </c>
      <c r="D189" s="147" t="str">
        <f aca="false">Scoring!DC196</f>
        <v/>
      </c>
      <c r="E189" s="146" t="str">
        <f aca="false">Scoring!BL196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Scoring!DE196</f>
        <v/>
      </c>
      <c r="I189" s="148" t="str">
        <f aca="false">Scoring!DD196</f>
        <v/>
      </c>
    </row>
    <row r="190" customFormat="false" ht="15.75" hidden="false" customHeight="false" outlineLevel="0" collapsed="false">
      <c r="A190" s="146" t="str">
        <f aca="false">Scoring!DG197</f>
        <v/>
      </c>
      <c r="B190" s="146" t="str">
        <f aca="false">Scoring!DF197</f>
        <v/>
      </c>
      <c r="C190" s="146" t="n">
        <f aca="false">Scoring!C197</f>
        <v>0</v>
      </c>
      <c r="D190" s="147" t="str">
        <f aca="false">Scoring!DC197</f>
        <v/>
      </c>
      <c r="E190" s="146" t="str">
        <f aca="false">Scoring!BL197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Scoring!DE197</f>
        <v/>
      </c>
      <c r="I190" s="148" t="str">
        <f aca="false">Scoring!DD197</f>
        <v/>
      </c>
    </row>
    <row r="191" customFormat="false" ht="15.75" hidden="false" customHeight="false" outlineLevel="0" collapsed="false">
      <c r="A191" s="146" t="str">
        <f aca="false">Scoring!DG198</f>
        <v/>
      </c>
      <c r="B191" s="146" t="str">
        <f aca="false">Scoring!DF198</f>
        <v/>
      </c>
      <c r="C191" s="146" t="n">
        <f aca="false">Scoring!C198</f>
        <v>0</v>
      </c>
      <c r="D191" s="147" t="str">
        <f aca="false">Scoring!DC198</f>
        <v/>
      </c>
      <c r="E191" s="146" t="str">
        <f aca="false">Scoring!BL198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Scoring!DE198</f>
        <v/>
      </c>
      <c r="I191" s="148" t="str">
        <f aca="false">Scoring!DD198</f>
        <v/>
      </c>
    </row>
    <row r="192" customFormat="false" ht="15.75" hidden="false" customHeight="false" outlineLevel="0" collapsed="false">
      <c r="A192" s="146" t="str">
        <f aca="false">Scoring!DG199</f>
        <v/>
      </c>
      <c r="B192" s="146" t="str">
        <f aca="false">Scoring!DF199</f>
        <v/>
      </c>
      <c r="C192" s="146" t="n">
        <f aca="false">Scoring!C199</f>
        <v>0</v>
      </c>
      <c r="D192" s="147" t="str">
        <f aca="false">Scoring!DC199</f>
        <v/>
      </c>
      <c r="E192" s="146" t="str">
        <f aca="false">Scoring!BL199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Scoring!DE199</f>
        <v/>
      </c>
      <c r="I192" s="148" t="str">
        <f aca="false">Scoring!DD199</f>
        <v/>
      </c>
    </row>
    <row r="193" customFormat="false" ht="15.75" hidden="false" customHeight="false" outlineLevel="0" collapsed="false">
      <c r="A193" s="146" t="str">
        <f aca="false">Scoring!DG200</f>
        <v/>
      </c>
      <c r="B193" s="146" t="str">
        <f aca="false">Scoring!DF200</f>
        <v/>
      </c>
      <c r="C193" s="146" t="n">
        <f aca="false">Scoring!C200</f>
        <v>0</v>
      </c>
      <c r="D193" s="147" t="str">
        <f aca="false">Scoring!DC200</f>
        <v/>
      </c>
      <c r="E193" s="146" t="str">
        <f aca="false">Scoring!BL200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Scoring!DE200</f>
        <v/>
      </c>
      <c r="I193" s="148" t="str">
        <f aca="false">Scoring!DD200</f>
        <v/>
      </c>
    </row>
    <row r="194" customFormat="false" ht="15.75" hidden="false" customHeight="false" outlineLevel="0" collapsed="false">
      <c r="A194" s="146" t="str">
        <f aca="false">Scoring!DG201</f>
        <v/>
      </c>
      <c r="B194" s="146" t="str">
        <f aca="false">Scoring!DF201</f>
        <v/>
      </c>
      <c r="C194" s="146" t="n">
        <f aca="false">Scoring!C201</f>
        <v>0</v>
      </c>
      <c r="D194" s="147" t="str">
        <f aca="false">Scoring!DC201</f>
        <v/>
      </c>
      <c r="E194" s="146" t="str">
        <f aca="false">Scoring!BL201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Scoring!DE201</f>
        <v/>
      </c>
      <c r="I194" s="148" t="str">
        <f aca="false">Scoring!DD201</f>
        <v/>
      </c>
    </row>
    <row r="195" customFormat="false" ht="15.75" hidden="false" customHeight="false" outlineLevel="0" collapsed="false">
      <c r="A195" s="146" t="str">
        <f aca="false">Scoring!DG202</f>
        <v/>
      </c>
      <c r="B195" s="146" t="str">
        <f aca="false">Scoring!DF202</f>
        <v/>
      </c>
      <c r="C195" s="146" t="n">
        <f aca="false">Scoring!C202</f>
        <v>0</v>
      </c>
      <c r="D195" s="147" t="str">
        <f aca="false">Scoring!DC202</f>
        <v/>
      </c>
      <c r="E195" s="146" t="str">
        <f aca="false">Scoring!BL202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Scoring!DE202</f>
        <v/>
      </c>
      <c r="I195" s="148" t="str">
        <f aca="false">Scoring!DD202</f>
        <v/>
      </c>
    </row>
    <row r="196" customFormat="false" ht="15.75" hidden="false" customHeight="false" outlineLevel="0" collapsed="false">
      <c r="A196" s="146" t="str">
        <f aca="false">Scoring!DG203</f>
        <v/>
      </c>
      <c r="B196" s="146" t="str">
        <f aca="false">Scoring!DF203</f>
        <v/>
      </c>
      <c r="C196" s="146" t="n">
        <f aca="false">Scoring!C203</f>
        <v>0</v>
      </c>
      <c r="D196" s="147" t="str">
        <f aca="false">Scoring!DC203</f>
        <v/>
      </c>
      <c r="E196" s="146" t="str">
        <f aca="false">Scoring!BL203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Scoring!DE203</f>
        <v/>
      </c>
      <c r="I196" s="148" t="str">
        <f aca="false">Scoring!DD203</f>
        <v/>
      </c>
    </row>
    <row r="197" customFormat="false" ht="15.75" hidden="false" customHeight="false" outlineLevel="0" collapsed="false">
      <c r="A197" s="146" t="str">
        <f aca="false">Scoring!DG204</f>
        <v/>
      </c>
      <c r="B197" s="146" t="str">
        <f aca="false">Scoring!DF204</f>
        <v/>
      </c>
      <c r="C197" s="146" t="n">
        <f aca="false">Scoring!C204</f>
        <v>0</v>
      </c>
      <c r="D197" s="147" t="str">
        <f aca="false">Scoring!DC204</f>
        <v/>
      </c>
      <c r="E197" s="146" t="str">
        <f aca="false">Scoring!BL204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Scoring!DE204</f>
        <v/>
      </c>
      <c r="I197" s="148" t="str">
        <f aca="false">Scoring!DD204</f>
        <v/>
      </c>
    </row>
    <row r="198" customFormat="false" ht="15.75" hidden="false" customHeight="false" outlineLevel="0" collapsed="false">
      <c r="A198" s="146" t="str">
        <f aca="false">Scoring!DG205</f>
        <v/>
      </c>
      <c r="B198" s="146" t="str">
        <f aca="false">Scoring!DF205</f>
        <v/>
      </c>
      <c r="C198" s="146" t="n">
        <f aca="false">Scoring!C205</f>
        <v>0</v>
      </c>
      <c r="D198" s="147" t="str">
        <f aca="false">Scoring!DC205</f>
        <v/>
      </c>
      <c r="E198" s="146" t="str">
        <f aca="false">Scoring!BL205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Scoring!DE205</f>
        <v/>
      </c>
      <c r="I198" s="148" t="str">
        <f aca="false">Scoring!DD205</f>
        <v/>
      </c>
    </row>
    <row r="199" customFormat="false" ht="15.75" hidden="false" customHeight="false" outlineLevel="0" collapsed="false">
      <c r="A199" s="146" t="str">
        <f aca="false">Scoring!DG206</f>
        <v/>
      </c>
      <c r="B199" s="146" t="str">
        <f aca="false">Scoring!DF206</f>
        <v/>
      </c>
      <c r="C199" s="146" t="n">
        <f aca="false">Scoring!C206</f>
        <v>0</v>
      </c>
      <c r="D199" s="147" t="str">
        <f aca="false">Scoring!DC206</f>
        <v/>
      </c>
      <c r="E199" s="146" t="str">
        <f aca="false">Scoring!BL206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Scoring!DE206</f>
        <v/>
      </c>
      <c r="I199" s="148" t="str">
        <f aca="false">Scoring!DD206</f>
        <v/>
      </c>
    </row>
    <row r="200" customFormat="false" ht="15.75" hidden="false" customHeight="false" outlineLevel="0" collapsed="false">
      <c r="A200" s="146" t="str">
        <f aca="false">Scoring!DG207</f>
        <v/>
      </c>
      <c r="B200" s="146" t="str">
        <f aca="false">Scoring!DF207</f>
        <v/>
      </c>
      <c r="C200" s="146" t="n">
        <f aca="false">Scoring!C207</f>
        <v>0</v>
      </c>
      <c r="D200" s="147" t="str">
        <f aca="false">Scoring!DC207</f>
        <v/>
      </c>
      <c r="E200" s="146" t="str">
        <f aca="false">Scoring!BL207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Scoring!DE207</f>
        <v/>
      </c>
      <c r="I200" s="148" t="str">
        <f aca="false">Scoring!DD207</f>
        <v/>
      </c>
    </row>
    <row r="201" customFormat="false" ht="15.75" hidden="false" customHeight="false" outlineLevel="0" collapsed="false">
      <c r="A201" s="146" t="str">
        <f aca="false">Scoring!DG208</f>
        <v/>
      </c>
      <c r="B201" s="146" t="str">
        <f aca="false">Scoring!DF208</f>
        <v/>
      </c>
      <c r="C201" s="146" t="n">
        <f aca="false">Scoring!C208</f>
        <v>0</v>
      </c>
      <c r="D201" s="147" t="str">
        <f aca="false">Scoring!DC208</f>
        <v/>
      </c>
      <c r="E201" s="146" t="str">
        <f aca="false">Scoring!BL208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Scoring!DE208</f>
        <v/>
      </c>
      <c r="I201" s="148" t="str">
        <f aca="false">Scoring!DD208</f>
        <v/>
      </c>
    </row>
    <row r="202" customFormat="false" ht="15.75" hidden="false" customHeight="false" outlineLevel="0" collapsed="false">
      <c r="A202" s="146" t="str">
        <f aca="false">Scoring!DG209</f>
        <v/>
      </c>
      <c r="B202" s="146" t="str">
        <f aca="false">Scoring!DF209</f>
        <v/>
      </c>
      <c r="C202" s="146" t="n">
        <f aca="false">Scoring!C209</f>
        <v>0</v>
      </c>
      <c r="D202" s="147" t="str">
        <f aca="false">Scoring!DC209</f>
        <v/>
      </c>
      <c r="E202" s="146" t="str">
        <f aca="false">Scoring!BL209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Scoring!DE209</f>
        <v/>
      </c>
      <c r="I202" s="148" t="str">
        <f aca="false">Scoring!DD209</f>
        <v/>
      </c>
    </row>
    <row r="203" customFormat="false" ht="15.75" hidden="false" customHeight="false" outlineLevel="0" collapsed="false">
      <c r="A203" s="146" t="str">
        <f aca="false">Scoring!DG210</f>
        <v/>
      </c>
      <c r="B203" s="146" t="str">
        <f aca="false">Scoring!DF210</f>
        <v/>
      </c>
      <c r="C203" s="146" t="n">
        <f aca="false">Scoring!C210</f>
        <v>0</v>
      </c>
      <c r="D203" s="147" t="str">
        <f aca="false">Scoring!DC210</f>
        <v/>
      </c>
      <c r="E203" s="146" t="str">
        <f aca="false">Scoring!BL210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Scoring!DE210</f>
        <v/>
      </c>
      <c r="I203" s="148" t="str">
        <f aca="false">Scoring!DD210</f>
        <v/>
      </c>
    </row>
    <row r="204" customFormat="false" ht="15.75" hidden="false" customHeight="false" outlineLevel="0" collapsed="false">
      <c r="A204" s="146" t="str">
        <f aca="false">Scoring!DG211</f>
        <v/>
      </c>
      <c r="B204" s="146" t="str">
        <f aca="false">Scoring!DF211</f>
        <v/>
      </c>
      <c r="C204" s="146" t="n">
        <f aca="false">Scoring!C211</f>
        <v>0</v>
      </c>
      <c r="D204" s="147" t="str">
        <f aca="false">Scoring!DC211</f>
        <v/>
      </c>
      <c r="E204" s="146" t="str">
        <f aca="false">Scoring!BL211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Scoring!DE211</f>
        <v/>
      </c>
      <c r="I204" s="148" t="str">
        <f aca="false">Scoring!DD211</f>
        <v/>
      </c>
    </row>
    <row r="205" customFormat="false" ht="15.75" hidden="false" customHeight="false" outlineLevel="0" collapsed="false">
      <c r="A205" s="146" t="str">
        <f aca="false">Scoring!DG212</f>
        <v/>
      </c>
      <c r="B205" s="146" t="str">
        <f aca="false">Scoring!DF212</f>
        <v/>
      </c>
      <c r="C205" s="146" t="n">
        <f aca="false">Scoring!C212</f>
        <v>0</v>
      </c>
      <c r="D205" s="147" t="str">
        <f aca="false">Scoring!DC212</f>
        <v/>
      </c>
      <c r="E205" s="146" t="str">
        <f aca="false">Scoring!BL212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Scoring!DE212</f>
        <v/>
      </c>
      <c r="I205" s="148" t="str">
        <f aca="false">Scoring!DD212</f>
        <v/>
      </c>
    </row>
    <row r="206" customFormat="false" ht="15.75" hidden="false" customHeight="false" outlineLevel="0" collapsed="false">
      <c r="A206" s="146" t="str">
        <f aca="false">Scoring!DG213</f>
        <v/>
      </c>
      <c r="B206" s="146" t="str">
        <f aca="false">Scoring!DF213</f>
        <v/>
      </c>
      <c r="C206" s="146" t="n">
        <f aca="false">Scoring!C213</f>
        <v>0</v>
      </c>
      <c r="D206" s="147" t="str">
        <f aca="false">Scoring!DC213</f>
        <v/>
      </c>
      <c r="E206" s="146" t="str">
        <f aca="false">Scoring!BL213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Scoring!DE213</f>
        <v/>
      </c>
      <c r="I206" s="148" t="str">
        <f aca="false">Scoring!DD213</f>
        <v/>
      </c>
    </row>
    <row r="207" customFormat="false" ht="15.75" hidden="false" customHeight="false" outlineLevel="0" collapsed="false">
      <c r="A207" s="146" t="str">
        <f aca="false">Scoring!DG214</f>
        <v/>
      </c>
      <c r="B207" s="146" t="str">
        <f aca="false">Scoring!DF214</f>
        <v/>
      </c>
      <c r="C207" s="146" t="n">
        <f aca="false">Scoring!C214</f>
        <v>0</v>
      </c>
      <c r="D207" s="147" t="str">
        <f aca="false">Scoring!DC214</f>
        <v/>
      </c>
      <c r="E207" s="146" t="str">
        <f aca="false">Scoring!BL214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Scoring!DE214</f>
        <v/>
      </c>
      <c r="I207" s="148" t="str">
        <f aca="false">Scoring!DD214</f>
        <v/>
      </c>
    </row>
    <row r="208" customFormat="false" ht="15.75" hidden="false" customHeight="false" outlineLevel="0" collapsed="false">
      <c r="A208" s="146" t="str">
        <f aca="false">Scoring!DG215</f>
        <v/>
      </c>
      <c r="B208" s="146" t="str">
        <f aca="false">Scoring!DF215</f>
        <v/>
      </c>
      <c r="C208" s="146" t="n">
        <f aca="false">Scoring!C215</f>
        <v>0</v>
      </c>
      <c r="D208" s="147" t="str">
        <f aca="false">Scoring!DC215</f>
        <v/>
      </c>
      <c r="E208" s="146" t="str">
        <f aca="false">Scoring!BL215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Scoring!DE215</f>
        <v/>
      </c>
      <c r="I208" s="148" t="str">
        <f aca="false">Scoring!DD215</f>
        <v/>
      </c>
    </row>
    <row r="209" customFormat="false" ht="15.75" hidden="false" customHeight="false" outlineLevel="0" collapsed="false">
      <c r="A209" s="146" t="str">
        <f aca="false">Scoring!DG216</f>
        <v/>
      </c>
      <c r="B209" s="146" t="str">
        <f aca="false">Scoring!DF216</f>
        <v/>
      </c>
      <c r="C209" s="146" t="n">
        <f aca="false">Scoring!C216</f>
        <v>0</v>
      </c>
      <c r="D209" s="147" t="str">
        <f aca="false">Scoring!DC216</f>
        <v/>
      </c>
      <c r="E209" s="146" t="str">
        <f aca="false">Scoring!BL216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Scoring!DE216</f>
        <v/>
      </c>
      <c r="I209" s="148" t="str">
        <f aca="false">Scoring!DD216</f>
        <v/>
      </c>
    </row>
    <row r="210" customFormat="false" ht="15.75" hidden="false" customHeight="false" outlineLevel="0" collapsed="false">
      <c r="A210" s="146" t="str">
        <f aca="false">Scoring!DG217</f>
        <v/>
      </c>
      <c r="B210" s="146" t="str">
        <f aca="false">Scoring!DF217</f>
        <v/>
      </c>
      <c r="C210" s="146" t="n">
        <f aca="false">Scoring!C217</f>
        <v>0</v>
      </c>
      <c r="D210" s="147" t="str">
        <f aca="false">Scoring!DC217</f>
        <v/>
      </c>
      <c r="E210" s="146" t="str">
        <f aca="false">Scoring!BL217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Scoring!DE217</f>
        <v/>
      </c>
      <c r="I210" s="148" t="str">
        <f aca="false">Scoring!DD217</f>
        <v/>
      </c>
    </row>
    <row r="211" customFormat="false" ht="15.75" hidden="false" customHeight="false" outlineLevel="0" collapsed="false">
      <c r="A211" s="146" t="str">
        <f aca="false">Scoring!DG218</f>
        <v/>
      </c>
      <c r="B211" s="146" t="str">
        <f aca="false">Scoring!DF218</f>
        <v/>
      </c>
      <c r="C211" s="146" t="n">
        <f aca="false">Scoring!C218</f>
        <v>0</v>
      </c>
      <c r="D211" s="147" t="str">
        <f aca="false">Scoring!DC218</f>
        <v/>
      </c>
      <c r="E211" s="146" t="str">
        <f aca="false">Scoring!BL218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Scoring!DE218</f>
        <v/>
      </c>
      <c r="I211" s="148" t="str">
        <f aca="false">Scoring!DD218</f>
        <v/>
      </c>
    </row>
    <row r="212" customFormat="false" ht="15.75" hidden="false" customHeight="false" outlineLevel="0" collapsed="false">
      <c r="A212" s="146" t="str">
        <f aca="false">Scoring!DG219</f>
        <v/>
      </c>
      <c r="B212" s="146" t="str">
        <f aca="false">Scoring!DF219</f>
        <v/>
      </c>
      <c r="C212" s="146" t="n">
        <f aca="false">Scoring!C219</f>
        <v>0</v>
      </c>
      <c r="D212" s="147" t="str">
        <f aca="false">Scoring!DC219</f>
        <v/>
      </c>
      <c r="E212" s="146" t="str">
        <f aca="false">Scoring!BL219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Scoring!DE219</f>
        <v/>
      </c>
      <c r="I212" s="148" t="str">
        <f aca="false">Scoring!DD219</f>
        <v/>
      </c>
    </row>
    <row r="213" customFormat="false" ht="15.75" hidden="false" customHeight="false" outlineLevel="0" collapsed="false">
      <c r="A213" s="146" t="str">
        <f aca="false">Scoring!DG220</f>
        <v/>
      </c>
      <c r="B213" s="146" t="str">
        <f aca="false">Scoring!DF220</f>
        <v/>
      </c>
      <c r="C213" s="146" t="n">
        <f aca="false">Scoring!C220</f>
        <v>0</v>
      </c>
      <c r="D213" s="147" t="str">
        <f aca="false">Scoring!DC220</f>
        <v/>
      </c>
      <c r="E213" s="146" t="str">
        <f aca="false">Scoring!BL220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Scoring!DE220</f>
        <v/>
      </c>
      <c r="I213" s="148" t="str">
        <f aca="false">Scoring!DD220</f>
        <v/>
      </c>
    </row>
    <row r="214" customFormat="false" ht="15.75" hidden="false" customHeight="false" outlineLevel="0" collapsed="false">
      <c r="A214" s="146" t="str">
        <f aca="false">Scoring!DG221</f>
        <v/>
      </c>
      <c r="B214" s="146" t="str">
        <f aca="false">Scoring!DF221</f>
        <v/>
      </c>
      <c r="C214" s="146" t="n">
        <f aca="false">Scoring!C221</f>
        <v>0</v>
      </c>
      <c r="D214" s="147" t="str">
        <f aca="false">Scoring!DC221</f>
        <v/>
      </c>
      <c r="E214" s="146" t="str">
        <f aca="false">Scoring!BL221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Scoring!DE221</f>
        <v/>
      </c>
      <c r="I214" s="148" t="str">
        <f aca="false">Scoring!DD221</f>
        <v/>
      </c>
    </row>
    <row r="215" customFormat="false" ht="15.75" hidden="false" customHeight="false" outlineLevel="0" collapsed="false">
      <c r="A215" s="146" t="str">
        <f aca="false">Scoring!DG222</f>
        <v/>
      </c>
      <c r="B215" s="146" t="str">
        <f aca="false">Scoring!DF222</f>
        <v/>
      </c>
      <c r="C215" s="146" t="n">
        <f aca="false">Scoring!C222</f>
        <v>0</v>
      </c>
      <c r="D215" s="147" t="str">
        <f aca="false">Scoring!DC222</f>
        <v/>
      </c>
      <c r="E215" s="146" t="str">
        <f aca="false">Scoring!BL222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Scoring!DE222</f>
        <v/>
      </c>
      <c r="I215" s="148" t="str">
        <f aca="false">Scoring!DD222</f>
        <v/>
      </c>
    </row>
    <row r="216" customFormat="false" ht="15.75" hidden="false" customHeight="false" outlineLevel="0" collapsed="false">
      <c r="A216" s="146" t="str">
        <f aca="false">Scoring!DG223</f>
        <v/>
      </c>
      <c r="B216" s="146" t="str">
        <f aca="false">Scoring!DF223</f>
        <v/>
      </c>
      <c r="C216" s="146" t="n">
        <f aca="false">Scoring!C223</f>
        <v>0</v>
      </c>
      <c r="D216" s="147" t="str">
        <f aca="false">Scoring!DC223</f>
        <v/>
      </c>
      <c r="E216" s="146" t="str">
        <f aca="false">Scoring!BL223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Scoring!DE223</f>
        <v/>
      </c>
      <c r="I216" s="148" t="str">
        <f aca="false">Scoring!DD223</f>
        <v/>
      </c>
    </row>
    <row r="217" customFormat="false" ht="15.75" hidden="false" customHeight="false" outlineLevel="0" collapsed="false">
      <c r="A217" s="146" t="str">
        <f aca="false">Scoring!DG224</f>
        <v/>
      </c>
      <c r="B217" s="146" t="str">
        <f aca="false">Scoring!DF224</f>
        <v/>
      </c>
      <c r="C217" s="146" t="n">
        <f aca="false">Scoring!C224</f>
        <v>0</v>
      </c>
      <c r="D217" s="147" t="str">
        <f aca="false">Scoring!DC224</f>
        <v/>
      </c>
      <c r="E217" s="146" t="str">
        <f aca="false">Scoring!BL224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Scoring!DE224</f>
        <v/>
      </c>
      <c r="I217" s="148" t="str">
        <f aca="false">Scoring!DD224</f>
        <v/>
      </c>
    </row>
    <row r="218" customFormat="false" ht="15.75" hidden="false" customHeight="false" outlineLevel="0" collapsed="false">
      <c r="A218" s="146" t="str">
        <f aca="false">Scoring!DG225</f>
        <v/>
      </c>
      <c r="B218" s="146" t="str">
        <f aca="false">Scoring!DF225</f>
        <v/>
      </c>
      <c r="C218" s="146" t="n">
        <f aca="false">Scoring!C225</f>
        <v>0</v>
      </c>
      <c r="D218" s="147" t="str">
        <f aca="false">Scoring!DC225</f>
        <v/>
      </c>
      <c r="E218" s="146" t="str">
        <f aca="false">Scoring!BL225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Scoring!DE225</f>
        <v/>
      </c>
      <c r="I218" s="148" t="str">
        <f aca="false">Scoring!DD225</f>
        <v/>
      </c>
    </row>
    <row r="219" customFormat="false" ht="15.75" hidden="false" customHeight="false" outlineLevel="0" collapsed="false">
      <c r="A219" s="146" t="str">
        <f aca="false">Scoring!DG226</f>
        <v/>
      </c>
      <c r="B219" s="146" t="str">
        <f aca="false">Scoring!DF226</f>
        <v/>
      </c>
      <c r="C219" s="146" t="n">
        <f aca="false">Scoring!C226</f>
        <v>0</v>
      </c>
      <c r="D219" s="147" t="str">
        <f aca="false">Scoring!DC226</f>
        <v/>
      </c>
      <c r="E219" s="146" t="str">
        <f aca="false">Scoring!BL226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Scoring!DE226</f>
        <v/>
      </c>
      <c r="I219" s="148" t="str">
        <f aca="false">Scoring!DD226</f>
        <v/>
      </c>
    </row>
    <row r="220" customFormat="false" ht="15.75" hidden="false" customHeight="false" outlineLevel="0" collapsed="false">
      <c r="A220" s="146" t="str">
        <f aca="false">Scoring!DG227</f>
        <v/>
      </c>
      <c r="B220" s="146" t="str">
        <f aca="false">Scoring!DF227</f>
        <v/>
      </c>
      <c r="C220" s="146" t="n">
        <f aca="false">Scoring!C227</f>
        <v>0</v>
      </c>
      <c r="D220" s="147" t="str">
        <f aca="false">Scoring!DC227</f>
        <v/>
      </c>
      <c r="E220" s="146" t="str">
        <f aca="false">Scoring!BL227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Scoring!DE227</f>
        <v/>
      </c>
      <c r="I220" s="148" t="str">
        <f aca="false">Scoring!DD227</f>
        <v/>
      </c>
    </row>
    <row r="221" customFormat="false" ht="15.75" hidden="false" customHeight="false" outlineLevel="0" collapsed="false">
      <c r="A221" s="146" t="str">
        <f aca="false">Scoring!DG228</f>
        <v/>
      </c>
      <c r="B221" s="146" t="str">
        <f aca="false">Scoring!DF228</f>
        <v/>
      </c>
      <c r="C221" s="146" t="n">
        <f aca="false">Scoring!C228</f>
        <v>0</v>
      </c>
      <c r="D221" s="147" t="str">
        <f aca="false">Scoring!DC228</f>
        <v/>
      </c>
      <c r="E221" s="146" t="str">
        <f aca="false">Scoring!BL228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Scoring!DE228</f>
        <v/>
      </c>
      <c r="I221" s="148" t="str">
        <f aca="false">Scoring!DD228</f>
        <v/>
      </c>
    </row>
    <row r="222" customFormat="false" ht="15.75" hidden="false" customHeight="false" outlineLevel="0" collapsed="false">
      <c r="A222" s="146" t="str">
        <f aca="false">Scoring!DG229</f>
        <v/>
      </c>
      <c r="B222" s="146" t="str">
        <f aca="false">Scoring!DF229</f>
        <v/>
      </c>
      <c r="C222" s="146" t="n">
        <f aca="false">Scoring!C229</f>
        <v>0</v>
      </c>
      <c r="D222" s="147" t="str">
        <f aca="false">Scoring!DC229</f>
        <v/>
      </c>
      <c r="E222" s="146" t="str">
        <f aca="false">Scoring!BL229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Scoring!DE229</f>
        <v/>
      </c>
      <c r="I222" s="148" t="str">
        <f aca="false">Scoring!DD229</f>
        <v/>
      </c>
    </row>
    <row r="223" customFormat="false" ht="15.75" hidden="false" customHeight="false" outlineLevel="0" collapsed="false">
      <c r="A223" s="146" t="str">
        <f aca="false">Scoring!DG230</f>
        <v/>
      </c>
      <c r="B223" s="146" t="str">
        <f aca="false">Scoring!DF230</f>
        <v/>
      </c>
      <c r="C223" s="146" t="n">
        <f aca="false">Scoring!C230</f>
        <v>0</v>
      </c>
      <c r="D223" s="147" t="str">
        <f aca="false">Scoring!DC230</f>
        <v/>
      </c>
      <c r="E223" s="146" t="str">
        <f aca="false">Scoring!BL230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Scoring!DE230</f>
        <v/>
      </c>
      <c r="I223" s="148" t="str">
        <f aca="false">Scoring!DD230</f>
        <v/>
      </c>
    </row>
    <row r="224" customFormat="false" ht="15.75" hidden="false" customHeight="false" outlineLevel="0" collapsed="false">
      <c r="A224" s="146" t="str">
        <f aca="false">Scoring!DG231</f>
        <v/>
      </c>
      <c r="B224" s="146" t="str">
        <f aca="false">Scoring!DF231</f>
        <v/>
      </c>
      <c r="C224" s="146" t="n">
        <f aca="false">Scoring!C231</f>
        <v>0</v>
      </c>
      <c r="D224" s="147" t="str">
        <f aca="false">Scoring!DC231</f>
        <v/>
      </c>
      <c r="E224" s="146" t="str">
        <f aca="false">Scoring!BL231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Scoring!DE231</f>
        <v/>
      </c>
      <c r="I224" s="148" t="str">
        <f aca="false">Scoring!DD231</f>
        <v/>
      </c>
    </row>
    <row r="225" customFormat="false" ht="15.75" hidden="false" customHeight="false" outlineLevel="0" collapsed="false">
      <c r="A225" s="146" t="str">
        <f aca="false">Scoring!DG232</f>
        <v/>
      </c>
      <c r="B225" s="146" t="str">
        <f aca="false">Scoring!DF232</f>
        <v/>
      </c>
      <c r="C225" s="146" t="n">
        <f aca="false">Scoring!C232</f>
        <v>0</v>
      </c>
      <c r="D225" s="147" t="str">
        <f aca="false">Scoring!DC232</f>
        <v/>
      </c>
      <c r="E225" s="146" t="str">
        <f aca="false">Scoring!BL232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Scoring!DE232</f>
        <v/>
      </c>
      <c r="I225" s="148" t="str">
        <f aca="false">Scoring!DD232</f>
        <v/>
      </c>
    </row>
    <row r="226" customFormat="false" ht="15.75" hidden="false" customHeight="false" outlineLevel="0" collapsed="false">
      <c r="A226" s="146" t="str">
        <f aca="false">Scoring!DG233</f>
        <v/>
      </c>
      <c r="B226" s="146" t="str">
        <f aca="false">Scoring!DF233</f>
        <v/>
      </c>
      <c r="C226" s="146" t="n">
        <f aca="false">Scoring!C233</f>
        <v>0</v>
      </c>
      <c r="D226" s="147" t="str">
        <f aca="false">Scoring!DC233</f>
        <v/>
      </c>
      <c r="E226" s="146" t="str">
        <f aca="false">Scoring!BL233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Scoring!DE233</f>
        <v/>
      </c>
      <c r="I226" s="148" t="str">
        <f aca="false">Scoring!DD233</f>
        <v/>
      </c>
    </row>
    <row r="227" customFormat="false" ht="15.75" hidden="false" customHeight="false" outlineLevel="0" collapsed="false">
      <c r="A227" s="146" t="str">
        <f aca="false">Scoring!DG234</f>
        <v/>
      </c>
      <c r="B227" s="146" t="str">
        <f aca="false">Scoring!DF234</f>
        <v/>
      </c>
      <c r="C227" s="146" t="n">
        <f aca="false">Scoring!C234</f>
        <v>0</v>
      </c>
      <c r="D227" s="147" t="str">
        <f aca="false">Scoring!DC234</f>
        <v/>
      </c>
      <c r="E227" s="146" t="str">
        <f aca="false">Scoring!BL234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Scoring!DE234</f>
        <v/>
      </c>
      <c r="I227" s="148" t="str">
        <f aca="false">Scoring!DD234</f>
        <v/>
      </c>
    </row>
    <row r="228" customFormat="false" ht="15.75" hidden="false" customHeight="false" outlineLevel="0" collapsed="false">
      <c r="A228" s="146" t="str">
        <f aca="false">Scoring!DG235</f>
        <v/>
      </c>
      <c r="B228" s="146" t="str">
        <f aca="false">Scoring!DF235</f>
        <v/>
      </c>
      <c r="C228" s="146" t="n">
        <f aca="false">Scoring!C235</f>
        <v>0</v>
      </c>
      <c r="D228" s="147" t="str">
        <f aca="false">Scoring!DC235</f>
        <v/>
      </c>
      <c r="E228" s="146" t="str">
        <f aca="false">Scoring!BL235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Scoring!DE235</f>
        <v/>
      </c>
      <c r="I228" s="148" t="str">
        <f aca="false">Scoring!DD235</f>
        <v/>
      </c>
    </row>
    <row r="229" customFormat="false" ht="15.75" hidden="false" customHeight="false" outlineLevel="0" collapsed="false">
      <c r="A229" s="146" t="str">
        <f aca="false">Scoring!DG236</f>
        <v/>
      </c>
      <c r="B229" s="146" t="str">
        <f aca="false">Scoring!DF236</f>
        <v/>
      </c>
      <c r="C229" s="146" t="n">
        <f aca="false">Scoring!C236</f>
        <v>0</v>
      </c>
      <c r="D229" s="147" t="str">
        <f aca="false">Scoring!DC236</f>
        <v/>
      </c>
      <c r="E229" s="146" t="str">
        <f aca="false">Scoring!BL236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Scoring!DE236</f>
        <v/>
      </c>
      <c r="I229" s="148" t="str">
        <f aca="false">Scoring!DD236</f>
        <v/>
      </c>
    </row>
    <row r="230" customFormat="false" ht="15.75" hidden="false" customHeight="false" outlineLevel="0" collapsed="false">
      <c r="A230" s="146" t="str">
        <f aca="false">Scoring!DG237</f>
        <v/>
      </c>
      <c r="B230" s="146" t="str">
        <f aca="false">Scoring!DF237</f>
        <v/>
      </c>
      <c r="C230" s="146" t="n">
        <f aca="false">Scoring!C237</f>
        <v>0</v>
      </c>
      <c r="D230" s="147" t="str">
        <f aca="false">Scoring!DC237</f>
        <v/>
      </c>
      <c r="E230" s="146" t="str">
        <f aca="false">Scoring!BL237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Scoring!DE237</f>
        <v/>
      </c>
      <c r="I230" s="148" t="str">
        <f aca="false">Scoring!DD237</f>
        <v/>
      </c>
    </row>
    <row r="231" customFormat="false" ht="15.75" hidden="false" customHeight="false" outlineLevel="0" collapsed="false">
      <c r="A231" s="146" t="str">
        <f aca="false">Scoring!DG238</f>
        <v/>
      </c>
      <c r="B231" s="146" t="str">
        <f aca="false">Scoring!DF238</f>
        <v/>
      </c>
      <c r="C231" s="146" t="n">
        <f aca="false">Scoring!C238</f>
        <v>0</v>
      </c>
      <c r="D231" s="147" t="str">
        <f aca="false">Scoring!DC238</f>
        <v/>
      </c>
      <c r="E231" s="146" t="str">
        <f aca="false">Scoring!BL238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Scoring!DE238</f>
        <v/>
      </c>
      <c r="I231" s="148" t="str">
        <f aca="false">Scoring!DD238</f>
        <v/>
      </c>
    </row>
    <row r="232" customFormat="false" ht="15.75" hidden="false" customHeight="false" outlineLevel="0" collapsed="false">
      <c r="A232" s="146" t="str">
        <f aca="false">Scoring!DG239</f>
        <v/>
      </c>
      <c r="B232" s="146" t="str">
        <f aca="false">Scoring!DF239</f>
        <v/>
      </c>
      <c r="C232" s="146" t="n">
        <f aca="false">Scoring!C239</f>
        <v>0</v>
      </c>
      <c r="D232" s="147" t="str">
        <f aca="false">Scoring!DC239</f>
        <v/>
      </c>
      <c r="E232" s="146" t="str">
        <f aca="false">Scoring!BL239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Scoring!DE239</f>
        <v/>
      </c>
      <c r="I232" s="148" t="str">
        <f aca="false">Scoring!DD239</f>
        <v/>
      </c>
    </row>
    <row r="233" customFormat="false" ht="15.75" hidden="false" customHeight="false" outlineLevel="0" collapsed="false">
      <c r="A233" s="146" t="str">
        <f aca="false">Scoring!DG240</f>
        <v/>
      </c>
      <c r="B233" s="146" t="str">
        <f aca="false">Scoring!DF240</f>
        <v/>
      </c>
      <c r="C233" s="146" t="n">
        <f aca="false">Scoring!C240</f>
        <v>0</v>
      </c>
      <c r="D233" s="147" t="str">
        <f aca="false">Scoring!DC240</f>
        <v/>
      </c>
      <c r="E233" s="146" t="str">
        <f aca="false">Scoring!BL240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Scoring!DE240</f>
        <v/>
      </c>
      <c r="I233" s="148" t="str">
        <f aca="false">Scoring!DD240</f>
        <v/>
      </c>
    </row>
    <row r="234" customFormat="false" ht="15.75" hidden="false" customHeight="false" outlineLevel="0" collapsed="false">
      <c r="A234" s="146" t="str">
        <f aca="false">Scoring!DG241</f>
        <v/>
      </c>
      <c r="B234" s="146" t="str">
        <f aca="false">Scoring!DF241</f>
        <v/>
      </c>
      <c r="C234" s="146" t="n">
        <f aca="false">Scoring!C241</f>
        <v>0</v>
      </c>
      <c r="D234" s="147" t="str">
        <f aca="false">Scoring!DC241</f>
        <v/>
      </c>
      <c r="E234" s="146" t="str">
        <f aca="false">Scoring!BL241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Scoring!DE241</f>
        <v/>
      </c>
      <c r="I234" s="148" t="str">
        <f aca="false">Scoring!DD241</f>
        <v/>
      </c>
    </row>
    <row r="235" customFormat="false" ht="15.75" hidden="false" customHeight="false" outlineLevel="0" collapsed="false">
      <c r="A235" s="146" t="str">
        <f aca="false">Scoring!DG242</f>
        <v/>
      </c>
      <c r="B235" s="146" t="str">
        <f aca="false">Scoring!DF242</f>
        <v/>
      </c>
      <c r="C235" s="146" t="n">
        <f aca="false">Scoring!C242</f>
        <v>0</v>
      </c>
      <c r="D235" s="147" t="str">
        <f aca="false">Scoring!DC242</f>
        <v/>
      </c>
      <c r="E235" s="146" t="str">
        <f aca="false">Scoring!BL242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Scoring!DE242</f>
        <v/>
      </c>
      <c r="I235" s="148" t="str">
        <f aca="false">Scoring!DD242</f>
        <v/>
      </c>
    </row>
    <row r="236" customFormat="false" ht="15.75" hidden="false" customHeight="false" outlineLevel="0" collapsed="false">
      <c r="A236" s="146" t="str">
        <f aca="false">Scoring!DG243</f>
        <v/>
      </c>
      <c r="B236" s="146" t="str">
        <f aca="false">Scoring!DF243</f>
        <v/>
      </c>
      <c r="C236" s="146" t="n">
        <f aca="false">Scoring!C243</f>
        <v>0</v>
      </c>
      <c r="D236" s="147" t="str">
        <f aca="false">Scoring!DC243</f>
        <v/>
      </c>
      <c r="E236" s="146" t="str">
        <f aca="false">Scoring!BL243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Scoring!DE243</f>
        <v/>
      </c>
      <c r="I236" s="148" t="str">
        <f aca="false">Scoring!DD243</f>
        <v/>
      </c>
    </row>
    <row r="237" customFormat="false" ht="15.75" hidden="false" customHeight="false" outlineLevel="0" collapsed="false">
      <c r="A237" s="146" t="str">
        <f aca="false">Scoring!DG244</f>
        <v/>
      </c>
      <c r="B237" s="146" t="str">
        <f aca="false">Scoring!DF244</f>
        <v/>
      </c>
      <c r="C237" s="146" t="n">
        <f aca="false">Scoring!C244</f>
        <v>0</v>
      </c>
      <c r="D237" s="147" t="str">
        <f aca="false">Scoring!DC244</f>
        <v/>
      </c>
      <c r="E237" s="146" t="str">
        <f aca="false">Scoring!BL244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Scoring!DE244</f>
        <v/>
      </c>
      <c r="I237" s="148" t="str">
        <f aca="false">Scoring!DD244</f>
        <v/>
      </c>
    </row>
    <row r="238" customFormat="false" ht="15.75" hidden="false" customHeight="false" outlineLevel="0" collapsed="false">
      <c r="A238" s="146" t="str">
        <f aca="false">Scoring!DG245</f>
        <v/>
      </c>
      <c r="B238" s="146" t="str">
        <f aca="false">Scoring!DF245</f>
        <v/>
      </c>
      <c r="C238" s="146" t="n">
        <f aca="false">Scoring!C245</f>
        <v>0</v>
      </c>
      <c r="D238" s="147" t="str">
        <f aca="false">Scoring!DC245</f>
        <v/>
      </c>
      <c r="E238" s="146" t="str">
        <f aca="false">Scoring!BL245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Scoring!DE245</f>
        <v/>
      </c>
      <c r="I238" s="148" t="str">
        <f aca="false">Scoring!DD245</f>
        <v/>
      </c>
    </row>
    <row r="239" customFormat="false" ht="15.75" hidden="false" customHeight="false" outlineLevel="0" collapsed="false">
      <c r="A239" s="146" t="str">
        <f aca="false">Scoring!DG246</f>
        <v/>
      </c>
      <c r="B239" s="146" t="str">
        <f aca="false">Scoring!DF246</f>
        <v/>
      </c>
      <c r="C239" s="146" t="n">
        <f aca="false">Scoring!C246</f>
        <v>0</v>
      </c>
      <c r="D239" s="147" t="str">
        <f aca="false">Scoring!DC246</f>
        <v/>
      </c>
      <c r="E239" s="146" t="str">
        <f aca="false">Scoring!BL246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Scoring!DE246</f>
        <v/>
      </c>
      <c r="I239" s="148" t="str">
        <f aca="false">Scoring!DD246</f>
        <v/>
      </c>
    </row>
    <row r="240" customFormat="false" ht="15.75" hidden="false" customHeight="false" outlineLevel="0" collapsed="false">
      <c r="A240" s="146" t="str">
        <f aca="false">Scoring!DG247</f>
        <v/>
      </c>
      <c r="B240" s="146" t="str">
        <f aca="false">Scoring!DF247</f>
        <v/>
      </c>
      <c r="C240" s="146" t="n">
        <f aca="false">Scoring!C247</f>
        <v>0</v>
      </c>
      <c r="D240" s="147" t="str">
        <f aca="false">Scoring!DC247</f>
        <v/>
      </c>
      <c r="E240" s="146" t="str">
        <f aca="false">Scoring!BL247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Scoring!DE247</f>
        <v/>
      </c>
      <c r="I240" s="148" t="str">
        <f aca="false">Scoring!DD247</f>
        <v/>
      </c>
    </row>
    <row r="241" customFormat="false" ht="15.75" hidden="false" customHeight="false" outlineLevel="0" collapsed="false">
      <c r="A241" s="146" t="str">
        <f aca="false">Scoring!DG248</f>
        <v/>
      </c>
      <c r="B241" s="146" t="str">
        <f aca="false">Scoring!DF248</f>
        <v/>
      </c>
      <c r="C241" s="146" t="n">
        <f aca="false">Scoring!C248</f>
        <v>0</v>
      </c>
      <c r="D241" s="147" t="str">
        <f aca="false">Scoring!DC248</f>
        <v/>
      </c>
      <c r="E241" s="146" t="str">
        <f aca="false">Scoring!BL248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Scoring!DE248</f>
        <v/>
      </c>
      <c r="I241" s="148" t="str">
        <f aca="false">Scoring!DD248</f>
        <v/>
      </c>
    </row>
    <row r="242" customFormat="false" ht="15.75" hidden="false" customHeight="false" outlineLevel="0" collapsed="false">
      <c r="A242" s="146" t="str">
        <f aca="false">Scoring!DG249</f>
        <v/>
      </c>
      <c r="B242" s="146" t="str">
        <f aca="false">Scoring!DF249</f>
        <v/>
      </c>
      <c r="C242" s="146" t="n">
        <f aca="false">Scoring!C249</f>
        <v>0</v>
      </c>
      <c r="D242" s="147" t="str">
        <f aca="false">Scoring!DC249</f>
        <v/>
      </c>
      <c r="E242" s="146" t="str">
        <f aca="false">Scoring!BL249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Scoring!DE249</f>
        <v/>
      </c>
      <c r="I242" s="148" t="str">
        <f aca="false">Scoring!DD249</f>
        <v/>
      </c>
    </row>
    <row r="243" customFormat="false" ht="15.75" hidden="false" customHeight="false" outlineLevel="0" collapsed="false">
      <c r="A243" s="146" t="str">
        <f aca="false">Scoring!DG250</f>
        <v/>
      </c>
      <c r="B243" s="146" t="str">
        <f aca="false">Scoring!DF250</f>
        <v/>
      </c>
      <c r="C243" s="146" t="n">
        <f aca="false">Scoring!C250</f>
        <v>0</v>
      </c>
      <c r="D243" s="147" t="str">
        <f aca="false">Scoring!DC250</f>
        <v/>
      </c>
      <c r="E243" s="146" t="str">
        <f aca="false">Scoring!BL250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Scoring!DE250</f>
        <v/>
      </c>
      <c r="I243" s="148" t="str">
        <f aca="false">Scoring!DD250</f>
        <v/>
      </c>
    </row>
    <row r="244" customFormat="false" ht="15.75" hidden="false" customHeight="false" outlineLevel="0" collapsed="false">
      <c r="A244" s="146" t="str">
        <f aca="false">Scoring!DG251</f>
        <v/>
      </c>
      <c r="B244" s="146" t="str">
        <f aca="false">Scoring!DF251</f>
        <v/>
      </c>
      <c r="C244" s="146" t="n">
        <f aca="false">Scoring!C251</f>
        <v>0</v>
      </c>
      <c r="D244" s="147" t="str">
        <f aca="false">Scoring!DC251</f>
        <v/>
      </c>
      <c r="E244" s="146" t="str">
        <f aca="false">Scoring!BL251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Scoring!DE251</f>
        <v/>
      </c>
      <c r="I244" s="148" t="str">
        <f aca="false">Scoring!DD251</f>
        <v/>
      </c>
    </row>
    <row r="245" customFormat="false" ht="15.75" hidden="false" customHeight="false" outlineLevel="0" collapsed="false">
      <c r="A245" s="146" t="str">
        <f aca="false">Scoring!DG252</f>
        <v/>
      </c>
      <c r="B245" s="146" t="str">
        <f aca="false">Scoring!DF252</f>
        <v/>
      </c>
      <c r="C245" s="146" t="n">
        <f aca="false">Scoring!C252</f>
        <v>0</v>
      </c>
      <c r="D245" s="147" t="str">
        <f aca="false">Scoring!DC252</f>
        <v/>
      </c>
      <c r="E245" s="146" t="str">
        <f aca="false">Scoring!BL252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Scoring!DE252</f>
        <v/>
      </c>
      <c r="I245" s="148" t="str">
        <f aca="false">Scoring!DD252</f>
        <v/>
      </c>
    </row>
    <row r="246" customFormat="false" ht="15.75" hidden="false" customHeight="false" outlineLevel="0" collapsed="false">
      <c r="A246" s="146" t="str">
        <f aca="false">Scoring!DG253</f>
        <v/>
      </c>
      <c r="B246" s="146" t="str">
        <f aca="false">Scoring!DF253</f>
        <v/>
      </c>
      <c r="C246" s="146" t="n">
        <f aca="false">Scoring!C253</f>
        <v>0</v>
      </c>
      <c r="D246" s="147" t="str">
        <f aca="false">Scoring!DC253</f>
        <v/>
      </c>
      <c r="E246" s="146" t="str">
        <f aca="false">Scoring!BL253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Scoring!DE253</f>
        <v/>
      </c>
      <c r="I246" s="148" t="str">
        <f aca="false">Scoring!DD253</f>
        <v/>
      </c>
    </row>
    <row r="247" customFormat="false" ht="15.75" hidden="false" customHeight="false" outlineLevel="0" collapsed="false">
      <c r="A247" s="146" t="str">
        <f aca="false">Scoring!DG254</f>
        <v/>
      </c>
      <c r="B247" s="146" t="str">
        <f aca="false">Scoring!DF254</f>
        <v/>
      </c>
      <c r="C247" s="146" t="n">
        <f aca="false">Scoring!C254</f>
        <v>0</v>
      </c>
      <c r="D247" s="147" t="str">
        <f aca="false">Scoring!DC254</f>
        <v/>
      </c>
      <c r="E247" s="146" t="str">
        <f aca="false">Scoring!BL254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Scoring!DE254</f>
        <v/>
      </c>
      <c r="I247" s="148" t="str">
        <f aca="false">Scoring!DD254</f>
        <v/>
      </c>
    </row>
    <row r="248" customFormat="false" ht="15.75" hidden="false" customHeight="false" outlineLevel="0" collapsed="false">
      <c r="A248" s="146" t="str">
        <f aca="false">Scoring!DG255</f>
        <v/>
      </c>
      <c r="B248" s="146" t="str">
        <f aca="false">Scoring!DF255</f>
        <v/>
      </c>
      <c r="C248" s="146" t="n">
        <f aca="false">Scoring!C255</f>
        <v>0</v>
      </c>
      <c r="D248" s="147" t="str">
        <f aca="false">Scoring!DC255</f>
        <v/>
      </c>
      <c r="E248" s="146" t="str">
        <f aca="false">Scoring!BL255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Scoring!DE255</f>
        <v/>
      </c>
      <c r="I248" s="148" t="str">
        <f aca="false">Scoring!DD255</f>
        <v/>
      </c>
    </row>
    <row r="249" customFormat="false" ht="15.75" hidden="false" customHeight="false" outlineLevel="0" collapsed="false">
      <c r="A249" s="146" t="str">
        <f aca="false">Scoring!DG256</f>
        <v/>
      </c>
      <c r="B249" s="146" t="str">
        <f aca="false">Scoring!DF256</f>
        <v/>
      </c>
      <c r="C249" s="146" t="n">
        <f aca="false">Scoring!C256</f>
        <v>0</v>
      </c>
      <c r="D249" s="147" t="str">
        <f aca="false">Scoring!DC256</f>
        <v/>
      </c>
      <c r="E249" s="146" t="str">
        <f aca="false">Scoring!BL256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Scoring!DE256</f>
        <v/>
      </c>
      <c r="I249" s="148" t="str">
        <f aca="false">Scoring!DD256</f>
        <v/>
      </c>
    </row>
    <row r="250" customFormat="false" ht="15.75" hidden="false" customHeight="false" outlineLevel="0" collapsed="false">
      <c r="A250" s="146" t="str">
        <f aca="false">Scoring!DG257</f>
        <v/>
      </c>
      <c r="B250" s="146" t="str">
        <f aca="false">Scoring!DF257</f>
        <v/>
      </c>
      <c r="C250" s="146" t="n">
        <f aca="false">Scoring!C257</f>
        <v>0</v>
      </c>
      <c r="D250" s="147" t="str">
        <f aca="false">Scoring!DC257</f>
        <v/>
      </c>
      <c r="E250" s="146" t="str">
        <f aca="false">Scoring!BL257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Scoring!DE257</f>
        <v/>
      </c>
      <c r="I250" s="148" t="str">
        <f aca="false">Scoring!DD257</f>
        <v/>
      </c>
    </row>
    <row r="251" customFormat="false" ht="15.75" hidden="false" customHeight="false" outlineLevel="0" collapsed="false">
      <c r="A251" s="146" t="str">
        <f aca="false">Scoring!DG258</f>
        <v/>
      </c>
      <c r="B251" s="146" t="str">
        <f aca="false">Scoring!DF258</f>
        <v/>
      </c>
      <c r="C251" s="146" t="n">
        <f aca="false">Scoring!C258</f>
        <v>0</v>
      </c>
      <c r="D251" s="147" t="str">
        <f aca="false">Scoring!DC258</f>
        <v/>
      </c>
      <c r="E251" s="146" t="str">
        <f aca="false">Scoring!BL258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Scoring!DE258</f>
        <v/>
      </c>
      <c r="I251" s="148" t="str">
        <f aca="false">Scoring!DD258</f>
        <v/>
      </c>
    </row>
    <row r="252" customFormat="false" ht="15.75" hidden="false" customHeight="false" outlineLevel="0" collapsed="false">
      <c r="A252" s="146" t="str">
        <f aca="false">Scoring!DG259</f>
        <v/>
      </c>
      <c r="B252" s="146" t="str">
        <f aca="false">Scoring!DF259</f>
        <v/>
      </c>
      <c r="C252" s="146" t="n">
        <f aca="false">Scoring!C259</f>
        <v>0</v>
      </c>
      <c r="D252" s="147" t="str">
        <f aca="false">Scoring!DC259</f>
        <v/>
      </c>
      <c r="E252" s="146" t="str">
        <f aca="false">Scoring!BL259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Scoring!DE259</f>
        <v/>
      </c>
      <c r="I252" s="148" t="str">
        <f aca="false">Scoring!DD259</f>
        <v/>
      </c>
    </row>
    <row r="253" customFormat="false" ht="15.75" hidden="false" customHeight="false" outlineLevel="0" collapsed="false">
      <c r="A253" s="146" t="str">
        <f aca="false">Scoring!DG260</f>
        <v/>
      </c>
      <c r="B253" s="146" t="str">
        <f aca="false">Scoring!DF260</f>
        <v/>
      </c>
      <c r="C253" s="146" t="n">
        <f aca="false">Scoring!C260</f>
        <v>0</v>
      </c>
      <c r="D253" s="147" t="str">
        <f aca="false">Scoring!DC260</f>
        <v/>
      </c>
      <c r="E253" s="146" t="str">
        <f aca="false">Scoring!BL260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Scoring!DE260</f>
        <v/>
      </c>
      <c r="I253" s="148" t="str">
        <f aca="false">Scoring!DD260</f>
        <v/>
      </c>
    </row>
    <row r="254" customFormat="false" ht="15.75" hidden="false" customHeight="false" outlineLevel="0" collapsed="false">
      <c r="A254" s="146" t="str">
        <f aca="false">Scoring!DG261</f>
        <v/>
      </c>
      <c r="B254" s="146" t="str">
        <f aca="false">Scoring!DF261</f>
        <v/>
      </c>
      <c r="C254" s="146" t="n">
        <f aca="false">Scoring!C261</f>
        <v>0</v>
      </c>
      <c r="D254" s="147" t="str">
        <f aca="false">Scoring!DC261</f>
        <v/>
      </c>
      <c r="E254" s="146" t="str">
        <f aca="false">Scoring!BL261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Scoring!DE261</f>
        <v/>
      </c>
      <c r="I254" s="148" t="str">
        <f aca="false">Scoring!DD261</f>
        <v/>
      </c>
    </row>
    <row r="255" customFormat="false" ht="15.75" hidden="false" customHeight="false" outlineLevel="0" collapsed="false">
      <c r="A255" s="146" t="str">
        <f aca="false">Scoring!DG262</f>
        <v/>
      </c>
      <c r="B255" s="146" t="str">
        <f aca="false">Scoring!DF262</f>
        <v/>
      </c>
      <c r="C255" s="146" t="n">
        <f aca="false">Scoring!C262</f>
        <v>0</v>
      </c>
      <c r="D255" s="147" t="str">
        <f aca="false">Scoring!DC262</f>
        <v/>
      </c>
      <c r="E255" s="146" t="str">
        <f aca="false">Scoring!BL262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Scoring!DE262</f>
        <v/>
      </c>
      <c r="I255" s="148" t="str">
        <f aca="false">Scoring!DD262</f>
        <v/>
      </c>
    </row>
    <row r="256" customFormat="false" ht="15.75" hidden="false" customHeight="false" outlineLevel="0" collapsed="false">
      <c r="A256" s="146" t="str">
        <f aca="false">Scoring!DG263</f>
        <v/>
      </c>
      <c r="B256" s="146" t="str">
        <f aca="false">Scoring!DF263</f>
        <v/>
      </c>
      <c r="C256" s="146" t="n">
        <f aca="false">Scoring!C263</f>
        <v>0</v>
      </c>
      <c r="D256" s="147" t="str">
        <f aca="false">Scoring!DC263</f>
        <v/>
      </c>
      <c r="E256" s="146" t="str">
        <f aca="false">Scoring!BL263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Scoring!DE263</f>
        <v/>
      </c>
      <c r="I256" s="148" t="str">
        <f aca="false">Scoring!DD263</f>
        <v/>
      </c>
    </row>
    <row r="257" customFormat="false" ht="15.75" hidden="false" customHeight="false" outlineLevel="0" collapsed="false">
      <c r="A257" s="146" t="str">
        <f aca="false">Scoring!DG264</f>
        <v/>
      </c>
      <c r="B257" s="146" t="str">
        <f aca="false">Scoring!DF264</f>
        <v/>
      </c>
      <c r="C257" s="146" t="n">
        <f aca="false">Scoring!C264</f>
        <v>0</v>
      </c>
      <c r="D257" s="147" t="str">
        <f aca="false">Scoring!DC264</f>
        <v/>
      </c>
      <c r="E257" s="146" t="str">
        <f aca="false">Scoring!BL264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Scoring!DE264</f>
        <v/>
      </c>
      <c r="I257" s="148" t="str">
        <f aca="false">Scoring!DD264</f>
        <v/>
      </c>
    </row>
    <row r="258" customFormat="false" ht="15.75" hidden="false" customHeight="false" outlineLevel="0" collapsed="false">
      <c r="A258" s="146" t="str">
        <f aca="false">Scoring!DG265</f>
        <v/>
      </c>
      <c r="B258" s="146" t="str">
        <f aca="false">Scoring!DF265</f>
        <v/>
      </c>
      <c r="C258" s="146" t="n">
        <f aca="false">Scoring!C265</f>
        <v>0</v>
      </c>
      <c r="D258" s="147" t="str">
        <f aca="false">Scoring!DC265</f>
        <v/>
      </c>
      <c r="E258" s="146" t="str">
        <f aca="false">Scoring!BL265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Scoring!DE265</f>
        <v/>
      </c>
      <c r="I258" s="148" t="str">
        <f aca="false">Scoring!DD265</f>
        <v/>
      </c>
    </row>
    <row r="259" customFormat="false" ht="15.75" hidden="false" customHeight="false" outlineLevel="0" collapsed="false">
      <c r="A259" s="146" t="str">
        <f aca="false">Scoring!DG266</f>
        <v/>
      </c>
      <c r="B259" s="146" t="str">
        <f aca="false">Scoring!DF266</f>
        <v/>
      </c>
      <c r="C259" s="146" t="n">
        <f aca="false">Scoring!C266</f>
        <v>0</v>
      </c>
      <c r="D259" s="147" t="str">
        <f aca="false">Scoring!DC266</f>
        <v/>
      </c>
      <c r="E259" s="146" t="str">
        <f aca="false">Scoring!BL266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Scoring!DE266</f>
        <v/>
      </c>
      <c r="I259" s="148" t="str">
        <f aca="false">Scoring!DD266</f>
        <v/>
      </c>
    </row>
    <row r="260" customFormat="false" ht="15.75" hidden="false" customHeight="false" outlineLevel="0" collapsed="false">
      <c r="A260" s="146" t="str">
        <f aca="false">Scoring!DG267</f>
        <v/>
      </c>
      <c r="B260" s="146" t="str">
        <f aca="false">Scoring!DF267</f>
        <v/>
      </c>
      <c r="C260" s="146" t="n">
        <f aca="false">Scoring!C267</f>
        <v>0</v>
      </c>
      <c r="D260" s="147" t="str">
        <f aca="false">Scoring!DC267</f>
        <v/>
      </c>
      <c r="E260" s="146" t="str">
        <f aca="false">Scoring!BL267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Scoring!DE267</f>
        <v/>
      </c>
      <c r="I260" s="148" t="str">
        <f aca="false">Scoring!DD267</f>
        <v/>
      </c>
    </row>
    <row r="261" customFormat="false" ht="15.75" hidden="false" customHeight="false" outlineLevel="0" collapsed="false">
      <c r="A261" s="146" t="str">
        <f aca="false">Scoring!DG268</f>
        <v/>
      </c>
      <c r="B261" s="146" t="str">
        <f aca="false">Scoring!DF268</f>
        <v/>
      </c>
      <c r="C261" s="146" t="n">
        <f aca="false">Scoring!C268</f>
        <v>0</v>
      </c>
      <c r="D261" s="147" t="str">
        <f aca="false">Scoring!DC268</f>
        <v/>
      </c>
      <c r="E261" s="146" t="str">
        <f aca="false">Scoring!BL268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Scoring!DE268</f>
        <v/>
      </c>
      <c r="I261" s="148" t="str">
        <f aca="false">Scoring!DD268</f>
        <v/>
      </c>
    </row>
    <row r="262" customFormat="false" ht="15.75" hidden="false" customHeight="false" outlineLevel="0" collapsed="false">
      <c r="A262" s="146" t="str">
        <f aca="false">Scoring!DG269</f>
        <v/>
      </c>
      <c r="B262" s="146" t="str">
        <f aca="false">Scoring!DF269</f>
        <v/>
      </c>
      <c r="C262" s="146" t="n">
        <f aca="false">Scoring!C269</f>
        <v>0</v>
      </c>
      <c r="D262" s="147" t="str">
        <f aca="false">Scoring!DC269</f>
        <v/>
      </c>
      <c r="E262" s="146" t="str">
        <f aca="false">Scoring!BL269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Scoring!DE269</f>
        <v/>
      </c>
      <c r="I262" s="148" t="str">
        <f aca="false">Scoring!DD269</f>
        <v/>
      </c>
    </row>
    <row r="263" customFormat="false" ht="15.75" hidden="false" customHeight="false" outlineLevel="0" collapsed="false">
      <c r="A263" s="146" t="str">
        <f aca="false">Scoring!DG270</f>
        <v/>
      </c>
      <c r="B263" s="146" t="str">
        <f aca="false">Scoring!DF270</f>
        <v/>
      </c>
      <c r="C263" s="146" t="n">
        <f aca="false">Scoring!C270</f>
        <v>0</v>
      </c>
      <c r="D263" s="147" t="str">
        <f aca="false">Scoring!DC270</f>
        <v/>
      </c>
      <c r="E263" s="146" t="str">
        <f aca="false">Scoring!BL270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Scoring!DE270</f>
        <v/>
      </c>
      <c r="I263" s="148" t="str">
        <f aca="false">Scoring!DD270</f>
        <v/>
      </c>
    </row>
    <row r="264" customFormat="false" ht="15.75" hidden="false" customHeight="false" outlineLevel="0" collapsed="false">
      <c r="A264" s="146" t="str">
        <f aca="false">Scoring!DG271</f>
        <v/>
      </c>
      <c r="B264" s="146" t="str">
        <f aca="false">Scoring!DF271</f>
        <v/>
      </c>
      <c r="C264" s="146" t="n">
        <f aca="false">Scoring!C271</f>
        <v>0</v>
      </c>
      <c r="D264" s="147" t="str">
        <f aca="false">Scoring!DC271</f>
        <v/>
      </c>
      <c r="E264" s="146" t="str">
        <f aca="false">Scoring!BL271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Scoring!DE271</f>
        <v/>
      </c>
      <c r="I264" s="148" t="str">
        <f aca="false">Scoring!DD271</f>
        <v/>
      </c>
    </row>
    <row r="265" customFormat="false" ht="15.75" hidden="false" customHeight="false" outlineLevel="0" collapsed="false">
      <c r="A265" s="146" t="str">
        <f aca="false">Scoring!DG272</f>
        <v/>
      </c>
      <c r="B265" s="146" t="str">
        <f aca="false">Scoring!DF272</f>
        <v/>
      </c>
      <c r="C265" s="146" t="n">
        <f aca="false">Scoring!C272</f>
        <v>0</v>
      </c>
      <c r="D265" s="147" t="str">
        <f aca="false">Scoring!DC272</f>
        <v/>
      </c>
      <c r="E265" s="146" t="str">
        <f aca="false">Scoring!BL272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Scoring!DE272</f>
        <v/>
      </c>
      <c r="I265" s="148" t="str">
        <f aca="false">Scoring!DD272</f>
        <v/>
      </c>
    </row>
    <row r="266" customFormat="false" ht="15.75" hidden="false" customHeight="false" outlineLevel="0" collapsed="false">
      <c r="A266" s="146" t="str">
        <f aca="false">Scoring!DG273</f>
        <v/>
      </c>
      <c r="B266" s="146" t="str">
        <f aca="false">Scoring!DF273</f>
        <v/>
      </c>
      <c r="C266" s="146" t="n">
        <f aca="false">Scoring!C273</f>
        <v>0</v>
      </c>
      <c r="D266" s="147" t="str">
        <f aca="false">Scoring!DC273</f>
        <v/>
      </c>
      <c r="E266" s="146" t="str">
        <f aca="false">Scoring!BL273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Scoring!DE273</f>
        <v/>
      </c>
      <c r="I266" s="148" t="str">
        <f aca="false">Scoring!DD273</f>
        <v/>
      </c>
    </row>
    <row r="267" customFormat="false" ht="15.75" hidden="false" customHeight="false" outlineLevel="0" collapsed="false">
      <c r="A267" s="146" t="str">
        <f aca="false">Scoring!DG274</f>
        <v/>
      </c>
      <c r="B267" s="146" t="str">
        <f aca="false">Scoring!DF274</f>
        <v/>
      </c>
      <c r="C267" s="146" t="n">
        <f aca="false">Scoring!C274</f>
        <v>0</v>
      </c>
      <c r="D267" s="147" t="str">
        <f aca="false">Scoring!DC274</f>
        <v/>
      </c>
      <c r="E267" s="146" t="str">
        <f aca="false">Scoring!BL274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Scoring!DE274</f>
        <v/>
      </c>
      <c r="I267" s="148" t="str">
        <f aca="false">Scoring!DD274</f>
        <v/>
      </c>
    </row>
    <row r="268" customFormat="false" ht="15.75" hidden="false" customHeight="false" outlineLevel="0" collapsed="false">
      <c r="A268" s="146" t="str">
        <f aca="false">Scoring!DG275</f>
        <v/>
      </c>
      <c r="B268" s="146" t="str">
        <f aca="false">Scoring!DF275</f>
        <v/>
      </c>
      <c r="C268" s="146" t="n">
        <f aca="false">Scoring!C275</f>
        <v>0</v>
      </c>
      <c r="D268" s="147" t="str">
        <f aca="false">Scoring!DC275</f>
        <v/>
      </c>
      <c r="E268" s="146" t="str">
        <f aca="false">Scoring!BL275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Scoring!DE275</f>
        <v/>
      </c>
      <c r="I268" s="148" t="str">
        <f aca="false">Scoring!DD275</f>
        <v/>
      </c>
    </row>
    <row r="269" customFormat="false" ht="15.75" hidden="false" customHeight="false" outlineLevel="0" collapsed="false">
      <c r="A269" s="146" t="str">
        <f aca="false">Scoring!DG276</f>
        <v/>
      </c>
      <c r="B269" s="146" t="str">
        <f aca="false">Scoring!DF276</f>
        <v/>
      </c>
      <c r="C269" s="146" t="n">
        <f aca="false">Scoring!C276</f>
        <v>0</v>
      </c>
      <c r="D269" s="147" t="str">
        <f aca="false">Scoring!DC276</f>
        <v/>
      </c>
      <c r="E269" s="146" t="str">
        <f aca="false">Scoring!BL276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Scoring!DE276</f>
        <v/>
      </c>
      <c r="I269" s="148" t="str">
        <f aca="false">Scoring!DD276</f>
        <v/>
      </c>
    </row>
    <row r="270" customFormat="false" ht="15.75" hidden="false" customHeight="false" outlineLevel="0" collapsed="false">
      <c r="A270" s="146" t="str">
        <f aca="false">Scoring!DG277</f>
        <v/>
      </c>
      <c r="B270" s="146" t="str">
        <f aca="false">Scoring!DF277</f>
        <v/>
      </c>
      <c r="C270" s="146" t="n">
        <f aca="false">Scoring!C277</f>
        <v>0</v>
      </c>
      <c r="D270" s="147" t="str">
        <f aca="false">Scoring!DC277</f>
        <v/>
      </c>
      <c r="E270" s="146" t="str">
        <f aca="false">Scoring!BL277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Scoring!DE277</f>
        <v/>
      </c>
      <c r="I270" s="148" t="str">
        <f aca="false">Scoring!DD277</f>
        <v/>
      </c>
    </row>
    <row r="271" customFormat="false" ht="15.75" hidden="false" customHeight="false" outlineLevel="0" collapsed="false">
      <c r="A271" s="146" t="str">
        <f aca="false">Scoring!DG278</f>
        <v/>
      </c>
      <c r="B271" s="146" t="str">
        <f aca="false">Scoring!DF278</f>
        <v/>
      </c>
      <c r="C271" s="146" t="n">
        <f aca="false">Scoring!C278</f>
        <v>0</v>
      </c>
      <c r="D271" s="147" t="str">
        <f aca="false">Scoring!DC278</f>
        <v/>
      </c>
      <c r="E271" s="146" t="str">
        <f aca="false">Scoring!BL278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Scoring!DE278</f>
        <v/>
      </c>
      <c r="I271" s="148" t="str">
        <f aca="false">Scoring!DD278</f>
        <v/>
      </c>
    </row>
    <row r="272" customFormat="false" ht="15.75" hidden="false" customHeight="false" outlineLevel="0" collapsed="false">
      <c r="A272" s="146" t="str">
        <f aca="false">Scoring!DG279</f>
        <v/>
      </c>
      <c r="B272" s="146" t="str">
        <f aca="false">Scoring!DF279</f>
        <v/>
      </c>
      <c r="C272" s="146" t="n">
        <f aca="false">Scoring!C279</f>
        <v>0</v>
      </c>
      <c r="D272" s="147" t="str">
        <f aca="false">Scoring!DC279</f>
        <v/>
      </c>
      <c r="E272" s="146" t="str">
        <f aca="false">Scoring!BL279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Scoring!DE279</f>
        <v/>
      </c>
      <c r="I272" s="148" t="str">
        <f aca="false">Scoring!DD279</f>
        <v/>
      </c>
    </row>
    <row r="273" customFormat="false" ht="15.75" hidden="false" customHeight="false" outlineLevel="0" collapsed="false">
      <c r="A273" s="146" t="str">
        <f aca="false">Scoring!DG280</f>
        <v/>
      </c>
      <c r="B273" s="146" t="str">
        <f aca="false">Scoring!DF280</f>
        <v/>
      </c>
      <c r="C273" s="146" t="n">
        <f aca="false">Scoring!C280</f>
        <v>0</v>
      </c>
      <c r="D273" s="147" t="str">
        <f aca="false">Scoring!DC280</f>
        <v/>
      </c>
      <c r="E273" s="146" t="str">
        <f aca="false">Scoring!BL280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Scoring!DE280</f>
        <v/>
      </c>
      <c r="I273" s="148" t="str">
        <f aca="false">Scoring!DD280</f>
        <v/>
      </c>
    </row>
    <row r="274" customFormat="false" ht="15.75" hidden="false" customHeight="false" outlineLevel="0" collapsed="false">
      <c r="A274" s="146" t="str">
        <f aca="false">Scoring!DG281</f>
        <v/>
      </c>
      <c r="B274" s="146" t="str">
        <f aca="false">Scoring!DF281</f>
        <v/>
      </c>
      <c r="C274" s="146" t="n">
        <f aca="false">Scoring!C281</f>
        <v>0</v>
      </c>
      <c r="D274" s="147" t="str">
        <f aca="false">Scoring!DC281</f>
        <v/>
      </c>
      <c r="E274" s="146" t="str">
        <f aca="false">Scoring!BL281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Scoring!DE281</f>
        <v/>
      </c>
      <c r="I274" s="148" t="str">
        <f aca="false">Scoring!DD281</f>
        <v/>
      </c>
    </row>
    <row r="275" customFormat="false" ht="15.75" hidden="false" customHeight="false" outlineLevel="0" collapsed="false">
      <c r="A275" s="146" t="str">
        <f aca="false">Scoring!DG282</f>
        <v/>
      </c>
      <c r="B275" s="146" t="str">
        <f aca="false">Scoring!DF282</f>
        <v/>
      </c>
      <c r="C275" s="146" t="n">
        <f aca="false">Scoring!C282</f>
        <v>0</v>
      </c>
      <c r="D275" s="147" t="str">
        <f aca="false">Scoring!DC282</f>
        <v/>
      </c>
      <c r="E275" s="146" t="str">
        <f aca="false">Scoring!BL282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Scoring!DE282</f>
        <v/>
      </c>
      <c r="I275" s="148" t="str">
        <f aca="false">Scoring!DD282</f>
        <v/>
      </c>
    </row>
    <row r="276" customFormat="false" ht="15.75" hidden="false" customHeight="false" outlineLevel="0" collapsed="false">
      <c r="A276" s="146" t="str">
        <f aca="false">Scoring!DG283</f>
        <v/>
      </c>
      <c r="B276" s="146" t="str">
        <f aca="false">Scoring!DF283</f>
        <v/>
      </c>
      <c r="C276" s="146" t="n">
        <f aca="false">Scoring!C283</f>
        <v>0</v>
      </c>
      <c r="D276" s="147" t="str">
        <f aca="false">Scoring!DC283</f>
        <v/>
      </c>
      <c r="E276" s="146" t="str">
        <f aca="false">Scoring!BL283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Scoring!DE283</f>
        <v/>
      </c>
      <c r="I276" s="148" t="str">
        <f aca="false">Scoring!DD283</f>
        <v/>
      </c>
    </row>
    <row r="277" customFormat="false" ht="15.75" hidden="false" customHeight="false" outlineLevel="0" collapsed="false">
      <c r="A277" s="146" t="str">
        <f aca="false">Scoring!DG284</f>
        <v/>
      </c>
      <c r="B277" s="146" t="str">
        <f aca="false">Scoring!DF284</f>
        <v/>
      </c>
      <c r="C277" s="146" t="n">
        <f aca="false">Scoring!C284</f>
        <v>0</v>
      </c>
      <c r="D277" s="147" t="str">
        <f aca="false">Scoring!DC284</f>
        <v/>
      </c>
      <c r="E277" s="146" t="str">
        <f aca="false">Scoring!BL284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Scoring!DE284</f>
        <v/>
      </c>
      <c r="I277" s="148" t="str">
        <f aca="false">Scoring!DD284</f>
        <v/>
      </c>
    </row>
    <row r="278" customFormat="false" ht="15.75" hidden="false" customHeight="false" outlineLevel="0" collapsed="false">
      <c r="A278" s="146" t="str">
        <f aca="false">Scoring!DG285</f>
        <v/>
      </c>
      <c r="B278" s="146" t="str">
        <f aca="false">Scoring!DF285</f>
        <v/>
      </c>
      <c r="C278" s="146" t="n">
        <f aca="false">Scoring!C285</f>
        <v>0</v>
      </c>
      <c r="D278" s="147" t="str">
        <f aca="false">Scoring!DC285</f>
        <v/>
      </c>
      <c r="E278" s="146" t="str">
        <f aca="false">Scoring!BL285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Scoring!DE285</f>
        <v/>
      </c>
      <c r="I278" s="148" t="str">
        <f aca="false">Scoring!DD285</f>
        <v/>
      </c>
    </row>
    <row r="279" customFormat="false" ht="15.75" hidden="false" customHeight="false" outlineLevel="0" collapsed="false">
      <c r="A279" s="146" t="str">
        <f aca="false">Scoring!DG286</f>
        <v/>
      </c>
      <c r="B279" s="146" t="str">
        <f aca="false">Scoring!DF286</f>
        <v/>
      </c>
      <c r="C279" s="146" t="n">
        <f aca="false">Scoring!C286</f>
        <v>0</v>
      </c>
      <c r="D279" s="147" t="str">
        <f aca="false">Scoring!DC286</f>
        <v/>
      </c>
      <c r="E279" s="146" t="str">
        <f aca="false">Scoring!BL286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Scoring!DE286</f>
        <v/>
      </c>
      <c r="I279" s="148" t="str">
        <f aca="false">Scoring!DD286</f>
        <v/>
      </c>
    </row>
    <row r="280" customFormat="false" ht="15.75" hidden="false" customHeight="false" outlineLevel="0" collapsed="false">
      <c r="A280" s="146" t="str">
        <f aca="false">Scoring!DG287</f>
        <v/>
      </c>
      <c r="B280" s="146" t="str">
        <f aca="false">Scoring!DF287</f>
        <v/>
      </c>
      <c r="C280" s="146" t="n">
        <f aca="false">Scoring!C287</f>
        <v>0</v>
      </c>
      <c r="D280" s="147" t="str">
        <f aca="false">Scoring!DC287</f>
        <v/>
      </c>
      <c r="E280" s="146" t="str">
        <f aca="false">Scoring!BL287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Scoring!DE287</f>
        <v/>
      </c>
      <c r="I280" s="148" t="str">
        <f aca="false">Scoring!DD287</f>
        <v/>
      </c>
    </row>
    <row r="281" customFormat="false" ht="15.75" hidden="false" customHeight="false" outlineLevel="0" collapsed="false">
      <c r="A281" s="146" t="str">
        <f aca="false">Scoring!DG288</f>
        <v/>
      </c>
      <c r="B281" s="146" t="str">
        <f aca="false">Scoring!DF288</f>
        <v/>
      </c>
      <c r="C281" s="146" t="n">
        <f aca="false">Scoring!C288</f>
        <v>0</v>
      </c>
      <c r="D281" s="147" t="str">
        <f aca="false">Scoring!DC288</f>
        <v/>
      </c>
      <c r="E281" s="146" t="str">
        <f aca="false">Scoring!BL288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Scoring!DE288</f>
        <v/>
      </c>
      <c r="I281" s="148" t="str">
        <f aca="false">Scoring!DD288</f>
        <v/>
      </c>
    </row>
    <row r="282" customFormat="false" ht="15.75" hidden="false" customHeight="false" outlineLevel="0" collapsed="false">
      <c r="A282" s="146" t="str">
        <f aca="false">Scoring!DG289</f>
        <v/>
      </c>
      <c r="B282" s="146" t="str">
        <f aca="false">Scoring!DF289</f>
        <v/>
      </c>
      <c r="C282" s="146" t="n">
        <f aca="false">Scoring!C289</f>
        <v>0</v>
      </c>
      <c r="D282" s="147" t="str">
        <f aca="false">Scoring!DC289</f>
        <v/>
      </c>
      <c r="E282" s="146" t="str">
        <f aca="false">Scoring!BL289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Scoring!DE289</f>
        <v/>
      </c>
      <c r="I282" s="148" t="str">
        <f aca="false">Scoring!DD289</f>
        <v/>
      </c>
    </row>
    <row r="283" customFormat="false" ht="15.75" hidden="false" customHeight="false" outlineLevel="0" collapsed="false">
      <c r="A283" s="146" t="str">
        <f aca="false">Scoring!DG290</f>
        <v/>
      </c>
      <c r="B283" s="146" t="str">
        <f aca="false">Scoring!DF290</f>
        <v/>
      </c>
      <c r="C283" s="146" t="n">
        <f aca="false">Scoring!C290</f>
        <v>0</v>
      </c>
      <c r="D283" s="147" t="str">
        <f aca="false">Scoring!DC290</f>
        <v/>
      </c>
      <c r="E283" s="146" t="str">
        <f aca="false">Scoring!BL290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Scoring!DE290</f>
        <v/>
      </c>
      <c r="I283" s="148" t="str">
        <f aca="false">Scoring!DD290</f>
        <v/>
      </c>
    </row>
    <row r="284" customFormat="false" ht="15.75" hidden="false" customHeight="false" outlineLevel="0" collapsed="false">
      <c r="A284" s="146" t="str">
        <f aca="false">Scoring!DG291</f>
        <v/>
      </c>
      <c r="B284" s="146" t="str">
        <f aca="false">Scoring!DF291</f>
        <v/>
      </c>
      <c r="C284" s="146" t="n">
        <f aca="false">Scoring!C291</f>
        <v>0</v>
      </c>
      <c r="D284" s="147" t="str">
        <f aca="false">Scoring!DC291</f>
        <v/>
      </c>
      <c r="E284" s="146" t="str">
        <f aca="false">Scoring!BL291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Scoring!DE291</f>
        <v/>
      </c>
      <c r="I284" s="148" t="str">
        <f aca="false">Scoring!DD291</f>
        <v/>
      </c>
    </row>
    <row r="285" customFormat="false" ht="15.75" hidden="false" customHeight="false" outlineLevel="0" collapsed="false">
      <c r="A285" s="146" t="str">
        <f aca="false">Scoring!DG292</f>
        <v/>
      </c>
      <c r="B285" s="146" t="str">
        <f aca="false">Scoring!DF292</f>
        <v/>
      </c>
      <c r="C285" s="146" t="n">
        <f aca="false">Scoring!C292</f>
        <v>0</v>
      </c>
      <c r="D285" s="147" t="str">
        <f aca="false">Scoring!DC292</f>
        <v/>
      </c>
      <c r="E285" s="146" t="str">
        <f aca="false">Scoring!BL292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Scoring!DE292</f>
        <v/>
      </c>
      <c r="I285" s="148" t="str">
        <f aca="false">Scoring!DD292</f>
        <v/>
      </c>
    </row>
    <row r="286" customFormat="false" ht="15.75" hidden="false" customHeight="false" outlineLevel="0" collapsed="false">
      <c r="A286" s="146" t="str">
        <f aca="false">Scoring!DG293</f>
        <v/>
      </c>
      <c r="B286" s="146" t="str">
        <f aca="false">Scoring!DF293</f>
        <v/>
      </c>
      <c r="C286" s="146" t="n">
        <f aca="false">Scoring!C293</f>
        <v>0</v>
      </c>
      <c r="D286" s="147" t="str">
        <f aca="false">Scoring!DC293</f>
        <v/>
      </c>
      <c r="E286" s="146" t="str">
        <f aca="false">Scoring!BL293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Scoring!DE293</f>
        <v/>
      </c>
      <c r="I286" s="148" t="str">
        <f aca="false">Scoring!DD293</f>
        <v/>
      </c>
    </row>
    <row r="287" customFormat="false" ht="15.75" hidden="false" customHeight="false" outlineLevel="0" collapsed="false">
      <c r="A287" s="146" t="str">
        <f aca="false">Scoring!DG294</f>
        <v/>
      </c>
      <c r="B287" s="146" t="str">
        <f aca="false">Scoring!DF294</f>
        <v/>
      </c>
      <c r="C287" s="146" t="n">
        <f aca="false">Scoring!C294</f>
        <v>0</v>
      </c>
      <c r="D287" s="147" t="str">
        <f aca="false">Scoring!DC294</f>
        <v/>
      </c>
      <c r="E287" s="146" t="str">
        <f aca="false">Scoring!BL294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Scoring!DE294</f>
        <v/>
      </c>
      <c r="I287" s="148" t="str">
        <f aca="false">Scoring!DD294</f>
        <v/>
      </c>
    </row>
    <row r="288" customFormat="false" ht="15.75" hidden="false" customHeight="false" outlineLevel="0" collapsed="false">
      <c r="A288" s="146" t="str">
        <f aca="false">Scoring!DG295</f>
        <v/>
      </c>
      <c r="B288" s="146" t="str">
        <f aca="false">Scoring!DF295</f>
        <v/>
      </c>
      <c r="C288" s="146" t="n">
        <f aca="false">Scoring!C295</f>
        <v>0</v>
      </c>
      <c r="D288" s="147" t="str">
        <f aca="false">Scoring!DC295</f>
        <v/>
      </c>
      <c r="E288" s="146" t="str">
        <f aca="false">Scoring!BL295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Scoring!DE295</f>
        <v/>
      </c>
      <c r="I288" s="148" t="str">
        <f aca="false">Scoring!DD295</f>
        <v/>
      </c>
    </row>
    <row r="289" customFormat="false" ht="15.75" hidden="false" customHeight="false" outlineLevel="0" collapsed="false">
      <c r="A289" s="146" t="str">
        <f aca="false">Scoring!DG296</f>
        <v/>
      </c>
      <c r="B289" s="146" t="str">
        <f aca="false">Scoring!DF296</f>
        <v/>
      </c>
      <c r="C289" s="146" t="n">
        <f aca="false">Scoring!C296</f>
        <v>0</v>
      </c>
      <c r="D289" s="147" t="str">
        <f aca="false">Scoring!DC296</f>
        <v/>
      </c>
      <c r="E289" s="146" t="str">
        <f aca="false">Scoring!BL296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Scoring!DE296</f>
        <v/>
      </c>
      <c r="I289" s="148" t="str">
        <f aca="false">Scoring!DD296</f>
        <v/>
      </c>
    </row>
    <row r="290" customFormat="false" ht="15.75" hidden="false" customHeight="false" outlineLevel="0" collapsed="false">
      <c r="A290" s="146" t="str">
        <f aca="false">Scoring!DG297</f>
        <v/>
      </c>
      <c r="B290" s="146" t="str">
        <f aca="false">Scoring!DF297</f>
        <v/>
      </c>
      <c r="C290" s="146" t="n">
        <f aca="false">Scoring!C297</f>
        <v>0</v>
      </c>
      <c r="D290" s="147" t="str">
        <f aca="false">Scoring!DC297</f>
        <v/>
      </c>
      <c r="E290" s="146" t="str">
        <f aca="false">Scoring!BL297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Scoring!DE297</f>
        <v/>
      </c>
      <c r="I290" s="148" t="str">
        <f aca="false">Scoring!DD297</f>
        <v/>
      </c>
    </row>
    <row r="291" customFormat="false" ht="15.75" hidden="false" customHeight="false" outlineLevel="0" collapsed="false">
      <c r="A291" s="146" t="str">
        <f aca="false">Scoring!DG298</f>
        <v/>
      </c>
      <c r="B291" s="146" t="str">
        <f aca="false">Scoring!DF298</f>
        <v/>
      </c>
      <c r="C291" s="146" t="n">
        <f aca="false">Scoring!C298</f>
        <v>0</v>
      </c>
      <c r="D291" s="147" t="str">
        <f aca="false">Scoring!DC298</f>
        <v/>
      </c>
      <c r="E291" s="146" t="str">
        <f aca="false">Scoring!BL298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Scoring!DE298</f>
        <v/>
      </c>
      <c r="I291" s="148" t="str">
        <f aca="false">Scoring!DD298</f>
        <v/>
      </c>
    </row>
    <row r="292" customFormat="false" ht="15.75" hidden="false" customHeight="false" outlineLevel="0" collapsed="false">
      <c r="A292" s="146" t="str">
        <f aca="false">Scoring!DG299</f>
        <v/>
      </c>
      <c r="B292" s="146" t="str">
        <f aca="false">Scoring!DF299</f>
        <v/>
      </c>
      <c r="C292" s="146" t="n">
        <f aca="false">Scoring!C299</f>
        <v>0</v>
      </c>
      <c r="D292" s="147" t="str">
        <f aca="false">Scoring!DC299</f>
        <v/>
      </c>
      <c r="E292" s="146" t="str">
        <f aca="false">Scoring!BL299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Scoring!DE299</f>
        <v/>
      </c>
      <c r="I292" s="148" t="str">
        <f aca="false">Scoring!DD299</f>
        <v/>
      </c>
    </row>
    <row r="293" customFormat="false" ht="15.75" hidden="false" customHeight="false" outlineLevel="0" collapsed="false">
      <c r="A293" s="146" t="str">
        <f aca="false">Scoring!DG300</f>
        <v/>
      </c>
      <c r="B293" s="146" t="str">
        <f aca="false">Scoring!DF300</f>
        <v/>
      </c>
      <c r="C293" s="146" t="n">
        <f aca="false">Scoring!C300</f>
        <v>0</v>
      </c>
      <c r="D293" s="147" t="str">
        <f aca="false">Scoring!DC300</f>
        <v/>
      </c>
      <c r="E293" s="146" t="str">
        <f aca="false">Scoring!BL300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Scoring!DE300</f>
        <v/>
      </c>
      <c r="I293" s="148" t="str">
        <f aca="false">Scoring!DD300</f>
        <v/>
      </c>
    </row>
    <row r="294" customFormat="false" ht="15.75" hidden="false" customHeight="false" outlineLevel="0" collapsed="false">
      <c r="A294" s="146" t="str">
        <f aca="false">Scoring!DG301</f>
        <v/>
      </c>
      <c r="B294" s="146" t="str">
        <f aca="false">Scoring!DF301</f>
        <v/>
      </c>
      <c r="C294" s="146" t="n">
        <f aca="false">Scoring!C301</f>
        <v>0</v>
      </c>
      <c r="D294" s="147" t="str">
        <f aca="false">Scoring!DC301</f>
        <v/>
      </c>
      <c r="E294" s="146" t="str">
        <f aca="false">Scoring!BL301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Scoring!DE301</f>
        <v/>
      </c>
      <c r="I294" s="148" t="str">
        <f aca="false">Scoring!DD301</f>
        <v/>
      </c>
    </row>
    <row r="295" customFormat="false" ht="15.75" hidden="false" customHeight="false" outlineLevel="0" collapsed="false">
      <c r="A295" s="146" t="str">
        <f aca="false">Scoring!DG302</f>
        <v/>
      </c>
      <c r="B295" s="146" t="str">
        <f aca="false">Scoring!DF302</f>
        <v/>
      </c>
      <c r="C295" s="146" t="n">
        <f aca="false">Scoring!C302</f>
        <v>0</v>
      </c>
      <c r="D295" s="147" t="str">
        <f aca="false">Scoring!DC302</f>
        <v/>
      </c>
      <c r="E295" s="146" t="str">
        <f aca="false">Scoring!BL302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Scoring!DE302</f>
        <v/>
      </c>
      <c r="I295" s="148" t="str">
        <f aca="false">Scoring!DD302</f>
        <v/>
      </c>
    </row>
    <row r="296" customFormat="false" ht="15.75" hidden="false" customHeight="false" outlineLevel="0" collapsed="false">
      <c r="A296" s="146" t="str">
        <f aca="false">Scoring!DG303</f>
        <v/>
      </c>
      <c r="B296" s="146" t="str">
        <f aca="false">Scoring!DF303</f>
        <v/>
      </c>
      <c r="C296" s="146" t="n">
        <f aca="false">Scoring!C303</f>
        <v>0</v>
      </c>
      <c r="D296" s="147" t="str">
        <f aca="false">Scoring!DC303</f>
        <v/>
      </c>
      <c r="E296" s="146" t="str">
        <f aca="false">Scoring!BL303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Scoring!DE303</f>
        <v/>
      </c>
      <c r="I296" s="148" t="str">
        <f aca="false">Scoring!DD303</f>
        <v/>
      </c>
    </row>
    <row r="297" customFormat="false" ht="15.75" hidden="false" customHeight="false" outlineLevel="0" collapsed="false">
      <c r="A297" s="146" t="str">
        <f aca="false">Scoring!DG304</f>
        <v/>
      </c>
      <c r="B297" s="146" t="str">
        <f aca="false">Scoring!DF304</f>
        <v/>
      </c>
      <c r="C297" s="146" t="n">
        <f aca="false">Scoring!C304</f>
        <v>0</v>
      </c>
      <c r="D297" s="147" t="str">
        <f aca="false">Scoring!DC304</f>
        <v/>
      </c>
      <c r="E297" s="146" t="str">
        <f aca="false">Scoring!BL304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Scoring!DE304</f>
        <v/>
      </c>
      <c r="I297" s="148" t="str">
        <f aca="false">Scoring!DD304</f>
        <v/>
      </c>
    </row>
    <row r="298" customFormat="false" ht="15.75" hidden="false" customHeight="false" outlineLevel="0" collapsed="false">
      <c r="A298" s="146" t="str">
        <f aca="false">Scoring!DG305</f>
        <v/>
      </c>
      <c r="B298" s="146" t="str">
        <f aca="false">Scoring!DF305</f>
        <v/>
      </c>
      <c r="C298" s="146" t="n">
        <f aca="false">Scoring!C305</f>
        <v>0</v>
      </c>
      <c r="D298" s="147" t="str">
        <f aca="false">Scoring!DC305</f>
        <v/>
      </c>
      <c r="E298" s="146" t="str">
        <f aca="false">Scoring!BL305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Scoring!DE305</f>
        <v/>
      </c>
      <c r="I298" s="148" t="str">
        <f aca="false">Scoring!DD305</f>
        <v/>
      </c>
    </row>
    <row r="299" customFormat="false" ht="15.75" hidden="false" customHeight="false" outlineLevel="0" collapsed="false">
      <c r="A299" s="146" t="str">
        <f aca="false">Scoring!DG306</f>
        <v/>
      </c>
      <c r="B299" s="146" t="str">
        <f aca="false">Scoring!DF306</f>
        <v/>
      </c>
      <c r="C299" s="146" t="n">
        <f aca="false">Scoring!C306</f>
        <v>0</v>
      </c>
      <c r="D299" s="147" t="str">
        <f aca="false">Scoring!DC306</f>
        <v/>
      </c>
      <c r="E299" s="146" t="str">
        <f aca="false">Scoring!BL306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Scoring!DE306</f>
        <v/>
      </c>
      <c r="I299" s="148" t="str">
        <f aca="false">Scoring!DD306</f>
        <v/>
      </c>
    </row>
    <row r="300" customFormat="false" ht="15.75" hidden="false" customHeight="false" outlineLevel="0" collapsed="false">
      <c r="A300" s="146" t="str">
        <f aca="false">Scoring!DG307</f>
        <v/>
      </c>
      <c r="B300" s="146" t="str">
        <f aca="false">Scoring!DF307</f>
        <v/>
      </c>
      <c r="C300" s="146" t="n">
        <f aca="false">Scoring!C307</f>
        <v>0</v>
      </c>
      <c r="D300" s="147" t="str">
        <f aca="false">Scoring!DC307</f>
        <v/>
      </c>
      <c r="E300" s="146" t="str">
        <f aca="false">Scoring!BL307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Scoring!DE307</f>
        <v/>
      </c>
      <c r="I300" s="148" t="str">
        <f aca="false">Scoring!DD307</f>
        <v/>
      </c>
    </row>
    <row r="301" customFormat="false" ht="15.75" hidden="false" customHeight="false" outlineLevel="0" collapsed="false">
      <c r="A301" s="146" t="str">
        <f aca="false">Scoring!DG308</f>
        <v/>
      </c>
      <c r="B301" s="146" t="str">
        <f aca="false">Scoring!DF308</f>
        <v/>
      </c>
      <c r="C301" s="146" t="n">
        <f aca="false">Scoring!C308</f>
        <v>0</v>
      </c>
      <c r="D301" s="147" t="str">
        <f aca="false">Scoring!DC308</f>
        <v/>
      </c>
      <c r="E301" s="146" t="str">
        <f aca="false">Scoring!BL308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Scoring!DE308</f>
        <v/>
      </c>
      <c r="I301" s="148" t="str">
        <f aca="false">Scoring!DD308</f>
        <v/>
      </c>
    </row>
    <row r="302" customFormat="false" ht="15.75" hidden="false" customHeight="false" outlineLevel="0" collapsed="false">
      <c r="A302" s="146" t="str">
        <f aca="false">Scoring!DG309</f>
        <v/>
      </c>
      <c r="B302" s="146" t="str">
        <f aca="false">Scoring!DF309</f>
        <v/>
      </c>
      <c r="C302" s="146" t="n">
        <f aca="false">Scoring!C309</f>
        <v>0</v>
      </c>
      <c r="D302" s="147" t="str">
        <f aca="false">Scoring!DC309</f>
        <v/>
      </c>
      <c r="E302" s="146" t="str">
        <f aca="false">Scoring!BL309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Scoring!DE309</f>
        <v/>
      </c>
      <c r="I302" s="148" t="str">
        <f aca="false">Scoring!DD309</f>
        <v/>
      </c>
    </row>
    <row r="303" customFormat="false" ht="15.75" hidden="false" customHeight="false" outlineLevel="0" collapsed="false">
      <c r="A303" s="146" t="str">
        <f aca="false">Scoring!DG310</f>
        <v/>
      </c>
      <c r="B303" s="146" t="str">
        <f aca="false">Scoring!DF310</f>
        <v/>
      </c>
      <c r="C303" s="146" t="n">
        <f aca="false">Scoring!C310</f>
        <v>0</v>
      </c>
      <c r="D303" s="147" t="str">
        <f aca="false">Scoring!DC310</f>
        <v/>
      </c>
      <c r="E303" s="146" t="str">
        <f aca="false">Scoring!BL310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Scoring!DE310</f>
        <v/>
      </c>
      <c r="I303" s="148" t="str">
        <f aca="false">Scoring!DD310</f>
        <v/>
      </c>
    </row>
    <row r="304" customFormat="false" ht="15.75" hidden="false" customHeight="false" outlineLevel="0" collapsed="false">
      <c r="A304" s="146" t="str">
        <f aca="false">Scoring!DG311</f>
        <v/>
      </c>
      <c r="B304" s="146" t="str">
        <f aca="false">Scoring!DF311</f>
        <v/>
      </c>
      <c r="C304" s="146" t="n">
        <f aca="false">Scoring!C311</f>
        <v>0</v>
      </c>
      <c r="D304" s="147" t="str">
        <f aca="false">Scoring!DC311</f>
        <v/>
      </c>
      <c r="E304" s="146" t="str">
        <f aca="false">Scoring!BL311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Scoring!DE311</f>
        <v/>
      </c>
      <c r="I304" s="148" t="str">
        <f aca="false">Scoring!DD311</f>
        <v/>
      </c>
    </row>
    <row r="305" customFormat="false" ht="15.75" hidden="false" customHeight="false" outlineLevel="0" collapsed="false">
      <c r="A305" s="146" t="str">
        <f aca="false">Scoring!DG312</f>
        <v/>
      </c>
      <c r="B305" s="146" t="str">
        <f aca="false">Scoring!DF312</f>
        <v/>
      </c>
      <c r="C305" s="146" t="n">
        <f aca="false">Scoring!C312</f>
        <v>0</v>
      </c>
      <c r="D305" s="147" t="str">
        <f aca="false">Scoring!DC312</f>
        <v/>
      </c>
      <c r="E305" s="146" t="str">
        <f aca="false">Scoring!BL312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Scoring!DE312</f>
        <v/>
      </c>
      <c r="I305" s="148" t="str">
        <f aca="false">Scoring!DD312</f>
        <v/>
      </c>
    </row>
    <row r="306" customFormat="false" ht="15.75" hidden="false" customHeight="false" outlineLevel="0" collapsed="false">
      <c r="A306" s="146" t="str">
        <f aca="false">Scoring!DG313</f>
        <v/>
      </c>
      <c r="B306" s="146" t="str">
        <f aca="false">Scoring!DF313</f>
        <v/>
      </c>
      <c r="C306" s="146" t="n">
        <f aca="false">Scoring!C313</f>
        <v>0</v>
      </c>
      <c r="D306" s="147" t="str">
        <f aca="false">Scoring!DC313</f>
        <v/>
      </c>
      <c r="E306" s="146" t="str">
        <f aca="false">Scoring!BL313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Scoring!DE313</f>
        <v/>
      </c>
      <c r="I306" s="148" t="str">
        <f aca="false">Scoring!DD313</f>
        <v/>
      </c>
    </row>
    <row r="307" customFormat="false" ht="15.75" hidden="false" customHeight="false" outlineLevel="0" collapsed="false">
      <c r="A307" s="146" t="str">
        <f aca="false">Scoring!DG314</f>
        <v/>
      </c>
      <c r="B307" s="146" t="str">
        <f aca="false">Scoring!DF314</f>
        <v/>
      </c>
      <c r="C307" s="146" t="n">
        <f aca="false">Scoring!C314</f>
        <v>0</v>
      </c>
      <c r="D307" s="147" t="str">
        <f aca="false">Scoring!DC314</f>
        <v/>
      </c>
      <c r="E307" s="146" t="str">
        <f aca="false">Scoring!BL314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Scoring!DE314</f>
        <v/>
      </c>
      <c r="I307" s="148" t="str">
        <f aca="false">Scoring!DD314</f>
        <v/>
      </c>
    </row>
    <row r="308" customFormat="false" ht="15.75" hidden="false" customHeight="false" outlineLevel="0" collapsed="false">
      <c r="A308" s="146" t="str">
        <f aca="false">Scoring!DG315</f>
        <v/>
      </c>
      <c r="B308" s="146" t="str">
        <f aca="false">Scoring!DF315</f>
        <v/>
      </c>
      <c r="C308" s="146" t="n">
        <f aca="false">Scoring!C315</f>
        <v>0</v>
      </c>
      <c r="D308" s="147" t="str">
        <f aca="false">Scoring!DC315</f>
        <v/>
      </c>
      <c r="E308" s="146" t="str">
        <f aca="false">Scoring!BL315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Scoring!DE315</f>
        <v/>
      </c>
      <c r="I308" s="148" t="str">
        <f aca="false">Scoring!DD315</f>
        <v/>
      </c>
    </row>
    <row r="309" customFormat="false" ht="15.75" hidden="false" customHeight="false" outlineLevel="0" collapsed="false">
      <c r="A309" s="146" t="str">
        <f aca="false">Scoring!DG316</f>
        <v/>
      </c>
      <c r="B309" s="146" t="str">
        <f aca="false">Scoring!DF316</f>
        <v/>
      </c>
      <c r="C309" s="146" t="n">
        <f aca="false">Scoring!C316</f>
        <v>0</v>
      </c>
      <c r="D309" s="147" t="str">
        <f aca="false">Scoring!DC316</f>
        <v/>
      </c>
      <c r="E309" s="146" t="str">
        <f aca="false">Scoring!BL316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Scoring!DE316</f>
        <v/>
      </c>
      <c r="I309" s="148" t="str">
        <f aca="false">Scoring!DD316</f>
        <v/>
      </c>
    </row>
    <row r="310" customFormat="false" ht="15.75" hidden="false" customHeight="false" outlineLevel="0" collapsed="false">
      <c r="A310" s="146" t="str">
        <f aca="false">Scoring!DG317</f>
        <v/>
      </c>
      <c r="B310" s="146" t="str">
        <f aca="false">Scoring!DF317</f>
        <v/>
      </c>
      <c r="C310" s="146" t="n">
        <f aca="false">Scoring!C317</f>
        <v>0</v>
      </c>
      <c r="D310" s="147" t="str">
        <f aca="false">Scoring!DC317</f>
        <v/>
      </c>
      <c r="E310" s="146" t="str">
        <f aca="false">Scoring!BL317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Scoring!DE317</f>
        <v/>
      </c>
      <c r="I310" s="148" t="str">
        <f aca="false">Scoring!DD317</f>
        <v/>
      </c>
    </row>
    <row r="311" customFormat="false" ht="15.75" hidden="false" customHeight="false" outlineLevel="0" collapsed="false">
      <c r="A311" s="146" t="str">
        <f aca="false">Scoring!DG318</f>
        <v/>
      </c>
      <c r="B311" s="146" t="str">
        <f aca="false">Scoring!DF318</f>
        <v/>
      </c>
      <c r="C311" s="146" t="n">
        <f aca="false">Scoring!C318</f>
        <v>0</v>
      </c>
      <c r="D311" s="147" t="str">
        <f aca="false">Scoring!DC318</f>
        <v/>
      </c>
      <c r="E311" s="146" t="str">
        <f aca="false">Scoring!BL318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Scoring!DE318</f>
        <v/>
      </c>
      <c r="I311" s="148" t="str">
        <f aca="false">Scoring!DD318</f>
        <v/>
      </c>
    </row>
    <row r="312" customFormat="false" ht="15.75" hidden="false" customHeight="false" outlineLevel="0" collapsed="false">
      <c r="A312" s="146" t="str">
        <f aca="false">Scoring!DG319</f>
        <v/>
      </c>
      <c r="B312" s="146" t="str">
        <f aca="false">Scoring!DF319</f>
        <v/>
      </c>
      <c r="C312" s="146" t="n">
        <f aca="false">Scoring!C319</f>
        <v>0</v>
      </c>
      <c r="D312" s="147" t="str">
        <f aca="false">Scoring!DC319</f>
        <v/>
      </c>
      <c r="E312" s="146" t="str">
        <f aca="false">Scoring!BL319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Scoring!DE319</f>
        <v/>
      </c>
      <c r="I312" s="148" t="str">
        <f aca="false">Scoring!DD319</f>
        <v/>
      </c>
    </row>
    <row r="313" customFormat="false" ht="15.75" hidden="false" customHeight="false" outlineLevel="0" collapsed="false">
      <c r="A313" s="146" t="str">
        <f aca="false">Scoring!DG320</f>
        <v/>
      </c>
      <c r="B313" s="146" t="str">
        <f aca="false">Scoring!DF320</f>
        <v/>
      </c>
      <c r="C313" s="146" t="n">
        <f aca="false">Scoring!C320</f>
        <v>0</v>
      </c>
      <c r="D313" s="147" t="str">
        <f aca="false">Scoring!DC320</f>
        <v/>
      </c>
      <c r="E313" s="146" t="str">
        <f aca="false">Scoring!BL320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Scoring!DE320</f>
        <v/>
      </c>
      <c r="I313" s="148" t="str">
        <f aca="false">Scoring!DD320</f>
        <v/>
      </c>
    </row>
    <row r="314" customFormat="false" ht="15.75" hidden="false" customHeight="false" outlineLevel="0" collapsed="false">
      <c r="A314" s="146" t="str">
        <f aca="false">Scoring!DG321</f>
        <v/>
      </c>
      <c r="B314" s="146" t="str">
        <f aca="false">Scoring!DF321</f>
        <v/>
      </c>
      <c r="C314" s="146" t="n">
        <f aca="false">Scoring!C321</f>
        <v>0</v>
      </c>
      <c r="D314" s="147" t="str">
        <f aca="false">Scoring!DC321</f>
        <v/>
      </c>
      <c r="E314" s="146" t="str">
        <f aca="false">Scoring!BL321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Scoring!DE321</f>
        <v/>
      </c>
      <c r="I314" s="148" t="str">
        <f aca="false">Scoring!DD321</f>
        <v/>
      </c>
    </row>
    <row r="315" customFormat="false" ht="15.75" hidden="false" customHeight="false" outlineLevel="0" collapsed="false">
      <c r="A315" s="146" t="str">
        <f aca="false">Scoring!DG322</f>
        <v/>
      </c>
      <c r="B315" s="146" t="str">
        <f aca="false">Scoring!DF322</f>
        <v/>
      </c>
      <c r="C315" s="146" t="n">
        <f aca="false">Scoring!C322</f>
        <v>0</v>
      </c>
      <c r="D315" s="147" t="str">
        <f aca="false">Scoring!DC322</f>
        <v/>
      </c>
      <c r="E315" s="146" t="str">
        <f aca="false">Scoring!BL322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Scoring!DE322</f>
        <v/>
      </c>
      <c r="I315" s="148" t="str">
        <f aca="false">Scoring!DD322</f>
        <v/>
      </c>
    </row>
    <row r="316" customFormat="false" ht="15.75" hidden="false" customHeight="false" outlineLevel="0" collapsed="false">
      <c r="A316" s="146" t="str">
        <f aca="false">Scoring!DG323</f>
        <v/>
      </c>
      <c r="B316" s="146" t="str">
        <f aca="false">Scoring!DF323</f>
        <v/>
      </c>
      <c r="C316" s="146" t="n">
        <f aca="false">Scoring!C323</f>
        <v>0</v>
      </c>
      <c r="D316" s="147" t="str">
        <f aca="false">Scoring!DC323</f>
        <v/>
      </c>
      <c r="E316" s="146" t="str">
        <f aca="false">Scoring!BL323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Scoring!DE323</f>
        <v/>
      </c>
      <c r="I316" s="148" t="str">
        <f aca="false">Scoring!DD323</f>
        <v/>
      </c>
    </row>
    <row r="317" customFormat="false" ht="15.75" hidden="false" customHeight="false" outlineLevel="0" collapsed="false">
      <c r="A317" s="146" t="str">
        <f aca="false">Scoring!DG324</f>
        <v/>
      </c>
      <c r="B317" s="146" t="str">
        <f aca="false">Scoring!DF324</f>
        <v/>
      </c>
      <c r="C317" s="146" t="n">
        <f aca="false">Scoring!C324</f>
        <v>0</v>
      </c>
      <c r="D317" s="147" t="str">
        <f aca="false">Scoring!DC324</f>
        <v/>
      </c>
      <c r="E317" s="146" t="str">
        <f aca="false">Scoring!BL324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Scoring!DE324</f>
        <v/>
      </c>
      <c r="I317" s="148" t="str">
        <f aca="false">Scoring!DD324</f>
        <v/>
      </c>
    </row>
    <row r="318" customFormat="false" ht="15.75" hidden="false" customHeight="false" outlineLevel="0" collapsed="false">
      <c r="A318" s="146" t="str">
        <f aca="false">Scoring!DG325</f>
        <v/>
      </c>
      <c r="B318" s="146" t="str">
        <f aca="false">Scoring!DF325</f>
        <v/>
      </c>
      <c r="C318" s="146" t="n">
        <f aca="false">Scoring!C325</f>
        <v>0</v>
      </c>
      <c r="D318" s="147" t="str">
        <f aca="false">Scoring!DC325</f>
        <v/>
      </c>
      <c r="E318" s="146" t="str">
        <f aca="false">Scoring!BL325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Scoring!DE325</f>
        <v/>
      </c>
      <c r="I318" s="148" t="str">
        <f aca="false">Scoring!DD325</f>
        <v/>
      </c>
    </row>
    <row r="319" customFormat="false" ht="15.75" hidden="false" customHeight="false" outlineLevel="0" collapsed="false">
      <c r="A319" s="146" t="str">
        <f aca="false">Scoring!DG326</f>
        <v/>
      </c>
      <c r="B319" s="146" t="str">
        <f aca="false">Scoring!DF326</f>
        <v/>
      </c>
      <c r="C319" s="146" t="n">
        <f aca="false">Scoring!C326</f>
        <v>0</v>
      </c>
      <c r="D319" s="147" t="str">
        <f aca="false">Scoring!DC326</f>
        <v/>
      </c>
      <c r="E319" s="146" t="str">
        <f aca="false">Scoring!BL326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Scoring!DE326</f>
        <v/>
      </c>
      <c r="I319" s="148" t="str">
        <f aca="false">Scoring!DD326</f>
        <v/>
      </c>
    </row>
    <row r="320" customFormat="false" ht="15.75" hidden="false" customHeight="false" outlineLevel="0" collapsed="false">
      <c r="A320" s="146" t="str">
        <f aca="false">Scoring!DG327</f>
        <v/>
      </c>
      <c r="B320" s="146" t="str">
        <f aca="false">Scoring!DF327</f>
        <v/>
      </c>
      <c r="C320" s="146" t="n">
        <f aca="false">Scoring!C327</f>
        <v>0</v>
      </c>
      <c r="D320" s="147" t="str">
        <f aca="false">Scoring!DC327</f>
        <v/>
      </c>
      <c r="E320" s="146" t="str">
        <f aca="false">Scoring!BL327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Scoring!DE327</f>
        <v/>
      </c>
      <c r="I320" s="148" t="str">
        <f aca="false">Scoring!DD327</f>
        <v/>
      </c>
    </row>
    <row r="321" customFormat="false" ht="15.75" hidden="false" customHeight="false" outlineLevel="0" collapsed="false">
      <c r="A321" s="146" t="str">
        <f aca="false">Scoring!DG328</f>
        <v/>
      </c>
      <c r="B321" s="146" t="str">
        <f aca="false">Scoring!DF328</f>
        <v/>
      </c>
      <c r="C321" s="146" t="n">
        <f aca="false">Scoring!C328</f>
        <v>0</v>
      </c>
      <c r="D321" s="147" t="str">
        <f aca="false">Scoring!DC328</f>
        <v/>
      </c>
      <c r="E321" s="146" t="str">
        <f aca="false">Scoring!BL328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Scoring!DE328</f>
        <v/>
      </c>
      <c r="I321" s="148" t="str">
        <f aca="false">Scoring!DD328</f>
        <v/>
      </c>
    </row>
    <row r="322" customFormat="false" ht="15.75" hidden="false" customHeight="false" outlineLevel="0" collapsed="false">
      <c r="A322" s="146" t="str">
        <f aca="false">Scoring!DG329</f>
        <v/>
      </c>
      <c r="B322" s="146" t="str">
        <f aca="false">Scoring!DF329</f>
        <v/>
      </c>
      <c r="C322" s="146" t="n">
        <f aca="false">Scoring!C329</f>
        <v>0</v>
      </c>
      <c r="D322" s="147" t="str">
        <f aca="false">Scoring!DC329</f>
        <v/>
      </c>
      <c r="E322" s="146" t="str">
        <f aca="false">Scoring!BL329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Scoring!DE329</f>
        <v/>
      </c>
      <c r="I322" s="148" t="str">
        <f aca="false">Scoring!DD329</f>
        <v/>
      </c>
    </row>
    <row r="323" customFormat="false" ht="15.75" hidden="false" customHeight="false" outlineLevel="0" collapsed="false">
      <c r="A323" s="146" t="str">
        <f aca="false">Scoring!DG330</f>
        <v/>
      </c>
      <c r="B323" s="146" t="str">
        <f aca="false">Scoring!DF330</f>
        <v/>
      </c>
      <c r="C323" s="146" t="n">
        <f aca="false">Scoring!C330</f>
        <v>0</v>
      </c>
      <c r="D323" s="147" t="str">
        <f aca="false">Scoring!DC330</f>
        <v/>
      </c>
      <c r="E323" s="146" t="str">
        <f aca="false">Scoring!BL330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Scoring!DE330</f>
        <v/>
      </c>
      <c r="I323" s="148" t="str">
        <f aca="false">Scoring!DD330</f>
        <v/>
      </c>
    </row>
    <row r="324" customFormat="false" ht="15.75" hidden="false" customHeight="false" outlineLevel="0" collapsed="false">
      <c r="A324" s="146" t="str">
        <f aca="false">Scoring!DG331</f>
        <v/>
      </c>
      <c r="B324" s="146" t="str">
        <f aca="false">Scoring!DF331</f>
        <v/>
      </c>
      <c r="C324" s="146" t="n">
        <f aca="false">Scoring!C331</f>
        <v>0</v>
      </c>
      <c r="D324" s="147" t="str">
        <f aca="false">Scoring!DC331</f>
        <v/>
      </c>
      <c r="E324" s="146" t="str">
        <f aca="false">Scoring!BL331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Scoring!DE331</f>
        <v/>
      </c>
      <c r="I324" s="148" t="str">
        <f aca="false">Scoring!DD331</f>
        <v/>
      </c>
    </row>
    <row r="325" customFormat="false" ht="15.75" hidden="false" customHeight="false" outlineLevel="0" collapsed="false">
      <c r="A325" s="146" t="str">
        <f aca="false">Scoring!DG332</f>
        <v/>
      </c>
      <c r="B325" s="146" t="str">
        <f aca="false">Scoring!DF332</f>
        <v/>
      </c>
      <c r="C325" s="146" t="n">
        <f aca="false">Scoring!C332</f>
        <v>0</v>
      </c>
      <c r="D325" s="147" t="str">
        <f aca="false">Scoring!DC332</f>
        <v/>
      </c>
      <c r="E325" s="146" t="str">
        <f aca="false">Scoring!BL332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Scoring!DE332</f>
        <v/>
      </c>
      <c r="I325" s="148" t="str">
        <f aca="false">Scoring!DD332</f>
        <v/>
      </c>
    </row>
    <row r="326" customFormat="false" ht="15.75" hidden="false" customHeight="false" outlineLevel="0" collapsed="false">
      <c r="A326" s="146" t="str">
        <f aca="false">Scoring!DG333</f>
        <v/>
      </c>
      <c r="B326" s="146" t="str">
        <f aca="false">Scoring!DF333</f>
        <v/>
      </c>
      <c r="C326" s="146" t="n">
        <f aca="false">Scoring!C333</f>
        <v>0</v>
      </c>
      <c r="D326" s="147" t="str">
        <f aca="false">Scoring!DC333</f>
        <v/>
      </c>
      <c r="E326" s="146" t="str">
        <f aca="false">Scoring!BL333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Scoring!DE333</f>
        <v/>
      </c>
      <c r="I326" s="148" t="str">
        <f aca="false">Scoring!DD333</f>
        <v/>
      </c>
    </row>
    <row r="327" customFormat="false" ht="15.75" hidden="false" customHeight="false" outlineLevel="0" collapsed="false">
      <c r="A327" s="146" t="str">
        <f aca="false">Scoring!DG334</f>
        <v/>
      </c>
      <c r="B327" s="146" t="str">
        <f aca="false">Scoring!DF334</f>
        <v/>
      </c>
      <c r="C327" s="146" t="n">
        <f aca="false">Scoring!C334</f>
        <v>0</v>
      </c>
      <c r="D327" s="147" t="str">
        <f aca="false">Scoring!DC334</f>
        <v/>
      </c>
      <c r="E327" s="146" t="str">
        <f aca="false">Scoring!BL334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Scoring!DE334</f>
        <v/>
      </c>
      <c r="I327" s="148" t="str">
        <f aca="false">Scoring!DD334</f>
        <v/>
      </c>
    </row>
    <row r="328" customFormat="false" ht="15.75" hidden="false" customHeight="false" outlineLevel="0" collapsed="false">
      <c r="A328" s="146" t="str">
        <f aca="false">Scoring!DG335</f>
        <v/>
      </c>
      <c r="B328" s="146" t="str">
        <f aca="false">Scoring!DF335</f>
        <v/>
      </c>
      <c r="C328" s="146" t="n">
        <f aca="false">Scoring!C335</f>
        <v>0</v>
      </c>
      <c r="D328" s="147" t="str">
        <f aca="false">Scoring!DC335</f>
        <v/>
      </c>
      <c r="E328" s="146" t="str">
        <f aca="false">Scoring!BL335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Scoring!DE335</f>
        <v/>
      </c>
      <c r="I328" s="148" t="str">
        <f aca="false">Scoring!DD335</f>
        <v/>
      </c>
    </row>
    <row r="329" customFormat="false" ht="15.75" hidden="false" customHeight="false" outlineLevel="0" collapsed="false">
      <c r="A329" s="146" t="str">
        <f aca="false">Scoring!DG336</f>
        <v/>
      </c>
      <c r="B329" s="146" t="str">
        <f aca="false">Scoring!DF336</f>
        <v/>
      </c>
      <c r="C329" s="146" t="n">
        <f aca="false">Scoring!C336</f>
        <v>0</v>
      </c>
      <c r="D329" s="147" t="str">
        <f aca="false">Scoring!DC336</f>
        <v/>
      </c>
      <c r="E329" s="146" t="str">
        <f aca="false">Scoring!BL336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Scoring!DE336</f>
        <v/>
      </c>
      <c r="I329" s="148" t="str">
        <f aca="false">Scoring!DD336</f>
        <v/>
      </c>
    </row>
    <row r="330" customFormat="false" ht="15.75" hidden="false" customHeight="false" outlineLevel="0" collapsed="false">
      <c r="A330" s="146" t="str">
        <f aca="false">Scoring!DG337</f>
        <v/>
      </c>
      <c r="B330" s="146" t="str">
        <f aca="false">Scoring!DF337</f>
        <v/>
      </c>
      <c r="C330" s="146" t="n">
        <f aca="false">Scoring!C337</f>
        <v>0</v>
      </c>
      <c r="D330" s="147" t="str">
        <f aca="false">Scoring!DC337</f>
        <v/>
      </c>
      <c r="E330" s="146" t="str">
        <f aca="false">Scoring!BL337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Scoring!DE337</f>
        <v/>
      </c>
      <c r="I330" s="148" t="str">
        <f aca="false">Scoring!DD337</f>
        <v/>
      </c>
    </row>
    <row r="331" customFormat="false" ht="15.75" hidden="false" customHeight="false" outlineLevel="0" collapsed="false">
      <c r="A331" s="146" t="str">
        <f aca="false">Scoring!DG338</f>
        <v/>
      </c>
      <c r="B331" s="146" t="str">
        <f aca="false">Scoring!DF338</f>
        <v/>
      </c>
      <c r="C331" s="146" t="n">
        <f aca="false">Scoring!C338</f>
        <v>0</v>
      </c>
      <c r="D331" s="147" t="str">
        <f aca="false">Scoring!DC338</f>
        <v/>
      </c>
      <c r="E331" s="146" t="str">
        <f aca="false">Scoring!BL338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Scoring!DE338</f>
        <v/>
      </c>
      <c r="I331" s="148" t="str">
        <f aca="false">Scoring!DD338</f>
        <v/>
      </c>
    </row>
    <row r="332" customFormat="false" ht="15.75" hidden="false" customHeight="false" outlineLevel="0" collapsed="false">
      <c r="A332" s="146" t="str">
        <f aca="false">Scoring!DG339</f>
        <v/>
      </c>
      <c r="B332" s="146" t="str">
        <f aca="false">Scoring!DF339</f>
        <v/>
      </c>
      <c r="C332" s="146" t="n">
        <f aca="false">Scoring!C339</f>
        <v>0</v>
      </c>
      <c r="D332" s="147" t="str">
        <f aca="false">Scoring!DC339</f>
        <v/>
      </c>
      <c r="E332" s="146" t="str">
        <f aca="false">Scoring!BL339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Scoring!DE339</f>
        <v/>
      </c>
      <c r="I332" s="148" t="str">
        <f aca="false">Scoring!DD339</f>
        <v/>
      </c>
    </row>
    <row r="333" customFormat="false" ht="15.75" hidden="false" customHeight="false" outlineLevel="0" collapsed="false">
      <c r="A333" s="146" t="str">
        <f aca="false">Scoring!DG340</f>
        <v/>
      </c>
      <c r="B333" s="146" t="str">
        <f aca="false">Scoring!DF340</f>
        <v/>
      </c>
      <c r="C333" s="146" t="n">
        <f aca="false">Scoring!C340</f>
        <v>0</v>
      </c>
      <c r="D333" s="147" t="str">
        <f aca="false">Scoring!DC340</f>
        <v/>
      </c>
      <c r="E333" s="146" t="str">
        <f aca="false">Scoring!BL340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Scoring!DE340</f>
        <v/>
      </c>
      <c r="I333" s="148" t="str">
        <f aca="false">Scoring!DD340</f>
        <v/>
      </c>
    </row>
    <row r="334" customFormat="false" ht="15.75" hidden="false" customHeight="false" outlineLevel="0" collapsed="false">
      <c r="A334" s="146" t="str">
        <f aca="false">Scoring!DG341</f>
        <v/>
      </c>
      <c r="B334" s="146" t="str">
        <f aca="false">Scoring!DF341</f>
        <v/>
      </c>
      <c r="C334" s="146" t="n">
        <f aca="false">Scoring!C341</f>
        <v>0</v>
      </c>
      <c r="D334" s="147" t="str">
        <f aca="false">Scoring!DC341</f>
        <v/>
      </c>
      <c r="E334" s="146" t="str">
        <f aca="false">Scoring!BL341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Scoring!DE341</f>
        <v/>
      </c>
      <c r="I334" s="148" t="str">
        <f aca="false">Scoring!DD341</f>
        <v/>
      </c>
    </row>
    <row r="335" customFormat="false" ht="15.75" hidden="false" customHeight="false" outlineLevel="0" collapsed="false">
      <c r="A335" s="146" t="str">
        <f aca="false">Scoring!DG342</f>
        <v/>
      </c>
      <c r="B335" s="146" t="str">
        <f aca="false">Scoring!DF342</f>
        <v/>
      </c>
      <c r="C335" s="146" t="n">
        <f aca="false">Scoring!C342</f>
        <v>0</v>
      </c>
      <c r="D335" s="147" t="str">
        <f aca="false">Scoring!DC342</f>
        <v/>
      </c>
      <c r="E335" s="146" t="str">
        <f aca="false">Scoring!BL342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Scoring!DE342</f>
        <v/>
      </c>
      <c r="I335" s="148" t="str">
        <f aca="false">Scoring!DD342</f>
        <v/>
      </c>
    </row>
    <row r="336" customFormat="false" ht="15.75" hidden="false" customHeight="false" outlineLevel="0" collapsed="false">
      <c r="A336" s="146" t="str">
        <f aca="false">Scoring!DG343</f>
        <v/>
      </c>
      <c r="B336" s="146" t="str">
        <f aca="false">Scoring!DF343</f>
        <v/>
      </c>
      <c r="C336" s="146" t="n">
        <f aca="false">Scoring!C343</f>
        <v>0</v>
      </c>
      <c r="D336" s="147" t="str">
        <f aca="false">Scoring!DC343</f>
        <v/>
      </c>
      <c r="E336" s="146" t="str">
        <f aca="false">Scoring!BL343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Scoring!DE343</f>
        <v/>
      </c>
      <c r="I336" s="148" t="str">
        <f aca="false">Scoring!DD343</f>
        <v/>
      </c>
    </row>
    <row r="337" customFormat="false" ht="15.75" hidden="false" customHeight="false" outlineLevel="0" collapsed="false">
      <c r="A337" s="146" t="str">
        <f aca="false">Scoring!DG344</f>
        <v/>
      </c>
      <c r="B337" s="146" t="str">
        <f aca="false">Scoring!DF344</f>
        <v/>
      </c>
      <c r="C337" s="146" t="n">
        <f aca="false">Scoring!C344</f>
        <v>0</v>
      </c>
      <c r="D337" s="147" t="str">
        <f aca="false">Scoring!DC344</f>
        <v/>
      </c>
      <c r="E337" s="146" t="str">
        <f aca="false">Scoring!BL344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Scoring!DE344</f>
        <v/>
      </c>
      <c r="I337" s="148" t="str">
        <f aca="false">Scoring!DD344</f>
        <v/>
      </c>
    </row>
    <row r="338" customFormat="false" ht="15.75" hidden="false" customHeight="false" outlineLevel="0" collapsed="false">
      <c r="A338" s="146" t="str">
        <f aca="false">Scoring!DG345</f>
        <v/>
      </c>
      <c r="B338" s="146" t="str">
        <f aca="false">Scoring!DF345</f>
        <v/>
      </c>
      <c r="C338" s="146" t="n">
        <f aca="false">Scoring!C345</f>
        <v>0</v>
      </c>
      <c r="D338" s="147" t="str">
        <f aca="false">Scoring!DC345</f>
        <v/>
      </c>
      <c r="E338" s="146" t="str">
        <f aca="false">Scoring!BL345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Scoring!DE345</f>
        <v/>
      </c>
      <c r="I338" s="148" t="str">
        <f aca="false">Scoring!DD345</f>
        <v/>
      </c>
    </row>
    <row r="339" customFormat="false" ht="15.75" hidden="false" customHeight="false" outlineLevel="0" collapsed="false">
      <c r="A339" s="146" t="str">
        <f aca="false">Scoring!DG346</f>
        <v/>
      </c>
      <c r="B339" s="146" t="str">
        <f aca="false">Scoring!DF346</f>
        <v/>
      </c>
      <c r="C339" s="146" t="n">
        <f aca="false">Scoring!C346</f>
        <v>0</v>
      </c>
      <c r="D339" s="147" t="str">
        <f aca="false">Scoring!DC346</f>
        <v/>
      </c>
      <c r="E339" s="146" t="str">
        <f aca="false">Scoring!BL346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Scoring!DE346</f>
        <v/>
      </c>
      <c r="I339" s="148" t="str">
        <f aca="false">Scoring!DD346</f>
        <v/>
      </c>
    </row>
    <row r="340" customFormat="false" ht="15.75" hidden="false" customHeight="false" outlineLevel="0" collapsed="false">
      <c r="A340" s="146" t="str">
        <f aca="false">Scoring!DG347</f>
        <v/>
      </c>
      <c r="B340" s="146" t="str">
        <f aca="false">Scoring!DF347</f>
        <v/>
      </c>
      <c r="C340" s="146" t="n">
        <f aca="false">Scoring!C347</f>
        <v>0</v>
      </c>
      <c r="D340" s="147" t="str">
        <f aca="false">Scoring!DC347</f>
        <v/>
      </c>
      <c r="E340" s="146" t="str">
        <f aca="false">Scoring!BL347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Scoring!DE347</f>
        <v/>
      </c>
      <c r="I340" s="148" t="str">
        <f aca="false">Scoring!DD347</f>
        <v/>
      </c>
    </row>
    <row r="341" customFormat="false" ht="15.75" hidden="false" customHeight="false" outlineLevel="0" collapsed="false">
      <c r="A341" s="146" t="str">
        <f aca="false">Scoring!DG348</f>
        <v/>
      </c>
      <c r="B341" s="146" t="str">
        <f aca="false">Scoring!DF348</f>
        <v/>
      </c>
      <c r="C341" s="146" t="n">
        <f aca="false">Scoring!C348</f>
        <v>0</v>
      </c>
      <c r="D341" s="147" t="str">
        <f aca="false">Scoring!DC348</f>
        <v/>
      </c>
      <c r="E341" s="146" t="str">
        <f aca="false">Scoring!BL348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Scoring!DE348</f>
        <v/>
      </c>
      <c r="I341" s="148" t="str">
        <f aca="false">Scoring!DD348</f>
        <v/>
      </c>
    </row>
    <row r="342" customFormat="false" ht="15.75" hidden="false" customHeight="false" outlineLevel="0" collapsed="false">
      <c r="A342" s="146" t="str">
        <f aca="false">Scoring!DG349</f>
        <v/>
      </c>
      <c r="B342" s="146" t="str">
        <f aca="false">Scoring!DF349</f>
        <v/>
      </c>
      <c r="C342" s="146" t="n">
        <f aca="false">Scoring!C349</f>
        <v>0</v>
      </c>
      <c r="D342" s="147" t="str">
        <f aca="false">Scoring!DC349</f>
        <v/>
      </c>
      <c r="E342" s="146" t="str">
        <f aca="false">Scoring!BL349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Scoring!DE349</f>
        <v/>
      </c>
      <c r="I342" s="148" t="str">
        <f aca="false">Scoring!DD349</f>
        <v/>
      </c>
    </row>
    <row r="343" customFormat="false" ht="15.75" hidden="false" customHeight="false" outlineLevel="0" collapsed="false">
      <c r="A343" s="146" t="str">
        <f aca="false">Scoring!DG350</f>
        <v/>
      </c>
      <c r="B343" s="146" t="str">
        <f aca="false">Scoring!DF350</f>
        <v/>
      </c>
      <c r="C343" s="146" t="n">
        <f aca="false">Scoring!C350</f>
        <v>0</v>
      </c>
      <c r="D343" s="147" t="str">
        <f aca="false">Scoring!DC350</f>
        <v/>
      </c>
      <c r="E343" s="146" t="str">
        <f aca="false">Scoring!BL350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Scoring!DE350</f>
        <v/>
      </c>
      <c r="I343" s="148" t="str">
        <f aca="false">Scoring!DD350</f>
        <v/>
      </c>
    </row>
    <row r="344" customFormat="false" ht="15.75" hidden="false" customHeight="false" outlineLevel="0" collapsed="false">
      <c r="A344" s="146" t="str">
        <f aca="false">Scoring!DG351</f>
        <v/>
      </c>
      <c r="B344" s="146" t="str">
        <f aca="false">Scoring!DF351</f>
        <v/>
      </c>
      <c r="C344" s="146" t="n">
        <f aca="false">Scoring!C351</f>
        <v>0</v>
      </c>
      <c r="D344" s="147" t="str">
        <f aca="false">Scoring!DC351</f>
        <v/>
      </c>
      <c r="E344" s="146" t="str">
        <f aca="false">Scoring!BL351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Scoring!DE351</f>
        <v/>
      </c>
      <c r="I344" s="148" t="str">
        <f aca="false">Scoring!DD351</f>
        <v/>
      </c>
    </row>
    <row r="345" customFormat="false" ht="15.75" hidden="false" customHeight="false" outlineLevel="0" collapsed="false">
      <c r="A345" s="146" t="str">
        <f aca="false">Scoring!DG352</f>
        <v/>
      </c>
      <c r="B345" s="146" t="str">
        <f aca="false">Scoring!DF352</f>
        <v/>
      </c>
      <c r="C345" s="146" t="n">
        <f aca="false">Scoring!C352</f>
        <v>0</v>
      </c>
      <c r="D345" s="147" t="str">
        <f aca="false">Scoring!DC352</f>
        <v/>
      </c>
      <c r="E345" s="146" t="str">
        <f aca="false">Scoring!BL352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Scoring!DE352</f>
        <v/>
      </c>
      <c r="I345" s="148" t="str">
        <f aca="false">Scoring!DD352</f>
        <v/>
      </c>
    </row>
    <row r="346" customFormat="false" ht="15.75" hidden="false" customHeight="false" outlineLevel="0" collapsed="false">
      <c r="A346" s="146" t="str">
        <f aca="false">Scoring!DG353</f>
        <v/>
      </c>
      <c r="B346" s="146" t="str">
        <f aca="false">Scoring!DF353</f>
        <v/>
      </c>
      <c r="C346" s="146" t="n">
        <f aca="false">Scoring!C353</f>
        <v>0</v>
      </c>
      <c r="D346" s="147" t="str">
        <f aca="false">Scoring!DC353</f>
        <v/>
      </c>
      <c r="E346" s="146" t="str">
        <f aca="false">Scoring!BL353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Scoring!DE353</f>
        <v/>
      </c>
      <c r="I346" s="148" t="str">
        <f aca="false">Scoring!DD353</f>
        <v/>
      </c>
    </row>
    <row r="347" customFormat="false" ht="15.75" hidden="false" customHeight="false" outlineLevel="0" collapsed="false">
      <c r="A347" s="146" t="str">
        <f aca="false">Scoring!DG354</f>
        <v/>
      </c>
      <c r="B347" s="146" t="str">
        <f aca="false">Scoring!DF354</f>
        <v/>
      </c>
      <c r="C347" s="146" t="n">
        <f aca="false">Scoring!C354</f>
        <v>0</v>
      </c>
      <c r="D347" s="147" t="str">
        <f aca="false">Scoring!DC354</f>
        <v/>
      </c>
      <c r="E347" s="146" t="str">
        <f aca="false">Scoring!BL354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Scoring!DE354</f>
        <v/>
      </c>
      <c r="I347" s="148" t="str">
        <f aca="false">Scoring!DD354</f>
        <v/>
      </c>
    </row>
    <row r="348" customFormat="false" ht="15.75" hidden="false" customHeight="false" outlineLevel="0" collapsed="false">
      <c r="A348" s="146" t="str">
        <f aca="false">Scoring!DG355</f>
        <v/>
      </c>
      <c r="B348" s="146" t="str">
        <f aca="false">Scoring!DF355</f>
        <v/>
      </c>
      <c r="C348" s="146" t="n">
        <f aca="false">Scoring!C355</f>
        <v>0</v>
      </c>
      <c r="D348" s="147" t="str">
        <f aca="false">Scoring!DC355</f>
        <v/>
      </c>
      <c r="E348" s="146" t="str">
        <f aca="false">Scoring!BL355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Scoring!DE355</f>
        <v/>
      </c>
      <c r="I348" s="148" t="str">
        <f aca="false">Scoring!DD355</f>
        <v/>
      </c>
    </row>
    <row r="349" customFormat="false" ht="15.75" hidden="false" customHeight="false" outlineLevel="0" collapsed="false">
      <c r="A349" s="146" t="str">
        <f aca="false">Scoring!DG356</f>
        <v/>
      </c>
      <c r="B349" s="146" t="str">
        <f aca="false">Scoring!DF356</f>
        <v/>
      </c>
      <c r="C349" s="146" t="n">
        <f aca="false">Scoring!C356</f>
        <v>0</v>
      </c>
      <c r="D349" s="147" t="str">
        <f aca="false">Scoring!DC356</f>
        <v/>
      </c>
      <c r="E349" s="146" t="str">
        <f aca="false">Scoring!BL356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Scoring!DE356</f>
        <v/>
      </c>
      <c r="I349" s="148" t="str">
        <f aca="false">Scoring!DD356</f>
        <v/>
      </c>
    </row>
    <row r="350" customFormat="false" ht="15.75" hidden="false" customHeight="false" outlineLevel="0" collapsed="false">
      <c r="A350" s="146" t="str">
        <f aca="false">Scoring!DG357</f>
        <v/>
      </c>
      <c r="B350" s="146" t="str">
        <f aca="false">Scoring!DF357</f>
        <v/>
      </c>
      <c r="C350" s="146" t="n">
        <f aca="false">Scoring!C357</f>
        <v>0</v>
      </c>
      <c r="D350" s="147" t="str">
        <f aca="false">Scoring!DC357</f>
        <v/>
      </c>
      <c r="E350" s="146" t="str">
        <f aca="false">Scoring!BL357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Scoring!DE357</f>
        <v/>
      </c>
      <c r="I350" s="148" t="str">
        <f aca="false">Scoring!DD357</f>
        <v/>
      </c>
    </row>
    <row r="351" customFormat="false" ht="15.75" hidden="false" customHeight="false" outlineLevel="0" collapsed="false">
      <c r="A351" s="146" t="str">
        <f aca="false">Scoring!DG358</f>
        <v/>
      </c>
      <c r="B351" s="146" t="str">
        <f aca="false">Scoring!DF358</f>
        <v/>
      </c>
      <c r="C351" s="146" t="n">
        <f aca="false">Scoring!C358</f>
        <v>0</v>
      </c>
      <c r="D351" s="147" t="str">
        <f aca="false">Scoring!DC358</f>
        <v/>
      </c>
      <c r="E351" s="146" t="str">
        <f aca="false">Scoring!BL358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Scoring!DE358</f>
        <v/>
      </c>
      <c r="I351" s="148" t="str">
        <f aca="false">Scoring!DD358</f>
        <v/>
      </c>
    </row>
    <row r="352" customFormat="false" ht="15.75" hidden="false" customHeight="false" outlineLevel="0" collapsed="false">
      <c r="A352" s="146" t="str">
        <f aca="false">Scoring!DG359</f>
        <v/>
      </c>
      <c r="B352" s="146" t="str">
        <f aca="false">Scoring!DF359</f>
        <v/>
      </c>
      <c r="C352" s="146" t="n">
        <f aca="false">Scoring!C359</f>
        <v>0</v>
      </c>
      <c r="D352" s="147" t="str">
        <f aca="false">Scoring!DC359</f>
        <v/>
      </c>
      <c r="E352" s="146" t="str">
        <f aca="false">Scoring!BL359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Scoring!DE359</f>
        <v/>
      </c>
      <c r="I352" s="148" t="str">
        <f aca="false">Scoring!DD359</f>
        <v/>
      </c>
    </row>
    <row r="353" customFormat="false" ht="15.75" hidden="false" customHeight="false" outlineLevel="0" collapsed="false">
      <c r="A353" s="146" t="str">
        <f aca="false">Scoring!DG360</f>
        <v/>
      </c>
      <c r="B353" s="146" t="str">
        <f aca="false">Scoring!DF360</f>
        <v/>
      </c>
      <c r="C353" s="146" t="n">
        <f aca="false">Scoring!C360</f>
        <v>0</v>
      </c>
      <c r="D353" s="147" t="str">
        <f aca="false">Scoring!DC360</f>
        <v/>
      </c>
      <c r="E353" s="146" t="str">
        <f aca="false">Scoring!BL360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Scoring!DE360</f>
        <v/>
      </c>
      <c r="I353" s="148" t="str">
        <f aca="false">Scoring!DD360</f>
        <v/>
      </c>
    </row>
    <row r="354" customFormat="false" ht="15.75" hidden="false" customHeight="false" outlineLevel="0" collapsed="false">
      <c r="A354" s="146" t="str">
        <f aca="false">Scoring!DG361</f>
        <v/>
      </c>
      <c r="B354" s="146" t="str">
        <f aca="false">Scoring!DF361</f>
        <v/>
      </c>
      <c r="C354" s="146" t="n">
        <f aca="false">Scoring!C361</f>
        <v>0</v>
      </c>
      <c r="D354" s="147" t="str">
        <f aca="false">Scoring!DC361</f>
        <v/>
      </c>
      <c r="E354" s="146" t="str">
        <f aca="false">Scoring!BL361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Scoring!DE361</f>
        <v/>
      </c>
      <c r="I354" s="148" t="str">
        <f aca="false">Scoring!DD361</f>
        <v/>
      </c>
    </row>
    <row r="355" customFormat="false" ht="15.75" hidden="false" customHeight="false" outlineLevel="0" collapsed="false">
      <c r="A355" s="146" t="str">
        <f aca="false">Scoring!DG362</f>
        <v/>
      </c>
      <c r="B355" s="146" t="str">
        <f aca="false">Scoring!DF362</f>
        <v/>
      </c>
      <c r="C355" s="146" t="n">
        <f aca="false">Scoring!C362</f>
        <v>0</v>
      </c>
      <c r="D355" s="147" t="str">
        <f aca="false">Scoring!DC362</f>
        <v/>
      </c>
      <c r="E355" s="146" t="str">
        <f aca="false">Scoring!BL362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Scoring!DE362</f>
        <v/>
      </c>
      <c r="I355" s="148" t="str">
        <f aca="false">Scoring!DD362</f>
        <v/>
      </c>
    </row>
    <row r="356" customFormat="false" ht="15.75" hidden="false" customHeight="false" outlineLevel="0" collapsed="false">
      <c r="A356" s="146" t="str">
        <f aca="false">Scoring!DG363</f>
        <v/>
      </c>
      <c r="B356" s="146" t="str">
        <f aca="false">Scoring!DF363</f>
        <v/>
      </c>
      <c r="C356" s="146" t="n">
        <f aca="false">Scoring!C363</f>
        <v>0</v>
      </c>
      <c r="D356" s="147" t="str">
        <f aca="false">Scoring!DC363</f>
        <v/>
      </c>
      <c r="E356" s="146" t="str">
        <f aca="false">Scoring!BL363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Scoring!DE363</f>
        <v/>
      </c>
      <c r="I356" s="148" t="str">
        <f aca="false">Scoring!DD363</f>
        <v/>
      </c>
    </row>
    <row r="357" customFormat="false" ht="15.75" hidden="false" customHeight="false" outlineLevel="0" collapsed="false">
      <c r="A357" s="146" t="str">
        <f aca="false">Scoring!DG364</f>
        <v/>
      </c>
      <c r="B357" s="146" t="str">
        <f aca="false">Scoring!DF364</f>
        <v/>
      </c>
      <c r="C357" s="146" t="n">
        <f aca="false">Scoring!C364</f>
        <v>0</v>
      </c>
      <c r="D357" s="147" t="str">
        <f aca="false">Scoring!DC364</f>
        <v/>
      </c>
      <c r="E357" s="146" t="str">
        <f aca="false">Scoring!BL364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Scoring!DE364</f>
        <v/>
      </c>
      <c r="I357" s="148" t="str">
        <f aca="false">Scoring!DD364</f>
        <v/>
      </c>
    </row>
    <row r="358" customFormat="false" ht="15.75" hidden="false" customHeight="false" outlineLevel="0" collapsed="false">
      <c r="A358" s="146" t="str">
        <f aca="false">Scoring!DG365</f>
        <v/>
      </c>
      <c r="B358" s="146" t="str">
        <f aca="false">Scoring!DF365</f>
        <v/>
      </c>
      <c r="C358" s="146" t="n">
        <f aca="false">Scoring!C365</f>
        <v>0</v>
      </c>
      <c r="D358" s="147" t="str">
        <f aca="false">Scoring!DC365</f>
        <v/>
      </c>
      <c r="E358" s="146" t="str">
        <f aca="false">Scoring!BL365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Scoring!DE365</f>
        <v/>
      </c>
      <c r="I358" s="148" t="str">
        <f aca="false">Scoring!DD365</f>
        <v/>
      </c>
    </row>
    <row r="359" customFormat="false" ht="15.75" hidden="false" customHeight="false" outlineLevel="0" collapsed="false">
      <c r="A359" s="146" t="str">
        <f aca="false">Scoring!DG366</f>
        <v/>
      </c>
      <c r="B359" s="146" t="str">
        <f aca="false">Scoring!DF366</f>
        <v/>
      </c>
      <c r="C359" s="146" t="n">
        <f aca="false">Scoring!C366</f>
        <v>0</v>
      </c>
      <c r="D359" s="147" t="str">
        <f aca="false">Scoring!DC366</f>
        <v/>
      </c>
      <c r="E359" s="146" t="str">
        <f aca="false">Scoring!BL366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Scoring!DE366</f>
        <v/>
      </c>
      <c r="I359" s="148" t="str">
        <f aca="false">Scoring!DD366</f>
        <v/>
      </c>
    </row>
    <row r="360" customFormat="false" ht="15.75" hidden="false" customHeight="false" outlineLevel="0" collapsed="false">
      <c r="A360" s="146" t="str">
        <f aca="false">Scoring!DG367</f>
        <v/>
      </c>
      <c r="B360" s="146" t="str">
        <f aca="false">Scoring!DF367</f>
        <v/>
      </c>
      <c r="C360" s="146" t="n">
        <f aca="false">Scoring!C367</f>
        <v>0</v>
      </c>
      <c r="D360" s="147" t="str">
        <f aca="false">Scoring!DC367</f>
        <v/>
      </c>
      <c r="E360" s="146" t="str">
        <f aca="false">Scoring!BL367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Scoring!DE367</f>
        <v/>
      </c>
      <c r="I360" s="148" t="str">
        <f aca="false">Scoring!DD367</f>
        <v/>
      </c>
    </row>
    <row r="361" customFormat="false" ht="15.75" hidden="false" customHeight="false" outlineLevel="0" collapsed="false">
      <c r="A361" s="146" t="str">
        <f aca="false">Scoring!DG368</f>
        <v/>
      </c>
      <c r="B361" s="146" t="str">
        <f aca="false">Scoring!DF368</f>
        <v/>
      </c>
      <c r="C361" s="146" t="n">
        <f aca="false">Scoring!C368</f>
        <v>0</v>
      </c>
      <c r="D361" s="147" t="str">
        <f aca="false">Scoring!DC368</f>
        <v/>
      </c>
      <c r="E361" s="146" t="str">
        <f aca="false">Scoring!BL368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Scoring!DE368</f>
        <v/>
      </c>
      <c r="I361" s="148" t="str">
        <f aca="false">Scoring!DD368</f>
        <v/>
      </c>
    </row>
    <row r="362" customFormat="false" ht="15.75" hidden="false" customHeight="false" outlineLevel="0" collapsed="false">
      <c r="A362" s="146" t="str">
        <f aca="false">Scoring!DG369</f>
        <v/>
      </c>
      <c r="B362" s="146" t="str">
        <f aca="false">Scoring!DF369</f>
        <v/>
      </c>
      <c r="C362" s="146" t="n">
        <f aca="false">Scoring!C369</f>
        <v>0</v>
      </c>
      <c r="D362" s="147" t="str">
        <f aca="false">Scoring!DC369</f>
        <v/>
      </c>
      <c r="E362" s="146" t="str">
        <f aca="false">Scoring!BL369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Scoring!DE369</f>
        <v/>
      </c>
      <c r="I362" s="148" t="str">
        <f aca="false">Scoring!DD369</f>
        <v/>
      </c>
    </row>
    <row r="363" customFormat="false" ht="15.75" hidden="false" customHeight="false" outlineLevel="0" collapsed="false">
      <c r="A363" s="146" t="str">
        <f aca="false">Scoring!DG370</f>
        <v/>
      </c>
      <c r="B363" s="146" t="str">
        <f aca="false">Scoring!DF370</f>
        <v/>
      </c>
      <c r="C363" s="146" t="n">
        <f aca="false">Scoring!C370</f>
        <v>0</v>
      </c>
      <c r="D363" s="147" t="str">
        <f aca="false">Scoring!DC370</f>
        <v/>
      </c>
      <c r="E363" s="146" t="str">
        <f aca="false">Scoring!BL370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Scoring!DE370</f>
        <v/>
      </c>
      <c r="I363" s="148" t="str">
        <f aca="false">Scoring!DD370</f>
        <v/>
      </c>
    </row>
    <row r="364" customFormat="false" ht="15.75" hidden="false" customHeight="false" outlineLevel="0" collapsed="false">
      <c r="A364" s="146" t="str">
        <f aca="false">Scoring!DG371</f>
        <v/>
      </c>
      <c r="B364" s="146" t="str">
        <f aca="false">Scoring!DF371</f>
        <v/>
      </c>
      <c r="C364" s="146" t="n">
        <f aca="false">Scoring!C371</f>
        <v>0</v>
      </c>
      <c r="D364" s="147" t="str">
        <f aca="false">Scoring!DC371</f>
        <v/>
      </c>
      <c r="E364" s="146" t="str">
        <f aca="false">Scoring!BL371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Scoring!DE371</f>
        <v/>
      </c>
      <c r="I364" s="148" t="str">
        <f aca="false">Scoring!DD371</f>
        <v/>
      </c>
    </row>
    <row r="365" customFormat="false" ht="15.75" hidden="false" customHeight="false" outlineLevel="0" collapsed="false">
      <c r="A365" s="146" t="str">
        <f aca="false">Scoring!DG372</f>
        <v/>
      </c>
      <c r="B365" s="146" t="str">
        <f aca="false">Scoring!DF372</f>
        <v/>
      </c>
      <c r="C365" s="146" t="n">
        <f aca="false">Scoring!C372</f>
        <v>0</v>
      </c>
      <c r="D365" s="147" t="str">
        <f aca="false">Scoring!DC372</f>
        <v/>
      </c>
      <c r="E365" s="146" t="str">
        <f aca="false">Scoring!BL372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Scoring!DE372</f>
        <v/>
      </c>
      <c r="I365" s="148" t="str">
        <f aca="false">Scoring!DD372</f>
        <v/>
      </c>
    </row>
    <row r="366" customFormat="false" ht="15.75" hidden="false" customHeight="false" outlineLevel="0" collapsed="false">
      <c r="A366" s="146" t="str">
        <f aca="false">Scoring!DG373</f>
        <v/>
      </c>
      <c r="B366" s="146" t="str">
        <f aca="false">Scoring!DF373</f>
        <v/>
      </c>
      <c r="C366" s="146" t="n">
        <f aca="false">Scoring!C373</f>
        <v>0</v>
      </c>
      <c r="D366" s="147" t="str">
        <f aca="false">Scoring!DC373</f>
        <v/>
      </c>
      <c r="E366" s="146" t="str">
        <f aca="false">Scoring!BL373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Scoring!DE373</f>
        <v/>
      </c>
      <c r="I366" s="148" t="str">
        <f aca="false">Scoring!DD373</f>
        <v/>
      </c>
    </row>
    <row r="367" customFormat="false" ht="15.75" hidden="false" customHeight="false" outlineLevel="0" collapsed="false">
      <c r="A367" s="146" t="str">
        <f aca="false">Scoring!DG374</f>
        <v/>
      </c>
      <c r="B367" s="146" t="str">
        <f aca="false">Scoring!DF374</f>
        <v/>
      </c>
      <c r="C367" s="146" t="n">
        <f aca="false">Scoring!C374</f>
        <v>0</v>
      </c>
      <c r="D367" s="147" t="str">
        <f aca="false">Scoring!DC374</f>
        <v/>
      </c>
      <c r="E367" s="146" t="str">
        <f aca="false">Scoring!BL374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Scoring!DE374</f>
        <v/>
      </c>
      <c r="I367" s="148" t="str">
        <f aca="false">Scoring!DD374</f>
        <v/>
      </c>
    </row>
    <row r="368" customFormat="false" ht="15.75" hidden="false" customHeight="false" outlineLevel="0" collapsed="false">
      <c r="A368" s="146" t="str">
        <f aca="false">Scoring!DG375</f>
        <v/>
      </c>
      <c r="B368" s="146" t="str">
        <f aca="false">Scoring!DF375</f>
        <v/>
      </c>
      <c r="C368" s="146" t="n">
        <f aca="false">Scoring!C375</f>
        <v>0</v>
      </c>
      <c r="D368" s="147" t="str">
        <f aca="false">Scoring!DC375</f>
        <v/>
      </c>
      <c r="E368" s="146" t="str">
        <f aca="false">Scoring!BL375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Scoring!DE375</f>
        <v/>
      </c>
      <c r="I368" s="148" t="str">
        <f aca="false">Scoring!DD375</f>
        <v/>
      </c>
    </row>
    <row r="369" customFormat="false" ht="15.75" hidden="false" customHeight="false" outlineLevel="0" collapsed="false">
      <c r="A369" s="146" t="str">
        <f aca="false">Scoring!DG376</f>
        <v/>
      </c>
      <c r="B369" s="146" t="str">
        <f aca="false">Scoring!DF376</f>
        <v/>
      </c>
      <c r="C369" s="146" t="n">
        <f aca="false">Scoring!C376</f>
        <v>0</v>
      </c>
      <c r="D369" s="147" t="str">
        <f aca="false">Scoring!DC376</f>
        <v/>
      </c>
      <c r="E369" s="146" t="str">
        <f aca="false">Scoring!BL376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Scoring!DE376</f>
        <v/>
      </c>
      <c r="I369" s="148" t="str">
        <f aca="false">Scoring!DD376</f>
        <v/>
      </c>
    </row>
    <row r="370" customFormat="false" ht="15.75" hidden="false" customHeight="false" outlineLevel="0" collapsed="false">
      <c r="A370" s="146" t="str">
        <f aca="false">Scoring!DG377</f>
        <v/>
      </c>
      <c r="B370" s="146" t="str">
        <f aca="false">Scoring!DF377</f>
        <v/>
      </c>
      <c r="C370" s="146" t="n">
        <f aca="false">Scoring!C377</f>
        <v>0</v>
      </c>
      <c r="D370" s="147" t="str">
        <f aca="false">Scoring!DC377</f>
        <v/>
      </c>
      <c r="E370" s="146" t="str">
        <f aca="false">Scoring!BL377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Scoring!DE377</f>
        <v/>
      </c>
      <c r="I370" s="148" t="str">
        <f aca="false">Scoring!DD377</f>
        <v/>
      </c>
    </row>
    <row r="371" customFormat="false" ht="15.75" hidden="false" customHeight="false" outlineLevel="0" collapsed="false">
      <c r="A371" s="146" t="str">
        <f aca="false">Scoring!DG378</f>
        <v/>
      </c>
      <c r="B371" s="146" t="str">
        <f aca="false">Scoring!DF378</f>
        <v/>
      </c>
      <c r="C371" s="146" t="n">
        <f aca="false">Scoring!C378</f>
        <v>0</v>
      </c>
      <c r="D371" s="147" t="str">
        <f aca="false">Scoring!DC378</f>
        <v/>
      </c>
      <c r="E371" s="146" t="str">
        <f aca="false">Scoring!BL378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Scoring!DE378</f>
        <v/>
      </c>
      <c r="I371" s="148" t="str">
        <f aca="false">Scoring!DD378</f>
        <v/>
      </c>
    </row>
    <row r="372" customFormat="false" ht="15.75" hidden="false" customHeight="false" outlineLevel="0" collapsed="false">
      <c r="A372" s="146" t="str">
        <f aca="false">Scoring!DG379</f>
        <v/>
      </c>
      <c r="B372" s="146" t="str">
        <f aca="false">Scoring!DF379</f>
        <v/>
      </c>
      <c r="C372" s="146" t="n">
        <f aca="false">Scoring!C379</f>
        <v>0</v>
      </c>
      <c r="D372" s="147" t="str">
        <f aca="false">Scoring!DC379</f>
        <v/>
      </c>
      <c r="E372" s="146" t="str">
        <f aca="false">Scoring!BL379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Scoring!DE379</f>
        <v/>
      </c>
      <c r="I372" s="148" t="str">
        <f aca="false">Scoring!DD379</f>
        <v/>
      </c>
    </row>
    <row r="373" customFormat="false" ht="15.75" hidden="false" customHeight="false" outlineLevel="0" collapsed="false">
      <c r="A373" s="146" t="str">
        <f aca="false">Scoring!DG380</f>
        <v/>
      </c>
      <c r="B373" s="146" t="str">
        <f aca="false">Scoring!DF380</f>
        <v/>
      </c>
      <c r="C373" s="146" t="n">
        <f aca="false">Scoring!C380</f>
        <v>0</v>
      </c>
      <c r="D373" s="147" t="str">
        <f aca="false">Scoring!DC380</f>
        <v/>
      </c>
      <c r="E373" s="146" t="str">
        <f aca="false">Scoring!BL380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Scoring!DE380</f>
        <v/>
      </c>
      <c r="I373" s="148" t="str">
        <f aca="false">Scoring!DD380</f>
        <v/>
      </c>
    </row>
    <row r="374" customFormat="false" ht="15.75" hidden="false" customHeight="false" outlineLevel="0" collapsed="false">
      <c r="A374" s="146" t="str">
        <f aca="false">Scoring!DG381</f>
        <v/>
      </c>
      <c r="B374" s="146" t="str">
        <f aca="false">Scoring!DF381</f>
        <v/>
      </c>
      <c r="C374" s="146" t="n">
        <f aca="false">Scoring!C381</f>
        <v>0</v>
      </c>
      <c r="D374" s="147" t="str">
        <f aca="false">Scoring!DC381</f>
        <v/>
      </c>
      <c r="E374" s="146" t="str">
        <f aca="false">Scoring!BL381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Scoring!DE381</f>
        <v/>
      </c>
      <c r="I374" s="148" t="str">
        <f aca="false">Scoring!DD381</f>
        <v/>
      </c>
    </row>
    <row r="375" customFormat="false" ht="15.75" hidden="false" customHeight="false" outlineLevel="0" collapsed="false">
      <c r="A375" s="146" t="str">
        <f aca="false">Scoring!DG382</f>
        <v/>
      </c>
      <c r="B375" s="146" t="str">
        <f aca="false">Scoring!DF382</f>
        <v/>
      </c>
      <c r="C375" s="146" t="n">
        <f aca="false">Scoring!C382</f>
        <v>0</v>
      </c>
      <c r="D375" s="147" t="str">
        <f aca="false">Scoring!DC382</f>
        <v/>
      </c>
      <c r="E375" s="146" t="str">
        <f aca="false">Scoring!BL382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Scoring!DE382</f>
        <v/>
      </c>
      <c r="I375" s="148" t="str">
        <f aca="false">Scoring!DD382</f>
        <v/>
      </c>
    </row>
    <row r="376" customFormat="false" ht="15.75" hidden="false" customHeight="false" outlineLevel="0" collapsed="false">
      <c r="A376" s="146" t="str">
        <f aca="false">Scoring!DG383</f>
        <v/>
      </c>
      <c r="B376" s="146" t="str">
        <f aca="false">Scoring!DF383</f>
        <v/>
      </c>
      <c r="C376" s="146" t="n">
        <f aca="false">Scoring!C383</f>
        <v>0</v>
      </c>
      <c r="D376" s="147" t="str">
        <f aca="false">Scoring!DC383</f>
        <v/>
      </c>
      <c r="E376" s="146" t="str">
        <f aca="false">Scoring!BL383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Scoring!DE383</f>
        <v/>
      </c>
      <c r="I376" s="148" t="str">
        <f aca="false">Scoring!DD383</f>
        <v/>
      </c>
    </row>
    <row r="377" customFormat="false" ht="15.75" hidden="false" customHeight="false" outlineLevel="0" collapsed="false">
      <c r="A377" s="146" t="str">
        <f aca="false">Scoring!DG384</f>
        <v/>
      </c>
      <c r="B377" s="146" t="str">
        <f aca="false">Scoring!DF384</f>
        <v/>
      </c>
      <c r="C377" s="146" t="n">
        <f aca="false">Scoring!C384</f>
        <v>0</v>
      </c>
      <c r="D377" s="147" t="str">
        <f aca="false">Scoring!DC384</f>
        <v/>
      </c>
      <c r="E377" s="146" t="str">
        <f aca="false">Scoring!BL384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Scoring!DE384</f>
        <v/>
      </c>
      <c r="I377" s="148" t="str">
        <f aca="false">Scoring!DD384</f>
        <v/>
      </c>
    </row>
    <row r="378" customFormat="false" ht="15.75" hidden="false" customHeight="false" outlineLevel="0" collapsed="false">
      <c r="A378" s="146" t="str">
        <f aca="false">Scoring!DG385</f>
        <v/>
      </c>
      <c r="B378" s="146" t="str">
        <f aca="false">Scoring!DF385</f>
        <v/>
      </c>
      <c r="C378" s="146" t="n">
        <f aca="false">Scoring!C385</f>
        <v>0</v>
      </c>
      <c r="D378" s="147" t="str">
        <f aca="false">Scoring!DC385</f>
        <v/>
      </c>
      <c r="E378" s="146" t="str">
        <f aca="false">Scoring!BL385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Scoring!DE385</f>
        <v/>
      </c>
      <c r="I378" s="148" t="str">
        <f aca="false">Scoring!DD385</f>
        <v/>
      </c>
    </row>
    <row r="379" customFormat="false" ht="15.75" hidden="false" customHeight="false" outlineLevel="0" collapsed="false">
      <c r="A379" s="146" t="str">
        <f aca="false">Scoring!DG386</f>
        <v/>
      </c>
      <c r="B379" s="146" t="str">
        <f aca="false">Scoring!DF386</f>
        <v/>
      </c>
      <c r="C379" s="146" t="n">
        <f aca="false">Scoring!C386</f>
        <v>0</v>
      </c>
      <c r="D379" s="147" t="str">
        <f aca="false">Scoring!DC386</f>
        <v/>
      </c>
      <c r="E379" s="146" t="str">
        <f aca="false">Scoring!BL386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Scoring!DE386</f>
        <v/>
      </c>
      <c r="I379" s="148" t="str">
        <f aca="false">Scoring!DD386</f>
        <v/>
      </c>
    </row>
    <row r="380" customFormat="false" ht="15.75" hidden="false" customHeight="false" outlineLevel="0" collapsed="false">
      <c r="A380" s="146" t="str">
        <f aca="false">Scoring!DG387</f>
        <v/>
      </c>
      <c r="B380" s="146" t="str">
        <f aca="false">Scoring!DF387</f>
        <v/>
      </c>
      <c r="C380" s="146" t="n">
        <f aca="false">Scoring!C387</f>
        <v>0</v>
      </c>
      <c r="D380" s="147" t="str">
        <f aca="false">Scoring!DC387</f>
        <v/>
      </c>
      <c r="E380" s="146" t="str">
        <f aca="false">Scoring!BL387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Scoring!DE387</f>
        <v/>
      </c>
      <c r="I380" s="148" t="str">
        <f aca="false">Scoring!DD387</f>
        <v/>
      </c>
    </row>
    <row r="381" customFormat="false" ht="15.75" hidden="false" customHeight="false" outlineLevel="0" collapsed="false">
      <c r="A381" s="146" t="str">
        <f aca="false">Scoring!DG388</f>
        <v/>
      </c>
      <c r="B381" s="146" t="str">
        <f aca="false">Scoring!DF388</f>
        <v/>
      </c>
      <c r="C381" s="146" t="n">
        <f aca="false">Scoring!C388</f>
        <v>0</v>
      </c>
      <c r="D381" s="147" t="str">
        <f aca="false">Scoring!DC388</f>
        <v/>
      </c>
      <c r="E381" s="146" t="str">
        <f aca="false">Scoring!BL388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Scoring!DE388</f>
        <v/>
      </c>
      <c r="I381" s="148" t="str">
        <f aca="false">Scoring!DD388</f>
        <v/>
      </c>
    </row>
    <row r="382" customFormat="false" ht="15.75" hidden="false" customHeight="false" outlineLevel="0" collapsed="false">
      <c r="A382" s="146" t="str">
        <f aca="false">Scoring!DG389</f>
        <v/>
      </c>
      <c r="B382" s="146" t="str">
        <f aca="false">Scoring!DF389</f>
        <v/>
      </c>
      <c r="C382" s="146" t="n">
        <f aca="false">Scoring!C389</f>
        <v>0</v>
      </c>
      <c r="D382" s="147" t="str">
        <f aca="false">Scoring!DC389</f>
        <v/>
      </c>
      <c r="E382" s="146" t="str">
        <f aca="false">Scoring!BL389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Scoring!DE389</f>
        <v/>
      </c>
      <c r="I382" s="148" t="str">
        <f aca="false">Scoring!DD389</f>
        <v/>
      </c>
    </row>
    <row r="383" customFormat="false" ht="15.75" hidden="false" customHeight="false" outlineLevel="0" collapsed="false">
      <c r="A383" s="146" t="str">
        <f aca="false">Scoring!DG390</f>
        <v/>
      </c>
      <c r="B383" s="146" t="str">
        <f aca="false">Scoring!DF390</f>
        <v/>
      </c>
      <c r="C383" s="146" t="n">
        <f aca="false">Scoring!C390</f>
        <v>0</v>
      </c>
      <c r="D383" s="147" t="str">
        <f aca="false">Scoring!DC390</f>
        <v/>
      </c>
      <c r="E383" s="146" t="str">
        <f aca="false">Scoring!BL390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Scoring!DE390</f>
        <v/>
      </c>
      <c r="I383" s="148" t="str">
        <f aca="false">Scoring!DD390</f>
        <v/>
      </c>
    </row>
    <row r="384" customFormat="false" ht="15.75" hidden="false" customHeight="false" outlineLevel="0" collapsed="false">
      <c r="A384" s="146" t="str">
        <f aca="false">Scoring!DG391</f>
        <v/>
      </c>
      <c r="B384" s="146" t="str">
        <f aca="false">Scoring!DF391</f>
        <v/>
      </c>
      <c r="C384" s="146" t="n">
        <f aca="false">Scoring!C391</f>
        <v>0</v>
      </c>
      <c r="D384" s="147" t="str">
        <f aca="false">Scoring!DC391</f>
        <v/>
      </c>
      <c r="E384" s="146" t="str">
        <f aca="false">Scoring!BL391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Scoring!DE391</f>
        <v/>
      </c>
      <c r="I384" s="148" t="str">
        <f aca="false">Scoring!DD391</f>
        <v/>
      </c>
    </row>
    <row r="385" customFormat="false" ht="15.75" hidden="false" customHeight="false" outlineLevel="0" collapsed="false">
      <c r="A385" s="146" t="str">
        <f aca="false">Scoring!DG392</f>
        <v/>
      </c>
      <c r="B385" s="146" t="str">
        <f aca="false">Scoring!DF392</f>
        <v/>
      </c>
      <c r="C385" s="146" t="n">
        <f aca="false">Scoring!C392</f>
        <v>0</v>
      </c>
      <c r="D385" s="147" t="str">
        <f aca="false">Scoring!DC392</f>
        <v/>
      </c>
      <c r="E385" s="146" t="str">
        <f aca="false">Scoring!BL392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Scoring!DE392</f>
        <v/>
      </c>
      <c r="I385" s="148" t="str">
        <f aca="false">Scoring!DD392</f>
        <v/>
      </c>
    </row>
    <row r="386" customFormat="false" ht="15.75" hidden="false" customHeight="false" outlineLevel="0" collapsed="false">
      <c r="A386" s="146" t="str">
        <f aca="false">Scoring!DG393</f>
        <v/>
      </c>
      <c r="B386" s="146" t="str">
        <f aca="false">Scoring!DF393</f>
        <v/>
      </c>
      <c r="C386" s="146" t="n">
        <f aca="false">Scoring!C393</f>
        <v>0</v>
      </c>
      <c r="D386" s="147" t="str">
        <f aca="false">Scoring!DC393</f>
        <v/>
      </c>
      <c r="E386" s="146" t="str">
        <f aca="false">Scoring!BL393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Scoring!DE393</f>
        <v/>
      </c>
      <c r="I386" s="148" t="str">
        <f aca="false">Scoring!DD393</f>
        <v/>
      </c>
    </row>
    <row r="387" customFormat="false" ht="15.75" hidden="false" customHeight="false" outlineLevel="0" collapsed="false">
      <c r="A387" s="146" t="str">
        <f aca="false">Scoring!DG394</f>
        <v/>
      </c>
      <c r="B387" s="146" t="str">
        <f aca="false">Scoring!DF394</f>
        <v/>
      </c>
      <c r="C387" s="146" t="n">
        <f aca="false">Scoring!C394</f>
        <v>0</v>
      </c>
      <c r="D387" s="147" t="str">
        <f aca="false">Scoring!DC394</f>
        <v/>
      </c>
      <c r="E387" s="146" t="str">
        <f aca="false">Scoring!BL394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Scoring!DE394</f>
        <v/>
      </c>
      <c r="I387" s="148" t="str">
        <f aca="false">Scoring!DD394</f>
        <v/>
      </c>
    </row>
    <row r="388" customFormat="false" ht="15.75" hidden="false" customHeight="false" outlineLevel="0" collapsed="false">
      <c r="A388" s="146" t="str">
        <f aca="false">Scoring!DG395</f>
        <v/>
      </c>
      <c r="B388" s="146" t="str">
        <f aca="false">Scoring!DF395</f>
        <v/>
      </c>
      <c r="C388" s="146" t="n">
        <f aca="false">Scoring!C395</f>
        <v>0</v>
      </c>
      <c r="D388" s="147" t="str">
        <f aca="false">Scoring!DC395</f>
        <v/>
      </c>
      <c r="E388" s="146" t="str">
        <f aca="false">Scoring!BL395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Scoring!DE395</f>
        <v/>
      </c>
      <c r="I388" s="148" t="str">
        <f aca="false">Scoring!DD395</f>
        <v/>
      </c>
    </row>
    <row r="389" customFormat="false" ht="15.75" hidden="false" customHeight="false" outlineLevel="0" collapsed="false">
      <c r="A389" s="146" t="str">
        <f aca="false">Scoring!DG396</f>
        <v/>
      </c>
      <c r="B389" s="146" t="str">
        <f aca="false">Scoring!DF396</f>
        <v/>
      </c>
      <c r="C389" s="146" t="n">
        <f aca="false">Scoring!C396</f>
        <v>0</v>
      </c>
      <c r="D389" s="147" t="str">
        <f aca="false">Scoring!DC396</f>
        <v/>
      </c>
      <c r="E389" s="146" t="str">
        <f aca="false">Scoring!BL396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Scoring!DE396</f>
        <v/>
      </c>
      <c r="I389" s="148" t="str">
        <f aca="false">Scoring!DD396</f>
        <v/>
      </c>
    </row>
    <row r="390" customFormat="false" ht="15.75" hidden="false" customHeight="false" outlineLevel="0" collapsed="false">
      <c r="A390" s="146" t="str">
        <f aca="false">Scoring!DG397</f>
        <v/>
      </c>
      <c r="B390" s="146" t="str">
        <f aca="false">Scoring!DF397</f>
        <v/>
      </c>
      <c r="C390" s="146" t="n">
        <f aca="false">Scoring!C397</f>
        <v>0</v>
      </c>
      <c r="D390" s="147" t="str">
        <f aca="false">Scoring!DC397</f>
        <v/>
      </c>
      <c r="E390" s="146" t="str">
        <f aca="false">Scoring!BL397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Scoring!DE397</f>
        <v/>
      </c>
      <c r="I390" s="148" t="str">
        <f aca="false">Scoring!DD397</f>
        <v/>
      </c>
    </row>
    <row r="391" customFormat="false" ht="15.75" hidden="false" customHeight="false" outlineLevel="0" collapsed="false">
      <c r="A391" s="146" t="str">
        <f aca="false">Scoring!DG398</f>
        <v/>
      </c>
      <c r="B391" s="146" t="str">
        <f aca="false">Scoring!DF398</f>
        <v/>
      </c>
      <c r="C391" s="146" t="n">
        <f aca="false">Scoring!C398</f>
        <v>0</v>
      </c>
      <c r="D391" s="147" t="str">
        <f aca="false">Scoring!DC398</f>
        <v/>
      </c>
      <c r="E391" s="146" t="str">
        <f aca="false">Scoring!BL398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Scoring!DE398</f>
        <v/>
      </c>
      <c r="I391" s="148" t="str">
        <f aca="false">Scoring!DD398</f>
        <v/>
      </c>
    </row>
    <row r="392" customFormat="false" ht="15.75" hidden="false" customHeight="false" outlineLevel="0" collapsed="false">
      <c r="A392" s="146" t="str">
        <f aca="false">Scoring!DG399</f>
        <v/>
      </c>
      <c r="B392" s="146" t="str">
        <f aca="false">Scoring!DF399</f>
        <v/>
      </c>
      <c r="C392" s="146" t="n">
        <f aca="false">Scoring!C399</f>
        <v>0</v>
      </c>
      <c r="D392" s="147" t="str">
        <f aca="false">Scoring!DC399</f>
        <v/>
      </c>
      <c r="E392" s="146" t="str">
        <f aca="false">Scoring!BL399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Scoring!DE399</f>
        <v/>
      </c>
      <c r="I392" s="148" t="str">
        <f aca="false">Scoring!DD399</f>
        <v/>
      </c>
    </row>
    <row r="393" customFormat="false" ht="15.75" hidden="false" customHeight="false" outlineLevel="0" collapsed="false">
      <c r="A393" s="146" t="str">
        <f aca="false">Scoring!DG400</f>
        <v/>
      </c>
      <c r="B393" s="146" t="str">
        <f aca="false">Scoring!DF400</f>
        <v/>
      </c>
      <c r="C393" s="146" t="n">
        <f aca="false">Scoring!C400</f>
        <v>0</v>
      </c>
      <c r="D393" s="147" t="str">
        <f aca="false">Scoring!DC400</f>
        <v/>
      </c>
      <c r="E393" s="146" t="str">
        <f aca="false">Scoring!BL400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Scoring!DE400</f>
        <v/>
      </c>
      <c r="I393" s="148" t="str">
        <f aca="false">Scoring!DD400</f>
        <v/>
      </c>
    </row>
    <row r="394" customFormat="false" ht="15.75" hidden="false" customHeight="false" outlineLevel="0" collapsed="false">
      <c r="A394" s="146" t="str">
        <f aca="false">Scoring!DG401</f>
        <v/>
      </c>
      <c r="B394" s="146" t="str">
        <f aca="false">Scoring!DF401</f>
        <v/>
      </c>
      <c r="C394" s="146" t="n">
        <f aca="false">Scoring!C401</f>
        <v>0</v>
      </c>
      <c r="D394" s="147" t="str">
        <f aca="false">Scoring!DC401</f>
        <v/>
      </c>
      <c r="E394" s="146" t="str">
        <f aca="false">Scoring!BL401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Scoring!DE401</f>
        <v/>
      </c>
      <c r="I394" s="148" t="str">
        <f aca="false">Scoring!DD401</f>
        <v/>
      </c>
    </row>
    <row r="395" customFormat="false" ht="15.75" hidden="false" customHeight="false" outlineLevel="0" collapsed="false">
      <c r="A395" s="146" t="str">
        <f aca="false">Scoring!DG402</f>
        <v/>
      </c>
      <c r="B395" s="146" t="str">
        <f aca="false">Scoring!DF402</f>
        <v/>
      </c>
      <c r="C395" s="146" t="n">
        <f aca="false">Scoring!C402</f>
        <v>0</v>
      </c>
      <c r="D395" s="147" t="str">
        <f aca="false">Scoring!DC402</f>
        <v/>
      </c>
      <c r="E395" s="146" t="str">
        <f aca="false">Scoring!BL402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Scoring!DE402</f>
        <v/>
      </c>
      <c r="I395" s="148" t="str">
        <f aca="false">Scoring!DD402</f>
        <v/>
      </c>
    </row>
    <row r="396" customFormat="false" ht="15.75" hidden="false" customHeight="false" outlineLevel="0" collapsed="false">
      <c r="A396" s="146" t="str">
        <f aca="false">Scoring!DG403</f>
        <v/>
      </c>
      <c r="B396" s="146" t="str">
        <f aca="false">Scoring!DF403</f>
        <v/>
      </c>
      <c r="C396" s="146" t="n">
        <f aca="false">Scoring!C403</f>
        <v>0</v>
      </c>
      <c r="D396" s="147" t="str">
        <f aca="false">Scoring!DC403</f>
        <v/>
      </c>
      <c r="E396" s="146" t="str">
        <f aca="false">Scoring!BL403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Scoring!DE403</f>
        <v/>
      </c>
      <c r="I396" s="148" t="str">
        <f aca="false">Scoring!DD403</f>
        <v/>
      </c>
    </row>
    <row r="397" customFormat="false" ht="15.75" hidden="false" customHeight="false" outlineLevel="0" collapsed="false">
      <c r="A397" s="146" t="str">
        <f aca="false">Scoring!DG404</f>
        <v/>
      </c>
      <c r="B397" s="146" t="str">
        <f aca="false">Scoring!DF404</f>
        <v/>
      </c>
      <c r="C397" s="146" t="n">
        <f aca="false">Scoring!C404</f>
        <v>0</v>
      </c>
      <c r="D397" s="147" t="str">
        <f aca="false">Scoring!DC404</f>
        <v/>
      </c>
      <c r="E397" s="146" t="str">
        <f aca="false">Scoring!BL404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Scoring!DE404</f>
        <v/>
      </c>
      <c r="I397" s="148" t="str">
        <f aca="false">Scoring!DD404</f>
        <v/>
      </c>
    </row>
    <row r="398" customFormat="false" ht="15.75" hidden="false" customHeight="false" outlineLevel="0" collapsed="false">
      <c r="A398" s="146" t="str">
        <f aca="false">Scoring!DG405</f>
        <v/>
      </c>
      <c r="B398" s="146" t="str">
        <f aca="false">Scoring!DF405</f>
        <v/>
      </c>
      <c r="C398" s="146" t="n">
        <f aca="false">Scoring!C405</f>
        <v>0</v>
      </c>
      <c r="D398" s="147" t="str">
        <f aca="false">Scoring!DC405</f>
        <v/>
      </c>
      <c r="E398" s="146" t="str">
        <f aca="false">Scoring!BL405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Scoring!DE405</f>
        <v/>
      </c>
      <c r="I398" s="148" t="str">
        <f aca="false">Scoring!DD405</f>
        <v/>
      </c>
    </row>
    <row r="399" customFormat="false" ht="15.75" hidden="false" customHeight="false" outlineLevel="0" collapsed="false">
      <c r="A399" s="146" t="str">
        <f aca="false">Scoring!DG406</f>
        <v/>
      </c>
      <c r="B399" s="146" t="str">
        <f aca="false">Scoring!DF406</f>
        <v/>
      </c>
      <c r="C399" s="146" t="n">
        <f aca="false">Scoring!C406</f>
        <v>0</v>
      </c>
      <c r="D399" s="147" t="str">
        <f aca="false">Scoring!DC406</f>
        <v/>
      </c>
      <c r="E399" s="146" t="str">
        <f aca="false">Scoring!BL406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Scoring!DE406</f>
        <v/>
      </c>
      <c r="I399" s="148" t="str">
        <f aca="false">Scoring!DD406</f>
        <v/>
      </c>
    </row>
    <row r="400" customFormat="false" ht="15.75" hidden="false" customHeight="false" outlineLevel="0" collapsed="false">
      <c r="A400" s="146" t="str">
        <f aca="false">Scoring!DG407</f>
        <v/>
      </c>
      <c r="B400" s="146" t="str">
        <f aca="false">Scoring!DF407</f>
        <v/>
      </c>
      <c r="C400" s="146" t="n">
        <f aca="false">Scoring!C407</f>
        <v>0</v>
      </c>
      <c r="D400" s="147" t="str">
        <f aca="false">Scoring!DC407</f>
        <v/>
      </c>
      <c r="E400" s="146" t="str">
        <f aca="false">Scoring!BL407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Scoring!DE407</f>
        <v/>
      </c>
      <c r="I400" s="148" t="str">
        <f aca="false">Scoring!DD407</f>
        <v/>
      </c>
    </row>
    <row r="401" customFormat="false" ht="15.75" hidden="false" customHeight="false" outlineLevel="0" collapsed="false">
      <c r="A401" s="146" t="str">
        <f aca="false">Scoring!DG408</f>
        <v/>
      </c>
      <c r="B401" s="146" t="str">
        <f aca="false">Scoring!DF408</f>
        <v/>
      </c>
      <c r="C401" s="146" t="n">
        <f aca="false">Scoring!C408</f>
        <v>0</v>
      </c>
      <c r="D401" s="147" t="str">
        <f aca="false">Scoring!DC408</f>
        <v/>
      </c>
      <c r="E401" s="146" t="str">
        <f aca="false">Scoring!BL408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Scoring!DE408</f>
        <v/>
      </c>
      <c r="I401" s="148" t="str">
        <f aca="false">Scoring!DD408</f>
        <v/>
      </c>
    </row>
    <row r="402" customFormat="false" ht="15.75" hidden="false" customHeight="false" outlineLevel="0" collapsed="false">
      <c r="A402" s="146" t="str">
        <f aca="false">Scoring!DG409</f>
        <v/>
      </c>
      <c r="B402" s="146" t="str">
        <f aca="false">Scoring!DF409</f>
        <v/>
      </c>
      <c r="C402" s="146" t="n">
        <f aca="false">Scoring!C409</f>
        <v>0</v>
      </c>
      <c r="D402" s="147" t="str">
        <f aca="false">Scoring!DC409</f>
        <v/>
      </c>
      <c r="E402" s="146" t="str">
        <f aca="false">Scoring!BL409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Scoring!DE409</f>
        <v/>
      </c>
      <c r="I402" s="148" t="str">
        <f aca="false">Scoring!DD409</f>
        <v/>
      </c>
    </row>
    <row r="403" customFormat="false" ht="15.75" hidden="false" customHeight="false" outlineLevel="0" collapsed="false">
      <c r="A403" s="146" t="str">
        <f aca="false">Scoring!DG410</f>
        <v/>
      </c>
      <c r="B403" s="146" t="str">
        <f aca="false">Scoring!DF410</f>
        <v/>
      </c>
      <c r="C403" s="146" t="n">
        <f aca="false">Scoring!C410</f>
        <v>0</v>
      </c>
      <c r="D403" s="147" t="str">
        <f aca="false">Scoring!DC410</f>
        <v/>
      </c>
      <c r="E403" s="146" t="str">
        <f aca="false">Scoring!BL410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Scoring!DE410</f>
        <v/>
      </c>
      <c r="I403" s="148" t="str">
        <f aca="false">Scoring!DD410</f>
        <v/>
      </c>
    </row>
    <row r="404" customFormat="false" ht="15.75" hidden="false" customHeight="false" outlineLevel="0" collapsed="false">
      <c r="A404" s="146" t="str">
        <f aca="false">Scoring!DG411</f>
        <v/>
      </c>
      <c r="B404" s="146" t="str">
        <f aca="false">Scoring!DF411</f>
        <v/>
      </c>
      <c r="C404" s="146" t="n">
        <f aca="false">Scoring!C411</f>
        <v>0</v>
      </c>
      <c r="D404" s="147" t="str">
        <f aca="false">Scoring!DC411</f>
        <v/>
      </c>
      <c r="E404" s="146" t="str">
        <f aca="false">Scoring!BL411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Scoring!DE411</f>
        <v/>
      </c>
      <c r="I404" s="148" t="str">
        <f aca="false">Scoring!DD411</f>
        <v/>
      </c>
    </row>
    <row r="405" customFormat="false" ht="15.75" hidden="false" customHeight="false" outlineLevel="0" collapsed="false">
      <c r="A405" s="146" t="str">
        <f aca="false">Scoring!DG412</f>
        <v/>
      </c>
      <c r="B405" s="146" t="str">
        <f aca="false">Scoring!DF412</f>
        <v/>
      </c>
      <c r="C405" s="146" t="n">
        <f aca="false">Scoring!C412</f>
        <v>0</v>
      </c>
      <c r="D405" s="147" t="str">
        <f aca="false">Scoring!DC412</f>
        <v/>
      </c>
      <c r="E405" s="146" t="str">
        <f aca="false">Scoring!BL412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Scoring!DE412</f>
        <v/>
      </c>
      <c r="I405" s="148" t="str">
        <f aca="false">Scoring!DD412</f>
        <v/>
      </c>
    </row>
    <row r="406" customFormat="false" ht="15.75" hidden="false" customHeight="false" outlineLevel="0" collapsed="false">
      <c r="A406" s="146" t="str">
        <f aca="false">Scoring!DG413</f>
        <v/>
      </c>
      <c r="B406" s="146" t="str">
        <f aca="false">Scoring!DF413</f>
        <v/>
      </c>
      <c r="C406" s="146" t="n">
        <f aca="false">Scoring!C413</f>
        <v>0</v>
      </c>
      <c r="D406" s="147" t="str">
        <f aca="false">Scoring!DC413</f>
        <v/>
      </c>
      <c r="E406" s="146" t="str">
        <f aca="false">Scoring!BL413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Scoring!DE413</f>
        <v/>
      </c>
      <c r="I406" s="148" t="str">
        <f aca="false">Scoring!DD413</f>
        <v/>
      </c>
    </row>
    <row r="407" customFormat="false" ht="15.75" hidden="false" customHeight="false" outlineLevel="0" collapsed="false">
      <c r="A407" s="146" t="str">
        <f aca="false">Scoring!DG414</f>
        <v/>
      </c>
      <c r="B407" s="146" t="str">
        <f aca="false">Scoring!DF414</f>
        <v/>
      </c>
      <c r="C407" s="146" t="n">
        <f aca="false">Scoring!C414</f>
        <v>0</v>
      </c>
      <c r="D407" s="147" t="str">
        <f aca="false">Scoring!DC414</f>
        <v/>
      </c>
      <c r="E407" s="146" t="str">
        <f aca="false">Scoring!BL414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Scoring!DE414</f>
        <v/>
      </c>
      <c r="I407" s="148" t="str">
        <f aca="false">Scoring!DD414</f>
        <v/>
      </c>
    </row>
    <row r="408" customFormat="false" ht="15.75" hidden="false" customHeight="false" outlineLevel="0" collapsed="false">
      <c r="A408" s="146" t="str">
        <f aca="false">Scoring!DG415</f>
        <v/>
      </c>
      <c r="B408" s="146" t="str">
        <f aca="false">Scoring!DF415</f>
        <v/>
      </c>
      <c r="C408" s="146" t="n">
        <f aca="false">Scoring!C415</f>
        <v>0</v>
      </c>
      <c r="D408" s="147" t="str">
        <f aca="false">Scoring!DC415</f>
        <v/>
      </c>
      <c r="E408" s="146" t="str">
        <f aca="false">Scoring!BL415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Scoring!DE415</f>
        <v/>
      </c>
      <c r="I408" s="148" t="str">
        <f aca="false">Scoring!DD415</f>
        <v/>
      </c>
    </row>
    <row r="409" customFormat="false" ht="15.75" hidden="false" customHeight="false" outlineLevel="0" collapsed="false">
      <c r="A409" s="146" t="str">
        <f aca="false">Scoring!DG416</f>
        <v/>
      </c>
      <c r="B409" s="146" t="str">
        <f aca="false">Scoring!DF416</f>
        <v/>
      </c>
      <c r="C409" s="146" t="n">
        <f aca="false">Scoring!C416</f>
        <v>0</v>
      </c>
      <c r="D409" s="147" t="str">
        <f aca="false">Scoring!DC416</f>
        <v/>
      </c>
      <c r="E409" s="146" t="str">
        <f aca="false">Scoring!BL416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Scoring!DE416</f>
        <v/>
      </c>
      <c r="I409" s="148" t="str">
        <f aca="false">Scoring!DD416</f>
        <v/>
      </c>
    </row>
    <row r="410" customFormat="false" ht="15.75" hidden="false" customHeight="false" outlineLevel="0" collapsed="false">
      <c r="A410" s="146" t="str">
        <f aca="false">Scoring!DG417</f>
        <v/>
      </c>
      <c r="B410" s="146" t="str">
        <f aca="false">Scoring!DF417</f>
        <v/>
      </c>
      <c r="C410" s="146" t="n">
        <f aca="false">Scoring!C417</f>
        <v>0</v>
      </c>
      <c r="D410" s="147" t="str">
        <f aca="false">Scoring!DC417</f>
        <v/>
      </c>
      <c r="E410" s="146" t="str">
        <f aca="false">Scoring!BL417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Scoring!DE417</f>
        <v/>
      </c>
      <c r="I410" s="148" t="str">
        <f aca="false">Scoring!DD417</f>
        <v/>
      </c>
    </row>
    <row r="411" customFormat="false" ht="15.75" hidden="false" customHeight="false" outlineLevel="0" collapsed="false">
      <c r="A411" s="146" t="str">
        <f aca="false">Scoring!DG418</f>
        <v/>
      </c>
      <c r="B411" s="146" t="str">
        <f aca="false">Scoring!DF418</f>
        <v/>
      </c>
      <c r="C411" s="146" t="n">
        <f aca="false">Scoring!C418</f>
        <v>0</v>
      </c>
      <c r="D411" s="147" t="str">
        <f aca="false">Scoring!DC418</f>
        <v/>
      </c>
      <c r="E411" s="146" t="str">
        <f aca="false">Scoring!BL418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Scoring!DE418</f>
        <v/>
      </c>
      <c r="I411" s="148" t="str">
        <f aca="false">Scoring!DD418</f>
        <v/>
      </c>
    </row>
    <row r="412" customFormat="false" ht="15.75" hidden="false" customHeight="false" outlineLevel="0" collapsed="false">
      <c r="A412" s="146" t="str">
        <f aca="false">Scoring!DG419</f>
        <v/>
      </c>
      <c r="B412" s="146" t="str">
        <f aca="false">Scoring!DF419</f>
        <v/>
      </c>
      <c r="C412" s="146" t="n">
        <f aca="false">Scoring!C419</f>
        <v>0</v>
      </c>
      <c r="D412" s="147" t="str">
        <f aca="false">Scoring!DC419</f>
        <v/>
      </c>
      <c r="E412" s="146" t="str">
        <f aca="false">Scoring!BL419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Scoring!DE419</f>
        <v/>
      </c>
      <c r="I412" s="148" t="str">
        <f aca="false">Scoring!DD419</f>
        <v/>
      </c>
    </row>
    <row r="413" customFormat="false" ht="15.75" hidden="false" customHeight="false" outlineLevel="0" collapsed="false">
      <c r="A413" s="146" t="str">
        <f aca="false">Scoring!DG420</f>
        <v/>
      </c>
      <c r="B413" s="146" t="str">
        <f aca="false">Scoring!DF420</f>
        <v/>
      </c>
      <c r="C413" s="146" t="n">
        <f aca="false">Scoring!C420</f>
        <v>0</v>
      </c>
      <c r="D413" s="147" t="str">
        <f aca="false">Scoring!DC420</f>
        <v/>
      </c>
      <c r="E413" s="146" t="str">
        <f aca="false">Scoring!BL420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Scoring!DE420</f>
        <v/>
      </c>
      <c r="I413" s="148" t="str">
        <f aca="false">Scoring!DD420</f>
        <v/>
      </c>
    </row>
    <row r="414" customFormat="false" ht="15.75" hidden="false" customHeight="false" outlineLevel="0" collapsed="false">
      <c r="A414" s="146" t="str">
        <f aca="false">Scoring!DG421</f>
        <v/>
      </c>
      <c r="B414" s="146" t="str">
        <f aca="false">Scoring!DF421</f>
        <v/>
      </c>
      <c r="C414" s="146" t="n">
        <f aca="false">Scoring!C421</f>
        <v>0</v>
      </c>
      <c r="D414" s="147" t="str">
        <f aca="false">Scoring!DC421</f>
        <v/>
      </c>
      <c r="E414" s="146" t="str">
        <f aca="false">Scoring!BL421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Scoring!DE421</f>
        <v/>
      </c>
      <c r="I414" s="148" t="str">
        <f aca="false">Scoring!DD421</f>
        <v/>
      </c>
    </row>
    <row r="415" customFormat="false" ht="15.75" hidden="false" customHeight="false" outlineLevel="0" collapsed="false">
      <c r="A415" s="146" t="str">
        <f aca="false">Scoring!DG422</f>
        <v/>
      </c>
      <c r="B415" s="146" t="str">
        <f aca="false">Scoring!DF422</f>
        <v/>
      </c>
      <c r="C415" s="146" t="n">
        <f aca="false">Scoring!C422</f>
        <v>0</v>
      </c>
      <c r="D415" s="147" t="str">
        <f aca="false">Scoring!DC422</f>
        <v/>
      </c>
      <c r="E415" s="146" t="str">
        <f aca="false">Scoring!BL422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Scoring!DE422</f>
        <v/>
      </c>
      <c r="I415" s="148" t="str">
        <f aca="false">Scoring!DD422</f>
        <v/>
      </c>
    </row>
    <row r="416" customFormat="false" ht="15.75" hidden="false" customHeight="false" outlineLevel="0" collapsed="false">
      <c r="A416" s="146" t="str">
        <f aca="false">Scoring!DG423</f>
        <v/>
      </c>
      <c r="B416" s="146" t="str">
        <f aca="false">Scoring!DF423</f>
        <v/>
      </c>
      <c r="C416" s="146" t="n">
        <f aca="false">Scoring!C423</f>
        <v>0</v>
      </c>
      <c r="D416" s="147" t="str">
        <f aca="false">Scoring!DC423</f>
        <v/>
      </c>
      <c r="E416" s="146" t="str">
        <f aca="false">Scoring!BL423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Scoring!DE423</f>
        <v/>
      </c>
      <c r="I416" s="148" t="str">
        <f aca="false">Scoring!DD423</f>
        <v/>
      </c>
    </row>
    <row r="417" customFormat="false" ht="15.75" hidden="false" customHeight="false" outlineLevel="0" collapsed="false">
      <c r="A417" s="146" t="str">
        <f aca="false">Scoring!DG424</f>
        <v/>
      </c>
      <c r="B417" s="146" t="str">
        <f aca="false">Scoring!DF424</f>
        <v/>
      </c>
      <c r="C417" s="146" t="n">
        <f aca="false">Scoring!C424</f>
        <v>0</v>
      </c>
      <c r="D417" s="147" t="str">
        <f aca="false">Scoring!DC424</f>
        <v/>
      </c>
      <c r="E417" s="146" t="str">
        <f aca="false">Scoring!BL424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Scoring!DE424</f>
        <v/>
      </c>
      <c r="I417" s="148" t="str">
        <f aca="false">Scoring!DD424</f>
        <v/>
      </c>
    </row>
    <row r="418" customFormat="false" ht="15.75" hidden="false" customHeight="false" outlineLevel="0" collapsed="false">
      <c r="A418" s="146" t="str">
        <f aca="false">Scoring!DG425</f>
        <v/>
      </c>
      <c r="B418" s="146" t="str">
        <f aca="false">Scoring!DF425</f>
        <v/>
      </c>
      <c r="C418" s="146" t="n">
        <f aca="false">Scoring!C425</f>
        <v>0</v>
      </c>
      <c r="D418" s="147" t="str">
        <f aca="false">Scoring!DC425</f>
        <v/>
      </c>
      <c r="E418" s="146" t="str">
        <f aca="false">Scoring!BL425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Scoring!DE425</f>
        <v/>
      </c>
      <c r="I418" s="148" t="str">
        <f aca="false">Scoring!DD425</f>
        <v/>
      </c>
    </row>
    <row r="419" customFormat="false" ht="15.75" hidden="false" customHeight="false" outlineLevel="0" collapsed="false">
      <c r="A419" s="146" t="str">
        <f aca="false">Scoring!DG426</f>
        <v/>
      </c>
      <c r="B419" s="146" t="str">
        <f aca="false">Scoring!DF426</f>
        <v/>
      </c>
      <c r="C419" s="146" t="n">
        <f aca="false">Scoring!C426</f>
        <v>0</v>
      </c>
      <c r="D419" s="147" t="str">
        <f aca="false">Scoring!DC426</f>
        <v/>
      </c>
      <c r="E419" s="146" t="str">
        <f aca="false">Scoring!BL426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Scoring!DE426</f>
        <v/>
      </c>
      <c r="I419" s="148" t="str">
        <f aca="false">Scoring!DD426</f>
        <v/>
      </c>
    </row>
    <row r="420" customFormat="false" ht="15.75" hidden="false" customHeight="false" outlineLevel="0" collapsed="false">
      <c r="A420" s="146" t="str">
        <f aca="false">Scoring!DG427</f>
        <v/>
      </c>
      <c r="B420" s="146" t="str">
        <f aca="false">Scoring!DF427</f>
        <v/>
      </c>
      <c r="C420" s="146" t="n">
        <f aca="false">Scoring!C427</f>
        <v>0</v>
      </c>
      <c r="D420" s="147" t="str">
        <f aca="false">Scoring!DC427</f>
        <v/>
      </c>
      <c r="E420" s="146" t="str">
        <f aca="false">Scoring!BL427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Scoring!DE427</f>
        <v/>
      </c>
      <c r="I420" s="148" t="str">
        <f aca="false">Scoring!DD427</f>
        <v/>
      </c>
    </row>
    <row r="421" customFormat="false" ht="15.75" hidden="false" customHeight="false" outlineLevel="0" collapsed="false">
      <c r="A421" s="146" t="str">
        <f aca="false">Scoring!DG428</f>
        <v/>
      </c>
      <c r="B421" s="146" t="str">
        <f aca="false">Scoring!DF428</f>
        <v/>
      </c>
      <c r="C421" s="146" t="n">
        <f aca="false">Scoring!C428</f>
        <v>0</v>
      </c>
      <c r="D421" s="147" t="str">
        <f aca="false">Scoring!DC428</f>
        <v/>
      </c>
      <c r="E421" s="146" t="str">
        <f aca="false">Scoring!BL428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Scoring!DE428</f>
        <v/>
      </c>
      <c r="I421" s="148" t="str">
        <f aca="false">Scoring!DD428</f>
        <v/>
      </c>
    </row>
    <row r="422" customFormat="false" ht="15.75" hidden="false" customHeight="false" outlineLevel="0" collapsed="false">
      <c r="A422" s="146" t="str">
        <f aca="false">Scoring!DG429</f>
        <v/>
      </c>
      <c r="B422" s="146" t="str">
        <f aca="false">Scoring!DF429</f>
        <v/>
      </c>
      <c r="C422" s="146" t="n">
        <f aca="false">Scoring!C429</f>
        <v>0</v>
      </c>
      <c r="D422" s="147" t="str">
        <f aca="false">Scoring!DC429</f>
        <v/>
      </c>
      <c r="E422" s="146" t="str">
        <f aca="false">Scoring!BL429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Scoring!DE429</f>
        <v/>
      </c>
      <c r="I422" s="148" t="str">
        <f aca="false">Scoring!DD429</f>
        <v/>
      </c>
    </row>
    <row r="423" customFormat="false" ht="15.75" hidden="false" customHeight="false" outlineLevel="0" collapsed="false">
      <c r="A423" s="146" t="str">
        <f aca="false">Scoring!DG430</f>
        <v/>
      </c>
      <c r="B423" s="146" t="str">
        <f aca="false">Scoring!DF430</f>
        <v/>
      </c>
      <c r="C423" s="146" t="n">
        <f aca="false">Scoring!C430</f>
        <v>0</v>
      </c>
      <c r="D423" s="147" t="str">
        <f aca="false">Scoring!DC430</f>
        <v/>
      </c>
      <c r="E423" s="146" t="str">
        <f aca="false">Scoring!BL430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Scoring!DE430</f>
        <v/>
      </c>
      <c r="I423" s="148" t="str">
        <f aca="false">Scoring!DD430</f>
        <v/>
      </c>
    </row>
    <row r="424" customFormat="false" ht="15.75" hidden="false" customHeight="false" outlineLevel="0" collapsed="false">
      <c r="A424" s="146" t="str">
        <f aca="false">Scoring!DG431</f>
        <v/>
      </c>
      <c r="B424" s="146" t="str">
        <f aca="false">Scoring!DF431</f>
        <v/>
      </c>
      <c r="C424" s="146" t="n">
        <f aca="false">Scoring!C431</f>
        <v>0</v>
      </c>
      <c r="D424" s="147" t="str">
        <f aca="false">Scoring!DC431</f>
        <v/>
      </c>
      <c r="E424" s="146" t="str">
        <f aca="false">Scoring!BL431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Scoring!DE431</f>
        <v/>
      </c>
      <c r="I424" s="148" t="str">
        <f aca="false">Scoring!DD431</f>
        <v/>
      </c>
    </row>
    <row r="425" customFormat="false" ht="15.75" hidden="false" customHeight="false" outlineLevel="0" collapsed="false">
      <c r="A425" s="146" t="str">
        <f aca="false">Scoring!DG432</f>
        <v/>
      </c>
      <c r="B425" s="146" t="str">
        <f aca="false">Scoring!DF432</f>
        <v/>
      </c>
      <c r="C425" s="146" t="n">
        <f aca="false">Scoring!C432</f>
        <v>0</v>
      </c>
      <c r="D425" s="147" t="str">
        <f aca="false">Scoring!DC432</f>
        <v/>
      </c>
      <c r="E425" s="146" t="str">
        <f aca="false">Scoring!BL432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Scoring!DE432</f>
        <v/>
      </c>
      <c r="I425" s="148" t="str">
        <f aca="false">Scoring!DD432</f>
        <v/>
      </c>
    </row>
    <row r="426" customFormat="false" ht="15.75" hidden="false" customHeight="false" outlineLevel="0" collapsed="false">
      <c r="A426" s="146" t="str">
        <f aca="false">Scoring!DG433</f>
        <v/>
      </c>
      <c r="B426" s="146" t="str">
        <f aca="false">Scoring!DF433</f>
        <v/>
      </c>
      <c r="C426" s="146" t="n">
        <f aca="false">Scoring!C433</f>
        <v>0</v>
      </c>
      <c r="D426" s="147" t="str">
        <f aca="false">Scoring!DC433</f>
        <v/>
      </c>
      <c r="E426" s="146" t="str">
        <f aca="false">Scoring!BL433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Scoring!DE433</f>
        <v/>
      </c>
      <c r="I426" s="148" t="str">
        <f aca="false">Scoring!DD433</f>
        <v/>
      </c>
    </row>
    <row r="427" customFormat="false" ht="15.75" hidden="false" customHeight="false" outlineLevel="0" collapsed="false">
      <c r="A427" s="146" t="str">
        <f aca="false">Scoring!DG434</f>
        <v/>
      </c>
      <c r="B427" s="146" t="str">
        <f aca="false">Scoring!DF434</f>
        <v/>
      </c>
      <c r="C427" s="146" t="n">
        <f aca="false">Scoring!C434</f>
        <v>0</v>
      </c>
      <c r="D427" s="147" t="str">
        <f aca="false">Scoring!DC434</f>
        <v/>
      </c>
      <c r="E427" s="146" t="str">
        <f aca="false">Scoring!BL434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Scoring!DE434</f>
        <v/>
      </c>
      <c r="I427" s="148" t="str">
        <f aca="false">Scoring!DD434</f>
        <v/>
      </c>
    </row>
    <row r="428" customFormat="false" ht="15.75" hidden="false" customHeight="false" outlineLevel="0" collapsed="false">
      <c r="A428" s="146" t="str">
        <f aca="false">Scoring!DG435</f>
        <v/>
      </c>
      <c r="B428" s="146" t="str">
        <f aca="false">Scoring!DF435</f>
        <v/>
      </c>
      <c r="C428" s="146" t="n">
        <f aca="false">Scoring!C435</f>
        <v>0</v>
      </c>
      <c r="D428" s="147" t="str">
        <f aca="false">Scoring!DC435</f>
        <v/>
      </c>
      <c r="E428" s="146" t="str">
        <f aca="false">Scoring!BL435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Scoring!DE435</f>
        <v/>
      </c>
      <c r="I428" s="148" t="str">
        <f aca="false">Scoring!DD435</f>
        <v/>
      </c>
    </row>
    <row r="429" customFormat="false" ht="15.75" hidden="false" customHeight="false" outlineLevel="0" collapsed="false">
      <c r="A429" s="146" t="str">
        <f aca="false">Scoring!DG436</f>
        <v/>
      </c>
      <c r="B429" s="146" t="str">
        <f aca="false">Scoring!DF436</f>
        <v/>
      </c>
      <c r="C429" s="146" t="n">
        <f aca="false">Scoring!C436</f>
        <v>0</v>
      </c>
      <c r="D429" s="147" t="str">
        <f aca="false">Scoring!DC436</f>
        <v/>
      </c>
      <c r="E429" s="146" t="str">
        <f aca="false">Scoring!BL436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Scoring!DE436</f>
        <v/>
      </c>
      <c r="I429" s="148" t="str">
        <f aca="false">Scoring!DD436</f>
        <v/>
      </c>
    </row>
    <row r="430" customFormat="false" ht="15.75" hidden="false" customHeight="false" outlineLevel="0" collapsed="false">
      <c r="A430" s="146" t="str">
        <f aca="false">Scoring!DG437</f>
        <v/>
      </c>
      <c r="B430" s="146" t="str">
        <f aca="false">Scoring!DF437</f>
        <v/>
      </c>
      <c r="C430" s="146" t="n">
        <f aca="false">Scoring!C437</f>
        <v>0</v>
      </c>
      <c r="D430" s="147" t="str">
        <f aca="false">Scoring!DC437</f>
        <v/>
      </c>
      <c r="E430" s="146" t="str">
        <f aca="false">Scoring!BL437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Scoring!DE437</f>
        <v/>
      </c>
      <c r="I430" s="148" t="str">
        <f aca="false">Scoring!DD437</f>
        <v/>
      </c>
    </row>
    <row r="431" customFormat="false" ht="15.75" hidden="false" customHeight="false" outlineLevel="0" collapsed="false">
      <c r="A431" s="146" t="str">
        <f aca="false">Scoring!DG438</f>
        <v/>
      </c>
      <c r="B431" s="146" t="str">
        <f aca="false">Scoring!DF438</f>
        <v/>
      </c>
      <c r="C431" s="146" t="n">
        <f aca="false">Scoring!C438</f>
        <v>0</v>
      </c>
      <c r="D431" s="147" t="str">
        <f aca="false">Scoring!DC438</f>
        <v/>
      </c>
      <c r="E431" s="146" t="str">
        <f aca="false">Scoring!BL438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Scoring!DE438</f>
        <v/>
      </c>
      <c r="I431" s="148" t="str">
        <f aca="false">Scoring!DD438</f>
        <v/>
      </c>
    </row>
    <row r="432" customFormat="false" ht="15.75" hidden="false" customHeight="false" outlineLevel="0" collapsed="false">
      <c r="A432" s="146" t="str">
        <f aca="false">Scoring!DG439</f>
        <v/>
      </c>
      <c r="B432" s="146" t="str">
        <f aca="false">Scoring!DF439</f>
        <v/>
      </c>
      <c r="C432" s="146" t="n">
        <f aca="false">Scoring!C439</f>
        <v>0</v>
      </c>
      <c r="D432" s="147" t="str">
        <f aca="false">Scoring!DC439</f>
        <v/>
      </c>
      <c r="E432" s="146" t="str">
        <f aca="false">Scoring!BL439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Scoring!DE439</f>
        <v/>
      </c>
      <c r="I432" s="148" t="str">
        <f aca="false">Scoring!DD439</f>
        <v/>
      </c>
    </row>
    <row r="433" customFormat="false" ht="15.75" hidden="false" customHeight="false" outlineLevel="0" collapsed="false">
      <c r="A433" s="146" t="str">
        <f aca="false">Scoring!DG440</f>
        <v/>
      </c>
      <c r="B433" s="146" t="str">
        <f aca="false">Scoring!DF440</f>
        <v/>
      </c>
      <c r="C433" s="146" t="n">
        <f aca="false">Scoring!C440</f>
        <v>0</v>
      </c>
      <c r="D433" s="147" t="str">
        <f aca="false">Scoring!DC440</f>
        <v/>
      </c>
      <c r="E433" s="146" t="str">
        <f aca="false">Scoring!BL440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Scoring!DE440</f>
        <v/>
      </c>
      <c r="I433" s="148" t="str">
        <f aca="false">Scoring!DD440</f>
        <v/>
      </c>
    </row>
    <row r="434" customFormat="false" ht="15.75" hidden="false" customHeight="false" outlineLevel="0" collapsed="false">
      <c r="A434" s="146" t="str">
        <f aca="false">Scoring!DG441</f>
        <v/>
      </c>
      <c r="B434" s="146" t="str">
        <f aca="false">Scoring!DF441</f>
        <v/>
      </c>
      <c r="C434" s="146" t="n">
        <f aca="false">Scoring!C441</f>
        <v>0</v>
      </c>
      <c r="D434" s="147" t="str">
        <f aca="false">Scoring!DC441</f>
        <v/>
      </c>
      <c r="E434" s="146" t="str">
        <f aca="false">Scoring!BL441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Scoring!DE441</f>
        <v/>
      </c>
      <c r="I434" s="148" t="str">
        <f aca="false">Scoring!DD441</f>
        <v/>
      </c>
    </row>
    <row r="435" customFormat="false" ht="15.75" hidden="false" customHeight="false" outlineLevel="0" collapsed="false">
      <c r="A435" s="146" t="str">
        <f aca="false">Scoring!DG442</f>
        <v/>
      </c>
      <c r="B435" s="146" t="str">
        <f aca="false">Scoring!DF442</f>
        <v/>
      </c>
      <c r="C435" s="146" t="n">
        <f aca="false">Scoring!C442</f>
        <v>0</v>
      </c>
      <c r="D435" s="147" t="str">
        <f aca="false">Scoring!DC442</f>
        <v/>
      </c>
      <c r="E435" s="146" t="str">
        <f aca="false">Scoring!BL442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Scoring!DE442</f>
        <v/>
      </c>
      <c r="I435" s="148" t="str">
        <f aca="false">Scoring!DD442</f>
        <v/>
      </c>
    </row>
    <row r="436" customFormat="false" ht="15.75" hidden="false" customHeight="false" outlineLevel="0" collapsed="false">
      <c r="A436" s="146" t="str">
        <f aca="false">Scoring!DG443</f>
        <v/>
      </c>
      <c r="B436" s="146" t="str">
        <f aca="false">Scoring!DF443</f>
        <v/>
      </c>
      <c r="C436" s="146" t="n">
        <f aca="false">Scoring!C443</f>
        <v>0</v>
      </c>
      <c r="D436" s="147" t="str">
        <f aca="false">Scoring!DC443</f>
        <v/>
      </c>
      <c r="E436" s="146" t="str">
        <f aca="false">Scoring!BL443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Scoring!DE443</f>
        <v/>
      </c>
      <c r="I436" s="148" t="str">
        <f aca="false">Scoring!DD443</f>
        <v/>
      </c>
    </row>
    <row r="437" customFormat="false" ht="15.75" hidden="false" customHeight="false" outlineLevel="0" collapsed="false">
      <c r="A437" s="146" t="str">
        <f aca="false">Scoring!DG444</f>
        <v/>
      </c>
      <c r="B437" s="146" t="str">
        <f aca="false">Scoring!DF444</f>
        <v/>
      </c>
      <c r="C437" s="146" t="n">
        <f aca="false">Scoring!C444</f>
        <v>0</v>
      </c>
      <c r="D437" s="147" t="str">
        <f aca="false">Scoring!DC444</f>
        <v/>
      </c>
      <c r="E437" s="146" t="str">
        <f aca="false">Scoring!BL444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Scoring!DE444</f>
        <v/>
      </c>
      <c r="I437" s="148" t="str">
        <f aca="false">Scoring!DD444</f>
        <v/>
      </c>
    </row>
    <row r="438" customFormat="false" ht="15.75" hidden="false" customHeight="false" outlineLevel="0" collapsed="false">
      <c r="A438" s="146" t="str">
        <f aca="false">Scoring!DG445</f>
        <v/>
      </c>
      <c r="B438" s="146" t="str">
        <f aca="false">Scoring!DF445</f>
        <v/>
      </c>
      <c r="C438" s="146" t="n">
        <f aca="false">Scoring!C445</f>
        <v>0</v>
      </c>
      <c r="D438" s="147" t="str">
        <f aca="false">Scoring!DC445</f>
        <v/>
      </c>
      <c r="E438" s="146" t="str">
        <f aca="false">Scoring!BL445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Scoring!DE445</f>
        <v/>
      </c>
      <c r="I438" s="148" t="str">
        <f aca="false">Scoring!DD445</f>
        <v/>
      </c>
    </row>
    <row r="439" customFormat="false" ht="15.75" hidden="false" customHeight="false" outlineLevel="0" collapsed="false">
      <c r="A439" s="146" t="str">
        <f aca="false">Scoring!DG446</f>
        <v/>
      </c>
      <c r="B439" s="146" t="str">
        <f aca="false">Scoring!DF446</f>
        <v/>
      </c>
      <c r="C439" s="146" t="n">
        <f aca="false">Scoring!C446</f>
        <v>0</v>
      </c>
      <c r="D439" s="147" t="str">
        <f aca="false">Scoring!DC446</f>
        <v/>
      </c>
      <c r="E439" s="146" t="str">
        <f aca="false">Scoring!BL446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Scoring!DE446</f>
        <v/>
      </c>
      <c r="I439" s="148" t="str">
        <f aca="false">Scoring!DD446</f>
        <v/>
      </c>
    </row>
    <row r="440" customFormat="false" ht="15.75" hidden="false" customHeight="false" outlineLevel="0" collapsed="false">
      <c r="A440" s="146" t="str">
        <f aca="false">Scoring!DG447</f>
        <v/>
      </c>
      <c r="B440" s="146" t="str">
        <f aca="false">Scoring!DF447</f>
        <v/>
      </c>
      <c r="C440" s="146" t="n">
        <f aca="false">Scoring!C447</f>
        <v>0</v>
      </c>
      <c r="D440" s="147" t="str">
        <f aca="false">Scoring!DC447</f>
        <v/>
      </c>
      <c r="E440" s="146" t="str">
        <f aca="false">Scoring!BL447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Scoring!DE447</f>
        <v/>
      </c>
      <c r="I440" s="148" t="str">
        <f aca="false">Scoring!DD447</f>
        <v/>
      </c>
    </row>
    <row r="441" customFormat="false" ht="15.75" hidden="false" customHeight="false" outlineLevel="0" collapsed="false">
      <c r="A441" s="146" t="str">
        <f aca="false">Scoring!DG448</f>
        <v/>
      </c>
      <c r="B441" s="146" t="str">
        <f aca="false">Scoring!DF448</f>
        <v/>
      </c>
      <c r="C441" s="146" t="n">
        <f aca="false">Scoring!C448</f>
        <v>0</v>
      </c>
      <c r="D441" s="147" t="str">
        <f aca="false">Scoring!DC448</f>
        <v/>
      </c>
      <c r="E441" s="146" t="str">
        <f aca="false">Scoring!BL448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Scoring!DE448</f>
        <v/>
      </c>
      <c r="I441" s="148" t="str">
        <f aca="false">Scoring!DD448</f>
        <v/>
      </c>
    </row>
    <row r="442" customFormat="false" ht="15.75" hidden="false" customHeight="false" outlineLevel="0" collapsed="false">
      <c r="A442" s="146" t="str">
        <f aca="false">Scoring!DG449</f>
        <v/>
      </c>
      <c r="B442" s="146" t="str">
        <f aca="false">Scoring!DF449</f>
        <v/>
      </c>
      <c r="C442" s="146" t="n">
        <f aca="false">Scoring!C449</f>
        <v>0</v>
      </c>
      <c r="D442" s="147" t="str">
        <f aca="false">Scoring!DC449</f>
        <v/>
      </c>
      <c r="E442" s="146" t="str">
        <f aca="false">Scoring!BL449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Scoring!DE449</f>
        <v/>
      </c>
      <c r="I442" s="148" t="str">
        <f aca="false">Scoring!DD449</f>
        <v/>
      </c>
    </row>
    <row r="443" customFormat="false" ht="15.75" hidden="false" customHeight="false" outlineLevel="0" collapsed="false">
      <c r="A443" s="146" t="str">
        <f aca="false">Scoring!DG450</f>
        <v/>
      </c>
      <c r="B443" s="146" t="str">
        <f aca="false">Scoring!DF450</f>
        <v/>
      </c>
      <c r="C443" s="146" t="n">
        <f aca="false">Scoring!C450</f>
        <v>0</v>
      </c>
      <c r="D443" s="147" t="str">
        <f aca="false">Scoring!DC450</f>
        <v/>
      </c>
      <c r="E443" s="146" t="str">
        <f aca="false">Scoring!BL450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Scoring!DE450</f>
        <v/>
      </c>
      <c r="I443" s="148" t="str">
        <f aca="false">Scoring!DD450</f>
        <v/>
      </c>
    </row>
    <row r="444" customFormat="false" ht="15.75" hidden="false" customHeight="false" outlineLevel="0" collapsed="false">
      <c r="A444" s="146" t="str">
        <f aca="false">Scoring!DG451</f>
        <v/>
      </c>
      <c r="B444" s="146" t="str">
        <f aca="false">Scoring!DF451</f>
        <v/>
      </c>
      <c r="C444" s="146" t="n">
        <f aca="false">Scoring!C451</f>
        <v>0</v>
      </c>
      <c r="D444" s="147" t="str">
        <f aca="false">Scoring!DC451</f>
        <v/>
      </c>
      <c r="E444" s="146" t="str">
        <f aca="false">Scoring!BL451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Scoring!DE451</f>
        <v/>
      </c>
      <c r="I444" s="148" t="str">
        <f aca="false">Scoring!DD451</f>
        <v/>
      </c>
    </row>
    <row r="445" customFormat="false" ht="15.75" hidden="false" customHeight="false" outlineLevel="0" collapsed="false">
      <c r="A445" s="146" t="str">
        <f aca="false">Scoring!DG452</f>
        <v/>
      </c>
      <c r="B445" s="146" t="str">
        <f aca="false">Scoring!DF452</f>
        <v/>
      </c>
      <c r="C445" s="146" t="n">
        <f aca="false">Scoring!C452</f>
        <v>0</v>
      </c>
      <c r="D445" s="147" t="str">
        <f aca="false">Scoring!DC452</f>
        <v/>
      </c>
      <c r="E445" s="146" t="str">
        <f aca="false">Scoring!BL452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Scoring!DE452</f>
        <v/>
      </c>
      <c r="I445" s="148" t="str">
        <f aca="false">Scoring!DD452</f>
        <v/>
      </c>
    </row>
    <row r="446" customFormat="false" ht="15.75" hidden="false" customHeight="false" outlineLevel="0" collapsed="false">
      <c r="A446" s="146" t="str">
        <f aca="false">Scoring!DG453</f>
        <v/>
      </c>
      <c r="B446" s="146" t="str">
        <f aca="false">Scoring!DF453</f>
        <v/>
      </c>
      <c r="C446" s="146" t="n">
        <f aca="false">Scoring!C453</f>
        <v>0</v>
      </c>
      <c r="D446" s="147" t="str">
        <f aca="false">Scoring!DC453</f>
        <v/>
      </c>
      <c r="E446" s="146" t="str">
        <f aca="false">Scoring!BL453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Scoring!DE453</f>
        <v/>
      </c>
      <c r="I446" s="148" t="str">
        <f aca="false">Scoring!DD453</f>
        <v/>
      </c>
    </row>
    <row r="447" customFormat="false" ht="15.75" hidden="false" customHeight="false" outlineLevel="0" collapsed="false">
      <c r="A447" s="146" t="str">
        <f aca="false">Scoring!DG454</f>
        <v/>
      </c>
      <c r="B447" s="146" t="str">
        <f aca="false">Scoring!DF454</f>
        <v/>
      </c>
      <c r="C447" s="146" t="n">
        <f aca="false">Scoring!C454</f>
        <v>0</v>
      </c>
      <c r="D447" s="147" t="str">
        <f aca="false">Scoring!DC454</f>
        <v/>
      </c>
      <c r="E447" s="146" t="str">
        <f aca="false">Scoring!BL454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Scoring!DE454</f>
        <v/>
      </c>
      <c r="I447" s="148" t="str">
        <f aca="false">Scoring!DD454</f>
        <v/>
      </c>
    </row>
    <row r="448" customFormat="false" ht="15.75" hidden="false" customHeight="false" outlineLevel="0" collapsed="false">
      <c r="A448" s="146" t="str">
        <f aca="false">Scoring!DG455</f>
        <v/>
      </c>
      <c r="B448" s="146" t="str">
        <f aca="false">Scoring!DF455</f>
        <v/>
      </c>
      <c r="C448" s="146" t="n">
        <f aca="false">Scoring!C455</f>
        <v>0</v>
      </c>
      <c r="D448" s="147" t="str">
        <f aca="false">Scoring!DC455</f>
        <v/>
      </c>
      <c r="E448" s="146" t="str">
        <f aca="false">Scoring!BL455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Scoring!DE455</f>
        <v/>
      </c>
      <c r="I448" s="148" t="str">
        <f aca="false">Scoring!DD455</f>
        <v/>
      </c>
    </row>
    <row r="449" customFormat="false" ht="15.75" hidden="false" customHeight="false" outlineLevel="0" collapsed="false">
      <c r="A449" s="146" t="str">
        <f aca="false">Scoring!DG456</f>
        <v/>
      </c>
      <c r="B449" s="146" t="str">
        <f aca="false">Scoring!DF456</f>
        <v/>
      </c>
      <c r="C449" s="146" t="n">
        <f aca="false">Scoring!C456</f>
        <v>0</v>
      </c>
      <c r="D449" s="147" t="str">
        <f aca="false">Scoring!DC456</f>
        <v/>
      </c>
      <c r="E449" s="146" t="str">
        <f aca="false">Scoring!BL456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Scoring!DE456</f>
        <v/>
      </c>
      <c r="I449" s="148" t="str">
        <f aca="false">Scoring!DD456</f>
        <v/>
      </c>
    </row>
    <row r="450" customFormat="false" ht="15.75" hidden="false" customHeight="false" outlineLevel="0" collapsed="false">
      <c r="A450" s="146" t="str">
        <f aca="false">Scoring!DG457</f>
        <v/>
      </c>
      <c r="B450" s="146" t="str">
        <f aca="false">Scoring!DF457</f>
        <v/>
      </c>
      <c r="C450" s="146" t="n">
        <f aca="false">Scoring!C457</f>
        <v>0</v>
      </c>
      <c r="D450" s="147" t="str">
        <f aca="false">Scoring!DC457</f>
        <v/>
      </c>
      <c r="E450" s="146" t="str">
        <f aca="false">Scoring!BL457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Scoring!DE457</f>
        <v/>
      </c>
      <c r="I450" s="148" t="str">
        <f aca="false">Scoring!DD457</f>
        <v/>
      </c>
    </row>
    <row r="451" customFormat="false" ht="15.75" hidden="false" customHeight="false" outlineLevel="0" collapsed="false">
      <c r="A451" s="146" t="str">
        <f aca="false">Scoring!DG458</f>
        <v/>
      </c>
      <c r="B451" s="146" t="str">
        <f aca="false">Scoring!DF458</f>
        <v/>
      </c>
      <c r="C451" s="146" t="n">
        <f aca="false">Scoring!C458</f>
        <v>0</v>
      </c>
      <c r="D451" s="147" t="str">
        <f aca="false">Scoring!DC458</f>
        <v/>
      </c>
      <c r="E451" s="146" t="str">
        <f aca="false">Scoring!BL458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Scoring!DE458</f>
        <v/>
      </c>
      <c r="I451" s="148" t="str">
        <f aca="false">Scoring!DD458</f>
        <v/>
      </c>
    </row>
    <row r="452" customFormat="false" ht="15.75" hidden="false" customHeight="false" outlineLevel="0" collapsed="false">
      <c r="A452" s="146" t="str">
        <f aca="false">Scoring!DG459</f>
        <v/>
      </c>
      <c r="B452" s="146" t="str">
        <f aca="false">Scoring!DF459</f>
        <v/>
      </c>
      <c r="C452" s="146" t="n">
        <f aca="false">Scoring!C459</f>
        <v>0</v>
      </c>
      <c r="D452" s="147" t="str">
        <f aca="false">Scoring!DC459</f>
        <v/>
      </c>
      <c r="E452" s="146" t="str">
        <f aca="false">Scoring!BL459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Scoring!DE459</f>
        <v/>
      </c>
      <c r="I452" s="148" t="str">
        <f aca="false">Scoring!DD459</f>
        <v/>
      </c>
    </row>
    <row r="453" customFormat="false" ht="15.75" hidden="false" customHeight="false" outlineLevel="0" collapsed="false">
      <c r="A453" s="146" t="str">
        <f aca="false">Scoring!DG460</f>
        <v/>
      </c>
      <c r="B453" s="146" t="str">
        <f aca="false">Scoring!DF460</f>
        <v/>
      </c>
      <c r="C453" s="146" t="n">
        <f aca="false">Scoring!C460</f>
        <v>0</v>
      </c>
      <c r="D453" s="147" t="str">
        <f aca="false">Scoring!DC460</f>
        <v/>
      </c>
      <c r="E453" s="146" t="str">
        <f aca="false">Scoring!BL460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Scoring!DE460</f>
        <v/>
      </c>
      <c r="I453" s="148" t="str">
        <f aca="false">Scoring!DD460</f>
        <v/>
      </c>
    </row>
    <row r="454" customFormat="false" ht="15.75" hidden="false" customHeight="false" outlineLevel="0" collapsed="false">
      <c r="A454" s="146" t="str">
        <f aca="false">Scoring!DG461</f>
        <v/>
      </c>
      <c r="B454" s="146" t="str">
        <f aca="false">Scoring!DF461</f>
        <v/>
      </c>
      <c r="C454" s="146" t="n">
        <f aca="false">Scoring!C461</f>
        <v>0</v>
      </c>
      <c r="D454" s="147" t="str">
        <f aca="false">Scoring!DC461</f>
        <v/>
      </c>
      <c r="E454" s="146" t="str">
        <f aca="false">Scoring!BL461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Scoring!DE461</f>
        <v/>
      </c>
      <c r="I454" s="148" t="str">
        <f aca="false">Scoring!DD461</f>
        <v/>
      </c>
    </row>
    <row r="455" customFormat="false" ht="15.75" hidden="false" customHeight="false" outlineLevel="0" collapsed="false">
      <c r="A455" s="146" t="str">
        <f aca="false">Scoring!DG462</f>
        <v/>
      </c>
      <c r="B455" s="146" t="str">
        <f aca="false">Scoring!DF462</f>
        <v/>
      </c>
      <c r="C455" s="146" t="n">
        <f aca="false">Scoring!C462</f>
        <v>0</v>
      </c>
      <c r="D455" s="147" t="str">
        <f aca="false">Scoring!DC462</f>
        <v/>
      </c>
      <c r="E455" s="146" t="str">
        <f aca="false">Scoring!BL462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Scoring!DE462</f>
        <v/>
      </c>
      <c r="I455" s="148" t="str">
        <f aca="false">Scoring!DD462</f>
        <v/>
      </c>
    </row>
    <row r="456" customFormat="false" ht="15.75" hidden="false" customHeight="false" outlineLevel="0" collapsed="false">
      <c r="A456" s="146" t="str">
        <f aca="false">Scoring!DG463</f>
        <v/>
      </c>
      <c r="B456" s="146" t="str">
        <f aca="false">Scoring!DF463</f>
        <v/>
      </c>
      <c r="C456" s="146" t="n">
        <f aca="false">Scoring!C463</f>
        <v>0</v>
      </c>
      <c r="D456" s="147" t="str">
        <f aca="false">Scoring!DC463</f>
        <v/>
      </c>
      <c r="E456" s="146" t="str">
        <f aca="false">Scoring!BL463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Scoring!DE463</f>
        <v/>
      </c>
      <c r="I456" s="148" t="str">
        <f aca="false">Scoring!DD463</f>
        <v/>
      </c>
    </row>
    <row r="457" customFormat="false" ht="15.75" hidden="false" customHeight="false" outlineLevel="0" collapsed="false">
      <c r="A457" s="146" t="str">
        <f aca="false">Scoring!DG464</f>
        <v/>
      </c>
      <c r="B457" s="146" t="str">
        <f aca="false">Scoring!DF464</f>
        <v/>
      </c>
      <c r="C457" s="146" t="n">
        <f aca="false">Scoring!C464</f>
        <v>0</v>
      </c>
      <c r="D457" s="147" t="str">
        <f aca="false">Scoring!DC464</f>
        <v/>
      </c>
      <c r="E457" s="146" t="str">
        <f aca="false">Scoring!BL464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Scoring!DE464</f>
        <v/>
      </c>
      <c r="I457" s="148" t="str">
        <f aca="false">Scoring!DD464</f>
        <v/>
      </c>
    </row>
    <row r="458" customFormat="false" ht="15.75" hidden="false" customHeight="false" outlineLevel="0" collapsed="false">
      <c r="A458" s="146" t="str">
        <f aca="false">Scoring!DG465</f>
        <v/>
      </c>
      <c r="B458" s="146" t="str">
        <f aca="false">Scoring!DF465</f>
        <v/>
      </c>
      <c r="C458" s="146" t="n">
        <f aca="false">Scoring!C465</f>
        <v>0</v>
      </c>
      <c r="D458" s="147" t="str">
        <f aca="false">Scoring!DC465</f>
        <v/>
      </c>
      <c r="E458" s="146" t="str">
        <f aca="false">Scoring!BL465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Scoring!DE465</f>
        <v/>
      </c>
      <c r="I458" s="148" t="str">
        <f aca="false">Scoring!DD465</f>
        <v/>
      </c>
    </row>
    <row r="459" customFormat="false" ht="15.75" hidden="false" customHeight="false" outlineLevel="0" collapsed="false">
      <c r="A459" s="146" t="str">
        <f aca="false">Scoring!DG466</f>
        <v/>
      </c>
      <c r="B459" s="146" t="str">
        <f aca="false">Scoring!DF466</f>
        <v/>
      </c>
      <c r="C459" s="146" t="n">
        <f aca="false">Scoring!C466</f>
        <v>0</v>
      </c>
      <c r="D459" s="147" t="str">
        <f aca="false">Scoring!DC466</f>
        <v/>
      </c>
      <c r="E459" s="146" t="str">
        <f aca="false">Scoring!BL466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Scoring!DE466</f>
        <v/>
      </c>
      <c r="I459" s="148" t="str">
        <f aca="false">Scoring!DD466</f>
        <v/>
      </c>
    </row>
    <row r="460" customFormat="false" ht="15.75" hidden="false" customHeight="false" outlineLevel="0" collapsed="false">
      <c r="A460" s="146" t="str">
        <f aca="false">Scoring!DG467</f>
        <v/>
      </c>
      <c r="B460" s="146" t="str">
        <f aca="false">Scoring!DF467</f>
        <v/>
      </c>
      <c r="C460" s="146" t="n">
        <f aca="false">Scoring!C467</f>
        <v>0</v>
      </c>
      <c r="D460" s="147" t="str">
        <f aca="false">Scoring!DC467</f>
        <v/>
      </c>
      <c r="E460" s="146" t="str">
        <f aca="false">Scoring!BL467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Scoring!DE467</f>
        <v/>
      </c>
      <c r="I460" s="148" t="str">
        <f aca="false">Scoring!DD467</f>
        <v/>
      </c>
    </row>
    <row r="461" customFormat="false" ht="15.75" hidden="false" customHeight="false" outlineLevel="0" collapsed="false">
      <c r="A461" s="146" t="str">
        <f aca="false">Scoring!DG468</f>
        <v/>
      </c>
      <c r="B461" s="146" t="str">
        <f aca="false">Scoring!DF468</f>
        <v/>
      </c>
      <c r="C461" s="146" t="n">
        <f aca="false">Scoring!C468</f>
        <v>0</v>
      </c>
      <c r="D461" s="147" t="str">
        <f aca="false">Scoring!DC468</f>
        <v/>
      </c>
      <c r="E461" s="146" t="str">
        <f aca="false">Scoring!BL468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Scoring!DE468</f>
        <v/>
      </c>
      <c r="I461" s="148" t="str">
        <f aca="false">Scoring!DD468</f>
        <v/>
      </c>
    </row>
    <row r="462" customFormat="false" ht="15.75" hidden="false" customHeight="false" outlineLevel="0" collapsed="false">
      <c r="A462" s="146" t="str">
        <f aca="false">Scoring!DG469</f>
        <v/>
      </c>
      <c r="B462" s="146" t="str">
        <f aca="false">Scoring!DF469</f>
        <v/>
      </c>
      <c r="C462" s="146" t="n">
        <f aca="false">Scoring!C469</f>
        <v>0</v>
      </c>
      <c r="D462" s="147" t="str">
        <f aca="false">Scoring!DC469</f>
        <v/>
      </c>
      <c r="E462" s="146" t="str">
        <f aca="false">Scoring!BL469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Scoring!DE469</f>
        <v/>
      </c>
      <c r="I462" s="148" t="str">
        <f aca="false">Scoring!DD469</f>
        <v/>
      </c>
    </row>
    <row r="463" customFormat="false" ht="15.75" hidden="false" customHeight="false" outlineLevel="0" collapsed="false">
      <c r="A463" s="146" t="str">
        <f aca="false">Scoring!DG470</f>
        <v/>
      </c>
      <c r="B463" s="146" t="str">
        <f aca="false">Scoring!DF470</f>
        <v/>
      </c>
      <c r="C463" s="146" t="n">
        <f aca="false">Scoring!C470</f>
        <v>0</v>
      </c>
      <c r="D463" s="147" t="str">
        <f aca="false">Scoring!DC470</f>
        <v/>
      </c>
      <c r="E463" s="146" t="str">
        <f aca="false">Scoring!BL470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Scoring!DE470</f>
        <v/>
      </c>
      <c r="I463" s="148" t="str">
        <f aca="false">Scoring!DD470</f>
        <v/>
      </c>
    </row>
    <row r="464" customFormat="false" ht="15.75" hidden="false" customHeight="false" outlineLevel="0" collapsed="false">
      <c r="A464" s="146" t="str">
        <f aca="false">Scoring!DG471</f>
        <v/>
      </c>
      <c r="B464" s="146" t="str">
        <f aca="false">Scoring!DF471</f>
        <v/>
      </c>
      <c r="C464" s="146" t="n">
        <f aca="false">Scoring!C471</f>
        <v>0</v>
      </c>
      <c r="D464" s="147" t="str">
        <f aca="false">Scoring!DC471</f>
        <v/>
      </c>
      <c r="E464" s="146" t="str">
        <f aca="false">Scoring!BL471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Scoring!DE471</f>
        <v/>
      </c>
      <c r="I464" s="148" t="str">
        <f aca="false">Scoring!DD471</f>
        <v/>
      </c>
    </row>
    <row r="465" customFormat="false" ht="15.75" hidden="false" customHeight="false" outlineLevel="0" collapsed="false">
      <c r="A465" s="146" t="str">
        <f aca="false">Scoring!DG472</f>
        <v/>
      </c>
      <c r="B465" s="146" t="str">
        <f aca="false">Scoring!DF472</f>
        <v/>
      </c>
      <c r="C465" s="146" t="n">
        <f aca="false">Scoring!C472</f>
        <v>0</v>
      </c>
      <c r="D465" s="147" t="str">
        <f aca="false">Scoring!DC472</f>
        <v/>
      </c>
      <c r="E465" s="146" t="str">
        <f aca="false">Scoring!BL472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Scoring!DE472</f>
        <v/>
      </c>
      <c r="I465" s="148" t="str">
        <f aca="false">Scoring!DD472</f>
        <v/>
      </c>
    </row>
    <row r="466" customFormat="false" ht="15.75" hidden="false" customHeight="false" outlineLevel="0" collapsed="false">
      <c r="A466" s="146" t="str">
        <f aca="false">Scoring!DG473</f>
        <v/>
      </c>
      <c r="B466" s="146" t="str">
        <f aca="false">Scoring!DF473</f>
        <v/>
      </c>
      <c r="C466" s="146" t="n">
        <f aca="false">Scoring!C473</f>
        <v>0</v>
      </c>
      <c r="D466" s="147" t="str">
        <f aca="false">Scoring!DC473</f>
        <v/>
      </c>
      <c r="E466" s="146" t="str">
        <f aca="false">Scoring!BL473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Scoring!DE473</f>
        <v/>
      </c>
      <c r="I466" s="148" t="str">
        <f aca="false">Scoring!DD473</f>
        <v/>
      </c>
    </row>
    <row r="467" customFormat="false" ht="15.75" hidden="false" customHeight="false" outlineLevel="0" collapsed="false">
      <c r="A467" s="146" t="str">
        <f aca="false">Scoring!DG474</f>
        <v/>
      </c>
      <c r="B467" s="146" t="str">
        <f aca="false">Scoring!DF474</f>
        <v/>
      </c>
      <c r="C467" s="146" t="n">
        <f aca="false">Scoring!C474</f>
        <v>0</v>
      </c>
      <c r="D467" s="147" t="str">
        <f aca="false">Scoring!DC474</f>
        <v/>
      </c>
      <c r="E467" s="146" t="str">
        <f aca="false">Scoring!BL474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Scoring!DE474</f>
        <v/>
      </c>
      <c r="I467" s="148" t="str">
        <f aca="false">Scoring!DD474</f>
        <v/>
      </c>
    </row>
    <row r="468" customFormat="false" ht="15.75" hidden="false" customHeight="false" outlineLevel="0" collapsed="false">
      <c r="A468" s="146" t="str">
        <f aca="false">Scoring!DG475</f>
        <v/>
      </c>
      <c r="B468" s="146" t="str">
        <f aca="false">Scoring!DF475</f>
        <v/>
      </c>
      <c r="C468" s="146" t="n">
        <f aca="false">Scoring!C475</f>
        <v>0</v>
      </c>
      <c r="D468" s="147" t="str">
        <f aca="false">Scoring!DC475</f>
        <v/>
      </c>
      <c r="E468" s="146" t="str">
        <f aca="false">Scoring!BL475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Scoring!DE475</f>
        <v/>
      </c>
      <c r="I468" s="148" t="str">
        <f aca="false">Scoring!DD475</f>
        <v/>
      </c>
    </row>
    <row r="469" customFormat="false" ht="15.75" hidden="false" customHeight="false" outlineLevel="0" collapsed="false">
      <c r="A469" s="146" t="str">
        <f aca="false">Scoring!DG476</f>
        <v/>
      </c>
      <c r="B469" s="146" t="str">
        <f aca="false">Scoring!DF476</f>
        <v/>
      </c>
      <c r="C469" s="146" t="n">
        <f aca="false">Scoring!C476</f>
        <v>0</v>
      </c>
      <c r="D469" s="147" t="str">
        <f aca="false">Scoring!DC476</f>
        <v/>
      </c>
      <c r="E469" s="146" t="str">
        <f aca="false">Scoring!BL476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Scoring!DE476</f>
        <v/>
      </c>
      <c r="I469" s="148" t="str">
        <f aca="false">Scoring!DD476</f>
        <v/>
      </c>
    </row>
    <row r="470" customFormat="false" ht="15.75" hidden="false" customHeight="false" outlineLevel="0" collapsed="false">
      <c r="A470" s="146" t="str">
        <f aca="false">Scoring!DG477</f>
        <v/>
      </c>
      <c r="B470" s="146" t="str">
        <f aca="false">Scoring!DF477</f>
        <v/>
      </c>
      <c r="C470" s="146" t="n">
        <f aca="false">Scoring!C477</f>
        <v>0</v>
      </c>
      <c r="D470" s="147" t="str">
        <f aca="false">Scoring!DC477</f>
        <v/>
      </c>
      <c r="E470" s="146" t="str">
        <f aca="false">Scoring!BL477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Scoring!DE477</f>
        <v/>
      </c>
      <c r="I470" s="148" t="str">
        <f aca="false">Scoring!DD477</f>
        <v/>
      </c>
    </row>
    <row r="471" customFormat="false" ht="15.75" hidden="false" customHeight="false" outlineLevel="0" collapsed="false">
      <c r="A471" s="146" t="str">
        <f aca="false">Scoring!DG478</f>
        <v/>
      </c>
      <c r="B471" s="146" t="str">
        <f aca="false">Scoring!DF478</f>
        <v/>
      </c>
      <c r="C471" s="146" t="n">
        <f aca="false">Scoring!C478</f>
        <v>0</v>
      </c>
      <c r="D471" s="147" t="str">
        <f aca="false">Scoring!DC478</f>
        <v/>
      </c>
      <c r="E471" s="146" t="str">
        <f aca="false">Scoring!BL478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Scoring!DE478</f>
        <v/>
      </c>
      <c r="I471" s="148" t="str">
        <f aca="false">Scoring!DD478</f>
        <v/>
      </c>
    </row>
    <row r="472" customFormat="false" ht="15.75" hidden="false" customHeight="false" outlineLevel="0" collapsed="false">
      <c r="A472" s="146" t="str">
        <f aca="false">Scoring!DG479</f>
        <v/>
      </c>
      <c r="B472" s="146" t="str">
        <f aca="false">Scoring!DF479</f>
        <v/>
      </c>
      <c r="C472" s="146" t="n">
        <f aca="false">Scoring!C479</f>
        <v>0</v>
      </c>
      <c r="D472" s="147" t="str">
        <f aca="false">Scoring!DC479</f>
        <v/>
      </c>
      <c r="E472" s="146" t="str">
        <f aca="false">Scoring!BL479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Scoring!DE479</f>
        <v/>
      </c>
      <c r="I472" s="148" t="str">
        <f aca="false">Scoring!DD479</f>
        <v/>
      </c>
    </row>
    <row r="473" customFormat="false" ht="15.75" hidden="false" customHeight="false" outlineLevel="0" collapsed="false">
      <c r="A473" s="146" t="str">
        <f aca="false">Scoring!DG480</f>
        <v/>
      </c>
      <c r="B473" s="146" t="str">
        <f aca="false">Scoring!DF480</f>
        <v/>
      </c>
      <c r="C473" s="146" t="n">
        <f aca="false">Scoring!C480</f>
        <v>0</v>
      </c>
      <c r="D473" s="147" t="str">
        <f aca="false">Scoring!DC480</f>
        <v/>
      </c>
      <c r="E473" s="146" t="str">
        <f aca="false">Scoring!BL480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Scoring!DE480</f>
        <v/>
      </c>
      <c r="I473" s="148" t="str">
        <f aca="false">Scoring!DD480</f>
        <v/>
      </c>
    </row>
    <row r="474" customFormat="false" ht="15.75" hidden="false" customHeight="false" outlineLevel="0" collapsed="false">
      <c r="A474" s="146" t="str">
        <f aca="false">Scoring!DG481</f>
        <v/>
      </c>
      <c r="B474" s="146" t="str">
        <f aca="false">Scoring!DF481</f>
        <v/>
      </c>
      <c r="C474" s="146" t="n">
        <f aca="false">Scoring!C481</f>
        <v>0</v>
      </c>
      <c r="D474" s="147" t="str">
        <f aca="false">Scoring!DC481</f>
        <v/>
      </c>
      <c r="E474" s="146" t="str">
        <f aca="false">Scoring!BL481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Scoring!DE481</f>
        <v/>
      </c>
      <c r="I474" s="148" t="str">
        <f aca="false">Scoring!DD481</f>
        <v/>
      </c>
    </row>
    <row r="475" customFormat="false" ht="15.75" hidden="false" customHeight="false" outlineLevel="0" collapsed="false">
      <c r="A475" s="146" t="str">
        <f aca="false">Scoring!DG482</f>
        <v/>
      </c>
      <c r="B475" s="146" t="str">
        <f aca="false">Scoring!DF482</f>
        <v/>
      </c>
      <c r="C475" s="146" t="n">
        <f aca="false">Scoring!C482</f>
        <v>0</v>
      </c>
      <c r="D475" s="147" t="str">
        <f aca="false">Scoring!DC482</f>
        <v/>
      </c>
      <c r="E475" s="146" t="str">
        <f aca="false">Scoring!BL482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Scoring!DE482</f>
        <v/>
      </c>
      <c r="I475" s="148" t="str">
        <f aca="false">Scoring!DD482</f>
        <v/>
      </c>
    </row>
    <row r="476" customFormat="false" ht="15.75" hidden="false" customHeight="false" outlineLevel="0" collapsed="false">
      <c r="A476" s="146" t="str">
        <f aca="false">Scoring!DG483</f>
        <v/>
      </c>
      <c r="B476" s="146" t="str">
        <f aca="false">Scoring!DF483</f>
        <v/>
      </c>
      <c r="C476" s="146" t="n">
        <f aca="false">Scoring!C483</f>
        <v>0</v>
      </c>
      <c r="D476" s="147" t="str">
        <f aca="false">Scoring!DC483</f>
        <v/>
      </c>
      <c r="E476" s="146" t="str">
        <f aca="false">Scoring!BL483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Scoring!DE483</f>
        <v/>
      </c>
      <c r="I476" s="148" t="str">
        <f aca="false">Scoring!DD483</f>
        <v/>
      </c>
    </row>
    <row r="477" customFormat="false" ht="15.75" hidden="false" customHeight="false" outlineLevel="0" collapsed="false">
      <c r="A477" s="146" t="str">
        <f aca="false">Scoring!DG484</f>
        <v/>
      </c>
      <c r="B477" s="146" t="str">
        <f aca="false">Scoring!DF484</f>
        <v/>
      </c>
      <c r="C477" s="146" t="n">
        <f aca="false">Scoring!C484</f>
        <v>0</v>
      </c>
      <c r="D477" s="147" t="str">
        <f aca="false">Scoring!DC484</f>
        <v/>
      </c>
      <c r="E477" s="146" t="str">
        <f aca="false">Scoring!BL484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Scoring!DE484</f>
        <v/>
      </c>
      <c r="I477" s="148" t="str">
        <f aca="false">Scoring!DD484</f>
        <v/>
      </c>
    </row>
    <row r="478" customFormat="false" ht="15.75" hidden="false" customHeight="false" outlineLevel="0" collapsed="false">
      <c r="A478" s="146" t="str">
        <f aca="false">Scoring!DG485</f>
        <v/>
      </c>
      <c r="B478" s="146" t="str">
        <f aca="false">Scoring!DF485</f>
        <v/>
      </c>
      <c r="C478" s="146" t="n">
        <f aca="false">Scoring!C485</f>
        <v>0</v>
      </c>
      <c r="D478" s="147" t="str">
        <f aca="false">Scoring!DC485</f>
        <v/>
      </c>
      <c r="E478" s="146" t="str">
        <f aca="false">Scoring!BL485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Scoring!DE485</f>
        <v/>
      </c>
      <c r="I478" s="148" t="str">
        <f aca="false">Scoring!DD485</f>
        <v/>
      </c>
    </row>
    <row r="479" customFormat="false" ht="15.75" hidden="false" customHeight="false" outlineLevel="0" collapsed="false">
      <c r="A479" s="146" t="str">
        <f aca="false">Scoring!DG486</f>
        <v/>
      </c>
      <c r="B479" s="146" t="str">
        <f aca="false">Scoring!DF486</f>
        <v/>
      </c>
      <c r="C479" s="146" t="n">
        <f aca="false">Scoring!C486</f>
        <v>0</v>
      </c>
      <c r="D479" s="147" t="str">
        <f aca="false">Scoring!DC486</f>
        <v/>
      </c>
      <c r="E479" s="146" t="str">
        <f aca="false">Scoring!BL486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Scoring!DE486</f>
        <v/>
      </c>
      <c r="I479" s="148" t="str">
        <f aca="false">Scoring!DD486</f>
        <v/>
      </c>
    </row>
    <row r="480" customFormat="false" ht="15.75" hidden="false" customHeight="false" outlineLevel="0" collapsed="false">
      <c r="A480" s="146" t="str">
        <f aca="false">Scoring!DG487</f>
        <v/>
      </c>
      <c r="B480" s="146" t="str">
        <f aca="false">Scoring!DF487</f>
        <v/>
      </c>
      <c r="C480" s="146" t="n">
        <f aca="false">Scoring!C487</f>
        <v>0</v>
      </c>
      <c r="D480" s="147" t="str">
        <f aca="false">Scoring!DC487</f>
        <v/>
      </c>
      <c r="E480" s="146" t="str">
        <f aca="false">Scoring!BL487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Scoring!DE487</f>
        <v/>
      </c>
      <c r="I480" s="148" t="str">
        <f aca="false">Scoring!DD487</f>
        <v/>
      </c>
    </row>
    <row r="481" customFormat="false" ht="15.75" hidden="false" customHeight="false" outlineLevel="0" collapsed="false">
      <c r="A481" s="146" t="str">
        <f aca="false">Scoring!DG488</f>
        <v/>
      </c>
      <c r="B481" s="146" t="str">
        <f aca="false">Scoring!DF488</f>
        <v/>
      </c>
      <c r="C481" s="146" t="n">
        <f aca="false">Scoring!C488</f>
        <v>0</v>
      </c>
      <c r="D481" s="147" t="str">
        <f aca="false">Scoring!DC488</f>
        <v/>
      </c>
      <c r="E481" s="146" t="str">
        <f aca="false">Scoring!BL488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Scoring!DE488</f>
        <v/>
      </c>
      <c r="I481" s="148" t="str">
        <f aca="false">Scoring!DD488</f>
        <v/>
      </c>
    </row>
    <row r="482" customFormat="false" ht="15.75" hidden="false" customHeight="false" outlineLevel="0" collapsed="false">
      <c r="A482" s="146" t="str">
        <f aca="false">Scoring!DG489</f>
        <v/>
      </c>
      <c r="B482" s="146" t="str">
        <f aca="false">Scoring!DF489</f>
        <v/>
      </c>
      <c r="C482" s="146" t="n">
        <f aca="false">Scoring!C489</f>
        <v>0</v>
      </c>
      <c r="D482" s="147" t="str">
        <f aca="false">Scoring!DC489</f>
        <v/>
      </c>
      <c r="E482" s="146" t="str">
        <f aca="false">Scoring!BL489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Scoring!DE489</f>
        <v/>
      </c>
      <c r="I482" s="148" t="str">
        <f aca="false">Scoring!DD489</f>
        <v/>
      </c>
    </row>
    <row r="483" customFormat="false" ht="15.75" hidden="false" customHeight="false" outlineLevel="0" collapsed="false">
      <c r="A483" s="146" t="str">
        <f aca="false">Scoring!DG490</f>
        <v/>
      </c>
      <c r="B483" s="146" t="str">
        <f aca="false">Scoring!DF490</f>
        <v/>
      </c>
      <c r="C483" s="146" t="n">
        <f aca="false">Scoring!C490</f>
        <v>0</v>
      </c>
      <c r="D483" s="147" t="str">
        <f aca="false">Scoring!DC490</f>
        <v/>
      </c>
      <c r="E483" s="146" t="str">
        <f aca="false">Scoring!BL490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Scoring!DE490</f>
        <v/>
      </c>
      <c r="I483" s="148" t="str">
        <f aca="false">Scoring!DD490</f>
        <v/>
      </c>
    </row>
    <row r="484" customFormat="false" ht="15.75" hidden="false" customHeight="false" outlineLevel="0" collapsed="false">
      <c r="A484" s="146" t="str">
        <f aca="false">Scoring!DG491</f>
        <v/>
      </c>
      <c r="B484" s="146" t="str">
        <f aca="false">Scoring!DF491</f>
        <v/>
      </c>
      <c r="C484" s="146" t="n">
        <f aca="false">Scoring!C491</f>
        <v>0</v>
      </c>
      <c r="D484" s="147" t="str">
        <f aca="false">Scoring!DC491</f>
        <v/>
      </c>
      <c r="E484" s="146" t="str">
        <f aca="false">Scoring!BL491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Scoring!DE491</f>
        <v/>
      </c>
      <c r="I484" s="148" t="str">
        <f aca="false">Scoring!DD491</f>
        <v/>
      </c>
    </row>
    <row r="485" customFormat="false" ht="15.75" hidden="false" customHeight="false" outlineLevel="0" collapsed="false">
      <c r="A485" s="146" t="str">
        <f aca="false">Scoring!DG492</f>
        <v/>
      </c>
      <c r="B485" s="146" t="str">
        <f aca="false">Scoring!DF492</f>
        <v/>
      </c>
      <c r="C485" s="146" t="n">
        <f aca="false">Scoring!C492</f>
        <v>0</v>
      </c>
      <c r="D485" s="147" t="str">
        <f aca="false">Scoring!DC492</f>
        <v/>
      </c>
      <c r="E485" s="146" t="str">
        <f aca="false">Scoring!BL492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Scoring!DE492</f>
        <v/>
      </c>
      <c r="I485" s="148" t="str">
        <f aca="false">Scoring!DD492</f>
        <v/>
      </c>
    </row>
    <row r="486" customFormat="false" ht="15.75" hidden="false" customHeight="false" outlineLevel="0" collapsed="false">
      <c r="A486" s="146" t="str">
        <f aca="false">Scoring!DG493</f>
        <v/>
      </c>
      <c r="B486" s="146" t="str">
        <f aca="false">Scoring!DF493</f>
        <v/>
      </c>
      <c r="C486" s="146" t="n">
        <f aca="false">Scoring!C493</f>
        <v>0</v>
      </c>
      <c r="D486" s="147" t="str">
        <f aca="false">Scoring!DC493</f>
        <v/>
      </c>
      <c r="E486" s="146" t="str">
        <f aca="false">Scoring!BL493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Scoring!DE493</f>
        <v/>
      </c>
      <c r="I486" s="148" t="str">
        <f aca="false">Scoring!DD493</f>
        <v/>
      </c>
    </row>
    <row r="487" customFormat="false" ht="15.75" hidden="false" customHeight="false" outlineLevel="0" collapsed="false">
      <c r="A487" s="146" t="str">
        <f aca="false">Scoring!DG494</f>
        <v/>
      </c>
      <c r="B487" s="146" t="str">
        <f aca="false">Scoring!DF494</f>
        <v/>
      </c>
      <c r="C487" s="146" t="n">
        <f aca="false">Scoring!C494</f>
        <v>0</v>
      </c>
      <c r="D487" s="147" t="str">
        <f aca="false">Scoring!DC494</f>
        <v/>
      </c>
      <c r="E487" s="146" t="str">
        <f aca="false">Scoring!BL494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Scoring!DE494</f>
        <v/>
      </c>
      <c r="I487" s="148" t="str">
        <f aca="false">Scoring!DD494</f>
        <v/>
      </c>
    </row>
    <row r="488" customFormat="false" ht="15.75" hidden="false" customHeight="false" outlineLevel="0" collapsed="false">
      <c r="A488" s="146" t="str">
        <f aca="false">Scoring!DG495</f>
        <v/>
      </c>
      <c r="B488" s="146" t="str">
        <f aca="false">Scoring!DF495</f>
        <v/>
      </c>
      <c r="C488" s="146" t="n">
        <f aca="false">Scoring!C495</f>
        <v>0</v>
      </c>
      <c r="D488" s="147" t="str">
        <f aca="false">Scoring!DC495</f>
        <v/>
      </c>
      <c r="E488" s="146" t="str">
        <f aca="false">Scoring!BL495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Scoring!DE495</f>
        <v/>
      </c>
      <c r="I488" s="148" t="str">
        <f aca="false">Scoring!DD495</f>
        <v/>
      </c>
    </row>
    <row r="489" customFormat="false" ht="15.75" hidden="false" customHeight="false" outlineLevel="0" collapsed="false">
      <c r="A489" s="146" t="str">
        <f aca="false">Scoring!DG496</f>
        <v/>
      </c>
      <c r="B489" s="146" t="str">
        <f aca="false">Scoring!DF496</f>
        <v/>
      </c>
      <c r="C489" s="146" t="n">
        <f aca="false">Scoring!C496</f>
        <v>0</v>
      </c>
      <c r="D489" s="147" t="str">
        <f aca="false">Scoring!DC496</f>
        <v/>
      </c>
      <c r="E489" s="146" t="str">
        <f aca="false">Scoring!BL496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Scoring!DE496</f>
        <v/>
      </c>
      <c r="I489" s="148" t="str">
        <f aca="false">Scoring!DD496</f>
        <v/>
      </c>
    </row>
    <row r="490" customFormat="false" ht="15.75" hidden="false" customHeight="false" outlineLevel="0" collapsed="false">
      <c r="A490" s="146" t="str">
        <f aca="false">Scoring!DG497</f>
        <v/>
      </c>
      <c r="B490" s="146" t="str">
        <f aca="false">Scoring!DF497</f>
        <v/>
      </c>
      <c r="C490" s="146" t="n">
        <f aca="false">Scoring!C497</f>
        <v>0</v>
      </c>
      <c r="D490" s="147" t="str">
        <f aca="false">Scoring!DC497</f>
        <v/>
      </c>
      <c r="E490" s="146" t="str">
        <f aca="false">Scoring!BL497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Scoring!DE497</f>
        <v/>
      </c>
      <c r="I490" s="148" t="str">
        <f aca="false">Scoring!DD497</f>
        <v/>
      </c>
    </row>
    <row r="491" customFormat="false" ht="15.75" hidden="false" customHeight="false" outlineLevel="0" collapsed="false">
      <c r="A491" s="146" t="str">
        <f aca="false">Scoring!DG498</f>
        <v/>
      </c>
      <c r="B491" s="146" t="str">
        <f aca="false">Scoring!DF498</f>
        <v/>
      </c>
      <c r="C491" s="146" t="n">
        <f aca="false">Scoring!C498</f>
        <v>0</v>
      </c>
      <c r="D491" s="147" t="str">
        <f aca="false">Scoring!DC498</f>
        <v/>
      </c>
      <c r="E491" s="146" t="str">
        <f aca="false">Scoring!BL498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Scoring!DE498</f>
        <v/>
      </c>
      <c r="I491" s="148" t="str">
        <f aca="false">Scoring!DD498</f>
        <v/>
      </c>
    </row>
    <row r="492" customFormat="false" ht="15.75" hidden="false" customHeight="false" outlineLevel="0" collapsed="false">
      <c r="A492" s="146" t="str">
        <f aca="false">Scoring!DG499</f>
        <v/>
      </c>
      <c r="B492" s="146" t="str">
        <f aca="false">Scoring!DF499</f>
        <v/>
      </c>
      <c r="C492" s="146" t="n">
        <f aca="false">Scoring!C499</f>
        <v>0</v>
      </c>
      <c r="D492" s="147" t="str">
        <f aca="false">Scoring!DC499</f>
        <v/>
      </c>
      <c r="E492" s="146" t="str">
        <f aca="false">Scoring!BL499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Scoring!DE499</f>
        <v/>
      </c>
      <c r="I492" s="148" t="str">
        <f aca="false">Scoring!DD499</f>
        <v/>
      </c>
    </row>
    <row r="493" customFormat="false" ht="15.75" hidden="false" customHeight="false" outlineLevel="0" collapsed="false">
      <c r="A493" s="146" t="str">
        <f aca="false">Scoring!DG500</f>
        <v/>
      </c>
      <c r="B493" s="146" t="str">
        <f aca="false">Scoring!DF500</f>
        <v/>
      </c>
      <c r="C493" s="146" t="n">
        <f aca="false">Scoring!C500</f>
        <v>0</v>
      </c>
      <c r="D493" s="147" t="str">
        <f aca="false">Scoring!DC500</f>
        <v/>
      </c>
      <c r="E493" s="146" t="str">
        <f aca="false">Scoring!BL500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Scoring!DE500</f>
        <v/>
      </c>
      <c r="I493" s="148" t="str">
        <f aca="false">Scoring!DD500</f>
        <v/>
      </c>
    </row>
    <row r="494" customFormat="false" ht="15.75" hidden="false" customHeight="false" outlineLevel="0" collapsed="false">
      <c r="A494" s="146" t="str">
        <f aca="false">Scoring!DG501</f>
        <v/>
      </c>
      <c r="B494" s="146" t="str">
        <f aca="false">Scoring!DF501</f>
        <v/>
      </c>
      <c r="C494" s="146" t="n">
        <f aca="false">Scoring!C501</f>
        <v>0</v>
      </c>
      <c r="D494" s="147" t="str">
        <f aca="false">Scoring!DC501</f>
        <v/>
      </c>
      <c r="E494" s="146" t="str">
        <f aca="false">Scoring!BL501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Scoring!DE501</f>
        <v/>
      </c>
      <c r="I494" s="148" t="str">
        <f aca="false">Scoring!DD501</f>
        <v/>
      </c>
    </row>
    <row r="495" customFormat="false" ht="15.75" hidden="false" customHeight="false" outlineLevel="0" collapsed="false">
      <c r="A495" s="146" t="str">
        <f aca="false">Scoring!DG502</f>
        <v/>
      </c>
      <c r="B495" s="146" t="str">
        <f aca="false">Scoring!DF502</f>
        <v/>
      </c>
      <c r="C495" s="146" t="n">
        <f aca="false">Scoring!C502</f>
        <v>0</v>
      </c>
      <c r="D495" s="147" t="str">
        <f aca="false">Scoring!DC502</f>
        <v/>
      </c>
      <c r="E495" s="146" t="str">
        <f aca="false">Scoring!BL502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Scoring!DE502</f>
        <v/>
      </c>
      <c r="I495" s="148" t="str">
        <f aca="false">Scoring!DD502</f>
        <v/>
      </c>
    </row>
    <row r="496" customFormat="false" ht="15.75" hidden="false" customHeight="false" outlineLevel="0" collapsed="false">
      <c r="A496" s="146" t="str">
        <f aca="false">Scoring!DG503</f>
        <v/>
      </c>
      <c r="B496" s="146" t="str">
        <f aca="false">Scoring!DF503</f>
        <v/>
      </c>
      <c r="C496" s="146" t="n">
        <f aca="false">Scoring!C503</f>
        <v>0</v>
      </c>
      <c r="D496" s="147" t="str">
        <f aca="false">Scoring!DC503</f>
        <v/>
      </c>
      <c r="E496" s="146" t="str">
        <f aca="false">Scoring!BL503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Scoring!DE503</f>
        <v/>
      </c>
      <c r="I496" s="148" t="str">
        <f aca="false">Scoring!DD503</f>
        <v/>
      </c>
    </row>
    <row r="497" customFormat="false" ht="15.75" hidden="false" customHeight="false" outlineLevel="0" collapsed="false">
      <c r="A497" s="146" t="str">
        <f aca="false">Scoring!DG504</f>
        <v/>
      </c>
      <c r="B497" s="146" t="str">
        <f aca="false">Scoring!DF504</f>
        <v/>
      </c>
      <c r="C497" s="146" t="n">
        <f aca="false">Scoring!C504</f>
        <v>0</v>
      </c>
      <c r="D497" s="147" t="str">
        <f aca="false">Scoring!DC504</f>
        <v/>
      </c>
      <c r="E497" s="146" t="str">
        <f aca="false">Scoring!BL504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Scoring!DE504</f>
        <v/>
      </c>
      <c r="I497" s="148" t="str">
        <f aca="false">Scoring!DD504</f>
        <v/>
      </c>
    </row>
    <row r="498" customFormat="false" ht="15.75" hidden="false" customHeight="false" outlineLevel="0" collapsed="false">
      <c r="A498" s="146" t="str">
        <f aca="false">Scoring!DG505</f>
        <v/>
      </c>
      <c r="B498" s="146" t="str">
        <f aca="false">Scoring!DF505</f>
        <v/>
      </c>
      <c r="C498" s="146" t="n">
        <f aca="false">Scoring!C505</f>
        <v>0</v>
      </c>
      <c r="D498" s="147" t="str">
        <f aca="false">Scoring!DC505</f>
        <v/>
      </c>
      <c r="E498" s="146" t="str">
        <f aca="false">Scoring!BL505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Scoring!DE505</f>
        <v/>
      </c>
      <c r="I498" s="148" t="str">
        <f aca="false">Scoring!DD505</f>
        <v/>
      </c>
    </row>
    <row r="499" customFormat="false" ht="15.75" hidden="false" customHeight="false" outlineLevel="0" collapsed="false">
      <c r="A499" s="146" t="str">
        <f aca="false">Scoring!DG506</f>
        <v/>
      </c>
      <c r="B499" s="146" t="str">
        <f aca="false">Scoring!DF506</f>
        <v/>
      </c>
      <c r="C499" s="146" t="n">
        <f aca="false">Scoring!C506</f>
        <v>0</v>
      </c>
      <c r="D499" s="147" t="str">
        <f aca="false">Scoring!DC506</f>
        <v/>
      </c>
      <c r="E499" s="146" t="str">
        <f aca="false">Scoring!BL506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Scoring!DE506</f>
        <v/>
      </c>
      <c r="I499" s="148" t="str">
        <f aca="false">Scoring!DD506</f>
        <v/>
      </c>
    </row>
    <row r="500" customFormat="false" ht="15.75" hidden="false" customHeight="false" outlineLevel="0" collapsed="false">
      <c r="A500" s="146" t="str">
        <f aca="false">Scoring!DG507</f>
        <v/>
      </c>
      <c r="B500" s="146" t="str">
        <f aca="false">Scoring!DF507</f>
        <v/>
      </c>
      <c r="C500" s="146" t="n">
        <f aca="false">Scoring!C507</f>
        <v>0</v>
      </c>
      <c r="D500" s="147" t="str">
        <f aca="false">Scoring!DC507</f>
        <v/>
      </c>
      <c r="E500" s="146" t="str">
        <f aca="false">Scoring!BL507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Scoring!DE507</f>
        <v/>
      </c>
      <c r="I500" s="148" t="str">
        <f aca="false">Scoring!DD507</f>
        <v/>
      </c>
    </row>
    <row r="501" customFormat="false" ht="15.75" hidden="false" customHeight="false" outlineLevel="0" collapsed="false">
      <c r="A501" s="146" t="str">
        <f aca="false">Scoring!DG508</f>
        <v/>
      </c>
      <c r="B501" s="146" t="str">
        <f aca="false">Scoring!DF508</f>
        <v/>
      </c>
      <c r="C501" s="146" t="n">
        <f aca="false">Scoring!C508</f>
        <v>0</v>
      </c>
      <c r="D501" s="147" t="str">
        <f aca="false">Scoring!DC508</f>
        <v/>
      </c>
      <c r="E501" s="146" t="str">
        <f aca="false">Scoring!BL508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Scoring!DE508</f>
        <v/>
      </c>
      <c r="I501" s="148" t="str">
        <f aca="false">Scoring!DD508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2026-10-01T21:26:43Z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